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OMPUTER\Desktop\adezo-os-2\crm\"/>
    </mc:Choice>
  </mc:AlternateContent>
  <xr:revisionPtr revIDLastSave="0" documentId="13_ncr:1_{902EE23E-6C80-46D9-A5BD-A51A31326383}" xr6:coauthVersionLast="47" xr6:coauthVersionMax="47" xr10:uidLastSave="{00000000-0000-0000-0000-000000000000}"/>
  <bookViews>
    <workbookView xWindow="4215" yWindow="2100" windowWidth="21600" windowHeight="11385" firstSheet="3" activeTab="5" xr2:uid="{00000000-000D-0000-FFFF-FFFF00000000}"/>
  </bookViews>
  <sheets>
    <sheet name="CEO_PANEL" sheetId="1" r:id="rId1"/>
    <sheet name="CRM_MAGDY" sheetId="2" r:id="rId2"/>
    <sheet name="MOJE_ZADANIA_MAGDA_K" sheetId="3" r:id="rId3"/>
    <sheet name="SYSTEM_HEALTH" sheetId="4" r:id="rId4"/>
    <sheet name="MOJE_ZADANIA_MAGDA_B" sheetId="5" r:id="rId5"/>
    <sheet name="CRM_CLEANUP_REPORT" sheetId="15" r:id="rId6"/>
    <sheet name="EXECUTIVE_BRIEF" sheetId="6" r:id="rId7"/>
    <sheet name="MAGDA_SCOREBOARD" sheetId="7" r:id="rId8"/>
    <sheet name="_SYNC_CACHE" sheetId="8" state="hidden" r:id="rId9"/>
    <sheet name="_FORECAST_CALC" sheetId="9" state="hidden" r:id="rId10"/>
    <sheet name="_OS_TASKS" sheetId="10" state="hidden" r:id="rId11"/>
    <sheet name="_ALERTS_LOG" sheetId="11" state="hidden" r:id="rId12"/>
    <sheet name="_DATA_QUALITY" sheetId="12" state="hidden" r:id="rId13"/>
    <sheet name="_LISTY" sheetId="13" state="hidden" r:id="rId14"/>
    <sheet name="INSTRUKCJA" sheetId="14" r:id="rId15"/>
  </sheets>
  <definedNames>
    <definedName name="_xlnm._FilterDatabase" localSheetId="12" hidden="1">_DATA_QUALITY!$A$1:$H$1200</definedName>
    <definedName name="_xlnm._FilterDatabase" localSheetId="9" hidden="1">_FORECAST_CALC!$A$1:$J$1200</definedName>
    <definedName name="_xlnm._FilterDatabase" localSheetId="1" hidden="1">CRM_MAGDY!$A$1:$W$1200</definedName>
    <definedName name="_xlnm._FilterDatabase" localSheetId="6" hidden="1">EXECUTIVE_BRIEF!$A$4:$H$4</definedName>
    <definedName name="_xlnm._FilterDatabase" localSheetId="4" hidden="1">MOJE_ZADANIA_MAGDA_B!$A$1:$I$720</definedName>
    <definedName name="_xlnm._FilterDatabase" localSheetId="2" hidden="1">MOJE_ZADANIA_MAGDA_K!$A$1:$I$771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00" i="12" l="1"/>
  <c r="G1200" i="12"/>
  <c r="E1200" i="12"/>
  <c r="C1200" i="12"/>
  <c r="B1200" i="12"/>
  <c r="A1200" i="12"/>
  <c r="H1199" i="12"/>
  <c r="G1199" i="12"/>
  <c r="E1199" i="12"/>
  <c r="C1199" i="12"/>
  <c r="B1199" i="12"/>
  <c r="A1199" i="12"/>
  <c r="H1198" i="12"/>
  <c r="G1198" i="12"/>
  <c r="E1198" i="12"/>
  <c r="C1198" i="12"/>
  <c r="B1198" i="12"/>
  <c r="A1198" i="12"/>
  <c r="H1197" i="12"/>
  <c r="G1197" i="12"/>
  <c r="E1197" i="12"/>
  <c r="C1197" i="12"/>
  <c r="B1197" i="12"/>
  <c r="A1197" i="12"/>
  <c r="H1196" i="12"/>
  <c r="G1196" i="12"/>
  <c r="E1196" i="12"/>
  <c r="C1196" i="12"/>
  <c r="B1196" i="12"/>
  <c r="A1196" i="12"/>
  <c r="H1195" i="12"/>
  <c r="G1195" i="12"/>
  <c r="E1195" i="12"/>
  <c r="C1195" i="12"/>
  <c r="B1195" i="12"/>
  <c r="A1195" i="12"/>
  <c r="H1194" i="12"/>
  <c r="G1194" i="12"/>
  <c r="E1194" i="12"/>
  <c r="C1194" i="12"/>
  <c r="B1194" i="12"/>
  <c r="A1194" i="12"/>
  <c r="H1193" i="12"/>
  <c r="G1193" i="12"/>
  <c r="E1193" i="12"/>
  <c r="C1193" i="12"/>
  <c r="B1193" i="12"/>
  <c r="A1193" i="12"/>
  <c r="H1192" i="12"/>
  <c r="G1192" i="12"/>
  <c r="E1192" i="12"/>
  <c r="C1192" i="12"/>
  <c r="B1192" i="12"/>
  <c r="A1192" i="12"/>
  <c r="H1191" i="12"/>
  <c r="G1191" i="12"/>
  <c r="E1191" i="12"/>
  <c r="C1191" i="12"/>
  <c r="B1191" i="12"/>
  <c r="A1191" i="12"/>
  <c r="H1190" i="12"/>
  <c r="G1190" i="12"/>
  <c r="E1190" i="12"/>
  <c r="C1190" i="12"/>
  <c r="B1190" i="12"/>
  <c r="A1190" i="12"/>
  <c r="H1189" i="12"/>
  <c r="G1189" i="12"/>
  <c r="E1189" i="12"/>
  <c r="C1189" i="12"/>
  <c r="B1189" i="12"/>
  <c r="A1189" i="12"/>
  <c r="H1188" i="12"/>
  <c r="G1188" i="12"/>
  <c r="E1188" i="12"/>
  <c r="C1188" i="12"/>
  <c r="B1188" i="12"/>
  <c r="A1188" i="12"/>
  <c r="H1187" i="12"/>
  <c r="G1187" i="12"/>
  <c r="E1187" i="12"/>
  <c r="C1187" i="12"/>
  <c r="B1187" i="12"/>
  <c r="A1187" i="12"/>
  <c r="H1186" i="12"/>
  <c r="G1186" i="12"/>
  <c r="E1186" i="12"/>
  <c r="C1186" i="12"/>
  <c r="B1186" i="12"/>
  <c r="A1186" i="12"/>
  <c r="H1185" i="12"/>
  <c r="G1185" i="12"/>
  <c r="E1185" i="12"/>
  <c r="C1185" i="12"/>
  <c r="B1185" i="12"/>
  <c r="A1185" i="12"/>
  <c r="H1184" i="12"/>
  <c r="G1184" i="12"/>
  <c r="E1184" i="12"/>
  <c r="C1184" i="12"/>
  <c r="B1184" i="12"/>
  <c r="A1184" i="12"/>
  <c r="H1183" i="12"/>
  <c r="G1183" i="12"/>
  <c r="E1183" i="12"/>
  <c r="C1183" i="12"/>
  <c r="B1183" i="12"/>
  <c r="A1183" i="12"/>
  <c r="H1182" i="12"/>
  <c r="G1182" i="12"/>
  <c r="E1182" i="12"/>
  <c r="C1182" i="12"/>
  <c r="B1182" i="12"/>
  <c r="A1182" i="12"/>
  <c r="H1181" i="12"/>
  <c r="G1181" i="12"/>
  <c r="E1181" i="12"/>
  <c r="C1181" i="12"/>
  <c r="B1181" i="12"/>
  <c r="A1181" i="12"/>
  <c r="H1180" i="12"/>
  <c r="G1180" i="12"/>
  <c r="E1180" i="12"/>
  <c r="C1180" i="12"/>
  <c r="B1180" i="12"/>
  <c r="A1180" i="12"/>
  <c r="H1179" i="12"/>
  <c r="G1179" i="12"/>
  <c r="E1179" i="12"/>
  <c r="C1179" i="12"/>
  <c r="B1179" i="12"/>
  <c r="A1179" i="12"/>
  <c r="H1178" i="12"/>
  <c r="G1178" i="12"/>
  <c r="E1178" i="12"/>
  <c r="C1178" i="12"/>
  <c r="B1178" i="12"/>
  <c r="A1178" i="12"/>
  <c r="H1177" i="12"/>
  <c r="G1177" i="12"/>
  <c r="E1177" i="12"/>
  <c r="C1177" i="12"/>
  <c r="B1177" i="12"/>
  <c r="A1177" i="12"/>
  <c r="H1176" i="12"/>
  <c r="G1176" i="12"/>
  <c r="E1176" i="12"/>
  <c r="C1176" i="12"/>
  <c r="B1176" i="12"/>
  <c r="A1176" i="12"/>
  <c r="H1175" i="12"/>
  <c r="G1175" i="12"/>
  <c r="E1175" i="12"/>
  <c r="C1175" i="12"/>
  <c r="B1175" i="12"/>
  <c r="A1175" i="12"/>
  <c r="H1174" i="12"/>
  <c r="G1174" i="12"/>
  <c r="E1174" i="12"/>
  <c r="C1174" i="12"/>
  <c r="B1174" i="12"/>
  <c r="A1174" i="12"/>
  <c r="H1173" i="12"/>
  <c r="G1173" i="12"/>
  <c r="E1173" i="12"/>
  <c r="C1173" i="12"/>
  <c r="B1173" i="12"/>
  <c r="A1173" i="12"/>
  <c r="H1172" i="12"/>
  <c r="G1172" i="12"/>
  <c r="E1172" i="12"/>
  <c r="C1172" i="12"/>
  <c r="B1172" i="12"/>
  <c r="A1172" i="12"/>
  <c r="H1171" i="12"/>
  <c r="G1171" i="12"/>
  <c r="E1171" i="12"/>
  <c r="C1171" i="12"/>
  <c r="B1171" i="12"/>
  <c r="A1171" i="12"/>
  <c r="H1170" i="12"/>
  <c r="G1170" i="12"/>
  <c r="E1170" i="12"/>
  <c r="C1170" i="12"/>
  <c r="B1170" i="12"/>
  <c r="A1170" i="12"/>
  <c r="H1169" i="12"/>
  <c r="G1169" i="12"/>
  <c r="E1169" i="12"/>
  <c r="C1169" i="12"/>
  <c r="B1169" i="12"/>
  <c r="A1169" i="12"/>
  <c r="H1168" i="12"/>
  <c r="G1168" i="12"/>
  <c r="E1168" i="12"/>
  <c r="C1168" i="12"/>
  <c r="B1168" i="12"/>
  <c r="A1168" i="12"/>
  <c r="H1167" i="12"/>
  <c r="G1167" i="12"/>
  <c r="E1167" i="12"/>
  <c r="C1167" i="12"/>
  <c r="B1167" i="12"/>
  <c r="A1167" i="12"/>
  <c r="H1166" i="12"/>
  <c r="G1166" i="12"/>
  <c r="E1166" i="12"/>
  <c r="C1166" i="12"/>
  <c r="B1166" i="12"/>
  <c r="A1166" i="12"/>
  <c r="H1165" i="12"/>
  <c r="G1165" i="12"/>
  <c r="E1165" i="12"/>
  <c r="C1165" i="12"/>
  <c r="B1165" i="12"/>
  <c r="A1165" i="12"/>
  <c r="H1164" i="12"/>
  <c r="G1164" i="12"/>
  <c r="E1164" i="12"/>
  <c r="C1164" i="12"/>
  <c r="B1164" i="12"/>
  <c r="A1164" i="12"/>
  <c r="H1163" i="12"/>
  <c r="G1163" i="12"/>
  <c r="E1163" i="12"/>
  <c r="C1163" i="12"/>
  <c r="B1163" i="12"/>
  <c r="A1163" i="12"/>
  <c r="H1162" i="12"/>
  <c r="G1162" i="12"/>
  <c r="E1162" i="12"/>
  <c r="C1162" i="12"/>
  <c r="B1162" i="12"/>
  <c r="A1162" i="12"/>
  <c r="H1161" i="12"/>
  <c r="G1161" i="12"/>
  <c r="E1161" i="12"/>
  <c r="C1161" i="12"/>
  <c r="B1161" i="12"/>
  <c r="A1161" i="12"/>
  <c r="H1160" i="12"/>
  <c r="G1160" i="12"/>
  <c r="E1160" i="12"/>
  <c r="C1160" i="12"/>
  <c r="B1160" i="12"/>
  <c r="A1160" i="12"/>
  <c r="H1159" i="12"/>
  <c r="G1159" i="12"/>
  <c r="E1159" i="12"/>
  <c r="C1159" i="12"/>
  <c r="B1159" i="12"/>
  <c r="A1159" i="12"/>
  <c r="H1158" i="12"/>
  <c r="G1158" i="12"/>
  <c r="E1158" i="12"/>
  <c r="C1158" i="12"/>
  <c r="B1158" i="12"/>
  <c r="A1158" i="12"/>
  <c r="H1157" i="12"/>
  <c r="G1157" i="12"/>
  <c r="E1157" i="12"/>
  <c r="C1157" i="12"/>
  <c r="B1157" i="12"/>
  <c r="A1157" i="12"/>
  <c r="H1156" i="12"/>
  <c r="G1156" i="12"/>
  <c r="E1156" i="12"/>
  <c r="C1156" i="12"/>
  <c r="B1156" i="12"/>
  <c r="A1156" i="12"/>
  <c r="H1155" i="12"/>
  <c r="G1155" i="12"/>
  <c r="E1155" i="12"/>
  <c r="C1155" i="12"/>
  <c r="B1155" i="12"/>
  <c r="A1155" i="12"/>
  <c r="H1154" i="12"/>
  <c r="G1154" i="12"/>
  <c r="E1154" i="12"/>
  <c r="C1154" i="12"/>
  <c r="B1154" i="12"/>
  <c r="A1154" i="12"/>
  <c r="H1153" i="12"/>
  <c r="G1153" i="12"/>
  <c r="E1153" i="12"/>
  <c r="C1153" i="12"/>
  <c r="B1153" i="12"/>
  <c r="A1153" i="12"/>
  <c r="H1152" i="12"/>
  <c r="G1152" i="12"/>
  <c r="E1152" i="12"/>
  <c r="C1152" i="12"/>
  <c r="B1152" i="12"/>
  <c r="A1152" i="12"/>
  <c r="H1151" i="12"/>
  <c r="G1151" i="12"/>
  <c r="E1151" i="12"/>
  <c r="C1151" i="12"/>
  <c r="B1151" i="12"/>
  <c r="A1151" i="12"/>
  <c r="H1150" i="12"/>
  <c r="G1150" i="12"/>
  <c r="E1150" i="12"/>
  <c r="C1150" i="12"/>
  <c r="B1150" i="12"/>
  <c r="A1150" i="12"/>
  <c r="H1149" i="12"/>
  <c r="G1149" i="12"/>
  <c r="E1149" i="12"/>
  <c r="C1149" i="12"/>
  <c r="B1149" i="12"/>
  <c r="A1149" i="12"/>
  <c r="H1148" i="12"/>
  <c r="G1148" i="12"/>
  <c r="E1148" i="12"/>
  <c r="C1148" i="12"/>
  <c r="B1148" i="12"/>
  <c r="A1148" i="12"/>
  <c r="H1147" i="12"/>
  <c r="G1147" i="12"/>
  <c r="E1147" i="12"/>
  <c r="C1147" i="12"/>
  <c r="B1147" i="12"/>
  <c r="A1147" i="12"/>
  <c r="H1146" i="12"/>
  <c r="G1146" i="12"/>
  <c r="E1146" i="12"/>
  <c r="C1146" i="12"/>
  <c r="B1146" i="12"/>
  <c r="A1146" i="12"/>
  <c r="H1145" i="12"/>
  <c r="G1145" i="12"/>
  <c r="E1145" i="12"/>
  <c r="C1145" i="12"/>
  <c r="B1145" i="12"/>
  <c r="A1145" i="12"/>
  <c r="H1144" i="12"/>
  <c r="G1144" i="12"/>
  <c r="E1144" i="12"/>
  <c r="C1144" i="12"/>
  <c r="B1144" i="12"/>
  <c r="A1144" i="12"/>
  <c r="H1143" i="12"/>
  <c r="G1143" i="12"/>
  <c r="E1143" i="12"/>
  <c r="C1143" i="12"/>
  <c r="B1143" i="12"/>
  <c r="A1143" i="12"/>
  <c r="H1142" i="12"/>
  <c r="G1142" i="12"/>
  <c r="E1142" i="12"/>
  <c r="C1142" i="12"/>
  <c r="B1142" i="12"/>
  <c r="A1142" i="12"/>
  <c r="H1141" i="12"/>
  <c r="G1141" i="12"/>
  <c r="E1141" i="12"/>
  <c r="C1141" i="12"/>
  <c r="B1141" i="12"/>
  <c r="A1141" i="12"/>
  <c r="H1140" i="12"/>
  <c r="G1140" i="12"/>
  <c r="E1140" i="12"/>
  <c r="C1140" i="12"/>
  <c r="B1140" i="12"/>
  <c r="A1140" i="12"/>
  <c r="H1139" i="12"/>
  <c r="G1139" i="12"/>
  <c r="E1139" i="12"/>
  <c r="C1139" i="12"/>
  <c r="B1139" i="12"/>
  <c r="A1139" i="12"/>
  <c r="H1138" i="12"/>
  <c r="G1138" i="12"/>
  <c r="E1138" i="12"/>
  <c r="C1138" i="12"/>
  <c r="B1138" i="12"/>
  <c r="A1138" i="12"/>
  <c r="H1137" i="12"/>
  <c r="G1137" i="12"/>
  <c r="E1137" i="12"/>
  <c r="C1137" i="12"/>
  <c r="B1137" i="12"/>
  <c r="A1137" i="12"/>
  <c r="H1136" i="12"/>
  <c r="G1136" i="12"/>
  <c r="E1136" i="12"/>
  <c r="C1136" i="12"/>
  <c r="B1136" i="12"/>
  <c r="A1136" i="12"/>
  <c r="H1135" i="12"/>
  <c r="G1135" i="12"/>
  <c r="E1135" i="12"/>
  <c r="C1135" i="12"/>
  <c r="B1135" i="12"/>
  <c r="A1135" i="12"/>
  <c r="H1134" i="12"/>
  <c r="G1134" i="12"/>
  <c r="E1134" i="12"/>
  <c r="C1134" i="12"/>
  <c r="B1134" i="12"/>
  <c r="A1134" i="12"/>
  <c r="H1133" i="12"/>
  <c r="G1133" i="12"/>
  <c r="E1133" i="12"/>
  <c r="C1133" i="12"/>
  <c r="B1133" i="12"/>
  <c r="A1133" i="12"/>
  <c r="H1132" i="12"/>
  <c r="G1132" i="12"/>
  <c r="E1132" i="12"/>
  <c r="C1132" i="12"/>
  <c r="B1132" i="12"/>
  <c r="A1132" i="12"/>
  <c r="H1131" i="12"/>
  <c r="G1131" i="12"/>
  <c r="E1131" i="12"/>
  <c r="C1131" i="12"/>
  <c r="B1131" i="12"/>
  <c r="A1131" i="12"/>
  <c r="H1130" i="12"/>
  <c r="G1130" i="12"/>
  <c r="E1130" i="12"/>
  <c r="C1130" i="12"/>
  <c r="B1130" i="12"/>
  <c r="A1130" i="12"/>
  <c r="H1129" i="12"/>
  <c r="G1129" i="12"/>
  <c r="E1129" i="12"/>
  <c r="C1129" i="12"/>
  <c r="B1129" i="12"/>
  <c r="A1129" i="12"/>
  <c r="H1128" i="12"/>
  <c r="G1128" i="12"/>
  <c r="E1128" i="12"/>
  <c r="C1128" i="12"/>
  <c r="B1128" i="12"/>
  <c r="A1128" i="12"/>
  <c r="H1127" i="12"/>
  <c r="G1127" i="12"/>
  <c r="E1127" i="12"/>
  <c r="C1127" i="12"/>
  <c r="B1127" i="12"/>
  <c r="A1127" i="12"/>
  <c r="H1126" i="12"/>
  <c r="G1126" i="12"/>
  <c r="E1126" i="12"/>
  <c r="C1126" i="12"/>
  <c r="B1126" i="12"/>
  <c r="A1126" i="12"/>
  <c r="H1125" i="12"/>
  <c r="G1125" i="12"/>
  <c r="E1125" i="12"/>
  <c r="C1125" i="12"/>
  <c r="B1125" i="12"/>
  <c r="A1125" i="12"/>
  <c r="H1124" i="12"/>
  <c r="G1124" i="12"/>
  <c r="E1124" i="12"/>
  <c r="C1124" i="12"/>
  <c r="B1124" i="12"/>
  <c r="A1124" i="12"/>
  <c r="H1123" i="12"/>
  <c r="G1123" i="12"/>
  <c r="E1123" i="12"/>
  <c r="C1123" i="12"/>
  <c r="B1123" i="12"/>
  <c r="A1123" i="12"/>
  <c r="H1122" i="12"/>
  <c r="G1122" i="12"/>
  <c r="E1122" i="12"/>
  <c r="C1122" i="12"/>
  <c r="B1122" i="12"/>
  <c r="A1122" i="12"/>
  <c r="H1121" i="12"/>
  <c r="G1121" i="12"/>
  <c r="E1121" i="12"/>
  <c r="C1121" i="12"/>
  <c r="B1121" i="12"/>
  <c r="A1121" i="12"/>
  <c r="H1120" i="12"/>
  <c r="G1120" i="12"/>
  <c r="E1120" i="12"/>
  <c r="C1120" i="12"/>
  <c r="B1120" i="12"/>
  <c r="A1120" i="12"/>
  <c r="H1119" i="12"/>
  <c r="G1119" i="12"/>
  <c r="E1119" i="12"/>
  <c r="C1119" i="12"/>
  <c r="B1119" i="12"/>
  <c r="A1119" i="12"/>
  <c r="H1118" i="12"/>
  <c r="G1118" i="12"/>
  <c r="E1118" i="12"/>
  <c r="C1118" i="12"/>
  <c r="B1118" i="12"/>
  <c r="A1118" i="12"/>
  <c r="H1117" i="12"/>
  <c r="G1117" i="12"/>
  <c r="E1117" i="12"/>
  <c r="C1117" i="12"/>
  <c r="B1117" i="12"/>
  <c r="A1117" i="12"/>
  <c r="H1116" i="12"/>
  <c r="G1116" i="12"/>
  <c r="E1116" i="12"/>
  <c r="C1116" i="12"/>
  <c r="B1116" i="12"/>
  <c r="A1116" i="12"/>
  <c r="H1115" i="12"/>
  <c r="G1115" i="12"/>
  <c r="E1115" i="12"/>
  <c r="C1115" i="12"/>
  <c r="B1115" i="12"/>
  <c r="A1115" i="12"/>
  <c r="H1114" i="12"/>
  <c r="G1114" i="12"/>
  <c r="E1114" i="12"/>
  <c r="C1114" i="12"/>
  <c r="B1114" i="12"/>
  <c r="A1114" i="12"/>
  <c r="H1113" i="12"/>
  <c r="G1113" i="12"/>
  <c r="E1113" i="12"/>
  <c r="C1113" i="12"/>
  <c r="B1113" i="12"/>
  <c r="A1113" i="12"/>
  <c r="H1112" i="12"/>
  <c r="G1112" i="12"/>
  <c r="E1112" i="12"/>
  <c r="C1112" i="12"/>
  <c r="B1112" i="12"/>
  <c r="A1112" i="12"/>
  <c r="H1111" i="12"/>
  <c r="G1111" i="12"/>
  <c r="E1111" i="12"/>
  <c r="C1111" i="12"/>
  <c r="B1111" i="12"/>
  <c r="A1111" i="12"/>
  <c r="H1110" i="12"/>
  <c r="G1110" i="12"/>
  <c r="E1110" i="12"/>
  <c r="C1110" i="12"/>
  <c r="B1110" i="12"/>
  <c r="A1110" i="12"/>
  <c r="H1109" i="12"/>
  <c r="G1109" i="12"/>
  <c r="E1109" i="12"/>
  <c r="C1109" i="12"/>
  <c r="B1109" i="12"/>
  <c r="A1109" i="12"/>
  <c r="H1108" i="12"/>
  <c r="G1108" i="12"/>
  <c r="E1108" i="12"/>
  <c r="C1108" i="12"/>
  <c r="B1108" i="12"/>
  <c r="A1108" i="12"/>
  <c r="H1107" i="12"/>
  <c r="G1107" i="12"/>
  <c r="E1107" i="12"/>
  <c r="C1107" i="12"/>
  <c r="B1107" i="12"/>
  <c r="A1107" i="12"/>
  <c r="H1106" i="12"/>
  <c r="G1106" i="12"/>
  <c r="E1106" i="12"/>
  <c r="C1106" i="12"/>
  <c r="B1106" i="12"/>
  <c r="A1106" i="12"/>
  <c r="H1105" i="12"/>
  <c r="G1105" i="12"/>
  <c r="E1105" i="12"/>
  <c r="C1105" i="12"/>
  <c r="B1105" i="12"/>
  <c r="A1105" i="12"/>
  <c r="H1104" i="12"/>
  <c r="G1104" i="12"/>
  <c r="E1104" i="12"/>
  <c r="C1104" i="12"/>
  <c r="B1104" i="12"/>
  <c r="A1104" i="12"/>
  <c r="H1103" i="12"/>
  <c r="G1103" i="12"/>
  <c r="E1103" i="12"/>
  <c r="C1103" i="12"/>
  <c r="B1103" i="12"/>
  <c r="A1103" i="12"/>
  <c r="H1102" i="12"/>
  <c r="G1102" i="12"/>
  <c r="E1102" i="12"/>
  <c r="C1102" i="12"/>
  <c r="B1102" i="12"/>
  <c r="A1102" i="12"/>
  <c r="H1101" i="12"/>
  <c r="G1101" i="12"/>
  <c r="E1101" i="12"/>
  <c r="C1101" i="12"/>
  <c r="B1101" i="12"/>
  <c r="A1101" i="12"/>
  <c r="H1100" i="12"/>
  <c r="G1100" i="12"/>
  <c r="E1100" i="12"/>
  <c r="C1100" i="12"/>
  <c r="B1100" i="12"/>
  <c r="A1100" i="12"/>
  <c r="H1099" i="12"/>
  <c r="G1099" i="12"/>
  <c r="E1099" i="12"/>
  <c r="C1099" i="12"/>
  <c r="B1099" i="12"/>
  <c r="A1099" i="12"/>
  <c r="H1098" i="12"/>
  <c r="G1098" i="12"/>
  <c r="E1098" i="12"/>
  <c r="C1098" i="12"/>
  <c r="B1098" i="12"/>
  <c r="A1098" i="12"/>
  <c r="H1097" i="12"/>
  <c r="G1097" i="12"/>
  <c r="E1097" i="12"/>
  <c r="C1097" i="12"/>
  <c r="B1097" i="12"/>
  <c r="A1097" i="12"/>
  <c r="H1096" i="12"/>
  <c r="G1096" i="12"/>
  <c r="E1096" i="12"/>
  <c r="C1096" i="12"/>
  <c r="B1096" i="12"/>
  <c r="A1096" i="12"/>
  <c r="H1095" i="12"/>
  <c r="G1095" i="12"/>
  <c r="E1095" i="12"/>
  <c r="C1095" i="12"/>
  <c r="B1095" i="12"/>
  <c r="A1095" i="12"/>
  <c r="H1094" i="12"/>
  <c r="G1094" i="12"/>
  <c r="E1094" i="12"/>
  <c r="C1094" i="12"/>
  <c r="B1094" i="12"/>
  <c r="A1094" i="12"/>
  <c r="H1093" i="12"/>
  <c r="G1093" i="12"/>
  <c r="E1093" i="12"/>
  <c r="C1093" i="12"/>
  <c r="B1093" i="12"/>
  <c r="A1093" i="12"/>
  <c r="H1092" i="12"/>
  <c r="G1092" i="12"/>
  <c r="E1092" i="12"/>
  <c r="C1092" i="12"/>
  <c r="B1092" i="12"/>
  <c r="A1092" i="12"/>
  <c r="H1091" i="12"/>
  <c r="G1091" i="12"/>
  <c r="E1091" i="12"/>
  <c r="C1091" i="12"/>
  <c r="B1091" i="12"/>
  <c r="A1091" i="12"/>
  <c r="H1090" i="12"/>
  <c r="G1090" i="12"/>
  <c r="E1090" i="12"/>
  <c r="C1090" i="12"/>
  <c r="B1090" i="12"/>
  <c r="A1090" i="12"/>
  <c r="H1089" i="12"/>
  <c r="G1089" i="12"/>
  <c r="E1089" i="12"/>
  <c r="C1089" i="12"/>
  <c r="B1089" i="12"/>
  <c r="A1089" i="12"/>
  <c r="H1088" i="12"/>
  <c r="G1088" i="12"/>
  <c r="E1088" i="12"/>
  <c r="C1088" i="12"/>
  <c r="B1088" i="12"/>
  <c r="A1088" i="12"/>
  <c r="H1087" i="12"/>
  <c r="G1087" i="12"/>
  <c r="E1087" i="12"/>
  <c r="C1087" i="12"/>
  <c r="B1087" i="12"/>
  <c r="A1087" i="12"/>
  <c r="H1086" i="12"/>
  <c r="G1086" i="12"/>
  <c r="E1086" i="12"/>
  <c r="C1086" i="12"/>
  <c r="B1086" i="12"/>
  <c r="A1086" i="12"/>
  <c r="H1085" i="12"/>
  <c r="G1085" i="12"/>
  <c r="E1085" i="12"/>
  <c r="C1085" i="12"/>
  <c r="B1085" i="12"/>
  <c r="A1085" i="12"/>
  <c r="H1084" i="12"/>
  <c r="G1084" i="12"/>
  <c r="E1084" i="12"/>
  <c r="C1084" i="12"/>
  <c r="B1084" i="12"/>
  <c r="A1084" i="12"/>
  <c r="H1083" i="12"/>
  <c r="G1083" i="12"/>
  <c r="E1083" i="12"/>
  <c r="C1083" i="12"/>
  <c r="B1083" i="12"/>
  <c r="A1083" i="12"/>
  <c r="H1082" i="12"/>
  <c r="G1082" i="12"/>
  <c r="E1082" i="12"/>
  <c r="C1082" i="12"/>
  <c r="B1082" i="12"/>
  <c r="A1082" i="12"/>
  <c r="H1081" i="12"/>
  <c r="G1081" i="12"/>
  <c r="E1081" i="12"/>
  <c r="C1081" i="12"/>
  <c r="B1081" i="12"/>
  <c r="A1081" i="12"/>
  <c r="H1080" i="12"/>
  <c r="G1080" i="12"/>
  <c r="E1080" i="12"/>
  <c r="C1080" i="12"/>
  <c r="B1080" i="12"/>
  <c r="A1080" i="12"/>
  <c r="H1079" i="12"/>
  <c r="G1079" i="12"/>
  <c r="E1079" i="12"/>
  <c r="C1079" i="12"/>
  <c r="B1079" i="12"/>
  <c r="A1079" i="12"/>
  <c r="H1078" i="12"/>
  <c r="G1078" i="12"/>
  <c r="E1078" i="12"/>
  <c r="C1078" i="12"/>
  <c r="B1078" i="12"/>
  <c r="A1078" i="12"/>
  <c r="H1077" i="12"/>
  <c r="G1077" i="12"/>
  <c r="E1077" i="12"/>
  <c r="C1077" i="12"/>
  <c r="B1077" i="12"/>
  <c r="A1077" i="12"/>
  <c r="H1076" i="12"/>
  <c r="G1076" i="12"/>
  <c r="E1076" i="12"/>
  <c r="C1076" i="12"/>
  <c r="B1076" i="12"/>
  <c r="A1076" i="12"/>
  <c r="H1075" i="12"/>
  <c r="G1075" i="12"/>
  <c r="E1075" i="12"/>
  <c r="C1075" i="12"/>
  <c r="B1075" i="12"/>
  <c r="A1075" i="12"/>
  <c r="H1074" i="12"/>
  <c r="G1074" i="12"/>
  <c r="E1074" i="12"/>
  <c r="C1074" i="12"/>
  <c r="B1074" i="12"/>
  <c r="A1074" i="12"/>
  <c r="H1073" i="12"/>
  <c r="G1073" i="12"/>
  <c r="E1073" i="12"/>
  <c r="C1073" i="12"/>
  <c r="B1073" i="12"/>
  <c r="A1073" i="12"/>
  <c r="H1072" i="12"/>
  <c r="G1072" i="12"/>
  <c r="E1072" i="12"/>
  <c r="C1072" i="12"/>
  <c r="B1072" i="12"/>
  <c r="A1072" i="12"/>
  <c r="H1071" i="12"/>
  <c r="G1071" i="12"/>
  <c r="E1071" i="12"/>
  <c r="C1071" i="12"/>
  <c r="B1071" i="12"/>
  <c r="A1071" i="12"/>
  <c r="H1070" i="12"/>
  <c r="G1070" i="12"/>
  <c r="E1070" i="12"/>
  <c r="C1070" i="12"/>
  <c r="B1070" i="12"/>
  <c r="A1070" i="12"/>
  <c r="H1069" i="12"/>
  <c r="G1069" i="12"/>
  <c r="E1069" i="12"/>
  <c r="C1069" i="12"/>
  <c r="B1069" i="12"/>
  <c r="A1069" i="12"/>
  <c r="H1068" i="12"/>
  <c r="G1068" i="12"/>
  <c r="E1068" i="12"/>
  <c r="C1068" i="12"/>
  <c r="B1068" i="12"/>
  <c r="A1068" i="12"/>
  <c r="H1067" i="12"/>
  <c r="G1067" i="12"/>
  <c r="E1067" i="12"/>
  <c r="C1067" i="12"/>
  <c r="B1067" i="12"/>
  <c r="A1067" i="12"/>
  <c r="H1066" i="12"/>
  <c r="G1066" i="12"/>
  <c r="E1066" i="12"/>
  <c r="C1066" i="12"/>
  <c r="B1066" i="12"/>
  <c r="A1066" i="12"/>
  <c r="H1065" i="12"/>
  <c r="G1065" i="12"/>
  <c r="E1065" i="12"/>
  <c r="C1065" i="12"/>
  <c r="B1065" i="12"/>
  <c r="A1065" i="12"/>
  <c r="H1064" i="12"/>
  <c r="G1064" i="12"/>
  <c r="E1064" i="12"/>
  <c r="C1064" i="12"/>
  <c r="B1064" i="12"/>
  <c r="A1064" i="12"/>
  <c r="H1063" i="12"/>
  <c r="G1063" i="12"/>
  <c r="E1063" i="12"/>
  <c r="C1063" i="12"/>
  <c r="B1063" i="12"/>
  <c r="A1063" i="12"/>
  <c r="H1062" i="12"/>
  <c r="G1062" i="12"/>
  <c r="E1062" i="12"/>
  <c r="C1062" i="12"/>
  <c r="B1062" i="12"/>
  <c r="A1062" i="12"/>
  <c r="H1061" i="12"/>
  <c r="G1061" i="12"/>
  <c r="E1061" i="12"/>
  <c r="C1061" i="12"/>
  <c r="B1061" i="12"/>
  <c r="A1061" i="12"/>
  <c r="H1060" i="12"/>
  <c r="G1060" i="12"/>
  <c r="E1060" i="12"/>
  <c r="C1060" i="12"/>
  <c r="B1060" i="12"/>
  <c r="A1060" i="12"/>
  <c r="H1059" i="12"/>
  <c r="G1059" i="12"/>
  <c r="E1059" i="12"/>
  <c r="C1059" i="12"/>
  <c r="B1059" i="12"/>
  <c r="A1059" i="12"/>
  <c r="H1058" i="12"/>
  <c r="G1058" i="12"/>
  <c r="E1058" i="12"/>
  <c r="C1058" i="12"/>
  <c r="B1058" i="12"/>
  <c r="A1058" i="12"/>
  <c r="H1057" i="12"/>
  <c r="G1057" i="12"/>
  <c r="E1057" i="12"/>
  <c r="C1057" i="12"/>
  <c r="B1057" i="12"/>
  <c r="A1057" i="12"/>
  <c r="H1056" i="12"/>
  <c r="G1056" i="12"/>
  <c r="E1056" i="12"/>
  <c r="C1056" i="12"/>
  <c r="B1056" i="12"/>
  <c r="A1056" i="12"/>
  <c r="H1055" i="12"/>
  <c r="G1055" i="12"/>
  <c r="E1055" i="12"/>
  <c r="C1055" i="12"/>
  <c r="B1055" i="12"/>
  <c r="A1055" i="12"/>
  <c r="H1054" i="12"/>
  <c r="G1054" i="12"/>
  <c r="E1054" i="12"/>
  <c r="C1054" i="12"/>
  <c r="B1054" i="12"/>
  <c r="A1054" i="12"/>
  <c r="H1053" i="12"/>
  <c r="G1053" i="12"/>
  <c r="E1053" i="12"/>
  <c r="C1053" i="12"/>
  <c r="B1053" i="12"/>
  <c r="A1053" i="12"/>
  <c r="H1052" i="12"/>
  <c r="G1052" i="12"/>
  <c r="E1052" i="12"/>
  <c r="C1052" i="12"/>
  <c r="B1052" i="12"/>
  <c r="A1052" i="12"/>
  <c r="H1051" i="12"/>
  <c r="G1051" i="12"/>
  <c r="E1051" i="12"/>
  <c r="C1051" i="12"/>
  <c r="B1051" i="12"/>
  <c r="A1051" i="12"/>
  <c r="H1050" i="12"/>
  <c r="G1050" i="12"/>
  <c r="E1050" i="12"/>
  <c r="C1050" i="12"/>
  <c r="B1050" i="12"/>
  <c r="A1050" i="12"/>
  <c r="H1049" i="12"/>
  <c r="G1049" i="12"/>
  <c r="E1049" i="12"/>
  <c r="C1049" i="12"/>
  <c r="B1049" i="12"/>
  <c r="A1049" i="12"/>
  <c r="H1048" i="12"/>
  <c r="G1048" i="12"/>
  <c r="E1048" i="12"/>
  <c r="C1048" i="12"/>
  <c r="B1048" i="12"/>
  <c r="A1048" i="12"/>
  <c r="H1047" i="12"/>
  <c r="G1047" i="12"/>
  <c r="E1047" i="12"/>
  <c r="C1047" i="12"/>
  <c r="B1047" i="12"/>
  <c r="A1047" i="12"/>
  <c r="H1046" i="12"/>
  <c r="G1046" i="12"/>
  <c r="E1046" i="12"/>
  <c r="C1046" i="12"/>
  <c r="B1046" i="12"/>
  <c r="A1046" i="12"/>
  <c r="H1045" i="12"/>
  <c r="G1045" i="12"/>
  <c r="E1045" i="12"/>
  <c r="C1045" i="12"/>
  <c r="B1045" i="12"/>
  <c r="A1045" i="12"/>
  <c r="H1044" i="12"/>
  <c r="G1044" i="12"/>
  <c r="E1044" i="12"/>
  <c r="C1044" i="12"/>
  <c r="B1044" i="12"/>
  <c r="A1044" i="12"/>
  <c r="H1043" i="12"/>
  <c r="G1043" i="12"/>
  <c r="E1043" i="12"/>
  <c r="C1043" i="12"/>
  <c r="B1043" i="12"/>
  <c r="A1043" i="12"/>
  <c r="H1042" i="12"/>
  <c r="G1042" i="12"/>
  <c r="E1042" i="12"/>
  <c r="C1042" i="12"/>
  <c r="B1042" i="12"/>
  <c r="A1042" i="12"/>
  <c r="H1041" i="12"/>
  <c r="G1041" i="12"/>
  <c r="E1041" i="12"/>
  <c r="C1041" i="12"/>
  <c r="B1041" i="12"/>
  <c r="A1041" i="12"/>
  <c r="H1040" i="12"/>
  <c r="G1040" i="12"/>
  <c r="E1040" i="12"/>
  <c r="C1040" i="12"/>
  <c r="B1040" i="12"/>
  <c r="A1040" i="12"/>
  <c r="H1039" i="12"/>
  <c r="G1039" i="12"/>
  <c r="E1039" i="12"/>
  <c r="C1039" i="12"/>
  <c r="B1039" i="12"/>
  <c r="A1039" i="12"/>
  <c r="H1038" i="12"/>
  <c r="G1038" i="12"/>
  <c r="E1038" i="12"/>
  <c r="C1038" i="12"/>
  <c r="B1038" i="12"/>
  <c r="A1038" i="12"/>
  <c r="H1037" i="12"/>
  <c r="G1037" i="12"/>
  <c r="E1037" i="12"/>
  <c r="C1037" i="12"/>
  <c r="B1037" i="12"/>
  <c r="A1037" i="12"/>
  <c r="H1036" i="12"/>
  <c r="G1036" i="12"/>
  <c r="E1036" i="12"/>
  <c r="C1036" i="12"/>
  <c r="B1036" i="12"/>
  <c r="A1036" i="12"/>
  <c r="H1035" i="12"/>
  <c r="G1035" i="12"/>
  <c r="E1035" i="12"/>
  <c r="C1035" i="12"/>
  <c r="B1035" i="12"/>
  <c r="A1035" i="12"/>
  <c r="H1034" i="12"/>
  <c r="G1034" i="12"/>
  <c r="E1034" i="12"/>
  <c r="C1034" i="12"/>
  <c r="B1034" i="12"/>
  <c r="A1034" i="12"/>
  <c r="H1033" i="12"/>
  <c r="G1033" i="12"/>
  <c r="E1033" i="12"/>
  <c r="C1033" i="12"/>
  <c r="B1033" i="12"/>
  <c r="A1033" i="12"/>
  <c r="H1032" i="12"/>
  <c r="G1032" i="12"/>
  <c r="E1032" i="12"/>
  <c r="C1032" i="12"/>
  <c r="B1032" i="12"/>
  <c r="A1032" i="12"/>
  <c r="H1031" i="12"/>
  <c r="G1031" i="12"/>
  <c r="E1031" i="12"/>
  <c r="C1031" i="12"/>
  <c r="B1031" i="12"/>
  <c r="A1031" i="12"/>
  <c r="H1030" i="12"/>
  <c r="G1030" i="12"/>
  <c r="E1030" i="12"/>
  <c r="C1030" i="12"/>
  <c r="B1030" i="12"/>
  <c r="A1030" i="12"/>
  <c r="H1029" i="12"/>
  <c r="G1029" i="12"/>
  <c r="E1029" i="12"/>
  <c r="C1029" i="12"/>
  <c r="B1029" i="12"/>
  <c r="A1029" i="12"/>
  <c r="H1028" i="12"/>
  <c r="G1028" i="12"/>
  <c r="E1028" i="12"/>
  <c r="C1028" i="12"/>
  <c r="B1028" i="12"/>
  <c r="A1028" i="12"/>
  <c r="H1027" i="12"/>
  <c r="G1027" i="12"/>
  <c r="E1027" i="12"/>
  <c r="C1027" i="12"/>
  <c r="B1027" i="12"/>
  <c r="A1027" i="12"/>
  <c r="H1026" i="12"/>
  <c r="G1026" i="12"/>
  <c r="E1026" i="12"/>
  <c r="C1026" i="12"/>
  <c r="B1026" i="12"/>
  <c r="A1026" i="12"/>
  <c r="H1025" i="12"/>
  <c r="G1025" i="12"/>
  <c r="E1025" i="12"/>
  <c r="C1025" i="12"/>
  <c r="B1025" i="12"/>
  <c r="A1025" i="12"/>
  <c r="H1024" i="12"/>
  <c r="G1024" i="12"/>
  <c r="E1024" i="12"/>
  <c r="C1024" i="12"/>
  <c r="B1024" i="12"/>
  <c r="A1024" i="12"/>
  <c r="H1023" i="12"/>
  <c r="G1023" i="12"/>
  <c r="E1023" i="12"/>
  <c r="C1023" i="12"/>
  <c r="B1023" i="12"/>
  <c r="A1023" i="12"/>
  <c r="H1022" i="12"/>
  <c r="G1022" i="12"/>
  <c r="E1022" i="12"/>
  <c r="C1022" i="12"/>
  <c r="B1022" i="12"/>
  <c r="A1022" i="12"/>
  <c r="H1021" i="12"/>
  <c r="G1021" i="12"/>
  <c r="E1021" i="12"/>
  <c r="C1021" i="12"/>
  <c r="B1021" i="12"/>
  <c r="A1021" i="12"/>
  <c r="H1020" i="12"/>
  <c r="G1020" i="12"/>
  <c r="E1020" i="12"/>
  <c r="C1020" i="12"/>
  <c r="B1020" i="12"/>
  <c r="A1020" i="12"/>
  <c r="H1019" i="12"/>
  <c r="G1019" i="12"/>
  <c r="E1019" i="12"/>
  <c r="C1019" i="12"/>
  <c r="B1019" i="12"/>
  <c r="A1019" i="12"/>
  <c r="H1018" i="12"/>
  <c r="G1018" i="12"/>
  <c r="E1018" i="12"/>
  <c r="C1018" i="12"/>
  <c r="B1018" i="12"/>
  <c r="A1018" i="12"/>
  <c r="H1017" i="12"/>
  <c r="G1017" i="12"/>
  <c r="E1017" i="12"/>
  <c r="C1017" i="12"/>
  <c r="B1017" i="12"/>
  <c r="A1017" i="12"/>
  <c r="H1016" i="12"/>
  <c r="G1016" i="12"/>
  <c r="E1016" i="12"/>
  <c r="C1016" i="12"/>
  <c r="B1016" i="12"/>
  <c r="A1016" i="12"/>
  <c r="H1015" i="12"/>
  <c r="G1015" i="12"/>
  <c r="E1015" i="12"/>
  <c r="C1015" i="12"/>
  <c r="B1015" i="12"/>
  <c r="A1015" i="12"/>
  <c r="H1014" i="12"/>
  <c r="G1014" i="12"/>
  <c r="E1014" i="12"/>
  <c r="C1014" i="12"/>
  <c r="B1014" i="12"/>
  <c r="A1014" i="12"/>
  <c r="H1013" i="12"/>
  <c r="G1013" i="12"/>
  <c r="E1013" i="12"/>
  <c r="C1013" i="12"/>
  <c r="B1013" i="12"/>
  <c r="A1013" i="12"/>
  <c r="H1012" i="12"/>
  <c r="G1012" i="12"/>
  <c r="E1012" i="12"/>
  <c r="C1012" i="12"/>
  <c r="B1012" i="12"/>
  <c r="A1012" i="12"/>
  <c r="H1011" i="12"/>
  <c r="G1011" i="12"/>
  <c r="E1011" i="12"/>
  <c r="C1011" i="12"/>
  <c r="B1011" i="12"/>
  <c r="A1011" i="12"/>
  <c r="H1010" i="12"/>
  <c r="G1010" i="12"/>
  <c r="E1010" i="12"/>
  <c r="C1010" i="12"/>
  <c r="B1010" i="12"/>
  <c r="A1010" i="12"/>
  <c r="H1009" i="12"/>
  <c r="G1009" i="12"/>
  <c r="E1009" i="12"/>
  <c r="C1009" i="12"/>
  <c r="B1009" i="12"/>
  <c r="A1009" i="12"/>
  <c r="H1008" i="12"/>
  <c r="G1008" i="12"/>
  <c r="E1008" i="12"/>
  <c r="C1008" i="12"/>
  <c r="B1008" i="12"/>
  <c r="A1008" i="12"/>
  <c r="H1007" i="12"/>
  <c r="G1007" i="12"/>
  <c r="E1007" i="12"/>
  <c r="C1007" i="12"/>
  <c r="B1007" i="12"/>
  <c r="A1007" i="12"/>
  <c r="H1006" i="12"/>
  <c r="G1006" i="12"/>
  <c r="E1006" i="12"/>
  <c r="C1006" i="12"/>
  <c r="B1006" i="12"/>
  <c r="A1006" i="12"/>
  <c r="H1005" i="12"/>
  <c r="G1005" i="12"/>
  <c r="E1005" i="12"/>
  <c r="C1005" i="12"/>
  <c r="B1005" i="12"/>
  <c r="A1005" i="12"/>
  <c r="H1004" i="12"/>
  <c r="G1004" i="12"/>
  <c r="E1004" i="12"/>
  <c r="C1004" i="12"/>
  <c r="B1004" i="12"/>
  <c r="A1004" i="12"/>
  <c r="H1003" i="12"/>
  <c r="G1003" i="12"/>
  <c r="E1003" i="12"/>
  <c r="C1003" i="12"/>
  <c r="B1003" i="12"/>
  <c r="A1003" i="12"/>
  <c r="H1002" i="12"/>
  <c r="G1002" i="12"/>
  <c r="E1002" i="12"/>
  <c r="C1002" i="12"/>
  <c r="B1002" i="12"/>
  <c r="A1002" i="12"/>
  <c r="H1001" i="12"/>
  <c r="G1001" i="12"/>
  <c r="E1001" i="12"/>
  <c r="C1001" i="12"/>
  <c r="B1001" i="12"/>
  <c r="A1001" i="12"/>
  <c r="H1000" i="12"/>
  <c r="G1000" i="12"/>
  <c r="E1000" i="12"/>
  <c r="C1000" i="12"/>
  <c r="B1000" i="12"/>
  <c r="A1000" i="12"/>
  <c r="H999" i="12"/>
  <c r="G999" i="12"/>
  <c r="E999" i="12"/>
  <c r="C999" i="12"/>
  <c r="B999" i="12"/>
  <c r="A999" i="12"/>
  <c r="H998" i="12"/>
  <c r="G998" i="12"/>
  <c r="E998" i="12"/>
  <c r="C998" i="12"/>
  <c r="B998" i="12"/>
  <c r="A998" i="12"/>
  <c r="H997" i="12"/>
  <c r="G997" i="12"/>
  <c r="E997" i="12"/>
  <c r="C997" i="12"/>
  <c r="B997" i="12"/>
  <c r="A997" i="12"/>
  <c r="H996" i="12"/>
  <c r="G996" i="12"/>
  <c r="E996" i="12"/>
  <c r="C996" i="12"/>
  <c r="B996" i="12"/>
  <c r="A996" i="12"/>
  <c r="H995" i="12"/>
  <c r="G995" i="12"/>
  <c r="E995" i="12"/>
  <c r="C995" i="12"/>
  <c r="B995" i="12"/>
  <c r="A995" i="12"/>
  <c r="H994" i="12"/>
  <c r="G994" i="12"/>
  <c r="E994" i="12"/>
  <c r="C994" i="12"/>
  <c r="B994" i="12"/>
  <c r="A994" i="12"/>
  <c r="H993" i="12"/>
  <c r="G993" i="12"/>
  <c r="E993" i="12"/>
  <c r="C993" i="12"/>
  <c r="B993" i="12"/>
  <c r="A993" i="12"/>
  <c r="H992" i="12"/>
  <c r="G992" i="12"/>
  <c r="E992" i="12"/>
  <c r="C992" i="12"/>
  <c r="B992" i="12"/>
  <c r="A992" i="12"/>
  <c r="H991" i="12"/>
  <c r="G991" i="12"/>
  <c r="E991" i="12"/>
  <c r="C991" i="12"/>
  <c r="B991" i="12"/>
  <c r="A991" i="12"/>
  <c r="H990" i="12"/>
  <c r="G990" i="12"/>
  <c r="E990" i="12"/>
  <c r="C990" i="12"/>
  <c r="B990" i="12"/>
  <c r="A990" i="12"/>
  <c r="H989" i="12"/>
  <c r="G989" i="12"/>
  <c r="E989" i="12"/>
  <c r="C989" i="12"/>
  <c r="B989" i="12"/>
  <c r="A989" i="12"/>
  <c r="H988" i="12"/>
  <c r="G988" i="12"/>
  <c r="E988" i="12"/>
  <c r="C988" i="12"/>
  <c r="B988" i="12"/>
  <c r="A988" i="12"/>
  <c r="H987" i="12"/>
  <c r="G987" i="12"/>
  <c r="E987" i="12"/>
  <c r="C987" i="12"/>
  <c r="B987" i="12"/>
  <c r="A987" i="12"/>
  <c r="H986" i="12"/>
  <c r="G986" i="12"/>
  <c r="E986" i="12"/>
  <c r="C986" i="12"/>
  <c r="B986" i="12"/>
  <c r="A986" i="12"/>
  <c r="H985" i="12"/>
  <c r="G985" i="12"/>
  <c r="E985" i="12"/>
  <c r="C985" i="12"/>
  <c r="B985" i="12"/>
  <c r="A985" i="12"/>
  <c r="H984" i="12"/>
  <c r="G984" i="12"/>
  <c r="E984" i="12"/>
  <c r="C984" i="12"/>
  <c r="B984" i="12"/>
  <c r="A984" i="12"/>
  <c r="H983" i="12"/>
  <c r="G983" i="12"/>
  <c r="E983" i="12"/>
  <c r="C983" i="12"/>
  <c r="B983" i="12"/>
  <c r="A983" i="12"/>
  <c r="H982" i="12"/>
  <c r="G982" i="12"/>
  <c r="E982" i="12"/>
  <c r="C982" i="12"/>
  <c r="B982" i="12"/>
  <c r="A982" i="12"/>
  <c r="H981" i="12"/>
  <c r="G981" i="12"/>
  <c r="E981" i="12"/>
  <c r="C981" i="12"/>
  <c r="B981" i="12"/>
  <c r="A981" i="12"/>
  <c r="H980" i="12"/>
  <c r="G980" i="12"/>
  <c r="E980" i="12"/>
  <c r="C980" i="12"/>
  <c r="B980" i="12"/>
  <c r="A980" i="12"/>
  <c r="H979" i="12"/>
  <c r="G979" i="12"/>
  <c r="E979" i="12"/>
  <c r="C979" i="12"/>
  <c r="B979" i="12"/>
  <c r="A979" i="12"/>
  <c r="H978" i="12"/>
  <c r="G978" i="12"/>
  <c r="E978" i="12"/>
  <c r="C978" i="12"/>
  <c r="B978" i="12"/>
  <c r="A978" i="12"/>
  <c r="H977" i="12"/>
  <c r="G977" i="12"/>
  <c r="E977" i="12"/>
  <c r="C977" i="12"/>
  <c r="B977" i="12"/>
  <c r="A977" i="12"/>
  <c r="H976" i="12"/>
  <c r="G976" i="12"/>
  <c r="E976" i="12"/>
  <c r="C976" i="12"/>
  <c r="B976" i="12"/>
  <c r="A976" i="12"/>
  <c r="H975" i="12"/>
  <c r="G975" i="12"/>
  <c r="E975" i="12"/>
  <c r="C975" i="12"/>
  <c r="B975" i="12"/>
  <c r="A975" i="12"/>
  <c r="H974" i="12"/>
  <c r="G974" i="12"/>
  <c r="E974" i="12"/>
  <c r="C974" i="12"/>
  <c r="B974" i="12"/>
  <c r="A974" i="12"/>
  <c r="H973" i="12"/>
  <c r="G973" i="12"/>
  <c r="E973" i="12"/>
  <c r="C973" i="12"/>
  <c r="B973" i="12"/>
  <c r="A973" i="12"/>
  <c r="H972" i="12"/>
  <c r="G972" i="12"/>
  <c r="E972" i="12"/>
  <c r="C972" i="12"/>
  <c r="B972" i="12"/>
  <c r="A972" i="12"/>
  <c r="H971" i="12"/>
  <c r="G971" i="12"/>
  <c r="E971" i="12"/>
  <c r="C971" i="12"/>
  <c r="B971" i="12"/>
  <c r="A971" i="12"/>
  <c r="H970" i="12"/>
  <c r="G970" i="12"/>
  <c r="E970" i="12"/>
  <c r="C970" i="12"/>
  <c r="B970" i="12"/>
  <c r="A970" i="12"/>
  <c r="H969" i="12"/>
  <c r="G969" i="12"/>
  <c r="E969" i="12"/>
  <c r="C969" i="12"/>
  <c r="B969" i="12"/>
  <c r="A969" i="12"/>
  <c r="H968" i="12"/>
  <c r="G968" i="12"/>
  <c r="E968" i="12"/>
  <c r="C968" i="12"/>
  <c r="B968" i="12"/>
  <c r="A968" i="12"/>
  <c r="H967" i="12"/>
  <c r="G967" i="12"/>
  <c r="E967" i="12"/>
  <c r="C967" i="12"/>
  <c r="B967" i="12"/>
  <c r="A967" i="12"/>
  <c r="H966" i="12"/>
  <c r="G966" i="12"/>
  <c r="E966" i="12"/>
  <c r="C966" i="12"/>
  <c r="B966" i="12"/>
  <c r="A966" i="12"/>
  <c r="H965" i="12"/>
  <c r="G965" i="12"/>
  <c r="E965" i="12"/>
  <c r="C965" i="12"/>
  <c r="B965" i="12"/>
  <c r="A965" i="12"/>
  <c r="H964" i="12"/>
  <c r="G964" i="12"/>
  <c r="E964" i="12"/>
  <c r="C964" i="12"/>
  <c r="B964" i="12"/>
  <c r="A964" i="12"/>
  <c r="H963" i="12"/>
  <c r="G963" i="12"/>
  <c r="E963" i="12"/>
  <c r="C963" i="12"/>
  <c r="B963" i="12"/>
  <c r="A963" i="12"/>
  <c r="H962" i="12"/>
  <c r="G962" i="12"/>
  <c r="E962" i="12"/>
  <c r="C962" i="12"/>
  <c r="B962" i="12"/>
  <c r="A962" i="12"/>
  <c r="H961" i="12"/>
  <c r="G961" i="12"/>
  <c r="E961" i="12"/>
  <c r="C961" i="12"/>
  <c r="B961" i="12"/>
  <c r="A961" i="12"/>
  <c r="H960" i="12"/>
  <c r="G960" i="12"/>
  <c r="E960" i="12"/>
  <c r="C960" i="12"/>
  <c r="B960" i="12"/>
  <c r="A960" i="12"/>
  <c r="H959" i="12"/>
  <c r="G959" i="12"/>
  <c r="E959" i="12"/>
  <c r="C959" i="12"/>
  <c r="B959" i="12"/>
  <c r="A959" i="12"/>
  <c r="H958" i="12"/>
  <c r="G958" i="12"/>
  <c r="E958" i="12"/>
  <c r="C958" i="12"/>
  <c r="B958" i="12"/>
  <c r="A958" i="12"/>
  <c r="H957" i="12"/>
  <c r="G957" i="12"/>
  <c r="E957" i="12"/>
  <c r="C957" i="12"/>
  <c r="B957" i="12"/>
  <c r="A957" i="12"/>
  <c r="H956" i="12"/>
  <c r="G956" i="12"/>
  <c r="E956" i="12"/>
  <c r="C956" i="12"/>
  <c r="B956" i="12"/>
  <c r="A956" i="12"/>
  <c r="H955" i="12"/>
  <c r="G955" i="12"/>
  <c r="E955" i="12"/>
  <c r="C955" i="12"/>
  <c r="B955" i="12"/>
  <c r="A955" i="12"/>
  <c r="H954" i="12"/>
  <c r="G954" i="12"/>
  <c r="E954" i="12"/>
  <c r="C954" i="12"/>
  <c r="B954" i="12"/>
  <c r="A954" i="12"/>
  <c r="H953" i="12"/>
  <c r="G953" i="12"/>
  <c r="E953" i="12"/>
  <c r="C953" i="12"/>
  <c r="B953" i="12"/>
  <c r="A953" i="12"/>
  <c r="H952" i="12"/>
  <c r="G952" i="12"/>
  <c r="E952" i="12"/>
  <c r="C952" i="12"/>
  <c r="B952" i="12"/>
  <c r="A952" i="12"/>
  <c r="H951" i="12"/>
  <c r="G951" i="12"/>
  <c r="E951" i="12"/>
  <c r="C951" i="12"/>
  <c r="B951" i="12"/>
  <c r="A951" i="12"/>
  <c r="H950" i="12"/>
  <c r="G950" i="12"/>
  <c r="E950" i="12"/>
  <c r="C950" i="12"/>
  <c r="B950" i="12"/>
  <c r="A950" i="12"/>
  <c r="H949" i="12"/>
  <c r="G949" i="12"/>
  <c r="E949" i="12"/>
  <c r="C949" i="12"/>
  <c r="B949" i="12"/>
  <c r="A949" i="12"/>
  <c r="H948" i="12"/>
  <c r="G948" i="12"/>
  <c r="E948" i="12"/>
  <c r="C948" i="12"/>
  <c r="B948" i="12"/>
  <c r="A948" i="12"/>
  <c r="H947" i="12"/>
  <c r="G947" i="12"/>
  <c r="E947" i="12"/>
  <c r="C947" i="12"/>
  <c r="B947" i="12"/>
  <c r="A947" i="12"/>
  <c r="H946" i="12"/>
  <c r="G946" i="12"/>
  <c r="E946" i="12"/>
  <c r="C946" i="12"/>
  <c r="B946" i="12"/>
  <c r="A946" i="12"/>
  <c r="H945" i="12"/>
  <c r="G945" i="12"/>
  <c r="E945" i="12"/>
  <c r="C945" i="12"/>
  <c r="B945" i="12"/>
  <c r="A945" i="12"/>
  <c r="H944" i="12"/>
  <c r="G944" i="12"/>
  <c r="E944" i="12"/>
  <c r="C944" i="12"/>
  <c r="B944" i="12"/>
  <c r="A944" i="12"/>
  <c r="H943" i="12"/>
  <c r="G943" i="12"/>
  <c r="E943" i="12"/>
  <c r="C943" i="12"/>
  <c r="B943" i="12"/>
  <c r="A943" i="12"/>
  <c r="H942" i="12"/>
  <c r="G942" i="12"/>
  <c r="E942" i="12"/>
  <c r="C942" i="12"/>
  <c r="B942" i="12"/>
  <c r="A942" i="12"/>
  <c r="H941" i="12"/>
  <c r="G941" i="12"/>
  <c r="E941" i="12"/>
  <c r="C941" i="12"/>
  <c r="B941" i="12"/>
  <c r="A941" i="12"/>
  <c r="H940" i="12"/>
  <c r="G940" i="12"/>
  <c r="E940" i="12"/>
  <c r="C940" i="12"/>
  <c r="B940" i="12"/>
  <c r="A940" i="12"/>
  <c r="H939" i="12"/>
  <c r="G939" i="12"/>
  <c r="E939" i="12"/>
  <c r="C939" i="12"/>
  <c r="B939" i="12"/>
  <c r="A939" i="12"/>
  <c r="H938" i="12"/>
  <c r="G938" i="12"/>
  <c r="E938" i="12"/>
  <c r="C938" i="12"/>
  <c r="B938" i="12"/>
  <c r="A938" i="12"/>
  <c r="H937" i="12"/>
  <c r="G937" i="12"/>
  <c r="E937" i="12"/>
  <c r="C937" i="12"/>
  <c r="B937" i="12"/>
  <c r="A937" i="12"/>
  <c r="H936" i="12"/>
  <c r="G936" i="12"/>
  <c r="E936" i="12"/>
  <c r="C936" i="12"/>
  <c r="B936" i="12"/>
  <c r="A936" i="12"/>
  <c r="H935" i="12"/>
  <c r="G935" i="12"/>
  <c r="E935" i="12"/>
  <c r="C935" i="12"/>
  <c r="B935" i="12"/>
  <c r="A935" i="12"/>
  <c r="H934" i="12"/>
  <c r="G934" i="12"/>
  <c r="E934" i="12"/>
  <c r="C934" i="12"/>
  <c r="B934" i="12"/>
  <c r="A934" i="12"/>
  <c r="H933" i="12"/>
  <c r="G933" i="12"/>
  <c r="E933" i="12"/>
  <c r="C933" i="12"/>
  <c r="B933" i="12"/>
  <c r="A933" i="12"/>
  <c r="H932" i="12"/>
  <c r="G932" i="12"/>
  <c r="E932" i="12"/>
  <c r="C932" i="12"/>
  <c r="B932" i="12"/>
  <c r="A932" i="12"/>
  <c r="H931" i="12"/>
  <c r="G931" i="12"/>
  <c r="E931" i="12"/>
  <c r="C931" i="12"/>
  <c r="B931" i="12"/>
  <c r="A931" i="12"/>
  <c r="H930" i="12"/>
  <c r="G930" i="12"/>
  <c r="E930" i="12"/>
  <c r="C930" i="12"/>
  <c r="B930" i="12"/>
  <c r="A930" i="12"/>
  <c r="H929" i="12"/>
  <c r="G929" i="12"/>
  <c r="E929" i="12"/>
  <c r="C929" i="12"/>
  <c r="B929" i="12"/>
  <c r="A929" i="12"/>
  <c r="H928" i="12"/>
  <c r="G928" i="12"/>
  <c r="E928" i="12"/>
  <c r="C928" i="12"/>
  <c r="B928" i="12"/>
  <c r="A928" i="12"/>
  <c r="H927" i="12"/>
  <c r="G927" i="12"/>
  <c r="E927" i="12"/>
  <c r="C927" i="12"/>
  <c r="B927" i="12"/>
  <c r="A927" i="12"/>
  <c r="H926" i="12"/>
  <c r="G926" i="12"/>
  <c r="E926" i="12"/>
  <c r="C926" i="12"/>
  <c r="B926" i="12"/>
  <c r="A926" i="12"/>
  <c r="H925" i="12"/>
  <c r="G925" i="12"/>
  <c r="E925" i="12"/>
  <c r="C925" i="12"/>
  <c r="B925" i="12"/>
  <c r="A925" i="12"/>
  <c r="H924" i="12"/>
  <c r="G924" i="12"/>
  <c r="E924" i="12"/>
  <c r="C924" i="12"/>
  <c r="B924" i="12"/>
  <c r="A924" i="12"/>
  <c r="H923" i="12"/>
  <c r="G923" i="12"/>
  <c r="E923" i="12"/>
  <c r="C923" i="12"/>
  <c r="B923" i="12"/>
  <c r="A923" i="12"/>
  <c r="H922" i="12"/>
  <c r="G922" i="12"/>
  <c r="E922" i="12"/>
  <c r="C922" i="12"/>
  <c r="B922" i="12"/>
  <c r="A922" i="12"/>
  <c r="H921" i="12"/>
  <c r="G921" i="12"/>
  <c r="E921" i="12"/>
  <c r="C921" i="12"/>
  <c r="B921" i="12"/>
  <c r="A921" i="12"/>
  <c r="H920" i="12"/>
  <c r="G920" i="12"/>
  <c r="E920" i="12"/>
  <c r="C920" i="12"/>
  <c r="B920" i="12"/>
  <c r="A920" i="12"/>
  <c r="H919" i="12"/>
  <c r="G919" i="12"/>
  <c r="E919" i="12"/>
  <c r="C919" i="12"/>
  <c r="B919" i="12"/>
  <c r="A919" i="12"/>
  <c r="H918" i="12"/>
  <c r="G918" i="12"/>
  <c r="E918" i="12"/>
  <c r="C918" i="12"/>
  <c r="B918" i="12"/>
  <c r="A918" i="12"/>
  <c r="H917" i="12"/>
  <c r="G917" i="12"/>
  <c r="E917" i="12"/>
  <c r="C917" i="12"/>
  <c r="B917" i="12"/>
  <c r="A917" i="12"/>
  <c r="H916" i="12"/>
  <c r="G916" i="12"/>
  <c r="E916" i="12"/>
  <c r="C916" i="12"/>
  <c r="B916" i="12"/>
  <c r="A916" i="12"/>
  <c r="H915" i="12"/>
  <c r="G915" i="12"/>
  <c r="E915" i="12"/>
  <c r="C915" i="12"/>
  <c r="B915" i="12"/>
  <c r="A915" i="12"/>
  <c r="H914" i="12"/>
  <c r="G914" i="12"/>
  <c r="E914" i="12"/>
  <c r="C914" i="12"/>
  <c r="B914" i="12"/>
  <c r="A914" i="12"/>
  <c r="H913" i="12"/>
  <c r="G913" i="12"/>
  <c r="E913" i="12"/>
  <c r="C913" i="12"/>
  <c r="B913" i="12"/>
  <c r="A913" i="12"/>
  <c r="H912" i="12"/>
  <c r="G912" i="12"/>
  <c r="E912" i="12"/>
  <c r="C912" i="12"/>
  <c r="B912" i="12"/>
  <c r="A912" i="12"/>
  <c r="H911" i="12"/>
  <c r="G911" i="12"/>
  <c r="E911" i="12"/>
  <c r="C911" i="12"/>
  <c r="B911" i="12"/>
  <c r="A911" i="12"/>
  <c r="H910" i="12"/>
  <c r="G910" i="12"/>
  <c r="E910" i="12"/>
  <c r="C910" i="12"/>
  <c r="B910" i="12"/>
  <c r="A910" i="12"/>
  <c r="H909" i="12"/>
  <c r="G909" i="12"/>
  <c r="E909" i="12"/>
  <c r="C909" i="12"/>
  <c r="B909" i="12"/>
  <c r="A909" i="12"/>
  <c r="H908" i="12"/>
  <c r="G908" i="12"/>
  <c r="E908" i="12"/>
  <c r="C908" i="12"/>
  <c r="B908" i="12"/>
  <c r="A908" i="12"/>
  <c r="H907" i="12"/>
  <c r="G907" i="12"/>
  <c r="E907" i="12"/>
  <c r="C907" i="12"/>
  <c r="B907" i="12"/>
  <c r="A907" i="12"/>
  <c r="H906" i="12"/>
  <c r="G906" i="12"/>
  <c r="E906" i="12"/>
  <c r="C906" i="12"/>
  <c r="B906" i="12"/>
  <c r="A906" i="12"/>
  <c r="H905" i="12"/>
  <c r="G905" i="12"/>
  <c r="E905" i="12"/>
  <c r="C905" i="12"/>
  <c r="B905" i="12"/>
  <c r="A905" i="12"/>
  <c r="H904" i="12"/>
  <c r="G904" i="12"/>
  <c r="E904" i="12"/>
  <c r="C904" i="12"/>
  <c r="B904" i="12"/>
  <c r="A904" i="12"/>
  <c r="H903" i="12"/>
  <c r="G903" i="12"/>
  <c r="E903" i="12"/>
  <c r="C903" i="12"/>
  <c r="B903" i="12"/>
  <c r="A903" i="12"/>
  <c r="H902" i="12"/>
  <c r="G902" i="12"/>
  <c r="E902" i="12"/>
  <c r="C902" i="12"/>
  <c r="B902" i="12"/>
  <c r="A902" i="12"/>
  <c r="H901" i="12"/>
  <c r="G901" i="12"/>
  <c r="E901" i="12"/>
  <c r="C901" i="12"/>
  <c r="B901" i="12"/>
  <c r="A901" i="12"/>
  <c r="H900" i="12"/>
  <c r="G900" i="12"/>
  <c r="E900" i="12"/>
  <c r="C900" i="12"/>
  <c r="B900" i="12"/>
  <c r="A900" i="12"/>
  <c r="H899" i="12"/>
  <c r="G899" i="12"/>
  <c r="E899" i="12"/>
  <c r="C899" i="12"/>
  <c r="B899" i="12"/>
  <c r="A899" i="12"/>
  <c r="H898" i="12"/>
  <c r="G898" i="12"/>
  <c r="E898" i="12"/>
  <c r="C898" i="12"/>
  <c r="B898" i="12"/>
  <c r="A898" i="12"/>
  <c r="H897" i="12"/>
  <c r="G897" i="12"/>
  <c r="E897" i="12"/>
  <c r="C897" i="12"/>
  <c r="B897" i="12"/>
  <c r="A897" i="12"/>
  <c r="H896" i="12"/>
  <c r="G896" i="12"/>
  <c r="E896" i="12"/>
  <c r="C896" i="12"/>
  <c r="B896" i="12"/>
  <c r="A896" i="12"/>
  <c r="H895" i="12"/>
  <c r="G895" i="12"/>
  <c r="E895" i="12"/>
  <c r="C895" i="12"/>
  <c r="B895" i="12"/>
  <c r="A895" i="12"/>
  <c r="H894" i="12"/>
  <c r="G894" i="12"/>
  <c r="E894" i="12"/>
  <c r="C894" i="12"/>
  <c r="B894" i="12"/>
  <c r="A894" i="12"/>
  <c r="H893" i="12"/>
  <c r="G893" i="12"/>
  <c r="E893" i="12"/>
  <c r="C893" i="12"/>
  <c r="B893" i="12"/>
  <c r="A893" i="12"/>
  <c r="H892" i="12"/>
  <c r="G892" i="12"/>
  <c r="E892" i="12"/>
  <c r="C892" i="12"/>
  <c r="B892" i="12"/>
  <c r="A892" i="12"/>
  <c r="H891" i="12"/>
  <c r="G891" i="12"/>
  <c r="E891" i="12"/>
  <c r="C891" i="12"/>
  <c r="B891" i="12"/>
  <c r="A891" i="12"/>
  <c r="H890" i="12"/>
  <c r="G890" i="12"/>
  <c r="E890" i="12"/>
  <c r="C890" i="12"/>
  <c r="B890" i="12"/>
  <c r="A890" i="12"/>
  <c r="H889" i="12"/>
  <c r="G889" i="12"/>
  <c r="E889" i="12"/>
  <c r="C889" i="12"/>
  <c r="B889" i="12"/>
  <c r="A889" i="12"/>
  <c r="H888" i="12"/>
  <c r="G888" i="12"/>
  <c r="E888" i="12"/>
  <c r="C888" i="12"/>
  <c r="B888" i="12"/>
  <c r="A888" i="12"/>
  <c r="H887" i="12"/>
  <c r="G887" i="12"/>
  <c r="E887" i="12"/>
  <c r="C887" i="12"/>
  <c r="B887" i="12"/>
  <c r="A887" i="12"/>
  <c r="H886" i="12"/>
  <c r="G886" i="12"/>
  <c r="E886" i="12"/>
  <c r="C886" i="12"/>
  <c r="B886" i="12"/>
  <c r="A886" i="12"/>
  <c r="H885" i="12"/>
  <c r="G885" i="12"/>
  <c r="E885" i="12"/>
  <c r="C885" i="12"/>
  <c r="B885" i="12"/>
  <c r="A885" i="12"/>
  <c r="H884" i="12"/>
  <c r="G884" i="12"/>
  <c r="E884" i="12"/>
  <c r="C884" i="12"/>
  <c r="B884" i="12"/>
  <c r="A884" i="12"/>
  <c r="H883" i="12"/>
  <c r="G883" i="12"/>
  <c r="E883" i="12"/>
  <c r="C883" i="12"/>
  <c r="B883" i="12"/>
  <c r="A883" i="12"/>
  <c r="H882" i="12"/>
  <c r="G882" i="12"/>
  <c r="E882" i="12"/>
  <c r="C882" i="12"/>
  <c r="B882" i="12"/>
  <c r="A882" i="12"/>
  <c r="H881" i="12"/>
  <c r="G881" i="12"/>
  <c r="E881" i="12"/>
  <c r="C881" i="12"/>
  <c r="B881" i="12"/>
  <c r="A881" i="12"/>
  <c r="H880" i="12"/>
  <c r="G880" i="12"/>
  <c r="E880" i="12"/>
  <c r="C880" i="12"/>
  <c r="B880" i="12"/>
  <c r="A880" i="12"/>
  <c r="H879" i="12"/>
  <c r="G879" i="12"/>
  <c r="E879" i="12"/>
  <c r="C879" i="12"/>
  <c r="B879" i="12"/>
  <c r="A879" i="12"/>
  <c r="H878" i="12"/>
  <c r="G878" i="12"/>
  <c r="E878" i="12"/>
  <c r="C878" i="12"/>
  <c r="B878" i="12"/>
  <c r="A878" i="12"/>
  <c r="H877" i="12"/>
  <c r="G877" i="12"/>
  <c r="E877" i="12"/>
  <c r="C877" i="12"/>
  <c r="B877" i="12"/>
  <c r="A877" i="12"/>
  <c r="H876" i="12"/>
  <c r="G876" i="12"/>
  <c r="E876" i="12"/>
  <c r="C876" i="12"/>
  <c r="B876" i="12"/>
  <c r="A876" i="12"/>
  <c r="H875" i="12"/>
  <c r="G875" i="12"/>
  <c r="E875" i="12"/>
  <c r="C875" i="12"/>
  <c r="B875" i="12"/>
  <c r="A875" i="12"/>
  <c r="H874" i="12"/>
  <c r="G874" i="12"/>
  <c r="E874" i="12"/>
  <c r="C874" i="12"/>
  <c r="B874" i="12"/>
  <c r="A874" i="12"/>
  <c r="H873" i="12"/>
  <c r="G873" i="12"/>
  <c r="E873" i="12"/>
  <c r="C873" i="12"/>
  <c r="B873" i="12"/>
  <c r="A873" i="12"/>
  <c r="H872" i="12"/>
  <c r="G872" i="12"/>
  <c r="E872" i="12"/>
  <c r="C872" i="12"/>
  <c r="B872" i="12"/>
  <c r="A872" i="12"/>
  <c r="H871" i="12"/>
  <c r="G871" i="12"/>
  <c r="E871" i="12"/>
  <c r="C871" i="12"/>
  <c r="B871" i="12"/>
  <c r="A871" i="12"/>
  <c r="H870" i="12"/>
  <c r="G870" i="12"/>
  <c r="E870" i="12"/>
  <c r="C870" i="12"/>
  <c r="B870" i="12"/>
  <c r="A870" i="12"/>
  <c r="H869" i="12"/>
  <c r="G869" i="12"/>
  <c r="E869" i="12"/>
  <c r="C869" i="12"/>
  <c r="B869" i="12"/>
  <c r="A869" i="12"/>
  <c r="H868" i="12"/>
  <c r="G868" i="12"/>
  <c r="E868" i="12"/>
  <c r="C868" i="12"/>
  <c r="B868" i="12"/>
  <c r="A868" i="12"/>
  <c r="H867" i="12"/>
  <c r="G867" i="12"/>
  <c r="E867" i="12"/>
  <c r="C867" i="12"/>
  <c r="B867" i="12"/>
  <c r="A867" i="12"/>
  <c r="H866" i="12"/>
  <c r="G866" i="12"/>
  <c r="E866" i="12"/>
  <c r="C866" i="12"/>
  <c r="B866" i="12"/>
  <c r="A866" i="12"/>
  <c r="H865" i="12"/>
  <c r="G865" i="12"/>
  <c r="E865" i="12"/>
  <c r="C865" i="12"/>
  <c r="B865" i="12"/>
  <c r="A865" i="12"/>
  <c r="H864" i="12"/>
  <c r="G864" i="12"/>
  <c r="E864" i="12"/>
  <c r="C864" i="12"/>
  <c r="B864" i="12"/>
  <c r="A864" i="12"/>
  <c r="H863" i="12"/>
  <c r="G863" i="12"/>
  <c r="E863" i="12"/>
  <c r="C863" i="12"/>
  <c r="B863" i="12"/>
  <c r="A863" i="12"/>
  <c r="H862" i="12"/>
  <c r="G862" i="12"/>
  <c r="E862" i="12"/>
  <c r="C862" i="12"/>
  <c r="B862" i="12"/>
  <c r="A862" i="12"/>
  <c r="H861" i="12"/>
  <c r="G861" i="12"/>
  <c r="E861" i="12"/>
  <c r="C861" i="12"/>
  <c r="B861" i="12"/>
  <c r="A861" i="12"/>
  <c r="H860" i="12"/>
  <c r="G860" i="12"/>
  <c r="E860" i="12"/>
  <c r="C860" i="12"/>
  <c r="B860" i="12"/>
  <c r="A860" i="12"/>
  <c r="H859" i="12"/>
  <c r="G859" i="12"/>
  <c r="E859" i="12"/>
  <c r="C859" i="12"/>
  <c r="B859" i="12"/>
  <c r="A859" i="12"/>
  <c r="H858" i="12"/>
  <c r="G858" i="12"/>
  <c r="E858" i="12"/>
  <c r="C858" i="12"/>
  <c r="B858" i="12"/>
  <c r="A858" i="12"/>
  <c r="H857" i="12"/>
  <c r="G857" i="12"/>
  <c r="E857" i="12"/>
  <c r="C857" i="12"/>
  <c r="B857" i="12"/>
  <c r="A857" i="12"/>
  <c r="H856" i="12"/>
  <c r="G856" i="12"/>
  <c r="E856" i="12"/>
  <c r="C856" i="12"/>
  <c r="B856" i="12"/>
  <c r="A856" i="12"/>
  <c r="H855" i="12"/>
  <c r="G855" i="12"/>
  <c r="E855" i="12"/>
  <c r="C855" i="12"/>
  <c r="B855" i="12"/>
  <c r="A855" i="12"/>
  <c r="H854" i="12"/>
  <c r="G854" i="12"/>
  <c r="E854" i="12"/>
  <c r="C854" i="12"/>
  <c r="B854" i="12"/>
  <c r="A854" i="12"/>
  <c r="H853" i="12"/>
  <c r="G853" i="12"/>
  <c r="E853" i="12"/>
  <c r="C853" i="12"/>
  <c r="B853" i="12"/>
  <c r="A853" i="12"/>
  <c r="H852" i="12"/>
  <c r="G852" i="12"/>
  <c r="E852" i="12"/>
  <c r="C852" i="12"/>
  <c r="B852" i="12"/>
  <c r="A852" i="12"/>
  <c r="H851" i="12"/>
  <c r="G851" i="12"/>
  <c r="E851" i="12"/>
  <c r="C851" i="12"/>
  <c r="B851" i="12"/>
  <c r="A851" i="12"/>
  <c r="H850" i="12"/>
  <c r="G850" i="12"/>
  <c r="E850" i="12"/>
  <c r="C850" i="12"/>
  <c r="B850" i="12"/>
  <c r="A850" i="12"/>
  <c r="H849" i="12"/>
  <c r="G849" i="12"/>
  <c r="E849" i="12"/>
  <c r="C849" i="12"/>
  <c r="B849" i="12"/>
  <c r="A849" i="12"/>
  <c r="H848" i="12"/>
  <c r="G848" i="12"/>
  <c r="E848" i="12"/>
  <c r="C848" i="12"/>
  <c r="B848" i="12"/>
  <c r="A848" i="12"/>
  <c r="H847" i="12"/>
  <c r="G847" i="12"/>
  <c r="E847" i="12"/>
  <c r="C847" i="12"/>
  <c r="B847" i="12"/>
  <c r="A847" i="12"/>
  <c r="H846" i="12"/>
  <c r="G846" i="12"/>
  <c r="E846" i="12"/>
  <c r="C846" i="12"/>
  <c r="B846" i="12"/>
  <c r="A846" i="12"/>
  <c r="H845" i="12"/>
  <c r="G845" i="12"/>
  <c r="E845" i="12"/>
  <c r="C845" i="12"/>
  <c r="B845" i="12"/>
  <c r="A845" i="12"/>
  <c r="H844" i="12"/>
  <c r="G844" i="12"/>
  <c r="E844" i="12"/>
  <c r="C844" i="12"/>
  <c r="B844" i="12"/>
  <c r="A844" i="12"/>
  <c r="H843" i="12"/>
  <c r="G843" i="12"/>
  <c r="E843" i="12"/>
  <c r="C843" i="12"/>
  <c r="B843" i="12"/>
  <c r="A843" i="12"/>
  <c r="H842" i="12"/>
  <c r="G842" i="12"/>
  <c r="E842" i="12"/>
  <c r="C842" i="12"/>
  <c r="B842" i="12"/>
  <c r="A842" i="12"/>
  <c r="H841" i="12"/>
  <c r="G841" i="12"/>
  <c r="E841" i="12"/>
  <c r="C841" i="12"/>
  <c r="B841" i="12"/>
  <c r="A841" i="12"/>
  <c r="H840" i="12"/>
  <c r="G840" i="12"/>
  <c r="E840" i="12"/>
  <c r="C840" i="12"/>
  <c r="B840" i="12"/>
  <c r="A840" i="12"/>
  <c r="H839" i="12"/>
  <c r="G839" i="12"/>
  <c r="E839" i="12"/>
  <c r="C839" i="12"/>
  <c r="B839" i="12"/>
  <c r="A839" i="12"/>
  <c r="H838" i="12"/>
  <c r="G838" i="12"/>
  <c r="E838" i="12"/>
  <c r="C838" i="12"/>
  <c r="B838" i="12"/>
  <c r="A838" i="12"/>
  <c r="H837" i="12"/>
  <c r="G837" i="12"/>
  <c r="E837" i="12"/>
  <c r="C837" i="12"/>
  <c r="B837" i="12"/>
  <c r="A837" i="12"/>
  <c r="H836" i="12"/>
  <c r="G836" i="12"/>
  <c r="E836" i="12"/>
  <c r="C836" i="12"/>
  <c r="B836" i="12"/>
  <c r="A836" i="12"/>
  <c r="H835" i="12"/>
  <c r="G835" i="12"/>
  <c r="E835" i="12"/>
  <c r="C835" i="12"/>
  <c r="B835" i="12"/>
  <c r="A835" i="12"/>
  <c r="H834" i="12"/>
  <c r="G834" i="12"/>
  <c r="E834" i="12"/>
  <c r="C834" i="12"/>
  <c r="B834" i="12"/>
  <c r="A834" i="12"/>
  <c r="H833" i="12"/>
  <c r="G833" i="12"/>
  <c r="E833" i="12"/>
  <c r="C833" i="12"/>
  <c r="B833" i="12"/>
  <c r="A833" i="12"/>
  <c r="H832" i="12"/>
  <c r="G832" i="12"/>
  <c r="E832" i="12"/>
  <c r="C832" i="12"/>
  <c r="B832" i="12"/>
  <c r="A832" i="12"/>
  <c r="H831" i="12"/>
  <c r="G831" i="12"/>
  <c r="E831" i="12"/>
  <c r="C831" i="12"/>
  <c r="B831" i="12"/>
  <c r="A831" i="12"/>
  <c r="H830" i="12"/>
  <c r="G830" i="12"/>
  <c r="E830" i="12"/>
  <c r="C830" i="12"/>
  <c r="B830" i="12"/>
  <c r="A830" i="12"/>
  <c r="H829" i="12"/>
  <c r="G829" i="12"/>
  <c r="E829" i="12"/>
  <c r="C829" i="12"/>
  <c r="B829" i="12"/>
  <c r="A829" i="12"/>
  <c r="H828" i="12"/>
  <c r="G828" i="12"/>
  <c r="E828" i="12"/>
  <c r="C828" i="12"/>
  <c r="B828" i="12"/>
  <c r="A828" i="12"/>
  <c r="H827" i="12"/>
  <c r="G827" i="12"/>
  <c r="E827" i="12"/>
  <c r="C827" i="12"/>
  <c r="B827" i="12"/>
  <c r="A827" i="12"/>
  <c r="H826" i="12"/>
  <c r="G826" i="12"/>
  <c r="E826" i="12"/>
  <c r="C826" i="12"/>
  <c r="B826" i="12"/>
  <c r="A826" i="12"/>
  <c r="H825" i="12"/>
  <c r="G825" i="12"/>
  <c r="E825" i="12"/>
  <c r="C825" i="12"/>
  <c r="B825" i="12"/>
  <c r="A825" i="12"/>
  <c r="H824" i="12"/>
  <c r="G824" i="12"/>
  <c r="E824" i="12"/>
  <c r="C824" i="12"/>
  <c r="B824" i="12"/>
  <c r="A824" i="12"/>
  <c r="H823" i="12"/>
  <c r="G823" i="12"/>
  <c r="E823" i="12"/>
  <c r="C823" i="12"/>
  <c r="B823" i="12"/>
  <c r="A823" i="12"/>
  <c r="H822" i="12"/>
  <c r="G822" i="12"/>
  <c r="E822" i="12"/>
  <c r="C822" i="12"/>
  <c r="B822" i="12"/>
  <c r="A822" i="12"/>
  <c r="H821" i="12"/>
  <c r="G821" i="12"/>
  <c r="E821" i="12"/>
  <c r="C821" i="12"/>
  <c r="B821" i="12"/>
  <c r="A821" i="12"/>
  <c r="H820" i="12"/>
  <c r="G820" i="12"/>
  <c r="E820" i="12"/>
  <c r="C820" i="12"/>
  <c r="B820" i="12"/>
  <c r="A820" i="12"/>
  <c r="H819" i="12"/>
  <c r="G819" i="12"/>
  <c r="E819" i="12"/>
  <c r="C819" i="12"/>
  <c r="B819" i="12"/>
  <c r="A819" i="12"/>
  <c r="H818" i="12"/>
  <c r="G818" i="12"/>
  <c r="E818" i="12"/>
  <c r="C818" i="12"/>
  <c r="B818" i="12"/>
  <c r="A818" i="12"/>
  <c r="H817" i="12"/>
  <c r="G817" i="12"/>
  <c r="E817" i="12"/>
  <c r="C817" i="12"/>
  <c r="B817" i="12"/>
  <c r="A817" i="12"/>
  <c r="H816" i="12"/>
  <c r="G816" i="12"/>
  <c r="E816" i="12"/>
  <c r="C816" i="12"/>
  <c r="B816" i="12"/>
  <c r="A816" i="12"/>
  <c r="H815" i="12"/>
  <c r="G815" i="12"/>
  <c r="E815" i="12"/>
  <c r="C815" i="12"/>
  <c r="B815" i="12"/>
  <c r="A815" i="12"/>
  <c r="H814" i="12"/>
  <c r="G814" i="12"/>
  <c r="E814" i="12"/>
  <c r="C814" i="12"/>
  <c r="B814" i="12"/>
  <c r="A814" i="12"/>
  <c r="H813" i="12"/>
  <c r="G813" i="12"/>
  <c r="E813" i="12"/>
  <c r="C813" i="12"/>
  <c r="B813" i="12"/>
  <c r="A813" i="12"/>
  <c r="H812" i="12"/>
  <c r="G812" i="12"/>
  <c r="E812" i="12"/>
  <c r="C812" i="12"/>
  <c r="B812" i="12"/>
  <c r="A812" i="12"/>
  <c r="H811" i="12"/>
  <c r="G811" i="12"/>
  <c r="E811" i="12"/>
  <c r="C811" i="12"/>
  <c r="B811" i="12"/>
  <c r="A811" i="12"/>
  <c r="H810" i="12"/>
  <c r="G810" i="12"/>
  <c r="E810" i="12"/>
  <c r="C810" i="12"/>
  <c r="B810" i="12"/>
  <c r="A810" i="12"/>
  <c r="H809" i="12"/>
  <c r="G809" i="12"/>
  <c r="E809" i="12"/>
  <c r="C809" i="12"/>
  <c r="B809" i="12"/>
  <c r="A809" i="12"/>
  <c r="H808" i="12"/>
  <c r="G808" i="12"/>
  <c r="E808" i="12"/>
  <c r="C808" i="12"/>
  <c r="B808" i="12"/>
  <c r="A808" i="12"/>
  <c r="H807" i="12"/>
  <c r="G807" i="12"/>
  <c r="E807" i="12"/>
  <c r="C807" i="12"/>
  <c r="B807" i="12"/>
  <c r="A807" i="12"/>
  <c r="H806" i="12"/>
  <c r="G806" i="12"/>
  <c r="E806" i="12"/>
  <c r="C806" i="12"/>
  <c r="B806" i="12"/>
  <c r="A806" i="12"/>
  <c r="H805" i="12"/>
  <c r="G805" i="12"/>
  <c r="E805" i="12"/>
  <c r="C805" i="12"/>
  <c r="B805" i="12"/>
  <c r="A805" i="12"/>
  <c r="H804" i="12"/>
  <c r="G804" i="12"/>
  <c r="E804" i="12"/>
  <c r="C804" i="12"/>
  <c r="B804" i="12"/>
  <c r="A804" i="12"/>
  <c r="H803" i="12"/>
  <c r="G803" i="12"/>
  <c r="E803" i="12"/>
  <c r="C803" i="12"/>
  <c r="B803" i="12"/>
  <c r="A803" i="12"/>
  <c r="H802" i="12"/>
  <c r="G802" i="12"/>
  <c r="E802" i="12"/>
  <c r="C802" i="12"/>
  <c r="B802" i="12"/>
  <c r="A802" i="12"/>
  <c r="H801" i="12"/>
  <c r="G801" i="12"/>
  <c r="E801" i="12"/>
  <c r="C801" i="12"/>
  <c r="B801" i="12"/>
  <c r="A801" i="12"/>
  <c r="H800" i="12"/>
  <c r="G800" i="12"/>
  <c r="E800" i="12"/>
  <c r="C800" i="12"/>
  <c r="B800" i="12"/>
  <c r="A800" i="12"/>
  <c r="H799" i="12"/>
  <c r="G799" i="12"/>
  <c r="E799" i="12"/>
  <c r="C799" i="12"/>
  <c r="B799" i="12"/>
  <c r="A799" i="12"/>
  <c r="H798" i="12"/>
  <c r="G798" i="12"/>
  <c r="E798" i="12"/>
  <c r="C798" i="12"/>
  <c r="B798" i="12"/>
  <c r="A798" i="12"/>
  <c r="H797" i="12"/>
  <c r="G797" i="12"/>
  <c r="E797" i="12"/>
  <c r="C797" i="12"/>
  <c r="B797" i="12"/>
  <c r="A797" i="12"/>
  <c r="H796" i="12"/>
  <c r="G796" i="12"/>
  <c r="E796" i="12"/>
  <c r="C796" i="12"/>
  <c r="B796" i="12"/>
  <c r="A796" i="12"/>
  <c r="H795" i="12"/>
  <c r="G795" i="12"/>
  <c r="E795" i="12"/>
  <c r="C795" i="12"/>
  <c r="B795" i="12"/>
  <c r="A795" i="12"/>
  <c r="H794" i="12"/>
  <c r="G794" i="12"/>
  <c r="E794" i="12"/>
  <c r="C794" i="12"/>
  <c r="B794" i="12"/>
  <c r="A794" i="12"/>
  <c r="H793" i="12"/>
  <c r="G793" i="12"/>
  <c r="E793" i="12"/>
  <c r="C793" i="12"/>
  <c r="B793" i="12"/>
  <c r="A793" i="12"/>
  <c r="H792" i="12"/>
  <c r="G792" i="12"/>
  <c r="E792" i="12"/>
  <c r="C792" i="12"/>
  <c r="B792" i="12"/>
  <c r="A792" i="12"/>
  <c r="H791" i="12"/>
  <c r="G791" i="12"/>
  <c r="E791" i="12"/>
  <c r="C791" i="12"/>
  <c r="B791" i="12"/>
  <c r="A791" i="12"/>
  <c r="H790" i="12"/>
  <c r="G790" i="12"/>
  <c r="E790" i="12"/>
  <c r="C790" i="12"/>
  <c r="B790" i="12"/>
  <c r="A790" i="12"/>
  <c r="H789" i="12"/>
  <c r="G789" i="12"/>
  <c r="E789" i="12"/>
  <c r="C789" i="12"/>
  <c r="B789" i="12"/>
  <c r="A789" i="12"/>
  <c r="H788" i="12"/>
  <c r="G788" i="12"/>
  <c r="E788" i="12"/>
  <c r="C788" i="12"/>
  <c r="B788" i="12"/>
  <c r="A788" i="12"/>
  <c r="H787" i="12"/>
  <c r="G787" i="12"/>
  <c r="E787" i="12"/>
  <c r="C787" i="12"/>
  <c r="B787" i="12"/>
  <c r="A787" i="12"/>
  <c r="H786" i="12"/>
  <c r="G786" i="12"/>
  <c r="E786" i="12"/>
  <c r="C786" i="12"/>
  <c r="B786" i="12"/>
  <c r="A786" i="12"/>
  <c r="H785" i="12"/>
  <c r="G785" i="12"/>
  <c r="E785" i="12"/>
  <c r="C785" i="12"/>
  <c r="B785" i="12"/>
  <c r="A785" i="12"/>
  <c r="H784" i="12"/>
  <c r="G784" i="12"/>
  <c r="E784" i="12"/>
  <c r="C784" i="12"/>
  <c r="B784" i="12"/>
  <c r="A784" i="12"/>
  <c r="H783" i="12"/>
  <c r="G783" i="12"/>
  <c r="E783" i="12"/>
  <c r="C783" i="12"/>
  <c r="B783" i="12"/>
  <c r="A783" i="12"/>
  <c r="H782" i="12"/>
  <c r="G782" i="12"/>
  <c r="E782" i="12"/>
  <c r="C782" i="12"/>
  <c r="B782" i="12"/>
  <c r="A782" i="12"/>
  <c r="H781" i="12"/>
  <c r="G781" i="12"/>
  <c r="E781" i="12"/>
  <c r="C781" i="12"/>
  <c r="B781" i="12"/>
  <c r="A781" i="12"/>
  <c r="H780" i="12"/>
  <c r="G780" i="12"/>
  <c r="E780" i="12"/>
  <c r="C780" i="12"/>
  <c r="B780" i="12"/>
  <c r="A780" i="12"/>
  <c r="H779" i="12"/>
  <c r="G779" i="12"/>
  <c r="E779" i="12"/>
  <c r="C779" i="12"/>
  <c r="B779" i="12"/>
  <c r="A779" i="12"/>
  <c r="H778" i="12"/>
  <c r="G778" i="12"/>
  <c r="E778" i="12"/>
  <c r="C778" i="12"/>
  <c r="B778" i="12"/>
  <c r="A778" i="12"/>
  <c r="H777" i="12"/>
  <c r="G777" i="12"/>
  <c r="E777" i="12"/>
  <c r="C777" i="12"/>
  <c r="B777" i="12"/>
  <c r="A777" i="12"/>
  <c r="H776" i="12"/>
  <c r="G776" i="12"/>
  <c r="E776" i="12"/>
  <c r="C776" i="12"/>
  <c r="B776" i="12"/>
  <c r="A776" i="12"/>
  <c r="H775" i="12"/>
  <c r="G775" i="12"/>
  <c r="E775" i="12"/>
  <c r="C775" i="12"/>
  <c r="B775" i="12"/>
  <c r="A775" i="12"/>
  <c r="H774" i="12"/>
  <c r="G774" i="12"/>
  <c r="E774" i="12"/>
  <c r="C774" i="12"/>
  <c r="B774" i="12"/>
  <c r="A774" i="12"/>
  <c r="H773" i="12"/>
  <c r="G773" i="12"/>
  <c r="E773" i="12"/>
  <c r="C773" i="12"/>
  <c r="B773" i="12"/>
  <c r="A773" i="12"/>
  <c r="H772" i="12"/>
  <c r="G772" i="12"/>
  <c r="E772" i="12"/>
  <c r="C772" i="12"/>
  <c r="B772" i="12"/>
  <c r="A772" i="12"/>
  <c r="H771" i="12"/>
  <c r="G771" i="12"/>
  <c r="E771" i="12"/>
  <c r="C771" i="12"/>
  <c r="B771" i="12"/>
  <c r="A771" i="12"/>
  <c r="H770" i="12"/>
  <c r="G770" i="12"/>
  <c r="E770" i="12"/>
  <c r="C770" i="12"/>
  <c r="B770" i="12"/>
  <c r="A770" i="12"/>
  <c r="H769" i="12"/>
  <c r="G769" i="12"/>
  <c r="E769" i="12"/>
  <c r="C769" i="12"/>
  <c r="B769" i="12"/>
  <c r="A769" i="12"/>
  <c r="H768" i="12"/>
  <c r="G768" i="12"/>
  <c r="E768" i="12"/>
  <c r="C768" i="12"/>
  <c r="B768" i="12"/>
  <c r="A768" i="12"/>
  <c r="H767" i="12"/>
  <c r="G767" i="12"/>
  <c r="E767" i="12"/>
  <c r="C767" i="12"/>
  <c r="B767" i="12"/>
  <c r="A767" i="12"/>
  <c r="H766" i="12"/>
  <c r="G766" i="12"/>
  <c r="E766" i="12"/>
  <c r="C766" i="12"/>
  <c r="B766" i="12"/>
  <c r="A766" i="12"/>
  <c r="H765" i="12"/>
  <c r="G765" i="12"/>
  <c r="E765" i="12"/>
  <c r="C765" i="12"/>
  <c r="B765" i="12"/>
  <c r="A765" i="12"/>
  <c r="H764" i="12"/>
  <c r="G764" i="12"/>
  <c r="E764" i="12"/>
  <c r="C764" i="12"/>
  <c r="B764" i="12"/>
  <c r="A764" i="12"/>
  <c r="H763" i="12"/>
  <c r="G763" i="12"/>
  <c r="E763" i="12"/>
  <c r="C763" i="12"/>
  <c r="B763" i="12"/>
  <c r="A763" i="12"/>
  <c r="H762" i="12"/>
  <c r="G762" i="12"/>
  <c r="E762" i="12"/>
  <c r="C762" i="12"/>
  <c r="B762" i="12"/>
  <c r="A762" i="12"/>
  <c r="H761" i="12"/>
  <c r="G761" i="12"/>
  <c r="E761" i="12"/>
  <c r="C761" i="12"/>
  <c r="B761" i="12"/>
  <c r="A761" i="12"/>
  <c r="H760" i="12"/>
  <c r="G760" i="12"/>
  <c r="E760" i="12"/>
  <c r="C760" i="12"/>
  <c r="B760" i="12"/>
  <c r="A760" i="12"/>
  <c r="H759" i="12"/>
  <c r="G759" i="12"/>
  <c r="E759" i="12"/>
  <c r="C759" i="12"/>
  <c r="B759" i="12"/>
  <c r="A759" i="12"/>
  <c r="H758" i="12"/>
  <c r="G758" i="12"/>
  <c r="E758" i="12"/>
  <c r="C758" i="12"/>
  <c r="B758" i="12"/>
  <c r="A758" i="12"/>
  <c r="H757" i="12"/>
  <c r="G757" i="12"/>
  <c r="E757" i="12"/>
  <c r="C757" i="12"/>
  <c r="B757" i="12"/>
  <c r="A757" i="12"/>
  <c r="H756" i="12"/>
  <c r="G756" i="12"/>
  <c r="E756" i="12"/>
  <c r="C756" i="12"/>
  <c r="B756" i="12"/>
  <c r="A756" i="12"/>
  <c r="H755" i="12"/>
  <c r="G755" i="12"/>
  <c r="E755" i="12"/>
  <c r="C755" i="12"/>
  <c r="B755" i="12"/>
  <c r="A755" i="12"/>
  <c r="H754" i="12"/>
  <c r="G754" i="12"/>
  <c r="E754" i="12"/>
  <c r="C754" i="12"/>
  <c r="B754" i="12"/>
  <c r="A754" i="12"/>
  <c r="H753" i="12"/>
  <c r="G753" i="12"/>
  <c r="E753" i="12"/>
  <c r="C753" i="12"/>
  <c r="B753" i="12"/>
  <c r="A753" i="12"/>
  <c r="H752" i="12"/>
  <c r="G752" i="12"/>
  <c r="E752" i="12"/>
  <c r="C752" i="12"/>
  <c r="B752" i="12"/>
  <c r="A752" i="12"/>
  <c r="H751" i="12"/>
  <c r="G751" i="12"/>
  <c r="E751" i="12"/>
  <c r="C751" i="12"/>
  <c r="B751" i="12"/>
  <c r="A751" i="12"/>
  <c r="H750" i="12"/>
  <c r="G750" i="12"/>
  <c r="E750" i="12"/>
  <c r="C750" i="12"/>
  <c r="B750" i="12"/>
  <c r="A750" i="12"/>
  <c r="H749" i="12"/>
  <c r="G749" i="12"/>
  <c r="E749" i="12"/>
  <c r="C749" i="12"/>
  <c r="B749" i="12"/>
  <c r="A749" i="12"/>
  <c r="H748" i="12"/>
  <c r="G748" i="12"/>
  <c r="E748" i="12"/>
  <c r="C748" i="12"/>
  <c r="B748" i="12"/>
  <c r="A748" i="12"/>
  <c r="H747" i="12"/>
  <c r="G747" i="12"/>
  <c r="E747" i="12"/>
  <c r="C747" i="12"/>
  <c r="B747" i="12"/>
  <c r="A747" i="12"/>
  <c r="H746" i="12"/>
  <c r="G746" i="12"/>
  <c r="E746" i="12"/>
  <c r="C746" i="12"/>
  <c r="B746" i="12"/>
  <c r="A746" i="12"/>
  <c r="H745" i="12"/>
  <c r="G745" i="12"/>
  <c r="E745" i="12"/>
  <c r="C745" i="12"/>
  <c r="B745" i="12"/>
  <c r="A745" i="12"/>
  <c r="H744" i="12"/>
  <c r="G744" i="12"/>
  <c r="E744" i="12"/>
  <c r="C744" i="12"/>
  <c r="B744" i="12"/>
  <c r="A744" i="12"/>
  <c r="H743" i="12"/>
  <c r="G743" i="12"/>
  <c r="E743" i="12"/>
  <c r="C743" i="12"/>
  <c r="B743" i="12"/>
  <c r="A743" i="12"/>
  <c r="H742" i="12"/>
  <c r="G742" i="12"/>
  <c r="E742" i="12"/>
  <c r="C742" i="12"/>
  <c r="B742" i="12"/>
  <c r="A742" i="12"/>
  <c r="H741" i="12"/>
  <c r="G741" i="12"/>
  <c r="E741" i="12"/>
  <c r="C741" i="12"/>
  <c r="B741" i="12"/>
  <c r="A741" i="12"/>
  <c r="H740" i="12"/>
  <c r="G740" i="12"/>
  <c r="E740" i="12"/>
  <c r="C740" i="12"/>
  <c r="B740" i="12"/>
  <c r="A740" i="12"/>
  <c r="H739" i="12"/>
  <c r="G739" i="12"/>
  <c r="E739" i="12"/>
  <c r="C739" i="12"/>
  <c r="B739" i="12"/>
  <c r="A739" i="12"/>
  <c r="H738" i="12"/>
  <c r="G738" i="12"/>
  <c r="E738" i="12"/>
  <c r="C738" i="12"/>
  <c r="B738" i="12"/>
  <c r="A738" i="12"/>
  <c r="H737" i="12"/>
  <c r="G737" i="12"/>
  <c r="E737" i="12"/>
  <c r="C737" i="12"/>
  <c r="B737" i="12"/>
  <c r="A737" i="12"/>
  <c r="H736" i="12"/>
  <c r="G736" i="12"/>
  <c r="E736" i="12"/>
  <c r="C736" i="12"/>
  <c r="B736" i="12"/>
  <c r="A736" i="12"/>
  <c r="H735" i="12"/>
  <c r="G735" i="12"/>
  <c r="E735" i="12"/>
  <c r="C735" i="12"/>
  <c r="B735" i="12"/>
  <c r="A735" i="12"/>
  <c r="H734" i="12"/>
  <c r="G734" i="12"/>
  <c r="E734" i="12"/>
  <c r="C734" i="12"/>
  <c r="B734" i="12"/>
  <c r="A734" i="12"/>
  <c r="H733" i="12"/>
  <c r="G733" i="12"/>
  <c r="E733" i="12"/>
  <c r="C733" i="12"/>
  <c r="B733" i="12"/>
  <c r="A733" i="12"/>
  <c r="H732" i="12"/>
  <c r="G732" i="12"/>
  <c r="E732" i="12"/>
  <c r="C732" i="12"/>
  <c r="B732" i="12"/>
  <c r="A732" i="12"/>
  <c r="H731" i="12"/>
  <c r="G731" i="12"/>
  <c r="E731" i="12"/>
  <c r="C731" i="12"/>
  <c r="B731" i="12"/>
  <c r="A731" i="12"/>
  <c r="H730" i="12"/>
  <c r="G730" i="12"/>
  <c r="E730" i="12"/>
  <c r="C730" i="12"/>
  <c r="B730" i="12"/>
  <c r="A730" i="12"/>
  <c r="H729" i="12"/>
  <c r="G729" i="12"/>
  <c r="E729" i="12"/>
  <c r="C729" i="12"/>
  <c r="B729" i="12"/>
  <c r="A729" i="12"/>
  <c r="H728" i="12"/>
  <c r="G728" i="12"/>
  <c r="E728" i="12"/>
  <c r="C728" i="12"/>
  <c r="B728" i="12"/>
  <c r="A728" i="12"/>
  <c r="H727" i="12"/>
  <c r="G727" i="12"/>
  <c r="E727" i="12"/>
  <c r="C727" i="12"/>
  <c r="B727" i="12"/>
  <c r="A727" i="12"/>
  <c r="H726" i="12"/>
  <c r="G726" i="12"/>
  <c r="E726" i="12"/>
  <c r="C726" i="12"/>
  <c r="B726" i="12"/>
  <c r="A726" i="12"/>
  <c r="H725" i="12"/>
  <c r="G725" i="12"/>
  <c r="E725" i="12"/>
  <c r="C725" i="12"/>
  <c r="B725" i="12"/>
  <c r="A725" i="12"/>
  <c r="H724" i="12"/>
  <c r="G724" i="12"/>
  <c r="E724" i="12"/>
  <c r="C724" i="12"/>
  <c r="B724" i="12"/>
  <c r="A724" i="12"/>
  <c r="H723" i="12"/>
  <c r="G723" i="12"/>
  <c r="E723" i="12"/>
  <c r="C723" i="12"/>
  <c r="B723" i="12"/>
  <c r="A723" i="12"/>
  <c r="H722" i="12"/>
  <c r="G722" i="12"/>
  <c r="E722" i="12"/>
  <c r="C722" i="12"/>
  <c r="B722" i="12"/>
  <c r="A722" i="12"/>
  <c r="H721" i="12"/>
  <c r="G721" i="12"/>
  <c r="E721" i="12"/>
  <c r="C721" i="12"/>
  <c r="B721" i="12"/>
  <c r="A721" i="12"/>
  <c r="H720" i="12"/>
  <c r="G720" i="12"/>
  <c r="E720" i="12"/>
  <c r="C720" i="12"/>
  <c r="B720" i="12"/>
  <c r="A720" i="12"/>
  <c r="H719" i="12"/>
  <c r="G719" i="12"/>
  <c r="E719" i="12"/>
  <c r="C719" i="12"/>
  <c r="B719" i="12"/>
  <c r="A719" i="12"/>
  <c r="H718" i="12"/>
  <c r="G718" i="12"/>
  <c r="E718" i="12"/>
  <c r="C718" i="12"/>
  <c r="B718" i="12"/>
  <c r="A718" i="12"/>
  <c r="H717" i="12"/>
  <c r="G717" i="12"/>
  <c r="E717" i="12"/>
  <c r="C717" i="12"/>
  <c r="B717" i="12"/>
  <c r="A717" i="12"/>
  <c r="H716" i="12"/>
  <c r="G716" i="12"/>
  <c r="E716" i="12"/>
  <c r="C716" i="12"/>
  <c r="B716" i="12"/>
  <c r="A716" i="12"/>
  <c r="H715" i="12"/>
  <c r="G715" i="12"/>
  <c r="E715" i="12"/>
  <c r="C715" i="12"/>
  <c r="B715" i="12"/>
  <c r="A715" i="12"/>
  <c r="H714" i="12"/>
  <c r="G714" i="12"/>
  <c r="E714" i="12"/>
  <c r="C714" i="12"/>
  <c r="B714" i="12"/>
  <c r="A714" i="12"/>
  <c r="H713" i="12"/>
  <c r="G713" i="12"/>
  <c r="E713" i="12"/>
  <c r="C713" i="12"/>
  <c r="B713" i="12"/>
  <c r="A713" i="12"/>
  <c r="H712" i="12"/>
  <c r="G712" i="12"/>
  <c r="E712" i="12"/>
  <c r="C712" i="12"/>
  <c r="B712" i="12"/>
  <c r="A712" i="12"/>
  <c r="H711" i="12"/>
  <c r="G711" i="12"/>
  <c r="E711" i="12"/>
  <c r="C711" i="12"/>
  <c r="B711" i="12"/>
  <c r="A711" i="12"/>
  <c r="H710" i="12"/>
  <c r="G710" i="12"/>
  <c r="E710" i="12"/>
  <c r="C710" i="12"/>
  <c r="B710" i="12"/>
  <c r="A710" i="12"/>
  <c r="H709" i="12"/>
  <c r="G709" i="12"/>
  <c r="E709" i="12"/>
  <c r="C709" i="12"/>
  <c r="B709" i="12"/>
  <c r="A709" i="12"/>
  <c r="H708" i="12"/>
  <c r="G708" i="12"/>
  <c r="E708" i="12"/>
  <c r="C708" i="12"/>
  <c r="B708" i="12"/>
  <c r="A708" i="12"/>
  <c r="H707" i="12"/>
  <c r="G707" i="12"/>
  <c r="E707" i="12"/>
  <c r="C707" i="12"/>
  <c r="B707" i="12"/>
  <c r="A707" i="12"/>
  <c r="H706" i="12"/>
  <c r="G706" i="12"/>
  <c r="E706" i="12"/>
  <c r="C706" i="12"/>
  <c r="B706" i="12"/>
  <c r="A706" i="12"/>
  <c r="H705" i="12"/>
  <c r="G705" i="12"/>
  <c r="E705" i="12"/>
  <c r="C705" i="12"/>
  <c r="B705" i="12"/>
  <c r="A705" i="12"/>
  <c r="H704" i="12"/>
  <c r="G704" i="12"/>
  <c r="E704" i="12"/>
  <c r="C704" i="12"/>
  <c r="B704" i="12"/>
  <c r="A704" i="12"/>
  <c r="H703" i="12"/>
  <c r="G703" i="12"/>
  <c r="E703" i="12"/>
  <c r="C703" i="12"/>
  <c r="B703" i="12"/>
  <c r="A703" i="12"/>
  <c r="H702" i="12"/>
  <c r="G702" i="12"/>
  <c r="E702" i="12"/>
  <c r="C702" i="12"/>
  <c r="B702" i="12"/>
  <c r="A702" i="12"/>
  <c r="H701" i="12"/>
  <c r="G701" i="12"/>
  <c r="E701" i="12"/>
  <c r="C701" i="12"/>
  <c r="B701" i="12"/>
  <c r="A701" i="12"/>
  <c r="H700" i="12"/>
  <c r="G700" i="12"/>
  <c r="E700" i="12"/>
  <c r="C700" i="12"/>
  <c r="B700" i="12"/>
  <c r="A700" i="12"/>
  <c r="H699" i="12"/>
  <c r="G699" i="12"/>
  <c r="E699" i="12"/>
  <c r="C699" i="12"/>
  <c r="B699" i="12"/>
  <c r="A699" i="12"/>
  <c r="H698" i="12"/>
  <c r="G698" i="12"/>
  <c r="E698" i="12"/>
  <c r="C698" i="12"/>
  <c r="B698" i="12"/>
  <c r="A698" i="12"/>
  <c r="H697" i="12"/>
  <c r="G697" i="12"/>
  <c r="E697" i="12"/>
  <c r="C697" i="12"/>
  <c r="B697" i="12"/>
  <c r="A697" i="12"/>
  <c r="H696" i="12"/>
  <c r="G696" i="12"/>
  <c r="E696" i="12"/>
  <c r="C696" i="12"/>
  <c r="B696" i="12"/>
  <c r="A696" i="12"/>
  <c r="H695" i="12"/>
  <c r="G695" i="12"/>
  <c r="E695" i="12"/>
  <c r="C695" i="12"/>
  <c r="B695" i="12"/>
  <c r="A695" i="12"/>
  <c r="H694" i="12"/>
  <c r="G694" i="12"/>
  <c r="E694" i="12"/>
  <c r="C694" i="12"/>
  <c r="B694" i="12"/>
  <c r="A694" i="12"/>
  <c r="H693" i="12"/>
  <c r="G693" i="12"/>
  <c r="E693" i="12"/>
  <c r="C693" i="12"/>
  <c r="B693" i="12"/>
  <c r="A693" i="12"/>
  <c r="H692" i="12"/>
  <c r="G692" i="12"/>
  <c r="E692" i="12"/>
  <c r="C692" i="12"/>
  <c r="B692" i="12"/>
  <c r="A692" i="12"/>
  <c r="H691" i="12"/>
  <c r="G691" i="12"/>
  <c r="E691" i="12"/>
  <c r="C691" i="12"/>
  <c r="B691" i="12"/>
  <c r="A691" i="12"/>
  <c r="H690" i="12"/>
  <c r="G690" i="12"/>
  <c r="E690" i="12"/>
  <c r="C690" i="12"/>
  <c r="B690" i="12"/>
  <c r="A690" i="12"/>
  <c r="H689" i="12"/>
  <c r="G689" i="12"/>
  <c r="E689" i="12"/>
  <c r="C689" i="12"/>
  <c r="B689" i="12"/>
  <c r="A689" i="12"/>
  <c r="H688" i="12"/>
  <c r="G688" i="12"/>
  <c r="E688" i="12"/>
  <c r="C688" i="12"/>
  <c r="B688" i="12"/>
  <c r="A688" i="12"/>
  <c r="H687" i="12"/>
  <c r="G687" i="12"/>
  <c r="E687" i="12"/>
  <c r="C687" i="12"/>
  <c r="B687" i="12"/>
  <c r="A687" i="12"/>
  <c r="H686" i="12"/>
  <c r="G686" i="12"/>
  <c r="E686" i="12"/>
  <c r="C686" i="12"/>
  <c r="B686" i="12"/>
  <c r="A686" i="12"/>
  <c r="H685" i="12"/>
  <c r="G685" i="12"/>
  <c r="E685" i="12"/>
  <c r="C685" i="12"/>
  <c r="B685" i="12"/>
  <c r="A685" i="12"/>
  <c r="H684" i="12"/>
  <c r="G684" i="12"/>
  <c r="E684" i="12"/>
  <c r="C684" i="12"/>
  <c r="B684" i="12"/>
  <c r="A684" i="12"/>
  <c r="H683" i="12"/>
  <c r="G683" i="12"/>
  <c r="E683" i="12"/>
  <c r="C683" i="12"/>
  <c r="B683" i="12"/>
  <c r="A683" i="12"/>
  <c r="H682" i="12"/>
  <c r="G682" i="12"/>
  <c r="E682" i="12"/>
  <c r="C682" i="12"/>
  <c r="B682" i="12"/>
  <c r="A682" i="12"/>
  <c r="H681" i="12"/>
  <c r="G681" i="12"/>
  <c r="E681" i="12"/>
  <c r="C681" i="12"/>
  <c r="B681" i="12"/>
  <c r="A681" i="12"/>
  <c r="H680" i="12"/>
  <c r="G680" i="12"/>
  <c r="E680" i="12"/>
  <c r="C680" i="12"/>
  <c r="B680" i="12"/>
  <c r="A680" i="12"/>
  <c r="H679" i="12"/>
  <c r="G679" i="12"/>
  <c r="E679" i="12"/>
  <c r="C679" i="12"/>
  <c r="B679" i="12"/>
  <c r="A679" i="12"/>
  <c r="H678" i="12"/>
  <c r="G678" i="12"/>
  <c r="E678" i="12"/>
  <c r="C678" i="12"/>
  <c r="B678" i="12"/>
  <c r="A678" i="12"/>
  <c r="H677" i="12"/>
  <c r="G677" i="12"/>
  <c r="E677" i="12"/>
  <c r="C677" i="12"/>
  <c r="B677" i="12"/>
  <c r="A677" i="12"/>
  <c r="H676" i="12"/>
  <c r="G676" i="12"/>
  <c r="E676" i="12"/>
  <c r="C676" i="12"/>
  <c r="B676" i="12"/>
  <c r="A676" i="12"/>
  <c r="H675" i="12"/>
  <c r="G675" i="12"/>
  <c r="E675" i="12"/>
  <c r="C675" i="12"/>
  <c r="B675" i="12"/>
  <c r="A675" i="12"/>
  <c r="H674" i="12"/>
  <c r="G674" i="12"/>
  <c r="E674" i="12"/>
  <c r="C674" i="12"/>
  <c r="B674" i="12"/>
  <c r="A674" i="12"/>
  <c r="H673" i="12"/>
  <c r="G673" i="12"/>
  <c r="E673" i="12"/>
  <c r="C673" i="12"/>
  <c r="B673" i="12"/>
  <c r="A673" i="12"/>
  <c r="H672" i="12"/>
  <c r="G672" i="12"/>
  <c r="E672" i="12"/>
  <c r="C672" i="12"/>
  <c r="B672" i="12"/>
  <c r="A672" i="12"/>
  <c r="H671" i="12"/>
  <c r="G671" i="12"/>
  <c r="E671" i="12"/>
  <c r="C671" i="12"/>
  <c r="B671" i="12"/>
  <c r="A671" i="12"/>
  <c r="H670" i="12"/>
  <c r="G670" i="12"/>
  <c r="E670" i="12"/>
  <c r="C670" i="12"/>
  <c r="B670" i="12"/>
  <c r="A670" i="12"/>
  <c r="H669" i="12"/>
  <c r="G669" i="12"/>
  <c r="E669" i="12"/>
  <c r="C669" i="12"/>
  <c r="B669" i="12"/>
  <c r="A669" i="12"/>
  <c r="H668" i="12"/>
  <c r="G668" i="12"/>
  <c r="E668" i="12"/>
  <c r="C668" i="12"/>
  <c r="B668" i="12"/>
  <c r="A668" i="12"/>
  <c r="H667" i="12"/>
  <c r="G667" i="12"/>
  <c r="E667" i="12"/>
  <c r="C667" i="12"/>
  <c r="B667" i="12"/>
  <c r="A667" i="12"/>
  <c r="H666" i="12"/>
  <c r="G666" i="12"/>
  <c r="E666" i="12"/>
  <c r="C666" i="12"/>
  <c r="B666" i="12"/>
  <c r="A666" i="12"/>
  <c r="H665" i="12"/>
  <c r="G665" i="12"/>
  <c r="E665" i="12"/>
  <c r="C665" i="12"/>
  <c r="B665" i="12"/>
  <c r="A665" i="12"/>
  <c r="H664" i="12"/>
  <c r="G664" i="12"/>
  <c r="E664" i="12"/>
  <c r="C664" i="12"/>
  <c r="B664" i="12"/>
  <c r="A664" i="12"/>
  <c r="H663" i="12"/>
  <c r="G663" i="12"/>
  <c r="E663" i="12"/>
  <c r="C663" i="12"/>
  <c r="B663" i="12"/>
  <c r="A663" i="12"/>
  <c r="H662" i="12"/>
  <c r="G662" i="12"/>
  <c r="E662" i="12"/>
  <c r="C662" i="12"/>
  <c r="B662" i="12"/>
  <c r="A662" i="12"/>
  <c r="H661" i="12"/>
  <c r="G661" i="12"/>
  <c r="E661" i="12"/>
  <c r="C661" i="12"/>
  <c r="B661" i="12"/>
  <c r="A661" i="12"/>
  <c r="H660" i="12"/>
  <c r="G660" i="12"/>
  <c r="E660" i="12"/>
  <c r="C660" i="12"/>
  <c r="B660" i="12"/>
  <c r="A660" i="12"/>
  <c r="H659" i="12"/>
  <c r="G659" i="12"/>
  <c r="E659" i="12"/>
  <c r="C659" i="12"/>
  <c r="B659" i="12"/>
  <c r="A659" i="12"/>
  <c r="H658" i="12"/>
  <c r="G658" i="12"/>
  <c r="E658" i="12"/>
  <c r="C658" i="12"/>
  <c r="B658" i="12"/>
  <c r="A658" i="12"/>
  <c r="H657" i="12"/>
  <c r="G657" i="12"/>
  <c r="E657" i="12"/>
  <c r="C657" i="12"/>
  <c r="B657" i="12"/>
  <c r="A657" i="12"/>
  <c r="H656" i="12"/>
  <c r="G656" i="12"/>
  <c r="E656" i="12"/>
  <c r="C656" i="12"/>
  <c r="B656" i="12"/>
  <c r="A656" i="12"/>
  <c r="H655" i="12"/>
  <c r="G655" i="12"/>
  <c r="E655" i="12"/>
  <c r="C655" i="12"/>
  <c r="B655" i="12"/>
  <c r="A655" i="12"/>
  <c r="H654" i="12"/>
  <c r="G654" i="12"/>
  <c r="E654" i="12"/>
  <c r="C654" i="12"/>
  <c r="B654" i="12"/>
  <c r="A654" i="12"/>
  <c r="H653" i="12"/>
  <c r="G653" i="12"/>
  <c r="E653" i="12"/>
  <c r="C653" i="12"/>
  <c r="B653" i="12"/>
  <c r="A653" i="12"/>
  <c r="H652" i="12"/>
  <c r="G652" i="12"/>
  <c r="E652" i="12"/>
  <c r="C652" i="12"/>
  <c r="B652" i="12"/>
  <c r="A652" i="12"/>
  <c r="H651" i="12"/>
  <c r="G651" i="12"/>
  <c r="E651" i="12"/>
  <c r="C651" i="12"/>
  <c r="B651" i="12"/>
  <c r="A651" i="12"/>
  <c r="H650" i="12"/>
  <c r="G650" i="12"/>
  <c r="E650" i="12"/>
  <c r="C650" i="12"/>
  <c r="B650" i="12"/>
  <c r="A650" i="12"/>
  <c r="H649" i="12"/>
  <c r="G649" i="12"/>
  <c r="E649" i="12"/>
  <c r="C649" i="12"/>
  <c r="B649" i="12"/>
  <c r="A649" i="12"/>
  <c r="H648" i="12"/>
  <c r="G648" i="12"/>
  <c r="E648" i="12"/>
  <c r="C648" i="12"/>
  <c r="B648" i="12"/>
  <c r="A648" i="12"/>
  <c r="H647" i="12"/>
  <c r="G647" i="12"/>
  <c r="E647" i="12"/>
  <c r="C647" i="12"/>
  <c r="B647" i="12"/>
  <c r="A647" i="12"/>
  <c r="H646" i="12"/>
  <c r="G646" i="12"/>
  <c r="E646" i="12"/>
  <c r="C646" i="12"/>
  <c r="B646" i="12"/>
  <c r="A646" i="12"/>
  <c r="H645" i="12"/>
  <c r="G645" i="12"/>
  <c r="E645" i="12"/>
  <c r="C645" i="12"/>
  <c r="B645" i="12"/>
  <c r="A645" i="12"/>
  <c r="H644" i="12"/>
  <c r="G644" i="12"/>
  <c r="E644" i="12"/>
  <c r="C644" i="12"/>
  <c r="B644" i="12"/>
  <c r="A644" i="12"/>
  <c r="H643" i="12"/>
  <c r="G643" i="12"/>
  <c r="E643" i="12"/>
  <c r="C643" i="12"/>
  <c r="B643" i="12"/>
  <c r="A643" i="12"/>
  <c r="H642" i="12"/>
  <c r="G642" i="12"/>
  <c r="E642" i="12"/>
  <c r="C642" i="12"/>
  <c r="B642" i="12"/>
  <c r="A642" i="12"/>
  <c r="H641" i="12"/>
  <c r="G641" i="12"/>
  <c r="E641" i="12"/>
  <c r="C641" i="12"/>
  <c r="B641" i="12"/>
  <c r="A641" i="12"/>
  <c r="H640" i="12"/>
  <c r="G640" i="12"/>
  <c r="E640" i="12"/>
  <c r="C640" i="12"/>
  <c r="B640" i="12"/>
  <c r="A640" i="12"/>
  <c r="H639" i="12"/>
  <c r="G639" i="12"/>
  <c r="E639" i="12"/>
  <c r="C639" i="12"/>
  <c r="B639" i="12"/>
  <c r="A639" i="12"/>
  <c r="H638" i="12"/>
  <c r="G638" i="12"/>
  <c r="E638" i="12"/>
  <c r="C638" i="12"/>
  <c r="B638" i="12"/>
  <c r="A638" i="12"/>
  <c r="H637" i="12"/>
  <c r="G637" i="12"/>
  <c r="E637" i="12"/>
  <c r="C637" i="12"/>
  <c r="B637" i="12"/>
  <c r="A637" i="12"/>
  <c r="H636" i="12"/>
  <c r="G636" i="12"/>
  <c r="E636" i="12"/>
  <c r="C636" i="12"/>
  <c r="B636" i="12"/>
  <c r="A636" i="12"/>
  <c r="H635" i="12"/>
  <c r="G635" i="12"/>
  <c r="E635" i="12"/>
  <c r="C635" i="12"/>
  <c r="B635" i="12"/>
  <c r="A635" i="12"/>
  <c r="H634" i="12"/>
  <c r="G634" i="12"/>
  <c r="E634" i="12"/>
  <c r="C634" i="12"/>
  <c r="B634" i="12"/>
  <c r="A634" i="12"/>
  <c r="H633" i="12"/>
  <c r="G633" i="12"/>
  <c r="E633" i="12"/>
  <c r="C633" i="12"/>
  <c r="B633" i="12"/>
  <c r="A633" i="12"/>
  <c r="H632" i="12"/>
  <c r="G632" i="12"/>
  <c r="E632" i="12"/>
  <c r="C632" i="12"/>
  <c r="B632" i="12"/>
  <c r="A632" i="12"/>
  <c r="H631" i="12"/>
  <c r="G631" i="12"/>
  <c r="E631" i="12"/>
  <c r="C631" i="12"/>
  <c r="B631" i="12"/>
  <c r="A631" i="12"/>
  <c r="H630" i="12"/>
  <c r="G630" i="12"/>
  <c r="E630" i="12"/>
  <c r="C630" i="12"/>
  <c r="B630" i="12"/>
  <c r="A630" i="12"/>
  <c r="H629" i="12"/>
  <c r="G629" i="12"/>
  <c r="E629" i="12"/>
  <c r="C629" i="12"/>
  <c r="B629" i="12"/>
  <c r="A629" i="12"/>
  <c r="H628" i="12"/>
  <c r="G628" i="12"/>
  <c r="E628" i="12"/>
  <c r="C628" i="12"/>
  <c r="B628" i="12"/>
  <c r="A628" i="12"/>
  <c r="H627" i="12"/>
  <c r="G627" i="12"/>
  <c r="E627" i="12"/>
  <c r="C627" i="12"/>
  <c r="B627" i="12"/>
  <c r="A627" i="12"/>
  <c r="H626" i="12"/>
  <c r="G626" i="12"/>
  <c r="E626" i="12"/>
  <c r="C626" i="12"/>
  <c r="B626" i="12"/>
  <c r="A626" i="12"/>
  <c r="H625" i="12"/>
  <c r="G625" i="12"/>
  <c r="E625" i="12"/>
  <c r="C625" i="12"/>
  <c r="B625" i="12"/>
  <c r="A625" i="12"/>
  <c r="H624" i="12"/>
  <c r="G624" i="12"/>
  <c r="E624" i="12"/>
  <c r="C624" i="12"/>
  <c r="B624" i="12"/>
  <c r="A624" i="12"/>
  <c r="H623" i="12"/>
  <c r="G623" i="12"/>
  <c r="E623" i="12"/>
  <c r="C623" i="12"/>
  <c r="B623" i="12"/>
  <c r="A623" i="12"/>
  <c r="H622" i="12"/>
  <c r="G622" i="12"/>
  <c r="E622" i="12"/>
  <c r="C622" i="12"/>
  <c r="B622" i="12"/>
  <c r="A622" i="12"/>
  <c r="H621" i="12"/>
  <c r="G621" i="12"/>
  <c r="E621" i="12"/>
  <c r="C621" i="12"/>
  <c r="B621" i="12"/>
  <c r="A621" i="12"/>
  <c r="H620" i="12"/>
  <c r="G620" i="12"/>
  <c r="E620" i="12"/>
  <c r="C620" i="12"/>
  <c r="B620" i="12"/>
  <c r="A620" i="12"/>
  <c r="H619" i="12"/>
  <c r="G619" i="12"/>
  <c r="E619" i="12"/>
  <c r="C619" i="12"/>
  <c r="B619" i="12"/>
  <c r="A619" i="12"/>
  <c r="H618" i="12"/>
  <c r="G618" i="12"/>
  <c r="E618" i="12"/>
  <c r="C618" i="12"/>
  <c r="B618" i="12"/>
  <c r="A618" i="12"/>
  <c r="H617" i="12"/>
  <c r="G617" i="12"/>
  <c r="E617" i="12"/>
  <c r="C617" i="12"/>
  <c r="B617" i="12"/>
  <c r="A617" i="12"/>
  <c r="H616" i="12"/>
  <c r="G616" i="12"/>
  <c r="E616" i="12"/>
  <c r="C616" i="12"/>
  <c r="B616" i="12"/>
  <c r="A616" i="12"/>
  <c r="H615" i="12"/>
  <c r="G615" i="12"/>
  <c r="E615" i="12"/>
  <c r="C615" i="12"/>
  <c r="B615" i="12"/>
  <c r="A615" i="12"/>
  <c r="H614" i="12"/>
  <c r="G614" i="12"/>
  <c r="E614" i="12"/>
  <c r="C614" i="12"/>
  <c r="B614" i="12"/>
  <c r="A614" i="12"/>
  <c r="H613" i="12"/>
  <c r="G613" i="12"/>
  <c r="E613" i="12"/>
  <c r="C613" i="12"/>
  <c r="B613" i="12"/>
  <c r="A613" i="12"/>
  <c r="H612" i="12"/>
  <c r="G612" i="12"/>
  <c r="E612" i="12"/>
  <c r="C612" i="12"/>
  <c r="B612" i="12"/>
  <c r="A612" i="12"/>
  <c r="H611" i="12"/>
  <c r="G611" i="12"/>
  <c r="E611" i="12"/>
  <c r="C611" i="12"/>
  <c r="B611" i="12"/>
  <c r="A611" i="12"/>
  <c r="H610" i="12"/>
  <c r="G610" i="12"/>
  <c r="E610" i="12"/>
  <c r="C610" i="12"/>
  <c r="B610" i="12"/>
  <c r="A610" i="12"/>
  <c r="H609" i="12"/>
  <c r="G609" i="12"/>
  <c r="E609" i="12"/>
  <c r="C609" i="12"/>
  <c r="B609" i="12"/>
  <c r="A609" i="12"/>
  <c r="H608" i="12"/>
  <c r="G608" i="12"/>
  <c r="E608" i="12"/>
  <c r="C608" i="12"/>
  <c r="B608" i="12"/>
  <c r="A608" i="12"/>
  <c r="H607" i="12"/>
  <c r="G607" i="12"/>
  <c r="E607" i="12"/>
  <c r="C607" i="12"/>
  <c r="B607" i="12"/>
  <c r="A607" i="12"/>
  <c r="H606" i="12"/>
  <c r="G606" i="12"/>
  <c r="E606" i="12"/>
  <c r="C606" i="12"/>
  <c r="B606" i="12"/>
  <c r="A606" i="12"/>
  <c r="H605" i="12"/>
  <c r="G605" i="12"/>
  <c r="E605" i="12"/>
  <c r="C605" i="12"/>
  <c r="B605" i="12"/>
  <c r="A605" i="12"/>
  <c r="H604" i="12"/>
  <c r="G604" i="12"/>
  <c r="E604" i="12"/>
  <c r="C604" i="12"/>
  <c r="B604" i="12"/>
  <c r="A604" i="12"/>
  <c r="H603" i="12"/>
  <c r="G603" i="12"/>
  <c r="E603" i="12"/>
  <c r="C603" i="12"/>
  <c r="B603" i="12"/>
  <c r="A603" i="12"/>
  <c r="H602" i="12"/>
  <c r="G602" i="12"/>
  <c r="E602" i="12"/>
  <c r="C602" i="12"/>
  <c r="B602" i="12"/>
  <c r="A602" i="12"/>
  <c r="H601" i="12"/>
  <c r="G601" i="12"/>
  <c r="E601" i="12"/>
  <c r="C601" i="12"/>
  <c r="B601" i="12"/>
  <c r="A601" i="12"/>
  <c r="H600" i="12"/>
  <c r="G600" i="12"/>
  <c r="E600" i="12"/>
  <c r="C600" i="12"/>
  <c r="B600" i="12"/>
  <c r="A600" i="12"/>
  <c r="H599" i="12"/>
  <c r="G599" i="12"/>
  <c r="E599" i="12"/>
  <c r="C599" i="12"/>
  <c r="B599" i="12"/>
  <c r="A599" i="12"/>
  <c r="H598" i="12"/>
  <c r="G598" i="12"/>
  <c r="E598" i="12"/>
  <c r="C598" i="12"/>
  <c r="B598" i="12"/>
  <c r="A598" i="12"/>
  <c r="H597" i="12"/>
  <c r="G597" i="12"/>
  <c r="E597" i="12"/>
  <c r="C597" i="12"/>
  <c r="B597" i="12"/>
  <c r="A597" i="12"/>
  <c r="H596" i="12"/>
  <c r="G596" i="12"/>
  <c r="E596" i="12"/>
  <c r="C596" i="12"/>
  <c r="B596" i="12"/>
  <c r="A596" i="12"/>
  <c r="H595" i="12"/>
  <c r="G595" i="12"/>
  <c r="E595" i="12"/>
  <c r="C595" i="12"/>
  <c r="B595" i="12"/>
  <c r="A595" i="12"/>
  <c r="H594" i="12"/>
  <c r="G594" i="12"/>
  <c r="E594" i="12"/>
  <c r="C594" i="12"/>
  <c r="B594" i="12"/>
  <c r="A594" i="12"/>
  <c r="H593" i="12"/>
  <c r="G593" i="12"/>
  <c r="E593" i="12"/>
  <c r="C593" i="12"/>
  <c r="B593" i="12"/>
  <c r="A593" i="12"/>
  <c r="H592" i="12"/>
  <c r="G592" i="12"/>
  <c r="E592" i="12"/>
  <c r="C592" i="12"/>
  <c r="B592" i="12"/>
  <c r="A592" i="12"/>
  <c r="H591" i="12"/>
  <c r="G591" i="12"/>
  <c r="E591" i="12"/>
  <c r="C591" i="12"/>
  <c r="B591" i="12"/>
  <c r="A591" i="12"/>
  <c r="H590" i="12"/>
  <c r="G590" i="12"/>
  <c r="E590" i="12"/>
  <c r="C590" i="12"/>
  <c r="B590" i="12"/>
  <c r="A590" i="12"/>
  <c r="H589" i="12"/>
  <c r="G589" i="12"/>
  <c r="E589" i="12"/>
  <c r="C589" i="12"/>
  <c r="B589" i="12"/>
  <c r="A589" i="12"/>
  <c r="H588" i="12"/>
  <c r="G588" i="12"/>
  <c r="E588" i="12"/>
  <c r="C588" i="12"/>
  <c r="B588" i="12"/>
  <c r="A588" i="12"/>
  <c r="H587" i="12"/>
  <c r="G587" i="12"/>
  <c r="E587" i="12"/>
  <c r="C587" i="12"/>
  <c r="B587" i="12"/>
  <c r="A587" i="12"/>
  <c r="H586" i="12"/>
  <c r="G586" i="12"/>
  <c r="E586" i="12"/>
  <c r="C586" i="12"/>
  <c r="B586" i="12"/>
  <c r="A586" i="12"/>
  <c r="H585" i="12"/>
  <c r="G585" i="12"/>
  <c r="E585" i="12"/>
  <c r="C585" i="12"/>
  <c r="B585" i="12"/>
  <c r="A585" i="12"/>
  <c r="H584" i="12"/>
  <c r="G584" i="12"/>
  <c r="E584" i="12"/>
  <c r="C584" i="12"/>
  <c r="B584" i="12"/>
  <c r="A584" i="12"/>
  <c r="H583" i="12"/>
  <c r="G583" i="12"/>
  <c r="E583" i="12"/>
  <c r="C583" i="12"/>
  <c r="B583" i="12"/>
  <c r="A583" i="12"/>
  <c r="H582" i="12"/>
  <c r="G582" i="12"/>
  <c r="E582" i="12"/>
  <c r="C582" i="12"/>
  <c r="B582" i="12"/>
  <c r="A582" i="12"/>
  <c r="H581" i="12"/>
  <c r="G581" i="12"/>
  <c r="E581" i="12"/>
  <c r="C581" i="12"/>
  <c r="B581" i="12"/>
  <c r="A581" i="12"/>
  <c r="H580" i="12"/>
  <c r="G580" i="12"/>
  <c r="E580" i="12"/>
  <c r="C580" i="12"/>
  <c r="B580" i="12"/>
  <c r="A580" i="12"/>
  <c r="H579" i="12"/>
  <c r="G579" i="12"/>
  <c r="E579" i="12"/>
  <c r="C579" i="12"/>
  <c r="B579" i="12"/>
  <c r="A579" i="12"/>
  <c r="H578" i="12"/>
  <c r="G578" i="12"/>
  <c r="E578" i="12"/>
  <c r="C578" i="12"/>
  <c r="B578" i="12"/>
  <c r="A578" i="12"/>
  <c r="H577" i="12"/>
  <c r="G577" i="12"/>
  <c r="E577" i="12"/>
  <c r="C577" i="12"/>
  <c r="B577" i="12"/>
  <c r="A577" i="12"/>
  <c r="H576" i="12"/>
  <c r="G576" i="12"/>
  <c r="E576" i="12"/>
  <c r="C576" i="12"/>
  <c r="B576" i="12"/>
  <c r="A576" i="12"/>
  <c r="H575" i="12"/>
  <c r="G575" i="12"/>
  <c r="E575" i="12"/>
  <c r="C575" i="12"/>
  <c r="B575" i="12"/>
  <c r="A575" i="12"/>
  <c r="H574" i="12"/>
  <c r="G574" i="12"/>
  <c r="E574" i="12"/>
  <c r="C574" i="12"/>
  <c r="B574" i="12"/>
  <c r="A574" i="12"/>
  <c r="H573" i="12"/>
  <c r="G573" i="12"/>
  <c r="E573" i="12"/>
  <c r="C573" i="12"/>
  <c r="B573" i="12"/>
  <c r="A573" i="12"/>
  <c r="H572" i="12"/>
  <c r="G572" i="12"/>
  <c r="E572" i="12"/>
  <c r="C572" i="12"/>
  <c r="B572" i="12"/>
  <c r="A572" i="12"/>
  <c r="H571" i="12"/>
  <c r="G571" i="12"/>
  <c r="E571" i="12"/>
  <c r="C571" i="12"/>
  <c r="B571" i="12"/>
  <c r="A571" i="12"/>
  <c r="H570" i="12"/>
  <c r="G570" i="12"/>
  <c r="E570" i="12"/>
  <c r="C570" i="12"/>
  <c r="B570" i="12"/>
  <c r="A570" i="12"/>
  <c r="H569" i="12"/>
  <c r="G569" i="12"/>
  <c r="E569" i="12"/>
  <c r="C569" i="12"/>
  <c r="B569" i="12"/>
  <c r="A569" i="12"/>
  <c r="H568" i="12"/>
  <c r="G568" i="12"/>
  <c r="E568" i="12"/>
  <c r="C568" i="12"/>
  <c r="B568" i="12"/>
  <c r="A568" i="12"/>
  <c r="H567" i="12"/>
  <c r="G567" i="12"/>
  <c r="E567" i="12"/>
  <c r="C567" i="12"/>
  <c r="B567" i="12"/>
  <c r="A567" i="12"/>
  <c r="H566" i="12"/>
  <c r="G566" i="12"/>
  <c r="E566" i="12"/>
  <c r="C566" i="12"/>
  <c r="B566" i="12"/>
  <c r="A566" i="12"/>
  <c r="H565" i="12"/>
  <c r="G565" i="12"/>
  <c r="E565" i="12"/>
  <c r="C565" i="12"/>
  <c r="B565" i="12"/>
  <c r="A565" i="12"/>
  <c r="H564" i="12"/>
  <c r="G564" i="12"/>
  <c r="E564" i="12"/>
  <c r="C564" i="12"/>
  <c r="B564" i="12"/>
  <c r="A564" i="12"/>
  <c r="H563" i="12"/>
  <c r="G563" i="12"/>
  <c r="E563" i="12"/>
  <c r="C563" i="12"/>
  <c r="B563" i="12"/>
  <c r="A563" i="12"/>
  <c r="H562" i="12"/>
  <c r="G562" i="12"/>
  <c r="E562" i="12"/>
  <c r="C562" i="12"/>
  <c r="B562" i="12"/>
  <c r="A562" i="12"/>
  <c r="H561" i="12"/>
  <c r="G561" i="12"/>
  <c r="E561" i="12"/>
  <c r="C561" i="12"/>
  <c r="B561" i="12"/>
  <c r="A561" i="12"/>
  <c r="H560" i="12"/>
  <c r="G560" i="12"/>
  <c r="E560" i="12"/>
  <c r="C560" i="12"/>
  <c r="B560" i="12"/>
  <c r="A560" i="12"/>
  <c r="H559" i="12"/>
  <c r="G559" i="12"/>
  <c r="E559" i="12"/>
  <c r="C559" i="12"/>
  <c r="B559" i="12"/>
  <c r="A559" i="12"/>
  <c r="H558" i="12"/>
  <c r="G558" i="12"/>
  <c r="E558" i="12"/>
  <c r="C558" i="12"/>
  <c r="B558" i="12"/>
  <c r="A558" i="12"/>
  <c r="H557" i="12"/>
  <c r="G557" i="12"/>
  <c r="E557" i="12"/>
  <c r="C557" i="12"/>
  <c r="B557" i="12"/>
  <c r="A557" i="12"/>
  <c r="H556" i="12"/>
  <c r="G556" i="12"/>
  <c r="E556" i="12"/>
  <c r="C556" i="12"/>
  <c r="B556" i="12"/>
  <c r="A556" i="12"/>
  <c r="H555" i="12"/>
  <c r="G555" i="12"/>
  <c r="E555" i="12"/>
  <c r="C555" i="12"/>
  <c r="B555" i="12"/>
  <c r="A555" i="12"/>
  <c r="H554" i="12"/>
  <c r="G554" i="12"/>
  <c r="E554" i="12"/>
  <c r="C554" i="12"/>
  <c r="B554" i="12"/>
  <c r="A554" i="12"/>
  <c r="H553" i="12"/>
  <c r="G553" i="12"/>
  <c r="E553" i="12"/>
  <c r="C553" i="12"/>
  <c r="B553" i="12"/>
  <c r="A553" i="12"/>
  <c r="H552" i="12"/>
  <c r="G552" i="12"/>
  <c r="E552" i="12"/>
  <c r="C552" i="12"/>
  <c r="B552" i="12"/>
  <c r="A552" i="12"/>
  <c r="H551" i="12"/>
  <c r="G551" i="12"/>
  <c r="E551" i="12"/>
  <c r="C551" i="12"/>
  <c r="B551" i="12"/>
  <c r="A551" i="12"/>
  <c r="H550" i="12"/>
  <c r="G550" i="12"/>
  <c r="E550" i="12"/>
  <c r="C550" i="12"/>
  <c r="B550" i="12"/>
  <c r="A550" i="12"/>
  <c r="H549" i="12"/>
  <c r="G549" i="12"/>
  <c r="E549" i="12"/>
  <c r="C549" i="12"/>
  <c r="B549" i="12"/>
  <c r="A549" i="12"/>
  <c r="H548" i="12"/>
  <c r="G548" i="12"/>
  <c r="E548" i="12"/>
  <c r="C548" i="12"/>
  <c r="B548" i="12"/>
  <c r="A548" i="12"/>
  <c r="H547" i="12"/>
  <c r="G547" i="12"/>
  <c r="E547" i="12"/>
  <c r="C547" i="12"/>
  <c r="B547" i="12"/>
  <c r="A547" i="12"/>
  <c r="H546" i="12"/>
  <c r="G546" i="12"/>
  <c r="E546" i="12"/>
  <c r="C546" i="12"/>
  <c r="B546" i="12"/>
  <c r="A546" i="12"/>
  <c r="H545" i="12"/>
  <c r="G545" i="12"/>
  <c r="E545" i="12"/>
  <c r="C545" i="12"/>
  <c r="B545" i="12"/>
  <c r="A545" i="12"/>
  <c r="H544" i="12"/>
  <c r="G544" i="12"/>
  <c r="E544" i="12"/>
  <c r="C544" i="12"/>
  <c r="B544" i="12"/>
  <c r="A544" i="12"/>
  <c r="H543" i="12"/>
  <c r="G543" i="12"/>
  <c r="E543" i="12"/>
  <c r="C543" i="12"/>
  <c r="B543" i="12"/>
  <c r="A543" i="12"/>
  <c r="H542" i="12"/>
  <c r="G542" i="12"/>
  <c r="E542" i="12"/>
  <c r="C542" i="12"/>
  <c r="B542" i="12"/>
  <c r="A542" i="12"/>
  <c r="H541" i="12"/>
  <c r="G541" i="12"/>
  <c r="E541" i="12"/>
  <c r="C541" i="12"/>
  <c r="B541" i="12"/>
  <c r="A541" i="12"/>
  <c r="H540" i="12"/>
  <c r="G540" i="12"/>
  <c r="E540" i="12"/>
  <c r="C540" i="12"/>
  <c r="B540" i="12"/>
  <c r="A540" i="12"/>
  <c r="H539" i="12"/>
  <c r="G539" i="12"/>
  <c r="E539" i="12"/>
  <c r="C539" i="12"/>
  <c r="B539" i="12"/>
  <c r="A539" i="12"/>
  <c r="H538" i="12"/>
  <c r="G538" i="12"/>
  <c r="E538" i="12"/>
  <c r="C538" i="12"/>
  <c r="B538" i="12"/>
  <c r="A538" i="12"/>
  <c r="H537" i="12"/>
  <c r="G537" i="12"/>
  <c r="E537" i="12"/>
  <c r="C537" i="12"/>
  <c r="B537" i="12"/>
  <c r="A537" i="12"/>
  <c r="H536" i="12"/>
  <c r="G536" i="12"/>
  <c r="E536" i="12"/>
  <c r="C536" i="12"/>
  <c r="B536" i="12"/>
  <c r="A536" i="12"/>
  <c r="H535" i="12"/>
  <c r="G535" i="12"/>
  <c r="E535" i="12"/>
  <c r="C535" i="12"/>
  <c r="B535" i="12"/>
  <c r="A535" i="12"/>
  <c r="H534" i="12"/>
  <c r="G534" i="12"/>
  <c r="E534" i="12"/>
  <c r="C534" i="12"/>
  <c r="B534" i="12"/>
  <c r="A534" i="12"/>
  <c r="H533" i="12"/>
  <c r="G533" i="12"/>
  <c r="E533" i="12"/>
  <c r="C533" i="12"/>
  <c r="B533" i="12"/>
  <c r="A533" i="12"/>
  <c r="H532" i="12"/>
  <c r="G532" i="12"/>
  <c r="E532" i="12"/>
  <c r="C532" i="12"/>
  <c r="B532" i="12"/>
  <c r="A532" i="12"/>
  <c r="H531" i="12"/>
  <c r="G531" i="12"/>
  <c r="E531" i="12"/>
  <c r="C531" i="12"/>
  <c r="B531" i="12"/>
  <c r="A531" i="12"/>
  <c r="H530" i="12"/>
  <c r="G530" i="12"/>
  <c r="E530" i="12"/>
  <c r="C530" i="12"/>
  <c r="B530" i="12"/>
  <c r="A530" i="12"/>
  <c r="H529" i="12"/>
  <c r="G529" i="12"/>
  <c r="E529" i="12"/>
  <c r="C529" i="12"/>
  <c r="B529" i="12"/>
  <c r="A529" i="12"/>
  <c r="H528" i="12"/>
  <c r="G528" i="12"/>
  <c r="E528" i="12"/>
  <c r="C528" i="12"/>
  <c r="B528" i="12"/>
  <c r="A528" i="12"/>
  <c r="H527" i="12"/>
  <c r="G527" i="12"/>
  <c r="E527" i="12"/>
  <c r="C527" i="12"/>
  <c r="B527" i="12"/>
  <c r="A527" i="12"/>
  <c r="H526" i="12"/>
  <c r="G526" i="12"/>
  <c r="E526" i="12"/>
  <c r="C526" i="12"/>
  <c r="B526" i="12"/>
  <c r="A526" i="12"/>
  <c r="H525" i="12"/>
  <c r="G525" i="12"/>
  <c r="E525" i="12"/>
  <c r="C525" i="12"/>
  <c r="B525" i="12"/>
  <c r="A525" i="12"/>
  <c r="H524" i="12"/>
  <c r="G524" i="12"/>
  <c r="E524" i="12"/>
  <c r="C524" i="12"/>
  <c r="B524" i="12"/>
  <c r="A524" i="12"/>
  <c r="H523" i="12"/>
  <c r="G523" i="12"/>
  <c r="E523" i="12"/>
  <c r="C523" i="12"/>
  <c r="B523" i="12"/>
  <c r="A523" i="12"/>
  <c r="H522" i="12"/>
  <c r="G522" i="12"/>
  <c r="E522" i="12"/>
  <c r="C522" i="12"/>
  <c r="B522" i="12"/>
  <c r="A522" i="12"/>
  <c r="H521" i="12"/>
  <c r="G521" i="12"/>
  <c r="E521" i="12"/>
  <c r="C521" i="12"/>
  <c r="B521" i="12"/>
  <c r="A521" i="12"/>
  <c r="H520" i="12"/>
  <c r="G520" i="12"/>
  <c r="E520" i="12"/>
  <c r="C520" i="12"/>
  <c r="B520" i="12"/>
  <c r="A520" i="12"/>
  <c r="H519" i="12"/>
  <c r="G519" i="12"/>
  <c r="E519" i="12"/>
  <c r="C519" i="12"/>
  <c r="B519" i="12"/>
  <c r="A519" i="12"/>
  <c r="H518" i="12"/>
  <c r="G518" i="12"/>
  <c r="E518" i="12"/>
  <c r="C518" i="12"/>
  <c r="B518" i="12"/>
  <c r="A518" i="12"/>
  <c r="H517" i="12"/>
  <c r="G517" i="12"/>
  <c r="E517" i="12"/>
  <c r="C517" i="12"/>
  <c r="B517" i="12"/>
  <c r="A517" i="12"/>
  <c r="H516" i="12"/>
  <c r="G516" i="12"/>
  <c r="E516" i="12"/>
  <c r="C516" i="12"/>
  <c r="B516" i="12"/>
  <c r="A516" i="12"/>
  <c r="H515" i="12"/>
  <c r="G515" i="12"/>
  <c r="E515" i="12"/>
  <c r="C515" i="12"/>
  <c r="B515" i="12"/>
  <c r="A515" i="12"/>
  <c r="H514" i="12"/>
  <c r="G514" i="12"/>
  <c r="E514" i="12"/>
  <c r="C514" i="12"/>
  <c r="B514" i="12"/>
  <c r="A514" i="12"/>
  <c r="H513" i="12"/>
  <c r="G513" i="12"/>
  <c r="E513" i="12"/>
  <c r="C513" i="12"/>
  <c r="B513" i="12"/>
  <c r="A513" i="12"/>
  <c r="H512" i="12"/>
  <c r="G512" i="12"/>
  <c r="E512" i="12"/>
  <c r="C512" i="12"/>
  <c r="B512" i="12"/>
  <c r="A512" i="12"/>
  <c r="H511" i="12"/>
  <c r="G511" i="12"/>
  <c r="E511" i="12"/>
  <c r="C511" i="12"/>
  <c r="B511" i="12"/>
  <c r="A511" i="12"/>
  <c r="H510" i="12"/>
  <c r="G510" i="12"/>
  <c r="E510" i="12"/>
  <c r="C510" i="12"/>
  <c r="B510" i="12"/>
  <c r="A510" i="12"/>
  <c r="H509" i="12"/>
  <c r="G509" i="12"/>
  <c r="E509" i="12"/>
  <c r="C509" i="12"/>
  <c r="B509" i="12"/>
  <c r="A509" i="12"/>
  <c r="H508" i="12"/>
  <c r="G508" i="12"/>
  <c r="E508" i="12"/>
  <c r="C508" i="12"/>
  <c r="B508" i="12"/>
  <c r="A508" i="12"/>
  <c r="H507" i="12"/>
  <c r="G507" i="12"/>
  <c r="E507" i="12"/>
  <c r="C507" i="12"/>
  <c r="B507" i="12"/>
  <c r="A507" i="12"/>
  <c r="H506" i="12"/>
  <c r="G506" i="12"/>
  <c r="E506" i="12"/>
  <c r="C506" i="12"/>
  <c r="B506" i="12"/>
  <c r="A506" i="12"/>
  <c r="H505" i="12"/>
  <c r="G505" i="12"/>
  <c r="E505" i="12"/>
  <c r="C505" i="12"/>
  <c r="B505" i="12"/>
  <c r="A505" i="12"/>
  <c r="H504" i="12"/>
  <c r="G504" i="12"/>
  <c r="E504" i="12"/>
  <c r="C504" i="12"/>
  <c r="B504" i="12"/>
  <c r="A504" i="12"/>
  <c r="H503" i="12"/>
  <c r="G503" i="12"/>
  <c r="E503" i="12"/>
  <c r="C503" i="12"/>
  <c r="B503" i="12"/>
  <c r="A503" i="12"/>
  <c r="H502" i="12"/>
  <c r="G502" i="12"/>
  <c r="E502" i="12"/>
  <c r="C502" i="12"/>
  <c r="B502" i="12"/>
  <c r="A502" i="12"/>
  <c r="H501" i="12"/>
  <c r="G501" i="12"/>
  <c r="E501" i="12"/>
  <c r="C501" i="12"/>
  <c r="B501" i="12"/>
  <c r="A501" i="12"/>
  <c r="H500" i="12"/>
  <c r="G500" i="12"/>
  <c r="E500" i="12"/>
  <c r="C500" i="12"/>
  <c r="B500" i="12"/>
  <c r="A500" i="12"/>
  <c r="H499" i="12"/>
  <c r="G499" i="12"/>
  <c r="E499" i="12"/>
  <c r="C499" i="12"/>
  <c r="B499" i="12"/>
  <c r="A499" i="12"/>
  <c r="H498" i="12"/>
  <c r="G498" i="12"/>
  <c r="E498" i="12"/>
  <c r="C498" i="12"/>
  <c r="B498" i="12"/>
  <c r="A498" i="12"/>
  <c r="H497" i="12"/>
  <c r="G497" i="12"/>
  <c r="E497" i="12"/>
  <c r="C497" i="12"/>
  <c r="B497" i="12"/>
  <c r="A497" i="12"/>
  <c r="H496" i="12"/>
  <c r="G496" i="12"/>
  <c r="E496" i="12"/>
  <c r="C496" i="12"/>
  <c r="B496" i="12"/>
  <c r="A496" i="12"/>
  <c r="H495" i="12"/>
  <c r="G495" i="12"/>
  <c r="E495" i="12"/>
  <c r="C495" i="12"/>
  <c r="B495" i="12"/>
  <c r="A495" i="12"/>
  <c r="H494" i="12"/>
  <c r="G494" i="12"/>
  <c r="E494" i="12"/>
  <c r="C494" i="12"/>
  <c r="B494" i="12"/>
  <c r="A494" i="12"/>
  <c r="H493" i="12"/>
  <c r="G493" i="12"/>
  <c r="E493" i="12"/>
  <c r="C493" i="12"/>
  <c r="B493" i="12"/>
  <c r="A493" i="12"/>
  <c r="H492" i="12"/>
  <c r="G492" i="12"/>
  <c r="E492" i="12"/>
  <c r="C492" i="12"/>
  <c r="B492" i="12"/>
  <c r="A492" i="12"/>
  <c r="H491" i="12"/>
  <c r="G491" i="12"/>
  <c r="E491" i="12"/>
  <c r="C491" i="12"/>
  <c r="B491" i="12"/>
  <c r="A491" i="12"/>
  <c r="H490" i="12"/>
  <c r="G490" i="12"/>
  <c r="E490" i="12"/>
  <c r="C490" i="12"/>
  <c r="B490" i="12"/>
  <c r="A490" i="12"/>
  <c r="H489" i="12"/>
  <c r="G489" i="12"/>
  <c r="E489" i="12"/>
  <c r="C489" i="12"/>
  <c r="B489" i="12"/>
  <c r="A489" i="12"/>
  <c r="H488" i="12"/>
  <c r="G488" i="12"/>
  <c r="E488" i="12"/>
  <c r="C488" i="12"/>
  <c r="B488" i="12"/>
  <c r="A488" i="12"/>
  <c r="H487" i="12"/>
  <c r="G487" i="12"/>
  <c r="E487" i="12"/>
  <c r="C487" i="12"/>
  <c r="B487" i="12"/>
  <c r="A487" i="12"/>
  <c r="H486" i="12"/>
  <c r="G486" i="12"/>
  <c r="E486" i="12"/>
  <c r="C486" i="12"/>
  <c r="B486" i="12"/>
  <c r="A486" i="12"/>
  <c r="H485" i="12"/>
  <c r="G485" i="12"/>
  <c r="E485" i="12"/>
  <c r="C485" i="12"/>
  <c r="B485" i="12"/>
  <c r="A485" i="12"/>
  <c r="H484" i="12"/>
  <c r="G484" i="12"/>
  <c r="E484" i="12"/>
  <c r="C484" i="12"/>
  <c r="B484" i="12"/>
  <c r="A484" i="12"/>
  <c r="H483" i="12"/>
  <c r="G483" i="12"/>
  <c r="E483" i="12"/>
  <c r="C483" i="12"/>
  <c r="B483" i="12"/>
  <c r="A483" i="12"/>
  <c r="H482" i="12"/>
  <c r="G482" i="12"/>
  <c r="E482" i="12"/>
  <c r="C482" i="12"/>
  <c r="B482" i="12"/>
  <c r="A482" i="12"/>
  <c r="H481" i="12"/>
  <c r="G481" i="12"/>
  <c r="E481" i="12"/>
  <c r="C481" i="12"/>
  <c r="B481" i="12"/>
  <c r="A481" i="12"/>
  <c r="H480" i="12"/>
  <c r="G480" i="12"/>
  <c r="E480" i="12"/>
  <c r="C480" i="12"/>
  <c r="B480" i="12"/>
  <c r="A480" i="12"/>
  <c r="H479" i="12"/>
  <c r="G479" i="12"/>
  <c r="E479" i="12"/>
  <c r="C479" i="12"/>
  <c r="B479" i="12"/>
  <c r="A479" i="12"/>
  <c r="H478" i="12"/>
  <c r="G478" i="12"/>
  <c r="E478" i="12"/>
  <c r="C478" i="12"/>
  <c r="B478" i="12"/>
  <c r="A478" i="12"/>
  <c r="H477" i="12"/>
  <c r="G477" i="12"/>
  <c r="E477" i="12"/>
  <c r="C477" i="12"/>
  <c r="B477" i="12"/>
  <c r="A477" i="12"/>
  <c r="H476" i="12"/>
  <c r="G476" i="12"/>
  <c r="E476" i="12"/>
  <c r="C476" i="12"/>
  <c r="B476" i="12"/>
  <c r="A476" i="12"/>
  <c r="H475" i="12"/>
  <c r="G475" i="12"/>
  <c r="E475" i="12"/>
  <c r="C475" i="12"/>
  <c r="B475" i="12"/>
  <c r="A475" i="12"/>
  <c r="H474" i="12"/>
  <c r="G474" i="12"/>
  <c r="E474" i="12"/>
  <c r="C474" i="12"/>
  <c r="B474" i="12"/>
  <c r="A474" i="12"/>
  <c r="H473" i="12"/>
  <c r="G473" i="12"/>
  <c r="E473" i="12"/>
  <c r="C473" i="12"/>
  <c r="B473" i="12"/>
  <c r="A473" i="12"/>
  <c r="H472" i="12"/>
  <c r="G472" i="12"/>
  <c r="E472" i="12"/>
  <c r="C472" i="12"/>
  <c r="B472" i="12"/>
  <c r="A472" i="12"/>
  <c r="H471" i="12"/>
  <c r="G471" i="12"/>
  <c r="E471" i="12"/>
  <c r="C471" i="12"/>
  <c r="B471" i="12"/>
  <c r="A471" i="12"/>
  <c r="H470" i="12"/>
  <c r="G470" i="12"/>
  <c r="E470" i="12"/>
  <c r="C470" i="12"/>
  <c r="B470" i="12"/>
  <c r="A470" i="12"/>
  <c r="H469" i="12"/>
  <c r="G469" i="12"/>
  <c r="E469" i="12"/>
  <c r="C469" i="12"/>
  <c r="B469" i="12"/>
  <c r="A469" i="12"/>
  <c r="H468" i="12"/>
  <c r="G468" i="12"/>
  <c r="E468" i="12"/>
  <c r="C468" i="12"/>
  <c r="B468" i="12"/>
  <c r="A468" i="12"/>
  <c r="H467" i="12"/>
  <c r="G467" i="12"/>
  <c r="E467" i="12"/>
  <c r="C467" i="12"/>
  <c r="B467" i="12"/>
  <c r="A467" i="12"/>
  <c r="H466" i="12"/>
  <c r="G466" i="12"/>
  <c r="E466" i="12"/>
  <c r="C466" i="12"/>
  <c r="B466" i="12"/>
  <c r="A466" i="12"/>
  <c r="H465" i="12"/>
  <c r="G465" i="12"/>
  <c r="E465" i="12"/>
  <c r="C465" i="12"/>
  <c r="B465" i="12"/>
  <c r="A465" i="12"/>
  <c r="H464" i="12"/>
  <c r="G464" i="12"/>
  <c r="E464" i="12"/>
  <c r="C464" i="12"/>
  <c r="B464" i="12"/>
  <c r="A464" i="12"/>
  <c r="H463" i="12"/>
  <c r="G463" i="12"/>
  <c r="E463" i="12"/>
  <c r="C463" i="12"/>
  <c r="B463" i="12"/>
  <c r="A463" i="12"/>
  <c r="H462" i="12"/>
  <c r="G462" i="12"/>
  <c r="E462" i="12"/>
  <c r="C462" i="12"/>
  <c r="B462" i="12"/>
  <c r="A462" i="12"/>
  <c r="H461" i="12"/>
  <c r="G461" i="12"/>
  <c r="E461" i="12"/>
  <c r="C461" i="12"/>
  <c r="B461" i="12"/>
  <c r="A461" i="12"/>
  <c r="H460" i="12"/>
  <c r="G460" i="12"/>
  <c r="E460" i="12"/>
  <c r="C460" i="12"/>
  <c r="B460" i="12"/>
  <c r="A460" i="12"/>
  <c r="H459" i="12"/>
  <c r="G459" i="12"/>
  <c r="E459" i="12"/>
  <c r="C459" i="12"/>
  <c r="B459" i="12"/>
  <c r="A459" i="12"/>
  <c r="H458" i="12"/>
  <c r="G458" i="12"/>
  <c r="E458" i="12"/>
  <c r="C458" i="12"/>
  <c r="B458" i="12"/>
  <c r="A458" i="12"/>
  <c r="H457" i="12"/>
  <c r="G457" i="12"/>
  <c r="E457" i="12"/>
  <c r="C457" i="12"/>
  <c r="B457" i="12"/>
  <c r="A457" i="12"/>
  <c r="H456" i="12"/>
  <c r="G456" i="12"/>
  <c r="E456" i="12"/>
  <c r="C456" i="12"/>
  <c r="B456" i="12"/>
  <c r="A456" i="12"/>
  <c r="H455" i="12"/>
  <c r="G455" i="12"/>
  <c r="E455" i="12"/>
  <c r="C455" i="12"/>
  <c r="B455" i="12"/>
  <c r="A455" i="12"/>
  <c r="H454" i="12"/>
  <c r="G454" i="12"/>
  <c r="E454" i="12"/>
  <c r="C454" i="12"/>
  <c r="B454" i="12"/>
  <c r="A454" i="12"/>
  <c r="H453" i="12"/>
  <c r="G453" i="12"/>
  <c r="E453" i="12"/>
  <c r="C453" i="12"/>
  <c r="B453" i="12"/>
  <c r="A453" i="12"/>
  <c r="H452" i="12"/>
  <c r="G452" i="12"/>
  <c r="E452" i="12"/>
  <c r="C452" i="12"/>
  <c r="B452" i="12"/>
  <c r="A452" i="12"/>
  <c r="H451" i="12"/>
  <c r="G451" i="12"/>
  <c r="E451" i="12"/>
  <c r="C451" i="12"/>
  <c r="B451" i="12"/>
  <c r="A451" i="12"/>
  <c r="H450" i="12"/>
  <c r="G450" i="12"/>
  <c r="E450" i="12"/>
  <c r="C450" i="12"/>
  <c r="B450" i="12"/>
  <c r="A450" i="12"/>
  <c r="H449" i="12"/>
  <c r="G449" i="12"/>
  <c r="E449" i="12"/>
  <c r="C449" i="12"/>
  <c r="B449" i="12"/>
  <c r="A449" i="12"/>
  <c r="H448" i="12"/>
  <c r="G448" i="12"/>
  <c r="E448" i="12"/>
  <c r="C448" i="12"/>
  <c r="B448" i="12"/>
  <c r="A448" i="12"/>
  <c r="H447" i="12"/>
  <c r="G447" i="12"/>
  <c r="E447" i="12"/>
  <c r="C447" i="12"/>
  <c r="B447" i="12"/>
  <c r="A447" i="12"/>
  <c r="H446" i="12"/>
  <c r="G446" i="12"/>
  <c r="E446" i="12"/>
  <c r="C446" i="12"/>
  <c r="B446" i="12"/>
  <c r="A446" i="12"/>
  <c r="H445" i="12"/>
  <c r="G445" i="12"/>
  <c r="E445" i="12"/>
  <c r="C445" i="12"/>
  <c r="B445" i="12"/>
  <c r="A445" i="12"/>
  <c r="H444" i="12"/>
  <c r="G444" i="12"/>
  <c r="E444" i="12"/>
  <c r="C444" i="12"/>
  <c r="B444" i="12"/>
  <c r="A444" i="12"/>
  <c r="H443" i="12"/>
  <c r="G443" i="12"/>
  <c r="E443" i="12"/>
  <c r="C443" i="12"/>
  <c r="B443" i="12"/>
  <c r="A443" i="12"/>
  <c r="H442" i="12"/>
  <c r="G442" i="12"/>
  <c r="E442" i="12"/>
  <c r="C442" i="12"/>
  <c r="B442" i="12"/>
  <c r="A442" i="12"/>
  <c r="H441" i="12"/>
  <c r="G441" i="12"/>
  <c r="E441" i="12"/>
  <c r="C441" i="12"/>
  <c r="B441" i="12"/>
  <c r="A441" i="12"/>
  <c r="H440" i="12"/>
  <c r="G440" i="12"/>
  <c r="E440" i="12"/>
  <c r="C440" i="12"/>
  <c r="B440" i="12"/>
  <c r="A440" i="12"/>
  <c r="H439" i="12"/>
  <c r="G439" i="12"/>
  <c r="E439" i="12"/>
  <c r="C439" i="12"/>
  <c r="B439" i="12"/>
  <c r="A439" i="12"/>
  <c r="H438" i="12"/>
  <c r="G438" i="12"/>
  <c r="E438" i="12"/>
  <c r="C438" i="12"/>
  <c r="B438" i="12"/>
  <c r="A438" i="12"/>
  <c r="H437" i="12"/>
  <c r="G437" i="12"/>
  <c r="E437" i="12"/>
  <c r="C437" i="12"/>
  <c r="B437" i="12"/>
  <c r="A437" i="12"/>
  <c r="H436" i="12"/>
  <c r="G436" i="12"/>
  <c r="E436" i="12"/>
  <c r="C436" i="12"/>
  <c r="B436" i="12"/>
  <c r="A436" i="12"/>
  <c r="H435" i="12"/>
  <c r="G435" i="12"/>
  <c r="E435" i="12"/>
  <c r="C435" i="12"/>
  <c r="B435" i="12"/>
  <c r="A435" i="12"/>
  <c r="H434" i="12"/>
  <c r="G434" i="12"/>
  <c r="E434" i="12"/>
  <c r="C434" i="12"/>
  <c r="B434" i="12"/>
  <c r="A434" i="12"/>
  <c r="H433" i="12"/>
  <c r="G433" i="12"/>
  <c r="E433" i="12"/>
  <c r="C433" i="12"/>
  <c r="B433" i="12"/>
  <c r="A433" i="12"/>
  <c r="H432" i="12"/>
  <c r="G432" i="12"/>
  <c r="E432" i="12"/>
  <c r="C432" i="12"/>
  <c r="B432" i="12"/>
  <c r="A432" i="12"/>
  <c r="H431" i="12"/>
  <c r="G431" i="12"/>
  <c r="E431" i="12"/>
  <c r="C431" i="12"/>
  <c r="B431" i="12"/>
  <c r="A431" i="12"/>
  <c r="H430" i="12"/>
  <c r="G430" i="12"/>
  <c r="E430" i="12"/>
  <c r="C430" i="12"/>
  <c r="B430" i="12"/>
  <c r="A430" i="12"/>
  <c r="H429" i="12"/>
  <c r="G429" i="12"/>
  <c r="E429" i="12"/>
  <c r="C429" i="12"/>
  <c r="B429" i="12"/>
  <c r="A429" i="12"/>
  <c r="H428" i="12"/>
  <c r="G428" i="12"/>
  <c r="E428" i="12"/>
  <c r="C428" i="12"/>
  <c r="B428" i="12"/>
  <c r="A428" i="12"/>
  <c r="H427" i="12"/>
  <c r="G427" i="12"/>
  <c r="E427" i="12"/>
  <c r="C427" i="12"/>
  <c r="B427" i="12"/>
  <c r="A427" i="12"/>
  <c r="H426" i="12"/>
  <c r="G426" i="12"/>
  <c r="E426" i="12"/>
  <c r="C426" i="12"/>
  <c r="B426" i="12"/>
  <c r="A426" i="12"/>
  <c r="H425" i="12"/>
  <c r="G425" i="12"/>
  <c r="E425" i="12"/>
  <c r="C425" i="12"/>
  <c r="B425" i="12"/>
  <c r="A425" i="12"/>
  <c r="H424" i="12"/>
  <c r="G424" i="12"/>
  <c r="E424" i="12"/>
  <c r="C424" i="12"/>
  <c r="B424" i="12"/>
  <c r="A424" i="12"/>
  <c r="H423" i="12"/>
  <c r="G423" i="12"/>
  <c r="E423" i="12"/>
  <c r="C423" i="12"/>
  <c r="B423" i="12"/>
  <c r="A423" i="12"/>
  <c r="H422" i="12"/>
  <c r="G422" i="12"/>
  <c r="E422" i="12"/>
  <c r="C422" i="12"/>
  <c r="B422" i="12"/>
  <c r="A422" i="12"/>
  <c r="H421" i="12"/>
  <c r="G421" i="12"/>
  <c r="E421" i="12"/>
  <c r="C421" i="12"/>
  <c r="B421" i="12"/>
  <c r="A421" i="12"/>
  <c r="H420" i="12"/>
  <c r="G420" i="12"/>
  <c r="E420" i="12"/>
  <c r="C420" i="12"/>
  <c r="B420" i="12"/>
  <c r="A420" i="12"/>
  <c r="H419" i="12"/>
  <c r="G419" i="12"/>
  <c r="E419" i="12"/>
  <c r="C419" i="12"/>
  <c r="B419" i="12"/>
  <c r="A419" i="12"/>
  <c r="H418" i="12"/>
  <c r="G418" i="12"/>
  <c r="E418" i="12"/>
  <c r="C418" i="12"/>
  <c r="B418" i="12"/>
  <c r="A418" i="12"/>
  <c r="H417" i="12"/>
  <c r="G417" i="12"/>
  <c r="E417" i="12"/>
  <c r="C417" i="12"/>
  <c r="B417" i="12"/>
  <c r="A417" i="12"/>
  <c r="H416" i="12"/>
  <c r="G416" i="12"/>
  <c r="E416" i="12"/>
  <c r="C416" i="12"/>
  <c r="B416" i="12"/>
  <c r="A416" i="12"/>
  <c r="H415" i="12"/>
  <c r="G415" i="12"/>
  <c r="E415" i="12"/>
  <c r="C415" i="12"/>
  <c r="B415" i="12"/>
  <c r="A415" i="12"/>
  <c r="H414" i="12"/>
  <c r="G414" i="12"/>
  <c r="E414" i="12"/>
  <c r="C414" i="12"/>
  <c r="B414" i="12"/>
  <c r="A414" i="12"/>
  <c r="H413" i="12"/>
  <c r="G413" i="12"/>
  <c r="E413" i="12"/>
  <c r="C413" i="12"/>
  <c r="B413" i="12"/>
  <c r="A413" i="12"/>
  <c r="H412" i="12"/>
  <c r="G412" i="12"/>
  <c r="E412" i="12"/>
  <c r="C412" i="12"/>
  <c r="B412" i="12"/>
  <c r="A412" i="12"/>
  <c r="H411" i="12"/>
  <c r="G411" i="12"/>
  <c r="E411" i="12"/>
  <c r="C411" i="12"/>
  <c r="B411" i="12"/>
  <c r="A411" i="12"/>
  <c r="H410" i="12"/>
  <c r="G410" i="12"/>
  <c r="E410" i="12"/>
  <c r="C410" i="12"/>
  <c r="B410" i="12"/>
  <c r="A410" i="12"/>
  <c r="H409" i="12"/>
  <c r="G409" i="12"/>
  <c r="E409" i="12"/>
  <c r="C409" i="12"/>
  <c r="B409" i="12"/>
  <c r="A409" i="12"/>
  <c r="H408" i="12"/>
  <c r="G408" i="12"/>
  <c r="E408" i="12"/>
  <c r="C408" i="12"/>
  <c r="B408" i="12"/>
  <c r="A408" i="12"/>
  <c r="H407" i="12"/>
  <c r="G407" i="12"/>
  <c r="E407" i="12"/>
  <c r="C407" i="12"/>
  <c r="B407" i="12"/>
  <c r="A407" i="12"/>
  <c r="H406" i="12"/>
  <c r="G406" i="12"/>
  <c r="E406" i="12"/>
  <c r="C406" i="12"/>
  <c r="B406" i="12"/>
  <c r="A406" i="12"/>
  <c r="H405" i="12"/>
  <c r="G405" i="12"/>
  <c r="E405" i="12"/>
  <c r="C405" i="12"/>
  <c r="B405" i="12"/>
  <c r="A405" i="12"/>
  <c r="H404" i="12"/>
  <c r="G404" i="12"/>
  <c r="E404" i="12"/>
  <c r="C404" i="12"/>
  <c r="B404" i="12"/>
  <c r="A404" i="12"/>
  <c r="H403" i="12"/>
  <c r="G403" i="12"/>
  <c r="E403" i="12"/>
  <c r="C403" i="12"/>
  <c r="B403" i="12"/>
  <c r="A403" i="12"/>
  <c r="H402" i="12"/>
  <c r="G402" i="12"/>
  <c r="E402" i="12"/>
  <c r="C402" i="12"/>
  <c r="B402" i="12"/>
  <c r="A402" i="12"/>
  <c r="H401" i="12"/>
  <c r="G401" i="12"/>
  <c r="E401" i="12"/>
  <c r="C401" i="12"/>
  <c r="B401" i="12"/>
  <c r="A401" i="12"/>
  <c r="H400" i="12"/>
  <c r="G400" i="12"/>
  <c r="E400" i="12"/>
  <c r="C400" i="12"/>
  <c r="B400" i="12"/>
  <c r="A400" i="12"/>
  <c r="H399" i="12"/>
  <c r="G399" i="12"/>
  <c r="E399" i="12"/>
  <c r="C399" i="12"/>
  <c r="B399" i="12"/>
  <c r="A399" i="12"/>
  <c r="H398" i="12"/>
  <c r="G398" i="12"/>
  <c r="E398" i="12"/>
  <c r="C398" i="12"/>
  <c r="B398" i="12"/>
  <c r="A398" i="12"/>
  <c r="H397" i="12"/>
  <c r="G397" i="12"/>
  <c r="E397" i="12"/>
  <c r="C397" i="12"/>
  <c r="B397" i="12"/>
  <c r="A397" i="12"/>
  <c r="H396" i="12"/>
  <c r="G396" i="12"/>
  <c r="E396" i="12"/>
  <c r="C396" i="12"/>
  <c r="B396" i="12"/>
  <c r="A396" i="12"/>
  <c r="H395" i="12"/>
  <c r="G395" i="12"/>
  <c r="E395" i="12"/>
  <c r="C395" i="12"/>
  <c r="B395" i="12"/>
  <c r="A395" i="12"/>
  <c r="H394" i="12"/>
  <c r="G394" i="12"/>
  <c r="E394" i="12"/>
  <c r="C394" i="12"/>
  <c r="B394" i="12"/>
  <c r="A394" i="12"/>
  <c r="H393" i="12"/>
  <c r="G393" i="12"/>
  <c r="E393" i="12"/>
  <c r="C393" i="12"/>
  <c r="B393" i="12"/>
  <c r="A393" i="12"/>
  <c r="H392" i="12"/>
  <c r="G392" i="12"/>
  <c r="E392" i="12"/>
  <c r="C392" i="12"/>
  <c r="B392" i="12"/>
  <c r="A392" i="12"/>
  <c r="H391" i="12"/>
  <c r="G391" i="12"/>
  <c r="E391" i="12"/>
  <c r="C391" i="12"/>
  <c r="B391" i="12"/>
  <c r="A391" i="12"/>
  <c r="H390" i="12"/>
  <c r="G390" i="12"/>
  <c r="E390" i="12"/>
  <c r="C390" i="12"/>
  <c r="B390" i="12"/>
  <c r="A390" i="12"/>
  <c r="H389" i="12"/>
  <c r="G389" i="12"/>
  <c r="E389" i="12"/>
  <c r="C389" i="12"/>
  <c r="B389" i="12"/>
  <c r="A389" i="12"/>
  <c r="H388" i="12"/>
  <c r="G388" i="12"/>
  <c r="E388" i="12"/>
  <c r="C388" i="12"/>
  <c r="B388" i="12"/>
  <c r="A388" i="12"/>
  <c r="H387" i="12"/>
  <c r="G387" i="12"/>
  <c r="E387" i="12"/>
  <c r="C387" i="12"/>
  <c r="B387" i="12"/>
  <c r="A387" i="12"/>
  <c r="H386" i="12"/>
  <c r="G386" i="12"/>
  <c r="E386" i="12"/>
  <c r="C386" i="12"/>
  <c r="B386" i="12"/>
  <c r="A386" i="12"/>
  <c r="H385" i="12"/>
  <c r="G385" i="12"/>
  <c r="E385" i="12"/>
  <c r="C385" i="12"/>
  <c r="B385" i="12"/>
  <c r="A385" i="12"/>
  <c r="H384" i="12"/>
  <c r="G384" i="12"/>
  <c r="E384" i="12"/>
  <c r="C384" i="12"/>
  <c r="B384" i="12"/>
  <c r="A384" i="12"/>
  <c r="H383" i="12"/>
  <c r="G383" i="12"/>
  <c r="E383" i="12"/>
  <c r="C383" i="12"/>
  <c r="B383" i="12"/>
  <c r="A383" i="12"/>
  <c r="H382" i="12"/>
  <c r="G382" i="12"/>
  <c r="E382" i="12"/>
  <c r="C382" i="12"/>
  <c r="B382" i="12"/>
  <c r="A382" i="12"/>
  <c r="H381" i="12"/>
  <c r="G381" i="12"/>
  <c r="E381" i="12"/>
  <c r="C381" i="12"/>
  <c r="B381" i="12"/>
  <c r="A381" i="12"/>
  <c r="H380" i="12"/>
  <c r="G380" i="12"/>
  <c r="E380" i="12"/>
  <c r="C380" i="12"/>
  <c r="B380" i="12"/>
  <c r="A380" i="12"/>
  <c r="H379" i="12"/>
  <c r="G379" i="12"/>
  <c r="E379" i="12"/>
  <c r="C379" i="12"/>
  <c r="B379" i="12"/>
  <c r="A379" i="12"/>
  <c r="H378" i="12"/>
  <c r="G378" i="12"/>
  <c r="E378" i="12"/>
  <c r="C378" i="12"/>
  <c r="B378" i="12"/>
  <c r="A378" i="12"/>
  <c r="H377" i="12"/>
  <c r="G377" i="12"/>
  <c r="E377" i="12"/>
  <c r="C377" i="12"/>
  <c r="B377" i="12"/>
  <c r="A377" i="12"/>
  <c r="H376" i="12"/>
  <c r="G376" i="12"/>
  <c r="E376" i="12"/>
  <c r="C376" i="12"/>
  <c r="B376" i="12"/>
  <c r="A376" i="12"/>
  <c r="H375" i="12"/>
  <c r="G375" i="12"/>
  <c r="E375" i="12"/>
  <c r="C375" i="12"/>
  <c r="B375" i="12"/>
  <c r="A375" i="12"/>
  <c r="H374" i="12"/>
  <c r="G374" i="12"/>
  <c r="E374" i="12"/>
  <c r="C374" i="12"/>
  <c r="B374" i="12"/>
  <c r="A374" i="12"/>
  <c r="H373" i="12"/>
  <c r="G373" i="12"/>
  <c r="E373" i="12"/>
  <c r="C373" i="12"/>
  <c r="B373" i="12"/>
  <c r="A373" i="12"/>
  <c r="H372" i="12"/>
  <c r="G372" i="12"/>
  <c r="E372" i="12"/>
  <c r="C372" i="12"/>
  <c r="B372" i="12"/>
  <c r="A372" i="12"/>
  <c r="H371" i="12"/>
  <c r="G371" i="12"/>
  <c r="E371" i="12"/>
  <c r="C371" i="12"/>
  <c r="B371" i="12"/>
  <c r="A371" i="12"/>
  <c r="H370" i="12"/>
  <c r="G370" i="12"/>
  <c r="E370" i="12"/>
  <c r="C370" i="12"/>
  <c r="B370" i="12"/>
  <c r="A370" i="12"/>
  <c r="H369" i="12"/>
  <c r="G369" i="12"/>
  <c r="E369" i="12"/>
  <c r="C369" i="12"/>
  <c r="B369" i="12"/>
  <c r="A369" i="12"/>
  <c r="H368" i="12"/>
  <c r="G368" i="12"/>
  <c r="E368" i="12"/>
  <c r="C368" i="12"/>
  <c r="B368" i="12"/>
  <c r="A368" i="12"/>
  <c r="H367" i="12"/>
  <c r="G367" i="12"/>
  <c r="E367" i="12"/>
  <c r="C367" i="12"/>
  <c r="B367" i="12"/>
  <c r="A367" i="12"/>
  <c r="H366" i="12"/>
  <c r="G366" i="12"/>
  <c r="E366" i="12"/>
  <c r="C366" i="12"/>
  <c r="B366" i="12"/>
  <c r="A366" i="12"/>
  <c r="H365" i="12"/>
  <c r="G365" i="12"/>
  <c r="E365" i="12"/>
  <c r="C365" i="12"/>
  <c r="B365" i="12"/>
  <c r="A365" i="12"/>
  <c r="H364" i="12"/>
  <c r="G364" i="12"/>
  <c r="E364" i="12"/>
  <c r="C364" i="12"/>
  <c r="B364" i="12"/>
  <c r="A364" i="12"/>
  <c r="H363" i="12"/>
  <c r="G363" i="12"/>
  <c r="E363" i="12"/>
  <c r="C363" i="12"/>
  <c r="B363" i="12"/>
  <c r="A363" i="12"/>
  <c r="H362" i="12"/>
  <c r="G362" i="12"/>
  <c r="E362" i="12"/>
  <c r="C362" i="12"/>
  <c r="B362" i="12"/>
  <c r="A362" i="12"/>
  <c r="H361" i="12"/>
  <c r="G361" i="12"/>
  <c r="E361" i="12"/>
  <c r="C361" i="12"/>
  <c r="B361" i="12"/>
  <c r="A361" i="12"/>
  <c r="H360" i="12"/>
  <c r="G360" i="12"/>
  <c r="E360" i="12"/>
  <c r="C360" i="12"/>
  <c r="B360" i="12"/>
  <c r="A360" i="12"/>
  <c r="H359" i="12"/>
  <c r="G359" i="12"/>
  <c r="E359" i="12"/>
  <c r="C359" i="12"/>
  <c r="B359" i="12"/>
  <c r="A359" i="12"/>
  <c r="H358" i="12"/>
  <c r="G358" i="12"/>
  <c r="E358" i="12"/>
  <c r="C358" i="12"/>
  <c r="B358" i="12"/>
  <c r="A358" i="12"/>
  <c r="H357" i="12"/>
  <c r="G357" i="12"/>
  <c r="E357" i="12"/>
  <c r="C357" i="12"/>
  <c r="B357" i="12"/>
  <c r="A357" i="12"/>
  <c r="H356" i="12"/>
  <c r="G356" i="12"/>
  <c r="E356" i="12"/>
  <c r="C356" i="12"/>
  <c r="B356" i="12"/>
  <c r="A356" i="12"/>
  <c r="H355" i="12"/>
  <c r="G355" i="12"/>
  <c r="E355" i="12"/>
  <c r="C355" i="12"/>
  <c r="B355" i="12"/>
  <c r="A355" i="12"/>
  <c r="H354" i="12"/>
  <c r="G354" i="12"/>
  <c r="E354" i="12"/>
  <c r="C354" i="12"/>
  <c r="B354" i="12"/>
  <c r="A354" i="12"/>
  <c r="H353" i="12"/>
  <c r="G353" i="12"/>
  <c r="E353" i="12"/>
  <c r="C353" i="12"/>
  <c r="B353" i="12"/>
  <c r="A353" i="12"/>
  <c r="H352" i="12"/>
  <c r="G352" i="12"/>
  <c r="E352" i="12"/>
  <c r="C352" i="12"/>
  <c r="B352" i="12"/>
  <c r="A352" i="12"/>
  <c r="H351" i="12"/>
  <c r="G351" i="12"/>
  <c r="E351" i="12"/>
  <c r="C351" i="12"/>
  <c r="B351" i="12"/>
  <c r="A351" i="12"/>
  <c r="H350" i="12"/>
  <c r="G350" i="12"/>
  <c r="E350" i="12"/>
  <c r="C350" i="12"/>
  <c r="B350" i="12"/>
  <c r="A350" i="12"/>
  <c r="H349" i="12"/>
  <c r="G349" i="12"/>
  <c r="E349" i="12"/>
  <c r="C349" i="12"/>
  <c r="B349" i="12"/>
  <c r="A349" i="12"/>
  <c r="H348" i="12"/>
  <c r="G348" i="12"/>
  <c r="E348" i="12"/>
  <c r="C348" i="12"/>
  <c r="B348" i="12"/>
  <c r="A348" i="12"/>
  <c r="H347" i="12"/>
  <c r="G347" i="12"/>
  <c r="E347" i="12"/>
  <c r="C347" i="12"/>
  <c r="B347" i="12"/>
  <c r="A347" i="12"/>
  <c r="H346" i="12"/>
  <c r="G346" i="12"/>
  <c r="E346" i="12"/>
  <c r="C346" i="12"/>
  <c r="B346" i="12"/>
  <c r="A346" i="12"/>
  <c r="H345" i="12"/>
  <c r="G345" i="12"/>
  <c r="E345" i="12"/>
  <c r="C345" i="12"/>
  <c r="B345" i="12"/>
  <c r="A345" i="12"/>
  <c r="H344" i="12"/>
  <c r="G344" i="12"/>
  <c r="E344" i="12"/>
  <c r="C344" i="12"/>
  <c r="B344" i="12"/>
  <c r="A344" i="12"/>
  <c r="H343" i="12"/>
  <c r="G343" i="12"/>
  <c r="E343" i="12"/>
  <c r="C343" i="12"/>
  <c r="B343" i="12"/>
  <c r="A343" i="12"/>
  <c r="H342" i="12"/>
  <c r="G342" i="12"/>
  <c r="E342" i="12"/>
  <c r="C342" i="12"/>
  <c r="B342" i="12"/>
  <c r="A342" i="12"/>
  <c r="H341" i="12"/>
  <c r="G341" i="12"/>
  <c r="E341" i="12"/>
  <c r="C341" i="12"/>
  <c r="B341" i="12"/>
  <c r="A341" i="12"/>
  <c r="H340" i="12"/>
  <c r="G340" i="12"/>
  <c r="E340" i="12"/>
  <c r="C340" i="12"/>
  <c r="B340" i="12"/>
  <c r="A340" i="12"/>
  <c r="H339" i="12"/>
  <c r="G339" i="12"/>
  <c r="E339" i="12"/>
  <c r="C339" i="12"/>
  <c r="B339" i="12"/>
  <c r="A339" i="12"/>
  <c r="H338" i="12"/>
  <c r="G338" i="12"/>
  <c r="E338" i="12"/>
  <c r="C338" i="12"/>
  <c r="B338" i="12"/>
  <c r="A338" i="12"/>
  <c r="H337" i="12"/>
  <c r="G337" i="12"/>
  <c r="E337" i="12"/>
  <c r="C337" i="12"/>
  <c r="B337" i="12"/>
  <c r="A337" i="12"/>
  <c r="H336" i="12"/>
  <c r="G336" i="12"/>
  <c r="E336" i="12"/>
  <c r="C336" i="12"/>
  <c r="B336" i="12"/>
  <c r="A336" i="12"/>
  <c r="H335" i="12"/>
  <c r="G335" i="12"/>
  <c r="E335" i="12"/>
  <c r="C335" i="12"/>
  <c r="B335" i="12"/>
  <c r="A335" i="12"/>
  <c r="H334" i="12"/>
  <c r="G334" i="12"/>
  <c r="E334" i="12"/>
  <c r="C334" i="12"/>
  <c r="B334" i="12"/>
  <c r="A334" i="12"/>
  <c r="H333" i="12"/>
  <c r="G333" i="12"/>
  <c r="E333" i="12"/>
  <c r="C333" i="12"/>
  <c r="B333" i="12"/>
  <c r="A333" i="12"/>
  <c r="H332" i="12"/>
  <c r="G332" i="12"/>
  <c r="E332" i="12"/>
  <c r="C332" i="12"/>
  <c r="B332" i="12"/>
  <c r="A332" i="12"/>
  <c r="H331" i="12"/>
  <c r="G331" i="12"/>
  <c r="E331" i="12"/>
  <c r="C331" i="12"/>
  <c r="B331" i="12"/>
  <c r="A331" i="12"/>
  <c r="H330" i="12"/>
  <c r="G330" i="12"/>
  <c r="E330" i="12"/>
  <c r="C330" i="12"/>
  <c r="B330" i="12"/>
  <c r="A330" i="12"/>
  <c r="H329" i="12"/>
  <c r="G329" i="12"/>
  <c r="E329" i="12"/>
  <c r="C329" i="12"/>
  <c r="B329" i="12"/>
  <c r="A329" i="12"/>
  <c r="H328" i="12"/>
  <c r="G328" i="12"/>
  <c r="E328" i="12"/>
  <c r="C328" i="12"/>
  <c r="B328" i="12"/>
  <c r="A328" i="12"/>
  <c r="H327" i="12"/>
  <c r="G327" i="12"/>
  <c r="E327" i="12"/>
  <c r="C327" i="12"/>
  <c r="B327" i="12"/>
  <c r="A327" i="12"/>
  <c r="H326" i="12"/>
  <c r="G326" i="12"/>
  <c r="E326" i="12"/>
  <c r="C326" i="12"/>
  <c r="B326" i="12"/>
  <c r="A326" i="12"/>
  <c r="H325" i="12"/>
  <c r="G325" i="12"/>
  <c r="E325" i="12"/>
  <c r="C325" i="12"/>
  <c r="B325" i="12"/>
  <c r="A325" i="12"/>
  <c r="H324" i="12"/>
  <c r="G324" i="12"/>
  <c r="E324" i="12"/>
  <c r="C324" i="12"/>
  <c r="B324" i="12"/>
  <c r="A324" i="12"/>
  <c r="H323" i="12"/>
  <c r="G323" i="12"/>
  <c r="E323" i="12"/>
  <c r="C323" i="12"/>
  <c r="B323" i="12"/>
  <c r="A323" i="12"/>
  <c r="H322" i="12"/>
  <c r="G322" i="12"/>
  <c r="E322" i="12"/>
  <c r="C322" i="12"/>
  <c r="B322" i="12"/>
  <c r="A322" i="12"/>
  <c r="H321" i="12"/>
  <c r="G321" i="12"/>
  <c r="E321" i="12"/>
  <c r="C321" i="12"/>
  <c r="B321" i="12"/>
  <c r="A321" i="12"/>
  <c r="H320" i="12"/>
  <c r="G320" i="12"/>
  <c r="E320" i="12"/>
  <c r="C320" i="12"/>
  <c r="B320" i="12"/>
  <c r="A320" i="12"/>
  <c r="H319" i="12"/>
  <c r="G319" i="12"/>
  <c r="E319" i="12"/>
  <c r="C319" i="12"/>
  <c r="B319" i="12"/>
  <c r="A319" i="12"/>
  <c r="H318" i="12"/>
  <c r="G318" i="12"/>
  <c r="E318" i="12"/>
  <c r="C318" i="12"/>
  <c r="B318" i="12"/>
  <c r="A318" i="12"/>
  <c r="H317" i="12"/>
  <c r="G317" i="12"/>
  <c r="E317" i="12"/>
  <c r="C317" i="12"/>
  <c r="B317" i="12"/>
  <c r="A317" i="12"/>
  <c r="H316" i="12"/>
  <c r="G316" i="12"/>
  <c r="E316" i="12"/>
  <c r="C316" i="12"/>
  <c r="B316" i="12"/>
  <c r="A316" i="12"/>
  <c r="H315" i="12"/>
  <c r="G315" i="12"/>
  <c r="E315" i="12"/>
  <c r="C315" i="12"/>
  <c r="B315" i="12"/>
  <c r="A315" i="12"/>
  <c r="H314" i="12"/>
  <c r="G314" i="12"/>
  <c r="E314" i="12"/>
  <c r="C314" i="12"/>
  <c r="B314" i="12"/>
  <c r="A314" i="12"/>
  <c r="H313" i="12"/>
  <c r="G313" i="12"/>
  <c r="E313" i="12"/>
  <c r="C313" i="12"/>
  <c r="B313" i="12"/>
  <c r="A313" i="12"/>
  <c r="H312" i="12"/>
  <c r="G312" i="12"/>
  <c r="E312" i="12"/>
  <c r="C312" i="12"/>
  <c r="B312" i="12"/>
  <c r="A312" i="12"/>
  <c r="H311" i="12"/>
  <c r="G311" i="12"/>
  <c r="E311" i="12"/>
  <c r="C311" i="12"/>
  <c r="B311" i="12"/>
  <c r="A311" i="12"/>
  <c r="H310" i="12"/>
  <c r="G310" i="12"/>
  <c r="E310" i="12"/>
  <c r="C310" i="12"/>
  <c r="B310" i="12"/>
  <c r="A310" i="12"/>
  <c r="H309" i="12"/>
  <c r="G309" i="12"/>
  <c r="E309" i="12"/>
  <c r="C309" i="12"/>
  <c r="B309" i="12"/>
  <c r="A309" i="12"/>
  <c r="H308" i="12"/>
  <c r="G308" i="12"/>
  <c r="E308" i="12"/>
  <c r="C308" i="12"/>
  <c r="B308" i="12"/>
  <c r="A308" i="12"/>
  <c r="H307" i="12"/>
  <c r="G307" i="12"/>
  <c r="E307" i="12"/>
  <c r="C307" i="12"/>
  <c r="B307" i="12"/>
  <c r="A307" i="12"/>
  <c r="H306" i="12"/>
  <c r="G306" i="12"/>
  <c r="E306" i="12"/>
  <c r="C306" i="12"/>
  <c r="B306" i="12"/>
  <c r="A306" i="12"/>
  <c r="H305" i="12"/>
  <c r="G305" i="12"/>
  <c r="E305" i="12"/>
  <c r="C305" i="12"/>
  <c r="B305" i="12"/>
  <c r="A305" i="12"/>
  <c r="H304" i="12"/>
  <c r="G304" i="12"/>
  <c r="E304" i="12"/>
  <c r="C304" i="12"/>
  <c r="B304" i="12"/>
  <c r="A304" i="12"/>
  <c r="H303" i="12"/>
  <c r="G303" i="12"/>
  <c r="E303" i="12"/>
  <c r="C303" i="12"/>
  <c r="B303" i="12"/>
  <c r="A303" i="12"/>
  <c r="H302" i="12"/>
  <c r="G302" i="12"/>
  <c r="E302" i="12"/>
  <c r="C302" i="12"/>
  <c r="B302" i="12"/>
  <c r="A302" i="12"/>
  <c r="H301" i="12"/>
  <c r="G301" i="12"/>
  <c r="E301" i="12"/>
  <c r="C301" i="12"/>
  <c r="B301" i="12"/>
  <c r="A301" i="12"/>
  <c r="H300" i="12"/>
  <c r="G300" i="12"/>
  <c r="E300" i="12"/>
  <c r="C300" i="12"/>
  <c r="B300" i="12"/>
  <c r="A300" i="12"/>
  <c r="H299" i="12"/>
  <c r="G299" i="12"/>
  <c r="E299" i="12"/>
  <c r="C299" i="12"/>
  <c r="B299" i="12"/>
  <c r="A299" i="12"/>
  <c r="H298" i="12"/>
  <c r="G298" i="12"/>
  <c r="E298" i="12"/>
  <c r="C298" i="12"/>
  <c r="B298" i="12"/>
  <c r="A298" i="12"/>
  <c r="H297" i="12"/>
  <c r="G297" i="12"/>
  <c r="E297" i="12"/>
  <c r="C297" i="12"/>
  <c r="B297" i="12"/>
  <c r="A297" i="12"/>
  <c r="H296" i="12"/>
  <c r="G296" i="12"/>
  <c r="E296" i="12"/>
  <c r="C296" i="12"/>
  <c r="B296" i="12"/>
  <c r="A296" i="12"/>
  <c r="H295" i="12"/>
  <c r="G295" i="12"/>
  <c r="E295" i="12"/>
  <c r="C295" i="12"/>
  <c r="B295" i="12"/>
  <c r="A295" i="12"/>
  <c r="H294" i="12"/>
  <c r="G294" i="12"/>
  <c r="E294" i="12"/>
  <c r="C294" i="12"/>
  <c r="B294" i="12"/>
  <c r="A294" i="12"/>
  <c r="H293" i="12"/>
  <c r="G293" i="12"/>
  <c r="E293" i="12"/>
  <c r="C293" i="12"/>
  <c r="B293" i="12"/>
  <c r="A293" i="12"/>
  <c r="H292" i="12"/>
  <c r="G292" i="12"/>
  <c r="E292" i="12"/>
  <c r="C292" i="12"/>
  <c r="B292" i="12"/>
  <c r="A292" i="12"/>
  <c r="H291" i="12"/>
  <c r="G291" i="12"/>
  <c r="E291" i="12"/>
  <c r="C291" i="12"/>
  <c r="B291" i="12"/>
  <c r="A291" i="12"/>
  <c r="H290" i="12"/>
  <c r="G290" i="12"/>
  <c r="E290" i="12"/>
  <c r="C290" i="12"/>
  <c r="B290" i="12"/>
  <c r="A290" i="12"/>
  <c r="H289" i="12"/>
  <c r="G289" i="12"/>
  <c r="E289" i="12"/>
  <c r="C289" i="12"/>
  <c r="B289" i="12"/>
  <c r="A289" i="12"/>
  <c r="H288" i="12"/>
  <c r="G288" i="12"/>
  <c r="E288" i="12"/>
  <c r="C288" i="12"/>
  <c r="B288" i="12"/>
  <c r="A288" i="12"/>
  <c r="H287" i="12"/>
  <c r="G287" i="12"/>
  <c r="E287" i="12"/>
  <c r="C287" i="12"/>
  <c r="B287" i="12"/>
  <c r="A287" i="12"/>
  <c r="H286" i="12"/>
  <c r="G286" i="12"/>
  <c r="E286" i="12"/>
  <c r="C286" i="12"/>
  <c r="B286" i="12"/>
  <c r="A286" i="12"/>
  <c r="H285" i="12"/>
  <c r="G285" i="12"/>
  <c r="E285" i="12"/>
  <c r="C285" i="12"/>
  <c r="B285" i="12"/>
  <c r="A285" i="12"/>
  <c r="H284" i="12"/>
  <c r="G284" i="12"/>
  <c r="E284" i="12"/>
  <c r="C284" i="12"/>
  <c r="B284" i="12"/>
  <c r="A284" i="12"/>
  <c r="H283" i="12"/>
  <c r="G283" i="12"/>
  <c r="E283" i="12"/>
  <c r="C283" i="12"/>
  <c r="B283" i="12"/>
  <c r="A283" i="12"/>
  <c r="H282" i="12"/>
  <c r="G282" i="12"/>
  <c r="E282" i="12"/>
  <c r="C282" i="12"/>
  <c r="B282" i="12"/>
  <c r="A282" i="12"/>
  <c r="H281" i="12"/>
  <c r="G281" i="12"/>
  <c r="E281" i="12"/>
  <c r="C281" i="12"/>
  <c r="B281" i="12"/>
  <c r="A281" i="12"/>
  <c r="H280" i="12"/>
  <c r="G280" i="12"/>
  <c r="E280" i="12"/>
  <c r="C280" i="12"/>
  <c r="B280" i="12"/>
  <c r="A280" i="12"/>
  <c r="H279" i="12"/>
  <c r="G279" i="12"/>
  <c r="E279" i="12"/>
  <c r="C279" i="12"/>
  <c r="B279" i="12"/>
  <c r="A279" i="12"/>
  <c r="H278" i="12"/>
  <c r="G278" i="12"/>
  <c r="E278" i="12"/>
  <c r="C278" i="12"/>
  <c r="B278" i="12"/>
  <c r="A278" i="12"/>
  <c r="H277" i="12"/>
  <c r="G277" i="12"/>
  <c r="E277" i="12"/>
  <c r="C277" i="12"/>
  <c r="B277" i="12"/>
  <c r="A277" i="12"/>
  <c r="H276" i="12"/>
  <c r="G276" i="12"/>
  <c r="E276" i="12"/>
  <c r="C276" i="12"/>
  <c r="B276" i="12"/>
  <c r="A276" i="12"/>
  <c r="H275" i="12"/>
  <c r="G275" i="12"/>
  <c r="E275" i="12"/>
  <c r="C275" i="12"/>
  <c r="B275" i="12"/>
  <c r="A275" i="12"/>
  <c r="H274" i="12"/>
  <c r="G274" i="12"/>
  <c r="E274" i="12"/>
  <c r="C274" i="12"/>
  <c r="B274" i="12"/>
  <c r="A274" i="12"/>
  <c r="H273" i="12"/>
  <c r="G273" i="12"/>
  <c r="E273" i="12"/>
  <c r="C273" i="12"/>
  <c r="B273" i="12"/>
  <c r="A273" i="12"/>
  <c r="H272" i="12"/>
  <c r="G272" i="12"/>
  <c r="E272" i="12"/>
  <c r="C272" i="12"/>
  <c r="B272" i="12"/>
  <c r="A272" i="12"/>
  <c r="H271" i="12"/>
  <c r="G271" i="12"/>
  <c r="E271" i="12"/>
  <c r="C271" i="12"/>
  <c r="B271" i="12"/>
  <c r="A271" i="12"/>
  <c r="H270" i="12"/>
  <c r="G270" i="12"/>
  <c r="E270" i="12"/>
  <c r="C270" i="12"/>
  <c r="B270" i="12"/>
  <c r="A270" i="12"/>
  <c r="H269" i="12"/>
  <c r="G269" i="12"/>
  <c r="E269" i="12"/>
  <c r="C269" i="12"/>
  <c r="B269" i="12"/>
  <c r="A269" i="12"/>
  <c r="H268" i="12"/>
  <c r="G268" i="12"/>
  <c r="E268" i="12"/>
  <c r="C268" i="12"/>
  <c r="B268" i="12"/>
  <c r="A268" i="12"/>
  <c r="H267" i="12"/>
  <c r="G267" i="12"/>
  <c r="E267" i="12"/>
  <c r="C267" i="12"/>
  <c r="B267" i="12"/>
  <c r="A267" i="12"/>
  <c r="H266" i="12"/>
  <c r="G266" i="12"/>
  <c r="E266" i="12"/>
  <c r="C266" i="12"/>
  <c r="B266" i="12"/>
  <c r="A266" i="12"/>
  <c r="H265" i="12"/>
  <c r="G265" i="12"/>
  <c r="E265" i="12"/>
  <c r="C265" i="12"/>
  <c r="B265" i="12"/>
  <c r="A265" i="12"/>
  <c r="H264" i="12"/>
  <c r="G264" i="12"/>
  <c r="E264" i="12"/>
  <c r="C264" i="12"/>
  <c r="B264" i="12"/>
  <c r="A264" i="12"/>
  <c r="H263" i="12"/>
  <c r="G263" i="12"/>
  <c r="E263" i="12"/>
  <c r="C263" i="12"/>
  <c r="B263" i="12"/>
  <c r="A263" i="12"/>
  <c r="H262" i="12"/>
  <c r="G262" i="12"/>
  <c r="E262" i="12"/>
  <c r="C262" i="12"/>
  <c r="B262" i="12"/>
  <c r="A262" i="12"/>
  <c r="H261" i="12"/>
  <c r="G261" i="12"/>
  <c r="E261" i="12"/>
  <c r="C261" i="12"/>
  <c r="B261" i="12"/>
  <c r="A261" i="12"/>
  <c r="H260" i="12"/>
  <c r="G260" i="12"/>
  <c r="E260" i="12"/>
  <c r="C260" i="12"/>
  <c r="B260" i="12"/>
  <c r="A260" i="12"/>
  <c r="H259" i="12"/>
  <c r="G259" i="12"/>
  <c r="E259" i="12"/>
  <c r="C259" i="12"/>
  <c r="B259" i="12"/>
  <c r="A259" i="12"/>
  <c r="H258" i="12"/>
  <c r="G258" i="12"/>
  <c r="E258" i="12"/>
  <c r="C258" i="12"/>
  <c r="B258" i="12"/>
  <c r="A258" i="12"/>
  <c r="H257" i="12"/>
  <c r="G257" i="12"/>
  <c r="E257" i="12"/>
  <c r="C257" i="12"/>
  <c r="B257" i="12"/>
  <c r="A257" i="12"/>
  <c r="H256" i="12"/>
  <c r="G256" i="12"/>
  <c r="E256" i="12"/>
  <c r="C256" i="12"/>
  <c r="B256" i="12"/>
  <c r="A256" i="12"/>
  <c r="H255" i="12"/>
  <c r="G255" i="12"/>
  <c r="E255" i="12"/>
  <c r="C255" i="12"/>
  <c r="B255" i="12"/>
  <c r="A255" i="12"/>
  <c r="H254" i="12"/>
  <c r="G254" i="12"/>
  <c r="E254" i="12"/>
  <c r="C254" i="12"/>
  <c r="B254" i="12"/>
  <c r="A254" i="12"/>
  <c r="H253" i="12"/>
  <c r="G253" i="12"/>
  <c r="E253" i="12"/>
  <c r="C253" i="12"/>
  <c r="B253" i="12"/>
  <c r="A253" i="12"/>
  <c r="H252" i="12"/>
  <c r="G252" i="12"/>
  <c r="E252" i="12"/>
  <c r="C252" i="12"/>
  <c r="B252" i="12"/>
  <c r="A252" i="12"/>
  <c r="H251" i="12"/>
  <c r="G251" i="12"/>
  <c r="E251" i="12"/>
  <c r="C251" i="12"/>
  <c r="B251" i="12"/>
  <c r="A251" i="12"/>
  <c r="H250" i="12"/>
  <c r="G250" i="12"/>
  <c r="E250" i="12"/>
  <c r="C250" i="12"/>
  <c r="B250" i="12"/>
  <c r="A250" i="12"/>
  <c r="H249" i="12"/>
  <c r="G249" i="12"/>
  <c r="E249" i="12"/>
  <c r="C249" i="12"/>
  <c r="B249" i="12"/>
  <c r="A249" i="12"/>
  <c r="H248" i="12"/>
  <c r="G248" i="12"/>
  <c r="E248" i="12"/>
  <c r="C248" i="12"/>
  <c r="B248" i="12"/>
  <c r="A248" i="12"/>
  <c r="H247" i="12"/>
  <c r="G247" i="12"/>
  <c r="E247" i="12"/>
  <c r="C247" i="12"/>
  <c r="B247" i="12"/>
  <c r="A247" i="12"/>
  <c r="H246" i="12"/>
  <c r="G246" i="12"/>
  <c r="E246" i="12"/>
  <c r="C246" i="12"/>
  <c r="B246" i="12"/>
  <c r="A246" i="12"/>
  <c r="H245" i="12"/>
  <c r="G245" i="12"/>
  <c r="E245" i="12"/>
  <c r="C245" i="12"/>
  <c r="B245" i="12"/>
  <c r="A245" i="12"/>
  <c r="H244" i="12"/>
  <c r="G244" i="12"/>
  <c r="E244" i="12"/>
  <c r="C244" i="12"/>
  <c r="B244" i="12"/>
  <c r="A244" i="12"/>
  <c r="H243" i="12"/>
  <c r="G243" i="12"/>
  <c r="E243" i="12"/>
  <c r="C243" i="12"/>
  <c r="B243" i="12"/>
  <c r="A243" i="12"/>
  <c r="H242" i="12"/>
  <c r="G242" i="12"/>
  <c r="E242" i="12"/>
  <c r="C242" i="12"/>
  <c r="B242" i="12"/>
  <c r="A242" i="12"/>
  <c r="H241" i="12"/>
  <c r="G241" i="12"/>
  <c r="E241" i="12"/>
  <c r="C241" i="12"/>
  <c r="B241" i="12"/>
  <c r="A241" i="12"/>
  <c r="H240" i="12"/>
  <c r="G240" i="12"/>
  <c r="E240" i="12"/>
  <c r="C240" i="12"/>
  <c r="B240" i="12"/>
  <c r="A240" i="12"/>
  <c r="H239" i="12"/>
  <c r="G239" i="12"/>
  <c r="E239" i="12"/>
  <c r="C239" i="12"/>
  <c r="B239" i="12"/>
  <c r="A239" i="12"/>
  <c r="H238" i="12"/>
  <c r="G238" i="12"/>
  <c r="E238" i="12"/>
  <c r="C238" i="12"/>
  <c r="B238" i="12"/>
  <c r="A238" i="12"/>
  <c r="H237" i="12"/>
  <c r="G237" i="12"/>
  <c r="E237" i="12"/>
  <c r="C237" i="12"/>
  <c r="B237" i="12"/>
  <c r="A237" i="12"/>
  <c r="H236" i="12"/>
  <c r="G236" i="12"/>
  <c r="E236" i="12"/>
  <c r="C236" i="12"/>
  <c r="B236" i="12"/>
  <c r="A236" i="12"/>
  <c r="H235" i="12"/>
  <c r="G235" i="12"/>
  <c r="E235" i="12"/>
  <c r="C235" i="12"/>
  <c r="B235" i="12"/>
  <c r="A235" i="12"/>
  <c r="H234" i="12"/>
  <c r="G234" i="12"/>
  <c r="E234" i="12"/>
  <c r="C234" i="12"/>
  <c r="B234" i="12"/>
  <c r="A234" i="12"/>
  <c r="H233" i="12"/>
  <c r="G233" i="12"/>
  <c r="E233" i="12"/>
  <c r="C233" i="12"/>
  <c r="B233" i="12"/>
  <c r="A233" i="12"/>
  <c r="H232" i="12"/>
  <c r="G232" i="12"/>
  <c r="E232" i="12"/>
  <c r="C232" i="12"/>
  <c r="B232" i="12"/>
  <c r="A232" i="12"/>
  <c r="H231" i="12"/>
  <c r="G231" i="12"/>
  <c r="E231" i="12"/>
  <c r="C231" i="12"/>
  <c r="B231" i="12"/>
  <c r="A231" i="12"/>
  <c r="H230" i="12"/>
  <c r="G230" i="12"/>
  <c r="E230" i="12"/>
  <c r="C230" i="12"/>
  <c r="B230" i="12"/>
  <c r="A230" i="12"/>
  <c r="H229" i="12"/>
  <c r="G229" i="12"/>
  <c r="E229" i="12"/>
  <c r="C229" i="12"/>
  <c r="B229" i="12"/>
  <c r="A229" i="12"/>
  <c r="H228" i="12"/>
  <c r="G228" i="12"/>
  <c r="E228" i="12"/>
  <c r="C228" i="12"/>
  <c r="B228" i="12"/>
  <c r="A228" i="12"/>
  <c r="H227" i="12"/>
  <c r="G227" i="12"/>
  <c r="E227" i="12"/>
  <c r="C227" i="12"/>
  <c r="B227" i="12"/>
  <c r="A227" i="12"/>
  <c r="H226" i="12"/>
  <c r="G226" i="12"/>
  <c r="E226" i="12"/>
  <c r="C226" i="12"/>
  <c r="B226" i="12"/>
  <c r="A226" i="12"/>
  <c r="H225" i="12"/>
  <c r="G225" i="12"/>
  <c r="E225" i="12"/>
  <c r="C225" i="12"/>
  <c r="B225" i="12"/>
  <c r="A225" i="12"/>
  <c r="H224" i="12"/>
  <c r="G224" i="12"/>
  <c r="E224" i="12"/>
  <c r="C224" i="12"/>
  <c r="B224" i="12"/>
  <c r="A224" i="12"/>
  <c r="H223" i="12"/>
  <c r="G223" i="12"/>
  <c r="E223" i="12"/>
  <c r="C223" i="12"/>
  <c r="B223" i="12"/>
  <c r="A223" i="12"/>
  <c r="H222" i="12"/>
  <c r="G222" i="12"/>
  <c r="E222" i="12"/>
  <c r="C222" i="12"/>
  <c r="B222" i="12"/>
  <c r="A222" i="12"/>
  <c r="H221" i="12"/>
  <c r="G221" i="12"/>
  <c r="E221" i="12"/>
  <c r="C221" i="12"/>
  <c r="B221" i="12"/>
  <c r="A221" i="12"/>
  <c r="H220" i="12"/>
  <c r="G220" i="12"/>
  <c r="E220" i="12"/>
  <c r="C220" i="12"/>
  <c r="B220" i="12"/>
  <c r="A220" i="12"/>
  <c r="H219" i="12"/>
  <c r="G219" i="12"/>
  <c r="E219" i="12"/>
  <c r="C219" i="12"/>
  <c r="B219" i="12"/>
  <c r="A219" i="12"/>
  <c r="H218" i="12"/>
  <c r="G218" i="12"/>
  <c r="E218" i="12"/>
  <c r="C218" i="12"/>
  <c r="B218" i="12"/>
  <c r="A218" i="12"/>
  <c r="H217" i="12"/>
  <c r="G217" i="12"/>
  <c r="E217" i="12"/>
  <c r="C217" i="12"/>
  <c r="B217" i="12"/>
  <c r="A217" i="12"/>
  <c r="H216" i="12"/>
  <c r="G216" i="12"/>
  <c r="E216" i="12"/>
  <c r="C216" i="12"/>
  <c r="B216" i="12"/>
  <c r="A216" i="12"/>
  <c r="H215" i="12"/>
  <c r="G215" i="12"/>
  <c r="E215" i="12"/>
  <c r="C215" i="12"/>
  <c r="B215" i="12"/>
  <c r="A215" i="12"/>
  <c r="H214" i="12"/>
  <c r="G214" i="12"/>
  <c r="E214" i="12"/>
  <c r="C214" i="12"/>
  <c r="B214" i="12"/>
  <c r="A214" i="12"/>
  <c r="H213" i="12"/>
  <c r="G213" i="12"/>
  <c r="E213" i="12"/>
  <c r="C213" i="12"/>
  <c r="B213" i="12"/>
  <c r="A213" i="12"/>
  <c r="H212" i="12"/>
  <c r="G212" i="12"/>
  <c r="E212" i="12"/>
  <c r="C212" i="12"/>
  <c r="B212" i="12"/>
  <c r="A212" i="12"/>
  <c r="H211" i="12"/>
  <c r="G211" i="12"/>
  <c r="E211" i="12"/>
  <c r="C211" i="12"/>
  <c r="B211" i="12"/>
  <c r="A211" i="12"/>
  <c r="H210" i="12"/>
  <c r="G210" i="12"/>
  <c r="E210" i="12"/>
  <c r="C210" i="12"/>
  <c r="B210" i="12"/>
  <c r="A210" i="12"/>
  <c r="H209" i="12"/>
  <c r="G209" i="12"/>
  <c r="E209" i="12"/>
  <c r="C209" i="12"/>
  <c r="B209" i="12"/>
  <c r="A209" i="12"/>
  <c r="H208" i="12"/>
  <c r="G208" i="12"/>
  <c r="E208" i="12"/>
  <c r="C208" i="12"/>
  <c r="B208" i="12"/>
  <c r="A208" i="12"/>
  <c r="H207" i="12"/>
  <c r="G207" i="12"/>
  <c r="E207" i="12"/>
  <c r="C207" i="12"/>
  <c r="B207" i="12"/>
  <c r="A207" i="12"/>
  <c r="H206" i="12"/>
  <c r="G206" i="12"/>
  <c r="E206" i="12"/>
  <c r="C206" i="12"/>
  <c r="B206" i="12"/>
  <c r="A206" i="12"/>
  <c r="H205" i="12"/>
  <c r="G205" i="12"/>
  <c r="E205" i="12"/>
  <c r="C205" i="12"/>
  <c r="B205" i="12"/>
  <c r="A205" i="12"/>
  <c r="H204" i="12"/>
  <c r="G204" i="12"/>
  <c r="E204" i="12"/>
  <c r="C204" i="12"/>
  <c r="B204" i="12"/>
  <c r="A204" i="12"/>
  <c r="H203" i="12"/>
  <c r="G203" i="12"/>
  <c r="E203" i="12"/>
  <c r="C203" i="12"/>
  <c r="B203" i="12"/>
  <c r="A203" i="12"/>
  <c r="H202" i="12"/>
  <c r="G202" i="12"/>
  <c r="E202" i="12"/>
  <c r="C202" i="12"/>
  <c r="B202" i="12"/>
  <c r="A202" i="12"/>
  <c r="H201" i="12"/>
  <c r="G201" i="12"/>
  <c r="E201" i="12"/>
  <c r="C201" i="12"/>
  <c r="B201" i="12"/>
  <c r="A201" i="12"/>
  <c r="H200" i="12"/>
  <c r="G200" i="12"/>
  <c r="E200" i="12"/>
  <c r="C200" i="12"/>
  <c r="B200" i="12"/>
  <c r="A200" i="12"/>
  <c r="H199" i="12"/>
  <c r="G199" i="12"/>
  <c r="E199" i="12"/>
  <c r="C199" i="12"/>
  <c r="B199" i="12"/>
  <c r="A199" i="12"/>
  <c r="H198" i="12"/>
  <c r="G198" i="12"/>
  <c r="E198" i="12"/>
  <c r="C198" i="12"/>
  <c r="B198" i="12"/>
  <c r="A198" i="12"/>
  <c r="H197" i="12"/>
  <c r="G197" i="12"/>
  <c r="E197" i="12"/>
  <c r="C197" i="12"/>
  <c r="B197" i="12"/>
  <c r="A197" i="12"/>
  <c r="H196" i="12"/>
  <c r="G196" i="12"/>
  <c r="E196" i="12"/>
  <c r="C196" i="12"/>
  <c r="B196" i="12"/>
  <c r="A196" i="12"/>
  <c r="H195" i="12"/>
  <c r="G195" i="12"/>
  <c r="E195" i="12"/>
  <c r="C195" i="12"/>
  <c r="B195" i="12"/>
  <c r="A195" i="12"/>
  <c r="H194" i="12"/>
  <c r="G194" i="12"/>
  <c r="E194" i="12"/>
  <c r="C194" i="12"/>
  <c r="B194" i="12"/>
  <c r="A194" i="12"/>
  <c r="H193" i="12"/>
  <c r="G193" i="12"/>
  <c r="E193" i="12"/>
  <c r="C193" i="12"/>
  <c r="B193" i="12"/>
  <c r="A193" i="12"/>
  <c r="H192" i="12"/>
  <c r="G192" i="12"/>
  <c r="E192" i="12"/>
  <c r="C192" i="12"/>
  <c r="B192" i="12"/>
  <c r="A192" i="12"/>
  <c r="H191" i="12"/>
  <c r="G191" i="12"/>
  <c r="E191" i="12"/>
  <c r="C191" i="12"/>
  <c r="B191" i="12"/>
  <c r="A191" i="12"/>
  <c r="H190" i="12"/>
  <c r="G190" i="12"/>
  <c r="E190" i="12"/>
  <c r="C190" i="12"/>
  <c r="B190" i="12"/>
  <c r="A190" i="12"/>
  <c r="H189" i="12"/>
  <c r="G189" i="12"/>
  <c r="E189" i="12"/>
  <c r="C189" i="12"/>
  <c r="B189" i="12"/>
  <c r="A189" i="12"/>
  <c r="H188" i="12"/>
  <c r="G188" i="12"/>
  <c r="E188" i="12"/>
  <c r="C188" i="12"/>
  <c r="B188" i="12"/>
  <c r="A188" i="12"/>
  <c r="H187" i="12"/>
  <c r="G187" i="12"/>
  <c r="E187" i="12"/>
  <c r="C187" i="12"/>
  <c r="B187" i="12"/>
  <c r="A187" i="12"/>
  <c r="H186" i="12"/>
  <c r="G186" i="12"/>
  <c r="E186" i="12"/>
  <c r="C186" i="12"/>
  <c r="B186" i="12"/>
  <c r="A186" i="12"/>
  <c r="H185" i="12"/>
  <c r="G185" i="12"/>
  <c r="E185" i="12"/>
  <c r="C185" i="12"/>
  <c r="B185" i="12"/>
  <c r="A185" i="12"/>
  <c r="H184" i="12"/>
  <c r="G184" i="12"/>
  <c r="E184" i="12"/>
  <c r="C184" i="12"/>
  <c r="B184" i="12"/>
  <c r="A184" i="12"/>
  <c r="H183" i="12"/>
  <c r="G183" i="12"/>
  <c r="E183" i="12"/>
  <c r="C183" i="12"/>
  <c r="B183" i="12"/>
  <c r="A183" i="12"/>
  <c r="H182" i="12"/>
  <c r="G182" i="12"/>
  <c r="E182" i="12"/>
  <c r="C182" i="12"/>
  <c r="B182" i="12"/>
  <c r="A182" i="12"/>
  <c r="H181" i="12"/>
  <c r="G181" i="12"/>
  <c r="E181" i="12"/>
  <c r="C181" i="12"/>
  <c r="B181" i="12"/>
  <c r="A181" i="12"/>
  <c r="H180" i="12"/>
  <c r="G180" i="12"/>
  <c r="E180" i="12"/>
  <c r="C180" i="12"/>
  <c r="B180" i="12"/>
  <c r="A180" i="12"/>
  <c r="H179" i="12"/>
  <c r="G179" i="12"/>
  <c r="E179" i="12"/>
  <c r="C179" i="12"/>
  <c r="B179" i="12"/>
  <c r="A179" i="12"/>
  <c r="H178" i="12"/>
  <c r="G178" i="12"/>
  <c r="E178" i="12"/>
  <c r="C178" i="12"/>
  <c r="B178" i="12"/>
  <c r="A178" i="12"/>
  <c r="H177" i="12"/>
  <c r="G177" i="12"/>
  <c r="E177" i="12"/>
  <c r="C177" i="12"/>
  <c r="B177" i="12"/>
  <c r="A177" i="12"/>
  <c r="H176" i="12"/>
  <c r="G176" i="12"/>
  <c r="E176" i="12"/>
  <c r="C176" i="12"/>
  <c r="B176" i="12"/>
  <c r="A176" i="12"/>
  <c r="H175" i="12"/>
  <c r="G175" i="12"/>
  <c r="E175" i="12"/>
  <c r="C175" i="12"/>
  <c r="B175" i="12"/>
  <c r="A175" i="12"/>
  <c r="H174" i="12"/>
  <c r="G174" i="12"/>
  <c r="E174" i="12"/>
  <c r="C174" i="12"/>
  <c r="B174" i="12"/>
  <c r="A174" i="12"/>
  <c r="H173" i="12"/>
  <c r="G173" i="12"/>
  <c r="E173" i="12"/>
  <c r="C173" i="12"/>
  <c r="B173" i="12"/>
  <c r="A173" i="12"/>
  <c r="H172" i="12"/>
  <c r="G172" i="12"/>
  <c r="E172" i="12"/>
  <c r="C172" i="12"/>
  <c r="B172" i="12"/>
  <c r="A172" i="12"/>
  <c r="H171" i="12"/>
  <c r="G171" i="12"/>
  <c r="E171" i="12"/>
  <c r="C171" i="12"/>
  <c r="B171" i="12"/>
  <c r="A171" i="12"/>
  <c r="H170" i="12"/>
  <c r="G170" i="12"/>
  <c r="E170" i="12"/>
  <c r="C170" i="12"/>
  <c r="B170" i="12"/>
  <c r="A170" i="12"/>
  <c r="H169" i="12"/>
  <c r="G169" i="12"/>
  <c r="E169" i="12"/>
  <c r="C169" i="12"/>
  <c r="B169" i="12"/>
  <c r="A169" i="12"/>
  <c r="H168" i="12"/>
  <c r="G168" i="12"/>
  <c r="E168" i="12"/>
  <c r="C168" i="12"/>
  <c r="B168" i="12"/>
  <c r="A168" i="12"/>
  <c r="H167" i="12"/>
  <c r="G167" i="12"/>
  <c r="E167" i="12"/>
  <c r="C167" i="12"/>
  <c r="B167" i="12"/>
  <c r="A167" i="12"/>
  <c r="H166" i="12"/>
  <c r="G166" i="12"/>
  <c r="E166" i="12"/>
  <c r="C166" i="12"/>
  <c r="B166" i="12"/>
  <c r="A166" i="12"/>
  <c r="H165" i="12"/>
  <c r="G165" i="12"/>
  <c r="E165" i="12"/>
  <c r="C165" i="12"/>
  <c r="B165" i="12"/>
  <c r="A165" i="12"/>
  <c r="H164" i="12"/>
  <c r="G164" i="12"/>
  <c r="E164" i="12"/>
  <c r="C164" i="12"/>
  <c r="B164" i="12"/>
  <c r="A164" i="12"/>
  <c r="H163" i="12"/>
  <c r="G163" i="12"/>
  <c r="E163" i="12"/>
  <c r="C163" i="12"/>
  <c r="B163" i="12"/>
  <c r="A163" i="12"/>
  <c r="H162" i="12"/>
  <c r="G162" i="12"/>
  <c r="E162" i="12"/>
  <c r="C162" i="12"/>
  <c r="B162" i="12"/>
  <c r="A162" i="12"/>
  <c r="H161" i="12"/>
  <c r="G161" i="12"/>
  <c r="E161" i="12"/>
  <c r="C161" i="12"/>
  <c r="B161" i="12"/>
  <c r="A161" i="12"/>
  <c r="H160" i="12"/>
  <c r="G160" i="12"/>
  <c r="E160" i="12"/>
  <c r="C160" i="12"/>
  <c r="B160" i="12"/>
  <c r="A160" i="12"/>
  <c r="H159" i="12"/>
  <c r="G159" i="12"/>
  <c r="E159" i="12"/>
  <c r="C159" i="12"/>
  <c r="B159" i="12"/>
  <c r="A159" i="12"/>
  <c r="H158" i="12"/>
  <c r="G158" i="12"/>
  <c r="E158" i="12"/>
  <c r="C158" i="12"/>
  <c r="B158" i="12"/>
  <c r="A158" i="12"/>
  <c r="H157" i="12"/>
  <c r="G157" i="12"/>
  <c r="E157" i="12"/>
  <c r="C157" i="12"/>
  <c r="B157" i="12"/>
  <c r="A157" i="12"/>
  <c r="H156" i="12"/>
  <c r="G156" i="12"/>
  <c r="E156" i="12"/>
  <c r="C156" i="12"/>
  <c r="B156" i="12"/>
  <c r="A156" i="12"/>
  <c r="H155" i="12"/>
  <c r="G155" i="12"/>
  <c r="E155" i="12"/>
  <c r="C155" i="12"/>
  <c r="B155" i="12"/>
  <c r="A155" i="12"/>
  <c r="H154" i="12"/>
  <c r="G154" i="12"/>
  <c r="E154" i="12"/>
  <c r="C154" i="12"/>
  <c r="B154" i="12"/>
  <c r="A154" i="12"/>
  <c r="H153" i="12"/>
  <c r="G153" i="12"/>
  <c r="E153" i="12"/>
  <c r="C153" i="12"/>
  <c r="B153" i="12"/>
  <c r="A153" i="12"/>
  <c r="H152" i="12"/>
  <c r="G152" i="12"/>
  <c r="E152" i="12"/>
  <c r="C152" i="12"/>
  <c r="B152" i="12"/>
  <c r="A152" i="12"/>
  <c r="H151" i="12"/>
  <c r="G151" i="12"/>
  <c r="E151" i="12"/>
  <c r="C151" i="12"/>
  <c r="B151" i="12"/>
  <c r="A151" i="12"/>
  <c r="H150" i="12"/>
  <c r="G150" i="12"/>
  <c r="E150" i="12"/>
  <c r="C150" i="12"/>
  <c r="B150" i="12"/>
  <c r="A150" i="12"/>
  <c r="H149" i="12"/>
  <c r="G149" i="12"/>
  <c r="E149" i="12"/>
  <c r="C149" i="12"/>
  <c r="B149" i="12"/>
  <c r="A149" i="12"/>
  <c r="H148" i="12"/>
  <c r="G148" i="12"/>
  <c r="E148" i="12"/>
  <c r="C148" i="12"/>
  <c r="B148" i="12"/>
  <c r="A148" i="12"/>
  <c r="H147" i="12"/>
  <c r="G147" i="12"/>
  <c r="E147" i="12"/>
  <c r="C147" i="12"/>
  <c r="B147" i="12"/>
  <c r="A147" i="12"/>
  <c r="H146" i="12"/>
  <c r="G146" i="12"/>
  <c r="E146" i="12"/>
  <c r="C146" i="12"/>
  <c r="B146" i="12"/>
  <c r="A146" i="12"/>
  <c r="H145" i="12"/>
  <c r="G145" i="12"/>
  <c r="E145" i="12"/>
  <c r="C145" i="12"/>
  <c r="B145" i="12"/>
  <c r="A145" i="12"/>
  <c r="H144" i="12"/>
  <c r="G144" i="12"/>
  <c r="E144" i="12"/>
  <c r="C144" i="12"/>
  <c r="B144" i="12"/>
  <c r="A144" i="12"/>
  <c r="H143" i="12"/>
  <c r="G143" i="12"/>
  <c r="E143" i="12"/>
  <c r="C143" i="12"/>
  <c r="B143" i="12"/>
  <c r="A143" i="12"/>
  <c r="H142" i="12"/>
  <c r="G142" i="12"/>
  <c r="E142" i="12"/>
  <c r="C142" i="12"/>
  <c r="B142" i="12"/>
  <c r="A142" i="12"/>
  <c r="H141" i="12"/>
  <c r="G141" i="12"/>
  <c r="E141" i="12"/>
  <c r="C141" i="12"/>
  <c r="B141" i="12"/>
  <c r="A141" i="12"/>
  <c r="H140" i="12"/>
  <c r="G140" i="12"/>
  <c r="E140" i="12"/>
  <c r="C140" i="12"/>
  <c r="B140" i="12"/>
  <c r="A140" i="12"/>
  <c r="H139" i="12"/>
  <c r="G139" i="12"/>
  <c r="E139" i="12"/>
  <c r="C139" i="12"/>
  <c r="B139" i="12"/>
  <c r="A139" i="12"/>
  <c r="H138" i="12"/>
  <c r="G138" i="12"/>
  <c r="E138" i="12"/>
  <c r="C138" i="12"/>
  <c r="B138" i="12"/>
  <c r="A138" i="12"/>
  <c r="H137" i="12"/>
  <c r="G137" i="12"/>
  <c r="E137" i="12"/>
  <c r="C137" i="12"/>
  <c r="B137" i="12"/>
  <c r="A137" i="12"/>
  <c r="H136" i="12"/>
  <c r="G136" i="12"/>
  <c r="E136" i="12"/>
  <c r="C136" i="12"/>
  <c r="B136" i="12"/>
  <c r="A136" i="12"/>
  <c r="H135" i="12"/>
  <c r="G135" i="12"/>
  <c r="E135" i="12"/>
  <c r="C135" i="12"/>
  <c r="B135" i="12"/>
  <c r="A135" i="12"/>
  <c r="H134" i="12"/>
  <c r="G134" i="12"/>
  <c r="E134" i="12"/>
  <c r="C134" i="12"/>
  <c r="B134" i="12"/>
  <c r="A134" i="12"/>
  <c r="H133" i="12"/>
  <c r="G133" i="12"/>
  <c r="E133" i="12"/>
  <c r="C133" i="12"/>
  <c r="B133" i="12"/>
  <c r="A133" i="12"/>
  <c r="H132" i="12"/>
  <c r="G132" i="12"/>
  <c r="E132" i="12"/>
  <c r="C132" i="12"/>
  <c r="B132" i="12"/>
  <c r="A132" i="12"/>
  <c r="H131" i="12"/>
  <c r="G131" i="12"/>
  <c r="E131" i="12"/>
  <c r="C131" i="12"/>
  <c r="B131" i="12"/>
  <c r="A131" i="12"/>
  <c r="H130" i="12"/>
  <c r="G130" i="12"/>
  <c r="E130" i="12"/>
  <c r="C130" i="12"/>
  <c r="B130" i="12"/>
  <c r="A130" i="12"/>
  <c r="H129" i="12"/>
  <c r="G129" i="12"/>
  <c r="E129" i="12"/>
  <c r="C129" i="12"/>
  <c r="B129" i="12"/>
  <c r="A129" i="12"/>
  <c r="H128" i="12"/>
  <c r="G128" i="12"/>
  <c r="E128" i="12"/>
  <c r="C128" i="12"/>
  <c r="B128" i="12"/>
  <c r="A128" i="12"/>
  <c r="H127" i="12"/>
  <c r="G127" i="12"/>
  <c r="E127" i="12"/>
  <c r="C127" i="12"/>
  <c r="B127" i="12"/>
  <c r="A127" i="12"/>
  <c r="H126" i="12"/>
  <c r="G126" i="12"/>
  <c r="E126" i="12"/>
  <c r="C126" i="12"/>
  <c r="B126" i="12"/>
  <c r="A126" i="12"/>
  <c r="H125" i="12"/>
  <c r="G125" i="12"/>
  <c r="E125" i="12"/>
  <c r="C125" i="12"/>
  <c r="B125" i="12"/>
  <c r="A125" i="12"/>
  <c r="H124" i="12"/>
  <c r="G124" i="12"/>
  <c r="E124" i="12"/>
  <c r="C124" i="12"/>
  <c r="B124" i="12"/>
  <c r="A124" i="12"/>
  <c r="H123" i="12"/>
  <c r="G123" i="12"/>
  <c r="E123" i="12"/>
  <c r="C123" i="12"/>
  <c r="B123" i="12"/>
  <c r="A123" i="12"/>
  <c r="H122" i="12"/>
  <c r="G122" i="12"/>
  <c r="E122" i="12"/>
  <c r="C122" i="12"/>
  <c r="B122" i="12"/>
  <c r="A122" i="12"/>
  <c r="H121" i="12"/>
  <c r="G121" i="12"/>
  <c r="E121" i="12"/>
  <c r="C121" i="12"/>
  <c r="B121" i="12"/>
  <c r="A121" i="12"/>
  <c r="H120" i="12"/>
  <c r="G120" i="12"/>
  <c r="E120" i="12"/>
  <c r="C120" i="12"/>
  <c r="B120" i="12"/>
  <c r="A120" i="12"/>
  <c r="H119" i="12"/>
  <c r="G119" i="12"/>
  <c r="E119" i="12"/>
  <c r="C119" i="12"/>
  <c r="B119" i="12"/>
  <c r="A119" i="12"/>
  <c r="H118" i="12"/>
  <c r="G118" i="12"/>
  <c r="E118" i="12"/>
  <c r="C118" i="12"/>
  <c r="B118" i="12"/>
  <c r="A118" i="12"/>
  <c r="H117" i="12"/>
  <c r="G117" i="12"/>
  <c r="E117" i="12"/>
  <c r="C117" i="12"/>
  <c r="B117" i="12"/>
  <c r="A117" i="12"/>
  <c r="H116" i="12"/>
  <c r="G116" i="12"/>
  <c r="E116" i="12"/>
  <c r="C116" i="12"/>
  <c r="B116" i="12"/>
  <c r="A116" i="12"/>
  <c r="H115" i="12"/>
  <c r="G115" i="12"/>
  <c r="E115" i="12"/>
  <c r="C115" i="12"/>
  <c r="B115" i="12"/>
  <c r="A115" i="12"/>
  <c r="H114" i="12"/>
  <c r="G114" i="12"/>
  <c r="E114" i="12"/>
  <c r="C114" i="12"/>
  <c r="B114" i="12"/>
  <c r="A114" i="12"/>
  <c r="H113" i="12"/>
  <c r="G113" i="12"/>
  <c r="E113" i="12"/>
  <c r="C113" i="12"/>
  <c r="B113" i="12"/>
  <c r="A113" i="12"/>
  <c r="H112" i="12"/>
  <c r="G112" i="12"/>
  <c r="E112" i="12"/>
  <c r="C112" i="12"/>
  <c r="B112" i="12"/>
  <c r="A112" i="12"/>
  <c r="H111" i="12"/>
  <c r="G111" i="12"/>
  <c r="E111" i="12"/>
  <c r="C111" i="12"/>
  <c r="B111" i="12"/>
  <c r="A111" i="12"/>
  <c r="H110" i="12"/>
  <c r="G110" i="12"/>
  <c r="E110" i="12"/>
  <c r="C110" i="12"/>
  <c r="B110" i="12"/>
  <c r="A110" i="12"/>
  <c r="H109" i="12"/>
  <c r="G109" i="12"/>
  <c r="E109" i="12"/>
  <c r="C109" i="12"/>
  <c r="B109" i="12"/>
  <c r="A109" i="12"/>
  <c r="H108" i="12"/>
  <c r="G108" i="12"/>
  <c r="E108" i="12"/>
  <c r="C108" i="12"/>
  <c r="B108" i="12"/>
  <c r="A108" i="12"/>
  <c r="H107" i="12"/>
  <c r="G107" i="12"/>
  <c r="E107" i="12"/>
  <c r="C107" i="12"/>
  <c r="B107" i="12"/>
  <c r="A107" i="12"/>
  <c r="H106" i="12"/>
  <c r="G106" i="12"/>
  <c r="E106" i="12"/>
  <c r="C106" i="12"/>
  <c r="B106" i="12"/>
  <c r="A106" i="12"/>
  <c r="H105" i="12"/>
  <c r="G105" i="12"/>
  <c r="E105" i="12"/>
  <c r="C105" i="12"/>
  <c r="B105" i="12"/>
  <c r="A105" i="12"/>
  <c r="H104" i="12"/>
  <c r="G104" i="12"/>
  <c r="E104" i="12"/>
  <c r="C104" i="12"/>
  <c r="B104" i="12"/>
  <c r="A104" i="12"/>
  <c r="H103" i="12"/>
  <c r="G103" i="12"/>
  <c r="E103" i="12"/>
  <c r="C103" i="12"/>
  <c r="B103" i="12"/>
  <c r="A103" i="12"/>
  <c r="H102" i="12"/>
  <c r="G102" i="12"/>
  <c r="E102" i="12"/>
  <c r="C102" i="12"/>
  <c r="B102" i="12"/>
  <c r="A102" i="12"/>
  <c r="H101" i="12"/>
  <c r="G101" i="12"/>
  <c r="E101" i="12"/>
  <c r="C101" i="12"/>
  <c r="B101" i="12"/>
  <c r="A101" i="12"/>
  <c r="H100" i="12"/>
  <c r="G100" i="12"/>
  <c r="E100" i="12"/>
  <c r="C100" i="12"/>
  <c r="B100" i="12"/>
  <c r="A100" i="12"/>
  <c r="H99" i="12"/>
  <c r="G99" i="12"/>
  <c r="E99" i="12"/>
  <c r="C99" i="12"/>
  <c r="B99" i="12"/>
  <c r="A99" i="12"/>
  <c r="H98" i="12"/>
  <c r="G98" i="12"/>
  <c r="E98" i="12"/>
  <c r="C98" i="12"/>
  <c r="B98" i="12"/>
  <c r="A98" i="12"/>
  <c r="H97" i="12"/>
  <c r="G97" i="12"/>
  <c r="E97" i="12"/>
  <c r="C97" i="12"/>
  <c r="B97" i="12"/>
  <c r="A97" i="12"/>
  <c r="H96" i="12"/>
  <c r="G96" i="12"/>
  <c r="E96" i="12"/>
  <c r="C96" i="12"/>
  <c r="B96" i="12"/>
  <c r="A96" i="12"/>
  <c r="H95" i="12"/>
  <c r="G95" i="12"/>
  <c r="E95" i="12"/>
  <c r="C95" i="12"/>
  <c r="B95" i="12"/>
  <c r="A95" i="12"/>
  <c r="H94" i="12"/>
  <c r="G94" i="12"/>
  <c r="E94" i="12"/>
  <c r="C94" i="12"/>
  <c r="B94" i="12"/>
  <c r="A94" i="12"/>
  <c r="H93" i="12"/>
  <c r="G93" i="12"/>
  <c r="E93" i="12"/>
  <c r="C93" i="12"/>
  <c r="B93" i="12"/>
  <c r="A93" i="12"/>
  <c r="H92" i="12"/>
  <c r="G92" i="12"/>
  <c r="E92" i="12"/>
  <c r="C92" i="12"/>
  <c r="B92" i="12"/>
  <c r="A92" i="12"/>
  <c r="H91" i="12"/>
  <c r="G91" i="12"/>
  <c r="E91" i="12"/>
  <c r="C91" i="12"/>
  <c r="B91" i="12"/>
  <c r="A91" i="12"/>
  <c r="H90" i="12"/>
  <c r="G90" i="12"/>
  <c r="E90" i="12"/>
  <c r="C90" i="12"/>
  <c r="B90" i="12"/>
  <c r="A90" i="12"/>
  <c r="H89" i="12"/>
  <c r="G89" i="12"/>
  <c r="E89" i="12"/>
  <c r="C89" i="12"/>
  <c r="B89" i="12"/>
  <c r="A89" i="12"/>
  <c r="H88" i="12"/>
  <c r="G88" i="12"/>
  <c r="E88" i="12"/>
  <c r="C88" i="12"/>
  <c r="B88" i="12"/>
  <c r="A88" i="12"/>
  <c r="H87" i="12"/>
  <c r="G87" i="12"/>
  <c r="E87" i="12"/>
  <c r="C87" i="12"/>
  <c r="B87" i="12"/>
  <c r="A87" i="12"/>
  <c r="H86" i="12"/>
  <c r="G86" i="12"/>
  <c r="E86" i="12"/>
  <c r="C86" i="12"/>
  <c r="B86" i="12"/>
  <c r="A86" i="12"/>
  <c r="H85" i="12"/>
  <c r="G85" i="12"/>
  <c r="E85" i="12"/>
  <c r="C85" i="12"/>
  <c r="B85" i="12"/>
  <c r="A85" i="12"/>
  <c r="H84" i="12"/>
  <c r="G84" i="12"/>
  <c r="E84" i="12"/>
  <c r="C84" i="12"/>
  <c r="B84" i="12"/>
  <c r="A84" i="12"/>
  <c r="H83" i="12"/>
  <c r="G83" i="12"/>
  <c r="E83" i="12"/>
  <c r="C83" i="12"/>
  <c r="B83" i="12"/>
  <c r="A83" i="12"/>
  <c r="H82" i="12"/>
  <c r="G82" i="12"/>
  <c r="E82" i="12"/>
  <c r="C82" i="12"/>
  <c r="B82" i="12"/>
  <c r="A82" i="12"/>
  <c r="H81" i="12"/>
  <c r="G81" i="12"/>
  <c r="E81" i="12"/>
  <c r="C81" i="12"/>
  <c r="B81" i="12"/>
  <c r="A81" i="12"/>
  <c r="H80" i="12"/>
  <c r="G80" i="12"/>
  <c r="E80" i="12"/>
  <c r="C80" i="12"/>
  <c r="B80" i="12"/>
  <c r="A80" i="12"/>
  <c r="H79" i="12"/>
  <c r="G79" i="12"/>
  <c r="E79" i="12"/>
  <c r="C79" i="12"/>
  <c r="B79" i="12"/>
  <c r="A79" i="12"/>
  <c r="H78" i="12"/>
  <c r="G78" i="12"/>
  <c r="E78" i="12"/>
  <c r="C78" i="12"/>
  <c r="B78" i="12"/>
  <c r="A78" i="12"/>
  <c r="H77" i="12"/>
  <c r="G77" i="12"/>
  <c r="E77" i="12"/>
  <c r="C77" i="12"/>
  <c r="B77" i="12"/>
  <c r="A77" i="12"/>
  <c r="H76" i="12"/>
  <c r="G76" i="12"/>
  <c r="E76" i="12"/>
  <c r="C76" i="12"/>
  <c r="B76" i="12"/>
  <c r="A76" i="12"/>
  <c r="H75" i="12"/>
  <c r="G75" i="12"/>
  <c r="E75" i="12"/>
  <c r="C75" i="12"/>
  <c r="B75" i="12"/>
  <c r="A75" i="12"/>
  <c r="H74" i="12"/>
  <c r="G74" i="12"/>
  <c r="E74" i="12"/>
  <c r="C74" i="12"/>
  <c r="B74" i="12"/>
  <c r="A74" i="12"/>
  <c r="H73" i="12"/>
  <c r="G73" i="12"/>
  <c r="E73" i="12"/>
  <c r="C73" i="12"/>
  <c r="B73" i="12"/>
  <c r="A73" i="12"/>
  <c r="H72" i="12"/>
  <c r="G72" i="12"/>
  <c r="E72" i="12"/>
  <c r="C72" i="12"/>
  <c r="B72" i="12"/>
  <c r="A72" i="12"/>
  <c r="H71" i="12"/>
  <c r="G71" i="12"/>
  <c r="E71" i="12"/>
  <c r="C71" i="12"/>
  <c r="B71" i="12"/>
  <c r="A71" i="12"/>
  <c r="H70" i="12"/>
  <c r="G70" i="12"/>
  <c r="E70" i="12"/>
  <c r="C70" i="12"/>
  <c r="B70" i="12"/>
  <c r="A70" i="12"/>
  <c r="H69" i="12"/>
  <c r="G69" i="12"/>
  <c r="E69" i="12"/>
  <c r="C69" i="12"/>
  <c r="B69" i="12"/>
  <c r="A69" i="12"/>
  <c r="H68" i="12"/>
  <c r="G68" i="12"/>
  <c r="E68" i="12"/>
  <c r="C68" i="12"/>
  <c r="B68" i="12"/>
  <c r="A68" i="12"/>
  <c r="H67" i="12"/>
  <c r="G67" i="12"/>
  <c r="E67" i="12"/>
  <c r="C67" i="12"/>
  <c r="B67" i="12"/>
  <c r="A67" i="12"/>
  <c r="H66" i="12"/>
  <c r="G66" i="12"/>
  <c r="E66" i="12"/>
  <c r="C66" i="12"/>
  <c r="B66" i="12"/>
  <c r="A66" i="12"/>
  <c r="H65" i="12"/>
  <c r="G65" i="12"/>
  <c r="E65" i="12"/>
  <c r="C65" i="12"/>
  <c r="B65" i="12"/>
  <c r="A65" i="12"/>
  <c r="H64" i="12"/>
  <c r="G64" i="12"/>
  <c r="E64" i="12"/>
  <c r="C64" i="12"/>
  <c r="B64" i="12"/>
  <c r="A64" i="12"/>
  <c r="H63" i="12"/>
  <c r="G63" i="12"/>
  <c r="E63" i="12"/>
  <c r="C63" i="12"/>
  <c r="B63" i="12"/>
  <c r="A63" i="12"/>
  <c r="H62" i="12"/>
  <c r="G62" i="12"/>
  <c r="E62" i="12"/>
  <c r="C62" i="12"/>
  <c r="B62" i="12"/>
  <c r="A62" i="12"/>
  <c r="H61" i="12"/>
  <c r="G61" i="12"/>
  <c r="E61" i="12"/>
  <c r="C61" i="12"/>
  <c r="B61" i="12"/>
  <c r="A61" i="12"/>
  <c r="H60" i="12"/>
  <c r="G60" i="12"/>
  <c r="E60" i="12"/>
  <c r="C60" i="12"/>
  <c r="B60" i="12"/>
  <c r="A60" i="12"/>
  <c r="H59" i="12"/>
  <c r="G59" i="12"/>
  <c r="E59" i="12"/>
  <c r="C59" i="12"/>
  <c r="B59" i="12"/>
  <c r="A59" i="12"/>
  <c r="H58" i="12"/>
  <c r="G58" i="12"/>
  <c r="E58" i="12"/>
  <c r="C58" i="12"/>
  <c r="B58" i="12"/>
  <c r="A58" i="12"/>
  <c r="H57" i="12"/>
  <c r="G57" i="12"/>
  <c r="E57" i="12"/>
  <c r="C57" i="12"/>
  <c r="B57" i="12"/>
  <c r="A57" i="12"/>
  <c r="H56" i="12"/>
  <c r="G56" i="12"/>
  <c r="E56" i="12"/>
  <c r="C56" i="12"/>
  <c r="B56" i="12"/>
  <c r="A56" i="12"/>
  <c r="H55" i="12"/>
  <c r="G55" i="12"/>
  <c r="E55" i="12"/>
  <c r="C55" i="12"/>
  <c r="B55" i="12"/>
  <c r="A55" i="12"/>
  <c r="H54" i="12"/>
  <c r="G54" i="12"/>
  <c r="E54" i="12"/>
  <c r="C54" i="12"/>
  <c r="B54" i="12"/>
  <c r="A54" i="12"/>
  <c r="H53" i="12"/>
  <c r="G53" i="12"/>
  <c r="E53" i="12"/>
  <c r="C53" i="12"/>
  <c r="B53" i="12"/>
  <c r="A53" i="12"/>
  <c r="H52" i="12"/>
  <c r="G52" i="12"/>
  <c r="E52" i="12"/>
  <c r="C52" i="12"/>
  <c r="B52" i="12"/>
  <c r="A52" i="12"/>
  <c r="H51" i="12"/>
  <c r="G51" i="12"/>
  <c r="E51" i="12"/>
  <c r="C51" i="12"/>
  <c r="B51" i="12"/>
  <c r="A51" i="12"/>
  <c r="H50" i="12"/>
  <c r="G50" i="12"/>
  <c r="E50" i="12"/>
  <c r="C50" i="12"/>
  <c r="B50" i="12"/>
  <c r="A50" i="12"/>
  <c r="H49" i="12"/>
  <c r="G49" i="12"/>
  <c r="E49" i="12"/>
  <c r="C49" i="12"/>
  <c r="B49" i="12"/>
  <c r="A49" i="12"/>
  <c r="H48" i="12"/>
  <c r="G48" i="12"/>
  <c r="E48" i="12"/>
  <c r="C48" i="12"/>
  <c r="B48" i="12"/>
  <c r="A48" i="12"/>
  <c r="H47" i="12"/>
  <c r="G47" i="12"/>
  <c r="E47" i="12"/>
  <c r="C47" i="12"/>
  <c r="B47" i="12"/>
  <c r="A47" i="12"/>
  <c r="H46" i="12"/>
  <c r="G46" i="12"/>
  <c r="E46" i="12"/>
  <c r="C46" i="12"/>
  <c r="B46" i="12"/>
  <c r="A46" i="12"/>
  <c r="H45" i="12"/>
  <c r="G45" i="12"/>
  <c r="E45" i="12"/>
  <c r="C45" i="12"/>
  <c r="B45" i="12"/>
  <c r="A45" i="12"/>
  <c r="H44" i="12"/>
  <c r="G44" i="12"/>
  <c r="E44" i="12"/>
  <c r="C44" i="12"/>
  <c r="B44" i="12"/>
  <c r="A44" i="12"/>
  <c r="H43" i="12"/>
  <c r="G43" i="12"/>
  <c r="E43" i="12"/>
  <c r="C43" i="12"/>
  <c r="B43" i="12"/>
  <c r="A43" i="12"/>
  <c r="H42" i="12"/>
  <c r="G42" i="12"/>
  <c r="E42" i="12"/>
  <c r="C42" i="12"/>
  <c r="B42" i="12"/>
  <c r="A42" i="12"/>
  <c r="H41" i="12"/>
  <c r="G41" i="12"/>
  <c r="E41" i="12"/>
  <c r="C41" i="12"/>
  <c r="B41" i="12"/>
  <c r="A41" i="12"/>
  <c r="H40" i="12"/>
  <c r="G40" i="12"/>
  <c r="E40" i="12"/>
  <c r="C40" i="12"/>
  <c r="B40" i="12"/>
  <c r="A40" i="12"/>
  <c r="H39" i="12"/>
  <c r="G39" i="12"/>
  <c r="E39" i="12"/>
  <c r="C39" i="12"/>
  <c r="B39" i="12"/>
  <c r="A39" i="12"/>
  <c r="H38" i="12"/>
  <c r="G38" i="12"/>
  <c r="E38" i="12"/>
  <c r="C38" i="12"/>
  <c r="B38" i="12"/>
  <c r="A38" i="12"/>
  <c r="H37" i="12"/>
  <c r="G37" i="12"/>
  <c r="E37" i="12"/>
  <c r="C37" i="12"/>
  <c r="B37" i="12"/>
  <c r="A37" i="12"/>
  <c r="H36" i="12"/>
  <c r="G36" i="12"/>
  <c r="E36" i="12"/>
  <c r="C36" i="12"/>
  <c r="B36" i="12"/>
  <c r="A36" i="12"/>
  <c r="H35" i="12"/>
  <c r="G35" i="12"/>
  <c r="E35" i="12"/>
  <c r="C35" i="12"/>
  <c r="B35" i="12"/>
  <c r="A35" i="12"/>
  <c r="H34" i="12"/>
  <c r="G34" i="12"/>
  <c r="E34" i="12"/>
  <c r="C34" i="12"/>
  <c r="B34" i="12"/>
  <c r="A34" i="12"/>
  <c r="H33" i="12"/>
  <c r="G33" i="12"/>
  <c r="E33" i="12"/>
  <c r="C33" i="12"/>
  <c r="B33" i="12"/>
  <c r="A33" i="12"/>
  <c r="H32" i="12"/>
  <c r="G32" i="12"/>
  <c r="E32" i="12"/>
  <c r="C32" i="12"/>
  <c r="B32" i="12"/>
  <c r="A32" i="12"/>
  <c r="H31" i="12"/>
  <c r="G31" i="12"/>
  <c r="E31" i="12"/>
  <c r="C31" i="12"/>
  <c r="B31" i="12"/>
  <c r="A31" i="12"/>
  <c r="H30" i="12"/>
  <c r="G30" i="12"/>
  <c r="E30" i="12"/>
  <c r="C30" i="12"/>
  <c r="B30" i="12"/>
  <c r="A30" i="12"/>
  <c r="H29" i="12"/>
  <c r="G29" i="12"/>
  <c r="E29" i="12"/>
  <c r="C29" i="12"/>
  <c r="B29" i="12"/>
  <c r="A29" i="12"/>
  <c r="H28" i="12"/>
  <c r="G28" i="12"/>
  <c r="E28" i="12"/>
  <c r="C28" i="12"/>
  <c r="B28" i="12"/>
  <c r="A28" i="12"/>
  <c r="H27" i="12"/>
  <c r="G27" i="12"/>
  <c r="E27" i="12"/>
  <c r="C27" i="12"/>
  <c r="B27" i="12"/>
  <c r="A27" i="12"/>
  <c r="H26" i="12"/>
  <c r="G26" i="12"/>
  <c r="E26" i="12"/>
  <c r="C26" i="12"/>
  <c r="B26" i="12"/>
  <c r="A26" i="12"/>
  <c r="H25" i="12"/>
  <c r="G25" i="12"/>
  <c r="E25" i="12"/>
  <c r="C25" i="12"/>
  <c r="B25" i="12"/>
  <c r="A25" i="12"/>
  <c r="H24" i="12"/>
  <c r="G24" i="12"/>
  <c r="E24" i="12"/>
  <c r="C24" i="12"/>
  <c r="B24" i="12"/>
  <c r="A24" i="12"/>
  <c r="H23" i="12"/>
  <c r="G23" i="12"/>
  <c r="E23" i="12"/>
  <c r="C23" i="12"/>
  <c r="B23" i="12"/>
  <c r="A23" i="12"/>
  <c r="H22" i="12"/>
  <c r="G22" i="12"/>
  <c r="E22" i="12"/>
  <c r="C22" i="12"/>
  <c r="B22" i="12"/>
  <c r="A22" i="12"/>
  <c r="H21" i="12"/>
  <c r="G21" i="12"/>
  <c r="E21" i="12"/>
  <c r="C21" i="12"/>
  <c r="B21" i="12"/>
  <c r="A21" i="12"/>
  <c r="H20" i="12"/>
  <c r="G20" i="12"/>
  <c r="E20" i="12"/>
  <c r="C20" i="12"/>
  <c r="B20" i="12"/>
  <c r="A20" i="12"/>
  <c r="H19" i="12"/>
  <c r="G19" i="12"/>
  <c r="E19" i="12"/>
  <c r="C19" i="12"/>
  <c r="B19" i="12"/>
  <c r="A19" i="12"/>
  <c r="H18" i="12"/>
  <c r="G18" i="12"/>
  <c r="E18" i="12"/>
  <c r="C18" i="12"/>
  <c r="B18" i="12"/>
  <c r="A18" i="12"/>
  <c r="H17" i="12"/>
  <c r="G17" i="12"/>
  <c r="E17" i="12"/>
  <c r="C17" i="12"/>
  <c r="B17" i="12"/>
  <c r="A17" i="12"/>
  <c r="H16" i="12"/>
  <c r="G16" i="12"/>
  <c r="E16" i="12"/>
  <c r="C16" i="12"/>
  <c r="B16" i="12"/>
  <c r="A16" i="12"/>
  <c r="H15" i="12"/>
  <c r="G15" i="12"/>
  <c r="E15" i="12"/>
  <c r="C15" i="12"/>
  <c r="B15" i="12"/>
  <c r="A15" i="12"/>
  <c r="H14" i="12"/>
  <c r="G14" i="12"/>
  <c r="E14" i="12"/>
  <c r="C14" i="12"/>
  <c r="B14" i="12"/>
  <c r="A14" i="12"/>
  <c r="H13" i="12"/>
  <c r="G13" i="12"/>
  <c r="E13" i="12"/>
  <c r="C13" i="12"/>
  <c r="B13" i="12"/>
  <c r="A13" i="12"/>
  <c r="H12" i="12"/>
  <c r="G12" i="12"/>
  <c r="E12" i="12"/>
  <c r="C12" i="12"/>
  <c r="B12" i="12"/>
  <c r="A12" i="12"/>
  <c r="H11" i="12"/>
  <c r="G11" i="12"/>
  <c r="E11" i="12"/>
  <c r="C11" i="12"/>
  <c r="B11" i="12"/>
  <c r="A11" i="12"/>
  <c r="H10" i="12"/>
  <c r="G10" i="12"/>
  <c r="E10" i="12"/>
  <c r="C10" i="12"/>
  <c r="B10" i="12"/>
  <c r="A10" i="12"/>
  <c r="H9" i="12"/>
  <c r="G9" i="12"/>
  <c r="E9" i="12"/>
  <c r="C9" i="12"/>
  <c r="B9" i="12"/>
  <c r="A9" i="12"/>
  <c r="H8" i="12"/>
  <c r="G8" i="12"/>
  <c r="E8" i="12"/>
  <c r="C8" i="12"/>
  <c r="B8" i="12"/>
  <c r="A8" i="12"/>
  <c r="H7" i="12"/>
  <c r="G7" i="12"/>
  <c r="E7" i="12"/>
  <c r="C7" i="12"/>
  <c r="B7" i="12"/>
  <c r="A7" i="12"/>
  <c r="H6" i="12"/>
  <c r="G6" i="12"/>
  <c r="E6" i="12"/>
  <c r="C6" i="12"/>
  <c r="B6" i="12"/>
  <c r="A6" i="12"/>
  <c r="H5" i="12"/>
  <c r="G5" i="12"/>
  <c r="E5" i="12"/>
  <c r="C5" i="12"/>
  <c r="B5" i="12"/>
  <c r="A5" i="12"/>
  <c r="H1200" i="9"/>
  <c r="G1200" i="9"/>
  <c r="F1200" i="9"/>
  <c r="J1200" i="9" s="1"/>
  <c r="E1200" i="9"/>
  <c r="D1200" i="9"/>
  <c r="C1200" i="9"/>
  <c r="B1200" i="9"/>
  <c r="A1200" i="9"/>
  <c r="H1199" i="9"/>
  <c r="G1199" i="9"/>
  <c r="F1199" i="9"/>
  <c r="J1199" i="9" s="1"/>
  <c r="E1199" i="9"/>
  <c r="D1199" i="9"/>
  <c r="C1199" i="9"/>
  <c r="B1199" i="9"/>
  <c r="A1199" i="9"/>
  <c r="H1198" i="9"/>
  <c r="G1198" i="9"/>
  <c r="I1198" i="9" s="1"/>
  <c r="F1198" i="9"/>
  <c r="J1198" i="9" s="1"/>
  <c r="E1198" i="9"/>
  <c r="D1198" i="9"/>
  <c r="C1198" i="9"/>
  <c r="B1198" i="9"/>
  <c r="A1198" i="9"/>
  <c r="J1197" i="9"/>
  <c r="H1197" i="9"/>
  <c r="G1197" i="9"/>
  <c r="F1197" i="9"/>
  <c r="E1197" i="9"/>
  <c r="I1197" i="9" s="1"/>
  <c r="D1197" i="9"/>
  <c r="C1197" i="9"/>
  <c r="B1197" i="9"/>
  <c r="A1197" i="9"/>
  <c r="H1196" i="9"/>
  <c r="G1196" i="9"/>
  <c r="F1196" i="9"/>
  <c r="J1196" i="9" s="1"/>
  <c r="E1196" i="9"/>
  <c r="D1196" i="9"/>
  <c r="C1196" i="9"/>
  <c r="B1196" i="9"/>
  <c r="A1196" i="9"/>
  <c r="H1195" i="9"/>
  <c r="G1195" i="9"/>
  <c r="F1195" i="9"/>
  <c r="J1195" i="9" s="1"/>
  <c r="E1195" i="9"/>
  <c r="D1195" i="9"/>
  <c r="C1195" i="9"/>
  <c r="B1195" i="9"/>
  <c r="A1195" i="9"/>
  <c r="H1194" i="9"/>
  <c r="G1194" i="9"/>
  <c r="F1194" i="9"/>
  <c r="J1194" i="9" s="1"/>
  <c r="E1194" i="9"/>
  <c r="I1194" i="9" s="1"/>
  <c r="D1194" i="9"/>
  <c r="C1194" i="9"/>
  <c r="B1194" i="9"/>
  <c r="A1194" i="9"/>
  <c r="H1193" i="9"/>
  <c r="G1193" i="9"/>
  <c r="I1193" i="9" s="1"/>
  <c r="F1193" i="9"/>
  <c r="J1193" i="9" s="1"/>
  <c r="E1193" i="9"/>
  <c r="D1193" i="9"/>
  <c r="C1193" i="9"/>
  <c r="B1193" i="9"/>
  <c r="A1193" i="9"/>
  <c r="H1192" i="9"/>
  <c r="G1192" i="9"/>
  <c r="I1192" i="9" s="1"/>
  <c r="F1192" i="9"/>
  <c r="J1192" i="9" s="1"/>
  <c r="E1192" i="9"/>
  <c r="D1192" i="9"/>
  <c r="C1192" i="9"/>
  <c r="B1192" i="9"/>
  <c r="A1192" i="9"/>
  <c r="H1191" i="9"/>
  <c r="G1191" i="9"/>
  <c r="I1191" i="9" s="1"/>
  <c r="F1191" i="9"/>
  <c r="J1191" i="9" s="1"/>
  <c r="E1191" i="9"/>
  <c r="D1191" i="9"/>
  <c r="C1191" i="9"/>
  <c r="B1191" i="9"/>
  <c r="A1191" i="9"/>
  <c r="I1190" i="9"/>
  <c r="H1190" i="9"/>
  <c r="G1190" i="9"/>
  <c r="F1190" i="9"/>
  <c r="J1190" i="9" s="1"/>
  <c r="E1190" i="9"/>
  <c r="D1190" i="9"/>
  <c r="C1190" i="9"/>
  <c r="B1190" i="9"/>
  <c r="A1190" i="9"/>
  <c r="J1189" i="9"/>
  <c r="H1189" i="9"/>
  <c r="G1189" i="9"/>
  <c r="I1189" i="9" s="1"/>
  <c r="F1189" i="9"/>
  <c r="E1189" i="9"/>
  <c r="D1189" i="9"/>
  <c r="C1189" i="9"/>
  <c r="B1189" i="9"/>
  <c r="A1189" i="9"/>
  <c r="H1188" i="9"/>
  <c r="G1188" i="9"/>
  <c r="F1188" i="9"/>
  <c r="J1188" i="9" s="1"/>
  <c r="E1188" i="9"/>
  <c r="D1188" i="9"/>
  <c r="C1188" i="9"/>
  <c r="B1188" i="9"/>
  <c r="A1188" i="9"/>
  <c r="H1187" i="9"/>
  <c r="G1187" i="9"/>
  <c r="I1187" i="9" s="1"/>
  <c r="F1187" i="9"/>
  <c r="J1187" i="9" s="1"/>
  <c r="E1187" i="9"/>
  <c r="D1187" i="9"/>
  <c r="C1187" i="9"/>
  <c r="B1187" i="9"/>
  <c r="A1187" i="9"/>
  <c r="H1186" i="9"/>
  <c r="G1186" i="9"/>
  <c r="F1186" i="9"/>
  <c r="J1186" i="9" s="1"/>
  <c r="E1186" i="9"/>
  <c r="D1186" i="9"/>
  <c r="C1186" i="9"/>
  <c r="B1186" i="9"/>
  <c r="A1186" i="9"/>
  <c r="H1185" i="9"/>
  <c r="G1185" i="9"/>
  <c r="F1185" i="9"/>
  <c r="J1185" i="9" s="1"/>
  <c r="E1185" i="9"/>
  <c r="I1185" i="9" s="1"/>
  <c r="D1185" i="9"/>
  <c r="C1185" i="9"/>
  <c r="B1185" i="9"/>
  <c r="A1185" i="9"/>
  <c r="H1184" i="9"/>
  <c r="G1184" i="9"/>
  <c r="F1184" i="9"/>
  <c r="J1184" i="9" s="1"/>
  <c r="E1184" i="9"/>
  <c r="D1184" i="9"/>
  <c r="C1184" i="9"/>
  <c r="B1184" i="9"/>
  <c r="A1184" i="9"/>
  <c r="H1183" i="9"/>
  <c r="G1183" i="9"/>
  <c r="F1183" i="9"/>
  <c r="J1183" i="9" s="1"/>
  <c r="E1183" i="9"/>
  <c r="D1183" i="9"/>
  <c r="C1183" i="9"/>
  <c r="B1183" i="9"/>
  <c r="A1183" i="9"/>
  <c r="H1182" i="9"/>
  <c r="G1182" i="9"/>
  <c r="I1182" i="9" s="1"/>
  <c r="F1182" i="9"/>
  <c r="J1182" i="9" s="1"/>
  <c r="E1182" i="9"/>
  <c r="D1182" i="9"/>
  <c r="C1182" i="9"/>
  <c r="B1182" i="9"/>
  <c r="A1182" i="9"/>
  <c r="I1181" i="9"/>
  <c r="H1181" i="9"/>
  <c r="G1181" i="9"/>
  <c r="F1181" i="9"/>
  <c r="J1181" i="9" s="1"/>
  <c r="E1181" i="9"/>
  <c r="D1181" i="9"/>
  <c r="C1181" i="9"/>
  <c r="B1181" i="9"/>
  <c r="A1181" i="9"/>
  <c r="H1180" i="9"/>
  <c r="G1180" i="9"/>
  <c r="F1180" i="9"/>
  <c r="J1180" i="9" s="1"/>
  <c r="E1180" i="9"/>
  <c r="D1180" i="9"/>
  <c r="C1180" i="9"/>
  <c r="B1180" i="9"/>
  <c r="A1180" i="9"/>
  <c r="H1179" i="9"/>
  <c r="G1179" i="9"/>
  <c r="F1179" i="9"/>
  <c r="J1179" i="9" s="1"/>
  <c r="E1179" i="9"/>
  <c r="D1179" i="9"/>
  <c r="C1179" i="9"/>
  <c r="B1179" i="9"/>
  <c r="A1179" i="9"/>
  <c r="I1178" i="9"/>
  <c r="H1178" i="9"/>
  <c r="G1178" i="9"/>
  <c r="F1178" i="9"/>
  <c r="J1178" i="9" s="1"/>
  <c r="E1178" i="9"/>
  <c r="D1178" i="9"/>
  <c r="C1178" i="9"/>
  <c r="B1178" i="9"/>
  <c r="A1178" i="9"/>
  <c r="J1177" i="9"/>
  <c r="H1177" i="9"/>
  <c r="G1177" i="9"/>
  <c r="F1177" i="9"/>
  <c r="I1177" i="9" s="1"/>
  <c r="E1177" i="9"/>
  <c r="D1177" i="9"/>
  <c r="C1177" i="9"/>
  <c r="B1177" i="9"/>
  <c r="A1177" i="9"/>
  <c r="H1176" i="9"/>
  <c r="G1176" i="9"/>
  <c r="F1176" i="9"/>
  <c r="J1176" i="9" s="1"/>
  <c r="E1176" i="9"/>
  <c r="D1176" i="9"/>
  <c r="C1176" i="9"/>
  <c r="B1176" i="9"/>
  <c r="A1176" i="9"/>
  <c r="H1175" i="9"/>
  <c r="G1175" i="9"/>
  <c r="F1175" i="9"/>
  <c r="J1175" i="9" s="1"/>
  <c r="E1175" i="9"/>
  <c r="D1175" i="9"/>
  <c r="C1175" i="9"/>
  <c r="B1175" i="9"/>
  <c r="A1175" i="9"/>
  <c r="H1174" i="9"/>
  <c r="G1174" i="9"/>
  <c r="F1174" i="9"/>
  <c r="J1174" i="9" s="1"/>
  <c r="E1174" i="9"/>
  <c r="I1174" i="9" s="1"/>
  <c r="D1174" i="9"/>
  <c r="C1174" i="9"/>
  <c r="B1174" i="9"/>
  <c r="A1174" i="9"/>
  <c r="H1173" i="9"/>
  <c r="G1173" i="9"/>
  <c r="I1173" i="9" s="1"/>
  <c r="F1173" i="9"/>
  <c r="J1173" i="9" s="1"/>
  <c r="E1173" i="9"/>
  <c r="D1173" i="9"/>
  <c r="C1173" i="9"/>
  <c r="B1173" i="9"/>
  <c r="A1173" i="9"/>
  <c r="H1172" i="9"/>
  <c r="G1172" i="9"/>
  <c r="F1172" i="9"/>
  <c r="J1172" i="9" s="1"/>
  <c r="E1172" i="9"/>
  <c r="D1172" i="9"/>
  <c r="C1172" i="9"/>
  <c r="B1172" i="9"/>
  <c r="A1172" i="9"/>
  <c r="H1171" i="9"/>
  <c r="G1171" i="9"/>
  <c r="I1171" i="9" s="1"/>
  <c r="F1171" i="9"/>
  <c r="J1171" i="9" s="1"/>
  <c r="E1171" i="9"/>
  <c r="D1171" i="9"/>
  <c r="C1171" i="9"/>
  <c r="B1171" i="9"/>
  <c r="A1171" i="9"/>
  <c r="H1170" i="9"/>
  <c r="G1170" i="9"/>
  <c r="I1170" i="9" s="1"/>
  <c r="F1170" i="9"/>
  <c r="J1170" i="9" s="1"/>
  <c r="E1170" i="9"/>
  <c r="D1170" i="9"/>
  <c r="C1170" i="9"/>
  <c r="B1170" i="9"/>
  <c r="A1170" i="9"/>
  <c r="J1169" i="9"/>
  <c r="I1169" i="9"/>
  <c r="H1169" i="9"/>
  <c r="G1169" i="9"/>
  <c r="F1169" i="9"/>
  <c r="E1169" i="9"/>
  <c r="D1169" i="9"/>
  <c r="C1169" i="9"/>
  <c r="B1169" i="9"/>
  <c r="A1169" i="9"/>
  <c r="J1168" i="9"/>
  <c r="H1168" i="9"/>
  <c r="G1168" i="9"/>
  <c r="F1168" i="9"/>
  <c r="E1168" i="9"/>
  <c r="D1168" i="9"/>
  <c r="C1168" i="9"/>
  <c r="B1168" i="9"/>
  <c r="A1168" i="9"/>
  <c r="H1167" i="9"/>
  <c r="G1167" i="9"/>
  <c r="I1167" i="9" s="1"/>
  <c r="F1167" i="9"/>
  <c r="J1167" i="9" s="1"/>
  <c r="E1167" i="9"/>
  <c r="D1167" i="9"/>
  <c r="C1167" i="9"/>
  <c r="B1167" i="9"/>
  <c r="A1167" i="9"/>
  <c r="H1166" i="9"/>
  <c r="G1166" i="9"/>
  <c r="F1166" i="9"/>
  <c r="J1166" i="9" s="1"/>
  <c r="E1166" i="9"/>
  <c r="D1166" i="9"/>
  <c r="C1166" i="9"/>
  <c r="B1166" i="9"/>
  <c r="A1166" i="9"/>
  <c r="H1165" i="9"/>
  <c r="G1165" i="9"/>
  <c r="F1165" i="9"/>
  <c r="J1165" i="9" s="1"/>
  <c r="E1165" i="9"/>
  <c r="I1165" i="9" s="1"/>
  <c r="D1165" i="9"/>
  <c r="C1165" i="9"/>
  <c r="B1165" i="9"/>
  <c r="A1165" i="9"/>
  <c r="H1164" i="9"/>
  <c r="G1164" i="9"/>
  <c r="F1164" i="9"/>
  <c r="J1164" i="9" s="1"/>
  <c r="E1164" i="9"/>
  <c r="D1164" i="9"/>
  <c r="C1164" i="9"/>
  <c r="B1164" i="9"/>
  <c r="A1164" i="9"/>
  <c r="H1163" i="9"/>
  <c r="G1163" i="9"/>
  <c r="F1163" i="9"/>
  <c r="J1163" i="9" s="1"/>
  <c r="E1163" i="9"/>
  <c r="D1163" i="9"/>
  <c r="C1163" i="9"/>
  <c r="B1163" i="9"/>
  <c r="A1163" i="9"/>
  <c r="H1162" i="9"/>
  <c r="G1162" i="9"/>
  <c r="I1162" i="9" s="1"/>
  <c r="F1162" i="9"/>
  <c r="J1162" i="9" s="1"/>
  <c r="E1162" i="9"/>
  <c r="D1162" i="9"/>
  <c r="C1162" i="9"/>
  <c r="B1162" i="9"/>
  <c r="A1162" i="9"/>
  <c r="J1161" i="9"/>
  <c r="I1161" i="9"/>
  <c r="H1161" i="9"/>
  <c r="G1161" i="9"/>
  <c r="F1161" i="9"/>
  <c r="E1161" i="9"/>
  <c r="D1161" i="9"/>
  <c r="C1161" i="9"/>
  <c r="B1161" i="9"/>
  <c r="A1161" i="9"/>
  <c r="J1160" i="9"/>
  <c r="H1160" i="9"/>
  <c r="G1160" i="9"/>
  <c r="F1160" i="9"/>
  <c r="E1160" i="9"/>
  <c r="D1160" i="9"/>
  <c r="C1160" i="9"/>
  <c r="B1160" i="9"/>
  <c r="A1160" i="9"/>
  <c r="H1159" i="9"/>
  <c r="G1159" i="9"/>
  <c r="I1159" i="9" s="1"/>
  <c r="F1159" i="9"/>
  <c r="J1159" i="9" s="1"/>
  <c r="E1159" i="9"/>
  <c r="D1159" i="9"/>
  <c r="C1159" i="9"/>
  <c r="B1159" i="9"/>
  <c r="A1159" i="9"/>
  <c r="H1158" i="9"/>
  <c r="G1158" i="9"/>
  <c r="F1158" i="9"/>
  <c r="J1158" i="9" s="1"/>
  <c r="E1158" i="9"/>
  <c r="D1158" i="9"/>
  <c r="C1158" i="9"/>
  <c r="B1158" i="9"/>
  <c r="A1158" i="9"/>
  <c r="H1157" i="9"/>
  <c r="G1157" i="9"/>
  <c r="F1157" i="9"/>
  <c r="J1157" i="9" s="1"/>
  <c r="E1157" i="9"/>
  <c r="I1157" i="9" s="1"/>
  <c r="D1157" i="9"/>
  <c r="C1157" i="9"/>
  <c r="B1157" i="9"/>
  <c r="A1157" i="9"/>
  <c r="H1156" i="9"/>
  <c r="G1156" i="9"/>
  <c r="F1156" i="9"/>
  <c r="J1156" i="9" s="1"/>
  <c r="E1156" i="9"/>
  <c r="D1156" i="9"/>
  <c r="C1156" i="9"/>
  <c r="B1156" i="9"/>
  <c r="A1156" i="9"/>
  <c r="H1155" i="9"/>
  <c r="G1155" i="9"/>
  <c r="F1155" i="9"/>
  <c r="J1155" i="9" s="1"/>
  <c r="E1155" i="9"/>
  <c r="D1155" i="9"/>
  <c r="C1155" i="9"/>
  <c r="B1155" i="9"/>
  <c r="A1155" i="9"/>
  <c r="H1154" i="9"/>
  <c r="G1154" i="9"/>
  <c r="I1154" i="9" s="1"/>
  <c r="F1154" i="9"/>
  <c r="J1154" i="9" s="1"/>
  <c r="E1154" i="9"/>
  <c r="D1154" i="9"/>
  <c r="C1154" i="9"/>
  <c r="B1154" i="9"/>
  <c r="A1154" i="9"/>
  <c r="J1153" i="9"/>
  <c r="I1153" i="9"/>
  <c r="H1153" i="9"/>
  <c r="G1153" i="9"/>
  <c r="F1153" i="9"/>
  <c r="E1153" i="9"/>
  <c r="D1153" i="9"/>
  <c r="C1153" i="9"/>
  <c r="B1153" i="9"/>
  <c r="A1153" i="9"/>
  <c r="J1152" i="9"/>
  <c r="H1152" i="9"/>
  <c r="G1152" i="9"/>
  <c r="F1152" i="9"/>
  <c r="E1152" i="9"/>
  <c r="D1152" i="9"/>
  <c r="C1152" i="9"/>
  <c r="B1152" i="9"/>
  <c r="A1152" i="9"/>
  <c r="H1151" i="9"/>
  <c r="G1151" i="9"/>
  <c r="I1151" i="9" s="1"/>
  <c r="F1151" i="9"/>
  <c r="J1151" i="9" s="1"/>
  <c r="E1151" i="9"/>
  <c r="D1151" i="9"/>
  <c r="C1151" i="9"/>
  <c r="B1151" i="9"/>
  <c r="A1151" i="9"/>
  <c r="H1150" i="9"/>
  <c r="G1150" i="9"/>
  <c r="F1150" i="9"/>
  <c r="J1150" i="9" s="1"/>
  <c r="E1150" i="9"/>
  <c r="D1150" i="9"/>
  <c r="C1150" i="9"/>
  <c r="B1150" i="9"/>
  <c r="A1150" i="9"/>
  <c r="H1149" i="9"/>
  <c r="G1149" i="9"/>
  <c r="F1149" i="9"/>
  <c r="J1149" i="9" s="1"/>
  <c r="E1149" i="9"/>
  <c r="I1149" i="9" s="1"/>
  <c r="D1149" i="9"/>
  <c r="C1149" i="9"/>
  <c r="B1149" i="9"/>
  <c r="A1149" i="9"/>
  <c r="H1148" i="9"/>
  <c r="G1148" i="9"/>
  <c r="F1148" i="9"/>
  <c r="J1148" i="9" s="1"/>
  <c r="E1148" i="9"/>
  <c r="D1148" i="9"/>
  <c r="C1148" i="9"/>
  <c r="B1148" i="9"/>
  <c r="A1148" i="9"/>
  <c r="H1147" i="9"/>
  <c r="G1147" i="9"/>
  <c r="F1147" i="9"/>
  <c r="J1147" i="9" s="1"/>
  <c r="E1147" i="9"/>
  <c r="D1147" i="9"/>
  <c r="C1147" i="9"/>
  <c r="B1147" i="9"/>
  <c r="A1147" i="9"/>
  <c r="H1146" i="9"/>
  <c r="G1146" i="9"/>
  <c r="I1146" i="9" s="1"/>
  <c r="F1146" i="9"/>
  <c r="J1146" i="9" s="1"/>
  <c r="E1146" i="9"/>
  <c r="D1146" i="9"/>
  <c r="C1146" i="9"/>
  <c r="B1146" i="9"/>
  <c r="A1146" i="9"/>
  <c r="J1145" i="9"/>
  <c r="I1145" i="9"/>
  <c r="H1145" i="9"/>
  <c r="G1145" i="9"/>
  <c r="F1145" i="9"/>
  <c r="E1145" i="9"/>
  <c r="D1145" i="9"/>
  <c r="C1145" i="9"/>
  <c r="B1145" i="9"/>
  <c r="A1145" i="9"/>
  <c r="J1144" i="9"/>
  <c r="H1144" i="9"/>
  <c r="G1144" i="9"/>
  <c r="F1144" i="9"/>
  <c r="E1144" i="9"/>
  <c r="D1144" i="9"/>
  <c r="C1144" i="9"/>
  <c r="B1144" i="9"/>
  <c r="A1144" i="9"/>
  <c r="H1143" i="9"/>
  <c r="G1143" i="9"/>
  <c r="I1143" i="9" s="1"/>
  <c r="F1143" i="9"/>
  <c r="J1143" i="9" s="1"/>
  <c r="E1143" i="9"/>
  <c r="D1143" i="9"/>
  <c r="C1143" i="9"/>
  <c r="B1143" i="9"/>
  <c r="A1143" i="9"/>
  <c r="H1142" i="9"/>
  <c r="G1142" i="9"/>
  <c r="I1142" i="9" s="1"/>
  <c r="F1142" i="9"/>
  <c r="J1142" i="9" s="1"/>
  <c r="E1142" i="9"/>
  <c r="D1142" i="9"/>
  <c r="C1142" i="9"/>
  <c r="B1142" i="9"/>
  <c r="A1142" i="9"/>
  <c r="H1141" i="9"/>
  <c r="G1141" i="9"/>
  <c r="F1141" i="9"/>
  <c r="J1141" i="9" s="1"/>
  <c r="E1141" i="9"/>
  <c r="I1141" i="9" s="1"/>
  <c r="D1141" i="9"/>
  <c r="C1141" i="9"/>
  <c r="B1141" i="9"/>
  <c r="A1141" i="9"/>
  <c r="H1140" i="9"/>
  <c r="G1140" i="9"/>
  <c r="F1140" i="9"/>
  <c r="J1140" i="9" s="1"/>
  <c r="E1140" i="9"/>
  <c r="D1140" i="9"/>
  <c r="C1140" i="9"/>
  <c r="B1140" i="9"/>
  <c r="A1140" i="9"/>
  <c r="H1139" i="9"/>
  <c r="G1139" i="9"/>
  <c r="F1139" i="9"/>
  <c r="J1139" i="9" s="1"/>
  <c r="E1139" i="9"/>
  <c r="D1139" i="9"/>
  <c r="C1139" i="9"/>
  <c r="B1139" i="9"/>
  <c r="A1139" i="9"/>
  <c r="H1138" i="9"/>
  <c r="G1138" i="9"/>
  <c r="I1138" i="9" s="1"/>
  <c r="F1138" i="9"/>
  <c r="J1138" i="9" s="1"/>
  <c r="E1138" i="9"/>
  <c r="D1138" i="9"/>
  <c r="C1138" i="9"/>
  <c r="B1138" i="9"/>
  <c r="A1138" i="9"/>
  <c r="J1137" i="9"/>
  <c r="I1137" i="9"/>
  <c r="H1137" i="9"/>
  <c r="G1137" i="9"/>
  <c r="F1137" i="9"/>
  <c r="E1137" i="9"/>
  <c r="D1137" i="9"/>
  <c r="C1137" i="9"/>
  <c r="B1137" i="9"/>
  <c r="A1137" i="9"/>
  <c r="J1136" i="9"/>
  <c r="H1136" i="9"/>
  <c r="G1136" i="9"/>
  <c r="F1136" i="9"/>
  <c r="E1136" i="9"/>
  <c r="D1136" i="9"/>
  <c r="C1136" i="9"/>
  <c r="B1136" i="9"/>
  <c r="A1136" i="9"/>
  <c r="H1135" i="9"/>
  <c r="G1135" i="9"/>
  <c r="I1135" i="9" s="1"/>
  <c r="F1135" i="9"/>
  <c r="J1135" i="9" s="1"/>
  <c r="E1135" i="9"/>
  <c r="D1135" i="9"/>
  <c r="C1135" i="9"/>
  <c r="B1135" i="9"/>
  <c r="A1135" i="9"/>
  <c r="H1134" i="9"/>
  <c r="G1134" i="9"/>
  <c r="I1134" i="9" s="1"/>
  <c r="F1134" i="9"/>
  <c r="J1134" i="9" s="1"/>
  <c r="E1134" i="9"/>
  <c r="D1134" i="9"/>
  <c r="C1134" i="9"/>
  <c r="B1134" i="9"/>
  <c r="A1134" i="9"/>
  <c r="H1133" i="9"/>
  <c r="G1133" i="9"/>
  <c r="F1133" i="9"/>
  <c r="J1133" i="9" s="1"/>
  <c r="E1133" i="9"/>
  <c r="I1133" i="9" s="1"/>
  <c r="D1133" i="9"/>
  <c r="C1133" i="9"/>
  <c r="B1133" i="9"/>
  <c r="A1133" i="9"/>
  <c r="H1132" i="9"/>
  <c r="G1132" i="9"/>
  <c r="F1132" i="9"/>
  <c r="J1132" i="9" s="1"/>
  <c r="E1132" i="9"/>
  <c r="D1132" i="9"/>
  <c r="C1132" i="9"/>
  <c r="B1132" i="9"/>
  <c r="A1132" i="9"/>
  <c r="H1131" i="9"/>
  <c r="G1131" i="9"/>
  <c r="F1131" i="9"/>
  <c r="J1131" i="9" s="1"/>
  <c r="E1131" i="9"/>
  <c r="D1131" i="9"/>
  <c r="C1131" i="9"/>
  <c r="B1131" i="9"/>
  <c r="A1131" i="9"/>
  <c r="H1130" i="9"/>
  <c r="G1130" i="9"/>
  <c r="I1130" i="9" s="1"/>
  <c r="F1130" i="9"/>
  <c r="J1130" i="9" s="1"/>
  <c r="E1130" i="9"/>
  <c r="D1130" i="9"/>
  <c r="C1130" i="9"/>
  <c r="B1130" i="9"/>
  <c r="A1130" i="9"/>
  <c r="J1129" i="9"/>
  <c r="I1129" i="9"/>
  <c r="H1129" i="9"/>
  <c r="G1129" i="9"/>
  <c r="F1129" i="9"/>
  <c r="E1129" i="9"/>
  <c r="D1129" i="9"/>
  <c r="C1129" i="9"/>
  <c r="B1129" i="9"/>
  <c r="A1129" i="9"/>
  <c r="J1128" i="9"/>
  <c r="H1128" i="9"/>
  <c r="G1128" i="9"/>
  <c r="F1128" i="9"/>
  <c r="E1128" i="9"/>
  <c r="D1128" i="9"/>
  <c r="C1128" i="9"/>
  <c r="B1128" i="9"/>
  <c r="A1128" i="9"/>
  <c r="H1127" i="9"/>
  <c r="G1127" i="9"/>
  <c r="I1127" i="9" s="1"/>
  <c r="F1127" i="9"/>
  <c r="J1127" i="9" s="1"/>
  <c r="E1127" i="9"/>
  <c r="D1127" i="9"/>
  <c r="C1127" i="9"/>
  <c r="B1127" i="9"/>
  <c r="A1127" i="9"/>
  <c r="H1126" i="9"/>
  <c r="G1126" i="9"/>
  <c r="I1126" i="9" s="1"/>
  <c r="F1126" i="9"/>
  <c r="J1126" i="9" s="1"/>
  <c r="E1126" i="9"/>
  <c r="D1126" i="9"/>
  <c r="C1126" i="9"/>
  <c r="B1126" i="9"/>
  <c r="A1126" i="9"/>
  <c r="H1125" i="9"/>
  <c r="G1125" i="9"/>
  <c r="F1125" i="9"/>
  <c r="J1125" i="9" s="1"/>
  <c r="E1125" i="9"/>
  <c r="I1125" i="9" s="1"/>
  <c r="D1125" i="9"/>
  <c r="C1125" i="9"/>
  <c r="B1125" i="9"/>
  <c r="A1125" i="9"/>
  <c r="H1124" i="9"/>
  <c r="G1124" i="9"/>
  <c r="F1124" i="9"/>
  <c r="J1124" i="9" s="1"/>
  <c r="E1124" i="9"/>
  <c r="D1124" i="9"/>
  <c r="C1124" i="9"/>
  <c r="B1124" i="9"/>
  <c r="A1124" i="9"/>
  <c r="H1123" i="9"/>
  <c r="G1123" i="9"/>
  <c r="F1123" i="9"/>
  <c r="J1123" i="9" s="1"/>
  <c r="E1123" i="9"/>
  <c r="D1123" i="9"/>
  <c r="C1123" i="9"/>
  <c r="B1123" i="9"/>
  <c r="A1123" i="9"/>
  <c r="H1122" i="9"/>
  <c r="G1122" i="9"/>
  <c r="I1122" i="9" s="1"/>
  <c r="F1122" i="9"/>
  <c r="J1122" i="9" s="1"/>
  <c r="E1122" i="9"/>
  <c r="D1122" i="9"/>
  <c r="C1122" i="9"/>
  <c r="B1122" i="9"/>
  <c r="A1122" i="9"/>
  <c r="J1121" i="9"/>
  <c r="I1121" i="9"/>
  <c r="H1121" i="9"/>
  <c r="G1121" i="9"/>
  <c r="F1121" i="9"/>
  <c r="E1121" i="9"/>
  <c r="D1121" i="9"/>
  <c r="C1121" i="9"/>
  <c r="B1121" i="9"/>
  <c r="A1121" i="9"/>
  <c r="J1120" i="9"/>
  <c r="H1120" i="9"/>
  <c r="G1120" i="9"/>
  <c r="F1120" i="9"/>
  <c r="E1120" i="9"/>
  <c r="D1120" i="9"/>
  <c r="C1120" i="9"/>
  <c r="B1120" i="9"/>
  <c r="A1120" i="9"/>
  <c r="H1119" i="9"/>
  <c r="G1119" i="9"/>
  <c r="I1119" i="9" s="1"/>
  <c r="F1119" i="9"/>
  <c r="J1119" i="9" s="1"/>
  <c r="E1119" i="9"/>
  <c r="D1119" i="9"/>
  <c r="C1119" i="9"/>
  <c r="B1119" i="9"/>
  <c r="A1119" i="9"/>
  <c r="H1118" i="9"/>
  <c r="G1118" i="9"/>
  <c r="I1118" i="9" s="1"/>
  <c r="F1118" i="9"/>
  <c r="J1118" i="9" s="1"/>
  <c r="E1118" i="9"/>
  <c r="D1118" i="9"/>
  <c r="C1118" i="9"/>
  <c r="B1118" i="9"/>
  <c r="A1118" i="9"/>
  <c r="H1117" i="9"/>
  <c r="G1117" i="9"/>
  <c r="F1117" i="9"/>
  <c r="J1117" i="9" s="1"/>
  <c r="E1117" i="9"/>
  <c r="I1117" i="9" s="1"/>
  <c r="D1117" i="9"/>
  <c r="C1117" i="9"/>
  <c r="B1117" i="9"/>
  <c r="A1117" i="9"/>
  <c r="H1116" i="9"/>
  <c r="G1116" i="9"/>
  <c r="F1116" i="9"/>
  <c r="J1116" i="9" s="1"/>
  <c r="E1116" i="9"/>
  <c r="D1116" i="9"/>
  <c r="C1116" i="9"/>
  <c r="B1116" i="9"/>
  <c r="A1116" i="9"/>
  <c r="H1115" i="9"/>
  <c r="G1115" i="9"/>
  <c r="F1115" i="9"/>
  <c r="J1115" i="9" s="1"/>
  <c r="E1115" i="9"/>
  <c r="D1115" i="9"/>
  <c r="C1115" i="9"/>
  <c r="B1115" i="9"/>
  <c r="A1115" i="9"/>
  <c r="H1114" i="9"/>
  <c r="G1114" i="9"/>
  <c r="I1114" i="9" s="1"/>
  <c r="F1114" i="9"/>
  <c r="J1114" i="9" s="1"/>
  <c r="E1114" i="9"/>
  <c r="D1114" i="9"/>
  <c r="C1114" i="9"/>
  <c r="B1114" i="9"/>
  <c r="A1114" i="9"/>
  <c r="J1113" i="9"/>
  <c r="I1113" i="9"/>
  <c r="H1113" i="9"/>
  <c r="G1113" i="9"/>
  <c r="F1113" i="9"/>
  <c r="E1113" i="9"/>
  <c r="D1113" i="9"/>
  <c r="C1113" i="9"/>
  <c r="B1113" i="9"/>
  <c r="A1113" i="9"/>
  <c r="J1112" i="9"/>
  <c r="H1112" i="9"/>
  <c r="G1112" i="9"/>
  <c r="F1112" i="9"/>
  <c r="E1112" i="9"/>
  <c r="D1112" i="9"/>
  <c r="C1112" i="9"/>
  <c r="B1112" i="9"/>
  <c r="A1112" i="9"/>
  <c r="H1111" i="9"/>
  <c r="G1111" i="9"/>
  <c r="I1111" i="9" s="1"/>
  <c r="F1111" i="9"/>
  <c r="J1111" i="9" s="1"/>
  <c r="E1111" i="9"/>
  <c r="D1111" i="9"/>
  <c r="C1111" i="9"/>
  <c r="B1111" i="9"/>
  <c r="A1111" i="9"/>
  <c r="H1110" i="9"/>
  <c r="G1110" i="9"/>
  <c r="I1110" i="9" s="1"/>
  <c r="F1110" i="9"/>
  <c r="J1110" i="9" s="1"/>
  <c r="E1110" i="9"/>
  <c r="D1110" i="9"/>
  <c r="C1110" i="9"/>
  <c r="B1110" i="9"/>
  <c r="A1110" i="9"/>
  <c r="H1109" i="9"/>
  <c r="G1109" i="9"/>
  <c r="F1109" i="9"/>
  <c r="J1109" i="9" s="1"/>
  <c r="E1109" i="9"/>
  <c r="I1109" i="9" s="1"/>
  <c r="D1109" i="9"/>
  <c r="C1109" i="9"/>
  <c r="B1109" i="9"/>
  <c r="A1109" i="9"/>
  <c r="H1108" i="9"/>
  <c r="G1108" i="9"/>
  <c r="F1108" i="9"/>
  <c r="J1108" i="9" s="1"/>
  <c r="E1108" i="9"/>
  <c r="D1108" i="9"/>
  <c r="C1108" i="9"/>
  <c r="B1108" i="9"/>
  <c r="A1108" i="9"/>
  <c r="H1107" i="9"/>
  <c r="G1107" i="9"/>
  <c r="F1107" i="9"/>
  <c r="J1107" i="9" s="1"/>
  <c r="E1107" i="9"/>
  <c r="D1107" i="9"/>
  <c r="C1107" i="9"/>
  <c r="B1107" i="9"/>
  <c r="A1107" i="9"/>
  <c r="H1106" i="9"/>
  <c r="G1106" i="9"/>
  <c r="I1106" i="9" s="1"/>
  <c r="F1106" i="9"/>
  <c r="J1106" i="9" s="1"/>
  <c r="E1106" i="9"/>
  <c r="D1106" i="9"/>
  <c r="C1106" i="9"/>
  <c r="B1106" i="9"/>
  <c r="A1106" i="9"/>
  <c r="J1105" i="9"/>
  <c r="I1105" i="9"/>
  <c r="H1105" i="9"/>
  <c r="G1105" i="9"/>
  <c r="F1105" i="9"/>
  <c r="E1105" i="9"/>
  <c r="D1105" i="9"/>
  <c r="C1105" i="9"/>
  <c r="B1105" i="9"/>
  <c r="A1105" i="9"/>
  <c r="J1104" i="9"/>
  <c r="H1104" i="9"/>
  <c r="G1104" i="9"/>
  <c r="F1104" i="9"/>
  <c r="E1104" i="9"/>
  <c r="D1104" i="9"/>
  <c r="C1104" i="9"/>
  <c r="B1104" i="9"/>
  <c r="A1104" i="9"/>
  <c r="H1103" i="9"/>
  <c r="G1103" i="9"/>
  <c r="I1103" i="9" s="1"/>
  <c r="F1103" i="9"/>
  <c r="J1103" i="9" s="1"/>
  <c r="E1103" i="9"/>
  <c r="D1103" i="9"/>
  <c r="C1103" i="9"/>
  <c r="B1103" i="9"/>
  <c r="A1103" i="9"/>
  <c r="H1102" i="9"/>
  <c r="G1102" i="9"/>
  <c r="I1102" i="9" s="1"/>
  <c r="F1102" i="9"/>
  <c r="J1102" i="9" s="1"/>
  <c r="E1102" i="9"/>
  <c r="D1102" i="9"/>
  <c r="C1102" i="9"/>
  <c r="B1102" i="9"/>
  <c r="A1102" i="9"/>
  <c r="H1101" i="9"/>
  <c r="G1101" i="9"/>
  <c r="F1101" i="9"/>
  <c r="J1101" i="9" s="1"/>
  <c r="E1101" i="9"/>
  <c r="I1101" i="9" s="1"/>
  <c r="D1101" i="9"/>
  <c r="C1101" i="9"/>
  <c r="B1101" i="9"/>
  <c r="A1101" i="9"/>
  <c r="H1100" i="9"/>
  <c r="G1100" i="9"/>
  <c r="F1100" i="9"/>
  <c r="J1100" i="9" s="1"/>
  <c r="E1100" i="9"/>
  <c r="D1100" i="9"/>
  <c r="C1100" i="9"/>
  <c r="B1100" i="9"/>
  <c r="A1100" i="9"/>
  <c r="H1099" i="9"/>
  <c r="G1099" i="9"/>
  <c r="F1099" i="9"/>
  <c r="J1099" i="9" s="1"/>
  <c r="E1099" i="9"/>
  <c r="D1099" i="9"/>
  <c r="C1099" i="9"/>
  <c r="B1099" i="9"/>
  <c r="A1099" i="9"/>
  <c r="H1098" i="9"/>
  <c r="G1098" i="9"/>
  <c r="I1098" i="9" s="1"/>
  <c r="F1098" i="9"/>
  <c r="J1098" i="9" s="1"/>
  <c r="E1098" i="9"/>
  <c r="D1098" i="9"/>
  <c r="C1098" i="9"/>
  <c r="B1098" i="9"/>
  <c r="A1098" i="9"/>
  <c r="J1097" i="9"/>
  <c r="I1097" i="9"/>
  <c r="H1097" i="9"/>
  <c r="G1097" i="9"/>
  <c r="F1097" i="9"/>
  <c r="E1097" i="9"/>
  <c r="D1097" i="9"/>
  <c r="C1097" i="9"/>
  <c r="B1097" i="9"/>
  <c r="A1097" i="9"/>
  <c r="J1096" i="9"/>
  <c r="H1096" i="9"/>
  <c r="G1096" i="9"/>
  <c r="F1096" i="9"/>
  <c r="E1096" i="9"/>
  <c r="D1096" i="9"/>
  <c r="C1096" i="9"/>
  <c r="B1096" i="9"/>
  <c r="A1096" i="9"/>
  <c r="H1095" i="9"/>
  <c r="G1095" i="9"/>
  <c r="I1095" i="9" s="1"/>
  <c r="F1095" i="9"/>
  <c r="J1095" i="9" s="1"/>
  <c r="E1095" i="9"/>
  <c r="D1095" i="9"/>
  <c r="C1095" i="9"/>
  <c r="B1095" i="9"/>
  <c r="A1095" i="9"/>
  <c r="H1094" i="9"/>
  <c r="G1094" i="9"/>
  <c r="I1094" i="9" s="1"/>
  <c r="F1094" i="9"/>
  <c r="J1094" i="9" s="1"/>
  <c r="E1094" i="9"/>
  <c r="D1094" i="9"/>
  <c r="C1094" i="9"/>
  <c r="B1094" i="9"/>
  <c r="A1094" i="9"/>
  <c r="H1093" i="9"/>
  <c r="G1093" i="9"/>
  <c r="F1093" i="9"/>
  <c r="J1093" i="9" s="1"/>
  <c r="E1093" i="9"/>
  <c r="I1093" i="9" s="1"/>
  <c r="D1093" i="9"/>
  <c r="C1093" i="9"/>
  <c r="B1093" i="9"/>
  <c r="A1093" i="9"/>
  <c r="H1092" i="9"/>
  <c r="G1092" i="9"/>
  <c r="F1092" i="9"/>
  <c r="J1092" i="9" s="1"/>
  <c r="E1092" i="9"/>
  <c r="D1092" i="9"/>
  <c r="C1092" i="9"/>
  <c r="B1092" i="9"/>
  <c r="A1092" i="9"/>
  <c r="H1091" i="9"/>
  <c r="G1091" i="9"/>
  <c r="F1091" i="9"/>
  <c r="J1091" i="9" s="1"/>
  <c r="E1091" i="9"/>
  <c r="D1091" i="9"/>
  <c r="C1091" i="9"/>
  <c r="B1091" i="9"/>
  <c r="A1091" i="9"/>
  <c r="H1090" i="9"/>
  <c r="G1090" i="9"/>
  <c r="I1090" i="9" s="1"/>
  <c r="F1090" i="9"/>
  <c r="J1090" i="9" s="1"/>
  <c r="E1090" i="9"/>
  <c r="D1090" i="9"/>
  <c r="C1090" i="9"/>
  <c r="B1090" i="9"/>
  <c r="A1090" i="9"/>
  <c r="J1089" i="9"/>
  <c r="I1089" i="9"/>
  <c r="H1089" i="9"/>
  <c r="G1089" i="9"/>
  <c r="F1089" i="9"/>
  <c r="E1089" i="9"/>
  <c r="D1089" i="9"/>
  <c r="C1089" i="9"/>
  <c r="B1089" i="9"/>
  <c r="A1089" i="9"/>
  <c r="J1088" i="9"/>
  <c r="H1088" i="9"/>
  <c r="G1088" i="9"/>
  <c r="F1088" i="9"/>
  <c r="E1088" i="9"/>
  <c r="D1088" i="9"/>
  <c r="C1088" i="9"/>
  <c r="B1088" i="9"/>
  <c r="A1088" i="9"/>
  <c r="H1087" i="9"/>
  <c r="G1087" i="9"/>
  <c r="I1087" i="9" s="1"/>
  <c r="F1087" i="9"/>
  <c r="J1087" i="9" s="1"/>
  <c r="E1087" i="9"/>
  <c r="D1087" i="9"/>
  <c r="C1087" i="9"/>
  <c r="B1087" i="9"/>
  <c r="A1087" i="9"/>
  <c r="H1086" i="9"/>
  <c r="G1086" i="9"/>
  <c r="I1086" i="9" s="1"/>
  <c r="F1086" i="9"/>
  <c r="J1086" i="9" s="1"/>
  <c r="E1086" i="9"/>
  <c r="D1086" i="9"/>
  <c r="C1086" i="9"/>
  <c r="B1086" i="9"/>
  <c r="A1086" i="9"/>
  <c r="H1085" i="9"/>
  <c r="G1085" i="9"/>
  <c r="F1085" i="9"/>
  <c r="J1085" i="9" s="1"/>
  <c r="E1085" i="9"/>
  <c r="I1085" i="9" s="1"/>
  <c r="D1085" i="9"/>
  <c r="C1085" i="9"/>
  <c r="B1085" i="9"/>
  <c r="A1085" i="9"/>
  <c r="H1084" i="9"/>
  <c r="G1084" i="9"/>
  <c r="F1084" i="9"/>
  <c r="J1084" i="9" s="1"/>
  <c r="E1084" i="9"/>
  <c r="D1084" i="9"/>
  <c r="C1084" i="9"/>
  <c r="B1084" i="9"/>
  <c r="A1084" i="9"/>
  <c r="H1083" i="9"/>
  <c r="G1083" i="9"/>
  <c r="F1083" i="9"/>
  <c r="J1083" i="9" s="1"/>
  <c r="E1083" i="9"/>
  <c r="D1083" i="9"/>
  <c r="C1083" i="9"/>
  <c r="B1083" i="9"/>
  <c r="A1083" i="9"/>
  <c r="H1082" i="9"/>
  <c r="G1082" i="9"/>
  <c r="I1082" i="9" s="1"/>
  <c r="F1082" i="9"/>
  <c r="J1082" i="9" s="1"/>
  <c r="E1082" i="9"/>
  <c r="D1082" i="9"/>
  <c r="C1082" i="9"/>
  <c r="B1082" i="9"/>
  <c r="A1082" i="9"/>
  <c r="J1081" i="9"/>
  <c r="I1081" i="9"/>
  <c r="H1081" i="9"/>
  <c r="G1081" i="9"/>
  <c r="F1081" i="9"/>
  <c r="E1081" i="9"/>
  <c r="D1081" i="9"/>
  <c r="C1081" i="9"/>
  <c r="B1081" i="9"/>
  <c r="A1081" i="9"/>
  <c r="J1080" i="9"/>
  <c r="H1080" i="9"/>
  <c r="G1080" i="9"/>
  <c r="F1080" i="9"/>
  <c r="E1080" i="9"/>
  <c r="D1080" i="9"/>
  <c r="C1080" i="9"/>
  <c r="B1080" i="9"/>
  <c r="A1080" i="9"/>
  <c r="H1079" i="9"/>
  <c r="G1079" i="9"/>
  <c r="I1079" i="9" s="1"/>
  <c r="F1079" i="9"/>
  <c r="J1079" i="9" s="1"/>
  <c r="E1079" i="9"/>
  <c r="D1079" i="9"/>
  <c r="C1079" i="9"/>
  <c r="B1079" i="9"/>
  <c r="A1079" i="9"/>
  <c r="H1078" i="9"/>
  <c r="G1078" i="9"/>
  <c r="I1078" i="9" s="1"/>
  <c r="F1078" i="9"/>
  <c r="J1078" i="9" s="1"/>
  <c r="E1078" i="9"/>
  <c r="D1078" i="9"/>
  <c r="C1078" i="9"/>
  <c r="B1078" i="9"/>
  <c r="A1078" i="9"/>
  <c r="H1077" i="9"/>
  <c r="G1077" i="9"/>
  <c r="F1077" i="9"/>
  <c r="J1077" i="9" s="1"/>
  <c r="E1077" i="9"/>
  <c r="I1077" i="9" s="1"/>
  <c r="D1077" i="9"/>
  <c r="C1077" i="9"/>
  <c r="B1077" i="9"/>
  <c r="A1077" i="9"/>
  <c r="H1076" i="9"/>
  <c r="G1076" i="9"/>
  <c r="F1076" i="9"/>
  <c r="J1076" i="9" s="1"/>
  <c r="E1076" i="9"/>
  <c r="D1076" i="9"/>
  <c r="C1076" i="9"/>
  <c r="B1076" i="9"/>
  <c r="A1076" i="9"/>
  <c r="H1075" i="9"/>
  <c r="G1075" i="9"/>
  <c r="F1075" i="9"/>
  <c r="J1075" i="9" s="1"/>
  <c r="E1075" i="9"/>
  <c r="D1075" i="9"/>
  <c r="C1075" i="9"/>
  <c r="B1075" i="9"/>
  <c r="A1075" i="9"/>
  <c r="H1074" i="9"/>
  <c r="G1074" i="9"/>
  <c r="I1074" i="9" s="1"/>
  <c r="F1074" i="9"/>
  <c r="J1074" i="9" s="1"/>
  <c r="E1074" i="9"/>
  <c r="D1074" i="9"/>
  <c r="C1074" i="9"/>
  <c r="B1074" i="9"/>
  <c r="A1074" i="9"/>
  <c r="J1073" i="9"/>
  <c r="I1073" i="9"/>
  <c r="H1073" i="9"/>
  <c r="G1073" i="9"/>
  <c r="F1073" i="9"/>
  <c r="E1073" i="9"/>
  <c r="D1073" i="9"/>
  <c r="C1073" i="9"/>
  <c r="B1073" i="9"/>
  <c r="A1073" i="9"/>
  <c r="J1072" i="9"/>
  <c r="H1072" i="9"/>
  <c r="G1072" i="9"/>
  <c r="F1072" i="9"/>
  <c r="E1072" i="9"/>
  <c r="D1072" i="9"/>
  <c r="C1072" i="9"/>
  <c r="B1072" i="9"/>
  <c r="A1072" i="9"/>
  <c r="H1071" i="9"/>
  <c r="G1071" i="9"/>
  <c r="I1071" i="9" s="1"/>
  <c r="F1071" i="9"/>
  <c r="J1071" i="9" s="1"/>
  <c r="E1071" i="9"/>
  <c r="D1071" i="9"/>
  <c r="C1071" i="9"/>
  <c r="B1071" i="9"/>
  <c r="A1071" i="9"/>
  <c r="H1070" i="9"/>
  <c r="G1070" i="9"/>
  <c r="I1070" i="9" s="1"/>
  <c r="F1070" i="9"/>
  <c r="J1070" i="9" s="1"/>
  <c r="E1070" i="9"/>
  <c r="D1070" i="9"/>
  <c r="C1070" i="9"/>
  <c r="B1070" i="9"/>
  <c r="A1070" i="9"/>
  <c r="J1069" i="9"/>
  <c r="H1069" i="9"/>
  <c r="G1069" i="9"/>
  <c r="F1069" i="9"/>
  <c r="E1069" i="9"/>
  <c r="I1069" i="9" s="1"/>
  <c r="D1069" i="9"/>
  <c r="C1069" i="9"/>
  <c r="B1069" i="9"/>
  <c r="A1069" i="9"/>
  <c r="H1068" i="9"/>
  <c r="G1068" i="9"/>
  <c r="F1068" i="9"/>
  <c r="J1068" i="9" s="1"/>
  <c r="E1068" i="9"/>
  <c r="D1068" i="9"/>
  <c r="C1068" i="9"/>
  <c r="B1068" i="9"/>
  <c r="A1068" i="9"/>
  <c r="H1067" i="9"/>
  <c r="G1067" i="9"/>
  <c r="F1067" i="9"/>
  <c r="J1067" i="9" s="1"/>
  <c r="E1067" i="9"/>
  <c r="D1067" i="9"/>
  <c r="C1067" i="9"/>
  <c r="B1067" i="9"/>
  <c r="A1067" i="9"/>
  <c r="H1066" i="9"/>
  <c r="G1066" i="9"/>
  <c r="I1066" i="9" s="1"/>
  <c r="F1066" i="9"/>
  <c r="J1066" i="9" s="1"/>
  <c r="E1066" i="9"/>
  <c r="D1066" i="9"/>
  <c r="C1066" i="9"/>
  <c r="B1066" i="9"/>
  <c r="A1066" i="9"/>
  <c r="I1065" i="9"/>
  <c r="H1065" i="9"/>
  <c r="G1065" i="9"/>
  <c r="F1065" i="9"/>
  <c r="J1065" i="9" s="1"/>
  <c r="E1065" i="9"/>
  <c r="D1065" i="9"/>
  <c r="C1065" i="9"/>
  <c r="B1065" i="9"/>
  <c r="A1065" i="9"/>
  <c r="J1064" i="9"/>
  <c r="H1064" i="9"/>
  <c r="G1064" i="9"/>
  <c r="F1064" i="9"/>
  <c r="E1064" i="9"/>
  <c r="D1064" i="9"/>
  <c r="C1064" i="9"/>
  <c r="B1064" i="9"/>
  <c r="A1064" i="9"/>
  <c r="H1063" i="9"/>
  <c r="G1063" i="9"/>
  <c r="F1063" i="9"/>
  <c r="J1063" i="9" s="1"/>
  <c r="E1063" i="9"/>
  <c r="D1063" i="9"/>
  <c r="C1063" i="9"/>
  <c r="B1063" i="9"/>
  <c r="A1063" i="9"/>
  <c r="H1062" i="9"/>
  <c r="G1062" i="9"/>
  <c r="I1062" i="9" s="1"/>
  <c r="F1062" i="9"/>
  <c r="J1062" i="9" s="1"/>
  <c r="E1062" i="9"/>
  <c r="D1062" i="9"/>
  <c r="C1062" i="9"/>
  <c r="B1062" i="9"/>
  <c r="A1062" i="9"/>
  <c r="J1061" i="9"/>
  <c r="H1061" i="9"/>
  <c r="G1061" i="9"/>
  <c r="F1061" i="9"/>
  <c r="E1061" i="9"/>
  <c r="I1061" i="9" s="1"/>
  <c r="D1061" i="9"/>
  <c r="C1061" i="9"/>
  <c r="B1061" i="9"/>
  <c r="A1061" i="9"/>
  <c r="H1060" i="9"/>
  <c r="G1060" i="9"/>
  <c r="F1060" i="9"/>
  <c r="J1060" i="9" s="1"/>
  <c r="E1060" i="9"/>
  <c r="D1060" i="9"/>
  <c r="C1060" i="9"/>
  <c r="B1060" i="9"/>
  <c r="A1060" i="9"/>
  <c r="H1059" i="9"/>
  <c r="G1059" i="9"/>
  <c r="F1059" i="9"/>
  <c r="J1059" i="9" s="1"/>
  <c r="E1059" i="9"/>
  <c r="D1059" i="9"/>
  <c r="C1059" i="9"/>
  <c r="B1059" i="9"/>
  <c r="A1059" i="9"/>
  <c r="H1058" i="9"/>
  <c r="G1058" i="9"/>
  <c r="I1058" i="9" s="1"/>
  <c r="F1058" i="9"/>
  <c r="J1058" i="9" s="1"/>
  <c r="E1058" i="9"/>
  <c r="D1058" i="9"/>
  <c r="C1058" i="9"/>
  <c r="B1058" i="9"/>
  <c r="A1058" i="9"/>
  <c r="I1057" i="9"/>
  <c r="H1057" i="9"/>
  <c r="G1057" i="9"/>
  <c r="F1057" i="9"/>
  <c r="J1057" i="9" s="1"/>
  <c r="E1057" i="9"/>
  <c r="D1057" i="9"/>
  <c r="C1057" i="9"/>
  <c r="B1057" i="9"/>
  <c r="A1057" i="9"/>
  <c r="J1056" i="9"/>
  <c r="H1056" i="9"/>
  <c r="G1056" i="9"/>
  <c r="F1056" i="9"/>
  <c r="E1056" i="9"/>
  <c r="D1056" i="9"/>
  <c r="C1056" i="9"/>
  <c r="B1056" i="9"/>
  <c r="A1056" i="9"/>
  <c r="H1055" i="9"/>
  <c r="G1055" i="9"/>
  <c r="F1055" i="9"/>
  <c r="J1055" i="9" s="1"/>
  <c r="E1055" i="9"/>
  <c r="D1055" i="9"/>
  <c r="C1055" i="9"/>
  <c r="B1055" i="9"/>
  <c r="A1055" i="9"/>
  <c r="H1054" i="9"/>
  <c r="G1054" i="9"/>
  <c r="I1054" i="9" s="1"/>
  <c r="F1054" i="9"/>
  <c r="J1054" i="9" s="1"/>
  <c r="E1054" i="9"/>
  <c r="D1054" i="9"/>
  <c r="C1054" i="9"/>
  <c r="B1054" i="9"/>
  <c r="A1054" i="9"/>
  <c r="J1053" i="9"/>
  <c r="H1053" i="9"/>
  <c r="G1053" i="9"/>
  <c r="F1053" i="9"/>
  <c r="E1053" i="9"/>
  <c r="I1053" i="9" s="1"/>
  <c r="D1053" i="9"/>
  <c r="C1053" i="9"/>
  <c r="B1053" i="9"/>
  <c r="A1053" i="9"/>
  <c r="H1052" i="9"/>
  <c r="G1052" i="9"/>
  <c r="F1052" i="9"/>
  <c r="J1052" i="9" s="1"/>
  <c r="E1052" i="9"/>
  <c r="D1052" i="9"/>
  <c r="C1052" i="9"/>
  <c r="B1052" i="9"/>
  <c r="A1052" i="9"/>
  <c r="H1051" i="9"/>
  <c r="G1051" i="9"/>
  <c r="F1051" i="9"/>
  <c r="J1051" i="9" s="1"/>
  <c r="E1051" i="9"/>
  <c r="D1051" i="9"/>
  <c r="C1051" i="9"/>
  <c r="B1051" i="9"/>
  <c r="A1051" i="9"/>
  <c r="H1050" i="9"/>
  <c r="G1050" i="9"/>
  <c r="F1050" i="9"/>
  <c r="J1050" i="9" s="1"/>
  <c r="E1050" i="9"/>
  <c r="D1050" i="9"/>
  <c r="C1050" i="9"/>
  <c r="B1050" i="9"/>
  <c r="A1050" i="9"/>
  <c r="I1049" i="9"/>
  <c r="H1049" i="9"/>
  <c r="G1049" i="9"/>
  <c r="F1049" i="9"/>
  <c r="J1049" i="9" s="1"/>
  <c r="E1049" i="9"/>
  <c r="D1049" i="9"/>
  <c r="C1049" i="9"/>
  <c r="B1049" i="9"/>
  <c r="A1049" i="9"/>
  <c r="J1048" i="9"/>
  <c r="H1048" i="9"/>
  <c r="G1048" i="9"/>
  <c r="F1048" i="9"/>
  <c r="E1048" i="9"/>
  <c r="D1048" i="9"/>
  <c r="C1048" i="9"/>
  <c r="B1048" i="9"/>
  <c r="A1048" i="9"/>
  <c r="H1047" i="9"/>
  <c r="G1047" i="9"/>
  <c r="F1047" i="9"/>
  <c r="J1047" i="9" s="1"/>
  <c r="E1047" i="9"/>
  <c r="D1047" i="9"/>
  <c r="C1047" i="9"/>
  <c r="B1047" i="9"/>
  <c r="A1047" i="9"/>
  <c r="H1046" i="9"/>
  <c r="G1046" i="9"/>
  <c r="I1046" i="9" s="1"/>
  <c r="F1046" i="9"/>
  <c r="J1046" i="9" s="1"/>
  <c r="E1046" i="9"/>
  <c r="D1046" i="9"/>
  <c r="C1046" i="9"/>
  <c r="B1046" i="9"/>
  <c r="A1046" i="9"/>
  <c r="J1045" i="9"/>
  <c r="H1045" i="9"/>
  <c r="G1045" i="9"/>
  <c r="F1045" i="9"/>
  <c r="E1045" i="9"/>
  <c r="I1045" i="9" s="1"/>
  <c r="D1045" i="9"/>
  <c r="C1045" i="9"/>
  <c r="B1045" i="9"/>
  <c r="A1045" i="9"/>
  <c r="H1044" i="9"/>
  <c r="G1044" i="9"/>
  <c r="F1044" i="9"/>
  <c r="J1044" i="9" s="1"/>
  <c r="E1044" i="9"/>
  <c r="D1044" i="9"/>
  <c r="C1044" i="9"/>
  <c r="B1044" i="9"/>
  <c r="A1044" i="9"/>
  <c r="H1043" i="9"/>
  <c r="G1043" i="9"/>
  <c r="F1043" i="9"/>
  <c r="J1043" i="9" s="1"/>
  <c r="E1043" i="9"/>
  <c r="D1043" i="9"/>
  <c r="C1043" i="9"/>
  <c r="B1043" i="9"/>
  <c r="A1043" i="9"/>
  <c r="H1042" i="9"/>
  <c r="G1042" i="9"/>
  <c r="F1042" i="9"/>
  <c r="J1042" i="9" s="1"/>
  <c r="E1042" i="9"/>
  <c r="D1042" i="9"/>
  <c r="C1042" i="9"/>
  <c r="B1042" i="9"/>
  <c r="A1042" i="9"/>
  <c r="I1041" i="9"/>
  <c r="H1041" i="9"/>
  <c r="G1041" i="9"/>
  <c r="F1041" i="9"/>
  <c r="J1041" i="9" s="1"/>
  <c r="E1041" i="9"/>
  <c r="D1041" i="9"/>
  <c r="C1041" i="9"/>
  <c r="B1041" i="9"/>
  <c r="A1041" i="9"/>
  <c r="J1040" i="9"/>
  <c r="H1040" i="9"/>
  <c r="G1040" i="9"/>
  <c r="F1040" i="9"/>
  <c r="E1040" i="9"/>
  <c r="D1040" i="9"/>
  <c r="C1040" i="9"/>
  <c r="B1040" i="9"/>
  <c r="A1040" i="9"/>
  <c r="H1039" i="9"/>
  <c r="G1039" i="9"/>
  <c r="F1039" i="9"/>
  <c r="J1039" i="9" s="1"/>
  <c r="E1039" i="9"/>
  <c r="D1039" i="9"/>
  <c r="C1039" i="9"/>
  <c r="B1039" i="9"/>
  <c r="A1039" i="9"/>
  <c r="H1038" i="9"/>
  <c r="G1038" i="9"/>
  <c r="I1038" i="9" s="1"/>
  <c r="F1038" i="9"/>
  <c r="J1038" i="9" s="1"/>
  <c r="E1038" i="9"/>
  <c r="D1038" i="9"/>
  <c r="C1038" i="9"/>
  <c r="B1038" i="9"/>
  <c r="A1038" i="9"/>
  <c r="J1037" i="9"/>
  <c r="H1037" i="9"/>
  <c r="G1037" i="9"/>
  <c r="F1037" i="9"/>
  <c r="E1037" i="9"/>
  <c r="I1037" i="9" s="1"/>
  <c r="D1037" i="9"/>
  <c r="C1037" i="9"/>
  <c r="B1037" i="9"/>
  <c r="A1037" i="9"/>
  <c r="H1036" i="9"/>
  <c r="G1036" i="9"/>
  <c r="F1036" i="9"/>
  <c r="J1036" i="9" s="1"/>
  <c r="E1036" i="9"/>
  <c r="D1036" i="9"/>
  <c r="C1036" i="9"/>
  <c r="B1036" i="9"/>
  <c r="A1036" i="9"/>
  <c r="H1035" i="9"/>
  <c r="G1035" i="9"/>
  <c r="F1035" i="9"/>
  <c r="J1035" i="9" s="1"/>
  <c r="E1035" i="9"/>
  <c r="D1035" i="9"/>
  <c r="C1035" i="9"/>
  <c r="B1035" i="9"/>
  <c r="A1035" i="9"/>
  <c r="H1034" i="9"/>
  <c r="G1034" i="9"/>
  <c r="I1034" i="9" s="1"/>
  <c r="F1034" i="9"/>
  <c r="J1034" i="9" s="1"/>
  <c r="E1034" i="9"/>
  <c r="D1034" i="9"/>
  <c r="C1034" i="9"/>
  <c r="B1034" i="9"/>
  <c r="A1034" i="9"/>
  <c r="I1033" i="9"/>
  <c r="H1033" i="9"/>
  <c r="G1033" i="9"/>
  <c r="F1033" i="9"/>
  <c r="J1033" i="9" s="1"/>
  <c r="E1033" i="9"/>
  <c r="D1033" i="9"/>
  <c r="C1033" i="9"/>
  <c r="B1033" i="9"/>
  <c r="A1033" i="9"/>
  <c r="J1032" i="9"/>
  <c r="H1032" i="9"/>
  <c r="G1032" i="9"/>
  <c r="F1032" i="9"/>
  <c r="E1032" i="9"/>
  <c r="D1032" i="9"/>
  <c r="C1032" i="9"/>
  <c r="B1032" i="9"/>
  <c r="A1032" i="9"/>
  <c r="H1031" i="9"/>
  <c r="G1031" i="9"/>
  <c r="F1031" i="9"/>
  <c r="J1031" i="9" s="1"/>
  <c r="E1031" i="9"/>
  <c r="D1031" i="9"/>
  <c r="C1031" i="9"/>
  <c r="B1031" i="9"/>
  <c r="A1031" i="9"/>
  <c r="H1030" i="9"/>
  <c r="G1030" i="9"/>
  <c r="I1030" i="9" s="1"/>
  <c r="F1030" i="9"/>
  <c r="J1030" i="9" s="1"/>
  <c r="E1030" i="9"/>
  <c r="D1030" i="9"/>
  <c r="C1030" i="9"/>
  <c r="B1030" i="9"/>
  <c r="A1030" i="9"/>
  <c r="J1029" i="9"/>
  <c r="H1029" i="9"/>
  <c r="G1029" i="9"/>
  <c r="F1029" i="9"/>
  <c r="E1029" i="9"/>
  <c r="I1029" i="9" s="1"/>
  <c r="D1029" i="9"/>
  <c r="C1029" i="9"/>
  <c r="B1029" i="9"/>
  <c r="A1029" i="9"/>
  <c r="H1028" i="9"/>
  <c r="G1028" i="9"/>
  <c r="F1028" i="9"/>
  <c r="J1028" i="9" s="1"/>
  <c r="E1028" i="9"/>
  <c r="D1028" i="9"/>
  <c r="C1028" i="9"/>
  <c r="B1028" i="9"/>
  <c r="A1028" i="9"/>
  <c r="H1027" i="9"/>
  <c r="G1027" i="9"/>
  <c r="F1027" i="9"/>
  <c r="J1027" i="9" s="1"/>
  <c r="E1027" i="9"/>
  <c r="D1027" i="9"/>
  <c r="C1027" i="9"/>
  <c r="B1027" i="9"/>
  <c r="A1027" i="9"/>
  <c r="H1026" i="9"/>
  <c r="G1026" i="9"/>
  <c r="F1026" i="9"/>
  <c r="J1026" i="9" s="1"/>
  <c r="E1026" i="9"/>
  <c r="D1026" i="9"/>
  <c r="C1026" i="9"/>
  <c r="B1026" i="9"/>
  <c r="A1026" i="9"/>
  <c r="I1025" i="9"/>
  <c r="H1025" i="9"/>
  <c r="G1025" i="9"/>
  <c r="F1025" i="9"/>
  <c r="J1025" i="9" s="1"/>
  <c r="E1025" i="9"/>
  <c r="D1025" i="9"/>
  <c r="C1025" i="9"/>
  <c r="B1025" i="9"/>
  <c r="A1025" i="9"/>
  <c r="J1024" i="9"/>
  <c r="H1024" i="9"/>
  <c r="G1024" i="9"/>
  <c r="F1024" i="9"/>
  <c r="E1024" i="9"/>
  <c r="D1024" i="9"/>
  <c r="C1024" i="9"/>
  <c r="B1024" i="9"/>
  <c r="A1024" i="9"/>
  <c r="H1023" i="9"/>
  <c r="G1023" i="9"/>
  <c r="F1023" i="9"/>
  <c r="J1023" i="9" s="1"/>
  <c r="E1023" i="9"/>
  <c r="D1023" i="9"/>
  <c r="C1023" i="9"/>
  <c r="B1023" i="9"/>
  <c r="A1023" i="9"/>
  <c r="H1022" i="9"/>
  <c r="G1022" i="9"/>
  <c r="I1022" i="9" s="1"/>
  <c r="F1022" i="9"/>
  <c r="J1022" i="9" s="1"/>
  <c r="E1022" i="9"/>
  <c r="D1022" i="9"/>
  <c r="C1022" i="9"/>
  <c r="B1022" i="9"/>
  <c r="A1022" i="9"/>
  <c r="J1021" i="9"/>
  <c r="H1021" i="9"/>
  <c r="G1021" i="9"/>
  <c r="F1021" i="9"/>
  <c r="E1021" i="9"/>
  <c r="I1021" i="9" s="1"/>
  <c r="D1021" i="9"/>
  <c r="C1021" i="9"/>
  <c r="B1021" i="9"/>
  <c r="A1021" i="9"/>
  <c r="H1020" i="9"/>
  <c r="G1020" i="9"/>
  <c r="F1020" i="9"/>
  <c r="J1020" i="9" s="1"/>
  <c r="E1020" i="9"/>
  <c r="D1020" i="9"/>
  <c r="C1020" i="9"/>
  <c r="B1020" i="9"/>
  <c r="A1020" i="9"/>
  <c r="H1019" i="9"/>
  <c r="G1019" i="9"/>
  <c r="F1019" i="9"/>
  <c r="J1019" i="9" s="1"/>
  <c r="E1019" i="9"/>
  <c r="D1019" i="9"/>
  <c r="C1019" i="9"/>
  <c r="B1019" i="9"/>
  <c r="A1019" i="9"/>
  <c r="H1018" i="9"/>
  <c r="G1018" i="9"/>
  <c r="F1018" i="9"/>
  <c r="J1018" i="9" s="1"/>
  <c r="E1018" i="9"/>
  <c r="D1018" i="9"/>
  <c r="C1018" i="9"/>
  <c r="B1018" i="9"/>
  <c r="A1018" i="9"/>
  <c r="I1017" i="9"/>
  <c r="H1017" i="9"/>
  <c r="G1017" i="9"/>
  <c r="F1017" i="9"/>
  <c r="J1017" i="9" s="1"/>
  <c r="E1017" i="9"/>
  <c r="D1017" i="9"/>
  <c r="C1017" i="9"/>
  <c r="B1017" i="9"/>
  <c r="A1017" i="9"/>
  <c r="J1016" i="9"/>
  <c r="H1016" i="9"/>
  <c r="G1016" i="9"/>
  <c r="F1016" i="9"/>
  <c r="E1016" i="9"/>
  <c r="D1016" i="9"/>
  <c r="C1016" i="9"/>
  <c r="B1016" i="9"/>
  <c r="A1016" i="9"/>
  <c r="H1015" i="9"/>
  <c r="G1015" i="9"/>
  <c r="F1015" i="9"/>
  <c r="J1015" i="9" s="1"/>
  <c r="E1015" i="9"/>
  <c r="D1015" i="9"/>
  <c r="C1015" i="9"/>
  <c r="B1015" i="9"/>
  <c r="A1015" i="9"/>
  <c r="H1014" i="9"/>
  <c r="G1014" i="9"/>
  <c r="I1014" i="9" s="1"/>
  <c r="F1014" i="9"/>
  <c r="J1014" i="9" s="1"/>
  <c r="E1014" i="9"/>
  <c r="D1014" i="9"/>
  <c r="C1014" i="9"/>
  <c r="B1014" i="9"/>
  <c r="A1014" i="9"/>
  <c r="J1013" i="9"/>
  <c r="H1013" i="9"/>
  <c r="G1013" i="9"/>
  <c r="F1013" i="9"/>
  <c r="E1013" i="9"/>
  <c r="I1013" i="9" s="1"/>
  <c r="D1013" i="9"/>
  <c r="C1013" i="9"/>
  <c r="B1013" i="9"/>
  <c r="A1013" i="9"/>
  <c r="H1012" i="9"/>
  <c r="G1012" i="9"/>
  <c r="F1012" i="9"/>
  <c r="J1012" i="9" s="1"/>
  <c r="E1012" i="9"/>
  <c r="D1012" i="9"/>
  <c r="C1012" i="9"/>
  <c r="B1012" i="9"/>
  <c r="A1012" i="9"/>
  <c r="H1011" i="9"/>
  <c r="G1011" i="9"/>
  <c r="F1011" i="9"/>
  <c r="J1011" i="9" s="1"/>
  <c r="E1011" i="9"/>
  <c r="D1011" i="9"/>
  <c r="C1011" i="9"/>
  <c r="B1011" i="9"/>
  <c r="A1011" i="9"/>
  <c r="H1010" i="9"/>
  <c r="G1010" i="9"/>
  <c r="F1010" i="9"/>
  <c r="J1010" i="9" s="1"/>
  <c r="E1010" i="9"/>
  <c r="D1010" i="9"/>
  <c r="C1010" i="9"/>
  <c r="B1010" i="9"/>
  <c r="A1010" i="9"/>
  <c r="I1009" i="9"/>
  <c r="H1009" i="9"/>
  <c r="G1009" i="9"/>
  <c r="F1009" i="9"/>
  <c r="J1009" i="9" s="1"/>
  <c r="E1009" i="9"/>
  <c r="D1009" i="9"/>
  <c r="C1009" i="9"/>
  <c r="B1009" i="9"/>
  <c r="A1009" i="9"/>
  <c r="J1008" i="9"/>
  <c r="H1008" i="9"/>
  <c r="G1008" i="9"/>
  <c r="F1008" i="9"/>
  <c r="E1008" i="9"/>
  <c r="D1008" i="9"/>
  <c r="C1008" i="9"/>
  <c r="B1008" i="9"/>
  <c r="A1008" i="9"/>
  <c r="H1007" i="9"/>
  <c r="G1007" i="9"/>
  <c r="F1007" i="9"/>
  <c r="J1007" i="9" s="1"/>
  <c r="E1007" i="9"/>
  <c r="D1007" i="9"/>
  <c r="C1007" i="9"/>
  <c r="B1007" i="9"/>
  <c r="A1007" i="9"/>
  <c r="H1006" i="9"/>
  <c r="G1006" i="9"/>
  <c r="I1006" i="9" s="1"/>
  <c r="F1006" i="9"/>
  <c r="J1006" i="9" s="1"/>
  <c r="E1006" i="9"/>
  <c r="D1006" i="9"/>
  <c r="C1006" i="9"/>
  <c r="B1006" i="9"/>
  <c r="A1006" i="9"/>
  <c r="J1005" i="9"/>
  <c r="H1005" i="9"/>
  <c r="G1005" i="9"/>
  <c r="F1005" i="9"/>
  <c r="E1005" i="9"/>
  <c r="I1005" i="9" s="1"/>
  <c r="D1005" i="9"/>
  <c r="C1005" i="9"/>
  <c r="B1005" i="9"/>
  <c r="A1005" i="9"/>
  <c r="H1004" i="9"/>
  <c r="G1004" i="9"/>
  <c r="F1004" i="9"/>
  <c r="J1004" i="9" s="1"/>
  <c r="E1004" i="9"/>
  <c r="D1004" i="9"/>
  <c r="C1004" i="9"/>
  <c r="B1004" i="9"/>
  <c r="A1004" i="9"/>
  <c r="H1003" i="9"/>
  <c r="G1003" i="9"/>
  <c r="F1003" i="9"/>
  <c r="J1003" i="9" s="1"/>
  <c r="E1003" i="9"/>
  <c r="D1003" i="9"/>
  <c r="C1003" i="9"/>
  <c r="B1003" i="9"/>
  <c r="A1003" i="9"/>
  <c r="H1002" i="9"/>
  <c r="G1002" i="9"/>
  <c r="I1002" i="9" s="1"/>
  <c r="F1002" i="9"/>
  <c r="J1002" i="9" s="1"/>
  <c r="E1002" i="9"/>
  <c r="D1002" i="9"/>
  <c r="C1002" i="9"/>
  <c r="B1002" i="9"/>
  <c r="A1002" i="9"/>
  <c r="I1001" i="9"/>
  <c r="H1001" i="9"/>
  <c r="G1001" i="9"/>
  <c r="F1001" i="9"/>
  <c r="J1001" i="9" s="1"/>
  <c r="E1001" i="9"/>
  <c r="D1001" i="9"/>
  <c r="C1001" i="9"/>
  <c r="B1001" i="9"/>
  <c r="A1001" i="9"/>
  <c r="J1000" i="9"/>
  <c r="H1000" i="9"/>
  <c r="G1000" i="9"/>
  <c r="F1000" i="9"/>
  <c r="E1000" i="9"/>
  <c r="D1000" i="9"/>
  <c r="C1000" i="9"/>
  <c r="B1000" i="9"/>
  <c r="A1000" i="9"/>
  <c r="H999" i="9"/>
  <c r="G999" i="9"/>
  <c r="F999" i="9"/>
  <c r="J999" i="9" s="1"/>
  <c r="E999" i="9"/>
  <c r="D999" i="9"/>
  <c r="C999" i="9"/>
  <c r="B999" i="9"/>
  <c r="A999" i="9"/>
  <c r="H998" i="9"/>
  <c r="G998" i="9"/>
  <c r="I998" i="9" s="1"/>
  <c r="F998" i="9"/>
  <c r="J998" i="9" s="1"/>
  <c r="E998" i="9"/>
  <c r="D998" i="9"/>
  <c r="C998" i="9"/>
  <c r="B998" i="9"/>
  <c r="A998" i="9"/>
  <c r="J997" i="9"/>
  <c r="H997" i="9"/>
  <c r="G997" i="9"/>
  <c r="F997" i="9"/>
  <c r="E997" i="9"/>
  <c r="I997" i="9" s="1"/>
  <c r="D997" i="9"/>
  <c r="C997" i="9"/>
  <c r="B997" i="9"/>
  <c r="A997" i="9"/>
  <c r="H996" i="9"/>
  <c r="G996" i="9"/>
  <c r="F996" i="9"/>
  <c r="J996" i="9" s="1"/>
  <c r="E996" i="9"/>
  <c r="D996" i="9"/>
  <c r="C996" i="9"/>
  <c r="B996" i="9"/>
  <c r="A996" i="9"/>
  <c r="H995" i="9"/>
  <c r="G995" i="9"/>
  <c r="F995" i="9"/>
  <c r="J995" i="9" s="1"/>
  <c r="E995" i="9"/>
  <c r="D995" i="9"/>
  <c r="C995" i="9"/>
  <c r="B995" i="9"/>
  <c r="A995" i="9"/>
  <c r="H994" i="9"/>
  <c r="G994" i="9"/>
  <c r="F994" i="9"/>
  <c r="J994" i="9" s="1"/>
  <c r="E994" i="9"/>
  <c r="D994" i="9"/>
  <c r="C994" i="9"/>
  <c r="B994" i="9"/>
  <c r="A994" i="9"/>
  <c r="I993" i="9"/>
  <c r="H993" i="9"/>
  <c r="G993" i="9"/>
  <c r="F993" i="9"/>
  <c r="J993" i="9" s="1"/>
  <c r="E993" i="9"/>
  <c r="D993" i="9"/>
  <c r="C993" i="9"/>
  <c r="B993" i="9"/>
  <c r="A993" i="9"/>
  <c r="J992" i="9"/>
  <c r="H992" i="9"/>
  <c r="G992" i="9"/>
  <c r="F992" i="9"/>
  <c r="E992" i="9"/>
  <c r="D992" i="9"/>
  <c r="C992" i="9"/>
  <c r="B992" i="9"/>
  <c r="A992" i="9"/>
  <c r="H991" i="9"/>
  <c r="G991" i="9"/>
  <c r="F991" i="9"/>
  <c r="J991" i="9" s="1"/>
  <c r="E991" i="9"/>
  <c r="D991" i="9"/>
  <c r="C991" i="9"/>
  <c r="B991" i="9"/>
  <c r="A991" i="9"/>
  <c r="H990" i="9"/>
  <c r="G990" i="9"/>
  <c r="I990" i="9" s="1"/>
  <c r="F990" i="9"/>
  <c r="J990" i="9" s="1"/>
  <c r="E990" i="9"/>
  <c r="D990" i="9"/>
  <c r="C990" i="9"/>
  <c r="B990" i="9"/>
  <c r="A990" i="9"/>
  <c r="J989" i="9"/>
  <c r="H989" i="9"/>
  <c r="G989" i="9"/>
  <c r="F989" i="9"/>
  <c r="E989" i="9"/>
  <c r="I989" i="9" s="1"/>
  <c r="D989" i="9"/>
  <c r="C989" i="9"/>
  <c r="B989" i="9"/>
  <c r="A989" i="9"/>
  <c r="H988" i="9"/>
  <c r="G988" i="9"/>
  <c r="F988" i="9"/>
  <c r="J988" i="9" s="1"/>
  <c r="E988" i="9"/>
  <c r="D988" i="9"/>
  <c r="C988" i="9"/>
  <c r="B988" i="9"/>
  <c r="A988" i="9"/>
  <c r="H987" i="9"/>
  <c r="G987" i="9"/>
  <c r="F987" i="9"/>
  <c r="J987" i="9" s="1"/>
  <c r="E987" i="9"/>
  <c r="D987" i="9"/>
  <c r="C987" i="9"/>
  <c r="B987" i="9"/>
  <c r="A987" i="9"/>
  <c r="H986" i="9"/>
  <c r="G986" i="9"/>
  <c r="F986" i="9"/>
  <c r="J986" i="9" s="1"/>
  <c r="E986" i="9"/>
  <c r="D986" i="9"/>
  <c r="C986" i="9"/>
  <c r="B986" i="9"/>
  <c r="A986" i="9"/>
  <c r="I985" i="9"/>
  <c r="H985" i="9"/>
  <c r="G985" i="9"/>
  <c r="F985" i="9"/>
  <c r="J985" i="9" s="1"/>
  <c r="E985" i="9"/>
  <c r="D985" i="9"/>
  <c r="C985" i="9"/>
  <c r="B985" i="9"/>
  <c r="A985" i="9"/>
  <c r="J984" i="9"/>
  <c r="H984" i="9"/>
  <c r="G984" i="9"/>
  <c r="F984" i="9"/>
  <c r="E984" i="9"/>
  <c r="D984" i="9"/>
  <c r="C984" i="9"/>
  <c r="B984" i="9"/>
  <c r="A984" i="9"/>
  <c r="H983" i="9"/>
  <c r="G983" i="9"/>
  <c r="F983" i="9"/>
  <c r="J983" i="9" s="1"/>
  <c r="E983" i="9"/>
  <c r="D983" i="9"/>
  <c r="C983" i="9"/>
  <c r="B983" i="9"/>
  <c r="A983" i="9"/>
  <c r="H982" i="9"/>
  <c r="G982" i="9"/>
  <c r="I982" i="9" s="1"/>
  <c r="F982" i="9"/>
  <c r="J982" i="9" s="1"/>
  <c r="E982" i="9"/>
  <c r="D982" i="9"/>
  <c r="C982" i="9"/>
  <c r="B982" i="9"/>
  <c r="A982" i="9"/>
  <c r="J981" i="9"/>
  <c r="H981" i="9"/>
  <c r="G981" i="9"/>
  <c r="F981" i="9"/>
  <c r="E981" i="9"/>
  <c r="I981" i="9" s="1"/>
  <c r="D981" i="9"/>
  <c r="C981" i="9"/>
  <c r="B981" i="9"/>
  <c r="A981" i="9"/>
  <c r="H980" i="9"/>
  <c r="G980" i="9"/>
  <c r="F980" i="9"/>
  <c r="J980" i="9" s="1"/>
  <c r="E980" i="9"/>
  <c r="D980" i="9"/>
  <c r="C980" i="9"/>
  <c r="B980" i="9"/>
  <c r="A980" i="9"/>
  <c r="H979" i="9"/>
  <c r="G979" i="9"/>
  <c r="F979" i="9"/>
  <c r="J979" i="9" s="1"/>
  <c r="E979" i="9"/>
  <c r="D979" i="9"/>
  <c r="C979" i="9"/>
  <c r="B979" i="9"/>
  <c r="A979" i="9"/>
  <c r="H978" i="9"/>
  <c r="G978" i="9"/>
  <c r="F978" i="9"/>
  <c r="J978" i="9" s="1"/>
  <c r="E978" i="9"/>
  <c r="D978" i="9"/>
  <c r="C978" i="9"/>
  <c r="B978" i="9"/>
  <c r="A978" i="9"/>
  <c r="I977" i="9"/>
  <c r="H977" i="9"/>
  <c r="G977" i="9"/>
  <c r="F977" i="9"/>
  <c r="J977" i="9" s="1"/>
  <c r="E977" i="9"/>
  <c r="D977" i="9"/>
  <c r="C977" i="9"/>
  <c r="B977" i="9"/>
  <c r="A977" i="9"/>
  <c r="J976" i="9"/>
  <c r="H976" i="9"/>
  <c r="G976" i="9"/>
  <c r="F976" i="9"/>
  <c r="E976" i="9"/>
  <c r="D976" i="9"/>
  <c r="C976" i="9"/>
  <c r="B976" i="9"/>
  <c r="A976" i="9"/>
  <c r="H975" i="9"/>
  <c r="G975" i="9"/>
  <c r="F975" i="9"/>
  <c r="J975" i="9" s="1"/>
  <c r="E975" i="9"/>
  <c r="D975" i="9"/>
  <c r="C975" i="9"/>
  <c r="B975" i="9"/>
  <c r="A975" i="9"/>
  <c r="H974" i="9"/>
  <c r="G974" i="9"/>
  <c r="I974" i="9" s="1"/>
  <c r="F974" i="9"/>
  <c r="J974" i="9" s="1"/>
  <c r="E974" i="9"/>
  <c r="D974" i="9"/>
  <c r="C974" i="9"/>
  <c r="B974" i="9"/>
  <c r="A974" i="9"/>
  <c r="J973" i="9"/>
  <c r="H973" i="9"/>
  <c r="G973" i="9"/>
  <c r="F973" i="9"/>
  <c r="E973" i="9"/>
  <c r="I973" i="9" s="1"/>
  <c r="D973" i="9"/>
  <c r="C973" i="9"/>
  <c r="B973" i="9"/>
  <c r="A973" i="9"/>
  <c r="H972" i="9"/>
  <c r="G972" i="9"/>
  <c r="F972" i="9"/>
  <c r="J972" i="9" s="1"/>
  <c r="E972" i="9"/>
  <c r="D972" i="9"/>
  <c r="C972" i="9"/>
  <c r="B972" i="9"/>
  <c r="A972" i="9"/>
  <c r="H971" i="9"/>
  <c r="G971" i="9"/>
  <c r="F971" i="9"/>
  <c r="J971" i="9" s="1"/>
  <c r="E971" i="9"/>
  <c r="D971" i="9"/>
  <c r="C971" i="9"/>
  <c r="B971" i="9"/>
  <c r="A971" i="9"/>
  <c r="H970" i="9"/>
  <c r="G970" i="9"/>
  <c r="I970" i="9" s="1"/>
  <c r="F970" i="9"/>
  <c r="J970" i="9" s="1"/>
  <c r="E970" i="9"/>
  <c r="D970" i="9"/>
  <c r="C970" i="9"/>
  <c r="B970" i="9"/>
  <c r="A970" i="9"/>
  <c r="I969" i="9"/>
  <c r="H969" i="9"/>
  <c r="G969" i="9"/>
  <c r="F969" i="9"/>
  <c r="J969" i="9" s="1"/>
  <c r="E969" i="9"/>
  <c r="D969" i="9"/>
  <c r="C969" i="9"/>
  <c r="B969" i="9"/>
  <c r="A969" i="9"/>
  <c r="J968" i="9"/>
  <c r="H968" i="9"/>
  <c r="G968" i="9"/>
  <c r="F968" i="9"/>
  <c r="E968" i="9"/>
  <c r="D968" i="9"/>
  <c r="C968" i="9"/>
  <c r="B968" i="9"/>
  <c r="A968" i="9"/>
  <c r="H967" i="9"/>
  <c r="G967" i="9"/>
  <c r="F967" i="9"/>
  <c r="J967" i="9" s="1"/>
  <c r="E967" i="9"/>
  <c r="D967" i="9"/>
  <c r="C967" i="9"/>
  <c r="B967" i="9"/>
  <c r="A967" i="9"/>
  <c r="H966" i="9"/>
  <c r="G966" i="9"/>
  <c r="I966" i="9" s="1"/>
  <c r="F966" i="9"/>
  <c r="J966" i="9" s="1"/>
  <c r="E966" i="9"/>
  <c r="D966" i="9"/>
  <c r="C966" i="9"/>
  <c r="B966" i="9"/>
  <c r="A966" i="9"/>
  <c r="J965" i="9"/>
  <c r="H965" i="9"/>
  <c r="G965" i="9"/>
  <c r="F965" i="9"/>
  <c r="E965" i="9"/>
  <c r="I965" i="9" s="1"/>
  <c r="D965" i="9"/>
  <c r="C965" i="9"/>
  <c r="B965" i="9"/>
  <c r="A965" i="9"/>
  <c r="H964" i="9"/>
  <c r="G964" i="9"/>
  <c r="F964" i="9"/>
  <c r="J964" i="9" s="1"/>
  <c r="E964" i="9"/>
  <c r="D964" i="9"/>
  <c r="C964" i="9"/>
  <c r="B964" i="9"/>
  <c r="A964" i="9"/>
  <c r="H963" i="9"/>
  <c r="G963" i="9"/>
  <c r="F963" i="9"/>
  <c r="J963" i="9" s="1"/>
  <c r="E963" i="9"/>
  <c r="D963" i="9"/>
  <c r="C963" i="9"/>
  <c r="B963" i="9"/>
  <c r="A963" i="9"/>
  <c r="H962" i="9"/>
  <c r="G962" i="9"/>
  <c r="F962" i="9"/>
  <c r="J962" i="9" s="1"/>
  <c r="E962" i="9"/>
  <c r="D962" i="9"/>
  <c r="C962" i="9"/>
  <c r="B962" i="9"/>
  <c r="A962" i="9"/>
  <c r="I961" i="9"/>
  <c r="H961" i="9"/>
  <c r="G961" i="9"/>
  <c r="F961" i="9"/>
  <c r="J961" i="9" s="1"/>
  <c r="E961" i="9"/>
  <c r="D961" i="9"/>
  <c r="C961" i="9"/>
  <c r="B961" i="9"/>
  <c r="A961" i="9"/>
  <c r="J960" i="9"/>
  <c r="H960" i="9"/>
  <c r="G960" i="9"/>
  <c r="F960" i="9"/>
  <c r="E960" i="9"/>
  <c r="D960" i="9"/>
  <c r="C960" i="9"/>
  <c r="B960" i="9"/>
  <c r="A960" i="9"/>
  <c r="H959" i="9"/>
  <c r="G959" i="9"/>
  <c r="F959" i="9"/>
  <c r="J959" i="9" s="1"/>
  <c r="E959" i="9"/>
  <c r="D959" i="9"/>
  <c r="C959" i="9"/>
  <c r="B959" i="9"/>
  <c r="A959" i="9"/>
  <c r="H958" i="9"/>
  <c r="G958" i="9"/>
  <c r="I958" i="9" s="1"/>
  <c r="F958" i="9"/>
  <c r="J958" i="9" s="1"/>
  <c r="E958" i="9"/>
  <c r="D958" i="9"/>
  <c r="C958" i="9"/>
  <c r="B958" i="9"/>
  <c r="A958" i="9"/>
  <c r="J957" i="9"/>
  <c r="H957" i="9"/>
  <c r="G957" i="9"/>
  <c r="F957" i="9"/>
  <c r="E957" i="9"/>
  <c r="I957" i="9" s="1"/>
  <c r="D957" i="9"/>
  <c r="C957" i="9"/>
  <c r="B957" i="9"/>
  <c r="A957" i="9"/>
  <c r="H956" i="9"/>
  <c r="G956" i="9"/>
  <c r="F956" i="9"/>
  <c r="J956" i="9" s="1"/>
  <c r="E956" i="9"/>
  <c r="D956" i="9"/>
  <c r="C956" i="9"/>
  <c r="B956" i="9"/>
  <c r="A956" i="9"/>
  <c r="H955" i="9"/>
  <c r="G955" i="9"/>
  <c r="F955" i="9"/>
  <c r="J955" i="9" s="1"/>
  <c r="E955" i="9"/>
  <c r="D955" i="9"/>
  <c r="C955" i="9"/>
  <c r="B955" i="9"/>
  <c r="A955" i="9"/>
  <c r="H954" i="9"/>
  <c r="G954" i="9"/>
  <c r="I954" i="9" s="1"/>
  <c r="F954" i="9"/>
  <c r="J954" i="9" s="1"/>
  <c r="E954" i="9"/>
  <c r="D954" i="9"/>
  <c r="C954" i="9"/>
  <c r="B954" i="9"/>
  <c r="A954" i="9"/>
  <c r="I953" i="9"/>
  <c r="H953" i="9"/>
  <c r="G953" i="9"/>
  <c r="F953" i="9"/>
  <c r="J953" i="9" s="1"/>
  <c r="E953" i="9"/>
  <c r="D953" i="9"/>
  <c r="C953" i="9"/>
  <c r="B953" i="9"/>
  <c r="A953" i="9"/>
  <c r="J952" i="9"/>
  <c r="H952" i="9"/>
  <c r="G952" i="9"/>
  <c r="F952" i="9"/>
  <c r="E952" i="9"/>
  <c r="D952" i="9"/>
  <c r="C952" i="9"/>
  <c r="B952" i="9"/>
  <c r="A952" i="9"/>
  <c r="H951" i="9"/>
  <c r="G951" i="9"/>
  <c r="F951" i="9"/>
  <c r="J951" i="9" s="1"/>
  <c r="E951" i="9"/>
  <c r="D951" i="9"/>
  <c r="C951" i="9"/>
  <c r="B951" i="9"/>
  <c r="A951" i="9"/>
  <c r="H950" i="9"/>
  <c r="G950" i="9"/>
  <c r="I950" i="9" s="1"/>
  <c r="F950" i="9"/>
  <c r="J950" i="9" s="1"/>
  <c r="E950" i="9"/>
  <c r="D950" i="9"/>
  <c r="C950" i="9"/>
  <c r="B950" i="9"/>
  <c r="A950" i="9"/>
  <c r="J949" i="9"/>
  <c r="H949" i="9"/>
  <c r="G949" i="9"/>
  <c r="F949" i="9"/>
  <c r="E949" i="9"/>
  <c r="I949" i="9" s="1"/>
  <c r="D949" i="9"/>
  <c r="C949" i="9"/>
  <c r="B949" i="9"/>
  <c r="A949" i="9"/>
  <c r="H948" i="9"/>
  <c r="G948" i="9"/>
  <c r="F948" i="9"/>
  <c r="J948" i="9" s="1"/>
  <c r="E948" i="9"/>
  <c r="D948" i="9"/>
  <c r="C948" i="9"/>
  <c r="B948" i="9"/>
  <c r="A948" i="9"/>
  <c r="H947" i="9"/>
  <c r="G947" i="9"/>
  <c r="F947" i="9"/>
  <c r="J947" i="9" s="1"/>
  <c r="E947" i="9"/>
  <c r="D947" i="9"/>
  <c r="C947" i="9"/>
  <c r="B947" i="9"/>
  <c r="A947" i="9"/>
  <c r="H946" i="9"/>
  <c r="G946" i="9"/>
  <c r="F946" i="9"/>
  <c r="J946" i="9" s="1"/>
  <c r="E946" i="9"/>
  <c r="D946" i="9"/>
  <c r="C946" i="9"/>
  <c r="B946" i="9"/>
  <c r="A946" i="9"/>
  <c r="I945" i="9"/>
  <c r="H945" i="9"/>
  <c r="G945" i="9"/>
  <c r="F945" i="9"/>
  <c r="J945" i="9" s="1"/>
  <c r="E945" i="9"/>
  <c r="D945" i="9"/>
  <c r="C945" i="9"/>
  <c r="B945" i="9"/>
  <c r="A945" i="9"/>
  <c r="J944" i="9"/>
  <c r="H944" i="9"/>
  <c r="G944" i="9"/>
  <c r="F944" i="9"/>
  <c r="E944" i="9"/>
  <c r="D944" i="9"/>
  <c r="C944" i="9"/>
  <c r="B944" i="9"/>
  <c r="A944" i="9"/>
  <c r="H943" i="9"/>
  <c r="G943" i="9"/>
  <c r="F943" i="9"/>
  <c r="J943" i="9" s="1"/>
  <c r="E943" i="9"/>
  <c r="D943" i="9"/>
  <c r="C943" i="9"/>
  <c r="B943" i="9"/>
  <c r="A943" i="9"/>
  <c r="H942" i="9"/>
  <c r="G942" i="9"/>
  <c r="I942" i="9" s="1"/>
  <c r="F942" i="9"/>
  <c r="J942" i="9" s="1"/>
  <c r="E942" i="9"/>
  <c r="D942" i="9"/>
  <c r="C942" i="9"/>
  <c r="B942" i="9"/>
  <c r="A942" i="9"/>
  <c r="J941" i="9"/>
  <c r="H941" i="9"/>
  <c r="G941" i="9"/>
  <c r="F941" i="9"/>
  <c r="E941" i="9"/>
  <c r="I941" i="9" s="1"/>
  <c r="D941" i="9"/>
  <c r="C941" i="9"/>
  <c r="B941" i="9"/>
  <c r="A941" i="9"/>
  <c r="H940" i="9"/>
  <c r="G940" i="9"/>
  <c r="F940" i="9"/>
  <c r="J940" i="9" s="1"/>
  <c r="E940" i="9"/>
  <c r="D940" i="9"/>
  <c r="C940" i="9"/>
  <c r="B940" i="9"/>
  <c r="A940" i="9"/>
  <c r="H939" i="9"/>
  <c r="G939" i="9"/>
  <c r="F939" i="9"/>
  <c r="J939" i="9" s="1"/>
  <c r="E939" i="9"/>
  <c r="D939" i="9"/>
  <c r="C939" i="9"/>
  <c r="B939" i="9"/>
  <c r="A939" i="9"/>
  <c r="H938" i="9"/>
  <c r="G938" i="9"/>
  <c r="I938" i="9" s="1"/>
  <c r="F938" i="9"/>
  <c r="J938" i="9" s="1"/>
  <c r="E938" i="9"/>
  <c r="D938" i="9"/>
  <c r="C938" i="9"/>
  <c r="B938" i="9"/>
  <c r="A938" i="9"/>
  <c r="I937" i="9"/>
  <c r="H937" i="9"/>
  <c r="G937" i="9"/>
  <c r="F937" i="9"/>
  <c r="J937" i="9" s="1"/>
  <c r="E937" i="9"/>
  <c r="D937" i="9"/>
  <c r="C937" i="9"/>
  <c r="B937" i="9"/>
  <c r="A937" i="9"/>
  <c r="J936" i="9"/>
  <c r="H936" i="9"/>
  <c r="G936" i="9"/>
  <c r="F936" i="9"/>
  <c r="E936" i="9"/>
  <c r="D936" i="9"/>
  <c r="C936" i="9"/>
  <c r="B936" i="9"/>
  <c r="A936" i="9"/>
  <c r="H935" i="9"/>
  <c r="G935" i="9"/>
  <c r="F935" i="9"/>
  <c r="J935" i="9" s="1"/>
  <c r="E935" i="9"/>
  <c r="D935" i="9"/>
  <c r="C935" i="9"/>
  <c r="B935" i="9"/>
  <c r="A935" i="9"/>
  <c r="H934" i="9"/>
  <c r="G934" i="9"/>
  <c r="I934" i="9" s="1"/>
  <c r="F934" i="9"/>
  <c r="J934" i="9" s="1"/>
  <c r="E934" i="9"/>
  <c r="D934" i="9"/>
  <c r="C934" i="9"/>
  <c r="B934" i="9"/>
  <c r="A934" i="9"/>
  <c r="J933" i="9"/>
  <c r="H933" i="9"/>
  <c r="G933" i="9"/>
  <c r="F933" i="9"/>
  <c r="E933" i="9"/>
  <c r="I933" i="9" s="1"/>
  <c r="D933" i="9"/>
  <c r="C933" i="9"/>
  <c r="B933" i="9"/>
  <c r="A933" i="9"/>
  <c r="H932" i="9"/>
  <c r="G932" i="9"/>
  <c r="F932" i="9"/>
  <c r="J932" i="9" s="1"/>
  <c r="E932" i="9"/>
  <c r="D932" i="9"/>
  <c r="C932" i="9"/>
  <c r="B932" i="9"/>
  <c r="A932" i="9"/>
  <c r="H931" i="9"/>
  <c r="G931" i="9"/>
  <c r="F931" i="9"/>
  <c r="J931" i="9" s="1"/>
  <c r="E931" i="9"/>
  <c r="D931" i="9"/>
  <c r="C931" i="9"/>
  <c r="B931" i="9"/>
  <c r="A931" i="9"/>
  <c r="H930" i="9"/>
  <c r="G930" i="9"/>
  <c r="F930" i="9"/>
  <c r="J930" i="9" s="1"/>
  <c r="E930" i="9"/>
  <c r="D930" i="9"/>
  <c r="C930" i="9"/>
  <c r="B930" i="9"/>
  <c r="A930" i="9"/>
  <c r="I929" i="9"/>
  <c r="H929" i="9"/>
  <c r="G929" i="9"/>
  <c r="F929" i="9"/>
  <c r="J929" i="9" s="1"/>
  <c r="E929" i="9"/>
  <c r="D929" i="9"/>
  <c r="C929" i="9"/>
  <c r="B929" i="9"/>
  <c r="A929" i="9"/>
  <c r="H928" i="9"/>
  <c r="G928" i="9"/>
  <c r="F928" i="9"/>
  <c r="J928" i="9" s="1"/>
  <c r="E928" i="9"/>
  <c r="D928" i="9"/>
  <c r="C928" i="9"/>
  <c r="B928" i="9"/>
  <c r="A928" i="9"/>
  <c r="H927" i="9"/>
  <c r="G927" i="9"/>
  <c r="F927" i="9"/>
  <c r="J927" i="9" s="1"/>
  <c r="E927" i="9"/>
  <c r="D927" i="9"/>
  <c r="C927" i="9"/>
  <c r="B927" i="9"/>
  <c r="A927" i="9"/>
  <c r="H926" i="9"/>
  <c r="G926" i="9"/>
  <c r="I926" i="9" s="1"/>
  <c r="F926" i="9"/>
  <c r="J926" i="9" s="1"/>
  <c r="E926" i="9"/>
  <c r="D926" i="9"/>
  <c r="C926" i="9"/>
  <c r="B926" i="9"/>
  <c r="A926" i="9"/>
  <c r="J925" i="9"/>
  <c r="H925" i="9"/>
  <c r="G925" i="9"/>
  <c r="F925" i="9"/>
  <c r="E925" i="9"/>
  <c r="I925" i="9" s="1"/>
  <c r="D925" i="9"/>
  <c r="C925" i="9"/>
  <c r="B925" i="9"/>
  <c r="A925" i="9"/>
  <c r="H924" i="9"/>
  <c r="G924" i="9"/>
  <c r="F924" i="9"/>
  <c r="J924" i="9" s="1"/>
  <c r="E924" i="9"/>
  <c r="D924" i="9"/>
  <c r="C924" i="9"/>
  <c r="B924" i="9"/>
  <c r="A924" i="9"/>
  <c r="H923" i="9"/>
  <c r="G923" i="9"/>
  <c r="F923" i="9"/>
  <c r="J923" i="9" s="1"/>
  <c r="E923" i="9"/>
  <c r="D923" i="9"/>
  <c r="C923" i="9"/>
  <c r="B923" i="9"/>
  <c r="A923" i="9"/>
  <c r="H922" i="9"/>
  <c r="G922" i="9"/>
  <c r="F922" i="9"/>
  <c r="J922" i="9" s="1"/>
  <c r="E922" i="9"/>
  <c r="D922" i="9"/>
  <c r="C922" i="9"/>
  <c r="B922" i="9"/>
  <c r="A922" i="9"/>
  <c r="H921" i="9"/>
  <c r="G921" i="9"/>
  <c r="F921" i="9"/>
  <c r="J921" i="9" s="1"/>
  <c r="E921" i="9"/>
  <c r="I921" i="9" s="1"/>
  <c r="D921" i="9"/>
  <c r="C921" i="9"/>
  <c r="B921" i="9"/>
  <c r="A921" i="9"/>
  <c r="H920" i="9"/>
  <c r="G920" i="9"/>
  <c r="F920" i="9"/>
  <c r="J920" i="9" s="1"/>
  <c r="E920" i="9"/>
  <c r="D920" i="9"/>
  <c r="C920" i="9"/>
  <c r="B920" i="9"/>
  <c r="A920" i="9"/>
  <c r="H919" i="9"/>
  <c r="G919" i="9"/>
  <c r="F919" i="9"/>
  <c r="J919" i="9" s="1"/>
  <c r="E919" i="9"/>
  <c r="D919" i="9"/>
  <c r="C919" i="9"/>
  <c r="B919" i="9"/>
  <c r="A919" i="9"/>
  <c r="H918" i="9"/>
  <c r="G918" i="9"/>
  <c r="I918" i="9" s="1"/>
  <c r="F918" i="9"/>
  <c r="J918" i="9" s="1"/>
  <c r="E918" i="9"/>
  <c r="D918" i="9"/>
  <c r="C918" i="9"/>
  <c r="B918" i="9"/>
  <c r="A918" i="9"/>
  <c r="J917" i="9"/>
  <c r="I917" i="9"/>
  <c r="H917" i="9"/>
  <c r="G917" i="9"/>
  <c r="F917" i="9"/>
  <c r="E917" i="9"/>
  <c r="D917" i="9"/>
  <c r="C917" i="9"/>
  <c r="B917" i="9"/>
  <c r="A917" i="9"/>
  <c r="J916" i="9"/>
  <c r="H916" i="9"/>
  <c r="G916" i="9"/>
  <c r="F916" i="9"/>
  <c r="E916" i="9"/>
  <c r="D916" i="9"/>
  <c r="C916" i="9"/>
  <c r="B916" i="9"/>
  <c r="A916" i="9"/>
  <c r="H915" i="9"/>
  <c r="G915" i="9"/>
  <c r="F915" i="9"/>
  <c r="J915" i="9" s="1"/>
  <c r="E915" i="9"/>
  <c r="D915" i="9"/>
  <c r="C915" i="9"/>
  <c r="B915" i="9"/>
  <c r="A915" i="9"/>
  <c r="H914" i="9"/>
  <c r="G914" i="9"/>
  <c r="I914" i="9" s="1"/>
  <c r="F914" i="9"/>
  <c r="J914" i="9" s="1"/>
  <c r="E914" i="9"/>
  <c r="D914" i="9"/>
  <c r="C914" i="9"/>
  <c r="B914" i="9"/>
  <c r="A914" i="9"/>
  <c r="H913" i="9"/>
  <c r="G913" i="9"/>
  <c r="F913" i="9"/>
  <c r="J913" i="9" s="1"/>
  <c r="E913" i="9"/>
  <c r="I913" i="9" s="1"/>
  <c r="D913" i="9"/>
  <c r="C913" i="9"/>
  <c r="B913" i="9"/>
  <c r="A913" i="9"/>
  <c r="J912" i="9"/>
  <c r="H912" i="9"/>
  <c r="G912" i="9"/>
  <c r="F912" i="9"/>
  <c r="E912" i="9"/>
  <c r="D912" i="9"/>
  <c r="C912" i="9"/>
  <c r="B912" i="9"/>
  <c r="A912" i="9"/>
  <c r="H911" i="9"/>
  <c r="G911" i="9"/>
  <c r="F911" i="9"/>
  <c r="J911" i="9" s="1"/>
  <c r="E911" i="9"/>
  <c r="D911" i="9"/>
  <c r="C911" i="9"/>
  <c r="B911" i="9"/>
  <c r="A911" i="9"/>
  <c r="H910" i="9"/>
  <c r="G910" i="9"/>
  <c r="F910" i="9"/>
  <c r="J910" i="9" s="1"/>
  <c r="E910" i="9"/>
  <c r="D910" i="9"/>
  <c r="C910" i="9"/>
  <c r="B910" i="9"/>
  <c r="A910" i="9"/>
  <c r="J909" i="9"/>
  <c r="H909" i="9"/>
  <c r="G909" i="9"/>
  <c r="F909" i="9"/>
  <c r="E909" i="9"/>
  <c r="I909" i="9" s="1"/>
  <c r="D909" i="9"/>
  <c r="C909" i="9"/>
  <c r="B909" i="9"/>
  <c r="A909" i="9"/>
  <c r="H908" i="9"/>
  <c r="G908" i="9"/>
  <c r="F908" i="9"/>
  <c r="J908" i="9" s="1"/>
  <c r="E908" i="9"/>
  <c r="D908" i="9"/>
  <c r="C908" i="9"/>
  <c r="B908" i="9"/>
  <c r="A908" i="9"/>
  <c r="H907" i="9"/>
  <c r="G907" i="9"/>
  <c r="F907" i="9"/>
  <c r="J907" i="9" s="1"/>
  <c r="E907" i="9"/>
  <c r="D907" i="9"/>
  <c r="C907" i="9"/>
  <c r="B907" i="9"/>
  <c r="A907" i="9"/>
  <c r="H906" i="9"/>
  <c r="G906" i="9"/>
  <c r="F906" i="9"/>
  <c r="J906" i="9" s="1"/>
  <c r="E906" i="9"/>
  <c r="D906" i="9"/>
  <c r="C906" i="9"/>
  <c r="B906" i="9"/>
  <c r="A906" i="9"/>
  <c r="I905" i="9"/>
  <c r="H905" i="9"/>
  <c r="G905" i="9"/>
  <c r="F905" i="9"/>
  <c r="J905" i="9" s="1"/>
  <c r="E905" i="9"/>
  <c r="D905" i="9"/>
  <c r="C905" i="9"/>
  <c r="B905" i="9"/>
  <c r="A905" i="9"/>
  <c r="H904" i="9"/>
  <c r="G904" i="9"/>
  <c r="F904" i="9"/>
  <c r="J904" i="9" s="1"/>
  <c r="E904" i="9"/>
  <c r="D904" i="9"/>
  <c r="C904" i="9"/>
  <c r="B904" i="9"/>
  <c r="A904" i="9"/>
  <c r="H903" i="9"/>
  <c r="G903" i="9"/>
  <c r="F903" i="9"/>
  <c r="J903" i="9" s="1"/>
  <c r="E903" i="9"/>
  <c r="D903" i="9"/>
  <c r="C903" i="9"/>
  <c r="B903" i="9"/>
  <c r="A903" i="9"/>
  <c r="H902" i="9"/>
  <c r="G902" i="9"/>
  <c r="F902" i="9"/>
  <c r="J902" i="9" s="1"/>
  <c r="E902" i="9"/>
  <c r="D902" i="9"/>
  <c r="C902" i="9"/>
  <c r="B902" i="9"/>
  <c r="A902" i="9"/>
  <c r="J901" i="9"/>
  <c r="I901" i="9"/>
  <c r="H901" i="9"/>
  <c r="G901" i="9"/>
  <c r="F901" i="9"/>
  <c r="E901" i="9"/>
  <c r="D901" i="9"/>
  <c r="C901" i="9"/>
  <c r="B901" i="9"/>
  <c r="A901" i="9"/>
  <c r="J900" i="9"/>
  <c r="H900" i="9"/>
  <c r="G900" i="9"/>
  <c r="F900" i="9"/>
  <c r="E900" i="9"/>
  <c r="D900" i="9"/>
  <c r="C900" i="9"/>
  <c r="B900" i="9"/>
  <c r="A900" i="9"/>
  <c r="H899" i="9"/>
  <c r="G899" i="9"/>
  <c r="F899" i="9"/>
  <c r="J899" i="9" s="1"/>
  <c r="E899" i="9"/>
  <c r="D899" i="9"/>
  <c r="C899" i="9"/>
  <c r="B899" i="9"/>
  <c r="A899" i="9"/>
  <c r="H898" i="9"/>
  <c r="G898" i="9"/>
  <c r="F898" i="9"/>
  <c r="J898" i="9" s="1"/>
  <c r="E898" i="9"/>
  <c r="D898" i="9"/>
  <c r="C898" i="9"/>
  <c r="B898" i="9"/>
  <c r="A898" i="9"/>
  <c r="H897" i="9"/>
  <c r="G897" i="9"/>
  <c r="F897" i="9"/>
  <c r="J897" i="9" s="1"/>
  <c r="E897" i="9"/>
  <c r="I897" i="9" s="1"/>
  <c r="D897" i="9"/>
  <c r="C897" i="9"/>
  <c r="B897" i="9"/>
  <c r="A897" i="9"/>
  <c r="H896" i="9"/>
  <c r="G896" i="9"/>
  <c r="F896" i="9"/>
  <c r="J896" i="9" s="1"/>
  <c r="E896" i="9"/>
  <c r="D896" i="9"/>
  <c r="C896" i="9"/>
  <c r="B896" i="9"/>
  <c r="A896" i="9"/>
  <c r="H895" i="9"/>
  <c r="G895" i="9"/>
  <c r="F895" i="9"/>
  <c r="J895" i="9" s="1"/>
  <c r="E895" i="9"/>
  <c r="D895" i="9"/>
  <c r="C895" i="9"/>
  <c r="B895" i="9"/>
  <c r="A895" i="9"/>
  <c r="H894" i="9"/>
  <c r="G894" i="9"/>
  <c r="I894" i="9" s="1"/>
  <c r="F894" i="9"/>
  <c r="J894" i="9" s="1"/>
  <c r="E894" i="9"/>
  <c r="D894" i="9"/>
  <c r="C894" i="9"/>
  <c r="B894" i="9"/>
  <c r="A894" i="9"/>
  <c r="J893" i="9"/>
  <c r="I893" i="9"/>
  <c r="H893" i="9"/>
  <c r="G893" i="9"/>
  <c r="F893" i="9"/>
  <c r="E893" i="9"/>
  <c r="D893" i="9"/>
  <c r="C893" i="9"/>
  <c r="B893" i="9"/>
  <c r="A893" i="9"/>
  <c r="H892" i="9"/>
  <c r="G892" i="9"/>
  <c r="F892" i="9"/>
  <c r="J892" i="9" s="1"/>
  <c r="E892" i="9"/>
  <c r="D892" i="9"/>
  <c r="C892" i="9"/>
  <c r="B892" i="9"/>
  <c r="A892" i="9"/>
  <c r="H891" i="9"/>
  <c r="G891" i="9"/>
  <c r="F891" i="9"/>
  <c r="J891" i="9" s="1"/>
  <c r="E891" i="9"/>
  <c r="D891" i="9"/>
  <c r="C891" i="9"/>
  <c r="B891" i="9"/>
  <c r="A891" i="9"/>
  <c r="H890" i="9"/>
  <c r="G890" i="9"/>
  <c r="F890" i="9"/>
  <c r="J890" i="9" s="1"/>
  <c r="E890" i="9"/>
  <c r="D890" i="9"/>
  <c r="C890" i="9"/>
  <c r="B890" i="9"/>
  <c r="A890" i="9"/>
  <c r="H889" i="9"/>
  <c r="G889" i="9"/>
  <c r="F889" i="9"/>
  <c r="J889" i="9" s="1"/>
  <c r="E889" i="9"/>
  <c r="D889" i="9"/>
  <c r="C889" i="9"/>
  <c r="B889" i="9"/>
  <c r="A889" i="9"/>
  <c r="J888" i="9"/>
  <c r="H888" i="9"/>
  <c r="G888" i="9"/>
  <c r="F888" i="9"/>
  <c r="E888" i="9"/>
  <c r="D888" i="9"/>
  <c r="C888" i="9"/>
  <c r="B888" i="9"/>
  <c r="A888" i="9"/>
  <c r="H887" i="9"/>
  <c r="G887" i="9"/>
  <c r="F887" i="9"/>
  <c r="J887" i="9" s="1"/>
  <c r="E887" i="9"/>
  <c r="I887" i="9" s="1"/>
  <c r="D887" i="9"/>
  <c r="C887" i="9"/>
  <c r="B887" i="9"/>
  <c r="A887" i="9"/>
  <c r="I886" i="9"/>
  <c r="H886" i="9"/>
  <c r="G886" i="9"/>
  <c r="F886" i="9"/>
  <c r="J886" i="9" s="1"/>
  <c r="E886" i="9"/>
  <c r="D886" i="9"/>
  <c r="C886" i="9"/>
  <c r="B886" i="9"/>
  <c r="A886" i="9"/>
  <c r="H885" i="9"/>
  <c r="G885" i="9"/>
  <c r="F885" i="9"/>
  <c r="J885" i="9" s="1"/>
  <c r="E885" i="9"/>
  <c r="D885" i="9"/>
  <c r="C885" i="9"/>
  <c r="B885" i="9"/>
  <c r="A885" i="9"/>
  <c r="J884" i="9"/>
  <c r="H884" i="9"/>
  <c r="G884" i="9"/>
  <c r="F884" i="9"/>
  <c r="E884" i="9"/>
  <c r="D884" i="9"/>
  <c r="C884" i="9"/>
  <c r="B884" i="9"/>
  <c r="A884" i="9"/>
  <c r="H883" i="9"/>
  <c r="G883" i="9"/>
  <c r="I883" i="9" s="1"/>
  <c r="F883" i="9"/>
  <c r="J883" i="9" s="1"/>
  <c r="E883" i="9"/>
  <c r="D883" i="9"/>
  <c r="C883" i="9"/>
  <c r="B883" i="9"/>
  <c r="A883" i="9"/>
  <c r="H882" i="9"/>
  <c r="G882" i="9"/>
  <c r="I882" i="9" s="1"/>
  <c r="F882" i="9"/>
  <c r="J882" i="9" s="1"/>
  <c r="E882" i="9"/>
  <c r="D882" i="9"/>
  <c r="C882" i="9"/>
  <c r="B882" i="9"/>
  <c r="A882" i="9"/>
  <c r="J881" i="9"/>
  <c r="H881" i="9"/>
  <c r="G881" i="9"/>
  <c r="F881" i="9"/>
  <c r="E881" i="9"/>
  <c r="I881" i="9" s="1"/>
  <c r="D881" i="9"/>
  <c r="C881" i="9"/>
  <c r="B881" i="9"/>
  <c r="A881" i="9"/>
  <c r="H880" i="9"/>
  <c r="G880" i="9"/>
  <c r="F880" i="9"/>
  <c r="J880" i="9" s="1"/>
  <c r="E880" i="9"/>
  <c r="D880" i="9"/>
  <c r="C880" i="9"/>
  <c r="B880" i="9"/>
  <c r="A880" i="9"/>
  <c r="H879" i="9"/>
  <c r="G879" i="9"/>
  <c r="F879" i="9"/>
  <c r="J879" i="9" s="1"/>
  <c r="E879" i="9"/>
  <c r="D879" i="9"/>
  <c r="C879" i="9"/>
  <c r="B879" i="9"/>
  <c r="A879" i="9"/>
  <c r="H878" i="9"/>
  <c r="G878" i="9"/>
  <c r="I878" i="9" s="1"/>
  <c r="F878" i="9"/>
  <c r="J878" i="9" s="1"/>
  <c r="E878" i="9"/>
  <c r="D878" i="9"/>
  <c r="C878" i="9"/>
  <c r="B878" i="9"/>
  <c r="A878" i="9"/>
  <c r="H877" i="9"/>
  <c r="G877" i="9"/>
  <c r="I877" i="9" s="1"/>
  <c r="F877" i="9"/>
  <c r="J877" i="9" s="1"/>
  <c r="E877" i="9"/>
  <c r="D877" i="9"/>
  <c r="C877" i="9"/>
  <c r="B877" i="9"/>
  <c r="A877" i="9"/>
  <c r="J876" i="9"/>
  <c r="H876" i="9"/>
  <c r="G876" i="9"/>
  <c r="F876" i="9"/>
  <c r="E876" i="9"/>
  <c r="I876" i="9" s="1"/>
  <c r="D876" i="9"/>
  <c r="C876" i="9"/>
  <c r="B876" i="9"/>
  <c r="A876" i="9"/>
  <c r="I875" i="9"/>
  <c r="H875" i="9"/>
  <c r="G875" i="9"/>
  <c r="F875" i="9"/>
  <c r="J875" i="9" s="1"/>
  <c r="E875" i="9"/>
  <c r="D875" i="9"/>
  <c r="C875" i="9"/>
  <c r="B875" i="9"/>
  <c r="A875" i="9"/>
  <c r="H874" i="9"/>
  <c r="G874" i="9"/>
  <c r="F874" i="9"/>
  <c r="J874" i="9" s="1"/>
  <c r="E874" i="9"/>
  <c r="D874" i="9"/>
  <c r="C874" i="9"/>
  <c r="B874" i="9"/>
  <c r="A874" i="9"/>
  <c r="J873" i="9"/>
  <c r="H873" i="9"/>
  <c r="G873" i="9"/>
  <c r="I873" i="9" s="1"/>
  <c r="F873" i="9"/>
  <c r="E873" i="9"/>
  <c r="D873" i="9"/>
  <c r="C873" i="9"/>
  <c r="B873" i="9"/>
  <c r="A873" i="9"/>
  <c r="J872" i="9"/>
  <c r="H872" i="9"/>
  <c r="G872" i="9"/>
  <c r="F872" i="9"/>
  <c r="E872" i="9"/>
  <c r="D872" i="9"/>
  <c r="C872" i="9"/>
  <c r="B872" i="9"/>
  <c r="A872" i="9"/>
  <c r="I871" i="9"/>
  <c r="H871" i="9"/>
  <c r="G871" i="9"/>
  <c r="F871" i="9"/>
  <c r="J871" i="9" s="1"/>
  <c r="E871" i="9"/>
  <c r="D871" i="9"/>
  <c r="C871" i="9"/>
  <c r="B871" i="9"/>
  <c r="A871" i="9"/>
  <c r="H870" i="9"/>
  <c r="G870" i="9"/>
  <c r="F870" i="9"/>
  <c r="J870" i="9" s="1"/>
  <c r="E870" i="9"/>
  <c r="D870" i="9"/>
  <c r="C870" i="9"/>
  <c r="B870" i="9"/>
  <c r="A870" i="9"/>
  <c r="H869" i="9"/>
  <c r="G869" i="9"/>
  <c r="F869" i="9"/>
  <c r="J869" i="9" s="1"/>
  <c r="E869" i="9"/>
  <c r="D869" i="9"/>
  <c r="C869" i="9"/>
  <c r="B869" i="9"/>
  <c r="A869" i="9"/>
  <c r="H868" i="9"/>
  <c r="G868" i="9"/>
  <c r="F868" i="9"/>
  <c r="J868" i="9" s="1"/>
  <c r="E868" i="9"/>
  <c r="I868" i="9" s="1"/>
  <c r="D868" i="9"/>
  <c r="C868" i="9"/>
  <c r="B868" i="9"/>
  <c r="A868" i="9"/>
  <c r="H867" i="9"/>
  <c r="G867" i="9"/>
  <c r="F867" i="9"/>
  <c r="J867" i="9" s="1"/>
  <c r="E867" i="9"/>
  <c r="D867" i="9"/>
  <c r="C867" i="9"/>
  <c r="B867" i="9"/>
  <c r="A867" i="9"/>
  <c r="H866" i="9"/>
  <c r="G866" i="9"/>
  <c r="F866" i="9"/>
  <c r="J866" i="9" s="1"/>
  <c r="E866" i="9"/>
  <c r="D866" i="9"/>
  <c r="C866" i="9"/>
  <c r="B866" i="9"/>
  <c r="A866" i="9"/>
  <c r="H865" i="9"/>
  <c r="G865" i="9"/>
  <c r="F865" i="9"/>
  <c r="J865" i="9" s="1"/>
  <c r="E865" i="9"/>
  <c r="D865" i="9"/>
  <c r="C865" i="9"/>
  <c r="B865" i="9"/>
  <c r="A865" i="9"/>
  <c r="H864" i="9"/>
  <c r="G864" i="9"/>
  <c r="I864" i="9" s="1"/>
  <c r="F864" i="9"/>
  <c r="J864" i="9" s="1"/>
  <c r="E864" i="9"/>
  <c r="D864" i="9"/>
  <c r="C864" i="9"/>
  <c r="B864" i="9"/>
  <c r="A864" i="9"/>
  <c r="H863" i="9"/>
  <c r="G863" i="9"/>
  <c r="I863" i="9" s="1"/>
  <c r="F863" i="9"/>
  <c r="J863" i="9" s="1"/>
  <c r="E863" i="9"/>
  <c r="D863" i="9"/>
  <c r="C863" i="9"/>
  <c r="B863" i="9"/>
  <c r="A863" i="9"/>
  <c r="H862" i="9"/>
  <c r="G862" i="9"/>
  <c r="I862" i="9" s="1"/>
  <c r="F862" i="9"/>
  <c r="J862" i="9" s="1"/>
  <c r="E862" i="9"/>
  <c r="D862" i="9"/>
  <c r="C862" i="9"/>
  <c r="B862" i="9"/>
  <c r="A862" i="9"/>
  <c r="J861" i="9"/>
  <c r="H861" i="9"/>
  <c r="G861" i="9"/>
  <c r="F861" i="9"/>
  <c r="E861" i="9"/>
  <c r="D861" i="9"/>
  <c r="C861" i="9"/>
  <c r="B861" i="9"/>
  <c r="A861" i="9"/>
  <c r="J860" i="9"/>
  <c r="H860" i="9"/>
  <c r="G860" i="9"/>
  <c r="F860" i="9"/>
  <c r="E860" i="9"/>
  <c r="I860" i="9" s="1"/>
  <c r="D860" i="9"/>
  <c r="C860" i="9"/>
  <c r="B860" i="9"/>
  <c r="A860" i="9"/>
  <c r="H859" i="9"/>
  <c r="G859" i="9"/>
  <c r="I859" i="9" s="1"/>
  <c r="F859" i="9"/>
  <c r="J859" i="9" s="1"/>
  <c r="E859" i="9"/>
  <c r="D859" i="9"/>
  <c r="C859" i="9"/>
  <c r="B859" i="9"/>
  <c r="A859" i="9"/>
  <c r="H858" i="9"/>
  <c r="G858" i="9"/>
  <c r="I858" i="9" s="1"/>
  <c r="F858" i="9"/>
  <c r="J858" i="9" s="1"/>
  <c r="E858" i="9"/>
  <c r="D858" i="9"/>
  <c r="C858" i="9"/>
  <c r="B858" i="9"/>
  <c r="A858" i="9"/>
  <c r="H857" i="9"/>
  <c r="G857" i="9"/>
  <c r="I857" i="9" s="1"/>
  <c r="F857" i="9"/>
  <c r="J857" i="9" s="1"/>
  <c r="E857" i="9"/>
  <c r="D857" i="9"/>
  <c r="C857" i="9"/>
  <c r="B857" i="9"/>
  <c r="A857" i="9"/>
  <c r="J856" i="9"/>
  <c r="H856" i="9"/>
  <c r="G856" i="9"/>
  <c r="F856" i="9"/>
  <c r="E856" i="9"/>
  <c r="D856" i="9"/>
  <c r="C856" i="9"/>
  <c r="B856" i="9"/>
  <c r="A856" i="9"/>
  <c r="I855" i="9"/>
  <c r="H855" i="9"/>
  <c r="G855" i="9"/>
  <c r="F855" i="9"/>
  <c r="J855" i="9" s="1"/>
  <c r="E855" i="9"/>
  <c r="D855" i="9"/>
  <c r="C855" i="9"/>
  <c r="B855" i="9"/>
  <c r="A855" i="9"/>
  <c r="H854" i="9"/>
  <c r="G854" i="9"/>
  <c r="F854" i="9"/>
  <c r="J854" i="9" s="1"/>
  <c r="E854" i="9"/>
  <c r="D854" i="9"/>
  <c r="C854" i="9"/>
  <c r="B854" i="9"/>
  <c r="A854" i="9"/>
  <c r="J853" i="9"/>
  <c r="H853" i="9"/>
  <c r="G853" i="9"/>
  <c r="I853" i="9" s="1"/>
  <c r="F853" i="9"/>
  <c r="E853" i="9"/>
  <c r="D853" i="9"/>
  <c r="C853" i="9"/>
  <c r="B853" i="9"/>
  <c r="A853" i="9"/>
  <c r="H852" i="9"/>
  <c r="G852" i="9"/>
  <c r="F852" i="9"/>
  <c r="J852" i="9" s="1"/>
  <c r="E852" i="9"/>
  <c r="I852" i="9" s="1"/>
  <c r="D852" i="9"/>
  <c r="C852" i="9"/>
  <c r="B852" i="9"/>
  <c r="A852" i="9"/>
  <c r="H851" i="9"/>
  <c r="G851" i="9"/>
  <c r="F851" i="9"/>
  <c r="J851" i="9" s="1"/>
  <c r="E851" i="9"/>
  <c r="D851" i="9"/>
  <c r="C851" i="9"/>
  <c r="B851" i="9"/>
  <c r="A851" i="9"/>
  <c r="H850" i="9"/>
  <c r="G850" i="9"/>
  <c r="F850" i="9"/>
  <c r="J850" i="9" s="1"/>
  <c r="E850" i="9"/>
  <c r="D850" i="9"/>
  <c r="C850" i="9"/>
  <c r="B850" i="9"/>
  <c r="A850" i="9"/>
  <c r="H849" i="9"/>
  <c r="G849" i="9"/>
  <c r="F849" i="9"/>
  <c r="J849" i="9" s="1"/>
  <c r="E849" i="9"/>
  <c r="D849" i="9"/>
  <c r="C849" i="9"/>
  <c r="B849" i="9"/>
  <c r="A849" i="9"/>
  <c r="H848" i="9"/>
  <c r="G848" i="9"/>
  <c r="I848" i="9" s="1"/>
  <c r="F848" i="9"/>
  <c r="J848" i="9" s="1"/>
  <c r="E848" i="9"/>
  <c r="D848" i="9"/>
  <c r="C848" i="9"/>
  <c r="B848" i="9"/>
  <c r="A848" i="9"/>
  <c r="H847" i="9"/>
  <c r="G847" i="9"/>
  <c r="I847" i="9" s="1"/>
  <c r="F847" i="9"/>
  <c r="J847" i="9" s="1"/>
  <c r="E847" i="9"/>
  <c r="D847" i="9"/>
  <c r="C847" i="9"/>
  <c r="B847" i="9"/>
  <c r="A847" i="9"/>
  <c r="H846" i="9"/>
  <c r="G846" i="9"/>
  <c r="I846" i="9" s="1"/>
  <c r="F846" i="9"/>
  <c r="J846" i="9" s="1"/>
  <c r="E846" i="9"/>
  <c r="D846" i="9"/>
  <c r="C846" i="9"/>
  <c r="B846" i="9"/>
  <c r="A846" i="9"/>
  <c r="J845" i="9"/>
  <c r="H845" i="9"/>
  <c r="G845" i="9"/>
  <c r="F845" i="9"/>
  <c r="E845" i="9"/>
  <c r="D845" i="9"/>
  <c r="C845" i="9"/>
  <c r="B845" i="9"/>
  <c r="A845" i="9"/>
  <c r="H844" i="9"/>
  <c r="G844" i="9"/>
  <c r="F844" i="9"/>
  <c r="J844" i="9" s="1"/>
  <c r="E844" i="9"/>
  <c r="D844" i="9"/>
  <c r="C844" i="9"/>
  <c r="B844" i="9"/>
  <c r="A844" i="9"/>
  <c r="H843" i="9"/>
  <c r="G843" i="9"/>
  <c r="I843" i="9" s="1"/>
  <c r="F843" i="9"/>
  <c r="J843" i="9" s="1"/>
  <c r="E843" i="9"/>
  <c r="D843" i="9"/>
  <c r="C843" i="9"/>
  <c r="B843" i="9"/>
  <c r="A843" i="9"/>
  <c r="H842" i="9"/>
  <c r="G842" i="9"/>
  <c r="I842" i="9" s="1"/>
  <c r="F842" i="9"/>
  <c r="J842" i="9" s="1"/>
  <c r="E842" i="9"/>
  <c r="D842" i="9"/>
  <c r="C842" i="9"/>
  <c r="B842" i="9"/>
  <c r="A842" i="9"/>
  <c r="J841" i="9"/>
  <c r="H841" i="9"/>
  <c r="G841" i="9"/>
  <c r="F841" i="9"/>
  <c r="I841" i="9" s="1"/>
  <c r="E841" i="9"/>
  <c r="D841" i="9"/>
  <c r="C841" i="9"/>
  <c r="B841" i="9"/>
  <c r="A841" i="9"/>
  <c r="H840" i="9"/>
  <c r="G840" i="9"/>
  <c r="F840" i="9"/>
  <c r="J840" i="9" s="1"/>
  <c r="E840" i="9"/>
  <c r="D840" i="9"/>
  <c r="C840" i="9"/>
  <c r="B840" i="9"/>
  <c r="A840" i="9"/>
  <c r="H839" i="9"/>
  <c r="G839" i="9"/>
  <c r="F839" i="9"/>
  <c r="J839" i="9" s="1"/>
  <c r="E839" i="9"/>
  <c r="D839" i="9"/>
  <c r="C839" i="9"/>
  <c r="B839" i="9"/>
  <c r="A839" i="9"/>
  <c r="H838" i="9"/>
  <c r="G838" i="9"/>
  <c r="F838" i="9"/>
  <c r="J838" i="9" s="1"/>
  <c r="E838" i="9"/>
  <c r="D838" i="9"/>
  <c r="C838" i="9"/>
  <c r="B838" i="9"/>
  <c r="A838" i="9"/>
  <c r="J837" i="9"/>
  <c r="H837" i="9"/>
  <c r="G837" i="9"/>
  <c r="F837" i="9"/>
  <c r="E837" i="9"/>
  <c r="D837" i="9"/>
  <c r="C837" i="9"/>
  <c r="B837" i="9"/>
  <c r="A837" i="9"/>
  <c r="H836" i="9"/>
  <c r="G836" i="9"/>
  <c r="I836" i="9" s="1"/>
  <c r="F836" i="9"/>
  <c r="J836" i="9" s="1"/>
  <c r="E836" i="9"/>
  <c r="D836" i="9"/>
  <c r="C836" i="9"/>
  <c r="B836" i="9"/>
  <c r="A836" i="9"/>
  <c r="H835" i="9"/>
  <c r="G835" i="9"/>
  <c r="I835" i="9" s="1"/>
  <c r="F835" i="9"/>
  <c r="J835" i="9" s="1"/>
  <c r="E835" i="9"/>
  <c r="D835" i="9"/>
  <c r="C835" i="9"/>
  <c r="B835" i="9"/>
  <c r="A835" i="9"/>
  <c r="H834" i="9"/>
  <c r="G834" i="9"/>
  <c r="I834" i="9" s="1"/>
  <c r="F834" i="9"/>
  <c r="J834" i="9" s="1"/>
  <c r="E834" i="9"/>
  <c r="D834" i="9"/>
  <c r="C834" i="9"/>
  <c r="B834" i="9"/>
  <c r="A834" i="9"/>
  <c r="J833" i="9"/>
  <c r="H833" i="9"/>
  <c r="G833" i="9"/>
  <c r="F833" i="9"/>
  <c r="E833" i="9"/>
  <c r="D833" i="9"/>
  <c r="C833" i="9"/>
  <c r="B833" i="9"/>
  <c r="A833" i="9"/>
  <c r="J832" i="9"/>
  <c r="H832" i="9"/>
  <c r="G832" i="9"/>
  <c r="F832" i="9"/>
  <c r="E832" i="9"/>
  <c r="D832" i="9"/>
  <c r="C832" i="9"/>
  <c r="B832" i="9"/>
  <c r="A832" i="9"/>
  <c r="H831" i="9"/>
  <c r="G831" i="9"/>
  <c r="F831" i="9"/>
  <c r="J831" i="9" s="1"/>
  <c r="E831" i="9"/>
  <c r="D831" i="9"/>
  <c r="C831" i="9"/>
  <c r="B831" i="9"/>
  <c r="A831" i="9"/>
  <c r="H830" i="9"/>
  <c r="G830" i="9"/>
  <c r="F830" i="9"/>
  <c r="J830" i="9" s="1"/>
  <c r="E830" i="9"/>
  <c r="D830" i="9"/>
  <c r="C830" i="9"/>
  <c r="B830" i="9"/>
  <c r="A830" i="9"/>
  <c r="H829" i="9"/>
  <c r="G829" i="9"/>
  <c r="F829" i="9"/>
  <c r="J829" i="9" s="1"/>
  <c r="E829" i="9"/>
  <c r="D829" i="9"/>
  <c r="C829" i="9"/>
  <c r="B829" i="9"/>
  <c r="A829" i="9"/>
  <c r="H828" i="9"/>
  <c r="G828" i="9"/>
  <c r="F828" i="9"/>
  <c r="J828" i="9" s="1"/>
  <c r="E828" i="9"/>
  <c r="D828" i="9"/>
  <c r="C828" i="9"/>
  <c r="B828" i="9"/>
  <c r="A828" i="9"/>
  <c r="H827" i="9"/>
  <c r="G827" i="9"/>
  <c r="I827" i="9" s="1"/>
  <c r="F827" i="9"/>
  <c r="J827" i="9" s="1"/>
  <c r="E827" i="9"/>
  <c r="D827" i="9"/>
  <c r="C827" i="9"/>
  <c r="B827" i="9"/>
  <c r="A827" i="9"/>
  <c r="H826" i="9"/>
  <c r="G826" i="9"/>
  <c r="I826" i="9" s="1"/>
  <c r="F826" i="9"/>
  <c r="J826" i="9" s="1"/>
  <c r="E826" i="9"/>
  <c r="D826" i="9"/>
  <c r="C826" i="9"/>
  <c r="B826" i="9"/>
  <c r="A826" i="9"/>
  <c r="J825" i="9"/>
  <c r="I825" i="9"/>
  <c r="H825" i="9"/>
  <c r="G825" i="9"/>
  <c r="F825" i="9"/>
  <c r="E825" i="9"/>
  <c r="D825" i="9"/>
  <c r="C825" i="9"/>
  <c r="B825" i="9"/>
  <c r="A825" i="9"/>
  <c r="J824" i="9"/>
  <c r="H824" i="9"/>
  <c r="G824" i="9"/>
  <c r="I824" i="9" s="1"/>
  <c r="F824" i="9"/>
  <c r="E824" i="9"/>
  <c r="D824" i="9"/>
  <c r="C824" i="9"/>
  <c r="B824" i="9"/>
  <c r="A824" i="9"/>
  <c r="H823" i="9"/>
  <c r="G823" i="9"/>
  <c r="F823" i="9"/>
  <c r="J823" i="9" s="1"/>
  <c r="E823" i="9"/>
  <c r="I823" i="9" s="1"/>
  <c r="D823" i="9"/>
  <c r="C823" i="9"/>
  <c r="B823" i="9"/>
  <c r="A823" i="9"/>
  <c r="H822" i="9"/>
  <c r="G822" i="9"/>
  <c r="F822" i="9"/>
  <c r="J822" i="9" s="1"/>
  <c r="E822" i="9"/>
  <c r="I822" i="9" s="1"/>
  <c r="D822" i="9"/>
  <c r="C822" i="9"/>
  <c r="B822" i="9"/>
  <c r="A822" i="9"/>
  <c r="H821" i="9"/>
  <c r="G821" i="9"/>
  <c r="F821" i="9"/>
  <c r="J821" i="9" s="1"/>
  <c r="E821" i="9"/>
  <c r="D821" i="9"/>
  <c r="C821" i="9"/>
  <c r="B821" i="9"/>
  <c r="A821" i="9"/>
  <c r="H820" i="9"/>
  <c r="G820" i="9"/>
  <c r="F820" i="9"/>
  <c r="J820" i="9" s="1"/>
  <c r="E820" i="9"/>
  <c r="D820" i="9"/>
  <c r="C820" i="9"/>
  <c r="B820" i="9"/>
  <c r="A820" i="9"/>
  <c r="H819" i="9"/>
  <c r="G819" i="9"/>
  <c r="F819" i="9"/>
  <c r="J819" i="9" s="1"/>
  <c r="E819" i="9"/>
  <c r="D819" i="9"/>
  <c r="C819" i="9"/>
  <c r="B819" i="9"/>
  <c r="A819" i="9"/>
  <c r="H818" i="9"/>
  <c r="G818" i="9"/>
  <c r="F818" i="9"/>
  <c r="J818" i="9" s="1"/>
  <c r="E818" i="9"/>
  <c r="D818" i="9"/>
  <c r="C818" i="9"/>
  <c r="B818" i="9"/>
  <c r="A818" i="9"/>
  <c r="J817" i="9"/>
  <c r="H817" i="9"/>
  <c r="G817" i="9"/>
  <c r="F817" i="9"/>
  <c r="E817" i="9"/>
  <c r="D817" i="9"/>
  <c r="C817" i="9"/>
  <c r="B817" i="9"/>
  <c r="A817" i="9"/>
  <c r="H816" i="9"/>
  <c r="G816" i="9"/>
  <c r="F816" i="9"/>
  <c r="J816" i="9" s="1"/>
  <c r="E816" i="9"/>
  <c r="D816" i="9"/>
  <c r="C816" i="9"/>
  <c r="B816" i="9"/>
  <c r="A816" i="9"/>
  <c r="H815" i="9"/>
  <c r="G815" i="9"/>
  <c r="F815" i="9"/>
  <c r="J815" i="9" s="1"/>
  <c r="E815" i="9"/>
  <c r="D815" i="9"/>
  <c r="C815" i="9"/>
  <c r="B815" i="9"/>
  <c r="A815" i="9"/>
  <c r="I814" i="9"/>
  <c r="H814" i="9"/>
  <c r="G814" i="9"/>
  <c r="F814" i="9"/>
  <c r="J814" i="9" s="1"/>
  <c r="E814" i="9"/>
  <c r="D814" i="9"/>
  <c r="C814" i="9"/>
  <c r="B814" i="9"/>
  <c r="A814" i="9"/>
  <c r="J813" i="9"/>
  <c r="H813" i="9"/>
  <c r="G813" i="9"/>
  <c r="I813" i="9" s="1"/>
  <c r="F813" i="9"/>
  <c r="E813" i="9"/>
  <c r="D813" i="9"/>
  <c r="C813" i="9"/>
  <c r="B813" i="9"/>
  <c r="A813" i="9"/>
  <c r="J812" i="9"/>
  <c r="H812" i="9"/>
  <c r="G812" i="9"/>
  <c r="F812" i="9"/>
  <c r="E812" i="9"/>
  <c r="I812" i="9" s="1"/>
  <c r="D812" i="9"/>
  <c r="C812" i="9"/>
  <c r="B812" i="9"/>
  <c r="A812" i="9"/>
  <c r="H811" i="9"/>
  <c r="G811" i="9"/>
  <c r="F811" i="9"/>
  <c r="J811" i="9" s="1"/>
  <c r="E811" i="9"/>
  <c r="I811" i="9" s="1"/>
  <c r="D811" i="9"/>
  <c r="C811" i="9"/>
  <c r="B811" i="9"/>
  <c r="A811" i="9"/>
  <c r="H810" i="9"/>
  <c r="G810" i="9"/>
  <c r="F810" i="9"/>
  <c r="J810" i="9" s="1"/>
  <c r="E810" i="9"/>
  <c r="D810" i="9"/>
  <c r="C810" i="9"/>
  <c r="B810" i="9"/>
  <c r="A810" i="9"/>
  <c r="H809" i="9"/>
  <c r="G809" i="9"/>
  <c r="F809" i="9"/>
  <c r="J809" i="9" s="1"/>
  <c r="E809" i="9"/>
  <c r="D809" i="9"/>
  <c r="C809" i="9"/>
  <c r="B809" i="9"/>
  <c r="A809" i="9"/>
  <c r="J808" i="9"/>
  <c r="H808" i="9"/>
  <c r="G808" i="9"/>
  <c r="I808" i="9" s="1"/>
  <c r="F808" i="9"/>
  <c r="E808" i="9"/>
  <c r="D808" i="9"/>
  <c r="C808" i="9"/>
  <c r="B808" i="9"/>
  <c r="A808" i="9"/>
  <c r="H807" i="9"/>
  <c r="G807" i="9"/>
  <c r="I807" i="9" s="1"/>
  <c r="F807" i="9"/>
  <c r="J807" i="9" s="1"/>
  <c r="E807" i="9"/>
  <c r="D807" i="9"/>
  <c r="C807" i="9"/>
  <c r="B807" i="9"/>
  <c r="A807" i="9"/>
  <c r="H806" i="9"/>
  <c r="G806" i="9"/>
  <c r="F806" i="9"/>
  <c r="J806" i="9" s="1"/>
  <c r="E806" i="9"/>
  <c r="D806" i="9"/>
  <c r="C806" i="9"/>
  <c r="B806" i="9"/>
  <c r="A806" i="9"/>
  <c r="J805" i="9"/>
  <c r="H805" i="9"/>
  <c r="G805" i="9"/>
  <c r="I805" i="9" s="1"/>
  <c r="F805" i="9"/>
  <c r="E805" i="9"/>
  <c r="D805" i="9"/>
  <c r="C805" i="9"/>
  <c r="B805" i="9"/>
  <c r="A805" i="9"/>
  <c r="J804" i="9"/>
  <c r="I804" i="9"/>
  <c r="H804" i="9"/>
  <c r="G804" i="9"/>
  <c r="F804" i="9"/>
  <c r="E804" i="9"/>
  <c r="D804" i="9"/>
  <c r="C804" i="9"/>
  <c r="B804" i="9"/>
  <c r="A804" i="9"/>
  <c r="H803" i="9"/>
  <c r="G803" i="9"/>
  <c r="F803" i="9"/>
  <c r="J803" i="9" s="1"/>
  <c r="E803" i="9"/>
  <c r="D803" i="9"/>
  <c r="C803" i="9"/>
  <c r="B803" i="9"/>
  <c r="A803" i="9"/>
  <c r="H802" i="9"/>
  <c r="G802" i="9"/>
  <c r="F802" i="9"/>
  <c r="J802" i="9" s="1"/>
  <c r="E802" i="9"/>
  <c r="D802" i="9"/>
  <c r="C802" i="9"/>
  <c r="B802" i="9"/>
  <c r="A802" i="9"/>
  <c r="H801" i="9"/>
  <c r="G801" i="9"/>
  <c r="F801" i="9"/>
  <c r="J801" i="9" s="1"/>
  <c r="E801" i="9"/>
  <c r="D801" i="9"/>
  <c r="C801" i="9"/>
  <c r="B801" i="9"/>
  <c r="A801" i="9"/>
  <c r="H800" i="9"/>
  <c r="G800" i="9"/>
  <c r="F800" i="9"/>
  <c r="J800" i="9" s="1"/>
  <c r="E800" i="9"/>
  <c r="D800" i="9"/>
  <c r="C800" i="9"/>
  <c r="B800" i="9"/>
  <c r="A800" i="9"/>
  <c r="H799" i="9"/>
  <c r="G799" i="9"/>
  <c r="F799" i="9"/>
  <c r="J799" i="9" s="1"/>
  <c r="E799" i="9"/>
  <c r="D799" i="9"/>
  <c r="C799" i="9"/>
  <c r="B799" i="9"/>
  <c r="A799" i="9"/>
  <c r="H798" i="9"/>
  <c r="G798" i="9"/>
  <c r="F798" i="9"/>
  <c r="J798" i="9" s="1"/>
  <c r="E798" i="9"/>
  <c r="D798" i="9"/>
  <c r="C798" i="9"/>
  <c r="B798" i="9"/>
  <c r="A798" i="9"/>
  <c r="J797" i="9"/>
  <c r="H797" i="9"/>
  <c r="G797" i="9"/>
  <c r="F797" i="9"/>
  <c r="E797" i="9"/>
  <c r="D797" i="9"/>
  <c r="C797" i="9"/>
  <c r="B797" i="9"/>
  <c r="A797" i="9"/>
  <c r="H796" i="9"/>
  <c r="G796" i="9"/>
  <c r="F796" i="9"/>
  <c r="J796" i="9" s="1"/>
  <c r="E796" i="9"/>
  <c r="D796" i="9"/>
  <c r="C796" i="9"/>
  <c r="B796" i="9"/>
  <c r="A796" i="9"/>
  <c r="H795" i="9"/>
  <c r="G795" i="9"/>
  <c r="I795" i="9" s="1"/>
  <c r="F795" i="9"/>
  <c r="J795" i="9" s="1"/>
  <c r="E795" i="9"/>
  <c r="D795" i="9"/>
  <c r="C795" i="9"/>
  <c r="B795" i="9"/>
  <c r="A795" i="9"/>
  <c r="H794" i="9"/>
  <c r="G794" i="9"/>
  <c r="I794" i="9" s="1"/>
  <c r="F794" i="9"/>
  <c r="J794" i="9" s="1"/>
  <c r="E794" i="9"/>
  <c r="D794" i="9"/>
  <c r="C794" i="9"/>
  <c r="B794" i="9"/>
  <c r="A794" i="9"/>
  <c r="J793" i="9"/>
  <c r="I793" i="9"/>
  <c r="H793" i="9"/>
  <c r="G793" i="9"/>
  <c r="F793" i="9"/>
  <c r="E793" i="9"/>
  <c r="D793" i="9"/>
  <c r="C793" i="9"/>
  <c r="B793" i="9"/>
  <c r="A793" i="9"/>
  <c r="H792" i="9"/>
  <c r="G792" i="9"/>
  <c r="F792" i="9"/>
  <c r="J792" i="9" s="1"/>
  <c r="E792" i="9"/>
  <c r="D792" i="9"/>
  <c r="C792" i="9"/>
  <c r="B792" i="9"/>
  <c r="A792" i="9"/>
  <c r="H791" i="9"/>
  <c r="G791" i="9"/>
  <c r="F791" i="9"/>
  <c r="J791" i="9" s="1"/>
  <c r="E791" i="9"/>
  <c r="D791" i="9"/>
  <c r="C791" i="9"/>
  <c r="B791" i="9"/>
  <c r="A791" i="9"/>
  <c r="H790" i="9"/>
  <c r="G790" i="9"/>
  <c r="F790" i="9"/>
  <c r="J790" i="9" s="1"/>
  <c r="E790" i="9"/>
  <c r="D790" i="9"/>
  <c r="C790" i="9"/>
  <c r="B790" i="9"/>
  <c r="A790" i="9"/>
  <c r="H789" i="9"/>
  <c r="G789" i="9"/>
  <c r="F789" i="9"/>
  <c r="J789" i="9" s="1"/>
  <c r="E789" i="9"/>
  <c r="D789" i="9"/>
  <c r="C789" i="9"/>
  <c r="B789" i="9"/>
  <c r="A789" i="9"/>
  <c r="J788" i="9"/>
  <c r="H788" i="9"/>
  <c r="G788" i="9"/>
  <c r="F788" i="9"/>
  <c r="I788" i="9" s="1"/>
  <c r="E788" i="9"/>
  <c r="D788" i="9"/>
  <c r="C788" i="9"/>
  <c r="B788" i="9"/>
  <c r="A788" i="9"/>
  <c r="H787" i="9"/>
  <c r="G787" i="9"/>
  <c r="F787" i="9"/>
  <c r="J787" i="9" s="1"/>
  <c r="E787" i="9"/>
  <c r="D787" i="9"/>
  <c r="C787" i="9"/>
  <c r="B787" i="9"/>
  <c r="A787" i="9"/>
  <c r="H786" i="9"/>
  <c r="G786" i="9"/>
  <c r="F786" i="9"/>
  <c r="J786" i="9" s="1"/>
  <c r="E786" i="9"/>
  <c r="D786" i="9"/>
  <c r="C786" i="9"/>
  <c r="B786" i="9"/>
  <c r="A786" i="9"/>
  <c r="J785" i="9"/>
  <c r="H785" i="9"/>
  <c r="G785" i="9"/>
  <c r="F785" i="9"/>
  <c r="E785" i="9"/>
  <c r="I785" i="9" s="1"/>
  <c r="D785" i="9"/>
  <c r="C785" i="9"/>
  <c r="B785" i="9"/>
  <c r="A785" i="9"/>
  <c r="H784" i="9"/>
  <c r="G784" i="9"/>
  <c r="F784" i="9"/>
  <c r="J784" i="9" s="1"/>
  <c r="E784" i="9"/>
  <c r="D784" i="9"/>
  <c r="C784" i="9"/>
  <c r="B784" i="9"/>
  <c r="A784" i="9"/>
  <c r="H783" i="9"/>
  <c r="G783" i="9"/>
  <c r="F783" i="9"/>
  <c r="J783" i="9" s="1"/>
  <c r="E783" i="9"/>
  <c r="D783" i="9"/>
  <c r="C783" i="9"/>
  <c r="B783" i="9"/>
  <c r="A783" i="9"/>
  <c r="H782" i="9"/>
  <c r="G782" i="9"/>
  <c r="I782" i="9" s="1"/>
  <c r="F782" i="9"/>
  <c r="J782" i="9" s="1"/>
  <c r="E782" i="9"/>
  <c r="D782" i="9"/>
  <c r="C782" i="9"/>
  <c r="B782" i="9"/>
  <c r="A782" i="9"/>
  <c r="H781" i="9"/>
  <c r="G781" i="9"/>
  <c r="F781" i="9"/>
  <c r="J781" i="9" s="1"/>
  <c r="E781" i="9"/>
  <c r="D781" i="9"/>
  <c r="C781" i="9"/>
  <c r="B781" i="9"/>
  <c r="A781" i="9"/>
  <c r="J780" i="9"/>
  <c r="H780" i="9"/>
  <c r="G780" i="9"/>
  <c r="F780" i="9"/>
  <c r="E780" i="9"/>
  <c r="D780" i="9"/>
  <c r="C780" i="9"/>
  <c r="B780" i="9"/>
  <c r="A780" i="9"/>
  <c r="H779" i="9"/>
  <c r="G779" i="9"/>
  <c r="I779" i="9" s="1"/>
  <c r="F779" i="9"/>
  <c r="J779" i="9" s="1"/>
  <c r="E779" i="9"/>
  <c r="D779" i="9"/>
  <c r="C779" i="9"/>
  <c r="B779" i="9"/>
  <c r="A779" i="9"/>
  <c r="H778" i="9"/>
  <c r="G778" i="9"/>
  <c r="I778" i="9" s="1"/>
  <c r="F778" i="9"/>
  <c r="J778" i="9" s="1"/>
  <c r="E778" i="9"/>
  <c r="D778" i="9"/>
  <c r="C778" i="9"/>
  <c r="B778" i="9"/>
  <c r="A778" i="9"/>
  <c r="J777" i="9"/>
  <c r="I777" i="9"/>
  <c r="H777" i="9"/>
  <c r="G777" i="9"/>
  <c r="F777" i="9"/>
  <c r="E777" i="9"/>
  <c r="D777" i="9"/>
  <c r="C777" i="9"/>
  <c r="B777" i="9"/>
  <c r="A777" i="9"/>
  <c r="H776" i="9"/>
  <c r="G776" i="9"/>
  <c r="F776" i="9"/>
  <c r="J776" i="9" s="1"/>
  <c r="E776" i="9"/>
  <c r="D776" i="9"/>
  <c r="C776" i="9"/>
  <c r="B776" i="9"/>
  <c r="A776" i="9"/>
  <c r="H775" i="9"/>
  <c r="G775" i="9"/>
  <c r="I775" i="9" s="1"/>
  <c r="F775" i="9"/>
  <c r="J775" i="9" s="1"/>
  <c r="E775" i="9"/>
  <c r="D775" i="9"/>
  <c r="C775" i="9"/>
  <c r="B775" i="9"/>
  <c r="A775" i="9"/>
  <c r="H774" i="9"/>
  <c r="G774" i="9"/>
  <c r="F774" i="9"/>
  <c r="J774" i="9" s="1"/>
  <c r="E774" i="9"/>
  <c r="D774" i="9"/>
  <c r="C774" i="9"/>
  <c r="B774" i="9"/>
  <c r="A774" i="9"/>
  <c r="J773" i="9"/>
  <c r="H773" i="9"/>
  <c r="G773" i="9"/>
  <c r="F773" i="9"/>
  <c r="E773" i="9"/>
  <c r="D773" i="9"/>
  <c r="C773" i="9"/>
  <c r="B773" i="9"/>
  <c r="A773" i="9"/>
  <c r="H772" i="9"/>
  <c r="G772" i="9"/>
  <c r="I772" i="9" s="1"/>
  <c r="F772" i="9"/>
  <c r="J772" i="9" s="1"/>
  <c r="E772" i="9"/>
  <c r="D772" i="9"/>
  <c r="C772" i="9"/>
  <c r="B772" i="9"/>
  <c r="A772" i="9"/>
  <c r="H771" i="9"/>
  <c r="G771" i="9"/>
  <c r="F771" i="9"/>
  <c r="J771" i="9" s="1"/>
  <c r="E771" i="9"/>
  <c r="D771" i="9"/>
  <c r="C771" i="9"/>
  <c r="B771" i="9"/>
  <c r="A771" i="9"/>
  <c r="H770" i="9"/>
  <c r="G770" i="9"/>
  <c r="F770" i="9"/>
  <c r="J770" i="9" s="1"/>
  <c r="E770" i="9"/>
  <c r="D770" i="9"/>
  <c r="C770" i="9"/>
  <c r="B770" i="9"/>
  <c r="A770" i="9"/>
  <c r="H769" i="9"/>
  <c r="G769" i="9"/>
  <c r="F769" i="9"/>
  <c r="J769" i="9" s="1"/>
  <c r="E769" i="9"/>
  <c r="D769" i="9"/>
  <c r="C769" i="9"/>
  <c r="B769" i="9"/>
  <c r="A769" i="9"/>
  <c r="J768" i="9"/>
  <c r="H768" i="9"/>
  <c r="G768" i="9"/>
  <c r="I768" i="9" s="1"/>
  <c r="F768" i="9"/>
  <c r="E768" i="9"/>
  <c r="D768" i="9"/>
  <c r="C768" i="9"/>
  <c r="B768" i="9"/>
  <c r="A768" i="9"/>
  <c r="H767" i="9"/>
  <c r="G767" i="9"/>
  <c r="F767" i="9"/>
  <c r="J767" i="9" s="1"/>
  <c r="E767" i="9"/>
  <c r="D767" i="9"/>
  <c r="C767" i="9"/>
  <c r="B767" i="9"/>
  <c r="A767" i="9"/>
  <c r="H766" i="9"/>
  <c r="G766" i="9"/>
  <c r="I766" i="9" s="1"/>
  <c r="F766" i="9"/>
  <c r="J766" i="9" s="1"/>
  <c r="E766" i="9"/>
  <c r="D766" i="9"/>
  <c r="C766" i="9"/>
  <c r="B766" i="9"/>
  <c r="A766" i="9"/>
  <c r="J765" i="9"/>
  <c r="H765" i="9"/>
  <c r="G765" i="9"/>
  <c r="I765" i="9" s="1"/>
  <c r="F765" i="9"/>
  <c r="E765" i="9"/>
  <c r="D765" i="9"/>
  <c r="C765" i="9"/>
  <c r="B765" i="9"/>
  <c r="A765" i="9"/>
  <c r="H764" i="9"/>
  <c r="G764" i="9"/>
  <c r="F764" i="9"/>
  <c r="J764" i="9" s="1"/>
  <c r="E764" i="9"/>
  <c r="D764" i="9"/>
  <c r="C764" i="9"/>
  <c r="B764" i="9"/>
  <c r="A764" i="9"/>
  <c r="H763" i="9"/>
  <c r="G763" i="9"/>
  <c r="F763" i="9"/>
  <c r="J763" i="9" s="1"/>
  <c r="E763" i="9"/>
  <c r="I763" i="9" s="1"/>
  <c r="D763" i="9"/>
  <c r="C763" i="9"/>
  <c r="B763" i="9"/>
  <c r="A763" i="9"/>
  <c r="H762" i="9"/>
  <c r="G762" i="9"/>
  <c r="F762" i="9"/>
  <c r="J762" i="9" s="1"/>
  <c r="E762" i="9"/>
  <c r="D762" i="9"/>
  <c r="C762" i="9"/>
  <c r="B762" i="9"/>
  <c r="A762" i="9"/>
  <c r="H761" i="9"/>
  <c r="G761" i="9"/>
  <c r="I761" i="9" s="1"/>
  <c r="F761" i="9"/>
  <c r="J761" i="9" s="1"/>
  <c r="E761" i="9"/>
  <c r="D761" i="9"/>
  <c r="C761" i="9"/>
  <c r="B761" i="9"/>
  <c r="A761" i="9"/>
  <c r="H760" i="9"/>
  <c r="G760" i="9"/>
  <c r="I760" i="9" s="1"/>
  <c r="F760" i="9"/>
  <c r="J760" i="9" s="1"/>
  <c r="E760" i="9"/>
  <c r="D760" i="9"/>
  <c r="C760" i="9"/>
  <c r="B760" i="9"/>
  <c r="A760" i="9"/>
  <c r="H759" i="9"/>
  <c r="G759" i="9"/>
  <c r="I759" i="9" s="1"/>
  <c r="F759" i="9"/>
  <c r="J759" i="9" s="1"/>
  <c r="E759" i="9"/>
  <c r="D759" i="9"/>
  <c r="C759" i="9"/>
  <c r="B759" i="9"/>
  <c r="A759" i="9"/>
  <c r="H758" i="9"/>
  <c r="G758" i="9"/>
  <c r="F758" i="9"/>
  <c r="J758" i="9" s="1"/>
  <c r="E758" i="9"/>
  <c r="D758" i="9"/>
  <c r="C758" i="9"/>
  <c r="B758" i="9"/>
  <c r="A758" i="9"/>
  <c r="J757" i="9"/>
  <c r="H757" i="9"/>
  <c r="G757" i="9"/>
  <c r="I757" i="9" s="1"/>
  <c r="F757" i="9"/>
  <c r="E757" i="9"/>
  <c r="D757" i="9"/>
  <c r="C757" i="9"/>
  <c r="B757" i="9"/>
  <c r="A757" i="9"/>
  <c r="J756" i="9"/>
  <c r="I756" i="9"/>
  <c r="H756" i="9"/>
  <c r="G756" i="9"/>
  <c r="F756" i="9"/>
  <c r="E756" i="9"/>
  <c r="D756" i="9"/>
  <c r="C756" i="9"/>
  <c r="B756" i="9"/>
  <c r="A756" i="9"/>
  <c r="H755" i="9"/>
  <c r="G755" i="9"/>
  <c r="I755" i="9" s="1"/>
  <c r="F755" i="9"/>
  <c r="J755" i="9" s="1"/>
  <c r="E755" i="9"/>
  <c r="D755" i="9"/>
  <c r="C755" i="9"/>
  <c r="B755" i="9"/>
  <c r="A755" i="9"/>
  <c r="H754" i="9"/>
  <c r="G754" i="9"/>
  <c r="I754" i="9" s="1"/>
  <c r="F754" i="9"/>
  <c r="J754" i="9" s="1"/>
  <c r="E754" i="9"/>
  <c r="D754" i="9"/>
  <c r="C754" i="9"/>
  <c r="B754" i="9"/>
  <c r="A754" i="9"/>
  <c r="J753" i="9"/>
  <c r="H753" i="9"/>
  <c r="G753" i="9"/>
  <c r="F753" i="9"/>
  <c r="E753" i="9"/>
  <c r="I753" i="9" s="1"/>
  <c r="D753" i="9"/>
  <c r="C753" i="9"/>
  <c r="B753" i="9"/>
  <c r="A753" i="9"/>
  <c r="J752" i="9"/>
  <c r="H752" i="9"/>
  <c r="G752" i="9"/>
  <c r="F752" i="9"/>
  <c r="E752" i="9"/>
  <c r="D752" i="9"/>
  <c r="C752" i="9"/>
  <c r="B752" i="9"/>
  <c r="A752" i="9"/>
  <c r="H751" i="9"/>
  <c r="G751" i="9"/>
  <c r="F751" i="9"/>
  <c r="J751" i="9" s="1"/>
  <c r="E751" i="9"/>
  <c r="D751" i="9"/>
  <c r="C751" i="9"/>
  <c r="B751" i="9"/>
  <c r="A751" i="9"/>
  <c r="H750" i="9"/>
  <c r="G750" i="9"/>
  <c r="I750" i="9" s="1"/>
  <c r="F750" i="9"/>
  <c r="J750" i="9" s="1"/>
  <c r="E750" i="9"/>
  <c r="D750" i="9"/>
  <c r="C750" i="9"/>
  <c r="B750" i="9"/>
  <c r="A750" i="9"/>
  <c r="H749" i="9"/>
  <c r="G749" i="9"/>
  <c r="F749" i="9"/>
  <c r="J749" i="9" s="1"/>
  <c r="E749" i="9"/>
  <c r="D749" i="9"/>
  <c r="C749" i="9"/>
  <c r="B749" i="9"/>
  <c r="A749" i="9"/>
  <c r="J748" i="9"/>
  <c r="H748" i="9"/>
  <c r="G748" i="9"/>
  <c r="F748" i="9"/>
  <c r="E748" i="9"/>
  <c r="D748" i="9"/>
  <c r="C748" i="9"/>
  <c r="B748" i="9"/>
  <c r="A748" i="9"/>
  <c r="H747" i="9"/>
  <c r="G747" i="9"/>
  <c r="I747" i="9" s="1"/>
  <c r="F747" i="9"/>
  <c r="J747" i="9" s="1"/>
  <c r="E747" i="9"/>
  <c r="D747" i="9"/>
  <c r="C747" i="9"/>
  <c r="B747" i="9"/>
  <c r="A747" i="9"/>
  <c r="H746" i="9"/>
  <c r="G746" i="9"/>
  <c r="F746" i="9"/>
  <c r="J746" i="9" s="1"/>
  <c r="E746" i="9"/>
  <c r="D746" i="9"/>
  <c r="C746" i="9"/>
  <c r="B746" i="9"/>
  <c r="A746" i="9"/>
  <c r="J745" i="9"/>
  <c r="H745" i="9"/>
  <c r="G745" i="9"/>
  <c r="I745" i="9" s="1"/>
  <c r="F745" i="9"/>
  <c r="E745" i="9"/>
  <c r="D745" i="9"/>
  <c r="C745" i="9"/>
  <c r="B745" i="9"/>
  <c r="A745" i="9"/>
  <c r="J744" i="9"/>
  <c r="H744" i="9"/>
  <c r="G744" i="9"/>
  <c r="I744" i="9" s="1"/>
  <c r="F744" i="9"/>
  <c r="E744" i="9"/>
  <c r="D744" i="9"/>
  <c r="C744" i="9"/>
  <c r="B744" i="9"/>
  <c r="A744" i="9"/>
  <c r="H743" i="9"/>
  <c r="G743" i="9"/>
  <c r="F743" i="9"/>
  <c r="J743" i="9" s="1"/>
  <c r="E743" i="9"/>
  <c r="D743" i="9"/>
  <c r="C743" i="9"/>
  <c r="B743" i="9"/>
  <c r="A743" i="9"/>
  <c r="H742" i="9"/>
  <c r="G742" i="9"/>
  <c r="F742" i="9"/>
  <c r="J742" i="9" s="1"/>
  <c r="E742" i="9"/>
  <c r="D742" i="9"/>
  <c r="C742" i="9"/>
  <c r="B742" i="9"/>
  <c r="A742" i="9"/>
  <c r="J741" i="9"/>
  <c r="H741" i="9"/>
  <c r="G741" i="9"/>
  <c r="F741" i="9"/>
  <c r="E741" i="9"/>
  <c r="D741" i="9"/>
  <c r="C741" i="9"/>
  <c r="B741" i="9"/>
  <c r="A741" i="9"/>
  <c r="H740" i="9"/>
  <c r="G740" i="9"/>
  <c r="I740" i="9" s="1"/>
  <c r="F740" i="9"/>
  <c r="J740" i="9" s="1"/>
  <c r="E740" i="9"/>
  <c r="D740" i="9"/>
  <c r="C740" i="9"/>
  <c r="B740" i="9"/>
  <c r="A740" i="9"/>
  <c r="H739" i="9"/>
  <c r="G739" i="9"/>
  <c r="I739" i="9" s="1"/>
  <c r="F739" i="9"/>
  <c r="J739" i="9" s="1"/>
  <c r="E739" i="9"/>
  <c r="D739" i="9"/>
  <c r="C739" i="9"/>
  <c r="B739" i="9"/>
  <c r="A739" i="9"/>
  <c r="H738" i="9"/>
  <c r="G738" i="9"/>
  <c r="I738" i="9" s="1"/>
  <c r="F738" i="9"/>
  <c r="J738" i="9" s="1"/>
  <c r="E738" i="9"/>
  <c r="D738" i="9"/>
  <c r="C738" i="9"/>
  <c r="B738" i="9"/>
  <c r="A738" i="9"/>
  <c r="H737" i="9"/>
  <c r="G737" i="9"/>
  <c r="F737" i="9"/>
  <c r="J737" i="9" s="1"/>
  <c r="E737" i="9"/>
  <c r="D737" i="9"/>
  <c r="C737" i="9"/>
  <c r="B737" i="9"/>
  <c r="A737" i="9"/>
  <c r="J736" i="9"/>
  <c r="H736" i="9"/>
  <c r="G736" i="9"/>
  <c r="I736" i="9" s="1"/>
  <c r="F736" i="9"/>
  <c r="E736" i="9"/>
  <c r="D736" i="9"/>
  <c r="C736" i="9"/>
  <c r="B736" i="9"/>
  <c r="A736" i="9"/>
  <c r="H735" i="9"/>
  <c r="G735" i="9"/>
  <c r="I735" i="9" s="1"/>
  <c r="F735" i="9"/>
  <c r="J735" i="9" s="1"/>
  <c r="E735" i="9"/>
  <c r="D735" i="9"/>
  <c r="C735" i="9"/>
  <c r="B735" i="9"/>
  <c r="A735" i="9"/>
  <c r="H734" i="9"/>
  <c r="G734" i="9"/>
  <c r="I734" i="9" s="1"/>
  <c r="F734" i="9"/>
  <c r="J734" i="9" s="1"/>
  <c r="E734" i="9"/>
  <c r="D734" i="9"/>
  <c r="C734" i="9"/>
  <c r="B734" i="9"/>
  <c r="A734" i="9"/>
  <c r="J733" i="9"/>
  <c r="H733" i="9"/>
  <c r="G733" i="9"/>
  <c r="I733" i="9" s="1"/>
  <c r="F733" i="9"/>
  <c r="E733" i="9"/>
  <c r="D733" i="9"/>
  <c r="C733" i="9"/>
  <c r="B733" i="9"/>
  <c r="A733" i="9"/>
  <c r="H732" i="9"/>
  <c r="G732" i="9"/>
  <c r="F732" i="9"/>
  <c r="J732" i="9" s="1"/>
  <c r="E732" i="9"/>
  <c r="D732" i="9"/>
  <c r="C732" i="9"/>
  <c r="B732" i="9"/>
  <c r="A732" i="9"/>
  <c r="H731" i="9"/>
  <c r="G731" i="9"/>
  <c r="F731" i="9"/>
  <c r="J731" i="9" s="1"/>
  <c r="E731" i="9"/>
  <c r="D731" i="9"/>
  <c r="C731" i="9"/>
  <c r="B731" i="9"/>
  <c r="A731" i="9"/>
  <c r="H730" i="9"/>
  <c r="G730" i="9"/>
  <c r="F730" i="9"/>
  <c r="J730" i="9" s="1"/>
  <c r="E730" i="9"/>
  <c r="D730" i="9"/>
  <c r="C730" i="9"/>
  <c r="B730" i="9"/>
  <c r="A730" i="9"/>
  <c r="H729" i="9"/>
  <c r="G729" i="9"/>
  <c r="I729" i="9" s="1"/>
  <c r="F729" i="9"/>
  <c r="J729" i="9" s="1"/>
  <c r="E729" i="9"/>
  <c r="D729" i="9"/>
  <c r="C729" i="9"/>
  <c r="B729" i="9"/>
  <c r="A729" i="9"/>
  <c r="J728" i="9"/>
  <c r="H728" i="9"/>
  <c r="G728" i="9"/>
  <c r="I728" i="9" s="1"/>
  <c r="F728" i="9"/>
  <c r="E728" i="9"/>
  <c r="D728" i="9"/>
  <c r="C728" i="9"/>
  <c r="B728" i="9"/>
  <c r="A728" i="9"/>
  <c r="H727" i="9"/>
  <c r="G727" i="9"/>
  <c r="I727" i="9" s="1"/>
  <c r="F727" i="9"/>
  <c r="J727" i="9" s="1"/>
  <c r="E727" i="9"/>
  <c r="D727" i="9"/>
  <c r="C727" i="9"/>
  <c r="B727" i="9"/>
  <c r="A727" i="9"/>
  <c r="H726" i="9"/>
  <c r="G726" i="9"/>
  <c r="F726" i="9"/>
  <c r="J726" i="9" s="1"/>
  <c r="E726" i="9"/>
  <c r="D726" i="9"/>
  <c r="C726" i="9"/>
  <c r="B726" i="9"/>
  <c r="A726" i="9"/>
  <c r="J725" i="9"/>
  <c r="H725" i="9"/>
  <c r="G725" i="9"/>
  <c r="I725" i="9" s="1"/>
  <c r="F725" i="9"/>
  <c r="E725" i="9"/>
  <c r="D725" i="9"/>
  <c r="C725" i="9"/>
  <c r="B725" i="9"/>
  <c r="A725" i="9"/>
  <c r="J724" i="9"/>
  <c r="I724" i="9"/>
  <c r="H724" i="9"/>
  <c r="G724" i="9"/>
  <c r="F724" i="9"/>
  <c r="E724" i="9"/>
  <c r="D724" i="9"/>
  <c r="C724" i="9"/>
  <c r="B724" i="9"/>
  <c r="A724" i="9"/>
  <c r="H723" i="9"/>
  <c r="G723" i="9"/>
  <c r="I723" i="9" s="1"/>
  <c r="F723" i="9"/>
  <c r="J723" i="9" s="1"/>
  <c r="E723" i="9"/>
  <c r="D723" i="9"/>
  <c r="C723" i="9"/>
  <c r="B723" i="9"/>
  <c r="A723" i="9"/>
  <c r="H722" i="9"/>
  <c r="G722" i="9"/>
  <c r="I722" i="9" s="1"/>
  <c r="F722" i="9"/>
  <c r="J722" i="9" s="1"/>
  <c r="E722" i="9"/>
  <c r="D722" i="9"/>
  <c r="C722" i="9"/>
  <c r="B722" i="9"/>
  <c r="A722" i="9"/>
  <c r="H721" i="9"/>
  <c r="G721" i="9"/>
  <c r="F721" i="9"/>
  <c r="J721" i="9" s="1"/>
  <c r="E721" i="9"/>
  <c r="D721" i="9"/>
  <c r="C721" i="9"/>
  <c r="B721" i="9"/>
  <c r="A721" i="9"/>
  <c r="J720" i="9"/>
  <c r="H720" i="9"/>
  <c r="G720" i="9"/>
  <c r="F720" i="9"/>
  <c r="E720" i="9"/>
  <c r="D720" i="9"/>
  <c r="C720" i="9"/>
  <c r="B720" i="9"/>
  <c r="A720" i="9"/>
  <c r="H719" i="9"/>
  <c r="G719" i="9"/>
  <c r="F719" i="9"/>
  <c r="J719" i="9" s="1"/>
  <c r="E719" i="9"/>
  <c r="D719" i="9"/>
  <c r="C719" i="9"/>
  <c r="B719" i="9"/>
  <c r="A719" i="9"/>
  <c r="H718" i="9"/>
  <c r="G718" i="9"/>
  <c r="I718" i="9" s="1"/>
  <c r="F718" i="9"/>
  <c r="J718" i="9" s="1"/>
  <c r="E718" i="9"/>
  <c r="D718" i="9"/>
  <c r="C718" i="9"/>
  <c r="B718" i="9"/>
  <c r="A718" i="9"/>
  <c r="J717" i="9"/>
  <c r="H717" i="9"/>
  <c r="G717" i="9"/>
  <c r="I717" i="9" s="1"/>
  <c r="F717" i="9"/>
  <c r="E717" i="9"/>
  <c r="D717" i="9"/>
  <c r="C717" i="9"/>
  <c r="B717" i="9"/>
  <c r="A717" i="9"/>
  <c r="H716" i="9"/>
  <c r="G716" i="9"/>
  <c r="F716" i="9"/>
  <c r="J716" i="9" s="1"/>
  <c r="E716" i="9"/>
  <c r="D716" i="9"/>
  <c r="C716" i="9"/>
  <c r="B716" i="9"/>
  <c r="A716" i="9"/>
  <c r="H715" i="9"/>
  <c r="G715" i="9"/>
  <c r="F715" i="9"/>
  <c r="J715" i="9" s="1"/>
  <c r="E715" i="9"/>
  <c r="D715" i="9"/>
  <c r="C715" i="9"/>
  <c r="B715" i="9"/>
  <c r="A715" i="9"/>
  <c r="H714" i="9"/>
  <c r="G714" i="9"/>
  <c r="F714" i="9"/>
  <c r="J714" i="9" s="1"/>
  <c r="E714" i="9"/>
  <c r="D714" i="9"/>
  <c r="C714" i="9"/>
  <c r="B714" i="9"/>
  <c r="A714" i="9"/>
  <c r="J713" i="9"/>
  <c r="H713" i="9"/>
  <c r="G713" i="9"/>
  <c r="I713" i="9" s="1"/>
  <c r="F713" i="9"/>
  <c r="E713" i="9"/>
  <c r="D713" i="9"/>
  <c r="C713" i="9"/>
  <c r="B713" i="9"/>
  <c r="A713" i="9"/>
  <c r="J712" i="9"/>
  <c r="H712" i="9"/>
  <c r="G712" i="9"/>
  <c r="I712" i="9" s="1"/>
  <c r="F712" i="9"/>
  <c r="E712" i="9"/>
  <c r="D712" i="9"/>
  <c r="C712" i="9"/>
  <c r="B712" i="9"/>
  <c r="A712" i="9"/>
  <c r="H711" i="9"/>
  <c r="G711" i="9"/>
  <c r="F711" i="9"/>
  <c r="J711" i="9" s="1"/>
  <c r="E711" i="9"/>
  <c r="D711" i="9"/>
  <c r="C711" i="9"/>
  <c r="B711" i="9"/>
  <c r="A711" i="9"/>
  <c r="H710" i="9"/>
  <c r="G710" i="9"/>
  <c r="F710" i="9"/>
  <c r="J710" i="9" s="1"/>
  <c r="E710" i="9"/>
  <c r="D710" i="9"/>
  <c r="C710" i="9"/>
  <c r="B710" i="9"/>
  <c r="A710" i="9"/>
  <c r="J709" i="9"/>
  <c r="H709" i="9"/>
  <c r="G709" i="9"/>
  <c r="F709" i="9"/>
  <c r="E709" i="9"/>
  <c r="D709" i="9"/>
  <c r="C709" i="9"/>
  <c r="B709" i="9"/>
  <c r="A709" i="9"/>
  <c r="H708" i="9"/>
  <c r="G708" i="9"/>
  <c r="I708" i="9" s="1"/>
  <c r="F708" i="9"/>
  <c r="J708" i="9" s="1"/>
  <c r="E708" i="9"/>
  <c r="D708" i="9"/>
  <c r="C708" i="9"/>
  <c r="B708" i="9"/>
  <c r="A708" i="9"/>
  <c r="H707" i="9"/>
  <c r="G707" i="9"/>
  <c r="I707" i="9" s="1"/>
  <c r="F707" i="9"/>
  <c r="J707" i="9" s="1"/>
  <c r="E707" i="9"/>
  <c r="D707" i="9"/>
  <c r="C707" i="9"/>
  <c r="B707" i="9"/>
  <c r="A707" i="9"/>
  <c r="H706" i="9"/>
  <c r="G706" i="9"/>
  <c r="I706" i="9" s="1"/>
  <c r="F706" i="9"/>
  <c r="J706" i="9" s="1"/>
  <c r="E706" i="9"/>
  <c r="D706" i="9"/>
  <c r="C706" i="9"/>
  <c r="B706" i="9"/>
  <c r="A706" i="9"/>
  <c r="H705" i="9"/>
  <c r="G705" i="9"/>
  <c r="F705" i="9"/>
  <c r="J705" i="9" s="1"/>
  <c r="E705" i="9"/>
  <c r="D705" i="9"/>
  <c r="C705" i="9"/>
  <c r="B705" i="9"/>
  <c r="A705" i="9"/>
  <c r="J704" i="9"/>
  <c r="H704" i="9"/>
  <c r="G704" i="9"/>
  <c r="I704" i="9" s="1"/>
  <c r="F704" i="9"/>
  <c r="E704" i="9"/>
  <c r="D704" i="9"/>
  <c r="C704" i="9"/>
  <c r="B704" i="9"/>
  <c r="A704" i="9"/>
  <c r="H703" i="9"/>
  <c r="G703" i="9"/>
  <c r="I703" i="9" s="1"/>
  <c r="F703" i="9"/>
  <c r="J703" i="9" s="1"/>
  <c r="E703" i="9"/>
  <c r="D703" i="9"/>
  <c r="C703" i="9"/>
  <c r="B703" i="9"/>
  <c r="A703" i="9"/>
  <c r="H702" i="9"/>
  <c r="G702" i="9"/>
  <c r="I702" i="9" s="1"/>
  <c r="F702" i="9"/>
  <c r="J702" i="9" s="1"/>
  <c r="E702" i="9"/>
  <c r="D702" i="9"/>
  <c r="C702" i="9"/>
  <c r="B702" i="9"/>
  <c r="A702" i="9"/>
  <c r="J701" i="9"/>
  <c r="H701" i="9"/>
  <c r="G701" i="9"/>
  <c r="I701" i="9" s="1"/>
  <c r="F701" i="9"/>
  <c r="E701" i="9"/>
  <c r="D701" i="9"/>
  <c r="C701" i="9"/>
  <c r="B701" i="9"/>
  <c r="A701" i="9"/>
  <c r="H700" i="9"/>
  <c r="G700" i="9"/>
  <c r="F700" i="9"/>
  <c r="J700" i="9" s="1"/>
  <c r="E700" i="9"/>
  <c r="D700" i="9"/>
  <c r="C700" i="9"/>
  <c r="B700" i="9"/>
  <c r="A700" i="9"/>
  <c r="H699" i="9"/>
  <c r="G699" i="9"/>
  <c r="F699" i="9"/>
  <c r="J699" i="9" s="1"/>
  <c r="E699" i="9"/>
  <c r="D699" i="9"/>
  <c r="C699" i="9"/>
  <c r="B699" i="9"/>
  <c r="A699" i="9"/>
  <c r="H698" i="9"/>
  <c r="G698" i="9"/>
  <c r="F698" i="9"/>
  <c r="J698" i="9" s="1"/>
  <c r="E698" i="9"/>
  <c r="D698" i="9"/>
  <c r="C698" i="9"/>
  <c r="B698" i="9"/>
  <c r="A698" i="9"/>
  <c r="H697" i="9"/>
  <c r="G697" i="9"/>
  <c r="I697" i="9" s="1"/>
  <c r="F697" i="9"/>
  <c r="J697" i="9" s="1"/>
  <c r="E697" i="9"/>
  <c r="D697" i="9"/>
  <c r="C697" i="9"/>
  <c r="B697" i="9"/>
  <c r="A697" i="9"/>
  <c r="J696" i="9"/>
  <c r="H696" i="9"/>
  <c r="G696" i="9"/>
  <c r="I696" i="9" s="1"/>
  <c r="F696" i="9"/>
  <c r="E696" i="9"/>
  <c r="D696" i="9"/>
  <c r="C696" i="9"/>
  <c r="B696" i="9"/>
  <c r="A696" i="9"/>
  <c r="H695" i="9"/>
  <c r="G695" i="9"/>
  <c r="F695" i="9"/>
  <c r="J695" i="9" s="1"/>
  <c r="E695" i="9"/>
  <c r="I695" i="9" s="1"/>
  <c r="D695" i="9"/>
  <c r="C695" i="9"/>
  <c r="B695" i="9"/>
  <c r="A695" i="9"/>
  <c r="H694" i="9"/>
  <c r="G694" i="9"/>
  <c r="F694" i="9"/>
  <c r="J694" i="9" s="1"/>
  <c r="E694" i="9"/>
  <c r="D694" i="9"/>
  <c r="C694" i="9"/>
  <c r="B694" i="9"/>
  <c r="A694" i="9"/>
  <c r="J693" i="9"/>
  <c r="H693" i="9"/>
  <c r="G693" i="9"/>
  <c r="I693" i="9" s="1"/>
  <c r="F693" i="9"/>
  <c r="E693" i="9"/>
  <c r="D693" i="9"/>
  <c r="C693" i="9"/>
  <c r="B693" i="9"/>
  <c r="A693" i="9"/>
  <c r="J692" i="9"/>
  <c r="I692" i="9"/>
  <c r="H692" i="9"/>
  <c r="G692" i="9"/>
  <c r="F692" i="9"/>
  <c r="E692" i="9"/>
  <c r="D692" i="9"/>
  <c r="C692" i="9"/>
  <c r="B692" i="9"/>
  <c r="A692" i="9"/>
  <c r="H691" i="9"/>
  <c r="G691" i="9"/>
  <c r="F691" i="9"/>
  <c r="J691" i="9" s="1"/>
  <c r="E691" i="9"/>
  <c r="D691" i="9"/>
  <c r="C691" i="9"/>
  <c r="B691" i="9"/>
  <c r="A691" i="9"/>
  <c r="H690" i="9"/>
  <c r="G690" i="9"/>
  <c r="F690" i="9"/>
  <c r="J690" i="9" s="1"/>
  <c r="E690" i="9"/>
  <c r="D690" i="9"/>
  <c r="C690" i="9"/>
  <c r="B690" i="9"/>
  <c r="A690" i="9"/>
  <c r="H689" i="9"/>
  <c r="G689" i="9"/>
  <c r="F689" i="9"/>
  <c r="J689" i="9" s="1"/>
  <c r="E689" i="9"/>
  <c r="D689" i="9"/>
  <c r="C689" i="9"/>
  <c r="B689" i="9"/>
  <c r="A689" i="9"/>
  <c r="J688" i="9"/>
  <c r="H688" i="9"/>
  <c r="G688" i="9"/>
  <c r="F688" i="9"/>
  <c r="E688" i="9"/>
  <c r="D688" i="9"/>
  <c r="C688" i="9"/>
  <c r="B688" i="9"/>
  <c r="A688" i="9"/>
  <c r="H687" i="9"/>
  <c r="G687" i="9"/>
  <c r="F687" i="9"/>
  <c r="J687" i="9" s="1"/>
  <c r="E687" i="9"/>
  <c r="D687" i="9"/>
  <c r="C687" i="9"/>
  <c r="B687" i="9"/>
  <c r="A687" i="9"/>
  <c r="H686" i="9"/>
  <c r="G686" i="9"/>
  <c r="I686" i="9" s="1"/>
  <c r="F686" i="9"/>
  <c r="J686" i="9" s="1"/>
  <c r="E686" i="9"/>
  <c r="D686" i="9"/>
  <c r="C686" i="9"/>
  <c r="B686" i="9"/>
  <c r="A686" i="9"/>
  <c r="J685" i="9"/>
  <c r="H685" i="9"/>
  <c r="G685" i="9"/>
  <c r="I685" i="9" s="1"/>
  <c r="F685" i="9"/>
  <c r="E685" i="9"/>
  <c r="D685" i="9"/>
  <c r="C685" i="9"/>
  <c r="B685" i="9"/>
  <c r="A685" i="9"/>
  <c r="H684" i="9"/>
  <c r="G684" i="9"/>
  <c r="F684" i="9"/>
  <c r="J684" i="9" s="1"/>
  <c r="E684" i="9"/>
  <c r="D684" i="9"/>
  <c r="C684" i="9"/>
  <c r="B684" i="9"/>
  <c r="A684" i="9"/>
  <c r="H683" i="9"/>
  <c r="G683" i="9"/>
  <c r="F683" i="9"/>
  <c r="J683" i="9" s="1"/>
  <c r="E683" i="9"/>
  <c r="D683" i="9"/>
  <c r="C683" i="9"/>
  <c r="B683" i="9"/>
  <c r="A683" i="9"/>
  <c r="H682" i="9"/>
  <c r="G682" i="9"/>
  <c r="F682" i="9"/>
  <c r="J682" i="9" s="1"/>
  <c r="E682" i="9"/>
  <c r="D682" i="9"/>
  <c r="C682" i="9"/>
  <c r="B682" i="9"/>
  <c r="A682" i="9"/>
  <c r="J681" i="9"/>
  <c r="H681" i="9"/>
  <c r="G681" i="9"/>
  <c r="I681" i="9" s="1"/>
  <c r="F681" i="9"/>
  <c r="E681" i="9"/>
  <c r="D681" i="9"/>
  <c r="C681" i="9"/>
  <c r="B681" i="9"/>
  <c r="A681" i="9"/>
  <c r="J680" i="9"/>
  <c r="H680" i="9"/>
  <c r="G680" i="9"/>
  <c r="F680" i="9"/>
  <c r="E680" i="9"/>
  <c r="D680" i="9"/>
  <c r="C680" i="9"/>
  <c r="B680" i="9"/>
  <c r="A680" i="9"/>
  <c r="I679" i="9"/>
  <c r="H679" i="9"/>
  <c r="G679" i="9"/>
  <c r="F679" i="9"/>
  <c r="J679" i="9" s="1"/>
  <c r="E679" i="9"/>
  <c r="D679" i="9"/>
  <c r="C679" i="9"/>
  <c r="B679" i="9"/>
  <c r="A679" i="9"/>
  <c r="H678" i="9"/>
  <c r="G678" i="9"/>
  <c r="F678" i="9"/>
  <c r="J678" i="9" s="1"/>
  <c r="E678" i="9"/>
  <c r="D678" i="9"/>
  <c r="C678" i="9"/>
  <c r="B678" i="9"/>
  <c r="A678" i="9"/>
  <c r="J677" i="9"/>
  <c r="H677" i="9"/>
  <c r="G677" i="9"/>
  <c r="F677" i="9"/>
  <c r="E677" i="9"/>
  <c r="D677" i="9"/>
  <c r="C677" i="9"/>
  <c r="B677" i="9"/>
  <c r="A677" i="9"/>
  <c r="H676" i="9"/>
  <c r="G676" i="9"/>
  <c r="I676" i="9" s="1"/>
  <c r="F676" i="9"/>
  <c r="J676" i="9" s="1"/>
  <c r="E676" i="9"/>
  <c r="D676" i="9"/>
  <c r="C676" i="9"/>
  <c r="B676" i="9"/>
  <c r="A676" i="9"/>
  <c r="H675" i="9"/>
  <c r="G675" i="9"/>
  <c r="I675" i="9" s="1"/>
  <c r="F675" i="9"/>
  <c r="J675" i="9" s="1"/>
  <c r="E675" i="9"/>
  <c r="D675" i="9"/>
  <c r="C675" i="9"/>
  <c r="B675" i="9"/>
  <c r="A675" i="9"/>
  <c r="H674" i="9"/>
  <c r="G674" i="9"/>
  <c r="I674" i="9" s="1"/>
  <c r="F674" i="9"/>
  <c r="J674" i="9" s="1"/>
  <c r="E674" i="9"/>
  <c r="D674" i="9"/>
  <c r="C674" i="9"/>
  <c r="B674" i="9"/>
  <c r="A674" i="9"/>
  <c r="H673" i="9"/>
  <c r="G673" i="9"/>
  <c r="F673" i="9"/>
  <c r="J673" i="9" s="1"/>
  <c r="E673" i="9"/>
  <c r="D673" i="9"/>
  <c r="C673" i="9"/>
  <c r="B673" i="9"/>
  <c r="A673" i="9"/>
  <c r="J672" i="9"/>
  <c r="H672" i="9"/>
  <c r="G672" i="9"/>
  <c r="I672" i="9" s="1"/>
  <c r="F672" i="9"/>
  <c r="E672" i="9"/>
  <c r="D672" i="9"/>
  <c r="C672" i="9"/>
  <c r="B672" i="9"/>
  <c r="A672" i="9"/>
  <c r="H671" i="9"/>
  <c r="G671" i="9"/>
  <c r="I671" i="9" s="1"/>
  <c r="F671" i="9"/>
  <c r="J671" i="9" s="1"/>
  <c r="E671" i="9"/>
  <c r="D671" i="9"/>
  <c r="C671" i="9"/>
  <c r="B671" i="9"/>
  <c r="A671" i="9"/>
  <c r="H670" i="9"/>
  <c r="G670" i="9"/>
  <c r="F670" i="9"/>
  <c r="E670" i="9"/>
  <c r="D670" i="9"/>
  <c r="C670" i="9"/>
  <c r="B670" i="9"/>
  <c r="A670" i="9"/>
  <c r="H669" i="9"/>
  <c r="G669" i="9"/>
  <c r="I669" i="9" s="1"/>
  <c r="F669" i="9"/>
  <c r="J669" i="9" s="1"/>
  <c r="E669" i="9"/>
  <c r="D669" i="9"/>
  <c r="C669" i="9"/>
  <c r="B669" i="9"/>
  <c r="A669" i="9"/>
  <c r="J668" i="9"/>
  <c r="H668" i="9"/>
  <c r="G668" i="9"/>
  <c r="F668" i="9"/>
  <c r="E668" i="9"/>
  <c r="I668" i="9" s="1"/>
  <c r="D668" i="9"/>
  <c r="C668" i="9"/>
  <c r="B668" i="9"/>
  <c r="A668" i="9"/>
  <c r="H667" i="9"/>
  <c r="G667" i="9"/>
  <c r="F667" i="9"/>
  <c r="J667" i="9" s="1"/>
  <c r="E667" i="9"/>
  <c r="D667" i="9"/>
  <c r="C667" i="9"/>
  <c r="B667" i="9"/>
  <c r="A667" i="9"/>
  <c r="H666" i="9"/>
  <c r="G666" i="9"/>
  <c r="F666" i="9"/>
  <c r="J666" i="9" s="1"/>
  <c r="E666" i="9"/>
  <c r="D666" i="9"/>
  <c r="C666" i="9"/>
  <c r="B666" i="9"/>
  <c r="A666" i="9"/>
  <c r="J665" i="9"/>
  <c r="H665" i="9"/>
  <c r="G665" i="9"/>
  <c r="I665" i="9" s="1"/>
  <c r="F665" i="9"/>
  <c r="E665" i="9"/>
  <c r="D665" i="9"/>
  <c r="C665" i="9"/>
  <c r="B665" i="9"/>
  <c r="A665" i="9"/>
  <c r="H664" i="9"/>
  <c r="G664" i="9"/>
  <c r="F664" i="9"/>
  <c r="J664" i="9" s="1"/>
  <c r="E664" i="9"/>
  <c r="D664" i="9"/>
  <c r="C664" i="9"/>
  <c r="B664" i="9"/>
  <c r="A664" i="9"/>
  <c r="H663" i="9"/>
  <c r="G663" i="9"/>
  <c r="I663" i="9" s="1"/>
  <c r="F663" i="9"/>
  <c r="J663" i="9" s="1"/>
  <c r="E663" i="9"/>
  <c r="D663" i="9"/>
  <c r="C663" i="9"/>
  <c r="B663" i="9"/>
  <c r="A663" i="9"/>
  <c r="H662" i="9"/>
  <c r="G662" i="9"/>
  <c r="F662" i="9"/>
  <c r="J662" i="9" s="1"/>
  <c r="E662" i="9"/>
  <c r="D662" i="9"/>
  <c r="C662" i="9"/>
  <c r="B662" i="9"/>
  <c r="A662" i="9"/>
  <c r="H661" i="9"/>
  <c r="G661" i="9"/>
  <c r="F661" i="9"/>
  <c r="J661" i="9" s="1"/>
  <c r="E661" i="9"/>
  <c r="D661" i="9"/>
  <c r="C661" i="9"/>
  <c r="B661" i="9"/>
  <c r="A661" i="9"/>
  <c r="J660" i="9"/>
  <c r="H660" i="9"/>
  <c r="G660" i="9"/>
  <c r="I660" i="9" s="1"/>
  <c r="F660" i="9"/>
  <c r="E660" i="9"/>
  <c r="D660" i="9"/>
  <c r="C660" i="9"/>
  <c r="B660" i="9"/>
  <c r="A660" i="9"/>
  <c r="H659" i="9"/>
  <c r="G659" i="9"/>
  <c r="I659" i="9" s="1"/>
  <c r="F659" i="9"/>
  <c r="J659" i="9" s="1"/>
  <c r="E659" i="9"/>
  <c r="D659" i="9"/>
  <c r="C659" i="9"/>
  <c r="B659" i="9"/>
  <c r="A659" i="9"/>
  <c r="H658" i="9"/>
  <c r="G658" i="9"/>
  <c r="I658" i="9" s="1"/>
  <c r="F658" i="9"/>
  <c r="J658" i="9" s="1"/>
  <c r="E658" i="9"/>
  <c r="D658" i="9"/>
  <c r="C658" i="9"/>
  <c r="B658" i="9"/>
  <c r="A658" i="9"/>
  <c r="J657" i="9"/>
  <c r="H657" i="9"/>
  <c r="G657" i="9"/>
  <c r="F657" i="9"/>
  <c r="E657" i="9"/>
  <c r="I657" i="9" s="1"/>
  <c r="D657" i="9"/>
  <c r="C657" i="9"/>
  <c r="B657" i="9"/>
  <c r="A657" i="9"/>
  <c r="H656" i="9"/>
  <c r="G656" i="9"/>
  <c r="F656" i="9"/>
  <c r="J656" i="9" s="1"/>
  <c r="E656" i="9"/>
  <c r="D656" i="9"/>
  <c r="C656" i="9"/>
  <c r="B656" i="9"/>
  <c r="A656" i="9"/>
  <c r="H655" i="9"/>
  <c r="G655" i="9"/>
  <c r="F655" i="9"/>
  <c r="E655" i="9"/>
  <c r="D655" i="9"/>
  <c r="C655" i="9"/>
  <c r="B655" i="9"/>
  <c r="A655" i="9"/>
  <c r="H654" i="9"/>
  <c r="G654" i="9"/>
  <c r="F654" i="9"/>
  <c r="J654" i="9" s="1"/>
  <c r="E654" i="9"/>
  <c r="D654" i="9"/>
  <c r="C654" i="9"/>
  <c r="B654" i="9"/>
  <c r="A654" i="9"/>
  <c r="H653" i="9"/>
  <c r="G653" i="9"/>
  <c r="I653" i="9" s="1"/>
  <c r="F653" i="9"/>
  <c r="J653" i="9" s="1"/>
  <c r="E653" i="9"/>
  <c r="D653" i="9"/>
  <c r="C653" i="9"/>
  <c r="B653" i="9"/>
  <c r="A653" i="9"/>
  <c r="H652" i="9"/>
  <c r="G652" i="9"/>
  <c r="I652" i="9" s="1"/>
  <c r="F652" i="9"/>
  <c r="J652" i="9" s="1"/>
  <c r="E652" i="9"/>
  <c r="D652" i="9"/>
  <c r="C652" i="9"/>
  <c r="B652" i="9"/>
  <c r="A652" i="9"/>
  <c r="H651" i="9"/>
  <c r="G651" i="9"/>
  <c r="F651" i="9"/>
  <c r="J651" i="9" s="1"/>
  <c r="E651" i="9"/>
  <c r="D651" i="9"/>
  <c r="C651" i="9"/>
  <c r="B651" i="9"/>
  <c r="A651" i="9"/>
  <c r="H650" i="9"/>
  <c r="G650" i="9"/>
  <c r="F650" i="9"/>
  <c r="E650" i="9"/>
  <c r="D650" i="9"/>
  <c r="C650" i="9"/>
  <c r="B650" i="9"/>
  <c r="A650" i="9"/>
  <c r="H649" i="9"/>
  <c r="G649" i="9"/>
  <c r="F649" i="9"/>
  <c r="J649" i="9" s="1"/>
  <c r="E649" i="9"/>
  <c r="D649" i="9"/>
  <c r="C649" i="9"/>
  <c r="B649" i="9"/>
  <c r="A649" i="9"/>
  <c r="J648" i="9"/>
  <c r="H648" i="9"/>
  <c r="G648" i="9"/>
  <c r="F648" i="9"/>
  <c r="E648" i="9"/>
  <c r="D648" i="9"/>
  <c r="C648" i="9"/>
  <c r="B648" i="9"/>
  <c r="A648" i="9"/>
  <c r="H647" i="9"/>
  <c r="G647" i="9"/>
  <c r="I647" i="9" s="1"/>
  <c r="F647" i="9"/>
  <c r="J647" i="9" s="1"/>
  <c r="E647" i="9"/>
  <c r="D647" i="9"/>
  <c r="C647" i="9"/>
  <c r="B647" i="9"/>
  <c r="A647" i="9"/>
  <c r="H646" i="9"/>
  <c r="G646" i="9"/>
  <c r="F646" i="9"/>
  <c r="J646" i="9" s="1"/>
  <c r="E646" i="9"/>
  <c r="D646" i="9"/>
  <c r="C646" i="9"/>
  <c r="B646" i="9"/>
  <c r="A646" i="9"/>
  <c r="J645" i="9"/>
  <c r="H645" i="9"/>
  <c r="G645" i="9"/>
  <c r="F645" i="9"/>
  <c r="E645" i="9"/>
  <c r="D645" i="9"/>
  <c r="C645" i="9"/>
  <c r="B645" i="9"/>
  <c r="A645" i="9"/>
  <c r="J644" i="9"/>
  <c r="H644" i="9"/>
  <c r="G644" i="9"/>
  <c r="I644" i="9" s="1"/>
  <c r="F644" i="9"/>
  <c r="E644" i="9"/>
  <c r="D644" i="9"/>
  <c r="C644" i="9"/>
  <c r="B644" i="9"/>
  <c r="A644" i="9"/>
  <c r="H643" i="9"/>
  <c r="G643" i="9"/>
  <c r="F643" i="9"/>
  <c r="J643" i="9" s="1"/>
  <c r="E643" i="9"/>
  <c r="D643" i="9"/>
  <c r="C643" i="9"/>
  <c r="B643" i="9"/>
  <c r="A643" i="9"/>
  <c r="H642" i="9"/>
  <c r="G642" i="9"/>
  <c r="F642" i="9"/>
  <c r="J642" i="9" s="1"/>
  <c r="E642" i="9"/>
  <c r="D642" i="9"/>
  <c r="C642" i="9"/>
  <c r="B642" i="9"/>
  <c r="A642" i="9"/>
  <c r="H641" i="9"/>
  <c r="G641" i="9"/>
  <c r="F641" i="9"/>
  <c r="E641" i="9"/>
  <c r="D641" i="9"/>
  <c r="C641" i="9"/>
  <c r="B641" i="9"/>
  <c r="A641" i="9"/>
  <c r="H640" i="9"/>
  <c r="G640" i="9"/>
  <c r="F640" i="9"/>
  <c r="J640" i="9" s="1"/>
  <c r="E640" i="9"/>
  <c r="D640" i="9"/>
  <c r="C640" i="9"/>
  <c r="B640" i="9"/>
  <c r="A640" i="9"/>
  <c r="J639" i="9"/>
  <c r="H639" i="9"/>
  <c r="G639" i="9"/>
  <c r="F639" i="9"/>
  <c r="E639" i="9"/>
  <c r="D639" i="9"/>
  <c r="C639" i="9"/>
  <c r="B639" i="9"/>
  <c r="A639" i="9"/>
  <c r="H638" i="9"/>
  <c r="G638" i="9"/>
  <c r="F638" i="9"/>
  <c r="J638" i="9" s="1"/>
  <c r="E638" i="9"/>
  <c r="D638" i="9"/>
  <c r="C638" i="9"/>
  <c r="B638" i="9"/>
  <c r="A638" i="9"/>
  <c r="H637" i="9"/>
  <c r="G637" i="9"/>
  <c r="F637" i="9"/>
  <c r="J637" i="9" s="1"/>
  <c r="E637" i="9"/>
  <c r="D637" i="9"/>
  <c r="C637" i="9"/>
  <c r="B637" i="9"/>
  <c r="A637" i="9"/>
  <c r="J636" i="9"/>
  <c r="H636" i="9"/>
  <c r="G636" i="9"/>
  <c r="I636" i="9" s="1"/>
  <c r="F636" i="9"/>
  <c r="E636" i="9"/>
  <c r="D636" i="9"/>
  <c r="C636" i="9"/>
  <c r="B636" i="9"/>
  <c r="A636" i="9"/>
  <c r="H635" i="9"/>
  <c r="G635" i="9"/>
  <c r="I635" i="9" s="1"/>
  <c r="F635" i="9"/>
  <c r="J635" i="9" s="1"/>
  <c r="E635" i="9"/>
  <c r="D635" i="9"/>
  <c r="C635" i="9"/>
  <c r="B635" i="9"/>
  <c r="A635" i="9"/>
  <c r="H634" i="9"/>
  <c r="G634" i="9"/>
  <c r="F634" i="9"/>
  <c r="J634" i="9" s="1"/>
  <c r="E634" i="9"/>
  <c r="D634" i="9"/>
  <c r="C634" i="9"/>
  <c r="B634" i="9"/>
  <c r="A634" i="9"/>
  <c r="J633" i="9"/>
  <c r="H633" i="9"/>
  <c r="G633" i="9"/>
  <c r="I633" i="9" s="1"/>
  <c r="F633" i="9"/>
  <c r="E633" i="9"/>
  <c r="D633" i="9"/>
  <c r="C633" i="9"/>
  <c r="B633" i="9"/>
  <c r="A633" i="9"/>
  <c r="H632" i="9"/>
  <c r="G632" i="9"/>
  <c r="F632" i="9"/>
  <c r="E632" i="9"/>
  <c r="D632" i="9"/>
  <c r="C632" i="9"/>
  <c r="B632" i="9"/>
  <c r="A632" i="9"/>
  <c r="H631" i="9"/>
  <c r="G631" i="9"/>
  <c r="I631" i="9" s="1"/>
  <c r="F631" i="9"/>
  <c r="J631" i="9" s="1"/>
  <c r="E631" i="9"/>
  <c r="D631" i="9"/>
  <c r="C631" i="9"/>
  <c r="B631" i="9"/>
  <c r="A631" i="9"/>
  <c r="H630" i="9"/>
  <c r="G630" i="9"/>
  <c r="F630" i="9"/>
  <c r="J630" i="9" s="1"/>
  <c r="E630" i="9"/>
  <c r="D630" i="9"/>
  <c r="C630" i="9"/>
  <c r="B630" i="9"/>
  <c r="A630" i="9"/>
  <c r="J629" i="9"/>
  <c r="H629" i="9"/>
  <c r="G629" i="9"/>
  <c r="F629" i="9"/>
  <c r="E629" i="9"/>
  <c r="D629" i="9"/>
  <c r="C629" i="9"/>
  <c r="B629" i="9"/>
  <c r="A629" i="9"/>
  <c r="H628" i="9"/>
  <c r="G628" i="9"/>
  <c r="F628" i="9"/>
  <c r="E628" i="9"/>
  <c r="D628" i="9"/>
  <c r="C628" i="9"/>
  <c r="B628" i="9"/>
  <c r="A628" i="9"/>
  <c r="H627" i="9"/>
  <c r="G627" i="9"/>
  <c r="F627" i="9"/>
  <c r="J627" i="9" s="1"/>
  <c r="E627" i="9"/>
  <c r="D627" i="9"/>
  <c r="C627" i="9"/>
  <c r="B627" i="9"/>
  <c r="A627" i="9"/>
  <c r="H626" i="9"/>
  <c r="G626" i="9"/>
  <c r="F626" i="9"/>
  <c r="J626" i="9" s="1"/>
  <c r="E626" i="9"/>
  <c r="D626" i="9"/>
  <c r="C626" i="9"/>
  <c r="B626" i="9"/>
  <c r="A626" i="9"/>
  <c r="J625" i="9"/>
  <c r="H625" i="9"/>
  <c r="G625" i="9"/>
  <c r="I625" i="9" s="1"/>
  <c r="F625" i="9"/>
  <c r="E625" i="9"/>
  <c r="D625" i="9"/>
  <c r="C625" i="9"/>
  <c r="B625" i="9"/>
  <c r="A625" i="9"/>
  <c r="H624" i="9"/>
  <c r="G624" i="9"/>
  <c r="F624" i="9"/>
  <c r="E624" i="9"/>
  <c r="D624" i="9"/>
  <c r="C624" i="9"/>
  <c r="B624" i="9"/>
  <c r="A624" i="9"/>
  <c r="H623" i="9"/>
  <c r="G623" i="9"/>
  <c r="I623" i="9" s="1"/>
  <c r="F623" i="9"/>
  <c r="J623" i="9" s="1"/>
  <c r="E623" i="9"/>
  <c r="D623" i="9"/>
  <c r="C623" i="9"/>
  <c r="B623" i="9"/>
  <c r="A623" i="9"/>
  <c r="H622" i="9"/>
  <c r="G622" i="9"/>
  <c r="F622" i="9"/>
  <c r="J622" i="9" s="1"/>
  <c r="E622" i="9"/>
  <c r="D622" i="9"/>
  <c r="C622" i="9"/>
  <c r="B622" i="9"/>
  <c r="A622" i="9"/>
  <c r="J621" i="9"/>
  <c r="H621" i="9"/>
  <c r="G621" i="9"/>
  <c r="I621" i="9" s="1"/>
  <c r="F621" i="9"/>
  <c r="E621" i="9"/>
  <c r="D621" i="9"/>
  <c r="C621" i="9"/>
  <c r="B621" i="9"/>
  <c r="A621" i="9"/>
  <c r="H620" i="9"/>
  <c r="G620" i="9"/>
  <c r="F620" i="9"/>
  <c r="E620" i="9"/>
  <c r="D620" i="9"/>
  <c r="C620" i="9"/>
  <c r="B620" i="9"/>
  <c r="A620" i="9"/>
  <c r="H619" i="9"/>
  <c r="G619" i="9"/>
  <c r="I619" i="9" s="1"/>
  <c r="F619" i="9"/>
  <c r="J619" i="9" s="1"/>
  <c r="E619" i="9"/>
  <c r="D619" i="9"/>
  <c r="C619" i="9"/>
  <c r="B619" i="9"/>
  <c r="A619" i="9"/>
  <c r="H618" i="9"/>
  <c r="G618" i="9"/>
  <c r="F618" i="9"/>
  <c r="J618" i="9" s="1"/>
  <c r="E618" i="9"/>
  <c r="D618" i="9"/>
  <c r="C618" i="9"/>
  <c r="B618" i="9"/>
  <c r="A618" i="9"/>
  <c r="J617" i="9"/>
  <c r="H617" i="9"/>
  <c r="G617" i="9"/>
  <c r="I617" i="9" s="1"/>
  <c r="F617" i="9"/>
  <c r="E617" i="9"/>
  <c r="D617" i="9"/>
  <c r="C617" i="9"/>
  <c r="B617" i="9"/>
  <c r="A617" i="9"/>
  <c r="H616" i="9"/>
  <c r="G616" i="9"/>
  <c r="F616" i="9"/>
  <c r="E616" i="9"/>
  <c r="D616" i="9"/>
  <c r="C616" i="9"/>
  <c r="B616" i="9"/>
  <c r="A616" i="9"/>
  <c r="H615" i="9"/>
  <c r="G615" i="9"/>
  <c r="I615" i="9" s="1"/>
  <c r="F615" i="9"/>
  <c r="J615" i="9" s="1"/>
  <c r="E615" i="9"/>
  <c r="D615" i="9"/>
  <c r="C615" i="9"/>
  <c r="B615" i="9"/>
  <c r="A615" i="9"/>
  <c r="H614" i="9"/>
  <c r="G614" i="9"/>
  <c r="F614" i="9"/>
  <c r="J614" i="9" s="1"/>
  <c r="E614" i="9"/>
  <c r="D614" i="9"/>
  <c r="C614" i="9"/>
  <c r="B614" i="9"/>
  <c r="A614" i="9"/>
  <c r="J613" i="9"/>
  <c r="H613" i="9"/>
  <c r="G613" i="9"/>
  <c r="F613" i="9"/>
  <c r="E613" i="9"/>
  <c r="D613" i="9"/>
  <c r="C613" i="9"/>
  <c r="B613" i="9"/>
  <c r="A613" i="9"/>
  <c r="H612" i="9"/>
  <c r="G612" i="9"/>
  <c r="F612" i="9"/>
  <c r="E612" i="9"/>
  <c r="D612" i="9"/>
  <c r="C612" i="9"/>
  <c r="B612" i="9"/>
  <c r="A612" i="9"/>
  <c r="H611" i="9"/>
  <c r="G611" i="9"/>
  <c r="F611" i="9"/>
  <c r="J611" i="9" s="1"/>
  <c r="E611" i="9"/>
  <c r="D611" i="9"/>
  <c r="C611" i="9"/>
  <c r="B611" i="9"/>
  <c r="A611" i="9"/>
  <c r="H610" i="9"/>
  <c r="G610" i="9"/>
  <c r="F610" i="9"/>
  <c r="J610" i="9" s="1"/>
  <c r="E610" i="9"/>
  <c r="D610" i="9"/>
  <c r="C610" i="9"/>
  <c r="B610" i="9"/>
  <c r="A610" i="9"/>
  <c r="J609" i="9"/>
  <c r="H609" i="9"/>
  <c r="G609" i="9"/>
  <c r="I609" i="9" s="1"/>
  <c r="F609" i="9"/>
  <c r="E609" i="9"/>
  <c r="D609" i="9"/>
  <c r="C609" i="9"/>
  <c r="B609" i="9"/>
  <c r="A609" i="9"/>
  <c r="H608" i="9"/>
  <c r="G608" i="9"/>
  <c r="F608" i="9"/>
  <c r="E608" i="9"/>
  <c r="D608" i="9"/>
  <c r="C608" i="9"/>
  <c r="B608" i="9"/>
  <c r="A608" i="9"/>
  <c r="H607" i="9"/>
  <c r="G607" i="9"/>
  <c r="I607" i="9" s="1"/>
  <c r="F607" i="9"/>
  <c r="J607" i="9" s="1"/>
  <c r="E607" i="9"/>
  <c r="D607" i="9"/>
  <c r="C607" i="9"/>
  <c r="B607" i="9"/>
  <c r="A607" i="9"/>
  <c r="H606" i="9"/>
  <c r="G606" i="9"/>
  <c r="F606" i="9"/>
  <c r="J606" i="9" s="1"/>
  <c r="E606" i="9"/>
  <c r="D606" i="9"/>
  <c r="C606" i="9"/>
  <c r="B606" i="9"/>
  <c r="A606" i="9"/>
  <c r="J605" i="9"/>
  <c r="H605" i="9"/>
  <c r="G605" i="9"/>
  <c r="I605" i="9" s="1"/>
  <c r="F605" i="9"/>
  <c r="E605" i="9"/>
  <c r="D605" i="9"/>
  <c r="C605" i="9"/>
  <c r="B605" i="9"/>
  <c r="A605" i="9"/>
  <c r="H604" i="9"/>
  <c r="G604" i="9"/>
  <c r="F604" i="9"/>
  <c r="E604" i="9"/>
  <c r="D604" i="9"/>
  <c r="C604" i="9"/>
  <c r="B604" i="9"/>
  <c r="A604" i="9"/>
  <c r="H603" i="9"/>
  <c r="G603" i="9"/>
  <c r="I603" i="9" s="1"/>
  <c r="F603" i="9"/>
  <c r="J603" i="9" s="1"/>
  <c r="E603" i="9"/>
  <c r="D603" i="9"/>
  <c r="C603" i="9"/>
  <c r="B603" i="9"/>
  <c r="A603" i="9"/>
  <c r="H602" i="9"/>
  <c r="G602" i="9"/>
  <c r="F602" i="9"/>
  <c r="J602" i="9" s="1"/>
  <c r="E602" i="9"/>
  <c r="D602" i="9"/>
  <c r="C602" i="9"/>
  <c r="B602" i="9"/>
  <c r="A602" i="9"/>
  <c r="J601" i="9"/>
  <c r="H601" i="9"/>
  <c r="G601" i="9"/>
  <c r="I601" i="9" s="1"/>
  <c r="F601" i="9"/>
  <c r="E601" i="9"/>
  <c r="D601" i="9"/>
  <c r="C601" i="9"/>
  <c r="B601" i="9"/>
  <c r="A601" i="9"/>
  <c r="H600" i="9"/>
  <c r="G600" i="9"/>
  <c r="F600" i="9"/>
  <c r="E600" i="9"/>
  <c r="D600" i="9"/>
  <c r="C600" i="9"/>
  <c r="B600" i="9"/>
  <c r="A600" i="9"/>
  <c r="H599" i="9"/>
  <c r="G599" i="9"/>
  <c r="I599" i="9" s="1"/>
  <c r="F599" i="9"/>
  <c r="J599" i="9" s="1"/>
  <c r="E599" i="9"/>
  <c r="D599" i="9"/>
  <c r="C599" i="9"/>
  <c r="B599" i="9"/>
  <c r="A599" i="9"/>
  <c r="H598" i="9"/>
  <c r="G598" i="9"/>
  <c r="F598" i="9"/>
  <c r="J598" i="9" s="1"/>
  <c r="E598" i="9"/>
  <c r="D598" i="9"/>
  <c r="C598" i="9"/>
  <c r="B598" i="9"/>
  <c r="A598" i="9"/>
  <c r="J597" i="9"/>
  <c r="H597" i="9"/>
  <c r="G597" i="9"/>
  <c r="F597" i="9"/>
  <c r="E597" i="9"/>
  <c r="D597" i="9"/>
  <c r="C597" i="9"/>
  <c r="B597" i="9"/>
  <c r="A597" i="9"/>
  <c r="H596" i="9"/>
  <c r="G596" i="9"/>
  <c r="F596" i="9"/>
  <c r="E596" i="9"/>
  <c r="D596" i="9"/>
  <c r="C596" i="9"/>
  <c r="B596" i="9"/>
  <c r="A596" i="9"/>
  <c r="H595" i="9"/>
  <c r="G595" i="9"/>
  <c r="F595" i="9"/>
  <c r="J595" i="9" s="1"/>
  <c r="E595" i="9"/>
  <c r="D595" i="9"/>
  <c r="C595" i="9"/>
  <c r="B595" i="9"/>
  <c r="A595" i="9"/>
  <c r="H594" i="9"/>
  <c r="G594" i="9"/>
  <c r="F594" i="9"/>
  <c r="J594" i="9" s="1"/>
  <c r="E594" i="9"/>
  <c r="D594" i="9"/>
  <c r="C594" i="9"/>
  <c r="B594" i="9"/>
  <c r="A594" i="9"/>
  <c r="J593" i="9"/>
  <c r="H593" i="9"/>
  <c r="G593" i="9"/>
  <c r="I593" i="9" s="1"/>
  <c r="F593" i="9"/>
  <c r="E593" i="9"/>
  <c r="D593" i="9"/>
  <c r="C593" i="9"/>
  <c r="B593" i="9"/>
  <c r="A593" i="9"/>
  <c r="H592" i="9"/>
  <c r="G592" i="9"/>
  <c r="F592" i="9"/>
  <c r="E592" i="9"/>
  <c r="D592" i="9"/>
  <c r="C592" i="9"/>
  <c r="B592" i="9"/>
  <c r="A592" i="9"/>
  <c r="H591" i="9"/>
  <c r="G591" i="9"/>
  <c r="I591" i="9" s="1"/>
  <c r="F591" i="9"/>
  <c r="J591" i="9" s="1"/>
  <c r="E591" i="9"/>
  <c r="D591" i="9"/>
  <c r="C591" i="9"/>
  <c r="B591" i="9"/>
  <c r="A591" i="9"/>
  <c r="H590" i="9"/>
  <c r="G590" i="9"/>
  <c r="F590" i="9"/>
  <c r="J590" i="9" s="1"/>
  <c r="E590" i="9"/>
  <c r="D590" i="9"/>
  <c r="C590" i="9"/>
  <c r="B590" i="9"/>
  <c r="A590" i="9"/>
  <c r="J589" i="9"/>
  <c r="H589" i="9"/>
  <c r="G589" i="9"/>
  <c r="I589" i="9" s="1"/>
  <c r="F589" i="9"/>
  <c r="E589" i="9"/>
  <c r="D589" i="9"/>
  <c r="C589" i="9"/>
  <c r="B589" i="9"/>
  <c r="A589" i="9"/>
  <c r="H588" i="9"/>
  <c r="G588" i="9"/>
  <c r="F588" i="9"/>
  <c r="E588" i="9"/>
  <c r="D588" i="9"/>
  <c r="C588" i="9"/>
  <c r="B588" i="9"/>
  <c r="A588" i="9"/>
  <c r="H587" i="9"/>
  <c r="G587" i="9"/>
  <c r="I587" i="9" s="1"/>
  <c r="F587" i="9"/>
  <c r="J587" i="9" s="1"/>
  <c r="E587" i="9"/>
  <c r="D587" i="9"/>
  <c r="C587" i="9"/>
  <c r="B587" i="9"/>
  <c r="A587" i="9"/>
  <c r="H586" i="9"/>
  <c r="G586" i="9"/>
  <c r="F586" i="9"/>
  <c r="J586" i="9" s="1"/>
  <c r="E586" i="9"/>
  <c r="D586" i="9"/>
  <c r="C586" i="9"/>
  <c r="B586" i="9"/>
  <c r="A586" i="9"/>
  <c r="J585" i="9"/>
  <c r="H585" i="9"/>
  <c r="G585" i="9"/>
  <c r="I585" i="9" s="1"/>
  <c r="F585" i="9"/>
  <c r="E585" i="9"/>
  <c r="D585" i="9"/>
  <c r="C585" i="9"/>
  <c r="B585" i="9"/>
  <c r="A585" i="9"/>
  <c r="H584" i="9"/>
  <c r="G584" i="9"/>
  <c r="F584" i="9"/>
  <c r="E584" i="9"/>
  <c r="D584" i="9"/>
  <c r="C584" i="9"/>
  <c r="B584" i="9"/>
  <c r="A584" i="9"/>
  <c r="H583" i="9"/>
  <c r="G583" i="9"/>
  <c r="I583" i="9" s="1"/>
  <c r="F583" i="9"/>
  <c r="J583" i="9" s="1"/>
  <c r="E583" i="9"/>
  <c r="D583" i="9"/>
  <c r="C583" i="9"/>
  <c r="B583" i="9"/>
  <c r="A583" i="9"/>
  <c r="H582" i="9"/>
  <c r="G582" i="9"/>
  <c r="F582" i="9"/>
  <c r="J582" i="9" s="1"/>
  <c r="E582" i="9"/>
  <c r="D582" i="9"/>
  <c r="C582" i="9"/>
  <c r="B582" i="9"/>
  <c r="A582" i="9"/>
  <c r="J581" i="9"/>
  <c r="H581" i="9"/>
  <c r="G581" i="9"/>
  <c r="F581" i="9"/>
  <c r="E581" i="9"/>
  <c r="D581" i="9"/>
  <c r="C581" i="9"/>
  <c r="B581" i="9"/>
  <c r="A581" i="9"/>
  <c r="H580" i="9"/>
  <c r="G580" i="9"/>
  <c r="F580" i="9"/>
  <c r="E580" i="9"/>
  <c r="D580" i="9"/>
  <c r="C580" i="9"/>
  <c r="B580" i="9"/>
  <c r="A580" i="9"/>
  <c r="H579" i="9"/>
  <c r="G579" i="9"/>
  <c r="F579" i="9"/>
  <c r="J579" i="9" s="1"/>
  <c r="E579" i="9"/>
  <c r="D579" i="9"/>
  <c r="C579" i="9"/>
  <c r="B579" i="9"/>
  <c r="A579" i="9"/>
  <c r="H578" i="9"/>
  <c r="G578" i="9"/>
  <c r="F578" i="9"/>
  <c r="J578" i="9" s="1"/>
  <c r="E578" i="9"/>
  <c r="D578" i="9"/>
  <c r="C578" i="9"/>
  <c r="B578" i="9"/>
  <c r="A578" i="9"/>
  <c r="J577" i="9"/>
  <c r="H577" i="9"/>
  <c r="G577" i="9"/>
  <c r="I577" i="9" s="1"/>
  <c r="F577" i="9"/>
  <c r="E577" i="9"/>
  <c r="D577" i="9"/>
  <c r="C577" i="9"/>
  <c r="B577" i="9"/>
  <c r="A577" i="9"/>
  <c r="H576" i="9"/>
  <c r="G576" i="9"/>
  <c r="F576" i="9"/>
  <c r="E576" i="9"/>
  <c r="D576" i="9"/>
  <c r="C576" i="9"/>
  <c r="B576" i="9"/>
  <c r="A576" i="9"/>
  <c r="H575" i="9"/>
  <c r="G575" i="9"/>
  <c r="I575" i="9" s="1"/>
  <c r="F575" i="9"/>
  <c r="J575" i="9" s="1"/>
  <c r="E575" i="9"/>
  <c r="D575" i="9"/>
  <c r="C575" i="9"/>
  <c r="B575" i="9"/>
  <c r="A575" i="9"/>
  <c r="H574" i="9"/>
  <c r="G574" i="9"/>
  <c r="F574" i="9"/>
  <c r="J574" i="9" s="1"/>
  <c r="E574" i="9"/>
  <c r="D574" i="9"/>
  <c r="C574" i="9"/>
  <c r="B574" i="9"/>
  <c r="A574" i="9"/>
  <c r="J573" i="9"/>
  <c r="H573" i="9"/>
  <c r="G573" i="9"/>
  <c r="I573" i="9" s="1"/>
  <c r="F573" i="9"/>
  <c r="E573" i="9"/>
  <c r="D573" i="9"/>
  <c r="C573" i="9"/>
  <c r="B573" i="9"/>
  <c r="A573" i="9"/>
  <c r="H572" i="9"/>
  <c r="G572" i="9"/>
  <c r="F572" i="9"/>
  <c r="E572" i="9"/>
  <c r="D572" i="9"/>
  <c r="C572" i="9"/>
  <c r="B572" i="9"/>
  <c r="A572" i="9"/>
  <c r="H571" i="9"/>
  <c r="G571" i="9"/>
  <c r="I571" i="9" s="1"/>
  <c r="F571" i="9"/>
  <c r="J571" i="9" s="1"/>
  <c r="E571" i="9"/>
  <c r="D571" i="9"/>
  <c r="C571" i="9"/>
  <c r="B571" i="9"/>
  <c r="A571" i="9"/>
  <c r="H570" i="9"/>
  <c r="G570" i="9"/>
  <c r="F570" i="9"/>
  <c r="J570" i="9" s="1"/>
  <c r="E570" i="9"/>
  <c r="D570" i="9"/>
  <c r="C570" i="9"/>
  <c r="B570" i="9"/>
  <c r="A570" i="9"/>
  <c r="J569" i="9"/>
  <c r="H569" i="9"/>
  <c r="G569" i="9"/>
  <c r="I569" i="9" s="1"/>
  <c r="F569" i="9"/>
  <c r="E569" i="9"/>
  <c r="D569" i="9"/>
  <c r="C569" i="9"/>
  <c r="B569" i="9"/>
  <c r="A569" i="9"/>
  <c r="H568" i="9"/>
  <c r="G568" i="9"/>
  <c r="F568" i="9"/>
  <c r="E568" i="9"/>
  <c r="D568" i="9"/>
  <c r="C568" i="9"/>
  <c r="B568" i="9"/>
  <c r="A568" i="9"/>
  <c r="H567" i="9"/>
  <c r="G567" i="9"/>
  <c r="I567" i="9" s="1"/>
  <c r="F567" i="9"/>
  <c r="J567" i="9" s="1"/>
  <c r="E567" i="9"/>
  <c r="D567" i="9"/>
  <c r="C567" i="9"/>
  <c r="B567" i="9"/>
  <c r="A567" i="9"/>
  <c r="H566" i="9"/>
  <c r="G566" i="9"/>
  <c r="F566" i="9"/>
  <c r="J566" i="9" s="1"/>
  <c r="E566" i="9"/>
  <c r="D566" i="9"/>
  <c r="C566" i="9"/>
  <c r="B566" i="9"/>
  <c r="A566" i="9"/>
  <c r="J565" i="9"/>
  <c r="H565" i="9"/>
  <c r="G565" i="9"/>
  <c r="F565" i="9"/>
  <c r="E565" i="9"/>
  <c r="D565" i="9"/>
  <c r="C565" i="9"/>
  <c r="B565" i="9"/>
  <c r="A565" i="9"/>
  <c r="H564" i="9"/>
  <c r="G564" i="9"/>
  <c r="F564" i="9"/>
  <c r="E564" i="9"/>
  <c r="D564" i="9"/>
  <c r="C564" i="9"/>
  <c r="B564" i="9"/>
  <c r="A564" i="9"/>
  <c r="H563" i="9"/>
  <c r="G563" i="9"/>
  <c r="F563" i="9"/>
  <c r="J563" i="9" s="1"/>
  <c r="E563" i="9"/>
  <c r="D563" i="9"/>
  <c r="C563" i="9"/>
  <c r="B563" i="9"/>
  <c r="A563" i="9"/>
  <c r="H562" i="9"/>
  <c r="G562" i="9"/>
  <c r="F562" i="9"/>
  <c r="J562" i="9" s="1"/>
  <c r="E562" i="9"/>
  <c r="D562" i="9"/>
  <c r="C562" i="9"/>
  <c r="B562" i="9"/>
  <c r="A562" i="9"/>
  <c r="J561" i="9"/>
  <c r="H561" i="9"/>
  <c r="G561" i="9"/>
  <c r="I561" i="9" s="1"/>
  <c r="F561" i="9"/>
  <c r="E561" i="9"/>
  <c r="D561" i="9"/>
  <c r="C561" i="9"/>
  <c r="B561" i="9"/>
  <c r="A561" i="9"/>
  <c r="H560" i="9"/>
  <c r="G560" i="9"/>
  <c r="F560" i="9"/>
  <c r="E560" i="9"/>
  <c r="D560" i="9"/>
  <c r="C560" i="9"/>
  <c r="B560" i="9"/>
  <c r="A560" i="9"/>
  <c r="H559" i="9"/>
  <c r="G559" i="9"/>
  <c r="I559" i="9" s="1"/>
  <c r="F559" i="9"/>
  <c r="J559" i="9" s="1"/>
  <c r="E559" i="9"/>
  <c r="D559" i="9"/>
  <c r="C559" i="9"/>
  <c r="B559" i="9"/>
  <c r="A559" i="9"/>
  <c r="H558" i="9"/>
  <c r="G558" i="9"/>
  <c r="F558" i="9"/>
  <c r="J558" i="9" s="1"/>
  <c r="E558" i="9"/>
  <c r="D558" i="9"/>
  <c r="C558" i="9"/>
  <c r="B558" i="9"/>
  <c r="A558" i="9"/>
  <c r="J557" i="9"/>
  <c r="H557" i="9"/>
  <c r="G557" i="9"/>
  <c r="I557" i="9" s="1"/>
  <c r="F557" i="9"/>
  <c r="E557" i="9"/>
  <c r="D557" i="9"/>
  <c r="C557" i="9"/>
  <c r="B557" i="9"/>
  <c r="A557" i="9"/>
  <c r="H556" i="9"/>
  <c r="G556" i="9"/>
  <c r="F556" i="9"/>
  <c r="E556" i="9"/>
  <c r="D556" i="9"/>
  <c r="C556" i="9"/>
  <c r="B556" i="9"/>
  <c r="A556" i="9"/>
  <c r="H555" i="9"/>
  <c r="G555" i="9"/>
  <c r="I555" i="9" s="1"/>
  <c r="F555" i="9"/>
  <c r="J555" i="9" s="1"/>
  <c r="E555" i="9"/>
  <c r="D555" i="9"/>
  <c r="C555" i="9"/>
  <c r="B555" i="9"/>
  <c r="A555" i="9"/>
  <c r="H554" i="9"/>
  <c r="G554" i="9"/>
  <c r="F554" i="9"/>
  <c r="J554" i="9" s="1"/>
  <c r="E554" i="9"/>
  <c r="D554" i="9"/>
  <c r="C554" i="9"/>
  <c r="B554" i="9"/>
  <c r="A554" i="9"/>
  <c r="J553" i="9"/>
  <c r="H553" i="9"/>
  <c r="G553" i="9"/>
  <c r="I553" i="9" s="1"/>
  <c r="F553" i="9"/>
  <c r="E553" i="9"/>
  <c r="D553" i="9"/>
  <c r="C553" i="9"/>
  <c r="B553" i="9"/>
  <c r="A553" i="9"/>
  <c r="H552" i="9"/>
  <c r="G552" i="9"/>
  <c r="F552" i="9"/>
  <c r="E552" i="9"/>
  <c r="D552" i="9"/>
  <c r="C552" i="9"/>
  <c r="B552" i="9"/>
  <c r="A552" i="9"/>
  <c r="H551" i="9"/>
  <c r="G551" i="9"/>
  <c r="I551" i="9" s="1"/>
  <c r="F551" i="9"/>
  <c r="J551" i="9" s="1"/>
  <c r="E551" i="9"/>
  <c r="D551" i="9"/>
  <c r="C551" i="9"/>
  <c r="B551" i="9"/>
  <c r="A551" i="9"/>
  <c r="H550" i="9"/>
  <c r="G550" i="9"/>
  <c r="F550" i="9"/>
  <c r="J550" i="9" s="1"/>
  <c r="E550" i="9"/>
  <c r="D550" i="9"/>
  <c r="C550" i="9"/>
  <c r="B550" i="9"/>
  <c r="A550" i="9"/>
  <c r="J549" i="9"/>
  <c r="H549" i="9"/>
  <c r="G549" i="9"/>
  <c r="F549" i="9"/>
  <c r="E549" i="9"/>
  <c r="D549" i="9"/>
  <c r="C549" i="9"/>
  <c r="B549" i="9"/>
  <c r="A549" i="9"/>
  <c r="H548" i="9"/>
  <c r="G548" i="9"/>
  <c r="F548" i="9"/>
  <c r="E548" i="9"/>
  <c r="D548" i="9"/>
  <c r="C548" i="9"/>
  <c r="B548" i="9"/>
  <c r="A548" i="9"/>
  <c r="H547" i="9"/>
  <c r="G547" i="9"/>
  <c r="F547" i="9"/>
  <c r="J547" i="9" s="1"/>
  <c r="E547" i="9"/>
  <c r="D547" i="9"/>
  <c r="C547" i="9"/>
  <c r="B547" i="9"/>
  <c r="A547" i="9"/>
  <c r="H546" i="9"/>
  <c r="G546" i="9"/>
  <c r="F546" i="9"/>
  <c r="J546" i="9" s="1"/>
  <c r="E546" i="9"/>
  <c r="D546" i="9"/>
  <c r="C546" i="9"/>
  <c r="B546" i="9"/>
  <c r="A546" i="9"/>
  <c r="J545" i="9"/>
  <c r="H545" i="9"/>
  <c r="G545" i="9"/>
  <c r="I545" i="9" s="1"/>
  <c r="F545" i="9"/>
  <c r="E545" i="9"/>
  <c r="D545" i="9"/>
  <c r="C545" i="9"/>
  <c r="B545" i="9"/>
  <c r="A545" i="9"/>
  <c r="H544" i="9"/>
  <c r="G544" i="9"/>
  <c r="F544" i="9"/>
  <c r="J544" i="9" s="1"/>
  <c r="E544" i="9"/>
  <c r="I544" i="9" s="1"/>
  <c r="D544" i="9"/>
  <c r="C544" i="9"/>
  <c r="B544" i="9"/>
  <c r="A544" i="9"/>
  <c r="H543" i="9"/>
  <c r="G543" i="9"/>
  <c r="F543" i="9"/>
  <c r="J543" i="9" s="1"/>
  <c r="E543" i="9"/>
  <c r="D543" i="9"/>
  <c r="C543" i="9"/>
  <c r="B543" i="9"/>
  <c r="A543" i="9"/>
  <c r="J542" i="9"/>
  <c r="H542" i="9"/>
  <c r="G542" i="9"/>
  <c r="F542" i="9"/>
  <c r="E542" i="9"/>
  <c r="D542" i="9"/>
  <c r="C542" i="9"/>
  <c r="B542" i="9"/>
  <c r="A542" i="9"/>
  <c r="H541" i="9"/>
  <c r="G541" i="9"/>
  <c r="F541" i="9"/>
  <c r="J541" i="9" s="1"/>
  <c r="E541" i="9"/>
  <c r="D541" i="9"/>
  <c r="C541" i="9"/>
  <c r="B541" i="9"/>
  <c r="A541" i="9"/>
  <c r="H540" i="9"/>
  <c r="G540" i="9"/>
  <c r="F540" i="9"/>
  <c r="J540" i="9" s="1"/>
  <c r="E540" i="9"/>
  <c r="D540" i="9"/>
  <c r="C540" i="9"/>
  <c r="B540" i="9"/>
  <c r="A540" i="9"/>
  <c r="H539" i="9"/>
  <c r="G539" i="9"/>
  <c r="F539" i="9"/>
  <c r="J539" i="9" s="1"/>
  <c r="E539" i="9"/>
  <c r="D539" i="9"/>
  <c r="C539" i="9"/>
  <c r="B539" i="9"/>
  <c r="A539" i="9"/>
  <c r="J538" i="9"/>
  <c r="H538" i="9"/>
  <c r="G538" i="9"/>
  <c r="F538" i="9"/>
  <c r="E538" i="9"/>
  <c r="D538" i="9"/>
  <c r="C538" i="9"/>
  <c r="B538" i="9"/>
  <c r="A538" i="9"/>
  <c r="H537" i="9"/>
  <c r="G537" i="9"/>
  <c r="F537" i="9"/>
  <c r="J537" i="9" s="1"/>
  <c r="E537" i="9"/>
  <c r="D537" i="9"/>
  <c r="C537" i="9"/>
  <c r="B537" i="9"/>
  <c r="A537" i="9"/>
  <c r="H536" i="9"/>
  <c r="G536" i="9"/>
  <c r="F536" i="9"/>
  <c r="J536" i="9" s="1"/>
  <c r="E536" i="9"/>
  <c r="I536" i="9" s="1"/>
  <c r="D536" i="9"/>
  <c r="C536" i="9"/>
  <c r="B536" i="9"/>
  <c r="A536" i="9"/>
  <c r="H535" i="9"/>
  <c r="G535" i="9"/>
  <c r="F535" i="9"/>
  <c r="J535" i="9" s="1"/>
  <c r="E535" i="9"/>
  <c r="D535" i="9"/>
  <c r="C535" i="9"/>
  <c r="B535" i="9"/>
  <c r="A535" i="9"/>
  <c r="H534" i="9"/>
  <c r="G534" i="9"/>
  <c r="F534" i="9"/>
  <c r="J534" i="9" s="1"/>
  <c r="E534" i="9"/>
  <c r="D534" i="9"/>
  <c r="C534" i="9"/>
  <c r="B534" i="9"/>
  <c r="A534" i="9"/>
  <c r="J533" i="9"/>
  <c r="H533" i="9"/>
  <c r="G533" i="9"/>
  <c r="I533" i="9" s="1"/>
  <c r="F533" i="9"/>
  <c r="E533" i="9"/>
  <c r="D533" i="9"/>
  <c r="C533" i="9"/>
  <c r="B533" i="9"/>
  <c r="A533" i="9"/>
  <c r="H532" i="9"/>
  <c r="G532" i="9"/>
  <c r="F532" i="9"/>
  <c r="J532" i="9" s="1"/>
  <c r="E532" i="9"/>
  <c r="D532" i="9"/>
  <c r="C532" i="9"/>
  <c r="B532" i="9"/>
  <c r="A532" i="9"/>
  <c r="H531" i="9"/>
  <c r="G531" i="9"/>
  <c r="I531" i="9" s="1"/>
  <c r="F531" i="9"/>
  <c r="J531" i="9" s="1"/>
  <c r="E531" i="9"/>
  <c r="D531" i="9"/>
  <c r="C531" i="9"/>
  <c r="B531" i="9"/>
  <c r="A531" i="9"/>
  <c r="H530" i="9"/>
  <c r="G530" i="9"/>
  <c r="F530" i="9"/>
  <c r="J530" i="9" s="1"/>
  <c r="E530" i="9"/>
  <c r="D530" i="9"/>
  <c r="C530" i="9"/>
  <c r="B530" i="9"/>
  <c r="A530" i="9"/>
  <c r="J529" i="9"/>
  <c r="H529" i="9"/>
  <c r="G529" i="9"/>
  <c r="I529" i="9" s="1"/>
  <c r="F529" i="9"/>
  <c r="E529" i="9"/>
  <c r="D529" i="9"/>
  <c r="C529" i="9"/>
  <c r="B529" i="9"/>
  <c r="A529" i="9"/>
  <c r="H528" i="9"/>
  <c r="G528" i="9"/>
  <c r="I528" i="9" s="1"/>
  <c r="F528" i="9"/>
  <c r="J528" i="9" s="1"/>
  <c r="E528" i="9"/>
  <c r="D528" i="9"/>
  <c r="C528" i="9"/>
  <c r="B528" i="9"/>
  <c r="A528" i="9"/>
  <c r="H527" i="9"/>
  <c r="G527" i="9"/>
  <c r="F527" i="9"/>
  <c r="J527" i="9" s="1"/>
  <c r="E527" i="9"/>
  <c r="D527" i="9"/>
  <c r="C527" i="9"/>
  <c r="B527" i="9"/>
  <c r="A527" i="9"/>
  <c r="J526" i="9"/>
  <c r="H526" i="9"/>
  <c r="G526" i="9"/>
  <c r="F526" i="9"/>
  <c r="E526" i="9"/>
  <c r="D526" i="9"/>
  <c r="C526" i="9"/>
  <c r="B526" i="9"/>
  <c r="A526" i="9"/>
  <c r="H525" i="9"/>
  <c r="G525" i="9"/>
  <c r="F525" i="9"/>
  <c r="J525" i="9" s="1"/>
  <c r="E525" i="9"/>
  <c r="D525" i="9"/>
  <c r="C525" i="9"/>
  <c r="B525" i="9"/>
  <c r="A525" i="9"/>
  <c r="H524" i="9"/>
  <c r="G524" i="9"/>
  <c r="F524" i="9"/>
  <c r="J524" i="9" s="1"/>
  <c r="E524" i="9"/>
  <c r="D524" i="9"/>
  <c r="C524" i="9"/>
  <c r="B524" i="9"/>
  <c r="A524" i="9"/>
  <c r="H523" i="9"/>
  <c r="G523" i="9"/>
  <c r="F523" i="9"/>
  <c r="J523" i="9" s="1"/>
  <c r="E523" i="9"/>
  <c r="D523" i="9"/>
  <c r="C523" i="9"/>
  <c r="B523" i="9"/>
  <c r="A523" i="9"/>
  <c r="J522" i="9"/>
  <c r="H522" i="9"/>
  <c r="G522" i="9"/>
  <c r="F522" i="9"/>
  <c r="E522" i="9"/>
  <c r="I522" i="9" s="1"/>
  <c r="D522" i="9"/>
  <c r="C522" i="9"/>
  <c r="B522" i="9"/>
  <c r="A522" i="9"/>
  <c r="H521" i="9"/>
  <c r="G521" i="9"/>
  <c r="F521" i="9"/>
  <c r="J521" i="9" s="1"/>
  <c r="E521" i="9"/>
  <c r="D521" i="9"/>
  <c r="C521" i="9"/>
  <c r="B521" i="9"/>
  <c r="A521" i="9"/>
  <c r="H520" i="9"/>
  <c r="G520" i="9"/>
  <c r="I520" i="9" s="1"/>
  <c r="F520" i="9"/>
  <c r="J520" i="9" s="1"/>
  <c r="E520" i="9"/>
  <c r="D520" i="9"/>
  <c r="C520" i="9"/>
  <c r="B520" i="9"/>
  <c r="A520" i="9"/>
  <c r="H519" i="9"/>
  <c r="G519" i="9"/>
  <c r="I519" i="9" s="1"/>
  <c r="F519" i="9"/>
  <c r="J519" i="9" s="1"/>
  <c r="E519" i="9"/>
  <c r="D519" i="9"/>
  <c r="C519" i="9"/>
  <c r="B519" i="9"/>
  <c r="A519" i="9"/>
  <c r="H518" i="9"/>
  <c r="G518" i="9"/>
  <c r="F518" i="9"/>
  <c r="J518" i="9" s="1"/>
  <c r="E518" i="9"/>
  <c r="D518" i="9"/>
  <c r="C518" i="9"/>
  <c r="B518" i="9"/>
  <c r="A518" i="9"/>
  <c r="J517" i="9"/>
  <c r="H517" i="9"/>
  <c r="G517" i="9"/>
  <c r="I517" i="9" s="1"/>
  <c r="F517" i="9"/>
  <c r="E517" i="9"/>
  <c r="D517" i="9"/>
  <c r="C517" i="9"/>
  <c r="B517" i="9"/>
  <c r="A517" i="9"/>
  <c r="H516" i="9"/>
  <c r="G516" i="9"/>
  <c r="F516" i="9"/>
  <c r="J516" i="9" s="1"/>
  <c r="E516" i="9"/>
  <c r="D516" i="9"/>
  <c r="C516" i="9"/>
  <c r="B516" i="9"/>
  <c r="A516" i="9"/>
  <c r="H515" i="9"/>
  <c r="G515" i="9"/>
  <c r="I515" i="9" s="1"/>
  <c r="F515" i="9"/>
  <c r="J515" i="9" s="1"/>
  <c r="E515" i="9"/>
  <c r="D515" i="9"/>
  <c r="C515" i="9"/>
  <c r="B515" i="9"/>
  <c r="A515" i="9"/>
  <c r="H514" i="9"/>
  <c r="G514" i="9"/>
  <c r="F514" i="9"/>
  <c r="J514" i="9" s="1"/>
  <c r="E514" i="9"/>
  <c r="D514" i="9"/>
  <c r="C514" i="9"/>
  <c r="B514" i="9"/>
  <c r="A514" i="9"/>
  <c r="J513" i="9"/>
  <c r="H513" i="9"/>
  <c r="G513" i="9"/>
  <c r="I513" i="9" s="1"/>
  <c r="F513" i="9"/>
  <c r="E513" i="9"/>
  <c r="D513" i="9"/>
  <c r="C513" i="9"/>
  <c r="B513" i="9"/>
  <c r="A513" i="9"/>
  <c r="H512" i="9"/>
  <c r="G512" i="9"/>
  <c r="F512" i="9"/>
  <c r="J512" i="9" s="1"/>
  <c r="E512" i="9"/>
  <c r="D512" i="9"/>
  <c r="C512" i="9"/>
  <c r="B512" i="9"/>
  <c r="A512" i="9"/>
  <c r="H511" i="9"/>
  <c r="G511" i="9"/>
  <c r="F511" i="9"/>
  <c r="J511" i="9" s="1"/>
  <c r="E511" i="9"/>
  <c r="D511" i="9"/>
  <c r="C511" i="9"/>
  <c r="B511" i="9"/>
  <c r="A511" i="9"/>
  <c r="J510" i="9"/>
  <c r="H510" i="9"/>
  <c r="G510" i="9"/>
  <c r="F510" i="9"/>
  <c r="E510" i="9"/>
  <c r="I510" i="9" s="1"/>
  <c r="D510" i="9"/>
  <c r="C510" i="9"/>
  <c r="B510" i="9"/>
  <c r="A510" i="9"/>
  <c r="H509" i="9"/>
  <c r="G509" i="9"/>
  <c r="F509" i="9"/>
  <c r="J509" i="9" s="1"/>
  <c r="E509" i="9"/>
  <c r="D509" i="9"/>
  <c r="C509" i="9"/>
  <c r="B509" i="9"/>
  <c r="A509" i="9"/>
  <c r="H508" i="9"/>
  <c r="G508" i="9"/>
  <c r="F508" i="9"/>
  <c r="J508" i="9" s="1"/>
  <c r="E508" i="9"/>
  <c r="D508" i="9"/>
  <c r="C508" i="9"/>
  <c r="B508" i="9"/>
  <c r="A508" i="9"/>
  <c r="H507" i="9"/>
  <c r="G507" i="9"/>
  <c r="F507" i="9"/>
  <c r="J507" i="9" s="1"/>
  <c r="E507" i="9"/>
  <c r="D507" i="9"/>
  <c r="C507" i="9"/>
  <c r="B507" i="9"/>
  <c r="A507" i="9"/>
  <c r="J506" i="9"/>
  <c r="H506" i="9"/>
  <c r="G506" i="9"/>
  <c r="F506" i="9"/>
  <c r="E506" i="9"/>
  <c r="D506" i="9"/>
  <c r="C506" i="9"/>
  <c r="B506" i="9"/>
  <c r="A506" i="9"/>
  <c r="H505" i="9"/>
  <c r="G505" i="9"/>
  <c r="F505" i="9"/>
  <c r="J505" i="9" s="1"/>
  <c r="E505" i="9"/>
  <c r="D505" i="9"/>
  <c r="C505" i="9"/>
  <c r="B505" i="9"/>
  <c r="A505" i="9"/>
  <c r="I504" i="9"/>
  <c r="H504" i="9"/>
  <c r="G504" i="9"/>
  <c r="F504" i="9"/>
  <c r="J504" i="9" s="1"/>
  <c r="E504" i="9"/>
  <c r="D504" i="9"/>
  <c r="C504" i="9"/>
  <c r="B504" i="9"/>
  <c r="A504" i="9"/>
  <c r="H503" i="9"/>
  <c r="G503" i="9"/>
  <c r="I503" i="9" s="1"/>
  <c r="F503" i="9"/>
  <c r="J503" i="9" s="1"/>
  <c r="E503" i="9"/>
  <c r="D503" i="9"/>
  <c r="C503" i="9"/>
  <c r="B503" i="9"/>
  <c r="A503" i="9"/>
  <c r="H502" i="9"/>
  <c r="G502" i="9"/>
  <c r="F502" i="9"/>
  <c r="J502" i="9" s="1"/>
  <c r="E502" i="9"/>
  <c r="D502" i="9"/>
  <c r="C502" i="9"/>
  <c r="B502" i="9"/>
  <c r="A502" i="9"/>
  <c r="J501" i="9"/>
  <c r="H501" i="9"/>
  <c r="G501" i="9"/>
  <c r="I501" i="9" s="1"/>
  <c r="F501" i="9"/>
  <c r="E501" i="9"/>
  <c r="D501" i="9"/>
  <c r="C501" i="9"/>
  <c r="B501" i="9"/>
  <c r="A501" i="9"/>
  <c r="H500" i="9"/>
  <c r="G500" i="9"/>
  <c r="F500" i="9"/>
  <c r="J500" i="9" s="1"/>
  <c r="E500" i="9"/>
  <c r="D500" i="9"/>
  <c r="C500" i="9"/>
  <c r="B500" i="9"/>
  <c r="A500" i="9"/>
  <c r="H499" i="9"/>
  <c r="G499" i="9"/>
  <c r="I499" i="9" s="1"/>
  <c r="F499" i="9"/>
  <c r="J499" i="9" s="1"/>
  <c r="E499" i="9"/>
  <c r="D499" i="9"/>
  <c r="C499" i="9"/>
  <c r="B499" i="9"/>
  <c r="A499" i="9"/>
  <c r="J498" i="9"/>
  <c r="H498" i="9"/>
  <c r="G498" i="9"/>
  <c r="F498" i="9"/>
  <c r="E498" i="9"/>
  <c r="I498" i="9" s="1"/>
  <c r="D498" i="9"/>
  <c r="C498" i="9"/>
  <c r="B498" i="9"/>
  <c r="A498" i="9"/>
  <c r="H497" i="9"/>
  <c r="G497" i="9"/>
  <c r="F497" i="9"/>
  <c r="J497" i="9" s="1"/>
  <c r="E497" i="9"/>
  <c r="D497" i="9"/>
  <c r="C497" i="9"/>
  <c r="B497" i="9"/>
  <c r="A497" i="9"/>
  <c r="H496" i="9"/>
  <c r="G496" i="9"/>
  <c r="F496" i="9"/>
  <c r="J496" i="9" s="1"/>
  <c r="E496" i="9"/>
  <c r="D496" i="9"/>
  <c r="C496" i="9"/>
  <c r="B496" i="9"/>
  <c r="A496" i="9"/>
  <c r="H495" i="9"/>
  <c r="G495" i="9"/>
  <c r="F495" i="9"/>
  <c r="J495" i="9" s="1"/>
  <c r="E495" i="9"/>
  <c r="D495" i="9"/>
  <c r="C495" i="9"/>
  <c r="B495" i="9"/>
  <c r="A495" i="9"/>
  <c r="J494" i="9"/>
  <c r="H494" i="9"/>
  <c r="G494" i="9"/>
  <c r="F494" i="9"/>
  <c r="E494" i="9"/>
  <c r="D494" i="9"/>
  <c r="C494" i="9"/>
  <c r="B494" i="9"/>
  <c r="A494" i="9"/>
  <c r="H493" i="9"/>
  <c r="G493" i="9"/>
  <c r="F493" i="9"/>
  <c r="J493" i="9" s="1"/>
  <c r="E493" i="9"/>
  <c r="D493" i="9"/>
  <c r="C493" i="9"/>
  <c r="B493" i="9"/>
  <c r="A493" i="9"/>
  <c r="H492" i="9"/>
  <c r="G492" i="9"/>
  <c r="F492" i="9"/>
  <c r="J492" i="9" s="1"/>
  <c r="E492" i="9"/>
  <c r="D492" i="9"/>
  <c r="C492" i="9"/>
  <c r="B492" i="9"/>
  <c r="A492" i="9"/>
  <c r="H491" i="9"/>
  <c r="G491" i="9"/>
  <c r="F491" i="9"/>
  <c r="J491" i="9" s="1"/>
  <c r="E491" i="9"/>
  <c r="D491" i="9"/>
  <c r="C491" i="9"/>
  <c r="B491" i="9"/>
  <c r="A491" i="9"/>
  <c r="J490" i="9"/>
  <c r="H490" i="9"/>
  <c r="G490" i="9"/>
  <c r="I490" i="9" s="1"/>
  <c r="F490" i="9"/>
  <c r="E490" i="9"/>
  <c r="D490" i="9"/>
  <c r="C490" i="9"/>
  <c r="B490" i="9"/>
  <c r="A490" i="9"/>
  <c r="J489" i="9"/>
  <c r="H489" i="9"/>
  <c r="G489" i="9"/>
  <c r="I489" i="9" s="1"/>
  <c r="F489" i="9"/>
  <c r="E489" i="9"/>
  <c r="D489" i="9"/>
  <c r="C489" i="9"/>
  <c r="B489" i="9"/>
  <c r="A489" i="9"/>
  <c r="H488" i="9"/>
  <c r="G488" i="9"/>
  <c r="F488" i="9"/>
  <c r="J488" i="9" s="1"/>
  <c r="E488" i="9"/>
  <c r="D488" i="9"/>
  <c r="C488" i="9"/>
  <c r="B488" i="9"/>
  <c r="A488" i="9"/>
  <c r="H487" i="9"/>
  <c r="G487" i="9"/>
  <c r="I487" i="9" s="1"/>
  <c r="F487" i="9"/>
  <c r="J487" i="9" s="1"/>
  <c r="E487" i="9"/>
  <c r="D487" i="9"/>
  <c r="C487" i="9"/>
  <c r="B487" i="9"/>
  <c r="A487" i="9"/>
  <c r="H486" i="9"/>
  <c r="G486" i="9"/>
  <c r="F486" i="9"/>
  <c r="J486" i="9" s="1"/>
  <c r="E486" i="9"/>
  <c r="D486" i="9"/>
  <c r="C486" i="9"/>
  <c r="B486" i="9"/>
  <c r="A486" i="9"/>
  <c r="J485" i="9"/>
  <c r="H485" i="9"/>
  <c r="G485" i="9"/>
  <c r="F485" i="9"/>
  <c r="E485" i="9"/>
  <c r="D485" i="9"/>
  <c r="C485" i="9"/>
  <c r="B485" i="9"/>
  <c r="A485" i="9"/>
  <c r="H484" i="9"/>
  <c r="G484" i="9"/>
  <c r="F484" i="9"/>
  <c r="J484" i="9" s="1"/>
  <c r="E484" i="9"/>
  <c r="I484" i="9" s="1"/>
  <c r="D484" i="9"/>
  <c r="C484" i="9"/>
  <c r="B484" i="9"/>
  <c r="A484" i="9"/>
  <c r="H483" i="9"/>
  <c r="G483" i="9"/>
  <c r="F483" i="9"/>
  <c r="J483" i="9" s="1"/>
  <c r="E483" i="9"/>
  <c r="D483" i="9"/>
  <c r="C483" i="9"/>
  <c r="B483" i="9"/>
  <c r="A483" i="9"/>
  <c r="H482" i="9"/>
  <c r="G482" i="9"/>
  <c r="I482" i="9" s="1"/>
  <c r="F482" i="9"/>
  <c r="J482" i="9" s="1"/>
  <c r="E482" i="9"/>
  <c r="D482" i="9"/>
  <c r="C482" i="9"/>
  <c r="B482" i="9"/>
  <c r="A482" i="9"/>
  <c r="H481" i="9"/>
  <c r="G481" i="9"/>
  <c r="F481" i="9"/>
  <c r="J481" i="9" s="1"/>
  <c r="E481" i="9"/>
  <c r="D481" i="9"/>
  <c r="C481" i="9"/>
  <c r="B481" i="9"/>
  <c r="A481" i="9"/>
  <c r="H480" i="9"/>
  <c r="G480" i="9"/>
  <c r="F480" i="9"/>
  <c r="J480" i="9" s="1"/>
  <c r="E480" i="9"/>
  <c r="D480" i="9"/>
  <c r="C480" i="9"/>
  <c r="B480" i="9"/>
  <c r="A480" i="9"/>
  <c r="H479" i="9"/>
  <c r="G479" i="9"/>
  <c r="F479" i="9"/>
  <c r="J479" i="9" s="1"/>
  <c r="E479" i="9"/>
  <c r="D479" i="9"/>
  <c r="C479" i="9"/>
  <c r="B479" i="9"/>
  <c r="A479" i="9"/>
  <c r="J478" i="9"/>
  <c r="H478" i="9"/>
  <c r="G478" i="9"/>
  <c r="F478" i="9"/>
  <c r="E478" i="9"/>
  <c r="D478" i="9"/>
  <c r="C478" i="9"/>
  <c r="B478" i="9"/>
  <c r="A478" i="9"/>
  <c r="H477" i="9"/>
  <c r="G477" i="9"/>
  <c r="F477" i="9"/>
  <c r="J477" i="9" s="1"/>
  <c r="E477" i="9"/>
  <c r="D477" i="9"/>
  <c r="C477" i="9"/>
  <c r="B477" i="9"/>
  <c r="A477" i="9"/>
  <c r="H476" i="9"/>
  <c r="G476" i="9"/>
  <c r="F476" i="9"/>
  <c r="J476" i="9" s="1"/>
  <c r="E476" i="9"/>
  <c r="D476" i="9"/>
  <c r="C476" i="9"/>
  <c r="B476" i="9"/>
  <c r="A476" i="9"/>
  <c r="H475" i="9"/>
  <c r="G475" i="9"/>
  <c r="F475" i="9"/>
  <c r="J475" i="9" s="1"/>
  <c r="E475" i="9"/>
  <c r="D475" i="9"/>
  <c r="C475" i="9"/>
  <c r="B475" i="9"/>
  <c r="A475" i="9"/>
  <c r="J474" i="9"/>
  <c r="H474" i="9"/>
  <c r="G474" i="9"/>
  <c r="F474" i="9"/>
  <c r="I474" i="9" s="1"/>
  <c r="E474" i="9"/>
  <c r="D474" i="9"/>
  <c r="C474" i="9"/>
  <c r="B474" i="9"/>
  <c r="A474" i="9"/>
  <c r="J473" i="9"/>
  <c r="H473" i="9"/>
  <c r="G473" i="9"/>
  <c r="F473" i="9"/>
  <c r="E473" i="9"/>
  <c r="D473" i="9"/>
  <c r="C473" i="9"/>
  <c r="B473" i="9"/>
  <c r="A473" i="9"/>
  <c r="H472" i="9"/>
  <c r="G472" i="9"/>
  <c r="F472" i="9"/>
  <c r="J472" i="9" s="1"/>
  <c r="E472" i="9"/>
  <c r="I472" i="9" s="1"/>
  <c r="D472" i="9"/>
  <c r="C472" i="9"/>
  <c r="B472" i="9"/>
  <c r="A472" i="9"/>
  <c r="H471" i="9"/>
  <c r="G471" i="9"/>
  <c r="F471" i="9"/>
  <c r="J471" i="9" s="1"/>
  <c r="E471" i="9"/>
  <c r="D471" i="9"/>
  <c r="C471" i="9"/>
  <c r="B471" i="9"/>
  <c r="A471" i="9"/>
  <c r="H470" i="9"/>
  <c r="G470" i="9"/>
  <c r="F470" i="9"/>
  <c r="J470" i="9" s="1"/>
  <c r="E470" i="9"/>
  <c r="D470" i="9"/>
  <c r="C470" i="9"/>
  <c r="B470" i="9"/>
  <c r="A470" i="9"/>
  <c r="J469" i="9"/>
  <c r="H469" i="9"/>
  <c r="G469" i="9"/>
  <c r="F469" i="9"/>
  <c r="E469" i="9"/>
  <c r="D469" i="9"/>
  <c r="C469" i="9"/>
  <c r="B469" i="9"/>
  <c r="A469" i="9"/>
  <c r="H468" i="9"/>
  <c r="G468" i="9"/>
  <c r="F468" i="9"/>
  <c r="J468" i="9" s="1"/>
  <c r="E468" i="9"/>
  <c r="I468" i="9" s="1"/>
  <c r="D468" i="9"/>
  <c r="C468" i="9"/>
  <c r="B468" i="9"/>
  <c r="A468" i="9"/>
  <c r="H467" i="9"/>
  <c r="G467" i="9"/>
  <c r="F467" i="9"/>
  <c r="J467" i="9" s="1"/>
  <c r="E467" i="9"/>
  <c r="D467" i="9"/>
  <c r="C467" i="9"/>
  <c r="B467" i="9"/>
  <c r="A467" i="9"/>
  <c r="H466" i="9"/>
  <c r="G466" i="9"/>
  <c r="I466" i="9" s="1"/>
  <c r="F466" i="9"/>
  <c r="J466" i="9" s="1"/>
  <c r="E466" i="9"/>
  <c r="D466" i="9"/>
  <c r="C466" i="9"/>
  <c r="B466" i="9"/>
  <c r="A466" i="9"/>
  <c r="H465" i="9"/>
  <c r="G465" i="9"/>
  <c r="F465" i="9"/>
  <c r="J465" i="9" s="1"/>
  <c r="E465" i="9"/>
  <c r="D465" i="9"/>
  <c r="C465" i="9"/>
  <c r="B465" i="9"/>
  <c r="A465" i="9"/>
  <c r="H464" i="9"/>
  <c r="G464" i="9"/>
  <c r="F464" i="9"/>
  <c r="J464" i="9" s="1"/>
  <c r="E464" i="9"/>
  <c r="D464" i="9"/>
  <c r="C464" i="9"/>
  <c r="B464" i="9"/>
  <c r="A464" i="9"/>
  <c r="H463" i="9"/>
  <c r="G463" i="9"/>
  <c r="F463" i="9"/>
  <c r="J463" i="9" s="1"/>
  <c r="E463" i="9"/>
  <c r="D463" i="9"/>
  <c r="C463" i="9"/>
  <c r="B463" i="9"/>
  <c r="A463" i="9"/>
  <c r="J462" i="9"/>
  <c r="H462" i="9"/>
  <c r="G462" i="9"/>
  <c r="F462" i="9"/>
  <c r="E462" i="9"/>
  <c r="D462" i="9"/>
  <c r="C462" i="9"/>
  <c r="B462" i="9"/>
  <c r="A462" i="9"/>
  <c r="H461" i="9"/>
  <c r="G461" i="9"/>
  <c r="F461" i="9"/>
  <c r="J461" i="9" s="1"/>
  <c r="E461" i="9"/>
  <c r="D461" i="9"/>
  <c r="C461" i="9"/>
  <c r="B461" i="9"/>
  <c r="A461" i="9"/>
  <c r="H460" i="9"/>
  <c r="G460" i="9"/>
  <c r="F460" i="9"/>
  <c r="J460" i="9" s="1"/>
  <c r="E460" i="9"/>
  <c r="D460" i="9"/>
  <c r="C460" i="9"/>
  <c r="B460" i="9"/>
  <c r="A460" i="9"/>
  <c r="H459" i="9"/>
  <c r="G459" i="9"/>
  <c r="F459" i="9"/>
  <c r="J459" i="9" s="1"/>
  <c r="E459" i="9"/>
  <c r="D459" i="9"/>
  <c r="C459" i="9"/>
  <c r="B459" i="9"/>
  <c r="A459" i="9"/>
  <c r="J458" i="9"/>
  <c r="H458" i="9"/>
  <c r="G458" i="9"/>
  <c r="I458" i="9" s="1"/>
  <c r="F458" i="9"/>
  <c r="E458" i="9"/>
  <c r="D458" i="9"/>
  <c r="C458" i="9"/>
  <c r="B458" i="9"/>
  <c r="A458" i="9"/>
  <c r="J457" i="9"/>
  <c r="H457" i="9"/>
  <c r="G457" i="9"/>
  <c r="F457" i="9"/>
  <c r="E457" i="9"/>
  <c r="D457" i="9"/>
  <c r="C457" i="9"/>
  <c r="B457" i="9"/>
  <c r="A457" i="9"/>
  <c r="H456" i="9"/>
  <c r="G456" i="9"/>
  <c r="F456" i="9"/>
  <c r="J456" i="9" s="1"/>
  <c r="E456" i="9"/>
  <c r="I456" i="9" s="1"/>
  <c r="D456" i="9"/>
  <c r="C456" i="9"/>
  <c r="B456" i="9"/>
  <c r="A456" i="9"/>
  <c r="H455" i="9"/>
  <c r="G455" i="9"/>
  <c r="F455" i="9"/>
  <c r="J455" i="9" s="1"/>
  <c r="E455" i="9"/>
  <c r="D455" i="9"/>
  <c r="C455" i="9"/>
  <c r="B455" i="9"/>
  <c r="A455" i="9"/>
  <c r="H454" i="9"/>
  <c r="G454" i="9"/>
  <c r="F454" i="9"/>
  <c r="J454" i="9" s="1"/>
  <c r="E454" i="9"/>
  <c r="D454" i="9"/>
  <c r="C454" i="9"/>
  <c r="B454" i="9"/>
  <c r="A454" i="9"/>
  <c r="J453" i="9"/>
  <c r="H453" i="9"/>
  <c r="G453" i="9"/>
  <c r="I453" i="9" s="1"/>
  <c r="F453" i="9"/>
  <c r="E453" i="9"/>
  <c r="D453" i="9"/>
  <c r="C453" i="9"/>
  <c r="B453" i="9"/>
  <c r="A453" i="9"/>
  <c r="H452" i="9"/>
  <c r="G452" i="9"/>
  <c r="F452" i="9"/>
  <c r="J452" i="9" s="1"/>
  <c r="E452" i="9"/>
  <c r="D452" i="9"/>
  <c r="C452" i="9"/>
  <c r="B452" i="9"/>
  <c r="A452" i="9"/>
  <c r="H451" i="9"/>
  <c r="G451" i="9"/>
  <c r="I451" i="9" s="1"/>
  <c r="F451" i="9"/>
  <c r="J451" i="9" s="1"/>
  <c r="E451" i="9"/>
  <c r="D451" i="9"/>
  <c r="C451" i="9"/>
  <c r="B451" i="9"/>
  <c r="A451" i="9"/>
  <c r="J450" i="9"/>
  <c r="H450" i="9"/>
  <c r="G450" i="9"/>
  <c r="F450" i="9"/>
  <c r="E450" i="9"/>
  <c r="I450" i="9" s="1"/>
  <c r="D450" i="9"/>
  <c r="C450" i="9"/>
  <c r="B450" i="9"/>
  <c r="A450" i="9"/>
  <c r="H449" i="9"/>
  <c r="G449" i="9"/>
  <c r="F449" i="9"/>
  <c r="J449" i="9" s="1"/>
  <c r="E449" i="9"/>
  <c r="D449" i="9"/>
  <c r="C449" i="9"/>
  <c r="B449" i="9"/>
  <c r="A449" i="9"/>
  <c r="H448" i="9"/>
  <c r="G448" i="9"/>
  <c r="F448" i="9"/>
  <c r="J448" i="9" s="1"/>
  <c r="E448" i="9"/>
  <c r="D448" i="9"/>
  <c r="C448" i="9"/>
  <c r="B448" i="9"/>
  <c r="A448" i="9"/>
  <c r="H447" i="9"/>
  <c r="G447" i="9"/>
  <c r="F447" i="9"/>
  <c r="J447" i="9" s="1"/>
  <c r="E447" i="9"/>
  <c r="D447" i="9"/>
  <c r="C447" i="9"/>
  <c r="B447" i="9"/>
  <c r="A447" i="9"/>
  <c r="J446" i="9"/>
  <c r="H446" i="9"/>
  <c r="G446" i="9"/>
  <c r="F446" i="9"/>
  <c r="E446" i="9"/>
  <c r="D446" i="9"/>
  <c r="C446" i="9"/>
  <c r="B446" i="9"/>
  <c r="A446" i="9"/>
  <c r="H445" i="9"/>
  <c r="G445" i="9"/>
  <c r="F445" i="9"/>
  <c r="J445" i="9" s="1"/>
  <c r="E445" i="9"/>
  <c r="D445" i="9"/>
  <c r="C445" i="9"/>
  <c r="B445" i="9"/>
  <c r="A445" i="9"/>
  <c r="H444" i="9"/>
  <c r="G444" i="9"/>
  <c r="F444" i="9"/>
  <c r="J444" i="9" s="1"/>
  <c r="E444" i="9"/>
  <c r="D444" i="9"/>
  <c r="C444" i="9"/>
  <c r="B444" i="9"/>
  <c r="A444" i="9"/>
  <c r="H443" i="9"/>
  <c r="G443" i="9"/>
  <c r="F443" i="9"/>
  <c r="J443" i="9" s="1"/>
  <c r="E443" i="9"/>
  <c r="D443" i="9"/>
  <c r="C443" i="9"/>
  <c r="B443" i="9"/>
  <c r="A443" i="9"/>
  <c r="H442" i="9"/>
  <c r="G442" i="9"/>
  <c r="F442" i="9"/>
  <c r="J442" i="9" s="1"/>
  <c r="E442" i="9"/>
  <c r="D442" i="9"/>
  <c r="C442" i="9"/>
  <c r="B442" i="9"/>
  <c r="A442" i="9"/>
  <c r="J441" i="9"/>
  <c r="H441" i="9"/>
  <c r="G441" i="9"/>
  <c r="I441" i="9" s="1"/>
  <c r="F441" i="9"/>
  <c r="E441" i="9"/>
  <c r="D441" i="9"/>
  <c r="C441" i="9"/>
  <c r="B441" i="9"/>
  <c r="A441" i="9"/>
  <c r="H440" i="9"/>
  <c r="G440" i="9"/>
  <c r="F440" i="9"/>
  <c r="J440" i="9" s="1"/>
  <c r="E440" i="9"/>
  <c r="I440" i="9" s="1"/>
  <c r="D440" i="9"/>
  <c r="C440" i="9"/>
  <c r="B440" i="9"/>
  <c r="A440" i="9"/>
  <c r="H439" i="9"/>
  <c r="G439" i="9"/>
  <c r="F439" i="9"/>
  <c r="J439" i="9" s="1"/>
  <c r="E439" i="9"/>
  <c r="D439" i="9"/>
  <c r="C439" i="9"/>
  <c r="B439" i="9"/>
  <c r="A439" i="9"/>
  <c r="H438" i="9"/>
  <c r="G438" i="9"/>
  <c r="F438" i="9"/>
  <c r="J438" i="9" s="1"/>
  <c r="E438" i="9"/>
  <c r="D438" i="9"/>
  <c r="C438" i="9"/>
  <c r="B438" i="9"/>
  <c r="A438" i="9"/>
  <c r="J437" i="9"/>
  <c r="H437" i="9"/>
  <c r="G437" i="9"/>
  <c r="F437" i="9"/>
  <c r="E437" i="9"/>
  <c r="D437" i="9"/>
  <c r="C437" i="9"/>
  <c r="B437" i="9"/>
  <c r="A437" i="9"/>
  <c r="H436" i="9"/>
  <c r="G436" i="9"/>
  <c r="F436" i="9"/>
  <c r="J436" i="9" s="1"/>
  <c r="E436" i="9"/>
  <c r="D436" i="9"/>
  <c r="C436" i="9"/>
  <c r="B436" i="9"/>
  <c r="A436" i="9"/>
  <c r="H435" i="9"/>
  <c r="G435" i="9"/>
  <c r="F435" i="9"/>
  <c r="J435" i="9" s="1"/>
  <c r="E435" i="9"/>
  <c r="D435" i="9"/>
  <c r="C435" i="9"/>
  <c r="B435" i="9"/>
  <c r="A435" i="9"/>
  <c r="J434" i="9"/>
  <c r="H434" i="9"/>
  <c r="G434" i="9"/>
  <c r="I434" i="9" s="1"/>
  <c r="F434" i="9"/>
  <c r="E434" i="9"/>
  <c r="D434" i="9"/>
  <c r="C434" i="9"/>
  <c r="B434" i="9"/>
  <c r="A434" i="9"/>
  <c r="H433" i="9"/>
  <c r="G433" i="9"/>
  <c r="F433" i="9"/>
  <c r="J433" i="9" s="1"/>
  <c r="E433" i="9"/>
  <c r="D433" i="9"/>
  <c r="C433" i="9"/>
  <c r="B433" i="9"/>
  <c r="A433" i="9"/>
  <c r="H432" i="9"/>
  <c r="G432" i="9"/>
  <c r="F432" i="9"/>
  <c r="J432" i="9" s="1"/>
  <c r="E432" i="9"/>
  <c r="D432" i="9"/>
  <c r="C432" i="9"/>
  <c r="B432" i="9"/>
  <c r="A432" i="9"/>
  <c r="H431" i="9"/>
  <c r="G431" i="9"/>
  <c r="F431" i="9"/>
  <c r="J431" i="9" s="1"/>
  <c r="E431" i="9"/>
  <c r="D431" i="9"/>
  <c r="C431" i="9"/>
  <c r="B431" i="9"/>
  <c r="A431" i="9"/>
  <c r="J430" i="9"/>
  <c r="H430" i="9"/>
  <c r="G430" i="9"/>
  <c r="F430" i="9"/>
  <c r="E430" i="9"/>
  <c r="I430" i="9" s="1"/>
  <c r="D430" i="9"/>
  <c r="C430" i="9"/>
  <c r="B430" i="9"/>
  <c r="A430" i="9"/>
  <c r="H429" i="9"/>
  <c r="G429" i="9"/>
  <c r="F429" i="9"/>
  <c r="J429" i="9" s="1"/>
  <c r="E429" i="9"/>
  <c r="D429" i="9"/>
  <c r="C429" i="9"/>
  <c r="B429" i="9"/>
  <c r="A429" i="9"/>
  <c r="H428" i="9"/>
  <c r="G428" i="9"/>
  <c r="F428" i="9"/>
  <c r="J428" i="9" s="1"/>
  <c r="E428" i="9"/>
  <c r="D428" i="9"/>
  <c r="C428" i="9"/>
  <c r="B428" i="9"/>
  <c r="A428" i="9"/>
  <c r="H427" i="9"/>
  <c r="G427" i="9"/>
  <c r="F427" i="9"/>
  <c r="J427" i="9" s="1"/>
  <c r="E427" i="9"/>
  <c r="D427" i="9"/>
  <c r="C427" i="9"/>
  <c r="B427" i="9"/>
  <c r="A427" i="9"/>
  <c r="H426" i="9"/>
  <c r="G426" i="9"/>
  <c r="F426" i="9"/>
  <c r="J426" i="9" s="1"/>
  <c r="E426" i="9"/>
  <c r="D426" i="9"/>
  <c r="C426" i="9"/>
  <c r="B426" i="9"/>
  <c r="A426" i="9"/>
  <c r="J425" i="9"/>
  <c r="H425" i="9"/>
  <c r="G425" i="9"/>
  <c r="I425" i="9" s="1"/>
  <c r="F425" i="9"/>
  <c r="E425" i="9"/>
  <c r="D425" i="9"/>
  <c r="C425" i="9"/>
  <c r="B425" i="9"/>
  <c r="A425" i="9"/>
  <c r="H424" i="9"/>
  <c r="G424" i="9"/>
  <c r="F424" i="9"/>
  <c r="J424" i="9" s="1"/>
  <c r="E424" i="9"/>
  <c r="D424" i="9"/>
  <c r="C424" i="9"/>
  <c r="B424" i="9"/>
  <c r="A424" i="9"/>
  <c r="H423" i="9"/>
  <c r="G423" i="9"/>
  <c r="I423" i="9" s="1"/>
  <c r="F423" i="9"/>
  <c r="J423" i="9" s="1"/>
  <c r="E423" i="9"/>
  <c r="D423" i="9"/>
  <c r="C423" i="9"/>
  <c r="B423" i="9"/>
  <c r="A423" i="9"/>
  <c r="H422" i="9"/>
  <c r="G422" i="9"/>
  <c r="F422" i="9"/>
  <c r="J422" i="9" s="1"/>
  <c r="E422" i="9"/>
  <c r="D422" i="9"/>
  <c r="C422" i="9"/>
  <c r="B422" i="9"/>
  <c r="A422" i="9"/>
  <c r="J421" i="9"/>
  <c r="H421" i="9"/>
  <c r="G421" i="9"/>
  <c r="I421" i="9" s="1"/>
  <c r="F421" i="9"/>
  <c r="E421" i="9"/>
  <c r="D421" i="9"/>
  <c r="C421" i="9"/>
  <c r="B421" i="9"/>
  <c r="A421" i="9"/>
  <c r="H420" i="9"/>
  <c r="G420" i="9"/>
  <c r="F420" i="9"/>
  <c r="J420" i="9" s="1"/>
  <c r="E420" i="9"/>
  <c r="D420" i="9"/>
  <c r="C420" i="9"/>
  <c r="B420" i="9"/>
  <c r="A420" i="9"/>
  <c r="H419" i="9"/>
  <c r="G419" i="9"/>
  <c r="I419" i="9" s="1"/>
  <c r="F419" i="9"/>
  <c r="J419" i="9" s="1"/>
  <c r="E419" i="9"/>
  <c r="D419" i="9"/>
  <c r="C419" i="9"/>
  <c r="B419" i="9"/>
  <c r="A419" i="9"/>
  <c r="I418" i="9"/>
  <c r="H418" i="9"/>
  <c r="G418" i="9"/>
  <c r="F418" i="9"/>
  <c r="J418" i="9" s="1"/>
  <c r="E418" i="9"/>
  <c r="D418" i="9"/>
  <c r="C418" i="9"/>
  <c r="B418" i="9"/>
  <c r="A418" i="9"/>
  <c r="H417" i="9"/>
  <c r="G417" i="9"/>
  <c r="F417" i="9"/>
  <c r="J417" i="9" s="1"/>
  <c r="E417" i="9"/>
  <c r="D417" i="9"/>
  <c r="C417" i="9"/>
  <c r="B417" i="9"/>
  <c r="A417" i="9"/>
  <c r="H416" i="9"/>
  <c r="G416" i="9"/>
  <c r="F416" i="9"/>
  <c r="J416" i="9" s="1"/>
  <c r="E416" i="9"/>
  <c r="D416" i="9"/>
  <c r="C416" i="9"/>
  <c r="B416" i="9"/>
  <c r="A416" i="9"/>
  <c r="H415" i="9"/>
  <c r="G415" i="9"/>
  <c r="F415" i="9"/>
  <c r="J415" i="9" s="1"/>
  <c r="E415" i="9"/>
  <c r="D415" i="9"/>
  <c r="C415" i="9"/>
  <c r="B415" i="9"/>
  <c r="A415" i="9"/>
  <c r="J414" i="9"/>
  <c r="H414" i="9"/>
  <c r="G414" i="9"/>
  <c r="F414" i="9"/>
  <c r="E414" i="9"/>
  <c r="D414" i="9"/>
  <c r="C414" i="9"/>
  <c r="B414" i="9"/>
  <c r="A414" i="9"/>
  <c r="H413" i="9"/>
  <c r="G413" i="9"/>
  <c r="I413" i="9" s="1"/>
  <c r="F413" i="9"/>
  <c r="J413" i="9" s="1"/>
  <c r="E413" i="9"/>
  <c r="D413" i="9"/>
  <c r="C413" i="9"/>
  <c r="B413" i="9"/>
  <c r="A413" i="9"/>
  <c r="H412" i="9"/>
  <c r="G412" i="9"/>
  <c r="F412" i="9"/>
  <c r="J412" i="9" s="1"/>
  <c r="E412" i="9"/>
  <c r="D412" i="9"/>
  <c r="C412" i="9"/>
  <c r="B412" i="9"/>
  <c r="A412" i="9"/>
  <c r="H411" i="9"/>
  <c r="G411" i="9"/>
  <c r="I411" i="9" s="1"/>
  <c r="F411" i="9"/>
  <c r="J411" i="9" s="1"/>
  <c r="E411" i="9"/>
  <c r="D411" i="9"/>
  <c r="C411" i="9"/>
  <c r="B411" i="9"/>
  <c r="A411" i="9"/>
  <c r="H410" i="9"/>
  <c r="G410" i="9"/>
  <c r="F410" i="9"/>
  <c r="J410" i="9" s="1"/>
  <c r="E410" i="9"/>
  <c r="I410" i="9" s="1"/>
  <c r="D410" i="9"/>
  <c r="C410" i="9"/>
  <c r="B410" i="9"/>
  <c r="A410" i="9"/>
  <c r="H409" i="9"/>
  <c r="G409" i="9"/>
  <c r="F409" i="9"/>
  <c r="J409" i="9" s="1"/>
  <c r="E409" i="9"/>
  <c r="D409" i="9"/>
  <c r="C409" i="9"/>
  <c r="B409" i="9"/>
  <c r="A409" i="9"/>
  <c r="H408" i="9"/>
  <c r="G408" i="9"/>
  <c r="F408" i="9"/>
  <c r="J408" i="9" s="1"/>
  <c r="E408" i="9"/>
  <c r="D408" i="9"/>
  <c r="C408" i="9"/>
  <c r="B408" i="9"/>
  <c r="A408" i="9"/>
  <c r="H407" i="9"/>
  <c r="G407" i="9"/>
  <c r="F407" i="9"/>
  <c r="J407" i="9" s="1"/>
  <c r="E407" i="9"/>
  <c r="D407" i="9"/>
  <c r="C407" i="9"/>
  <c r="B407" i="9"/>
  <c r="A407" i="9"/>
  <c r="H406" i="9"/>
  <c r="G406" i="9"/>
  <c r="F406" i="9"/>
  <c r="J406" i="9" s="1"/>
  <c r="E406" i="9"/>
  <c r="D406" i="9"/>
  <c r="C406" i="9"/>
  <c r="B406" i="9"/>
  <c r="A406" i="9"/>
  <c r="J405" i="9"/>
  <c r="H405" i="9"/>
  <c r="G405" i="9"/>
  <c r="I405" i="9" s="1"/>
  <c r="F405" i="9"/>
  <c r="E405" i="9"/>
  <c r="D405" i="9"/>
  <c r="C405" i="9"/>
  <c r="B405" i="9"/>
  <c r="A405" i="9"/>
  <c r="H404" i="9"/>
  <c r="G404" i="9"/>
  <c r="F404" i="9"/>
  <c r="J404" i="9" s="1"/>
  <c r="E404" i="9"/>
  <c r="D404" i="9"/>
  <c r="C404" i="9"/>
  <c r="B404" i="9"/>
  <c r="A404" i="9"/>
  <c r="H403" i="9"/>
  <c r="G403" i="9"/>
  <c r="F403" i="9"/>
  <c r="J403" i="9" s="1"/>
  <c r="E403" i="9"/>
  <c r="D403" i="9"/>
  <c r="C403" i="9"/>
  <c r="B403" i="9"/>
  <c r="A403" i="9"/>
  <c r="H402" i="9"/>
  <c r="G402" i="9"/>
  <c r="F402" i="9"/>
  <c r="J402" i="9" s="1"/>
  <c r="E402" i="9"/>
  <c r="D402" i="9"/>
  <c r="C402" i="9"/>
  <c r="B402" i="9"/>
  <c r="A402" i="9"/>
  <c r="J401" i="9"/>
  <c r="H401" i="9"/>
  <c r="G401" i="9"/>
  <c r="I401" i="9" s="1"/>
  <c r="F401" i="9"/>
  <c r="E401" i="9"/>
  <c r="D401" i="9"/>
  <c r="C401" i="9"/>
  <c r="B401" i="9"/>
  <c r="A401" i="9"/>
  <c r="H400" i="9"/>
  <c r="G400" i="9"/>
  <c r="F400" i="9"/>
  <c r="J400" i="9" s="1"/>
  <c r="E400" i="9"/>
  <c r="D400" i="9"/>
  <c r="C400" i="9"/>
  <c r="B400" i="9"/>
  <c r="A400" i="9"/>
  <c r="H399" i="9"/>
  <c r="G399" i="9"/>
  <c r="F399" i="9"/>
  <c r="J399" i="9" s="1"/>
  <c r="E399" i="9"/>
  <c r="D399" i="9"/>
  <c r="C399" i="9"/>
  <c r="B399" i="9"/>
  <c r="A399" i="9"/>
  <c r="J398" i="9"/>
  <c r="H398" i="9"/>
  <c r="G398" i="9"/>
  <c r="F398" i="9"/>
  <c r="E398" i="9"/>
  <c r="D398" i="9"/>
  <c r="C398" i="9"/>
  <c r="B398" i="9"/>
  <c r="A398" i="9"/>
  <c r="J397" i="9"/>
  <c r="H397" i="9"/>
  <c r="G397" i="9"/>
  <c r="I397" i="9" s="1"/>
  <c r="F397" i="9"/>
  <c r="E397" i="9"/>
  <c r="D397" i="9"/>
  <c r="C397" i="9"/>
  <c r="B397" i="9"/>
  <c r="A397" i="9"/>
  <c r="H396" i="9"/>
  <c r="G396" i="9"/>
  <c r="F396" i="9"/>
  <c r="J396" i="9" s="1"/>
  <c r="E396" i="9"/>
  <c r="D396" i="9"/>
  <c r="C396" i="9"/>
  <c r="B396" i="9"/>
  <c r="A396" i="9"/>
  <c r="H395" i="9"/>
  <c r="G395" i="9"/>
  <c r="F395" i="9"/>
  <c r="J395" i="9" s="1"/>
  <c r="E395" i="9"/>
  <c r="D395" i="9"/>
  <c r="C395" i="9"/>
  <c r="B395" i="9"/>
  <c r="A395" i="9"/>
  <c r="H394" i="9"/>
  <c r="G394" i="9"/>
  <c r="F394" i="9"/>
  <c r="J394" i="9" s="1"/>
  <c r="E394" i="9"/>
  <c r="I394" i="9" s="1"/>
  <c r="D394" i="9"/>
  <c r="C394" i="9"/>
  <c r="B394" i="9"/>
  <c r="A394" i="9"/>
  <c r="H393" i="9"/>
  <c r="G393" i="9"/>
  <c r="I393" i="9" s="1"/>
  <c r="F393" i="9"/>
  <c r="J393" i="9" s="1"/>
  <c r="E393" i="9"/>
  <c r="D393" i="9"/>
  <c r="C393" i="9"/>
  <c r="B393" i="9"/>
  <c r="A393" i="9"/>
  <c r="H392" i="9"/>
  <c r="G392" i="9"/>
  <c r="F392" i="9"/>
  <c r="J392" i="9" s="1"/>
  <c r="E392" i="9"/>
  <c r="D392" i="9"/>
  <c r="C392" i="9"/>
  <c r="B392" i="9"/>
  <c r="A392" i="9"/>
  <c r="H391" i="9"/>
  <c r="G391" i="9"/>
  <c r="I391" i="9" s="1"/>
  <c r="F391" i="9"/>
  <c r="J391" i="9" s="1"/>
  <c r="E391" i="9"/>
  <c r="D391" i="9"/>
  <c r="C391" i="9"/>
  <c r="B391" i="9"/>
  <c r="A391" i="9"/>
  <c r="J390" i="9"/>
  <c r="I390" i="9"/>
  <c r="H390" i="9"/>
  <c r="G390" i="9"/>
  <c r="F390" i="9"/>
  <c r="E390" i="9"/>
  <c r="D390" i="9"/>
  <c r="C390" i="9"/>
  <c r="B390" i="9"/>
  <c r="A390" i="9"/>
  <c r="H389" i="9"/>
  <c r="G389" i="9"/>
  <c r="F389" i="9"/>
  <c r="J389" i="9" s="1"/>
  <c r="E389" i="9"/>
  <c r="D389" i="9"/>
  <c r="C389" i="9"/>
  <c r="B389" i="9"/>
  <c r="A389" i="9"/>
  <c r="H388" i="9"/>
  <c r="G388" i="9"/>
  <c r="I388" i="9" s="1"/>
  <c r="F388" i="9"/>
  <c r="J388" i="9" s="1"/>
  <c r="E388" i="9"/>
  <c r="D388" i="9"/>
  <c r="C388" i="9"/>
  <c r="B388" i="9"/>
  <c r="A388" i="9"/>
  <c r="H387" i="9"/>
  <c r="G387" i="9"/>
  <c r="I387" i="9" s="1"/>
  <c r="F387" i="9"/>
  <c r="J387" i="9" s="1"/>
  <c r="E387" i="9"/>
  <c r="D387" i="9"/>
  <c r="C387" i="9"/>
  <c r="B387" i="9"/>
  <c r="A387" i="9"/>
  <c r="H386" i="9"/>
  <c r="G386" i="9"/>
  <c r="I386" i="9" s="1"/>
  <c r="F386" i="9"/>
  <c r="J386" i="9" s="1"/>
  <c r="E386" i="9"/>
  <c r="D386" i="9"/>
  <c r="C386" i="9"/>
  <c r="B386" i="9"/>
  <c r="A386" i="9"/>
  <c r="J385" i="9"/>
  <c r="H385" i="9"/>
  <c r="G385" i="9"/>
  <c r="F385" i="9"/>
  <c r="E385" i="9"/>
  <c r="D385" i="9"/>
  <c r="C385" i="9"/>
  <c r="B385" i="9"/>
  <c r="A385" i="9"/>
  <c r="H384" i="9"/>
  <c r="G384" i="9"/>
  <c r="F384" i="9"/>
  <c r="J384" i="9" s="1"/>
  <c r="E384" i="9"/>
  <c r="D384" i="9"/>
  <c r="C384" i="9"/>
  <c r="B384" i="9"/>
  <c r="A384" i="9"/>
  <c r="H383" i="9"/>
  <c r="G383" i="9"/>
  <c r="F383" i="9"/>
  <c r="J383" i="9" s="1"/>
  <c r="E383" i="9"/>
  <c r="D383" i="9"/>
  <c r="C383" i="9"/>
  <c r="B383" i="9"/>
  <c r="A383" i="9"/>
  <c r="H382" i="9"/>
  <c r="G382" i="9"/>
  <c r="I382" i="9" s="1"/>
  <c r="F382" i="9"/>
  <c r="J382" i="9" s="1"/>
  <c r="E382" i="9"/>
  <c r="D382" i="9"/>
  <c r="C382" i="9"/>
  <c r="B382" i="9"/>
  <c r="A382" i="9"/>
  <c r="I381" i="9"/>
  <c r="H381" i="9"/>
  <c r="G381" i="9"/>
  <c r="F381" i="9"/>
  <c r="J381" i="9" s="1"/>
  <c r="E381" i="9"/>
  <c r="D381" i="9"/>
  <c r="C381" i="9"/>
  <c r="B381" i="9"/>
  <c r="A381" i="9"/>
  <c r="H380" i="9"/>
  <c r="G380" i="9"/>
  <c r="F380" i="9"/>
  <c r="J380" i="9" s="1"/>
  <c r="E380" i="9"/>
  <c r="D380" i="9"/>
  <c r="C380" i="9"/>
  <c r="B380" i="9"/>
  <c r="A380" i="9"/>
  <c r="H379" i="9"/>
  <c r="G379" i="9"/>
  <c r="F379" i="9"/>
  <c r="J379" i="9" s="1"/>
  <c r="E379" i="9"/>
  <c r="D379" i="9"/>
  <c r="C379" i="9"/>
  <c r="B379" i="9"/>
  <c r="A379" i="9"/>
  <c r="H378" i="9"/>
  <c r="G378" i="9"/>
  <c r="F378" i="9"/>
  <c r="J378" i="9" s="1"/>
  <c r="E378" i="9"/>
  <c r="D378" i="9"/>
  <c r="C378" i="9"/>
  <c r="B378" i="9"/>
  <c r="A378" i="9"/>
  <c r="H377" i="9"/>
  <c r="G377" i="9"/>
  <c r="I377" i="9" s="1"/>
  <c r="F377" i="9"/>
  <c r="J377" i="9" s="1"/>
  <c r="E377" i="9"/>
  <c r="D377" i="9"/>
  <c r="C377" i="9"/>
  <c r="B377" i="9"/>
  <c r="A377" i="9"/>
  <c r="H376" i="9"/>
  <c r="G376" i="9"/>
  <c r="F376" i="9"/>
  <c r="J376" i="9" s="1"/>
  <c r="E376" i="9"/>
  <c r="D376" i="9"/>
  <c r="C376" i="9"/>
  <c r="B376" i="9"/>
  <c r="A376" i="9"/>
  <c r="H375" i="9"/>
  <c r="G375" i="9"/>
  <c r="I375" i="9" s="1"/>
  <c r="F375" i="9"/>
  <c r="J375" i="9" s="1"/>
  <c r="E375" i="9"/>
  <c r="D375" i="9"/>
  <c r="C375" i="9"/>
  <c r="B375" i="9"/>
  <c r="A375" i="9"/>
  <c r="J374" i="9"/>
  <c r="H374" i="9"/>
  <c r="G374" i="9"/>
  <c r="F374" i="9"/>
  <c r="E374" i="9"/>
  <c r="D374" i="9"/>
  <c r="C374" i="9"/>
  <c r="B374" i="9"/>
  <c r="A374" i="9"/>
  <c r="H373" i="9"/>
  <c r="G373" i="9"/>
  <c r="F373" i="9"/>
  <c r="J373" i="9" s="1"/>
  <c r="E373" i="9"/>
  <c r="D373" i="9"/>
  <c r="C373" i="9"/>
  <c r="B373" i="9"/>
  <c r="A373" i="9"/>
  <c r="H372" i="9"/>
  <c r="G372" i="9"/>
  <c r="F372" i="9"/>
  <c r="J372" i="9" s="1"/>
  <c r="E372" i="9"/>
  <c r="D372" i="9"/>
  <c r="C372" i="9"/>
  <c r="B372" i="9"/>
  <c r="A372" i="9"/>
  <c r="H371" i="9"/>
  <c r="G371" i="9"/>
  <c r="I371" i="9" s="1"/>
  <c r="F371" i="9"/>
  <c r="J371" i="9" s="1"/>
  <c r="E371" i="9"/>
  <c r="D371" i="9"/>
  <c r="C371" i="9"/>
  <c r="B371" i="9"/>
  <c r="A371" i="9"/>
  <c r="I370" i="9"/>
  <c r="H370" i="9"/>
  <c r="G370" i="9"/>
  <c r="F370" i="9"/>
  <c r="J370" i="9" s="1"/>
  <c r="E370" i="9"/>
  <c r="D370" i="9"/>
  <c r="C370" i="9"/>
  <c r="B370" i="9"/>
  <c r="A370" i="9"/>
  <c r="H369" i="9"/>
  <c r="G369" i="9"/>
  <c r="F369" i="9"/>
  <c r="J369" i="9" s="1"/>
  <c r="E369" i="9"/>
  <c r="D369" i="9"/>
  <c r="C369" i="9"/>
  <c r="B369" i="9"/>
  <c r="A369" i="9"/>
  <c r="H368" i="9"/>
  <c r="G368" i="9"/>
  <c r="F368" i="9"/>
  <c r="J368" i="9" s="1"/>
  <c r="E368" i="9"/>
  <c r="D368" i="9"/>
  <c r="C368" i="9"/>
  <c r="B368" i="9"/>
  <c r="A368" i="9"/>
  <c r="H367" i="9"/>
  <c r="G367" i="9"/>
  <c r="F367" i="9"/>
  <c r="J367" i="9" s="1"/>
  <c r="E367" i="9"/>
  <c r="D367" i="9"/>
  <c r="C367" i="9"/>
  <c r="B367" i="9"/>
  <c r="A367" i="9"/>
  <c r="J366" i="9"/>
  <c r="H366" i="9"/>
  <c r="G366" i="9"/>
  <c r="I366" i="9" s="1"/>
  <c r="F366" i="9"/>
  <c r="E366" i="9"/>
  <c r="D366" i="9"/>
  <c r="C366" i="9"/>
  <c r="B366" i="9"/>
  <c r="A366" i="9"/>
  <c r="J365" i="9"/>
  <c r="I365" i="9"/>
  <c r="H365" i="9"/>
  <c r="G365" i="9"/>
  <c r="F365" i="9"/>
  <c r="E365" i="9"/>
  <c r="D365" i="9"/>
  <c r="C365" i="9"/>
  <c r="B365" i="9"/>
  <c r="A365" i="9"/>
  <c r="H364" i="9"/>
  <c r="G364" i="9"/>
  <c r="I364" i="9" s="1"/>
  <c r="F364" i="9"/>
  <c r="J364" i="9" s="1"/>
  <c r="E364" i="9"/>
  <c r="D364" i="9"/>
  <c r="C364" i="9"/>
  <c r="B364" i="9"/>
  <c r="A364" i="9"/>
  <c r="H363" i="9"/>
  <c r="G363" i="9"/>
  <c r="I363" i="9" s="1"/>
  <c r="F363" i="9"/>
  <c r="J363" i="9" s="1"/>
  <c r="E363" i="9"/>
  <c r="D363" i="9"/>
  <c r="C363" i="9"/>
  <c r="B363" i="9"/>
  <c r="A363" i="9"/>
  <c r="J362" i="9"/>
  <c r="H362" i="9"/>
  <c r="G362" i="9"/>
  <c r="F362" i="9"/>
  <c r="E362" i="9"/>
  <c r="D362" i="9"/>
  <c r="C362" i="9"/>
  <c r="B362" i="9"/>
  <c r="A362" i="9"/>
  <c r="H361" i="9"/>
  <c r="G361" i="9"/>
  <c r="I361" i="9" s="1"/>
  <c r="F361" i="9"/>
  <c r="J361" i="9" s="1"/>
  <c r="E361" i="9"/>
  <c r="D361" i="9"/>
  <c r="C361" i="9"/>
  <c r="B361" i="9"/>
  <c r="A361" i="9"/>
  <c r="H360" i="9"/>
  <c r="G360" i="9"/>
  <c r="F360" i="9"/>
  <c r="J360" i="9" s="1"/>
  <c r="E360" i="9"/>
  <c r="D360" i="9"/>
  <c r="C360" i="9"/>
  <c r="B360" i="9"/>
  <c r="A360" i="9"/>
  <c r="H359" i="9"/>
  <c r="G359" i="9"/>
  <c r="F359" i="9"/>
  <c r="J359" i="9" s="1"/>
  <c r="E359" i="9"/>
  <c r="D359" i="9"/>
  <c r="C359" i="9"/>
  <c r="B359" i="9"/>
  <c r="A359" i="9"/>
  <c r="J358" i="9"/>
  <c r="H358" i="9"/>
  <c r="G358" i="9"/>
  <c r="F358" i="9"/>
  <c r="E358" i="9"/>
  <c r="D358" i="9"/>
  <c r="C358" i="9"/>
  <c r="B358" i="9"/>
  <c r="A358" i="9"/>
  <c r="H357" i="9"/>
  <c r="G357" i="9"/>
  <c r="F357" i="9"/>
  <c r="J357" i="9" s="1"/>
  <c r="E357" i="9"/>
  <c r="D357" i="9"/>
  <c r="C357" i="9"/>
  <c r="B357" i="9"/>
  <c r="A357" i="9"/>
  <c r="H356" i="9"/>
  <c r="G356" i="9"/>
  <c r="F356" i="9"/>
  <c r="J356" i="9" s="1"/>
  <c r="E356" i="9"/>
  <c r="D356" i="9"/>
  <c r="C356" i="9"/>
  <c r="B356" i="9"/>
  <c r="A356" i="9"/>
  <c r="H355" i="9"/>
  <c r="G355" i="9"/>
  <c r="I355" i="9" s="1"/>
  <c r="F355" i="9"/>
  <c r="J355" i="9" s="1"/>
  <c r="E355" i="9"/>
  <c r="D355" i="9"/>
  <c r="C355" i="9"/>
  <c r="B355" i="9"/>
  <c r="A355" i="9"/>
  <c r="J354" i="9"/>
  <c r="H354" i="9"/>
  <c r="G354" i="9"/>
  <c r="F354" i="9"/>
  <c r="E354" i="9"/>
  <c r="I354" i="9" s="1"/>
  <c r="D354" i="9"/>
  <c r="C354" i="9"/>
  <c r="B354" i="9"/>
  <c r="A354" i="9"/>
  <c r="H353" i="9"/>
  <c r="G353" i="9"/>
  <c r="F353" i="9"/>
  <c r="J353" i="9" s="1"/>
  <c r="E353" i="9"/>
  <c r="D353" i="9"/>
  <c r="C353" i="9"/>
  <c r="B353" i="9"/>
  <c r="A353" i="9"/>
  <c r="H352" i="9"/>
  <c r="G352" i="9"/>
  <c r="F352" i="9"/>
  <c r="J352" i="9" s="1"/>
  <c r="E352" i="9"/>
  <c r="D352" i="9"/>
  <c r="C352" i="9"/>
  <c r="B352" i="9"/>
  <c r="A352" i="9"/>
  <c r="H351" i="9"/>
  <c r="G351" i="9"/>
  <c r="F351" i="9"/>
  <c r="J351" i="9" s="1"/>
  <c r="E351" i="9"/>
  <c r="D351" i="9"/>
  <c r="C351" i="9"/>
  <c r="B351" i="9"/>
  <c r="A351" i="9"/>
  <c r="J350" i="9"/>
  <c r="H350" i="9"/>
  <c r="G350" i="9"/>
  <c r="I350" i="9" s="1"/>
  <c r="F350" i="9"/>
  <c r="E350" i="9"/>
  <c r="D350" i="9"/>
  <c r="C350" i="9"/>
  <c r="B350" i="9"/>
  <c r="A350" i="9"/>
  <c r="I349" i="9"/>
  <c r="H349" i="9"/>
  <c r="G349" i="9"/>
  <c r="F349" i="9"/>
  <c r="J349" i="9" s="1"/>
  <c r="E349" i="9"/>
  <c r="D349" i="9"/>
  <c r="C349" i="9"/>
  <c r="B349" i="9"/>
  <c r="A349" i="9"/>
  <c r="H348" i="9"/>
  <c r="G348" i="9"/>
  <c r="F348" i="9"/>
  <c r="J348" i="9" s="1"/>
  <c r="E348" i="9"/>
  <c r="D348" i="9"/>
  <c r="C348" i="9"/>
  <c r="B348" i="9"/>
  <c r="A348" i="9"/>
  <c r="H347" i="9"/>
  <c r="G347" i="9"/>
  <c r="F347" i="9"/>
  <c r="J347" i="9" s="1"/>
  <c r="E347" i="9"/>
  <c r="D347" i="9"/>
  <c r="C347" i="9"/>
  <c r="B347" i="9"/>
  <c r="A347" i="9"/>
  <c r="H346" i="9"/>
  <c r="G346" i="9"/>
  <c r="F346" i="9"/>
  <c r="J346" i="9" s="1"/>
  <c r="E346" i="9"/>
  <c r="D346" i="9"/>
  <c r="C346" i="9"/>
  <c r="B346" i="9"/>
  <c r="A346" i="9"/>
  <c r="J345" i="9"/>
  <c r="H345" i="9"/>
  <c r="G345" i="9"/>
  <c r="I345" i="9" s="1"/>
  <c r="F345" i="9"/>
  <c r="E345" i="9"/>
  <c r="D345" i="9"/>
  <c r="C345" i="9"/>
  <c r="B345" i="9"/>
  <c r="A345" i="9"/>
  <c r="H344" i="9"/>
  <c r="G344" i="9"/>
  <c r="F344" i="9"/>
  <c r="J344" i="9" s="1"/>
  <c r="E344" i="9"/>
  <c r="D344" i="9"/>
  <c r="C344" i="9"/>
  <c r="B344" i="9"/>
  <c r="A344" i="9"/>
  <c r="H343" i="9"/>
  <c r="G343" i="9"/>
  <c r="F343" i="9"/>
  <c r="J343" i="9" s="1"/>
  <c r="E343" i="9"/>
  <c r="I343" i="9" s="1"/>
  <c r="D343" i="9"/>
  <c r="C343" i="9"/>
  <c r="B343" i="9"/>
  <c r="A343" i="9"/>
  <c r="H342" i="9"/>
  <c r="G342" i="9"/>
  <c r="F342" i="9"/>
  <c r="J342" i="9" s="1"/>
  <c r="E342" i="9"/>
  <c r="D342" i="9"/>
  <c r="C342" i="9"/>
  <c r="B342" i="9"/>
  <c r="A342" i="9"/>
  <c r="J341" i="9"/>
  <c r="H341" i="9"/>
  <c r="G341" i="9"/>
  <c r="I341" i="9" s="1"/>
  <c r="F341" i="9"/>
  <c r="E341" i="9"/>
  <c r="D341" i="9"/>
  <c r="C341" i="9"/>
  <c r="B341" i="9"/>
  <c r="A341" i="9"/>
  <c r="H340" i="9"/>
  <c r="G340" i="9"/>
  <c r="I340" i="9" s="1"/>
  <c r="F340" i="9"/>
  <c r="J340" i="9" s="1"/>
  <c r="E340" i="9"/>
  <c r="D340" i="9"/>
  <c r="C340" i="9"/>
  <c r="B340" i="9"/>
  <c r="A340" i="9"/>
  <c r="H339" i="9"/>
  <c r="G339" i="9"/>
  <c r="I339" i="9" s="1"/>
  <c r="F339" i="9"/>
  <c r="J339" i="9" s="1"/>
  <c r="E339" i="9"/>
  <c r="D339" i="9"/>
  <c r="C339" i="9"/>
  <c r="B339" i="9"/>
  <c r="A339" i="9"/>
  <c r="J338" i="9"/>
  <c r="H338" i="9"/>
  <c r="G338" i="9"/>
  <c r="F338" i="9"/>
  <c r="I338" i="9" s="1"/>
  <c r="E338" i="9"/>
  <c r="D338" i="9"/>
  <c r="C338" i="9"/>
  <c r="B338" i="9"/>
  <c r="A338" i="9"/>
  <c r="J337" i="9"/>
  <c r="H337" i="9"/>
  <c r="G337" i="9"/>
  <c r="I337" i="9" s="1"/>
  <c r="F337" i="9"/>
  <c r="E337" i="9"/>
  <c r="D337" i="9"/>
  <c r="C337" i="9"/>
  <c r="B337" i="9"/>
  <c r="A337" i="9"/>
  <c r="H336" i="9"/>
  <c r="G336" i="9"/>
  <c r="F336" i="9"/>
  <c r="J336" i="9" s="1"/>
  <c r="E336" i="9"/>
  <c r="D336" i="9"/>
  <c r="C336" i="9"/>
  <c r="B336" i="9"/>
  <c r="A336" i="9"/>
  <c r="H335" i="9"/>
  <c r="G335" i="9"/>
  <c r="I335" i="9" s="1"/>
  <c r="F335" i="9"/>
  <c r="J335" i="9" s="1"/>
  <c r="E335" i="9"/>
  <c r="D335" i="9"/>
  <c r="C335" i="9"/>
  <c r="B335" i="9"/>
  <c r="A335" i="9"/>
  <c r="J334" i="9"/>
  <c r="H334" i="9"/>
  <c r="G334" i="9"/>
  <c r="F334" i="9"/>
  <c r="E334" i="9"/>
  <c r="I334" i="9" s="1"/>
  <c r="D334" i="9"/>
  <c r="C334" i="9"/>
  <c r="B334" i="9"/>
  <c r="A334" i="9"/>
  <c r="H333" i="9"/>
  <c r="G333" i="9"/>
  <c r="I333" i="9" s="1"/>
  <c r="F333" i="9"/>
  <c r="J333" i="9" s="1"/>
  <c r="E333" i="9"/>
  <c r="D333" i="9"/>
  <c r="C333" i="9"/>
  <c r="B333" i="9"/>
  <c r="A333" i="9"/>
  <c r="H332" i="9"/>
  <c r="G332" i="9"/>
  <c r="I332" i="9" s="1"/>
  <c r="F332" i="9"/>
  <c r="J332" i="9" s="1"/>
  <c r="E332" i="9"/>
  <c r="D332" i="9"/>
  <c r="C332" i="9"/>
  <c r="B332" i="9"/>
  <c r="A332" i="9"/>
  <c r="H331" i="9"/>
  <c r="G331" i="9"/>
  <c r="I331" i="9" s="1"/>
  <c r="F331" i="9"/>
  <c r="J331" i="9" s="1"/>
  <c r="E331" i="9"/>
  <c r="D331" i="9"/>
  <c r="C331" i="9"/>
  <c r="B331" i="9"/>
  <c r="A331" i="9"/>
  <c r="H330" i="9"/>
  <c r="G330" i="9"/>
  <c r="F330" i="9"/>
  <c r="J330" i="9" s="1"/>
  <c r="E330" i="9"/>
  <c r="D330" i="9"/>
  <c r="C330" i="9"/>
  <c r="B330" i="9"/>
  <c r="A330" i="9"/>
  <c r="J329" i="9"/>
  <c r="H329" i="9"/>
  <c r="G329" i="9"/>
  <c r="F329" i="9"/>
  <c r="I329" i="9" s="1"/>
  <c r="E329" i="9"/>
  <c r="D329" i="9"/>
  <c r="C329" i="9"/>
  <c r="B329" i="9"/>
  <c r="A329" i="9"/>
  <c r="H328" i="9"/>
  <c r="G328" i="9"/>
  <c r="F328" i="9"/>
  <c r="J328" i="9" s="1"/>
  <c r="E328" i="9"/>
  <c r="D328" i="9"/>
  <c r="C328" i="9"/>
  <c r="B328" i="9"/>
  <c r="A328" i="9"/>
  <c r="H327" i="9"/>
  <c r="G327" i="9"/>
  <c r="I327" i="9" s="1"/>
  <c r="F327" i="9"/>
  <c r="J327" i="9" s="1"/>
  <c r="E327" i="9"/>
  <c r="D327" i="9"/>
  <c r="C327" i="9"/>
  <c r="B327" i="9"/>
  <c r="A327" i="9"/>
  <c r="H326" i="9"/>
  <c r="G326" i="9"/>
  <c r="F326" i="9"/>
  <c r="J326" i="9" s="1"/>
  <c r="E326" i="9"/>
  <c r="D326" i="9"/>
  <c r="C326" i="9"/>
  <c r="B326" i="9"/>
  <c r="A326" i="9"/>
  <c r="J325" i="9"/>
  <c r="H325" i="9"/>
  <c r="G325" i="9"/>
  <c r="F325" i="9"/>
  <c r="E325" i="9"/>
  <c r="D325" i="9"/>
  <c r="C325" i="9"/>
  <c r="B325" i="9"/>
  <c r="A325" i="9"/>
  <c r="H324" i="9"/>
  <c r="G324" i="9"/>
  <c r="F324" i="9"/>
  <c r="J324" i="9" s="1"/>
  <c r="E324" i="9"/>
  <c r="D324" i="9"/>
  <c r="C324" i="9"/>
  <c r="B324" i="9"/>
  <c r="A324" i="9"/>
  <c r="H323" i="9"/>
  <c r="G323" i="9"/>
  <c r="F323" i="9"/>
  <c r="J323" i="9" s="1"/>
  <c r="E323" i="9"/>
  <c r="I323" i="9" s="1"/>
  <c r="D323" i="9"/>
  <c r="C323" i="9"/>
  <c r="B323" i="9"/>
  <c r="A323" i="9"/>
  <c r="H322" i="9"/>
  <c r="G322" i="9"/>
  <c r="I322" i="9" s="1"/>
  <c r="F322" i="9"/>
  <c r="J322" i="9" s="1"/>
  <c r="E322" i="9"/>
  <c r="D322" i="9"/>
  <c r="C322" i="9"/>
  <c r="B322" i="9"/>
  <c r="A322" i="9"/>
  <c r="J321" i="9"/>
  <c r="H321" i="9"/>
  <c r="G321" i="9"/>
  <c r="F321" i="9"/>
  <c r="E321" i="9"/>
  <c r="D321" i="9"/>
  <c r="C321" i="9"/>
  <c r="B321" i="9"/>
  <c r="A321" i="9"/>
  <c r="H320" i="9"/>
  <c r="G320" i="9"/>
  <c r="F320" i="9"/>
  <c r="J320" i="9" s="1"/>
  <c r="E320" i="9"/>
  <c r="D320" i="9"/>
  <c r="C320" i="9"/>
  <c r="B320" i="9"/>
  <c r="A320" i="9"/>
  <c r="H319" i="9"/>
  <c r="G319" i="9"/>
  <c r="F319" i="9"/>
  <c r="J319" i="9" s="1"/>
  <c r="E319" i="9"/>
  <c r="D319" i="9"/>
  <c r="C319" i="9"/>
  <c r="B319" i="9"/>
  <c r="A319" i="9"/>
  <c r="J318" i="9"/>
  <c r="H318" i="9"/>
  <c r="G318" i="9"/>
  <c r="I318" i="9" s="1"/>
  <c r="F318" i="9"/>
  <c r="E318" i="9"/>
  <c r="D318" i="9"/>
  <c r="C318" i="9"/>
  <c r="B318" i="9"/>
  <c r="A318" i="9"/>
  <c r="J317" i="9"/>
  <c r="H317" i="9"/>
  <c r="G317" i="9"/>
  <c r="F317" i="9"/>
  <c r="E317" i="9"/>
  <c r="I317" i="9" s="1"/>
  <c r="D317" i="9"/>
  <c r="C317" i="9"/>
  <c r="B317" i="9"/>
  <c r="A317" i="9"/>
  <c r="H316" i="9"/>
  <c r="G316" i="9"/>
  <c r="F316" i="9"/>
  <c r="J316" i="9" s="1"/>
  <c r="E316" i="9"/>
  <c r="D316" i="9"/>
  <c r="C316" i="9"/>
  <c r="B316" i="9"/>
  <c r="A316" i="9"/>
  <c r="H315" i="9"/>
  <c r="G315" i="9"/>
  <c r="F315" i="9"/>
  <c r="J315" i="9" s="1"/>
  <c r="E315" i="9"/>
  <c r="D315" i="9"/>
  <c r="C315" i="9"/>
  <c r="B315" i="9"/>
  <c r="A315" i="9"/>
  <c r="H314" i="9"/>
  <c r="G314" i="9"/>
  <c r="F314" i="9"/>
  <c r="J314" i="9" s="1"/>
  <c r="E314" i="9"/>
  <c r="D314" i="9"/>
  <c r="C314" i="9"/>
  <c r="B314" i="9"/>
  <c r="A314" i="9"/>
  <c r="H313" i="9"/>
  <c r="G313" i="9"/>
  <c r="I313" i="9" s="1"/>
  <c r="F313" i="9"/>
  <c r="J313" i="9" s="1"/>
  <c r="E313" i="9"/>
  <c r="D313" i="9"/>
  <c r="C313" i="9"/>
  <c r="B313" i="9"/>
  <c r="A313" i="9"/>
  <c r="H312" i="9"/>
  <c r="G312" i="9"/>
  <c r="F312" i="9"/>
  <c r="J312" i="9" s="1"/>
  <c r="E312" i="9"/>
  <c r="D312" i="9"/>
  <c r="C312" i="9"/>
  <c r="B312" i="9"/>
  <c r="A312" i="9"/>
  <c r="I311" i="9"/>
  <c r="H311" i="9"/>
  <c r="G311" i="9"/>
  <c r="F311" i="9"/>
  <c r="J311" i="9" s="1"/>
  <c r="E311" i="9"/>
  <c r="D311" i="9"/>
  <c r="C311" i="9"/>
  <c r="B311" i="9"/>
  <c r="A311" i="9"/>
  <c r="H310" i="9"/>
  <c r="G310" i="9"/>
  <c r="F310" i="9"/>
  <c r="J310" i="9" s="1"/>
  <c r="E310" i="9"/>
  <c r="D310" i="9"/>
  <c r="C310" i="9"/>
  <c r="B310" i="9"/>
  <c r="A310" i="9"/>
  <c r="J309" i="9"/>
  <c r="H309" i="9"/>
  <c r="G309" i="9"/>
  <c r="I309" i="9" s="1"/>
  <c r="F309" i="9"/>
  <c r="E309" i="9"/>
  <c r="D309" i="9"/>
  <c r="C309" i="9"/>
  <c r="B309" i="9"/>
  <c r="A309" i="9"/>
  <c r="H308" i="9"/>
  <c r="G308" i="9"/>
  <c r="I308" i="9" s="1"/>
  <c r="F308" i="9"/>
  <c r="J308" i="9" s="1"/>
  <c r="E308" i="9"/>
  <c r="D308" i="9"/>
  <c r="C308" i="9"/>
  <c r="B308" i="9"/>
  <c r="A308" i="9"/>
  <c r="H307" i="9"/>
  <c r="G307" i="9"/>
  <c r="I307" i="9" s="1"/>
  <c r="F307" i="9"/>
  <c r="J307" i="9" s="1"/>
  <c r="E307" i="9"/>
  <c r="D307" i="9"/>
  <c r="C307" i="9"/>
  <c r="B307" i="9"/>
  <c r="A307" i="9"/>
  <c r="H306" i="9"/>
  <c r="G306" i="9"/>
  <c r="F306" i="9"/>
  <c r="J306" i="9" s="1"/>
  <c r="E306" i="9"/>
  <c r="I306" i="9" s="1"/>
  <c r="D306" i="9"/>
  <c r="C306" i="9"/>
  <c r="B306" i="9"/>
  <c r="A306" i="9"/>
  <c r="J305" i="9"/>
  <c r="H305" i="9"/>
  <c r="G305" i="9"/>
  <c r="I305" i="9" s="1"/>
  <c r="F305" i="9"/>
  <c r="E305" i="9"/>
  <c r="D305" i="9"/>
  <c r="C305" i="9"/>
  <c r="B305" i="9"/>
  <c r="A305" i="9"/>
  <c r="H304" i="9"/>
  <c r="G304" i="9"/>
  <c r="F304" i="9"/>
  <c r="J304" i="9" s="1"/>
  <c r="E304" i="9"/>
  <c r="D304" i="9"/>
  <c r="C304" i="9"/>
  <c r="B304" i="9"/>
  <c r="A304" i="9"/>
  <c r="H303" i="9"/>
  <c r="G303" i="9"/>
  <c r="I303" i="9" s="1"/>
  <c r="F303" i="9"/>
  <c r="J303" i="9" s="1"/>
  <c r="E303" i="9"/>
  <c r="D303" i="9"/>
  <c r="C303" i="9"/>
  <c r="B303" i="9"/>
  <c r="A303" i="9"/>
  <c r="I302" i="9"/>
  <c r="H302" i="9"/>
  <c r="G302" i="9"/>
  <c r="F302" i="9"/>
  <c r="J302" i="9" s="1"/>
  <c r="E302" i="9"/>
  <c r="D302" i="9"/>
  <c r="C302" i="9"/>
  <c r="B302" i="9"/>
  <c r="A302" i="9"/>
  <c r="J301" i="9"/>
  <c r="H301" i="9"/>
  <c r="G301" i="9"/>
  <c r="I301" i="9" s="1"/>
  <c r="F301" i="9"/>
  <c r="E301" i="9"/>
  <c r="D301" i="9"/>
  <c r="C301" i="9"/>
  <c r="B301" i="9"/>
  <c r="A301" i="9"/>
  <c r="H300" i="9"/>
  <c r="G300" i="9"/>
  <c r="I300" i="9" s="1"/>
  <c r="F300" i="9"/>
  <c r="J300" i="9" s="1"/>
  <c r="E300" i="9"/>
  <c r="D300" i="9"/>
  <c r="C300" i="9"/>
  <c r="B300" i="9"/>
  <c r="A300" i="9"/>
  <c r="H299" i="9"/>
  <c r="G299" i="9"/>
  <c r="I299" i="9" s="1"/>
  <c r="F299" i="9"/>
  <c r="J299" i="9" s="1"/>
  <c r="E299" i="9"/>
  <c r="D299" i="9"/>
  <c r="C299" i="9"/>
  <c r="B299" i="9"/>
  <c r="A299" i="9"/>
  <c r="H298" i="9"/>
  <c r="G298" i="9"/>
  <c r="F298" i="9"/>
  <c r="J298" i="9" s="1"/>
  <c r="E298" i="9"/>
  <c r="D298" i="9"/>
  <c r="C298" i="9"/>
  <c r="B298" i="9"/>
  <c r="A298" i="9"/>
  <c r="H297" i="9"/>
  <c r="G297" i="9"/>
  <c r="F297" i="9"/>
  <c r="J297" i="9" s="1"/>
  <c r="E297" i="9"/>
  <c r="I297" i="9" s="1"/>
  <c r="D297" i="9"/>
  <c r="C297" i="9"/>
  <c r="B297" i="9"/>
  <c r="A297" i="9"/>
  <c r="H296" i="9"/>
  <c r="G296" i="9"/>
  <c r="F296" i="9"/>
  <c r="J296" i="9" s="1"/>
  <c r="E296" i="9"/>
  <c r="D296" i="9"/>
  <c r="C296" i="9"/>
  <c r="B296" i="9"/>
  <c r="A296" i="9"/>
  <c r="H295" i="9"/>
  <c r="G295" i="9"/>
  <c r="I295" i="9" s="1"/>
  <c r="F295" i="9"/>
  <c r="J295" i="9" s="1"/>
  <c r="E295" i="9"/>
  <c r="D295" i="9"/>
  <c r="C295" i="9"/>
  <c r="B295" i="9"/>
  <c r="A295" i="9"/>
  <c r="H294" i="9"/>
  <c r="G294" i="9"/>
  <c r="F294" i="9"/>
  <c r="J294" i="9" s="1"/>
  <c r="E294" i="9"/>
  <c r="D294" i="9"/>
  <c r="C294" i="9"/>
  <c r="B294" i="9"/>
  <c r="A294" i="9"/>
  <c r="J293" i="9"/>
  <c r="H293" i="9"/>
  <c r="G293" i="9"/>
  <c r="I293" i="9" s="1"/>
  <c r="F293" i="9"/>
  <c r="E293" i="9"/>
  <c r="D293" i="9"/>
  <c r="C293" i="9"/>
  <c r="B293" i="9"/>
  <c r="A293" i="9"/>
  <c r="H292" i="9"/>
  <c r="G292" i="9"/>
  <c r="I292" i="9" s="1"/>
  <c r="F292" i="9"/>
  <c r="J292" i="9" s="1"/>
  <c r="E292" i="9"/>
  <c r="D292" i="9"/>
  <c r="C292" i="9"/>
  <c r="B292" i="9"/>
  <c r="A292" i="9"/>
  <c r="H291" i="9"/>
  <c r="G291" i="9"/>
  <c r="F291" i="9"/>
  <c r="J291" i="9" s="1"/>
  <c r="E291" i="9"/>
  <c r="I291" i="9" s="1"/>
  <c r="D291" i="9"/>
  <c r="C291" i="9"/>
  <c r="B291" i="9"/>
  <c r="A291" i="9"/>
  <c r="J290" i="9"/>
  <c r="H290" i="9"/>
  <c r="G290" i="9"/>
  <c r="I290" i="9" s="1"/>
  <c r="F290" i="9"/>
  <c r="E290" i="9"/>
  <c r="D290" i="9"/>
  <c r="C290" i="9"/>
  <c r="B290" i="9"/>
  <c r="A290" i="9"/>
  <c r="J289" i="9"/>
  <c r="H289" i="9"/>
  <c r="G289" i="9"/>
  <c r="F289" i="9"/>
  <c r="E289" i="9"/>
  <c r="D289" i="9"/>
  <c r="C289" i="9"/>
  <c r="B289" i="9"/>
  <c r="A289" i="9"/>
  <c r="H288" i="9"/>
  <c r="G288" i="9"/>
  <c r="F288" i="9"/>
  <c r="J288" i="9" s="1"/>
  <c r="E288" i="9"/>
  <c r="D288" i="9"/>
  <c r="C288" i="9"/>
  <c r="B288" i="9"/>
  <c r="A288" i="9"/>
  <c r="H287" i="9"/>
  <c r="G287" i="9"/>
  <c r="F287" i="9"/>
  <c r="J287" i="9" s="1"/>
  <c r="E287" i="9"/>
  <c r="D287" i="9"/>
  <c r="C287" i="9"/>
  <c r="B287" i="9"/>
  <c r="A287" i="9"/>
  <c r="H286" i="9"/>
  <c r="G286" i="9"/>
  <c r="I286" i="9" s="1"/>
  <c r="F286" i="9"/>
  <c r="J286" i="9" s="1"/>
  <c r="E286" i="9"/>
  <c r="D286" i="9"/>
  <c r="C286" i="9"/>
  <c r="B286" i="9"/>
  <c r="A286" i="9"/>
  <c r="I285" i="9"/>
  <c r="H285" i="9"/>
  <c r="G285" i="9"/>
  <c r="F285" i="9"/>
  <c r="J285" i="9" s="1"/>
  <c r="E285" i="9"/>
  <c r="D285" i="9"/>
  <c r="C285" i="9"/>
  <c r="B285" i="9"/>
  <c r="A285" i="9"/>
  <c r="H284" i="9"/>
  <c r="G284" i="9"/>
  <c r="F284" i="9"/>
  <c r="J284" i="9" s="1"/>
  <c r="E284" i="9"/>
  <c r="D284" i="9"/>
  <c r="C284" i="9"/>
  <c r="B284" i="9"/>
  <c r="A284" i="9"/>
  <c r="H283" i="9"/>
  <c r="G283" i="9"/>
  <c r="F283" i="9"/>
  <c r="J283" i="9" s="1"/>
  <c r="E283" i="9"/>
  <c r="D283" i="9"/>
  <c r="C283" i="9"/>
  <c r="B283" i="9"/>
  <c r="A283" i="9"/>
  <c r="H282" i="9"/>
  <c r="G282" i="9"/>
  <c r="F282" i="9"/>
  <c r="J282" i="9" s="1"/>
  <c r="E282" i="9"/>
  <c r="D282" i="9"/>
  <c r="C282" i="9"/>
  <c r="B282" i="9"/>
  <c r="A282" i="9"/>
  <c r="J281" i="9"/>
  <c r="H281" i="9"/>
  <c r="G281" i="9"/>
  <c r="I281" i="9" s="1"/>
  <c r="F281" i="9"/>
  <c r="E281" i="9"/>
  <c r="D281" i="9"/>
  <c r="C281" i="9"/>
  <c r="B281" i="9"/>
  <c r="A281" i="9"/>
  <c r="H280" i="9"/>
  <c r="G280" i="9"/>
  <c r="F280" i="9"/>
  <c r="J280" i="9" s="1"/>
  <c r="E280" i="9"/>
  <c r="D280" i="9"/>
  <c r="C280" i="9"/>
  <c r="B280" i="9"/>
  <c r="A280" i="9"/>
  <c r="H279" i="9"/>
  <c r="G279" i="9"/>
  <c r="F279" i="9"/>
  <c r="J279" i="9" s="1"/>
  <c r="E279" i="9"/>
  <c r="I279" i="9" s="1"/>
  <c r="D279" i="9"/>
  <c r="C279" i="9"/>
  <c r="B279" i="9"/>
  <c r="A279" i="9"/>
  <c r="H278" i="9"/>
  <c r="G278" i="9"/>
  <c r="F278" i="9"/>
  <c r="J278" i="9" s="1"/>
  <c r="E278" i="9"/>
  <c r="D278" i="9"/>
  <c r="C278" i="9"/>
  <c r="B278" i="9"/>
  <c r="A278" i="9"/>
  <c r="J277" i="9"/>
  <c r="H277" i="9"/>
  <c r="G277" i="9"/>
  <c r="I277" i="9" s="1"/>
  <c r="F277" i="9"/>
  <c r="E277" i="9"/>
  <c r="D277" i="9"/>
  <c r="C277" i="9"/>
  <c r="B277" i="9"/>
  <c r="A277" i="9"/>
  <c r="H276" i="9"/>
  <c r="G276" i="9"/>
  <c r="I276" i="9" s="1"/>
  <c r="F276" i="9"/>
  <c r="J276" i="9" s="1"/>
  <c r="E276" i="9"/>
  <c r="D276" i="9"/>
  <c r="C276" i="9"/>
  <c r="B276" i="9"/>
  <c r="A276" i="9"/>
  <c r="H275" i="9"/>
  <c r="G275" i="9"/>
  <c r="I275" i="9" s="1"/>
  <c r="F275" i="9"/>
  <c r="J275" i="9" s="1"/>
  <c r="E275" i="9"/>
  <c r="D275" i="9"/>
  <c r="C275" i="9"/>
  <c r="B275" i="9"/>
  <c r="A275" i="9"/>
  <c r="J274" i="9"/>
  <c r="H274" i="9"/>
  <c r="G274" i="9"/>
  <c r="F274" i="9"/>
  <c r="I274" i="9" s="1"/>
  <c r="E274" i="9"/>
  <c r="D274" i="9"/>
  <c r="C274" i="9"/>
  <c r="B274" i="9"/>
  <c r="A274" i="9"/>
  <c r="J273" i="9"/>
  <c r="H273" i="9"/>
  <c r="G273" i="9"/>
  <c r="I273" i="9" s="1"/>
  <c r="F273" i="9"/>
  <c r="E273" i="9"/>
  <c r="D273" i="9"/>
  <c r="C273" i="9"/>
  <c r="B273" i="9"/>
  <c r="A273" i="9"/>
  <c r="H272" i="9"/>
  <c r="G272" i="9"/>
  <c r="F272" i="9"/>
  <c r="J272" i="9" s="1"/>
  <c r="E272" i="9"/>
  <c r="D272" i="9"/>
  <c r="C272" i="9"/>
  <c r="B272" i="9"/>
  <c r="A272" i="9"/>
  <c r="H271" i="9"/>
  <c r="G271" i="9"/>
  <c r="I271" i="9" s="1"/>
  <c r="F271" i="9"/>
  <c r="J271" i="9" s="1"/>
  <c r="E271" i="9"/>
  <c r="D271" i="9"/>
  <c r="C271" i="9"/>
  <c r="B271" i="9"/>
  <c r="A271" i="9"/>
  <c r="J270" i="9"/>
  <c r="H270" i="9"/>
  <c r="G270" i="9"/>
  <c r="F270" i="9"/>
  <c r="E270" i="9"/>
  <c r="I270" i="9" s="1"/>
  <c r="D270" i="9"/>
  <c r="C270" i="9"/>
  <c r="B270" i="9"/>
  <c r="A270" i="9"/>
  <c r="H269" i="9"/>
  <c r="G269" i="9"/>
  <c r="I269" i="9" s="1"/>
  <c r="F269" i="9"/>
  <c r="J269" i="9" s="1"/>
  <c r="E269" i="9"/>
  <c r="D269" i="9"/>
  <c r="C269" i="9"/>
  <c r="B269" i="9"/>
  <c r="A269" i="9"/>
  <c r="H268" i="9"/>
  <c r="G268" i="9"/>
  <c r="I268" i="9" s="1"/>
  <c r="F268" i="9"/>
  <c r="J268" i="9" s="1"/>
  <c r="E268" i="9"/>
  <c r="D268" i="9"/>
  <c r="C268" i="9"/>
  <c r="B268" i="9"/>
  <c r="A268" i="9"/>
  <c r="H267" i="9"/>
  <c r="G267" i="9"/>
  <c r="I267" i="9" s="1"/>
  <c r="F267" i="9"/>
  <c r="J267" i="9" s="1"/>
  <c r="E267" i="9"/>
  <c r="D267" i="9"/>
  <c r="C267" i="9"/>
  <c r="B267" i="9"/>
  <c r="A267" i="9"/>
  <c r="H266" i="9"/>
  <c r="G266" i="9"/>
  <c r="F266" i="9"/>
  <c r="J266" i="9" s="1"/>
  <c r="E266" i="9"/>
  <c r="D266" i="9"/>
  <c r="C266" i="9"/>
  <c r="B266" i="9"/>
  <c r="A266" i="9"/>
  <c r="J265" i="9"/>
  <c r="H265" i="9"/>
  <c r="G265" i="9"/>
  <c r="F265" i="9"/>
  <c r="I265" i="9" s="1"/>
  <c r="E265" i="9"/>
  <c r="D265" i="9"/>
  <c r="C265" i="9"/>
  <c r="B265" i="9"/>
  <c r="A265" i="9"/>
  <c r="H264" i="9"/>
  <c r="G264" i="9"/>
  <c r="F264" i="9"/>
  <c r="J264" i="9" s="1"/>
  <c r="E264" i="9"/>
  <c r="D264" i="9"/>
  <c r="C264" i="9"/>
  <c r="B264" i="9"/>
  <c r="A264" i="9"/>
  <c r="H263" i="9"/>
  <c r="G263" i="9"/>
  <c r="I263" i="9" s="1"/>
  <c r="F263" i="9"/>
  <c r="J263" i="9" s="1"/>
  <c r="E263" i="9"/>
  <c r="D263" i="9"/>
  <c r="C263" i="9"/>
  <c r="B263" i="9"/>
  <c r="A263" i="9"/>
  <c r="H262" i="9"/>
  <c r="G262" i="9"/>
  <c r="F262" i="9"/>
  <c r="J262" i="9" s="1"/>
  <c r="E262" i="9"/>
  <c r="D262" i="9"/>
  <c r="C262" i="9"/>
  <c r="B262" i="9"/>
  <c r="A262" i="9"/>
  <c r="J261" i="9"/>
  <c r="H261" i="9"/>
  <c r="G261" i="9"/>
  <c r="F261" i="9"/>
  <c r="E261" i="9"/>
  <c r="D261" i="9"/>
  <c r="C261" i="9"/>
  <c r="B261" i="9"/>
  <c r="A261" i="9"/>
  <c r="H260" i="9"/>
  <c r="G260" i="9"/>
  <c r="F260" i="9"/>
  <c r="J260" i="9" s="1"/>
  <c r="E260" i="9"/>
  <c r="D260" i="9"/>
  <c r="C260" i="9"/>
  <c r="B260" i="9"/>
  <c r="A260" i="9"/>
  <c r="H259" i="9"/>
  <c r="G259" i="9"/>
  <c r="F259" i="9"/>
  <c r="J259" i="9" s="1"/>
  <c r="E259" i="9"/>
  <c r="I259" i="9" s="1"/>
  <c r="D259" i="9"/>
  <c r="C259" i="9"/>
  <c r="B259" i="9"/>
  <c r="A259" i="9"/>
  <c r="H258" i="9"/>
  <c r="G258" i="9"/>
  <c r="I258" i="9" s="1"/>
  <c r="F258" i="9"/>
  <c r="J258" i="9" s="1"/>
  <c r="E258" i="9"/>
  <c r="D258" i="9"/>
  <c r="C258" i="9"/>
  <c r="B258" i="9"/>
  <c r="A258" i="9"/>
  <c r="J257" i="9"/>
  <c r="H257" i="9"/>
  <c r="G257" i="9"/>
  <c r="F257" i="9"/>
  <c r="E257" i="9"/>
  <c r="D257" i="9"/>
  <c r="C257" i="9"/>
  <c r="B257" i="9"/>
  <c r="A257" i="9"/>
  <c r="H256" i="9"/>
  <c r="G256" i="9"/>
  <c r="F256" i="9"/>
  <c r="J256" i="9" s="1"/>
  <c r="E256" i="9"/>
  <c r="D256" i="9"/>
  <c r="C256" i="9"/>
  <c r="B256" i="9"/>
  <c r="A256" i="9"/>
  <c r="H255" i="9"/>
  <c r="G255" i="9"/>
  <c r="F255" i="9"/>
  <c r="J255" i="9" s="1"/>
  <c r="E255" i="9"/>
  <c r="D255" i="9"/>
  <c r="C255" i="9"/>
  <c r="B255" i="9"/>
  <c r="A255" i="9"/>
  <c r="J254" i="9"/>
  <c r="H254" i="9"/>
  <c r="G254" i="9"/>
  <c r="I254" i="9" s="1"/>
  <c r="F254" i="9"/>
  <c r="E254" i="9"/>
  <c r="D254" i="9"/>
  <c r="C254" i="9"/>
  <c r="B254" i="9"/>
  <c r="A254" i="9"/>
  <c r="J253" i="9"/>
  <c r="H253" i="9"/>
  <c r="G253" i="9"/>
  <c r="F253" i="9"/>
  <c r="E253" i="9"/>
  <c r="I253" i="9" s="1"/>
  <c r="D253" i="9"/>
  <c r="C253" i="9"/>
  <c r="B253" i="9"/>
  <c r="A253" i="9"/>
  <c r="H252" i="9"/>
  <c r="G252" i="9"/>
  <c r="F252" i="9"/>
  <c r="J252" i="9" s="1"/>
  <c r="E252" i="9"/>
  <c r="D252" i="9"/>
  <c r="C252" i="9"/>
  <c r="B252" i="9"/>
  <c r="A252" i="9"/>
  <c r="H251" i="9"/>
  <c r="G251" i="9"/>
  <c r="F251" i="9"/>
  <c r="J251" i="9" s="1"/>
  <c r="E251" i="9"/>
  <c r="D251" i="9"/>
  <c r="C251" i="9"/>
  <c r="B251" i="9"/>
  <c r="A251" i="9"/>
  <c r="H250" i="9"/>
  <c r="G250" i="9"/>
  <c r="F250" i="9"/>
  <c r="J250" i="9" s="1"/>
  <c r="E250" i="9"/>
  <c r="D250" i="9"/>
  <c r="C250" i="9"/>
  <c r="B250" i="9"/>
  <c r="A250" i="9"/>
  <c r="H249" i="9"/>
  <c r="G249" i="9"/>
  <c r="I249" i="9" s="1"/>
  <c r="F249" i="9"/>
  <c r="J249" i="9" s="1"/>
  <c r="E249" i="9"/>
  <c r="D249" i="9"/>
  <c r="C249" i="9"/>
  <c r="B249" i="9"/>
  <c r="A249" i="9"/>
  <c r="H248" i="9"/>
  <c r="G248" i="9"/>
  <c r="F248" i="9"/>
  <c r="J248" i="9" s="1"/>
  <c r="E248" i="9"/>
  <c r="D248" i="9"/>
  <c r="C248" i="9"/>
  <c r="B248" i="9"/>
  <c r="A248" i="9"/>
  <c r="I247" i="9"/>
  <c r="H247" i="9"/>
  <c r="G247" i="9"/>
  <c r="F247" i="9"/>
  <c r="J247" i="9" s="1"/>
  <c r="E247" i="9"/>
  <c r="D247" i="9"/>
  <c r="C247" i="9"/>
  <c r="B247" i="9"/>
  <c r="A247" i="9"/>
  <c r="H246" i="9"/>
  <c r="G246" i="9"/>
  <c r="F246" i="9"/>
  <c r="J246" i="9" s="1"/>
  <c r="E246" i="9"/>
  <c r="D246" i="9"/>
  <c r="C246" i="9"/>
  <c r="B246" i="9"/>
  <c r="A246" i="9"/>
  <c r="J245" i="9"/>
  <c r="H245" i="9"/>
  <c r="G245" i="9"/>
  <c r="I245" i="9" s="1"/>
  <c r="F245" i="9"/>
  <c r="E245" i="9"/>
  <c r="D245" i="9"/>
  <c r="C245" i="9"/>
  <c r="B245" i="9"/>
  <c r="A245" i="9"/>
  <c r="H244" i="9"/>
  <c r="G244" i="9"/>
  <c r="I244" i="9" s="1"/>
  <c r="F244" i="9"/>
  <c r="J244" i="9" s="1"/>
  <c r="E244" i="9"/>
  <c r="D244" i="9"/>
  <c r="C244" i="9"/>
  <c r="B244" i="9"/>
  <c r="A244" i="9"/>
  <c r="H243" i="9"/>
  <c r="G243" i="9"/>
  <c r="I243" i="9" s="1"/>
  <c r="F243" i="9"/>
  <c r="J243" i="9" s="1"/>
  <c r="E243" i="9"/>
  <c r="D243" i="9"/>
  <c r="C243" i="9"/>
  <c r="B243" i="9"/>
  <c r="A243" i="9"/>
  <c r="H242" i="9"/>
  <c r="G242" i="9"/>
  <c r="F242" i="9"/>
  <c r="J242" i="9" s="1"/>
  <c r="E242" i="9"/>
  <c r="I242" i="9" s="1"/>
  <c r="D242" i="9"/>
  <c r="C242" i="9"/>
  <c r="B242" i="9"/>
  <c r="A242" i="9"/>
  <c r="J241" i="9"/>
  <c r="H241" i="9"/>
  <c r="G241" i="9"/>
  <c r="I241" i="9" s="1"/>
  <c r="F241" i="9"/>
  <c r="E241" i="9"/>
  <c r="D241" i="9"/>
  <c r="C241" i="9"/>
  <c r="B241" i="9"/>
  <c r="A241" i="9"/>
  <c r="H240" i="9"/>
  <c r="G240" i="9"/>
  <c r="F240" i="9"/>
  <c r="J240" i="9" s="1"/>
  <c r="E240" i="9"/>
  <c r="D240" i="9"/>
  <c r="C240" i="9"/>
  <c r="B240" i="9"/>
  <c r="A240" i="9"/>
  <c r="H239" i="9"/>
  <c r="G239" i="9"/>
  <c r="I239" i="9" s="1"/>
  <c r="F239" i="9"/>
  <c r="J239" i="9" s="1"/>
  <c r="E239" i="9"/>
  <c r="D239" i="9"/>
  <c r="C239" i="9"/>
  <c r="B239" i="9"/>
  <c r="A239" i="9"/>
  <c r="I238" i="9"/>
  <c r="H238" i="9"/>
  <c r="G238" i="9"/>
  <c r="F238" i="9"/>
  <c r="J238" i="9" s="1"/>
  <c r="E238" i="9"/>
  <c r="D238" i="9"/>
  <c r="C238" i="9"/>
  <c r="B238" i="9"/>
  <c r="A238" i="9"/>
  <c r="J237" i="9"/>
  <c r="H237" i="9"/>
  <c r="G237" i="9"/>
  <c r="I237" i="9" s="1"/>
  <c r="F237" i="9"/>
  <c r="E237" i="9"/>
  <c r="D237" i="9"/>
  <c r="C237" i="9"/>
  <c r="B237" i="9"/>
  <c r="A237" i="9"/>
  <c r="H236" i="9"/>
  <c r="G236" i="9"/>
  <c r="I236" i="9" s="1"/>
  <c r="F236" i="9"/>
  <c r="J236" i="9" s="1"/>
  <c r="E236" i="9"/>
  <c r="D236" i="9"/>
  <c r="C236" i="9"/>
  <c r="B236" i="9"/>
  <c r="A236" i="9"/>
  <c r="H235" i="9"/>
  <c r="G235" i="9"/>
  <c r="I235" i="9" s="1"/>
  <c r="F235" i="9"/>
  <c r="J235" i="9" s="1"/>
  <c r="E235" i="9"/>
  <c r="D235" i="9"/>
  <c r="C235" i="9"/>
  <c r="B235" i="9"/>
  <c r="A235" i="9"/>
  <c r="H234" i="9"/>
  <c r="G234" i="9"/>
  <c r="F234" i="9"/>
  <c r="J234" i="9" s="1"/>
  <c r="E234" i="9"/>
  <c r="D234" i="9"/>
  <c r="C234" i="9"/>
  <c r="B234" i="9"/>
  <c r="A234" i="9"/>
  <c r="H233" i="9"/>
  <c r="G233" i="9"/>
  <c r="F233" i="9"/>
  <c r="J233" i="9" s="1"/>
  <c r="E233" i="9"/>
  <c r="I233" i="9" s="1"/>
  <c r="D233" i="9"/>
  <c r="C233" i="9"/>
  <c r="B233" i="9"/>
  <c r="A233" i="9"/>
  <c r="H232" i="9"/>
  <c r="G232" i="9"/>
  <c r="F232" i="9"/>
  <c r="J232" i="9" s="1"/>
  <c r="E232" i="9"/>
  <c r="D232" i="9"/>
  <c r="C232" i="9"/>
  <c r="B232" i="9"/>
  <c r="A232" i="9"/>
  <c r="H231" i="9"/>
  <c r="G231" i="9"/>
  <c r="I231" i="9" s="1"/>
  <c r="F231" i="9"/>
  <c r="J231" i="9" s="1"/>
  <c r="E231" i="9"/>
  <c r="D231" i="9"/>
  <c r="C231" i="9"/>
  <c r="B231" i="9"/>
  <c r="A231" i="9"/>
  <c r="H230" i="9"/>
  <c r="G230" i="9"/>
  <c r="F230" i="9"/>
  <c r="J230" i="9" s="1"/>
  <c r="E230" i="9"/>
  <c r="D230" i="9"/>
  <c r="C230" i="9"/>
  <c r="B230" i="9"/>
  <c r="A230" i="9"/>
  <c r="J229" i="9"/>
  <c r="H229" i="9"/>
  <c r="G229" i="9"/>
  <c r="I229" i="9" s="1"/>
  <c r="F229" i="9"/>
  <c r="E229" i="9"/>
  <c r="D229" i="9"/>
  <c r="C229" i="9"/>
  <c r="B229" i="9"/>
  <c r="A229" i="9"/>
  <c r="H228" i="9"/>
  <c r="G228" i="9"/>
  <c r="I228" i="9" s="1"/>
  <c r="F228" i="9"/>
  <c r="J228" i="9" s="1"/>
  <c r="E228" i="9"/>
  <c r="D228" i="9"/>
  <c r="C228" i="9"/>
  <c r="B228" i="9"/>
  <c r="A228" i="9"/>
  <c r="H227" i="9"/>
  <c r="G227" i="9"/>
  <c r="F227" i="9"/>
  <c r="J227" i="9" s="1"/>
  <c r="E227" i="9"/>
  <c r="I227" i="9" s="1"/>
  <c r="D227" i="9"/>
  <c r="C227" i="9"/>
  <c r="B227" i="9"/>
  <c r="A227" i="9"/>
  <c r="J226" i="9"/>
  <c r="H226" i="9"/>
  <c r="G226" i="9"/>
  <c r="I226" i="9" s="1"/>
  <c r="F226" i="9"/>
  <c r="E226" i="9"/>
  <c r="D226" i="9"/>
  <c r="C226" i="9"/>
  <c r="B226" i="9"/>
  <c r="A226" i="9"/>
  <c r="J225" i="9"/>
  <c r="H225" i="9"/>
  <c r="G225" i="9"/>
  <c r="F225" i="9"/>
  <c r="E225" i="9"/>
  <c r="D225" i="9"/>
  <c r="C225" i="9"/>
  <c r="B225" i="9"/>
  <c r="A225" i="9"/>
  <c r="H224" i="9"/>
  <c r="G224" i="9"/>
  <c r="F224" i="9"/>
  <c r="J224" i="9" s="1"/>
  <c r="E224" i="9"/>
  <c r="D224" i="9"/>
  <c r="C224" i="9"/>
  <c r="B224" i="9"/>
  <c r="A224" i="9"/>
  <c r="H223" i="9"/>
  <c r="G223" i="9"/>
  <c r="F223" i="9"/>
  <c r="J223" i="9" s="1"/>
  <c r="E223" i="9"/>
  <c r="D223" i="9"/>
  <c r="C223" i="9"/>
  <c r="B223" i="9"/>
  <c r="A223" i="9"/>
  <c r="H222" i="9"/>
  <c r="G222" i="9"/>
  <c r="I222" i="9" s="1"/>
  <c r="F222" i="9"/>
  <c r="J222" i="9" s="1"/>
  <c r="E222" i="9"/>
  <c r="D222" i="9"/>
  <c r="C222" i="9"/>
  <c r="B222" i="9"/>
  <c r="A222" i="9"/>
  <c r="I221" i="9"/>
  <c r="H221" i="9"/>
  <c r="G221" i="9"/>
  <c r="F221" i="9"/>
  <c r="J221" i="9" s="1"/>
  <c r="E221" i="9"/>
  <c r="D221" i="9"/>
  <c r="C221" i="9"/>
  <c r="B221" i="9"/>
  <c r="A221" i="9"/>
  <c r="H220" i="9"/>
  <c r="G220" i="9"/>
  <c r="F220" i="9"/>
  <c r="J220" i="9" s="1"/>
  <c r="E220" i="9"/>
  <c r="D220" i="9"/>
  <c r="C220" i="9"/>
  <c r="B220" i="9"/>
  <c r="A220" i="9"/>
  <c r="H219" i="9"/>
  <c r="G219" i="9"/>
  <c r="F219" i="9"/>
  <c r="J219" i="9" s="1"/>
  <c r="E219" i="9"/>
  <c r="D219" i="9"/>
  <c r="C219" i="9"/>
  <c r="B219" i="9"/>
  <c r="A219" i="9"/>
  <c r="H218" i="9"/>
  <c r="G218" i="9"/>
  <c r="F218" i="9"/>
  <c r="J218" i="9" s="1"/>
  <c r="E218" i="9"/>
  <c r="D218" i="9"/>
  <c r="C218" i="9"/>
  <c r="B218" i="9"/>
  <c r="A218" i="9"/>
  <c r="J217" i="9"/>
  <c r="H217" i="9"/>
  <c r="G217" i="9"/>
  <c r="I217" i="9" s="1"/>
  <c r="F217" i="9"/>
  <c r="E217" i="9"/>
  <c r="D217" i="9"/>
  <c r="C217" i="9"/>
  <c r="B217" i="9"/>
  <c r="A217" i="9"/>
  <c r="H216" i="9"/>
  <c r="G216" i="9"/>
  <c r="F216" i="9"/>
  <c r="J216" i="9" s="1"/>
  <c r="E216" i="9"/>
  <c r="D216" i="9"/>
  <c r="C216" i="9"/>
  <c r="B216" i="9"/>
  <c r="A216" i="9"/>
  <c r="H215" i="9"/>
  <c r="G215" i="9"/>
  <c r="F215" i="9"/>
  <c r="J215" i="9" s="1"/>
  <c r="E215" i="9"/>
  <c r="I215" i="9" s="1"/>
  <c r="D215" i="9"/>
  <c r="C215" i="9"/>
  <c r="B215" i="9"/>
  <c r="A215" i="9"/>
  <c r="H214" i="9"/>
  <c r="G214" i="9"/>
  <c r="F214" i="9"/>
  <c r="J214" i="9" s="1"/>
  <c r="E214" i="9"/>
  <c r="D214" i="9"/>
  <c r="C214" i="9"/>
  <c r="B214" i="9"/>
  <c r="A214" i="9"/>
  <c r="J213" i="9"/>
  <c r="H213" i="9"/>
  <c r="G213" i="9"/>
  <c r="I213" i="9" s="1"/>
  <c r="F213" i="9"/>
  <c r="E213" i="9"/>
  <c r="D213" i="9"/>
  <c r="C213" i="9"/>
  <c r="B213" i="9"/>
  <c r="A213" i="9"/>
  <c r="H212" i="9"/>
  <c r="G212" i="9"/>
  <c r="I212" i="9" s="1"/>
  <c r="F212" i="9"/>
  <c r="J212" i="9" s="1"/>
  <c r="E212" i="9"/>
  <c r="D212" i="9"/>
  <c r="C212" i="9"/>
  <c r="B212" i="9"/>
  <c r="A212" i="9"/>
  <c r="H211" i="9"/>
  <c r="G211" i="9"/>
  <c r="I211" i="9" s="1"/>
  <c r="F211" i="9"/>
  <c r="J211" i="9" s="1"/>
  <c r="E211" i="9"/>
  <c r="D211" i="9"/>
  <c r="C211" i="9"/>
  <c r="B211" i="9"/>
  <c r="A211" i="9"/>
  <c r="J210" i="9"/>
  <c r="H210" i="9"/>
  <c r="G210" i="9"/>
  <c r="F210" i="9"/>
  <c r="I210" i="9" s="1"/>
  <c r="E210" i="9"/>
  <c r="D210" i="9"/>
  <c r="C210" i="9"/>
  <c r="B210" i="9"/>
  <c r="A210" i="9"/>
  <c r="J209" i="9"/>
  <c r="H209" i="9"/>
  <c r="G209" i="9"/>
  <c r="I209" i="9" s="1"/>
  <c r="F209" i="9"/>
  <c r="E209" i="9"/>
  <c r="D209" i="9"/>
  <c r="C209" i="9"/>
  <c r="B209" i="9"/>
  <c r="A209" i="9"/>
  <c r="H208" i="9"/>
  <c r="G208" i="9"/>
  <c r="F208" i="9"/>
  <c r="J208" i="9" s="1"/>
  <c r="E208" i="9"/>
  <c r="D208" i="9"/>
  <c r="C208" i="9"/>
  <c r="B208" i="9"/>
  <c r="A208" i="9"/>
  <c r="H207" i="9"/>
  <c r="G207" i="9"/>
  <c r="I207" i="9" s="1"/>
  <c r="F207" i="9"/>
  <c r="J207" i="9" s="1"/>
  <c r="E207" i="9"/>
  <c r="D207" i="9"/>
  <c r="C207" i="9"/>
  <c r="B207" i="9"/>
  <c r="A207" i="9"/>
  <c r="J206" i="9"/>
  <c r="H206" i="9"/>
  <c r="G206" i="9"/>
  <c r="F206" i="9"/>
  <c r="E206" i="9"/>
  <c r="I206" i="9" s="1"/>
  <c r="D206" i="9"/>
  <c r="C206" i="9"/>
  <c r="B206" i="9"/>
  <c r="A206" i="9"/>
  <c r="H205" i="9"/>
  <c r="G205" i="9"/>
  <c r="I205" i="9" s="1"/>
  <c r="F205" i="9"/>
  <c r="J205" i="9" s="1"/>
  <c r="E205" i="9"/>
  <c r="D205" i="9"/>
  <c r="C205" i="9"/>
  <c r="B205" i="9"/>
  <c r="A205" i="9"/>
  <c r="H204" i="9"/>
  <c r="G204" i="9"/>
  <c r="I204" i="9" s="1"/>
  <c r="F204" i="9"/>
  <c r="J204" i="9" s="1"/>
  <c r="E204" i="9"/>
  <c r="D204" i="9"/>
  <c r="C204" i="9"/>
  <c r="B204" i="9"/>
  <c r="A204" i="9"/>
  <c r="H203" i="9"/>
  <c r="G203" i="9"/>
  <c r="I203" i="9" s="1"/>
  <c r="F203" i="9"/>
  <c r="J203" i="9" s="1"/>
  <c r="E203" i="9"/>
  <c r="D203" i="9"/>
  <c r="C203" i="9"/>
  <c r="B203" i="9"/>
  <c r="A203" i="9"/>
  <c r="H202" i="9"/>
  <c r="G202" i="9"/>
  <c r="F202" i="9"/>
  <c r="J202" i="9" s="1"/>
  <c r="E202" i="9"/>
  <c r="D202" i="9"/>
  <c r="C202" i="9"/>
  <c r="B202" i="9"/>
  <c r="A202" i="9"/>
  <c r="J201" i="9"/>
  <c r="H201" i="9"/>
  <c r="G201" i="9"/>
  <c r="F201" i="9"/>
  <c r="I201" i="9" s="1"/>
  <c r="E201" i="9"/>
  <c r="D201" i="9"/>
  <c r="C201" i="9"/>
  <c r="B201" i="9"/>
  <c r="A201" i="9"/>
  <c r="H200" i="9"/>
  <c r="G200" i="9"/>
  <c r="F200" i="9"/>
  <c r="J200" i="9" s="1"/>
  <c r="E200" i="9"/>
  <c r="D200" i="9"/>
  <c r="C200" i="9"/>
  <c r="B200" i="9"/>
  <c r="A200" i="9"/>
  <c r="H199" i="9"/>
  <c r="G199" i="9"/>
  <c r="I199" i="9" s="1"/>
  <c r="F199" i="9"/>
  <c r="J199" i="9" s="1"/>
  <c r="E199" i="9"/>
  <c r="D199" i="9"/>
  <c r="C199" i="9"/>
  <c r="B199" i="9"/>
  <c r="A199" i="9"/>
  <c r="H198" i="9"/>
  <c r="G198" i="9"/>
  <c r="F198" i="9"/>
  <c r="J198" i="9" s="1"/>
  <c r="E198" i="9"/>
  <c r="D198" i="9"/>
  <c r="C198" i="9"/>
  <c r="B198" i="9"/>
  <c r="A198" i="9"/>
  <c r="J197" i="9"/>
  <c r="H197" i="9"/>
  <c r="G197" i="9"/>
  <c r="F197" i="9"/>
  <c r="E197" i="9"/>
  <c r="D197" i="9"/>
  <c r="C197" i="9"/>
  <c r="B197" i="9"/>
  <c r="A197" i="9"/>
  <c r="H196" i="9"/>
  <c r="G196" i="9"/>
  <c r="F196" i="9"/>
  <c r="J196" i="9" s="1"/>
  <c r="E196" i="9"/>
  <c r="D196" i="9"/>
  <c r="C196" i="9"/>
  <c r="B196" i="9"/>
  <c r="A196" i="9"/>
  <c r="H195" i="9"/>
  <c r="G195" i="9"/>
  <c r="F195" i="9"/>
  <c r="J195" i="9" s="1"/>
  <c r="E195" i="9"/>
  <c r="I195" i="9" s="1"/>
  <c r="D195" i="9"/>
  <c r="C195" i="9"/>
  <c r="B195" i="9"/>
  <c r="A195" i="9"/>
  <c r="H194" i="9"/>
  <c r="G194" i="9"/>
  <c r="I194" i="9" s="1"/>
  <c r="F194" i="9"/>
  <c r="J194" i="9" s="1"/>
  <c r="E194" i="9"/>
  <c r="D194" i="9"/>
  <c r="C194" i="9"/>
  <c r="B194" i="9"/>
  <c r="A194" i="9"/>
  <c r="J193" i="9"/>
  <c r="H193" i="9"/>
  <c r="G193" i="9"/>
  <c r="F193" i="9"/>
  <c r="E193" i="9"/>
  <c r="D193" i="9"/>
  <c r="C193" i="9"/>
  <c r="B193" i="9"/>
  <c r="A193" i="9"/>
  <c r="H192" i="9"/>
  <c r="G192" i="9"/>
  <c r="F192" i="9"/>
  <c r="J192" i="9" s="1"/>
  <c r="E192" i="9"/>
  <c r="D192" i="9"/>
  <c r="C192" i="9"/>
  <c r="B192" i="9"/>
  <c r="A192" i="9"/>
  <c r="H191" i="9"/>
  <c r="G191" i="9"/>
  <c r="I191" i="9" s="1"/>
  <c r="F191" i="9"/>
  <c r="J191" i="9" s="1"/>
  <c r="E191" i="9"/>
  <c r="D191" i="9"/>
  <c r="C191" i="9"/>
  <c r="B191" i="9"/>
  <c r="A191" i="9"/>
  <c r="J190" i="9"/>
  <c r="H190" i="9"/>
  <c r="G190" i="9"/>
  <c r="I190" i="9" s="1"/>
  <c r="F190" i="9"/>
  <c r="E190" i="9"/>
  <c r="D190" i="9"/>
  <c r="C190" i="9"/>
  <c r="B190" i="9"/>
  <c r="A190" i="9"/>
  <c r="J189" i="9"/>
  <c r="H189" i="9"/>
  <c r="G189" i="9"/>
  <c r="F189" i="9"/>
  <c r="E189" i="9"/>
  <c r="I189" i="9" s="1"/>
  <c r="D189" i="9"/>
  <c r="C189" i="9"/>
  <c r="B189" i="9"/>
  <c r="A189" i="9"/>
  <c r="H188" i="9"/>
  <c r="G188" i="9"/>
  <c r="F188" i="9"/>
  <c r="J188" i="9" s="1"/>
  <c r="E188" i="9"/>
  <c r="D188" i="9"/>
  <c r="C188" i="9"/>
  <c r="B188" i="9"/>
  <c r="A188" i="9"/>
  <c r="H187" i="9"/>
  <c r="G187" i="9"/>
  <c r="F187" i="9"/>
  <c r="J187" i="9" s="1"/>
  <c r="E187" i="9"/>
  <c r="D187" i="9"/>
  <c r="C187" i="9"/>
  <c r="B187" i="9"/>
  <c r="A187" i="9"/>
  <c r="H186" i="9"/>
  <c r="G186" i="9"/>
  <c r="F186" i="9"/>
  <c r="J186" i="9" s="1"/>
  <c r="E186" i="9"/>
  <c r="D186" i="9"/>
  <c r="C186" i="9"/>
  <c r="B186" i="9"/>
  <c r="A186" i="9"/>
  <c r="H185" i="9"/>
  <c r="G185" i="9"/>
  <c r="I185" i="9" s="1"/>
  <c r="F185" i="9"/>
  <c r="J185" i="9" s="1"/>
  <c r="E185" i="9"/>
  <c r="D185" i="9"/>
  <c r="C185" i="9"/>
  <c r="B185" i="9"/>
  <c r="A185" i="9"/>
  <c r="H184" i="9"/>
  <c r="G184" i="9"/>
  <c r="F184" i="9"/>
  <c r="J184" i="9" s="1"/>
  <c r="E184" i="9"/>
  <c r="D184" i="9"/>
  <c r="C184" i="9"/>
  <c r="B184" i="9"/>
  <c r="A184" i="9"/>
  <c r="I183" i="9"/>
  <c r="H183" i="9"/>
  <c r="G183" i="9"/>
  <c r="F183" i="9"/>
  <c r="J183" i="9" s="1"/>
  <c r="E183" i="9"/>
  <c r="D183" i="9"/>
  <c r="C183" i="9"/>
  <c r="B183" i="9"/>
  <c r="A183" i="9"/>
  <c r="H182" i="9"/>
  <c r="G182" i="9"/>
  <c r="F182" i="9"/>
  <c r="J182" i="9" s="1"/>
  <c r="E182" i="9"/>
  <c r="D182" i="9"/>
  <c r="C182" i="9"/>
  <c r="B182" i="9"/>
  <c r="A182" i="9"/>
  <c r="J181" i="9"/>
  <c r="H181" i="9"/>
  <c r="G181" i="9"/>
  <c r="I181" i="9" s="1"/>
  <c r="F181" i="9"/>
  <c r="E181" i="9"/>
  <c r="D181" i="9"/>
  <c r="C181" i="9"/>
  <c r="B181" i="9"/>
  <c r="A181" i="9"/>
  <c r="H180" i="9"/>
  <c r="G180" i="9"/>
  <c r="I180" i="9" s="1"/>
  <c r="F180" i="9"/>
  <c r="J180" i="9" s="1"/>
  <c r="E180" i="9"/>
  <c r="D180" i="9"/>
  <c r="C180" i="9"/>
  <c r="B180" i="9"/>
  <c r="A180" i="9"/>
  <c r="H179" i="9"/>
  <c r="G179" i="9"/>
  <c r="I179" i="9" s="1"/>
  <c r="F179" i="9"/>
  <c r="J179" i="9" s="1"/>
  <c r="E179" i="9"/>
  <c r="D179" i="9"/>
  <c r="C179" i="9"/>
  <c r="B179" i="9"/>
  <c r="A179" i="9"/>
  <c r="H178" i="9"/>
  <c r="G178" i="9"/>
  <c r="F178" i="9"/>
  <c r="J178" i="9" s="1"/>
  <c r="E178" i="9"/>
  <c r="I178" i="9" s="1"/>
  <c r="D178" i="9"/>
  <c r="C178" i="9"/>
  <c r="B178" i="9"/>
  <c r="A178" i="9"/>
  <c r="J177" i="9"/>
  <c r="H177" i="9"/>
  <c r="G177" i="9"/>
  <c r="I177" i="9" s="1"/>
  <c r="F177" i="9"/>
  <c r="E177" i="9"/>
  <c r="D177" i="9"/>
  <c r="C177" i="9"/>
  <c r="B177" i="9"/>
  <c r="A177" i="9"/>
  <c r="H176" i="9"/>
  <c r="G176" i="9"/>
  <c r="F176" i="9"/>
  <c r="J176" i="9" s="1"/>
  <c r="E176" i="9"/>
  <c r="D176" i="9"/>
  <c r="C176" i="9"/>
  <c r="B176" i="9"/>
  <c r="A176" i="9"/>
  <c r="H175" i="9"/>
  <c r="G175" i="9"/>
  <c r="I175" i="9" s="1"/>
  <c r="F175" i="9"/>
  <c r="J175" i="9" s="1"/>
  <c r="E175" i="9"/>
  <c r="D175" i="9"/>
  <c r="C175" i="9"/>
  <c r="B175" i="9"/>
  <c r="A175" i="9"/>
  <c r="I174" i="9"/>
  <c r="H174" i="9"/>
  <c r="G174" i="9"/>
  <c r="F174" i="9"/>
  <c r="J174" i="9" s="1"/>
  <c r="E174" i="9"/>
  <c r="D174" i="9"/>
  <c r="C174" i="9"/>
  <c r="B174" i="9"/>
  <c r="A174" i="9"/>
  <c r="I173" i="9"/>
  <c r="H173" i="9"/>
  <c r="G173" i="9"/>
  <c r="F173" i="9"/>
  <c r="J173" i="9" s="1"/>
  <c r="E173" i="9"/>
  <c r="D173" i="9"/>
  <c r="C173" i="9"/>
  <c r="B173" i="9"/>
  <c r="A173" i="9"/>
  <c r="H172" i="9"/>
  <c r="G172" i="9"/>
  <c r="F172" i="9"/>
  <c r="J172" i="9" s="1"/>
  <c r="E172" i="9"/>
  <c r="D172" i="9"/>
  <c r="C172" i="9"/>
  <c r="B172" i="9"/>
  <c r="A172" i="9"/>
  <c r="H171" i="9"/>
  <c r="G171" i="9"/>
  <c r="F171" i="9"/>
  <c r="J171" i="9" s="1"/>
  <c r="E171" i="9"/>
  <c r="D171" i="9"/>
  <c r="C171" i="9"/>
  <c r="B171" i="9"/>
  <c r="A171" i="9"/>
  <c r="J170" i="9"/>
  <c r="H170" i="9"/>
  <c r="G170" i="9"/>
  <c r="I170" i="9" s="1"/>
  <c r="F170" i="9"/>
  <c r="E170" i="9"/>
  <c r="D170" i="9"/>
  <c r="C170" i="9"/>
  <c r="B170" i="9"/>
  <c r="A170" i="9"/>
  <c r="J169" i="9"/>
  <c r="H169" i="9"/>
  <c r="G169" i="9"/>
  <c r="F169" i="9"/>
  <c r="E169" i="9"/>
  <c r="I169" i="9" s="1"/>
  <c r="D169" i="9"/>
  <c r="C169" i="9"/>
  <c r="B169" i="9"/>
  <c r="A169" i="9"/>
  <c r="H168" i="9"/>
  <c r="G168" i="9"/>
  <c r="F168" i="9"/>
  <c r="J168" i="9" s="1"/>
  <c r="E168" i="9"/>
  <c r="I168" i="9" s="1"/>
  <c r="D168" i="9"/>
  <c r="C168" i="9"/>
  <c r="B168" i="9"/>
  <c r="A168" i="9"/>
  <c r="H167" i="9"/>
  <c r="G167" i="9"/>
  <c r="F167" i="9"/>
  <c r="J167" i="9" s="1"/>
  <c r="E167" i="9"/>
  <c r="I167" i="9" s="1"/>
  <c r="D167" i="9"/>
  <c r="C167" i="9"/>
  <c r="B167" i="9"/>
  <c r="A167" i="9"/>
  <c r="J166" i="9"/>
  <c r="H166" i="9"/>
  <c r="G166" i="9"/>
  <c r="I166" i="9" s="1"/>
  <c r="F166" i="9"/>
  <c r="E166" i="9"/>
  <c r="D166" i="9"/>
  <c r="C166" i="9"/>
  <c r="B166" i="9"/>
  <c r="A166" i="9"/>
  <c r="H165" i="9"/>
  <c r="G165" i="9"/>
  <c r="I165" i="9" s="1"/>
  <c r="F165" i="9"/>
  <c r="J165" i="9" s="1"/>
  <c r="E165" i="9"/>
  <c r="D165" i="9"/>
  <c r="C165" i="9"/>
  <c r="B165" i="9"/>
  <c r="A165" i="9"/>
  <c r="H164" i="9"/>
  <c r="G164" i="9"/>
  <c r="F164" i="9"/>
  <c r="J164" i="9" s="1"/>
  <c r="E164" i="9"/>
  <c r="D164" i="9"/>
  <c r="C164" i="9"/>
  <c r="B164" i="9"/>
  <c r="A164" i="9"/>
  <c r="I163" i="9"/>
  <c r="H163" i="9"/>
  <c r="G163" i="9"/>
  <c r="F163" i="9"/>
  <c r="J163" i="9" s="1"/>
  <c r="E163" i="9"/>
  <c r="D163" i="9"/>
  <c r="C163" i="9"/>
  <c r="B163" i="9"/>
  <c r="A163" i="9"/>
  <c r="J162" i="9"/>
  <c r="H162" i="9"/>
  <c r="G162" i="9"/>
  <c r="I162" i="9" s="1"/>
  <c r="F162" i="9"/>
  <c r="E162" i="9"/>
  <c r="D162" i="9"/>
  <c r="C162" i="9"/>
  <c r="B162" i="9"/>
  <c r="A162" i="9"/>
  <c r="H161" i="9"/>
  <c r="G161" i="9"/>
  <c r="F161" i="9"/>
  <c r="J161" i="9" s="1"/>
  <c r="E161" i="9"/>
  <c r="D161" i="9"/>
  <c r="C161" i="9"/>
  <c r="B161" i="9"/>
  <c r="A161" i="9"/>
  <c r="H160" i="9"/>
  <c r="G160" i="9"/>
  <c r="F160" i="9"/>
  <c r="J160" i="9" s="1"/>
  <c r="E160" i="9"/>
  <c r="D160" i="9"/>
  <c r="C160" i="9"/>
  <c r="B160" i="9"/>
  <c r="A160" i="9"/>
  <c r="H159" i="9"/>
  <c r="G159" i="9"/>
  <c r="F159" i="9"/>
  <c r="J159" i="9" s="1"/>
  <c r="E159" i="9"/>
  <c r="D159" i="9"/>
  <c r="C159" i="9"/>
  <c r="B159" i="9"/>
  <c r="A159" i="9"/>
  <c r="H158" i="9"/>
  <c r="G158" i="9"/>
  <c r="F158" i="9"/>
  <c r="J158" i="9" s="1"/>
  <c r="E158" i="9"/>
  <c r="I158" i="9" s="1"/>
  <c r="D158" i="9"/>
  <c r="C158" i="9"/>
  <c r="B158" i="9"/>
  <c r="A158" i="9"/>
  <c r="H157" i="9"/>
  <c r="G157" i="9"/>
  <c r="I157" i="9" s="1"/>
  <c r="F157" i="9"/>
  <c r="J157" i="9" s="1"/>
  <c r="E157" i="9"/>
  <c r="D157" i="9"/>
  <c r="C157" i="9"/>
  <c r="B157" i="9"/>
  <c r="A157" i="9"/>
  <c r="H156" i="9"/>
  <c r="G156" i="9"/>
  <c r="F156" i="9"/>
  <c r="J156" i="9" s="1"/>
  <c r="E156" i="9"/>
  <c r="D156" i="9"/>
  <c r="C156" i="9"/>
  <c r="B156" i="9"/>
  <c r="A156" i="9"/>
  <c r="H155" i="9"/>
  <c r="G155" i="9"/>
  <c r="F155" i="9"/>
  <c r="J155" i="9" s="1"/>
  <c r="E155" i="9"/>
  <c r="D155" i="9"/>
  <c r="C155" i="9"/>
  <c r="B155" i="9"/>
  <c r="A155" i="9"/>
  <c r="J154" i="9"/>
  <c r="H154" i="9"/>
  <c r="G154" i="9"/>
  <c r="I154" i="9" s="1"/>
  <c r="F154" i="9"/>
  <c r="E154" i="9"/>
  <c r="D154" i="9"/>
  <c r="C154" i="9"/>
  <c r="B154" i="9"/>
  <c r="A154" i="9"/>
  <c r="J153" i="9"/>
  <c r="I153" i="9"/>
  <c r="H153" i="9"/>
  <c r="G153" i="9"/>
  <c r="F153" i="9"/>
  <c r="E153" i="9"/>
  <c r="D153" i="9"/>
  <c r="C153" i="9"/>
  <c r="B153" i="9"/>
  <c r="A153" i="9"/>
  <c r="H152" i="9"/>
  <c r="G152" i="9"/>
  <c r="F152" i="9"/>
  <c r="J152" i="9" s="1"/>
  <c r="E152" i="9"/>
  <c r="D152" i="9"/>
  <c r="C152" i="9"/>
  <c r="B152" i="9"/>
  <c r="A152" i="9"/>
  <c r="H151" i="9"/>
  <c r="G151" i="9"/>
  <c r="I151" i="9" s="1"/>
  <c r="F151" i="9"/>
  <c r="J151" i="9" s="1"/>
  <c r="E151" i="9"/>
  <c r="D151" i="9"/>
  <c r="C151" i="9"/>
  <c r="B151" i="9"/>
  <c r="A151" i="9"/>
  <c r="J150" i="9"/>
  <c r="H150" i="9"/>
  <c r="G150" i="9"/>
  <c r="F150" i="9"/>
  <c r="E150" i="9"/>
  <c r="D150" i="9"/>
  <c r="C150" i="9"/>
  <c r="B150" i="9"/>
  <c r="A150" i="9"/>
  <c r="H149" i="9"/>
  <c r="G149" i="9"/>
  <c r="F149" i="9"/>
  <c r="J149" i="9" s="1"/>
  <c r="E149" i="9"/>
  <c r="D149" i="9"/>
  <c r="C149" i="9"/>
  <c r="B149" i="9"/>
  <c r="A149" i="9"/>
  <c r="H148" i="9"/>
  <c r="G148" i="9"/>
  <c r="F148" i="9"/>
  <c r="J148" i="9" s="1"/>
  <c r="E148" i="9"/>
  <c r="D148" i="9"/>
  <c r="C148" i="9"/>
  <c r="B148" i="9"/>
  <c r="A148" i="9"/>
  <c r="H147" i="9"/>
  <c r="G147" i="9"/>
  <c r="I147" i="9" s="1"/>
  <c r="F147" i="9"/>
  <c r="J147" i="9" s="1"/>
  <c r="E147" i="9"/>
  <c r="D147" i="9"/>
  <c r="C147" i="9"/>
  <c r="B147" i="9"/>
  <c r="A147" i="9"/>
  <c r="J146" i="9"/>
  <c r="I146" i="9"/>
  <c r="H146" i="9"/>
  <c r="G146" i="9"/>
  <c r="F146" i="9"/>
  <c r="E146" i="9"/>
  <c r="D146" i="9"/>
  <c r="C146" i="9"/>
  <c r="B146" i="9"/>
  <c r="A146" i="9"/>
  <c r="H145" i="9"/>
  <c r="G145" i="9"/>
  <c r="F145" i="9"/>
  <c r="J145" i="9" s="1"/>
  <c r="E145" i="9"/>
  <c r="D145" i="9"/>
  <c r="C145" i="9"/>
  <c r="B145" i="9"/>
  <c r="A145" i="9"/>
  <c r="I144" i="9"/>
  <c r="H144" i="9"/>
  <c r="G144" i="9"/>
  <c r="F144" i="9"/>
  <c r="J144" i="9" s="1"/>
  <c r="E144" i="9"/>
  <c r="D144" i="9"/>
  <c r="C144" i="9"/>
  <c r="B144" i="9"/>
  <c r="A144" i="9"/>
  <c r="H143" i="9"/>
  <c r="G143" i="9"/>
  <c r="I143" i="9" s="1"/>
  <c r="F143" i="9"/>
  <c r="J143" i="9" s="1"/>
  <c r="E143" i="9"/>
  <c r="D143" i="9"/>
  <c r="C143" i="9"/>
  <c r="B143" i="9"/>
  <c r="A143" i="9"/>
  <c r="I142" i="9"/>
  <c r="H142" i="9"/>
  <c r="G142" i="9"/>
  <c r="F142" i="9"/>
  <c r="J142" i="9" s="1"/>
  <c r="E142" i="9"/>
  <c r="D142" i="9"/>
  <c r="C142" i="9"/>
  <c r="B142" i="9"/>
  <c r="A142" i="9"/>
  <c r="H141" i="9"/>
  <c r="G141" i="9"/>
  <c r="F141" i="9"/>
  <c r="J141" i="9" s="1"/>
  <c r="E141" i="9"/>
  <c r="I141" i="9" s="1"/>
  <c r="D141" i="9"/>
  <c r="C141" i="9"/>
  <c r="B141" i="9"/>
  <c r="A141" i="9"/>
  <c r="H140" i="9"/>
  <c r="G140" i="9"/>
  <c r="F140" i="9"/>
  <c r="J140" i="9" s="1"/>
  <c r="E140" i="9"/>
  <c r="D140" i="9"/>
  <c r="C140" i="9"/>
  <c r="B140" i="9"/>
  <c r="A140" i="9"/>
  <c r="H139" i="9"/>
  <c r="G139" i="9"/>
  <c r="F139" i="9"/>
  <c r="J139" i="9" s="1"/>
  <c r="E139" i="9"/>
  <c r="D139" i="9"/>
  <c r="C139" i="9"/>
  <c r="B139" i="9"/>
  <c r="A139" i="9"/>
  <c r="H138" i="9"/>
  <c r="G138" i="9"/>
  <c r="F138" i="9"/>
  <c r="J138" i="9" s="1"/>
  <c r="E138" i="9"/>
  <c r="D138" i="9"/>
  <c r="C138" i="9"/>
  <c r="B138" i="9"/>
  <c r="A138" i="9"/>
  <c r="H137" i="9"/>
  <c r="G137" i="9"/>
  <c r="I137" i="9" s="1"/>
  <c r="F137" i="9"/>
  <c r="J137" i="9" s="1"/>
  <c r="E137" i="9"/>
  <c r="D137" i="9"/>
  <c r="C137" i="9"/>
  <c r="B137" i="9"/>
  <c r="A137" i="9"/>
  <c r="J136" i="9"/>
  <c r="H136" i="9"/>
  <c r="G136" i="9"/>
  <c r="I136" i="9" s="1"/>
  <c r="F136" i="9"/>
  <c r="E136" i="9"/>
  <c r="D136" i="9"/>
  <c r="C136" i="9"/>
  <c r="B136" i="9"/>
  <c r="A136" i="9"/>
  <c r="H135" i="9"/>
  <c r="G135" i="9"/>
  <c r="F135" i="9"/>
  <c r="J135" i="9" s="1"/>
  <c r="E135" i="9"/>
  <c r="D135" i="9"/>
  <c r="C135" i="9"/>
  <c r="B135" i="9"/>
  <c r="A135" i="9"/>
  <c r="H134" i="9"/>
  <c r="G134" i="9"/>
  <c r="I134" i="9" s="1"/>
  <c r="F134" i="9"/>
  <c r="J134" i="9" s="1"/>
  <c r="E134" i="9"/>
  <c r="D134" i="9"/>
  <c r="C134" i="9"/>
  <c r="B134" i="9"/>
  <c r="A134" i="9"/>
  <c r="H133" i="9"/>
  <c r="G133" i="9"/>
  <c r="F133" i="9"/>
  <c r="J133" i="9" s="1"/>
  <c r="E133" i="9"/>
  <c r="D133" i="9"/>
  <c r="C133" i="9"/>
  <c r="B133" i="9"/>
  <c r="A133" i="9"/>
  <c r="J132" i="9"/>
  <c r="H132" i="9"/>
  <c r="G132" i="9"/>
  <c r="I132" i="9" s="1"/>
  <c r="F132" i="9"/>
  <c r="E132" i="9"/>
  <c r="D132" i="9"/>
  <c r="C132" i="9"/>
  <c r="B132" i="9"/>
  <c r="A132" i="9"/>
  <c r="H131" i="9"/>
  <c r="G131" i="9"/>
  <c r="I131" i="9" s="1"/>
  <c r="F131" i="9"/>
  <c r="J131" i="9" s="1"/>
  <c r="E131" i="9"/>
  <c r="D131" i="9"/>
  <c r="C131" i="9"/>
  <c r="B131" i="9"/>
  <c r="A131" i="9"/>
  <c r="H130" i="9"/>
  <c r="G130" i="9"/>
  <c r="F130" i="9"/>
  <c r="J130" i="9" s="1"/>
  <c r="E130" i="9"/>
  <c r="D130" i="9"/>
  <c r="C130" i="9"/>
  <c r="B130" i="9"/>
  <c r="A130" i="9"/>
  <c r="J129" i="9"/>
  <c r="H129" i="9"/>
  <c r="G129" i="9"/>
  <c r="F129" i="9"/>
  <c r="E129" i="9"/>
  <c r="I129" i="9" s="1"/>
  <c r="D129" i="9"/>
  <c r="C129" i="9"/>
  <c r="B129" i="9"/>
  <c r="A129" i="9"/>
  <c r="H128" i="9"/>
  <c r="G128" i="9"/>
  <c r="F128" i="9"/>
  <c r="J128" i="9" s="1"/>
  <c r="E128" i="9"/>
  <c r="D128" i="9"/>
  <c r="C128" i="9"/>
  <c r="B128" i="9"/>
  <c r="A128" i="9"/>
  <c r="H127" i="9"/>
  <c r="G127" i="9"/>
  <c r="F127" i="9"/>
  <c r="J127" i="9" s="1"/>
  <c r="E127" i="9"/>
  <c r="D127" i="9"/>
  <c r="C127" i="9"/>
  <c r="B127" i="9"/>
  <c r="A127" i="9"/>
  <c r="H126" i="9"/>
  <c r="G126" i="9"/>
  <c r="F126" i="9"/>
  <c r="J126" i="9" s="1"/>
  <c r="E126" i="9"/>
  <c r="D126" i="9"/>
  <c r="C126" i="9"/>
  <c r="B126" i="9"/>
  <c r="A126" i="9"/>
  <c r="J125" i="9"/>
  <c r="H125" i="9"/>
  <c r="G125" i="9"/>
  <c r="F125" i="9"/>
  <c r="E125" i="9"/>
  <c r="D125" i="9"/>
  <c r="C125" i="9"/>
  <c r="B125" i="9"/>
  <c r="A125" i="9"/>
  <c r="H124" i="9"/>
  <c r="G124" i="9"/>
  <c r="F124" i="9"/>
  <c r="J124" i="9" s="1"/>
  <c r="E124" i="9"/>
  <c r="D124" i="9"/>
  <c r="C124" i="9"/>
  <c r="B124" i="9"/>
  <c r="A124" i="9"/>
  <c r="I123" i="9"/>
  <c r="H123" i="9"/>
  <c r="G123" i="9"/>
  <c r="F123" i="9"/>
  <c r="J123" i="9" s="1"/>
  <c r="E123" i="9"/>
  <c r="D123" i="9"/>
  <c r="C123" i="9"/>
  <c r="B123" i="9"/>
  <c r="A123" i="9"/>
  <c r="H122" i="9"/>
  <c r="G122" i="9"/>
  <c r="I122" i="9" s="1"/>
  <c r="F122" i="9"/>
  <c r="J122" i="9" s="1"/>
  <c r="E122" i="9"/>
  <c r="D122" i="9"/>
  <c r="C122" i="9"/>
  <c r="B122" i="9"/>
  <c r="A122" i="9"/>
  <c r="H121" i="9"/>
  <c r="G121" i="9"/>
  <c r="F121" i="9"/>
  <c r="J121" i="9" s="1"/>
  <c r="E121" i="9"/>
  <c r="D121" i="9"/>
  <c r="C121" i="9"/>
  <c r="B121" i="9"/>
  <c r="A121" i="9"/>
  <c r="J120" i="9"/>
  <c r="H120" i="9"/>
  <c r="G120" i="9"/>
  <c r="I120" i="9" s="1"/>
  <c r="F120" i="9"/>
  <c r="E120" i="9"/>
  <c r="D120" i="9"/>
  <c r="C120" i="9"/>
  <c r="B120" i="9"/>
  <c r="A120" i="9"/>
  <c r="H119" i="9"/>
  <c r="G119" i="9"/>
  <c r="F119" i="9"/>
  <c r="J119" i="9" s="1"/>
  <c r="E119" i="9"/>
  <c r="D119" i="9"/>
  <c r="C119" i="9"/>
  <c r="B119" i="9"/>
  <c r="A119" i="9"/>
  <c r="H118" i="9"/>
  <c r="G118" i="9"/>
  <c r="I118" i="9" s="1"/>
  <c r="F118" i="9"/>
  <c r="J118" i="9" s="1"/>
  <c r="E118" i="9"/>
  <c r="D118" i="9"/>
  <c r="C118" i="9"/>
  <c r="B118" i="9"/>
  <c r="A118" i="9"/>
  <c r="H117" i="9"/>
  <c r="G117" i="9"/>
  <c r="F117" i="9"/>
  <c r="J117" i="9" s="1"/>
  <c r="E117" i="9"/>
  <c r="D117" i="9"/>
  <c r="C117" i="9"/>
  <c r="B117" i="9"/>
  <c r="A117" i="9"/>
  <c r="J116" i="9"/>
  <c r="H116" i="9"/>
  <c r="G116" i="9"/>
  <c r="F116" i="9"/>
  <c r="E116" i="9"/>
  <c r="D116" i="9"/>
  <c r="C116" i="9"/>
  <c r="B116" i="9"/>
  <c r="A116" i="9"/>
  <c r="H115" i="9"/>
  <c r="G115" i="9"/>
  <c r="F115" i="9"/>
  <c r="J115" i="9" s="1"/>
  <c r="E115" i="9"/>
  <c r="D115" i="9"/>
  <c r="C115" i="9"/>
  <c r="B115" i="9"/>
  <c r="A115" i="9"/>
  <c r="H114" i="9"/>
  <c r="G114" i="9"/>
  <c r="F114" i="9"/>
  <c r="J114" i="9" s="1"/>
  <c r="E114" i="9"/>
  <c r="D114" i="9"/>
  <c r="C114" i="9"/>
  <c r="B114" i="9"/>
  <c r="A114" i="9"/>
  <c r="H113" i="9"/>
  <c r="G113" i="9"/>
  <c r="F113" i="9"/>
  <c r="J113" i="9" s="1"/>
  <c r="E113" i="9"/>
  <c r="D113" i="9"/>
  <c r="C113" i="9"/>
  <c r="B113" i="9"/>
  <c r="A113" i="9"/>
  <c r="J112" i="9"/>
  <c r="H112" i="9"/>
  <c r="G112" i="9"/>
  <c r="I112" i="9" s="1"/>
  <c r="F112" i="9"/>
  <c r="E112" i="9"/>
  <c r="D112" i="9"/>
  <c r="C112" i="9"/>
  <c r="B112" i="9"/>
  <c r="A112" i="9"/>
  <c r="H111" i="9"/>
  <c r="G111" i="9"/>
  <c r="F111" i="9"/>
  <c r="J111" i="9" s="1"/>
  <c r="E111" i="9"/>
  <c r="D111" i="9"/>
  <c r="C111" i="9"/>
  <c r="B111" i="9"/>
  <c r="A111" i="9"/>
  <c r="H110" i="9"/>
  <c r="G110" i="9"/>
  <c r="I110" i="9" s="1"/>
  <c r="F110" i="9"/>
  <c r="J110" i="9" s="1"/>
  <c r="E110" i="9"/>
  <c r="D110" i="9"/>
  <c r="C110" i="9"/>
  <c r="B110" i="9"/>
  <c r="A110" i="9"/>
  <c r="H109" i="9"/>
  <c r="G109" i="9"/>
  <c r="F109" i="9"/>
  <c r="J109" i="9" s="1"/>
  <c r="E109" i="9"/>
  <c r="D109" i="9"/>
  <c r="C109" i="9"/>
  <c r="B109" i="9"/>
  <c r="A109" i="9"/>
  <c r="J108" i="9"/>
  <c r="H108" i="9"/>
  <c r="G108" i="9"/>
  <c r="I108" i="9" s="1"/>
  <c r="F108" i="9"/>
  <c r="E108" i="9"/>
  <c r="D108" i="9"/>
  <c r="C108" i="9"/>
  <c r="B108" i="9"/>
  <c r="A108" i="9"/>
  <c r="I107" i="9"/>
  <c r="H107" i="9"/>
  <c r="G107" i="9"/>
  <c r="F107" i="9"/>
  <c r="J107" i="9" s="1"/>
  <c r="E107" i="9"/>
  <c r="D107" i="9"/>
  <c r="C107" i="9"/>
  <c r="B107" i="9"/>
  <c r="A107" i="9"/>
  <c r="H106" i="9"/>
  <c r="G106" i="9"/>
  <c r="F106" i="9"/>
  <c r="J106" i="9" s="1"/>
  <c r="E106" i="9"/>
  <c r="D106" i="9"/>
  <c r="C106" i="9"/>
  <c r="B106" i="9"/>
  <c r="A106" i="9"/>
  <c r="J105" i="9"/>
  <c r="H105" i="9"/>
  <c r="G105" i="9"/>
  <c r="F105" i="9"/>
  <c r="E105" i="9"/>
  <c r="D105" i="9"/>
  <c r="C105" i="9"/>
  <c r="B105" i="9"/>
  <c r="A105" i="9"/>
  <c r="H104" i="9"/>
  <c r="G104" i="9"/>
  <c r="F104" i="9"/>
  <c r="J104" i="9" s="1"/>
  <c r="E104" i="9"/>
  <c r="D104" i="9"/>
  <c r="C104" i="9"/>
  <c r="B104" i="9"/>
  <c r="A104" i="9"/>
  <c r="H103" i="9"/>
  <c r="G103" i="9"/>
  <c r="F103" i="9"/>
  <c r="J103" i="9" s="1"/>
  <c r="E103" i="9"/>
  <c r="D103" i="9"/>
  <c r="C103" i="9"/>
  <c r="B103" i="9"/>
  <c r="A103" i="9"/>
  <c r="H102" i="9"/>
  <c r="G102" i="9"/>
  <c r="F102" i="9"/>
  <c r="J102" i="9" s="1"/>
  <c r="E102" i="9"/>
  <c r="D102" i="9"/>
  <c r="C102" i="9"/>
  <c r="B102" i="9"/>
  <c r="A102" i="9"/>
  <c r="J101" i="9"/>
  <c r="H101" i="9"/>
  <c r="G101" i="9"/>
  <c r="F101" i="9"/>
  <c r="E101" i="9"/>
  <c r="I101" i="9" s="1"/>
  <c r="D101" i="9"/>
  <c r="C101" i="9"/>
  <c r="B101" i="9"/>
  <c r="A101" i="9"/>
  <c r="H100" i="9"/>
  <c r="G100" i="9"/>
  <c r="F100" i="9"/>
  <c r="J100" i="9" s="1"/>
  <c r="E100" i="9"/>
  <c r="D100" i="9"/>
  <c r="C100" i="9"/>
  <c r="B100" i="9"/>
  <c r="A100" i="9"/>
  <c r="H99" i="9"/>
  <c r="G99" i="9"/>
  <c r="F99" i="9"/>
  <c r="J99" i="9" s="1"/>
  <c r="E99" i="9"/>
  <c r="D99" i="9"/>
  <c r="C99" i="9"/>
  <c r="B99" i="9"/>
  <c r="A99" i="9"/>
  <c r="H98" i="9"/>
  <c r="G98" i="9"/>
  <c r="F98" i="9"/>
  <c r="J98" i="9" s="1"/>
  <c r="E98" i="9"/>
  <c r="D98" i="9"/>
  <c r="C98" i="9"/>
  <c r="B98" i="9"/>
  <c r="A98" i="9"/>
  <c r="J97" i="9"/>
  <c r="H97" i="9"/>
  <c r="G97" i="9"/>
  <c r="F97" i="9"/>
  <c r="E97" i="9"/>
  <c r="D97" i="9"/>
  <c r="C97" i="9"/>
  <c r="B97" i="9"/>
  <c r="A97" i="9"/>
  <c r="H96" i="9"/>
  <c r="G96" i="9"/>
  <c r="F96" i="9"/>
  <c r="J96" i="9" s="1"/>
  <c r="E96" i="9"/>
  <c r="D96" i="9"/>
  <c r="C96" i="9"/>
  <c r="B96" i="9"/>
  <c r="A96" i="9"/>
  <c r="I95" i="9"/>
  <c r="H95" i="9"/>
  <c r="G95" i="9"/>
  <c r="F95" i="9"/>
  <c r="J95" i="9" s="1"/>
  <c r="E95" i="9"/>
  <c r="D95" i="9"/>
  <c r="C95" i="9"/>
  <c r="B95" i="9"/>
  <c r="A95" i="9"/>
  <c r="H94" i="9"/>
  <c r="G94" i="9"/>
  <c r="I94" i="9" s="1"/>
  <c r="F94" i="9"/>
  <c r="J94" i="9" s="1"/>
  <c r="E94" i="9"/>
  <c r="D94" i="9"/>
  <c r="C94" i="9"/>
  <c r="B94" i="9"/>
  <c r="A94" i="9"/>
  <c r="H93" i="9"/>
  <c r="G93" i="9"/>
  <c r="F93" i="9"/>
  <c r="J93" i="9" s="1"/>
  <c r="E93" i="9"/>
  <c r="D93" i="9"/>
  <c r="C93" i="9"/>
  <c r="B93" i="9"/>
  <c r="A93" i="9"/>
  <c r="J92" i="9"/>
  <c r="H92" i="9"/>
  <c r="G92" i="9"/>
  <c r="I92" i="9" s="1"/>
  <c r="F92" i="9"/>
  <c r="E92" i="9"/>
  <c r="D92" i="9"/>
  <c r="C92" i="9"/>
  <c r="B92" i="9"/>
  <c r="A92" i="9"/>
  <c r="H91" i="9"/>
  <c r="G91" i="9"/>
  <c r="F91" i="9"/>
  <c r="J91" i="9" s="1"/>
  <c r="E91" i="9"/>
  <c r="D91" i="9"/>
  <c r="C91" i="9"/>
  <c r="B91" i="9"/>
  <c r="A91" i="9"/>
  <c r="H90" i="9"/>
  <c r="G90" i="9"/>
  <c r="I90" i="9" s="1"/>
  <c r="F90" i="9"/>
  <c r="J90" i="9" s="1"/>
  <c r="E90" i="9"/>
  <c r="D90" i="9"/>
  <c r="C90" i="9"/>
  <c r="B90" i="9"/>
  <c r="A90" i="9"/>
  <c r="J89" i="9"/>
  <c r="I89" i="9"/>
  <c r="H89" i="9"/>
  <c r="G89" i="9"/>
  <c r="F89" i="9"/>
  <c r="E89" i="9"/>
  <c r="D89" i="9"/>
  <c r="C89" i="9"/>
  <c r="B89" i="9"/>
  <c r="A89" i="9"/>
  <c r="H88" i="9"/>
  <c r="G88" i="9"/>
  <c r="F88" i="9"/>
  <c r="J88" i="9" s="1"/>
  <c r="E88" i="9"/>
  <c r="D88" i="9"/>
  <c r="C88" i="9"/>
  <c r="B88" i="9"/>
  <c r="A88" i="9"/>
  <c r="H87" i="9"/>
  <c r="G87" i="9"/>
  <c r="F87" i="9"/>
  <c r="J87" i="9" s="1"/>
  <c r="E87" i="9"/>
  <c r="D87" i="9"/>
  <c r="C87" i="9"/>
  <c r="B87" i="9"/>
  <c r="A87" i="9"/>
  <c r="H86" i="9"/>
  <c r="G86" i="9"/>
  <c r="F86" i="9"/>
  <c r="J86" i="9" s="1"/>
  <c r="E86" i="9"/>
  <c r="D86" i="9"/>
  <c r="C86" i="9"/>
  <c r="B86" i="9"/>
  <c r="A86" i="9"/>
  <c r="H85" i="9"/>
  <c r="G85" i="9"/>
  <c r="I85" i="9" s="1"/>
  <c r="F85" i="9"/>
  <c r="J85" i="9" s="1"/>
  <c r="E85" i="9"/>
  <c r="D85" i="9"/>
  <c r="C85" i="9"/>
  <c r="B85" i="9"/>
  <c r="A85" i="9"/>
  <c r="J84" i="9"/>
  <c r="H84" i="9"/>
  <c r="G84" i="9"/>
  <c r="I84" i="9" s="1"/>
  <c r="F84" i="9"/>
  <c r="E84" i="9"/>
  <c r="D84" i="9"/>
  <c r="C84" i="9"/>
  <c r="B84" i="9"/>
  <c r="A84" i="9"/>
  <c r="H83" i="9"/>
  <c r="G83" i="9"/>
  <c r="F83" i="9"/>
  <c r="J83" i="9" s="1"/>
  <c r="E83" i="9"/>
  <c r="D83" i="9"/>
  <c r="C83" i="9"/>
  <c r="B83" i="9"/>
  <c r="A83" i="9"/>
  <c r="H82" i="9"/>
  <c r="G82" i="9"/>
  <c r="I82" i="9" s="1"/>
  <c r="F82" i="9"/>
  <c r="J82" i="9" s="1"/>
  <c r="E82" i="9"/>
  <c r="D82" i="9"/>
  <c r="C82" i="9"/>
  <c r="B82" i="9"/>
  <c r="A82" i="9"/>
  <c r="H81" i="9"/>
  <c r="G81" i="9"/>
  <c r="F81" i="9"/>
  <c r="J81" i="9" s="1"/>
  <c r="E81" i="9"/>
  <c r="D81" i="9"/>
  <c r="C81" i="9"/>
  <c r="B81" i="9"/>
  <c r="A81" i="9"/>
  <c r="J80" i="9"/>
  <c r="H80" i="9"/>
  <c r="G80" i="9"/>
  <c r="I80" i="9" s="1"/>
  <c r="F80" i="9"/>
  <c r="E80" i="9"/>
  <c r="D80" i="9"/>
  <c r="C80" i="9"/>
  <c r="B80" i="9"/>
  <c r="A80" i="9"/>
  <c r="H79" i="9"/>
  <c r="G79" i="9"/>
  <c r="I79" i="9" s="1"/>
  <c r="F79" i="9"/>
  <c r="J79" i="9" s="1"/>
  <c r="E79" i="9"/>
  <c r="D79" i="9"/>
  <c r="C79" i="9"/>
  <c r="B79" i="9"/>
  <c r="A79" i="9"/>
  <c r="H78" i="9"/>
  <c r="G78" i="9"/>
  <c r="F78" i="9"/>
  <c r="J78" i="9" s="1"/>
  <c r="E78" i="9"/>
  <c r="D78" i="9"/>
  <c r="C78" i="9"/>
  <c r="B78" i="9"/>
  <c r="A78" i="9"/>
  <c r="I77" i="9"/>
  <c r="H77" i="9"/>
  <c r="G77" i="9"/>
  <c r="F77" i="9"/>
  <c r="J77" i="9" s="1"/>
  <c r="E77" i="9"/>
  <c r="D77" i="9"/>
  <c r="C77" i="9"/>
  <c r="B77" i="9"/>
  <c r="A77" i="9"/>
  <c r="J76" i="9"/>
  <c r="H76" i="9"/>
  <c r="G76" i="9"/>
  <c r="I76" i="9" s="1"/>
  <c r="F76" i="9"/>
  <c r="E76" i="9"/>
  <c r="D76" i="9"/>
  <c r="C76" i="9"/>
  <c r="B76" i="9"/>
  <c r="A76" i="9"/>
  <c r="H75" i="9"/>
  <c r="G75" i="9"/>
  <c r="F75" i="9"/>
  <c r="J75" i="9" s="1"/>
  <c r="E75" i="9"/>
  <c r="D75" i="9"/>
  <c r="C75" i="9"/>
  <c r="B75" i="9"/>
  <c r="A75" i="9"/>
  <c r="H74" i="9"/>
  <c r="G74" i="9"/>
  <c r="I74" i="9" s="1"/>
  <c r="F74" i="9"/>
  <c r="J74" i="9" s="1"/>
  <c r="E74" i="9"/>
  <c r="D74" i="9"/>
  <c r="C74" i="9"/>
  <c r="B74" i="9"/>
  <c r="A74" i="9"/>
  <c r="H73" i="9"/>
  <c r="G73" i="9"/>
  <c r="F73" i="9"/>
  <c r="J73" i="9" s="1"/>
  <c r="E73" i="9"/>
  <c r="D73" i="9"/>
  <c r="C73" i="9"/>
  <c r="B73" i="9"/>
  <c r="A73" i="9"/>
  <c r="J72" i="9"/>
  <c r="H72" i="9"/>
  <c r="G72" i="9"/>
  <c r="I72" i="9" s="1"/>
  <c r="F72" i="9"/>
  <c r="E72" i="9"/>
  <c r="D72" i="9"/>
  <c r="C72" i="9"/>
  <c r="B72" i="9"/>
  <c r="A72" i="9"/>
  <c r="H71" i="9"/>
  <c r="G71" i="9"/>
  <c r="F71" i="9"/>
  <c r="J71" i="9" s="1"/>
  <c r="E71" i="9"/>
  <c r="D71" i="9"/>
  <c r="C71" i="9"/>
  <c r="B71" i="9"/>
  <c r="A71" i="9"/>
  <c r="H70" i="9"/>
  <c r="G70" i="9"/>
  <c r="I70" i="9" s="1"/>
  <c r="F70" i="9"/>
  <c r="J70" i="9" s="1"/>
  <c r="E70" i="9"/>
  <c r="D70" i="9"/>
  <c r="C70" i="9"/>
  <c r="B70" i="9"/>
  <c r="A70" i="9"/>
  <c r="H69" i="9"/>
  <c r="G69" i="9"/>
  <c r="F69" i="9"/>
  <c r="J69" i="9" s="1"/>
  <c r="E69" i="9"/>
  <c r="D69" i="9"/>
  <c r="C69" i="9"/>
  <c r="B69" i="9"/>
  <c r="A69" i="9"/>
  <c r="J68" i="9"/>
  <c r="H68" i="9"/>
  <c r="G68" i="9"/>
  <c r="I68" i="9" s="1"/>
  <c r="F68" i="9"/>
  <c r="E68" i="9"/>
  <c r="D68" i="9"/>
  <c r="C68" i="9"/>
  <c r="B68" i="9"/>
  <c r="A68" i="9"/>
  <c r="H67" i="9"/>
  <c r="G67" i="9"/>
  <c r="F67" i="9"/>
  <c r="J67" i="9" s="1"/>
  <c r="E67" i="9"/>
  <c r="D67" i="9"/>
  <c r="C67" i="9"/>
  <c r="B67" i="9"/>
  <c r="A67" i="9"/>
  <c r="H66" i="9"/>
  <c r="G66" i="9"/>
  <c r="I66" i="9" s="1"/>
  <c r="F66" i="9"/>
  <c r="J66" i="9" s="1"/>
  <c r="E66" i="9"/>
  <c r="D66" i="9"/>
  <c r="C66" i="9"/>
  <c r="B66" i="9"/>
  <c r="A66" i="9"/>
  <c r="J65" i="9"/>
  <c r="I65" i="9"/>
  <c r="H65" i="9"/>
  <c r="G65" i="9"/>
  <c r="F65" i="9"/>
  <c r="E65" i="9"/>
  <c r="D65" i="9"/>
  <c r="C65" i="9"/>
  <c r="B65" i="9"/>
  <c r="A65" i="9"/>
  <c r="H64" i="9"/>
  <c r="G64" i="9"/>
  <c r="F64" i="9"/>
  <c r="J64" i="9" s="1"/>
  <c r="E64" i="9"/>
  <c r="D64" i="9"/>
  <c r="C64" i="9"/>
  <c r="B64" i="9"/>
  <c r="A64" i="9"/>
  <c r="H63" i="9"/>
  <c r="G63" i="9"/>
  <c r="I63" i="9" s="1"/>
  <c r="F63" i="9"/>
  <c r="J63" i="9" s="1"/>
  <c r="E63" i="9"/>
  <c r="D63" i="9"/>
  <c r="C63" i="9"/>
  <c r="B63" i="9"/>
  <c r="A63" i="9"/>
  <c r="H62" i="9"/>
  <c r="G62" i="9"/>
  <c r="I62" i="9" s="1"/>
  <c r="F62" i="9"/>
  <c r="J62" i="9" s="1"/>
  <c r="E62" i="9"/>
  <c r="D62" i="9"/>
  <c r="C62" i="9"/>
  <c r="B62" i="9"/>
  <c r="A62" i="9"/>
  <c r="H61" i="9"/>
  <c r="G61" i="9"/>
  <c r="F61" i="9"/>
  <c r="J61" i="9" s="1"/>
  <c r="E61" i="9"/>
  <c r="D61" i="9"/>
  <c r="C61" i="9"/>
  <c r="B61" i="9"/>
  <c r="A61" i="9"/>
  <c r="J60" i="9"/>
  <c r="H60" i="9"/>
  <c r="G60" i="9"/>
  <c r="I60" i="9" s="1"/>
  <c r="F60" i="9"/>
  <c r="E60" i="9"/>
  <c r="D60" i="9"/>
  <c r="C60" i="9"/>
  <c r="B60" i="9"/>
  <c r="A60" i="9"/>
  <c r="H59" i="9"/>
  <c r="G59" i="9"/>
  <c r="F59" i="9"/>
  <c r="J59" i="9" s="1"/>
  <c r="E59" i="9"/>
  <c r="D59" i="9"/>
  <c r="C59" i="9"/>
  <c r="B59" i="9"/>
  <c r="A59" i="9"/>
  <c r="H58" i="9"/>
  <c r="G58" i="9"/>
  <c r="I58" i="9" s="1"/>
  <c r="F58" i="9"/>
  <c r="J58" i="9" s="1"/>
  <c r="E58" i="9"/>
  <c r="D58" i="9"/>
  <c r="C58" i="9"/>
  <c r="B58" i="9"/>
  <c r="A58" i="9"/>
  <c r="H57" i="9"/>
  <c r="G57" i="9"/>
  <c r="F57" i="9"/>
  <c r="J57" i="9" s="1"/>
  <c r="E57" i="9"/>
  <c r="D57" i="9"/>
  <c r="C57" i="9"/>
  <c r="B57" i="9"/>
  <c r="A57" i="9"/>
  <c r="J56" i="9"/>
  <c r="H56" i="9"/>
  <c r="G56" i="9"/>
  <c r="I56" i="9" s="1"/>
  <c r="F56" i="9"/>
  <c r="E56" i="9"/>
  <c r="D56" i="9"/>
  <c r="C56" i="9"/>
  <c r="B56" i="9"/>
  <c r="A56" i="9"/>
  <c r="H55" i="9"/>
  <c r="G55" i="9"/>
  <c r="I55" i="9" s="1"/>
  <c r="F55" i="9"/>
  <c r="J55" i="9" s="1"/>
  <c r="E55" i="9"/>
  <c r="D55" i="9"/>
  <c r="C55" i="9"/>
  <c r="B55" i="9"/>
  <c r="A55" i="9"/>
  <c r="H54" i="9"/>
  <c r="G54" i="9"/>
  <c r="I54" i="9" s="1"/>
  <c r="F54" i="9"/>
  <c r="J54" i="9" s="1"/>
  <c r="E54" i="9"/>
  <c r="D54" i="9"/>
  <c r="C54" i="9"/>
  <c r="B54" i="9"/>
  <c r="A54" i="9"/>
  <c r="I53" i="9"/>
  <c r="H53" i="9"/>
  <c r="G53" i="9"/>
  <c r="F53" i="9"/>
  <c r="J53" i="9" s="1"/>
  <c r="E53" i="9"/>
  <c r="D53" i="9"/>
  <c r="C53" i="9"/>
  <c r="B53" i="9"/>
  <c r="A53" i="9"/>
  <c r="J52" i="9"/>
  <c r="H52" i="9"/>
  <c r="G52" i="9"/>
  <c r="I52" i="9" s="1"/>
  <c r="F52" i="9"/>
  <c r="E52" i="9"/>
  <c r="D52" i="9"/>
  <c r="C52" i="9"/>
  <c r="B52" i="9"/>
  <c r="A52" i="9"/>
  <c r="H51" i="9"/>
  <c r="G51" i="9"/>
  <c r="I51" i="9" s="1"/>
  <c r="F51" i="9"/>
  <c r="J51" i="9" s="1"/>
  <c r="E51" i="9"/>
  <c r="D51" i="9"/>
  <c r="C51" i="9"/>
  <c r="B51" i="9"/>
  <c r="A51" i="9"/>
  <c r="H50" i="9"/>
  <c r="G50" i="9"/>
  <c r="F50" i="9"/>
  <c r="J50" i="9" s="1"/>
  <c r="E50" i="9"/>
  <c r="D50" i="9"/>
  <c r="C50" i="9"/>
  <c r="B50" i="9"/>
  <c r="A50" i="9"/>
  <c r="J49" i="9"/>
  <c r="H49" i="9"/>
  <c r="G49" i="9"/>
  <c r="F49" i="9"/>
  <c r="E49" i="9"/>
  <c r="D49" i="9"/>
  <c r="C49" i="9"/>
  <c r="B49" i="9"/>
  <c r="A49" i="9"/>
  <c r="H48" i="9"/>
  <c r="G48" i="9"/>
  <c r="F48" i="9"/>
  <c r="J48" i="9" s="1"/>
  <c r="E48" i="9"/>
  <c r="D48" i="9"/>
  <c r="C48" i="9"/>
  <c r="B48" i="9"/>
  <c r="A48" i="9"/>
  <c r="H47" i="9"/>
  <c r="G47" i="9"/>
  <c r="F47" i="9"/>
  <c r="J47" i="9" s="1"/>
  <c r="E47" i="9"/>
  <c r="D47" i="9"/>
  <c r="C47" i="9"/>
  <c r="B47" i="9"/>
  <c r="A47" i="9"/>
  <c r="H46" i="9"/>
  <c r="G46" i="9"/>
  <c r="F46" i="9"/>
  <c r="J46" i="9" s="1"/>
  <c r="E46" i="9"/>
  <c r="D46" i="9"/>
  <c r="C46" i="9"/>
  <c r="B46" i="9"/>
  <c r="A46" i="9"/>
  <c r="J45" i="9"/>
  <c r="H45" i="9"/>
  <c r="G45" i="9"/>
  <c r="F45" i="9"/>
  <c r="E45" i="9"/>
  <c r="D45" i="9"/>
  <c r="C45" i="9"/>
  <c r="B45" i="9"/>
  <c r="A45" i="9"/>
  <c r="H44" i="9"/>
  <c r="G44" i="9"/>
  <c r="I44" i="9" s="1"/>
  <c r="F44" i="9"/>
  <c r="J44" i="9" s="1"/>
  <c r="E44" i="9"/>
  <c r="D44" i="9"/>
  <c r="C44" i="9"/>
  <c r="B44" i="9"/>
  <c r="A44" i="9"/>
  <c r="H43" i="9"/>
  <c r="G43" i="9"/>
  <c r="F43" i="9"/>
  <c r="J43" i="9" s="1"/>
  <c r="E43" i="9"/>
  <c r="D43" i="9"/>
  <c r="C43" i="9"/>
  <c r="B43" i="9"/>
  <c r="A43" i="9"/>
  <c r="H42" i="9"/>
  <c r="G42" i="9"/>
  <c r="I42" i="9" s="1"/>
  <c r="F42" i="9"/>
  <c r="J42" i="9" s="1"/>
  <c r="E42" i="9"/>
  <c r="D42" i="9"/>
  <c r="C42" i="9"/>
  <c r="B42" i="9"/>
  <c r="A42" i="9"/>
  <c r="H41" i="9"/>
  <c r="G41" i="9"/>
  <c r="F41" i="9"/>
  <c r="J41" i="9" s="1"/>
  <c r="E41" i="9"/>
  <c r="D41" i="9"/>
  <c r="C41" i="9"/>
  <c r="B41" i="9"/>
  <c r="A41" i="9"/>
  <c r="J40" i="9"/>
  <c r="H40" i="9"/>
  <c r="G40" i="9"/>
  <c r="F40" i="9"/>
  <c r="E40" i="9"/>
  <c r="D40" i="9"/>
  <c r="C40" i="9"/>
  <c r="B40" i="9"/>
  <c r="A40" i="9"/>
  <c r="I39" i="9"/>
  <c r="H39" i="9"/>
  <c r="G39" i="9"/>
  <c r="F39" i="9"/>
  <c r="J39" i="9" s="1"/>
  <c r="E39" i="9"/>
  <c r="D39" i="9"/>
  <c r="C39" i="9"/>
  <c r="B39" i="9"/>
  <c r="A39" i="9"/>
  <c r="H38" i="9"/>
  <c r="G38" i="9"/>
  <c r="I38" i="9" s="1"/>
  <c r="F38" i="9"/>
  <c r="J38" i="9" s="1"/>
  <c r="E38" i="9"/>
  <c r="D38" i="9"/>
  <c r="C38" i="9"/>
  <c r="B38" i="9"/>
  <c r="A38" i="9"/>
  <c r="H37" i="9"/>
  <c r="G37" i="9"/>
  <c r="I37" i="9" s="1"/>
  <c r="F37" i="9"/>
  <c r="J37" i="9" s="1"/>
  <c r="E37" i="9"/>
  <c r="D37" i="9"/>
  <c r="C37" i="9"/>
  <c r="B37" i="9"/>
  <c r="A37" i="9"/>
  <c r="J36" i="9"/>
  <c r="H36" i="9"/>
  <c r="G36" i="9"/>
  <c r="I36" i="9" s="1"/>
  <c r="F36" i="9"/>
  <c r="E36" i="9"/>
  <c r="D36" i="9"/>
  <c r="C36" i="9"/>
  <c r="B36" i="9"/>
  <c r="A36" i="9"/>
  <c r="I35" i="9"/>
  <c r="H35" i="9"/>
  <c r="G35" i="9"/>
  <c r="F35" i="9"/>
  <c r="J35" i="9" s="1"/>
  <c r="E35" i="9"/>
  <c r="D35" i="9"/>
  <c r="C35" i="9"/>
  <c r="B35" i="9"/>
  <c r="A35" i="9"/>
  <c r="H34" i="9"/>
  <c r="G34" i="9"/>
  <c r="I34" i="9" s="1"/>
  <c r="F34" i="9"/>
  <c r="J34" i="9" s="1"/>
  <c r="E34" i="9"/>
  <c r="D34" i="9"/>
  <c r="C34" i="9"/>
  <c r="B34" i="9"/>
  <c r="A34" i="9"/>
  <c r="J33" i="9"/>
  <c r="H33" i="9"/>
  <c r="G33" i="9"/>
  <c r="I33" i="9" s="1"/>
  <c r="F33" i="9"/>
  <c r="E33" i="9"/>
  <c r="D33" i="9"/>
  <c r="C33" i="9"/>
  <c r="B33" i="9"/>
  <c r="A33" i="9"/>
  <c r="H32" i="9"/>
  <c r="G32" i="9"/>
  <c r="I32" i="9" s="1"/>
  <c r="F32" i="9"/>
  <c r="J32" i="9" s="1"/>
  <c r="E32" i="9"/>
  <c r="D32" i="9"/>
  <c r="C32" i="9"/>
  <c r="B32" i="9"/>
  <c r="A32" i="9"/>
  <c r="H31" i="9"/>
  <c r="G31" i="9"/>
  <c r="F31" i="9"/>
  <c r="J31" i="9" s="1"/>
  <c r="E31" i="9"/>
  <c r="D31" i="9"/>
  <c r="C31" i="9"/>
  <c r="B31" i="9"/>
  <c r="A31" i="9"/>
  <c r="H30" i="9"/>
  <c r="G30" i="9"/>
  <c r="F30" i="9"/>
  <c r="J30" i="9" s="1"/>
  <c r="E30" i="9"/>
  <c r="D30" i="9"/>
  <c r="C30" i="9"/>
  <c r="B30" i="9"/>
  <c r="A30" i="9"/>
  <c r="J29" i="9"/>
  <c r="H29" i="9"/>
  <c r="G29" i="9"/>
  <c r="F29" i="9"/>
  <c r="E29" i="9"/>
  <c r="I29" i="9" s="1"/>
  <c r="D29" i="9"/>
  <c r="C29" i="9"/>
  <c r="B29" i="9"/>
  <c r="A29" i="9"/>
  <c r="H28" i="9"/>
  <c r="G28" i="9"/>
  <c r="F28" i="9"/>
  <c r="J28" i="9" s="1"/>
  <c r="E28" i="9"/>
  <c r="D28" i="9"/>
  <c r="C28" i="9"/>
  <c r="B28" i="9"/>
  <c r="A28" i="9"/>
  <c r="H27" i="9"/>
  <c r="G27" i="9"/>
  <c r="I27" i="9" s="1"/>
  <c r="F27" i="9"/>
  <c r="J27" i="9" s="1"/>
  <c r="E27" i="9"/>
  <c r="D27" i="9"/>
  <c r="C27" i="9"/>
  <c r="B27" i="9"/>
  <c r="A27" i="9"/>
  <c r="H26" i="9"/>
  <c r="G26" i="9"/>
  <c r="I26" i="9" s="1"/>
  <c r="F26" i="9"/>
  <c r="J26" i="9" s="1"/>
  <c r="E26" i="9"/>
  <c r="D26" i="9"/>
  <c r="C26" i="9"/>
  <c r="B26" i="9"/>
  <c r="A26" i="9"/>
  <c r="H25" i="9"/>
  <c r="G25" i="9"/>
  <c r="F25" i="9"/>
  <c r="J25" i="9" s="1"/>
  <c r="E25" i="9"/>
  <c r="D25" i="9"/>
  <c r="C25" i="9"/>
  <c r="B25" i="9"/>
  <c r="A25" i="9"/>
  <c r="J24" i="9"/>
  <c r="H24" i="9"/>
  <c r="G24" i="9"/>
  <c r="I24" i="9" s="1"/>
  <c r="F24" i="9"/>
  <c r="E24" i="9"/>
  <c r="D24" i="9"/>
  <c r="C24" i="9"/>
  <c r="B24" i="9"/>
  <c r="A24" i="9"/>
  <c r="I23" i="9"/>
  <c r="H23" i="9"/>
  <c r="G23" i="9"/>
  <c r="F23" i="9"/>
  <c r="J23" i="9" s="1"/>
  <c r="E23" i="9"/>
  <c r="D23" i="9"/>
  <c r="C23" i="9"/>
  <c r="B23" i="9"/>
  <c r="A23" i="9"/>
  <c r="H22" i="9"/>
  <c r="G22" i="9"/>
  <c r="F22" i="9"/>
  <c r="J22" i="9" s="1"/>
  <c r="E22" i="9"/>
  <c r="D22" i="9"/>
  <c r="C22" i="9"/>
  <c r="B22" i="9"/>
  <c r="A22" i="9"/>
  <c r="J21" i="9"/>
  <c r="H21" i="9"/>
  <c r="G21" i="9"/>
  <c r="F21" i="9"/>
  <c r="E21" i="9"/>
  <c r="D21" i="9"/>
  <c r="C21" i="9"/>
  <c r="B21" i="9"/>
  <c r="A21" i="9"/>
  <c r="H20" i="9"/>
  <c r="G20" i="9"/>
  <c r="I20" i="9" s="1"/>
  <c r="F20" i="9"/>
  <c r="J20" i="9" s="1"/>
  <c r="E20" i="9"/>
  <c r="D20" i="9"/>
  <c r="C20" i="9"/>
  <c r="B20" i="9"/>
  <c r="A20" i="9"/>
  <c r="H19" i="9"/>
  <c r="G19" i="9"/>
  <c r="F19" i="9"/>
  <c r="J19" i="9" s="1"/>
  <c r="E19" i="9"/>
  <c r="D19" i="9"/>
  <c r="C19" i="9"/>
  <c r="B19" i="9"/>
  <c r="A19" i="9"/>
  <c r="H18" i="9"/>
  <c r="G18" i="9"/>
  <c r="I18" i="9" s="1"/>
  <c r="F18" i="9"/>
  <c r="J18" i="9" s="1"/>
  <c r="E18" i="9"/>
  <c r="D18" i="9"/>
  <c r="C18" i="9"/>
  <c r="B18" i="9"/>
  <c r="A18" i="9"/>
  <c r="H17" i="9"/>
  <c r="G17" i="9"/>
  <c r="F17" i="9"/>
  <c r="J17" i="9" s="1"/>
  <c r="E17" i="9"/>
  <c r="D17" i="9"/>
  <c r="C17" i="9"/>
  <c r="B17" i="9"/>
  <c r="A17" i="9"/>
  <c r="J16" i="9"/>
  <c r="H16" i="9"/>
  <c r="G16" i="9"/>
  <c r="I16" i="9" s="1"/>
  <c r="F16" i="9"/>
  <c r="E16" i="9"/>
  <c r="D16" i="9"/>
  <c r="C16" i="9"/>
  <c r="B16" i="9"/>
  <c r="A16" i="9"/>
  <c r="H15" i="9"/>
  <c r="G15" i="9"/>
  <c r="F15" i="9"/>
  <c r="J15" i="9" s="1"/>
  <c r="E15" i="9"/>
  <c r="D15" i="9"/>
  <c r="C15" i="9"/>
  <c r="B15" i="9"/>
  <c r="A15" i="9"/>
  <c r="H14" i="9"/>
  <c r="G14" i="9"/>
  <c r="I14" i="9" s="1"/>
  <c r="F14" i="9"/>
  <c r="J14" i="9" s="1"/>
  <c r="E14" i="9"/>
  <c r="D14" i="9"/>
  <c r="C14" i="9"/>
  <c r="B14" i="9"/>
  <c r="A14" i="9"/>
  <c r="J13" i="9"/>
  <c r="H13" i="9"/>
  <c r="G13" i="9"/>
  <c r="I13" i="9" s="1"/>
  <c r="F13" i="9"/>
  <c r="E13" i="9"/>
  <c r="D13" i="9"/>
  <c r="C13" i="9"/>
  <c r="B13" i="9"/>
  <c r="A13" i="9"/>
  <c r="H12" i="9"/>
  <c r="G12" i="9"/>
  <c r="I12" i="9" s="1"/>
  <c r="F12" i="9"/>
  <c r="J12" i="9" s="1"/>
  <c r="E12" i="9"/>
  <c r="D12" i="9"/>
  <c r="C12" i="9"/>
  <c r="B12" i="9"/>
  <c r="A12" i="9"/>
  <c r="I11" i="9"/>
  <c r="H11" i="9"/>
  <c r="G11" i="9"/>
  <c r="F11" i="9"/>
  <c r="J11" i="9" s="1"/>
  <c r="E11" i="9"/>
  <c r="D11" i="9"/>
  <c r="C11" i="9"/>
  <c r="B11" i="9"/>
  <c r="A11" i="9"/>
  <c r="H10" i="9"/>
  <c r="G10" i="9"/>
  <c r="I10" i="9" s="1"/>
  <c r="F10" i="9"/>
  <c r="J10" i="9" s="1"/>
  <c r="E10" i="9"/>
  <c r="D10" i="9"/>
  <c r="C10" i="9"/>
  <c r="B10" i="9"/>
  <c r="A10" i="9"/>
  <c r="I9" i="9"/>
  <c r="H9" i="9"/>
  <c r="G9" i="9"/>
  <c r="F9" i="9"/>
  <c r="J9" i="9" s="1"/>
  <c r="E9" i="9"/>
  <c r="D9" i="9"/>
  <c r="C9" i="9"/>
  <c r="B9" i="9"/>
  <c r="A9" i="9"/>
  <c r="H8" i="9"/>
  <c r="G8" i="9"/>
  <c r="I8" i="9" s="1"/>
  <c r="F8" i="9"/>
  <c r="J8" i="9" s="1"/>
  <c r="E8" i="9"/>
  <c r="D8" i="9"/>
  <c r="C8" i="9"/>
  <c r="B8" i="9"/>
  <c r="A8" i="9"/>
  <c r="I7" i="9"/>
  <c r="H7" i="9"/>
  <c r="G7" i="9"/>
  <c r="F7" i="9"/>
  <c r="J7" i="9" s="1"/>
  <c r="E7" i="9"/>
  <c r="D7" i="9"/>
  <c r="C7" i="9"/>
  <c r="B7" i="9"/>
  <c r="A7" i="9"/>
  <c r="H6" i="9"/>
  <c r="G6" i="9"/>
  <c r="I6" i="9" s="1"/>
  <c r="F6" i="9"/>
  <c r="J6" i="9" s="1"/>
  <c r="E6" i="9"/>
  <c r="D6" i="9"/>
  <c r="C6" i="9"/>
  <c r="B6" i="9"/>
  <c r="A6" i="9"/>
  <c r="H5" i="9"/>
  <c r="G5" i="9"/>
  <c r="F5" i="9"/>
  <c r="J5" i="9" s="1"/>
  <c r="E5" i="9"/>
  <c r="D5" i="9"/>
  <c r="C5" i="9"/>
  <c r="B5" i="9"/>
  <c r="A5" i="9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W1200" i="2"/>
  <c r="F1200" i="12" s="1"/>
  <c r="V1200" i="2"/>
  <c r="D1200" i="12" s="1"/>
  <c r="U1200" i="2"/>
  <c r="W1199" i="2"/>
  <c r="F1199" i="12" s="1"/>
  <c r="V1199" i="2"/>
  <c r="D1199" i="12" s="1"/>
  <c r="U1199" i="2"/>
  <c r="W1198" i="2"/>
  <c r="F1198" i="12" s="1"/>
  <c r="V1198" i="2"/>
  <c r="D1198" i="12" s="1"/>
  <c r="U1198" i="2"/>
  <c r="W1197" i="2"/>
  <c r="F1197" i="12" s="1"/>
  <c r="V1197" i="2"/>
  <c r="D1197" i="12" s="1"/>
  <c r="U1197" i="2"/>
  <c r="W1196" i="2"/>
  <c r="F1196" i="12" s="1"/>
  <c r="V1196" i="2"/>
  <c r="D1196" i="12" s="1"/>
  <c r="U1196" i="2"/>
  <c r="W1195" i="2"/>
  <c r="F1195" i="12" s="1"/>
  <c r="V1195" i="2"/>
  <c r="D1195" i="12" s="1"/>
  <c r="U1195" i="2"/>
  <c r="W1194" i="2"/>
  <c r="F1194" i="12" s="1"/>
  <c r="V1194" i="2"/>
  <c r="D1194" i="12" s="1"/>
  <c r="U1194" i="2"/>
  <c r="W1193" i="2"/>
  <c r="F1193" i="12" s="1"/>
  <c r="V1193" i="2"/>
  <c r="D1193" i="12" s="1"/>
  <c r="U1193" i="2"/>
  <c r="W1192" i="2"/>
  <c r="F1192" i="12" s="1"/>
  <c r="V1192" i="2"/>
  <c r="D1192" i="12" s="1"/>
  <c r="U1192" i="2"/>
  <c r="W1191" i="2"/>
  <c r="F1191" i="12" s="1"/>
  <c r="V1191" i="2"/>
  <c r="D1191" i="12" s="1"/>
  <c r="U1191" i="2"/>
  <c r="W1190" i="2"/>
  <c r="F1190" i="12" s="1"/>
  <c r="V1190" i="2"/>
  <c r="D1190" i="12" s="1"/>
  <c r="U1190" i="2"/>
  <c r="W1189" i="2"/>
  <c r="F1189" i="12" s="1"/>
  <c r="V1189" i="2"/>
  <c r="D1189" i="12" s="1"/>
  <c r="U1189" i="2"/>
  <c r="W1188" i="2"/>
  <c r="F1188" i="12" s="1"/>
  <c r="V1188" i="2"/>
  <c r="D1188" i="12" s="1"/>
  <c r="U1188" i="2"/>
  <c r="W1187" i="2"/>
  <c r="F1187" i="12" s="1"/>
  <c r="V1187" i="2"/>
  <c r="D1187" i="12" s="1"/>
  <c r="U1187" i="2"/>
  <c r="W1186" i="2"/>
  <c r="F1186" i="12" s="1"/>
  <c r="V1186" i="2"/>
  <c r="D1186" i="12" s="1"/>
  <c r="U1186" i="2"/>
  <c r="W1185" i="2"/>
  <c r="F1185" i="12" s="1"/>
  <c r="V1185" i="2"/>
  <c r="D1185" i="12" s="1"/>
  <c r="U1185" i="2"/>
  <c r="W1184" i="2"/>
  <c r="F1184" i="12" s="1"/>
  <c r="V1184" i="2"/>
  <c r="D1184" i="12" s="1"/>
  <c r="U1184" i="2"/>
  <c r="W1183" i="2"/>
  <c r="F1183" i="12" s="1"/>
  <c r="V1183" i="2"/>
  <c r="D1183" i="12" s="1"/>
  <c r="U1183" i="2"/>
  <c r="W1182" i="2"/>
  <c r="F1182" i="12" s="1"/>
  <c r="V1182" i="2"/>
  <c r="D1182" i="12" s="1"/>
  <c r="U1182" i="2"/>
  <c r="W1181" i="2"/>
  <c r="F1181" i="12" s="1"/>
  <c r="V1181" i="2"/>
  <c r="D1181" i="12" s="1"/>
  <c r="U1181" i="2"/>
  <c r="W1180" i="2"/>
  <c r="F1180" i="12" s="1"/>
  <c r="V1180" i="2"/>
  <c r="D1180" i="12" s="1"/>
  <c r="U1180" i="2"/>
  <c r="W1179" i="2"/>
  <c r="F1179" i="12" s="1"/>
  <c r="V1179" i="2"/>
  <c r="D1179" i="12" s="1"/>
  <c r="U1179" i="2"/>
  <c r="W1178" i="2"/>
  <c r="F1178" i="12" s="1"/>
  <c r="V1178" i="2"/>
  <c r="D1178" i="12" s="1"/>
  <c r="U1178" i="2"/>
  <c r="W1177" i="2"/>
  <c r="F1177" i="12" s="1"/>
  <c r="V1177" i="2"/>
  <c r="D1177" i="12" s="1"/>
  <c r="U1177" i="2"/>
  <c r="W1176" i="2"/>
  <c r="F1176" i="12" s="1"/>
  <c r="V1176" i="2"/>
  <c r="D1176" i="12" s="1"/>
  <c r="U1176" i="2"/>
  <c r="W1175" i="2"/>
  <c r="F1175" i="12" s="1"/>
  <c r="V1175" i="2"/>
  <c r="D1175" i="12" s="1"/>
  <c r="U1175" i="2"/>
  <c r="W1174" i="2"/>
  <c r="F1174" i="12" s="1"/>
  <c r="V1174" i="2"/>
  <c r="D1174" i="12" s="1"/>
  <c r="U1174" i="2"/>
  <c r="W1173" i="2"/>
  <c r="F1173" i="12" s="1"/>
  <c r="V1173" i="2"/>
  <c r="D1173" i="12" s="1"/>
  <c r="U1173" i="2"/>
  <c r="W1172" i="2"/>
  <c r="F1172" i="12" s="1"/>
  <c r="V1172" i="2"/>
  <c r="D1172" i="12" s="1"/>
  <c r="U1172" i="2"/>
  <c r="W1171" i="2"/>
  <c r="F1171" i="12" s="1"/>
  <c r="V1171" i="2"/>
  <c r="D1171" i="12" s="1"/>
  <c r="U1171" i="2"/>
  <c r="W1170" i="2"/>
  <c r="F1170" i="12" s="1"/>
  <c r="V1170" i="2"/>
  <c r="D1170" i="12" s="1"/>
  <c r="U1170" i="2"/>
  <c r="W1169" i="2"/>
  <c r="F1169" i="12" s="1"/>
  <c r="V1169" i="2"/>
  <c r="D1169" i="12" s="1"/>
  <c r="U1169" i="2"/>
  <c r="W1168" i="2"/>
  <c r="F1168" i="12" s="1"/>
  <c r="V1168" i="2"/>
  <c r="D1168" i="12" s="1"/>
  <c r="U1168" i="2"/>
  <c r="W1167" i="2"/>
  <c r="F1167" i="12" s="1"/>
  <c r="V1167" i="2"/>
  <c r="D1167" i="12" s="1"/>
  <c r="U1167" i="2"/>
  <c r="W1166" i="2"/>
  <c r="F1166" i="12" s="1"/>
  <c r="V1166" i="2"/>
  <c r="D1166" i="12" s="1"/>
  <c r="U1166" i="2"/>
  <c r="W1165" i="2"/>
  <c r="F1165" i="12" s="1"/>
  <c r="V1165" i="2"/>
  <c r="D1165" i="12" s="1"/>
  <c r="U1165" i="2"/>
  <c r="W1164" i="2"/>
  <c r="F1164" i="12" s="1"/>
  <c r="V1164" i="2"/>
  <c r="D1164" i="12" s="1"/>
  <c r="U1164" i="2"/>
  <c r="W1163" i="2"/>
  <c r="F1163" i="12" s="1"/>
  <c r="V1163" i="2"/>
  <c r="D1163" i="12" s="1"/>
  <c r="U1163" i="2"/>
  <c r="W1162" i="2"/>
  <c r="F1162" i="12" s="1"/>
  <c r="V1162" i="2"/>
  <c r="D1162" i="12" s="1"/>
  <c r="U1162" i="2"/>
  <c r="W1161" i="2"/>
  <c r="F1161" i="12" s="1"/>
  <c r="V1161" i="2"/>
  <c r="D1161" i="12" s="1"/>
  <c r="U1161" i="2"/>
  <c r="W1160" i="2"/>
  <c r="F1160" i="12" s="1"/>
  <c r="V1160" i="2"/>
  <c r="D1160" i="12" s="1"/>
  <c r="U1160" i="2"/>
  <c r="W1159" i="2"/>
  <c r="F1159" i="12" s="1"/>
  <c r="V1159" i="2"/>
  <c r="D1159" i="12" s="1"/>
  <c r="U1159" i="2"/>
  <c r="W1158" i="2"/>
  <c r="F1158" i="12" s="1"/>
  <c r="V1158" i="2"/>
  <c r="D1158" i="12" s="1"/>
  <c r="U1158" i="2"/>
  <c r="W1157" i="2"/>
  <c r="F1157" i="12" s="1"/>
  <c r="V1157" i="2"/>
  <c r="D1157" i="12" s="1"/>
  <c r="U1157" i="2"/>
  <c r="W1156" i="2"/>
  <c r="F1156" i="12" s="1"/>
  <c r="V1156" i="2"/>
  <c r="D1156" i="12" s="1"/>
  <c r="U1156" i="2"/>
  <c r="W1155" i="2"/>
  <c r="F1155" i="12" s="1"/>
  <c r="V1155" i="2"/>
  <c r="D1155" i="12" s="1"/>
  <c r="U1155" i="2"/>
  <c r="W1154" i="2"/>
  <c r="F1154" i="12" s="1"/>
  <c r="V1154" i="2"/>
  <c r="D1154" i="12" s="1"/>
  <c r="U1154" i="2"/>
  <c r="W1153" i="2"/>
  <c r="F1153" i="12" s="1"/>
  <c r="V1153" i="2"/>
  <c r="D1153" i="12" s="1"/>
  <c r="U1153" i="2"/>
  <c r="W1152" i="2"/>
  <c r="F1152" i="12" s="1"/>
  <c r="V1152" i="2"/>
  <c r="D1152" i="12" s="1"/>
  <c r="U1152" i="2"/>
  <c r="W1151" i="2"/>
  <c r="F1151" i="12" s="1"/>
  <c r="V1151" i="2"/>
  <c r="D1151" i="12" s="1"/>
  <c r="U1151" i="2"/>
  <c r="W1150" i="2"/>
  <c r="F1150" i="12" s="1"/>
  <c r="V1150" i="2"/>
  <c r="D1150" i="12" s="1"/>
  <c r="U1150" i="2"/>
  <c r="W1149" i="2"/>
  <c r="F1149" i="12" s="1"/>
  <c r="V1149" i="2"/>
  <c r="D1149" i="12" s="1"/>
  <c r="U1149" i="2"/>
  <c r="W1148" i="2"/>
  <c r="F1148" i="12" s="1"/>
  <c r="V1148" i="2"/>
  <c r="D1148" i="12" s="1"/>
  <c r="U1148" i="2"/>
  <c r="W1147" i="2"/>
  <c r="F1147" i="12" s="1"/>
  <c r="V1147" i="2"/>
  <c r="D1147" i="12" s="1"/>
  <c r="U1147" i="2"/>
  <c r="W1146" i="2"/>
  <c r="F1146" i="12" s="1"/>
  <c r="V1146" i="2"/>
  <c r="D1146" i="12" s="1"/>
  <c r="U1146" i="2"/>
  <c r="W1145" i="2"/>
  <c r="F1145" i="12" s="1"/>
  <c r="V1145" i="2"/>
  <c r="D1145" i="12" s="1"/>
  <c r="U1145" i="2"/>
  <c r="W1144" i="2"/>
  <c r="F1144" i="12" s="1"/>
  <c r="V1144" i="2"/>
  <c r="D1144" i="12" s="1"/>
  <c r="U1144" i="2"/>
  <c r="W1143" i="2"/>
  <c r="F1143" i="12" s="1"/>
  <c r="V1143" i="2"/>
  <c r="D1143" i="12" s="1"/>
  <c r="U1143" i="2"/>
  <c r="W1142" i="2"/>
  <c r="F1142" i="12" s="1"/>
  <c r="V1142" i="2"/>
  <c r="D1142" i="12" s="1"/>
  <c r="U1142" i="2"/>
  <c r="W1141" i="2"/>
  <c r="F1141" i="12" s="1"/>
  <c r="V1141" i="2"/>
  <c r="D1141" i="12" s="1"/>
  <c r="U1141" i="2"/>
  <c r="W1140" i="2"/>
  <c r="F1140" i="12" s="1"/>
  <c r="V1140" i="2"/>
  <c r="D1140" i="12" s="1"/>
  <c r="U1140" i="2"/>
  <c r="W1139" i="2"/>
  <c r="F1139" i="12" s="1"/>
  <c r="V1139" i="2"/>
  <c r="D1139" i="12" s="1"/>
  <c r="U1139" i="2"/>
  <c r="W1138" i="2"/>
  <c r="F1138" i="12" s="1"/>
  <c r="V1138" i="2"/>
  <c r="D1138" i="12" s="1"/>
  <c r="U1138" i="2"/>
  <c r="W1137" i="2"/>
  <c r="F1137" i="12" s="1"/>
  <c r="V1137" i="2"/>
  <c r="D1137" i="12" s="1"/>
  <c r="U1137" i="2"/>
  <c r="W1136" i="2"/>
  <c r="F1136" i="12" s="1"/>
  <c r="V1136" i="2"/>
  <c r="D1136" i="12" s="1"/>
  <c r="U1136" i="2"/>
  <c r="W1135" i="2"/>
  <c r="F1135" i="12" s="1"/>
  <c r="V1135" i="2"/>
  <c r="D1135" i="12" s="1"/>
  <c r="U1135" i="2"/>
  <c r="W1134" i="2"/>
  <c r="F1134" i="12" s="1"/>
  <c r="V1134" i="2"/>
  <c r="D1134" i="12" s="1"/>
  <c r="U1134" i="2"/>
  <c r="W1133" i="2"/>
  <c r="F1133" i="12" s="1"/>
  <c r="V1133" i="2"/>
  <c r="D1133" i="12" s="1"/>
  <c r="U1133" i="2"/>
  <c r="W1132" i="2"/>
  <c r="F1132" i="12" s="1"/>
  <c r="V1132" i="2"/>
  <c r="D1132" i="12" s="1"/>
  <c r="U1132" i="2"/>
  <c r="W1131" i="2"/>
  <c r="F1131" i="12" s="1"/>
  <c r="V1131" i="2"/>
  <c r="D1131" i="12" s="1"/>
  <c r="U1131" i="2"/>
  <c r="W1130" i="2"/>
  <c r="F1130" i="12" s="1"/>
  <c r="V1130" i="2"/>
  <c r="D1130" i="12" s="1"/>
  <c r="U1130" i="2"/>
  <c r="W1129" i="2"/>
  <c r="F1129" i="12" s="1"/>
  <c r="V1129" i="2"/>
  <c r="D1129" i="12" s="1"/>
  <c r="U1129" i="2"/>
  <c r="W1128" i="2"/>
  <c r="F1128" i="12" s="1"/>
  <c r="V1128" i="2"/>
  <c r="D1128" i="12" s="1"/>
  <c r="U1128" i="2"/>
  <c r="W1127" i="2"/>
  <c r="F1127" i="12" s="1"/>
  <c r="V1127" i="2"/>
  <c r="D1127" i="12" s="1"/>
  <c r="U1127" i="2"/>
  <c r="W1126" i="2"/>
  <c r="F1126" i="12" s="1"/>
  <c r="V1126" i="2"/>
  <c r="D1126" i="12" s="1"/>
  <c r="U1126" i="2"/>
  <c r="W1125" i="2"/>
  <c r="F1125" i="12" s="1"/>
  <c r="V1125" i="2"/>
  <c r="D1125" i="12" s="1"/>
  <c r="U1125" i="2"/>
  <c r="W1124" i="2"/>
  <c r="F1124" i="12" s="1"/>
  <c r="V1124" i="2"/>
  <c r="D1124" i="12" s="1"/>
  <c r="U1124" i="2"/>
  <c r="W1123" i="2"/>
  <c r="F1123" i="12" s="1"/>
  <c r="V1123" i="2"/>
  <c r="D1123" i="12" s="1"/>
  <c r="U1123" i="2"/>
  <c r="W1122" i="2"/>
  <c r="F1122" i="12" s="1"/>
  <c r="V1122" i="2"/>
  <c r="D1122" i="12" s="1"/>
  <c r="U1122" i="2"/>
  <c r="W1121" i="2"/>
  <c r="F1121" i="12" s="1"/>
  <c r="V1121" i="2"/>
  <c r="D1121" i="12" s="1"/>
  <c r="U1121" i="2"/>
  <c r="W1120" i="2"/>
  <c r="F1120" i="12" s="1"/>
  <c r="V1120" i="2"/>
  <c r="D1120" i="12" s="1"/>
  <c r="U1120" i="2"/>
  <c r="W1119" i="2"/>
  <c r="F1119" i="12" s="1"/>
  <c r="V1119" i="2"/>
  <c r="D1119" i="12" s="1"/>
  <c r="U1119" i="2"/>
  <c r="W1118" i="2"/>
  <c r="F1118" i="12" s="1"/>
  <c r="V1118" i="2"/>
  <c r="D1118" i="12" s="1"/>
  <c r="U1118" i="2"/>
  <c r="W1117" i="2"/>
  <c r="F1117" i="12" s="1"/>
  <c r="V1117" i="2"/>
  <c r="D1117" i="12" s="1"/>
  <c r="U1117" i="2"/>
  <c r="W1116" i="2"/>
  <c r="F1116" i="12" s="1"/>
  <c r="V1116" i="2"/>
  <c r="D1116" i="12" s="1"/>
  <c r="U1116" i="2"/>
  <c r="W1115" i="2"/>
  <c r="F1115" i="12" s="1"/>
  <c r="V1115" i="2"/>
  <c r="D1115" i="12" s="1"/>
  <c r="U1115" i="2"/>
  <c r="W1114" i="2"/>
  <c r="F1114" i="12" s="1"/>
  <c r="V1114" i="2"/>
  <c r="D1114" i="12" s="1"/>
  <c r="U1114" i="2"/>
  <c r="W1113" i="2"/>
  <c r="F1113" i="12" s="1"/>
  <c r="V1113" i="2"/>
  <c r="D1113" i="12" s="1"/>
  <c r="U1113" i="2"/>
  <c r="W1112" i="2"/>
  <c r="F1112" i="12" s="1"/>
  <c r="V1112" i="2"/>
  <c r="D1112" i="12" s="1"/>
  <c r="U1112" i="2"/>
  <c r="W1111" i="2"/>
  <c r="F1111" i="12" s="1"/>
  <c r="V1111" i="2"/>
  <c r="D1111" i="12" s="1"/>
  <c r="U1111" i="2"/>
  <c r="W1110" i="2"/>
  <c r="F1110" i="12" s="1"/>
  <c r="V1110" i="2"/>
  <c r="D1110" i="12" s="1"/>
  <c r="U1110" i="2"/>
  <c r="W1109" i="2"/>
  <c r="F1109" i="12" s="1"/>
  <c r="V1109" i="2"/>
  <c r="D1109" i="12" s="1"/>
  <c r="U1109" i="2"/>
  <c r="W1108" i="2"/>
  <c r="F1108" i="12" s="1"/>
  <c r="V1108" i="2"/>
  <c r="D1108" i="12" s="1"/>
  <c r="U1108" i="2"/>
  <c r="W1107" i="2"/>
  <c r="F1107" i="12" s="1"/>
  <c r="V1107" i="2"/>
  <c r="D1107" i="12" s="1"/>
  <c r="U1107" i="2"/>
  <c r="W1106" i="2"/>
  <c r="F1106" i="12" s="1"/>
  <c r="V1106" i="2"/>
  <c r="D1106" i="12" s="1"/>
  <c r="U1106" i="2"/>
  <c r="W1105" i="2"/>
  <c r="F1105" i="12" s="1"/>
  <c r="V1105" i="2"/>
  <c r="D1105" i="12" s="1"/>
  <c r="U1105" i="2"/>
  <c r="W1104" i="2"/>
  <c r="F1104" i="12" s="1"/>
  <c r="V1104" i="2"/>
  <c r="D1104" i="12" s="1"/>
  <c r="U1104" i="2"/>
  <c r="W1103" i="2"/>
  <c r="F1103" i="12" s="1"/>
  <c r="V1103" i="2"/>
  <c r="D1103" i="12" s="1"/>
  <c r="U1103" i="2"/>
  <c r="W1102" i="2"/>
  <c r="F1102" i="12" s="1"/>
  <c r="V1102" i="2"/>
  <c r="D1102" i="12" s="1"/>
  <c r="U1102" i="2"/>
  <c r="W1101" i="2"/>
  <c r="F1101" i="12" s="1"/>
  <c r="V1101" i="2"/>
  <c r="D1101" i="12" s="1"/>
  <c r="U1101" i="2"/>
  <c r="W1100" i="2"/>
  <c r="F1100" i="12" s="1"/>
  <c r="V1100" i="2"/>
  <c r="D1100" i="12" s="1"/>
  <c r="U1100" i="2"/>
  <c r="W1099" i="2"/>
  <c r="F1099" i="12" s="1"/>
  <c r="V1099" i="2"/>
  <c r="D1099" i="12" s="1"/>
  <c r="U1099" i="2"/>
  <c r="W1098" i="2"/>
  <c r="F1098" i="12" s="1"/>
  <c r="V1098" i="2"/>
  <c r="D1098" i="12" s="1"/>
  <c r="U1098" i="2"/>
  <c r="W1097" i="2"/>
  <c r="F1097" i="12" s="1"/>
  <c r="V1097" i="2"/>
  <c r="D1097" i="12" s="1"/>
  <c r="U1097" i="2"/>
  <c r="W1096" i="2"/>
  <c r="F1096" i="12" s="1"/>
  <c r="V1096" i="2"/>
  <c r="D1096" i="12" s="1"/>
  <c r="U1096" i="2"/>
  <c r="W1095" i="2"/>
  <c r="F1095" i="12" s="1"/>
  <c r="V1095" i="2"/>
  <c r="D1095" i="12" s="1"/>
  <c r="U1095" i="2"/>
  <c r="W1094" i="2"/>
  <c r="F1094" i="12" s="1"/>
  <c r="V1094" i="2"/>
  <c r="D1094" i="12" s="1"/>
  <c r="U1094" i="2"/>
  <c r="W1093" i="2"/>
  <c r="F1093" i="12" s="1"/>
  <c r="V1093" i="2"/>
  <c r="D1093" i="12" s="1"/>
  <c r="U1093" i="2"/>
  <c r="W1092" i="2"/>
  <c r="F1092" i="12" s="1"/>
  <c r="V1092" i="2"/>
  <c r="D1092" i="12" s="1"/>
  <c r="U1092" i="2"/>
  <c r="W1091" i="2"/>
  <c r="F1091" i="12" s="1"/>
  <c r="V1091" i="2"/>
  <c r="D1091" i="12" s="1"/>
  <c r="U1091" i="2"/>
  <c r="W1090" i="2"/>
  <c r="F1090" i="12" s="1"/>
  <c r="V1090" i="2"/>
  <c r="D1090" i="12" s="1"/>
  <c r="U1090" i="2"/>
  <c r="W1089" i="2"/>
  <c r="F1089" i="12" s="1"/>
  <c r="V1089" i="2"/>
  <c r="D1089" i="12" s="1"/>
  <c r="U1089" i="2"/>
  <c r="W1088" i="2"/>
  <c r="F1088" i="12" s="1"/>
  <c r="V1088" i="2"/>
  <c r="D1088" i="12" s="1"/>
  <c r="U1088" i="2"/>
  <c r="W1087" i="2"/>
  <c r="F1087" i="12" s="1"/>
  <c r="V1087" i="2"/>
  <c r="D1087" i="12" s="1"/>
  <c r="U1087" i="2"/>
  <c r="W1086" i="2"/>
  <c r="F1086" i="12" s="1"/>
  <c r="V1086" i="2"/>
  <c r="D1086" i="12" s="1"/>
  <c r="U1086" i="2"/>
  <c r="W1085" i="2"/>
  <c r="F1085" i="12" s="1"/>
  <c r="V1085" i="2"/>
  <c r="D1085" i="12" s="1"/>
  <c r="U1085" i="2"/>
  <c r="W1084" i="2"/>
  <c r="F1084" i="12" s="1"/>
  <c r="V1084" i="2"/>
  <c r="D1084" i="12" s="1"/>
  <c r="U1084" i="2"/>
  <c r="W1083" i="2"/>
  <c r="F1083" i="12" s="1"/>
  <c r="V1083" i="2"/>
  <c r="D1083" i="12" s="1"/>
  <c r="U1083" i="2"/>
  <c r="W1082" i="2"/>
  <c r="F1082" i="12" s="1"/>
  <c r="V1082" i="2"/>
  <c r="D1082" i="12" s="1"/>
  <c r="U1082" i="2"/>
  <c r="W1081" i="2"/>
  <c r="F1081" i="12" s="1"/>
  <c r="V1081" i="2"/>
  <c r="D1081" i="12" s="1"/>
  <c r="U1081" i="2"/>
  <c r="W1080" i="2"/>
  <c r="F1080" i="12" s="1"/>
  <c r="V1080" i="2"/>
  <c r="D1080" i="12" s="1"/>
  <c r="U1080" i="2"/>
  <c r="W1079" i="2"/>
  <c r="F1079" i="12" s="1"/>
  <c r="V1079" i="2"/>
  <c r="D1079" i="12" s="1"/>
  <c r="U1079" i="2"/>
  <c r="W1078" i="2"/>
  <c r="F1078" i="12" s="1"/>
  <c r="V1078" i="2"/>
  <c r="D1078" i="12" s="1"/>
  <c r="U1078" i="2"/>
  <c r="W1077" i="2"/>
  <c r="F1077" i="12" s="1"/>
  <c r="V1077" i="2"/>
  <c r="D1077" i="12" s="1"/>
  <c r="U1077" i="2"/>
  <c r="W1076" i="2"/>
  <c r="F1076" i="12" s="1"/>
  <c r="V1076" i="2"/>
  <c r="D1076" i="12" s="1"/>
  <c r="U1076" i="2"/>
  <c r="W1075" i="2"/>
  <c r="F1075" i="12" s="1"/>
  <c r="V1075" i="2"/>
  <c r="D1075" i="12" s="1"/>
  <c r="U1075" i="2"/>
  <c r="W1074" i="2"/>
  <c r="F1074" i="12" s="1"/>
  <c r="V1074" i="2"/>
  <c r="D1074" i="12" s="1"/>
  <c r="U1074" i="2"/>
  <c r="W1073" i="2"/>
  <c r="F1073" i="12" s="1"/>
  <c r="V1073" i="2"/>
  <c r="D1073" i="12" s="1"/>
  <c r="U1073" i="2"/>
  <c r="W1072" i="2"/>
  <c r="F1072" i="12" s="1"/>
  <c r="V1072" i="2"/>
  <c r="D1072" i="12" s="1"/>
  <c r="U1072" i="2"/>
  <c r="F1071" i="12"/>
  <c r="D1071" i="12"/>
  <c r="U1071" i="2"/>
  <c r="F1070" i="12"/>
  <c r="D1070" i="12"/>
  <c r="U1070" i="2"/>
  <c r="F1069" i="12"/>
  <c r="D1069" i="12"/>
  <c r="U1069" i="2"/>
  <c r="F1068" i="12"/>
  <c r="D1068" i="12"/>
  <c r="U1068" i="2"/>
  <c r="F1067" i="12"/>
  <c r="D1067" i="12"/>
  <c r="U1067" i="2"/>
  <c r="F1066" i="12"/>
  <c r="D1066" i="12"/>
  <c r="U1066" i="2"/>
  <c r="F1065" i="12"/>
  <c r="D1065" i="12"/>
  <c r="U1065" i="2"/>
  <c r="F1064" i="12"/>
  <c r="D1064" i="12"/>
  <c r="U1064" i="2"/>
  <c r="F1063" i="12"/>
  <c r="D1063" i="12"/>
  <c r="U1063" i="2"/>
  <c r="F1062" i="12"/>
  <c r="D1062" i="12"/>
  <c r="U1062" i="2"/>
  <c r="F1061" i="12"/>
  <c r="D1061" i="12"/>
  <c r="U1061" i="2"/>
  <c r="F1060" i="12"/>
  <c r="D1060" i="12"/>
  <c r="U1060" i="2"/>
  <c r="F1059" i="12"/>
  <c r="D1059" i="12"/>
  <c r="U1059" i="2"/>
  <c r="F1058" i="12"/>
  <c r="D1058" i="12"/>
  <c r="U1058" i="2"/>
  <c r="F1057" i="12"/>
  <c r="D1057" i="12"/>
  <c r="U1057" i="2"/>
  <c r="F1056" i="12"/>
  <c r="D1056" i="12"/>
  <c r="U1056" i="2"/>
  <c r="F1055" i="12"/>
  <c r="D1055" i="12"/>
  <c r="U1055" i="2"/>
  <c r="F1054" i="12"/>
  <c r="D1054" i="12"/>
  <c r="U1054" i="2"/>
  <c r="F1053" i="12"/>
  <c r="D1053" i="12"/>
  <c r="U1053" i="2"/>
  <c r="F1052" i="12"/>
  <c r="D1052" i="12"/>
  <c r="U1052" i="2"/>
  <c r="F1051" i="12"/>
  <c r="D1051" i="12"/>
  <c r="U1051" i="2"/>
  <c r="F1050" i="12"/>
  <c r="D1050" i="12"/>
  <c r="U1050" i="2"/>
  <c r="F1049" i="12"/>
  <c r="D1049" i="12"/>
  <c r="U1049" i="2"/>
  <c r="F1048" i="12"/>
  <c r="D1048" i="12"/>
  <c r="U1048" i="2"/>
  <c r="F1047" i="12"/>
  <c r="D1047" i="12"/>
  <c r="U1047" i="2"/>
  <c r="F1046" i="12"/>
  <c r="D1046" i="12"/>
  <c r="U1046" i="2"/>
  <c r="F1045" i="12"/>
  <c r="D1045" i="12"/>
  <c r="U1045" i="2"/>
  <c r="F1044" i="12"/>
  <c r="D1044" i="12"/>
  <c r="U1044" i="2"/>
  <c r="F1043" i="12"/>
  <c r="D1043" i="12"/>
  <c r="U1043" i="2"/>
  <c r="F1042" i="12"/>
  <c r="D1042" i="12"/>
  <c r="U1042" i="2"/>
  <c r="F1041" i="12"/>
  <c r="D1041" i="12"/>
  <c r="U1041" i="2"/>
  <c r="F1040" i="12"/>
  <c r="D1040" i="12"/>
  <c r="U1040" i="2"/>
  <c r="F1039" i="12"/>
  <c r="D1039" i="12"/>
  <c r="U1039" i="2"/>
  <c r="F1038" i="12"/>
  <c r="D1038" i="12"/>
  <c r="U1038" i="2"/>
  <c r="F1037" i="12"/>
  <c r="D1037" i="12"/>
  <c r="U1037" i="2"/>
  <c r="F1036" i="12"/>
  <c r="D1036" i="12"/>
  <c r="U1036" i="2"/>
  <c r="F1035" i="12"/>
  <c r="D1035" i="12"/>
  <c r="U1035" i="2"/>
  <c r="F1034" i="12"/>
  <c r="D1034" i="12"/>
  <c r="U1034" i="2"/>
  <c r="F1033" i="12"/>
  <c r="D1033" i="12"/>
  <c r="U1033" i="2"/>
  <c r="F1032" i="12"/>
  <c r="D1032" i="12"/>
  <c r="U1032" i="2"/>
  <c r="F1031" i="12"/>
  <c r="D1031" i="12"/>
  <c r="U1031" i="2"/>
  <c r="F1030" i="12"/>
  <c r="D1030" i="12"/>
  <c r="U1030" i="2"/>
  <c r="F1029" i="12"/>
  <c r="D1029" i="12"/>
  <c r="U1029" i="2"/>
  <c r="F1028" i="12"/>
  <c r="D1028" i="12"/>
  <c r="U1028" i="2"/>
  <c r="F1027" i="12"/>
  <c r="D1027" i="12"/>
  <c r="U1027" i="2"/>
  <c r="F1026" i="12"/>
  <c r="D1026" i="12"/>
  <c r="U1026" i="2"/>
  <c r="F1025" i="12"/>
  <c r="D1025" i="12"/>
  <c r="U1025" i="2"/>
  <c r="F1024" i="12"/>
  <c r="D1024" i="12"/>
  <c r="U1024" i="2"/>
  <c r="F1023" i="12"/>
  <c r="D1023" i="12"/>
  <c r="U1023" i="2"/>
  <c r="F1022" i="12"/>
  <c r="D1022" i="12"/>
  <c r="U1022" i="2"/>
  <c r="F1021" i="12"/>
  <c r="D1021" i="12"/>
  <c r="U1021" i="2"/>
  <c r="F1020" i="12"/>
  <c r="D1020" i="12"/>
  <c r="U1020" i="2"/>
  <c r="F1019" i="12"/>
  <c r="D1019" i="12"/>
  <c r="U1019" i="2"/>
  <c r="F1018" i="12"/>
  <c r="D1018" i="12"/>
  <c r="U1018" i="2"/>
  <c r="F1017" i="12"/>
  <c r="D1017" i="12"/>
  <c r="U1017" i="2"/>
  <c r="F1016" i="12"/>
  <c r="D1016" i="12"/>
  <c r="U1016" i="2"/>
  <c r="F1015" i="12"/>
  <c r="D1015" i="12"/>
  <c r="U1015" i="2"/>
  <c r="F1014" i="12"/>
  <c r="D1014" i="12"/>
  <c r="U1014" i="2"/>
  <c r="F1013" i="12"/>
  <c r="D1013" i="12"/>
  <c r="U1013" i="2"/>
  <c r="F1012" i="12"/>
  <c r="D1012" i="12"/>
  <c r="U1012" i="2"/>
  <c r="F1011" i="12"/>
  <c r="D1011" i="12"/>
  <c r="U1011" i="2"/>
  <c r="F1010" i="12"/>
  <c r="D1010" i="12"/>
  <c r="U1010" i="2"/>
  <c r="F1009" i="12"/>
  <c r="D1009" i="12"/>
  <c r="U1009" i="2"/>
  <c r="F1008" i="12"/>
  <c r="D1008" i="12"/>
  <c r="U1008" i="2"/>
  <c r="F1007" i="12"/>
  <c r="D1007" i="12"/>
  <c r="U1007" i="2"/>
  <c r="F1006" i="12"/>
  <c r="D1006" i="12"/>
  <c r="U1006" i="2"/>
  <c r="F1005" i="12"/>
  <c r="D1005" i="12"/>
  <c r="U1005" i="2"/>
  <c r="F1004" i="12"/>
  <c r="D1004" i="12"/>
  <c r="U1004" i="2"/>
  <c r="F1003" i="12"/>
  <c r="D1003" i="12"/>
  <c r="U1003" i="2"/>
  <c r="F1002" i="12"/>
  <c r="D1002" i="12"/>
  <c r="U1002" i="2"/>
  <c r="F1001" i="12"/>
  <c r="D1001" i="12"/>
  <c r="U1001" i="2"/>
  <c r="F1000" i="12"/>
  <c r="D1000" i="12"/>
  <c r="U1000" i="2"/>
  <c r="F999" i="12"/>
  <c r="D999" i="12"/>
  <c r="U999" i="2"/>
  <c r="F998" i="12"/>
  <c r="D998" i="12"/>
  <c r="U998" i="2"/>
  <c r="F997" i="12"/>
  <c r="D997" i="12"/>
  <c r="U997" i="2"/>
  <c r="F996" i="12"/>
  <c r="D996" i="12"/>
  <c r="U996" i="2"/>
  <c r="F995" i="12"/>
  <c r="D995" i="12"/>
  <c r="U995" i="2"/>
  <c r="F994" i="12"/>
  <c r="D994" i="12"/>
  <c r="U994" i="2"/>
  <c r="F993" i="12"/>
  <c r="D993" i="12"/>
  <c r="U993" i="2"/>
  <c r="F992" i="12"/>
  <c r="D992" i="12"/>
  <c r="U992" i="2"/>
  <c r="F991" i="12"/>
  <c r="D991" i="12"/>
  <c r="U991" i="2"/>
  <c r="F990" i="12"/>
  <c r="D990" i="12"/>
  <c r="U990" i="2"/>
  <c r="F989" i="12"/>
  <c r="D989" i="12"/>
  <c r="U989" i="2"/>
  <c r="F988" i="12"/>
  <c r="D988" i="12"/>
  <c r="U988" i="2"/>
  <c r="F987" i="12"/>
  <c r="D987" i="12"/>
  <c r="U987" i="2"/>
  <c r="F986" i="12"/>
  <c r="D986" i="12"/>
  <c r="U986" i="2"/>
  <c r="F985" i="12"/>
  <c r="D985" i="12"/>
  <c r="U985" i="2"/>
  <c r="F984" i="12"/>
  <c r="D984" i="12"/>
  <c r="U984" i="2"/>
  <c r="F983" i="12"/>
  <c r="D983" i="12"/>
  <c r="U983" i="2"/>
  <c r="F982" i="12"/>
  <c r="D982" i="12"/>
  <c r="U982" i="2"/>
  <c r="F981" i="12"/>
  <c r="D981" i="12"/>
  <c r="U981" i="2"/>
  <c r="F980" i="12"/>
  <c r="D980" i="12"/>
  <c r="U980" i="2"/>
  <c r="F979" i="12"/>
  <c r="D979" i="12"/>
  <c r="U979" i="2"/>
  <c r="F978" i="12"/>
  <c r="D978" i="12"/>
  <c r="U978" i="2"/>
  <c r="F977" i="12"/>
  <c r="D977" i="12"/>
  <c r="U977" i="2"/>
  <c r="F976" i="12"/>
  <c r="D976" i="12"/>
  <c r="U976" i="2"/>
  <c r="F975" i="12"/>
  <c r="D975" i="12"/>
  <c r="U975" i="2"/>
  <c r="F974" i="12"/>
  <c r="D974" i="12"/>
  <c r="U974" i="2"/>
  <c r="F973" i="12"/>
  <c r="D973" i="12"/>
  <c r="U973" i="2"/>
  <c r="F972" i="12"/>
  <c r="D972" i="12"/>
  <c r="U972" i="2"/>
  <c r="F971" i="12"/>
  <c r="D971" i="12"/>
  <c r="U971" i="2"/>
  <c r="F970" i="12"/>
  <c r="D970" i="12"/>
  <c r="U970" i="2"/>
  <c r="F969" i="12"/>
  <c r="D969" i="12"/>
  <c r="U969" i="2"/>
  <c r="F968" i="12"/>
  <c r="D968" i="12"/>
  <c r="U968" i="2"/>
  <c r="F967" i="12"/>
  <c r="D967" i="12"/>
  <c r="U967" i="2"/>
  <c r="F966" i="12"/>
  <c r="D966" i="12"/>
  <c r="U966" i="2"/>
  <c r="F965" i="12"/>
  <c r="D965" i="12"/>
  <c r="U965" i="2"/>
  <c r="F964" i="12"/>
  <c r="D964" i="12"/>
  <c r="U964" i="2"/>
  <c r="F963" i="12"/>
  <c r="D963" i="12"/>
  <c r="U963" i="2"/>
  <c r="F962" i="12"/>
  <c r="D962" i="12"/>
  <c r="U962" i="2"/>
  <c r="F961" i="12"/>
  <c r="D961" i="12"/>
  <c r="U961" i="2"/>
  <c r="F960" i="12"/>
  <c r="D960" i="12"/>
  <c r="U960" i="2"/>
  <c r="F959" i="12"/>
  <c r="D959" i="12"/>
  <c r="U959" i="2"/>
  <c r="F958" i="12"/>
  <c r="D958" i="12"/>
  <c r="U958" i="2"/>
  <c r="F957" i="12"/>
  <c r="D957" i="12"/>
  <c r="U957" i="2"/>
  <c r="F956" i="12"/>
  <c r="D956" i="12"/>
  <c r="U956" i="2"/>
  <c r="F955" i="12"/>
  <c r="D955" i="12"/>
  <c r="U955" i="2"/>
  <c r="F954" i="12"/>
  <c r="D954" i="12"/>
  <c r="U954" i="2"/>
  <c r="F953" i="12"/>
  <c r="D953" i="12"/>
  <c r="U953" i="2"/>
  <c r="F952" i="12"/>
  <c r="D952" i="12"/>
  <c r="U952" i="2"/>
  <c r="F951" i="12"/>
  <c r="D951" i="12"/>
  <c r="U951" i="2"/>
  <c r="F950" i="12"/>
  <c r="D950" i="12"/>
  <c r="U950" i="2"/>
  <c r="F949" i="12"/>
  <c r="D949" i="12"/>
  <c r="U949" i="2"/>
  <c r="F948" i="12"/>
  <c r="D948" i="12"/>
  <c r="U948" i="2"/>
  <c r="F947" i="12"/>
  <c r="D947" i="12"/>
  <c r="U947" i="2"/>
  <c r="F946" i="12"/>
  <c r="D946" i="12"/>
  <c r="U946" i="2"/>
  <c r="F945" i="12"/>
  <c r="D945" i="12"/>
  <c r="U945" i="2"/>
  <c r="F944" i="12"/>
  <c r="D944" i="12"/>
  <c r="U944" i="2"/>
  <c r="F943" i="12"/>
  <c r="D943" i="12"/>
  <c r="U943" i="2"/>
  <c r="F942" i="12"/>
  <c r="D942" i="12"/>
  <c r="U942" i="2"/>
  <c r="F941" i="12"/>
  <c r="D941" i="12"/>
  <c r="U941" i="2"/>
  <c r="F940" i="12"/>
  <c r="D940" i="12"/>
  <c r="U940" i="2"/>
  <c r="F939" i="12"/>
  <c r="D939" i="12"/>
  <c r="U939" i="2"/>
  <c r="F938" i="12"/>
  <c r="D938" i="12"/>
  <c r="U938" i="2"/>
  <c r="F937" i="12"/>
  <c r="D937" i="12"/>
  <c r="U937" i="2"/>
  <c r="F936" i="12"/>
  <c r="D936" i="12"/>
  <c r="U936" i="2"/>
  <c r="F935" i="12"/>
  <c r="D935" i="12"/>
  <c r="U935" i="2"/>
  <c r="F934" i="12"/>
  <c r="D934" i="12"/>
  <c r="U934" i="2"/>
  <c r="F933" i="12"/>
  <c r="D933" i="12"/>
  <c r="U933" i="2"/>
  <c r="F932" i="12"/>
  <c r="D932" i="12"/>
  <c r="U932" i="2"/>
  <c r="F931" i="12"/>
  <c r="D931" i="12"/>
  <c r="U931" i="2"/>
  <c r="F930" i="12"/>
  <c r="D930" i="12"/>
  <c r="U930" i="2"/>
  <c r="F929" i="12"/>
  <c r="D929" i="12"/>
  <c r="U929" i="2"/>
  <c r="F928" i="12"/>
  <c r="D928" i="12"/>
  <c r="U928" i="2"/>
  <c r="F927" i="12"/>
  <c r="D927" i="12"/>
  <c r="U927" i="2"/>
  <c r="F926" i="12"/>
  <c r="D926" i="12"/>
  <c r="U926" i="2"/>
  <c r="F925" i="12"/>
  <c r="D925" i="12"/>
  <c r="U925" i="2"/>
  <c r="F924" i="12"/>
  <c r="D924" i="12"/>
  <c r="U924" i="2"/>
  <c r="F923" i="12"/>
  <c r="D923" i="12"/>
  <c r="U923" i="2"/>
  <c r="F922" i="12"/>
  <c r="D922" i="12"/>
  <c r="U922" i="2"/>
  <c r="F921" i="12"/>
  <c r="D921" i="12"/>
  <c r="U921" i="2"/>
  <c r="F920" i="12"/>
  <c r="D920" i="12"/>
  <c r="U920" i="2"/>
  <c r="F919" i="12"/>
  <c r="D919" i="12"/>
  <c r="U919" i="2"/>
  <c r="F918" i="12"/>
  <c r="D918" i="12"/>
  <c r="U918" i="2"/>
  <c r="F917" i="12"/>
  <c r="D917" i="12"/>
  <c r="U917" i="2"/>
  <c r="F916" i="12"/>
  <c r="D916" i="12"/>
  <c r="U916" i="2"/>
  <c r="F915" i="12"/>
  <c r="D915" i="12"/>
  <c r="U915" i="2"/>
  <c r="F914" i="12"/>
  <c r="D914" i="12"/>
  <c r="U914" i="2"/>
  <c r="F913" i="12"/>
  <c r="D913" i="12"/>
  <c r="U913" i="2"/>
  <c r="F912" i="12"/>
  <c r="D912" i="12"/>
  <c r="U912" i="2"/>
  <c r="F911" i="12"/>
  <c r="D911" i="12"/>
  <c r="U911" i="2"/>
  <c r="F910" i="12"/>
  <c r="D910" i="12"/>
  <c r="U910" i="2"/>
  <c r="F909" i="12"/>
  <c r="D909" i="12"/>
  <c r="U909" i="2"/>
  <c r="F908" i="12"/>
  <c r="D908" i="12"/>
  <c r="U908" i="2"/>
  <c r="F907" i="12"/>
  <c r="D907" i="12"/>
  <c r="U907" i="2"/>
  <c r="F906" i="12"/>
  <c r="D906" i="12"/>
  <c r="U906" i="2"/>
  <c r="F905" i="12"/>
  <c r="D905" i="12"/>
  <c r="U905" i="2"/>
  <c r="F904" i="12"/>
  <c r="D904" i="12"/>
  <c r="U904" i="2"/>
  <c r="F903" i="12"/>
  <c r="D903" i="12"/>
  <c r="U903" i="2"/>
  <c r="F902" i="12"/>
  <c r="D902" i="12"/>
  <c r="U902" i="2"/>
  <c r="F901" i="12"/>
  <c r="D901" i="12"/>
  <c r="U901" i="2"/>
  <c r="F900" i="12"/>
  <c r="D900" i="12"/>
  <c r="U900" i="2"/>
  <c r="F899" i="12"/>
  <c r="D899" i="12"/>
  <c r="U899" i="2"/>
  <c r="F898" i="12"/>
  <c r="D898" i="12"/>
  <c r="U898" i="2"/>
  <c r="F897" i="12"/>
  <c r="D897" i="12"/>
  <c r="U897" i="2"/>
  <c r="F896" i="12"/>
  <c r="D896" i="12"/>
  <c r="U896" i="2"/>
  <c r="F895" i="12"/>
  <c r="D895" i="12"/>
  <c r="U895" i="2"/>
  <c r="F894" i="12"/>
  <c r="D894" i="12"/>
  <c r="U894" i="2"/>
  <c r="F893" i="12"/>
  <c r="D893" i="12"/>
  <c r="U893" i="2"/>
  <c r="F892" i="12"/>
  <c r="D892" i="12"/>
  <c r="U892" i="2"/>
  <c r="F891" i="12"/>
  <c r="D891" i="12"/>
  <c r="U891" i="2"/>
  <c r="F890" i="12"/>
  <c r="D890" i="12"/>
  <c r="U890" i="2"/>
  <c r="F889" i="12"/>
  <c r="D889" i="12"/>
  <c r="U889" i="2"/>
  <c r="F888" i="12"/>
  <c r="D888" i="12"/>
  <c r="U888" i="2"/>
  <c r="F887" i="12"/>
  <c r="D887" i="12"/>
  <c r="U887" i="2"/>
  <c r="F886" i="12"/>
  <c r="D886" i="12"/>
  <c r="U886" i="2"/>
  <c r="F885" i="12"/>
  <c r="D885" i="12"/>
  <c r="U885" i="2"/>
  <c r="F884" i="12"/>
  <c r="D884" i="12"/>
  <c r="U884" i="2"/>
  <c r="F883" i="12"/>
  <c r="D883" i="12"/>
  <c r="U883" i="2"/>
  <c r="F882" i="12"/>
  <c r="D882" i="12"/>
  <c r="U882" i="2"/>
  <c r="F881" i="12"/>
  <c r="D881" i="12"/>
  <c r="U881" i="2"/>
  <c r="F880" i="12"/>
  <c r="D880" i="12"/>
  <c r="U880" i="2"/>
  <c r="F879" i="12"/>
  <c r="D879" i="12"/>
  <c r="U879" i="2"/>
  <c r="F878" i="12"/>
  <c r="D878" i="12"/>
  <c r="U878" i="2"/>
  <c r="F877" i="12"/>
  <c r="D877" i="12"/>
  <c r="U877" i="2"/>
  <c r="F876" i="12"/>
  <c r="D876" i="12"/>
  <c r="U876" i="2"/>
  <c r="F875" i="12"/>
  <c r="D875" i="12"/>
  <c r="U875" i="2"/>
  <c r="F874" i="12"/>
  <c r="D874" i="12"/>
  <c r="U874" i="2"/>
  <c r="F873" i="12"/>
  <c r="D873" i="12"/>
  <c r="U873" i="2"/>
  <c r="F872" i="12"/>
  <c r="D872" i="12"/>
  <c r="U872" i="2"/>
  <c r="F871" i="12"/>
  <c r="D871" i="12"/>
  <c r="U871" i="2"/>
  <c r="F870" i="12"/>
  <c r="D870" i="12"/>
  <c r="U870" i="2"/>
  <c r="F869" i="12"/>
  <c r="D869" i="12"/>
  <c r="U869" i="2"/>
  <c r="F868" i="12"/>
  <c r="D868" i="12"/>
  <c r="U868" i="2"/>
  <c r="F867" i="12"/>
  <c r="D867" i="12"/>
  <c r="U867" i="2"/>
  <c r="F866" i="12"/>
  <c r="D866" i="12"/>
  <c r="U866" i="2"/>
  <c r="F865" i="12"/>
  <c r="D865" i="12"/>
  <c r="U865" i="2"/>
  <c r="F864" i="12"/>
  <c r="D864" i="12"/>
  <c r="U864" i="2"/>
  <c r="F863" i="12"/>
  <c r="D863" i="12"/>
  <c r="U863" i="2"/>
  <c r="F862" i="12"/>
  <c r="D862" i="12"/>
  <c r="U862" i="2"/>
  <c r="F861" i="12"/>
  <c r="D861" i="12"/>
  <c r="U861" i="2"/>
  <c r="F860" i="12"/>
  <c r="D860" i="12"/>
  <c r="U860" i="2"/>
  <c r="F859" i="12"/>
  <c r="D859" i="12"/>
  <c r="U859" i="2"/>
  <c r="F858" i="12"/>
  <c r="D858" i="12"/>
  <c r="U858" i="2"/>
  <c r="F857" i="12"/>
  <c r="D857" i="12"/>
  <c r="U857" i="2"/>
  <c r="F856" i="12"/>
  <c r="D856" i="12"/>
  <c r="U856" i="2"/>
  <c r="F855" i="12"/>
  <c r="D855" i="12"/>
  <c r="U855" i="2"/>
  <c r="F854" i="12"/>
  <c r="D854" i="12"/>
  <c r="U854" i="2"/>
  <c r="F853" i="12"/>
  <c r="D853" i="12"/>
  <c r="U853" i="2"/>
  <c r="F852" i="12"/>
  <c r="D852" i="12"/>
  <c r="U852" i="2"/>
  <c r="F851" i="12"/>
  <c r="D851" i="12"/>
  <c r="U851" i="2"/>
  <c r="F850" i="12"/>
  <c r="D850" i="12"/>
  <c r="U850" i="2"/>
  <c r="F849" i="12"/>
  <c r="D849" i="12"/>
  <c r="U849" i="2"/>
  <c r="F848" i="12"/>
  <c r="D848" i="12"/>
  <c r="U848" i="2"/>
  <c r="F847" i="12"/>
  <c r="D847" i="12"/>
  <c r="U847" i="2"/>
  <c r="F846" i="12"/>
  <c r="D846" i="12"/>
  <c r="U846" i="2"/>
  <c r="F845" i="12"/>
  <c r="D845" i="12"/>
  <c r="U845" i="2"/>
  <c r="F844" i="12"/>
  <c r="D844" i="12"/>
  <c r="U844" i="2"/>
  <c r="F843" i="12"/>
  <c r="D843" i="12"/>
  <c r="U843" i="2"/>
  <c r="F842" i="12"/>
  <c r="D842" i="12"/>
  <c r="U842" i="2"/>
  <c r="F841" i="12"/>
  <c r="D841" i="12"/>
  <c r="U841" i="2"/>
  <c r="F840" i="12"/>
  <c r="D840" i="12"/>
  <c r="U840" i="2"/>
  <c r="F839" i="12"/>
  <c r="D839" i="12"/>
  <c r="U839" i="2"/>
  <c r="F838" i="12"/>
  <c r="D838" i="12"/>
  <c r="U838" i="2"/>
  <c r="F837" i="12"/>
  <c r="D837" i="12"/>
  <c r="U837" i="2"/>
  <c r="F836" i="12"/>
  <c r="D836" i="12"/>
  <c r="U836" i="2"/>
  <c r="F835" i="12"/>
  <c r="D835" i="12"/>
  <c r="U835" i="2"/>
  <c r="F834" i="12"/>
  <c r="D834" i="12"/>
  <c r="U834" i="2"/>
  <c r="F833" i="12"/>
  <c r="D833" i="12"/>
  <c r="U833" i="2"/>
  <c r="F832" i="12"/>
  <c r="D832" i="12"/>
  <c r="U832" i="2"/>
  <c r="F831" i="12"/>
  <c r="D831" i="12"/>
  <c r="U831" i="2"/>
  <c r="F830" i="12"/>
  <c r="D830" i="12"/>
  <c r="U830" i="2"/>
  <c r="F829" i="12"/>
  <c r="D829" i="12"/>
  <c r="U829" i="2"/>
  <c r="F828" i="12"/>
  <c r="D828" i="12"/>
  <c r="U828" i="2"/>
  <c r="F827" i="12"/>
  <c r="D827" i="12"/>
  <c r="U827" i="2"/>
  <c r="F826" i="12"/>
  <c r="D826" i="12"/>
  <c r="U826" i="2"/>
  <c r="F825" i="12"/>
  <c r="D825" i="12"/>
  <c r="U825" i="2"/>
  <c r="F824" i="12"/>
  <c r="D824" i="12"/>
  <c r="U824" i="2"/>
  <c r="F823" i="12"/>
  <c r="D823" i="12"/>
  <c r="U823" i="2"/>
  <c r="F822" i="12"/>
  <c r="D822" i="12"/>
  <c r="U822" i="2"/>
  <c r="F821" i="12"/>
  <c r="D821" i="12"/>
  <c r="U821" i="2"/>
  <c r="F820" i="12"/>
  <c r="D820" i="12"/>
  <c r="U820" i="2"/>
  <c r="F819" i="12"/>
  <c r="D819" i="12"/>
  <c r="U819" i="2"/>
  <c r="F818" i="12"/>
  <c r="D818" i="12"/>
  <c r="U818" i="2"/>
  <c r="F817" i="12"/>
  <c r="D817" i="12"/>
  <c r="U817" i="2"/>
  <c r="F816" i="12"/>
  <c r="D816" i="12"/>
  <c r="U816" i="2"/>
  <c r="F815" i="12"/>
  <c r="D815" i="12"/>
  <c r="U815" i="2"/>
  <c r="F814" i="12"/>
  <c r="D814" i="12"/>
  <c r="U814" i="2"/>
  <c r="F813" i="12"/>
  <c r="D813" i="12"/>
  <c r="U813" i="2"/>
  <c r="F812" i="12"/>
  <c r="D812" i="12"/>
  <c r="U812" i="2"/>
  <c r="F811" i="12"/>
  <c r="D811" i="12"/>
  <c r="U811" i="2"/>
  <c r="F810" i="12"/>
  <c r="D810" i="12"/>
  <c r="U810" i="2"/>
  <c r="F809" i="12"/>
  <c r="D809" i="12"/>
  <c r="U809" i="2"/>
  <c r="F808" i="12"/>
  <c r="D808" i="12"/>
  <c r="U808" i="2"/>
  <c r="F807" i="12"/>
  <c r="D807" i="12"/>
  <c r="U807" i="2"/>
  <c r="F806" i="12"/>
  <c r="D806" i="12"/>
  <c r="U806" i="2"/>
  <c r="F805" i="12"/>
  <c r="D805" i="12"/>
  <c r="U805" i="2"/>
  <c r="F804" i="12"/>
  <c r="D804" i="12"/>
  <c r="U804" i="2"/>
  <c r="F803" i="12"/>
  <c r="D803" i="12"/>
  <c r="U803" i="2"/>
  <c r="F802" i="12"/>
  <c r="D802" i="12"/>
  <c r="U802" i="2"/>
  <c r="F801" i="12"/>
  <c r="D801" i="12"/>
  <c r="U801" i="2"/>
  <c r="F800" i="12"/>
  <c r="D800" i="12"/>
  <c r="U800" i="2"/>
  <c r="F799" i="12"/>
  <c r="D799" i="12"/>
  <c r="U799" i="2"/>
  <c r="F798" i="12"/>
  <c r="D798" i="12"/>
  <c r="U798" i="2"/>
  <c r="F797" i="12"/>
  <c r="D797" i="12"/>
  <c r="U797" i="2"/>
  <c r="F796" i="12"/>
  <c r="D796" i="12"/>
  <c r="U796" i="2"/>
  <c r="F795" i="12"/>
  <c r="D795" i="12"/>
  <c r="U795" i="2"/>
  <c r="F794" i="12"/>
  <c r="D794" i="12"/>
  <c r="U794" i="2"/>
  <c r="F793" i="12"/>
  <c r="D793" i="12"/>
  <c r="U793" i="2"/>
  <c r="F792" i="12"/>
  <c r="D792" i="12"/>
  <c r="U792" i="2"/>
  <c r="F791" i="12"/>
  <c r="D791" i="12"/>
  <c r="U791" i="2"/>
  <c r="F790" i="12"/>
  <c r="D790" i="12"/>
  <c r="U790" i="2"/>
  <c r="F789" i="12"/>
  <c r="D789" i="12"/>
  <c r="U789" i="2"/>
  <c r="F788" i="12"/>
  <c r="D788" i="12"/>
  <c r="U788" i="2"/>
  <c r="F787" i="12"/>
  <c r="D787" i="12"/>
  <c r="U787" i="2"/>
  <c r="F786" i="12"/>
  <c r="D786" i="12"/>
  <c r="U786" i="2"/>
  <c r="F785" i="12"/>
  <c r="D785" i="12"/>
  <c r="U785" i="2"/>
  <c r="F784" i="12"/>
  <c r="D784" i="12"/>
  <c r="U784" i="2"/>
  <c r="F783" i="12"/>
  <c r="D783" i="12"/>
  <c r="U783" i="2"/>
  <c r="F782" i="12"/>
  <c r="D782" i="12"/>
  <c r="U782" i="2"/>
  <c r="F781" i="12"/>
  <c r="D781" i="12"/>
  <c r="U781" i="2"/>
  <c r="F780" i="12"/>
  <c r="D780" i="12"/>
  <c r="U780" i="2"/>
  <c r="F779" i="12"/>
  <c r="D779" i="12"/>
  <c r="U779" i="2"/>
  <c r="F778" i="12"/>
  <c r="D778" i="12"/>
  <c r="U778" i="2"/>
  <c r="F777" i="12"/>
  <c r="D777" i="12"/>
  <c r="U777" i="2"/>
  <c r="F776" i="12"/>
  <c r="D776" i="12"/>
  <c r="U776" i="2"/>
  <c r="F775" i="12"/>
  <c r="D775" i="12"/>
  <c r="U775" i="2"/>
  <c r="F774" i="12"/>
  <c r="D774" i="12"/>
  <c r="U774" i="2"/>
  <c r="F773" i="12"/>
  <c r="D773" i="12"/>
  <c r="U773" i="2"/>
  <c r="F772" i="12"/>
  <c r="D772" i="12"/>
  <c r="U772" i="2"/>
  <c r="F771" i="12"/>
  <c r="D771" i="12"/>
  <c r="U771" i="2"/>
  <c r="F770" i="12"/>
  <c r="D770" i="12"/>
  <c r="U770" i="2"/>
  <c r="F769" i="12"/>
  <c r="D769" i="12"/>
  <c r="U769" i="2"/>
  <c r="F768" i="12"/>
  <c r="D768" i="12"/>
  <c r="U768" i="2"/>
  <c r="F767" i="12"/>
  <c r="D767" i="12"/>
  <c r="U767" i="2"/>
  <c r="F766" i="12"/>
  <c r="D766" i="12"/>
  <c r="U766" i="2"/>
  <c r="F765" i="12"/>
  <c r="D765" i="12"/>
  <c r="U765" i="2"/>
  <c r="F764" i="12"/>
  <c r="D764" i="12"/>
  <c r="U764" i="2"/>
  <c r="F763" i="12"/>
  <c r="D763" i="12"/>
  <c r="U763" i="2"/>
  <c r="F762" i="12"/>
  <c r="D762" i="12"/>
  <c r="U762" i="2"/>
  <c r="F761" i="12"/>
  <c r="D761" i="12"/>
  <c r="U761" i="2"/>
  <c r="F760" i="12"/>
  <c r="D760" i="12"/>
  <c r="U760" i="2"/>
  <c r="F759" i="12"/>
  <c r="D759" i="12"/>
  <c r="U759" i="2"/>
  <c r="F758" i="12"/>
  <c r="D758" i="12"/>
  <c r="U758" i="2"/>
  <c r="F757" i="12"/>
  <c r="D757" i="12"/>
  <c r="U757" i="2"/>
  <c r="F756" i="12"/>
  <c r="D756" i="12"/>
  <c r="U756" i="2"/>
  <c r="F755" i="12"/>
  <c r="D755" i="12"/>
  <c r="U755" i="2"/>
  <c r="F754" i="12"/>
  <c r="D754" i="12"/>
  <c r="U754" i="2"/>
  <c r="F753" i="12"/>
  <c r="D753" i="12"/>
  <c r="U753" i="2"/>
  <c r="F752" i="12"/>
  <c r="D752" i="12"/>
  <c r="U752" i="2"/>
  <c r="F751" i="12"/>
  <c r="D751" i="12"/>
  <c r="U751" i="2"/>
  <c r="F750" i="12"/>
  <c r="D750" i="12"/>
  <c r="U750" i="2"/>
  <c r="F749" i="12"/>
  <c r="D749" i="12"/>
  <c r="U749" i="2"/>
  <c r="F748" i="12"/>
  <c r="D748" i="12"/>
  <c r="U748" i="2"/>
  <c r="F747" i="12"/>
  <c r="D747" i="12"/>
  <c r="U747" i="2"/>
  <c r="F746" i="12"/>
  <c r="D746" i="12"/>
  <c r="U746" i="2"/>
  <c r="F745" i="12"/>
  <c r="D745" i="12"/>
  <c r="U745" i="2"/>
  <c r="F744" i="12"/>
  <c r="D744" i="12"/>
  <c r="U744" i="2"/>
  <c r="F743" i="12"/>
  <c r="D743" i="12"/>
  <c r="U743" i="2"/>
  <c r="F742" i="12"/>
  <c r="D742" i="12"/>
  <c r="U742" i="2"/>
  <c r="F741" i="12"/>
  <c r="D741" i="12"/>
  <c r="U741" i="2"/>
  <c r="F740" i="12"/>
  <c r="D740" i="12"/>
  <c r="U740" i="2"/>
  <c r="F739" i="12"/>
  <c r="D739" i="12"/>
  <c r="U739" i="2"/>
  <c r="F738" i="12"/>
  <c r="D738" i="12"/>
  <c r="U738" i="2"/>
  <c r="F737" i="12"/>
  <c r="D737" i="12"/>
  <c r="U737" i="2"/>
  <c r="F736" i="12"/>
  <c r="D736" i="12"/>
  <c r="U736" i="2"/>
  <c r="F735" i="12"/>
  <c r="D735" i="12"/>
  <c r="U735" i="2"/>
  <c r="F734" i="12"/>
  <c r="D734" i="12"/>
  <c r="U734" i="2"/>
  <c r="F733" i="12"/>
  <c r="D733" i="12"/>
  <c r="U733" i="2"/>
  <c r="F732" i="12"/>
  <c r="D732" i="12"/>
  <c r="U732" i="2"/>
  <c r="F731" i="12"/>
  <c r="D731" i="12"/>
  <c r="U731" i="2"/>
  <c r="F730" i="12"/>
  <c r="D730" i="12"/>
  <c r="U730" i="2"/>
  <c r="F729" i="12"/>
  <c r="D729" i="12"/>
  <c r="U729" i="2"/>
  <c r="F728" i="12"/>
  <c r="D728" i="12"/>
  <c r="U728" i="2"/>
  <c r="F727" i="12"/>
  <c r="D727" i="12"/>
  <c r="U727" i="2"/>
  <c r="F726" i="12"/>
  <c r="D726" i="12"/>
  <c r="U726" i="2"/>
  <c r="F725" i="12"/>
  <c r="D725" i="12"/>
  <c r="U725" i="2"/>
  <c r="F724" i="12"/>
  <c r="D724" i="12"/>
  <c r="U724" i="2"/>
  <c r="F723" i="12"/>
  <c r="D723" i="12"/>
  <c r="U723" i="2"/>
  <c r="F722" i="12"/>
  <c r="D722" i="12"/>
  <c r="U722" i="2"/>
  <c r="F721" i="12"/>
  <c r="D721" i="12"/>
  <c r="U721" i="2"/>
  <c r="F720" i="12"/>
  <c r="D720" i="12"/>
  <c r="U720" i="2"/>
  <c r="F719" i="12"/>
  <c r="D719" i="12"/>
  <c r="U719" i="2"/>
  <c r="F718" i="12"/>
  <c r="D718" i="12"/>
  <c r="U718" i="2"/>
  <c r="F717" i="12"/>
  <c r="D717" i="12"/>
  <c r="U717" i="2"/>
  <c r="F716" i="12"/>
  <c r="D716" i="12"/>
  <c r="U716" i="2"/>
  <c r="F715" i="12"/>
  <c r="D715" i="12"/>
  <c r="U715" i="2"/>
  <c r="F714" i="12"/>
  <c r="D714" i="12"/>
  <c r="U714" i="2"/>
  <c r="F713" i="12"/>
  <c r="D713" i="12"/>
  <c r="U713" i="2"/>
  <c r="F712" i="12"/>
  <c r="D712" i="12"/>
  <c r="U712" i="2"/>
  <c r="F711" i="12"/>
  <c r="D711" i="12"/>
  <c r="U711" i="2"/>
  <c r="F710" i="12"/>
  <c r="D710" i="12"/>
  <c r="U710" i="2"/>
  <c r="F709" i="12"/>
  <c r="D709" i="12"/>
  <c r="U709" i="2"/>
  <c r="F708" i="12"/>
  <c r="D708" i="12"/>
  <c r="U708" i="2"/>
  <c r="F707" i="12"/>
  <c r="D707" i="12"/>
  <c r="U707" i="2"/>
  <c r="F706" i="12"/>
  <c r="D706" i="12"/>
  <c r="U706" i="2"/>
  <c r="F705" i="12"/>
  <c r="D705" i="12"/>
  <c r="U705" i="2"/>
  <c r="F704" i="12"/>
  <c r="D704" i="12"/>
  <c r="U704" i="2"/>
  <c r="F703" i="12"/>
  <c r="D703" i="12"/>
  <c r="U703" i="2"/>
  <c r="F702" i="12"/>
  <c r="D702" i="12"/>
  <c r="U702" i="2"/>
  <c r="F701" i="12"/>
  <c r="D701" i="12"/>
  <c r="U701" i="2"/>
  <c r="F700" i="12"/>
  <c r="D700" i="12"/>
  <c r="U700" i="2"/>
  <c r="F699" i="12"/>
  <c r="D699" i="12"/>
  <c r="U699" i="2"/>
  <c r="F698" i="12"/>
  <c r="D698" i="12"/>
  <c r="U698" i="2"/>
  <c r="F697" i="12"/>
  <c r="D697" i="12"/>
  <c r="U697" i="2"/>
  <c r="F696" i="12"/>
  <c r="D696" i="12"/>
  <c r="U696" i="2"/>
  <c r="F695" i="12"/>
  <c r="D695" i="12"/>
  <c r="U695" i="2"/>
  <c r="F694" i="12"/>
  <c r="D694" i="12"/>
  <c r="U694" i="2"/>
  <c r="F693" i="12"/>
  <c r="D693" i="12"/>
  <c r="U693" i="2"/>
  <c r="F692" i="12"/>
  <c r="D692" i="12"/>
  <c r="U692" i="2"/>
  <c r="F691" i="12"/>
  <c r="D691" i="12"/>
  <c r="U691" i="2"/>
  <c r="F690" i="12"/>
  <c r="D690" i="12"/>
  <c r="U690" i="2"/>
  <c r="F689" i="12"/>
  <c r="D689" i="12"/>
  <c r="U689" i="2"/>
  <c r="F688" i="12"/>
  <c r="D688" i="12"/>
  <c r="U688" i="2"/>
  <c r="F687" i="12"/>
  <c r="D687" i="12"/>
  <c r="U687" i="2"/>
  <c r="F686" i="12"/>
  <c r="D686" i="12"/>
  <c r="U686" i="2"/>
  <c r="F685" i="12"/>
  <c r="D685" i="12"/>
  <c r="U685" i="2"/>
  <c r="F684" i="12"/>
  <c r="D684" i="12"/>
  <c r="U684" i="2"/>
  <c r="F683" i="12"/>
  <c r="D683" i="12"/>
  <c r="U683" i="2"/>
  <c r="F682" i="12"/>
  <c r="D682" i="12"/>
  <c r="U682" i="2"/>
  <c r="F681" i="12"/>
  <c r="D681" i="12"/>
  <c r="U681" i="2"/>
  <c r="F680" i="12"/>
  <c r="D680" i="12"/>
  <c r="U680" i="2"/>
  <c r="F679" i="12"/>
  <c r="D679" i="12"/>
  <c r="U679" i="2"/>
  <c r="F678" i="12"/>
  <c r="D678" i="12"/>
  <c r="U678" i="2"/>
  <c r="F677" i="12"/>
  <c r="D677" i="12"/>
  <c r="U677" i="2"/>
  <c r="F676" i="12"/>
  <c r="D676" i="12"/>
  <c r="U676" i="2"/>
  <c r="F675" i="12"/>
  <c r="D675" i="12"/>
  <c r="U675" i="2"/>
  <c r="F674" i="12"/>
  <c r="D674" i="12"/>
  <c r="U674" i="2"/>
  <c r="F673" i="12"/>
  <c r="D673" i="12"/>
  <c r="U673" i="2"/>
  <c r="F672" i="12"/>
  <c r="D672" i="12"/>
  <c r="U672" i="2"/>
  <c r="F671" i="12"/>
  <c r="D671" i="12"/>
  <c r="U671" i="2"/>
  <c r="F670" i="12"/>
  <c r="D670" i="12"/>
  <c r="U670" i="2"/>
  <c r="F669" i="12"/>
  <c r="D669" i="12"/>
  <c r="U669" i="2"/>
  <c r="F668" i="12"/>
  <c r="D668" i="12"/>
  <c r="U668" i="2"/>
  <c r="F667" i="12"/>
  <c r="D667" i="12"/>
  <c r="U667" i="2"/>
  <c r="F666" i="12"/>
  <c r="D666" i="12"/>
  <c r="U666" i="2"/>
  <c r="F665" i="12"/>
  <c r="D665" i="12"/>
  <c r="U665" i="2"/>
  <c r="F664" i="12"/>
  <c r="D664" i="12"/>
  <c r="U664" i="2"/>
  <c r="F663" i="12"/>
  <c r="D663" i="12"/>
  <c r="U663" i="2"/>
  <c r="F662" i="12"/>
  <c r="D662" i="12"/>
  <c r="U662" i="2"/>
  <c r="F661" i="12"/>
  <c r="D661" i="12"/>
  <c r="U661" i="2"/>
  <c r="F660" i="12"/>
  <c r="D660" i="12"/>
  <c r="U660" i="2"/>
  <c r="F659" i="12"/>
  <c r="D659" i="12"/>
  <c r="U659" i="2"/>
  <c r="F658" i="12"/>
  <c r="D658" i="12"/>
  <c r="U658" i="2"/>
  <c r="F657" i="12"/>
  <c r="D657" i="12"/>
  <c r="U657" i="2"/>
  <c r="F656" i="12"/>
  <c r="D656" i="12"/>
  <c r="U656" i="2"/>
  <c r="F655" i="12"/>
  <c r="D655" i="12"/>
  <c r="U655" i="2"/>
  <c r="F654" i="12"/>
  <c r="D654" i="12"/>
  <c r="U654" i="2"/>
  <c r="F653" i="12"/>
  <c r="D653" i="12"/>
  <c r="U653" i="2"/>
  <c r="F652" i="12"/>
  <c r="D652" i="12"/>
  <c r="U652" i="2"/>
  <c r="F651" i="12"/>
  <c r="D651" i="12"/>
  <c r="U651" i="2"/>
  <c r="F650" i="12"/>
  <c r="D650" i="12"/>
  <c r="U650" i="2"/>
  <c r="F649" i="12"/>
  <c r="D649" i="12"/>
  <c r="U649" i="2"/>
  <c r="F648" i="12"/>
  <c r="D648" i="12"/>
  <c r="U648" i="2"/>
  <c r="F647" i="12"/>
  <c r="D647" i="12"/>
  <c r="U647" i="2"/>
  <c r="F646" i="12"/>
  <c r="D646" i="12"/>
  <c r="U646" i="2"/>
  <c r="F645" i="12"/>
  <c r="D645" i="12"/>
  <c r="U645" i="2"/>
  <c r="F644" i="12"/>
  <c r="D644" i="12"/>
  <c r="U644" i="2"/>
  <c r="F643" i="12"/>
  <c r="D643" i="12"/>
  <c r="U643" i="2"/>
  <c r="F642" i="12"/>
  <c r="D642" i="12"/>
  <c r="U642" i="2"/>
  <c r="F641" i="12"/>
  <c r="D641" i="12"/>
  <c r="U641" i="2"/>
  <c r="F640" i="12"/>
  <c r="D640" i="12"/>
  <c r="U640" i="2"/>
  <c r="F639" i="12"/>
  <c r="D639" i="12"/>
  <c r="U639" i="2"/>
  <c r="F638" i="12"/>
  <c r="D638" i="12"/>
  <c r="U638" i="2"/>
  <c r="F637" i="12"/>
  <c r="D637" i="12"/>
  <c r="U637" i="2"/>
  <c r="F636" i="12"/>
  <c r="D636" i="12"/>
  <c r="U636" i="2"/>
  <c r="F635" i="12"/>
  <c r="D635" i="12"/>
  <c r="U635" i="2"/>
  <c r="F634" i="12"/>
  <c r="D634" i="12"/>
  <c r="U634" i="2"/>
  <c r="F633" i="12"/>
  <c r="D633" i="12"/>
  <c r="U633" i="2"/>
  <c r="F632" i="12"/>
  <c r="D632" i="12"/>
  <c r="U632" i="2"/>
  <c r="F631" i="12"/>
  <c r="D631" i="12"/>
  <c r="U631" i="2"/>
  <c r="F630" i="12"/>
  <c r="D630" i="12"/>
  <c r="U630" i="2"/>
  <c r="F629" i="12"/>
  <c r="D629" i="12"/>
  <c r="U629" i="2"/>
  <c r="F628" i="12"/>
  <c r="D628" i="12"/>
  <c r="U628" i="2"/>
  <c r="F627" i="12"/>
  <c r="D627" i="12"/>
  <c r="U627" i="2"/>
  <c r="F626" i="12"/>
  <c r="D626" i="12"/>
  <c r="U626" i="2"/>
  <c r="F625" i="12"/>
  <c r="D625" i="12"/>
  <c r="U625" i="2"/>
  <c r="F624" i="12"/>
  <c r="D624" i="12"/>
  <c r="U624" i="2"/>
  <c r="F623" i="12"/>
  <c r="D623" i="12"/>
  <c r="U623" i="2"/>
  <c r="F622" i="12"/>
  <c r="D622" i="12"/>
  <c r="U622" i="2"/>
  <c r="F621" i="12"/>
  <c r="D621" i="12"/>
  <c r="U621" i="2"/>
  <c r="F620" i="12"/>
  <c r="D620" i="12"/>
  <c r="U620" i="2"/>
  <c r="F619" i="12"/>
  <c r="D619" i="12"/>
  <c r="U619" i="2"/>
  <c r="F618" i="12"/>
  <c r="D618" i="12"/>
  <c r="U618" i="2"/>
  <c r="F617" i="12"/>
  <c r="D617" i="12"/>
  <c r="U617" i="2"/>
  <c r="F616" i="12"/>
  <c r="D616" i="12"/>
  <c r="U616" i="2"/>
  <c r="F615" i="12"/>
  <c r="D615" i="12"/>
  <c r="U615" i="2"/>
  <c r="F614" i="12"/>
  <c r="D614" i="12"/>
  <c r="U614" i="2"/>
  <c r="F613" i="12"/>
  <c r="D613" i="12"/>
  <c r="U613" i="2"/>
  <c r="F612" i="12"/>
  <c r="D612" i="12"/>
  <c r="U612" i="2"/>
  <c r="F611" i="12"/>
  <c r="D611" i="12"/>
  <c r="U611" i="2"/>
  <c r="F610" i="12"/>
  <c r="D610" i="12"/>
  <c r="U610" i="2"/>
  <c r="F609" i="12"/>
  <c r="D609" i="12"/>
  <c r="U609" i="2"/>
  <c r="F608" i="12"/>
  <c r="D608" i="12"/>
  <c r="U608" i="2"/>
  <c r="F607" i="12"/>
  <c r="D607" i="12"/>
  <c r="U607" i="2"/>
  <c r="F606" i="12"/>
  <c r="D606" i="12"/>
  <c r="U606" i="2"/>
  <c r="F605" i="12"/>
  <c r="D605" i="12"/>
  <c r="U605" i="2"/>
  <c r="F604" i="12"/>
  <c r="D604" i="12"/>
  <c r="U604" i="2"/>
  <c r="F603" i="12"/>
  <c r="D603" i="12"/>
  <c r="U603" i="2"/>
  <c r="F602" i="12"/>
  <c r="D602" i="12"/>
  <c r="U602" i="2"/>
  <c r="F601" i="12"/>
  <c r="D601" i="12"/>
  <c r="U601" i="2"/>
  <c r="F600" i="12"/>
  <c r="D600" i="12"/>
  <c r="U600" i="2"/>
  <c r="F599" i="12"/>
  <c r="D599" i="12"/>
  <c r="U599" i="2"/>
  <c r="F598" i="12"/>
  <c r="D598" i="12"/>
  <c r="U598" i="2"/>
  <c r="F597" i="12"/>
  <c r="D597" i="12"/>
  <c r="U597" i="2"/>
  <c r="F596" i="12"/>
  <c r="D596" i="12"/>
  <c r="U596" i="2"/>
  <c r="F595" i="12"/>
  <c r="D595" i="12"/>
  <c r="U595" i="2"/>
  <c r="F594" i="12"/>
  <c r="D594" i="12"/>
  <c r="U594" i="2"/>
  <c r="F593" i="12"/>
  <c r="D593" i="12"/>
  <c r="U593" i="2"/>
  <c r="F592" i="12"/>
  <c r="D592" i="12"/>
  <c r="U592" i="2"/>
  <c r="F591" i="12"/>
  <c r="D591" i="12"/>
  <c r="U591" i="2"/>
  <c r="F590" i="12"/>
  <c r="D590" i="12"/>
  <c r="U590" i="2"/>
  <c r="F589" i="12"/>
  <c r="D589" i="12"/>
  <c r="U589" i="2"/>
  <c r="F588" i="12"/>
  <c r="D588" i="12"/>
  <c r="U588" i="2"/>
  <c r="F587" i="12"/>
  <c r="D587" i="12"/>
  <c r="U587" i="2"/>
  <c r="F586" i="12"/>
  <c r="D586" i="12"/>
  <c r="U586" i="2"/>
  <c r="F585" i="12"/>
  <c r="D585" i="12"/>
  <c r="U585" i="2"/>
  <c r="F584" i="12"/>
  <c r="D584" i="12"/>
  <c r="U584" i="2"/>
  <c r="F583" i="12"/>
  <c r="D583" i="12"/>
  <c r="U583" i="2"/>
  <c r="F582" i="12"/>
  <c r="D582" i="12"/>
  <c r="U582" i="2"/>
  <c r="F581" i="12"/>
  <c r="D581" i="12"/>
  <c r="U581" i="2"/>
  <c r="F580" i="12"/>
  <c r="D580" i="12"/>
  <c r="U580" i="2"/>
  <c r="F579" i="12"/>
  <c r="D579" i="12"/>
  <c r="U579" i="2"/>
  <c r="F578" i="12"/>
  <c r="D578" i="12"/>
  <c r="U578" i="2"/>
  <c r="F577" i="12"/>
  <c r="D577" i="12"/>
  <c r="U577" i="2"/>
  <c r="F576" i="12"/>
  <c r="D576" i="12"/>
  <c r="U576" i="2"/>
  <c r="F575" i="12"/>
  <c r="D575" i="12"/>
  <c r="U575" i="2"/>
  <c r="F574" i="12"/>
  <c r="D574" i="12"/>
  <c r="U574" i="2"/>
  <c r="F573" i="12"/>
  <c r="D573" i="12"/>
  <c r="U573" i="2"/>
  <c r="F572" i="12"/>
  <c r="D572" i="12"/>
  <c r="U572" i="2"/>
  <c r="F571" i="12"/>
  <c r="D571" i="12"/>
  <c r="U571" i="2"/>
  <c r="F570" i="12"/>
  <c r="D570" i="12"/>
  <c r="U570" i="2"/>
  <c r="F569" i="12"/>
  <c r="D569" i="12"/>
  <c r="U569" i="2"/>
  <c r="F568" i="12"/>
  <c r="D568" i="12"/>
  <c r="U568" i="2"/>
  <c r="F567" i="12"/>
  <c r="D567" i="12"/>
  <c r="U567" i="2"/>
  <c r="F566" i="12"/>
  <c r="D566" i="12"/>
  <c r="U566" i="2"/>
  <c r="F565" i="12"/>
  <c r="D565" i="12"/>
  <c r="U565" i="2"/>
  <c r="F564" i="12"/>
  <c r="D564" i="12"/>
  <c r="U564" i="2"/>
  <c r="F563" i="12"/>
  <c r="D563" i="12"/>
  <c r="U563" i="2"/>
  <c r="F562" i="12"/>
  <c r="D562" i="12"/>
  <c r="U562" i="2"/>
  <c r="F561" i="12"/>
  <c r="D561" i="12"/>
  <c r="U561" i="2"/>
  <c r="F560" i="12"/>
  <c r="D560" i="12"/>
  <c r="U560" i="2"/>
  <c r="F559" i="12"/>
  <c r="D559" i="12"/>
  <c r="U559" i="2"/>
  <c r="F558" i="12"/>
  <c r="D558" i="12"/>
  <c r="U558" i="2"/>
  <c r="F557" i="12"/>
  <c r="D557" i="12"/>
  <c r="U557" i="2"/>
  <c r="F556" i="12"/>
  <c r="D556" i="12"/>
  <c r="U556" i="2"/>
  <c r="F555" i="12"/>
  <c r="D555" i="12"/>
  <c r="U555" i="2"/>
  <c r="F554" i="12"/>
  <c r="D554" i="12"/>
  <c r="U554" i="2"/>
  <c r="F553" i="12"/>
  <c r="D553" i="12"/>
  <c r="U553" i="2"/>
  <c r="F552" i="12"/>
  <c r="D552" i="12"/>
  <c r="U552" i="2"/>
  <c r="F551" i="12"/>
  <c r="D551" i="12"/>
  <c r="U551" i="2"/>
  <c r="F550" i="12"/>
  <c r="D550" i="12"/>
  <c r="U550" i="2"/>
  <c r="F549" i="12"/>
  <c r="D549" i="12"/>
  <c r="U549" i="2"/>
  <c r="F548" i="12"/>
  <c r="D548" i="12"/>
  <c r="U548" i="2"/>
  <c r="F547" i="12"/>
  <c r="D547" i="12"/>
  <c r="U547" i="2"/>
  <c r="F546" i="12"/>
  <c r="D546" i="12"/>
  <c r="U546" i="2"/>
  <c r="F545" i="12"/>
  <c r="D545" i="12"/>
  <c r="U545" i="2"/>
  <c r="F544" i="12"/>
  <c r="D544" i="12"/>
  <c r="U544" i="2"/>
  <c r="F543" i="12"/>
  <c r="D543" i="12"/>
  <c r="U543" i="2"/>
  <c r="F542" i="12"/>
  <c r="D542" i="12"/>
  <c r="U542" i="2"/>
  <c r="F541" i="12"/>
  <c r="D541" i="12"/>
  <c r="U541" i="2"/>
  <c r="F540" i="12"/>
  <c r="D540" i="12"/>
  <c r="U540" i="2"/>
  <c r="F539" i="12"/>
  <c r="D539" i="12"/>
  <c r="U539" i="2"/>
  <c r="F538" i="12"/>
  <c r="D538" i="12"/>
  <c r="U538" i="2"/>
  <c r="F537" i="12"/>
  <c r="D537" i="12"/>
  <c r="U537" i="2"/>
  <c r="F536" i="12"/>
  <c r="D536" i="12"/>
  <c r="U536" i="2"/>
  <c r="F535" i="12"/>
  <c r="D535" i="12"/>
  <c r="U535" i="2"/>
  <c r="F534" i="12"/>
  <c r="D534" i="12"/>
  <c r="U534" i="2"/>
  <c r="F533" i="12"/>
  <c r="D533" i="12"/>
  <c r="U533" i="2"/>
  <c r="F532" i="12"/>
  <c r="D532" i="12"/>
  <c r="U532" i="2"/>
  <c r="F531" i="12"/>
  <c r="D531" i="12"/>
  <c r="U531" i="2"/>
  <c r="F530" i="12"/>
  <c r="D530" i="12"/>
  <c r="U530" i="2"/>
  <c r="F529" i="12"/>
  <c r="D529" i="12"/>
  <c r="U529" i="2"/>
  <c r="F528" i="12"/>
  <c r="D528" i="12"/>
  <c r="U528" i="2"/>
  <c r="F527" i="12"/>
  <c r="D527" i="12"/>
  <c r="U527" i="2"/>
  <c r="F526" i="12"/>
  <c r="D526" i="12"/>
  <c r="U526" i="2"/>
  <c r="F525" i="12"/>
  <c r="D525" i="12"/>
  <c r="U525" i="2"/>
  <c r="F524" i="12"/>
  <c r="D524" i="12"/>
  <c r="U524" i="2"/>
  <c r="F523" i="12"/>
  <c r="D523" i="12"/>
  <c r="U523" i="2"/>
  <c r="F522" i="12"/>
  <c r="D522" i="12"/>
  <c r="U522" i="2"/>
  <c r="F521" i="12"/>
  <c r="D521" i="12"/>
  <c r="U521" i="2"/>
  <c r="F520" i="12"/>
  <c r="D520" i="12"/>
  <c r="U520" i="2"/>
  <c r="F519" i="12"/>
  <c r="D519" i="12"/>
  <c r="U519" i="2"/>
  <c r="F518" i="12"/>
  <c r="D518" i="12"/>
  <c r="U518" i="2"/>
  <c r="F517" i="12"/>
  <c r="D517" i="12"/>
  <c r="U517" i="2"/>
  <c r="F516" i="12"/>
  <c r="D516" i="12"/>
  <c r="U516" i="2"/>
  <c r="F515" i="12"/>
  <c r="D515" i="12"/>
  <c r="U515" i="2"/>
  <c r="F514" i="12"/>
  <c r="D514" i="12"/>
  <c r="U514" i="2"/>
  <c r="F513" i="12"/>
  <c r="D513" i="12"/>
  <c r="U513" i="2"/>
  <c r="F512" i="12"/>
  <c r="D512" i="12"/>
  <c r="U512" i="2"/>
  <c r="F511" i="12"/>
  <c r="D511" i="12"/>
  <c r="U511" i="2"/>
  <c r="F510" i="12"/>
  <c r="D510" i="12"/>
  <c r="U510" i="2"/>
  <c r="F509" i="12"/>
  <c r="D509" i="12"/>
  <c r="U509" i="2"/>
  <c r="F508" i="12"/>
  <c r="D508" i="12"/>
  <c r="U508" i="2"/>
  <c r="F507" i="12"/>
  <c r="D507" i="12"/>
  <c r="U507" i="2"/>
  <c r="F506" i="12"/>
  <c r="D506" i="12"/>
  <c r="U506" i="2"/>
  <c r="F505" i="12"/>
  <c r="D505" i="12"/>
  <c r="U505" i="2"/>
  <c r="F504" i="12"/>
  <c r="D504" i="12"/>
  <c r="U504" i="2"/>
  <c r="F503" i="12"/>
  <c r="D503" i="12"/>
  <c r="U503" i="2"/>
  <c r="F502" i="12"/>
  <c r="D502" i="12"/>
  <c r="U502" i="2"/>
  <c r="F501" i="12"/>
  <c r="D501" i="12"/>
  <c r="U501" i="2"/>
  <c r="F500" i="12"/>
  <c r="D500" i="12"/>
  <c r="U500" i="2"/>
  <c r="F499" i="12"/>
  <c r="D499" i="12"/>
  <c r="U499" i="2"/>
  <c r="F498" i="12"/>
  <c r="D498" i="12"/>
  <c r="U498" i="2"/>
  <c r="F497" i="12"/>
  <c r="D497" i="12"/>
  <c r="U497" i="2"/>
  <c r="F496" i="12"/>
  <c r="D496" i="12"/>
  <c r="U496" i="2"/>
  <c r="F495" i="12"/>
  <c r="D495" i="12"/>
  <c r="U495" i="2"/>
  <c r="F494" i="12"/>
  <c r="D494" i="12"/>
  <c r="U494" i="2"/>
  <c r="F493" i="12"/>
  <c r="D493" i="12"/>
  <c r="U493" i="2"/>
  <c r="F492" i="12"/>
  <c r="D492" i="12"/>
  <c r="U492" i="2"/>
  <c r="F491" i="12"/>
  <c r="D491" i="12"/>
  <c r="U491" i="2"/>
  <c r="F490" i="12"/>
  <c r="D490" i="12"/>
  <c r="U490" i="2"/>
  <c r="F489" i="12"/>
  <c r="D489" i="12"/>
  <c r="U489" i="2"/>
  <c r="F488" i="12"/>
  <c r="D488" i="12"/>
  <c r="U488" i="2"/>
  <c r="F487" i="12"/>
  <c r="D487" i="12"/>
  <c r="U487" i="2"/>
  <c r="F486" i="12"/>
  <c r="D486" i="12"/>
  <c r="U486" i="2"/>
  <c r="F485" i="12"/>
  <c r="D485" i="12"/>
  <c r="U485" i="2"/>
  <c r="F484" i="12"/>
  <c r="D484" i="12"/>
  <c r="U484" i="2"/>
  <c r="F483" i="12"/>
  <c r="D483" i="12"/>
  <c r="U483" i="2"/>
  <c r="F482" i="12"/>
  <c r="D482" i="12"/>
  <c r="U482" i="2"/>
  <c r="F481" i="12"/>
  <c r="D481" i="12"/>
  <c r="U481" i="2"/>
  <c r="F480" i="12"/>
  <c r="D480" i="12"/>
  <c r="U480" i="2"/>
  <c r="F479" i="12"/>
  <c r="D479" i="12"/>
  <c r="U479" i="2"/>
  <c r="F478" i="12"/>
  <c r="D478" i="12"/>
  <c r="U478" i="2"/>
  <c r="F477" i="12"/>
  <c r="D477" i="12"/>
  <c r="U477" i="2"/>
  <c r="F476" i="12"/>
  <c r="D476" i="12"/>
  <c r="U476" i="2"/>
  <c r="F475" i="12"/>
  <c r="D475" i="12"/>
  <c r="U475" i="2"/>
  <c r="F474" i="12"/>
  <c r="D474" i="12"/>
  <c r="U474" i="2"/>
  <c r="F473" i="12"/>
  <c r="D473" i="12"/>
  <c r="U473" i="2"/>
  <c r="F472" i="12"/>
  <c r="D472" i="12"/>
  <c r="U472" i="2"/>
  <c r="F471" i="12"/>
  <c r="D471" i="12"/>
  <c r="U471" i="2"/>
  <c r="F470" i="12"/>
  <c r="D470" i="12"/>
  <c r="U470" i="2"/>
  <c r="F469" i="12"/>
  <c r="D469" i="12"/>
  <c r="U469" i="2"/>
  <c r="F468" i="12"/>
  <c r="D468" i="12"/>
  <c r="U468" i="2"/>
  <c r="F467" i="12"/>
  <c r="D467" i="12"/>
  <c r="U467" i="2"/>
  <c r="F466" i="12"/>
  <c r="D466" i="12"/>
  <c r="U466" i="2"/>
  <c r="F465" i="12"/>
  <c r="D465" i="12"/>
  <c r="U465" i="2"/>
  <c r="F464" i="12"/>
  <c r="D464" i="12"/>
  <c r="U464" i="2"/>
  <c r="F463" i="12"/>
  <c r="D463" i="12"/>
  <c r="U463" i="2"/>
  <c r="F462" i="12"/>
  <c r="D462" i="12"/>
  <c r="U462" i="2"/>
  <c r="F461" i="12"/>
  <c r="D461" i="12"/>
  <c r="U461" i="2"/>
  <c r="F460" i="12"/>
  <c r="D460" i="12"/>
  <c r="U460" i="2"/>
  <c r="F459" i="12"/>
  <c r="D459" i="12"/>
  <c r="U459" i="2"/>
  <c r="F458" i="12"/>
  <c r="D458" i="12"/>
  <c r="U458" i="2"/>
  <c r="F457" i="12"/>
  <c r="D457" i="12"/>
  <c r="U457" i="2"/>
  <c r="F456" i="12"/>
  <c r="D456" i="12"/>
  <c r="U456" i="2"/>
  <c r="F455" i="12"/>
  <c r="D455" i="12"/>
  <c r="U455" i="2"/>
  <c r="F454" i="12"/>
  <c r="D454" i="12"/>
  <c r="U454" i="2"/>
  <c r="F453" i="12"/>
  <c r="D453" i="12"/>
  <c r="U453" i="2"/>
  <c r="F452" i="12"/>
  <c r="D452" i="12"/>
  <c r="U452" i="2"/>
  <c r="F451" i="12"/>
  <c r="D451" i="12"/>
  <c r="U451" i="2"/>
  <c r="F450" i="12"/>
  <c r="D450" i="12"/>
  <c r="U450" i="2"/>
  <c r="F449" i="12"/>
  <c r="D449" i="12"/>
  <c r="U449" i="2"/>
  <c r="F448" i="12"/>
  <c r="D448" i="12"/>
  <c r="U448" i="2"/>
  <c r="F447" i="12"/>
  <c r="D447" i="12"/>
  <c r="U447" i="2"/>
  <c r="F446" i="12"/>
  <c r="D446" i="12"/>
  <c r="U446" i="2"/>
  <c r="F445" i="12"/>
  <c r="D445" i="12"/>
  <c r="U445" i="2"/>
  <c r="F444" i="12"/>
  <c r="D444" i="12"/>
  <c r="U444" i="2"/>
  <c r="F443" i="12"/>
  <c r="D443" i="12"/>
  <c r="U443" i="2"/>
  <c r="F442" i="12"/>
  <c r="D442" i="12"/>
  <c r="U442" i="2"/>
  <c r="F441" i="12"/>
  <c r="D441" i="12"/>
  <c r="U441" i="2"/>
  <c r="F440" i="12"/>
  <c r="D440" i="12"/>
  <c r="U440" i="2"/>
  <c r="F439" i="12"/>
  <c r="D439" i="12"/>
  <c r="U439" i="2"/>
  <c r="F438" i="12"/>
  <c r="D438" i="12"/>
  <c r="U438" i="2"/>
  <c r="F437" i="12"/>
  <c r="D437" i="12"/>
  <c r="U437" i="2"/>
  <c r="F436" i="12"/>
  <c r="D436" i="12"/>
  <c r="U436" i="2"/>
  <c r="F435" i="12"/>
  <c r="D435" i="12"/>
  <c r="U435" i="2"/>
  <c r="F434" i="12"/>
  <c r="D434" i="12"/>
  <c r="U434" i="2"/>
  <c r="F433" i="12"/>
  <c r="D433" i="12"/>
  <c r="U433" i="2"/>
  <c r="F432" i="12"/>
  <c r="D432" i="12"/>
  <c r="U432" i="2"/>
  <c r="F431" i="12"/>
  <c r="D431" i="12"/>
  <c r="U431" i="2"/>
  <c r="F430" i="12"/>
  <c r="D430" i="12"/>
  <c r="U430" i="2"/>
  <c r="F429" i="12"/>
  <c r="D429" i="12"/>
  <c r="U429" i="2"/>
  <c r="F428" i="12"/>
  <c r="D428" i="12"/>
  <c r="U428" i="2"/>
  <c r="F427" i="12"/>
  <c r="D427" i="12"/>
  <c r="U427" i="2"/>
  <c r="F426" i="12"/>
  <c r="D426" i="12"/>
  <c r="U426" i="2"/>
  <c r="F425" i="12"/>
  <c r="D425" i="12"/>
  <c r="U425" i="2"/>
  <c r="F424" i="12"/>
  <c r="D424" i="12"/>
  <c r="U424" i="2"/>
  <c r="F423" i="12"/>
  <c r="D423" i="12"/>
  <c r="U423" i="2"/>
  <c r="F422" i="12"/>
  <c r="D422" i="12"/>
  <c r="U422" i="2"/>
  <c r="F421" i="12"/>
  <c r="D421" i="12"/>
  <c r="U421" i="2"/>
  <c r="F420" i="12"/>
  <c r="D420" i="12"/>
  <c r="U420" i="2"/>
  <c r="F419" i="12"/>
  <c r="D419" i="12"/>
  <c r="U419" i="2"/>
  <c r="F418" i="12"/>
  <c r="D418" i="12"/>
  <c r="U418" i="2"/>
  <c r="F417" i="12"/>
  <c r="D417" i="12"/>
  <c r="U417" i="2"/>
  <c r="F416" i="12"/>
  <c r="D416" i="12"/>
  <c r="U416" i="2"/>
  <c r="F415" i="12"/>
  <c r="D415" i="12"/>
  <c r="U415" i="2"/>
  <c r="F414" i="12"/>
  <c r="D414" i="12"/>
  <c r="U414" i="2"/>
  <c r="F413" i="12"/>
  <c r="D413" i="12"/>
  <c r="U413" i="2"/>
  <c r="F412" i="12"/>
  <c r="D412" i="12"/>
  <c r="U412" i="2"/>
  <c r="F411" i="12"/>
  <c r="D411" i="12"/>
  <c r="U411" i="2"/>
  <c r="F410" i="12"/>
  <c r="D410" i="12"/>
  <c r="U410" i="2"/>
  <c r="F409" i="12"/>
  <c r="D409" i="12"/>
  <c r="U409" i="2"/>
  <c r="F408" i="12"/>
  <c r="D408" i="12"/>
  <c r="U408" i="2"/>
  <c r="F407" i="12"/>
  <c r="D407" i="12"/>
  <c r="U407" i="2"/>
  <c r="F406" i="12"/>
  <c r="D406" i="12"/>
  <c r="U406" i="2"/>
  <c r="F405" i="12"/>
  <c r="D405" i="12"/>
  <c r="U405" i="2"/>
  <c r="F404" i="12"/>
  <c r="D404" i="12"/>
  <c r="U404" i="2"/>
  <c r="F403" i="12"/>
  <c r="D403" i="12"/>
  <c r="U403" i="2"/>
  <c r="F402" i="12"/>
  <c r="D402" i="12"/>
  <c r="U402" i="2"/>
  <c r="F401" i="12"/>
  <c r="D401" i="12"/>
  <c r="U401" i="2"/>
  <c r="F400" i="12"/>
  <c r="D400" i="12"/>
  <c r="U400" i="2"/>
  <c r="F399" i="12"/>
  <c r="D399" i="12"/>
  <c r="U399" i="2"/>
  <c r="F398" i="12"/>
  <c r="D398" i="12"/>
  <c r="U398" i="2"/>
  <c r="F397" i="12"/>
  <c r="D397" i="12"/>
  <c r="U397" i="2"/>
  <c r="F396" i="12"/>
  <c r="D396" i="12"/>
  <c r="U396" i="2"/>
  <c r="F395" i="12"/>
  <c r="D395" i="12"/>
  <c r="U395" i="2"/>
  <c r="F394" i="12"/>
  <c r="D394" i="12"/>
  <c r="U394" i="2"/>
  <c r="F393" i="12"/>
  <c r="D393" i="12"/>
  <c r="U393" i="2"/>
  <c r="F392" i="12"/>
  <c r="D392" i="12"/>
  <c r="U392" i="2"/>
  <c r="F391" i="12"/>
  <c r="D391" i="12"/>
  <c r="U391" i="2"/>
  <c r="F390" i="12"/>
  <c r="D390" i="12"/>
  <c r="U390" i="2"/>
  <c r="F389" i="12"/>
  <c r="D389" i="12"/>
  <c r="U389" i="2"/>
  <c r="F388" i="12"/>
  <c r="D388" i="12"/>
  <c r="U388" i="2"/>
  <c r="F387" i="12"/>
  <c r="D387" i="12"/>
  <c r="U387" i="2"/>
  <c r="F386" i="12"/>
  <c r="D386" i="12"/>
  <c r="U386" i="2"/>
  <c r="F385" i="12"/>
  <c r="D385" i="12"/>
  <c r="U385" i="2"/>
  <c r="F384" i="12"/>
  <c r="D384" i="12"/>
  <c r="U384" i="2"/>
  <c r="F383" i="12"/>
  <c r="D383" i="12"/>
  <c r="U383" i="2"/>
  <c r="F382" i="12"/>
  <c r="D382" i="12"/>
  <c r="U382" i="2"/>
  <c r="F381" i="12"/>
  <c r="D381" i="12"/>
  <c r="U381" i="2"/>
  <c r="F380" i="12"/>
  <c r="D380" i="12"/>
  <c r="U380" i="2"/>
  <c r="F379" i="12"/>
  <c r="D379" i="12"/>
  <c r="U379" i="2"/>
  <c r="F378" i="12"/>
  <c r="D378" i="12"/>
  <c r="U378" i="2"/>
  <c r="F377" i="12"/>
  <c r="D377" i="12"/>
  <c r="U377" i="2"/>
  <c r="F376" i="12"/>
  <c r="D376" i="12"/>
  <c r="U376" i="2"/>
  <c r="F375" i="12"/>
  <c r="D375" i="12"/>
  <c r="U375" i="2"/>
  <c r="F374" i="12"/>
  <c r="D374" i="12"/>
  <c r="U374" i="2"/>
  <c r="F373" i="12"/>
  <c r="D373" i="12"/>
  <c r="U373" i="2"/>
  <c r="F372" i="12"/>
  <c r="D372" i="12"/>
  <c r="U372" i="2"/>
  <c r="F371" i="12"/>
  <c r="D371" i="12"/>
  <c r="U371" i="2"/>
  <c r="F370" i="12"/>
  <c r="D370" i="12"/>
  <c r="U370" i="2"/>
  <c r="F369" i="12"/>
  <c r="D369" i="12"/>
  <c r="U369" i="2"/>
  <c r="F368" i="12"/>
  <c r="D368" i="12"/>
  <c r="U368" i="2"/>
  <c r="F367" i="12"/>
  <c r="D367" i="12"/>
  <c r="U367" i="2"/>
  <c r="F366" i="12"/>
  <c r="D366" i="12"/>
  <c r="U366" i="2"/>
  <c r="F365" i="12"/>
  <c r="D365" i="12"/>
  <c r="U365" i="2"/>
  <c r="F364" i="12"/>
  <c r="D364" i="12"/>
  <c r="U364" i="2"/>
  <c r="F363" i="12"/>
  <c r="D363" i="12"/>
  <c r="U363" i="2"/>
  <c r="F362" i="12"/>
  <c r="D362" i="12"/>
  <c r="U362" i="2"/>
  <c r="F361" i="12"/>
  <c r="D361" i="12"/>
  <c r="U361" i="2"/>
  <c r="F360" i="12"/>
  <c r="D360" i="12"/>
  <c r="U360" i="2"/>
  <c r="F359" i="12"/>
  <c r="D359" i="12"/>
  <c r="U359" i="2"/>
  <c r="F358" i="12"/>
  <c r="D358" i="12"/>
  <c r="U358" i="2"/>
  <c r="F357" i="12"/>
  <c r="D357" i="12"/>
  <c r="U357" i="2"/>
  <c r="F356" i="12"/>
  <c r="D356" i="12"/>
  <c r="U356" i="2"/>
  <c r="F355" i="12"/>
  <c r="D355" i="12"/>
  <c r="U355" i="2"/>
  <c r="F354" i="12"/>
  <c r="D354" i="12"/>
  <c r="U354" i="2"/>
  <c r="F353" i="12"/>
  <c r="D353" i="12"/>
  <c r="U353" i="2"/>
  <c r="F352" i="12"/>
  <c r="D352" i="12"/>
  <c r="U352" i="2"/>
  <c r="F351" i="12"/>
  <c r="D351" i="12"/>
  <c r="U351" i="2"/>
  <c r="F350" i="12"/>
  <c r="D350" i="12"/>
  <c r="U350" i="2"/>
  <c r="F349" i="12"/>
  <c r="D349" i="12"/>
  <c r="U349" i="2"/>
  <c r="F348" i="12"/>
  <c r="D348" i="12"/>
  <c r="U348" i="2"/>
  <c r="F347" i="12"/>
  <c r="D347" i="12"/>
  <c r="U347" i="2"/>
  <c r="F346" i="12"/>
  <c r="D346" i="12"/>
  <c r="U346" i="2"/>
  <c r="F345" i="12"/>
  <c r="D345" i="12"/>
  <c r="U345" i="2"/>
  <c r="F344" i="12"/>
  <c r="D344" i="12"/>
  <c r="U344" i="2"/>
  <c r="F343" i="12"/>
  <c r="D343" i="12"/>
  <c r="U343" i="2"/>
  <c r="F342" i="12"/>
  <c r="D342" i="12"/>
  <c r="U342" i="2"/>
  <c r="F341" i="12"/>
  <c r="D341" i="12"/>
  <c r="U341" i="2"/>
  <c r="F340" i="12"/>
  <c r="D340" i="12"/>
  <c r="U340" i="2"/>
  <c r="F339" i="12"/>
  <c r="D339" i="12"/>
  <c r="U339" i="2"/>
  <c r="F338" i="12"/>
  <c r="D338" i="12"/>
  <c r="U338" i="2"/>
  <c r="F337" i="12"/>
  <c r="D337" i="12"/>
  <c r="U337" i="2"/>
  <c r="F336" i="12"/>
  <c r="D336" i="12"/>
  <c r="U336" i="2"/>
  <c r="F335" i="12"/>
  <c r="D335" i="12"/>
  <c r="U335" i="2"/>
  <c r="F334" i="12"/>
  <c r="D334" i="12"/>
  <c r="U334" i="2"/>
  <c r="F333" i="12"/>
  <c r="D333" i="12"/>
  <c r="U333" i="2"/>
  <c r="F332" i="12"/>
  <c r="D332" i="12"/>
  <c r="U332" i="2"/>
  <c r="F331" i="12"/>
  <c r="D331" i="12"/>
  <c r="U331" i="2"/>
  <c r="F330" i="12"/>
  <c r="D330" i="12"/>
  <c r="U330" i="2"/>
  <c r="F329" i="12"/>
  <c r="D329" i="12"/>
  <c r="U329" i="2"/>
  <c r="F328" i="12"/>
  <c r="D328" i="12"/>
  <c r="U328" i="2"/>
  <c r="F327" i="12"/>
  <c r="D327" i="12"/>
  <c r="U327" i="2"/>
  <c r="F326" i="12"/>
  <c r="D326" i="12"/>
  <c r="U326" i="2"/>
  <c r="F325" i="12"/>
  <c r="D325" i="12"/>
  <c r="U325" i="2"/>
  <c r="F324" i="12"/>
  <c r="D324" i="12"/>
  <c r="U324" i="2"/>
  <c r="F323" i="12"/>
  <c r="D323" i="12"/>
  <c r="U323" i="2"/>
  <c r="F322" i="12"/>
  <c r="D322" i="12"/>
  <c r="U322" i="2"/>
  <c r="F321" i="12"/>
  <c r="D321" i="12"/>
  <c r="U321" i="2"/>
  <c r="F320" i="12"/>
  <c r="D320" i="12"/>
  <c r="U320" i="2"/>
  <c r="F319" i="12"/>
  <c r="D319" i="12"/>
  <c r="U319" i="2"/>
  <c r="F318" i="12"/>
  <c r="D318" i="12"/>
  <c r="U318" i="2"/>
  <c r="F317" i="12"/>
  <c r="D317" i="12"/>
  <c r="U317" i="2"/>
  <c r="F316" i="12"/>
  <c r="D316" i="12"/>
  <c r="U316" i="2"/>
  <c r="F315" i="12"/>
  <c r="D315" i="12"/>
  <c r="U315" i="2"/>
  <c r="F314" i="12"/>
  <c r="D314" i="12"/>
  <c r="U314" i="2"/>
  <c r="F313" i="12"/>
  <c r="D313" i="12"/>
  <c r="U313" i="2"/>
  <c r="F312" i="12"/>
  <c r="D312" i="12"/>
  <c r="U312" i="2"/>
  <c r="F311" i="12"/>
  <c r="D311" i="12"/>
  <c r="U311" i="2"/>
  <c r="F310" i="12"/>
  <c r="D310" i="12"/>
  <c r="U310" i="2"/>
  <c r="F309" i="12"/>
  <c r="D309" i="12"/>
  <c r="U309" i="2"/>
  <c r="F308" i="12"/>
  <c r="D308" i="12"/>
  <c r="U308" i="2"/>
  <c r="F307" i="12"/>
  <c r="D307" i="12"/>
  <c r="U307" i="2"/>
  <c r="F306" i="12"/>
  <c r="D306" i="12"/>
  <c r="U306" i="2"/>
  <c r="F305" i="12"/>
  <c r="D305" i="12"/>
  <c r="U305" i="2"/>
  <c r="F304" i="12"/>
  <c r="D304" i="12"/>
  <c r="U304" i="2"/>
  <c r="F303" i="12"/>
  <c r="D303" i="12"/>
  <c r="U303" i="2"/>
  <c r="F302" i="12"/>
  <c r="D302" i="12"/>
  <c r="U302" i="2"/>
  <c r="F301" i="12"/>
  <c r="D301" i="12"/>
  <c r="U301" i="2"/>
  <c r="F300" i="12"/>
  <c r="D300" i="12"/>
  <c r="U300" i="2"/>
  <c r="F299" i="12"/>
  <c r="D299" i="12"/>
  <c r="U299" i="2"/>
  <c r="F298" i="12"/>
  <c r="D298" i="12"/>
  <c r="U298" i="2"/>
  <c r="F297" i="12"/>
  <c r="D297" i="12"/>
  <c r="U297" i="2"/>
  <c r="F296" i="12"/>
  <c r="D296" i="12"/>
  <c r="U296" i="2"/>
  <c r="F295" i="12"/>
  <c r="D295" i="12"/>
  <c r="U295" i="2"/>
  <c r="F294" i="12"/>
  <c r="D294" i="12"/>
  <c r="U294" i="2"/>
  <c r="F293" i="12"/>
  <c r="D293" i="12"/>
  <c r="U293" i="2"/>
  <c r="F292" i="12"/>
  <c r="D292" i="12"/>
  <c r="U292" i="2"/>
  <c r="F291" i="12"/>
  <c r="D291" i="12"/>
  <c r="U291" i="2"/>
  <c r="F290" i="12"/>
  <c r="D290" i="12"/>
  <c r="U290" i="2"/>
  <c r="F289" i="12"/>
  <c r="D289" i="12"/>
  <c r="U289" i="2"/>
  <c r="F288" i="12"/>
  <c r="D288" i="12"/>
  <c r="U288" i="2"/>
  <c r="F287" i="12"/>
  <c r="D287" i="12"/>
  <c r="U287" i="2"/>
  <c r="F286" i="12"/>
  <c r="D286" i="12"/>
  <c r="U286" i="2"/>
  <c r="F285" i="12"/>
  <c r="D285" i="12"/>
  <c r="U285" i="2"/>
  <c r="F284" i="12"/>
  <c r="D284" i="12"/>
  <c r="U284" i="2"/>
  <c r="F283" i="12"/>
  <c r="D283" i="12"/>
  <c r="U283" i="2"/>
  <c r="F282" i="12"/>
  <c r="D282" i="12"/>
  <c r="U282" i="2"/>
  <c r="F281" i="12"/>
  <c r="D281" i="12"/>
  <c r="U281" i="2"/>
  <c r="F280" i="12"/>
  <c r="D280" i="12"/>
  <c r="U280" i="2"/>
  <c r="F279" i="12"/>
  <c r="D279" i="12"/>
  <c r="U279" i="2"/>
  <c r="F278" i="12"/>
  <c r="D278" i="12"/>
  <c r="U278" i="2"/>
  <c r="F277" i="12"/>
  <c r="D277" i="12"/>
  <c r="U277" i="2"/>
  <c r="F276" i="12"/>
  <c r="D276" i="12"/>
  <c r="U276" i="2"/>
  <c r="F275" i="12"/>
  <c r="D275" i="12"/>
  <c r="U275" i="2"/>
  <c r="F274" i="12"/>
  <c r="D274" i="12"/>
  <c r="U274" i="2"/>
  <c r="F273" i="12"/>
  <c r="D273" i="12"/>
  <c r="U273" i="2"/>
  <c r="F272" i="12"/>
  <c r="D272" i="12"/>
  <c r="U272" i="2"/>
  <c r="F271" i="12"/>
  <c r="D271" i="12"/>
  <c r="U271" i="2"/>
  <c r="F270" i="12"/>
  <c r="D270" i="12"/>
  <c r="U270" i="2"/>
  <c r="F269" i="12"/>
  <c r="D269" i="12"/>
  <c r="U269" i="2"/>
  <c r="F268" i="12"/>
  <c r="D268" i="12"/>
  <c r="U268" i="2"/>
  <c r="F267" i="12"/>
  <c r="D267" i="12"/>
  <c r="U267" i="2"/>
  <c r="F266" i="12"/>
  <c r="D266" i="12"/>
  <c r="U266" i="2"/>
  <c r="F265" i="12"/>
  <c r="D265" i="12"/>
  <c r="U265" i="2"/>
  <c r="F264" i="12"/>
  <c r="D264" i="12"/>
  <c r="U264" i="2"/>
  <c r="F263" i="12"/>
  <c r="D263" i="12"/>
  <c r="U263" i="2"/>
  <c r="F262" i="12"/>
  <c r="D262" i="12"/>
  <c r="U262" i="2"/>
  <c r="F261" i="12"/>
  <c r="D261" i="12"/>
  <c r="U261" i="2"/>
  <c r="F260" i="12"/>
  <c r="D260" i="12"/>
  <c r="U260" i="2"/>
  <c r="F259" i="12"/>
  <c r="D259" i="12"/>
  <c r="U259" i="2"/>
  <c r="F258" i="12"/>
  <c r="D258" i="12"/>
  <c r="U258" i="2"/>
  <c r="F257" i="12"/>
  <c r="D257" i="12"/>
  <c r="U257" i="2"/>
  <c r="F256" i="12"/>
  <c r="D256" i="12"/>
  <c r="U256" i="2"/>
  <c r="F255" i="12"/>
  <c r="D255" i="12"/>
  <c r="U255" i="2"/>
  <c r="F254" i="12"/>
  <c r="D254" i="12"/>
  <c r="U254" i="2"/>
  <c r="F253" i="12"/>
  <c r="D253" i="12"/>
  <c r="U253" i="2"/>
  <c r="F252" i="12"/>
  <c r="D252" i="12"/>
  <c r="U252" i="2"/>
  <c r="F251" i="12"/>
  <c r="D251" i="12"/>
  <c r="U251" i="2"/>
  <c r="F250" i="12"/>
  <c r="D250" i="12"/>
  <c r="U250" i="2"/>
  <c r="F249" i="12"/>
  <c r="D249" i="12"/>
  <c r="U249" i="2"/>
  <c r="F248" i="12"/>
  <c r="D248" i="12"/>
  <c r="U248" i="2"/>
  <c r="F247" i="12"/>
  <c r="D247" i="12"/>
  <c r="U247" i="2"/>
  <c r="F246" i="12"/>
  <c r="D246" i="12"/>
  <c r="U246" i="2"/>
  <c r="F245" i="12"/>
  <c r="D245" i="12"/>
  <c r="U245" i="2"/>
  <c r="F244" i="12"/>
  <c r="D244" i="12"/>
  <c r="U244" i="2"/>
  <c r="F243" i="12"/>
  <c r="D243" i="12"/>
  <c r="U243" i="2"/>
  <c r="F242" i="12"/>
  <c r="D242" i="12"/>
  <c r="U242" i="2"/>
  <c r="F241" i="12"/>
  <c r="D241" i="12"/>
  <c r="U241" i="2"/>
  <c r="F240" i="12"/>
  <c r="D240" i="12"/>
  <c r="U240" i="2"/>
  <c r="F239" i="12"/>
  <c r="D239" i="12"/>
  <c r="U239" i="2"/>
  <c r="F238" i="12"/>
  <c r="D238" i="12"/>
  <c r="U238" i="2"/>
  <c r="F237" i="12"/>
  <c r="D237" i="12"/>
  <c r="U237" i="2"/>
  <c r="F236" i="12"/>
  <c r="D236" i="12"/>
  <c r="U236" i="2"/>
  <c r="F235" i="12"/>
  <c r="D235" i="12"/>
  <c r="U235" i="2"/>
  <c r="F234" i="12"/>
  <c r="D234" i="12"/>
  <c r="U234" i="2"/>
  <c r="F233" i="12"/>
  <c r="D233" i="12"/>
  <c r="U233" i="2"/>
  <c r="F232" i="12"/>
  <c r="D232" i="12"/>
  <c r="U232" i="2"/>
  <c r="F231" i="12"/>
  <c r="D231" i="12"/>
  <c r="U231" i="2"/>
  <c r="F230" i="12"/>
  <c r="D230" i="12"/>
  <c r="U230" i="2"/>
  <c r="F229" i="12"/>
  <c r="D229" i="12"/>
  <c r="U229" i="2"/>
  <c r="F228" i="12"/>
  <c r="D228" i="12"/>
  <c r="U228" i="2"/>
  <c r="F227" i="12"/>
  <c r="D227" i="12"/>
  <c r="U227" i="2"/>
  <c r="F226" i="12"/>
  <c r="D226" i="12"/>
  <c r="U226" i="2"/>
  <c r="F225" i="12"/>
  <c r="D225" i="12"/>
  <c r="U225" i="2"/>
  <c r="F224" i="12"/>
  <c r="D224" i="12"/>
  <c r="U224" i="2"/>
  <c r="F223" i="12"/>
  <c r="D223" i="12"/>
  <c r="U223" i="2"/>
  <c r="F222" i="12"/>
  <c r="D222" i="12"/>
  <c r="U222" i="2"/>
  <c r="F221" i="12"/>
  <c r="D221" i="12"/>
  <c r="U221" i="2"/>
  <c r="F220" i="12"/>
  <c r="D220" i="12"/>
  <c r="U220" i="2"/>
  <c r="F219" i="12"/>
  <c r="D219" i="12"/>
  <c r="U219" i="2"/>
  <c r="F218" i="12"/>
  <c r="D218" i="12"/>
  <c r="U218" i="2"/>
  <c r="F217" i="12"/>
  <c r="D217" i="12"/>
  <c r="U217" i="2"/>
  <c r="F216" i="12"/>
  <c r="D216" i="12"/>
  <c r="U216" i="2"/>
  <c r="F215" i="12"/>
  <c r="D215" i="12"/>
  <c r="U215" i="2"/>
  <c r="F214" i="12"/>
  <c r="D214" i="12"/>
  <c r="U214" i="2"/>
  <c r="F213" i="12"/>
  <c r="D213" i="12"/>
  <c r="U213" i="2"/>
  <c r="F212" i="12"/>
  <c r="D212" i="12"/>
  <c r="U212" i="2"/>
  <c r="F211" i="12"/>
  <c r="D211" i="12"/>
  <c r="U211" i="2"/>
  <c r="F210" i="12"/>
  <c r="D210" i="12"/>
  <c r="U210" i="2"/>
  <c r="F209" i="12"/>
  <c r="D209" i="12"/>
  <c r="U209" i="2"/>
  <c r="F208" i="12"/>
  <c r="D208" i="12"/>
  <c r="U208" i="2"/>
  <c r="F207" i="12"/>
  <c r="D207" i="12"/>
  <c r="U207" i="2"/>
  <c r="F206" i="12"/>
  <c r="D206" i="12"/>
  <c r="U206" i="2"/>
  <c r="F205" i="12"/>
  <c r="D205" i="12"/>
  <c r="U205" i="2"/>
  <c r="F204" i="12"/>
  <c r="D204" i="12"/>
  <c r="U204" i="2"/>
  <c r="F203" i="12"/>
  <c r="D203" i="12"/>
  <c r="U203" i="2"/>
  <c r="F202" i="12"/>
  <c r="D202" i="12"/>
  <c r="U202" i="2"/>
  <c r="F201" i="12"/>
  <c r="D201" i="12"/>
  <c r="U201" i="2"/>
  <c r="F200" i="12"/>
  <c r="D200" i="12"/>
  <c r="U200" i="2"/>
  <c r="F199" i="12"/>
  <c r="D199" i="12"/>
  <c r="U199" i="2"/>
  <c r="F198" i="12"/>
  <c r="D198" i="12"/>
  <c r="U198" i="2"/>
  <c r="F197" i="12"/>
  <c r="D197" i="12"/>
  <c r="U197" i="2"/>
  <c r="F196" i="12"/>
  <c r="D196" i="12"/>
  <c r="U196" i="2"/>
  <c r="F195" i="12"/>
  <c r="D195" i="12"/>
  <c r="U195" i="2"/>
  <c r="F194" i="12"/>
  <c r="D194" i="12"/>
  <c r="U194" i="2"/>
  <c r="F193" i="12"/>
  <c r="D193" i="12"/>
  <c r="U193" i="2"/>
  <c r="F192" i="12"/>
  <c r="D192" i="12"/>
  <c r="U192" i="2"/>
  <c r="F191" i="12"/>
  <c r="D191" i="12"/>
  <c r="U191" i="2"/>
  <c r="F190" i="12"/>
  <c r="D190" i="12"/>
  <c r="U190" i="2"/>
  <c r="F189" i="12"/>
  <c r="D189" i="12"/>
  <c r="U189" i="2"/>
  <c r="F188" i="12"/>
  <c r="D188" i="12"/>
  <c r="U188" i="2"/>
  <c r="F187" i="12"/>
  <c r="D187" i="12"/>
  <c r="U187" i="2"/>
  <c r="F186" i="12"/>
  <c r="D186" i="12"/>
  <c r="U186" i="2"/>
  <c r="F185" i="12"/>
  <c r="D185" i="12"/>
  <c r="U185" i="2"/>
  <c r="F184" i="12"/>
  <c r="D184" i="12"/>
  <c r="U184" i="2"/>
  <c r="F183" i="12"/>
  <c r="D183" i="12"/>
  <c r="U183" i="2"/>
  <c r="F182" i="12"/>
  <c r="D182" i="12"/>
  <c r="U182" i="2"/>
  <c r="F181" i="12"/>
  <c r="D181" i="12"/>
  <c r="U181" i="2"/>
  <c r="F180" i="12"/>
  <c r="D180" i="12"/>
  <c r="U180" i="2"/>
  <c r="F179" i="12"/>
  <c r="D179" i="12"/>
  <c r="U179" i="2"/>
  <c r="F178" i="12"/>
  <c r="D178" i="12"/>
  <c r="U178" i="2"/>
  <c r="F177" i="12"/>
  <c r="D177" i="12"/>
  <c r="U177" i="2"/>
  <c r="F176" i="12"/>
  <c r="D176" i="12"/>
  <c r="U176" i="2"/>
  <c r="F175" i="12"/>
  <c r="D175" i="12"/>
  <c r="U175" i="2"/>
  <c r="F174" i="12"/>
  <c r="D174" i="12"/>
  <c r="U174" i="2"/>
  <c r="F173" i="12"/>
  <c r="D173" i="12"/>
  <c r="U173" i="2"/>
  <c r="F172" i="12"/>
  <c r="D172" i="12"/>
  <c r="U172" i="2"/>
  <c r="F171" i="12"/>
  <c r="D171" i="12"/>
  <c r="U171" i="2"/>
  <c r="F170" i="12"/>
  <c r="D170" i="12"/>
  <c r="U170" i="2"/>
  <c r="F169" i="12"/>
  <c r="D169" i="12"/>
  <c r="U169" i="2"/>
  <c r="F168" i="12"/>
  <c r="D168" i="12"/>
  <c r="U168" i="2"/>
  <c r="F167" i="12"/>
  <c r="D167" i="12"/>
  <c r="U167" i="2"/>
  <c r="F166" i="12"/>
  <c r="D166" i="12"/>
  <c r="U166" i="2"/>
  <c r="F165" i="12"/>
  <c r="D165" i="12"/>
  <c r="U165" i="2"/>
  <c r="F164" i="12"/>
  <c r="D164" i="12"/>
  <c r="U164" i="2"/>
  <c r="F163" i="12"/>
  <c r="D163" i="12"/>
  <c r="U163" i="2"/>
  <c r="F162" i="12"/>
  <c r="D162" i="12"/>
  <c r="U162" i="2"/>
  <c r="F161" i="12"/>
  <c r="D161" i="12"/>
  <c r="U161" i="2"/>
  <c r="F160" i="12"/>
  <c r="D160" i="12"/>
  <c r="U160" i="2"/>
  <c r="F159" i="12"/>
  <c r="D159" i="12"/>
  <c r="U159" i="2"/>
  <c r="F158" i="12"/>
  <c r="D158" i="12"/>
  <c r="U158" i="2"/>
  <c r="F157" i="12"/>
  <c r="D157" i="12"/>
  <c r="U157" i="2"/>
  <c r="F156" i="12"/>
  <c r="D156" i="12"/>
  <c r="U156" i="2"/>
  <c r="F155" i="12"/>
  <c r="D155" i="12"/>
  <c r="U155" i="2"/>
  <c r="F154" i="12"/>
  <c r="D154" i="12"/>
  <c r="U154" i="2"/>
  <c r="F153" i="12"/>
  <c r="D153" i="12"/>
  <c r="U153" i="2"/>
  <c r="F152" i="12"/>
  <c r="D152" i="12"/>
  <c r="U152" i="2"/>
  <c r="F151" i="12"/>
  <c r="D151" i="12"/>
  <c r="U151" i="2"/>
  <c r="F150" i="12"/>
  <c r="D150" i="12"/>
  <c r="U150" i="2"/>
  <c r="F149" i="12"/>
  <c r="D149" i="12"/>
  <c r="U149" i="2"/>
  <c r="F148" i="12"/>
  <c r="D148" i="12"/>
  <c r="U148" i="2"/>
  <c r="F147" i="12"/>
  <c r="D147" i="12"/>
  <c r="U147" i="2"/>
  <c r="F146" i="12"/>
  <c r="D146" i="12"/>
  <c r="U146" i="2"/>
  <c r="F145" i="12"/>
  <c r="D145" i="12"/>
  <c r="U145" i="2"/>
  <c r="F144" i="12"/>
  <c r="D144" i="12"/>
  <c r="U144" i="2"/>
  <c r="F143" i="12"/>
  <c r="D143" i="12"/>
  <c r="U143" i="2"/>
  <c r="F142" i="12"/>
  <c r="D142" i="12"/>
  <c r="U142" i="2"/>
  <c r="F141" i="12"/>
  <c r="D141" i="12"/>
  <c r="U141" i="2"/>
  <c r="F140" i="12"/>
  <c r="D140" i="12"/>
  <c r="U140" i="2"/>
  <c r="F139" i="12"/>
  <c r="D139" i="12"/>
  <c r="U139" i="2"/>
  <c r="F138" i="12"/>
  <c r="D138" i="12"/>
  <c r="U138" i="2"/>
  <c r="F137" i="12"/>
  <c r="D137" i="12"/>
  <c r="U137" i="2"/>
  <c r="F136" i="12"/>
  <c r="D136" i="12"/>
  <c r="U136" i="2"/>
  <c r="F135" i="12"/>
  <c r="D135" i="12"/>
  <c r="U135" i="2"/>
  <c r="F134" i="12"/>
  <c r="D134" i="12"/>
  <c r="U134" i="2"/>
  <c r="F133" i="12"/>
  <c r="D133" i="12"/>
  <c r="U133" i="2"/>
  <c r="F132" i="12"/>
  <c r="D132" i="12"/>
  <c r="U132" i="2"/>
  <c r="F131" i="12"/>
  <c r="D131" i="12"/>
  <c r="U131" i="2"/>
  <c r="F130" i="12"/>
  <c r="D130" i="12"/>
  <c r="U130" i="2"/>
  <c r="F129" i="12"/>
  <c r="D129" i="12"/>
  <c r="U129" i="2"/>
  <c r="F128" i="12"/>
  <c r="D128" i="12"/>
  <c r="U128" i="2"/>
  <c r="F127" i="12"/>
  <c r="D127" i="12"/>
  <c r="U127" i="2"/>
  <c r="F126" i="12"/>
  <c r="D126" i="12"/>
  <c r="U126" i="2"/>
  <c r="F125" i="12"/>
  <c r="D125" i="12"/>
  <c r="U125" i="2"/>
  <c r="F124" i="12"/>
  <c r="D124" i="12"/>
  <c r="U124" i="2"/>
  <c r="F123" i="12"/>
  <c r="D123" i="12"/>
  <c r="U123" i="2"/>
  <c r="F122" i="12"/>
  <c r="D122" i="12"/>
  <c r="U122" i="2"/>
  <c r="F121" i="12"/>
  <c r="D121" i="12"/>
  <c r="U121" i="2"/>
  <c r="F120" i="12"/>
  <c r="D120" i="12"/>
  <c r="U120" i="2"/>
  <c r="F119" i="12"/>
  <c r="D119" i="12"/>
  <c r="U119" i="2"/>
  <c r="F118" i="12"/>
  <c r="D118" i="12"/>
  <c r="U118" i="2"/>
  <c r="F117" i="12"/>
  <c r="D117" i="12"/>
  <c r="U117" i="2"/>
  <c r="F116" i="12"/>
  <c r="D116" i="12"/>
  <c r="U116" i="2"/>
  <c r="F115" i="12"/>
  <c r="D115" i="12"/>
  <c r="U115" i="2"/>
  <c r="F114" i="12"/>
  <c r="D114" i="12"/>
  <c r="U114" i="2"/>
  <c r="F113" i="12"/>
  <c r="D113" i="12"/>
  <c r="U113" i="2"/>
  <c r="F112" i="12"/>
  <c r="D112" i="12"/>
  <c r="U112" i="2"/>
  <c r="F111" i="12"/>
  <c r="D111" i="12"/>
  <c r="U111" i="2"/>
  <c r="F110" i="12"/>
  <c r="D110" i="12"/>
  <c r="U110" i="2"/>
  <c r="F109" i="12"/>
  <c r="D109" i="12"/>
  <c r="U109" i="2"/>
  <c r="F108" i="12"/>
  <c r="D108" i="12"/>
  <c r="U108" i="2"/>
  <c r="F107" i="12"/>
  <c r="D107" i="12"/>
  <c r="U107" i="2"/>
  <c r="F106" i="12"/>
  <c r="D106" i="12"/>
  <c r="U106" i="2"/>
  <c r="F105" i="12"/>
  <c r="D105" i="12"/>
  <c r="U105" i="2"/>
  <c r="F104" i="12"/>
  <c r="D104" i="12"/>
  <c r="U104" i="2"/>
  <c r="F103" i="12"/>
  <c r="D103" i="12"/>
  <c r="U103" i="2"/>
  <c r="F102" i="12"/>
  <c r="D102" i="12"/>
  <c r="U102" i="2"/>
  <c r="F101" i="12"/>
  <c r="D101" i="12"/>
  <c r="U101" i="2"/>
  <c r="F100" i="12"/>
  <c r="D100" i="12"/>
  <c r="U100" i="2"/>
  <c r="F99" i="12"/>
  <c r="D99" i="12"/>
  <c r="U99" i="2"/>
  <c r="F98" i="12"/>
  <c r="D98" i="12"/>
  <c r="U98" i="2"/>
  <c r="F97" i="12"/>
  <c r="D97" i="12"/>
  <c r="U97" i="2"/>
  <c r="F96" i="12"/>
  <c r="D96" i="12"/>
  <c r="U96" i="2"/>
  <c r="F95" i="12"/>
  <c r="D95" i="12"/>
  <c r="U95" i="2"/>
  <c r="F94" i="12"/>
  <c r="D94" i="12"/>
  <c r="U94" i="2"/>
  <c r="F93" i="12"/>
  <c r="D93" i="12"/>
  <c r="U93" i="2"/>
  <c r="F92" i="12"/>
  <c r="D92" i="12"/>
  <c r="U92" i="2"/>
  <c r="F91" i="12"/>
  <c r="D91" i="12"/>
  <c r="U91" i="2"/>
  <c r="F90" i="12"/>
  <c r="D90" i="12"/>
  <c r="U90" i="2"/>
  <c r="F89" i="12"/>
  <c r="D89" i="12"/>
  <c r="U89" i="2"/>
  <c r="F88" i="12"/>
  <c r="D88" i="12"/>
  <c r="U88" i="2"/>
  <c r="F87" i="12"/>
  <c r="D87" i="12"/>
  <c r="U87" i="2"/>
  <c r="F86" i="12"/>
  <c r="D86" i="12"/>
  <c r="U86" i="2"/>
  <c r="F85" i="12"/>
  <c r="D85" i="12"/>
  <c r="U85" i="2"/>
  <c r="F84" i="12"/>
  <c r="D84" i="12"/>
  <c r="U84" i="2"/>
  <c r="F83" i="12"/>
  <c r="D83" i="12"/>
  <c r="U83" i="2"/>
  <c r="F82" i="12"/>
  <c r="D82" i="12"/>
  <c r="U82" i="2"/>
  <c r="F81" i="12"/>
  <c r="D81" i="12"/>
  <c r="U81" i="2"/>
  <c r="F80" i="12"/>
  <c r="D80" i="12"/>
  <c r="U80" i="2"/>
  <c r="F79" i="12"/>
  <c r="D79" i="12"/>
  <c r="U79" i="2"/>
  <c r="F78" i="12"/>
  <c r="D78" i="12"/>
  <c r="U78" i="2"/>
  <c r="F77" i="12"/>
  <c r="D77" i="12"/>
  <c r="U77" i="2"/>
  <c r="F76" i="12"/>
  <c r="D76" i="12"/>
  <c r="U76" i="2"/>
  <c r="F75" i="12"/>
  <c r="D75" i="12"/>
  <c r="U75" i="2"/>
  <c r="F74" i="12"/>
  <c r="D74" i="12"/>
  <c r="U74" i="2"/>
  <c r="F73" i="12"/>
  <c r="D73" i="12"/>
  <c r="U73" i="2"/>
  <c r="F72" i="12"/>
  <c r="D72" i="12"/>
  <c r="U72" i="2"/>
  <c r="F71" i="12"/>
  <c r="D71" i="12"/>
  <c r="U71" i="2"/>
  <c r="F70" i="12"/>
  <c r="D70" i="12"/>
  <c r="U70" i="2"/>
  <c r="F69" i="12"/>
  <c r="D69" i="12"/>
  <c r="U69" i="2"/>
  <c r="F68" i="12"/>
  <c r="D68" i="12"/>
  <c r="U68" i="2"/>
  <c r="F67" i="12"/>
  <c r="D67" i="12"/>
  <c r="U67" i="2"/>
  <c r="F66" i="12"/>
  <c r="D66" i="12"/>
  <c r="U66" i="2"/>
  <c r="F65" i="12"/>
  <c r="D65" i="12"/>
  <c r="U65" i="2"/>
  <c r="F64" i="12"/>
  <c r="D64" i="12"/>
  <c r="U64" i="2"/>
  <c r="F63" i="12"/>
  <c r="D63" i="12"/>
  <c r="U63" i="2"/>
  <c r="F62" i="12"/>
  <c r="D62" i="12"/>
  <c r="U62" i="2"/>
  <c r="F61" i="12"/>
  <c r="D61" i="12"/>
  <c r="U61" i="2"/>
  <c r="F60" i="12"/>
  <c r="D60" i="12"/>
  <c r="U60" i="2"/>
  <c r="F59" i="12"/>
  <c r="D59" i="12"/>
  <c r="U59" i="2"/>
  <c r="F58" i="12"/>
  <c r="D58" i="12"/>
  <c r="U58" i="2"/>
  <c r="F57" i="12"/>
  <c r="D57" i="12"/>
  <c r="U57" i="2"/>
  <c r="F56" i="12"/>
  <c r="D56" i="12"/>
  <c r="U56" i="2"/>
  <c r="F55" i="12"/>
  <c r="D55" i="12"/>
  <c r="U55" i="2"/>
  <c r="F54" i="12"/>
  <c r="D54" i="12"/>
  <c r="U54" i="2"/>
  <c r="F53" i="12"/>
  <c r="D53" i="12"/>
  <c r="U53" i="2"/>
  <c r="F52" i="12"/>
  <c r="D52" i="12"/>
  <c r="U52" i="2"/>
  <c r="F51" i="12"/>
  <c r="D51" i="12"/>
  <c r="U51" i="2"/>
  <c r="F50" i="12"/>
  <c r="D50" i="12"/>
  <c r="U50" i="2"/>
  <c r="F49" i="12"/>
  <c r="D49" i="12"/>
  <c r="U49" i="2"/>
  <c r="F48" i="12"/>
  <c r="D48" i="12"/>
  <c r="U48" i="2"/>
  <c r="F47" i="12"/>
  <c r="D47" i="12"/>
  <c r="U47" i="2"/>
  <c r="F46" i="12"/>
  <c r="D46" i="12"/>
  <c r="U46" i="2"/>
  <c r="F45" i="12"/>
  <c r="D45" i="12"/>
  <c r="U45" i="2"/>
  <c r="F44" i="12"/>
  <c r="D44" i="12"/>
  <c r="U44" i="2"/>
  <c r="F43" i="12"/>
  <c r="D43" i="12"/>
  <c r="U43" i="2"/>
  <c r="F42" i="12"/>
  <c r="D42" i="12"/>
  <c r="U42" i="2"/>
  <c r="F41" i="12"/>
  <c r="D41" i="12"/>
  <c r="U41" i="2"/>
  <c r="F40" i="12"/>
  <c r="D40" i="12"/>
  <c r="U40" i="2"/>
  <c r="F39" i="12"/>
  <c r="D39" i="12"/>
  <c r="U39" i="2"/>
  <c r="F38" i="12"/>
  <c r="D38" i="12"/>
  <c r="U38" i="2"/>
  <c r="F37" i="12"/>
  <c r="D37" i="12"/>
  <c r="U37" i="2"/>
  <c r="F36" i="12"/>
  <c r="D36" i="12"/>
  <c r="U36" i="2"/>
  <c r="F35" i="12"/>
  <c r="D35" i="12"/>
  <c r="U35" i="2"/>
  <c r="F34" i="12"/>
  <c r="D34" i="12"/>
  <c r="U34" i="2"/>
  <c r="F33" i="12"/>
  <c r="D33" i="12"/>
  <c r="U33" i="2"/>
  <c r="F32" i="12"/>
  <c r="D32" i="12"/>
  <c r="U32" i="2"/>
  <c r="F31" i="12"/>
  <c r="D31" i="12"/>
  <c r="U31" i="2"/>
  <c r="F30" i="12"/>
  <c r="D30" i="12"/>
  <c r="U30" i="2"/>
  <c r="F29" i="12"/>
  <c r="D29" i="12"/>
  <c r="U29" i="2"/>
  <c r="F28" i="12"/>
  <c r="D28" i="12"/>
  <c r="U28" i="2"/>
  <c r="F27" i="12"/>
  <c r="D27" i="12"/>
  <c r="U27" i="2"/>
  <c r="F26" i="12"/>
  <c r="D26" i="12"/>
  <c r="U26" i="2"/>
  <c r="F25" i="12"/>
  <c r="D25" i="12"/>
  <c r="U25" i="2"/>
  <c r="F24" i="12"/>
  <c r="D24" i="12"/>
  <c r="U24" i="2"/>
  <c r="F23" i="12"/>
  <c r="D23" i="12"/>
  <c r="U23" i="2"/>
  <c r="F22" i="12"/>
  <c r="D22" i="12"/>
  <c r="U22" i="2"/>
  <c r="F21" i="12"/>
  <c r="D21" i="12"/>
  <c r="U21" i="2"/>
  <c r="F20" i="12"/>
  <c r="D20" i="12"/>
  <c r="U20" i="2"/>
  <c r="F19" i="12"/>
  <c r="D19" i="12"/>
  <c r="U19" i="2"/>
  <c r="F18" i="12"/>
  <c r="D18" i="12"/>
  <c r="U18" i="2"/>
  <c r="F17" i="12"/>
  <c r="D17" i="12"/>
  <c r="U17" i="2"/>
  <c r="F16" i="12"/>
  <c r="D16" i="12"/>
  <c r="U16" i="2"/>
  <c r="F15" i="12"/>
  <c r="D15" i="12"/>
  <c r="U15" i="2"/>
  <c r="F14" i="12"/>
  <c r="D14" i="12"/>
  <c r="U14" i="2"/>
  <c r="F13" i="12"/>
  <c r="D13" i="12"/>
  <c r="U13" i="2"/>
  <c r="F12" i="12"/>
  <c r="D12" i="12"/>
  <c r="U12" i="2"/>
  <c r="F11" i="12"/>
  <c r="D11" i="12"/>
  <c r="U11" i="2"/>
  <c r="F10" i="12"/>
  <c r="D10" i="12"/>
  <c r="U10" i="2"/>
  <c r="F9" i="12"/>
  <c r="D9" i="12"/>
  <c r="U9" i="2"/>
  <c r="F8" i="12"/>
  <c r="D8" i="12"/>
  <c r="U8" i="2"/>
  <c r="F7" i="12"/>
  <c r="D7" i="12"/>
  <c r="U7" i="2"/>
  <c r="F6" i="12"/>
  <c r="D6" i="12"/>
  <c r="U6" i="2"/>
  <c r="F5" i="12"/>
  <c r="D5" i="12"/>
  <c r="U5" i="2"/>
  <c r="D13" i="1"/>
  <c r="C13" i="1"/>
  <c r="B13" i="1"/>
  <c r="A13" i="1"/>
  <c r="D12" i="1"/>
  <c r="C12" i="1"/>
  <c r="B12" i="1"/>
  <c r="A12" i="1"/>
  <c r="D11" i="1"/>
  <c r="I17" i="9" l="1"/>
  <c r="I28" i="9"/>
  <c r="I41" i="9"/>
  <c r="I64" i="9"/>
  <c r="I86" i="9"/>
  <c r="I88" i="9"/>
  <c r="I98" i="9"/>
  <c r="I100" i="9"/>
  <c r="I117" i="9"/>
  <c r="I126" i="9"/>
  <c r="I128" i="9"/>
  <c r="I138" i="9"/>
  <c r="I140" i="9"/>
  <c r="I148" i="9"/>
  <c r="I149" i="9"/>
  <c r="I186" i="9"/>
  <c r="I214" i="9"/>
  <c r="I216" i="9"/>
  <c r="I250" i="9"/>
  <c r="I278" i="9"/>
  <c r="I280" i="9"/>
  <c r="I314" i="9"/>
  <c r="I342" i="9"/>
  <c r="I344" i="9"/>
  <c r="I362" i="9"/>
  <c r="I372" i="9"/>
  <c r="I373" i="9"/>
  <c r="I396" i="9"/>
  <c r="I407" i="9"/>
  <c r="I409" i="9"/>
  <c r="I426" i="9"/>
  <c r="I467" i="9"/>
  <c r="I469" i="9"/>
  <c r="I21" i="9"/>
  <c r="I40" i="9"/>
  <c r="I45" i="9"/>
  <c r="I105" i="9"/>
  <c r="I114" i="9"/>
  <c r="I116" i="9"/>
  <c r="I150" i="9"/>
  <c r="I152" i="9"/>
  <c r="I187" i="9"/>
  <c r="I188" i="9"/>
  <c r="I196" i="9"/>
  <c r="I197" i="9"/>
  <c r="I223" i="9"/>
  <c r="I225" i="9"/>
  <c r="I251" i="9"/>
  <c r="I252" i="9"/>
  <c r="I260" i="9"/>
  <c r="I261" i="9"/>
  <c r="I287" i="9"/>
  <c r="I289" i="9"/>
  <c r="I315" i="9"/>
  <c r="I316" i="9"/>
  <c r="I324" i="9"/>
  <c r="I325" i="9"/>
  <c r="I374" i="9"/>
  <c r="I376" i="9"/>
  <c r="I383" i="9"/>
  <c r="I385" i="9"/>
  <c r="I414" i="9"/>
  <c r="I471" i="9"/>
  <c r="I473" i="9"/>
  <c r="I478" i="9"/>
  <c r="I506" i="9"/>
  <c r="I30" i="9"/>
  <c r="I57" i="9"/>
  <c r="I69" i="9"/>
  <c r="I78" i="9"/>
  <c r="I81" i="9"/>
  <c r="I93" i="9"/>
  <c r="I102" i="9"/>
  <c r="I104" i="9"/>
  <c r="I121" i="9"/>
  <c r="I130" i="9"/>
  <c r="I133" i="9"/>
  <c r="I159" i="9"/>
  <c r="I161" i="9"/>
  <c r="I198" i="9"/>
  <c r="I200" i="9"/>
  <c r="I234" i="9"/>
  <c r="I262" i="9"/>
  <c r="I264" i="9"/>
  <c r="I298" i="9"/>
  <c r="I326" i="9"/>
  <c r="I328" i="9"/>
  <c r="I395" i="9"/>
  <c r="I416" i="9"/>
  <c r="I49" i="9"/>
  <c r="I22" i="9"/>
  <c r="I25" i="9"/>
  <c r="I46" i="9"/>
  <c r="I48" i="9"/>
  <c r="I61" i="9"/>
  <c r="I73" i="9"/>
  <c r="I106" i="9"/>
  <c r="I109" i="9"/>
  <c r="I145" i="9"/>
  <c r="I171" i="9"/>
  <c r="I172" i="9"/>
  <c r="I182" i="9"/>
  <c r="I184" i="9"/>
  <c r="I218" i="9"/>
  <c r="I246" i="9"/>
  <c r="I248" i="9"/>
  <c r="I282" i="9"/>
  <c r="I310" i="9"/>
  <c r="I312" i="9"/>
  <c r="I346" i="9"/>
  <c r="I356" i="9"/>
  <c r="I357" i="9"/>
  <c r="I360" i="9"/>
  <c r="I378" i="9"/>
  <c r="I398" i="9"/>
  <c r="I435" i="9"/>
  <c r="I437" i="9"/>
  <c r="I442" i="9"/>
  <c r="I455" i="9"/>
  <c r="I457" i="9"/>
  <c r="I462" i="9"/>
  <c r="I97" i="9"/>
  <c r="I125" i="9"/>
  <c r="I193" i="9"/>
  <c r="I219" i="9"/>
  <c r="I220" i="9"/>
  <c r="I255" i="9"/>
  <c r="I257" i="9"/>
  <c r="I283" i="9"/>
  <c r="I284" i="9"/>
  <c r="I319" i="9"/>
  <c r="I321" i="9"/>
  <c r="I347" i="9"/>
  <c r="I348" i="9"/>
  <c r="I358" i="9"/>
  <c r="I367" i="9"/>
  <c r="I369" i="9"/>
  <c r="I404" i="9"/>
  <c r="I424" i="9"/>
  <c r="I439" i="9"/>
  <c r="I446" i="9"/>
  <c r="I494" i="9"/>
  <c r="I5" i="9"/>
  <c r="I50" i="9"/>
  <c r="I96" i="9"/>
  <c r="I113" i="9"/>
  <c r="I124" i="9"/>
  <c r="I155" i="9"/>
  <c r="I156" i="9"/>
  <c r="I164" i="9"/>
  <c r="I202" i="9"/>
  <c r="I230" i="9"/>
  <c r="I232" i="9"/>
  <c r="I266" i="9"/>
  <c r="I294" i="9"/>
  <c r="I296" i="9"/>
  <c r="I330" i="9"/>
  <c r="I359" i="9"/>
  <c r="I408" i="9"/>
  <c r="I422" i="9"/>
  <c r="I431" i="9"/>
  <c r="I433" i="9"/>
  <c r="I443" i="9"/>
  <c r="I445" i="9"/>
  <c r="I448" i="9"/>
  <c r="I460" i="9"/>
  <c r="I486" i="9"/>
  <c r="I495" i="9"/>
  <c r="I497" i="9"/>
  <c r="I507" i="9"/>
  <c r="I509" i="9"/>
  <c r="I521" i="9"/>
  <c r="I550" i="9"/>
  <c r="I566" i="9"/>
  <c r="I582" i="9"/>
  <c r="I598" i="9"/>
  <c r="I614" i="9"/>
  <c r="I630" i="9"/>
  <c r="I640" i="9"/>
  <c r="I664" i="9"/>
  <c r="I678" i="9"/>
  <c r="I689" i="9"/>
  <c r="I700" i="9"/>
  <c r="I710" i="9"/>
  <c r="I721" i="9"/>
  <c r="I732" i="9"/>
  <c r="I742" i="9"/>
  <c r="I749" i="9"/>
  <c r="I773" i="9"/>
  <c r="I784" i="9"/>
  <c r="I801" i="9"/>
  <c r="I809" i="9"/>
  <c r="I838" i="9"/>
  <c r="I870" i="9"/>
  <c r="I922" i="9"/>
  <c r="I962" i="9"/>
  <c r="I1026" i="9"/>
  <c r="I483" i="9"/>
  <c r="I485" i="9"/>
  <c r="I488" i="9"/>
  <c r="I500" i="9"/>
  <c r="I526" i="9"/>
  <c r="I535" i="9"/>
  <c r="I538" i="9"/>
  <c r="I547" i="9"/>
  <c r="I549" i="9"/>
  <c r="I563" i="9"/>
  <c r="I565" i="9"/>
  <c r="I579" i="9"/>
  <c r="I581" i="9"/>
  <c r="I595" i="9"/>
  <c r="I597" i="9"/>
  <c r="I611" i="9"/>
  <c r="I613" i="9"/>
  <c r="I627" i="9"/>
  <c r="I629" i="9"/>
  <c r="I642" i="9"/>
  <c r="I677" i="9"/>
  <c r="I687" i="9"/>
  <c r="I688" i="9"/>
  <c r="I709" i="9"/>
  <c r="I719" i="9"/>
  <c r="I720" i="9"/>
  <c r="I741" i="9"/>
  <c r="I762" i="9"/>
  <c r="I797" i="9"/>
  <c r="I837" i="9"/>
  <c r="I866" i="9"/>
  <c r="I867" i="9"/>
  <c r="I898" i="9"/>
  <c r="I910" i="9"/>
  <c r="I986" i="9"/>
  <c r="I1050" i="9"/>
  <c r="I351" i="9"/>
  <c r="I353" i="9"/>
  <c r="I379" i="9"/>
  <c r="I380" i="9"/>
  <c r="I389" i="9"/>
  <c r="I400" i="9"/>
  <c r="I438" i="9"/>
  <c r="I447" i="9"/>
  <c r="I449" i="9"/>
  <c r="I459" i="9"/>
  <c r="I461" i="9"/>
  <c r="I464" i="9"/>
  <c r="I476" i="9"/>
  <c r="I502" i="9"/>
  <c r="I511" i="9"/>
  <c r="I514" i="9"/>
  <c r="I523" i="9"/>
  <c r="I525" i="9"/>
  <c r="I537" i="9"/>
  <c r="I554" i="9"/>
  <c r="I570" i="9"/>
  <c r="I586" i="9"/>
  <c r="I602" i="9"/>
  <c r="I618" i="9"/>
  <c r="I634" i="9"/>
  <c r="I654" i="9"/>
  <c r="I656" i="9"/>
  <c r="I698" i="9"/>
  <c r="I730" i="9"/>
  <c r="I776" i="9"/>
  <c r="I786" i="9"/>
  <c r="I787" i="9"/>
  <c r="I790" i="9"/>
  <c r="I798" i="9"/>
  <c r="I799" i="9"/>
  <c r="I800" i="9"/>
  <c r="I828" i="9"/>
  <c r="I839" i="9"/>
  <c r="I840" i="9"/>
  <c r="I869" i="9"/>
  <c r="I946" i="9"/>
  <c r="I1010" i="9"/>
  <c r="I542" i="9"/>
  <c r="I645" i="9"/>
  <c r="I648" i="9"/>
  <c r="I666" i="9"/>
  <c r="I680" i="9"/>
  <c r="I690" i="9"/>
  <c r="I691" i="9"/>
  <c r="I780" i="9"/>
  <c r="I817" i="9"/>
  <c r="I454" i="9"/>
  <c r="I463" i="9"/>
  <c r="I465" i="9"/>
  <c r="I475" i="9"/>
  <c r="I477" i="9"/>
  <c r="I480" i="9"/>
  <c r="I492" i="9"/>
  <c r="I512" i="9"/>
  <c r="I518" i="9"/>
  <c r="I527" i="9"/>
  <c r="I530" i="9"/>
  <c r="I539" i="9"/>
  <c r="I541" i="9"/>
  <c r="I558" i="9"/>
  <c r="I574" i="9"/>
  <c r="I590" i="9"/>
  <c r="I606" i="9"/>
  <c r="I622" i="9"/>
  <c r="I673" i="9"/>
  <c r="I684" i="9"/>
  <c r="I694" i="9"/>
  <c r="I705" i="9"/>
  <c r="I711" i="9"/>
  <c r="I716" i="9"/>
  <c r="I726" i="9"/>
  <c r="I737" i="9"/>
  <c r="I743" i="9"/>
  <c r="I758" i="9"/>
  <c r="I769" i="9"/>
  <c r="I789" i="9"/>
  <c r="I791" i="9"/>
  <c r="I806" i="9"/>
  <c r="I816" i="9"/>
  <c r="I829" i="9"/>
  <c r="I890" i="9"/>
  <c r="I902" i="9"/>
  <c r="I930" i="9"/>
  <c r="I994" i="9"/>
  <c r="I639" i="9"/>
  <c r="I662" i="9"/>
  <c r="I748" i="9"/>
  <c r="I849" i="9"/>
  <c r="I1018" i="9"/>
  <c r="I402" i="9"/>
  <c r="I406" i="9"/>
  <c r="I415" i="9"/>
  <c r="I417" i="9"/>
  <c r="I427" i="9"/>
  <c r="I429" i="9"/>
  <c r="I432" i="9"/>
  <c r="I470" i="9"/>
  <c r="I479" i="9"/>
  <c r="I481" i="9"/>
  <c r="I491" i="9"/>
  <c r="I493" i="9"/>
  <c r="I496" i="9"/>
  <c r="I505" i="9"/>
  <c r="I534" i="9"/>
  <c r="I543" i="9"/>
  <c r="I546" i="9"/>
  <c r="I562" i="9"/>
  <c r="I578" i="9"/>
  <c r="I594" i="9"/>
  <c r="I610" i="9"/>
  <c r="I626" i="9"/>
  <c r="I649" i="9"/>
  <c r="I661" i="9"/>
  <c r="I682" i="9"/>
  <c r="I714" i="9"/>
  <c r="I746" i="9"/>
  <c r="I770" i="9"/>
  <c r="I771" i="9"/>
  <c r="I796" i="9"/>
  <c r="I818" i="9"/>
  <c r="I819" i="9"/>
  <c r="I820" i="9"/>
  <c r="I830" i="9"/>
  <c r="I865" i="9"/>
  <c r="I906" i="9"/>
  <c r="I978" i="9"/>
  <c r="I1042" i="9"/>
  <c r="I1075" i="9"/>
  <c r="I1083" i="9"/>
  <c r="I1091" i="9"/>
  <c r="I1099" i="9"/>
  <c r="I1107" i="9"/>
  <c r="I1115" i="9"/>
  <c r="I1123" i="9"/>
  <c r="I1131" i="9"/>
  <c r="I1139" i="9"/>
  <c r="I1147" i="9"/>
  <c r="I1155" i="9"/>
  <c r="I1163" i="9"/>
  <c r="I751" i="9"/>
  <c r="I752" i="9"/>
  <c r="I764" i="9"/>
  <c r="I774" i="9"/>
  <c r="I781" i="9"/>
  <c r="I792" i="9"/>
  <c r="I810" i="9"/>
  <c r="I821" i="9"/>
  <c r="I833" i="9"/>
  <c r="I850" i="9"/>
  <c r="I851" i="9"/>
  <c r="I879" i="9"/>
  <c r="I880" i="9"/>
  <c r="I923" i="9"/>
  <c r="I931" i="9"/>
  <c r="I939" i="9"/>
  <c r="I947" i="9"/>
  <c r="I955" i="9"/>
  <c r="I963" i="9"/>
  <c r="I971" i="9"/>
  <c r="I979" i="9"/>
  <c r="I987" i="9"/>
  <c r="I995" i="9"/>
  <c r="I1003" i="9"/>
  <c r="I1011" i="9"/>
  <c r="I1019" i="9"/>
  <c r="I1027" i="9"/>
  <c r="I1035" i="9"/>
  <c r="I1043" i="9"/>
  <c r="I1051" i="9"/>
  <c r="I1059" i="9"/>
  <c r="I1067" i="9"/>
  <c r="I1183" i="9"/>
  <c r="I802" i="9"/>
  <c r="I803" i="9"/>
  <c r="I832" i="9"/>
  <c r="I844" i="9"/>
  <c r="I854" i="9"/>
  <c r="I861" i="9"/>
  <c r="I872" i="9"/>
  <c r="I885" i="9"/>
  <c r="I1195" i="9"/>
  <c r="I1196" i="9"/>
  <c r="I1175" i="9"/>
  <c r="I1176" i="9"/>
  <c r="I845" i="9"/>
  <c r="I856" i="9"/>
  <c r="I874" i="9"/>
  <c r="I889" i="9"/>
  <c r="I895" i="9"/>
  <c r="I896" i="9"/>
  <c r="I903" i="9"/>
  <c r="I904" i="9"/>
  <c r="I911" i="9"/>
  <c r="I912" i="9"/>
  <c r="I919" i="9"/>
  <c r="I920" i="9"/>
  <c r="I927" i="9"/>
  <c r="I928" i="9"/>
  <c r="I935" i="9"/>
  <c r="I936" i="9"/>
  <c r="I943" i="9"/>
  <c r="I944" i="9"/>
  <c r="I951" i="9"/>
  <c r="I952" i="9"/>
  <c r="I959" i="9"/>
  <c r="I960" i="9"/>
  <c r="I967" i="9"/>
  <c r="I968" i="9"/>
  <c r="I975" i="9"/>
  <c r="I976" i="9"/>
  <c r="I983" i="9"/>
  <c r="I984" i="9"/>
  <c r="I991" i="9"/>
  <c r="I992" i="9"/>
  <c r="I999" i="9"/>
  <c r="I1000" i="9"/>
  <c r="I1007" i="9"/>
  <c r="I1008" i="9"/>
  <c r="I1015" i="9"/>
  <c r="I1016" i="9"/>
  <c r="I1023" i="9"/>
  <c r="I1024" i="9"/>
  <c r="I1031" i="9"/>
  <c r="I1032" i="9"/>
  <c r="I1039" i="9"/>
  <c r="I1040" i="9"/>
  <c r="I1047" i="9"/>
  <c r="I1048" i="9"/>
  <c r="I1055" i="9"/>
  <c r="I1056" i="9"/>
  <c r="I1063" i="9"/>
  <c r="I1064" i="9"/>
  <c r="I1150" i="9"/>
  <c r="I1158" i="9"/>
  <c r="I1166" i="9"/>
  <c r="I1186" i="9"/>
  <c r="I1199" i="9"/>
  <c r="I1200" i="9"/>
  <c r="I888" i="9"/>
  <c r="I1179" i="9"/>
  <c r="I1180" i="9"/>
  <c r="J552" i="9"/>
  <c r="I552" i="9"/>
  <c r="J568" i="9"/>
  <c r="I568" i="9"/>
  <c r="J584" i="9"/>
  <c r="I584" i="9"/>
  <c r="J600" i="9"/>
  <c r="I600" i="9"/>
  <c r="J616" i="9"/>
  <c r="I616" i="9"/>
  <c r="J632" i="9"/>
  <c r="I632" i="9"/>
  <c r="I516" i="9"/>
  <c r="I831" i="9"/>
  <c r="I403" i="9"/>
  <c r="J556" i="9"/>
  <c r="I556" i="9"/>
  <c r="J572" i="9"/>
  <c r="I572" i="9"/>
  <c r="J588" i="9"/>
  <c r="I588" i="9"/>
  <c r="J604" i="9"/>
  <c r="I604" i="9"/>
  <c r="J620" i="9"/>
  <c r="I620" i="9"/>
  <c r="I646" i="9"/>
  <c r="J670" i="9"/>
  <c r="I670" i="9"/>
  <c r="I783" i="9"/>
  <c r="I15" i="9"/>
  <c r="I19" i="9"/>
  <c r="I31" i="9"/>
  <c r="I43" i="9"/>
  <c r="I47" i="9"/>
  <c r="I59" i="9"/>
  <c r="I67" i="9"/>
  <c r="I71" i="9"/>
  <c r="I75" i="9"/>
  <c r="I83" i="9"/>
  <c r="I87" i="9"/>
  <c r="I91" i="9"/>
  <c r="I99" i="9"/>
  <c r="I103" i="9"/>
  <c r="I111" i="9"/>
  <c r="I115" i="9"/>
  <c r="I119" i="9"/>
  <c r="I127" i="9"/>
  <c r="I135" i="9"/>
  <c r="I139" i="9"/>
  <c r="I160" i="9"/>
  <c r="I176" i="9"/>
  <c r="I192" i="9"/>
  <c r="I208" i="9"/>
  <c r="I224" i="9"/>
  <c r="I240" i="9"/>
  <c r="I256" i="9"/>
  <c r="I272" i="9"/>
  <c r="I288" i="9"/>
  <c r="I304" i="9"/>
  <c r="I320" i="9"/>
  <c r="I336" i="9"/>
  <c r="I352" i="9"/>
  <c r="I368" i="9"/>
  <c r="I384" i="9"/>
  <c r="I508" i="9"/>
  <c r="I540" i="9"/>
  <c r="J650" i="9"/>
  <c r="I650" i="9"/>
  <c r="J560" i="9"/>
  <c r="I560" i="9"/>
  <c r="J576" i="9"/>
  <c r="I576" i="9"/>
  <c r="J592" i="9"/>
  <c r="I592" i="9"/>
  <c r="J608" i="9"/>
  <c r="I608" i="9"/>
  <c r="J624" i="9"/>
  <c r="I624" i="9"/>
  <c r="I637" i="9"/>
  <c r="I651" i="9"/>
  <c r="I815" i="9"/>
  <c r="I392" i="9"/>
  <c r="I399" i="9"/>
  <c r="I412" i="9"/>
  <c r="I420" i="9"/>
  <c r="I428" i="9"/>
  <c r="I436" i="9"/>
  <c r="I444" i="9"/>
  <c r="I452" i="9"/>
  <c r="I532" i="9"/>
  <c r="I767" i="9"/>
  <c r="J548" i="9"/>
  <c r="I548" i="9"/>
  <c r="J564" i="9"/>
  <c r="I564" i="9"/>
  <c r="J580" i="9"/>
  <c r="I580" i="9"/>
  <c r="J596" i="9"/>
  <c r="I596" i="9"/>
  <c r="J612" i="9"/>
  <c r="I612" i="9"/>
  <c r="J628" i="9"/>
  <c r="I628" i="9"/>
  <c r="J641" i="9"/>
  <c r="I641" i="9"/>
  <c r="I524" i="9"/>
  <c r="J655" i="9"/>
  <c r="I655" i="9"/>
  <c r="I884" i="9"/>
  <c r="I1076" i="9"/>
  <c r="I1084" i="9"/>
  <c r="I1092" i="9"/>
  <c r="I1100" i="9"/>
  <c r="I1108" i="9"/>
  <c r="I1116" i="9"/>
  <c r="I1124" i="9"/>
  <c r="I1132" i="9"/>
  <c r="I1140" i="9"/>
  <c r="I1148" i="9"/>
  <c r="I1156" i="9"/>
  <c r="I1164" i="9"/>
  <c r="I1172" i="9"/>
  <c r="I891" i="9"/>
  <c r="I892" i="9"/>
  <c r="I899" i="9"/>
  <c r="I900" i="9"/>
  <c r="I907" i="9"/>
  <c r="I908" i="9"/>
  <c r="I915" i="9"/>
  <c r="I916" i="9"/>
  <c r="I924" i="9"/>
  <c r="I932" i="9"/>
  <c r="I940" i="9"/>
  <c r="I948" i="9"/>
  <c r="I956" i="9"/>
  <c r="I964" i="9"/>
  <c r="I972" i="9"/>
  <c r="I980" i="9"/>
  <c r="I988" i="9"/>
  <c r="I996" i="9"/>
  <c r="I1004" i="9"/>
  <c r="I1012" i="9"/>
  <c r="I1020" i="9"/>
  <c r="I1028" i="9"/>
  <c r="I1036" i="9"/>
  <c r="I1044" i="9"/>
  <c r="I1052" i="9"/>
  <c r="I1060" i="9"/>
  <c r="I1068" i="9"/>
  <c r="I1184" i="9"/>
  <c r="I1072" i="9"/>
  <c r="I1080" i="9"/>
  <c r="I1088" i="9"/>
  <c r="I1096" i="9"/>
  <c r="I1104" i="9"/>
  <c r="I1112" i="9"/>
  <c r="I1120" i="9"/>
  <c r="I1128" i="9"/>
  <c r="I1136" i="9"/>
  <c r="I1144" i="9"/>
  <c r="I1152" i="9"/>
  <c r="I1160" i="9"/>
  <c r="I1168" i="9"/>
  <c r="I1188" i="9"/>
  <c r="I638" i="9"/>
  <c r="I643" i="9"/>
  <c r="I667" i="9"/>
  <c r="I683" i="9"/>
  <c r="I699" i="9"/>
  <c r="I715" i="9"/>
  <c r="I731" i="9"/>
</calcChain>
</file>

<file path=xl/sharedStrings.xml><?xml version="1.0" encoding="utf-8"?>
<sst xmlns="http://schemas.openxmlformats.org/spreadsheetml/2006/main" count="47627" uniqueCount="5608">
  <si>
    <t>EXECUTIVE BRIEF</t>
  </si>
  <si>
    <t>Codzienny raport właściciela — sprzedaż, follow-upy, ryzyka.</t>
  </si>
  <si>
    <t>EXECUTIVE DAILY BRIEF PRO | 2026-06-10 15:30</t>
  </si>
  <si>
    <t>SEKCJA 1 | FINANSE</t>
  </si>
  <si>
    <t>PIPELINE</t>
  </si>
  <si>
    <t>Aktywne oferty</t>
  </si>
  <si>
    <t>FORECAST</t>
  </si>
  <si>
    <t>Wazony forecast</t>
  </si>
  <si>
    <t>SPRZEDAZ MIESIACA</t>
  </si>
  <si>
    <t>Suma Magda K + Magda B</t>
  </si>
  <si>
    <t>SREDNIA WARTOSC OFERTY</t>
  </si>
  <si>
    <t>CRM_MAGDY</t>
  </si>
  <si>
    <t>WARTOSC ZAGROZONEGO PIPELINE</t>
  </si>
  <si>
    <t>Pozary A + B</t>
  </si>
  <si>
    <t>SEKCJA 2 | ZESPOL</t>
  </si>
  <si>
    <t>Handlowiec</t>
  </si>
  <si>
    <t>Sprzedaz</t>
  </si>
  <si>
    <t>Premia</t>
  </si>
  <si>
    <t>Pozary A</t>
  </si>
  <si>
    <t>Pozary B</t>
  </si>
  <si>
    <t>Zalegle follow-upy</t>
  </si>
  <si>
    <t>Magda K</t>
  </si>
  <si>
    <t>Magda B</t>
  </si>
  <si>
    <t>SEKCJA 3 | POZARY SPRZEDAZOWE</t>
  </si>
  <si>
    <t>POZARY A</t>
  </si>
  <si>
    <t>Krytyczne</t>
  </si>
  <si>
    <t>POZARY B</t>
  </si>
  <si>
    <t>Wysokie ryzyko</t>
  </si>
  <si>
    <t>LACZNA WARTOSC POZAROW</t>
  </si>
  <si>
    <t>TOP i reszta A/B</t>
  </si>
  <si>
    <t>TOP 10 NAJWIEKSZYCH POZAROW</t>
  </si>
  <si>
    <t>klient</t>
  </si>
  <si>
    <t>nr oferty</t>
  </si>
  <si>
    <t>opiekun</t>
  </si>
  <si>
    <t>kwota</t>
  </si>
  <si>
    <t>dni od ostatniej akcji</t>
  </si>
  <si>
    <t>priorytet</t>
  </si>
  <si>
    <t>BRAK NAZWY KLIENTA</t>
  </si>
  <si>
    <t>A</t>
  </si>
  <si>
    <t>B</t>
  </si>
  <si>
    <t>SEKCJA 4 | FOLLOW-UP CONTROL</t>
  </si>
  <si>
    <t>FOLLOW-UP 3D</t>
  </si>
  <si>
    <t>Liczba zadan</t>
  </si>
  <si>
    <t>FOLLOW-UP 7D</t>
  </si>
  <si>
    <t>FOLLOW-UP 30D</t>
  </si>
  <si>
    <t>REAKTYWACJE 90D</t>
  </si>
  <si>
    <t>LACZNIE OTWARTE ZADANIA</t>
  </si>
  <si>
    <t>Wszystkie otwarte</t>
  </si>
  <si>
    <t>SEKCJA 5 | JAKOSC CRM</t>
  </si>
  <si>
    <t>SREDNIA JAKOSC CRM</t>
  </si>
  <si>
    <t>Srednia procentowa</t>
  </si>
  <si>
    <t>LICZBA REKORDOW Z BRAKAMI</t>
  </si>
  <si>
    <t>Min. jeden brak</t>
  </si>
  <si>
    <t>BRAK TELEFONU</t>
  </si>
  <si>
    <t>BRAK KWOTY</t>
  </si>
  <si>
    <t>BRAK STATUSU</t>
  </si>
  <si>
    <t>BRAK DATY OSTATNIEJ AKCJI</t>
  </si>
  <si>
    <t>SEKCJA 6 | CEO ACTIONS TODAY</t>
  </si>
  <si>
    <t>- Zadzwon do klienta  (105000 zl)</t>
  </si>
  <si>
    <t>- Skontroluj oferte 5478 (503 dni bez kontaktu)</t>
  </si>
  <si>
    <t>- Omow z MAGDA K 14 pozarow A</t>
  </si>
  <si>
    <t>- Zweryfikuj 876 rekordow bez kwoty</t>
  </si>
  <si>
    <t>- Przejrzyj 10 najwiekszych zagrozonych ofert</t>
  </si>
  <si>
    <t>ADEZO OS 2.0 | CEO PANEL</t>
  </si>
  <si>
    <t>Luxury sales operating system — wynik, ryzyko i premie.</t>
  </si>
  <si>
    <t>SPRZEDAŻ NETTO</t>
  </si>
  <si>
    <t>ALERTY KRYTYCZNE</t>
  </si>
  <si>
    <t>SPRZEDA NETTO</t>
  </si>
  <si>
    <t>MAGDA SCOREBOARD</t>
  </si>
  <si>
    <t>NAJWAŻNIEJSZE ALERTY</t>
  </si>
  <si>
    <t>Sprzedaż</t>
  </si>
  <si>
    <t>Forecast</t>
  </si>
  <si>
    <t>Waga</t>
  </si>
  <si>
    <t>Klient</t>
  </si>
  <si>
    <t>Oferta</t>
  </si>
  <si>
    <t>Komunikat</t>
  </si>
  <si>
    <t>WYSOKA</t>
  </si>
  <si>
    <t>Wrocław</t>
  </si>
  <si>
    <t>Brak statusu utrudnia kontrolę pipeline.</t>
  </si>
  <si>
    <t>KRYTYCZNA</t>
  </si>
  <si>
    <t>Brak kontaktu 158 dni.</t>
  </si>
  <si>
    <t>(brak klienta)</t>
  </si>
  <si>
    <t>Oferta bez kwoty blokuje forecast.</t>
  </si>
  <si>
    <t>Brak kontaktu 151 dni.</t>
  </si>
  <si>
    <t>POZARY C</t>
  </si>
  <si>
    <t>Brak kontaktu 148 dni.</t>
  </si>
  <si>
    <t>WARTOSC POZAROW A</t>
  </si>
  <si>
    <t>WARTOSC POZAROW B</t>
  </si>
  <si>
    <t>WARTOSC POZAROW C</t>
  </si>
  <si>
    <t>PREMIA MAGDA K</t>
  </si>
  <si>
    <t>PREMIA MAGDA B</t>
  </si>
  <si>
    <t>SPRZEDAZ MAGDA K</t>
  </si>
  <si>
    <t>SPRZEDAZ MAGDA B</t>
  </si>
  <si>
    <t>POZARY A MAGDA K</t>
  </si>
  <si>
    <t>POZARY A MAGDA B</t>
  </si>
  <si>
    <t>POZARY B MAGDA K</t>
  </si>
  <si>
    <t>POZARY B MAGDA B</t>
  </si>
  <si>
    <t>EXECUTIVE DAILY BRIEF PRO</t>
  </si>
  <si>
    <t>SPRZEDAZ</t>
  </si>
  <si>
    <t>PREMIA K</t>
  </si>
  <si>
    <t>PREMIA B</t>
  </si>
  <si>
    <t>ALERTY</t>
  </si>
  <si>
    <t>ADEZO CRM MAGDY</t>
  </si>
  <si>
    <t>Roboczy CRM. Uzupełniaj po każdym kontakcie. Czerwone pola oznaczają braki blokujące ADEZO OS.</t>
  </si>
  <si>
    <t>DATA ZAPYTANIA</t>
  </si>
  <si>
    <t>DATA OFERTY</t>
  </si>
  <si>
    <t>DATA OSTATNIEJ AKCJI</t>
  </si>
  <si>
    <t>DATA KOLEJNEGO KONTAKTU</t>
  </si>
  <si>
    <t>KLIENT</t>
  </si>
  <si>
    <t>E-MAIL</t>
  </si>
  <si>
    <t>TELEFON</t>
  </si>
  <si>
    <t>NR OFERTY</t>
  </si>
  <si>
    <t>OBSŁUGA</t>
  </si>
  <si>
    <t>ŹRÓDŁO</t>
  </si>
  <si>
    <t>KWOTA</t>
  </si>
  <si>
    <t>SZANSA %</t>
  </si>
  <si>
    <t>KAMIEŃ MILOWY</t>
  </si>
  <si>
    <t>STATUS</t>
  </si>
  <si>
    <t>DATA SPRZEDAŻY</t>
  </si>
  <si>
    <t>SPRZEDANE SZTUKI</t>
  </si>
  <si>
    <t>MIEJSCOWOŚĆ</t>
  </si>
  <si>
    <t>POWÓD ODRZUCENIA</t>
  </si>
  <si>
    <t>NOTATKI</t>
  </si>
  <si>
    <t>DNI OD AKCJI</t>
  </si>
  <si>
    <t>JAKOŚĆ CRM %</t>
  </si>
  <si>
    <t>SYGNAŁ OS</t>
  </si>
  <si>
    <t>MAIL</t>
  </si>
  <si>
    <t>follow up</t>
  </si>
  <si>
    <t>FACEBOOK</t>
  </si>
  <si>
    <t>zamówienie</t>
  </si>
  <si>
    <t>WYGRANA</t>
  </si>
  <si>
    <t>Borzechów</t>
  </si>
  <si>
    <t xml:space="preserve">instagram pejtiiii </t>
  </si>
  <si>
    <t>INSTAGRAM</t>
  </si>
  <si>
    <t>PRZEGRANA</t>
  </si>
  <si>
    <t>Stara Niedziałka 05-300</t>
  </si>
  <si>
    <t>nie odpowiada</t>
  </si>
  <si>
    <t>Lubiszew Tczewski</t>
  </si>
  <si>
    <t>Tarchały Wielkie</t>
  </si>
  <si>
    <t>Łososina Dolna</t>
  </si>
  <si>
    <t>Tarnowo podgórne</t>
  </si>
  <si>
    <t>Nowe Rybie</t>
  </si>
  <si>
    <t>oferta</t>
  </si>
  <si>
    <t>Bielsko Biała</t>
  </si>
  <si>
    <t xml:space="preserve">salon </t>
  </si>
  <si>
    <t>FORMULARZ</t>
  </si>
  <si>
    <t>wstępne rozmowy</t>
  </si>
  <si>
    <t>realizacja</t>
  </si>
  <si>
    <t>Krakó</t>
  </si>
  <si>
    <t>Głodowo</t>
  </si>
  <si>
    <t>wysoka cena</t>
  </si>
  <si>
    <t xml:space="preserve">Józef Żurek </t>
  </si>
  <si>
    <t>Podłęże</t>
  </si>
  <si>
    <t>Rzeszów</t>
  </si>
  <si>
    <t>czekamy na miejscowosc</t>
  </si>
  <si>
    <t>widełki cenowe</t>
  </si>
  <si>
    <t>bedzie zamawiac, czekaja na wylewki</t>
  </si>
  <si>
    <t>decyzja na tak</t>
  </si>
  <si>
    <t>Grabowo 07-415</t>
  </si>
  <si>
    <t>Konstancin Jeziorna</t>
  </si>
  <si>
    <t xml:space="preserve">Holandia </t>
  </si>
  <si>
    <t xml:space="preserve">Częstochowa </t>
  </si>
  <si>
    <t>WIZYTA OSOBISTA</t>
  </si>
  <si>
    <t xml:space="preserve">Bielsko - Biała </t>
  </si>
  <si>
    <t>Pruszków</t>
  </si>
  <si>
    <t>Zakliczyn kolo Myslenic</t>
  </si>
  <si>
    <t>dostawa</t>
  </si>
  <si>
    <t>Tczew</t>
  </si>
  <si>
    <t>Jakubowice Koninskie</t>
  </si>
  <si>
    <t>Lubiszewo Tczewskie</t>
  </si>
  <si>
    <t>kupiła baranskiego</t>
  </si>
  <si>
    <t>Wyszków</t>
  </si>
  <si>
    <t>budzet 17 000 zł, wysłana wersja ekonomiczna</t>
  </si>
  <si>
    <t>Krosno</t>
  </si>
  <si>
    <t xml:space="preserve">będzie zamawiał czeka na wylewki </t>
  </si>
  <si>
    <t>POznan</t>
  </si>
  <si>
    <t>Grywałd</t>
  </si>
  <si>
    <t>Paulina Szczerba</t>
  </si>
  <si>
    <t>tarnów</t>
  </si>
  <si>
    <t>Żabia Wola</t>
  </si>
  <si>
    <t>Mogilany</t>
  </si>
  <si>
    <t>Łódź</t>
  </si>
  <si>
    <t xml:space="preserve">Nowy Sącz </t>
  </si>
  <si>
    <t xml:space="preserve">Zakliczyn </t>
  </si>
  <si>
    <t>Kodrań</t>
  </si>
  <si>
    <t>05-240 Dzięcioły</t>
  </si>
  <si>
    <t>Międzyrzecze</t>
  </si>
  <si>
    <t xml:space="preserve">był u nas, mają przysłać </t>
  </si>
  <si>
    <t xml:space="preserve">Magdalena Mróz </t>
  </si>
  <si>
    <t xml:space="preserve">bochnia </t>
  </si>
  <si>
    <t>czekaja na inne oferty ale nasza najbardziej odpowiada</t>
  </si>
  <si>
    <t>Pszczyna</t>
  </si>
  <si>
    <t>Maszyce</t>
  </si>
  <si>
    <t>62-052 Chomęcice</t>
  </si>
  <si>
    <t>KRZESZOWICE 32-067</t>
  </si>
  <si>
    <t xml:space="preserve">Ujście solne </t>
  </si>
  <si>
    <t>Bedzino</t>
  </si>
  <si>
    <t>Lachowice</t>
  </si>
  <si>
    <t>wybrał inna firmę</t>
  </si>
  <si>
    <t>Głogoczów</t>
  </si>
  <si>
    <t>milenakleczkowska@wp.pl</t>
  </si>
  <si>
    <t>Ostrołęka</t>
  </si>
  <si>
    <t>Grudzien 2026 drzwi</t>
  </si>
  <si>
    <t>Wysowa Zdrój</t>
  </si>
  <si>
    <t xml:space="preserve">Zamość </t>
  </si>
  <si>
    <t>Chynów</t>
  </si>
  <si>
    <t>Trzaskowo</t>
  </si>
  <si>
    <t>Słupnica</t>
  </si>
  <si>
    <t>wybrany inny materiał</t>
  </si>
  <si>
    <t>Świerszczów gmina Cyców</t>
  </si>
  <si>
    <t>Piotrkó Tryb</t>
  </si>
  <si>
    <t>Włochy</t>
  </si>
  <si>
    <t>Limanowa</t>
  </si>
  <si>
    <t>szwecja</t>
  </si>
  <si>
    <t xml:space="preserve">Salon bochnia </t>
  </si>
  <si>
    <t>Bochnia</t>
  </si>
  <si>
    <t>Wadowice</t>
  </si>
  <si>
    <t>Binczarowa</t>
  </si>
  <si>
    <t>salon tarnów</t>
  </si>
  <si>
    <t>Tarnów</t>
  </si>
  <si>
    <t>SANOK</t>
  </si>
  <si>
    <t>Piaseczno</t>
  </si>
  <si>
    <t xml:space="preserve">Kielce </t>
  </si>
  <si>
    <t>odezwał się po 2 latach</t>
  </si>
  <si>
    <t>obok Hamilton</t>
  </si>
  <si>
    <t xml:space="preserve">Wrocław </t>
  </si>
  <si>
    <t>wólka kosowska</t>
  </si>
  <si>
    <t>Rybnik</t>
  </si>
  <si>
    <t>czekamy na dodatkowe info</t>
  </si>
  <si>
    <t>Gwoździec</t>
  </si>
  <si>
    <t>Koczargi Stare</t>
  </si>
  <si>
    <t>504 282 887 maz</t>
  </si>
  <si>
    <t>Kalisz</t>
  </si>
  <si>
    <t>Ośno Lubuskie</t>
  </si>
  <si>
    <t>Wielka Brytania</t>
  </si>
  <si>
    <t>Strzelce Krajeńskie</t>
  </si>
  <si>
    <t>Nowy Julianów</t>
  </si>
  <si>
    <t>Budy Wolskie</t>
  </si>
  <si>
    <t xml:space="preserve">Kacwin </t>
  </si>
  <si>
    <t>Oguz</t>
  </si>
  <si>
    <t xml:space="preserve">poznań </t>
  </si>
  <si>
    <t xml:space="preserve">Chmielnik </t>
  </si>
  <si>
    <t>Ropczyce</t>
  </si>
  <si>
    <t>pivot</t>
  </si>
  <si>
    <t>złotnik, drzwi do pracowni</t>
  </si>
  <si>
    <t>Lubin</t>
  </si>
  <si>
    <t>Przemysl</t>
  </si>
  <si>
    <t>Warszawa</t>
  </si>
  <si>
    <t>Jaworzno</t>
  </si>
  <si>
    <t>97-215 Inowłódz</t>
  </si>
  <si>
    <t xml:space="preserve">Kraków </t>
  </si>
  <si>
    <t>za drogo, oferujemy tansze</t>
  </si>
  <si>
    <t>Cieszyn</t>
  </si>
  <si>
    <t>koniusza</t>
  </si>
  <si>
    <t>Nieczajna Górna</t>
  </si>
  <si>
    <t>Gorlice</t>
  </si>
  <si>
    <t>Działoszyce</t>
  </si>
  <si>
    <t>Poznań</t>
  </si>
  <si>
    <t xml:space="preserve">Legnica </t>
  </si>
  <si>
    <t>Młodów</t>
  </si>
  <si>
    <t>onstancin Jeziorna</t>
  </si>
  <si>
    <t>Boleścin</t>
  </si>
  <si>
    <t>Komorowie pod Warszawą</t>
  </si>
  <si>
    <t>Nadarzyn</t>
  </si>
  <si>
    <t>Foleher</t>
  </si>
  <si>
    <t>łódź</t>
  </si>
  <si>
    <t>francja</t>
  </si>
  <si>
    <t xml:space="preserve">Poznań </t>
  </si>
  <si>
    <t xml:space="preserve">Tymbark </t>
  </si>
  <si>
    <t>Koźmice Wielkie</t>
  </si>
  <si>
    <t>Nowy Sącz</t>
  </si>
  <si>
    <t>Żółwin</t>
  </si>
  <si>
    <t>Płock</t>
  </si>
  <si>
    <t>Łukowica</t>
  </si>
  <si>
    <t>Nowy Targ</t>
  </si>
  <si>
    <t>Garliczka</t>
  </si>
  <si>
    <t>rysunek 165/230x215</t>
  </si>
  <si>
    <t>klient na oścież</t>
  </si>
  <si>
    <t>Kraków</t>
  </si>
  <si>
    <t>Lesznowola</t>
  </si>
  <si>
    <t>Ilona Paśnik-Bujacz</t>
  </si>
  <si>
    <t>Marek-Witek-JEŻEOWSKI</t>
  </si>
  <si>
    <t xml:space="preserve">MAIL </t>
  </si>
  <si>
    <t>Sułkowice</t>
  </si>
  <si>
    <t>07-217 Drwały</t>
  </si>
  <si>
    <t>Likus</t>
  </si>
  <si>
    <t>Rybna 32-061</t>
  </si>
  <si>
    <t>wysłany przekrój</t>
  </si>
  <si>
    <t>Belgia</t>
  </si>
  <si>
    <t xml:space="preserve">Łukowica </t>
  </si>
  <si>
    <t>Kamionka Mała</t>
  </si>
  <si>
    <t>Szczecin</t>
  </si>
  <si>
    <t>Stare Jabłonki 14-133</t>
  </si>
  <si>
    <t xml:space="preserve">oferta </t>
  </si>
  <si>
    <t xml:space="preserve">drzwi do kościoła </t>
  </si>
  <si>
    <t>Michałowice pod Warszawą</t>
  </si>
  <si>
    <t>Chorzów</t>
  </si>
  <si>
    <t>łodz</t>
  </si>
  <si>
    <t xml:space="preserve">wyceniała w parmax </t>
  </si>
  <si>
    <t>KRAKÓW</t>
  </si>
  <si>
    <t xml:space="preserve">wstawia okna </t>
  </si>
  <si>
    <t>Jeziórko</t>
  </si>
  <si>
    <t>63-700 Krotoszyn</t>
  </si>
  <si>
    <t>wysłani do Vision Home</t>
  </si>
  <si>
    <t>Dziekanow</t>
  </si>
  <si>
    <t xml:space="preserve">LONDYN </t>
  </si>
  <si>
    <t>Dojazdów</t>
  </si>
  <si>
    <t xml:space="preserve">wymiana </t>
  </si>
  <si>
    <t>05-504 Prażmów</t>
  </si>
  <si>
    <t>Zawady</t>
  </si>
  <si>
    <t>inwestor : Sylwia Kieliszek</t>
  </si>
  <si>
    <t>inwestor : Bożena Chwiałkowska i Mariusz Chwiałkowski</t>
  </si>
  <si>
    <t>zamowili u lokalnego dostawcy</t>
  </si>
  <si>
    <t>Kępno</t>
  </si>
  <si>
    <t xml:space="preserve">Michałowice </t>
  </si>
  <si>
    <t>Kojszówka</t>
  </si>
  <si>
    <t>Żyrardów</t>
  </si>
  <si>
    <t xml:space="preserve">żyrardów </t>
  </si>
  <si>
    <t>Zielona góra</t>
  </si>
  <si>
    <t>Kościerzyna</t>
  </si>
  <si>
    <t xml:space="preserve">2 sztuki </t>
  </si>
  <si>
    <t xml:space="preserve">Szczecin </t>
  </si>
  <si>
    <t>Mińsk Maz.</t>
  </si>
  <si>
    <t>Częstochowa</t>
  </si>
  <si>
    <t xml:space="preserve">Biczyce Górne </t>
  </si>
  <si>
    <t xml:space="preserve">Złotno </t>
  </si>
  <si>
    <t>szuka  do 14 tys</t>
  </si>
  <si>
    <t>TYmowa</t>
  </si>
  <si>
    <t xml:space="preserve">Warszawa </t>
  </si>
  <si>
    <t>Lądek Zdrój</t>
  </si>
  <si>
    <t xml:space="preserve">Śląsk </t>
  </si>
  <si>
    <t>Staszkówka</t>
  </si>
  <si>
    <t>Lublin</t>
  </si>
  <si>
    <t>Bjorn van Nieuwkerk</t>
  </si>
  <si>
    <t>bjornvnieuwkerk@gmail.com</t>
  </si>
  <si>
    <t>Jarosław Malinowski</t>
  </si>
  <si>
    <t>malinowski.j72@gmail.com</t>
  </si>
  <si>
    <t>ADEZO OS | MOJE_ZADANIA_MAGDA_K</t>
  </si>
  <si>
    <t>Widok roboczy. Zadzwoń, zaktualizuj CRM_MAGDY i oznacz status zadania.</t>
  </si>
  <si>
    <t>TERMIN</t>
  </si>
  <si>
    <t>TYP ZADANIA</t>
  </si>
  <si>
    <t>PRIORYTET</t>
  </si>
  <si>
    <t>DNI PO TERMINIE</t>
  </si>
  <si>
    <t>NOTATKA MAGDY</t>
  </si>
  <si>
    <t>AKCJA</t>
  </si>
  <si>
    <t>BRAK_STATUSU</t>
  </si>
  <si>
    <t>WYSOKI</t>
  </si>
  <si>
    <t>DO ZROBIENIA</t>
  </si>
  <si>
    <t>Uzupełnij status.</t>
  </si>
  <si>
    <t>BRAK_SZANSY</t>
  </si>
  <si>
    <t>ŚREDNI</t>
  </si>
  <si>
    <t>Uzupełnij szansę sprzedaży.</t>
  </si>
  <si>
    <t>REAKTYWACJA_90D</t>
  </si>
  <si>
    <t>KRYTYCZNY</t>
  </si>
  <si>
    <t>Zimny lead — reaktywacja albo zamknięcie.</t>
  </si>
  <si>
    <t>BRAK_KWOTY</t>
  </si>
  <si>
    <t>Uzupełnij kwotę oferty.</t>
  </si>
  <si>
    <t>FOLLOW_UP_30D</t>
  </si>
  <si>
    <t>Lead zagrożony — telefon dziś.</t>
  </si>
  <si>
    <t>FOLLOW_UP_7D</t>
  </si>
  <si>
    <t>Pilny follow-up.</t>
  </si>
  <si>
    <t>BRAK_DATY_AKCJI</t>
  </si>
  <si>
    <t>Wpisz datę ostatniego kontaktu.</t>
  </si>
  <si>
    <t>Automat follow-up: FOLLOW-UP 3D</t>
  </si>
  <si>
    <t>Automat follow-up: FOLLOW-UP 7D</t>
  </si>
  <si>
    <t>Automat follow-up: FOLLOW-UP 30D</t>
  </si>
  <si>
    <t>REAKTYWACJA 90D</t>
  </si>
  <si>
    <t>Automat follow-up: REAKTYWACJA 90D</t>
  </si>
  <si>
    <t>SYSTEM_HEALTH</t>
  </si>
  <si>
    <t>RELEASE_VERSION</t>
  </si>
  <si>
    <t>ADEZO_OS_2_0_BUILD034G_CLEAN_DROPDOWN_READY</t>
  </si>
  <si>
    <t>SOURCE_BASE</t>
  </si>
  <si>
    <t>BUILD034E + dropdowny/logika z V6</t>
  </si>
  <si>
    <t>READY_FOR_OS_2_0_TRUTH_CHECK</t>
  </si>
  <si>
    <t>ADEZO OS | MOJE_ZADANIA_MAGDA_B</t>
  </si>
  <si>
    <t>FOLLOW_UP_3D</t>
  </si>
  <si>
    <t>Miękki follow-up.</t>
  </si>
  <si>
    <t>MAGDA K</t>
  </si>
  <si>
    <t>MAGDA B</t>
  </si>
  <si>
    <t>HANDLOWIEC</t>
  </si>
  <si>
    <t>SPRZEDAZ NETTO</t>
  </si>
  <si>
    <t>PREMIA %</t>
  </si>
  <si>
    <t>PREMIA PROCENTOWA</t>
  </si>
  <si>
    <t>BONUS SZTUKI</t>
  </si>
  <si>
    <t>BONUS JAKOSC CRM</t>
  </si>
  <si>
    <t>KARA FOLLOW-UP</t>
  </si>
  <si>
    <t>KARA POZARY A</t>
  </si>
  <si>
    <t>KARA POZARY B</t>
  </si>
  <si>
    <t>PREMIA RAZEM</t>
  </si>
  <si>
    <t>JAKOSC CRM %</t>
  </si>
  <si>
    <t>ZALEGLE FOLLOW-UPY</t>
  </si>
  <si>
    <t>POZARY MAGDA K</t>
  </si>
  <si>
    <t>POZARY MAGDA B</t>
  </si>
  <si>
    <t>NIE EDYTUJ — SYSTEM ADEZO OS</t>
  </si>
  <si>
    <t>NIE EDYTUJ — ZAKŁADKA SYSTEMOWA ADEZO OS 2.0</t>
  </si>
  <si>
    <t>Zakładka techniczna. Nie edytuj.</t>
  </si>
  <si>
    <t>SYNC_ID</t>
  </si>
  <si>
    <t>SYNC_DATE</t>
  </si>
  <si>
    <t>KOLUMNA_26</t>
  </si>
  <si>
    <t>CRM-00001</t>
  </si>
  <si>
    <t>CRM-00002</t>
  </si>
  <si>
    <t>0-01-2026</t>
  </si>
  <si>
    <t>CRM-00003</t>
  </si>
  <si>
    <t>CRM-00004</t>
  </si>
  <si>
    <t>CRM-00005</t>
  </si>
  <si>
    <t>CRM-00006</t>
  </si>
  <si>
    <t>CRM-00007</t>
  </si>
  <si>
    <t>CRM-00008</t>
  </si>
  <si>
    <t>CRM-00009</t>
  </si>
  <si>
    <t>CRM-00010</t>
  </si>
  <si>
    <t>CRM-00011</t>
  </si>
  <si>
    <t>CRM-00012</t>
  </si>
  <si>
    <t>CRM-00013</t>
  </si>
  <si>
    <t>CRM-00014</t>
  </si>
  <si>
    <t>CRM-00015</t>
  </si>
  <si>
    <t>CRM-00016</t>
  </si>
  <si>
    <t>CRM-00017</t>
  </si>
  <si>
    <t>CRM-00018</t>
  </si>
  <si>
    <t>CRM-00019</t>
  </si>
  <si>
    <t>CRM-00020</t>
  </si>
  <si>
    <t>CRM-00021</t>
  </si>
  <si>
    <t>CRM-00022</t>
  </si>
  <si>
    <t>CRM-00023</t>
  </si>
  <si>
    <t>CRM-00024</t>
  </si>
  <si>
    <t>CRM-00025</t>
  </si>
  <si>
    <t>CRM-00026</t>
  </si>
  <si>
    <t>CRM-00027</t>
  </si>
  <si>
    <t>CRM-00028</t>
  </si>
  <si>
    <t>CRM-00029</t>
  </si>
  <si>
    <t>CRM-00030</t>
  </si>
  <si>
    <t>CRM-00031</t>
  </si>
  <si>
    <t>CRM-00032</t>
  </si>
  <si>
    <t>CRM-00033</t>
  </si>
  <si>
    <t>CRM-00034</t>
  </si>
  <si>
    <t>CRM-00035</t>
  </si>
  <si>
    <t>CRM-00036</t>
  </si>
  <si>
    <t>CRM-00037</t>
  </si>
  <si>
    <t>CRM-00038</t>
  </si>
  <si>
    <t>CRM-00039</t>
  </si>
  <si>
    <t>CRM-00040</t>
  </si>
  <si>
    <t>CRM-00041</t>
  </si>
  <si>
    <t>CRM-00042</t>
  </si>
  <si>
    <t>CRM-00043</t>
  </si>
  <si>
    <t>CRM-00044</t>
  </si>
  <si>
    <t>CRM-00045</t>
  </si>
  <si>
    <t>CRM-00046</t>
  </si>
  <si>
    <t>CRM-00047</t>
  </si>
  <si>
    <t>CRM-00048</t>
  </si>
  <si>
    <t>CRM-00049</t>
  </si>
  <si>
    <t>CRM-00050</t>
  </si>
  <si>
    <t>CRM-00051</t>
  </si>
  <si>
    <t>05-02-0206</t>
  </si>
  <si>
    <t>CRM-00052</t>
  </si>
  <si>
    <t>CRM-00053</t>
  </si>
  <si>
    <t>CRM-00054</t>
  </si>
  <si>
    <t>CRM-00055</t>
  </si>
  <si>
    <t>CRM-00056</t>
  </si>
  <si>
    <t>CRM-00057</t>
  </si>
  <si>
    <t>CRM-00058</t>
  </si>
  <si>
    <t>CRM-00059</t>
  </si>
  <si>
    <t>CRM-00060</t>
  </si>
  <si>
    <t>CRM-00061</t>
  </si>
  <si>
    <t>CRM-00062</t>
  </si>
  <si>
    <t>CRM-00063</t>
  </si>
  <si>
    <t>CRM-00064</t>
  </si>
  <si>
    <t>CRM-00065</t>
  </si>
  <si>
    <t>CRM-00066</t>
  </si>
  <si>
    <t>CRM-00067</t>
  </si>
  <si>
    <t>CRM-00068</t>
  </si>
  <si>
    <t>CRM-00069</t>
  </si>
  <si>
    <t>CRM-00070</t>
  </si>
  <si>
    <t>CRM-00071</t>
  </si>
  <si>
    <t>CRM-00072</t>
  </si>
  <si>
    <t>CRM-00073</t>
  </si>
  <si>
    <t>CRM-00074</t>
  </si>
  <si>
    <t>CRM-00075</t>
  </si>
  <si>
    <t>CRM-00076</t>
  </si>
  <si>
    <t>CRM-00077</t>
  </si>
  <si>
    <t>CRM-00078</t>
  </si>
  <si>
    <t>CRM-00079</t>
  </si>
  <si>
    <t>CRM-00080</t>
  </si>
  <si>
    <t>CRM-00081</t>
  </si>
  <si>
    <t>CRM-00082</t>
  </si>
  <si>
    <t>CRM-00083</t>
  </si>
  <si>
    <t>CRM-00084</t>
  </si>
  <si>
    <t>CRM-00085</t>
  </si>
  <si>
    <t>CRM-00086</t>
  </si>
  <si>
    <t>CRM-00087</t>
  </si>
  <si>
    <t>CRM-00088</t>
  </si>
  <si>
    <t>CRM-00089</t>
  </si>
  <si>
    <t>CRM-00090</t>
  </si>
  <si>
    <t>CRM-00091</t>
  </si>
  <si>
    <t>CRM-00092</t>
  </si>
  <si>
    <t>CRM-00093</t>
  </si>
  <si>
    <t>CRM-00094</t>
  </si>
  <si>
    <t>CRM-00095</t>
  </si>
  <si>
    <t>CRM-00096</t>
  </si>
  <si>
    <t>CRM-00097</t>
  </si>
  <si>
    <t>CRM-00098</t>
  </si>
  <si>
    <t>CRM-00099</t>
  </si>
  <si>
    <t>CRM-00100</t>
  </si>
  <si>
    <t>CRM-00101</t>
  </si>
  <si>
    <t>CRM-00102</t>
  </si>
  <si>
    <t>CRM-00103</t>
  </si>
  <si>
    <t>CRM-00104</t>
  </si>
  <si>
    <t>CRM-00105</t>
  </si>
  <si>
    <t>CRM-00106</t>
  </si>
  <si>
    <t>CRM-00107</t>
  </si>
  <si>
    <t>CRM-00108</t>
  </si>
  <si>
    <t>CRM-00109</t>
  </si>
  <si>
    <t>CRM-00110</t>
  </si>
  <si>
    <t>CRM-00111</t>
  </si>
  <si>
    <t>CRM-00112</t>
  </si>
  <si>
    <t>CRM-00113</t>
  </si>
  <si>
    <t>CRM-00114</t>
  </si>
  <si>
    <t>CRM-00115</t>
  </si>
  <si>
    <t>CRM-00116</t>
  </si>
  <si>
    <t>CRM-00117</t>
  </si>
  <si>
    <t>CRM-00118</t>
  </si>
  <si>
    <t>CRM-00119</t>
  </si>
  <si>
    <t>CRM-00120</t>
  </si>
  <si>
    <t>CRM-00121</t>
  </si>
  <si>
    <t>CRM-00122</t>
  </si>
  <si>
    <t>CRM-00123</t>
  </si>
  <si>
    <t>CRM-00124</t>
  </si>
  <si>
    <t>CRM-00125</t>
  </si>
  <si>
    <t>CRM-00126</t>
  </si>
  <si>
    <t>CRM-00127</t>
  </si>
  <si>
    <t>CRM-00128</t>
  </si>
  <si>
    <t>CRM-00129</t>
  </si>
  <si>
    <t>CRM-00130</t>
  </si>
  <si>
    <t>CRM-00131</t>
  </si>
  <si>
    <t>CRM-00132</t>
  </si>
  <si>
    <t>CRM-00133</t>
  </si>
  <si>
    <t>CRM-00134</t>
  </si>
  <si>
    <t>CRM-00135</t>
  </si>
  <si>
    <t>08-04-0206</t>
  </si>
  <si>
    <t>CRM-00136</t>
  </si>
  <si>
    <t>CRM-00137</t>
  </si>
  <si>
    <t>CRM-00138</t>
  </si>
  <si>
    <t>CRM-00139</t>
  </si>
  <si>
    <t>CRM-00140</t>
  </si>
  <si>
    <t>CRM-00141</t>
  </si>
  <si>
    <t>CRM-00142</t>
  </si>
  <si>
    <t>CRM-00143</t>
  </si>
  <si>
    <t>CRM-00144</t>
  </si>
  <si>
    <t>CRM-00145</t>
  </si>
  <si>
    <t>CRM-00146</t>
  </si>
  <si>
    <t>CRM-00147</t>
  </si>
  <si>
    <t>CRM-00148</t>
  </si>
  <si>
    <t>CRM-00149</t>
  </si>
  <si>
    <t>CRM-00150</t>
  </si>
  <si>
    <t>CRM-00151</t>
  </si>
  <si>
    <t>CRM-00152</t>
  </si>
  <si>
    <t>CRM-00153</t>
  </si>
  <si>
    <t>CRM-00154</t>
  </si>
  <si>
    <t>CRM-00155</t>
  </si>
  <si>
    <t>CRM-00156</t>
  </si>
  <si>
    <t>CRM-00157</t>
  </si>
  <si>
    <t>CRM-00158</t>
  </si>
  <si>
    <t>CRM-00159</t>
  </si>
  <si>
    <t>CRM-00160</t>
  </si>
  <si>
    <t>CRM-00161</t>
  </si>
  <si>
    <t>CRM-00162</t>
  </si>
  <si>
    <t>CRM-00163</t>
  </si>
  <si>
    <t>CRM-00164</t>
  </si>
  <si>
    <t>CRM-00165</t>
  </si>
  <si>
    <t>CRM-00166</t>
  </si>
  <si>
    <t>CRM-00167</t>
  </si>
  <si>
    <t>CRM-00168</t>
  </si>
  <si>
    <t>CRM-00169</t>
  </si>
  <si>
    <t>CRM-00170</t>
  </si>
  <si>
    <t>CRM-00171</t>
  </si>
  <si>
    <t>CRM-00172</t>
  </si>
  <si>
    <t>CRM-00173</t>
  </si>
  <si>
    <t>CRM-00174</t>
  </si>
  <si>
    <t>CRM-00175</t>
  </si>
  <si>
    <t>CRM-00176</t>
  </si>
  <si>
    <t>CRM-00177</t>
  </si>
  <si>
    <t>CRM-00178</t>
  </si>
  <si>
    <t>CRM-00179</t>
  </si>
  <si>
    <t>CRM-00180</t>
  </si>
  <si>
    <t>CRM-00181</t>
  </si>
  <si>
    <t>CRM-00182</t>
  </si>
  <si>
    <t>CRM-00183</t>
  </si>
  <si>
    <t>CRM-00184</t>
  </si>
  <si>
    <t>CRM-00185</t>
  </si>
  <si>
    <t>CRM-00186</t>
  </si>
  <si>
    <t>CRM-00187</t>
  </si>
  <si>
    <t>CRM-00188</t>
  </si>
  <si>
    <t>CRM-00189</t>
  </si>
  <si>
    <t>CRM-00190</t>
  </si>
  <si>
    <t>CRM-00191</t>
  </si>
  <si>
    <t>CRM-00192</t>
  </si>
  <si>
    <t>CRM-00193</t>
  </si>
  <si>
    <t>CRM-00194</t>
  </si>
  <si>
    <t>CRM-00195</t>
  </si>
  <si>
    <t>CRM-00196</t>
  </si>
  <si>
    <t>CRM-00197</t>
  </si>
  <si>
    <t>CRM-00198</t>
  </si>
  <si>
    <t>CRM-00199</t>
  </si>
  <si>
    <t>CRM-00200</t>
  </si>
  <si>
    <t>CRM-00201</t>
  </si>
  <si>
    <t>CRM-00202</t>
  </si>
  <si>
    <t>CRM-00203</t>
  </si>
  <si>
    <t>CRM-00204</t>
  </si>
  <si>
    <t>CRM-00205</t>
  </si>
  <si>
    <t>CRM-00206</t>
  </si>
  <si>
    <t>CRM-00207</t>
  </si>
  <si>
    <t>CRM-00208</t>
  </si>
  <si>
    <t>CRM-00209</t>
  </si>
  <si>
    <t>CRM-00210</t>
  </si>
  <si>
    <t>CRM-00211</t>
  </si>
  <si>
    <t>CRM-00212</t>
  </si>
  <si>
    <t>CRM-00213</t>
  </si>
  <si>
    <t>CRM-00214</t>
  </si>
  <si>
    <t>CRM-00215</t>
  </si>
  <si>
    <t>CRM-00216</t>
  </si>
  <si>
    <t>CRM-00217</t>
  </si>
  <si>
    <t>CRM-00218</t>
  </si>
  <si>
    <t>CRM-00219</t>
  </si>
  <si>
    <t>CRM-00220</t>
  </si>
  <si>
    <t>CRM-00221</t>
  </si>
  <si>
    <t>CRM-00222</t>
  </si>
  <si>
    <t>CRM-00223</t>
  </si>
  <si>
    <t>CRM-00224</t>
  </si>
  <si>
    <t>CRM-00225</t>
  </si>
  <si>
    <t>CRM-00226</t>
  </si>
  <si>
    <t>CRM-00227</t>
  </si>
  <si>
    <t>CRM-00228</t>
  </si>
  <si>
    <t>CRM-00229</t>
  </si>
  <si>
    <t>CRM-00230</t>
  </si>
  <si>
    <t>CRM-00231</t>
  </si>
  <si>
    <t>CRM-00232</t>
  </si>
  <si>
    <t>CRM-00233</t>
  </si>
  <si>
    <t>CRM-00234</t>
  </si>
  <si>
    <t>CRM-00235</t>
  </si>
  <si>
    <t>CRM-00236</t>
  </si>
  <si>
    <t>CRM-00237</t>
  </si>
  <si>
    <t>CRM-00238</t>
  </si>
  <si>
    <t>CRM-00239</t>
  </si>
  <si>
    <t>CRM-00240</t>
  </si>
  <si>
    <t>CRM-00241</t>
  </si>
  <si>
    <t>CRM-00242</t>
  </si>
  <si>
    <t>CRM-00243</t>
  </si>
  <si>
    <t>CRM-00244</t>
  </si>
  <si>
    <t>CRM-00245</t>
  </si>
  <si>
    <t>CRM-00246</t>
  </si>
  <si>
    <t>CRM-00247</t>
  </si>
  <si>
    <t>CRM-00248</t>
  </si>
  <si>
    <t>CRM-00249</t>
  </si>
  <si>
    <t>CRM-00250</t>
  </si>
  <si>
    <t>CRM-00251</t>
  </si>
  <si>
    <t>CRM-00252</t>
  </si>
  <si>
    <t>CRM-00253</t>
  </si>
  <si>
    <t>CRM-00254</t>
  </si>
  <si>
    <t>CRM-00255</t>
  </si>
  <si>
    <t>CRM-00256</t>
  </si>
  <si>
    <t>CRM-00257</t>
  </si>
  <si>
    <t>CRM-00258</t>
  </si>
  <si>
    <t>CRM-00259</t>
  </si>
  <si>
    <t>CRM-00260</t>
  </si>
  <si>
    <t>CRM-00261</t>
  </si>
  <si>
    <t>CRM-00262</t>
  </si>
  <si>
    <t>CRM-00263</t>
  </si>
  <si>
    <t>CRM-00264</t>
  </si>
  <si>
    <t>CRM-00265</t>
  </si>
  <si>
    <t>CRM-00266</t>
  </si>
  <si>
    <t>CRM-00267</t>
  </si>
  <si>
    <t>CRM-00268</t>
  </si>
  <si>
    <t>CRM-00269</t>
  </si>
  <si>
    <t>CRM-00270</t>
  </si>
  <si>
    <t>CRM-00271</t>
  </si>
  <si>
    <t>CRM-00272</t>
  </si>
  <si>
    <t>CRM-00273</t>
  </si>
  <si>
    <t>CRM-00274</t>
  </si>
  <si>
    <t>CRM-00275</t>
  </si>
  <si>
    <t>CRM-00276</t>
  </si>
  <si>
    <t>CRM-00277</t>
  </si>
  <si>
    <t>CRM-00278</t>
  </si>
  <si>
    <t>CRM-00279</t>
  </si>
  <si>
    <t>CRM-00280</t>
  </si>
  <si>
    <t>CRM-00281</t>
  </si>
  <si>
    <t>CRM-00282</t>
  </si>
  <si>
    <t>CRM-00283</t>
  </si>
  <si>
    <t>CRM-00284</t>
  </si>
  <si>
    <t>CRM-00285</t>
  </si>
  <si>
    <t>CRM-00286</t>
  </si>
  <si>
    <t>CRM-00287</t>
  </si>
  <si>
    <t>CRM-00288</t>
  </si>
  <si>
    <t>CRM-00289</t>
  </si>
  <si>
    <t>CRM-00290</t>
  </si>
  <si>
    <t>CRM-00291</t>
  </si>
  <si>
    <t>CRM-00292</t>
  </si>
  <si>
    <t>CRM-00293</t>
  </si>
  <si>
    <t>CRM-00294</t>
  </si>
  <si>
    <t>CRM-00295</t>
  </si>
  <si>
    <t>CRM-00296</t>
  </si>
  <si>
    <t>CRM-00297</t>
  </si>
  <si>
    <t>CRM-00298</t>
  </si>
  <si>
    <t>CRM-00299</t>
  </si>
  <si>
    <t>CRM-00300</t>
  </si>
  <si>
    <t>CRM-00301</t>
  </si>
  <si>
    <t>CRM-00302</t>
  </si>
  <si>
    <t>CRM-00303</t>
  </si>
  <si>
    <t>CRM-00304</t>
  </si>
  <si>
    <t>CRM-00305</t>
  </si>
  <si>
    <t>CRM-00306</t>
  </si>
  <si>
    <t>CRM-00307</t>
  </si>
  <si>
    <t>CRM-00308</t>
  </si>
  <si>
    <t>CRM-00309</t>
  </si>
  <si>
    <t>CRM-00310</t>
  </si>
  <si>
    <t>CRM-00311</t>
  </si>
  <si>
    <t>CRM-00312</t>
  </si>
  <si>
    <t>CRM-00313</t>
  </si>
  <si>
    <t>CRM-00314</t>
  </si>
  <si>
    <t>CRM-00315</t>
  </si>
  <si>
    <t>CRM-00316</t>
  </si>
  <si>
    <t>CRM-00317</t>
  </si>
  <si>
    <t>CRM-00318</t>
  </si>
  <si>
    <t>CRM-00319</t>
  </si>
  <si>
    <t>CRM-00320</t>
  </si>
  <si>
    <t>CRM-00321</t>
  </si>
  <si>
    <t>CRM-00322</t>
  </si>
  <si>
    <t>CRM-00323</t>
  </si>
  <si>
    <t>CRM-00324</t>
  </si>
  <si>
    <t>CRM-00325</t>
  </si>
  <si>
    <t>CRM-00326</t>
  </si>
  <si>
    <t>CRM-00327</t>
  </si>
  <si>
    <t>CRM-00328</t>
  </si>
  <si>
    <t>CRM-00329</t>
  </si>
  <si>
    <t>CRM-00330</t>
  </si>
  <si>
    <t>CRM-00331</t>
  </si>
  <si>
    <t>CRM-00332</t>
  </si>
  <si>
    <t>CRM-00333</t>
  </si>
  <si>
    <t>CRM-00334</t>
  </si>
  <si>
    <t>CRM-00335</t>
  </si>
  <si>
    <t>CRM-00336</t>
  </si>
  <si>
    <t>CRM-00337</t>
  </si>
  <si>
    <t>CRM-00338</t>
  </si>
  <si>
    <t>CRM-00339</t>
  </si>
  <si>
    <t>CRM-00340</t>
  </si>
  <si>
    <t>CRM-00341</t>
  </si>
  <si>
    <t>CRM-00342</t>
  </si>
  <si>
    <t>CRM-00343</t>
  </si>
  <si>
    <t>CRM-00344</t>
  </si>
  <si>
    <t>CRM-00345</t>
  </si>
  <si>
    <t>CRM-00346</t>
  </si>
  <si>
    <t>CRM-00347</t>
  </si>
  <si>
    <t>CRM-00348</t>
  </si>
  <si>
    <t>CRM-00349</t>
  </si>
  <si>
    <t>CRM-00350</t>
  </si>
  <si>
    <t>CRM-00351</t>
  </si>
  <si>
    <t>CRM-00352</t>
  </si>
  <si>
    <t>CRM-00353</t>
  </si>
  <si>
    <t>CRM-00354</t>
  </si>
  <si>
    <t>CRM-00355</t>
  </si>
  <si>
    <t>CRM-00356</t>
  </si>
  <si>
    <t>CRM-00357</t>
  </si>
  <si>
    <t>CRM-00358</t>
  </si>
  <si>
    <t>CRM-00359</t>
  </si>
  <si>
    <t>CRM-00360</t>
  </si>
  <si>
    <t>CRM-00361</t>
  </si>
  <si>
    <t>CRM-00362</t>
  </si>
  <si>
    <t>CRM-00363</t>
  </si>
  <si>
    <t>CRM-00364</t>
  </si>
  <si>
    <t>CRM-00365</t>
  </si>
  <si>
    <t>CRM-00366</t>
  </si>
  <si>
    <t>CRM-00367</t>
  </si>
  <si>
    <t>CRM-00368</t>
  </si>
  <si>
    <t>CRM-00369</t>
  </si>
  <si>
    <t>CRM-00370</t>
  </si>
  <si>
    <t>CRM-00371</t>
  </si>
  <si>
    <t>CRM-00372</t>
  </si>
  <si>
    <t>CRM-00373</t>
  </si>
  <si>
    <t>CRM-00374</t>
  </si>
  <si>
    <t>CRM-00375</t>
  </si>
  <si>
    <t>CRM-00376</t>
  </si>
  <si>
    <t>CRM-00377</t>
  </si>
  <si>
    <t>CRM-00378</t>
  </si>
  <si>
    <t>CRM-00379</t>
  </si>
  <si>
    <t>CRM-00380</t>
  </si>
  <si>
    <t>CRM-00381</t>
  </si>
  <si>
    <t>CRM-00382</t>
  </si>
  <si>
    <t>CRM-00383</t>
  </si>
  <si>
    <t>CRM-00384</t>
  </si>
  <si>
    <t>CRM-00385</t>
  </si>
  <si>
    <t>CRM-00386</t>
  </si>
  <si>
    <t>CRM-00387</t>
  </si>
  <si>
    <t>CRM-00388</t>
  </si>
  <si>
    <t>CRM-00389</t>
  </si>
  <si>
    <t>CRM-00390</t>
  </si>
  <si>
    <t>CRM-00391</t>
  </si>
  <si>
    <t>CRM-00392</t>
  </si>
  <si>
    <t>CRM-00393</t>
  </si>
  <si>
    <t>CRM-00394</t>
  </si>
  <si>
    <t>CRM-00395</t>
  </si>
  <si>
    <t>CRM-00396</t>
  </si>
  <si>
    <t>CRM-00397</t>
  </si>
  <si>
    <t>CRM-00398</t>
  </si>
  <si>
    <t>CRM-00399</t>
  </si>
  <si>
    <t>CRM-00400</t>
  </si>
  <si>
    <t>CRM-00401</t>
  </si>
  <si>
    <t>CRM-00402</t>
  </si>
  <si>
    <t>CRM-00403</t>
  </si>
  <si>
    <t>CRM-00404</t>
  </si>
  <si>
    <t>CRM-00405</t>
  </si>
  <si>
    <t>CRM-00406</t>
  </si>
  <si>
    <t>CRM-00407</t>
  </si>
  <si>
    <t>CRM-00408</t>
  </si>
  <si>
    <t>CRM-00409</t>
  </si>
  <si>
    <t>CRM-00410</t>
  </si>
  <si>
    <t>CRM-00411</t>
  </si>
  <si>
    <t>CRM-00412</t>
  </si>
  <si>
    <t>CRM-00413</t>
  </si>
  <si>
    <t>CRM-00414</t>
  </si>
  <si>
    <t>CRM-00415</t>
  </si>
  <si>
    <t>CRM-00416</t>
  </si>
  <si>
    <t>CRM-00417</t>
  </si>
  <si>
    <t>CRM-00418</t>
  </si>
  <si>
    <t>CRM-00419</t>
  </si>
  <si>
    <t>CRM-00420</t>
  </si>
  <si>
    <t>CRM-00421</t>
  </si>
  <si>
    <t>CRM-00422</t>
  </si>
  <si>
    <t>CRM-00423</t>
  </si>
  <si>
    <t>CRM-00424</t>
  </si>
  <si>
    <t>CRM-00425</t>
  </si>
  <si>
    <t>CRM-00426</t>
  </si>
  <si>
    <t>CRM-00427</t>
  </si>
  <si>
    <t>CRM-00428</t>
  </si>
  <si>
    <t>CRM-00429</t>
  </si>
  <si>
    <t>CRM-00430</t>
  </si>
  <si>
    <t>CRM-00431</t>
  </si>
  <si>
    <t>CRM-00432</t>
  </si>
  <si>
    <t>CRM-00433</t>
  </si>
  <si>
    <t>CRM-00434</t>
  </si>
  <si>
    <t>CRM-00435</t>
  </si>
  <si>
    <t>CRM-00436</t>
  </si>
  <si>
    <t>CRM-00437</t>
  </si>
  <si>
    <t>CRM-00438</t>
  </si>
  <si>
    <t>CRM-00439</t>
  </si>
  <si>
    <t>CRM-00440</t>
  </si>
  <si>
    <t>CRM-00441</t>
  </si>
  <si>
    <t>CRM-00442</t>
  </si>
  <si>
    <t>CRM-00443</t>
  </si>
  <si>
    <t>CRM-00444</t>
  </si>
  <si>
    <t>CRM-00445</t>
  </si>
  <si>
    <t>CRM-00446</t>
  </si>
  <si>
    <t>CRM-00447</t>
  </si>
  <si>
    <t>CRM-00448</t>
  </si>
  <si>
    <t>CRM-00449</t>
  </si>
  <si>
    <t>CRM-00450</t>
  </si>
  <si>
    <t>CRM-00451</t>
  </si>
  <si>
    <t>CRM-00452</t>
  </si>
  <si>
    <t>CRM-00453</t>
  </si>
  <si>
    <t>CRM-00454</t>
  </si>
  <si>
    <t>CRM-00455</t>
  </si>
  <si>
    <t>CRM-00456</t>
  </si>
  <si>
    <t>CRM-00457</t>
  </si>
  <si>
    <t>CRM-00458</t>
  </si>
  <si>
    <t>CRM-00459</t>
  </si>
  <si>
    <t>CRM-00460</t>
  </si>
  <si>
    <t>CRM-00461</t>
  </si>
  <si>
    <t>CRM-00462</t>
  </si>
  <si>
    <t>CRM-00463</t>
  </si>
  <si>
    <t>CRM-00464</t>
  </si>
  <si>
    <t>CRM-00465</t>
  </si>
  <si>
    <t>CRM-00466</t>
  </si>
  <si>
    <t>CRM-00467</t>
  </si>
  <si>
    <t>CRM-00468</t>
  </si>
  <si>
    <t>CRM-00469</t>
  </si>
  <si>
    <t>CRM-00470</t>
  </si>
  <si>
    <t>CRM-00471</t>
  </si>
  <si>
    <t>CRM-00472</t>
  </si>
  <si>
    <t>CRM-00473</t>
  </si>
  <si>
    <t>CRM-00474</t>
  </si>
  <si>
    <t>CRM-00475</t>
  </si>
  <si>
    <t>CRM-00476</t>
  </si>
  <si>
    <t>CRM-00477</t>
  </si>
  <si>
    <t>CRM-00478</t>
  </si>
  <si>
    <t>CRM-00479</t>
  </si>
  <si>
    <t>CRM-00480</t>
  </si>
  <si>
    <t>CRM-00481</t>
  </si>
  <si>
    <t>CRM-00482</t>
  </si>
  <si>
    <t>CRM-00483</t>
  </si>
  <si>
    <t>CRM-00484</t>
  </si>
  <si>
    <t>CRM-00485</t>
  </si>
  <si>
    <t>CRM-00486</t>
  </si>
  <si>
    <t>CRM-00487</t>
  </si>
  <si>
    <t>CRM-00488</t>
  </si>
  <si>
    <t>CRM-00489</t>
  </si>
  <si>
    <t>CRM-00490</t>
  </si>
  <si>
    <t>CRM-00491</t>
  </si>
  <si>
    <t>CRM-00492</t>
  </si>
  <si>
    <t>CRM-00493</t>
  </si>
  <si>
    <t>CRM-00494</t>
  </si>
  <si>
    <t>CRM-00495</t>
  </si>
  <si>
    <t>CRM-00496</t>
  </si>
  <si>
    <t>CRM-00497</t>
  </si>
  <si>
    <t>CRM-00498</t>
  </si>
  <si>
    <t>CRM-00499</t>
  </si>
  <si>
    <t>CRM-00500</t>
  </si>
  <si>
    <t>CRM-00501</t>
  </si>
  <si>
    <t>CRM-00502</t>
  </si>
  <si>
    <t>CRM-00503</t>
  </si>
  <si>
    <t>CRM-00504</t>
  </si>
  <si>
    <t>CRM-00505</t>
  </si>
  <si>
    <t>CRM-00506</t>
  </si>
  <si>
    <t>CRM-00507</t>
  </si>
  <si>
    <t>CRM-00508</t>
  </si>
  <si>
    <t>CRM-00509</t>
  </si>
  <si>
    <t>CRM-00510</t>
  </si>
  <si>
    <t>CRM-00511</t>
  </si>
  <si>
    <t>CRM-00512</t>
  </si>
  <si>
    <t>CRM-00513</t>
  </si>
  <si>
    <t>CRM-00514</t>
  </si>
  <si>
    <t>CRM-00515</t>
  </si>
  <si>
    <t>CRM-00516</t>
  </si>
  <si>
    <t>CRM-00517</t>
  </si>
  <si>
    <t>CRM-00518</t>
  </si>
  <si>
    <t>CRM-00519</t>
  </si>
  <si>
    <t>CRM-00520</t>
  </si>
  <si>
    <t>CRM-00521</t>
  </si>
  <si>
    <t>CRM-00522</t>
  </si>
  <si>
    <t>CRM-00523</t>
  </si>
  <si>
    <t>CRM-00524</t>
  </si>
  <si>
    <t>CRM-00525</t>
  </si>
  <si>
    <t>CRM-00526</t>
  </si>
  <si>
    <t>CRM-00527</t>
  </si>
  <si>
    <t>CRM-00528</t>
  </si>
  <si>
    <t>CRM-00529</t>
  </si>
  <si>
    <t>CRM-00530</t>
  </si>
  <si>
    <t>CRM-00531</t>
  </si>
  <si>
    <t>CRM-00532</t>
  </si>
  <si>
    <t>CRM-00533</t>
  </si>
  <si>
    <t>CRM-00534</t>
  </si>
  <si>
    <t>CRM-00535</t>
  </si>
  <si>
    <t>CRM-00536</t>
  </si>
  <si>
    <t>CRM-00537</t>
  </si>
  <si>
    <t>CRM-00538</t>
  </si>
  <si>
    <t>CRM-00539</t>
  </si>
  <si>
    <t>CRM-00540</t>
  </si>
  <si>
    <t>CRM-00541</t>
  </si>
  <si>
    <t>CRM-00542</t>
  </si>
  <si>
    <t>CRM-00543</t>
  </si>
  <si>
    <t>CRM-00544</t>
  </si>
  <si>
    <t>CRM-00545</t>
  </si>
  <si>
    <t>CRM-00546</t>
  </si>
  <si>
    <t>CRM-00547</t>
  </si>
  <si>
    <t>CRM-00548</t>
  </si>
  <si>
    <t>CRM-00549</t>
  </si>
  <si>
    <t>CRM-00550</t>
  </si>
  <si>
    <t>CRM-00551</t>
  </si>
  <si>
    <t>CRM-00552</t>
  </si>
  <si>
    <t>CRM-00553</t>
  </si>
  <si>
    <t>CRM-00554</t>
  </si>
  <si>
    <t>CRM-00555</t>
  </si>
  <si>
    <t>CRM-00556</t>
  </si>
  <si>
    <t>CRM-00557</t>
  </si>
  <si>
    <t>CRM-00558</t>
  </si>
  <si>
    <t>CRM-00559</t>
  </si>
  <si>
    <t>CRM-00560</t>
  </si>
  <si>
    <t>CRM-00561</t>
  </si>
  <si>
    <t>CRM-00562</t>
  </si>
  <si>
    <t>CRM-00563</t>
  </si>
  <si>
    <t>CRM-00564</t>
  </si>
  <si>
    <t>CRM-00565</t>
  </si>
  <si>
    <t>CRM-00566</t>
  </si>
  <si>
    <t>CRM-00567</t>
  </si>
  <si>
    <t>CRM-00568</t>
  </si>
  <si>
    <t>CRM-00569</t>
  </si>
  <si>
    <t>CRM-00570</t>
  </si>
  <si>
    <t>CRM-00571</t>
  </si>
  <si>
    <t>CRM-00572</t>
  </si>
  <si>
    <t>CRM-00573</t>
  </si>
  <si>
    <t>CRM-00574</t>
  </si>
  <si>
    <t>CRM-00575</t>
  </si>
  <si>
    <t>CRM-00576</t>
  </si>
  <si>
    <t>CRM-00577</t>
  </si>
  <si>
    <t>CRM-00578</t>
  </si>
  <si>
    <t>CRM-00579</t>
  </si>
  <si>
    <t>CRM-00580</t>
  </si>
  <si>
    <t>CRM-00581</t>
  </si>
  <si>
    <t>CRM-00582</t>
  </si>
  <si>
    <t>CRM-00583</t>
  </si>
  <si>
    <t>CRM-00584</t>
  </si>
  <si>
    <t>CRM-00585</t>
  </si>
  <si>
    <t>CRM-00586</t>
  </si>
  <si>
    <t>CRM-00587</t>
  </si>
  <si>
    <t>CRM-00588</t>
  </si>
  <si>
    <t>CRM-00589</t>
  </si>
  <si>
    <t>CRM-00590</t>
  </si>
  <si>
    <t>CRM-00591</t>
  </si>
  <si>
    <t>CRM-00592</t>
  </si>
  <si>
    <t>CRM-00593</t>
  </si>
  <si>
    <t>CRM-00594</t>
  </si>
  <si>
    <t>CRM-00595</t>
  </si>
  <si>
    <t>CRM-00596</t>
  </si>
  <si>
    <t>CRM-00597</t>
  </si>
  <si>
    <t>CRM-00598</t>
  </si>
  <si>
    <t>CRM-00599</t>
  </si>
  <si>
    <t>CRM-00600</t>
  </si>
  <si>
    <t>CRM-00601</t>
  </si>
  <si>
    <t>CRM-00602</t>
  </si>
  <si>
    <t>CRM-00603</t>
  </si>
  <si>
    <t>CRM-00604</t>
  </si>
  <si>
    <t>CRM-00605</t>
  </si>
  <si>
    <t>CRM-00606</t>
  </si>
  <si>
    <t>CRM-00607</t>
  </si>
  <si>
    <t>CRM-00608</t>
  </si>
  <si>
    <t>CRM-00609</t>
  </si>
  <si>
    <t>CRM-00610</t>
  </si>
  <si>
    <t>CRM-00611</t>
  </si>
  <si>
    <t>CRM-00612</t>
  </si>
  <si>
    <t>CRM-00613</t>
  </si>
  <si>
    <t>CRM-00614</t>
  </si>
  <si>
    <t>CRM-00615</t>
  </si>
  <si>
    <t>CRM-00616</t>
  </si>
  <si>
    <t>CRM-00617</t>
  </si>
  <si>
    <t>CRM-00618</t>
  </si>
  <si>
    <t>CRM-00619</t>
  </si>
  <si>
    <t>CRM-00620</t>
  </si>
  <si>
    <t>CRM-00621</t>
  </si>
  <si>
    <t>CRM-00622</t>
  </si>
  <si>
    <t>CRM-00623</t>
  </si>
  <si>
    <t>CRM-00624</t>
  </si>
  <si>
    <t>CRM-00625</t>
  </si>
  <si>
    <t>CRM-00626</t>
  </si>
  <si>
    <t>CRM-00627</t>
  </si>
  <si>
    <t>CRM-00628</t>
  </si>
  <si>
    <t>CRM-00629</t>
  </si>
  <si>
    <t>CRM-00630</t>
  </si>
  <si>
    <t>CRM-00631</t>
  </si>
  <si>
    <t>CRM-00632</t>
  </si>
  <si>
    <t>CRM-00633</t>
  </si>
  <si>
    <t>CRM-00634</t>
  </si>
  <si>
    <t>CRM-00635</t>
  </si>
  <si>
    <t>CRM-00636</t>
  </si>
  <si>
    <t>CRM-00637</t>
  </si>
  <si>
    <t>CRM-00638</t>
  </si>
  <si>
    <t>CRM-00639</t>
  </si>
  <si>
    <t>CRM-00640</t>
  </si>
  <si>
    <t>CRM-00641</t>
  </si>
  <si>
    <t>CRM-00642</t>
  </si>
  <si>
    <t>CRM-00643</t>
  </si>
  <si>
    <t>CRM-00644</t>
  </si>
  <si>
    <t>CRM-00645</t>
  </si>
  <si>
    <t>CRM-00646</t>
  </si>
  <si>
    <t>CRM-00647</t>
  </si>
  <si>
    <t>CRM-00648</t>
  </si>
  <si>
    <t>CRM-00649</t>
  </si>
  <si>
    <t>CRM-00650</t>
  </si>
  <si>
    <t>CRM-00651</t>
  </si>
  <si>
    <t>CRM-00652</t>
  </si>
  <si>
    <t>CRM-00653</t>
  </si>
  <si>
    <t>CRM-00654</t>
  </si>
  <si>
    <t>CRM-00655</t>
  </si>
  <si>
    <t>CRM-00656</t>
  </si>
  <si>
    <t>CRM-00657</t>
  </si>
  <si>
    <t>CRM-00658</t>
  </si>
  <si>
    <t>CRM-00659</t>
  </si>
  <si>
    <t>CRM-00660</t>
  </si>
  <si>
    <t>CRM-00661</t>
  </si>
  <si>
    <t>CRM-00662</t>
  </si>
  <si>
    <t>CRM-00663</t>
  </si>
  <si>
    <t>CRM-00664</t>
  </si>
  <si>
    <t>CRM-00665</t>
  </si>
  <si>
    <t>CRM-00666</t>
  </si>
  <si>
    <t>CRM-00667</t>
  </si>
  <si>
    <t>CRM-00668</t>
  </si>
  <si>
    <t>CRM-00669</t>
  </si>
  <si>
    <t>CRM-00670</t>
  </si>
  <si>
    <t>CRM-00671</t>
  </si>
  <si>
    <t>CRM-00672</t>
  </si>
  <si>
    <t>CRM-00673</t>
  </si>
  <si>
    <t>CRM-00674</t>
  </si>
  <si>
    <t>CRM-00675</t>
  </si>
  <si>
    <t>CRM-00676</t>
  </si>
  <si>
    <t>CRM-00677</t>
  </si>
  <si>
    <t>CRM-00678</t>
  </si>
  <si>
    <t>CRM-00679</t>
  </si>
  <si>
    <t>CRM-00680</t>
  </si>
  <si>
    <t>CRM-00681</t>
  </si>
  <si>
    <t>CRM-00682</t>
  </si>
  <si>
    <t>CRM-00683</t>
  </si>
  <si>
    <t>CRM-00684</t>
  </si>
  <si>
    <t>CRM-00685</t>
  </si>
  <si>
    <t>CRM-00686</t>
  </si>
  <si>
    <t>CRM-00687</t>
  </si>
  <si>
    <t>CRM-00688</t>
  </si>
  <si>
    <t>CRM-00689</t>
  </si>
  <si>
    <t>CRM-00690</t>
  </si>
  <si>
    <t>CRM-00691</t>
  </si>
  <si>
    <t>CRM-00692</t>
  </si>
  <si>
    <t>CRM-00693</t>
  </si>
  <si>
    <t>CRM-00694</t>
  </si>
  <si>
    <t>CRM-00695</t>
  </si>
  <si>
    <t>CRM-00696</t>
  </si>
  <si>
    <t>CRM-00697</t>
  </si>
  <si>
    <t>CRM-00698</t>
  </si>
  <si>
    <t>CRM-00699</t>
  </si>
  <si>
    <t>CRM-00700</t>
  </si>
  <si>
    <t>CRM-00701</t>
  </si>
  <si>
    <t>CRM-00702</t>
  </si>
  <si>
    <t>CRM-00703</t>
  </si>
  <si>
    <t>CRM-00704</t>
  </si>
  <si>
    <t>CRM-00705</t>
  </si>
  <si>
    <t>CRM-00706</t>
  </si>
  <si>
    <t>CRM-00707</t>
  </si>
  <si>
    <t>CRM-00708</t>
  </si>
  <si>
    <t>CRM-00709</t>
  </si>
  <si>
    <t>CRM-00710</t>
  </si>
  <si>
    <t>CRM-00711</t>
  </si>
  <si>
    <t>CRM-00712</t>
  </si>
  <si>
    <t>CRM-00713</t>
  </si>
  <si>
    <t>CRM-00714</t>
  </si>
  <si>
    <t>CRM-00715</t>
  </si>
  <si>
    <t>CRM-00716</t>
  </si>
  <si>
    <t>CRM-00717</t>
  </si>
  <si>
    <t>CRM-00718</t>
  </si>
  <si>
    <t>CRM-00719</t>
  </si>
  <si>
    <t>CRM-00720</t>
  </si>
  <si>
    <t>CRM-00721</t>
  </si>
  <si>
    <t>CRM-00722</t>
  </si>
  <si>
    <t>CRM-00723</t>
  </si>
  <si>
    <t>CRM-00724</t>
  </si>
  <si>
    <t>CRM-00725</t>
  </si>
  <si>
    <t>CRM-00726</t>
  </si>
  <si>
    <t>CRM-00727</t>
  </si>
  <si>
    <t>CRM-00728</t>
  </si>
  <si>
    <t>CRM-00729</t>
  </si>
  <si>
    <t>CRM-00730</t>
  </si>
  <si>
    <t>CRM-00731</t>
  </si>
  <si>
    <t>CRM-00732</t>
  </si>
  <si>
    <t>CRM-00733</t>
  </si>
  <si>
    <t>CRM-00734</t>
  </si>
  <si>
    <t>CRM-00735</t>
  </si>
  <si>
    <t>CRM-00736</t>
  </si>
  <si>
    <t>CRM-00737</t>
  </si>
  <si>
    <t>CRM-00738</t>
  </si>
  <si>
    <t>CRM-00739</t>
  </si>
  <si>
    <t>CRM-00740</t>
  </si>
  <si>
    <t>CRM-00741</t>
  </si>
  <si>
    <t>CRM-00742</t>
  </si>
  <si>
    <t>CRM-00743</t>
  </si>
  <si>
    <t>CRM-00744</t>
  </si>
  <si>
    <t>CRM-00745</t>
  </si>
  <si>
    <t>CRM-00746</t>
  </si>
  <si>
    <t>CRM-00747</t>
  </si>
  <si>
    <t>CRM-00748</t>
  </si>
  <si>
    <t>CRM-00749</t>
  </si>
  <si>
    <t>CRM-00750</t>
  </si>
  <si>
    <t>CRM-00751</t>
  </si>
  <si>
    <t>CRM-00752</t>
  </si>
  <si>
    <t>CRM-00753</t>
  </si>
  <si>
    <t>CRM-00754</t>
  </si>
  <si>
    <t>CRM-00755</t>
  </si>
  <si>
    <t>CRM-00756</t>
  </si>
  <si>
    <t>CRM-00757</t>
  </si>
  <si>
    <t>CRM-00758</t>
  </si>
  <si>
    <t>CRM-00759</t>
  </si>
  <si>
    <t>CRM-00760</t>
  </si>
  <si>
    <t>CRM-00761</t>
  </si>
  <si>
    <t>CRM-00762</t>
  </si>
  <si>
    <t>CRM-00763</t>
  </si>
  <si>
    <t>CRM-00764</t>
  </si>
  <si>
    <t>CRM-00765</t>
  </si>
  <si>
    <t>CRM-00766</t>
  </si>
  <si>
    <t>CRM-00767</t>
  </si>
  <si>
    <t>CRM-00768</t>
  </si>
  <si>
    <t>CRM-00769</t>
  </si>
  <si>
    <t>CRM-00770</t>
  </si>
  <si>
    <t>CRM-00771</t>
  </si>
  <si>
    <t>CRM-00772</t>
  </si>
  <si>
    <t>CRM-00773</t>
  </si>
  <si>
    <t>CRM-00774</t>
  </si>
  <si>
    <t>CRM-00775</t>
  </si>
  <si>
    <t>CRM-00776</t>
  </si>
  <si>
    <t>CRM-00777</t>
  </si>
  <si>
    <t>CRM-00778</t>
  </si>
  <si>
    <t>CRM-00779</t>
  </si>
  <si>
    <t>CRM-00780</t>
  </si>
  <si>
    <t>CRM-00781</t>
  </si>
  <si>
    <t>CRM-00782</t>
  </si>
  <si>
    <t>CRM-00783</t>
  </si>
  <si>
    <t>CRM-00784</t>
  </si>
  <si>
    <t>CRM-00785</t>
  </si>
  <si>
    <t>CRM-00786</t>
  </si>
  <si>
    <t>CRM-00787</t>
  </si>
  <si>
    <t>CRM-00788</t>
  </si>
  <si>
    <t>CRM-00789</t>
  </si>
  <si>
    <t>CRM-00790</t>
  </si>
  <si>
    <t>CRM-00791</t>
  </si>
  <si>
    <t>CRM-00792</t>
  </si>
  <si>
    <t>CRM-00793</t>
  </si>
  <si>
    <t>CRM-00794</t>
  </si>
  <si>
    <t>CRM-00795</t>
  </si>
  <si>
    <t>CRM-00796</t>
  </si>
  <si>
    <t>CRM-00797</t>
  </si>
  <si>
    <t>CRM-00798</t>
  </si>
  <si>
    <t>CRM-00799</t>
  </si>
  <si>
    <t>CRM-00800</t>
  </si>
  <si>
    <t>CRM-00801</t>
  </si>
  <si>
    <t>CRM-00802</t>
  </si>
  <si>
    <t>CRM-00803</t>
  </si>
  <si>
    <t>CRM-00804</t>
  </si>
  <si>
    <t>CRM-00805</t>
  </si>
  <si>
    <t>CRM-00806</t>
  </si>
  <si>
    <t>CRM-00807</t>
  </si>
  <si>
    <t>CRM-00808</t>
  </si>
  <si>
    <t>CRM-00809</t>
  </si>
  <si>
    <t>CRM-00810</t>
  </si>
  <si>
    <t>CRM-00811</t>
  </si>
  <si>
    <t>CRM-00812</t>
  </si>
  <si>
    <t>CRM-00813</t>
  </si>
  <si>
    <t>CRM-00814</t>
  </si>
  <si>
    <t>CRM-00815</t>
  </si>
  <si>
    <t>CRM-00816</t>
  </si>
  <si>
    <t>CRM-00817</t>
  </si>
  <si>
    <t>CRM-00818</t>
  </si>
  <si>
    <t>CRM-00819</t>
  </si>
  <si>
    <t>CRM-00820</t>
  </si>
  <si>
    <t>CRM-00821</t>
  </si>
  <si>
    <t>CRM-00822</t>
  </si>
  <si>
    <t>CRM-00823</t>
  </si>
  <si>
    <t>CRM-00824</t>
  </si>
  <si>
    <t>CRM-00825</t>
  </si>
  <si>
    <t>CRM-00826</t>
  </si>
  <si>
    <t>CRM-00827</t>
  </si>
  <si>
    <t>CRM-00828</t>
  </si>
  <si>
    <t>CRM-00829</t>
  </si>
  <si>
    <t>CRM-00830</t>
  </si>
  <si>
    <t>CRM-00831</t>
  </si>
  <si>
    <t>CRM-00832</t>
  </si>
  <si>
    <t>CRM-00833</t>
  </si>
  <si>
    <t>CRM-00834</t>
  </si>
  <si>
    <t>CRM-00835</t>
  </si>
  <si>
    <t>CRM-00836</t>
  </si>
  <si>
    <t>CRM-00837</t>
  </si>
  <si>
    <t>CRM-00838</t>
  </si>
  <si>
    <t>CRM-00839</t>
  </si>
  <si>
    <t>CRM-00840</t>
  </si>
  <si>
    <t>CRM-00841</t>
  </si>
  <si>
    <t>CRM-00842</t>
  </si>
  <si>
    <t>CRM-00843</t>
  </si>
  <si>
    <t>CRM-00844</t>
  </si>
  <si>
    <t>CRM-00845</t>
  </si>
  <si>
    <t>CRM-00846</t>
  </si>
  <si>
    <t>CRM-00847</t>
  </si>
  <si>
    <t>CRM-00848</t>
  </si>
  <si>
    <t>CRM-00849</t>
  </si>
  <si>
    <t>CRM-00850</t>
  </si>
  <si>
    <t>CRM-00851</t>
  </si>
  <si>
    <t>CRM-00852</t>
  </si>
  <si>
    <t>CRM-00853</t>
  </si>
  <si>
    <t>CRM-00854</t>
  </si>
  <si>
    <t>CRM-00855</t>
  </si>
  <si>
    <t>CRM-00856</t>
  </si>
  <si>
    <t>CRM-00857</t>
  </si>
  <si>
    <t>CRM-00858</t>
  </si>
  <si>
    <t>CRM-00859</t>
  </si>
  <si>
    <t>CRM-00860</t>
  </si>
  <si>
    <t>CRM-00861</t>
  </si>
  <si>
    <t>CRM-00862</t>
  </si>
  <si>
    <t>CRM-00863</t>
  </si>
  <si>
    <t>CRM-00864</t>
  </si>
  <si>
    <t>CRM-00865</t>
  </si>
  <si>
    <t>CRM-00866</t>
  </si>
  <si>
    <t>CRM-00867</t>
  </si>
  <si>
    <t>CRM-00868</t>
  </si>
  <si>
    <t>CRM-00869</t>
  </si>
  <si>
    <t>CRM-00870</t>
  </si>
  <si>
    <t>CRM-00871</t>
  </si>
  <si>
    <t>CRM-00872</t>
  </si>
  <si>
    <t>CRM-00873</t>
  </si>
  <si>
    <t>CRM-00874</t>
  </si>
  <si>
    <t>CRM-00875</t>
  </si>
  <si>
    <t>CRM-00876</t>
  </si>
  <si>
    <t>CRM-00877</t>
  </si>
  <si>
    <t>CRM-00878</t>
  </si>
  <si>
    <t>CRM-00879</t>
  </si>
  <si>
    <t>CRM-00880</t>
  </si>
  <si>
    <t>CRM-00881</t>
  </si>
  <si>
    <t>CRM-00882</t>
  </si>
  <si>
    <t>CRM-00883</t>
  </si>
  <si>
    <t>CRM-00884</t>
  </si>
  <si>
    <t>CRM-00885</t>
  </si>
  <si>
    <t>CRM-00886</t>
  </si>
  <si>
    <t>CRM-00887</t>
  </si>
  <si>
    <t>CRM-00888</t>
  </si>
  <si>
    <t>CRM-00889</t>
  </si>
  <si>
    <t>CRM-00890</t>
  </si>
  <si>
    <t>CRM-00891</t>
  </si>
  <si>
    <t>CRM-00892</t>
  </si>
  <si>
    <t>CRM-00893</t>
  </si>
  <si>
    <t>CRM-00894</t>
  </si>
  <si>
    <t>CRM-00895</t>
  </si>
  <si>
    <t>CRM-00896</t>
  </si>
  <si>
    <t>CRM-00897</t>
  </si>
  <si>
    <t>CRM-00898</t>
  </si>
  <si>
    <t>CRM-00899</t>
  </si>
  <si>
    <t>CRM-00900</t>
  </si>
  <si>
    <t>CRM-00901</t>
  </si>
  <si>
    <t>CRM-00902</t>
  </si>
  <si>
    <t>CRM-00903</t>
  </si>
  <si>
    <t>CRM-00904</t>
  </si>
  <si>
    <t>CRM-00905</t>
  </si>
  <si>
    <t>CRM-00906</t>
  </si>
  <si>
    <t>CRM-00907</t>
  </si>
  <si>
    <t>CRM-00908</t>
  </si>
  <si>
    <t>CRM-00909</t>
  </si>
  <si>
    <t>CRM-00910</t>
  </si>
  <si>
    <t>CRM-00911</t>
  </si>
  <si>
    <t>CRM-00912</t>
  </si>
  <si>
    <t>CRM-00913</t>
  </si>
  <si>
    <t>CRM-00914</t>
  </si>
  <si>
    <t>CRM-00915</t>
  </si>
  <si>
    <t>CRM-00916</t>
  </si>
  <si>
    <t>CRM-00917</t>
  </si>
  <si>
    <t>CRM-00918</t>
  </si>
  <si>
    <t>CRM-00919</t>
  </si>
  <si>
    <t>CRM-00920</t>
  </si>
  <si>
    <t>CRM-00921</t>
  </si>
  <si>
    <t>CRM-00922</t>
  </si>
  <si>
    <t>CRM-00923</t>
  </si>
  <si>
    <t>CRM-00924</t>
  </si>
  <si>
    <t>CRM-00925</t>
  </si>
  <si>
    <t>CRM-00926</t>
  </si>
  <si>
    <t>CRM-00927</t>
  </si>
  <si>
    <t>CRM-00928</t>
  </si>
  <si>
    <t>CRM-00929</t>
  </si>
  <si>
    <t>CRM-00930</t>
  </si>
  <si>
    <t>CRM-00931</t>
  </si>
  <si>
    <t>CRM-00932</t>
  </si>
  <si>
    <t>CRM-00933</t>
  </si>
  <si>
    <t>CRM-00934</t>
  </si>
  <si>
    <t>CRM-00935</t>
  </si>
  <si>
    <t>CRM-00936</t>
  </si>
  <si>
    <t>CRM-00937</t>
  </si>
  <si>
    <t>CRM-00938</t>
  </si>
  <si>
    <t>CRM-00939</t>
  </si>
  <si>
    <t>CRM-00940</t>
  </si>
  <si>
    <t>CRM-00941</t>
  </si>
  <si>
    <t>CRM-00942</t>
  </si>
  <si>
    <t>CRM-00943</t>
  </si>
  <si>
    <t>CRM-00944</t>
  </si>
  <si>
    <t>CRM-00945</t>
  </si>
  <si>
    <t>CRM-00946</t>
  </si>
  <si>
    <t>CRM-00947</t>
  </si>
  <si>
    <t>CRM-00948</t>
  </si>
  <si>
    <t>CRM-00949</t>
  </si>
  <si>
    <t>CRM-00950</t>
  </si>
  <si>
    <t>CRM-00951</t>
  </si>
  <si>
    <t>CRM-00952</t>
  </si>
  <si>
    <t>CRM-00953</t>
  </si>
  <si>
    <t>CRM-00954</t>
  </si>
  <si>
    <t>CRM-00955</t>
  </si>
  <si>
    <t>CRM-00956</t>
  </si>
  <si>
    <t>CRM-00957</t>
  </si>
  <si>
    <t>CRM-00958</t>
  </si>
  <si>
    <t>CRM-00959</t>
  </si>
  <si>
    <t>CRM-00960</t>
  </si>
  <si>
    <t>CRM-00961</t>
  </si>
  <si>
    <t>CRM-00962</t>
  </si>
  <si>
    <t>CRM-00963</t>
  </si>
  <si>
    <t>CRM-00964</t>
  </si>
  <si>
    <t>CRM-00965</t>
  </si>
  <si>
    <t>CRM-00966</t>
  </si>
  <si>
    <t>CRM-00967</t>
  </si>
  <si>
    <t>CRM-00968</t>
  </si>
  <si>
    <t>CRM-00969</t>
  </si>
  <si>
    <t>CRM-00970</t>
  </si>
  <si>
    <t>CRM-00971</t>
  </si>
  <si>
    <t>CRM-00972</t>
  </si>
  <si>
    <t>CRM-00973</t>
  </si>
  <si>
    <t>CRM-00974</t>
  </si>
  <si>
    <t>CRM-00975</t>
  </si>
  <si>
    <t>CRM-00976</t>
  </si>
  <si>
    <t>CRM-00977</t>
  </si>
  <si>
    <t>CRM-00978</t>
  </si>
  <si>
    <t>CRM-00979</t>
  </si>
  <si>
    <t>CRM-00980</t>
  </si>
  <si>
    <t>CRM-00981</t>
  </si>
  <si>
    <t>CRM-00982</t>
  </si>
  <si>
    <t>CRM-00983</t>
  </si>
  <si>
    <t>CRM-00984</t>
  </si>
  <si>
    <t>CRM-00985</t>
  </si>
  <si>
    <t>CRM-00986</t>
  </si>
  <si>
    <t>CRM-00987</t>
  </si>
  <si>
    <t>CRM-00988</t>
  </si>
  <si>
    <t>CRM-00989</t>
  </si>
  <si>
    <t>CRM-00990</t>
  </si>
  <si>
    <t>CRM-00991</t>
  </si>
  <si>
    <t>CRM-00992</t>
  </si>
  <si>
    <t>CRM-00993</t>
  </si>
  <si>
    <t>CRM-00994</t>
  </si>
  <si>
    <t>CRM-00995</t>
  </si>
  <si>
    <t>CRM-00996</t>
  </si>
  <si>
    <t>CRM-00997</t>
  </si>
  <si>
    <t>CRM-00998</t>
  </si>
  <si>
    <t>CRM-00999</t>
  </si>
  <si>
    <t>CRM-01000</t>
  </si>
  <si>
    <t>CRM-01001</t>
  </si>
  <si>
    <t>CRM-01002</t>
  </si>
  <si>
    <t>CRM-01003</t>
  </si>
  <si>
    <t>CRM-01004</t>
  </si>
  <si>
    <t>CRM-01005</t>
  </si>
  <si>
    <t>CRM-01006</t>
  </si>
  <si>
    <t>CRM-01007</t>
  </si>
  <si>
    <t>CRM-01008</t>
  </si>
  <si>
    <t>CRM-01009</t>
  </si>
  <si>
    <t>CRM-01010</t>
  </si>
  <si>
    <t>CRM-01011</t>
  </si>
  <si>
    <t>CRM-01012</t>
  </si>
  <si>
    <t>CRM-01013</t>
  </si>
  <si>
    <t>CRM-01014</t>
  </si>
  <si>
    <t>CRM-01015</t>
  </si>
  <si>
    <t>CRM-01016</t>
  </si>
  <si>
    <t>CRM-01017</t>
  </si>
  <si>
    <t>CRM-01018</t>
  </si>
  <si>
    <t>CRM-01019</t>
  </si>
  <si>
    <t>CRM-01020</t>
  </si>
  <si>
    <t>CRM-01021</t>
  </si>
  <si>
    <t>CRM-01022</t>
  </si>
  <si>
    <t>CRM-01023</t>
  </si>
  <si>
    <t>CRM-01024</t>
  </si>
  <si>
    <t>CRM-01025</t>
  </si>
  <si>
    <t>CRM-01026</t>
  </si>
  <si>
    <t>CRM-01027</t>
  </si>
  <si>
    <t>CRM-01028</t>
  </si>
  <si>
    <t>CRM-01029</t>
  </si>
  <si>
    <t>CRM-01030</t>
  </si>
  <si>
    <t>CRM-01031</t>
  </si>
  <si>
    <t>CRM-01032</t>
  </si>
  <si>
    <t>CRM-01033</t>
  </si>
  <si>
    <t>CRM-01034</t>
  </si>
  <si>
    <t>CRM-01035</t>
  </si>
  <si>
    <t>CRM-01036</t>
  </si>
  <si>
    <t>CRM-01037</t>
  </si>
  <si>
    <t>CRM-01038</t>
  </si>
  <si>
    <t>CRM-01039</t>
  </si>
  <si>
    <t>CRM-01040</t>
  </si>
  <si>
    <t>CRM-01041</t>
  </si>
  <si>
    <t>CRM-01042</t>
  </si>
  <si>
    <t>CRM-01043</t>
  </si>
  <si>
    <t>CRM-01044</t>
  </si>
  <si>
    <t>CRM-01045</t>
  </si>
  <si>
    <t>CRM-01046</t>
  </si>
  <si>
    <t>CRM-01047</t>
  </si>
  <si>
    <t>CRM-01048</t>
  </si>
  <si>
    <t>CRM-01049</t>
  </si>
  <si>
    <t>CRM-01050</t>
  </si>
  <si>
    <t>CRM-01051</t>
  </si>
  <si>
    <t>CRM-01052</t>
  </si>
  <si>
    <t>CRM-01053</t>
  </si>
  <si>
    <t>CRM-01054</t>
  </si>
  <si>
    <t>CRM-01055</t>
  </si>
  <si>
    <t>CRM-01056</t>
  </si>
  <si>
    <t>CRM-01057</t>
  </si>
  <si>
    <t>CRM-01058</t>
  </si>
  <si>
    <t>CRM-01059</t>
  </si>
  <si>
    <t>CRM-01060</t>
  </si>
  <si>
    <t>CRM-01061</t>
  </si>
  <si>
    <t>CRM-01062</t>
  </si>
  <si>
    <t>CRM-01063</t>
  </si>
  <si>
    <t>CRM-01064</t>
  </si>
  <si>
    <t>CRM-01065</t>
  </si>
  <si>
    <t>CRM-01066</t>
  </si>
  <si>
    <t>CRM-01067</t>
  </si>
  <si>
    <t>Ważony forecast: kwota × szansa. Nie edytuj.</t>
  </si>
  <si>
    <t>WAŻONY FORECAST</t>
  </si>
  <si>
    <t>KATEGORIA</t>
  </si>
  <si>
    <t>Automatyczna lista zadań. Nie edytuj źródłowo.</t>
  </si>
  <si>
    <t>TASK_ID</t>
  </si>
  <si>
    <t>STATUS ZADANIA</t>
  </si>
  <si>
    <t>KOMUNIKAT</t>
  </si>
  <si>
    <t>KOLUMNA_11</t>
  </si>
  <si>
    <t>T-00001</t>
  </si>
  <si>
    <t>T-00002</t>
  </si>
  <si>
    <t>T-00003</t>
  </si>
  <si>
    <t>T-00004</t>
  </si>
  <si>
    <t>T-00005</t>
  </si>
  <si>
    <t>T-00006</t>
  </si>
  <si>
    <t>T-00007</t>
  </si>
  <si>
    <t>T-00008</t>
  </si>
  <si>
    <t>T-00009</t>
  </si>
  <si>
    <t>T-00010</t>
  </si>
  <si>
    <t>T-00011</t>
  </si>
  <si>
    <t>T-00012</t>
  </si>
  <si>
    <t>T-00013</t>
  </si>
  <si>
    <t>T-00014</t>
  </si>
  <si>
    <t>T-00015</t>
  </si>
  <si>
    <t>T-00016</t>
  </si>
  <si>
    <t>T-00017</t>
  </si>
  <si>
    <t>T-00018</t>
  </si>
  <si>
    <t>T-00019</t>
  </si>
  <si>
    <t>T-00020</t>
  </si>
  <si>
    <t>T-00021</t>
  </si>
  <si>
    <t>T-00022</t>
  </si>
  <si>
    <t>T-00023</t>
  </si>
  <si>
    <t>T-00024</t>
  </si>
  <si>
    <t>T-00025</t>
  </si>
  <si>
    <t>T-00026</t>
  </si>
  <si>
    <t>T-00027</t>
  </si>
  <si>
    <t>T-00028</t>
  </si>
  <si>
    <t>T-00029</t>
  </si>
  <si>
    <t>T-00030</t>
  </si>
  <si>
    <t>T-00031</t>
  </si>
  <si>
    <t>T-00032</t>
  </si>
  <si>
    <t>T-00033</t>
  </si>
  <si>
    <t>T-00034</t>
  </si>
  <si>
    <t>T-00035</t>
  </si>
  <si>
    <t>T-00036</t>
  </si>
  <si>
    <t>T-00037</t>
  </si>
  <si>
    <t>T-00038</t>
  </si>
  <si>
    <t>T-00039</t>
  </si>
  <si>
    <t>T-00040</t>
  </si>
  <si>
    <t>T-00041</t>
  </si>
  <si>
    <t>T-00042</t>
  </si>
  <si>
    <t>T-00043</t>
  </si>
  <si>
    <t>T-00044</t>
  </si>
  <si>
    <t>T-00045</t>
  </si>
  <si>
    <t>T-00046</t>
  </si>
  <si>
    <t>T-00047</t>
  </si>
  <si>
    <t>T-00048</t>
  </si>
  <si>
    <t>T-00049</t>
  </si>
  <si>
    <t>T-00050</t>
  </si>
  <si>
    <t>T-00051</t>
  </si>
  <si>
    <t>T-00052</t>
  </si>
  <si>
    <t>T-00053</t>
  </si>
  <si>
    <t>T-00054</t>
  </si>
  <si>
    <t>T-00055</t>
  </si>
  <si>
    <t>T-00056</t>
  </si>
  <si>
    <t>T-00057</t>
  </si>
  <si>
    <t>T-00058</t>
  </si>
  <si>
    <t>T-00059</t>
  </si>
  <si>
    <t>T-00060</t>
  </si>
  <si>
    <t>T-00061</t>
  </si>
  <si>
    <t>T-00062</t>
  </si>
  <si>
    <t>T-00063</t>
  </si>
  <si>
    <t>T-00064</t>
  </si>
  <si>
    <t>T-00065</t>
  </si>
  <si>
    <t>T-00066</t>
  </si>
  <si>
    <t>T-00067</t>
  </si>
  <si>
    <t>T-00068</t>
  </si>
  <si>
    <t>T-00069</t>
  </si>
  <si>
    <t>T-00070</t>
  </si>
  <si>
    <t>T-00071</t>
  </si>
  <si>
    <t>T-00072</t>
  </si>
  <si>
    <t>T-00073</t>
  </si>
  <si>
    <t>T-00074</t>
  </si>
  <si>
    <t>T-00075</t>
  </si>
  <si>
    <t>T-00076</t>
  </si>
  <si>
    <t>T-00077</t>
  </si>
  <si>
    <t>T-00078</t>
  </si>
  <si>
    <t>T-00079</t>
  </si>
  <si>
    <t>T-00080</t>
  </si>
  <si>
    <t>T-00081</t>
  </si>
  <si>
    <t>T-00082</t>
  </si>
  <si>
    <t>T-00083</t>
  </si>
  <si>
    <t>T-00084</t>
  </si>
  <si>
    <t>T-00085</t>
  </si>
  <si>
    <t>T-00086</t>
  </si>
  <si>
    <t>T-00087</t>
  </si>
  <si>
    <t>T-00088</t>
  </si>
  <si>
    <t>T-00089</t>
  </si>
  <si>
    <t>T-00090</t>
  </si>
  <si>
    <t>T-00091</t>
  </si>
  <si>
    <t>T-00092</t>
  </si>
  <si>
    <t>T-00093</t>
  </si>
  <si>
    <t>T-00094</t>
  </si>
  <si>
    <t>T-00095</t>
  </si>
  <si>
    <t>T-00096</t>
  </si>
  <si>
    <t>T-00097</t>
  </si>
  <si>
    <t>T-00098</t>
  </si>
  <si>
    <t>T-00099</t>
  </si>
  <si>
    <t>T-00100</t>
  </si>
  <si>
    <t>T-00101</t>
  </si>
  <si>
    <t>T-00102</t>
  </si>
  <si>
    <t>T-00103</t>
  </si>
  <si>
    <t>T-00104</t>
  </si>
  <si>
    <t>T-00105</t>
  </si>
  <si>
    <t>T-00106</t>
  </si>
  <si>
    <t>T-00107</t>
  </si>
  <si>
    <t>T-00108</t>
  </si>
  <si>
    <t>T-00109</t>
  </si>
  <si>
    <t>T-00110</t>
  </si>
  <si>
    <t>T-00111</t>
  </si>
  <si>
    <t>T-00112</t>
  </si>
  <si>
    <t>T-00113</t>
  </si>
  <si>
    <t>T-00114</t>
  </si>
  <si>
    <t>T-00115</t>
  </si>
  <si>
    <t>T-00116</t>
  </si>
  <si>
    <t>T-00117</t>
  </si>
  <si>
    <t>T-00118</t>
  </si>
  <si>
    <t>T-00119</t>
  </si>
  <si>
    <t>T-00120</t>
  </si>
  <si>
    <t>T-00121</t>
  </si>
  <si>
    <t>T-00122</t>
  </si>
  <si>
    <t>T-00123</t>
  </si>
  <si>
    <t>T-00124</t>
  </si>
  <si>
    <t>T-00125</t>
  </si>
  <si>
    <t>T-00126</t>
  </si>
  <si>
    <t>T-00127</t>
  </si>
  <si>
    <t>T-00128</t>
  </si>
  <si>
    <t>T-00129</t>
  </si>
  <si>
    <t>T-00130</t>
  </si>
  <si>
    <t>T-00131</t>
  </si>
  <si>
    <t>T-00132</t>
  </si>
  <si>
    <t>T-00133</t>
  </si>
  <si>
    <t>T-00134</t>
  </si>
  <si>
    <t>T-00135</t>
  </si>
  <si>
    <t>T-00136</t>
  </si>
  <si>
    <t>T-00137</t>
  </si>
  <si>
    <t>T-00138</t>
  </si>
  <si>
    <t>T-00139</t>
  </si>
  <si>
    <t>T-00140</t>
  </si>
  <si>
    <t>T-00141</t>
  </si>
  <si>
    <t>T-00142</t>
  </si>
  <si>
    <t>T-00143</t>
  </si>
  <si>
    <t>T-00144</t>
  </si>
  <si>
    <t>T-00145</t>
  </si>
  <si>
    <t>T-00146</t>
  </si>
  <si>
    <t>T-00147</t>
  </si>
  <si>
    <t>T-00148</t>
  </si>
  <si>
    <t>T-00149</t>
  </si>
  <si>
    <t>T-00150</t>
  </si>
  <si>
    <t>T-00151</t>
  </si>
  <si>
    <t>T-00152</t>
  </si>
  <si>
    <t>T-00153</t>
  </si>
  <si>
    <t>T-00154</t>
  </si>
  <si>
    <t>T-00155</t>
  </si>
  <si>
    <t>T-00156</t>
  </si>
  <si>
    <t>T-00157</t>
  </si>
  <si>
    <t>T-00158</t>
  </si>
  <si>
    <t>T-00159</t>
  </si>
  <si>
    <t>T-00160</t>
  </si>
  <si>
    <t>T-00161</t>
  </si>
  <si>
    <t>T-00162</t>
  </si>
  <si>
    <t>T-00163</t>
  </si>
  <si>
    <t>T-00164</t>
  </si>
  <si>
    <t>T-00165</t>
  </si>
  <si>
    <t>T-00166</t>
  </si>
  <si>
    <t>T-00167</t>
  </si>
  <si>
    <t>T-00168</t>
  </si>
  <si>
    <t>T-00169</t>
  </si>
  <si>
    <t>T-00170</t>
  </si>
  <si>
    <t>T-00171</t>
  </si>
  <si>
    <t>T-00172</t>
  </si>
  <si>
    <t>T-00173</t>
  </si>
  <si>
    <t>T-00174</t>
  </si>
  <si>
    <t>T-00175</t>
  </si>
  <si>
    <t>T-00176</t>
  </si>
  <si>
    <t>T-00177</t>
  </si>
  <si>
    <t>T-00178</t>
  </si>
  <si>
    <t>T-00179</t>
  </si>
  <si>
    <t>T-00180</t>
  </si>
  <si>
    <t>T-00181</t>
  </si>
  <si>
    <t>T-00182</t>
  </si>
  <si>
    <t>T-00183</t>
  </si>
  <si>
    <t>T-00184</t>
  </si>
  <si>
    <t>T-00185</t>
  </si>
  <si>
    <t>T-00186</t>
  </si>
  <si>
    <t>T-00187</t>
  </si>
  <si>
    <t>T-00188</t>
  </si>
  <si>
    <t>T-00189</t>
  </si>
  <si>
    <t>T-00190</t>
  </si>
  <si>
    <t>T-00191</t>
  </si>
  <si>
    <t>T-00192</t>
  </si>
  <si>
    <t>T-00193</t>
  </si>
  <si>
    <t>T-00194</t>
  </si>
  <si>
    <t>T-00195</t>
  </si>
  <si>
    <t>T-00196</t>
  </si>
  <si>
    <t>T-00197</t>
  </si>
  <si>
    <t>T-00198</t>
  </si>
  <si>
    <t>T-00199</t>
  </si>
  <si>
    <t>T-00200</t>
  </si>
  <si>
    <t>T-00201</t>
  </si>
  <si>
    <t>T-00202</t>
  </si>
  <si>
    <t>T-00203</t>
  </si>
  <si>
    <t>T-00204</t>
  </si>
  <si>
    <t>T-00205</t>
  </si>
  <si>
    <t>T-00206</t>
  </si>
  <si>
    <t>T-00207</t>
  </si>
  <si>
    <t>T-00208</t>
  </si>
  <si>
    <t>T-00209</t>
  </si>
  <si>
    <t>T-00210</t>
  </si>
  <si>
    <t>T-00211</t>
  </si>
  <si>
    <t>T-00212</t>
  </si>
  <si>
    <t>T-00213</t>
  </si>
  <si>
    <t>T-00214</t>
  </si>
  <si>
    <t>T-00215</t>
  </si>
  <si>
    <t>T-00216</t>
  </si>
  <si>
    <t>T-00217</t>
  </si>
  <si>
    <t>T-00218</t>
  </si>
  <si>
    <t>T-00219</t>
  </si>
  <si>
    <t>T-00220</t>
  </si>
  <si>
    <t>T-00221</t>
  </si>
  <si>
    <t>T-00222</t>
  </si>
  <si>
    <t>T-00223</t>
  </si>
  <si>
    <t>T-00224</t>
  </si>
  <si>
    <t>T-00225</t>
  </si>
  <si>
    <t>T-00226</t>
  </si>
  <si>
    <t>T-00227</t>
  </si>
  <si>
    <t>T-00228</t>
  </si>
  <si>
    <t>T-00229</t>
  </si>
  <si>
    <t>T-00230</t>
  </si>
  <si>
    <t>T-00231</t>
  </si>
  <si>
    <t>T-00232</t>
  </si>
  <si>
    <t>T-00233</t>
  </si>
  <si>
    <t>T-00234</t>
  </si>
  <si>
    <t>T-00235</t>
  </si>
  <si>
    <t>T-00236</t>
  </si>
  <si>
    <t>T-00237</t>
  </si>
  <si>
    <t>T-00238</t>
  </si>
  <si>
    <t>T-00239</t>
  </si>
  <si>
    <t>T-00240</t>
  </si>
  <si>
    <t>T-00241</t>
  </si>
  <si>
    <t>T-00242</t>
  </si>
  <si>
    <t>T-00243</t>
  </si>
  <si>
    <t>T-00244</t>
  </si>
  <si>
    <t>T-00245</t>
  </si>
  <si>
    <t>T-00246</t>
  </si>
  <si>
    <t>T-00247</t>
  </si>
  <si>
    <t>T-00248</t>
  </si>
  <si>
    <t>T-00249</t>
  </si>
  <si>
    <t>T-00250</t>
  </si>
  <si>
    <t>T-00251</t>
  </si>
  <si>
    <t>T-00252</t>
  </si>
  <si>
    <t>T-00253</t>
  </si>
  <si>
    <t>T-00254</t>
  </si>
  <si>
    <t>T-00255</t>
  </si>
  <si>
    <t>T-00256</t>
  </si>
  <si>
    <t>T-00257</t>
  </si>
  <si>
    <t>T-00258</t>
  </si>
  <si>
    <t>T-00259</t>
  </si>
  <si>
    <t>T-00260</t>
  </si>
  <si>
    <t>T-00261</t>
  </si>
  <si>
    <t>T-00262</t>
  </si>
  <si>
    <t>T-00263</t>
  </si>
  <si>
    <t>T-00264</t>
  </si>
  <si>
    <t>T-00265</t>
  </si>
  <si>
    <t>T-00266</t>
  </si>
  <si>
    <t>T-00267</t>
  </si>
  <si>
    <t>T-00268</t>
  </si>
  <si>
    <t>T-00269</t>
  </si>
  <si>
    <t>T-00270</t>
  </si>
  <si>
    <t>T-00271</t>
  </si>
  <si>
    <t>T-00272</t>
  </si>
  <si>
    <t>T-00273</t>
  </si>
  <si>
    <t>T-00274</t>
  </si>
  <si>
    <t>T-00275</t>
  </si>
  <si>
    <t>T-00276</t>
  </si>
  <si>
    <t>T-00277</t>
  </si>
  <si>
    <t>T-00278</t>
  </si>
  <si>
    <t>T-00279</t>
  </si>
  <si>
    <t>T-00280</t>
  </si>
  <si>
    <t>T-00281</t>
  </si>
  <si>
    <t>T-00282</t>
  </si>
  <si>
    <t>T-00283</t>
  </si>
  <si>
    <t>T-00284</t>
  </si>
  <si>
    <t>T-00285</t>
  </si>
  <si>
    <t>T-00286</t>
  </si>
  <si>
    <t>T-00287</t>
  </si>
  <si>
    <t>T-00288</t>
  </si>
  <si>
    <t>T-00289</t>
  </si>
  <si>
    <t>T-00290</t>
  </si>
  <si>
    <t>T-00291</t>
  </si>
  <si>
    <t>T-00292</t>
  </si>
  <si>
    <t>T-00293</t>
  </si>
  <si>
    <t>T-00294</t>
  </si>
  <si>
    <t>T-00295</t>
  </si>
  <si>
    <t>T-00296</t>
  </si>
  <si>
    <t>T-00297</t>
  </si>
  <si>
    <t>T-00298</t>
  </si>
  <si>
    <t>T-00299</t>
  </si>
  <si>
    <t>T-00300</t>
  </si>
  <si>
    <t>T-00301</t>
  </si>
  <si>
    <t>T-00302</t>
  </si>
  <si>
    <t>T-00303</t>
  </si>
  <si>
    <t>T-00304</t>
  </si>
  <si>
    <t>T-00305</t>
  </si>
  <si>
    <t>T-00306</t>
  </si>
  <si>
    <t>T-00307</t>
  </si>
  <si>
    <t>T-00308</t>
  </si>
  <si>
    <t>T-00309</t>
  </si>
  <si>
    <t>T-00310</t>
  </si>
  <si>
    <t>T-00311</t>
  </si>
  <si>
    <t>T-00312</t>
  </si>
  <si>
    <t>T-00313</t>
  </si>
  <si>
    <t>T-00314</t>
  </si>
  <si>
    <t>T-00315</t>
  </si>
  <si>
    <t>T-00316</t>
  </si>
  <si>
    <t>T-00317</t>
  </si>
  <si>
    <t>T-00318</t>
  </si>
  <si>
    <t>T-00319</t>
  </si>
  <si>
    <t>T-00320</t>
  </si>
  <si>
    <t>T-00321</t>
  </si>
  <si>
    <t>T-00322</t>
  </si>
  <si>
    <t>T-00323</t>
  </si>
  <si>
    <t>T-00324</t>
  </si>
  <si>
    <t>T-00325</t>
  </si>
  <si>
    <t>T-00326</t>
  </si>
  <si>
    <t>T-00327</t>
  </si>
  <si>
    <t>T-00328</t>
  </si>
  <si>
    <t>T-00329</t>
  </si>
  <si>
    <t>T-00330</t>
  </si>
  <si>
    <t>T-00331</t>
  </si>
  <si>
    <t>T-00332</t>
  </si>
  <si>
    <t>T-00333</t>
  </si>
  <si>
    <t>T-00334</t>
  </si>
  <si>
    <t>T-00335</t>
  </si>
  <si>
    <t>T-00336</t>
  </si>
  <si>
    <t>T-00337</t>
  </si>
  <si>
    <t>T-00338</t>
  </si>
  <si>
    <t>T-00339</t>
  </si>
  <si>
    <t>T-00340</t>
  </si>
  <si>
    <t>T-00341</t>
  </si>
  <si>
    <t>T-00342</t>
  </si>
  <si>
    <t>T-00343</t>
  </si>
  <si>
    <t>T-00344</t>
  </si>
  <si>
    <t>T-00345</t>
  </si>
  <si>
    <t>T-00346</t>
  </si>
  <si>
    <t>T-00347</t>
  </si>
  <si>
    <t>T-00348</t>
  </si>
  <si>
    <t>T-00349</t>
  </si>
  <si>
    <t>T-00350</t>
  </si>
  <si>
    <t>T-00351</t>
  </si>
  <si>
    <t>T-00352</t>
  </si>
  <si>
    <t>T-00353</t>
  </si>
  <si>
    <t>T-00354</t>
  </si>
  <si>
    <t>T-00355</t>
  </si>
  <si>
    <t>T-00356</t>
  </si>
  <si>
    <t>T-00357</t>
  </si>
  <si>
    <t>T-00358</t>
  </si>
  <si>
    <t>T-00359</t>
  </si>
  <si>
    <t>T-00360</t>
  </si>
  <si>
    <t>T-00361</t>
  </si>
  <si>
    <t>T-00362</t>
  </si>
  <si>
    <t>T-00363</t>
  </si>
  <si>
    <t>T-00364</t>
  </si>
  <si>
    <t>T-00365</t>
  </si>
  <si>
    <t>T-00366</t>
  </si>
  <si>
    <t>T-00367</t>
  </si>
  <si>
    <t>T-00368</t>
  </si>
  <si>
    <t>T-00369</t>
  </si>
  <si>
    <t>T-00370</t>
  </si>
  <si>
    <t>T-00371</t>
  </si>
  <si>
    <t>T-00372</t>
  </si>
  <si>
    <t>T-00373</t>
  </si>
  <si>
    <t>T-00374</t>
  </si>
  <si>
    <t>T-00375</t>
  </si>
  <si>
    <t>T-00376</t>
  </si>
  <si>
    <t>T-00377</t>
  </si>
  <si>
    <t>T-00378</t>
  </si>
  <si>
    <t>T-00379</t>
  </si>
  <si>
    <t>T-00380</t>
  </si>
  <si>
    <t>T-00381</t>
  </si>
  <si>
    <t>T-00382</t>
  </si>
  <si>
    <t>T-00383</t>
  </si>
  <si>
    <t>T-00384</t>
  </si>
  <si>
    <t>T-00385</t>
  </si>
  <si>
    <t>T-00386</t>
  </si>
  <si>
    <t>T-00387</t>
  </si>
  <si>
    <t>T-00388</t>
  </si>
  <si>
    <t>T-00389</t>
  </si>
  <si>
    <t>T-00390</t>
  </si>
  <si>
    <t>T-00391</t>
  </si>
  <si>
    <t>T-00392</t>
  </si>
  <si>
    <t>T-00393</t>
  </si>
  <si>
    <t>T-00394</t>
  </si>
  <si>
    <t>T-00395</t>
  </si>
  <si>
    <t>T-00396</t>
  </si>
  <si>
    <t>T-00397</t>
  </si>
  <si>
    <t>T-00398</t>
  </si>
  <si>
    <t>T-00399</t>
  </si>
  <si>
    <t>T-00400</t>
  </si>
  <si>
    <t>T-00401</t>
  </si>
  <si>
    <t>T-00402</t>
  </si>
  <si>
    <t>T-00403</t>
  </si>
  <si>
    <t>T-00404</t>
  </si>
  <si>
    <t>T-00405</t>
  </si>
  <si>
    <t>T-00406</t>
  </si>
  <si>
    <t>T-00407</t>
  </si>
  <si>
    <t>T-00408</t>
  </si>
  <si>
    <t>T-00409</t>
  </si>
  <si>
    <t>T-00410</t>
  </si>
  <si>
    <t>T-00411</t>
  </si>
  <si>
    <t>T-00412</t>
  </si>
  <si>
    <t>T-00413</t>
  </si>
  <si>
    <t>T-00414</t>
  </si>
  <si>
    <t>T-00415</t>
  </si>
  <si>
    <t>T-00416</t>
  </si>
  <si>
    <t>T-00417</t>
  </si>
  <si>
    <t>T-00418</t>
  </si>
  <si>
    <t>T-00419</t>
  </si>
  <si>
    <t>T-00420</t>
  </si>
  <si>
    <t>T-00421</t>
  </si>
  <si>
    <t>T-00422</t>
  </si>
  <si>
    <t>T-00423</t>
  </si>
  <si>
    <t>T-00424</t>
  </si>
  <si>
    <t>T-00425</t>
  </si>
  <si>
    <t>T-00426</t>
  </si>
  <si>
    <t>T-00427</t>
  </si>
  <si>
    <t>T-00428</t>
  </si>
  <si>
    <t>T-00429</t>
  </si>
  <si>
    <t>T-00430</t>
  </si>
  <si>
    <t>T-00431</t>
  </si>
  <si>
    <t>T-00432</t>
  </si>
  <si>
    <t>T-00433</t>
  </si>
  <si>
    <t>T-00434</t>
  </si>
  <si>
    <t>T-00435</t>
  </si>
  <si>
    <t>T-00436</t>
  </si>
  <si>
    <t>T-00437</t>
  </si>
  <si>
    <t>T-00438</t>
  </si>
  <si>
    <t>T-00439</t>
  </si>
  <si>
    <t>T-00440</t>
  </si>
  <si>
    <t>T-00441</t>
  </si>
  <si>
    <t>T-00442</t>
  </si>
  <si>
    <t>T-00443</t>
  </si>
  <si>
    <t>T-00444</t>
  </si>
  <si>
    <t>T-00445</t>
  </si>
  <si>
    <t>T-00446</t>
  </si>
  <si>
    <t>T-00447</t>
  </si>
  <si>
    <t>T-00448</t>
  </si>
  <si>
    <t>T-00449</t>
  </si>
  <si>
    <t>T-00450</t>
  </si>
  <si>
    <t>T-00451</t>
  </si>
  <si>
    <t>T-00452</t>
  </si>
  <si>
    <t>T-00453</t>
  </si>
  <si>
    <t>T-00454</t>
  </si>
  <si>
    <t>T-00455</t>
  </si>
  <si>
    <t>T-00456</t>
  </si>
  <si>
    <t>T-00457</t>
  </si>
  <si>
    <t>T-00458</t>
  </si>
  <si>
    <t>T-00459</t>
  </si>
  <si>
    <t>T-00460</t>
  </si>
  <si>
    <t>T-00461</t>
  </si>
  <si>
    <t>T-00462</t>
  </si>
  <si>
    <t>T-00463</t>
  </si>
  <si>
    <t>T-00464</t>
  </si>
  <si>
    <t>T-00465</t>
  </si>
  <si>
    <t>T-00466</t>
  </si>
  <si>
    <t>T-00467</t>
  </si>
  <si>
    <t>T-00468</t>
  </si>
  <si>
    <t>T-00469</t>
  </si>
  <si>
    <t>T-00470</t>
  </si>
  <si>
    <t>T-00471</t>
  </si>
  <si>
    <t>T-00472</t>
  </si>
  <si>
    <t>T-00473</t>
  </si>
  <si>
    <t>T-00474</t>
  </si>
  <si>
    <t>T-00475</t>
  </si>
  <si>
    <t>T-00476</t>
  </si>
  <si>
    <t>T-00477</t>
  </si>
  <si>
    <t>T-00478</t>
  </si>
  <si>
    <t>T-00479</t>
  </si>
  <si>
    <t>T-00480</t>
  </si>
  <si>
    <t>T-00481</t>
  </si>
  <si>
    <t>T-00482</t>
  </si>
  <si>
    <t>T-00483</t>
  </si>
  <si>
    <t>T-00484</t>
  </si>
  <si>
    <t>T-00485</t>
  </si>
  <si>
    <t>T-00486</t>
  </si>
  <si>
    <t>T-00487</t>
  </si>
  <si>
    <t>T-00488</t>
  </si>
  <si>
    <t>T-00489</t>
  </si>
  <si>
    <t>T-00490</t>
  </si>
  <si>
    <t>T-00491</t>
  </si>
  <si>
    <t>T-00492</t>
  </si>
  <si>
    <t>T-00493</t>
  </si>
  <si>
    <t>T-00494</t>
  </si>
  <si>
    <t>T-00495</t>
  </si>
  <si>
    <t>T-00496</t>
  </si>
  <si>
    <t>T-00497</t>
  </si>
  <si>
    <t>T-00498</t>
  </si>
  <si>
    <t>T-00499</t>
  </si>
  <si>
    <t>T-00500</t>
  </si>
  <si>
    <t>T-00501</t>
  </si>
  <si>
    <t>T-00502</t>
  </si>
  <si>
    <t>T-00503</t>
  </si>
  <si>
    <t>T-00504</t>
  </si>
  <si>
    <t>T-00505</t>
  </si>
  <si>
    <t>T-00506</t>
  </si>
  <si>
    <t>T-00507</t>
  </si>
  <si>
    <t>T-00508</t>
  </si>
  <si>
    <t>T-00509</t>
  </si>
  <si>
    <t>T-00510</t>
  </si>
  <si>
    <t>T-00511</t>
  </si>
  <si>
    <t>T-00512</t>
  </si>
  <si>
    <t>T-00513</t>
  </si>
  <si>
    <t>T-00514</t>
  </si>
  <si>
    <t>T-00515</t>
  </si>
  <si>
    <t>T-00516</t>
  </si>
  <si>
    <t>T-00517</t>
  </si>
  <si>
    <t>T-00518</t>
  </si>
  <si>
    <t>T-00519</t>
  </si>
  <si>
    <t>T-00520</t>
  </si>
  <si>
    <t>T-00521</t>
  </si>
  <si>
    <t>T-00522</t>
  </si>
  <si>
    <t>T-00523</t>
  </si>
  <si>
    <t>T-00524</t>
  </si>
  <si>
    <t>T-00525</t>
  </si>
  <si>
    <t>T-00526</t>
  </si>
  <si>
    <t>T-00527</t>
  </si>
  <si>
    <t>T-00528</t>
  </si>
  <si>
    <t>T-00529</t>
  </si>
  <si>
    <t>T-00530</t>
  </si>
  <si>
    <t>T-00531</t>
  </si>
  <si>
    <t>T-00532</t>
  </si>
  <si>
    <t>T-00533</t>
  </si>
  <si>
    <t>T-00534</t>
  </si>
  <si>
    <t>T-00535</t>
  </si>
  <si>
    <t>T-00536</t>
  </si>
  <si>
    <t>T-00537</t>
  </si>
  <si>
    <t>T-00538</t>
  </si>
  <si>
    <t>T-00539</t>
  </si>
  <si>
    <t>T-00540</t>
  </si>
  <si>
    <t>T-00541</t>
  </si>
  <si>
    <t>T-00542</t>
  </si>
  <si>
    <t>T-00543</t>
  </si>
  <si>
    <t>T-00544</t>
  </si>
  <si>
    <t>T-00545</t>
  </si>
  <si>
    <t>T-00546</t>
  </si>
  <si>
    <t>T-00547</t>
  </si>
  <si>
    <t>T-00548</t>
  </si>
  <si>
    <t>T-00549</t>
  </si>
  <si>
    <t>T-00550</t>
  </si>
  <si>
    <t>T-00551</t>
  </si>
  <si>
    <t>T-00552</t>
  </si>
  <si>
    <t>T-00553</t>
  </si>
  <si>
    <t>T-00554</t>
  </si>
  <si>
    <t>T-00555</t>
  </si>
  <si>
    <t>T-00556</t>
  </si>
  <si>
    <t>T-00557</t>
  </si>
  <si>
    <t>T-00558</t>
  </si>
  <si>
    <t>T-00559</t>
  </si>
  <si>
    <t>T-00560</t>
  </si>
  <si>
    <t>T-00561</t>
  </si>
  <si>
    <t>T-00562</t>
  </si>
  <si>
    <t>T-00563</t>
  </si>
  <si>
    <t>T-00564</t>
  </si>
  <si>
    <t>T-00565</t>
  </si>
  <si>
    <t>T-00566</t>
  </si>
  <si>
    <t>T-00567</t>
  </si>
  <si>
    <t>T-00568</t>
  </si>
  <si>
    <t>T-00569</t>
  </si>
  <si>
    <t>T-00570</t>
  </si>
  <si>
    <t>T-00571</t>
  </si>
  <si>
    <t>T-00572</t>
  </si>
  <si>
    <t>T-00573</t>
  </si>
  <si>
    <t>T-00574</t>
  </si>
  <si>
    <t>T-00575</t>
  </si>
  <si>
    <t>T-00576</t>
  </si>
  <si>
    <t>T-00577</t>
  </si>
  <si>
    <t>T-00578</t>
  </si>
  <si>
    <t>T-00579</t>
  </si>
  <si>
    <t>T-00580</t>
  </si>
  <si>
    <t>T-00581</t>
  </si>
  <si>
    <t>T-00582</t>
  </si>
  <si>
    <t>T-00583</t>
  </si>
  <si>
    <t>T-00584</t>
  </si>
  <si>
    <t>T-00585</t>
  </si>
  <si>
    <t>T-00586</t>
  </si>
  <si>
    <t>T-00587</t>
  </si>
  <si>
    <t>T-00588</t>
  </si>
  <si>
    <t>T-00589</t>
  </si>
  <si>
    <t>T-00590</t>
  </si>
  <si>
    <t>T-00591</t>
  </si>
  <si>
    <t>T-00592</t>
  </si>
  <si>
    <t>T-00593</t>
  </si>
  <si>
    <t>T-00594</t>
  </si>
  <si>
    <t>T-00595</t>
  </si>
  <si>
    <t>T-00596</t>
  </si>
  <si>
    <t>T-00597</t>
  </si>
  <si>
    <t>T-00598</t>
  </si>
  <si>
    <t>T-00599</t>
  </si>
  <si>
    <t>T-00600</t>
  </si>
  <si>
    <t>T-00601</t>
  </si>
  <si>
    <t>T-00602</t>
  </si>
  <si>
    <t>T-00603</t>
  </si>
  <si>
    <t>T-00604</t>
  </si>
  <si>
    <t>T-00605</t>
  </si>
  <si>
    <t>T-00606</t>
  </si>
  <si>
    <t>T-00607</t>
  </si>
  <si>
    <t>T-00608</t>
  </si>
  <si>
    <t>T-00609</t>
  </si>
  <si>
    <t>T-00610</t>
  </si>
  <si>
    <t>T-00611</t>
  </si>
  <si>
    <t>T-00612</t>
  </si>
  <si>
    <t>T-00613</t>
  </si>
  <si>
    <t>T-00614</t>
  </si>
  <si>
    <t>T-00615</t>
  </si>
  <si>
    <t>T-00616</t>
  </si>
  <si>
    <t>T-00617</t>
  </si>
  <si>
    <t>T-00618</t>
  </si>
  <si>
    <t>T-00619</t>
  </si>
  <si>
    <t>T-00620</t>
  </si>
  <si>
    <t>T-00621</t>
  </si>
  <si>
    <t>T-00622</t>
  </si>
  <si>
    <t>T-00623</t>
  </si>
  <si>
    <t>T-00624</t>
  </si>
  <si>
    <t>T-00625</t>
  </si>
  <si>
    <t>T-00626</t>
  </si>
  <si>
    <t>T-00627</t>
  </si>
  <si>
    <t>T-00628</t>
  </si>
  <si>
    <t>T-00629</t>
  </si>
  <si>
    <t>T-00630</t>
  </si>
  <si>
    <t>T-00631</t>
  </si>
  <si>
    <t>T-00632</t>
  </si>
  <si>
    <t>T-00633</t>
  </si>
  <si>
    <t>T-00634</t>
  </si>
  <si>
    <t>T-00635</t>
  </si>
  <si>
    <t>T-00636</t>
  </si>
  <si>
    <t>T-00637</t>
  </si>
  <si>
    <t>T-00638</t>
  </si>
  <si>
    <t>T-00639</t>
  </si>
  <si>
    <t>T-00640</t>
  </si>
  <si>
    <t>T-00641</t>
  </si>
  <si>
    <t>T-00642</t>
  </si>
  <si>
    <t>T-00643</t>
  </si>
  <si>
    <t>T-00644</t>
  </si>
  <si>
    <t>T-00645</t>
  </si>
  <si>
    <t>T-00646</t>
  </si>
  <si>
    <t>T-00647</t>
  </si>
  <si>
    <t>T-00648</t>
  </si>
  <si>
    <t>T-00649</t>
  </si>
  <si>
    <t>T-00650</t>
  </si>
  <si>
    <t>T-00651</t>
  </si>
  <si>
    <t>T-00652</t>
  </si>
  <si>
    <t>T-00653</t>
  </si>
  <si>
    <t>T-00654</t>
  </si>
  <si>
    <t>T-00655</t>
  </si>
  <si>
    <t>T-00656</t>
  </si>
  <si>
    <t>T-00657</t>
  </si>
  <si>
    <t>T-00658</t>
  </si>
  <si>
    <t>T-00659</t>
  </si>
  <si>
    <t>T-00660</t>
  </si>
  <si>
    <t>T-00661</t>
  </si>
  <si>
    <t>T-00662</t>
  </si>
  <si>
    <t>T-00663</t>
  </si>
  <si>
    <t>T-00664</t>
  </si>
  <si>
    <t>T-00665</t>
  </si>
  <si>
    <t>T-00666</t>
  </si>
  <si>
    <t>T-00667</t>
  </si>
  <si>
    <t>T-00668</t>
  </si>
  <si>
    <t>T-00669</t>
  </si>
  <si>
    <t>T-00670</t>
  </si>
  <si>
    <t>T-00671</t>
  </si>
  <si>
    <t>T-00672</t>
  </si>
  <si>
    <t>T-00673</t>
  </si>
  <si>
    <t>T-00674</t>
  </si>
  <si>
    <t>T-00675</t>
  </si>
  <si>
    <t>T-00676</t>
  </si>
  <si>
    <t>T-00677</t>
  </si>
  <si>
    <t>T-00678</t>
  </si>
  <si>
    <t>T-00679</t>
  </si>
  <si>
    <t>T-00680</t>
  </si>
  <si>
    <t>T-00681</t>
  </si>
  <si>
    <t>T-00682</t>
  </si>
  <si>
    <t>T-00683</t>
  </si>
  <si>
    <t>T-00684</t>
  </si>
  <si>
    <t>T-00685</t>
  </si>
  <si>
    <t>T-00686</t>
  </si>
  <si>
    <t>T-00687</t>
  </si>
  <si>
    <t>T-00688</t>
  </si>
  <si>
    <t>T-00689</t>
  </si>
  <si>
    <t>T-00690</t>
  </si>
  <si>
    <t>T-00691</t>
  </si>
  <si>
    <t>T-00692</t>
  </si>
  <si>
    <t>T-00693</t>
  </si>
  <si>
    <t>T-00694</t>
  </si>
  <si>
    <t>T-00695</t>
  </si>
  <si>
    <t>T-00696</t>
  </si>
  <si>
    <t>T-00697</t>
  </si>
  <si>
    <t>T-00698</t>
  </si>
  <si>
    <t>T-00699</t>
  </si>
  <si>
    <t>T-00700</t>
  </si>
  <si>
    <t>T-00701</t>
  </si>
  <si>
    <t>T-00702</t>
  </si>
  <si>
    <t>T-00703</t>
  </si>
  <si>
    <t>T-00704</t>
  </si>
  <si>
    <t>T-00705</t>
  </si>
  <si>
    <t>T-00706</t>
  </si>
  <si>
    <t>T-00707</t>
  </si>
  <si>
    <t>T-00708</t>
  </si>
  <si>
    <t>T-00709</t>
  </si>
  <si>
    <t>T-00710</t>
  </si>
  <si>
    <t>T-00711</t>
  </si>
  <si>
    <t>T-00712</t>
  </si>
  <si>
    <t>T-00713</t>
  </si>
  <si>
    <t>T-00714</t>
  </si>
  <si>
    <t>T-00715</t>
  </si>
  <si>
    <t>T-00716</t>
  </si>
  <si>
    <t>T-00717</t>
  </si>
  <si>
    <t>T-00718</t>
  </si>
  <si>
    <t>T-00719</t>
  </si>
  <si>
    <t>T-00720</t>
  </si>
  <si>
    <t>T-00721</t>
  </si>
  <si>
    <t>T-00722</t>
  </si>
  <si>
    <t>T-00723</t>
  </si>
  <si>
    <t>T-00724</t>
  </si>
  <si>
    <t>T-00725</t>
  </si>
  <si>
    <t>T-00726</t>
  </si>
  <si>
    <t>T-00727</t>
  </si>
  <si>
    <t>T-00728</t>
  </si>
  <si>
    <t>T-00729</t>
  </si>
  <si>
    <t>T-00730</t>
  </si>
  <si>
    <t>T-00731</t>
  </si>
  <si>
    <t>T-00732</t>
  </si>
  <si>
    <t>T-00733</t>
  </si>
  <si>
    <t>T-00734</t>
  </si>
  <si>
    <t>T-00735</t>
  </si>
  <si>
    <t>T-00736</t>
  </si>
  <si>
    <t>T-00737</t>
  </si>
  <si>
    <t>T-00738</t>
  </si>
  <si>
    <t>T-00739</t>
  </si>
  <si>
    <t>T-00740</t>
  </si>
  <si>
    <t>T-00741</t>
  </si>
  <si>
    <t>T-00742</t>
  </si>
  <si>
    <t>T-00743</t>
  </si>
  <si>
    <t>T-00744</t>
  </si>
  <si>
    <t>T-00745</t>
  </si>
  <si>
    <t>T-00746</t>
  </si>
  <si>
    <t>T-00747</t>
  </si>
  <si>
    <t>T-00748</t>
  </si>
  <si>
    <t>T-00749</t>
  </si>
  <si>
    <t>T-00750</t>
  </si>
  <si>
    <t>T-00751</t>
  </si>
  <si>
    <t>T-00752</t>
  </si>
  <si>
    <t>T-00753</t>
  </si>
  <si>
    <t>T-00754</t>
  </si>
  <si>
    <t>T-00755</t>
  </si>
  <si>
    <t>T-00756</t>
  </si>
  <si>
    <t>T-00757</t>
  </si>
  <si>
    <t>T-00758</t>
  </si>
  <si>
    <t>T-00759</t>
  </si>
  <si>
    <t>T-00760</t>
  </si>
  <si>
    <t>T-00761</t>
  </si>
  <si>
    <t>T-00762</t>
  </si>
  <si>
    <t>T-00763</t>
  </si>
  <si>
    <t>T-00764</t>
  </si>
  <si>
    <t>T-00765</t>
  </si>
  <si>
    <t>T-00766</t>
  </si>
  <si>
    <t>T-00767</t>
  </si>
  <si>
    <t>T-00768</t>
  </si>
  <si>
    <t>T-00769</t>
  </si>
  <si>
    <t>T-00770</t>
  </si>
  <si>
    <t>T-00771</t>
  </si>
  <si>
    <t>T-00772</t>
  </si>
  <si>
    <t>T-00773</t>
  </si>
  <si>
    <t>T-00774</t>
  </si>
  <si>
    <t>T-00775</t>
  </si>
  <si>
    <t>T-00776</t>
  </si>
  <si>
    <t>T-00777</t>
  </si>
  <si>
    <t>T-00778</t>
  </si>
  <si>
    <t>T-00779</t>
  </si>
  <si>
    <t>T-00780</t>
  </si>
  <si>
    <t>T-00781</t>
  </si>
  <si>
    <t>T-00782</t>
  </si>
  <si>
    <t>T-00783</t>
  </si>
  <si>
    <t>T-00784</t>
  </si>
  <si>
    <t>T-00785</t>
  </si>
  <si>
    <t>T-00786</t>
  </si>
  <si>
    <t>T-00787</t>
  </si>
  <si>
    <t>T-00788</t>
  </si>
  <si>
    <t>T-00789</t>
  </si>
  <si>
    <t>T-00790</t>
  </si>
  <si>
    <t>T-00791</t>
  </si>
  <si>
    <t>T-00792</t>
  </si>
  <si>
    <t>T-00793</t>
  </si>
  <si>
    <t>T-00794</t>
  </si>
  <si>
    <t>T-00795</t>
  </si>
  <si>
    <t>T-00796</t>
  </si>
  <si>
    <t>T-00797</t>
  </si>
  <si>
    <t>T-00798</t>
  </si>
  <si>
    <t>T-00799</t>
  </si>
  <si>
    <t>T-00800</t>
  </si>
  <si>
    <t>T-00801</t>
  </si>
  <si>
    <t>T-00802</t>
  </si>
  <si>
    <t>T-00803</t>
  </si>
  <si>
    <t>T-00804</t>
  </si>
  <si>
    <t>T-00805</t>
  </si>
  <si>
    <t>T-00806</t>
  </si>
  <si>
    <t>T-00807</t>
  </si>
  <si>
    <t>T-00808</t>
  </si>
  <si>
    <t>T-00809</t>
  </si>
  <si>
    <t>T-00810</t>
  </si>
  <si>
    <t>T-00811</t>
  </si>
  <si>
    <t>T-00812</t>
  </si>
  <si>
    <t>T-00813</t>
  </si>
  <si>
    <t>T-00814</t>
  </si>
  <si>
    <t>T-00815</t>
  </si>
  <si>
    <t>T-00816</t>
  </si>
  <si>
    <t>T-00817</t>
  </si>
  <si>
    <t>T-00818</t>
  </si>
  <si>
    <t>T-00819</t>
  </si>
  <si>
    <t>T-00820</t>
  </si>
  <si>
    <t>T-00821</t>
  </si>
  <si>
    <t>T-00822</t>
  </si>
  <si>
    <t>T-00823</t>
  </si>
  <si>
    <t>T-00824</t>
  </si>
  <si>
    <t>T-00825</t>
  </si>
  <si>
    <t>T-00826</t>
  </si>
  <si>
    <t>T-00827</t>
  </si>
  <si>
    <t>T-00828</t>
  </si>
  <si>
    <t>T-00829</t>
  </si>
  <si>
    <t>T-00830</t>
  </si>
  <si>
    <t>T-00831</t>
  </si>
  <si>
    <t>T-00832</t>
  </si>
  <si>
    <t>T-00833</t>
  </si>
  <si>
    <t>T-00834</t>
  </si>
  <si>
    <t>T-00835</t>
  </si>
  <si>
    <t>T-00836</t>
  </si>
  <si>
    <t>T-00837</t>
  </si>
  <si>
    <t>T-00838</t>
  </si>
  <si>
    <t>T-00839</t>
  </si>
  <si>
    <t>T-00840</t>
  </si>
  <si>
    <t>T-00841</t>
  </si>
  <si>
    <t>T-00842</t>
  </si>
  <si>
    <t>T-00843</t>
  </si>
  <si>
    <t>T-00844</t>
  </si>
  <si>
    <t>T-00845</t>
  </si>
  <si>
    <t>T-00846</t>
  </si>
  <si>
    <t>T-00847</t>
  </si>
  <si>
    <t>T-00848</t>
  </si>
  <si>
    <t>T-00849</t>
  </si>
  <si>
    <t>T-00850</t>
  </si>
  <si>
    <t>T-00851</t>
  </si>
  <si>
    <t>T-00852</t>
  </si>
  <si>
    <t>T-00853</t>
  </si>
  <si>
    <t>T-00854</t>
  </si>
  <si>
    <t>T-00855</t>
  </si>
  <si>
    <t>T-00856</t>
  </si>
  <si>
    <t>T-00857</t>
  </si>
  <si>
    <t>T-00858</t>
  </si>
  <si>
    <t>T-00859</t>
  </si>
  <si>
    <t>T-00860</t>
  </si>
  <si>
    <t>T-00861</t>
  </si>
  <si>
    <t>T-00862</t>
  </si>
  <si>
    <t>T-00863</t>
  </si>
  <si>
    <t>T-00864</t>
  </si>
  <si>
    <t>T-00865</t>
  </si>
  <si>
    <t>T-00866</t>
  </si>
  <si>
    <t>T-00867</t>
  </si>
  <si>
    <t>T-00868</t>
  </si>
  <si>
    <t>T-00869</t>
  </si>
  <si>
    <t>T-00870</t>
  </si>
  <si>
    <t>T-00871</t>
  </si>
  <si>
    <t>T-00872</t>
  </si>
  <si>
    <t>T-00873</t>
  </si>
  <si>
    <t>T-00874</t>
  </si>
  <si>
    <t>T-00875</t>
  </si>
  <si>
    <t>T-00876</t>
  </si>
  <si>
    <t>T-00877</t>
  </si>
  <si>
    <t>T-00878</t>
  </si>
  <si>
    <t>T-00879</t>
  </si>
  <si>
    <t>T-00880</t>
  </si>
  <si>
    <t>T-00881</t>
  </si>
  <si>
    <t>T-00882</t>
  </si>
  <si>
    <t>T-00883</t>
  </si>
  <si>
    <t>T-00884</t>
  </si>
  <si>
    <t>T-00885</t>
  </si>
  <si>
    <t>T-00886</t>
  </si>
  <si>
    <t>T-00887</t>
  </si>
  <si>
    <t>T-00888</t>
  </si>
  <si>
    <t>T-00889</t>
  </si>
  <si>
    <t>T-00890</t>
  </si>
  <si>
    <t>T-00891</t>
  </si>
  <si>
    <t>T-00892</t>
  </si>
  <si>
    <t>T-00893</t>
  </si>
  <si>
    <t>T-00894</t>
  </si>
  <si>
    <t>T-00895</t>
  </si>
  <si>
    <t>T-00896</t>
  </si>
  <si>
    <t>T-00897</t>
  </si>
  <si>
    <t>T-00898</t>
  </si>
  <si>
    <t>T-00899</t>
  </si>
  <si>
    <t>T-00900</t>
  </si>
  <si>
    <t>T-00901</t>
  </si>
  <si>
    <t>T-00902</t>
  </si>
  <si>
    <t>T-00903</t>
  </si>
  <si>
    <t>T-00904</t>
  </si>
  <si>
    <t>T-00905</t>
  </si>
  <si>
    <t>T-00906</t>
  </si>
  <si>
    <t>T-00907</t>
  </si>
  <si>
    <t>T-00908</t>
  </si>
  <si>
    <t>T-00909</t>
  </si>
  <si>
    <t>T-00910</t>
  </si>
  <si>
    <t>T-00911</t>
  </si>
  <si>
    <t>T-00912</t>
  </si>
  <si>
    <t>T-00913</t>
  </si>
  <si>
    <t>T-00914</t>
  </si>
  <si>
    <t>T-00915</t>
  </si>
  <si>
    <t>T-00916</t>
  </si>
  <si>
    <t>T-00917</t>
  </si>
  <si>
    <t>T-00918</t>
  </si>
  <si>
    <t>T-00919</t>
  </si>
  <si>
    <t>T-00920</t>
  </si>
  <si>
    <t>T-00921</t>
  </si>
  <si>
    <t>T-00922</t>
  </si>
  <si>
    <t>T-00923</t>
  </si>
  <si>
    <t>T-00924</t>
  </si>
  <si>
    <t>T-00925</t>
  </si>
  <si>
    <t>T-00926</t>
  </si>
  <si>
    <t>T-00927</t>
  </si>
  <si>
    <t>T-00928</t>
  </si>
  <si>
    <t>T-00929</t>
  </si>
  <si>
    <t>T-00930</t>
  </si>
  <si>
    <t>T-00931</t>
  </si>
  <si>
    <t>T-00932</t>
  </si>
  <si>
    <t>T-00933</t>
  </si>
  <si>
    <t>T-00934</t>
  </si>
  <si>
    <t>T-00935</t>
  </si>
  <si>
    <t>T-00936</t>
  </si>
  <si>
    <t>T-00937</t>
  </si>
  <si>
    <t>T-00938</t>
  </si>
  <si>
    <t>T-00939</t>
  </si>
  <si>
    <t>T-00940</t>
  </si>
  <si>
    <t>T-00941</t>
  </si>
  <si>
    <t>T-00942</t>
  </si>
  <si>
    <t>T-00943</t>
  </si>
  <si>
    <t>T-00944</t>
  </si>
  <si>
    <t>T-00945</t>
  </si>
  <si>
    <t>T-00946</t>
  </si>
  <si>
    <t>T-00947</t>
  </si>
  <si>
    <t>T-00948</t>
  </si>
  <si>
    <t>T-00949</t>
  </si>
  <si>
    <t>T-00950</t>
  </si>
  <si>
    <t>T-00951</t>
  </si>
  <si>
    <t>T-00952</t>
  </si>
  <si>
    <t>T-00953</t>
  </si>
  <si>
    <t>T-00954</t>
  </si>
  <si>
    <t>T-00955</t>
  </si>
  <si>
    <t>T-00956</t>
  </si>
  <si>
    <t>T-00957</t>
  </si>
  <si>
    <t>T-00958</t>
  </si>
  <si>
    <t>T-00959</t>
  </si>
  <si>
    <t>T-00960</t>
  </si>
  <si>
    <t>T-00961</t>
  </si>
  <si>
    <t>T-00962</t>
  </si>
  <si>
    <t>T-00963</t>
  </si>
  <si>
    <t>T-00964</t>
  </si>
  <si>
    <t>T-00965</t>
  </si>
  <si>
    <t>T-00966</t>
  </si>
  <si>
    <t>T-00967</t>
  </si>
  <si>
    <t>T-00968</t>
  </si>
  <si>
    <t>T-00969</t>
  </si>
  <si>
    <t>T-00970</t>
  </si>
  <si>
    <t>T-00971</t>
  </si>
  <si>
    <t>T-00972</t>
  </si>
  <si>
    <t>T-00973</t>
  </si>
  <si>
    <t>T-00974</t>
  </si>
  <si>
    <t>T-00975</t>
  </si>
  <si>
    <t>T-00976</t>
  </si>
  <si>
    <t>T-00977</t>
  </si>
  <si>
    <t>T-00978</t>
  </si>
  <si>
    <t>T-00979</t>
  </si>
  <si>
    <t>T-00980</t>
  </si>
  <si>
    <t>T-00981</t>
  </si>
  <si>
    <t>T-00982</t>
  </si>
  <si>
    <t>T-00983</t>
  </si>
  <si>
    <t>T-00984</t>
  </si>
  <si>
    <t>T-00985</t>
  </si>
  <si>
    <t>T-00986</t>
  </si>
  <si>
    <t>T-00987</t>
  </si>
  <si>
    <t>T-00988</t>
  </si>
  <si>
    <t>T-00989</t>
  </si>
  <si>
    <t>T-00990</t>
  </si>
  <si>
    <t>T-00991</t>
  </si>
  <si>
    <t>T-00992</t>
  </si>
  <si>
    <t>T-00993</t>
  </si>
  <si>
    <t>T-00994</t>
  </si>
  <si>
    <t>T-00995</t>
  </si>
  <si>
    <t>T-00996</t>
  </si>
  <si>
    <t>T-00997</t>
  </si>
  <si>
    <t>T-00998</t>
  </si>
  <si>
    <t>T-00999</t>
  </si>
  <si>
    <t>T-01000</t>
  </si>
  <si>
    <t>T-01001</t>
  </si>
  <si>
    <t>T-01002</t>
  </si>
  <si>
    <t>T-01003</t>
  </si>
  <si>
    <t>T-01004</t>
  </si>
  <si>
    <t>T-01005</t>
  </si>
  <si>
    <t>T-01006</t>
  </si>
  <si>
    <t>T-01007</t>
  </si>
  <si>
    <t>T-01008</t>
  </si>
  <si>
    <t>T-01009</t>
  </si>
  <si>
    <t>T-01010</t>
  </si>
  <si>
    <t>T-01011</t>
  </si>
  <si>
    <t>T-01012</t>
  </si>
  <si>
    <t>T-01013</t>
  </si>
  <si>
    <t>T-01014</t>
  </si>
  <si>
    <t>T-01015</t>
  </si>
  <si>
    <t>T-01016</t>
  </si>
  <si>
    <t>T-01017</t>
  </si>
  <si>
    <t>T-01018</t>
  </si>
  <si>
    <t>T-01019</t>
  </si>
  <si>
    <t>T-01020</t>
  </si>
  <si>
    <t>T-01021</t>
  </si>
  <si>
    <t>T-01022</t>
  </si>
  <si>
    <t>T-01023</t>
  </si>
  <si>
    <t>T-01024</t>
  </si>
  <si>
    <t>T-01025</t>
  </si>
  <si>
    <t>T-01026</t>
  </si>
  <si>
    <t>T-01027</t>
  </si>
  <si>
    <t>T-01028</t>
  </si>
  <si>
    <t>T-01029</t>
  </si>
  <si>
    <t>T-01030</t>
  </si>
  <si>
    <t>T-01031</t>
  </si>
  <si>
    <t>T-01032</t>
  </si>
  <si>
    <t>T-01033</t>
  </si>
  <si>
    <t>T-01034</t>
  </si>
  <si>
    <t>T-01035</t>
  </si>
  <si>
    <t>T-01036</t>
  </si>
  <si>
    <t>T-01037</t>
  </si>
  <si>
    <t>T-01038</t>
  </si>
  <si>
    <t>T-01039</t>
  </si>
  <si>
    <t>T-01040</t>
  </si>
  <si>
    <t>T-01041</t>
  </si>
  <si>
    <t>T-01042</t>
  </si>
  <si>
    <t>T-01043</t>
  </si>
  <si>
    <t>T-01044</t>
  </si>
  <si>
    <t>T-01045</t>
  </si>
  <si>
    <t>T-01046</t>
  </si>
  <si>
    <t>T-01047</t>
  </si>
  <si>
    <t>T-01048</t>
  </si>
  <si>
    <t>T-01049</t>
  </si>
  <si>
    <t>T-01050</t>
  </si>
  <si>
    <t>T-01051</t>
  </si>
  <si>
    <t>T-01052</t>
  </si>
  <si>
    <t>T-01053</t>
  </si>
  <si>
    <t>T-01054</t>
  </si>
  <si>
    <t>T-01055</t>
  </si>
  <si>
    <t>T-01056</t>
  </si>
  <si>
    <t>T-01057</t>
  </si>
  <si>
    <t>T-01058</t>
  </si>
  <si>
    <t>T-01059</t>
  </si>
  <si>
    <t>T-01060</t>
  </si>
  <si>
    <t>T-01061</t>
  </si>
  <si>
    <t>T-01062</t>
  </si>
  <si>
    <t>T-01063</t>
  </si>
  <si>
    <t>T-01064</t>
  </si>
  <si>
    <t>T-01065</t>
  </si>
  <si>
    <t>T-01066</t>
  </si>
  <si>
    <t>T-01067</t>
  </si>
  <si>
    <t>T-01068</t>
  </si>
  <si>
    <t>T-01069</t>
  </si>
  <si>
    <t>T-01070</t>
  </si>
  <si>
    <t>T-01071</t>
  </si>
  <si>
    <t>T-01072</t>
  </si>
  <si>
    <t>T-01073</t>
  </si>
  <si>
    <t>T-01074</t>
  </si>
  <si>
    <t>T-01075</t>
  </si>
  <si>
    <t>T-01076</t>
  </si>
  <si>
    <t>T-01077</t>
  </si>
  <si>
    <t>T-01078</t>
  </si>
  <si>
    <t>T-01079</t>
  </si>
  <si>
    <t>T-01080</t>
  </si>
  <si>
    <t>T-01081</t>
  </si>
  <si>
    <t>T-01082</t>
  </si>
  <si>
    <t>T-01083</t>
  </si>
  <si>
    <t>T-01084</t>
  </si>
  <si>
    <t>T-01085</t>
  </si>
  <si>
    <t>T-01086</t>
  </si>
  <si>
    <t>T-01087</t>
  </si>
  <si>
    <t>T-01088</t>
  </si>
  <si>
    <t>T-01089</t>
  </si>
  <si>
    <t>T-01090</t>
  </si>
  <si>
    <t>T-01091</t>
  </si>
  <si>
    <t>T-01092</t>
  </si>
  <si>
    <t>T-01093</t>
  </si>
  <si>
    <t>T-01094</t>
  </si>
  <si>
    <t>T-01095</t>
  </si>
  <si>
    <t>T-01096</t>
  </si>
  <si>
    <t>T-01097</t>
  </si>
  <si>
    <t>T-01098</t>
  </si>
  <si>
    <t>T-01099</t>
  </si>
  <si>
    <t>T-01100</t>
  </si>
  <si>
    <t>T-01101</t>
  </si>
  <si>
    <t>T-01102</t>
  </si>
  <si>
    <t>T-01103</t>
  </si>
  <si>
    <t>T-01104</t>
  </si>
  <si>
    <t>T-01105</t>
  </si>
  <si>
    <t>T-01106</t>
  </si>
  <si>
    <t>T-01107</t>
  </si>
  <si>
    <t>T-01108</t>
  </si>
  <si>
    <t>T-01109</t>
  </si>
  <si>
    <t>T-01110</t>
  </si>
  <si>
    <t>T-01111</t>
  </si>
  <si>
    <t>T-01112</t>
  </si>
  <si>
    <t>T-01113</t>
  </si>
  <si>
    <t>T-01114</t>
  </si>
  <si>
    <t>T-01115</t>
  </si>
  <si>
    <t>T-01116</t>
  </si>
  <si>
    <t>T-01117</t>
  </si>
  <si>
    <t>T-01118</t>
  </si>
  <si>
    <t>T-01119</t>
  </si>
  <si>
    <t>T-01120</t>
  </si>
  <si>
    <t>T-01121</t>
  </si>
  <si>
    <t>T-01122</t>
  </si>
  <si>
    <t>T-01123</t>
  </si>
  <si>
    <t>T-01124</t>
  </si>
  <si>
    <t>T-01125</t>
  </si>
  <si>
    <t>T-01126</t>
  </si>
  <si>
    <t>T-01127</t>
  </si>
  <si>
    <t>T-01128</t>
  </si>
  <si>
    <t>T-01129</t>
  </si>
  <si>
    <t>T-01130</t>
  </si>
  <si>
    <t>T-01131</t>
  </si>
  <si>
    <t>T-01132</t>
  </si>
  <si>
    <t>T-01133</t>
  </si>
  <si>
    <t>T-01134</t>
  </si>
  <si>
    <t>T-01135</t>
  </si>
  <si>
    <t>T-01136</t>
  </si>
  <si>
    <t>T-01137</t>
  </si>
  <si>
    <t>T-01138</t>
  </si>
  <si>
    <t>T-01139</t>
  </si>
  <si>
    <t>T-01140</t>
  </si>
  <si>
    <t>T-01141</t>
  </si>
  <si>
    <t>T-01142</t>
  </si>
  <si>
    <t>T-01143</t>
  </si>
  <si>
    <t>T-01144</t>
  </si>
  <si>
    <t>T-01145</t>
  </si>
  <si>
    <t>T-01146</t>
  </si>
  <si>
    <t>T-01147</t>
  </si>
  <si>
    <t>T-01148</t>
  </si>
  <si>
    <t>T-01149</t>
  </si>
  <si>
    <t>T-01150</t>
  </si>
  <si>
    <t>T-01151</t>
  </si>
  <si>
    <t>T-01152</t>
  </si>
  <si>
    <t>T-01153</t>
  </si>
  <si>
    <t>T-01154</t>
  </si>
  <si>
    <t>T-01155</t>
  </si>
  <si>
    <t>T-01156</t>
  </si>
  <si>
    <t>T-01157</t>
  </si>
  <si>
    <t>T-01158</t>
  </si>
  <si>
    <t>T-01159</t>
  </si>
  <si>
    <t>T-01160</t>
  </si>
  <si>
    <t>T-01161</t>
  </si>
  <si>
    <t>T-01162</t>
  </si>
  <si>
    <t>T-01163</t>
  </si>
  <si>
    <t>T-01164</t>
  </si>
  <si>
    <t>T-01165</t>
  </si>
  <si>
    <t>T-01166</t>
  </si>
  <si>
    <t>T-01167</t>
  </si>
  <si>
    <t>T-01168</t>
  </si>
  <si>
    <t>T-01169</t>
  </si>
  <si>
    <t>T-01170</t>
  </si>
  <si>
    <t>T-01171</t>
  </si>
  <si>
    <t>T-01172</t>
  </si>
  <si>
    <t>T-01173</t>
  </si>
  <si>
    <t>T-01174</t>
  </si>
  <si>
    <t>T-01175</t>
  </si>
  <si>
    <t>T-01176</t>
  </si>
  <si>
    <t>T-01177</t>
  </si>
  <si>
    <t>T-01178</t>
  </si>
  <si>
    <t>T-01179</t>
  </si>
  <si>
    <t>T-01180</t>
  </si>
  <si>
    <t>T-01181</t>
  </si>
  <si>
    <t>T-01182</t>
  </si>
  <si>
    <t>T-01183</t>
  </si>
  <si>
    <t>T-01184</t>
  </si>
  <si>
    <t>T-01185</t>
  </si>
  <si>
    <t>T-01186</t>
  </si>
  <si>
    <t>T-01187</t>
  </si>
  <si>
    <t>T-01188</t>
  </si>
  <si>
    <t>T-01189</t>
  </si>
  <si>
    <t>T-01190</t>
  </si>
  <si>
    <t>T-01191</t>
  </si>
  <si>
    <t>T-01192</t>
  </si>
  <si>
    <t>T-01193</t>
  </si>
  <si>
    <t>T-01194</t>
  </si>
  <si>
    <t>T-01195</t>
  </si>
  <si>
    <t>T-01196</t>
  </si>
  <si>
    <t>T-01197</t>
  </si>
  <si>
    <t>T-01198</t>
  </si>
  <si>
    <t>T-01199</t>
  </si>
  <si>
    <t>T-01200</t>
  </si>
  <si>
    <t>T-01201</t>
  </si>
  <si>
    <t>T-01202</t>
  </si>
  <si>
    <t>T-01203</t>
  </si>
  <si>
    <t>T-01204</t>
  </si>
  <si>
    <t>T-01205</t>
  </si>
  <si>
    <t>T-01206</t>
  </si>
  <si>
    <t>T-01207</t>
  </si>
  <si>
    <t>T-01208</t>
  </si>
  <si>
    <t>T-01209</t>
  </si>
  <si>
    <t>T-01210</t>
  </si>
  <si>
    <t>T-01211</t>
  </si>
  <si>
    <t>T-01212</t>
  </si>
  <si>
    <t>T-01213</t>
  </si>
  <si>
    <t>T-01214</t>
  </si>
  <si>
    <t>T-01215</t>
  </si>
  <si>
    <t>T-01216</t>
  </si>
  <si>
    <t>T-01217</t>
  </si>
  <si>
    <t>T-01218</t>
  </si>
  <si>
    <t>T-01219</t>
  </si>
  <si>
    <t>T-01220</t>
  </si>
  <si>
    <t>T-01221</t>
  </si>
  <si>
    <t>T-01222</t>
  </si>
  <si>
    <t>T-01223</t>
  </si>
  <si>
    <t>T-01224</t>
  </si>
  <si>
    <t>T-01225</t>
  </si>
  <si>
    <t>T-01226</t>
  </si>
  <si>
    <t>T-01227</t>
  </si>
  <si>
    <t>T-01228</t>
  </si>
  <si>
    <t>T-01229</t>
  </si>
  <si>
    <t>T-01230</t>
  </si>
  <si>
    <t>T-01231</t>
  </si>
  <si>
    <t>T-01232</t>
  </si>
  <si>
    <t>T-01233</t>
  </si>
  <si>
    <t>T-01234</t>
  </si>
  <si>
    <t>T-01235</t>
  </si>
  <si>
    <t>T-01236</t>
  </si>
  <si>
    <t>T-01237</t>
  </si>
  <si>
    <t>T-01238</t>
  </si>
  <si>
    <t>T-01239</t>
  </si>
  <si>
    <t>T-01240</t>
  </si>
  <si>
    <t>T-01241</t>
  </si>
  <si>
    <t>T-01242</t>
  </si>
  <si>
    <t>T-01243</t>
  </si>
  <si>
    <t>T-01244</t>
  </si>
  <si>
    <t>T-01245</t>
  </si>
  <si>
    <t>T-01246</t>
  </si>
  <si>
    <t>T-01247</t>
  </si>
  <si>
    <t>T-01248</t>
  </si>
  <si>
    <t>T-01249</t>
  </si>
  <si>
    <t>T-01250</t>
  </si>
  <si>
    <t>T-01251</t>
  </si>
  <si>
    <t>T-01252</t>
  </si>
  <si>
    <t>T-01253</t>
  </si>
  <si>
    <t>T-01254</t>
  </si>
  <si>
    <t>T-01255</t>
  </si>
  <si>
    <t>T-01256</t>
  </si>
  <si>
    <t>T-01257</t>
  </si>
  <si>
    <t>T-01258</t>
  </si>
  <si>
    <t>T-01259</t>
  </si>
  <si>
    <t>T-01260</t>
  </si>
  <si>
    <t>T-01261</t>
  </si>
  <si>
    <t>T-01262</t>
  </si>
  <si>
    <t>T-01263</t>
  </si>
  <si>
    <t>T-01264</t>
  </si>
  <si>
    <t>T-01265</t>
  </si>
  <si>
    <t>T-01266</t>
  </si>
  <si>
    <t>T-01267</t>
  </si>
  <si>
    <t>T-01268</t>
  </si>
  <si>
    <t>T-01269</t>
  </si>
  <si>
    <t>T-01270</t>
  </si>
  <si>
    <t>T-01271</t>
  </si>
  <si>
    <t>T-01272</t>
  </si>
  <si>
    <t>T-01273</t>
  </si>
  <si>
    <t>T-01274</t>
  </si>
  <si>
    <t>T-01275</t>
  </si>
  <si>
    <t>T-01276</t>
  </si>
  <si>
    <t>T-01277</t>
  </si>
  <si>
    <t>T-01278</t>
  </si>
  <si>
    <t>T-01279</t>
  </si>
  <si>
    <t>T-01280</t>
  </si>
  <si>
    <t>T-01281</t>
  </si>
  <si>
    <t>T-01282</t>
  </si>
  <si>
    <t>T-01283</t>
  </si>
  <si>
    <t>T-01284</t>
  </si>
  <si>
    <t>T-01285</t>
  </si>
  <si>
    <t>T-01286</t>
  </si>
  <si>
    <t>T-01287</t>
  </si>
  <si>
    <t>T-01288</t>
  </si>
  <si>
    <t>T-01289</t>
  </si>
  <si>
    <t>T-01290</t>
  </si>
  <si>
    <t>T-01291</t>
  </si>
  <si>
    <t>T-01292</t>
  </si>
  <si>
    <t>T-01293</t>
  </si>
  <si>
    <t>T-01294</t>
  </si>
  <si>
    <t>T-01295</t>
  </si>
  <si>
    <t>T-01296</t>
  </si>
  <si>
    <t>T-01297</t>
  </si>
  <si>
    <t>T-01298</t>
  </si>
  <si>
    <t>T-01299</t>
  </si>
  <si>
    <t>T-01300</t>
  </si>
  <si>
    <t>T-01301</t>
  </si>
  <si>
    <t>T-01302</t>
  </si>
  <si>
    <t>T-01303</t>
  </si>
  <si>
    <t>T-01304</t>
  </si>
  <si>
    <t>T-01305</t>
  </si>
  <si>
    <t>T-01306</t>
  </si>
  <si>
    <t>T-01307</t>
  </si>
  <si>
    <t>T-01308</t>
  </si>
  <si>
    <t>T-01309</t>
  </si>
  <si>
    <t>T-01310</t>
  </si>
  <si>
    <t>T-01311</t>
  </si>
  <si>
    <t>T-01312</t>
  </si>
  <si>
    <t>T-01313</t>
  </si>
  <si>
    <t>T-01314</t>
  </si>
  <si>
    <t>T-01315</t>
  </si>
  <si>
    <t>T-01316</t>
  </si>
  <si>
    <t>T-01317</t>
  </si>
  <si>
    <t>T-01318</t>
  </si>
  <si>
    <t>T-01319</t>
  </si>
  <si>
    <t>T-01320</t>
  </si>
  <si>
    <t>T-01321</t>
  </si>
  <si>
    <t>T-01322</t>
  </si>
  <si>
    <t>T-01323</t>
  </si>
  <si>
    <t>T-01324</t>
  </si>
  <si>
    <t>T-01325</t>
  </si>
  <si>
    <t>T-01326</t>
  </si>
  <si>
    <t>T-01327</t>
  </si>
  <si>
    <t>T-01328</t>
  </si>
  <si>
    <t>T-01329</t>
  </si>
  <si>
    <t>T-01330</t>
  </si>
  <si>
    <t>T-01331</t>
  </si>
  <si>
    <t>T-01332</t>
  </si>
  <si>
    <t>T-01333</t>
  </si>
  <si>
    <t>T-01334</t>
  </si>
  <si>
    <t>T-01335</t>
  </si>
  <si>
    <t>T-01336</t>
  </si>
  <si>
    <t>T-01337</t>
  </si>
  <si>
    <t>T-01338</t>
  </si>
  <si>
    <t>T-01339</t>
  </si>
  <si>
    <t>T-01340</t>
  </si>
  <si>
    <t>T-01341</t>
  </si>
  <si>
    <t>T-01342</t>
  </si>
  <si>
    <t>T-01343</t>
  </si>
  <si>
    <t>T-01344</t>
  </si>
  <si>
    <t>T-01345</t>
  </si>
  <si>
    <t>T-01346</t>
  </si>
  <si>
    <t>T-01347</t>
  </si>
  <si>
    <t>T-01348</t>
  </si>
  <si>
    <t>T-01349</t>
  </si>
  <si>
    <t>T-01350</t>
  </si>
  <si>
    <t>T-01351</t>
  </si>
  <si>
    <t>T-01352</t>
  </si>
  <si>
    <t>T-01353</t>
  </si>
  <si>
    <t>T-01354</t>
  </si>
  <si>
    <t>T-01355</t>
  </si>
  <si>
    <t>T-01356</t>
  </si>
  <si>
    <t>T-01357</t>
  </si>
  <si>
    <t>T-01358</t>
  </si>
  <si>
    <t>T-01359</t>
  </si>
  <si>
    <t>T-01360</t>
  </si>
  <si>
    <t>T-01361</t>
  </si>
  <si>
    <t>T-01362</t>
  </si>
  <si>
    <t>T-01363</t>
  </si>
  <si>
    <t>T-01364</t>
  </si>
  <si>
    <t>T-01365</t>
  </si>
  <si>
    <t>T-01366</t>
  </si>
  <si>
    <t>T-01367</t>
  </si>
  <si>
    <t>T-01368</t>
  </si>
  <si>
    <t>T-01369</t>
  </si>
  <si>
    <t>T-01370</t>
  </si>
  <si>
    <t>T-01371</t>
  </si>
  <si>
    <t>T-01372</t>
  </si>
  <si>
    <t>T-01373</t>
  </si>
  <si>
    <t>T-01374</t>
  </si>
  <si>
    <t>T-01375</t>
  </si>
  <si>
    <t>T-01376</t>
  </si>
  <si>
    <t>T-01377</t>
  </si>
  <si>
    <t>T-01378</t>
  </si>
  <si>
    <t>T-01379</t>
  </si>
  <si>
    <t>T-01380</t>
  </si>
  <si>
    <t>T-01381</t>
  </si>
  <si>
    <t>T-01382</t>
  </si>
  <si>
    <t>T-01383</t>
  </si>
  <si>
    <t>T-01384</t>
  </si>
  <si>
    <t>T-01385</t>
  </si>
  <si>
    <t>T-01386</t>
  </si>
  <si>
    <t>T-01387</t>
  </si>
  <si>
    <t>T-01388</t>
  </si>
  <si>
    <t>T-01389</t>
  </si>
  <si>
    <t>T-01390</t>
  </si>
  <si>
    <t>T-01391</t>
  </si>
  <si>
    <t>T-01392</t>
  </si>
  <si>
    <t>T-01393</t>
  </si>
  <si>
    <t>T-01394</t>
  </si>
  <si>
    <t>T-01395</t>
  </si>
  <si>
    <t>T-01396</t>
  </si>
  <si>
    <t>T-01397</t>
  </si>
  <si>
    <t>T-01398</t>
  </si>
  <si>
    <t>T-01399</t>
  </si>
  <si>
    <t>T-01400</t>
  </si>
  <si>
    <t>T-01401</t>
  </si>
  <si>
    <t>T-01402</t>
  </si>
  <si>
    <t>T-01403</t>
  </si>
  <si>
    <t>T-01404</t>
  </si>
  <si>
    <t>T-01405</t>
  </si>
  <si>
    <t>T-01406</t>
  </si>
  <si>
    <t>T-01407</t>
  </si>
  <si>
    <t>T-01408</t>
  </si>
  <si>
    <t>T-01409</t>
  </si>
  <si>
    <t>T-01410</t>
  </si>
  <si>
    <t>T-01411</t>
  </si>
  <si>
    <t>T-01412</t>
  </si>
  <si>
    <t>T-01413</t>
  </si>
  <si>
    <t>T-01414</t>
  </si>
  <si>
    <t>T-01415</t>
  </si>
  <si>
    <t>T-01416</t>
  </si>
  <si>
    <t>T-01417</t>
  </si>
  <si>
    <t>T-01418</t>
  </si>
  <si>
    <t>T-01419</t>
  </si>
  <si>
    <t>T-01420</t>
  </si>
  <si>
    <t>T-01421</t>
  </si>
  <si>
    <t>T-01422</t>
  </si>
  <si>
    <t>T-01423</t>
  </si>
  <si>
    <t>T-01424</t>
  </si>
  <si>
    <t>T-01425</t>
  </si>
  <si>
    <t>T-01426</t>
  </si>
  <si>
    <t>T-01427</t>
  </si>
  <si>
    <t>T-01428</t>
  </si>
  <si>
    <t>T-01429</t>
  </si>
  <si>
    <t>T-01430</t>
  </si>
  <si>
    <t>T-01431</t>
  </si>
  <si>
    <t>T-01432</t>
  </si>
  <si>
    <t>T-01433</t>
  </si>
  <si>
    <t>T-01434</t>
  </si>
  <si>
    <t>T-01435</t>
  </si>
  <si>
    <t>T-01436</t>
  </si>
  <si>
    <t>T-01437</t>
  </si>
  <si>
    <t>T-01438</t>
  </si>
  <si>
    <t>T-01439</t>
  </si>
  <si>
    <t>T-01440</t>
  </si>
  <si>
    <t>T-01441</t>
  </si>
  <si>
    <t>T-01442</t>
  </si>
  <si>
    <t>T-01443</t>
  </si>
  <si>
    <t>T-01444</t>
  </si>
  <si>
    <t>T-01445</t>
  </si>
  <si>
    <t>T-01446</t>
  </si>
  <si>
    <t>T-01447</t>
  </si>
  <si>
    <t>T-01448</t>
  </si>
  <si>
    <t>T-01449</t>
  </si>
  <si>
    <t>T-01450</t>
  </si>
  <si>
    <t>T-01451</t>
  </si>
  <si>
    <t>T-01452</t>
  </si>
  <si>
    <t>T-01453</t>
  </si>
  <si>
    <t>T-01454</t>
  </si>
  <si>
    <t>T-01455</t>
  </si>
  <si>
    <t>T-01456</t>
  </si>
  <si>
    <t>T-01457</t>
  </si>
  <si>
    <t>T-01458</t>
  </si>
  <si>
    <t>T-01459</t>
  </si>
  <si>
    <t>T-01460</t>
  </si>
  <si>
    <t>T-01461</t>
  </si>
  <si>
    <t>T-01462</t>
  </si>
  <si>
    <t>T-01463</t>
  </si>
  <si>
    <t>T-01464</t>
  </si>
  <si>
    <t>T-01465</t>
  </si>
  <si>
    <t>T-01466</t>
  </si>
  <si>
    <t>T-01467</t>
  </si>
  <si>
    <t>T-01468</t>
  </si>
  <si>
    <t>T-01469</t>
  </si>
  <si>
    <t>T-01470</t>
  </si>
  <si>
    <t>T-01471</t>
  </si>
  <si>
    <t>T-01472</t>
  </si>
  <si>
    <t>T-01473</t>
  </si>
  <si>
    <t>T-01474</t>
  </si>
  <si>
    <t>T-01475</t>
  </si>
  <si>
    <t>T-01476</t>
  </si>
  <si>
    <t>T-01477</t>
  </si>
  <si>
    <t>T-01478</t>
  </si>
  <si>
    <t>T-01479</t>
  </si>
  <si>
    <t>T-01480</t>
  </si>
  <si>
    <t>T-01481</t>
  </si>
  <si>
    <t>T-01482</t>
  </si>
  <si>
    <t>T-01483</t>
  </si>
  <si>
    <t>T-01484</t>
  </si>
  <si>
    <t>T-01485</t>
  </si>
  <si>
    <t>T-01486</t>
  </si>
  <si>
    <t>T-01487</t>
  </si>
  <si>
    <t>T-01488</t>
  </si>
  <si>
    <t>T-01489</t>
  </si>
  <si>
    <t>T-01490</t>
  </si>
  <si>
    <t>T-01491</t>
  </si>
  <si>
    <t>T-01492</t>
  </si>
  <si>
    <t>T-01493</t>
  </si>
  <si>
    <t>T-01494</t>
  </si>
  <si>
    <t>T-01495</t>
  </si>
  <si>
    <t>T-01496</t>
  </si>
  <si>
    <t>T-01497</t>
  </si>
  <si>
    <t>T-01498</t>
  </si>
  <si>
    <t>T-01499</t>
  </si>
  <si>
    <t>T-01500</t>
  </si>
  <si>
    <t>T-01501</t>
  </si>
  <si>
    <t>Automat: FOLLOW-UP 3D | dni od akcji: 159</t>
  </si>
  <si>
    <t>T-01502</t>
  </si>
  <si>
    <t>Automat: FOLLOW-UP 7D | dni od akcji: 159</t>
  </si>
  <si>
    <t>T-01503</t>
  </si>
  <si>
    <t>Automat: FOLLOW-UP 30D | dni od akcji: 159</t>
  </si>
  <si>
    <t>T-01504</t>
  </si>
  <si>
    <t>Automat: REAKTYWACJA 90D | dni od akcji: 159</t>
  </si>
  <si>
    <t>T-01505</t>
  </si>
  <si>
    <t>Automat: FOLLOW-UP 3D | dni od akcji: 152</t>
  </si>
  <si>
    <t>T-01506</t>
  </si>
  <si>
    <t>Automat: FOLLOW-UP 7D | dni od akcji: 152</t>
  </si>
  <si>
    <t>T-01507</t>
  </si>
  <si>
    <t>Automat: FOLLOW-UP 30D | dni od akcji: 152</t>
  </si>
  <si>
    <t>T-01508</t>
  </si>
  <si>
    <t>Automat: REAKTYWACJA 90D | dni od akcji: 152</t>
  </si>
  <si>
    <t>T-01509</t>
  </si>
  <si>
    <t>Automat: FOLLOW-UP 3D | dni od akcji: 149</t>
  </si>
  <si>
    <t>T-01510</t>
  </si>
  <si>
    <t>Automat: FOLLOW-UP 7D | dni od akcji: 149</t>
  </si>
  <si>
    <t>T-01511</t>
  </si>
  <si>
    <t>Automat: FOLLOW-UP 30D | dni od akcji: 149</t>
  </si>
  <si>
    <t>T-01512</t>
  </si>
  <si>
    <t>Automat: REAKTYWACJA 90D | dni od akcji: 149</t>
  </si>
  <si>
    <t>T-01513</t>
  </si>
  <si>
    <t>Automat: FOLLOW-UP 3D | dni od akcji: 148</t>
  </si>
  <si>
    <t>T-01514</t>
  </si>
  <si>
    <t>Automat: FOLLOW-UP 7D | dni od akcji: 148</t>
  </si>
  <si>
    <t>T-01515</t>
  </si>
  <si>
    <t>Automat: FOLLOW-UP 30D | dni od akcji: 148</t>
  </si>
  <si>
    <t>T-01516</t>
  </si>
  <si>
    <t>Automat: REAKTYWACJA 90D | dni od akcji: 148</t>
  </si>
  <si>
    <t>T-01517</t>
  </si>
  <si>
    <t>Automat: FOLLOW-UP 3D | dni od akcji: 147</t>
  </si>
  <si>
    <t>T-01518</t>
  </si>
  <si>
    <t>Automat: FOLLOW-UP 7D | dni od akcji: 147</t>
  </si>
  <si>
    <t>T-01519</t>
  </si>
  <si>
    <t>Automat: FOLLOW-UP 30D | dni od akcji: 147</t>
  </si>
  <si>
    <t>T-01520</t>
  </si>
  <si>
    <t>Automat: REAKTYWACJA 90D | dni od akcji: 147</t>
  </si>
  <si>
    <t>T-01521</t>
  </si>
  <si>
    <t>T-01522</t>
  </si>
  <si>
    <t>T-01523</t>
  </si>
  <si>
    <t>T-01524</t>
  </si>
  <si>
    <t>T-01525</t>
  </si>
  <si>
    <t>Automat: FOLLOW-UP 3D | dni od akcji: 145</t>
  </si>
  <si>
    <t>T-01526</t>
  </si>
  <si>
    <t>Automat: FOLLOW-UP 7D | dni od akcji: 145</t>
  </si>
  <si>
    <t>T-01527</t>
  </si>
  <si>
    <t>Automat: FOLLOW-UP 30D | dni od akcji: 145</t>
  </si>
  <si>
    <t>T-01528</t>
  </si>
  <si>
    <t>Automat: REAKTYWACJA 90D | dni od akcji: 145</t>
  </si>
  <si>
    <t>T-01529</t>
  </si>
  <si>
    <t>T-01530</t>
  </si>
  <si>
    <t>T-01531</t>
  </si>
  <si>
    <t>T-01532</t>
  </si>
  <si>
    <t>T-01533</t>
  </si>
  <si>
    <t>T-01534</t>
  </si>
  <si>
    <t>T-01535</t>
  </si>
  <si>
    <t>T-01536</t>
  </si>
  <si>
    <t>T-01537</t>
  </si>
  <si>
    <t>Automat: FOLLOW-UP 3D | dni od akcji: 142</t>
  </si>
  <si>
    <t>T-01538</t>
  </si>
  <si>
    <t>Automat: FOLLOW-UP 7D | dni od akcji: 142</t>
  </si>
  <si>
    <t>T-01539</t>
  </si>
  <si>
    <t>Automat: FOLLOW-UP 30D | dni od akcji: 142</t>
  </si>
  <si>
    <t>T-01540</t>
  </si>
  <si>
    <t>Automat: REAKTYWACJA 90D | dni od akcji: 142</t>
  </si>
  <si>
    <t>T-01541</t>
  </si>
  <si>
    <t>T-01542</t>
  </si>
  <si>
    <t>T-01543</t>
  </si>
  <si>
    <t>T-01544</t>
  </si>
  <si>
    <t>T-01545</t>
  </si>
  <si>
    <t>Automat: FOLLOW-UP 3D | dni od akcji: 503</t>
  </si>
  <si>
    <t>T-01546</t>
  </si>
  <si>
    <t>Automat: FOLLOW-UP 7D | dni od akcji: 503</t>
  </si>
  <si>
    <t>T-01547</t>
  </si>
  <si>
    <t>Automat: FOLLOW-UP 30D | dni od akcji: 503</t>
  </si>
  <si>
    <t>T-01548</t>
  </si>
  <si>
    <t>Automat: REAKTYWACJA 90D | dni od akcji: 503</t>
  </si>
  <si>
    <t>T-01549</t>
  </si>
  <si>
    <t>Automat: FOLLOW-UP 3D | dni od akcji: 135</t>
  </si>
  <si>
    <t>T-01550</t>
  </si>
  <si>
    <t>Automat: FOLLOW-UP 7D | dni od akcji: 135</t>
  </si>
  <si>
    <t>T-01551</t>
  </si>
  <si>
    <t>Automat: FOLLOW-UP 30D | dni od akcji: 135</t>
  </si>
  <si>
    <t>T-01552</t>
  </si>
  <si>
    <t>Automat: REAKTYWACJA 90D | dni od akcji: 135</t>
  </si>
  <si>
    <t>T-01553</t>
  </si>
  <si>
    <t>T-01554</t>
  </si>
  <si>
    <t>T-01555</t>
  </si>
  <si>
    <t>T-01556</t>
  </si>
  <si>
    <t>T-01557</t>
  </si>
  <si>
    <t>Automat: FOLLOW-UP 3D | dni od akcji: 134</t>
  </si>
  <si>
    <t>T-01558</t>
  </si>
  <si>
    <t>Automat: FOLLOW-UP 7D | dni od akcji: 134</t>
  </si>
  <si>
    <t>T-01559</t>
  </si>
  <si>
    <t>Automat: FOLLOW-UP 30D | dni od akcji: 134</t>
  </si>
  <si>
    <t>T-01560</t>
  </si>
  <si>
    <t>Automat: REAKTYWACJA 90D | dni od akcji: 134</t>
  </si>
  <si>
    <t>T-01561</t>
  </si>
  <si>
    <t>T-01562</t>
  </si>
  <si>
    <t>T-01563</t>
  </si>
  <si>
    <t>T-01564</t>
  </si>
  <si>
    <t>T-01565</t>
  </si>
  <si>
    <t>Automat: FOLLOW-UP 3D | dni od akcji: 132</t>
  </si>
  <si>
    <t>T-01566</t>
  </si>
  <si>
    <t>Automat: FOLLOW-UP 7D | dni od akcji: 132</t>
  </si>
  <si>
    <t>T-01567</t>
  </si>
  <si>
    <t>Automat: FOLLOW-UP 30D | dni od akcji: 132</t>
  </si>
  <si>
    <t>T-01568</t>
  </si>
  <si>
    <t>Automat: REAKTYWACJA 90D | dni od akcji: 132</t>
  </si>
  <si>
    <t>T-01569</t>
  </si>
  <si>
    <t>Automat: FOLLOW-UP 3D | dni od akcji: 128</t>
  </si>
  <si>
    <t>T-01570</t>
  </si>
  <si>
    <t>Automat: FOLLOW-UP 7D | dni od akcji: 128</t>
  </si>
  <si>
    <t>T-01571</t>
  </si>
  <si>
    <t>Automat: FOLLOW-UP 30D | dni od akcji: 128</t>
  </si>
  <si>
    <t>T-01572</t>
  </si>
  <si>
    <t>Automat: REAKTYWACJA 90D | dni od akcji: 128</t>
  </si>
  <si>
    <t>T-01573</t>
  </si>
  <si>
    <t>T-01574</t>
  </si>
  <si>
    <t>T-01575</t>
  </si>
  <si>
    <t>T-01576</t>
  </si>
  <si>
    <t>T-01577</t>
  </si>
  <si>
    <t>T-01578</t>
  </si>
  <si>
    <t>T-01579</t>
  </si>
  <si>
    <t>T-01580</t>
  </si>
  <si>
    <t>T-01581</t>
  </si>
  <si>
    <t>Automat: FOLLOW-UP 3D | dni od akcji: 127</t>
  </si>
  <si>
    <t>T-01582</t>
  </si>
  <si>
    <t>Automat: FOLLOW-UP 7D | dni od akcji: 127</t>
  </si>
  <si>
    <t>T-01583</t>
  </si>
  <si>
    <t>Automat: FOLLOW-UP 30D | dni od akcji: 127</t>
  </si>
  <si>
    <t>T-01584</t>
  </si>
  <si>
    <t>Automat: REAKTYWACJA 90D | dni od akcji: 127</t>
  </si>
  <si>
    <t>T-01585</t>
  </si>
  <si>
    <t>Automat: FOLLOW-UP 3D | dni od akcji: 125</t>
  </si>
  <si>
    <t>T-01586</t>
  </si>
  <si>
    <t>Automat: FOLLOW-UP 7D | dni od akcji: 125</t>
  </si>
  <si>
    <t>T-01587</t>
  </si>
  <si>
    <t>Automat: FOLLOW-UP 30D | dni od akcji: 125</t>
  </si>
  <si>
    <t>T-01588</t>
  </si>
  <si>
    <t>Automat: REAKTYWACJA 90D | dni od akcji: 125</t>
  </si>
  <si>
    <t>T-01589</t>
  </si>
  <si>
    <t>Automat: FOLLOW-UP 3D | dni od akcji: 121</t>
  </si>
  <si>
    <t>T-01590</t>
  </si>
  <si>
    <t>Automat: FOLLOW-UP 7D | dni od akcji: 121</t>
  </si>
  <si>
    <t>T-01591</t>
  </si>
  <si>
    <t>Automat: FOLLOW-UP 30D | dni od akcji: 121</t>
  </si>
  <si>
    <t>T-01592</t>
  </si>
  <si>
    <t>Automat: REAKTYWACJA 90D | dni od akcji: 121</t>
  </si>
  <si>
    <t>T-01593</t>
  </si>
  <si>
    <t>T-01594</t>
  </si>
  <si>
    <t>T-01595</t>
  </si>
  <si>
    <t>T-01596</t>
  </si>
  <si>
    <t>T-01597</t>
  </si>
  <si>
    <t>Automat: FOLLOW-UP 3D | dni od akcji: 486</t>
  </si>
  <si>
    <t>T-01598</t>
  </si>
  <si>
    <t>Automat: FOLLOW-UP 7D | dni od akcji: 486</t>
  </si>
  <si>
    <t>T-01599</t>
  </si>
  <si>
    <t>Automat: FOLLOW-UP 30D | dni od akcji: 486</t>
  </si>
  <si>
    <t>T-01600</t>
  </si>
  <si>
    <t>Automat: REAKTYWACJA 90D | dni od akcji: 486</t>
  </si>
  <si>
    <t>T-01601</t>
  </si>
  <si>
    <t>Automat: FOLLOW-UP 3D | dni od akcji: 120</t>
  </si>
  <si>
    <t>T-01602</t>
  </si>
  <si>
    <t>Automat: FOLLOW-UP 7D | dni od akcji: 120</t>
  </si>
  <si>
    <t>T-01603</t>
  </si>
  <si>
    <t>Automat: FOLLOW-UP 30D | dni od akcji: 120</t>
  </si>
  <si>
    <t>T-01604</t>
  </si>
  <si>
    <t>Automat: REAKTYWACJA 90D | dni od akcji: 120</t>
  </si>
  <si>
    <t>T-01605</t>
  </si>
  <si>
    <t>Automat: FOLLOW-UP 3D | dni od akcji: 119</t>
  </si>
  <si>
    <t>T-01606</t>
  </si>
  <si>
    <t>Automat: FOLLOW-UP 7D | dni od akcji: 119</t>
  </si>
  <si>
    <t>T-01607</t>
  </si>
  <si>
    <t>Automat: FOLLOW-UP 30D | dni od akcji: 119</t>
  </si>
  <si>
    <t>T-01608</t>
  </si>
  <si>
    <t>Automat: REAKTYWACJA 90D | dni od akcji: 119</t>
  </si>
  <si>
    <t>T-01609</t>
  </si>
  <si>
    <t>Automat: FOLLOW-UP 3D | dni od akcji: 117</t>
  </si>
  <si>
    <t>T-01610</t>
  </si>
  <si>
    <t>Automat: FOLLOW-UP 7D | dni od akcji: 117</t>
  </si>
  <si>
    <t>T-01611</t>
  </si>
  <si>
    <t>Automat: FOLLOW-UP 30D | dni od akcji: 117</t>
  </si>
  <si>
    <t>T-01612</t>
  </si>
  <si>
    <t>Automat: REAKTYWACJA 90D | dni od akcji: 117</t>
  </si>
  <si>
    <t>T-01613</t>
  </si>
  <si>
    <t>T-01614</t>
  </si>
  <si>
    <t>T-01615</t>
  </si>
  <si>
    <t>T-01616</t>
  </si>
  <si>
    <t>T-01617</t>
  </si>
  <si>
    <t>Automat: FOLLOW-UP 3D | dni od akcji: 114</t>
  </si>
  <si>
    <t>T-01618</t>
  </si>
  <si>
    <t>Automat: FOLLOW-UP 7D | dni od akcji: 114</t>
  </si>
  <si>
    <t>T-01619</t>
  </si>
  <si>
    <t>Automat: FOLLOW-UP 30D | dni od akcji: 114</t>
  </si>
  <si>
    <t>T-01620</t>
  </si>
  <si>
    <t>Automat: REAKTYWACJA 90D | dni od akcji: 114</t>
  </si>
  <si>
    <t>T-01621</t>
  </si>
  <si>
    <t>T-01622</t>
  </si>
  <si>
    <t>T-01623</t>
  </si>
  <si>
    <t>T-01624</t>
  </si>
  <si>
    <t>T-01625</t>
  </si>
  <si>
    <t>T-01626</t>
  </si>
  <si>
    <t>T-01627</t>
  </si>
  <si>
    <t>T-01628</t>
  </si>
  <si>
    <t>T-01629</t>
  </si>
  <si>
    <t>Automat: FOLLOW-UP 3D | dni od akcji: 113</t>
  </si>
  <si>
    <t>T-01630</t>
  </si>
  <si>
    <t>Automat: FOLLOW-UP 7D | dni od akcji: 113</t>
  </si>
  <si>
    <t>T-01631</t>
  </si>
  <si>
    <t>Automat: FOLLOW-UP 30D | dni od akcji: 113</t>
  </si>
  <si>
    <t>T-01632</t>
  </si>
  <si>
    <t>Automat: REAKTYWACJA 90D | dni od akcji: 113</t>
  </si>
  <si>
    <t>T-01633</t>
  </si>
  <si>
    <t>T-01634</t>
  </si>
  <si>
    <t>T-01635</t>
  </si>
  <si>
    <t>T-01636</t>
  </si>
  <si>
    <t>T-01637</t>
  </si>
  <si>
    <t>T-01638</t>
  </si>
  <si>
    <t>T-01639</t>
  </si>
  <si>
    <t>T-01640</t>
  </si>
  <si>
    <t>T-01641</t>
  </si>
  <si>
    <t>Automat: FOLLOW-UP 3D | dni od akcji: 112</t>
  </si>
  <si>
    <t>T-01642</t>
  </si>
  <si>
    <t>Automat: FOLLOW-UP 7D | dni od akcji: 112</t>
  </si>
  <si>
    <t>T-01643</t>
  </si>
  <si>
    <t>Automat: FOLLOW-UP 30D | dni od akcji: 112</t>
  </si>
  <si>
    <t>T-01644</t>
  </si>
  <si>
    <t>Automat: REAKTYWACJA 90D | dni od akcji: 112</t>
  </si>
  <si>
    <t>T-01645</t>
  </si>
  <si>
    <t>Automat: FOLLOW-UP 3D | dni od akcji: 107</t>
  </si>
  <si>
    <t>T-01646</t>
  </si>
  <si>
    <t>Automat: FOLLOW-UP 7D | dni od akcji: 107</t>
  </si>
  <si>
    <t>T-01647</t>
  </si>
  <si>
    <t>Automat: FOLLOW-UP 30D | dni od akcji: 107</t>
  </si>
  <si>
    <t>T-01648</t>
  </si>
  <si>
    <t>Automat: REAKTYWACJA 90D | dni od akcji: 107</t>
  </si>
  <si>
    <t>T-01649</t>
  </si>
  <si>
    <t>Automat: FOLLOW-UP 3D | dni od akcji: 106</t>
  </si>
  <si>
    <t>T-01650</t>
  </si>
  <si>
    <t>Automat: FOLLOW-UP 7D | dni od akcji: 106</t>
  </si>
  <si>
    <t>T-01651</t>
  </si>
  <si>
    <t>Automat: FOLLOW-UP 30D | dni od akcji: 106</t>
  </si>
  <si>
    <t>T-01652</t>
  </si>
  <si>
    <t>Automat: REAKTYWACJA 90D | dni od akcji: 106</t>
  </si>
  <si>
    <t>T-01653</t>
  </si>
  <si>
    <t>Automat: FOLLOW-UP 3D | dni od akcji: 105</t>
  </si>
  <si>
    <t>T-01654</t>
  </si>
  <si>
    <t>Automat: FOLLOW-UP 7D | dni od akcji: 105</t>
  </si>
  <si>
    <t>T-01655</t>
  </si>
  <si>
    <t>Automat: FOLLOW-UP 30D | dni od akcji: 105</t>
  </si>
  <si>
    <t>T-01656</t>
  </si>
  <si>
    <t>Automat: REAKTYWACJA 90D | dni od akcji: 105</t>
  </si>
  <si>
    <t>T-01657</t>
  </si>
  <si>
    <t>T-01658</t>
  </si>
  <si>
    <t>T-01659</t>
  </si>
  <si>
    <t>T-01660</t>
  </si>
  <si>
    <t>T-01661</t>
  </si>
  <si>
    <t>T-01662</t>
  </si>
  <si>
    <t>T-01663</t>
  </si>
  <si>
    <t>T-01664</t>
  </si>
  <si>
    <t>T-01665</t>
  </si>
  <si>
    <t>T-01666</t>
  </si>
  <si>
    <t>T-01667</t>
  </si>
  <si>
    <t>T-01668</t>
  </si>
  <si>
    <t>T-01669</t>
  </si>
  <si>
    <t>T-01670</t>
  </si>
  <si>
    <t>T-01671</t>
  </si>
  <si>
    <t>T-01672</t>
  </si>
  <si>
    <t>T-01673</t>
  </si>
  <si>
    <t>Automat: FOLLOW-UP 3D | dni od akcji: 104</t>
  </si>
  <si>
    <t>T-01674</t>
  </si>
  <si>
    <t>Automat: FOLLOW-UP 7D | dni od akcji: 104</t>
  </si>
  <si>
    <t>T-01675</t>
  </si>
  <si>
    <t>Automat: FOLLOW-UP 30D | dni od akcji: 104</t>
  </si>
  <si>
    <t>T-01676</t>
  </si>
  <si>
    <t>Automat: REAKTYWACJA 90D | dni od akcji: 104</t>
  </si>
  <si>
    <t>T-01677</t>
  </si>
  <si>
    <t>T-01678</t>
  </si>
  <si>
    <t>T-01679</t>
  </si>
  <si>
    <t>T-01680</t>
  </si>
  <si>
    <t>T-01681</t>
  </si>
  <si>
    <t>T-01682</t>
  </si>
  <si>
    <t>T-01683</t>
  </si>
  <si>
    <t>T-01684</t>
  </si>
  <si>
    <t>T-01685</t>
  </si>
  <si>
    <t>Automat: FOLLOW-UP 3D | dni od akcji: 470</t>
  </si>
  <si>
    <t>T-01686</t>
  </si>
  <si>
    <t>Automat: FOLLOW-UP 7D | dni od akcji: 470</t>
  </si>
  <si>
    <t>T-01687</t>
  </si>
  <si>
    <t>Automat: FOLLOW-UP 30D | dni od akcji: 470</t>
  </si>
  <si>
    <t>T-01688</t>
  </si>
  <si>
    <t>Automat: REAKTYWACJA 90D | dni od akcji: 470</t>
  </si>
  <si>
    <t>T-01689</t>
  </si>
  <si>
    <t>T-01690</t>
  </si>
  <si>
    <t>T-01691</t>
  </si>
  <si>
    <t>T-01692</t>
  </si>
  <si>
    <t>T-01693</t>
  </si>
  <si>
    <t>T-01694</t>
  </si>
  <si>
    <t>T-01695</t>
  </si>
  <si>
    <t>T-01696</t>
  </si>
  <si>
    <t>T-01697</t>
  </si>
  <si>
    <t>Automat: FOLLOW-UP 3D | dni od akcji: 96</t>
  </si>
  <si>
    <t>T-01698</t>
  </si>
  <si>
    <t>Automat: FOLLOW-UP 7D | dni od akcji: 96</t>
  </si>
  <si>
    <t>T-01699</t>
  </si>
  <si>
    <t>Automat: FOLLOW-UP 30D | dni od akcji: 96</t>
  </si>
  <si>
    <t>T-01700</t>
  </si>
  <si>
    <t>Automat: REAKTYWACJA 90D | dni od akcji: 96</t>
  </si>
  <si>
    <t>T-01701</t>
  </si>
  <si>
    <t>T-01702</t>
  </si>
  <si>
    <t>T-01703</t>
  </si>
  <si>
    <t>T-01704</t>
  </si>
  <si>
    <t>T-01705</t>
  </si>
  <si>
    <t>Automat: FOLLOW-UP 3D | dni od akcji: 93</t>
  </si>
  <si>
    <t>T-01706</t>
  </si>
  <si>
    <t>Automat: FOLLOW-UP 7D | dni od akcji: 93</t>
  </si>
  <si>
    <t>T-01707</t>
  </si>
  <si>
    <t>Automat: FOLLOW-UP 30D | dni od akcji: 93</t>
  </si>
  <si>
    <t>T-01708</t>
  </si>
  <si>
    <t>Automat: REAKTYWACJA 90D | dni od akcji: 93</t>
  </si>
  <si>
    <t>T-01709</t>
  </si>
  <si>
    <t>T-01710</t>
  </si>
  <si>
    <t>T-01711</t>
  </si>
  <si>
    <t>T-01712</t>
  </si>
  <si>
    <t>T-01713</t>
  </si>
  <si>
    <t>Automat: FOLLOW-UP 3D | dni od akcji: 92</t>
  </si>
  <si>
    <t>T-01714</t>
  </si>
  <si>
    <t>Automat: FOLLOW-UP 7D | dni od akcji: 92</t>
  </si>
  <si>
    <t>T-01715</t>
  </si>
  <si>
    <t>Automat: FOLLOW-UP 30D | dni od akcji: 92</t>
  </si>
  <si>
    <t>T-01716</t>
  </si>
  <si>
    <t>Automat: REAKTYWACJA 90D | dni od akcji: 92</t>
  </si>
  <si>
    <t>T-01717</t>
  </si>
  <si>
    <t>Automat: FOLLOW-UP 3D | dni od akcji: 90</t>
  </si>
  <si>
    <t>T-01718</t>
  </si>
  <si>
    <t>Automat: FOLLOW-UP 7D | dni od akcji: 90</t>
  </si>
  <si>
    <t>T-01719</t>
  </si>
  <si>
    <t>Automat: FOLLOW-UP 30D | dni od akcji: 90</t>
  </si>
  <si>
    <t>T-01720</t>
  </si>
  <si>
    <t>Automat: REAKTYWACJA 90D | dni od akcji: 90</t>
  </si>
  <si>
    <t>T-01721</t>
  </si>
  <si>
    <t>T-01722</t>
  </si>
  <si>
    <t>T-01723</t>
  </si>
  <si>
    <t>T-01724</t>
  </si>
  <si>
    <t>T-01725</t>
  </si>
  <si>
    <t>Automat: FOLLOW-UP 3D | dni od akcji: 85</t>
  </si>
  <si>
    <t>T-01726</t>
  </si>
  <si>
    <t>Automat: FOLLOW-UP 7D | dni od akcji: 85</t>
  </si>
  <si>
    <t>T-01727</t>
  </si>
  <si>
    <t>Automat: FOLLOW-UP 30D | dni od akcji: 85</t>
  </si>
  <si>
    <t>T-01728</t>
  </si>
  <si>
    <t>T-01729</t>
  </si>
  <si>
    <t>T-01730</t>
  </si>
  <si>
    <t>T-01731</t>
  </si>
  <si>
    <t>T-01732</t>
  </si>
  <si>
    <t>T-01733</t>
  </si>
  <si>
    <t>T-01734</t>
  </si>
  <si>
    <t>T-01735</t>
  </si>
  <si>
    <t>T-01736</t>
  </si>
  <si>
    <t>T-01737</t>
  </si>
  <si>
    <t>T-01738</t>
  </si>
  <si>
    <t>T-01739</t>
  </si>
  <si>
    <t>T-01740</t>
  </si>
  <si>
    <t>Automat: FOLLOW-UP 3D | dni od akcji: 83</t>
  </si>
  <si>
    <t>T-01741</t>
  </si>
  <si>
    <t>Automat: FOLLOW-UP 7D | dni od akcji: 83</t>
  </si>
  <si>
    <t>T-01742</t>
  </si>
  <si>
    <t>Automat: FOLLOW-UP 30D | dni od akcji: 83</t>
  </si>
  <si>
    <t>T-01743</t>
  </si>
  <si>
    <t>Automat: FOLLOW-UP 3D | dni od akcji: 82</t>
  </si>
  <si>
    <t>T-01744</t>
  </si>
  <si>
    <t>Automat: FOLLOW-UP 7D | dni od akcji: 82</t>
  </si>
  <si>
    <t>T-01745</t>
  </si>
  <si>
    <t>Automat: FOLLOW-UP 30D | dni od akcji: 82</t>
  </si>
  <si>
    <t>T-01746</t>
  </si>
  <si>
    <t>Automat: FOLLOW-UP 3D | dni od akcji: 79</t>
  </si>
  <si>
    <t>T-01747</t>
  </si>
  <si>
    <t>Automat: FOLLOW-UP 7D | dni od akcji: 79</t>
  </si>
  <si>
    <t>T-01748</t>
  </si>
  <si>
    <t>Automat: FOLLOW-UP 30D | dni od akcji: 79</t>
  </si>
  <si>
    <t>T-01749</t>
  </si>
  <si>
    <t>T-01750</t>
  </si>
  <si>
    <t>T-01751</t>
  </si>
  <si>
    <t>T-01752</t>
  </si>
  <si>
    <t>T-01753</t>
  </si>
  <si>
    <t>T-01754</t>
  </si>
  <si>
    <t>T-01755</t>
  </si>
  <si>
    <t>T-01756</t>
  </si>
  <si>
    <t>T-01757</t>
  </si>
  <si>
    <t>T-01758</t>
  </si>
  <si>
    <t>T-01759</t>
  </si>
  <si>
    <t>T-01760</t>
  </si>
  <si>
    <t>T-01761</t>
  </si>
  <si>
    <t>Automat: FOLLOW-UP 3D | dni od akcji: 77</t>
  </si>
  <si>
    <t>T-01762</t>
  </si>
  <si>
    <t>Automat: FOLLOW-UP 7D | dni od akcji: 77</t>
  </si>
  <si>
    <t>T-01763</t>
  </si>
  <si>
    <t>Automat: FOLLOW-UP 30D | dni od akcji: 77</t>
  </si>
  <si>
    <t>T-01764</t>
  </si>
  <si>
    <t>Automat: FOLLOW-UP 3D | dni od akcji: 78</t>
  </si>
  <si>
    <t>T-01765</t>
  </si>
  <si>
    <t>Automat: FOLLOW-UP 7D | dni od akcji: 78</t>
  </si>
  <si>
    <t>T-01766</t>
  </si>
  <si>
    <t>Automat: FOLLOW-UP 30D | dni od akcji: 78</t>
  </si>
  <si>
    <t>T-01767</t>
  </si>
  <si>
    <t>T-01768</t>
  </si>
  <si>
    <t>T-01769</t>
  </si>
  <si>
    <t>T-01770</t>
  </si>
  <si>
    <t>T-01771</t>
  </si>
  <si>
    <t>T-01772</t>
  </si>
  <si>
    <t>T-01773</t>
  </si>
  <si>
    <t>Automat: FOLLOW-UP 3D | dni od akcji: 76</t>
  </si>
  <si>
    <t>T-01774</t>
  </si>
  <si>
    <t>Automat: FOLLOW-UP 7D | dni od akcji: 76</t>
  </si>
  <si>
    <t>T-01775</t>
  </si>
  <si>
    <t>Automat: FOLLOW-UP 30D | dni od akcji: 76</t>
  </si>
  <si>
    <t>T-01776</t>
  </si>
  <si>
    <t>T-01777</t>
  </si>
  <si>
    <t>T-01778</t>
  </si>
  <si>
    <t>T-01779</t>
  </si>
  <si>
    <t>Automat: FOLLOW-UP 3D | dni od akcji: 72</t>
  </si>
  <si>
    <t>T-01780</t>
  </si>
  <si>
    <t>Automat: FOLLOW-UP 7D | dni od akcji: 72</t>
  </si>
  <si>
    <t>T-01781</t>
  </si>
  <si>
    <t>Automat: FOLLOW-UP 30D | dni od akcji: 72</t>
  </si>
  <si>
    <t>T-01782</t>
  </si>
  <si>
    <t>T-01783</t>
  </si>
  <si>
    <t>T-01784</t>
  </si>
  <si>
    <t>T-01785</t>
  </si>
  <si>
    <t>Automat: FOLLOW-UP 3D | dni od akcji: 71</t>
  </si>
  <si>
    <t>T-01786</t>
  </si>
  <si>
    <t>Automat: FOLLOW-UP 7D | dni od akcji: 71</t>
  </si>
  <si>
    <t>T-01787</t>
  </si>
  <si>
    <t>Automat: FOLLOW-UP 30D | dni od akcji: 71</t>
  </si>
  <si>
    <t>T-01788</t>
  </si>
  <si>
    <t>T-01789</t>
  </si>
  <si>
    <t>T-01790</t>
  </si>
  <si>
    <t>T-01791</t>
  </si>
  <si>
    <t>T-01792</t>
  </si>
  <si>
    <t>T-01793</t>
  </si>
  <si>
    <t>T-01794</t>
  </si>
  <si>
    <t>T-01795</t>
  </si>
  <si>
    <t>T-01796</t>
  </si>
  <si>
    <t>T-01797</t>
  </si>
  <si>
    <t>Automat: FOLLOW-UP 3D | dni od akcji: 70</t>
  </si>
  <si>
    <t>T-01798</t>
  </si>
  <si>
    <t>Automat: FOLLOW-UP 7D | dni od akcji: 70</t>
  </si>
  <si>
    <t>T-01799</t>
  </si>
  <si>
    <t>Automat: FOLLOW-UP 30D | dni od akcji: 70</t>
  </si>
  <si>
    <t>T-01800</t>
  </si>
  <si>
    <t>T-01801</t>
  </si>
  <si>
    <t>T-01802</t>
  </si>
  <si>
    <t>T-01803</t>
  </si>
  <si>
    <t>T-01804</t>
  </si>
  <si>
    <t>T-01805</t>
  </si>
  <si>
    <t>T-01806</t>
  </si>
  <si>
    <t>Automat: FOLLOW-UP 3D | dni od akcji: 69</t>
  </si>
  <si>
    <t>T-01807</t>
  </si>
  <si>
    <t>Automat: FOLLOW-UP 7D | dni od akcji: 69</t>
  </si>
  <si>
    <t>T-01808</t>
  </si>
  <si>
    <t>Automat: FOLLOW-UP 30D | dni od akcji: 69</t>
  </si>
  <si>
    <t>T-01809</t>
  </si>
  <si>
    <t>Automat: FOLLOW-UP 3D | dni od akcji: 64</t>
  </si>
  <si>
    <t>T-01810</t>
  </si>
  <si>
    <t>Automat: FOLLOW-UP 7D | dni od akcji: 64</t>
  </si>
  <si>
    <t>T-01811</t>
  </si>
  <si>
    <t>Automat: FOLLOW-UP 30D | dni od akcji: 64</t>
  </si>
  <si>
    <t>T-01812</t>
  </si>
  <si>
    <t>T-01813</t>
  </si>
  <si>
    <t>T-01814</t>
  </si>
  <si>
    <t>T-01815</t>
  </si>
  <si>
    <t>Automat: FOLLOW-UP 3D | dni od akcji: 63</t>
  </si>
  <si>
    <t>T-01816</t>
  </si>
  <si>
    <t>Automat: FOLLOW-UP 7D | dni od akcji: 63</t>
  </si>
  <si>
    <t>T-01817</t>
  </si>
  <si>
    <t>Automat: FOLLOW-UP 30D | dni od akcji: 63</t>
  </si>
  <si>
    <t>T-01818</t>
  </si>
  <si>
    <t>T-01819</t>
  </si>
  <si>
    <t>T-01820</t>
  </si>
  <si>
    <t>T-01821</t>
  </si>
  <si>
    <t>Automat: FOLLOW-UP 3D | dni od akcji: 62</t>
  </si>
  <si>
    <t>T-01822</t>
  </si>
  <si>
    <t>Automat: FOLLOW-UP 7D | dni od akcji: 62</t>
  </si>
  <si>
    <t>T-01823</t>
  </si>
  <si>
    <t>Automat: FOLLOW-UP 30D | dni od akcji: 62</t>
  </si>
  <si>
    <t>T-01824</t>
  </si>
  <si>
    <t>T-01825</t>
  </si>
  <si>
    <t>T-01826</t>
  </si>
  <si>
    <t>T-01827</t>
  </si>
  <si>
    <t>T-01828</t>
  </si>
  <si>
    <t>T-01829</t>
  </si>
  <si>
    <t>T-01830</t>
  </si>
  <si>
    <t>Automat: FOLLOW-UP 3D | dni od akcji: 61</t>
  </si>
  <si>
    <t>T-01831</t>
  </si>
  <si>
    <t>Automat: FOLLOW-UP 7D | dni od akcji: 61</t>
  </si>
  <si>
    <t>T-01832</t>
  </si>
  <si>
    <t>Automat: FOLLOW-UP 30D | dni od akcji: 61</t>
  </si>
  <si>
    <t>T-01833</t>
  </si>
  <si>
    <t>T-01834</t>
  </si>
  <si>
    <t>T-01835</t>
  </si>
  <si>
    <t>T-01836</t>
  </si>
  <si>
    <t>Automat: FOLLOW-UP 3D | dni od akcji: 58</t>
  </si>
  <si>
    <t>T-01837</t>
  </si>
  <si>
    <t>Automat: FOLLOW-UP 7D | dni od akcji: 58</t>
  </si>
  <si>
    <t>T-01838</t>
  </si>
  <si>
    <t>Automat: FOLLOW-UP 30D | dni od akcji: 58</t>
  </si>
  <si>
    <t>T-01839</t>
  </si>
  <si>
    <t>T-01840</t>
  </si>
  <si>
    <t>T-01841</t>
  </si>
  <si>
    <t>T-01842</t>
  </si>
  <si>
    <t>T-01843</t>
  </si>
  <si>
    <t>T-01844</t>
  </si>
  <si>
    <t>T-01845</t>
  </si>
  <si>
    <t>Automat: FOLLOW-UP 3D | dni od akcji: 57</t>
  </si>
  <si>
    <t>T-01846</t>
  </si>
  <si>
    <t>Automat: FOLLOW-UP 7D | dni od akcji: 57</t>
  </si>
  <si>
    <t>T-01847</t>
  </si>
  <si>
    <t>Automat: FOLLOW-UP 30D | dni od akcji: 57</t>
  </si>
  <si>
    <t>T-01848</t>
  </si>
  <si>
    <t>T-01849</t>
  </si>
  <si>
    <t>T-01850</t>
  </si>
  <si>
    <t>T-01851</t>
  </si>
  <si>
    <t>T-01852</t>
  </si>
  <si>
    <t>T-01853</t>
  </si>
  <si>
    <t>T-01854</t>
  </si>
  <si>
    <t>Automat: FOLLOW-UP 3D | dni od akcji: 56</t>
  </si>
  <si>
    <t>T-01855</t>
  </si>
  <si>
    <t>Automat: FOLLOW-UP 7D | dni od akcji: 56</t>
  </si>
  <si>
    <t>T-01856</t>
  </si>
  <si>
    <t>Automat: FOLLOW-UP 30D | dni od akcji: 56</t>
  </si>
  <si>
    <t>T-01857</t>
  </si>
  <si>
    <t>T-01858</t>
  </si>
  <si>
    <t>T-01859</t>
  </si>
  <si>
    <t>T-01860</t>
  </si>
  <si>
    <t>Automat: FOLLOW-UP 3D | dni od akcji: 55</t>
  </si>
  <si>
    <t>T-01861</t>
  </si>
  <si>
    <t>Automat: FOLLOW-UP 7D | dni od akcji: 55</t>
  </si>
  <si>
    <t>T-01862</t>
  </si>
  <si>
    <t>Automat: FOLLOW-UP 30D | dni od akcji: 55</t>
  </si>
  <si>
    <t>T-01863</t>
  </si>
  <si>
    <t>Automat: FOLLOW-UP 3D | dni od akcji: 54</t>
  </si>
  <si>
    <t>T-01864</t>
  </si>
  <si>
    <t>Automat: FOLLOW-UP 7D | dni od akcji: 54</t>
  </si>
  <si>
    <t>T-01865</t>
  </si>
  <si>
    <t>Automat: FOLLOW-UP 30D | dni od akcji: 54</t>
  </si>
  <si>
    <t>T-01866</t>
  </si>
  <si>
    <t>T-01867</t>
  </si>
  <si>
    <t>T-01868</t>
  </si>
  <si>
    <t>T-01869</t>
  </si>
  <si>
    <t>Automat: FOLLOW-UP 3D | dni od akcji: 51</t>
  </si>
  <si>
    <t>T-01870</t>
  </si>
  <si>
    <t>Automat: FOLLOW-UP 7D | dni od akcji: 51</t>
  </si>
  <si>
    <t>T-01871</t>
  </si>
  <si>
    <t>Automat: FOLLOW-UP 30D | dni od akcji: 51</t>
  </si>
  <si>
    <t>T-01872</t>
  </si>
  <si>
    <t>T-01873</t>
  </si>
  <si>
    <t>T-01874</t>
  </si>
  <si>
    <t>T-01875</t>
  </si>
  <si>
    <t>Automat: FOLLOW-UP 3D | dni od akcji: 50</t>
  </si>
  <si>
    <t>T-01876</t>
  </si>
  <si>
    <t>Automat: FOLLOW-UP 7D | dni od akcji: 50</t>
  </si>
  <si>
    <t>T-01877</t>
  </si>
  <si>
    <t>Automat: FOLLOW-UP 30D | dni od akcji: 50</t>
  </si>
  <si>
    <t>T-01878</t>
  </si>
  <si>
    <t>T-01879</t>
  </si>
  <si>
    <t>T-01880</t>
  </si>
  <si>
    <t>T-01881</t>
  </si>
  <si>
    <t>Automat: FOLLOW-UP 3D | dni od akcji: 49</t>
  </si>
  <si>
    <t>T-01882</t>
  </si>
  <si>
    <t>Automat: FOLLOW-UP 7D | dni od akcji: 49</t>
  </si>
  <si>
    <t>T-01883</t>
  </si>
  <si>
    <t>Automat: FOLLOW-UP 30D | dni od akcji: 49</t>
  </si>
  <si>
    <t>T-01884</t>
  </si>
  <si>
    <t>T-01885</t>
  </si>
  <si>
    <t>T-01886</t>
  </si>
  <si>
    <t>T-01887</t>
  </si>
  <si>
    <t>T-01888</t>
  </si>
  <si>
    <t>T-01889</t>
  </si>
  <si>
    <t>T-01890</t>
  </si>
  <si>
    <t>Automat: FOLLOW-UP 3D | dni od akcji: 47</t>
  </si>
  <si>
    <t>T-01891</t>
  </si>
  <si>
    <t>Automat: FOLLOW-UP 7D | dni od akcji: 47</t>
  </si>
  <si>
    <t>T-01892</t>
  </si>
  <si>
    <t>Automat: FOLLOW-UP 30D | dni od akcji: 47</t>
  </si>
  <si>
    <t>T-01893</t>
  </si>
  <si>
    <t>T-01894</t>
  </si>
  <si>
    <t>T-01895</t>
  </si>
  <si>
    <t>T-01896</t>
  </si>
  <si>
    <t>T-01897</t>
  </si>
  <si>
    <t>T-01898</t>
  </si>
  <si>
    <t>T-01899</t>
  </si>
  <si>
    <t>Automat: FOLLOW-UP 3D | dni od akcji: 44</t>
  </si>
  <si>
    <t>T-01900</t>
  </si>
  <si>
    <t>Automat: FOLLOW-UP 7D | dni od akcji: 44</t>
  </si>
  <si>
    <t>T-01901</t>
  </si>
  <si>
    <t>Automat: FOLLOW-UP 30D | dni od akcji: 44</t>
  </si>
  <si>
    <t>T-01902</t>
  </si>
  <si>
    <t>Automat: FOLLOW-UP 3D | dni od akcji: 43</t>
  </si>
  <si>
    <t>T-01903</t>
  </si>
  <si>
    <t>Automat: FOLLOW-UP 7D | dni od akcji: 43</t>
  </si>
  <si>
    <t>T-01904</t>
  </si>
  <si>
    <t>Automat: FOLLOW-UP 30D | dni od akcji: 43</t>
  </si>
  <si>
    <t>T-01905</t>
  </si>
  <si>
    <t>Automat: FOLLOW-UP 3D | dni od akcji: 42</t>
  </si>
  <si>
    <t>T-01906</t>
  </si>
  <si>
    <t>Automat: FOLLOW-UP 7D | dni od akcji: 42</t>
  </si>
  <si>
    <t>T-01907</t>
  </si>
  <si>
    <t>Automat: FOLLOW-UP 30D | dni od akcji: 42</t>
  </si>
  <si>
    <t>T-01908</t>
  </si>
  <si>
    <t>T-01909</t>
  </si>
  <si>
    <t>T-01910</t>
  </si>
  <si>
    <t>T-01911</t>
  </si>
  <si>
    <t>T-01912</t>
  </si>
  <si>
    <t>T-01913</t>
  </si>
  <si>
    <t>T-01914</t>
  </si>
  <si>
    <t>T-01915</t>
  </si>
  <si>
    <t>T-01916</t>
  </si>
  <si>
    <t>T-01917</t>
  </si>
  <si>
    <t>T-01918</t>
  </si>
  <si>
    <t>T-01919</t>
  </si>
  <si>
    <t>T-01920</t>
  </si>
  <si>
    <t>T-01921</t>
  </si>
  <si>
    <t>T-01922</t>
  </si>
  <si>
    <t>T-01923</t>
  </si>
  <si>
    <t>Automat: FOLLOW-UP 3D | dni od akcji: 34</t>
  </si>
  <si>
    <t>T-01924</t>
  </si>
  <si>
    <t>Automat: FOLLOW-UP 7D | dni od akcji: 34</t>
  </si>
  <si>
    <t>T-01925</t>
  </si>
  <si>
    <t>Automat: FOLLOW-UP 30D | dni od akcji: 34</t>
  </si>
  <si>
    <t>T-01926</t>
  </si>
  <si>
    <t>T-01927</t>
  </si>
  <si>
    <t>T-01928</t>
  </si>
  <si>
    <t>T-01929</t>
  </si>
  <si>
    <t>Automat: FOLLOW-UP 3D | dni od akcji: 33</t>
  </si>
  <si>
    <t>T-01930</t>
  </si>
  <si>
    <t>Automat: FOLLOW-UP 7D | dni od akcji: 33</t>
  </si>
  <si>
    <t>T-01931</t>
  </si>
  <si>
    <t>Automat: FOLLOW-UP 30D | dni od akcji: 33</t>
  </si>
  <si>
    <t>T-01932</t>
  </si>
  <si>
    <t>Automat: FOLLOW-UP 3D | dni od akcji: 28</t>
  </si>
  <si>
    <t>T-01933</t>
  </si>
  <si>
    <t>Automat: FOLLOW-UP 7D | dni od akcji: 28</t>
  </si>
  <si>
    <t>T-01934</t>
  </si>
  <si>
    <t>Automat: FOLLOW-UP 3D | dni od akcji: 30</t>
  </si>
  <si>
    <t>T-01935</t>
  </si>
  <si>
    <t>Automat: FOLLOW-UP 7D | dni od akcji: 30</t>
  </si>
  <si>
    <t>T-01936</t>
  </si>
  <si>
    <t>Automat: FOLLOW-UP 30D | dni od akcji: 30</t>
  </si>
  <si>
    <t>T-01937</t>
  </si>
  <si>
    <t>Automat: FOLLOW-UP 3D | dni od akcji: 32</t>
  </si>
  <si>
    <t>T-01938</t>
  </si>
  <si>
    <t>Automat: FOLLOW-UP 7D | dni od akcji: 32</t>
  </si>
  <si>
    <t>T-01939</t>
  </si>
  <si>
    <t>Automat: FOLLOW-UP 30D | dni od akcji: 32</t>
  </si>
  <si>
    <t>T-01940</t>
  </si>
  <si>
    <t>Automat: FOLLOW-UP 3D | dni od akcji: 26</t>
  </si>
  <si>
    <t>T-01941</t>
  </si>
  <si>
    <t>Automat: FOLLOW-UP 7D | dni od akcji: 26</t>
  </si>
  <si>
    <t>T-01942</t>
  </si>
  <si>
    <t>Automat: FOLLOW-UP 3D | dni od akcji: 23</t>
  </si>
  <si>
    <t>T-01943</t>
  </si>
  <si>
    <t>Automat: FOLLOW-UP 7D | dni od akcji: 23</t>
  </si>
  <si>
    <t>T-01944</t>
  </si>
  <si>
    <t>T-01945</t>
  </si>
  <si>
    <t>T-01946</t>
  </si>
  <si>
    <t>Automat: FOLLOW-UP 3D | dni od akcji: 22</t>
  </si>
  <si>
    <t>T-01947</t>
  </si>
  <si>
    <t>Automat: FOLLOW-UP 7D | dni od akcji: 22</t>
  </si>
  <si>
    <t>T-01948</t>
  </si>
  <si>
    <t>Automat: FOLLOW-UP 3D | dni od akcji: 20</t>
  </si>
  <si>
    <t>T-01949</t>
  </si>
  <si>
    <t>Automat: FOLLOW-UP 7D | dni od akcji: 20</t>
  </si>
  <si>
    <t>T-01950</t>
  </si>
  <si>
    <t>Automat: FOLLOW-UP 3D | dni od akcji: 19</t>
  </si>
  <si>
    <t>T-01951</t>
  </si>
  <si>
    <t>Automat: FOLLOW-UP 7D | dni od akcji: 19</t>
  </si>
  <si>
    <t>T-01952</t>
  </si>
  <si>
    <t>Automat: FOLLOW-UP 3D | dni od akcji: 16</t>
  </si>
  <si>
    <t>T-01953</t>
  </si>
  <si>
    <t>Automat: FOLLOW-UP 7D | dni od akcji: 16</t>
  </si>
  <si>
    <t>T-01954</t>
  </si>
  <si>
    <t>Automat: FOLLOW-UP 3D | dni od akcji: 14</t>
  </si>
  <si>
    <t>T-01955</t>
  </si>
  <si>
    <t>Automat: FOLLOW-UP 7D | dni od akcji: 14</t>
  </si>
  <si>
    <t>T-01956</t>
  </si>
  <si>
    <t>Automat: FOLLOW-UP 3D | dni od akcji: 13</t>
  </si>
  <si>
    <t>T-01957</t>
  </si>
  <si>
    <t>Automat: FOLLOW-UP 7D | dni od akcji: 13</t>
  </si>
  <si>
    <t>T-01958</t>
  </si>
  <si>
    <t>T-01959</t>
  </si>
  <si>
    <t>T-01960</t>
  </si>
  <si>
    <t>T-01961</t>
  </si>
  <si>
    <t>T-01962</t>
  </si>
  <si>
    <t>T-01963</t>
  </si>
  <si>
    <t>T-01964</t>
  </si>
  <si>
    <t>T-01965</t>
  </si>
  <si>
    <t>T-01966</t>
  </si>
  <si>
    <t>T-01967</t>
  </si>
  <si>
    <t>T-01968</t>
  </si>
  <si>
    <t>Automat: FOLLOW-UP 3D | dni od akcji: 9</t>
  </si>
  <si>
    <t>T-01969</t>
  </si>
  <si>
    <t>Automat: FOLLOW-UP 7D | dni od akcji: 9</t>
  </si>
  <si>
    <t>T-01970</t>
  </si>
  <si>
    <t>T-01971</t>
  </si>
  <si>
    <t>T-01972</t>
  </si>
  <si>
    <t>T-01973</t>
  </si>
  <si>
    <t>T-01974</t>
  </si>
  <si>
    <t>T-01975</t>
  </si>
  <si>
    <t>T-01976</t>
  </si>
  <si>
    <t>T-01977</t>
  </si>
  <si>
    <t>T-01978</t>
  </si>
  <si>
    <t>Automat: FOLLOW-UP 3D | dni od akcji: 8</t>
  </si>
  <si>
    <t>T-01979</t>
  </si>
  <si>
    <t>Automat: FOLLOW-UP 7D | dni od akcji: 8</t>
  </si>
  <si>
    <t>T-01980</t>
  </si>
  <si>
    <t>T-01981</t>
  </si>
  <si>
    <t>T-01982</t>
  </si>
  <si>
    <t>T-01983</t>
  </si>
  <si>
    <t>T-01984</t>
  </si>
  <si>
    <t>Automat: FOLLOW-UP 3D | dni od akcji: 5</t>
  </si>
  <si>
    <t>T-01985</t>
  </si>
  <si>
    <t>T-01986</t>
  </si>
  <si>
    <t>Automat: FOLLOW-UP 3D | dni od akcji: 258</t>
  </si>
  <si>
    <t>T-01987</t>
  </si>
  <si>
    <t>Automat: FOLLOW-UP 7D | dni od akcji: 258</t>
  </si>
  <si>
    <t>T-01988</t>
  </si>
  <si>
    <t>Automat: FOLLOW-UP 30D | dni od akcji: 258</t>
  </si>
  <si>
    <t>T-01989</t>
  </si>
  <si>
    <t>Automat: REAKTYWACJA 90D | dni od akcji: 258</t>
  </si>
  <si>
    <t>T-01990</t>
  </si>
  <si>
    <t>T-01991</t>
  </si>
  <si>
    <t>T-01992</t>
  </si>
  <si>
    <t>T-01993</t>
  </si>
  <si>
    <t>Rejestr alertów zarządczych. Nie edytuj.</t>
  </si>
  <si>
    <t>ALERT_ID</t>
  </si>
  <si>
    <t>DATA ALERTU</t>
  </si>
  <si>
    <t>TYP ALERTU</t>
  </si>
  <si>
    <t>WAGA</t>
  </si>
  <si>
    <t>A-00001</t>
  </si>
  <si>
    <t>NOWY</t>
  </si>
  <si>
    <t>A-00002</t>
  </si>
  <si>
    <t>A-00003</t>
  </si>
  <si>
    <t>A-00004</t>
  </si>
  <si>
    <t>A-00005</t>
  </si>
  <si>
    <t>A-00006</t>
  </si>
  <si>
    <t>A-00007</t>
  </si>
  <si>
    <t>A-00008</t>
  </si>
  <si>
    <t>A-00009</t>
  </si>
  <si>
    <t>Brak kontaktu 147 dni.</t>
  </si>
  <si>
    <t>A-00010</t>
  </si>
  <si>
    <t>A-00011</t>
  </si>
  <si>
    <t>Brak kontaktu 146 dni.</t>
  </si>
  <si>
    <t>A-00012</t>
  </si>
  <si>
    <t>A-00013</t>
  </si>
  <si>
    <t>A-00014</t>
  </si>
  <si>
    <t>A-00015</t>
  </si>
  <si>
    <t>Brak kontaktu 144 dni.</t>
  </si>
  <si>
    <t>A-00016</t>
  </si>
  <si>
    <t>A-00017</t>
  </si>
  <si>
    <t>A-00018</t>
  </si>
  <si>
    <t>A-00019</t>
  </si>
  <si>
    <t>A-00020</t>
  </si>
  <si>
    <t>A-00021</t>
  </si>
  <si>
    <t>Brak kontaktu 141 dni.</t>
  </si>
  <si>
    <t>A-00022</t>
  </si>
  <si>
    <t>A-00023</t>
  </si>
  <si>
    <t>A-00024</t>
  </si>
  <si>
    <t>A-00025</t>
  </si>
  <si>
    <t>Brak kontaktu 502 dni.</t>
  </si>
  <si>
    <t>A-00026</t>
  </si>
  <si>
    <t>A-00027</t>
  </si>
  <si>
    <t>Brak kontaktu 134 dni.</t>
  </si>
  <si>
    <t>A-00028</t>
  </si>
  <si>
    <t>A-00029</t>
  </si>
  <si>
    <t>A-00030</t>
  </si>
  <si>
    <t>A-00031</t>
  </si>
  <si>
    <t>A-00032</t>
  </si>
  <si>
    <t>Brak kontaktu 133 dni.</t>
  </si>
  <si>
    <t>A-00033</t>
  </si>
  <si>
    <t>A-00034</t>
  </si>
  <si>
    <t>A-00035</t>
  </si>
  <si>
    <t>A-00036</t>
  </si>
  <si>
    <t>Brak kontaktu 131 dni.</t>
  </si>
  <si>
    <t>A-00037</t>
  </si>
  <si>
    <t>A-00038</t>
  </si>
  <si>
    <t>Brak kontaktu 127 dni.</t>
  </si>
  <si>
    <t>A-00039</t>
  </si>
  <si>
    <t>A-00040</t>
  </si>
  <si>
    <t>A-00041</t>
  </si>
  <si>
    <t>A-00042</t>
  </si>
  <si>
    <t>A-00043</t>
  </si>
  <si>
    <t>A-00044</t>
  </si>
  <si>
    <t>Brak kontaktu 126 dni.</t>
  </si>
  <si>
    <t>A-00045</t>
  </si>
  <si>
    <t>A-00046</t>
  </si>
  <si>
    <t>Brak kontaktu 124 dni.</t>
  </si>
  <si>
    <t>A-00047</t>
  </si>
  <si>
    <t>A-00048</t>
  </si>
  <si>
    <t>Brak kontaktu 120 dni.</t>
  </si>
  <si>
    <t>A-00049</t>
  </si>
  <si>
    <t>A-00050</t>
  </si>
  <si>
    <t>A-00051</t>
  </si>
  <si>
    <t>A-00052</t>
  </si>
  <si>
    <t>Brak kontaktu 485 dni.</t>
  </si>
  <si>
    <t>A-00053</t>
  </si>
  <si>
    <t>A-00054</t>
  </si>
  <si>
    <t>Brak kontaktu 119 dni.</t>
  </si>
  <si>
    <t>A-00055</t>
  </si>
  <si>
    <t>A-00056</t>
  </si>
  <si>
    <t>Brak kontaktu 118 dni.</t>
  </si>
  <si>
    <t>A-00057</t>
  </si>
  <si>
    <t>A-00058</t>
  </si>
  <si>
    <t>A-00059</t>
  </si>
  <si>
    <t>Brak kontaktu 117 dni.</t>
  </si>
  <si>
    <t>A-00060</t>
  </si>
  <si>
    <t>A-00061</t>
  </si>
  <si>
    <t>Brak kontaktu 116 dni.</t>
  </si>
  <si>
    <t>A-00062</t>
  </si>
  <si>
    <t>A-00063</t>
  </si>
  <si>
    <t>A-00064</t>
  </si>
  <si>
    <t>A-00065</t>
  </si>
  <si>
    <t>Brak kontaktu 113 dni.</t>
  </si>
  <si>
    <t>A-00066</t>
  </si>
  <si>
    <t>A-00067</t>
  </si>
  <si>
    <t>A-00068</t>
  </si>
  <si>
    <t>A-00069</t>
  </si>
  <si>
    <t>A-00070</t>
  </si>
  <si>
    <t>A-00071</t>
  </si>
  <si>
    <t>A-00072</t>
  </si>
  <si>
    <t>Brak kontaktu 112 dni.</t>
  </si>
  <si>
    <t>A-00073</t>
  </si>
  <si>
    <t>A-00074</t>
  </si>
  <si>
    <t>A-00075</t>
  </si>
  <si>
    <t>A-00076</t>
  </si>
  <si>
    <t>A-00077</t>
  </si>
  <si>
    <t>A-00078</t>
  </si>
  <si>
    <t>Brak kontaktu 111 dni.</t>
  </si>
  <si>
    <t>A-00079</t>
  </si>
  <si>
    <t>A-00080</t>
  </si>
  <si>
    <t>Brak kontaktu 106 dni.</t>
  </si>
  <si>
    <t>A-00081</t>
  </si>
  <si>
    <t>A-00082</t>
  </si>
  <si>
    <t>Brak kontaktu 105 dni.</t>
  </si>
  <si>
    <t>A-00083</t>
  </si>
  <si>
    <t>A-00084</t>
  </si>
  <si>
    <t>A-00085</t>
  </si>
  <si>
    <t>Brak kontaktu 104 dni.</t>
  </si>
  <si>
    <t>A-00086</t>
  </si>
  <si>
    <t>A-00087</t>
  </si>
  <si>
    <t>A-00088</t>
  </si>
  <si>
    <t>A-00089</t>
  </si>
  <si>
    <t>A-00090</t>
  </si>
  <si>
    <t>A-00091</t>
  </si>
  <si>
    <t>A-00092</t>
  </si>
  <si>
    <t>A-00093</t>
  </si>
  <si>
    <t>A-00094</t>
  </si>
  <si>
    <t>A-00095</t>
  </si>
  <si>
    <t>Brak kontaktu 103 dni.</t>
  </si>
  <si>
    <t>A-00096</t>
  </si>
  <si>
    <t>A-00097</t>
  </si>
  <si>
    <t>A-00098</t>
  </si>
  <si>
    <t>A-00099</t>
  </si>
  <si>
    <t>A-00100</t>
  </si>
  <si>
    <t>A-00101</t>
  </si>
  <si>
    <t>Brak kontaktu 469 dni.</t>
  </si>
  <si>
    <t>A-00102</t>
  </si>
  <si>
    <t>A-00103</t>
  </si>
  <si>
    <t>A-00104</t>
  </si>
  <si>
    <t>A-00105</t>
  </si>
  <si>
    <t>A-00106</t>
  </si>
  <si>
    <t>A-00107</t>
  </si>
  <si>
    <t>A-00108</t>
  </si>
  <si>
    <t>Brak kontaktu 95 dni.</t>
  </si>
  <si>
    <t>A-00109</t>
  </si>
  <si>
    <t>A-00110</t>
  </si>
  <si>
    <t>A-00111</t>
  </si>
  <si>
    <t>A-00112</t>
  </si>
  <si>
    <t>A-00113</t>
  </si>
  <si>
    <t>A-00114</t>
  </si>
  <si>
    <t>Brak kontaktu 92 dni.</t>
  </si>
  <si>
    <t>A-00115</t>
  </si>
  <si>
    <t>A-00116</t>
  </si>
  <si>
    <t>A-00117</t>
  </si>
  <si>
    <t>A-00118</t>
  </si>
  <si>
    <t>Brak kontaktu 91 dni.</t>
  </si>
  <si>
    <t>A-00119</t>
  </si>
  <si>
    <t>A-00120</t>
  </si>
  <si>
    <t>30D_BEZ_KONTAKTU</t>
  </si>
  <si>
    <t>Brak kontaktu 89 dni.</t>
  </si>
  <si>
    <t>A-00121</t>
  </si>
  <si>
    <t>A-00122</t>
  </si>
  <si>
    <t>A-00123</t>
  </si>
  <si>
    <t>A-00124</t>
  </si>
  <si>
    <t>Brak kontaktu 84 dni.</t>
  </si>
  <si>
    <t>A-00125</t>
  </si>
  <si>
    <t>A-00126</t>
  </si>
  <si>
    <t>A-00127</t>
  </si>
  <si>
    <t>A-00128</t>
  </si>
  <si>
    <t>A-00129</t>
  </si>
  <si>
    <t>A-00130</t>
  </si>
  <si>
    <t>A-00131</t>
  </si>
  <si>
    <t>A-00132</t>
  </si>
  <si>
    <t>A-00133</t>
  </si>
  <si>
    <t>A-00134</t>
  </si>
  <si>
    <t>A-00135</t>
  </si>
  <si>
    <t>A-00136</t>
  </si>
  <si>
    <t>A-00137</t>
  </si>
  <si>
    <t>A-00138</t>
  </si>
  <si>
    <t>Brak kontaktu 82 dni.</t>
  </si>
  <si>
    <t>A-00139</t>
  </si>
  <si>
    <t>A-00140</t>
  </si>
  <si>
    <t>Brak kontaktu 81 dni.</t>
  </si>
  <si>
    <t>A-00141</t>
  </si>
  <si>
    <t>A-00142</t>
  </si>
  <si>
    <t>Brak kontaktu 78 dni.</t>
  </si>
  <si>
    <t>A-00143</t>
  </si>
  <si>
    <t>A-00144</t>
  </si>
  <si>
    <t>A-00145</t>
  </si>
  <si>
    <t>A-00146</t>
  </si>
  <si>
    <t>A-00147</t>
  </si>
  <si>
    <t>A-00148</t>
  </si>
  <si>
    <t>A-00149</t>
  </si>
  <si>
    <t>A-00150</t>
  </si>
  <si>
    <t>A-00151</t>
  </si>
  <si>
    <t>A-00152</t>
  </si>
  <si>
    <t>A-00153</t>
  </si>
  <si>
    <t>Brak kontaktu 76 dni.</t>
  </si>
  <si>
    <t>A-00154</t>
  </si>
  <si>
    <t>A-00155</t>
  </si>
  <si>
    <t>Brak kontaktu 77 dni.</t>
  </si>
  <si>
    <t>A-00156</t>
  </si>
  <si>
    <t>A-00157</t>
  </si>
  <si>
    <t>A-00158</t>
  </si>
  <si>
    <t>A-00159</t>
  </si>
  <si>
    <t>A-00160</t>
  </si>
  <si>
    <t>A-00161</t>
  </si>
  <si>
    <t>Brak kontaktu 75 dni.</t>
  </si>
  <si>
    <t>A-00162</t>
  </si>
  <si>
    <t>A-00163</t>
  </si>
  <si>
    <t>A-00164</t>
  </si>
  <si>
    <t>A-00165</t>
  </si>
  <si>
    <t>Brak kontaktu 71 dni.</t>
  </si>
  <si>
    <t>A-00166</t>
  </si>
  <si>
    <t>A-00167</t>
  </si>
  <si>
    <t>A-00168</t>
  </si>
  <si>
    <t>A-00169</t>
  </si>
  <si>
    <t>A-00170</t>
  </si>
  <si>
    <t>Brak kontaktu 70 dni.</t>
  </si>
  <si>
    <t>A-00171</t>
  </si>
  <si>
    <t>A-00172</t>
  </si>
  <si>
    <t>A-00173</t>
  </si>
  <si>
    <t>A-00174</t>
  </si>
  <si>
    <t>A-00175</t>
  </si>
  <si>
    <t>A-00176</t>
  </si>
  <si>
    <t>A-00177</t>
  </si>
  <si>
    <t>A-00178</t>
  </si>
  <si>
    <t>Brak kontaktu 69 dni.</t>
  </si>
  <si>
    <t>A-00179</t>
  </si>
  <si>
    <t>A-00180</t>
  </si>
  <si>
    <t>A-00181</t>
  </si>
  <si>
    <t>A-00182</t>
  </si>
  <si>
    <t>A-00183</t>
  </si>
  <si>
    <t>A-00184</t>
  </si>
  <si>
    <t>A-00185</t>
  </si>
  <si>
    <t>Brak kontaktu 68 dni.</t>
  </si>
  <si>
    <t>A-00186</t>
  </si>
  <si>
    <t>A-00187</t>
  </si>
  <si>
    <t>A-00188</t>
  </si>
  <si>
    <t>Brak kontaktu 63 dni.</t>
  </si>
  <si>
    <t>A-00189</t>
  </si>
  <si>
    <t>A-00190</t>
  </si>
  <si>
    <t>A-00191</t>
  </si>
  <si>
    <t>A-00192</t>
  </si>
  <si>
    <t>Brak kontaktu 62 dni.</t>
  </si>
  <si>
    <t>A-00193</t>
  </si>
  <si>
    <t>A-00194</t>
  </si>
  <si>
    <t>A-00195</t>
  </si>
  <si>
    <t>A-00196</t>
  </si>
  <si>
    <t>Brak kontaktu 61 dni.</t>
  </si>
  <si>
    <t>A-00197</t>
  </si>
  <si>
    <t>A-00198</t>
  </si>
  <si>
    <t>A-00199</t>
  </si>
  <si>
    <t>A-00200</t>
  </si>
  <si>
    <t>A-00201</t>
  </si>
  <si>
    <t>A-00202</t>
  </si>
  <si>
    <t>A-00203</t>
  </si>
  <si>
    <t>Brak kontaktu 60 dni.</t>
  </si>
  <si>
    <t>A-00204</t>
  </si>
  <si>
    <t>A-00205</t>
  </si>
  <si>
    <t>A-00206</t>
  </si>
  <si>
    <t>A-00207</t>
  </si>
  <si>
    <t>Brak kontaktu 57 dni.</t>
  </si>
  <si>
    <t>A-00208</t>
  </si>
  <si>
    <t>A-00209</t>
  </si>
  <si>
    <t>A-00210</t>
  </si>
  <si>
    <t>A-00211</t>
  </si>
  <si>
    <t>A-00212</t>
  </si>
  <si>
    <t>A-00213</t>
  </si>
  <si>
    <t>A-00214</t>
  </si>
  <si>
    <t>Brak kontaktu 56 dni.</t>
  </si>
  <si>
    <t>A-00215</t>
  </si>
  <si>
    <t>A-00216</t>
  </si>
  <si>
    <t>A-00217</t>
  </si>
  <si>
    <t>A-00218</t>
  </si>
  <si>
    <t>A-00219</t>
  </si>
  <si>
    <t>A-00220</t>
  </si>
  <si>
    <t>A-00221</t>
  </si>
  <si>
    <t>A-00222</t>
  </si>
  <si>
    <t>A-00223</t>
  </si>
  <si>
    <t>Brak kontaktu 55 dni.</t>
  </si>
  <si>
    <t>A-00224</t>
  </si>
  <si>
    <t>A-00225</t>
  </si>
  <si>
    <t>A-00226</t>
  </si>
  <si>
    <t>A-00227</t>
  </si>
  <si>
    <t>A-00228</t>
  </si>
  <si>
    <t>Brak kontaktu 54 dni.</t>
  </si>
  <si>
    <t>A-00229</t>
  </si>
  <si>
    <t>A-00230</t>
  </si>
  <si>
    <t>Brak kontaktu 53 dni.</t>
  </si>
  <si>
    <t>A-00231</t>
  </si>
  <si>
    <t>A-00232</t>
  </si>
  <si>
    <t>A-00233</t>
  </si>
  <si>
    <t>A-00234</t>
  </si>
  <si>
    <t>Brak kontaktu 50 dni.</t>
  </si>
  <si>
    <t>A-00235</t>
  </si>
  <si>
    <t>A-00236</t>
  </si>
  <si>
    <t>A-00237</t>
  </si>
  <si>
    <t>A-00238</t>
  </si>
  <si>
    <t>A-00239</t>
  </si>
  <si>
    <t>Brak kontaktu 49 dni.</t>
  </si>
  <si>
    <t>A-00240</t>
  </si>
  <si>
    <t>A-00241</t>
  </si>
  <si>
    <t>A-00242</t>
  </si>
  <si>
    <t>A-00243</t>
  </si>
  <si>
    <t>A-00244</t>
  </si>
  <si>
    <t>Brak kontaktu 48 dni.</t>
  </si>
  <si>
    <t>A-00245</t>
  </si>
  <si>
    <t>A-00246</t>
  </si>
  <si>
    <t>A-00247</t>
  </si>
  <si>
    <t>A-00248</t>
  </si>
  <si>
    <t>A-00249</t>
  </si>
  <si>
    <t>A-00250</t>
  </si>
  <si>
    <t>A-00251</t>
  </si>
  <si>
    <t>Brak kontaktu 46 dni.</t>
  </si>
  <si>
    <t>A-00252</t>
  </si>
  <si>
    <t>A-00253</t>
  </si>
  <si>
    <t>A-00254</t>
  </si>
  <si>
    <t>A-00255</t>
  </si>
  <si>
    <t>A-00256</t>
  </si>
  <si>
    <t>A-00257</t>
  </si>
  <si>
    <t>Brak kontaktu 43 dni.</t>
  </si>
  <si>
    <t>A-00258</t>
  </si>
  <si>
    <t>A-00259</t>
  </si>
  <si>
    <t>A-00260</t>
  </si>
  <si>
    <t>Brak kontaktu 42 dni.</t>
  </si>
  <si>
    <t>A-00261</t>
  </si>
  <si>
    <t>A-00262</t>
  </si>
  <si>
    <t>Brak kontaktu 41 dni.</t>
  </si>
  <si>
    <t>A-00263</t>
  </si>
  <si>
    <t>A-00264</t>
  </si>
  <si>
    <t>A-00265</t>
  </si>
  <si>
    <t>A-00266</t>
  </si>
  <si>
    <t>A-00267</t>
  </si>
  <si>
    <t>A-00268</t>
  </si>
  <si>
    <t>A-00269</t>
  </si>
  <si>
    <t>A-00270</t>
  </si>
  <si>
    <t>A-00271</t>
  </si>
  <si>
    <t>A-00272</t>
  </si>
  <si>
    <t>A-00273</t>
  </si>
  <si>
    <t>A-00274</t>
  </si>
  <si>
    <t>A-00275</t>
  </si>
  <si>
    <t>A-00276</t>
  </si>
  <si>
    <t>Brak kontaktu 33 dni.</t>
  </si>
  <si>
    <t>A-00277</t>
  </si>
  <si>
    <t>A-00278</t>
  </si>
  <si>
    <t>A-00279</t>
  </si>
  <si>
    <t>A-00280</t>
  </si>
  <si>
    <t>Brak kontaktu 32 dni.</t>
  </si>
  <si>
    <t>A-00281</t>
  </si>
  <si>
    <t>A-00282</t>
  </si>
  <si>
    <t>DUŻA OFERTA BEZ KONTAKTU</t>
  </si>
  <si>
    <t>Oferta 30,000 zł bez kontaktu 27 dni.</t>
  </si>
  <si>
    <t>A-00283</t>
  </si>
  <si>
    <t>A-00284</t>
  </si>
  <si>
    <t>A-00285</t>
  </si>
  <si>
    <t>A-00286</t>
  </si>
  <si>
    <t>Brak kontaktu 31 dni.</t>
  </si>
  <si>
    <t>A-00287</t>
  </si>
  <si>
    <t>A-00288</t>
  </si>
  <si>
    <t>A-00289</t>
  </si>
  <si>
    <t>Oferta 35,000 zł bez kontaktu 22 dni.</t>
  </si>
  <si>
    <t>A-00290</t>
  </si>
  <si>
    <t>A-00291</t>
  </si>
  <si>
    <t>A-00292</t>
  </si>
  <si>
    <t>A-00293</t>
  </si>
  <si>
    <t>A-00294</t>
  </si>
  <si>
    <t>Oferta 30,000 zł bez kontaktu 19 dni.</t>
  </si>
  <si>
    <t>A-00295</t>
  </si>
  <si>
    <t>A-00296</t>
  </si>
  <si>
    <t>A-00297</t>
  </si>
  <si>
    <t>A-00298</t>
  </si>
  <si>
    <t>A-00299</t>
  </si>
  <si>
    <t>A-00300</t>
  </si>
  <si>
    <t>A-00301</t>
  </si>
  <si>
    <t>A-00302</t>
  </si>
  <si>
    <t>A-00303</t>
  </si>
  <si>
    <t>A-00304</t>
  </si>
  <si>
    <t>A-00305</t>
  </si>
  <si>
    <t>A-00306</t>
  </si>
  <si>
    <t>Oferta 56,000 zł bez kontaktu 8 dni.</t>
  </si>
  <si>
    <t>A-00307</t>
  </si>
  <si>
    <t>A-00308</t>
  </si>
  <si>
    <t>A-00309</t>
  </si>
  <si>
    <t>Oferta 48,000 zł bez kontaktu 8 dni.</t>
  </si>
  <si>
    <t>A-00310</t>
  </si>
  <si>
    <t>A-00311</t>
  </si>
  <si>
    <t>Oferta 40,000 zł bez kontaktu 8 dni.</t>
  </si>
  <si>
    <t>A-00312</t>
  </si>
  <si>
    <t>A-00313</t>
  </si>
  <si>
    <t>A-00314</t>
  </si>
  <si>
    <t>A-00315</t>
  </si>
  <si>
    <t>Oferta 49,000 zł bez kontaktu 7 dni.</t>
  </si>
  <si>
    <t>A-00316</t>
  </si>
  <si>
    <t>A-00317</t>
  </si>
  <si>
    <t>A-00318</t>
  </si>
  <si>
    <t>A-00319</t>
  </si>
  <si>
    <t>A-00320</t>
  </si>
  <si>
    <t>A-00321</t>
  </si>
  <si>
    <t>A-00322</t>
  </si>
  <si>
    <t>A-00323</t>
  </si>
  <si>
    <t>A-00324</t>
  </si>
  <si>
    <t>Nie wiadomo kiedy był kontakt.</t>
  </si>
  <si>
    <t>A-00325</t>
  </si>
  <si>
    <t>A-00326</t>
  </si>
  <si>
    <t>A-00327</t>
  </si>
  <si>
    <t>A-00328</t>
  </si>
  <si>
    <t>A-00329</t>
  </si>
  <si>
    <t>A-00330</t>
  </si>
  <si>
    <t>A-00331</t>
  </si>
  <si>
    <t>A-00332</t>
  </si>
  <si>
    <t>A-00333</t>
  </si>
  <si>
    <t>A-00334</t>
  </si>
  <si>
    <t>A-00335</t>
  </si>
  <si>
    <t>A-00336</t>
  </si>
  <si>
    <t>A-00337</t>
  </si>
  <si>
    <t>A-00338</t>
  </si>
  <si>
    <t>A-00339</t>
  </si>
  <si>
    <t>A-00340</t>
  </si>
  <si>
    <t>A-00341</t>
  </si>
  <si>
    <t>A-00342</t>
  </si>
  <si>
    <t>A-00343</t>
  </si>
  <si>
    <t>A-00344</t>
  </si>
  <si>
    <t>A-00345</t>
  </si>
  <si>
    <t>A-00346</t>
  </si>
  <si>
    <t>A-00347</t>
  </si>
  <si>
    <t>A-00348</t>
  </si>
  <si>
    <t>A-00349</t>
  </si>
  <si>
    <t>A-00350</t>
  </si>
  <si>
    <t>A-00351</t>
  </si>
  <si>
    <t>A-00352</t>
  </si>
  <si>
    <t>A-00353</t>
  </si>
  <si>
    <t>A-00354</t>
  </si>
  <si>
    <t>A-00355</t>
  </si>
  <si>
    <t>A-00356</t>
  </si>
  <si>
    <t>A-00357</t>
  </si>
  <si>
    <t>A-00358</t>
  </si>
  <si>
    <t>A-00359</t>
  </si>
  <si>
    <t>A-00360</t>
  </si>
  <si>
    <t>A-00361</t>
  </si>
  <si>
    <t>A-00362</t>
  </si>
  <si>
    <t>A-00363</t>
  </si>
  <si>
    <t>A-00364</t>
  </si>
  <si>
    <t>A-00365</t>
  </si>
  <si>
    <t>A-00366</t>
  </si>
  <si>
    <t>A-00367</t>
  </si>
  <si>
    <t>A-00368</t>
  </si>
  <si>
    <t>A-00369</t>
  </si>
  <si>
    <t>A-00370</t>
  </si>
  <si>
    <t>A-00371</t>
  </si>
  <si>
    <t>A-00372</t>
  </si>
  <si>
    <t>A-00373</t>
  </si>
  <si>
    <t>A-00374</t>
  </si>
  <si>
    <t>A-00375</t>
  </si>
  <si>
    <t>A-00376</t>
  </si>
  <si>
    <t>A-00377</t>
  </si>
  <si>
    <t>A-00378</t>
  </si>
  <si>
    <t>A-00379</t>
  </si>
  <si>
    <t>A-00380</t>
  </si>
  <si>
    <t>A-00381</t>
  </si>
  <si>
    <t>A-00382</t>
  </si>
  <si>
    <t>A-00383</t>
  </si>
  <si>
    <t>A-00384</t>
  </si>
  <si>
    <t>A-00385</t>
  </si>
  <si>
    <t>A-00386</t>
  </si>
  <si>
    <t>A-00387</t>
  </si>
  <si>
    <t>A-00388</t>
  </si>
  <si>
    <t>A-00389</t>
  </si>
  <si>
    <t>A-00390</t>
  </si>
  <si>
    <t>A-00391</t>
  </si>
  <si>
    <t>A-00392</t>
  </si>
  <si>
    <t>A-00393</t>
  </si>
  <si>
    <t>A-00394</t>
  </si>
  <si>
    <t>A-00395</t>
  </si>
  <si>
    <t>A-00396</t>
  </si>
  <si>
    <t>A-00397</t>
  </si>
  <si>
    <t>A-00398</t>
  </si>
  <si>
    <t>A-00399</t>
  </si>
  <si>
    <t>A-00400</t>
  </si>
  <si>
    <t>A-00401</t>
  </si>
  <si>
    <t>A-00402</t>
  </si>
  <si>
    <t>A-00403</t>
  </si>
  <si>
    <t>A-00404</t>
  </si>
  <si>
    <t>A-00405</t>
  </si>
  <si>
    <t>A-00406</t>
  </si>
  <si>
    <t>A-00407</t>
  </si>
  <si>
    <t>A-00408</t>
  </si>
  <si>
    <t>A-00409</t>
  </si>
  <si>
    <t>A-00410</t>
  </si>
  <si>
    <t>A-00411</t>
  </si>
  <si>
    <t>A-00412</t>
  </si>
  <si>
    <t>A-00413</t>
  </si>
  <si>
    <t>A-00414</t>
  </si>
  <si>
    <t>A-00415</t>
  </si>
  <si>
    <t>A-00416</t>
  </si>
  <si>
    <t>A-00417</t>
  </si>
  <si>
    <t>A-00418</t>
  </si>
  <si>
    <t>A-00419</t>
  </si>
  <si>
    <t>A-00420</t>
  </si>
  <si>
    <t>A-00421</t>
  </si>
  <si>
    <t>A-00422</t>
  </si>
  <si>
    <t>A-00423</t>
  </si>
  <si>
    <t>A-00424</t>
  </si>
  <si>
    <t>A-00425</t>
  </si>
  <si>
    <t>A-00426</t>
  </si>
  <si>
    <t>A-00427</t>
  </si>
  <si>
    <t>A-00428</t>
  </si>
  <si>
    <t>A-00429</t>
  </si>
  <si>
    <t>A-00430</t>
  </si>
  <si>
    <t>A-00431</t>
  </si>
  <si>
    <t>A-00432</t>
  </si>
  <si>
    <t>A-00433</t>
  </si>
  <si>
    <t>A-00434</t>
  </si>
  <si>
    <t>A-00435</t>
  </si>
  <si>
    <t>A-00436</t>
  </si>
  <si>
    <t>A-00437</t>
  </si>
  <si>
    <t>A-00438</t>
  </si>
  <si>
    <t>A-00439</t>
  </si>
  <si>
    <t>A-00440</t>
  </si>
  <si>
    <t>A-00441</t>
  </si>
  <si>
    <t>A-00442</t>
  </si>
  <si>
    <t>A-00443</t>
  </si>
  <si>
    <t>A-00444</t>
  </si>
  <si>
    <t>A-00445</t>
  </si>
  <si>
    <t>A-00446</t>
  </si>
  <si>
    <t>A-00447</t>
  </si>
  <si>
    <t>A-00448</t>
  </si>
  <si>
    <t>A-00449</t>
  </si>
  <si>
    <t>A-00450</t>
  </si>
  <si>
    <t>A-00451</t>
  </si>
  <si>
    <t>A-00452</t>
  </si>
  <si>
    <t>A-00453</t>
  </si>
  <si>
    <t>A-00454</t>
  </si>
  <si>
    <t>A-00455</t>
  </si>
  <si>
    <t>A-00456</t>
  </si>
  <si>
    <t>A-00457</t>
  </si>
  <si>
    <t>A-00458</t>
  </si>
  <si>
    <t>A-00459</t>
  </si>
  <si>
    <t>A-00460</t>
  </si>
  <si>
    <t>A-00461</t>
  </si>
  <si>
    <t>A-00462</t>
  </si>
  <si>
    <t>A-00463</t>
  </si>
  <si>
    <t>A-00464</t>
  </si>
  <si>
    <t>A-00465</t>
  </si>
  <si>
    <t>A-00466</t>
  </si>
  <si>
    <t>A-00467</t>
  </si>
  <si>
    <t>A-00468</t>
  </si>
  <si>
    <t>A-00469</t>
  </si>
  <si>
    <t>A-00470</t>
  </si>
  <si>
    <t>A-00471</t>
  </si>
  <si>
    <t>A-00472</t>
  </si>
  <si>
    <t>A-00473</t>
  </si>
  <si>
    <t>A-00474</t>
  </si>
  <si>
    <t>A-00475</t>
  </si>
  <si>
    <t>A-00476</t>
  </si>
  <si>
    <t>A-00477</t>
  </si>
  <si>
    <t>A-00478</t>
  </si>
  <si>
    <t>A-00479</t>
  </si>
  <si>
    <t>A-00480</t>
  </si>
  <si>
    <t>A-00481</t>
  </si>
  <si>
    <t>A-00482</t>
  </si>
  <si>
    <t>A-00483</t>
  </si>
  <si>
    <t>A-00484</t>
  </si>
  <si>
    <t>A-00485</t>
  </si>
  <si>
    <t>A-00486</t>
  </si>
  <si>
    <t>A-00487</t>
  </si>
  <si>
    <t>A-00488</t>
  </si>
  <si>
    <t>A-00489</t>
  </si>
  <si>
    <t>A-00490</t>
  </si>
  <si>
    <t>A-00491</t>
  </si>
  <si>
    <t>A-00492</t>
  </si>
  <si>
    <t>A-00493</t>
  </si>
  <si>
    <t>A-00494</t>
  </si>
  <si>
    <t>A-00495</t>
  </si>
  <si>
    <t>A-00496</t>
  </si>
  <si>
    <t>A-00497</t>
  </si>
  <si>
    <t>A-00498</t>
  </si>
  <si>
    <t>A-00499</t>
  </si>
  <si>
    <t>A-00500</t>
  </si>
  <si>
    <t>A-00501</t>
  </si>
  <si>
    <t>A-00502</t>
  </si>
  <si>
    <t>A-00503</t>
  </si>
  <si>
    <t>A-00504</t>
  </si>
  <si>
    <t>A-00505</t>
  </si>
  <si>
    <t>A-00506</t>
  </si>
  <si>
    <t>A-00507</t>
  </si>
  <si>
    <t>A-00508</t>
  </si>
  <si>
    <t>A-00509</t>
  </si>
  <si>
    <t>A-00510</t>
  </si>
  <si>
    <t>A-00511</t>
  </si>
  <si>
    <t>A-00512</t>
  </si>
  <si>
    <t>A-00513</t>
  </si>
  <si>
    <t>A-00514</t>
  </si>
  <si>
    <t>A-00515</t>
  </si>
  <si>
    <t>A-00516</t>
  </si>
  <si>
    <t>A-00517</t>
  </si>
  <si>
    <t>A-00518</t>
  </si>
  <si>
    <t>A-00519</t>
  </si>
  <si>
    <t>A-00520</t>
  </si>
  <si>
    <t>A-00521</t>
  </si>
  <si>
    <t>A-00522</t>
  </si>
  <si>
    <t>A-00523</t>
  </si>
  <si>
    <t>A-00524</t>
  </si>
  <si>
    <t>A-00525</t>
  </si>
  <si>
    <t>A-00526</t>
  </si>
  <si>
    <t>A-00527</t>
  </si>
  <si>
    <t>A-00528</t>
  </si>
  <si>
    <t>A-00529</t>
  </si>
  <si>
    <t>A-00530</t>
  </si>
  <si>
    <t>A-00531</t>
  </si>
  <si>
    <t>A-00532</t>
  </si>
  <si>
    <t>A-00533</t>
  </si>
  <si>
    <t>A-00534</t>
  </si>
  <si>
    <t>A-00535</t>
  </si>
  <si>
    <t>A-00536</t>
  </si>
  <si>
    <t>A-00537</t>
  </si>
  <si>
    <t>A-00538</t>
  </si>
  <si>
    <t>A-00539</t>
  </si>
  <si>
    <t>A-00540</t>
  </si>
  <si>
    <t>A-00541</t>
  </si>
  <si>
    <t>A-00542</t>
  </si>
  <si>
    <t>A-00543</t>
  </si>
  <si>
    <t>A-00544</t>
  </si>
  <si>
    <t>A-00545</t>
  </si>
  <si>
    <t>A-00546</t>
  </si>
  <si>
    <t>A-00547</t>
  </si>
  <si>
    <t>A-00548</t>
  </si>
  <si>
    <t>A-00549</t>
  </si>
  <si>
    <t>A-00550</t>
  </si>
  <si>
    <t>A-00551</t>
  </si>
  <si>
    <t>A-00552</t>
  </si>
  <si>
    <t>A-00553</t>
  </si>
  <si>
    <t>A-00554</t>
  </si>
  <si>
    <t>A-00555</t>
  </si>
  <si>
    <t>A-00556</t>
  </si>
  <si>
    <t>A-00557</t>
  </si>
  <si>
    <t>A-00558</t>
  </si>
  <si>
    <t>A-00559</t>
  </si>
  <si>
    <t>A-00560</t>
  </si>
  <si>
    <t>A-00561</t>
  </si>
  <si>
    <t>A-00562</t>
  </si>
  <si>
    <t>A-00563</t>
  </si>
  <si>
    <t>A-00564</t>
  </si>
  <si>
    <t>A-00565</t>
  </si>
  <si>
    <t>A-00566</t>
  </si>
  <si>
    <t>A-00567</t>
  </si>
  <si>
    <t>A-00568</t>
  </si>
  <si>
    <t>A-00569</t>
  </si>
  <si>
    <t>A-00570</t>
  </si>
  <si>
    <t>A-00571</t>
  </si>
  <si>
    <t>A-00572</t>
  </si>
  <si>
    <t>A-00573</t>
  </si>
  <si>
    <t>A-00574</t>
  </si>
  <si>
    <t>A-00575</t>
  </si>
  <si>
    <t>A-00576</t>
  </si>
  <si>
    <t>A-00577</t>
  </si>
  <si>
    <t>A-00578</t>
  </si>
  <si>
    <t>A-00579</t>
  </si>
  <si>
    <t>A-00580</t>
  </si>
  <si>
    <t>A-00581</t>
  </si>
  <si>
    <t>A-00582</t>
  </si>
  <si>
    <t>A-00583</t>
  </si>
  <si>
    <t>A-00584</t>
  </si>
  <si>
    <t>A-00585</t>
  </si>
  <si>
    <t>A-00586</t>
  </si>
  <si>
    <t>A-00587</t>
  </si>
  <si>
    <t>A-00588</t>
  </si>
  <si>
    <t>A-00589</t>
  </si>
  <si>
    <t>A-00590</t>
  </si>
  <si>
    <t>A-00591</t>
  </si>
  <si>
    <t>A-00592</t>
  </si>
  <si>
    <t>A-00593</t>
  </si>
  <si>
    <t>A-00594</t>
  </si>
  <si>
    <t>A-00595</t>
  </si>
  <si>
    <t>A-00596</t>
  </si>
  <si>
    <t>A-00597</t>
  </si>
  <si>
    <t>A-00598</t>
  </si>
  <si>
    <t>A-00599</t>
  </si>
  <si>
    <t>A-00600</t>
  </si>
  <si>
    <t>A-00601</t>
  </si>
  <si>
    <t>A-00602</t>
  </si>
  <si>
    <t>A-00603</t>
  </si>
  <si>
    <t>A-00604</t>
  </si>
  <si>
    <t>A-00605</t>
  </si>
  <si>
    <t>A-00606</t>
  </si>
  <si>
    <t>A-00607</t>
  </si>
  <si>
    <t>A-00608</t>
  </si>
  <si>
    <t>A-00609</t>
  </si>
  <si>
    <t>A-00610</t>
  </si>
  <si>
    <t>A-00611</t>
  </si>
  <si>
    <t>A-00612</t>
  </si>
  <si>
    <t>A-00613</t>
  </si>
  <si>
    <t>A-00614</t>
  </si>
  <si>
    <t>A-00615</t>
  </si>
  <si>
    <t>A-00616</t>
  </si>
  <si>
    <t>A-00617</t>
  </si>
  <si>
    <t>A-00618</t>
  </si>
  <si>
    <t>A-00619</t>
  </si>
  <si>
    <t>A-00620</t>
  </si>
  <si>
    <t>A-00621</t>
  </si>
  <si>
    <t>A-00622</t>
  </si>
  <si>
    <t>A-00623</t>
  </si>
  <si>
    <t>A-00624</t>
  </si>
  <si>
    <t>A-00625</t>
  </si>
  <si>
    <t>A-00626</t>
  </si>
  <si>
    <t>A-00627</t>
  </si>
  <si>
    <t>A-00628</t>
  </si>
  <si>
    <t>A-00629</t>
  </si>
  <si>
    <t>A-00630</t>
  </si>
  <si>
    <t>A-00631</t>
  </si>
  <si>
    <t>A-00632</t>
  </si>
  <si>
    <t>A-00633</t>
  </si>
  <si>
    <t>A-00634</t>
  </si>
  <si>
    <t>A-00635</t>
  </si>
  <si>
    <t>A-00636</t>
  </si>
  <si>
    <t>A-00637</t>
  </si>
  <si>
    <t>A-00638</t>
  </si>
  <si>
    <t>A-00639</t>
  </si>
  <si>
    <t>A-00640</t>
  </si>
  <si>
    <t>A-00641</t>
  </si>
  <si>
    <t>A-00642</t>
  </si>
  <si>
    <t>A-00643</t>
  </si>
  <si>
    <t>A-00644</t>
  </si>
  <si>
    <t>A-00645</t>
  </si>
  <si>
    <t>A-00646</t>
  </si>
  <si>
    <t>A-00647</t>
  </si>
  <si>
    <t>A-00648</t>
  </si>
  <si>
    <t>A-00649</t>
  </si>
  <si>
    <t>A-00650</t>
  </si>
  <si>
    <t>A-00651</t>
  </si>
  <si>
    <t>A-00652</t>
  </si>
  <si>
    <t>A-00653</t>
  </si>
  <si>
    <t>A-00654</t>
  </si>
  <si>
    <t>A-00655</t>
  </si>
  <si>
    <t>A-00656</t>
  </si>
  <si>
    <t>A-00657</t>
  </si>
  <si>
    <t>A-00658</t>
  </si>
  <si>
    <t>A-00659</t>
  </si>
  <si>
    <t>A-00660</t>
  </si>
  <si>
    <t>A-00661</t>
  </si>
  <si>
    <t>A-00662</t>
  </si>
  <si>
    <t>A-00663</t>
  </si>
  <si>
    <t>A-00664</t>
  </si>
  <si>
    <t>A-00665</t>
  </si>
  <si>
    <t>A-00666</t>
  </si>
  <si>
    <t>A-00667</t>
  </si>
  <si>
    <t>A-00668</t>
  </si>
  <si>
    <t>A-00669</t>
  </si>
  <si>
    <t>A-00670</t>
  </si>
  <si>
    <t>A-00671</t>
  </si>
  <si>
    <t>A-00672</t>
  </si>
  <si>
    <t>A-00673</t>
  </si>
  <si>
    <t>A-00674</t>
  </si>
  <si>
    <t>A-00675</t>
  </si>
  <si>
    <t>A-00676</t>
  </si>
  <si>
    <t>A-00677</t>
  </si>
  <si>
    <t>A-00678</t>
  </si>
  <si>
    <t>A-00679</t>
  </si>
  <si>
    <t>A-00680</t>
  </si>
  <si>
    <t>A-00681</t>
  </si>
  <si>
    <t>A-00682</t>
  </si>
  <si>
    <t>A-00683</t>
  </si>
  <si>
    <t>A-00684</t>
  </si>
  <si>
    <t>A-00685</t>
  </si>
  <si>
    <t>A-00686</t>
  </si>
  <si>
    <t>A-00687</t>
  </si>
  <si>
    <t>A-00688</t>
  </si>
  <si>
    <t>A-00689</t>
  </si>
  <si>
    <t>A-00690</t>
  </si>
  <si>
    <t>A-00691</t>
  </si>
  <si>
    <t>A-00692</t>
  </si>
  <si>
    <t>A-00693</t>
  </si>
  <si>
    <t>A-00694</t>
  </si>
  <si>
    <t>A-00695</t>
  </si>
  <si>
    <t>A-00696</t>
  </si>
  <si>
    <t>A-00697</t>
  </si>
  <si>
    <t>A-00698</t>
  </si>
  <si>
    <t>A-00699</t>
  </si>
  <si>
    <t>A-00700</t>
  </si>
  <si>
    <t>A-00701</t>
  </si>
  <si>
    <t>A-00702</t>
  </si>
  <si>
    <t>A-00703</t>
  </si>
  <si>
    <t>A-00704</t>
  </si>
  <si>
    <t>A-00705</t>
  </si>
  <si>
    <t>A-00706</t>
  </si>
  <si>
    <t>A-00707</t>
  </si>
  <si>
    <t>A-00708</t>
  </si>
  <si>
    <t>A-00709</t>
  </si>
  <si>
    <t>A-00710</t>
  </si>
  <si>
    <t>A-00711</t>
  </si>
  <si>
    <t>A-00712</t>
  </si>
  <si>
    <t>A-00713</t>
  </si>
  <si>
    <t>A-00714</t>
  </si>
  <si>
    <t>A-00715</t>
  </si>
  <si>
    <t>A-00716</t>
  </si>
  <si>
    <t>A-00717</t>
  </si>
  <si>
    <t>A-00718</t>
  </si>
  <si>
    <t>A-00719</t>
  </si>
  <si>
    <t>A-00720</t>
  </si>
  <si>
    <t>A-00721</t>
  </si>
  <si>
    <t>A-00722</t>
  </si>
  <si>
    <t>A-00723</t>
  </si>
  <si>
    <t>A-00724</t>
  </si>
  <si>
    <t>A-00725</t>
  </si>
  <si>
    <t>A-00726</t>
  </si>
  <si>
    <t>A-00727</t>
  </si>
  <si>
    <t>A-00728</t>
  </si>
  <si>
    <t>A-00729</t>
  </si>
  <si>
    <t>A-00730</t>
  </si>
  <si>
    <t>A-00731</t>
  </si>
  <si>
    <t>A-00732</t>
  </si>
  <si>
    <t>A-00733</t>
  </si>
  <si>
    <t>A-00734</t>
  </si>
  <si>
    <t>A-00735</t>
  </si>
  <si>
    <t>A-00736</t>
  </si>
  <si>
    <t>A-00737</t>
  </si>
  <si>
    <t>A-00738</t>
  </si>
  <si>
    <t>A-00739</t>
  </si>
  <si>
    <t>A-00740</t>
  </si>
  <si>
    <t>A-00741</t>
  </si>
  <si>
    <t>A-00742</t>
  </si>
  <si>
    <t>A-00743</t>
  </si>
  <si>
    <t>A-00744</t>
  </si>
  <si>
    <t>A-00745</t>
  </si>
  <si>
    <t>A-00746</t>
  </si>
  <si>
    <t>A-00747</t>
  </si>
  <si>
    <t>A-00748</t>
  </si>
  <si>
    <t>A-00749</t>
  </si>
  <si>
    <t>A-00750</t>
  </si>
  <si>
    <t>A-00751</t>
  </si>
  <si>
    <t>A-00752</t>
  </si>
  <si>
    <t>A-00753</t>
  </si>
  <si>
    <t>A-00754</t>
  </si>
  <si>
    <t>A-00755</t>
  </si>
  <si>
    <t>A-00756</t>
  </si>
  <si>
    <t>A-00757</t>
  </si>
  <si>
    <t>A-00758</t>
  </si>
  <si>
    <t>A-00759</t>
  </si>
  <si>
    <t>A-00760</t>
  </si>
  <si>
    <t>A-00761</t>
  </si>
  <si>
    <t>A-00762</t>
  </si>
  <si>
    <t>A-00763</t>
  </si>
  <si>
    <t>A-00764</t>
  </si>
  <si>
    <t>A-00765</t>
  </si>
  <si>
    <t>A-00766</t>
  </si>
  <si>
    <t>A-00767</t>
  </si>
  <si>
    <t>A-00768</t>
  </si>
  <si>
    <t>A-00769</t>
  </si>
  <si>
    <t>A-00770</t>
  </si>
  <si>
    <t>A-00771</t>
  </si>
  <si>
    <t>A-00772</t>
  </si>
  <si>
    <t>A-00773</t>
  </si>
  <si>
    <t>A-00774</t>
  </si>
  <si>
    <t>A-00775</t>
  </si>
  <si>
    <t>A-00776</t>
  </si>
  <si>
    <t>A-00777</t>
  </si>
  <si>
    <t>A-00778</t>
  </si>
  <si>
    <t>A-00779</t>
  </si>
  <si>
    <t>A-00780</t>
  </si>
  <si>
    <t>A-00781</t>
  </si>
  <si>
    <t>A-00782</t>
  </si>
  <si>
    <t>A-00783</t>
  </si>
  <si>
    <t>A-00784</t>
  </si>
  <si>
    <t>A-00785</t>
  </si>
  <si>
    <t>A-00786</t>
  </si>
  <si>
    <t>A-00787</t>
  </si>
  <si>
    <t>A-00788</t>
  </si>
  <si>
    <t>A-00789</t>
  </si>
  <si>
    <t>A-00790</t>
  </si>
  <si>
    <t>A-00791</t>
  </si>
  <si>
    <t>A-00792</t>
  </si>
  <si>
    <t>A-00793</t>
  </si>
  <si>
    <t>A-00794</t>
  </si>
  <si>
    <t>A-00795</t>
  </si>
  <si>
    <t>A-00796</t>
  </si>
  <si>
    <t>A-00797</t>
  </si>
  <si>
    <t>A-00798</t>
  </si>
  <si>
    <t>A-00799</t>
  </si>
  <si>
    <t>A-00800</t>
  </si>
  <si>
    <t>A-00801</t>
  </si>
  <si>
    <t>A-00802</t>
  </si>
  <si>
    <t>A-00803</t>
  </si>
  <si>
    <t>A-00804</t>
  </si>
  <si>
    <t>A-00805</t>
  </si>
  <si>
    <t>A-00806</t>
  </si>
  <si>
    <t>A-00807</t>
  </si>
  <si>
    <t>A-00808</t>
  </si>
  <si>
    <t>A-00809</t>
  </si>
  <si>
    <t>A-00810</t>
  </si>
  <si>
    <t>A-00811</t>
  </si>
  <si>
    <t>A-00812</t>
  </si>
  <si>
    <t>A-00813</t>
  </si>
  <si>
    <t>A-00814</t>
  </si>
  <si>
    <t>A-00815</t>
  </si>
  <si>
    <t>A-00816</t>
  </si>
  <si>
    <t>A-00817</t>
  </si>
  <si>
    <t>A-00818</t>
  </si>
  <si>
    <t>A-00819</t>
  </si>
  <si>
    <t>A-00820</t>
  </si>
  <si>
    <t>A-00821</t>
  </si>
  <si>
    <t>A-00822</t>
  </si>
  <si>
    <t>A-00823</t>
  </si>
  <si>
    <t>A-00824</t>
  </si>
  <si>
    <t>A-00825</t>
  </si>
  <si>
    <t>A-00826</t>
  </si>
  <si>
    <t>A-00827</t>
  </si>
  <si>
    <t>A-00828</t>
  </si>
  <si>
    <t>A-00829</t>
  </si>
  <si>
    <t>A-00830</t>
  </si>
  <si>
    <t>A-00831</t>
  </si>
  <si>
    <t>A-00832</t>
  </si>
  <si>
    <t>A-00833</t>
  </si>
  <si>
    <t>A-00834</t>
  </si>
  <si>
    <t>A-00835</t>
  </si>
  <si>
    <t>A-00836</t>
  </si>
  <si>
    <t>A-00837</t>
  </si>
  <si>
    <t>A-00838</t>
  </si>
  <si>
    <t>A-00839</t>
  </si>
  <si>
    <t>A-00840</t>
  </si>
  <si>
    <t>A-00841</t>
  </si>
  <si>
    <t>A-00842</t>
  </si>
  <si>
    <t>A-00843</t>
  </si>
  <si>
    <t>A-00844</t>
  </si>
  <si>
    <t>A-00845</t>
  </si>
  <si>
    <t>A-00846</t>
  </si>
  <si>
    <t>A-00847</t>
  </si>
  <si>
    <t>A-00848</t>
  </si>
  <si>
    <t>A-00849</t>
  </si>
  <si>
    <t>A-00850</t>
  </si>
  <si>
    <t>A-00851</t>
  </si>
  <si>
    <t>A-00852</t>
  </si>
  <si>
    <t>A-00853</t>
  </si>
  <si>
    <t>A-00854</t>
  </si>
  <si>
    <t>A-00855</t>
  </si>
  <si>
    <t>A-00856</t>
  </si>
  <si>
    <t>A-00857</t>
  </si>
  <si>
    <t>A-00858</t>
  </si>
  <si>
    <t>A-00859</t>
  </si>
  <si>
    <t>A-00860</t>
  </si>
  <si>
    <t>A-00861</t>
  </si>
  <si>
    <t>A-00862</t>
  </si>
  <si>
    <t>A-00863</t>
  </si>
  <si>
    <t>A-00864</t>
  </si>
  <si>
    <t>A-00865</t>
  </si>
  <si>
    <t>A-00866</t>
  </si>
  <si>
    <t>A-00867</t>
  </si>
  <si>
    <t>A-00868</t>
  </si>
  <si>
    <t>A-00869</t>
  </si>
  <si>
    <t>A-00870</t>
  </si>
  <si>
    <t>A-00871</t>
  </si>
  <si>
    <t>A-00872</t>
  </si>
  <si>
    <t>A-00873</t>
  </si>
  <si>
    <t>A-00874</t>
  </si>
  <si>
    <t>A-00875</t>
  </si>
  <si>
    <t>A-00876</t>
  </si>
  <si>
    <t>A-00877</t>
  </si>
  <si>
    <t>A-00878</t>
  </si>
  <si>
    <t>A-00879</t>
  </si>
  <si>
    <t>A-00880</t>
  </si>
  <si>
    <t>A-00881</t>
  </si>
  <si>
    <t>A-00882</t>
  </si>
  <si>
    <t>A-00883</t>
  </si>
  <si>
    <t>A-00884</t>
  </si>
  <si>
    <t>A-00885</t>
  </si>
  <si>
    <t>A-00886</t>
  </si>
  <si>
    <t>A-00887</t>
  </si>
  <si>
    <t>A-00888</t>
  </si>
  <si>
    <t>A-00889</t>
  </si>
  <si>
    <t>A-00890</t>
  </si>
  <si>
    <t>A-00891</t>
  </si>
  <si>
    <t>A-00892</t>
  </si>
  <si>
    <t>A-00893</t>
  </si>
  <si>
    <t>A-00894</t>
  </si>
  <si>
    <t>A-00895</t>
  </si>
  <si>
    <t>A-00896</t>
  </si>
  <si>
    <t>A-00897</t>
  </si>
  <si>
    <t>A-00898</t>
  </si>
  <si>
    <t>A-00899</t>
  </si>
  <si>
    <t>A-00900</t>
  </si>
  <si>
    <t>A-00901</t>
  </si>
  <si>
    <t>A-00902</t>
  </si>
  <si>
    <t>A-00903</t>
  </si>
  <si>
    <t>A-00904</t>
  </si>
  <si>
    <t>A-00905</t>
  </si>
  <si>
    <t>A-00906</t>
  </si>
  <si>
    <t>A-00907</t>
  </si>
  <si>
    <t>A-00908</t>
  </si>
  <si>
    <t>A-00909</t>
  </si>
  <si>
    <t>A-00910</t>
  </si>
  <si>
    <t>A-00911</t>
  </si>
  <si>
    <t>A-00912</t>
  </si>
  <si>
    <t>A-00913</t>
  </si>
  <si>
    <t>A-00914</t>
  </si>
  <si>
    <t>A-00915</t>
  </si>
  <si>
    <t>A-00916</t>
  </si>
  <si>
    <t>A-00917</t>
  </si>
  <si>
    <t>A-00918</t>
  </si>
  <si>
    <t>A-00919</t>
  </si>
  <si>
    <t>A-00920</t>
  </si>
  <si>
    <t>A-00921</t>
  </si>
  <si>
    <t>A-00922</t>
  </si>
  <si>
    <t>A-00923</t>
  </si>
  <si>
    <t>A-00924</t>
  </si>
  <si>
    <t>A-00925</t>
  </si>
  <si>
    <t>A-00926</t>
  </si>
  <si>
    <t>A-00927</t>
  </si>
  <si>
    <t>A-00928</t>
  </si>
  <si>
    <t>A-00929</t>
  </si>
  <si>
    <t>A-00930</t>
  </si>
  <si>
    <t>A-00931</t>
  </si>
  <si>
    <t>A-00932</t>
  </si>
  <si>
    <t>A-00933</t>
  </si>
  <si>
    <t>A-00934</t>
  </si>
  <si>
    <t>A-00935</t>
  </si>
  <si>
    <t>A-00936</t>
  </si>
  <si>
    <t>A-00937</t>
  </si>
  <si>
    <t>A-00938</t>
  </si>
  <si>
    <t>A-00939</t>
  </si>
  <si>
    <t>A-00940</t>
  </si>
  <si>
    <t>A-00941</t>
  </si>
  <si>
    <t>A-00942</t>
  </si>
  <si>
    <t>A-00943</t>
  </si>
  <si>
    <t>A-00944</t>
  </si>
  <si>
    <t>A-00945</t>
  </si>
  <si>
    <t>A-00946</t>
  </si>
  <si>
    <t>A-00947</t>
  </si>
  <si>
    <t>A-00948</t>
  </si>
  <si>
    <t>A-00949</t>
  </si>
  <si>
    <t>A-00950</t>
  </si>
  <si>
    <t>A-00951</t>
  </si>
  <si>
    <t>A-00952</t>
  </si>
  <si>
    <t>A-00953</t>
  </si>
  <si>
    <t>A-00954</t>
  </si>
  <si>
    <t>A-00955</t>
  </si>
  <si>
    <t>A-00956</t>
  </si>
  <si>
    <t>A-00957</t>
  </si>
  <si>
    <t>A-00958</t>
  </si>
  <si>
    <t>A-00959</t>
  </si>
  <si>
    <t>A-00960</t>
  </si>
  <si>
    <t>A-00961</t>
  </si>
  <si>
    <t>A-00962</t>
  </si>
  <si>
    <t>A-00963</t>
  </si>
  <si>
    <t>A-00964</t>
  </si>
  <si>
    <t>A-00965</t>
  </si>
  <si>
    <t>A-00966</t>
  </si>
  <si>
    <t>A-00967</t>
  </si>
  <si>
    <t>A-00968</t>
  </si>
  <si>
    <t>A-00969</t>
  </si>
  <si>
    <t>A-00970</t>
  </si>
  <si>
    <t>A-00971</t>
  </si>
  <si>
    <t>A-00972</t>
  </si>
  <si>
    <t>A-00973</t>
  </si>
  <si>
    <t>A-00974</t>
  </si>
  <si>
    <t>A-00975</t>
  </si>
  <si>
    <t>A-00976</t>
  </si>
  <si>
    <t>A-00977</t>
  </si>
  <si>
    <t>A-00978</t>
  </si>
  <si>
    <t>A-00979</t>
  </si>
  <si>
    <t>A-00980</t>
  </si>
  <si>
    <t>A-00981</t>
  </si>
  <si>
    <t>A-00982</t>
  </si>
  <si>
    <t>A-00983</t>
  </si>
  <si>
    <t>A-00984</t>
  </si>
  <si>
    <t>A-00985</t>
  </si>
  <si>
    <t>A-00986</t>
  </si>
  <si>
    <t>A-00987</t>
  </si>
  <si>
    <t>A-00988</t>
  </si>
  <si>
    <t>A-00989</t>
  </si>
  <si>
    <t>A-00990</t>
  </si>
  <si>
    <t>A-00991</t>
  </si>
  <si>
    <t>A-00992</t>
  </si>
  <si>
    <t>A-00993</t>
  </si>
  <si>
    <t>A-00994</t>
  </si>
  <si>
    <t>A-00995</t>
  </si>
  <si>
    <t>A-00996</t>
  </si>
  <si>
    <t>A-00997</t>
  </si>
  <si>
    <t>A-00998</t>
  </si>
  <si>
    <t>A-00999</t>
  </si>
  <si>
    <t>A-01000</t>
  </si>
  <si>
    <t>A-01001</t>
  </si>
  <si>
    <t>A-01002</t>
  </si>
  <si>
    <t>A-01003</t>
  </si>
  <si>
    <t>A-01004</t>
  </si>
  <si>
    <t>A-01005</t>
  </si>
  <si>
    <t>A-01006</t>
  </si>
  <si>
    <t>A-01007</t>
  </si>
  <si>
    <t>A-01008</t>
  </si>
  <si>
    <t>A-01009</t>
  </si>
  <si>
    <t>A-01010</t>
  </si>
  <si>
    <t>A-01011</t>
  </si>
  <si>
    <t>A-01012</t>
  </si>
  <si>
    <t>A-01013</t>
  </si>
  <si>
    <t>A-01014</t>
  </si>
  <si>
    <t>A-01015</t>
  </si>
  <si>
    <t>A-01016</t>
  </si>
  <si>
    <t>A-01017</t>
  </si>
  <si>
    <t>A-01018</t>
  </si>
  <si>
    <t>A-01019</t>
  </si>
  <si>
    <t>A-01020</t>
  </si>
  <si>
    <t>A-01021</t>
  </si>
  <si>
    <t>A-01022</t>
  </si>
  <si>
    <t>A-01023</t>
  </si>
  <si>
    <t>A-01024</t>
  </si>
  <si>
    <t>A-01025</t>
  </si>
  <si>
    <t>A-01026</t>
  </si>
  <si>
    <t>A-01027</t>
  </si>
  <si>
    <t>A-01028</t>
  </si>
  <si>
    <t>A-01029</t>
  </si>
  <si>
    <t>A-01030</t>
  </si>
  <si>
    <t>A-01031</t>
  </si>
  <si>
    <t>A-01032</t>
  </si>
  <si>
    <t>A-01033</t>
  </si>
  <si>
    <t>A-01034</t>
  </si>
  <si>
    <t>A-01035</t>
  </si>
  <si>
    <t>A-01036</t>
  </si>
  <si>
    <t>A-01037</t>
  </si>
  <si>
    <t>A-01038</t>
  </si>
  <si>
    <t>A-01039</t>
  </si>
  <si>
    <t>A-01040</t>
  </si>
  <si>
    <t>A-01041</t>
  </si>
  <si>
    <t>A-01042</t>
  </si>
  <si>
    <t>A-01043</t>
  </si>
  <si>
    <t>A-01044</t>
  </si>
  <si>
    <t>A-01045</t>
  </si>
  <si>
    <t>A-01046</t>
  </si>
  <si>
    <t>A-01047</t>
  </si>
  <si>
    <t>A-01048</t>
  </si>
  <si>
    <t>A-01049</t>
  </si>
  <si>
    <t>A-01050</t>
  </si>
  <si>
    <t>A-01051</t>
  </si>
  <si>
    <t>A-01052</t>
  </si>
  <si>
    <t>A-01053</t>
  </si>
  <si>
    <t>A-01054</t>
  </si>
  <si>
    <t>A-01055</t>
  </si>
  <si>
    <t>A-01056</t>
  </si>
  <si>
    <t>A-01057</t>
  </si>
  <si>
    <t>A-01058</t>
  </si>
  <si>
    <t>A-01059</t>
  </si>
  <si>
    <t>A-01060</t>
  </si>
  <si>
    <t>A-01061</t>
  </si>
  <si>
    <t>A-01062</t>
  </si>
  <si>
    <t>A-01063</t>
  </si>
  <si>
    <t>A-01064</t>
  </si>
  <si>
    <t>A-01065</t>
  </si>
  <si>
    <t>A-01066</t>
  </si>
  <si>
    <t>A-01067</t>
  </si>
  <si>
    <t>A-01068</t>
  </si>
  <si>
    <t>A-01069</t>
  </si>
  <si>
    <t>A-01070</t>
  </si>
  <si>
    <t>A-01071</t>
  </si>
  <si>
    <t>A-01072</t>
  </si>
  <si>
    <t>A-01073</t>
  </si>
  <si>
    <t>A-01074</t>
  </si>
  <si>
    <t>A-01075</t>
  </si>
  <si>
    <t>A-01076</t>
  </si>
  <si>
    <t>A-01077</t>
  </si>
  <si>
    <t>A-01078</t>
  </si>
  <si>
    <t>A-01079</t>
  </si>
  <si>
    <t>A-01080</t>
  </si>
  <si>
    <t>A-01081</t>
  </si>
  <si>
    <t>A-01082</t>
  </si>
  <si>
    <t>A-01083</t>
  </si>
  <si>
    <t>A-01084</t>
  </si>
  <si>
    <t>A-01085</t>
  </si>
  <si>
    <t>A-01086</t>
  </si>
  <si>
    <t>A-01087</t>
  </si>
  <si>
    <t>A-01088</t>
  </si>
  <si>
    <t>A-01089</t>
  </si>
  <si>
    <t>A-01090</t>
  </si>
  <si>
    <t>A-01091</t>
  </si>
  <si>
    <t>A-01092</t>
  </si>
  <si>
    <t>A-01093</t>
  </si>
  <si>
    <t>A-01094</t>
  </si>
  <si>
    <t>A-01095</t>
  </si>
  <si>
    <t>A-01096</t>
  </si>
  <si>
    <t>A-01097</t>
  </si>
  <si>
    <t>A-01098</t>
  </si>
  <si>
    <t>A-01099</t>
  </si>
  <si>
    <t>A-01100</t>
  </si>
  <si>
    <t>A-01101</t>
  </si>
  <si>
    <t>A-01102</t>
  </si>
  <si>
    <t>A-01103</t>
  </si>
  <si>
    <t>A-01104</t>
  </si>
  <si>
    <t>A-01105</t>
  </si>
  <si>
    <t>A-01106</t>
  </si>
  <si>
    <t>A-01107</t>
  </si>
  <si>
    <t>A-01108</t>
  </si>
  <si>
    <t>A-01109</t>
  </si>
  <si>
    <t>A-01110</t>
  </si>
  <si>
    <t>A-01111</t>
  </si>
  <si>
    <t>A-01112</t>
  </si>
  <si>
    <t>A-01113</t>
  </si>
  <si>
    <t>A-01114</t>
  </si>
  <si>
    <t>A-01115</t>
  </si>
  <si>
    <t>A-01116</t>
  </si>
  <si>
    <t>A-01117</t>
  </si>
  <si>
    <t>A-01118</t>
  </si>
  <si>
    <t>A-01119</t>
  </si>
  <si>
    <t>A-01120</t>
  </si>
  <si>
    <t>A-01121</t>
  </si>
  <si>
    <t>A-01122</t>
  </si>
  <si>
    <t>A-01123</t>
  </si>
  <si>
    <t>A-01124</t>
  </si>
  <si>
    <t>A-01125</t>
  </si>
  <si>
    <t>A-01126</t>
  </si>
  <si>
    <t>A-01127</t>
  </si>
  <si>
    <t>A-01128</t>
  </si>
  <si>
    <t>A-01129</t>
  </si>
  <si>
    <t>A-01130</t>
  </si>
  <si>
    <t>A-01131</t>
  </si>
  <si>
    <t>A-01132</t>
  </si>
  <si>
    <t>A-01133</t>
  </si>
  <si>
    <t>A-01134</t>
  </si>
  <si>
    <t>A-01135</t>
  </si>
  <si>
    <t>A-01136</t>
  </si>
  <si>
    <t>A-01137</t>
  </si>
  <si>
    <t>A-01138</t>
  </si>
  <si>
    <t>A-01139</t>
  </si>
  <si>
    <t>A-01140</t>
  </si>
  <si>
    <t>A-01141</t>
  </si>
  <si>
    <t>A-01142</t>
  </si>
  <si>
    <t>A-01143</t>
  </si>
  <si>
    <t>A-01144</t>
  </si>
  <si>
    <t>A-01145</t>
  </si>
  <si>
    <t>A-01146</t>
  </si>
  <si>
    <t>A-01147</t>
  </si>
  <si>
    <t>A-01148</t>
  </si>
  <si>
    <t>A-01149</t>
  </si>
  <si>
    <t>A-01150</t>
  </si>
  <si>
    <t>A-01151</t>
  </si>
  <si>
    <t>A-01152</t>
  </si>
  <si>
    <t>A-01153</t>
  </si>
  <si>
    <t>A-01154</t>
  </si>
  <si>
    <t>A-01155</t>
  </si>
  <si>
    <t>A-01156</t>
  </si>
  <si>
    <t>A-01157</t>
  </si>
  <si>
    <t>A-01158</t>
  </si>
  <si>
    <t>A-01159</t>
  </si>
  <si>
    <t>A-01160</t>
  </si>
  <si>
    <t>A-01161</t>
  </si>
  <si>
    <t>A-01162</t>
  </si>
  <si>
    <t>A-01163</t>
  </si>
  <si>
    <t>A-01164</t>
  </si>
  <si>
    <t>A-01165</t>
  </si>
  <si>
    <t>A-01166</t>
  </si>
  <si>
    <t>A-01167</t>
  </si>
  <si>
    <t>A-01168</t>
  </si>
  <si>
    <t>A-01169</t>
  </si>
  <si>
    <t>A-01170</t>
  </si>
  <si>
    <t>A-01171</t>
  </si>
  <si>
    <t>A-01172</t>
  </si>
  <si>
    <t>A-01173</t>
  </si>
  <si>
    <t>A-01174</t>
  </si>
  <si>
    <t>A-01175</t>
  </si>
  <si>
    <t>A-01176</t>
  </si>
  <si>
    <t>A-01177</t>
  </si>
  <si>
    <t>A-01178</t>
  </si>
  <si>
    <t>A-01179</t>
  </si>
  <si>
    <t>A-01180</t>
  </si>
  <si>
    <t>A-01181</t>
  </si>
  <si>
    <t>A-01182</t>
  </si>
  <si>
    <t>A-01183</t>
  </si>
  <si>
    <t>A-01184</t>
  </si>
  <si>
    <t>A-01185</t>
  </si>
  <si>
    <t>A-01186</t>
  </si>
  <si>
    <t>A-01187</t>
  </si>
  <si>
    <t>A-01188</t>
  </si>
  <si>
    <t>A-01189</t>
  </si>
  <si>
    <t>A-01190</t>
  </si>
  <si>
    <t>A-01191</t>
  </si>
  <si>
    <t>A-01192</t>
  </si>
  <si>
    <t>A-01193</t>
  </si>
  <si>
    <t>A-01194</t>
  </si>
  <si>
    <t>A-01195</t>
  </si>
  <si>
    <t>A-01196</t>
  </si>
  <si>
    <t>A-01197</t>
  </si>
  <si>
    <t>A-01198</t>
  </si>
  <si>
    <t>A-01199</t>
  </si>
  <si>
    <t>A-01200</t>
  </si>
  <si>
    <t>A-01201</t>
  </si>
  <si>
    <t>A-01202</t>
  </si>
  <si>
    <t>A-01203</t>
  </si>
  <si>
    <t>A-01204</t>
  </si>
  <si>
    <t>A-01205</t>
  </si>
  <si>
    <t>A-01206</t>
  </si>
  <si>
    <t>A-01207</t>
  </si>
  <si>
    <t>A-01208</t>
  </si>
  <si>
    <t>A-01209</t>
  </si>
  <si>
    <t>A-01210</t>
  </si>
  <si>
    <t>A-01211</t>
  </si>
  <si>
    <t>A-01212</t>
  </si>
  <si>
    <t>A-01213</t>
  </si>
  <si>
    <t>A-01214</t>
  </si>
  <si>
    <t>A-01215</t>
  </si>
  <si>
    <t>A-01216</t>
  </si>
  <si>
    <t>A-01217</t>
  </si>
  <si>
    <t>A-01218</t>
  </si>
  <si>
    <t>A-01219</t>
  </si>
  <si>
    <t>A-01220</t>
  </si>
  <si>
    <t>A-01221</t>
  </si>
  <si>
    <t>A-01222</t>
  </si>
  <si>
    <t>A-01223</t>
  </si>
  <si>
    <t>A-01224</t>
  </si>
  <si>
    <t>A-01225</t>
  </si>
  <si>
    <t>A-01226</t>
  </si>
  <si>
    <t>A-01227</t>
  </si>
  <si>
    <t>A-01228</t>
  </si>
  <si>
    <t>A-01229</t>
  </si>
  <si>
    <t>A-01230</t>
  </si>
  <si>
    <t>A-01231</t>
  </si>
  <si>
    <t>A-01232</t>
  </si>
  <si>
    <t>A-01233</t>
  </si>
  <si>
    <t>A-01234</t>
  </si>
  <si>
    <t>A-01235</t>
  </si>
  <si>
    <t>A-01236</t>
  </si>
  <si>
    <t>A-01237</t>
  </si>
  <si>
    <t>A-01238</t>
  </si>
  <si>
    <t>A-01239</t>
  </si>
  <si>
    <t>A-01240</t>
  </si>
  <si>
    <t>A-01241</t>
  </si>
  <si>
    <t>A-01242</t>
  </si>
  <si>
    <t>A-01243</t>
  </si>
  <si>
    <t>A-01244</t>
  </si>
  <si>
    <t>A-01245</t>
  </si>
  <si>
    <t>A-01246</t>
  </si>
  <si>
    <t>A-01247</t>
  </si>
  <si>
    <t>A-01248</t>
  </si>
  <si>
    <t>A-01249</t>
  </si>
  <si>
    <t>A-01250</t>
  </si>
  <si>
    <t>A-01251</t>
  </si>
  <si>
    <t>A-01252</t>
  </si>
  <si>
    <t>A-01253</t>
  </si>
  <si>
    <t>A-01254</t>
  </si>
  <si>
    <t>A-01255</t>
  </si>
  <si>
    <t>A-01256</t>
  </si>
  <si>
    <t>A-01257</t>
  </si>
  <si>
    <t>A-01258</t>
  </si>
  <si>
    <t>A-01259</t>
  </si>
  <si>
    <t>A-01260</t>
  </si>
  <si>
    <t>A-01261</t>
  </si>
  <si>
    <t>A-01262</t>
  </si>
  <si>
    <t>A-01263</t>
  </si>
  <si>
    <t>A-01264</t>
  </si>
  <si>
    <t>A-01265</t>
  </si>
  <si>
    <t>A-01266</t>
  </si>
  <si>
    <t>A-01267</t>
  </si>
  <si>
    <t>A-01268</t>
  </si>
  <si>
    <t>A-01269</t>
  </si>
  <si>
    <t>A-01270</t>
  </si>
  <si>
    <t>A-01271</t>
  </si>
  <si>
    <t>A-01272</t>
  </si>
  <si>
    <t>A-01273</t>
  </si>
  <si>
    <t>A-01274</t>
  </si>
  <si>
    <t>A-01275</t>
  </si>
  <si>
    <t>A-01276</t>
  </si>
  <si>
    <t>A-01277</t>
  </si>
  <si>
    <t>A-01278</t>
  </si>
  <si>
    <t>A-01279</t>
  </si>
  <si>
    <t>A-01280</t>
  </si>
  <si>
    <t>A-01281</t>
  </si>
  <si>
    <t>A-01282</t>
  </si>
  <si>
    <t>A-01283</t>
  </si>
  <si>
    <t>A-01284</t>
  </si>
  <si>
    <t>A-01285</t>
  </si>
  <si>
    <t>A-01286</t>
  </si>
  <si>
    <t>A-01287</t>
  </si>
  <si>
    <t>A-01288</t>
  </si>
  <si>
    <t>A-01289</t>
  </si>
  <si>
    <t>A-01290</t>
  </si>
  <si>
    <t>A-01291</t>
  </si>
  <si>
    <t>A-01292</t>
  </si>
  <si>
    <t>A-01293</t>
  </si>
  <si>
    <t>A-01294</t>
  </si>
  <si>
    <t>A-01295</t>
  </si>
  <si>
    <t>A-01296</t>
  </si>
  <si>
    <t>A-01297</t>
  </si>
  <si>
    <t>A-01298</t>
  </si>
  <si>
    <t>A-01299</t>
  </si>
  <si>
    <t>A-01300</t>
  </si>
  <si>
    <t>A-01301</t>
  </si>
  <si>
    <t>A-01302</t>
  </si>
  <si>
    <t>A-01303</t>
  </si>
  <si>
    <t>A-01304</t>
  </si>
  <si>
    <t>A-01305</t>
  </si>
  <si>
    <t>A-01306</t>
  </si>
  <si>
    <t>A-01307</t>
  </si>
  <si>
    <t>A-01308</t>
  </si>
  <si>
    <t>A-01309</t>
  </si>
  <si>
    <t>A-01310</t>
  </si>
  <si>
    <t>A-01311</t>
  </si>
  <si>
    <t>A-01312</t>
  </si>
  <si>
    <t>A-01313</t>
  </si>
  <si>
    <t>A-01314</t>
  </si>
  <si>
    <t>A-01315</t>
  </si>
  <si>
    <t>A-01316</t>
  </si>
  <si>
    <t>A-01317</t>
  </si>
  <si>
    <t>A-01318</t>
  </si>
  <si>
    <t>A-01319</t>
  </si>
  <si>
    <t>A-01320</t>
  </si>
  <si>
    <t>A-01321</t>
  </si>
  <si>
    <t>A-01322</t>
  </si>
  <si>
    <t>A-01323</t>
  </si>
  <si>
    <t>A-01324</t>
  </si>
  <si>
    <t>A-01325</t>
  </si>
  <si>
    <t>A-01326</t>
  </si>
  <si>
    <t>A-01327</t>
  </si>
  <si>
    <t>A-01328</t>
  </si>
  <si>
    <t>A-01329</t>
  </si>
  <si>
    <t>A-01330</t>
  </si>
  <si>
    <t>A-01331</t>
  </si>
  <si>
    <t>A-01332</t>
  </si>
  <si>
    <t>A-01333</t>
  </si>
  <si>
    <t>A-01334</t>
  </si>
  <si>
    <t>A-01335</t>
  </si>
  <si>
    <t>A-01336</t>
  </si>
  <si>
    <t>A-01337</t>
  </si>
  <si>
    <t>A-01338</t>
  </si>
  <si>
    <t>A-01339</t>
  </si>
  <si>
    <t>A-01340</t>
  </si>
  <si>
    <t>A-01341</t>
  </si>
  <si>
    <t>A-01342</t>
  </si>
  <si>
    <t>A-01343</t>
  </si>
  <si>
    <t>A-01344</t>
  </si>
  <si>
    <t>A-01345</t>
  </si>
  <si>
    <t>A-01346</t>
  </si>
  <si>
    <t>A-01347</t>
  </si>
  <si>
    <t>A-01348</t>
  </si>
  <si>
    <t>A-01349</t>
  </si>
  <si>
    <t>A-01350</t>
  </si>
  <si>
    <t>A-01351</t>
  </si>
  <si>
    <t>A-01352</t>
  </si>
  <si>
    <t>A-01353</t>
  </si>
  <si>
    <t>A-01354</t>
  </si>
  <si>
    <t>A-01355</t>
  </si>
  <si>
    <t>A-01356</t>
  </si>
  <si>
    <t>A-01357</t>
  </si>
  <si>
    <t>A-01358</t>
  </si>
  <si>
    <t>A-01359</t>
  </si>
  <si>
    <t>A-01360</t>
  </si>
  <si>
    <t>A-01361</t>
  </si>
  <si>
    <t>A-01362</t>
  </si>
  <si>
    <t>A-01363</t>
  </si>
  <si>
    <t>A-01364</t>
  </si>
  <si>
    <t>A-01365</t>
  </si>
  <si>
    <t>A-01366</t>
  </si>
  <si>
    <t>A-01367</t>
  </si>
  <si>
    <t>A-01368</t>
  </si>
  <si>
    <t>A-01369</t>
  </si>
  <si>
    <t>A-01370</t>
  </si>
  <si>
    <t>A-01371</t>
  </si>
  <si>
    <t>A-01372</t>
  </si>
  <si>
    <t>A-01373</t>
  </si>
  <si>
    <t>A-01374</t>
  </si>
  <si>
    <t>A-01375</t>
  </si>
  <si>
    <t>A-01376</t>
  </si>
  <si>
    <t>A-01377</t>
  </si>
  <si>
    <t>A-01378</t>
  </si>
  <si>
    <t>A-01379</t>
  </si>
  <si>
    <t>A-01380</t>
  </si>
  <si>
    <t>A-01381</t>
  </si>
  <si>
    <t>A-01382</t>
  </si>
  <si>
    <t>A-01383</t>
  </si>
  <si>
    <t>A-01384</t>
  </si>
  <si>
    <t>A-01385</t>
  </si>
  <si>
    <t>A-01386</t>
  </si>
  <si>
    <t>A-01387</t>
  </si>
  <si>
    <t>A-01388</t>
  </si>
  <si>
    <t>A-01389</t>
  </si>
  <si>
    <t>A-01390</t>
  </si>
  <si>
    <t>A-01391</t>
  </si>
  <si>
    <t>A-01392</t>
  </si>
  <si>
    <t>A-01393</t>
  </si>
  <si>
    <t>A-01394</t>
  </si>
  <si>
    <t>A-01395</t>
  </si>
  <si>
    <t>A-01396</t>
  </si>
  <si>
    <t>A-01397</t>
  </si>
  <si>
    <t>A-01398</t>
  </si>
  <si>
    <t>A-01399</t>
  </si>
  <si>
    <t>A-01400</t>
  </si>
  <si>
    <t>A-01401</t>
  </si>
  <si>
    <t>A-01402</t>
  </si>
  <si>
    <t>A-01403</t>
  </si>
  <si>
    <t>A-01404</t>
  </si>
  <si>
    <t>A-01405</t>
  </si>
  <si>
    <t>A-01406</t>
  </si>
  <si>
    <t>A-01407</t>
  </si>
  <si>
    <t>A-01408</t>
  </si>
  <si>
    <t>A-01409</t>
  </si>
  <si>
    <t>A-01410</t>
  </si>
  <si>
    <t>A-01411</t>
  </si>
  <si>
    <t>A-01412</t>
  </si>
  <si>
    <t>A-01413</t>
  </si>
  <si>
    <t>A-01414</t>
  </si>
  <si>
    <t>A-01415</t>
  </si>
  <si>
    <t>A-01416</t>
  </si>
  <si>
    <t>A-01417</t>
  </si>
  <si>
    <t>A-01418</t>
  </si>
  <si>
    <t>A-01419</t>
  </si>
  <si>
    <t>A-01420</t>
  </si>
  <si>
    <t>A-01421</t>
  </si>
  <si>
    <t>A-01422</t>
  </si>
  <si>
    <t>A-01423</t>
  </si>
  <si>
    <t>A-01424</t>
  </si>
  <si>
    <t>A-01425</t>
  </si>
  <si>
    <t>A-01426</t>
  </si>
  <si>
    <t>A-01427</t>
  </si>
  <si>
    <t>A-01428</t>
  </si>
  <si>
    <t>A-01429</t>
  </si>
  <si>
    <t>A-01430</t>
  </si>
  <si>
    <t>A-01431</t>
  </si>
  <si>
    <t>A-01432</t>
  </si>
  <si>
    <t>A-01433</t>
  </si>
  <si>
    <t>A-01434</t>
  </si>
  <si>
    <t>A-01435</t>
  </si>
  <si>
    <t>A-01436</t>
  </si>
  <si>
    <t>A-01437</t>
  </si>
  <si>
    <t>A-01438</t>
  </si>
  <si>
    <t>A-01439</t>
  </si>
  <si>
    <t>A-01440</t>
  </si>
  <si>
    <t>A-01441</t>
  </si>
  <si>
    <t>A-01442</t>
  </si>
  <si>
    <t>A-01443</t>
  </si>
  <si>
    <t>A-01444</t>
  </si>
  <si>
    <t>A-01445</t>
  </si>
  <si>
    <t>A-01446</t>
  </si>
  <si>
    <t>A-01447</t>
  </si>
  <si>
    <t>A-01448</t>
  </si>
  <si>
    <t>A-01449</t>
  </si>
  <si>
    <t>A-01450</t>
  </si>
  <si>
    <t>A-01451</t>
  </si>
  <si>
    <t>A-01452</t>
  </si>
  <si>
    <t>A-01453</t>
  </si>
  <si>
    <t>A-01454</t>
  </si>
  <si>
    <t>A-01455</t>
  </si>
  <si>
    <t>A-01456</t>
  </si>
  <si>
    <t>A-01457</t>
  </si>
  <si>
    <t>A-01458</t>
  </si>
  <si>
    <t>A-01459</t>
  </si>
  <si>
    <t>A-01460</t>
  </si>
  <si>
    <t>A-01461</t>
  </si>
  <si>
    <t>A-01462</t>
  </si>
  <si>
    <t>A-01463</t>
  </si>
  <si>
    <t>A-01464</t>
  </si>
  <si>
    <t>A-01465</t>
  </si>
  <si>
    <t>A-01466</t>
  </si>
  <si>
    <t>A-01467</t>
  </si>
  <si>
    <t>A-01468</t>
  </si>
  <si>
    <t>A-01469</t>
  </si>
  <si>
    <t>A-01470</t>
  </si>
  <si>
    <t>A-01471</t>
  </si>
  <si>
    <t>A-01472</t>
  </si>
  <si>
    <t>A-01473</t>
  </si>
  <si>
    <t>A-01474</t>
  </si>
  <si>
    <t>A-01475</t>
  </si>
  <si>
    <t>A-01476</t>
  </si>
  <si>
    <t>A-01477</t>
  </si>
  <si>
    <t>A-01478</t>
  </si>
  <si>
    <t>A-01479</t>
  </si>
  <si>
    <t>A-01480</t>
  </si>
  <si>
    <t>A-01481</t>
  </si>
  <si>
    <t>A-01482</t>
  </si>
  <si>
    <t>A-01483</t>
  </si>
  <si>
    <t>A-01484</t>
  </si>
  <si>
    <t>A-01485</t>
  </si>
  <si>
    <t>A-01486</t>
  </si>
  <si>
    <t>A-01487</t>
  </si>
  <si>
    <t>A-01488</t>
  </si>
  <si>
    <t>A-01489</t>
  </si>
  <si>
    <t>A-01490</t>
  </si>
  <si>
    <t>A-01491</t>
  </si>
  <si>
    <t>A-01492</t>
  </si>
  <si>
    <t>A-01493</t>
  </si>
  <si>
    <t>A-01494</t>
  </si>
  <si>
    <t>A-01495</t>
  </si>
  <si>
    <t>A-01496</t>
  </si>
  <si>
    <t>A-01497</t>
  </si>
  <si>
    <t>A-01498</t>
  </si>
  <si>
    <t>A-01499</t>
  </si>
  <si>
    <t>A-01500</t>
  </si>
  <si>
    <t>A-01501</t>
  </si>
  <si>
    <t>Kwota 28000 zl, brak kontaktu od 159 dni.</t>
  </si>
  <si>
    <t>A-01502</t>
  </si>
  <si>
    <t>Kwota 26622 zl, brak kontaktu od 159 dni.</t>
  </si>
  <si>
    <t>A-01503</t>
  </si>
  <si>
    <t>Kwota 23000 zl, brak kontaktu od 159 dni.</t>
  </si>
  <si>
    <t>A-01504</t>
  </si>
  <si>
    <t>Kwota 21000 zl, brak kontaktu od 156 dni.</t>
  </si>
  <si>
    <t>A-01505</t>
  </si>
  <si>
    <t>Kwota 23000 zl, brak kontaktu od 156 dni.</t>
  </si>
  <si>
    <t>A-01506</t>
  </si>
  <si>
    <t>Kwota 20500 zl, brak kontaktu od 154 dni.</t>
  </si>
  <si>
    <t>A-01507</t>
  </si>
  <si>
    <t>Kwota 29000 zl, brak kontaktu od 154 dni.</t>
  </si>
  <si>
    <t>A-01508</t>
  </si>
  <si>
    <t>Kwota 21000 zl, brak kontaktu od 154 dni.</t>
  </si>
  <si>
    <t>A-01509</t>
  </si>
  <si>
    <t>Kwota 23000 zl, brak kontaktu od 153 dni.</t>
  </si>
  <si>
    <t>A-01510</t>
  </si>
  <si>
    <t>Kwota 23000 zl, brak kontaktu od 149 dni.</t>
  </si>
  <si>
    <t>A-01511</t>
  </si>
  <si>
    <t>A-01512</t>
  </si>
  <si>
    <t>Kwota 20196 zl, brak kontaktu od 149 dni.</t>
  </si>
  <si>
    <t>A-01513</t>
  </si>
  <si>
    <t>Kwota 21000 zl, brak kontaktu od 148 dni.</t>
  </si>
  <si>
    <t>A-01514</t>
  </si>
  <si>
    <t>Kwota 25000 zl, brak kontaktu od 147 dni.</t>
  </si>
  <si>
    <t>A-01515</t>
  </si>
  <si>
    <t>Kwota 20000 zl, brak kontaktu od 147 dni.</t>
  </si>
  <si>
    <t>A-01516</t>
  </si>
  <si>
    <t>Kwota 23000 zl, brak kontaktu od 146 dni.</t>
  </si>
  <si>
    <t>A-01517</t>
  </si>
  <si>
    <t>Kwota 22000 zl, brak kontaktu od 146 dni.</t>
  </si>
  <si>
    <t>A-01518</t>
  </si>
  <si>
    <t>Kwota 25100 zl, brak kontaktu od 145 dni.</t>
  </si>
  <si>
    <t>A-01519</t>
  </si>
  <si>
    <t>Kwota 25600 zl, brak kontaktu od 145 dni.</t>
  </si>
  <si>
    <t>A-01520</t>
  </si>
  <si>
    <t>Kwota 50000 zl, brak kontaktu od 145 dni.</t>
  </si>
  <si>
    <t>A-01521</t>
  </si>
  <si>
    <t>Kwota 20000 zl, brak kontaktu od 142 dni.</t>
  </si>
  <si>
    <t>A-01522</t>
  </si>
  <si>
    <t>Kwota 25000 zl, brak kontaktu od 142 dni.</t>
  </si>
  <si>
    <t>A-01523</t>
  </si>
  <si>
    <t>Kwota 25000 zl, brak kontaktu od 141 dni.</t>
  </si>
  <si>
    <t>A-01524</t>
  </si>
  <si>
    <t>Kwota 23000 zl, brak kontaktu od 141 dni.</t>
  </si>
  <si>
    <t>A-01525</t>
  </si>
  <si>
    <t>A-01526</t>
  </si>
  <si>
    <t>Kwota 23000 zl, brak kontaktu od 140 dni.</t>
  </si>
  <si>
    <t>A-01527</t>
  </si>
  <si>
    <t>Kwota 26000 zl, brak kontaktu od 140 dni.</t>
  </si>
  <si>
    <t>A-01528</t>
  </si>
  <si>
    <t>Kwota 23000 zl, brak kontaktu od 138 dni.</t>
  </si>
  <si>
    <t>A-01529</t>
  </si>
  <si>
    <t>Kwota 30000 zl, brak kontaktu od 503 dni.</t>
  </si>
  <si>
    <t>A-01530</t>
  </si>
  <si>
    <t>Kwota 25000 zl, brak kontaktu od 135 dni.</t>
  </si>
  <si>
    <t>A-01531</t>
  </si>
  <si>
    <t>Kwota 20000 zl, brak kontaktu od 135 dni.</t>
  </si>
  <si>
    <t>A-01532</t>
  </si>
  <si>
    <t>Kwota 20000 zl, brak kontaktu od 134 dni.</t>
  </si>
  <si>
    <t>A-01533</t>
  </si>
  <si>
    <t>Kwota 31000 zl, brak kontaktu od 134 dni.</t>
  </si>
  <si>
    <t>A-01534</t>
  </si>
  <si>
    <t>Kwota 25000 zl, brak kontaktu od 132 dni.</t>
  </si>
  <si>
    <t>A-01535</t>
  </si>
  <si>
    <t>Kwota 25000 zl, brak kontaktu od 128 dni.</t>
  </si>
  <si>
    <t>A-01536</t>
  </si>
  <si>
    <t>Kwota 32650 zl, brak kontaktu od 127 dni.</t>
  </si>
  <si>
    <t>A-01537</t>
  </si>
  <si>
    <t>Kwota 25000 zl, brak kontaktu od 127 dni.</t>
  </si>
  <si>
    <t>A-01538</t>
  </si>
  <si>
    <t>Kwota 24000 zl, brak kontaktu od 127 dni.</t>
  </si>
  <si>
    <t>A-01539</t>
  </si>
  <si>
    <t>Kwota 22000 zl, brak kontaktu od 126 dni.</t>
  </si>
  <si>
    <t>A-01540</t>
  </si>
  <si>
    <t>Kwota 45687.12 zl, brak kontaktu od 125 dni.</t>
  </si>
  <si>
    <t>A-01541</t>
  </si>
  <si>
    <t>Kwota 23000 zl, brak kontaktu od 121 dni.</t>
  </si>
  <si>
    <t>A-01542</t>
  </si>
  <si>
    <t>Kwota 28000 zl, brak kontaktu od 486 dni.</t>
  </si>
  <si>
    <t>A-01543</t>
  </si>
  <si>
    <t>Kwota 21900 zl, brak kontaktu od 120 dni.</t>
  </si>
  <si>
    <t>A-01544</t>
  </si>
  <si>
    <t>Kwota 25800 zl, brak kontaktu od 119 dni.</t>
  </si>
  <si>
    <t>A-01545</t>
  </si>
  <si>
    <t>Kwota 23000 zl, brak kontaktu od 118 dni.</t>
  </si>
  <si>
    <t>A-01546</t>
  </si>
  <si>
    <t>Kwota 40000 zl, brak kontaktu od 117 dni.</t>
  </si>
  <si>
    <t>A-01547</t>
  </si>
  <si>
    <t>Kwota 23000 zl, brak kontaktu od 117 dni.</t>
  </si>
  <si>
    <t>A-01548</t>
  </si>
  <si>
    <t>Kwota 24000 zl, brak kontaktu od 114 dni.</t>
  </si>
  <si>
    <t>A-01549</t>
  </si>
  <si>
    <t>Kwota 22000 zl, brak kontaktu od 114 dni.</t>
  </si>
  <si>
    <t>A-01550</t>
  </si>
  <si>
    <t>Kwota 23000 zl, brak kontaktu od 113 dni.</t>
  </si>
  <si>
    <t>A-01551</t>
  </si>
  <si>
    <t>A-01552</t>
  </si>
  <si>
    <t>Kwota 21000 zl, brak kontaktu od 113 dni.</t>
  </si>
  <si>
    <t>A-01553</t>
  </si>
  <si>
    <t>Kwota 25000 zl, brak kontaktu od 113 dni.</t>
  </si>
  <si>
    <t>A-01554</t>
  </si>
  <si>
    <t>Kwota 31000 zl, brak kontaktu od 107 dni.</t>
  </si>
  <si>
    <t>A-01555</t>
  </si>
  <si>
    <t>Kwota 20000 zl, brak kontaktu od 107 dni.</t>
  </si>
  <si>
    <t>A-01556</t>
  </si>
  <si>
    <t>Kwota 20000 zl, brak kontaktu od 106 dni.</t>
  </si>
  <si>
    <t>A-01557</t>
  </si>
  <si>
    <t>Kwota 30024 zl, brak kontaktu od 105 dni.</t>
  </si>
  <si>
    <t>A-01558</t>
  </si>
  <si>
    <t>Kwota 21000 zl, brak kontaktu od 105 dni.</t>
  </si>
  <si>
    <t>A-01559</t>
  </si>
  <si>
    <t>Kwota 37098 zl, brak kontaktu od 105 dni.</t>
  </si>
  <si>
    <t>A-01560</t>
  </si>
  <si>
    <t>Kwota 30000 zl, brak kontaktu od 105 dni.</t>
  </si>
  <si>
    <t>A-01561</t>
  </si>
  <si>
    <t>Kwota 23000 zl, brak kontaktu od 105 dni.</t>
  </si>
  <si>
    <t>A-01562</t>
  </si>
  <si>
    <t>Kwota 23000 zl, brak kontaktu od 104 dni.</t>
  </si>
  <si>
    <t>A-01563</t>
  </si>
  <si>
    <t>Kwota 24000 zl, brak kontaktu od 104 dni.</t>
  </si>
  <si>
    <t>A-01564</t>
  </si>
  <si>
    <t>Kwota 20000 zl, brak kontaktu od 470 dni.</t>
  </si>
  <si>
    <t>A-01565</t>
  </si>
  <si>
    <t>Kwota 32000 zl, brak kontaktu od 104 dni.</t>
  </si>
  <si>
    <t>A-01566</t>
  </si>
  <si>
    <t>A-01567</t>
  </si>
  <si>
    <t>Kwota 90000 zl, brak kontaktu od 96 dni.</t>
  </si>
  <si>
    <t>A-01568</t>
  </si>
  <si>
    <t>Kwota 30000 zl, brak kontaktu od 93 dni.</t>
  </si>
  <si>
    <t>A-01569</t>
  </si>
  <si>
    <t>Kwota 41000 zl, brak kontaktu od 92 dni.</t>
  </si>
  <si>
    <t>A-01570</t>
  </si>
  <si>
    <t>Kwota 25000 zl, brak kontaktu od 90 dni.</t>
  </si>
  <si>
    <t>A-01571</t>
  </si>
  <si>
    <t>Kwota 22000 zl, brak kontaktu od 85 dni.</t>
  </si>
  <si>
    <t>A-01572</t>
  </si>
  <si>
    <t>Kwota 23000 zl, brak kontaktu od 85 dni.</t>
  </si>
  <si>
    <t>A-01573</t>
  </si>
  <si>
    <t>Kwota 31000 zl, brak kontaktu od 83 dni.</t>
  </si>
  <si>
    <t>A-01574</t>
  </si>
  <si>
    <t>Kwota 25000 zl, brak kontaktu od 82 dni.</t>
  </si>
  <si>
    <t>A-01575</t>
  </si>
  <si>
    <t>Kwota 32000 zl, brak kontaktu od 79 dni.</t>
  </si>
  <si>
    <t>A-01576</t>
  </si>
  <si>
    <t>Kwota 23000 zl, brak kontaktu od 79 dni.</t>
  </si>
  <si>
    <t>A-01577</t>
  </si>
  <si>
    <t>Kwota 25000 zl, brak kontaktu od 79 dni.</t>
  </si>
  <si>
    <t>A-01578</t>
  </si>
  <si>
    <t>Kwota 25000 zl, brak kontaktu od 77 dni.</t>
  </si>
  <si>
    <t>A-01579</t>
  </si>
  <si>
    <t>Kwota 51200 zl, brak kontaktu od 78 dni.</t>
  </si>
  <si>
    <t>A-01580</t>
  </si>
  <si>
    <t>Kwota 20000 zl, brak kontaktu od 76 dni.</t>
  </si>
  <si>
    <t>A-01581</t>
  </si>
  <si>
    <t>Kwota 23000 zl, brak kontaktu od 76 dni.</t>
  </si>
  <si>
    <t>A-01582</t>
  </si>
  <si>
    <t>A-01583</t>
  </si>
  <si>
    <t>Kwota 25000 zl, brak kontaktu od 72 dni.</t>
  </si>
  <si>
    <t>A-01584</t>
  </si>
  <si>
    <t>Kwota 25000 zl, brak kontaktu od 71 dni.</t>
  </si>
  <si>
    <t>A-01585</t>
  </si>
  <si>
    <t>Kwota 32000 zl, brak kontaktu od 71 dni.</t>
  </si>
  <si>
    <t>A-01586</t>
  </si>
  <si>
    <t>Kwota 20000 zl, brak kontaktu od 71 dni.</t>
  </si>
  <si>
    <t>A-01587</t>
  </si>
  <si>
    <t>Kwota 22000 zl, brak kontaktu od 71 dni.</t>
  </si>
  <si>
    <t>A-01588</t>
  </si>
  <si>
    <t>Kwota 25000 zl, brak kontaktu od 70 dni.</t>
  </si>
  <si>
    <t>A-01589</t>
  </si>
  <si>
    <t>Kwota 59000 zl, brak kontaktu od 70 dni.</t>
  </si>
  <si>
    <t>A-01590</t>
  </si>
  <si>
    <t>Kwota 28000 zl, brak kontaktu od 70 dni.</t>
  </si>
  <si>
    <t>A-01591</t>
  </si>
  <si>
    <t>Kwota 60000 zl, brak kontaktu od 70 dni.</t>
  </si>
  <si>
    <t>A-01592</t>
  </si>
  <si>
    <t>Kwota 23760 zl, brak kontaktu od 63 dni.</t>
  </si>
  <si>
    <t>A-01593</t>
  </si>
  <si>
    <t>Kwota 25000 zl, brak kontaktu od 63 dni.</t>
  </si>
  <si>
    <t>A-01594</t>
  </si>
  <si>
    <t>Kwota 60000 zl, brak kontaktu od 62 dni.</t>
  </si>
  <si>
    <t>A-01595</t>
  </si>
  <si>
    <t>Kwota 30000 zl, brak kontaktu od 62 dni.</t>
  </si>
  <si>
    <t>A-01596</t>
  </si>
  <si>
    <t>Kwota 23000 zl, brak kontaktu od 61 dni.</t>
  </si>
  <si>
    <t>A-01597</t>
  </si>
  <si>
    <t>Kwota 33000 zl, brak kontaktu od 61 dni.</t>
  </si>
  <si>
    <t>A-01598</t>
  </si>
  <si>
    <t>Kwota 23000 zl, brak kontaktu od 58 dni.</t>
  </si>
  <si>
    <t>A-01599</t>
  </si>
  <si>
    <t>Kwota 27000 zl, brak kontaktu od 58 dni.</t>
  </si>
  <si>
    <t>A-01600</t>
  </si>
  <si>
    <t>Kwota 32000 zl, brak kontaktu od 57 dni.</t>
  </si>
  <si>
    <t>A-01601</t>
  </si>
  <si>
    <t>Kwota 21000 zl, brak kontaktu od 57 dni.</t>
  </si>
  <si>
    <t>A-01602</t>
  </si>
  <si>
    <t>Kwota 20000 zl, brak kontaktu od 54 dni.</t>
  </si>
  <si>
    <t>A-01603</t>
  </si>
  <si>
    <t>Kwota 25000 zl, brak kontaktu od 51 dni.</t>
  </si>
  <si>
    <t>A-01604</t>
  </si>
  <si>
    <t>Kwota 30000 zl, brak kontaktu od 50 dni.</t>
  </si>
  <si>
    <t>A-01605</t>
  </si>
  <si>
    <t>Kwota 25000 zl, brak kontaktu od 49 dni.</t>
  </si>
  <si>
    <t>A-01606</t>
  </si>
  <si>
    <t>Kwota 21400 zl, brak kontaktu od 49 dni.</t>
  </si>
  <si>
    <t>A-01607</t>
  </si>
  <si>
    <t>Kwota 28000 zl, brak kontaktu od 47 dni.</t>
  </si>
  <si>
    <t>A-01608</t>
  </si>
  <si>
    <t>Kwota 32000 zl, brak kontaktu od 47 dni.</t>
  </si>
  <si>
    <t>A-01609</t>
  </si>
  <si>
    <t>Kwota 27000 zl, brak kontaktu od 44 dni.</t>
  </si>
  <si>
    <t>A-01610</t>
  </si>
  <si>
    <t>Kwota 105000 zl, brak kontaktu od 42 dni.</t>
  </si>
  <si>
    <t>A-01611</t>
  </si>
  <si>
    <t>Kwota 20000 zl, brak kontaktu od 42 dni.</t>
  </si>
  <si>
    <t>A-01612</t>
  </si>
  <si>
    <t>Kwota 25000 zl, brak kontaktu od 42 dni.</t>
  </si>
  <si>
    <t>A-01613</t>
  </si>
  <si>
    <t>Kwota 23000 zl, brak kontaktu od 34 dni.</t>
  </si>
  <si>
    <t>A-01614</t>
  </si>
  <si>
    <t>Kwota 30000 zl, brak kontaktu od 33 dni.</t>
  </si>
  <si>
    <t>A-01615</t>
  </si>
  <si>
    <t>Kwota 30000 zl, brak kontaktu od 28 dni.</t>
  </si>
  <si>
    <t>A-01616</t>
  </si>
  <si>
    <t>Kwota 21600 zl, brak kontaktu od 32 dni.</t>
  </si>
  <si>
    <t>A-01617</t>
  </si>
  <si>
    <t>Kwota 24000 zl, brak kontaktu od 26 dni.</t>
  </si>
  <si>
    <t>A-01618</t>
  </si>
  <si>
    <t>Kwota 35000 zl, brak kontaktu od 23 dni.</t>
  </si>
  <si>
    <t>A-01619</t>
  </si>
  <si>
    <t>Kwota 21000 zl, brak kontaktu od 23 dni.</t>
  </si>
  <si>
    <t>A-01620</t>
  </si>
  <si>
    <t>Kwota 23000 zl, brak kontaktu od 22 dni.</t>
  </si>
  <si>
    <t>A-01621</t>
  </si>
  <si>
    <t>Kwota 30000 zl, brak kontaktu od 20 dni.</t>
  </si>
  <si>
    <t>A-01622</t>
  </si>
  <si>
    <t>Kwota 25000 zl, brak kontaktu od 19 dni.</t>
  </si>
  <si>
    <t>A-01623</t>
  </si>
  <si>
    <t>Kwota 25000 zl, brak kontaktu od 14 dni.</t>
  </si>
  <si>
    <t>A-01624</t>
  </si>
  <si>
    <t>Kwota 20000 zl, brak kontaktu od 13 dni.</t>
  </si>
  <si>
    <t>A-01625</t>
  </si>
  <si>
    <t>Kwota 25000 zl, brak kontaktu od 13 dni.</t>
  </si>
  <si>
    <t>A-01626</t>
  </si>
  <si>
    <t>Kwota 29000 zl, brak kontaktu od 13 dni.</t>
  </si>
  <si>
    <t>A-01627</t>
  </si>
  <si>
    <t>A-01628</t>
  </si>
  <si>
    <t>A-01629</t>
  </si>
  <si>
    <t>Kwota 22000 zl, brak kontaktu od 9 dni.</t>
  </si>
  <si>
    <t>A-01630</t>
  </si>
  <si>
    <t>Kwota 56000 zl, brak kontaktu od 9 dni.</t>
  </si>
  <si>
    <t>A-01631</t>
  </si>
  <si>
    <t>Kwota 24000 zl, brak kontaktu od 9 dni.</t>
  </si>
  <si>
    <t>A-01632</t>
  </si>
  <si>
    <t>Kwota 48000 zl, brak kontaktu od 9 dni.</t>
  </si>
  <si>
    <t>A-01633</t>
  </si>
  <si>
    <t>Kwota 40000 zl, brak kontaktu od 9 dni.</t>
  </si>
  <si>
    <t>A-01634</t>
  </si>
  <si>
    <t>Kwota 22000 zl, brak kontaktu od 8 dni.</t>
  </si>
  <si>
    <t>A-01635</t>
  </si>
  <si>
    <t>Kwota 23000 zl, brak kontaktu od 8 dni.</t>
  </si>
  <si>
    <t>A-01636</t>
  </si>
  <si>
    <t>Kwota 49000 zl, brak kontaktu od 8 dni.</t>
  </si>
  <si>
    <t>Kontrola kompletności danych CRM. Nie edytuj.</t>
  </si>
  <si>
    <t>BRAKI</t>
  </si>
  <si>
    <t>Słowniki do list rozwijanych — nie edytuj</t>
  </si>
  <si>
    <t>AKTYWNY</t>
  </si>
  <si>
    <t>nowy lead</t>
  </si>
  <si>
    <t>NISKI</t>
  </si>
  <si>
    <t>OCZEKUJE</t>
  </si>
  <si>
    <t>W TRAKCIE</t>
  </si>
  <si>
    <t>ZROBIONE</t>
  </si>
  <si>
    <t>negocjacje</t>
  </si>
  <si>
    <t>SALON</t>
  </si>
  <si>
    <t>POLECENIE</t>
  </si>
  <si>
    <t>montaż</t>
  </si>
  <si>
    <t>ARCHITEKT</t>
  </si>
  <si>
    <t>zamknięte</t>
  </si>
  <si>
    <t>GOOGLE ADS</t>
  </si>
  <si>
    <t>INNE</t>
  </si>
  <si>
    <t>INSTRUKCJA PRACY — ADEZO OS 2.0</t>
  </si>
  <si>
    <t>MAGDA UZUPELNIA TYLKO:</t>
  </si>
  <si>
    <t>- DATA OSTATNIEJ AKCJI</t>
  </si>
  <si>
    <t>KOLUMNA_2</t>
  </si>
  <si>
    <t>KOLUMNA_3</t>
  </si>
  <si>
    <t>KOLUMNA_4</t>
  </si>
  <si>
    <t>KOLUMNA_5</t>
  </si>
  <si>
    <t>KOLUMNA_6</t>
  </si>
  <si>
    <t>- DATA KOLEJNEGO KONTAKTU</t>
  </si>
  <si>
    <t>- STATUS</t>
  </si>
  <si>
    <t>- NOTATKI</t>
  </si>
  <si>
    <t>Nie edytowac:</t>
  </si>
  <si>
    <t>- Forecast</t>
  </si>
  <si>
    <t>- Alertow</t>
  </si>
  <si>
    <t>- KPI</t>
  </si>
  <si>
    <t>- Dashboardow</t>
  </si>
  <si>
    <t>BRAKI CRM</t>
  </si>
  <si>
    <t>instagram pejtiiii</t>
  </si>
  <si>
    <t>salon</t>
  </si>
  <si>
    <t>Józef Żurek</t>
  </si>
  <si>
    <t>będzie zamawiał czeka na wylewki</t>
  </si>
  <si>
    <t>był u nas, mają przysłać</t>
  </si>
  <si>
    <t>Magdalena Mróz</t>
  </si>
  <si>
    <t>Salon bochnia</t>
  </si>
  <si>
    <t>drzwi do kościoła</t>
  </si>
  <si>
    <t>wyceniała w parmax</t>
  </si>
  <si>
    <t>wstawia okna</t>
  </si>
  <si>
    <t>LONDYN</t>
  </si>
  <si>
    <t>wymiana</t>
  </si>
  <si>
    <t>2 sztuki</t>
  </si>
  <si>
    <t>OBSLUGA</t>
  </si>
  <si>
    <t>PROBLEM</t>
  </si>
  <si>
    <t>BRAK KLIENTA</t>
  </si>
  <si>
    <t>UZUPELNIC DANE</t>
  </si>
  <si>
    <t>BRAK SZANSA %</t>
  </si>
  <si>
    <t>CRM_CLEANUP_STATUS</t>
  </si>
  <si>
    <t>CRM CLEANUP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</si>
</sst>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#,##0\ &quot;zł&quot;"/>
    <numFmt numFmtId="166" formatCode="yyyy\-mm\-dd\ h:mm:ss"/>
  </numFmts>
  <fonts count="28" x14ac:knownFonts="1">
    <font>
      <sz val="11"/>
      <color theme="1"/>
      <name val="Calibri"/>
    </font>
    <font>
      <b/>
      <sz val="18"/>
      <color rgb="FFD4AF37"/>
      <name val="Calibri"/>
    </font>
    <font>
      <b/>
      <sz val="11"/>
      <color rgb="FF1111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2"/>
      <color rgb="FFD4AF37"/>
      <name val="Calibri"/>
    </font>
    <font>
      <b/>
      <sz val="11"/>
      <color rgb="FFD4AF37"/>
      <name val="Calibri"/>
    </font>
    <font>
      <sz val="12"/>
      <name val="Calibri"/>
    </font>
    <font>
      <b/>
      <sz val="16"/>
      <color rgb="FFD4AF37"/>
      <name val="Calibri"/>
    </font>
    <font>
      <b/>
      <sz val="16"/>
      <color rgb="FFD4AF37"/>
      <name val="Calibri"/>
    </font>
    <font>
      <b/>
      <sz val="11"/>
      <color rgb="FFFFFFFF"/>
      <name val="Calibri"/>
    </font>
    <font>
      <sz val="11"/>
      <color theme="1"/>
      <name val="Calibri"/>
    </font>
    <font>
      <b/>
      <sz val="16"/>
      <color rgb="FFD4AF37"/>
      <name val="Calibri"/>
      <family val="2"/>
      <charset val="238"/>
    </font>
    <font>
      <b/>
      <sz val="11"/>
      <color theme="1"/>
      <name val="Calibri"/>
      <family val="2"/>
      <charset val="238"/>
    </font>
    <font>
      <b/>
      <sz val="18"/>
      <color rgb="FFD4AF37"/>
      <name val="Calibri"/>
      <family val="2"/>
      <charset val="238"/>
    </font>
    <font>
      <b/>
      <sz val="11"/>
      <color rgb="FFFF0000"/>
      <name val="Calibri"/>
      <family val="2"/>
      <charset val="238"/>
    </font>
    <font>
      <b/>
      <sz val="11"/>
      <color rgb="FFFFFFFF"/>
      <name val="Calibri"/>
      <family val="2"/>
      <charset val="238"/>
    </font>
    <font>
      <b/>
      <sz val="11"/>
      <color rgb="FFD4AF37"/>
      <name val="Calibri"/>
      <family val="2"/>
      <charset val="238"/>
    </font>
    <font>
      <b/>
      <sz val="11"/>
      <color rgb="FF2E7D32"/>
      <name val="Calibri"/>
      <family val="2"/>
      <charset val="238"/>
    </font>
    <font>
      <b/>
      <sz val="11"/>
      <color rgb="FFC62828"/>
      <name val="Calibri"/>
      <family val="2"/>
      <charset val="238"/>
    </font>
    <font>
      <sz val="11"/>
      <color rgb="FFC62828"/>
      <name val="Calibri"/>
      <family val="2"/>
      <charset val="238"/>
    </font>
    <font>
      <sz val="11"/>
      <color rgb="FFF57C00"/>
      <name val="Calibri"/>
      <family val="2"/>
      <charset val="238"/>
    </font>
    <font>
      <sz val="11"/>
      <color rgb="FF2E7D32"/>
      <name val="Calibri"/>
      <family val="2"/>
      <charset val="238"/>
    </font>
    <font>
      <b/>
      <sz val="18"/>
      <color rgb="FFFF0000"/>
      <name val="Calibri"/>
      <family val="2"/>
      <charset val="238"/>
    </font>
    <font>
      <b/>
      <sz val="20"/>
      <color rgb="FF00D7FF"/>
      <name val="Calibri"/>
      <family val="2"/>
      <charset val="238"/>
    </font>
    <font>
      <sz val="11"/>
      <color rgb="FF00D7FF"/>
      <name val="Calibri"/>
      <family val="2"/>
      <charset val="238"/>
    </font>
    <font>
      <b/>
      <sz val="11"/>
      <color rgb="FF00D7FF"/>
      <name val="Calibri"/>
      <family val="2"/>
      <charset val="238"/>
    </font>
    <font>
      <b/>
      <sz val="11"/>
      <color rgb="FFFFFFFF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D4AF37"/>
      </patternFill>
    </fill>
    <fill>
      <patternFill patternType="solid">
        <fgColor rgb="FFFFF2CC"/>
      </patternFill>
    </fill>
    <fill>
      <patternFill patternType="solid">
        <fgColor rgb="FFC00000"/>
      </patternFill>
    </fill>
    <fill>
      <patternFill patternType="solid">
        <fgColor rgb="FF111111"/>
      </patternFill>
    </fill>
    <fill>
      <patternFill patternType="solid">
        <fgColor rgb="FFD4AF37"/>
      </patternFill>
    </fill>
    <fill>
      <patternFill patternType="solid">
        <fgColor rgb="FFE6E6E6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222222"/>
        <bgColor indexed="64"/>
      </patternFill>
    </fill>
    <fill>
      <patternFill patternType="solid">
        <fgColor rgb="FF1A1A1A"/>
      </patternFill>
    </fill>
  </fills>
  <borders count="2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1" fillId="0" borderId="0"/>
  </cellStyleXfs>
  <cellXfs count="91">
    <xf numFmtId="0" fontId="0" fillId="0" borderId="0" xfId="0"/>
    <xf numFmtId="0" fontId="0" fillId="0" borderId="1" xfId="1" applyFont="1" applyBorder="1" applyAlignment="1">
      <alignment vertical="center" wrapText="1"/>
    </xf>
    <xf numFmtId="9" fontId="0" fillId="0" borderId="1" xfId="1" applyNumberFormat="1" applyFont="1" applyBorder="1" applyAlignment="1">
      <alignment vertical="center" wrapText="1"/>
    </xf>
    <xf numFmtId="0" fontId="6" fillId="0" borderId="1" xfId="1" applyFont="1" applyBorder="1" applyAlignment="1">
      <alignment vertical="center" wrapText="1"/>
    </xf>
    <xf numFmtId="0" fontId="7" fillId="0" borderId="1" xfId="1" applyFont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13" fillId="0" borderId="0" xfId="0" applyFont="1"/>
    <xf numFmtId="0" fontId="3" fillId="3" borderId="1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165" fontId="0" fillId="0" borderId="1" xfId="1" applyNumberFormat="1" applyFont="1" applyBorder="1" applyAlignment="1">
      <alignment vertical="center" wrapText="1"/>
    </xf>
    <xf numFmtId="0" fontId="9" fillId="6" borderId="0" xfId="1" applyFont="1" applyFill="1" applyAlignment="1">
      <alignment horizontal="center"/>
    </xf>
    <xf numFmtId="10" fontId="0" fillId="0" borderId="4" xfId="0" applyNumberFormat="1" applyBorder="1"/>
    <xf numFmtId="0" fontId="16" fillId="2" borderId="1" xfId="1" applyFont="1" applyFill="1" applyBorder="1" applyAlignment="1">
      <alignment vertical="center" wrapText="1"/>
    </xf>
    <xf numFmtId="1" fontId="0" fillId="0" borderId="1" xfId="1" applyNumberFormat="1" applyFont="1" applyBorder="1" applyAlignment="1">
      <alignment vertical="center" wrapText="1"/>
    </xf>
    <xf numFmtId="1" fontId="0" fillId="0" borderId="0" xfId="0" applyNumberFormat="1"/>
    <xf numFmtId="0" fontId="15" fillId="0" borderId="0" xfId="0" applyFont="1"/>
    <xf numFmtId="0" fontId="16" fillId="10" borderId="1" xfId="1" applyFont="1" applyFill="1" applyBorder="1" applyAlignment="1">
      <alignment vertical="center" wrapText="1"/>
    </xf>
    <xf numFmtId="0" fontId="16" fillId="10" borderId="0" xfId="0" applyFont="1" applyFill="1"/>
    <xf numFmtId="164" fontId="0" fillId="0" borderId="1" xfId="1" applyNumberFormat="1" applyFont="1" applyBorder="1" applyAlignment="1">
      <alignment vertical="center" wrapText="1"/>
    </xf>
    <xf numFmtId="166" fontId="0" fillId="0" borderId="1" xfId="1" applyNumberFormat="1" applyFont="1" applyBorder="1" applyAlignment="1">
      <alignment vertical="center" wrapText="1"/>
    </xf>
    <xf numFmtId="164" fontId="0" fillId="0" borderId="0" xfId="1" applyNumberFormat="1" applyFont="1"/>
    <xf numFmtId="22" fontId="0" fillId="0" borderId="0" xfId="0" applyNumberFormat="1"/>
    <xf numFmtId="0" fontId="10" fillId="6" borderId="0" xfId="1" applyFont="1" applyFill="1" applyAlignment="1">
      <alignment horizontal="center"/>
    </xf>
    <xf numFmtId="0" fontId="0" fillId="0" borderId="5" xfId="1" applyFont="1" applyBorder="1" applyAlignment="1">
      <alignment vertical="center" wrapText="1"/>
    </xf>
    <xf numFmtId="0" fontId="0" fillId="0" borderId="5" xfId="0" applyBorder="1"/>
    <xf numFmtId="0" fontId="13" fillId="0" borderId="5" xfId="1" applyFont="1" applyBorder="1" applyAlignment="1">
      <alignment vertical="center" wrapText="1"/>
    </xf>
    <xf numFmtId="0" fontId="13" fillId="0" borderId="5" xfId="0" applyFont="1" applyBorder="1"/>
    <xf numFmtId="0" fontId="0" fillId="0" borderId="5" xfId="1" applyFont="1" applyBorder="1" applyAlignment="1">
      <alignment horizontal="left" vertical="center" wrapText="1"/>
    </xf>
    <xf numFmtId="0" fontId="3" fillId="4" borderId="5" xfId="1" applyFont="1" applyFill="1" applyBorder="1" applyAlignment="1">
      <alignment horizontal="left" vertical="center" wrapText="1"/>
    </xf>
    <xf numFmtId="0" fontId="13" fillId="0" borderId="5" xfId="1" applyFont="1" applyBorder="1" applyAlignment="1">
      <alignment horizontal="left" vertical="center" wrapText="1"/>
    </xf>
    <xf numFmtId="0" fontId="18" fillId="4" borderId="5" xfId="1" applyFont="1" applyFill="1" applyBorder="1" applyAlignment="1">
      <alignment horizontal="left" vertical="center" wrapText="1"/>
    </xf>
    <xf numFmtId="0" fontId="19" fillId="4" borderId="5" xfId="1" applyFont="1" applyFill="1" applyBorder="1" applyAlignment="1">
      <alignment horizontal="left" vertical="center" wrapText="1"/>
    </xf>
    <xf numFmtId="0" fontId="0" fillId="0" borderId="5" xfId="1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1" fillId="0" borderId="5" xfId="0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/>
    </xf>
    <xf numFmtId="0" fontId="4" fillId="2" borderId="5" xfId="1" applyFont="1" applyFill="1" applyBorder="1" applyAlignment="1">
      <alignment vertical="center" wrapText="1"/>
    </xf>
    <xf numFmtId="165" fontId="0" fillId="0" borderId="5" xfId="1" applyNumberFormat="1" applyFont="1" applyBorder="1" applyAlignment="1">
      <alignment vertical="center" wrapText="1"/>
    </xf>
    <xf numFmtId="0" fontId="24" fillId="9" borderId="6" xfId="1" applyFont="1" applyFill="1" applyBorder="1" applyAlignment="1">
      <alignment horizontal="left"/>
    </xf>
    <xf numFmtId="0" fontId="25" fillId="9" borderId="7" xfId="0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25" fillId="9" borderId="9" xfId="0" applyFont="1" applyFill="1" applyBorder="1" applyAlignment="1">
      <alignment horizontal="left"/>
    </xf>
    <xf numFmtId="0" fontId="25" fillId="9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7" fillId="12" borderId="20" xfId="1" applyFont="1" applyFill="1" applyBorder="1" applyAlignment="1">
      <alignment vertical="center" wrapText="1"/>
    </xf>
    <xf numFmtId="14" fontId="0" fillId="0" borderId="20" xfId="1" applyNumberFormat="1" applyFont="1" applyBorder="1" applyAlignment="1">
      <alignment vertical="center" wrapText="1"/>
    </xf>
    <xf numFmtId="14" fontId="0" fillId="0" borderId="20" xfId="1" applyNumberFormat="1" applyFont="1" applyBorder="1" applyAlignment="1" applyProtection="1">
      <alignment vertical="center" wrapText="1"/>
      <protection locked="0"/>
    </xf>
    <xf numFmtId="0" fontId="0" fillId="0" borderId="20" xfId="1" applyFont="1" applyBorder="1" applyAlignment="1">
      <alignment vertical="center" wrapText="1"/>
    </xf>
    <xf numFmtId="165" fontId="0" fillId="0" borderId="20" xfId="1" applyNumberFormat="1" applyFont="1" applyBorder="1" applyAlignment="1">
      <alignment vertical="center" wrapText="1"/>
    </xf>
    <xf numFmtId="9" fontId="0" fillId="0" borderId="20" xfId="1" applyNumberFormat="1" applyFont="1" applyBorder="1" applyAlignment="1">
      <alignment vertical="center" wrapText="1"/>
    </xf>
    <xf numFmtId="0" fontId="0" fillId="0" borderId="20" xfId="1" applyFont="1" applyBorder="1" applyAlignment="1" applyProtection="1">
      <alignment vertical="center" wrapText="1"/>
      <protection locked="0"/>
    </xf>
    <xf numFmtId="164" fontId="0" fillId="0" borderId="20" xfId="1" applyNumberFormat="1" applyFont="1" applyBorder="1" applyAlignment="1">
      <alignment vertical="center" wrapText="1"/>
    </xf>
    <xf numFmtId="0" fontId="0" fillId="0" borderId="20" xfId="0" applyBorder="1" applyAlignment="1">
      <alignment vertical="center" wrapText="1"/>
    </xf>
    <xf numFmtId="22" fontId="0" fillId="0" borderId="20" xfId="0" applyNumberFormat="1" applyBorder="1" applyAlignment="1">
      <alignment vertical="center" wrapText="1"/>
    </xf>
    <xf numFmtId="0" fontId="27" fillId="12" borderId="20" xfId="0" applyFont="1" applyFill="1" applyBorder="1" applyAlignment="1">
      <alignment vertical="center" wrapText="1"/>
    </xf>
    <xf numFmtId="0" fontId="6" fillId="3" borderId="7" xfId="0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9" fontId="8" fillId="0" borderId="7" xfId="0" applyNumberFormat="1" applyFont="1" applyBorder="1" applyAlignment="1">
      <alignment horizontal="center"/>
    </xf>
    <xf numFmtId="0" fontId="8" fillId="6" borderId="0" xfId="1" applyFont="1" applyFill="1" applyAlignment="1">
      <alignment horizontal="center" vertical="center" wrapText="1"/>
    </xf>
    <xf numFmtId="0" fontId="0" fillId="0" borderId="0" xfId="0"/>
    <xf numFmtId="0" fontId="17" fillId="9" borderId="5" xfId="1" applyFont="1" applyFill="1" applyBorder="1" applyAlignment="1">
      <alignment horizontal="left" vertical="center" wrapText="1"/>
    </xf>
    <xf numFmtId="0" fontId="0" fillId="0" borderId="17" xfId="0" applyBorder="1"/>
    <xf numFmtId="0" fontId="0" fillId="0" borderId="12" xfId="0" applyBorder="1"/>
    <xf numFmtId="0" fontId="17" fillId="9" borderId="5" xfId="0" applyFont="1" applyFill="1" applyBorder="1" applyAlignment="1">
      <alignment horizontal="left" vertical="center"/>
    </xf>
    <xf numFmtId="0" fontId="16" fillId="9" borderId="5" xfId="1" applyFont="1" applyFill="1" applyBorder="1" applyAlignment="1">
      <alignment horizontal="center" vertical="center"/>
    </xf>
    <xf numFmtId="0" fontId="2" fillId="3" borderId="0" xfId="1" applyFont="1" applyFill="1" applyAlignment="1">
      <alignment vertical="center" wrapText="1"/>
    </xf>
    <xf numFmtId="0" fontId="1" fillId="2" borderId="0" xfId="1" applyFont="1" applyFill="1" applyAlignment="1">
      <alignment vertical="center" wrapText="1"/>
    </xf>
    <xf numFmtId="0" fontId="5" fillId="2" borderId="2" xfId="1" applyFont="1" applyFill="1" applyBorder="1" applyAlignment="1">
      <alignment vertical="center" wrapText="1"/>
    </xf>
    <xf numFmtId="0" fontId="0" fillId="0" borderId="13" xfId="0" applyBorder="1"/>
    <xf numFmtId="0" fontId="0" fillId="0" borderId="14" xfId="0" applyBorder="1"/>
    <xf numFmtId="0" fontId="16" fillId="11" borderId="11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26" fillId="9" borderId="11" xfId="0" applyFont="1" applyFill="1" applyBorder="1" applyAlignment="1">
      <alignment horizontal="left"/>
    </xf>
    <xf numFmtId="0" fontId="17" fillId="9" borderId="5" xfId="0" applyFont="1" applyFill="1" applyBorder="1"/>
    <xf numFmtId="0" fontId="2" fillId="7" borderId="5" xfId="1" applyFont="1" applyFill="1" applyBorder="1" applyAlignment="1">
      <alignment horizontal="left" vertical="center" wrapText="1"/>
    </xf>
    <xf numFmtId="0" fontId="12" fillId="8" borderId="5" xfId="1" applyFont="1" applyFill="1" applyBorder="1" applyAlignment="1">
      <alignment horizontal="center" vertical="center" wrapText="1"/>
    </xf>
    <xf numFmtId="0" fontId="4" fillId="6" borderId="5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vertical="center" wrapText="1"/>
    </xf>
    <xf numFmtId="0" fontId="0" fillId="0" borderId="18" xfId="0" applyBorder="1"/>
    <xf numFmtId="0" fontId="0" fillId="0" borderId="19" xfId="0" applyBorder="1"/>
    <xf numFmtId="0" fontId="14" fillId="8" borderId="4" xfId="1" applyFont="1" applyFill="1" applyBorder="1" applyAlignment="1">
      <alignment vertical="center" wrapText="1"/>
    </xf>
    <xf numFmtId="0" fontId="23" fillId="10" borderId="0" xfId="1" applyFont="1" applyFill="1" applyAlignment="1">
      <alignment vertical="center" wrapText="1"/>
    </xf>
    <xf numFmtId="0" fontId="3" fillId="3" borderId="15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4" fillId="2" borderId="0" xfId="1" applyFont="1" applyFill="1" applyAlignment="1">
      <alignment vertical="center" wrapText="1"/>
    </xf>
  </cellXfs>
  <cellStyles count="2">
    <cellStyle name="Normal" xfId="1" xr:uid="{00000000-0005-0000-0000-000001000000}"/>
    <cellStyle name="Normalny" xfId="0" builtinId="0"/>
  </cellStyles>
  <dxfs count="12"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9900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4AF37"/>
  </sheetPr>
  <dimension ref="A1:L40"/>
  <sheetViews>
    <sheetView showGridLines="0" workbookViewId="0">
      <selection sqref="A1:L1"/>
    </sheetView>
  </sheetViews>
  <sheetFormatPr defaultRowHeight="15" x14ac:dyDescent="0.25"/>
  <cols>
    <col min="1" max="2" width="18.7109375" customWidth="1"/>
    <col min="3" max="3" width="10.7109375" customWidth="1"/>
    <col min="4" max="4" width="16.7109375" customWidth="1"/>
    <col min="5" max="5" width="18.7109375" customWidth="1"/>
    <col min="6" max="8" width="16.7109375" customWidth="1"/>
    <col min="9" max="9" width="18.7109375" customWidth="1"/>
    <col min="10" max="12" width="16.7109375" customWidth="1"/>
  </cols>
  <sheetData>
    <row r="1" spans="1:12" ht="32.1" customHeight="1" x14ac:dyDescent="0.25">
      <c r="A1" s="71" t="s">
        <v>63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2" x14ac:dyDescent="0.25">
      <c r="A2" s="70" t="s">
        <v>64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4" spans="1:12" ht="15.75" customHeight="1" thickBot="1" x14ac:dyDescent="0.3">
      <c r="A4" s="72" t="s">
        <v>4</v>
      </c>
      <c r="B4" s="73"/>
      <c r="C4" s="74"/>
      <c r="D4" s="72" t="s">
        <v>6</v>
      </c>
      <c r="E4" s="73"/>
      <c r="F4" s="74"/>
      <c r="G4" s="72" t="s">
        <v>65</v>
      </c>
      <c r="H4" s="73"/>
      <c r="I4" s="74"/>
      <c r="J4" s="72" t="s">
        <v>66</v>
      </c>
      <c r="K4" s="73"/>
      <c r="L4" s="74"/>
    </row>
    <row r="5" spans="1:12" ht="15" customHeight="1" x14ac:dyDescent="0.4">
      <c r="A5" s="41"/>
      <c r="B5" s="42"/>
      <c r="C5" s="42"/>
      <c r="D5" s="43"/>
      <c r="E5" s="43"/>
      <c r="F5" s="43"/>
      <c r="G5" s="43"/>
      <c r="H5" s="43"/>
      <c r="I5" s="43"/>
      <c r="J5" s="43"/>
      <c r="K5" s="43"/>
      <c r="L5" s="44"/>
    </row>
    <row r="6" spans="1:12" ht="15.75" customHeight="1" thickBot="1" x14ac:dyDescent="0.3">
      <c r="A6" s="45"/>
      <c r="B6" s="46"/>
      <c r="C6" s="46"/>
      <c r="D6" s="47"/>
      <c r="E6" s="47"/>
      <c r="F6" s="47"/>
      <c r="G6" s="47"/>
      <c r="H6" s="47"/>
      <c r="I6" s="47"/>
      <c r="J6" s="47"/>
      <c r="K6" s="47"/>
      <c r="L6" s="48"/>
    </row>
    <row r="7" spans="1:12" ht="15.75" customHeight="1" thickBot="1" x14ac:dyDescent="0.3">
      <c r="A7" s="78" t="s">
        <v>4</v>
      </c>
      <c r="B7" s="76"/>
      <c r="C7" s="77"/>
      <c r="D7" s="78" t="s">
        <v>6</v>
      </c>
      <c r="E7" s="76"/>
      <c r="F7" s="77"/>
      <c r="G7" s="78" t="s">
        <v>67</v>
      </c>
      <c r="H7" s="76"/>
      <c r="I7" s="77"/>
      <c r="J7" s="78" t="s">
        <v>66</v>
      </c>
      <c r="K7" s="76"/>
      <c r="L7" s="77"/>
    </row>
    <row r="8" spans="1:12" ht="15.75" customHeight="1" thickBot="1" x14ac:dyDescent="0.3">
      <c r="A8" s="75">
        <v>3487048</v>
      </c>
      <c r="B8" s="76"/>
      <c r="C8" s="77"/>
      <c r="D8" s="75">
        <v>382100</v>
      </c>
      <c r="E8" s="76"/>
      <c r="F8" s="77"/>
      <c r="G8" s="75">
        <v>511825.12</v>
      </c>
      <c r="H8" s="76"/>
      <c r="I8" s="77"/>
      <c r="J8" s="75">
        <v>591</v>
      </c>
      <c r="K8" s="76"/>
      <c r="L8" s="77"/>
    </row>
    <row r="10" spans="1:12" ht="30" customHeight="1" x14ac:dyDescent="0.25">
      <c r="A10" s="8" t="s">
        <v>68</v>
      </c>
      <c r="F10" s="9" t="s">
        <v>69</v>
      </c>
    </row>
    <row r="11" spans="1:12" x14ac:dyDescent="0.25">
      <c r="A11" s="39" t="s">
        <v>15</v>
      </c>
      <c r="B11" s="39" t="s">
        <v>70</v>
      </c>
      <c r="C11" s="39" t="s">
        <v>71</v>
      </c>
      <c r="D11" s="39">
        <f>SUM(_FORECAST_CALC!$N:$N)</f>
        <v>0</v>
      </c>
      <c r="E11" s="25"/>
      <c r="F11" s="39" t="s">
        <v>72</v>
      </c>
      <c r="G11" s="39" t="s">
        <v>73</v>
      </c>
      <c r="H11" s="39" t="s">
        <v>74</v>
      </c>
      <c r="I11" s="39" t="s">
        <v>75</v>
      </c>
      <c r="J11" s="25"/>
      <c r="K11" s="25"/>
      <c r="L11" s="25"/>
    </row>
    <row r="12" spans="1:12" ht="45" customHeight="1" x14ac:dyDescent="0.25">
      <c r="A12" s="24" t="str">
        <f>MAGDA_SCOREBOARD!A5</f>
        <v>MAGDA K</v>
      </c>
      <c r="B12" s="40">
        <f>IFERROR(MAGDA_SCOREBOARD!B5,0)</f>
        <v>290418</v>
      </c>
      <c r="C12" s="40">
        <f>MAGDA_SCOREBOARD!E5</f>
        <v>5808.36</v>
      </c>
      <c r="D12" s="40">
        <f>IFERROR(MAGDA_SCOREBOARD!M5,0)</f>
        <v>18000</v>
      </c>
      <c r="E12" s="25"/>
      <c r="F12" s="24" t="s">
        <v>76</v>
      </c>
      <c r="G12" s="40" t="s">
        <v>77</v>
      </c>
      <c r="H12" s="24">
        <v>5443</v>
      </c>
      <c r="I12" s="40" t="s">
        <v>78</v>
      </c>
      <c r="J12" s="25"/>
      <c r="K12" s="25"/>
      <c r="L12" s="25"/>
    </row>
    <row r="13" spans="1:12" ht="30" customHeight="1" x14ac:dyDescent="0.25">
      <c r="A13" s="24" t="str">
        <f>MAGDA_SCOREBOARD!A6</f>
        <v>MAGDA B</v>
      </c>
      <c r="B13" s="40">
        <f>IFERROR(MAGDA_SCOREBOARD!B6,0)</f>
        <v>221407.12</v>
      </c>
      <c r="C13" s="40">
        <f>MAGDA_SCOREBOARD!E6</f>
        <v>4428.1400000000003</v>
      </c>
      <c r="D13" s="40">
        <f>IFERROR(MAGDA_SCOREBOARD!M6,0)</f>
        <v>364100</v>
      </c>
      <c r="E13" s="25"/>
      <c r="F13" s="24" t="s">
        <v>79</v>
      </c>
      <c r="G13" s="24" t="s">
        <v>77</v>
      </c>
      <c r="H13" s="24">
        <v>5443</v>
      </c>
      <c r="I13" s="24" t="s">
        <v>80</v>
      </c>
      <c r="J13" s="25"/>
      <c r="K13" s="25"/>
      <c r="L13" s="25"/>
    </row>
    <row r="14" spans="1:12" ht="30" customHeight="1" x14ac:dyDescent="0.25">
      <c r="A14" s="25"/>
      <c r="B14" s="25"/>
      <c r="C14" s="25"/>
      <c r="D14" s="25"/>
      <c r="E14" s="25"/>
      <c r="F14" s="24" t="s">
        <v>76</v>
      </c>
      <c r="G14" s="24" t="s">
        <v>81</v>
      </c>
      <c r="H14" s="24">
        <v>5453</v>
      </c>
      <c r="I14" s="24" t="s">
        <v>82</v>
      </c>
      <c r="J14" s="25"/>
      <c r="K14" s="25"/>
      <c r="L14" s="25"/>
    </row>
    <row r="15" spans="1:12" ht="45" customHeight="1" x14ac:dyDescent="0.25">
      <c r="A15" s="25"/>
      <c r="B15" s="25"/>
      <c r="C15" s="25"/>
      <c r="D15" s="25"/>
      <c r="E15" s="25"/>
      <c r="F15" s="24" t="s">
        <v>76</v>
      </c>
      <c r="G15" s="24" t="s">
        <v>81</v>
      </c>
      <c r="H15" s="24">
        <v>5453</v>
      </c>
      <c r="I15" s="24" t="s">
        <v>78</v>
      </c>
      <c r="J15" s="25"/>
      <c r="K15" s="25"/>
      <c r="L15" s="25"/>
    </row>
    <row r="16" spans="1:12" ht="30" customHeight="1" x14ac:dyDescent="0.25">
      <c r="A16" s="27" t="s">
        <v>41</v>
      </c>
      <c r="B16" s="27">
        <v>154</v>
      </c>
      <c r="C16" s="27"/>
      <c r="D16" s="27" t="s">
        <v>43</v>
      </c>
      <c r="E16" s="27">
        <v>152</v>
      </c>
      <c r="F16" s="26" t="s">
        <v>79</v>
      </c>
      <c r="G16" s="26" t="s">
        <v>44</v>
      </c>
      <c r="H16" s="26">
        <v>129</v>
      </c>
      <c r="I16" s="26" t="s">
        <v>83</v>
      </c>
      <c r="J16" s="27" t="s">
        <v>45</v>
      </c>
      <c r="K16" s="27">
        <v>113</v>
      </c>
      <c r="L16" s="25"/>
    </row>
    <row r="17" spans="1:12" ht="45" customHeight="1" x14ac:dyDescent="0.25">
      <c r="A17" s="25"/>
      <c r="B17" s="25"/>
      <c r="C17" s="25"/>
      <c r="D17" s="25"/>
      <c r="E17" s="25"/>
      <c r="F17" s="24" t="s">
        <v>76</v>
      </c>
      <c r="G17" s="24" t="s">
        <v>81</v>
      </c>
      <c r="H17" s="24">
        <v>5455</v>
      </c>
      <c r="I17" s="24" t="s">
        <v>78</v>
      </c>
      <c r="J17" s="25"/>
      <c r="K17" s="25"/>
      <c r="L17" s="25"/>
    </row>
    <row r="18" spans="1:12" ht="30" customHeight="1" x14ac:dyDescent="0.25">
      <c r="A18" s="25" t="s">
        <v>24</v>
      </c>
      <c r="B18" s="25">
        <v>25</v>
      </c>
      <c r="C18" s="25"/>
      <c r="D18" s="25" t="s">
        <v>26</v>
      </c>
      <c r="E18" s="25">
        <v>72</v>
      </c>
      <c r="F18" s="24"/>
      <c r="G18" s="24" t="s">
        <v>84</v>
      </c>
      <c r="H18" s="24">
        <v>0</v>
      </c>
      <c r="I18" s="24" t="s">
        <v>85</v>
      </c>
      <c r="J18" s="25"/>
      <c r="K18" s="25"/>
      <c r="L18" s="25"/>
    </row>
    <row r="19" spans="1:12" ht="45" customHeight="1" x14ac:dyDescent="0.25">
      <c r="A19" s="25" t="s">
        <v>86</v>
      </c>
      <c r="B19" s="25">
        <v>1026948</v>
      </c>
      <c r="C19" s="25"/>
      <c r="D19" s="25" t="s">
        <v>87</v>
      </c>
      <c r="E19" s="25">
        <v>1783800</v>
      </c>
      <c r="F19" s="24"/>
      <c r="G19" s="24" t="s">
        <v>88</v>
      </c>
      <c r="H19" s="24">
        <v>0</v>
      </c>
      <c r="I19" s="24" t="s">
        <v>78</v>
      </c>
      <c r="J19" s="25"/>
      <c r="K19" s="25"/>
      <c r="L19" s="25"/>
    </row>
    <row r="20" spans="1:12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x14ac:dyDescent="0.25">
      <c r="A21" s="25" t="s">
        <v>89</v>
      </c>
      <c r="B21" s="25">
        <v>5308.36</v>
      </c>
      <c r="C21" s="25"/>
      <c r="D21" s="25" t="s">
        <v>90</v>
      </c>
      <c r="E21" s="25">
        <v>3928.14</v>
      </c>
      <c r="F21" s="25"/>
      <c r="G21" s="25"/>
      <c r="H21" s="25"/>
      <c r="I21" s="25"/>
      <c r="J21" s="25"/>
      <c r="K21" s="25"/>
      <c r="L21" s="25"/>
    </row>
    <row r="22" spans="1:12" x14ac:dyDescent="0.25">
      <c r="A22" s="25" t="s">
        <v>91</v>
      </c>
      <c r="B22" s="25">
        <v>290418</v>
      </c>
      <c r="C22" s="25"/>
      <c r="D22" s="25" t="s">
        <v>92</v>
      </c>
      <c r="E22" s="25">
        <v>221407.12</v>
      </c>
      <c r="F22" s="25"/>
      <c r="G22" s="25"/>
      <c r="H22" s="25"/>
      <c r="I22" s="25"/>
      <c r="J22" s="25"/>
      <c r="K22" s="25"/>
      <c r="L22" s="25"/>
    </row>
    <row r="23" spans="1:12" x14ac:dyDescent="0.25">
      <c r="A23" s="25" t="s">
        <v>93</v>
      </c>
      <c r="B23" s="25">
        <v>14</v>
      </c>
      <c r="C23" s="25"/>
      <c r="D23" s="25" t="s">
        <v>94</v>
      </c>
      <c r="E23" s="25">
        <v>11</v>
      </c>
      <c r="F23" s="25"/>
      <c r="G23" s="25"/>
      <c r="H23" s="25"/>
      <c r="I23" s="25"/>
      <c r="J23" s="25"/>
      <c r="K23" s="25"/>
      <c r="L23" s="25"/>
    </row>
    <row r="24" spans="1:12" x14ac:dyDescent="0.25">
      <c r="A24" s="25" t="s">
        <v>95</v>
      </c>
      <c r="B24" s="25">
        <v>40</v>
      </c>
      <c r="C24" s="25"/>
      <c r="D24" s="25" t="s">
        <v>96</v>
      </c>
      <c r="E24" s="25">
        <v>32</v>
      </c>
      <c r="F24" s="25"/>
      <c r="G24" s="25"/>
      <c r="H24" s="25"/>
      <c r="I24" s="25"/>
      <c r="J24" s="25"/>
      <c r="K24" s="25"/>
      <c r="L24" s="25"/>
    </row>
    <row r="25" spans="1:12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</row>
    <row r="26" spans="1:12" x14ac:dyDescent="0.25">
      <c r="A26" s="79" t="s">
        <v>97</v>
      </c>
      <c r="B26" s="67"/>
      <c r="C26" s="25"/>
      <c r="D26" s="25"/>
      <c r="E26" s="25"/>
      <c r="F26" s="25"/>
      <c r="G26" s="25"/>
      <c r="H26" s="25"/>
      <c r="I26" s="25"/>
      <c r="J26" s="25"/>
      <c r="K26" s="25"/>
      <c r="L26" s="25"/>
    </row>
    <row r="27" spans="1:12" x14ac:dyDescent="0.25">
      <c r="A27" s="25" t="s">
        <v>4</v>
      </c>
      <c r="B27" s="25">
        <v>3487048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</row>
    <row r="28" spans="1:12" x14ac:dyDescent="0.25">
      <c r="A28" s="25" t="s">
        <v>6</v>
      </c>
      <c r="B28" s="25">
        <v>382100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</row>
    <row r="29" spans="1:12" x14ac:dyDescent="0.25">
      <c r="A29" s="25" t="s">
        <v>98</v>
      </c>
      <c r="B29" s="25">
        <v>511825.12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</row>
    <row r="30" spans="1:12" x14ac:dyDescent="0.25">
      <c r="A30" s="25" t="s">
        <v>99</v>
      </c>
      <c r="B30" s="25">
        <v>5308.36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</row>
    <row r="31" spans="1:12" x14ac:dyDescent="0.25">
      <c r="A31" s="25" t="s">
        <v>100</v>
      </c>
      <c r="B31" s="25">
        <v>3928.14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</row>
    <row r="32" spans="1:12" x14ac:dyDescent="0.25">
      <c r="A32" s="25" t="s">
        <v>24</v>
      </c>
      <c r="B32" s="25">
        <v>25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</row>
    <row r="33" spans="1:12" x14ac:dyDescent="0.25">
      <c r="A33" s="25" t="s">
        <v>26</v>
      </c>
      <c r="B33" s="25">
        <v>73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</row>
    <row r="34" spans="1:12" x14ac:dyDescent="0.25">
      <c r="A34" s="25" t="s">
        <v>101</v>
      </c>
      <c r="B34" s="25">
        <v>591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</row>
    <row r="35" spans="1:12" x14ac:dyDescent="0.2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</row>
    <row r="36" spans="1:12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</row>
    <row r="37" spans="1:12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</row>
    <row r="38" spans="1:12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</row>
    <row r="39" spans="1:12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</row>
    <row r="40" spans="1:12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</row>
  </sheetData>
  <mergeCells count="15">
    <mergeCell ref="A26:B26"/>
    <mergeCell ref="A2:L2"/>
    <mergeCell ref="A4:C4"/>
    <mergeCell ref="A8:C8"/>
    <mergeCell ref="A1:L1"/>
    <mergeCell ref="D4:F4"/>
    <mergeCell ref="G8:I8"/>
    <mergeCell ref="G4:I4"/>
    <mergeCell ref="J8:L8"/>
    <mergeCell ref="J4:L4"/>
    <mergeCell ref="A7:C7"/>
    <mergeCell ref="D7:F7"/>
    <mergeCell ref="D8:F8"/>
    <mergeCell ref="G7:I7"/>
    <mergeCell ref="J7:L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A651"/>
  </sheetPr>
  <dimension ref="A1:W1200"/>
  <sheetViews>
    <sheetView showGridLines="0" workbookViewId="0">
      <pane ySplit="4" topLeftCell="A5" activePane="bottomLeft" state="frozen"/>
      <selection pane="bottomLeft" sqref="A1:W1"/>
    </sheetView>
  </sheetViews>
  <sheetFormatPr defaultRowHeight="15" x14ac:dyDescent="0.25"/>
  <cols>
    <col min="1" max="1" width="16" bestFit="1" customWidth="1"/>
    <col min="2" max="2" width="13" bestFit="1" customWidth="1"/>
    <col min="3" max="3" width="22" bestFit="1" customWidth="1"/>
    <col min="4" max="4" width="25" bestFit="1" customWidth="1"/>
    <col min="5" max="11" width="12" bestFit="1" customWidth="1"/>
    <col min="12" max="12" width="12" customWidth="1"/>
    <col min="13" max="13" width="15" bestFit="1" customWidth="1"/>
    <col min="14" max="14" width="12" bestFit="1" customWidth="1"/>
    <col min="15" max="16" width="16" bestFit="1" customWidth="1"/>
    <col min="17" max="17" width="18" bestFit="1" customWidth="1"/>
    <col min="18" max="18" width="13" bestFit="1" customWidth="1"/>
    <col min="19" max="19" width="18" bestFit="1" customWidth="1"/>
    <col min="20" max="20" width="12" bestFit="1" customWidth="1"/>
    <col min="21" max="22" width="14" bestFit="1" customWidth="1"/>
    <col min="23" max="23" width="12" bestFit="1" customWidth="1"/>
    <col min="24" max="24" width="16.5703125" bestFit="1" customWidth="1"/>
    <col min="25" max="29" width="13.5703125" bestFit="1" customWidth="1"/>
    <col min="30" max="30" width="21.42578125" bestFit="1" customWidth="1"/>
    <col min="31" max="31" width="27.5703125" bestFit="1" customWidth="1"/>
    <col min="32" max="32" width="13.5703125" bestFit="1" customWidth="1"/>
    <col min="33" max="33" width="14.42578125" bestFit="1" customWidth="1"/>
    <col min="34" max="34" width="19.85546875" bestFit="1" customWidth="1"/>
  </cols>
  <sheetData>
    <row r="1" spans="1:23" ht="21.95" customHeight="1" x14ac:dyDescent="0.25">
      <c r="A1" s="81" t="s">
        <v>102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7"/>
    </row>
    <row r="2" spans="1:23" ht="21.95" customHeight="1" x14ac:dyDescent="0.25">
      <c r="A2" s="80" t="s">
        <v>103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7"/>
    </row>
    <row r="3" spans="1:23" ht="21.9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21.95" customHeight="1" x14ac:dyDescent="0.25">
      <c r="A4" s="49" t="s">
        <v>104</v>
      </c>
      <c r="B4" s="49" t="s">
        <v>105</v>
      </c>
      <c r="C4" s="49" t="s">
        <v>106</v>
      </c>
      <c r="D4" s="49" t="s">
        <v>107</v>
      </c>
      <c r="E4" s="49" t="s">
        <v>108</v>
      </c>
      <c r="F4" s="49" t="s">
        <v>109</v>
      </c>
      <c r="G4" s="49" t="s">
        <v>110</v>
      </c>
      <c r="H4" s="49" t="s">
        <v>111</v>
      </c>
      <c r="I4" s="49" t="s">
        <v>112</v>
      </c>
      <c r="J4" s="49" t="s">
        <v>113</v>
      </c>
      <c r="K4" s="49" t="s">
        <v>114</v>
      </c>
      <c r="L4" s="49" t="s">
        <v>115</v>
      </c>
      <c r="M4" s="49" t="s">
        <v>116</v>
      </c>
      <c r="N4" s="49" t="s">
        <v>117</v>
      </c>
      <c r="O4" s="49" t="s">
        <v>118</v>
      </c>
      <c r="P4" s="49" t="s">
        <v>65</v>
      </c>
      <c r="Q4" s="49" t="s">
        <v>119</v>
      </c>
      <c r="R4" s="49" t="s">
        <v>120</v>
      </c>
      <c r="S4" s="49" t="s">
        <v>121</v>
      </c>
      <c r="T4" s="49" t="s">
        <v>122</v>
      </c>
      <c r="U4" s="49" t="s">
        <v>123</v>
      </c>
      <c r="V4" s="49" t="s">
        <v>124</v>
      </c>
      <c r="W4" s="49" t="s">
        <v>125</v>
      </c>
    </row>
    <row r="5" spans="1:23" ht="20.100000000000001" customHeight="1" x14ac:dyDescent="0.25">
      <c r="A5" s="50">
        <v>46014</v>
      </c>
      <c r="B5" s="50">
        <v>46024</v>
      </c>
      <c r="C5" s="51">
        <v>46024</v>
      </c>
      <c r="D5" s="51"/>
      <c r="E5" s="52"/>
      <c r="F5" s="52"/>
      <c r="G5" s="52"/>
      <c r="H5" s="52">
        <v>5443</v>
      </c>
      <c r="I5" s="52" t="s">
        <v>21</v>
      </c>
      <c r="J5" s="52" t="s">
        <v>126</v>
      </c>
      <c r="K5" s="53">
        <v>28000</v>
      </c>
      <c r="L5" s="54"/>
      <c r="M5" s="52" t="s">
        <v>127</v>
      </c>
      <c r="N5" s="55"/>
      <c r="O5" s="50"/>
      <c r="P5" s="53"/>
      <c r="Q5" s="52"/>
      <c r="R5" s="52" t="s">
        <v>77</v>
      </c>
      <c r="S5" s="52"/>
      <c r="T5" s="55"/>
      <c r="U5" s="52">
        <f t="shared" ref="U5:U68" ca="1" si="0">IF(C5="","",TODAY()-C5)</f>
        <v>162</v>
      </c>
      <c r="V5" s="54">
        <v>0</v>
      </c>
      <c r="W5" s="52" t="s">
        <v>5587</v>
      </c>
    </row>
    <row r="6" spans="1:23" ht="20.100000000000001" customHeight="1" x14ac:dyDescent="0.25">
      <c r="A6" s="50">
        <v>46024</v>
      </c>
      <c r="B6" s="50">
        <v>46023.829106493053</v>
      </c>
      <c r="C6" s="51">
        <v>46024</v>
      </c>
      <c r="D6" s="51"/>
      <c r="E6" s="52"/>
      <c r="F6" s="52"/>
      <c r="G6" s="52"/>
      <c r="H6" s="52">
        <v>5444</v>
      </c>
      <c r="I6" s="52" t="s">
        <v>21</v>
      </c>
      <c r="J6" s="52" t="s">
        <v>128</v>
      </c>
      <c r="K6" s="53">
        <v>26622</v>
      </c>
      <c r="L6" s="54">
        <v>1</v>
      </c>
      <c r="M6" s="52" t="s">
        <v>129</v>
      </c>
      <c r="N6" s="55" t="s">
        <v>130</v>
      </c>
      <c r="O6" s="50">
        <v>46163</v>
      </c>
      <c r="P6" s="53">
        <v>26622</v>
      </c>
      <c r="Q6" s="52">
        <v>1</v>
      </c>
      <c r="R6" s="52" t="s">
        <v>131</v>
      </c>
      <c r="S6" s="52"/>
      <c r="T6" s="55"/>
      <c r="U6" s="52">
        <f t="shared" ca="1" si="0"/>
        <v>162</v>
      </c>
      <c r="V6" s="54">
        <v>0.5</v>
      </c>
      <c r="W6" s="52" t="s">
        <v>5587</v>
      </c>
    </row>
    <row r="7" spans="1:23" ht="20.100000000000001" customHeight="1" x14ac:dyDescent="0.25">
      <c r="A7" s="50">
        <v>46024</v>
      </c>
      <c r="B7" s="50">
        <v>46024</v>
      </c>
      <c r="C7" s="51">
        <v>46024</v>
      </c>
      <c r="D7" s="51"/>
      <c r="E7" s="52"/>
      <c r="F7" s="52"/>
      <c r="G7" s="52"/>
      <c r="H7" s="52">
        <v>5445</v>
      </c>
      <c r="I7" s="52" t="s">
        <v>21</v>
      </c>
      <c r="J7" s="52" t="s">
        <v>133</v>
      </c>
      <c r="K7" s="53">
        <v>23000</v>
      </c>
      <c r="L7" s="54"/>
      <c r="M7" s="52" t="s">
        <v>127</v>
      </c>
      <c r="N7" s="55" t="s">
        <v>134</v>
      </c>
      <c r="O7" s="50"/>
      <c r="P7" s="53"/>
      <c r="Q7" s="52"/>
      <c r="R7" s="52" t="s">
        <v>135</v>
      </c>
      <c r="S7" s="52" t="s">
        <v>136</v>
      </c>
      <c r="T7" s="55" t="s">
        <v>5588</v>
      </c>
      <c r="U7" s="52">
        <f t="shared" ca="1" si="0"/>
        <v>162</v>
      </c>
      <c r="V7" s="54">
        <v>0.25</v>
      </c>
      <c r="W7" s="52" t="s">
        <v>5587</v>
      </c>
    </row>
    <row r="8" spans="1:23" ht="20.100000000000001" customHeight="1" x14ac:dyDescent="0.25">
      <c r="A8" s="50">
        <v>46026</v>
      </c>
      <c r="B8" s="50">
        <v>46027</v>
      </c>
      <c r="C8" s="51">
        <v>46027</v>
      </c>
      <c r="D8" s="51"/>
      <c r="E8" s="52"/>
      <c r="F8" s="52"/>
      <c r="G8" s="52"/>
      <c r="H8" s="52">
        <v>5446</v>
      </c>
      <c r="I8" s="52" t="s">
        <v>21</v>
      </c>
      <c r="J8" s="52" t="s">
        <v>126</v>
      </c>
      <c r="K8" s="53"/>
      <c r="L8" s="54"/>
      <c r="M8" s="52" t="s">
        <v>127</v>
      </c>
      <c r="N8" s="55" t="s">
        <v>134</v>
      </c>
      <c r="O8" s="50"/>
      <c r="P8" s="53"/>
      <c r="Q8" s="52"/>
      <c r="R8" s="52"/>
      <c r="S8" s="52" t="s">
        <v>136</v>
      </c>
      <c r="T8" s="55"/>
      <c r="U8" s="52">
        <f t="shared" ca="1" si="0"/>
        <v>159</v>
      </c>
      <c r="V8" s="54">
        <v>0.25</v>
      </c>
      <c r="W8" s="52" t="s">
        <v>5587</v>
      </c>
    </row>
    <row r="9" spans="1:23" ht="20.100000000000001" customHeight="1" x14ac:dyDescent="0.25">
      <c r="A9" s="50">
        <v>46027</v>
      </c>
      <c r="B9" s="50">
        <v>46027</v>
      </c>
      <c r="C9" s="51">
        <v>46027</v>
      </c>
      <c r="D9" s="51"/>
      <c r="E9" s="52"/>
      <c r="F9" s="52"/>
      <c r="G9" s="52"/>
      <c r="H9" s="52">
        <v>5447</v>
      </c>
      <c r="I9" s="52" t="s">
        <v>21</v>
      </c>
      <c r="J9" s="52" t="s">
        <v>126</v>
      </c>
      <c r="K9" s="53">
        <v>21000</v>
      </c>
      <c r="L9" s="54"/>
      <c r="M9" s="52" t="s">
        <v>127</v>
      </c>
      <c r="N9" s="55" t="s">
        <v>134</v>
      </c>
      <c r="O9" s="50"/>
      <c r="P9" s="53"/>
      <c r="Q9" s="52"/>
      <c r="R9" s="52" t="s">
        <v>137</v>
      </c>
      <c r="S9" s="52" t="s">
        <v>136</v>
      </c>
      <c r="T9" s="55"/>
      <c r="U9" s="52">
        <f t="shared" ca="1" si="0"/>
        <v>159</v>
      </c>
      <c r="V9" s="54">
        <v>0.25</v>
      </c>
      <c r="W9" s="52" t="s">
        <v>5587</v>
      </c>
    </row>
    <row r="10" spans="1:23" ht="20.100000000000001" customHeight="1" x14ac:dyDescent="0.25">
      <c r="A10" s="50">
        <v>46023</v>
      </c>
      <c r="B10" s="50">
        <v>46027</v>
      </c>
      <c r="C10" s="51">
        <v>46027</v>
      </c>
      <c r="D10" s="51"/>
      <c r="E10" s="52"/>
      <c r="F10" s="52"/>
      <c r="G10" s="52"/>
      <c r="H10" s="52">
        <v>5448</v>
      </c>
      <c r="I10" s="52" t="s">
        <v>21</v>
      </c>
      <c r="J10" s="52" t="s">
        <v>133</v>
      </c>
      <c r="K10" s="53">
        <v>23000</v>
      </c>
      <c r="L10" s="54"/>
      <c r="M10" s="52" t="s">
        <v>127</v>
      </c>
      <c r="N10" s="55" t="s">
        <v>134</v>
      </c>
      <c r="O10" s="50"/>
      <c r="P10" s="53"/>
      <c r="Q10" s="52"/>
      <c r="R10" s="52" t="s">
        <v>138</v>
      </c>
      <c r="S10" s="52" t="s">
        <v>136</v>
      </c>
      <c r="T10" s="55"/>
      <c r="U10" s="52">
        <f t="shared" ca="1" si="0"/>
        <v>159</v>
      </c>
      <c r="V10" s="54">
        <v>0.25</v>
      </c>
      <c r="W10" s="52" t="s">
        <v>5587</v>
      </c>
    </row>
    <row r="11" spans="1:23" ht="20.100000000000001" customHeight="1" x14ac:dyDescent="0.25">
      <c r="A11" s="50">
        <v>46013</v>
      </c>
      <c r="B11" s="50">
        <v>46029</v>
      </c>
      <c r="C11" s="51">
        <v>46029</v>
      </c>
      <c r="D11" s="51"/>
      <c r="E11" s="52"/>
      <c r="F11" s="52"/>
      <c r="G11" s="52"/>
      <c r="H11" s="52">
        <v>5449</v>
      </c>
      <c r="I11" s="52" t="s">
        <v>21</v>
      </c>
      <c r="J11" s="52" t="s">
        <v>128</v>
      </c>
      <c r="K11" s="53">
        <v>20500</v>
      </c>
      <c r="L11" s="54"/>
      <c r="M11" s="52" t="s">
        <v>127</v>
      </c>
      <c r="N11" s="55" t="s">
        <v>134</v>
      </c>
      <c r="O11" s="50"/>
      <c r="P11" s="53"/>
      <c r="Q11" s="52"/>
      <c r="R11" s="52" t="s">
        <v>139</v>
      </c>
      <c r="S11" s="52" t="s">
        <v>136</v>
      </c>
      <c r="T11" s="55"/>
      <c r="U11" s="52">
        <f t="shared" ca="1" si="0"/>
        <v>157</v>
      </c>
      <c r="V11" s="54">
        <v>0.25</v>
      </c>
      <c r="W11" s="52" t="s">
        <v>5587</v>
      </c>
    </row>
    <row r="12" spans="1:23" ht="20.100000000000001" customHeight="1" x14ac:dyDescent="0.25">
      <c r="A12" s="50">
        <v>46027</v>
      </c>
      <c r="B12" s="50">
        <v>46029</v>
      </c>
      <c r="C12" s="51">
        <v>46029</v>
      </c>
      <c r="D12" s="51"/>
      <c r="E12" s="52"/>
      <c r="F12" s="52"/>
      <c r="G12" s="52"/>
      <c r="H12" s="52">
        <v>5450</v>
      </c>
      <c r="I12" s="52" t="s">
        <v>21</v>
      </c>
      <c r="J12" s="52" t="s">
        <v>128</v>
      </c>
      <c r="K12" s="53">
        <v>29000</v>
      </c>
      <c r="L12" s="54"/>
      <c r="M12" s="52" t="s">
        <v>127</v>
      </c>
      <c r="N12" s="55" t="s">
        <v>134</v>
      </c>
      <c r="O12" s="50"/>
      <c r="P12" s="53"/>
      <c r="Q12" s="52"/>
      <c r="R12" s="52" t="s">
        <v>140</v>
      </c>
      <c r="S12" s="52" t="s">
        <v>136</v>
      </c>
      <c r="T12" s="55"/>
      <c r="U12" s="52">
        <f t="shared" ca="1" si="0"/>
        <v>157</v>
      </c>
      <c r="V12" s="54">
        <v>0.25</v>
      </c>
      <c r="W12" s="52" t="s">
        <v>5587</v>
      </c>
    </row>
    <row r="13" spans="1:23" ht="20.100000000000001" customHeight="1" x14ac:dyDescent="0.25">
      <c r="A13" s="50">
        <v>46027</v>
      </c>
      <c r="B13" s="50">
        <v>46029</v>
      </c>
      <c r="C13" s="51">
        <v>46029</v>
      </c>
      <c r="D13" s="51"/>
      <c r="E13" s="52"/>
      <c r="F13" s="52"/>
      <c r="G13" s="52"/>
      <c r="H13" s="52">
        <v>5451</v>
      </c>
      <c r="I13" s="52" t="s">
        <v>21</v>
      </c>
      <c r="J13" s="52" t="s">
        <v>128</v>
      </c>
      <c r="K13" s="53">
        <v>21000</v>
      </c>
      <c r="L13" s="54"/>
      <c r="M13" s="52" t="s">
        <v>127</v>
      </c>
      <c r="N13" s="55" t="s">
        <v>134</v>
      </c>
      <c r="O13" s="50"/>
      <c r="P13" s="53"/>
      <c r="Q13" s="52"/>
      <c r="R13" s="52" t="s">
        <v>141</v>
      </c>
      <c r="S13" s="52" t="s">
        <v>136</v>
      </c>
      <c r="T13" s="55"/>
      <c r="U13" s="52">
        <f t="shared" ca="1" si="0"/>
        <v>157</v>
      </c>
      <c r="V13" s="54">
        <v>0.25</v>
      </c>
      <c r="W13" s="52" t="s">
        <v>5587</v>
      </c>
    </row>
    <row r="14" spans="1:23" ht="20.100000000000001" customHeight="1" x14ac:dyDescent="0.25">
      <c r="A14" s="50">
        <v>46027</v>
      </c>
      <c r="B14" s="50">
        <v>46030</v>
      </c>
      <c r="C14" s="51">
        <v>46030</v>
      </c>
      <c r="D14" s="51"/>
      <c r="E14" s="52"/>
      <c r="F14" s="52"/>
      <c r="G14" s="52"/>
      <c r="H14" s="52">
        <v>5452</v>
      </c>
      <c r="I14" s="52" t="s">
        <v>21</v>
      </c>
      <c r="J14" s="52" t="s">
        <v>126</v>
      </c>
      <c r="K14" s="53">
        <v>23000</v>
      </c>
      <c r="L14" s="54"/>
      <c r="M14" s="52" t="s">
        <v>142</v>
      </c>
      <c r="N14" s="55" t="s">
        <v>134</v>
      </c>
      <c r="O14" s="50"/>
      <c r="P14" s="53"/>
      <c r="Q14" s="52"/>
      <c r="R14" s="52" t="s">
        <v>143</v>
      </c>
      <c r="S14" s="52" t="s">
        <v>136</v>
      </c>
      <c r="T14" s="55"/>
      <c r="U14" s="52">
        <f t="shared" ca="1" si="0"/>
        <v>156</v>
      </c>
      <c r="V14" s="54">
        <v>0.25</v>
      </c>
      <c r="W14" s="52" t="s">
        <v>5587</v>
      </c>
    </row>
    <row r="15" spans="1:23" ht="20.100000000000001" customHeight="1" x14ac:dyDescent="0.25">
      <c r="A15" s="50">
        <v>46031</v>
      </c>
      <c r="B15" s="50">
        <v>46031</v>
      </c>
      <c r="C15" s="51">
        <v>46031</v>
      </c>
      <c r="D15" s="51"/>
      <c r="E15" s="52"/>
      <c r="F15" s="52"/>
      <c r="G15" s="52"/>
      <c r="H15" s="52">
        <v>5453</v>
      </c>
      <c r="I15" s="52" t="s">
        <v>22</v>
      </c>
      <c r="J15" s="52" t="s">
        <v>126</v>
      </c>
      <c r="K15" s="53"/>
      <c r="L15" s="54"/>
      <c r="M15" s="52"/>
      <c r="N15" s="55"/>
      <c r="O15" s="50"/>
      <c r="P15" s="53"/>
      <c r="Q15" s="52"/>
      <c r="R15" s="52"/>
      <c r="S15" s="52"/>
      <c r="T15" s="55" t="s">
        <v>5589</v>
      </c>
      <c r="U15" s="52">
        <f t="shared" ca="1" si="0"/>
        <v>155</v>
      </c>
      <c r="V15" s="54">
        <v>0</v>
      </c>
      <c r="W15" s="52" t="s">
        <v>5587</v>
      </c>
    </row>
    <row r="16" spans="1:23" ht="20.100000000000001" customHeight="1" x14ac:dyDescent="0.25">
      <c r="A16" s="50">
        <v>46034</v>
      </c>
      <c r="B16" s="50">
        <v>46034</v>
      </c>
      <c r="C16" s="51">
        <v>46034</v>
      </c>
      <c r="D16" s="51"/>
      <c r="E16" s="52"/>
      <c r="F16" s="52"/>
      <c r="G16" s="52"/>
      <c r="H16" s="52">
        <v>5454</v>
      </c>
      <c r="I16" s="52" t="s">
        <v>21</v>
      </c>
      <c r="J16" s="52" t="s">
        <v>145</v>
      </c>
      <c r="K16" s="53">
        <v>23000</v>
      </c>
      <c r="L16" s="54"/>
      <c r="M16" s="52" t="s">
        <v>146</v>
      </c>
      <c r="N16" s="55" t="s">
        <v>134</v>
      </c>
      <c r="O16" s="50"/>
      <c r="P16" s="53"/>
      <c r="Q16" s="52"/>
      <c r="R16" s="52"/>
      <c r="S16" s="52" t="s">
        <v>136</v>
      </c>
      <c r="T16" s="55"/>
      <c r="U16" s="52">
        <f t="shared" ca="1" si="0"/>
        <v>152</v>
      </c>
      <c r="V16" s="54">
        <v>0.25</v>
      </c>
      <c r="W16" s="52" t="s">
        <v>5587</v>
      </c>
    </row>
    <row r="17" spans="1:23" ht="20.100000000000001" customHeight="1" x14ac:dyDescent="0.25">
      <c r="A17" s="50">
        <v>46034</v>
      </c>
      <c r="B17" s="50">
        <v>46034</v>
      </c>
      <c r="C17" s="51">
        <v>46034</v>
      </c>
      <c r="D17" s="51"/>
      <c r="E17" s="52"/>
      <c r="F17" s="52"/>
      <c r="G17" s="52"/>
      <c r="H17" s="52">
        <v>5455</v>
      </c>
      <c r="I17" s="52" t="s">
        <v>22</v>
      </c>
      <c r="J17" s="52" t="s">
        <v>126</v>
      </c>
      <c r="K17" s="53">
        <v>23000</v>
      </c>
      <c r="L17" s="54"/>
      <c r="M17" s="52" t="s">
        <v>142</v>
      </c>
      <c r="N17" s="55"/>
      <c r="O17" s="50"/>
      <c r="P17" s="53"/>
      <c r="Q17" s="52"/>
      <c r="R17" s="52"/>
      <c r="S17" s="52"/>
      <c r="T17" s="55"/>
      <c r="U17" s="52">
        <f t="shared" ca="1" si="0"/>
        <v>152</v>
      </c>
      <c r="V17" s="54">
        <v>0</v>
      </c>
      <c r="W17" s="52" t="s">
        <v>5587</v>
      </c>
    </row>
    <row r="18" spans="1:23" ht="20.100000000000001" customHeight="1" x14ac:dyDescent="0.25">
      <c r="A18" s="50">
        <v>46034</v>
      </c>
      <c r="B18" s="50">
        <v>46034</v>
      </c>
      <c r="C18" s="51">
        <v>46034</v>
      </c>
      <c r="D18" s="51"/>
      <c r="E18" s="52"/>
      <c r="F18" s="52"/>
      <c r="G18" s="52"/>
      <c r="H18" s="52">
        <v>5456</v>
      </c>
      <c r="I18" s="52" t="s">
        <v>21</v>
      </c>
      <c r="J18" s="52" t="s">
        <v>126</v>
      </c>
      <c r="K18" s="53">
        <v>20196</v>
      </c>
      <c r="L18" s="54">
        <v>1</v>
      </c>
      <c r="M18" s="52" t="s">
        <v>147</v>
      </c>
      <c r="N18" s="55" t="s">
        <v>130</v>
      </c>
      <c r="O18" s="50">
        <v>46162</v>
      </c>
      <c r="P18" s="53">
        <v>20196</v>
      </c>
      <c r="Q18" s="52">
        <v>1</v>
      </c>
      <c r="R18" s="52" t="s">
        <v>148</v>
      </c>
      <c r="S18" s="52"/>
      <c r="T18" s="55"/>
      <c r="U18" s="52">
        <f t="shared" ca="1" si="0"/>
        <v>152</v>
      </c>
      <c r="V18" s="54">
        <v>0.5</v>
      </c>
      <c r="W18" s="52" t="s">
        <v>5587</v>
      </c>
    </row>
    <row r="19" spans="1:23" ht="20.100000000000001" customHeight="1" x14ac:dyDescent="0.25">
      <c r="A19" s="50">
        <v>46035</v>
      </c>
      <c r="B19" s="50">
        <v>46035</v>
      </c>
      <c r="C19" s="51">
        <v>46035</v>
      </c>
      <c r="D19" s="51"/>
      <c r="E19" s="52"/>
      <c r="F19" s="52"/>
      <c r="G19" s="52"/>
      <c r="H19" s="52">
        <v>5457</v>
      </c>
      <c r="I19" s="52" t="s">
        <v>21</v>
      </c>
      <c r="J19" s="52" t="s">
        <v>126</v>
      </c>
      <c r="K19" s="53">
        <v>21000</v>
      </c>
      <c r="L19" s="54"/>
      <c r="M19" s="52" t="s">
        <v>127</v>
      </c>
      <c r="N19" s="55"/>
      <c r="O19" s="50"/>
      <c r="P19" s="53"/>
      <c r="Q19" s="52"/>
      <c r="R19" s="52" t="s">
        <v>149</v>
      </c>
      <c r="S19" s="52" t="s">
        <v>150</v>
      </c>
      <c r="T19" s="55"/>
      <c r="U19" s="52">
        <f t="shared" ca="1" si="0"/>
        <v>151</v>
      </c>
      <c r="V19" s="54">
        <v>0</v>
      </c>
      <c r="W19" s="52" t="s">
        <v>5587</v>
      </c>
    </row>
    <row r="20" spans="1:23" ht="20.100000000000001" customHeight="1" x14ac:dyDescent="0.25">
      <c r="A20" s="50">
        <v>46035</v>
      </c>
      <c r="B20" s="50">
        <v>46035</v>
      </c>
      <c r="C20" s="51">
        <v>46035</v>
      </c>
      <c r="D20" s="51"/>
      <c r="E20" s="52"/>
      <c r="F20" s="52"/>
      <c r="G20" s="52"/>
      <c r="H20" s="52">
        <v>5458</v>
      </c>
      <c r="I20" s="52" t="s">
        <v>22</v>
      </c>
      <c r="J20" s="52" t="s">
        <v>126</v>
      </c>
      <c r="K20" s="53">
        <v>18252</v>
      </c>
      <c r="L20" s="54">
        <v>1</v>
      </c>
      <c r="M20" s="52" t="s">
        <v>147</v>
      </c>
      <c r="N20" s="55" t="s">
        <v>130</v>
      </c>
      <c r="O20" s="50"/>
      <c r="P20" s="53">
        <v>18252</v>
      </c>
      <c r="Q20" s="52">
        <v>1</v>
      </c>
      <c r="R20" s="52"/>
      <c r="S20" s="52"/>
      <c r="T20" s="55"/>
      <c r="U20" s="52">
        <f t="shared" ca="1" si="0"/>
        <v>151</v>
      </c>
      <c r="V20" s="54">
        <v>0.5</v>
      </c>
      <c r="W20" s="52" t="s">
        <v>5587</v>
      </c>
    </row>
    <row r="21" spans="1:23" ht="20.100000000000001" customHeight="1" x14ac:dyDescent="0.25">
      <c r="A21" s="50">
        <v>46036</v>
      </c>
      <c r="B21" s="50">
        <v>46036</v>
      </c>
      <c r="C21" s="51">
        <v>46036</v>
      </c>
      <c r="D21" s="51"/>
      <c r="E21" s="52"/>
      <c r="F21" s="52"/>
      <c r="G21" s="52"/>
      <c r="H21" s="52">
        <v>5459</v>
      </c>
      <c r="I21" s="52" t="s">
        <v>22</v>
      </c>
      <c r="J21" s="52" t="s">
        <v>126</v>
      </c>
      <c r="K21" s="53">
        <v>25000</v>
      </c>
      <c r="L21" s="54"/>
      <c r="M21" s="52" t="s">
        <v>142</v>
      </c>
      <c r="N21" s="55"/>
      <c r="O21" s="50"/>
      <c r="P21" s="53"/>
      <c r="Q21" s="52"/>
      <c r="R21" s="52"/>
      <c r="S21" s="52"/>
      <c r="T21" s="55" t="s">
        <v>5590</v>
      </c>
      <c r="U21" s="52">
        <f t="shared" ca="1" si="0"/>
        <v>150</v>
      </c>
      <c r="V21" s="54">
        <v>0</v>
      </c>
      <c r="W21" s="52" t="s">
        <v>5587</v>
      </c>
    </row>
    <row r="22" spans="1:23" ht="20.100000000000001" customHeight="1" x14ac:dyDescent="0.25">
      <c r="A22" s="50">
        <v>46036</v>
      </c>
      <c r="B22" s="50">
        <v>46036</v>
      </c>
      <c r="C22" s="51">
        <v>46036</v>
      </c>
      <c r="D22" s="51"/>
      <c r="E22" s="52"/>
      <c r="F22" s="52"/>
      <c r="G22" s="52"/>
      <c r="H22" s="52">
        <v>5460</v>
      </c>
      <c r="I22" s="52" t="s">
        <v>22</v>
      </c>
      <c r="J22" s="52" t="s">
        <v>126</v>
      </c>
      <c r="K22" s="53">
        <v>20000</v>
      </c>
      <c r="L22" s="54"/>
      <c r="M22" s="52" t="s">
        <v>142</v>
      </c>
      <c r="N22" s="55"/>
      <c r="O22" s="50"/>
      <c r="P22" s="53"/>
      <c r="Q22" s="52"/>
      <c r="R22" s="52"/>
      <c r="S22" s="52"/>
      <c r="T22" s="55"/>
      <c r="U22" s="52">
        <f t="shared" ca="1" si="0"/>
        <v>150</v>
      </c>
      <c r="V22" s="54">
        <v>0</v>
      </c>
      <c r="W22" s="52" t="s">
        <v>5587</v>
      </c>
    </row>
    <row r="23" spans="1:23" ht="20.100000000000001" customHeight="1" x14ac:dyDescent="0.25">
      <c r="A23" s="50">
        <v>46037</v>
      </c>
      <c r="B23" s="50">
        <v>46037</v>
      </c>
      <c r="C23" s="51">
        <v>46037</v>
      </c>
      <c r="D23" s="51"/>
      <c r="E23" s="52"/>
      <c r="F23" s="52"/>
      <c r="G23" s="52"/>
      <c r="H23" s="52">
        <v>5461</v>
      </c>
      <c r="I23" s="52" t="s">
        <v>21</v>
      </c>
      <c r="J23" s="52" t="s">
        <v>128</v>
      </c>
      <c r="K23" s="53">
        <v>23000</v>
      </c>
      <c r="L23" s="54"/>
      <c r="M23" s="52" t="s">
        <v>127</v>
      </c>
      <c r="N23" s="55" t="s">
        <v>134</v>
      </c>
      <c r="O23" s="50"/>
      <c r="P23" s="53"/>
      <c r="Q23" s="52"/>
      <c r="R23" s="52" t="s">
        <v>152</v>
      </c>
      <c r="S23" s="52" t="s">
        <v>136</v>
      </c>
      <c r="T23" s="55"/>
      <c r="U23" s="52">
        <f t="shared" ca="1" si="0"/>
        <v>149</v>
      </c>
      <c r="V23" s="54">
        <v>0.25</v>
      </c>
      <c r="W23" s="52" t="s">
        <v>5587</v>
      </c>
    </row>
    <row r="24" spans="1:23" ht="20.100000000000001" customHeight="1" x14ac:dyDescent="0.25">
      <c r="A24" s="50">
        <v>46037</v>
      </c>
      <c r="B24" s="50">
        <v>46037</v>
      </c>
      <c r="C24" s="51">
        <v>46037</v>
      </c>
      <c r="D24" s="51"/>
      <c r="E24" s="52"/>
      <c r="F24" s="52"/>
      <c r="G24" s="52"/>
      <c r="H24" s="52">
        <v>5462</v>
      </c>
      <c r="I24" s="52" t="s">
        <v>21</v>
      </c>
      <c r="J24" s="52" t="s">
        <v>128</v>
      </c>
      <c r="K24" s="53">
        <v>22000</v>
      </c>
      <c r="L24" s="54"/>
      <c r="M24" s="52" t="s">
        <v>127</v>
      </c>
      <c r="N24" s="55" t="s">
        <v>134</v>
      </c>
      <c r="O24" s="50"/>
      <c r="P24" s="53"/>
      <c r="Q24" s="52"/>
      <c r="R24" s="52"/>
      <c r="S24" s="52" t="s">
        <v>136</v>
      </c>
      <c r="T24" s="55"/>
      <c r="U24" s="52">
        <f t="shared" ca="1" si="0"/>
        <v>149</v>
      </c>
      <c r="V24" s="54">
        <v>0.25</v>
      </c>
      <c r="W24" s="52" t="s">
        <v>5587</v>
      </c>
    </row>
    <row r="25" spans="1:23" ht="20.100000000000001" customHeight="1" x14ac:dyDescent="0.25">
      <c r="A25" s="50">
        <v>45307</v>
      </c>
      <c r="B25" s="50">
        <v>46038</v>
      </c>
      <c r="C25" s="51">
        <v>46038</v>
      </c>
      <c r="D25" s="51"/>
      <c r="E25" s="52"/>
      <c r="F25" s="52"/>
      <c r="G25" s="52"/>
      <c r="H25" s="52">
        <v>5463</v>
      </c>
      <c r="I25" s="52" t="s">
        <v>22</v>
      </c>
      <c r="J25" s="52" t="s">
        <v>126</v>
      </c>
      <c r="K25" s="53">
        <v>25100</v>
      </c>
      <c r="L25" s="54"/>
      <c r="M25" s="52" t="s">
        <v>142</v>
      </c>
      <c r="N25" s="55"/>
      <c r="O25" s="50"/>
      <c r="P25" s="53"/>
      <c r="Q25" s="52"/>
      <c r="R25" s="52" t="s">
        <v>153</v>
      </c>
      <c r="S25" s="52"/>
      <c r="T25" s="55"/>
      <c r="U25" s="52">
        <f t="shared" ca="1" si="0"/>
        <v>148</v>
      </c>
      <c r="V25" s="54">
        <v>0</v>
      </c>
      <c r="W25" s="52" t="s">
        <v>5587</v>
      </c>
    </row>
    <row r="26" spans="1:23" ht="20.100000000000001" customHeight="1" x14ac:dyDescent="0.25">
      <c r="A26" s="50">
        <v>46038</v>
      </c>
      <c r="B26" s="50">
        <v>46038</v>
      </c>
      <c r="C26" s="51">
        <v>46038</v>
      </c>
      <c r="D26" s="51"/>
      <c r="E26" s="52"/>
      <c r="F26" s="52"/>
      <c r="G26" s="52"/>
      <c r="H26" s="52">
        <v>5464</v>
      </c>
      <c r="I26" s="52" t="s">
        <v>21</v>
      </c>
      <c r="J26" s="52" t="s">
        <v>126</v>
      </c>
      <c r="K26" s="53">
        <v>12500</v>
      </c>
      <c r="L26" s="54"/>
      <c r="M26" s="52" t="s">
        <v>155</v>
      </c>
      <c r="N26" s="55" t="s">
        <v>134</v>
      </c>
      <c r="O26" s="50"/>
      <c r="P26" s="53"/>
      <c r="Q26" s="52"/>
      <c r="R26" s="52"/>
      <c r="S26" s="52" t="s">
        <v>136</v>
      </c>
      <c r="T26" s="55" t="s">
        <v>154</v>
      </c>
      <c r="U26" s="52">
        <f t="shared" ca="1" si="0"/>
        <v>148</v>
      </c>
      <c r="V26" s="54">
        <v>0.25</v>
      </c>
      <c r="W26" s="52" t="s">
        <v>5587</v>
      </c>
    </row>
    <row r="27" spans="1:23" ht="20.100000000000001" customHeight="1" x14ac:dyDescent="0.25">
      <c r="A27" s="50">
        <v>46038</v>
      </c>
      <c r="B27" s="50">
        <v>46038</v>
      </c>
      <c r="C27" s="51">
        <v>46038</v>
      </c>
      <c r="D27" s="51"/>
      <c r="E27" s="52"/>
      <c r="F27" s="52"/>
      <c r="G27" s="52"/>
      <c r="H27" s="52">
        <v>5465</v>
      </c>
      <c r="I27" s="52" t="s">
        <v>21</v>
      </c>
      <c r="J27" s="52" t="s">
        <v>126</v>
      </c>
      <c r="K27" s="53">
        <v>25600</v>
      </c>
      <c r="L27" s="54">
        <v>1</v>
      </c>
      <c r="M27" s="52" t="s">
        <v>157</v>
      </c>
      <c r="N27" s="55" t="s">
        <v>130</v>
      </c>
      <c r="O27" s="50"/>
      <c r="P27" s="53">
        <v>25600</v>
      </c>
      <c r="Q27" s="52">
        <v>1</v>
      </c>
      <c r="R27" s="52" t="s">
        <v>158</v>
      </c>
      <c r="S27" s="52"/>
      <c r="T27" s="55" t="s">
        <v>156</v>
      </c>
      <c r="U27" s="52">
        <f t="shared" ca="1" si="0"/>
        <v>148</v>
      </c>
      <c r="V27" s="54">
        <v>0.5</v>
      </c>
      <c r="W27" s="52" t="s">
        <v>5587</v>
      </c>
    </row>
    <row r="28" spans="1:23" ht="20.100000000000001" customHeight="1" x14ac:dyDescent="0.25">
      <c r="A28" s="50">
        <v>46038</v>
      </c>
      <c r="B28" s="50">
        <v>46038</v>
      </c>
      <c r="C28" s="51">
        <v>46038</v>
      </c>
      <c r="D28" s="51"/>
      <c r="E28" s="52"/>
      <c r="F28" s="52"/>
      <c r="G28" s="52"/>
      <c r="H28" s="52">
        <v>5466</v>
      </c>
      <c r="I28" s="52" t="s">
        <v>22</v>
      </c>
      <c r="J28" s="52" t="s">
        <v>110</v>
      </c>
      <c r="K28" s="53">
        <v>50000</v>
      </c>
      <c r="L28" s="54"/>
      <c r="M28" s="52" t="s">
        <v>142</v>
      </c>
      <c r="N28" s="55"/>
      <c r="O28" s="50"/>
      <c r="P28" s="53"/>
      <c r="Q28" s="52"/>
      <c r="R28" s="52" t="s">
        <v>159</v>
      </c>
      <c r="S28" s="52"/>
      <c r="T28" s="55"/>
      <c r="U28" s="52">
        <f t="shared" ca="1" si="0"/>
        <v>148</v>
      </c>
      <c r="V28" s="54">
        <v>0</v>
      </c>
      <c r="W28" s="52" t="s">
        <v>5587</v>
      </c>
    </row>
    <row r="29" spans="1:23" ht="20.100000000000001" customHeight="1" x14ac:dyDescent="0.25">
      <c r="A29" s="50">
        <v>46038</v>
      </c>
      <c r="B29" s="50">
        <v>46038</v>
      </c>
      <c r="C29" s="51">
        <v>46038</v>
      </c>
      <c r="D29" s="51"/>
      <c r="E29" s="52"/>
      <c r="F29" s="52"/>
      <c r="G29" s="52"/>
      <c r="H29" s="52">
        <v>5467</v>
      </c>
      <c r="I29" s="52" t="s">
        <v>22</v>
      </c>
      <c r="J29" s="52" t="s">
        <v>145</v>
      </c>
      <c r="K29" s="53">
        <v>12000</v>
      </c>
      <c r="L29" s="54"/>
      <c r="M29" s="52" t="s">
        <v>155</v>
      </c>
      <c r="N29" s="55"/>
      <c r="O29" s="50"/>
      <c r="P29" s="53"/>
      <c r="Q29" s="52"/>
      <c r="R29" s="52"/>
      <c r="S29" s="52"/>
      <c r="T29" s="55"/>
      <c r="U29" s="52">
        <f t="shared" ca="1" si="0"/>
        <v>148</v>
      </c>
      <c r="V29" s="54">
        <v>0</v>
      </c>
      <c r="W29" s="52" t="s">
        <v>5587</v>
      </c>
    </row>
    <row r="30" spans="1:23" ht="20.100000000000001" customHeight="1" x14ac:dyDescent="0.25">
      <c r="A30" s="50">
        <v>46041</v>
      </c>
      <c r="B30" s="50">
        <v>46041</v>
      </c>
      <c r="C30" s="51">
        <v>46041</v>
      </c>
      <c r="D30" s="51"/>
      <c r="E30" s="52"/>
      <c r="F30" s="52"/>
      <c r="G30" s="52"/>
      <c r="H30" s="52">
        <v>5468</v>
      </c>
      <c r="I30" s="52" t="s">
        <v>22</v>
      </c>
      <c r="J30" s="52" t="s">
        <v>126</v>
      </c>
      <c r="K30" s="53">
        <v>20000</v>
      </c>
      <c r="L30" s="54"/>
      <c r="M30" s="52" t="s">
        <v>142</v>
      </c>
      <c r="N30" s="55"/>
      <c r="O30" s="50"/>
      <c r="P30" s="53"/>
      <c r="Q30" s="52"/>
      <c r="R30" s="52" t="s">
        <v>160</v>
      </c>
      <c r="S30" s="52"/>
      <c r="T30" s="55"/>
      <c r="U30" s="52">
        <f t="shared" ca="1" si="0"/>
        <v>145</v>
      </c>
      <c r="V30" s="54">
        <v>0</v>
      </c>
      <c r="W30" s="52" t="s">
        <v>5587</v>
      </c>
    </row>
    <row r="31" spans="1:23" ht="20.100000000000001" customHeight="1" x14ac:dyDescent="0.25">
      <c r="A31" s="50">
        <v>46041</v>
      </c>
      <c r="B31" s="50">
        <v>46041</v>
      </c>
      <c r="C31" s="51">
        <v>46041</v>
      </c>
      <c r="D31" s="51"/>
      <c r="E31" s="52"/>
      <c r="F31" s="52"/>
      <c r="G31" s="52"/>
      <c r="H31" s="52">
        <v>5469</v>
      </c>
      <c r="I31" s="52" t="s">
        <v>22</v>
      </c>
      <c r="J31" s="52" t="s">
        <v>145</v>
      </c>
      <c r="K31" s="53">
        <v>25000</v>
      </c>
      <c r="L31" s="54"/>
      <c r="M31" s="52" t="s">
        <v>142</v>
      </c>
      <c r="N31" s="55"/>
      <c r="O31" s="50"/>
      <c r="P31" s="53"/>
      <c r="Q31" s="52"/>
      <c r="R31" s="52" t="s">
        <v>161</v>
      </c>
      <c r="S31" s="52"/>
      <c r="T31" s="55"/>
      <c r="U31" s="52">
        <f t="shared" ca="1" si="0"/>
        <v>145</v>
      </c>
      <c r="V31" s="54">
        <v>0</v>
      </c>
      <c r="W31" s="52" t="s">
        <v>5587</v>
      </c>
    </row>
    <row r="32" spans="1:23" ht="20.100000000000001" customHeight="1" x14ac:dyDescent="0.25">
      <c r="A32" s="50">
        <v>46041</v>
      </c>
      <c r="B32" s="50">
        <v>46041</v>
      </c>
      <c r="C32" s="51">
        <v>46041</v>
      </c>
      <c r="D32" s="51"/>
      <c r="E32" s="52"/>
      <c r="F32" s="52"/>
      <c r="G32" s="52"/>
      <c r="H32" s="52">
        <v>5470</v>
      </c>
      <c r="I32" s="52" t="s">
        <v>22</v>
      </c>
      <c r="J32" s="52" t="s">
        <v>162</v>
      </c>
      <c r="K32" s="53">
        <v>14000</v>
      </c>
      <c r="L32" s="54">
        <v>1</v>
      </c>
      <c r="M32" s="52" t="s">
        <v>129</v>
      </c>
      <c r="N32" s="55" t="s">
        <v>130</v>
      </c>
      <c r="O32" s="50"/>
      <c r="P32" s="53">
        <v>14000</v>
      </c>
      <c r="Q32" s="52">
        <v>1</v>
      </c>
      <c r="R32" s="52" t="s">
        <v>163</v>
      </c>
      <c r="S32" s="52"/>
      <c r="T32" s="55"/>
      <c r="U32" s="52">
        <f t="shared" ca="1" si="0"/>
        <v>145</v>
      </c>
      <c r="V32" s="54">
        <v>0.5</v>
      </c>
      <c r="W32" s="52" t="s">
        <v>5587</v>
      </c>
    </row>
    <row r="33" spans="1:23" ht="20.100000000000001" customHeight="1" x14ac:dyDescent="0.25">
      <c r="A33" s="50">
        <v>46041</v>
      </c>
      <c r="B33" s="50">
        <v>46042</v>
      </c>
      <c r="C33" s="51">
        <v>46042</v>
      </c>
      <c r="D33" s="51"/>
      <c r="E33" s="52"/>
      <c r="F33" s="52"/>
      <c r="G33" s="52"/>
      <c r="H33" s="52">
        <v>5471</v>
      </c>
      <c r="I33" s="52" t="s">
        <v>21</v>
      </c>
      <c r="J33" s="52" t="s">
        <v>126</v>
      </c>
      <c r="K33" s="53">
        <v>25000</v>
      </c>
      <c r="L33" s="54"/>
      <c r="M33" s="52" t="s">
        <v>127</v>
      </c>
      <c r="N33" s="55" t="s">
        <v>134</v>
      </c>
      <c r="O33" s="50"/>
      <c r="P33" s="53"/>
      <c r="Q33" s="52"/>
      <c r="R33" s="52" t="s">
        <v>164</v>
      </c>
      <c r="S33" s="52" t="s">
        <v>136</v>
      </c>
      <c r="T33" s="55"/>
      <c r="U33" s="52">
        <f t="shared" ca="1" si="0"/>
        <v>144</v>
      </c>
      <c r="V33" s="54">
        <v>0.25</v>
      </c>
      <c r="W33" s="52" t="s">
        <v>5587</v>
      </c>
    </row>
    <row r="34" spans="1:23" ht="20.100000000000001" customHeight="1" x14ac:dyDescent="0.25">
      <c r="A34" s="50">
        <v>46041</v>
      </c>
      <c r="B34" s="50">
        <v>46042</v>
      </c>
      <c r="C34" s="51">
        <v>46042</v>
      </c>
      <c r="D34" s="51"/>
      <c r="E34" s="52"/>
      <c r="F34" s="52"/>
      <c r="G34" s="52"/>
      <c r="H34" s="52">
        <v>5472</v>
      </c>
      <c r="I34" s="52" t="s">
        <v>21</v>
      </c>
      <c r="J34" s="52" t="s">
        <v>126</v>
      </c>
      <c r="K34" s="53">
        <v>23000</v>
      </c>
      <c r="L34" s="54"/>
      <c r="M34" s="52" t="s">
        <v>127</v>
      </c>
      <c r="N34" s="55" t="s">
        <v>134</v>
      </c>
      <c r="O34" s="50"/>
      <c r="P34" s="53"/>
      <c r="Q34" s="52"/>
      <c r="R34" s="52" t="s">
        <v>165</v>
      </c>
      <c r="S34" s="52" t="s">
        <v>136</v>
      </c>
      <c r="T34" s="55"/>
      <c r="U34" s="52">
        <f t="shared" ca="1" si="0"/>
        <v>144</v>
      </c>
      <c r="V34" s="54">
        <v>0.25</v>
      </c>
      <c r="W34" s="52" t="s">
        <v>5587</v>
      </c>
    </row>
    <row r="35" spans="1:23" ht="20.100000000000001" customHeight="1" x14ac:dyDescent="0.25">
      <c r="A35" s="50">
        <v>46042</v>
      </c>
      <c r="B35" s="50">
        <v>46042</v>
      </c>
      <c r="C35" s="51">
        <v>46042</v>
      </c>
      <c r="D35" s="51"/>
      <c r="E35" s="52"/>
      <c r="F35" s="52"/>
      <c r="G35" s="52"/>
      <c r="H35" s="52">
        <v>5473</v>
      </c>
      <c r="I35" s="52" t="s">
        <v>21</v>
      </c>
      <c r="J35" s="52" t="s">
        <v>126</v>
      </c>
      <c r="K35" s="53">
        <v>25000</v>
      </c>
      <c r="L35" s="54"/>
      <c r="M35" s="52" t="s">
        <v>127</v>
      </c>
      <c r="N35" s="55" t="s">
        <v>134</v>
      </c>
      <c r="O35" s="50"/>
      <c r="P35" s="53"/>
      <c r="Q35" s="52"/>
      <c r="R35" s="52" t="s">
        <v>167</v>
      </c>
      <c r="S35" s="52" t="s">
        <v>136</v>
      </c>
      <c r="T35" s="55" t="s">
        <v>166</v>
      </c>
      <c r="U35" s="52">
        <f t="shared" ca="1" si="0"/>
        <v>144</v>
      </c>
      <c r="V35" s="54">
        <v>0.25</v>
      </c>
      <c r="W35" s="52" t="s">
        <v>5587</v>
      </c>
    </row>
    <row r="36" spans="1:23" ht="20.100000000000001" customHeight="1" x14ac:dyDescent="0.25">
      <c r="A36" s="50">
        <v>46034</v>
      </c>
      <c r="B36" s="50">
        <v>46043</v>
      </c>
      <c r="C36" s="51">
        <v>46043</v>
      </c>
      <c r="D36" s="51"/>
      <c r="E36" s="52"/>
      <c r="F36" s="52"/>
      <c r="G36" s="52"/>
      <c r="H36" s="52">
        <v>5474</v>
      </c>
      <c r="I36" s="52" t="s">
        <v>21</v>
      </c>
      <c r="J36" s="52" t="s">
        <v>126</v>
      </c>
      <c r="K36" s="53">
        <v>23000</v>
      </c>
      <c r="L36" s="54"/>
      <c r="M36" s="52" t="s">
        <v>127</v>
      </c>
      <c r="N36" s="55" t="s">
        <v>134</v>
      </c>
      <c r="O36" s="50"/>
      <c r="P36" s="53"/>
      <c r="Q36" s="52"/>
      <c r="R36" s="52" t="s">
        <v>168</v>
      </c>
      <c r="S36" s="52" t="s">
        <v>136</v>
      </c>
      <c r="T36" s="55"/>
      <c r="U36" s="52">
        <f t="shared" ca="1" si="0"/>
        <v>143</v>
      </c>
      <c r="V36" s="54">
        <v>0.25</v>
      </c>
      <c r="W36" s="52" t="s">
        <v>5587</v>
      </c>
    </row>
    <row r="37" spans="1:23" ht="20.100000000000001" customHeight="1" x14ac:dyDescent="0.25">
      <c r="A37" s="50">
        <v>46027</v>
      </c>
      <c r="B37" s="50">
        <v>46043</v>
      </c>
      <c r="C37" s="51">
        <v>46043</v>
      </c>
      <c r="D37" s="51"/>
      <c r="E37" s="52"/>
      <c r="F37" s="52"/>
      <c r="G37" s="52"/>
      <c r="H37" s="52">
        <v>5475</v>
      </c>
      <c r="I37" s="52" t="s">
        <v>21</v>
      </c>
      <c r="J37" s="52" t="s">
        <v>126</v>
      </c>
      <c r="K37" s="53">
        <v>26000</v>
      </c>
      <c r="L37" s="54"/>
      <c r="M37" s="52" t="s">
        <v>142</v>
      </c>
      <c r="N37" s="55" t="s">
        <v>134</v>
      </c>
      <c r="O37" s="50"/>
      <c r="P37" s="53"/>
      <c r="Q37" s="52"/>
      <c r="R37" s="52" t="s">
        <v>169</v>
      </c>
      <c r="S37" s="52" t="s">
        <v>136</v>
      </c>
      <c r="T37" s="55"/>
      <c r="U37" s="52">
        <f t="shared" ca="1" si="0"/>
        <v>143</v>
      </c>
      <c r="V37" s="54">
        <v>0.25</v>
      </c>
      <c r="W37" s="52" t="s">
        <v>5587</v>
      </c>
    </row>
    <row r="38" spans="1:23" ht="20.100000000000001" customHeight="1" x14ac:dyDescent="0.25">
      <c r="A38" s="50">
        <v>46044</v>
      </c>
      <c r="B38" s="50">
        <v>46045</v>
      </c>
      <c r="C38" s="51">
        <v>46045</v>
      </c>
      <c r="D38" s="51"/>
      <c r="E38" s="52"/>
      <c r="F38" s="52"/>
      <c r="G38" s="52"/>
      <c r="H38" s="52">
        <v>5476</v>
      </c>
      <c r="I38" s="52" t="s">
        <v>21</v>
      </c>
      <c r="J38" s="52" t="s">
        <v>126</v>
      </c>
      <c r="K38" s="53">
        <v>19000</v>
      </c>
      <c r="L38" s="54"/>
      <c r="M38" s="52" t="s">
        <v>127</v>
      </c>
      <c r="N38" s="55" t="s">
        <v>134</v>
      </c>
      <c r="O38" s="50"/>
      <c r="P38" s="53"/>
      <c r="Q38" s="52"/>
      <c r="R38" s="52" t="s">
        <v>171</v>
      </c>
      <c r="S38" s="52" t="s">
        <v>150</v>
      </c>
      <c r="T38" s="55" t="s">
        <v>170</v>
      </c>
      <c r="U38" s="52">
        <f t="shared" ca="1" si="0"/>
        <v>141</v>
      </c>
      <c r="V38" s="54">
        <v>0.25</v>
      </c>
      <c r="W38" s="52" t="s">
        <v>5587</v>
      </c>
    </row>
    <row r="39" spans="1:23" ht="20.100000000000001" customHeight="1" x14ac:dyDescent="0.25">
      <c r="A39" s="50">
        <v>46042</v>
      </c>
      <c r="B39" s="50">
        <v>46045</v>
      </c>
      <c r="C39" s="51">
        <v>46045</v>
      </c>
      <c r="D39" s="51"/>
      <c r="E39" s="52"/>
      <c r="F39" s="52"/>
      <c r="G39" s="52"/>
      <c r="H39" s="52">
        <v>5477</v>
      </c>
      <c r="I39" s="52" t="s">
        <v>21</v>
      </c>
      <c r="J39" s="52" t="s">
        <v>126</v>
      </c>
      <c r="K39" s="53">
        <v>23000</v>
      </c>
      <c r="L39" s="54"/>
      <c r="M39" s="52" t="s">
        <v>127</v>
      </c>
      <c r="N39" s="55" t="s">
        <v>134</v>
      </c>
      <c r="O39" s="50"/>
      <c r="P39" s="53"/>
      <c r="Q39" s="52"/>
      <c r="R39" s="52" t="s">
        <v>173</v>
      </c>
      <c r="S39" s="52" t="s">
        <v>136</v>
      </c>
      <c r="T39" s="55" t="s">
        <v>172</v>
      </c>
      <c r="U39" s="52">
        <f t="shared" ca="1" si="0"/>
        <v>141</v>
      </c>
      <c r="V39" s="54">
        <v>0.25</v>
      </c>
      <c r="W39" s="52" t="s">
        <v>5587</v>
      </c>
    </row>
    <row r="40" spans="1:23" ht="20.100000000000001" customHeight="1" x14ac:dyDescent="0.25">
      <c r="A40" s="50">
        <v>45680</v>
      </c>
      <c r="B40" s="50">
        <v>45680</v>
      </c>
      <c r="C40" s="51">
        <v>45680</v>
      </c>
      <c r="D40" s="51"/>
      <c r="E40" s="52"/>
      <c r="F40" s="52"/>
      <c r="G40" s="52"/>
      <c r="H40" s="52">
        <v>5478</v>
      </c>
      <c r="I40" s="52" t="s">
        <v>22</v>
      </c>
      <c r="J40" s="52" t="s">
        <v>110</v>
      </c>
      <c r="K40" s="53">
        <v>30000</v>
      </c>
      <c r="L40" s="54"/>
      <c r="M40" s="52" t="s">
        <v>142</v>
      </c>
      <c r="N40" s="55"/>
      <c r="O40" s="50"/>
      <c r="P40" s="53"/>
      <c r="Q40" s="52"/>
      <c r="R40" s="52" t="s">
        <v>153</v>
      </c>
      <c r="S40" s="52"/>
      <c r="T40" s="55" t="s">
        <v>5591</v>
      </c>
      <c r="U40" s="52">
        <f t="shared" ca="1" si="0"/>
        <v>506</v>
      </c>
      <c r="V40" s="54">
        <v>0</v>
      </c>
      <c r="W40" s="52" t="s">
        <v>5587</v>
      </c>
    </row>
    <row r="41" spans="1:23" ht="20.100000000000001" customHeight="1" x14ac:dyDescent="0.25">
      <c r="A41" s="50">
        <v>46048</v>
      </c>
      <c r="B41" s="50">
        <v>46048</v>
      </c>
      <c r="C41" s="51">
        <v>46048</v>
      </c>
      <c r="D41" s="51"/>
      <c r="E41" s="52"/>
      <c r="F41" s="52"/>
      <c r="G41" s="52"/>
      <c r="H41" s="52">
        <v>5479</v>
      </c>
      <c r="I41" s="52" t="s">
        <v>22</v>
      </c>
      <c r="J41" s="52" t="s">
        <v>145</v>
      </c>
      <c r="K41" s="53">
        <v>25000</v>
      </c>
      <c r="L41" s="54"/>
      <c r="M41" s="52" t="s">
        <v>142</v>
      </c>
      <c r="N41" s="55"/>
      <c r="O41" s="50"/>
      <c r="P41" s="53"/>
      <c r="Q41" s="52"/>
      <c r="R41" s="52"/>
      <c r="S41" s="52"/>
      <c r="T41" s="55"/>
      <c r="U41" s="52">
        <f t="shared" ca="1" si="0"/>
        <v>138</v>
      </c>
      <c r="V41" s="54">
        <v>0</v>
      </c>
      <c r="W41" s="52" t="s">
        <v>5587</v>
      </c>
    </row>
    <row r="42" spans="1:23" ht="20.100000000000001" customHeight="1" x14ac:dyDescent="0.25">
      <c r="A42" s="50">
        <v>46048</v>
      </c>
      <c r="B42" s="50">
        <v>46048</v>
      </c>
      <c r="C42" s="51">
        <v>46048</v>
      </c>
      <c r="D42" s="51"/>
      <c r="E42" s="52"/>
      <c r="F42" s="52"/>
      <c r="G42" s="52"/>
      <c r="H42" s="52">
        <v>5480</v>
      </c>
      <c r="I42" s="52" t="s">
        <v>21</v>
      </c>
      <c r="J42" s="52" t="s">
        <v>126</v>
      </c>
      <c r="K42" s="53">
        <v>20000</v>
      </c>
      <c r="L42" s="54"/>
      <c r="M42" s="52" t="s">
        <v>142</v>
      </c>
      <c r="N42" s="55"/>
      <c r="O42" s="50"/>
      <c r="P42" s="53"/>
      <c r="Q42" s="52"/>
      <c r="R42" s="52" t="s">
        <v>175</v>
      </c>
      <c r="S42" s="52"/>
      <c r="T42" s="55"/>
      <c r="U42" s="52">
        <f t="shared" ca="1" si="0"/>
        <v>138</v>
      </c>
      <c r="V42" s="54">
        <v>0</v>
      </c>
      <c r="W42" s="52" t="s">
        <v>5587</v>
      </c>
    </row>
    <row r="43" spans="1:23" ht="20.100000000000001" customHeight="1" x14ac:dyDescent="0.25">
      <c r="A43" s="50">
        <v>46049</v>
      </c>
      <c r="B43" s="50">
        <v>46049</v>
      </c>
      <c r="C43" s="51">
        <v>46049</v>
      </c>
      <c r="D43" s="51"/>
      <c r="E43" s="52"/>
      <c r="F43" s="52"/>
      <c r="G43" s="52"/>
      <c r="H43" s="52">
        <v>5481</v>
      </c>
      <c r="I43" s="52" t="s">
        <v>22</v>
      </c>
      <c r="J43" s="52" t="s">
        <v>126</v>
      </c>
      <c r="K43" s="53"/>
      <c r="L43" s="54"/>
      <c r="M43" s="52" t="s">
        <v>142</v>
      </c>
      <c r="N43" s="55"/>
      <c r="O43" s="50"/>
      <c r="P43" s="53"/>
      <c r="Q43" s="52"/>
      <c r="R43" s="52"/>
      <c r="S43" s="52"/>
      <c r="T43" s="55"/>
      <c r="U43" s="52">
        <f t="shared" ca="1" si="0"/>
        <v>137</v>
      </c>
      <c r="V43" s="54">
        <v>0</v>
      </c>
      <c r="W43" s="52" t="s">
        <v>5587</v>
      </c>
    </row>
    <row r="44" spans="1:23" ht="20.100000000000001" customHeight="1" x14ac:dyDescent="0.25">
      <c r="A44" s="50">
        <v>46371</v>
      </c>
      <c r="B44" s="50">
        <v>46049</v>
      </c>
      <c r="C44" s="51">
        <v>46049</v>
      </c>
      <c r="D44" s="51"/>
      <c r="E44" s="52"/>
      <c r="F44" s="52"/>
      <c r="G44" s="52"/>
      <c r="H44" s="52">
        <v>5482</v>
      </c>
      <c r="I44" s="52" t="s">
        <v>21</v>
      </c>
      <c r="J44" s="52" t="s">
        <v>162</v>
      </c>
      <c r="K44" s="53">
        <v>20000</v>
      </c>
      <c r="L44" s="54">
        <v>1</v>
      </c>
      <c r="M44" s="52" t="s">
        <v>129</v>
      </c>
      <c r="N44" s="55" t="s">
        <v>130</v>
      </c>
      <c r="O44" s="50">
        <v>46120</v>
      </c>
      <c r="P44" s="53">
        <v>20000</v>
      </c>
      <c r="Q44" s="52">
        <v>1</v>
      </c>
      <c r="R44" s="52" t="s">
        <v>176</v>
      </c>
      <c r="S44" s="52"/>
      <c r="T44" s="55"/>
      <c r="U44" s="52">
        <f t="shared" ca="1" si="0"/>
        <v>137</v>
      </c>
      <c r="V44" s="54">
        <v>0.5</v>
      </c>
      <c r="W44" s="52" t="s">
        <v>5587</v>
      </c>
    </row>
    <row r="45" spans="1:23" ht="20.100000000000001" customHeight="1" x14ac:dyDescent="0.25">
      <c r="A45" s="50">
        <v>46049</v>
      </c>
      <c r="B45" s="50">
        <v>46049</v>
      </c>
      <c r="C45" s="51">
        <v>46049</v>
      </c>
      <c r="D45" s="51"/>
      <c r="E45" s="52"/>
      <c r="F45" s="52"/>
      <c r="G45" s="52"/>
      <c r="H45" s="52">
        <v>5483</v>
      </c>
      <c r="I45" s="52" t="s">
        <v>22</v>
      </c>
      <c r="J45" s="52" t="s">
        <v>126</v>
      </c>
      <c r="K45" s="53">
        <v>31000</v>
      </c>
      <c r="L45" s="54"/>
      <c r="M45" s="52" t="s">
        <v>142</v>
      </c>
      <c r="N45" s="55"/>
      <c r="O45" s="50"/>
      <c r="P45" s="53"/>
      <c r="Q45" s="52"/>
      <c r="R45" s="52" t="s">
        <v>178</v>
      </c>
      <c r="S45" s="52"/>
      <c r="T45" s="55" t="s">
        <v>177</v>
      </c>
      <c r="U45" s="52">
        <f t="shared" ca="1" si="0"/>
        <v>137</v>
      </c>
      <c r="V45" s="54">
        <v>0</v>
      </c>
      <c r="W45" s="52" t="s">
        <v>5587</v>
      </c>
    </row>
    <row r="46" spans="1:23" ht="20.100000000000001" customHeight="1" x14ac:dyDescent="0.25">
      <c r="A46" s="50">
        <v>46051</v>
      </c>
      <c r="B46" s="50">
        <v>46051</v>
      </c>
      <c r="C46" s="51">
        <v>46051</v>
      </c>
      <c r="D46" s="51"/>
      <c r="E46" s="52"/>
      <c r="F46" s="52"/>
      <c r="G46" s="52"/>
      <c r="H46" s="52">
        <v>5484</v>
      </c>
      <c r="I46" s="52" t="s">
        <v>22</v>
      </c>
      <c r="J46" s="52" t="s">
        <v>126</v>
      </c>
      <c r="K46" s="53">
        <v>25000</v>
      </c>
      <c r="L46" s="54"/>
      <c r="M46" s="52" t="s">
        <v>142</v>
      </c>
      <c r="N46" s="55"/>
      <c r="O46" s="50"/>
      <c r="P46" s="53"/>
      <c r="Q46" s="52"/>
      <c r="R46" s="52" t="s">
        <v>179</v>
      </c>
      <c r="S46" s="52"/>
      <c r="T46" s="55"/>
      <c r="U46" s="52">
        <f t="shared" ca="1" si="0"/>
        <v>135</v>
      </c>
      <c r="V46" s="54">
        <v>0</v>
      </c>
      <c r="W46" s="52" t="s">
        <v>5587</v>
      </c>
    </row>
    <row r="47" spans="1:23" ht="20.100000000000001" customHeight="1" x14ac:dyDescent="0.25">
      <c r="A47" s="50">
        <v>46055</v>
      </c>
      <c r="B47" s="50">
        <v>46055</v>
      </c>
      <c r="C47" s="51">
        <v>46055</v>
      </c>
      <c r="D47" s="51"/>
      <c r="E47" s="52"/>
      <c r="F47" s="52"/>
      <c r="G47" s="52"/>
      <c r="H47" s="52">
        <v>5485</v>
      </c>
      <c r="I47" s="52" t="s">
        <v>22</v>
      </c>
      <c r="J47" s="52" t="s">
        <v>126</v>
      </c>
      <c r="K47" s="53">
        <v>18000</v>
      </c>
      <c r="L47" s="54"/>
      <c r="M47" s="52" t="s">
        <v>142</v>
      </c>
      <c r="N47" s="55"/>
      <c r="O47" s="50"/>
      <c r="P47" s="53"/>
      <c r="Q47" s="52"/>
      <c r="R47" s="52" t="s">
        <v>180</v>
      </c>
      <c r="S47" s="52"/>
      <c r="T47" s="55"/>
      <c r="U47" s="52">
        <f t="shared" ca="1" si="0"/>
        <v>131</v>
      </c>
      <c r="V47" s="54">
        <v>0</v>
      </c>
      <c r="W47" s="52" t="s">
        <v>5587</v>
      </c>
    </row>
    <row r="48" spans="1:23" ht="20.100000000000001" customHeight="1" x14ac:dyDescent="0.25">
      <c r="A48" s="50">
        <v>46055</v>
      </c>
      <c r="B48" s="50">
        <v>46055</v>
      </c>
      <c r="C48" s="51">
        <v>46055</v>
      </c>
      <c r="D48" s="51"/>
      <c r="E48" s="52"/>
      <c r="F48" s="52"/>
      <c r="G48" s="52"/>
      <c r="H48" s="52">
        <v>5486</v>
      </c>
      <c r="I48" s="52" t="s">
        <v>22</v>
      </c>
      <c r="J48" s="52" t="s">
        <v>126</v>
      </c>
      <c r="K48" s="53">
        <v>25000</v>
      </c>
      <c r="L48" s="54"/>
      <c r="M48" s="52" t="s">
        <v>155</v>
      </c>
      <c r="N48" s="55"/>
      <c r="O48" s="50"/>
      <c r="P48" s="53"/>
      <c r="Q48" s="52"/>
      <c r="R48" s="52" t="s">
        <v>181</v>
      </c>
      <c r="S48" s="52"/>
      <c r="T48" s="55"/>
      <c r="U48" s="52">
        <f t="shared" ca="1" si="0"/>
        <v>131</v>
      </c>
      <c r="V48" s="54">
        <v>0</v>
      </c>
      <c r="W48" s="52" t="s">
        <v>5587</v>
      </c>
    </row>
    <row r="49" spans="1:23" ht="20.100000000000001" customHeight="1" x14ac:dyDescent="0.25">
      <c r="A49" s="50">
        <v>46055</v>
      </c>
      <c r="B49" s="50">
        <v>46055</v>
      </c>
      <c r="C49" s="51">
        <v>46055</v>
      </c>
      <c r="D49" s="51"/>
      <c r="E49" s="52"/>
      <c r="F49" s="52"/>
      <c r="G49" s="52"/>
      <c r="H49" s="52">
        <v>5487</v>
      </c>
      <c r="I49" s="52" t="s">
        <v>22</v>
      </c>
      <c r="J49" s="52" t="s">
        <v>145</v>
      </c>
      <c r="K49" s="53">
        <v>16000</v>
      </c>
      <c r="L49" s="54"/>
      <c r="M49" s="52" t="s">
        <v>142</v>
      </c>
      <c r="N49" s="55"/>
      <c r="O49" s="50"/>
      <c r="P49" s="53"/>
      <c r="Q49" s="52"/>
      <c r="R49" s="52" t="s">
        <v>182</v>
      </c>
      <c r="S49" s="52"/>
      <c r="T49" s="55"/>
      <c r="U49" s="52">
        <f t="shared" ca="1" si="0"/>
        <v>131</v>
      </c>
      <c r="V49" s="54">
        <v>0</v>
      </c>
      <c r="W49" s="52" t="s">
        <v>5587</v>
      </c>
    </row>
    <row r="50" spans="1:23" ht="20.100000000000001" customHeight="1" x14ac:dyDescent="0.25">
      <c r="A50" s="50">
        <v>46056</v>
      </c>
      <c r="B50" s="50">
        <v>46056</v>
      </c>
      <c r="C50" s="51">
        <v>46056</v>
      </c>
      <c r="D50" s="51"/>
      <c r="E50" s="52"/>
      <c r="F50" s="52"/>
      <c r="G50" s="52"/>
      <c r="H50" s="52">
        <v>5488</v>
      </c>
      <c r="I50" s="52" t="s">
        <v>22</v>
      </c>
      <c r="J50" s="52" t="s">
        <v>126</v>
      </c>
      <c r="K50" s="53">
        <v>32650</v>
      </c>
      <c r="L50" s="54"/>
      <c r="M50" s="52" t="s">
        <v>142</v>
      </c>
      <c r="N50" s="55"/>
      <c r="O50" s="50"/>
      <c r="P50" s="53"/>
      <c r="Q50" s="52"/>
      <c r="R50" s="52" t="s">
        <v>183</v>
      </c>
      <c r="S50" s="52"/>
      <c r="T50" s="55"/>
      <c r="U50" s="52">
        <f t="shared" ca="1" si="0"/>
        <v>130</v>
      </c>
      <c r="V50" s="54">
        <v>0</v>
      </c>
      <c r="W50" s="52" t="s">
        <v>5587</v>
      </c>
    </row>
    <row r="51" spans="1:23" ht="20.100000000000001" customHeight="1" x14ac:dyDescent="0.25">
      <c r="A51" s="50">
        <v>46056</v>
      </c>
      <c r="B51" s="50">
        <v>46056</v>
      </c>
      <c r="C51" s="51">
        <v>46056</v>
      </c>
      <c r="D51" s="51"/>
      <c r="E51" s="52"/>
      <c r="F51" s="52"/>
      <c r="G51" s="52"/>
      <c r="H51" s="52">
        <v>5489</v>
      </c>
      <c r="I51" s="52" t="s">
        <v>21</v>
      </c>
      <c r="J51" s="52" t="s">
        <v>133</v>
      </c>
      <c r="K51" s="53">
        <v>25000</v>
      </c>
      <c r="L51" s="54"/>
      <c r="M51" s="52" t="s">
        <v>127</v>
      </c>
      <c r="N51" s="55" t="s">
        <v>134</v>
      </c>
      <c r="O51" s="50"/>
      <c r="P51" s="53"/>
      <c r="Q51" s="52"/>
      <c r="R51" s="52" t="s">
        <v>184</v>
      </c>
      <c r="S51" s="52" t="s">
        <v>136</v>
      </c>
      <c r="T51" s="55"/>
      <c r="U51" s="52">
        <f t="shared" ca="1" si="0"/>
        <v>130</v>
      </c>
      <c r="V51" s="54">
        <v>0.25</v>
      </c>
      <c r="W51" s="52" t="s">
        <v>5587</v>
      </c>
    </row>
    <row r="52" spans="1:23" ht="20.100000000000001" customHeight="1" x14ac:dyDescent="0.25">
      <c r="A52" s="50">
        <v>46056</v>
      </c>
      <c r="B52" s="50">
        <v>46056</v>
      </c>
      <c r="C52" s="51">
        <v>46056</v>
      </c>
      <c r="D52" s="51"/>
      <c r="E52" s="52"/>
      <c r="F52" s="52"/>
      <c r="G52" s="52"/>
      <c r="H52" s="52">
        <v>5490</v>
      </c>
      <c r="I52" s="52" t="s">
        <v>21</v>
      </c>
      <c r="J52" s="52" t="s">
        <v>128</v>
      </c>
      <c r="K52" s="53">
        <v>24000</v>
      </c>
      <c r="L52" s="54"/>
      <c r="M52" s="52" t="s">
        <v>127</v>
      </c>
      <c r="N52" s="55" t="s">
        <v>134</v>
      </c>
      <c r="O52" s="50"/>
      <c r="P52" s="53"/>
      <c r="Q52" s="52"/>
      <c r="R52" s="52" t="s">
        <v>185</v>
      </c>
      <c r="S52" s="52" t="s">
        <v>136</v>
      </c>
      <c r="T52" s="55"/>
      <c r="U52" s="52">
        <f t="shared" ca="1" si="0"/>
        <v>130</v>
      </c>
      <c r="V52" s="54">
        <v>0.25</v>
      </c>
      <c r="W52" s="52" t="s">
        <v>5587</v>
      </c>
    </row>
    <row r="53" spans="1:23" ht="20.100000000000001" customHeight="1" x14ac:dyDescent="0.25">
      <c r="A53" s="50">
        <v>46056</v>
      </c>
      <c r="B53" s="50">
        <v>46057</v>
      </c>
      <c r="C53" s="51">
        <v>46057</v>
      </c>
      <c r="D53" s="51"/>
      <c r="E53" s="52"/>
      <c r="F53" s="52"/>
      <c r="G53" s="52"/>
      <c r="H53" s="52">
        <v>5491</v>
      </c>
      <c r="I53" s="52" t="s">
        <v>21</v>
      </c>
      <c r="J53" s="52" t="s">
        <v>128</v>
      </c>
      <c r="K53" s="53">
        <v>22000</v>
      </c>
      <c r="L53" s="54"/>
      <c r="M53" s="52" t="s">
        <v>142</v>
      </c>
      <c r="N53" s="55" t="s">
        <v>134</v>
      </c>
      <c r="O53" s="50"/>
      <c r="P53" s="53"/>
      <c r="Q53" s="52"/>
      <c r="R53" s="52" t="s">
        <v>186</v>
      </c>
      <c r="S53" s="52" t="s">
        <v>136</v>
      </c>
      <c r="T53" s="55"/>
      <c r="U53" s="52">
        <f t="shared" ca="1" si="0"/>
        <v>129</v>
      </c>
      <c r="V53" s="54">
        <v>0.25</v>
      </c>
      <c r="W53" s="52" t="s">
        <v>5587</v>
      </c>
    </row>
    <row r="54" spans="1:23" ht="20.100000000000001" customHeight="1" x14ac:dyDescent="0.25">
      <c r="A54" s="50">
        <v>46114</v>
      </c>
      <c r="B54" s="50">
        <v>46114</v>
      </c>
      <c r="C54" s="51">
        <v>46114</v>
      </c>
      <c r="D54" s="51"/>
      <c r="E54" s="52"/>
      <c r="F54" s="52"/>
      <c r="G54" s="52"/>
      <c r="H54" s="52">
        <v>5492</v>
      </c>
      <c r="I54" s="52" t="s">
        <v>22</v>
      </c>
      <c r="J54" s="52" t="s">
        <v>162</v>
      </c>
      <c r="K54" s="53"/>
      <c r="L54" s="54">
        <v>1</v>
      </c>
      <c r="M54" s="52"/>
      <c r="N54" s="55" t="s">
        <v>130</v>
      </c>
      <c r="O54" s="50"/>
      <c r="P54" s="53"/>
      <c r="Q54" s="52">
        <v>1</v>
      </c>
      <c r="R54" s="52"/>
      <c r="S54" s="52"/>
      <c r="T54" s="55" t="s">
        <v>5592</v>
      </c>
      <c r="U54" s="52">
        <f t="shared" ca="1" si="0"/>
        <v>72</v>
      </c>
      <c r="V54" s="54">
        <v>0.5</v>
      </c>
      <c r="W54" s="52" t="s">
        <v>5587</v>
      </c>
    </row>
    <row r="55" spans="1:23" ht="20.100000000000001" customHeight="1" x14ac:dyDescent="0.25">
      <c r="A55" s="50">
        <v>46058</v>
      </c>
      <c r="B55" s="50">
        <v>-618684</v>
      </c>
      <c r="C55" s="51">
        <v>46058</v>
      </c>
      <c r="D55" s="51"/>
      <c r="E55" s="52"/>
      <c r="F55" s="52"/>
      <c r="G55" s="52"/>
      <c r="H55" s="52">
        <v>5493</v>
      </c>
      <c r="I55" s="52" t="s">
        <v>22</v>
      </c>
      <c r="J55" s="52" t="s">
        <v>110</v>
      </c>
      <c r="K55" s="53">
        <v>45687.12</v>
      </c>
      <c r="L55" s="54">
        <v>1</v>
      </c>
      <c r="M55" s="52" t="s">
        <v>147</v>
      </c>
      <c r="N55" s="55" t="s">
        <v>130</v>
      </c>
      <c r="O55" s="50">
        <v>46131</v>
      </c>
      <c r="P55" s="53">
        <v>45687.12</v>
      </c>
      <c r="Q55" s="52">
        <v>1</v>
      </c>
      <c r="R55" s="52" t="s">
        <v>189</v>
      </c>
      <c r="S55" s="52"/>
      <c r="T55" s="55" t="s">
        <v>5593</v>
      </c>
      <c r="U55" s="52">
        <f t="shared" ca="1" si="0"/>
        <v>128</v>
      </c>
      <c r="V55" s="54">
        <v>0.5</v>
      </c>
      <c r="W55" s="52" t="s">
        <v>5587</v>
      </c>
    </row>
    <row r="56" spans="1:23" ht="20.100000000000001" customHeight="1" x14ac:dyDescent="0.25">
      <c r="A56" s="50">
        <v>46058</v>
      </c>
      <c r="B56" s="50">
        <v>46058</v>
      </c>
      <c r="C56" s="51">
        <v>46058</v>
      </c>
      <c r="D56" s="51"/>
      <c r="E56" s="52"/>
      <c r="F56" s="52"/>
      <c r="G56" s="52"/>
      <c r="H56" s="52">
        <v>5494</v>
      </c>
      <c r="I56" s="52" t="s">
        <v>21</v>
      </c>
      <c r="J56" s="52" t="s">
        <v>126</v>
      </c>
      <c r="K56" s="53">
        <v>15000</v>
      </c>
      <c r="L56" s="54"/>
      <c r="M56" s="52" t="s">
        <v>127</v>
      </c>
      <c r="N56" s="55"/>
      <c r="O56" s="50"/>
      <c r="P56" s="53"/>
      <c r="Q56" s="52"/>
      <c r="R56" s="52" t="s">
        <v>191</v>
      </c>
      <c r="S56" s="52"/>
      <c r="T56" s="55" t="s">
        <v>190</v>
      </c>
      <c r="U56" s="52">
        <f t="shared" ca="1" si="0"/>
        <v>128</v>
      </c>
      <c r="V56" s="54">
        <v>0</v>
      </c>
      <c r="W56" s="52" t="s">
        <v>5587</v>
      </c>
    </row>
    <row r="57" spans="1:23" ht="20.100000000000001" customHeight="1" x14ac:dyDescent="0.25">
      <c r="A57" s="50">
        <v>46061</v>
      </c>
      <c r="B57" s="50">
        <v>46062</v>
      </c>
      <c r="C57" s="51">
        <v>46062</v>
      </c>
      <c r="D57" s="51"/>
      <c r="E57" s="52"/>
      <c r="F57" s="52"/>
      <c r="G57" s="52"/>
      <c r="H57" s="52">
        <v>5495</v>
      </c>
      <c r="I57" s="52" t="s">
        <v>21</v>
      </c>
      <c r="J57" s="52" t="s">
        <v>126</v>
      </c>
      <c r="K57" s="53">
        <v>23000</v>
      </c>
      <c r="L57" s="54"/>
      <c r="M57" s="52" t="s">
        <v>127</v>
      </c>
      <c r="N57" s="55"/>
      <c r="O57" s="50"/>
      <c r="P57" s="53"/>
      <c r="Q57" s="52"/>
      <c r="R57" s="52" t="s">
        <v>192</v>
      </c>
      <c r="S57" s="52"/>
      <c r="T57" s="55"/>
      <c r="U57" s="52">
        <f t="shared" ca="1" si="0"/>
        <v>124</v>
      </c>
      <c r="V57" s="54">
        <v>0</v>
      </c>
      <c r="W57" s="52" t="s">
        <v>5587</v>
      </c>
    </row>
    <row r="58" spans="1:23" ht="20.100000000000001" customHeight="1" x14ac:dyDescent="0.25">
      <c r="A58" s="50">
        <v>46061</v>
      </c>
      <c r="B58" s="50">
        <v>46062</v>
      </c>
      <c r="C58" s="51">
        <v>46062</v>
      </c>
      <c r="D58" s="51"/>
      <c r="E58" s="52"/>
      <c r="F58" s="52"/>
      <c r="G58" s="52"/>
      <c r="H58" s="52">
        <v>5496</v>
      </c>
      <c r="I58" s="52" t="s">
        <v>21</v>
      </c>
      <c r="J58" s="52" t="s">
        <v>126</v>
      </c>
      <c r="K58" s="53">
        <v>16000</v>
      </c>
      <c r="L58" s="54"/>
      <c r="M58" s="52" t="s">
        <v>127</v>
      </c>
      <c r="N58" s="55" t="s">
        <v>134</v>
      </c>
      <c r="O58" s="50"/>
      <c r="P58" s="53"/>
      <c r="Q58" s="52"/>
      <c r="R58" s="52" t="s">
        <v>193</v>
      </c>
      <c r="S58" s="52" t="s">
        <v>150</v>
      </c>
      <c r="T58" s="55"/>
      <c r="U58" s="52">
        <f t="shared" ca="1" si="0"/>
        <v>124</v>
      </c>
      <c r="V58" s="54">
        <v>0.25</v>
      </c>
      <c r="W58" s="52" t="s">
        <v>5587</v>
      </c>
    </row>
    <row r="59" spans="1:23" ht="20.100000000000001" customHeight="1" x14ac:dyDescent="0.25">
      <c r="A59" s="50">
        <v>46062</v>
      </c>
      <c r="B59" s="50">
        <v>46062</v>
      </c>
      <c r="C59" s="51">
        <v>46062</v>
      </c>
      <c r="D59" s="51"/>
      <c r="E59" s="52"/>
      <c r="F59" s="52"/>
      <c r="G59" s="52"/>
      <c r="H59" s="52">
        <v>5497</v>
      </c>
      <c r="I59" s="52" t="s">
        <v>22</v>
      </c>
      <c r="J59" s="52" t="s">
        <v>126</v>
      </c>
      <c r="K59" s="53">
        <v>15000</v>
      </c>
      <c r="L59" s="54"/>
      <c r="M59" s="52" t="s">
        <v>142</v>
      </c>
      <c r="N59" s="55"/>
      <c r="O59" s="50"/>
      <c r="P59" s="53"/>
      <c r="Q59" s="52"/>
      <c r="R59" s="52"/>
      <c r="S59" s="52"/>
      <c r="T59" s="55"/>
      <c r="U59" s="52">
        <f t="shared" ca="1" si="0"/>
        <v>124</v>
      </c>
      <c r="V59" s="54">
        <v>0</v>
      </c>
      <c r="W59" s="52" t="s">
        <v>5587</v>
      </c>
    </row>
    <row r="60" spans="1:23" ht="20.100000000000001" customHeight="1" x14ac:dyDescent="0.25">
      <c r="A60" s="50">
        <v>46062</v>
      </c>
      <c r="B60" s="50">
        <v>45697</v>
      </c>
      <c r="C60" s="51">
        <v>45697</v>
      </c>
      <c r="D60" s="51"/>
      <c r="E60" s="52"/>
      <c r="F60" s="52"/>
      <c r="G60" s="52"/>
      <c r="H60" s="52">
        <v>5498</v>
      </c>
      <c r="I60" s="52" t="s">
        <v>22</v>
      </c>
      <c r="J60" s="52" t="s">
        <v>126</v>
      </c>
      <c r="K60" s="53">
        <v>28000</v>
      </c>
      <c r="L60" s="54"/>
      <c r="M60" s="52" t="s">
        <v>142</v>
      </c>
      <c r="N60" s="55"/>
      <c r="O60" s="50"/>
      <c r="P60" s="53"/>
      <c r="Q60" s="52"/>
      <c r="R60" s="52" t="s">
        <v>194</v>
      </c>
      <c r="S60" s="52"/>
      <c r="T60" s="55"/>
      <c r="U60" s="52">
        <f t="shared" ca="1" si="0"/>
        <v>489</v>
      </c>
      <c r="V60" s="54">
        <v>0</v>
      </c>
      <c r="W60" s="52" t="s">
        <v>5587</v>
      </c>
    </row>
    <row r="61" spans="1:23" ht="20.100000000000001" customHeight="1" x14ac:dyDescent="0.25">
      <c r="A61" s="50">
        <v>46063</v>
      </c>
      <c r="B61" s="50">
        <v>46063</v>
      </c>
      <c r="C61" s="51">
        <v>46063</v>
      </c>
      <c r="D61" s="51"/>
      <c r="E61" s="52"/>
      <c r="F61" s="52"/>
      <c r="G61" s="52"/>
      <c r="H61" s="52">
        <v>5499</v>
      </c>
      <c r="I61" s="52" t="s">
        <v>22</v>
      </c>
      <c r="J61" s="52" t="s">
        <v>126</v>
      </c>
      <c r="K61" s="53">
        <v>21900</v>
      </c>
      <c r="L61" s="54"/>
      <c r="M61" s="52" t="s">
        <v>155</v>
      </c>
      <c r="N61" s="55"/>
      <c r="O61" s="50"/>
      <c r="P61" s="53"/>
      <c r="Q61" s="52"/>
      <c r="R61" s="52" t="s">
        <v>195</v>
      </c>
      <c r="S61" s="52"/>
      <c r="T61" s="55"/>
      <c r="U61" s="52">
        <f t="shared" ca="1" si="0"/>
        <v>123</v>
      </c>
      <c r="V61" s="54">
        <v>0</v>
      </c>
      <c r="W61" s="52" t="s">
        <v>5587</v>
      </c>
    </row>
    <row r="62" spans="1:23" ht="20.100000000000001" customHeight="1" x14ac:dyDescent="0.25">
      <c r="A62" s="50">
        <v>46064</v>
      </c>
      <c r="B62" s="50">
        <v>46064</v>
      </c>
      <c r="C62" s="51">
        <v>46064</v>
      </c>
      <c r="D62" s="51"/>
      <c r="E62" s="52"/>
      <c r="F62" s="52"/>
      <c r="G62" s="52"/>
      <c r="H62" s="52">
        <v>5500</v>
      </c>
      <c r="I62" s="52" t="s">
        <v>22</v>
      </c>
      <c r="J62" s="52" t="s">
        <v>126</v>
      </c>
      <c r="K62" s="53">
        <v>25800</v>
      </c>
      <c r="L62" s="54">
        <v>0.5</v>
      </c>
      <c r="M62" s="52" t="s">
        <v>142</v>
      </c>
      <c r="N62" s="55"/>
      <c r="O62" s="50"/>
      <c r="P62" s="53"/>
      <c r="Q62" s="52"/>
      <c r="R62" s="52" t="s">
        <v>196</v>
      </c>
      <c r="S62" s="52"/>
      <c r="T62" s="55"/>
      <c r="U62" s="52">
        <f t="shared" ca="1" si="0"/>
        <v>122</v>
      </c>
      <c r="V62" s="54">
        <v>0.25</v>
      </c>
      <c r="W62" s="52" t="s">
        <v>5587</v>
      </c>
    </row>
    <row r="63" spans="1:23" ht="20.100000000000001" customHeight="1" x14ac:dyDescent="0.25">
      <c r="A63" s="50">
        <v>46065</v>
      </c>
      <c r="B63" s="50">
        <v>46065</v>
      </c>
      <c r="C63" s="51">
        <v>46065</v>
      </c>
      <c r="D63" s="51"/>
      <c r="E63" s="52"/>
      <c r="F63" s="52"/>
      <c r="G63" s="52"/>
      <c r="H63" s="52">
        <v>5501</v>
      </c>
      <c r="I63" s="52" t="s">
        <v>21</v>
      </c>
      <c r="J63" s="52" t="s">
        <v>126</v>
      </c>
      <c r="K63" s="53">
        <v>23000</v>
      </c>
      <c r="L63" s="54"/>
      <c r="M63" s="52" t="s">
        <v>127</v>
      </c>
      <c r="N63" s="55" t="s">
        <v>134</v>
      </c>
      <c r="O63" s="50"/>
      <c r="P63" s="53"/>
      <c r="Q63" s="52"/>
      <c r="R63" s="52" t="s">
        <v>197</v>
      </c>
      <c r="S63" s="52" t="s">
        <v>198</v>
      </c>
      <c r="T63" s="55"/>
      <c r="U63" s="52">
        <f t="shared" ca="1" si="0"/>
        <v>121</v>
      </c>
      <c r="V63" s="54">
        <v>0.25</v>
      </c>
      <c r="W63" s="52" t="s">
        <v>5587</v>
      </c>
    </row>
    <row r="64" spans="1:23" ht="20.100000000000001" customHeight="1" x14ac:dyDescent="0.25">
      <c r="A64" s="50">
        <v>46065</v>
      </c>
      <c r="B64" s="50">
        <v>46065</v>
      </c>
      <c r="C64" s="51">
        <v>46065</v>
      </c>
      <c r="D64" s="51"/>
      <c r="E64" s="52"/>
      <c r="F64" s="52"/>
      <c r="G64" s="52"/>
      <c r="H64" s="52">
        <v>5502</v>
      </c>
      <c r="I64" s="52"/>
      <c r="J64" s="52" t="s">
        <v>126</v>
      </c>
      <c r="K64" s="53"/>
      <c r="L64" s="54"/>
      <c r="M64" s="52"/>
      <c r="N64" s="55"/>
      <c r="O64" s="50"/>
      <c r="P64" s="53"/>
      <c r="Q64" s="52"/>
      <c r="R64" s="52"/>
      <c r="S64" s="52"/>
      <c r="T64" s="55"/>
      <c r="U64" s="52">
        <f t="shared" ca="1" si="0"/>
        <v>121</v>
      </c>
      <c r="V64" s="54">
        <v>0</v>
      </c>
      <c r="W64" s="52" t="s">
        <v>5587</v>
      </c>
    </row>
    <row r="65" spans="1:23" ht="20.100000000000001" customHeight="1" x14ac:dyDescent="0.25">
      <c r="A65" s="50">
        <v>46066</v>
      </c>
      <c r="B65" s="50">
        <v>46066</v>
      </c>
      <c r="C65" s="51">
        <v>46066</v>
      </c>
      <c r="D65" s="51"/>
      <c r="E65" s="52"/>
      <c r="F65" s="52"/>
      <c r="G65" s="52"/>
      <c r="H65" s="52">
        <v>5503</v>
      </c>
      <c r="I65" s="52" t="s">
        <v>21</v>
      </c>
      <c r="J65" s="52" t="s">
        <v>126</v>
      </c>
      <c r="K65" s="53">
        <v>11000</v>
      </c>
      <c r="L65" s="54"/>
      <c r="M65" s="52" t="s">
        <v>155</v>
      </c>
      <c r="N65" s="55" t="s">
        <v>134</v>
      </c>
      <c r="O65" s="50"/>
      <c r="P65" s="53"/>
      <c r="Q65" s="52"/>
      <c r="R65" s="52" t="s">
        <v>199</v>
      </c>
      <c r="S65" s="52"/>
      <c r="T65" s="55"/>
      <c r="U65" s="52">
        <f t="shared" ca="1" si="0"/>
        <v>120</v>
      </c>
      <c r="V65" s="54">
        <v>0.25</v>
      </c>
      <c r="W65" s="52" t="s">
        <v>5587</v>
      </c>
    </row>
    <row r="66" spans="1:23" ht="20.100000000000001" customHeight="1" x14ac:dyDescent="0.25">
      <c r="A66" s="50">
        <v>46065</v>
      </c>
      <c r="B66" s="50">
        <v>46066</v>
      </c>
      <c r="C66" s="51">
        <v>46066</v>
      </c>
      <c r="D66" s="51"/>
      <c r="E66" s="52"/>
      <c r="F66" s="52"/>
      <c r="G66" s="52"/>
      <c r="H66" s="52">
        <v>5504</v>
      </c>
      <c r="I66" s="52" t="s">
        <v>21</v>
      </c>
      <c r="J66" s="52" t="s">
        <v>126</v>
      </c>
      <c r="K66" s="53">
        <v>40000</v>
      </c>
      <c r="L66" s="54">
        <v>1</v>
      </c>
      <c r="M66" s="52" t="s">
        <v>129</v>
      </c>
      <c r="N66" s="55" t="s">
        <v>130</v>
      </c>
      <c r="O66" s="50"/>
      <c r="P66" s="53">
        <v>40000</v>
      </c>
      <c r="Q66" s="52">
        <v>1</v>
      </c>
      <c r="R66" s="52" t="s">
        <v>201</v>
      </c>
      <c r="S66" s="52"/>
      <c r="T66" s="55" t="s">
        <v>200</v>
      </c>
      <c r="U66" s="52">
        <f t="shared" ca="1" si="0"/>
        <v>120</v>
      </c>
      <c r="V66" s="54">
        <v>0.5</v>
      </c>
      <c r="W66" s="52" t="s">
        <v>5587</v>
      </c>
    </row>
    <row r="67" spans="1:23" ht="20.100000000000001" customHeight="1" x14ac:dyDescent="0.25">
      <c r="A67" s="50">
        <v>46066</v>
      </c>
      <c r="B67" s="50">
        <v>46066</v>
      </c>
      <c r="C67" s="51">
        <v>46066</v>
      </c>
      <c r="D67" s="51"/>
      <c r="E67" s="52"/>
      <c r="F67" s="52"/>
      <c r="G67" s="52"/>
      <c r="H67" s="52">
        <v>5505</v>
      </c>
      <c r="I67" s="52" t="s">
        <v>21</v>
      </c>
      <c r="J67" s="52" t="s">
        <v>126</v>
      </c>
      <c r="K67" s="53">
        <v>23000</v>
      </c>
      <c r="L67" s="54"/>
      <c r="M67" s="52" t="s">
        <v>127</v>
      </c>
      <c r="N67" s="55"/>
      <c r="O67" s="50"/>
      <c r="P67" s="53"/>
      <c r="Q67" s="52"/>
      <c r="R67" s="52" t="s">
        <v>203</v>
      </c>
      <c r="S67" s="52"/>
      <c r="T67" s="55" t="s">
        <v>202</v>
      </c>
      <c r="U67" s="52">
        <f t="shared" ca="1" si="0"/>
        <v>120</v>
      </c>
      <c r="V67" s="54">
        <v>0</v>
      </c>
      <c r="W67" s="52" t="s">
        <v>5587</v>
      </c>
    </row>
    <row r="68" spans="1:23" ht="20.100000000000001" customHeight="1" x14ac:dyDescent="0.25">
      <c r="A68" s="50">
        <v>46066</v>
      </c>
      <c r="B68" s="50">
        <v>46066</v>
      </c>
      <c r="C68" s="51">
        <v>46066</v>
      </c>
      <c r="D68" s="51"/>
      <c r="E68" s="52"/>
      <c r="F68" s="52"/>
      <c r="G68" s="52"/>
      <c r="H68" s="52">
        <v>5506</v>
      </c>
      <c r="I68" s="52" t="s">
        <v>22</v>
      </c>
      <c r="J68" s="52" t="s">
        <v>110</v>
      </c>
      <c r="K68" s="53">
        <v>16000</v>
      </c>
      <c r="L68" s="54"/>
      <c r="M68" s="52" t="s">
        <v>142</v>
      </c>
      <c r="N68" s="55"/>
      <c r="O68" s="50"/>
      <c r="P68" s="53"/>
      <c r="Q68" s="52"/>
      <c r="R68" s="52" t="s">
        <v>204</v>
      </c>
      <c r="S68" s="52"/>
      <c r="T68" s="55"/>
      <c r="U68" s="52">
        <f t="shared" ca="1" si="0"/>
        <v>120</v>
      </c>
      <c r="V68" s="54">
        <v>0</v>
      </c>
      <c r="W68" s="52" t="s">
        <v>5587</v>
      </c>
    </row>
    <row r="69" spans="1:23" ht="20.100000000000001" customHeight="1" x14ac:dyDescent="0.25">
      <c r="A69" s="50">
        <v>46068</v>
      </c>
      <c r="B69" s="50">
        <v>46069</v>
      </c>
      <c r="C69" s="51">
        <v>46069</v>
      </c>
      <c r="D69" s="51"/>
      <c r="E69" s="52"/>
      <c r="F69" s="52"/>
      <c r="G69" s="52"/>
      <c r="H69" s="52">
        <v>5507</v>
      </c>
      <c r="I69" s="52" t="s">
        <v>21</v>
      </c>
      <c r="J69" s="52" t="s">
        <v>126</v>
      </c>
      <c r="K69" s="53">
        <v>11000</v>
      </c>
      <c r="L69" s="54"/>
      <c r="M69" s="52" t="s">
        <v>127</v>
      </c>
      <c r="N69" s="55"/>
      <c r="O69" s="50"/>
      <c r="P69" s="53"/>
      <c r="Q69" s="52"/>
      <c r="R69" s="52" t="s">
        <v>205</v>
      </c>
      <c r="S69" s="52"/>
      <c r="T69" s="55"/>
      <c r="U69" s="52">
        <f t="shared" ref="U69:U132" ca="1" si="1">IF(C69="","",TODAY()-C69)</f>
        <v>117</v>
      </c>
      <c r="V69" s="54">
        <v>0</v>
      </c>
      <c r="W69" s="52" t="s">
        <v>5587</v>
      </c>
    </row>
    <row r="70" spans="1:23" ht="20.100000000000001" customHeight="1" x14ac:dyDescent="0.25">
      <c r="A70" s="50">
        <v>46068</v>
      </c>
      <c r="B70" s="50">
        <v>46069</v>
      </c>
      <c r="C70" s="51">
        <v>46069</v>
      </c>
      <c r="D70" s="51"/>
      <c r="E70" s="52"/>
      <c r="F70" s="52"/>
      <c r="G70" s="52"/>
      <c r="H70" s="52">
        <v>5508</v>
      </c>
      <c r="I70" s="52" t="s">
        <v>21</v>
      </c>
      <c r="J70" s="52" t="s">
        <v>126</v>
      </c>
      <c r="K70" s="53">
        <v>11000</v>
      </c>
      <c r="L70" s="54">
        <v>0.1</v>
      </c>
      <c r="M70" s="52" t="s">
        <v>146</v>
      </c>
      <c r="N70" s="55" t="s">
        <v>134</v>
      </c>
      <c r="O70" s="50"/>
      <c r="P70" s="53"/>
      <c r="Q70" s="52"/>
      <c r="R70" s="52"/>
      <c r="S70" s="52"/>
      <c r="T70" s="55"/>
      <c r="U70" s="52">
        <f t="shared" ca="1" si="1"/>
        <v>117</v>
      </c>
      <c r="V70" s="54">
        <v>0.5</v>
      </c>
      <c r="W70" s="52" t="s">
        <v>5587</v>
      </c>
    </row>
    <row r="71" spans="1:23" ht="20.100000000000001" customHeight="1" x14ac:dyDescent="0.25">
      <c r="A71" s="50">
        <v>46068</v>
      </c>
      <c r="B71" s="50">
        <v>46069</v>
      </c>
      <c r="C71" s="51">
        <v>46069</v>
      </c>
      <c r="D71" s="51"/>
      <c r="E71" s="52"/>
      <c r="F71" s="52"/>
      <c r="G71" s="52"/>
      <c r="H71" s="52">
        <v>5509</v>
      </c>
      <c r="I71" s="52" t="s">
        <v>21</v>
      </c>
      <c r="J71" s="52" t="s">
        <v>126</v>
      </c>
      <c r="K71" s="53">
        <v>24000</v>
      </c>
      <c r="L71" s="54"/>
      <c r="M71" s="52" t="s">
        <v>127</v>
      </c>
      <c r="N71" s="55"/>
      <c r="O71" s="50"/>
      <c r="P71" s="53"/>
      <c r="Q71" s="52"/>
      <c r="R71" s="52" t="s">
        <v>206</v>
      </c>
      <c r="S71" s="52"/>
      <c r="T71" s="55"/>
      <c r="U71" s="52">
        <f t="shared" ca="1" si="1"/>
        <v>117</v>
      </c>
      <c r="V71" s="54">
        <v>0</v>
      </c>
      <c r="W71" s="52" t="s">
        <v>5587</v>
      </c>
    </row>
    <row r="72" spans="1:23" ht="20.100000000000001" customHeight="1" x14ac:dyDescent="0.25">
      <c r="A72" s="50">
        <v>46063</v>
      </c>
      <c r="B72" s="50">
        <v>46069</v>
      </c>
      <c r="C72" s="51">
        <v>46069</v>
      </c>
      <c r="D72" s="51"/>
      <c r="E72" s="52"/>
      <c r="F72" s="52"/>
      <c r="G72" s="52"/>
      <c r="H72" s="52">
        <v>5510</v>
      </c>
      <c r="I72" s="52" t="s">
        <v>21</v>
      </c>
      <c r="J72" s="52" t="s">
        <v>126</v>
      </c>
      <c r="K72" s="53">
        <v>22000</v>
      </c>
      <c r="L72" s="54"/>
      <c r="M72" s="52" t="s">
        <v>142</v>
      </c>
      <c r="N72" s="55" t="s">
        <v>134</v>
      </c>
      <c r="O72" s="50"/>
      <c r="P72" s="53"/>
      <c r="Q72" s="52"/>
      <c r="R72" s="52" t="s">
        <v>207</v>
      </c>
      <c r="S72" s="52" t="s">
        <v>208</v>
      </c>
      <c r="T72" s="55"/>
      <c r="U72" s="52">
        <f t="shared" ca="1" si="1"/>
        <v>117</v>
      </c>
      <c r="V72" s="54">
        <v>0.25</v>
      </c>
      <c r="W72" s="52" t="s">
        <v>5587</v>
      </c>
    </row>
    <row r="73" spans="1:23" ht="20.100000000000001" customHeight="1" x14ac:dyDescent="0.25">
      <c r="A73" s="50">
        <v>46069</v>
      </c>
      <c r="B73" s="50">
        <v>46069</v>
      </c>
      <c r="C73" s="51">
        <v>46069</v>
      </c>
      <c r="D73" s="51"/>
      <c r="E73" s="52"/>
      <c r="F73" s="52"/>
      <c r="G73" s="52"/>
      <c r="H73" s="52">
        <v>5511</v>
      </c>
      <c r="I73" s="52" t="s">
        <v>22</v>
      </c>
      <c r="J73" s="52" t="s">
        <v>162</v>
      </c>
      <c r="K73" s="53"/>
      <c r="L73" s="54"/>
      <c r="M73" s="52"/>
      <c r="N73" s="55"/>
      <c r="O73" s="50"/>
      <c r="P73" s="53"/>
      <c r="Q73" s="52"/>
      <c r="R73" s="52"/>
      <c r="S73" s="52"/>
      <c r="T73" s="55"/>
      <c r="U73" s="52">
        <f t="shared" ca="1" si="1"/>
        <v>117</v>
      </c>
      <c r="V73" s="54">
        <v>0</v>
      </c>
      <c r="W73" s="52" t="s">
        <v>5587</v>
      </c>
    </row>
    <row r="74" spans="1:23" ht="20.100000000000001" customHeight="1" x14ac:dyDescent="0.25">
      <c r="A74" s="50">
        <v>46069</v>
      </c>
      <c r="B74" s="50">
        <v>46070</v>
      </c>
      <c r="C74" s="51">
        <v>46070</v>
      </c>
      <c r="D74" s="51"/>
      <c r="E74" s="52"/>
      <c r="F74" s="52"/>
      <c r="G74" s="52"/>
      <c r="H74" s="52">
        <v>5512</v>
      </c>
      <c r="I74" s="52" t="s">
        <v>21</v>
      </c>
      <c r="J74" s="52" t="s">
        <v>126</v>
      </c>
      <c r="K74" s="53">
        <v>23000</v>
      </c>
      <c r="L74" s="54"/>
      <c r="M74" s="52" t="s">
        <v>127</v>
      </c>
      <c r="N74" s="55"/>
      <c r="O74" s="50"/>
      <c r="P74" s="53"/>
      <c r="Q74" s="52"/>
      <c r="R74" s="52" t="s">
        <v>209</v>
      </c>
      <c r="S74" s="52"/>
      <c r="T74" s="55"/>
      <c r="U74" s="52">
        <f t="shared" ca="1" si="1"/>
        <v>116</v>
      </c>
      <c r="V74" s="54">
        <v>0</v>
      </c>
      <c r="W74" s="52" t="s">
        <v>5587</v>
      </c>
    </row>
    <row r="75" spans="1:23" ht="20.100000000000001" customHeight="1" x14ac:dyDescent="0.25">
      <c r="A75" s="50">
        <v>46069</v>
      </c>
      <c r="B75" s="50">
        <v>46070</v>
      </c>
      <c r="C75" s="51">
        <v>46070</v>
      </c>
      <c r="D75" s="51"/>
      <c r="E75" s="52"/>
      <c r="F75" s="52"/>
      <c r="G75" s="52"/>
      <c r="H75" s="52">
        <v>5513</v>
      </c>
      <c r="I75" s="52" t="s">
        <v>21</v>
      </c>
      <c r="J75" s="52" t="s">
        <v>126</v>
      </c>
      <c r="K75" s="53">
        <v>23000</v>
      </c>
      <c r="L75" s="54"/>
      <c r="M75" s="52" t="s">
        <v>127</v>
      </c>
      <c r="N75" s="55"/>
      <c r="O75" s="50"/>
      <c r="P75" s="53"/>
      <c r="Q75" s="52"/>
      <c r="R75" s="52" t="s">
        <v>210</v>
      </c>
      <c r="S75" s="52"/>
      <c r="T75" s="55"/>
      <c r="U75" s="52">
        <f t="shared" ca="1" si="1"/>
        <v>116</v>
      </c>
      <c r="V75" s="54">
        <v>0</v>
      </c>
      <c r="W75" s="52" t="s">
        <v>5587</v>
      </c>
    </row>
    <row r="76" spans="1:23" ht="20.100000000000001" customHeight="1" x14ac:dyDescent="0.25">
      <c r="A76" s="50">
        <v>46070</v>
      </c>
      <c r="B76" s="50">
        <v>46070</v>
      </c>
      <c r="C76" s="51">
        <v>46070</v>
      </c>
      <c r="D76" s="51"/>
      <c r="E76" s="52"/>
      <c r="F76" s="52"/>
      <c r="G76" s="52"/>
      <c r="H76" s="52">
        <v>5514</v>
      </c>
      <c r="I76" s="52" t="s">
        <v>21</v>
      </c>
      <c r="J76" s="52" t="s">
        <v>126</v>
      </c>
      <c r="K76" s="53">
        <v>21000</v>
      </c>
      <c r="L76" s="54"/>
      <c r="M76" s="52" t="s">
        <v>127</v>
      </c>
      <c r="N76" s="55"/>
      <c r="O76" s="50"/>
      <c r="P76" s="53"/>
      <c r="Q76" s="52"/>
      <c r="R76" s="52"/>
      <c r="S76" s="52"/>
      <c r="T76" s="55"/>
      <c r="U76" s="52">
        <f t="shared" ca="1" si="1"/>
        <v>116</v>
      </c>
      <c r="V76" s="54">
        <v>0</v>
      </c>
      <c r="W76" s="52" t="s">
        <v>5587</v>
      </c>
    </row>
    <row r="77" spans="1:23" ht="20.100000000000001" customHeight="1" x14ac:dyDescent="0.25">
      <c r="A77" s="50">
        <v>46070</v>
      </c>
      <c r="B77" s="50">
        <v>46070</v>
      </c>
      <c r="C77" s="51">
        <v>46070</v>
      </c>
      <c r="D77" s="51"/>
      <c r="E77" s="52"/>
      <c r="F77" s="52"/>
      <c r="G77" s="52"/>
      <c r="H77" s="52">
        <v>5515</v>
      </c>
      <c r="I77" s="52" t="s">
        <v>21</v>
      </c>
      <c r="J77" s="52" t="s">
        <v>126</v>
      </c>
      <c r="K77" s="53">
        <v>25000</v>
      </c>
      <c r="L77" s="54"/>
      <c r="M77" s="52" t="s">
        <v>146</v>
      </c>
      <c r="N77" s="55" t="s">
        <v>134</v>
      </c>
      <c r="O77" s="50"/>
      <c r="P77" s="53"/>
      <c r="Q77" s="52"/>
      <c r="R77" s="52" t="s">
        <v>211</v>
      </c>
      <c r="S77" s="52" t="s">
        <v>136</v>
      </c>
      <c r="T77" s="55"/>
      <c r="U77" s="52">
        <f t="shared" ca="1" si="1"/>
        <v>116</v>
      </c>
      <c r="V77" s="54">
        <v>0.25</v>
      </c>
      <c r="W77" s="52" t="s">
        <v>5587</v>
      </c>
    </row>
    <row r="78" spans="1:23" ht="20.100000000000001" customHeight="1" x14ac:dyDescent="0.25">
      <c r="A78" s="50">
        <v>46070</v>
      </c>
      <c r="B78" s="50">
        <v>46071</v>
      </c>
      <c r="C78" s="51">
        <v>46071</v>
      </c>
      <c r="D78" s="51"/>
      <c r="E78" s="52"/>
      <c r="F78" s="52"/>
      <c r="G78" s="52"/>
      <c r="H78" s="52">
        <v>5516</v>
      </c>
      <c r="I78" s="52" t="s">
        <v>21</v>
      </c>
      <c r="J78" s="52" t="s">
        <v>126</v>
      </c>
      <c r="K78" s="53">
        <v>18000</v>
      </c>
      <c r="L78" s="54"/>
      <c r="M78" s="52" t="s">
        <v>127</v>
      </c>
      <c r="N78" s="55"/>
      <c r="O78" s="50"/>
      <c r="P78" s="53"/>
      <c r="Q78" s="52"/>
      <c r="R78" s="52" t="s">
        <v>212</v>
      </c>
      <c r="S78" s="52"/>
      <c r="T78" s="55"/>
      <c r="U78" s="52">
        <f t="shared" ca="1" si="1"/>
        <v>115</v>
      </c>
      <c r="V78" s="54">
        <v>0</v>
      </c>
      <c r="W78" s="52" t="s">
        <v>5587</v>
      </c>
    </row>
    <row r="79" spans="1:23" ht="20.100000000000001" customHeight="1" x14ac:dyDescent="0.25">
      <c r="A79" s="50">
        <v>46068</v>
      </c>
      <c r="B79" s="50">
        <v>46071</v>
      </c>
      <c r="C79" s="51">
        <v>46071</v>
      </c>
      <c r="D79" s="51"/>
      <c r="E79" s="52"/>
      <c r="F79" s="52"/>
      <c r="G79" s="52"/>
      <c r="H79" s="52">
        <v>5517</v>
      </c>
      <c r="I79" s="52" t="s">
        <v>22</v>
      </c>
      <c r="J79" s="52" t="s">
        <v>126</v>
      </c>
      <c r="K79" s="53"/>
      <c r="L79" s="54">
        <v>1</v>
      </c>
      <c r="M79" s="52" t="s">
        <v>142</v>
      </c>
      <c r="N79" s="55" t="s">
        <v>130</v>
      </c>
      <c r="O79" s="50"/>
      <c r="P79" s="53"/>
      <c r="Q79" s="52">
        <v>1</v>
      </c>
      <c r="R79" s="52" t="s">
        <v>213</v>
      </c>
      <c r="S79" s="52"/>
      <c r="T79" s="55"/>
      <c r="U79" s="52">
        <f t="shared" ca="1" si="1"/>
        <v>115</v>
      </c>
      <c r="V79" s="54">
        <v>0.5</v>
      </c>
      <c r="W79" s="52" t="s">
        <v>5587</v>
      </c>
    </row>
    <row r="80" spans="1:23" ht="20.100000000000001" customHeight="1" x14ac:dyDescent="0.25">
      <c r="A80" s="50">
        <v>46076</v>
      </c>
      <c r="B80" s="50">
        <v>46076</v>
      </c>
      <c r="C80" s="51">
        <v>46076</v>
      </c>
      <c r="D80" s="51"/>
      <c r="E80" s="52"/>
      <c r="F80" s="52"/>
      <c r="G80" s="52"/>
      <c r="H80" s="52">
        <v>5518</v>
      </c>
      <c r="I80" s="52" t="s">
        <v>22</v>
      </c>
      <c r="J80" s="52" t="s">
        <v>126</v>
      </c>
      <c r="K80" s="53">
        <v>31000</v>
      </c>
      <c r="L80" s="54">
        <v>1</v>
      </c>
      <c r="M80" s="52" t="s">
        <v>142</v>
      </c>
      <c r="N80" s="55" t="s">
        <v>130</v>
      </c>
      <c r="O80" s="50"/>
      <c r="P80" s="53">
        <v>31000</v>
      </c>
      <c r="Q80" s="52">
        <v>1</v>
      </c>
      <c r="R80" s="52" t="s">
        <v>215</v>
      </c>
      <c r="S80" s="52"/>
      <c r="T80" s="55" t="s">
        <v>5594</v>
      </c>
      <c r="U80" s="52">
        <f t="shared" ca="1" si="1"/>
        <v>110</v>
      </c>
      <c r="V80" s="54">
        <v>0.5</v>
      </c>
      <c r="W80" s="52" t="s">
        <v>5587</v>
      </c>
    </row>
    <row r="81" spans="1:23" ht="20.100000000000001" customHeight="1" x14ac:dyDescent="0.25">
      <c r="A81" s="50">
        <v>46076</v>
      </c>
      <c r="B81" s="50">
        <v>46076</v>
      </c>
      <c r="C81" s="51">
        <v>46076</v>
      </c>
      <c r="D81" s="51"/>
      <c r="E81" s="52"/>
      <c r="F81" s="52"/>
      <c r="G81" s="52"/>
      <c r="H81" s="52">
        <v>5519</v>
      </c>
      <c r="I81" s="52" t="s">
        <v>22</v>
      </c>
      <c r="J81" s="52" t="s">
        <v>126</v>
      </c>
      <c r="K81" s="53">
        <v>20000</v>
      </c>
      <c r="L81" s="54"/>
      <c r="M81" s="52" t="s">
        <v>142</v>
      </c>
      <c r="N81" s="55"/>
      <c r="O81" s="50"/>
      <c r="P81" s="53"/>
      <c r="Q81" s="52"/>
      <c r="R81" s="52" t="s">
        <v>216</v>
      </c>
      <c r="S81" s="52"/>
      <c r="T81" s="55"/>
      <c r="U81" s="52">
        <f t="shared" ca="1" si="1"/>
        <v>110</v>
      </c>
      <c r="V81" s="54">
        <v>0</v>
      </c>
      <c r="W81" s="52" t="s">
        <v>5587</v>
      </c>
    </row>
    <row r="82" spans="1:23" ht="20.100000000000001" customHeight="1" x14ac:dyDescent="0.25">
      <c r="A82" s="50">
        <v>46076</v>
      </c>
      <c r="B82" s="50">
        <v>46077</v>
      </c>
      <c r="C82" s="51">
        <v>46077</v>
      </c>
      <c r="D82" s="51"/>
      <c r="E82" s="52"/>
      <c r="F82" s="52"/>
      <c r="G82" s="52"/>
      <c r="H82" s="52">
        <v>5520</v>
      </c>
      <c r="I82" s="52" t="s">
        <v>21</v>
      </c>
      <c r="J82" s="52" t="s">
        <v>110</v>
      </c>
      <c r="K82" s="53">
        <v>20000</v>
      </c>
      <c r="L82" s="54"/>
      <c r="M82" s="52" t="s">
        <v>142</v>
      </c>
      <c r="N82" s="55"/>
      <c r="O82" s="50"/>
      <c r="P82" s="53"/>
      <c r="Q82" s="52"/>
      <c r="R82" s="52" t="s">
        <v>217</v>
      </c>
      <c r="S82" s="52"/>
      <c r="T82" s="55"/>
      <c r="U82" s="52">
        <f t="shared" ca="1" si="1"/>
        <v>109</v>
      </c>
      <c r="V82" s="54">
        <v>0</v>
      </c>
      <c r="W82" s="52" t="s">
        <v>5587</v>
      </c>
    </row>
    <row r="83" spans="1:23" ht="20.100000000000001" customHeight="1" x14ac:dyDescent="0.25">
      <c r="A83" s="50">
        <v>46078</v>
      </c>
      <c r="B83" s="50">
        <v>46078</v>
      </c>
      <c r="C83" s="51">
        <v>46078</v>
      </c>
      <c r="D83" s="51"/>
      <c r="E83" s="52"/>
      <c r="F83" s="52"/>
      <c r="G83" s="52"/>
      <c r="H83" s="52">
        <v>5521</v>
      </c>
      <c r="I83" s="52" t="s">
        <v>22</v>
      </c>
      <c r="J83" s="52" t="s">
        <v>126</v>
      </c>
      <c r="K83" s="53"/>
      <c r="L83" s="54"/>
      <c r="M83" s="52" t="s">
        <v>142</v>
      </c>
      <c r="N83" s="55"/>
      <c r="O83" s="50"/>
      <c r="P83" s="53"/>
      <c r="Q83" s="52"/>
      <c r="R83" s="52"/>
      <c r="S83" s="52"/>
      <c r="T83" s="55" t="s">
        <v>218</v>
      </c>
      <c r="U83" s="52">
        <f t="shared" ca="1" si="1"/>
        <v>108</v>
      </c>
      <c r="V83" s="54">
        <v>0</v>
      </c>
      <c r="W83" s="52" t="s">
        <v>5587</v>
      </c>
    </row>
    <row r="84" spans="1:23" ht="20.100000000000001" customHeight="1" x14ac:dyDescent="0.25">
      <c r="A84" s="50">
        <v>46078</v>
      </c>
      <c r="B84" s="50">
        <v>46078</v>
      </c>
      <c r="C84" s="51">
        <v>46078</v>
      </c>
      <c r="D84" s="51"/>
      <c r="E84" s="52"/>
      <c r="F84" s="52"/>
      <c r="G84" s="52"/>
      <c r="H84" s="52">
        <v>5522</v>
      </c>
      <c r="I84" s="52" t="s">
        <v>21</v>
      </c>
      <c r="J84" s="52" t="s">
        <v>126</v>
      </c>
      <c r="K84" s="53">
        <v>19500</v>
      </c>
      <c r="L84" s="54"/>
      <c r="M84" s="52" t="s">
        <v>142</v>
      </c>
      <c r="N84" s="55"/>
      <c r="O84" s="50"/>
      <c r="P84" s="53"/>
      <c r="Q84" s="52"/>
      <c r="R84" s="52" t="s">
        <v>219</v>
      </c>
      <c r="S84" s="52"/>
      <c r="T84" s="55"/>
      <c r="U84" s="52">
        <f t="shared" ca="1" si="1"/>
        <v>108</v>
      </c>
      <c r="V84" s="54">
        <v>0</v>
      </c>
      <c r="W84" s="52" t="s">
        <v>5587</v>
      </c>
    </row>
    <row r="85" spans="1:23" ht="20.100000000000001" customHeight="1" x14ac:dyDescent="0.25">
      <c r="A85" s="50">
        <v>46078</v>
      </c>
      <c r="B85" s="50">
        <v>46078</v>
      </c>
      <c r="C85" s="51">
        <v>46078</v>
      </c>
      <c r="D85" s="51"/>
      <c r="E85" s="52"/>
      <c r="F85" s="52"/>
      <c r="G85" s="52"/>
      <c r="H85" s="52">
        <v>5523</v>
      </c>
      <c r="I85" s="52" t="s">
        <v>22</v>
      </c>
      <c r="J85" s="52" t="s">
        <v>126</v>
      </c>
      <c r="K85" s="53">
        <v>30024</v>
      </c>
      <c r="L85" s="54">
        <v>1</v>
      </c>
      <c r="M85" s="52" t="s">
        <v>147</v>
      </c>
      <c r="N85" s="55" t="s">
        <v>130</v>
      </c>
      <c r="O85" s="50">
        <v>46156</v>
      </c>
      <c r="P85" s="53">
        <v>30024</v>
      </c>
      <c r="Q85" s="52">
        <v>1</v>
      </c>
      <c r="R85" s="52" t="s">
        <v>220</v>
      </c>
      <c r="S85" s="52"/>
      <c r="T85" s="55"/>
      <c r="U85" s="52">
        <f t="shared" ca="1" si="1"/>
        <v>108</v>
      </c>
      <c r="V85" s="54">
        <v>0.5</v>
      </c>
      <c r="W85" s="52" t="s">
        <v>5587</v>
      </c>
    </row>
    <row r="86" spans="1:23" ht="20.100000000000001" customHeight="1" x14ac:dyDescent="0.25">
      <c r="A86" s="50">
        <v>46078</v>
      </c>
      <c r="B86" s="50">
        <v>46078</v>
      </c>
      <c r="C86" s="51">
        <v>46078</v>
      </c>
      <c r="D86" s="51"/>
      <c r="E86" s="52"/>
      <c r="F86" s="52"/>
      <c r="G86" s="52"/>
      <c r="H86" s="52">
        <v>5524</v>
      </c>
      <c r="I86" s="52" t="s">
        <v>21</v>
      </c>
      <c r="J86" s="52" t="s">
        <v>126</v>
      </c>
      <c r="K86" s="53">
        <v>21000</v>
      </c>
      <c r="L86" s="54"/>
      <c r="M86" s="52" t="s">
        <v>142</v>
      </c>
      <c r="N86" s="55"/>
      <c r="O86" s="50"/>
      <c r="P86" s="53"/>
      <c r="Q86" s="52"/>
      <c r="R86" s="52" t="s">
        <v>221</v>
      </c>
      <c r="S86" s="52"/>
      <c r="T86" s="55"/>
      <c r="U86" s="52">
        <f t="shared" ca="1" si="1"/>
        <v>108</v>
      </c>
      <c r="V86" s="54">
        <v>0</v>
      </c>
      <c r="W86" s="52" t="s">
        <v>5587</v>
      </c>
    </row>
    <row r="87" spans="1:23" ht="20.100000000000001" customHeight="1" x14ac:dyDescent="0.25">
      <c r="A87" s="50">
        <v>46078</v>
      </c>
      <c r="B87" s="50">
        <v>46078</v>
      </c>
      <c r="C87" s="51">
        <v>46078</v>
      </c>
      <c r="D87" s="51"/>
      <c r="E87" s="52"/>
      <c r="F87" s="52"/>
      <c r="G87" s="52"/>
      <c r="H87" s="52">
        <v>5525</v>
      </c>
      <c r="I87" s="52" t="s">
        <v>22</v>
      </c>
      <c r="J87" s="52" t="s">
        <v>126</v>
      </c>
      <c r="K87" s="53">
        <v>37098</v>
      </c>
      <c r="L87" s="54"/>
      <c r="M87" s="52" t="s">
        <v>142</v>
      </c>
      <c r="N87" s="55"/>
      <c r="O87" s="50"/>
      <c r="P87" s="53"/>
      <c r="Q87" s="52"/>
      <c r="R87" s="52" t="s">
        <v>222</v>
      </c>
      <c r="S87" s="52"/>
      <c r="T87" s="55"/>
      <c r="U87" s="52">
        <f t="shared" ca="1" si="1"/>
        <v>108</v>
      </c>
      <c r="V87" s="54">
        <v>0</v>
      </c>
      <c r="W87" s="52" t="s">
        <v>5587</v>
      </c>
    </row>
    <row r="88" spans="1:23" ht="20.100000000000001" customHeight="1" x14ac:dyDescent="0.25">
      <c r="A88" s="50">
        <v>46078</v>
      </c>
      <c r="B88" s="50">
        <v>46078</v>
      </c>
      <c r="C88" s="51">
        <v>46078</v>
      </c>
      <c r="D88" s="51"/>
      <c r="E88" s="52"/>
      <c r="F88" s="52"/>
      <c r="G88" s="52"/>
      <c r="H88" s="52">
        <v>5526</v>
      </c>
      <c r="I88" s="52" t="s">
        <v>22</v>
      </c>
      <c r="J88" s="52" t="s">
        <v>126</v>
      </c>
      <c r="K88" s="53">
        <v>30000</v>
      </c>
      <c r="L88" s="54"/>
      <c r="M88" s="52" t="s">
        <v>142</v>
      </c>
      <c r="N88" s="55"/>
      <c r="O88" s="50" t="s">
        <v>224</v>
      </c>
      <c r="P88" s="53"/>
      <c r="Q88" s="52"/>
      <c r="R88" s="52" t="s">
        <v>225</v>
      </c>
      <c r="S88" s="52"/>
      <c r="T88" s="55" t="s">
        <v>223</v>
      </c>
      <c r="U88" s="52">
        <f t="shared" ca="1" si="1"/>
        <v>108</v>
      </c>
      <c r="V88" s="54">
        <v>0</v>
      </c>
      <c r="W88" s="52" t="s">
        <v>5587</v>
      </c>
    </row>
    <row r="89" spans="1:23" ht="20.100000000000001" customHeight="1" x14ac:dyDescent="0.25">
      <c r="A89" s="50">
        <v>46078</v>
      </c>
      <c r="B89" s="50">
        <v>46078</v>
      </c>
      <c r="C89" s="51">
        <v>46078</v>
      </c>
      <c r="D89" s="51"/>
      <c r="E89" s="52"/>
      <c r="F89" s="52"/>
      <c r="G89" s="52"/>
      <c r="H89" s="52">
        <v>5527</v>
      </c>
      <c r="I89" s="52" t="s">
        <v>21</v>
      </c>
      <c r="J89" s="52" t="s">
        <v>126</v>
      </c>
      <c r="K89" s="53">
        <v>23000</v>
      </c>
      <c r="L89" s="54"/>
      <c r="M89" s="52" t="s">
        <v>142</v>
      </c>
      <c r="N89" s="55" t="s">
        <v>134</v>
      </c>
      <c r="O89" s="50"/>
      <c r="P89" s="53"/>
      <c r="Q89" s="52"/>
      <c r="R89" s="52" t="s">
        <v>226</v>
      </c>
      <c r="S89" s="52"/>
      <c r="T89" s="55"/>
      <c r="U89" s="52">
        <f t="shared" ca="1" si="1"/>
        <v>108</v>
      </c>
      <c r="V89" s="54">
        <v>0.25</v>
      </c>
      <c r="W89" s="52" t="s">
        <v>5587</v>
      </c>
    </row>
    <row r="90" spans="1:23" ht="20.100000000000001" customHeight="1" x14ac:dyDescent="0.25">
      <c r="A90" s="50">
        <v>46079</v>
      </c>
      <c r="B90" s="50">
        <v>46079</v>
      </c>
      <c r="C90" s="51">
        <v>46079</v>
      </c>
      <c r="D90" s="51"/>
      <c r="E90" s="52"/>
      <c r="F90" s="52"/>
      <c r="G90" s="52"/>
      <c r="H90" s="52">
        <v>5528</v>
      </c>
      <c r="I90" s="52" t="s">
        <v>21</v>
      </c>
      <c r="J90" s="52" t="s">
        <v>126</v>
      </c>
      <c r="K90" s="53">
        <v>15000</v>
      </c>
      <c r="L90" s="54"/>
      <c r="M90" s="52" t="s">
        <v>142</v>
      </c>
      <c r="N90" s="55"/>
      <c r="O90" s="50"/>
      <c r="P90" s="53"/>
      <c r="Q90" s="52"/>
      <c r="R90" s="52" t="s">
        <v>166</v>
      </c>
      <c r="S90" s="52"/>
      <c r="T90" s="55"/>
      <c r="U90" s="52">
        <f t="shared" ca="1" si="1"/>
        <v>107</v>
      </c>
      <c r="V90" s="54">
        <v>0</v>
      </c>
      <c r="W90" s="52" t="s">
        <v>5587</v>
      </c>
    </row>
    <row r="91" spans="1:23" ht="20.100000000000001" customHeight="1" x14ac:dyDescent="0.25">
      <c r="A91" s="50">
        <v>46079</v>
      </c>
      <c r="B91" s="50">
        <v>46079</v>
      </c>
      <c r="C91" s="51">
        <v>46079</v>
      </c>
      <c r="D91" s="51"/>
      <c r="E91" s="52"/>
      <c r="F91" s="52"/>
      <c r="G91" s="52"/>
      <c r="H91" s="52">
        <v>5529</v>
      </c>
      <c r="I91" s="52" t="s">
        <v>21</v>
      </c>
      <c r="J91" s="52" t="s">
        <v>126</v>
      </c>
      <c r="K91" s="53">
        <v>23000</v>
      </c>
      <c r="L91" s="54"/>
      <c r="M91" s="52" t="s">
        <v>142</v>
      </c>
      <c r="N91" s="55"/>
      <c r="O91" s="50"/>
      <c r="P91" s="53"/>
      <c r="Q91" s="52"/>
      <c r="R91" s="52" t="s">
        <v>143</v>
      </c>
      <c r="S91" s="52"/>
      <c r="T91" s="55"/>
      <c r="U91" s="52">
        <f t="shared" ca="1" si="1"/>
        <v>107</v>
      </c>
      <c r="V91" s="54">
        <v>0</v>
      </c>
      <c r="W91" s="52" t="s">
        <v>5587</v>
      </c>
    </row>
    <row r="92" spans="1:23" ht="20.100000000000001" customHeight="1" x14ac:dyDescent="0.25">
      <c r="A92" s="50">
        <v>46079</v>
      </c>
      <c r="B92" s="50">
        <v>46079</v>
      </c>
      <c r="C92" s="51">
        <v>46079</v>
      </c>
      <c r="D92" s="51"/>
      <c r="E92" s="52"/>
      <c r="F92" s="52"/>
      <c r="G92" s="52"/>
      <c r="H92" s="52">
        <v>5530</v>
      </c>
      <c r="I92" s="52" t="s">
        <v>21</v>
      </c>
      <c r="J92" s="52" t="s">
        <v>126</v>
      </c>
      <c r="K92" s="53">
        <v>24000</v>
      </c>
      <c r="L92" s="54"/>
      <c r="M92" s="52" t="s">
        <v>142</v>
      </c>
      <c r="N92" s="55"/>
      <c r="O92" s="50"/>
      <c r="P92" s="53"/>
      <c r="Q92" s="52"/>
      <c r="R92" s="52" t="s">
        <v>227</v>
      </c>
      <c r="S92" s="52"/>
      <c r="T92" s="55"/>
      <c r="U92" s="52">
        <f t="shared" ca="1" si="1"/>
        <v>107</v>
      </c>
      <c r="V92" s="54">
        <v>0</v>
      </c>
      <c r="W92" s="52" t="s">
        <v>5587</v>
      </c>
    </row>
    <row r="93" spans="1:23" ht="20.100000000000001" customHeight="1" x14ac:dyDescent="0.25">
      <c r="A93" s="50">
        <v>46078</v>
      </c>
      <c r="B93" s="50">
        <v>45713</v>
      </c>
      <c r="C93" s="51">
        <v>45713</v>
      </c>
      <c r="D93" s="51"/>
      <c r="E93" s="52"/>
      <c r="F93" s="52"/>
      <c r="G93" s="52"/>
      <c r="H93" s="52">
        <v>5531</v>
      </c>
      <c r="I93" s="52" t="s">
        <v>21</v>
      </c>
      <c r="J93" s="52" t="s">
        <v>126</v>
      </c>
      <c r="K93" s="53">
        <v>20000</v>
      </c>
      <c r="L93" s="54"/>
      <c r="M93" s="52" t="s">
        <v>142</v>
      </c>
      <c r="N93" s="55"/>
      <c r="O93" s="50"/>
      <c r="P93" s="53"/>
      <c r="Q93" s="52"/>
      <c r="R93" s="52" t="s">
        <v>229</v>
      </c>
      <c r="S93" s="52"/>
      <c r="T93" s="55" t="s">
        <v>228</v>
      </c>
      <c r="U93" s="52">
        <f t="shared" ca="1" si="1"/>
        <v>473</v>
      </c>
      <c r="V93" s="54">
        <v>0</v>
      </c>
      <c r="W93" s="52" t="s">
        <v>5587</v>
      </c>
    </row>
    <row r="94" spans="1:23" ht="20.100000000000001" customHeight="1" x14ac:dyDescent="0.25">
      <c r="A94" s="50">
        <v>46079</v>
      </c>
      <c r="B94" s="50">
        <v>46079</v>
      </c>
      <c r="C94" s="51">
        <v>46079</v>
      </c>
      <c r="D94" s="51"/>
      <c r="E94" s="52"/>
      <c r="F94" s="52"/>
      <c r="G94" s="52"/>
      <c r="H94" s="52">
        <v>5532</v>
      </c>
      <c r="I94" s="52" t="s">
        <v>21</v>
      </c>
      <c r="J94" s="52" t="s">
        <v>126</v>
      </c>
      <c r="K94" s="53">
        <v>32000</v>
      </c>
      <c r="L94" s="54"/>
      <c r="M94" s="52" t="s">
        <v>142</v>
      </c>
      <c r="N94" s="55"/>
      <c r="O94" s="50"/>
      <c r="P94" s="53"/>
      <c r="Q94" s="52"/>
      <c r="R94" s="52" t="s">
        <v>230</v>
      </c>
      <c r="S94" s="52"/>
      <c r="T94" s="55"/>
      <c r="U94" s="52">
        <f t="shared" ca="1" si="1"/>
        <v>107</v>
      </c>
      <c r="V94" s="54">
        <v>0</v>
      </c>
      <c r="W94" s="52" t="s">
        <v>5587</v>
      </c>
    </row>
    <row r="95" spans="1:23" ht="20.100000000000001" customHeight="1" x14ac:dyDescent="0.25">
      <c r="A95" s="50">
        <v>46079</v>
      </c>
      <c r="B95" s="50">
        <v>46079</v>
      </c>
      <c r="C95" s="51">
        <v>46079</v>
      </c>
      <c r="D95" s="51"/>
      <c r="E95" s="52"/>
      <c r="F95" s="52"/>
      <c r="G95" s="52"/>
      <c r="H95" s="52">
        <v>5533</v>
      </c>
      <c r="I95" s="52" t="s">
        <v>21</v>
      </c>
      <c r="J95" s="52" t="s">
        <v>126</v>
      </c>
      <c r="K95" s="53">
        <v>23000</v>
      </c>
      <c r="L95" s="54">
        <v>1</v>
      </c>
      <c r="M95" s="52" t="s">
        <v>142</v>
      </c>
      <c r="N95" s="55" t="s">
        <v>130</v>
      </c>
      <c r="O95" s="50"/>
      <c r="P95" s="53">
        <v>23000</v>
      </c>
      <c r="Q95" s="52">
        <v>1</v>
      </c>
      <c r="R95" s="52"/>
      <c r="S95" s="52"/>
      <c r="T95" s="55" t="s">
        <v>231</v>
      </c>
      <c r="U95" s="52">
        <f t="shared" ca="1" si="1"/>
        <v>107</v>
      </c>
      <c r="V95" s="54">
        <v>0.5</v>
      </c>
      <c r="W95" s="52" t="s">
        <v>5587</v>
      </c>
    </row>
    <row r="96" spans="1:23" ht="20.100000000000001" customHeight="1" x14ac:dyDescent="0.25">
      <c r="A96" s="50">
        <v>46079</v>
      </c>
      <c r="B96" s="50">
        <v>46079</v>
      </c>
      <c r="C96" s="51">
        <v>46079</v>
      </c>
      <c r="D96" s="51"/>
      <c r="E96" s="52"/>
      <c r="F96" s="52"/>
      <c r="G96" s="52"/>
      <c r="H96" s="52">
        <v>5534</v>
      </c>
      <c r="I96" s="52" t="s">
        <v>22</v>
      </c>
      <c r="J96" s="52" t="s">
        <v>126</v>
      </c>
      <c r="K96" s="53"/>
      <c r="L96" s="54"/>
      <c r="M96" s="52"/>
      <c r="N96" s="55"/>
      <c r="O96" s="50"/>
      <c r="P96" s="53"/>
      <c r="Q96" s="52"/>
      <c r="R96" s="52"/>
      <c r="S96" s="52"/>
      <c r="T96" s="55"/>
      <c r="U96" s="52">
        <f t="shared" ca="1" si="1"/>
        <v>107</v>
      </c>
      <c r="V96" s="54">
        <v>0</v>
      </c>
      <c r="W96" s="52" t="s">
        <v>5587</v>
      </c>
    </row>
    <row r="97" spans="1:23" ht="20.100000000000001" customHeight="1" x14ac:dyDescent="0.25">
      <c r="A97" s="50">
        <v>46027</v>
      </c>
      <c r="B97" s="50">
        <v>46087</v>
      </c>
      <c r="C97" s="51">
        <v>46087</v>
      </c>
      <c r="D97" s="51"/>
      <c r="E97" s="52"/>
      <c r="F97" s="52"/>
      <c r="G97" s="52"/>
      <c r="H97" s="52">
        <v>5535</v>
      </c>
      <c r="I97" s="52" t="s">
        <v>21</v>
      </c>
      <c r="J97" s="52" t="s">
        <v>126</v>
      </c>
      <c r="K97" s="53">
        <v>90000</v>
      </c>
      <c r="L97" s="54"/>
      <c r="M97" s="52" t="s">
        <v>142</v>
      </c>
      <c r="N97" s="55"/>
      <c r="O97" s="50"/>
      <c r="P97" s="53"/>
      <c r="Q97" s="52"/>
      <c r="R97" s="52" t="s">
        <v>232</v>
      </c>
      <c r="S97" s="52"/>
      <c r="T97" s="55"/>
      <c r="U97" s="52">
        <f t="shared" ca="1" si="1"/>
        <v>99</v>
      </c>
      <c r="V97" s="54">
        <v>0</v>
      </c>
      <c r="W97" s="52" t="s">
        <v>5587</v>
      </c>
    </row>
    <row r="98" spans="1:23" ht="20.100000000000001" customHeight="1" x14ac:dyDescent="0.25">
      <c r="A98" s="50">
        <v>46341</v>
      </c>
      <c r="B98" s="50">
        <v>46087</v>
      </c>
      <c r="C98" s="51">
        <v>46087</v>
      </c>
      <c r="D98" s="51"/>
      <c r="E98" s="52"/>
      <c r="F98" s="52"/>
      <c r="G98" s="52"/>
      <c r="H98" s="52">
        <v>5536</v>
      </c>
      <c r="I98" s="52" t="s">
        <v>21</v>
      </c>
      <c r="J98" s="52" t="s">
        <v>126</v>
      </c>
      <c r="K98" s="53"/>
      <c r="L98" s="54"/>
      <c r="M98" s="52" t="s">
        <v>146</v>
      </c>
      <c r="N98" s="55"/>
      <c r="O98" s="50"/>
      <c r="P98" s="53"/>
      <c r="Q98" s="52"/>
      <c r="R98" s="52" t="s">
        <v>233</v>
      </c>
      <c r="S98" s="52"/>
      <c r="T98" s="55"/>
      <c r="U98" s="52">
        <f t="shared" ca="1" si="1"/>
        <v>99</v>
      </c>
      <c r="V98" s="54">
        <v>0</v>
      </c>
      <c r="W98" s="52" t="s">
        <v>5587</v>
      </c>
    </row>
    <row r="99" spans="1:23" ht="20.100000000000001" customHeight="1" x14ac:dyDescent="0.25">
      <c r="A99" s="50">
        <v>46089</v>
      </c>
      <c r="B99" s="50">
        <v>46090</v>
      </c>
      <c r="C99" s="51">
        <v>46090</v>
      </c>
      <c r="D99" s="51"/>
      <c r="E99" s="52"/>
      <c r="F99" s="52"/>
      <c r="G99" s="52"/>
      <c r="H99" s="52">
        <v>5537</v>
      </c>
      <c r="I99" s="52" t="s">
        <v>21</v>
      </c>
      <c r="J99" s="52" t="s">
        <v>126</v>
      </c>
      <c r="K99" s="53"/>
      <c r="L99" s="54"/>
      <c r="M99" s="52" t="s">
        <v>146</v>
      </c>
      <c r="N99" s="55"/>
      <c r="O99" s="50"/>
      <c r="P99" s="53"/>
      <c r="Q99" s="52"/>
      <c r="R99" s="52" t="s">
        <v>234</v>
      </c>
      <c r="S99" s="52"/>
      <c r="T99" s="55"/>
      <c r="U99" s="52">
        <f t="shared" ca="1" si="1"/>
        <v>96</v>
      </c>
      <c r="V99" s="54">
        <v>0</v>
      </c>
      <c r="W99" s="52" t="s">
        <v>5587</v>
      </c>
    </row>
    <row r="100" spans="1:23" ht="20.100000000000001" customHeight="1" x14ac:dyDescent="0.25">
      <c r="A100" s="50">
        <v>46089</v>
      </c>
      <c r="B100" s="50">
        <v>46090</v>
      </c>
      <c r="C100" s="51">
        <v>46090</v>
      </c>
      <c r="D100" s="51"/>
      <c r="E100" s="52"/>
      <c r="F100" s="52"/>
      <c r="G100" s="52"/>
      <c r="H100" s="52">
        <v>5538</v>
      </c>
      <c r="I100" s="52" t="s">
        <v>21</v>
      </c>
      <c r="J100" s="52" t="s">
        <v>126</v>
      </c>
      <c r="K100" s="53">
        <v>30000</v>
      </c>
      <c r="L100" s="54"/>
      <c r="M100" s="52" t="s">
        <v>142</v>
      </c>
      <c r="N100" s="55"/>
      <c r="O100" s="50"/>
      <c r="P100" s="53"/>
      <c r="Q100" s="52"/>
      <c r="R100" s="52" t="s">
        <v>235</v>
      </c>
      <c r="S100" s="52"/>
      <c r="T100" s="55"/>
      <c r="U100" s="52">
        <f t="shared" ca="1" si="1"/>
        <v>96</v>
      </c>
      <c r="V100" s="54">
        <v>0</v>
      </c>
      <c r="W100" s="52" t="s">
        <v>5587</v>
      </c>
    </row>
    <row r="101" spans="1:23" ht="20.100000000000001" customHeight="1" x14ac:dyDescent="0.25">
      <c r="A101" s="50">
        <v>46091</v>
      </c>
      <c r="B101" s="50">
        <v>46091</v>
      </c>
      <c r="C101" s="51">
        <v>46091</v>
      </c>
      <c r="D101" s="51"/>
      <c r="E101" s="52"/>
      <c r="F101" s="52"/>
      <c r="G101" s="52"/>
      <c r="H101" s="52">
        <v>5539</v>
      </c>
      <c r="I101" s="52" t="s">
        <v>21</v>
      </c>
      <c r="J101" s="52" t="s">
        <v>110</v>
      </c>
      <c r="K101" s="53">
        <v>41000</v>
      </c>
      <c r="L101" s="54"/>
      <c r="M101" s="52" t="s">
        <v>142</v>
      </c>
      <c r="N101" s="55"/>
      <c r="O101" s="50"/>
      <c r="P101" s="53"/>
      <c r="Q101" s="52"/>
      <c r="R101" s="52" t="s">
        <v>236</v>
      </c>
      <c r="S101" s="52"/>
      <c r="T101" s="55"/>
      <c r="U101" s="52">
        <f t="shared" ca="1" si="1"/>
        <v>95</v>
      </c>
      <c r="V101" s="54">
        <v>0</v>
      </c>
      <c r="W101" s="52" t="s">
        <v>5587</v>
      </c>
    </row>
    <row r="102" spans="1:23" ht="20.100000000000001" customHeight="1" x14ac:dyDescent="0.25">
      <c r="A102" s="50">
        <v>46093</v>
      </c>
      <c r="B102" s="50">
        <v>46093</v>
      </c>
      <c r="C102" s="51">
        <v>46093</v>
      </c>
      <c r="D102" s="51"/>
      <c r="E102" s="52"/>
      <c r="F102" s="52"/>
      <c r="G102" s="52"/>
      <c r="H102" s="52">
        <v>5540</v>
      </c>
      <c r="I102" s="52" t="s">
        <v>21</v>
      </c>
      <c r="J102" s="52" t="s">
        <v>128</v>
      </c>
      <c r="K102" s="53">
        <v>17000</v>
      </c>
      <c r="L102" s="54"/>
      <c r="M102" s="52" t="s">
        <v>142</v>
      </c>
      <c r="N102" s="55"/>
      <c r="O102" s="50"/>
      <c r="P102" s="53"/>
      <c r="Q102" s="52"/>
      <c r="R102" s="52" t="s">
        <v>237</v>
      </c>
      <c r="S102" s="52"/>
      <c r="T102" s="55"/>
      <c r="U102" s="52">
        <f t="shared" ca="1" si="1"/>
        <v>93</v>
      </c>
      <c r="V102" s="54">
        <v>0</v>
      </c>
      <c r="W102" s="52" t="s">
        <v>5587</v>
      </c>
    </row>
    <row r="103" spans="1:23" ht="20.100000000000001" customHeight="1" x14ac:dyDescent="0.25">
      <c r="A103" s="50">
        <v>46093</v>
      </c>
      <c r="B103" s="50">
        <v>46093</v>
      </c>
      <c r="C103" s="51">
        <v>46093</v>
      </c>
      <c r="D103" s="51"/>
      <c r="E103" s="52"/>
      <c r="F103" s="52"/>
      <c r="G103" s="52"/>
      <c r="H103" s="52">
        <v>5541</v>
      </c>
      <c r="I103" s="52" t="s">
        <v>21</v>
      </c>
      <c r="J103" s="52" t="s">
        <v>126</v>
      </c>
      <c r="K103" s="53">
        <v>25000</v>
      </c>
      <c r="L103" s="54"/>
      <c r="M103" s="52" t="s">
        <v>142</v>
      </c>
      <c r="N103" s="55"/>
      <c r="O103" s="50"/>
      <c r="P103" s="53"/>
      <c r="Q103" s="52"/>
      <c r="R103" s="52" t="s">
        <v>238</v>
      </c>
      <c r="S103" s="52"/>
      <c r="T103" s="55"/>
      <c r="U103" s="52">
        <f t="shared" ca="1" si="1"/>
        <v>93</v>
      </c>
      <c r="V103" s="54">
        <v>0</v>
      </c>
      <c r="W103" s="52" t="s">
        <v>5587</v>
      </c>
    </row>
    <row r="104" spans="1:23" ht="20.100000000000001" customHeight="1" x14ac:dyDescent="0.25">
      <c r="A104" s="50">
        <v>46098</v>
      </c>
      <c r="B104" s="50">
        <v>46098</v>
      </c>
      <c r="C104" s="51">
        <v>46098</v>
      </c>
      <c r="D104" s="51"/>
      <c r="E104" s="52"/>
      <c r="F104" s="52"/>
      <c r="G104" s="52"/>
      <c r="H104" s="52">
        <v>5543</v>
      </c>
      <c r="I104" s="52" t="s">
        <v>22</v>
      </c>
      <c r="J104" s="52" t="s">
        <v>126</v>
      </c>
      <c r="K104" s="53">
        <v>22000</v>
      </c>
      <c r="L104" s="54"/>
      <c r="M104" s="52" t="s">
        <v>142</v>
      </c>
      <c r="N104" s="55"/>
      <c r="O104" s="50"/>
      <c r="P104" s="53"/>
      <c r="Q104" s="52"/>
      <c r="R104" s="52" t="s">
        <v>181</v>
      </c>
      <c r="S104" s="52"/>
      <c r="T104" s="55"/>
      <c r="U104" s="52">
        <f t="shared" ca="1" si="1"/>
        <v>88</v>
      </c>
      <c r="V104" s="54">
        <v>0</v>
      </c>
      <c r="W104" s="52" t="s">
        <v>5587</v>
      </c>
    </row>
    <row r="105" spans="1:23" ht="20.100000000000001" customHeight="1" x14ac:dyDescent="0.25">
      <c r="A105" s="50">
        <v>46098</v>
      </c>
      <c r="B105" s="50">
        <v>46098</v>
      </c>
      <c r="C105" s="51">
        <v>46098</v>
      </c>
      <c r="D105" s="51"/>
      <c r="E105" s="52"/>
      <c r="F105" s="52"/>
      <c r="G105" s="52"/>
      <c r="H105" s="52">
        <v>5544</v>
      </c>
      <c r="I105" s="52" t="s">
        <v>22</v>
      </c>
      <c r="J105" s="52" t="s">
        <v>126</v>
      </c>
      <c r="K105" s="53"/>
      <c r="L105" s="54"/>
      <c r="M105" s="52" t="s">
        <v>142</v>
      </c>
      <c r="N105" s="55"/>
      <c r="O105" s="50"/>
      <c r="P105" s="53"/>
      <c r="Q105" s="52"/>
      <c r="R105" s="52" t="s">
        <v>240</v>
      </c>
      <c r="S105" s="52"/>
      <c r="T105" s="55" t="s">
        <v>239</v>
      </c>
      <c r="U105" s="52">
        <f t="shared" ca="1" si="1"/>
        <v>88</v>
      </c>
      <c r="V105" s="54">
        <v>0</v>
      </c>
      <c r="W105" s="52" t="s">
        <v>5587</v>
      </c>
    </row>
    <row r="106" spans="1:23" ht="20.100000000000001" customHeight="1" x14ac:dyDescent="0.25">
      <c r="A106" s="50">
        <v>46098</v>
      </c>
      <c r="B106" s="50">
        <v>46098</v>
      </c>
      <c r="C106" s="51">
        <v>46098</v>
      </c>
      <c r="D106" s="51"/>
      <c r="E106" s="52"/>
      <c r="F106" s="52"/>
      <c r="G106" s="52"/>
      <c r="H106" s="52">
        <v>5545</v>
      </c>
      <c r="I106" s="52" t="s">
        <v>21</v>
      </c>
      <c r="J106" s="52" t="s">
        <v>126</v>
      </c>
      <c r="K106" s="53"/>
      <c r="L106" s="54"/>
      <c r="M106" s="52"/>
      <c r="N106" s="55"/>
      <c r="O106" s="50"/>
      <c r="P106" s="53"/>
      <c r="Q106" s="52"/>
      <c r="R106" s="52" t="s">
        <v>241</v>
      </c>
      <c r="S106" s="52"/>
      <c r="T106" s="55"/>
      <c r="U106" s="52">
        <f t="shared" ca="1" si="1"/>
        <v>88</v>
      </c>
      <c r="V106" s="54">
        <v>0</v>
      </c>
      <c r="W106" s="52" t="s">
        <v>5587</v>
      </c>
    </row>
    <row r="107" spans="1:23" ht="20.100000000000001" customHeight="1" x14ac:dyDescent="0.25">
      <c r="A107" s="50">
        <v>46098</v>
      </c>
      <c r="B107" s="50">
        <v>46098</v>
      </c>
      <c r="C107" s="51">
        <v>46098</v>
      </c>
      <c r="D107" s="51"/>
      <c r="E107" s="52"/>
      <c r="F107" s="52"/>
      <c r="G107" s="52"/>
      <c r="H107" s="52">
        <v>5546</v>
      </c>
      <c r="I107" s="52" t="s">
        <v>22</v>
      </c>
      <c r="J107" s="52" t="s">
        <v>126</v>
      </c>
      <c r="K107" s="53">
        <v>23000</v>
      </c>
      <c r="L107" s="54">
        <v>1</v>
      </c>
      <c r="M107" s="52" t="s">
        <v>142</v>
      </c>
      <c r="N107" s="55" t="s">
        <v>130</v>
      </c>
      <c r="O107" s="50"/>
      <c r="P107" s="53">
        <v>23000</v>
      </c>
      <c r="Q107" s="52">
        <v>1</v>
      </c>
      <c r="R107" s="52"/>
      <c r="S107" s="52"/>
      <c r="T107" s="55"/>
      <c r="U107" s="52">
        <f t="shared" ca="1" si="1"/>
        <v>88</v>
      </c>
      <c r="V107" s="54">
        <v>0.5</v>
      </c>
      <c r="W107" s="52" t="s">
        <v>5587</v>
      </c>
    </row>
    <row r="108" spans="1:23" ht="20.100000000000001" customHeight="1" x14ac:dyDescent="0.25">
      <c r="A108" s="50">
        <v>46098</v>
      </c>
      <c r="B108" s="50">
        <v>46098</v>
      </c>
      <c r="C108" s="51">
        <v>46098</v>
      </c>
      <c r="D108" s="51"/>
      <c r="E108" s="52"/>
      <c r="F108" s="52"/>
      <c r="G108" s="52"/>
      <c r="H108" s="52">
        <v>5547</v>
      </c>
      <c r="I108" s="52" t="s">
        <v>21</v>
      </c>
      <c r="J108" s="52" t="s">
        <v>126</v>
      </c>
      <c r="K108" s="53"/>
      <c r="L108" s="54"/>
      <c r="M108" s="52"/>
      <c r="N108" s="55"/>
      <c r="O108" s="50"/>
      <c r="P108" s="53"/>
      <c r="Q108" s="52"/>
      <c r="R108" s="52" t="s">
        <v>242</v>
      </c>
      <c r="S108" s="52"/>
      <c r="T108" s="55"/>
      <c r="U108" s="52">
        <f t="shared" ca="1" si="1"/>
        <v>88</v>
      </c>
      <c r="V108" s="54">
        <v>0</v>
      </c>
      <c r="W108" s="52" t="s">
        <v>5587</v>
      </c>
    </row>
    <row r="109" spans="1:23" ht="20.100000000000001" customHeight="1" x14ac:dyDescent="0.25">
      <c r="A109" s="50">
        <v>46098</v>
      </c>
      <c r="B109" s="50">
        <v>46098</v>
      </c>
      <c r="C109" s="51">
        <v>46098</v>
      </c>
      <c r="D109" s="51"/>
      <c r="E109" s="52"/>
      <c r="F109" s="52"/>
      <c r="G109" s="52"/>
      <c r="H109" s="52">
        <v>5548</v>
      </c>
      <c r="I109" s="52" t="s">
        <v>21</v>
      </c>
      <c r="J109" s="52" t="s">
        <v>126</v>
      </c>
      <c r="K109" s="53"/>
      <c r="L109" s="54"/>
      <c r="M109" s="52"/>
      <c r="N109" s="55"/>
      <c r="O109" s="50"/>
      <c r="P109" s="53"/>
      <c r="Q109" s="52"/>
      <c r="R109" s="52"/>
      <c r="S109" s="52"/>
      <c r="T109" s="55" t="s">
        <v>243</v>
      </c>
      <c r="U109" s="52">
        <f t="shared" ca="1" si="1"/>
        <v>88</v>
      </c>
      <c r="V109" s="54">
        <v>0</v>
      </c>
      <c r="W109" s="52" t="s">
        <v>5587</v>
      </c>
    </row>
    <row r="110" spans="1:23" ht="20.100000000000001" customHeight="1" x14ac:dyDescent="0.25">
      <c r="A110" s="50">
        <v>46099</v>
      </c>
      <c r="B110" s="50">
        <v>46100</v>
      </c>
      <c r="C110" s="51">
        <v>46100</v>
      </c>
      <c r="D110" s="51"/>
      <c r="E110" s="52"/>
      <c r="F110" s="52"/>
      <c r="G110" s="52"/>
      <c r="H110" s="52">
        <v>5549</v>
      </c>
      <c r="I110" s="52" t="s">
        <v>21</v>
      </c>
      <c r="J110" s="52" t="s">
        <v>126</v>
      </c>
      <c r="K110" s="53">
        <v>31000</v>
      </c>
      <c r="L110" s="54"/>
      <c r="M110" s="52" t="s">
        <v>142</v>
      </c>
      <c r="N110" s="55"/>
      <c r="O110" s="50"/>
      <c r="P110" s="53"/>
      <c r="Q110" s="52"/>
      <c r="R110" s="52" t="s">
        <v>245</v>
      </c>
      <c r="S110" s="52"/>
      <c r="T110" s="55" t="s">
        <v>244</v>
      </c>
      <c r="U110" s="52">
        <f t="shared" ca="1" si="1"/>
        <v>86</v>
      </c>
      <c r="V110" s="54">
        <v>0</v>
      </c>
      <c r="W110" s="52" t="s">
        <v>5587</v>
      </c>
    </row>
    <row r="111" spans="1:23" ht="20.100000000000001" customHeight="1" x14ac:dyDescent="0.25">
      <c r="A111" s="50">
        <v>46101</v>
      </c>
      <c r="B111" s="50">
        <v>46101</v>
      </c>
      <c r="C111" s="51">
        <v>46101</v>
      </c>
      <c r="D111" s="51"/>
      <c r="E111" s="52"/>
      <c r="F111" s="52"/>
      <c r="G111" s="52"/>
      <c r="H111" s="52">
        <v>5550</v>
      </c>
      <c r="I111" s="52" t="s">
        <v>22</v>
      </c>
      <c r="J111" s="52" t="s">
        <v>126</v>
      </c>
      <c r="K111" s="53">
        <v>25000</v>
      </c>
      <c r="L111" s="54"/>
      <c r="M111" s="52" t="s">
        <v>142</v>
      </c>
      <c r="N111" s="55"/>
      <c r="O111" s="50"/>
      <c r="P111" s="53"/>
      <c r="Q111" s="52"/>
      <c r="R111" s="52"/>
      <c r="S111" s="52"/>
      <c r="T111" s="55"/>
      <c r="U111" s="52">
        <f t="shared" ca="1" si="1"/>
        <v>85</v>
      </c>
      <c r="V111" s="54">
        <v>0</v>
      </c>
      <c r="W111" s="52" t="s">
        <v>5587</v>
      </c>
    </row>
    <row r="112" spans="1:23" ht="20.100000000000001" customHeight="1" x14ac:dyDescent="0.25">
      <c r="A112" s="50">
        <v>46103</v>
      </c>
      <c r="B112" s="50">
        <v>46104</v>
      </c>
      <c r="C112" s="51">
        <v>46104</v>
      </c>
      <c r="D112" s="51"/>
      <c r="E112" s="52"/>
      <c r="F112" s="52"/>
      <c r="G112" s="52"/>
      <c r="H112" s="52">
        <v>5551</v>
      </c>
      <c r="I112" s="52" t="s">
        <v>21</v>
      </c>
      <c r="J112" s="52" t="s">
        <v>126</v>
      </c>
      <c r="K112" s="53">
        <v>32000</v>
      </c>
      <c r="L112" s="54"/>
      <c r="M112" s="52" t="s">
        <v>142</v>
      </c>
      <c r="N112" s="55"/>
      <c r="O112" s="50"/>
      <c r="P112" s="53"/>
      <c r="Q112" s="52"/>
      <c r="R112" s="52" t="s">
        <v>246</v>
      </c>
      <c r="S112" s="52"/>
      <c r="T112" s="55"/>
      <c r="U112" s="52">
        <f t="shared" ca="1" si="1"/>
        <v>82</v>
      </c>
      <c r="V112" s="54">
        <v>0</v>
      </c>
      <c r="W112" s="52" t="s">
        <v>5587</v>
      </c>
    </row>
    <row r="113" spans="1:23" ht="20.100000000000001" customHeight="1" x14ac:dyDescent="0.25">
      <c r="A113" s="50">
        <v>46103</v>
      </c>
      <c r="B113" s="50">
        <v>46104</v>
      </c>
      <c r="C113" s="51">
        <v>46104</v>
      </c>
      <c r="D113" s="51"/>
      <c r="E113" s="52"/>
      <c r="F113" s="52"/>
      <c r="G113" s="52"/>
      <c r="H113" s="52">
        <v>5552</v>
      </c>
      <c r="I113" s="52" t="s">
        <v>21</v>
      </c>
      <c r="J113" s="52" t="s">
        <v>126</v>
      </c>
      <c r="K113" s="53">
        <v>16000</v>
      </c>
      <c r="L113" s="54"/>
      <c r="M113" s="52" t="s">
        <v>142</v>
      </c>
      <c r="N113" s="55"/>
      <c r="O113" s="50"/>
      <c r="P113" s="53"/>
      <c r="Q113" s="52"/>
      <c r="R113" s="52" t="s">
        <v>247</v>
      </c>
      <c r="S113" s="52"/>
      <c r="T113" s="55"/>
      <c r="U113" s="52">
        <f t="shared" ca="1" si="1"/>
        <v>82</v>
      </c>
      <c r="V113" s="54">
        <v>0</v>
      </c>
      <c r="W113" s="52" t="s">
        <v>5587</v>
      </c>
    </row>
    <row r="114" spans="1:23" ht="20.100000000000001" customHeight="1" x14ac:dyDescent="0.25">
      <c r="A114" s="50">
        <v>46104</v>
      </c>
      <c r="B114" s="50">
        <v>46104</v>
      </c>
      <c r="C114" s="51">
        <v>46104</v>
      </c>
      <c r="D114" s="51"/>
      <c r="E114" s="52"/>
      <c r="F114" s="52"/>
      <c r="G114" s="52"/>
      <c r="H114" s="52">
        <v>5553</v>
      </c>
      <c r="I114" s="52" t="s">
        <v>21</v>
      </c>
      <c r="J114" s="52" t="s">
        <v>126</v>
      </c>
      <c r="K114" s="53">
        <v>23000</v>
      </c>
      <c r="L114" s="54"/>
      <c r="M114" s="52"/>
      <c r="N114" s="55"/>
      <c r="O114" s="50"/>
      <c r="P114" s="53"/>
      <c r="Q114" s="52"/>
      <c r="R114" s="52" t="s">
        <v>248</v>
      </c>
      <c r="S114" s="52"/>
      <c r="T114" s="55"/>
      <c r="U114" s="52">
        <f t="shared" ca="1" si="1"/>
        <v>82</v>
      </c>
      <c r="V114" s="54">
        <v>0</v>
      </c>
      <c r="W114" s="52" t="s">
        <v>5587</v>
      </c>
    </row>
    <row r="115" spans="1:23" ht="20.100000000000001" customHeight="1" x14ac:dyDescent="0.25">
      <c r="A115" s="50">
        <v>46104</v>
      </c>
      <c r="B115" s="50">
        <v>46104</v>
      </c>
      <c r="C115" s="51">
        <v>46104</v>
      </c>
      <c r="D115" s="51"/>
      <c r="E115" s="52"/>
      <c r="F115" s="52"/>
      <c r="G115" s="52"/>
      <c r="H115" s="52">
        <v>5554</v>
      </c>
      <c r="I115" s="52" t="s">
        <v>21</v>
      </c>
      <c r="J115" s="52" t="s">
        <v>126</v>
      </c>
      <c r="K115" s="53"/>
      <c r="L115" s="54"/>
      <c r="M115" s="52"/>
      <c r="N115" s="55"/>
      <c r="O115" s="50"/>
      <c r="P115" s="53"/>
      <c r="Q115" s="52"/>
      <c r="R115" s="52" t="s">
        <v>249</v>
      </c>
      <c r="S115" s="52"/>
      <c r="T115" s="55"/>
      <c r="U115" s="52">
        <f t="shared" ca="1" si="1"/>
        <v>82</v>
      </c>
      <c r="V115" s="54">
        <v>0</v>
      </c>
      <c r="W115" s="52" t="s">
        <v>5587</v>
      </c>
    </row>
    <row r="116" spans="1:23" ht="20.100000000000001" customHeight="1" x14ac:dyDescent="0.25">
      <c r="A116" s="50">
        <v>46106</v>
      </c>
      <c r="B116" s="50">
        <v>46104</v>
      </c>
      <c r="C116" s="51">
        <v>46104</v>
      </c>
      <c r="D116" s="51"/>
      <c r="E116" s="52"/>
      <c r="F116" s="52"/>
      <c r="G116" s="52"/>
      <c r="H116" s="52">
        <v>5555</v>
      </c>
      <c r="I116" s="52" t="s">
        <v>22</v>
      </c>
      <c r="J116" s="52" t="s">
        <v>126</v>
      </c>
      <c r="K116" s="53">
        <v>25000</v>
      </c>
      <c r="L116" s="54"/>
      <c r="M116" s="52" t="s">
        <v>142</v>
      </c>
      <c r="N116" s="55"/>
      <c r="O116" s="50"/>
      <c r="P116" s="53"/>
      <c r="Q116" s="52"/>
      <c r="R116" s="52" t="s">
        <v>250</v>
      </c>
      <c r="S116" s="52"/>
      <c r="T116" s="55"/>
      <c r="U116" s="52">
        <f t="shared" ca="1" si="1"/>
        <v>82</v>
      </c>
      <c r="V116" s="54">
        <v>0</v>
      </c>
      <c r="W116" s="52" t="s">
        <v>5587</v>
      </c>
    </row>
    <row r="117" spans="1:23" ht="20.100000000000001" customHeight="1" x14ac:dyDescent="0.25">
      <c r="A117" s="50">
        <v>46106</v>
      </c>
      <c r="B117" s="50">
        <v>46106</v>
      </c>
      <c r="C117" s="51">
        <v>46106</v>
      </c>
      <c r="D117" s="51"/>
      <c r="E117" s="52"/>
      <c r="F117" s="52"/>
      <c r="G117" s="52"/>
      <c r="H117" s="52">
        <v>5556</v>
      </c>
      <c r="I117" s="52" t="s">
        <v>22</v>
      </c>
      <c r="J117" s="52" t="s">
        <v>126</v>
      </c>
      <c r="K117" s="53">
        <v>25000</v>
      </c>
      <c r="L117" s="54"/>
      <c r="M117" s="52" t="s">
        <v>142</v>
      </c>
      <c r="N117" s="55"/>
      <c r="O117" s="50"/>
      <c r="P117" s="53"/>
      <c r="Q117" s="52"/>
      <c r="R117" s="52"/>
      <c r="S117" s="52"/>
      <c r="T117" s="55"/>
      <c r="U117" s="52">
        <f t="shared" ca="1" si="1"/>
        <v>80</v>
      </c>
      <c r="V117" s="54">
        <v>0</v>
      </c>
      <c r="W117" s="52" t="s">
        <v>5587</v>
      </c>
    </row>
    <row r="118" spans="1:23" ht="20.100000000000001" customHeight="1" x14ac:dyDescent="0.25">
      <c r="A118" s="50">
        <v>46105</v>
      </c>
      <c r="B118" s="50">
        <v>46105</v>
      </c>
      <c r="C118" s="51">
        <v>46105</v>
      </c>
      <c r="D118" s="51"/>
      <c r="E118" s="52"/>
      <c r="F118" s="52"/>
      <c r="G118" s="52"/>
      <c r="H118" s="52">
        <v>5557</v>
      </c>
      <c r="I118" s="52" t="s">
        <v>21</v>
      </c>
      <c r="J118" s="52" t="s">
        <v>126</v>
      </c>
      <c r="K118" s="53">
        <v>51200</v>
      </c>
      <c r="L118" s="54"/>
      <c r="M118" s="52" t="s">
        <v>142</v>
      </c>
      <c r="N118" s="55"/>
      <c r="O118" s="50"/>
      <c r="P118" s="53"/>
      <c r="Q118" s="52"/>
      <c r="R118" s="52" t="s">
        <v>247</v>
      </c>
      <c r="S118" s="52"/>
      <c r="T118" s="55"/>
      <c r="U118" s="52">
        <f t="shared" ca="1" si="1"/>
        <v>81</v>
      </c>
      <c r="V118" s="54">
        <v>0</v>
      </c>
      <c r="W118" s="52" t="s">
        <v>5587</v>
      </c>
    </row>
    <row r="119" spans="1:23" ht="20.100000000000001" customHeight="1" x14ac:dyDescent="0.25">
      <c r="A119" s="50">
        <v>46105</v>
      </c>
      <c r="B119" s="50">
        <v>46106</v>
      </c>
      <c r="C119" s="51">
        <v>46106</v>
      </c>
      <c r="D119" s="51"/>
      <c r="E119" s="52"/>
      <c r="F119" s="52"/>
      <c r="G119" s="52"/>
      <c r="H119" s="52">
        <v>5558</v>
      </c>
      <c r="I119" s="52" t="s">
        <v>21</v>
      </c>
      <c r="J119" s="52" t="s">
        <v>126</v>
      </c>
      <c r="K119" s="53">
        <v>15000</v>
      </c>
      <c r="L119" s="54"/>
      <c r="M119" s="52" t="s">
        <v>142</v>
      </c>
      <c r="N119" s="55"/>
      <c r="O119" s="50"/>
      <c r="P119" s="53"/>
      <c r="Q119" s="52"/>
      <c r="R119" s="52" t="s">
        <v>252</v>
      </c>
      <c r="S119" s="52"/>
      <c r="T119" s="55" t="s">
        <v>251</v>
      </c>
      <c r="U119" s="52">
        <f t="shared" ca="1" si="1"/>
        <v>80</v>
      </c>
      <c r="V119" s="54">
        <v>0</v>
      </c>
      <c r="W119" s="52" t="s">
        <v>5587</v>
      </c>
    </row>
    <row r="120" spans="1:23" ht="20.100000000000001" customHeight="1" x14ac:dyDescent="0.25">
      <c r="A120" s="50">
        <v>46106</v>
      </c>
      <c r="B120" s="50">
        <v>46106</v>
      </c>
      <c r="C120" s="51">
        <v>46106</v>
      </c>
      <c r="D120" s="51"/>
      <c r="E120" s="52"/>
      <c r="F120" s="52"/>
      <c r="G120" s="52"/>
      <c r="H120" s="52">
        <v>5559</v>
      </c>
      <c r="I120" s="52" t="s">
        <v>21</v>
      </c>
      <c r="J120" s="52" t="s">
        <v>126</v>
      </c>
      <c r="K120" s="53">
        <v>18000</v>
      </c>
      <c r="L120" s="54"/>
      <c r="M120" s="52" t="s">
        <v>142</v>
      </c>
      <c r="N120" s="55"/>
      <c r="O120" s="50"/>
      <c r="P120" s="53"/>
      <c r="Q120" s="52"/>
      <c r="R120" s="52" t="s">
        <v>253</v>
      </c>
      <c r="S120" s="52"/>
      <c r="T120" s="55"/>
      <c r="U120" s="52">
        <f t="shared" ca="1" si="1"/>
        <v>80</v>
      </c>
      <c r="V120" s="54">
        <v>0</v>
      </c>
      <c r="W120" s="52" t="s">
        <v>5587</v>
      </c>
    </row>
    <row r="121" spans="1:23" ht="20.100000000000001" customHeight="1" x14ac:dyDescent="0.25">
      <c r="A121" s="50">
        <v>46107</v>
      </c>
      <c r="B121" s="50">
        <v>46107</v>
      </c>
      <c r="C121" s="51">
        <v>46107</v>
      </c>
      <c r="D121" s="51"/>
      <c r="E121" s="52"/>
      <c r="F121" s="52"/>
      <c r="G121" s="52"/>
      <c r="H121" s="52">
        <v>5560</v>
      </c>
      <c r="I121" s="52" t="s">
        <v>21</v>
      </c>
      <c r="J121" s="52" t="s">
        <v>126</v>
      </c>
      <c r="K121" s="53">
        <v>20000</v>
      </c>
      <c r="L121" s="54"/>
      <c r="M121" s="52" t="s">
        <v>142</v>
      </c>
      <c r="N121" s="55"/>
      <c r="O121" s="50"/>
      <c r="P121" s="53"/>
      <c r="Q121" s="52"/>
      <c r="R121" s="52" t="s">
        <v>254</v>
      </c>
      <c r="S121" s="52"/>
      <c r="T121" s="55"/>
      <c r="U121" s="52">
        <f t="shared" ca="1" si="1"/>
        <v>79</v>
      </c>
      <c r="V121" s="54">
        <v>0</v>
      </c>
      <c r="W121" s="52" t="s">
        <v>5587</v>
      </c>
    </row>
    <row r="122" spans="1:23" ht="20.100000000000001" customHeight="1" x14ac:dyDescent="0.25">
      <c r="A122" s="50">
        <v>46107</v>
      </c>
      <c r="B122" s="50">
        <v>46107</v>
      </c>
      <c r="C122" s="51">
        <v>46107</v>
      </c>
      <c r="D122" s="51"/>
      <c r="E122" s="52"/>
      <c r="F122" s="52"/>
      <c r="G122" s="52"/>
      <c r="H122" s="52">
        <v>5561</v>
      </c>
      <c r="I122" s="52" t="s">
        <v>21</v>
      </c>
      <c r="J122" s="52" t="s">
        <v>110</v>
      </c>
      <c r="K122" s="53">
        <v>23000</v>
      </c>
      <c r="L122" s="54"/>
      <c r="M122" s="52" t="s">
        <v>142</v>
      </c>
      <c r="N122" s="55"/>
      <c r="O122" s="50"/>
      <c r="P122" s="53"/>
      <c r="Q122" s="52"/>
      <c r="R122" s="52" t="s">
        <v>255</v>
      </c>
      <c r="S122" s="52"/>
      <c r="T122" s="55"/>
      <c r="U122" s="52">
        <f t="shared" ca="1" si="1"/>
        <v>79</v>
      </c>
      <c r="V122" s="54">
        <v>0</v>
      </c>
      <c r="W122" s="52" t="s">
        <v>5587</v>
      </c>
    </row>
    <row r="123" spans="1:23" ht="20.100000000000001" customHeight="1" x14ac:dyDescent="0.25">
      <c r="A123" s="50">
        <v>46107</v>
      </c>
      <c r="B123" s="50">
        <v>46107</v>
      </c>
      <c r="C123" s="51">
        <v>46107</v>
      </c>
      <c r="D123" s="51"/>
      <c r="E123" s="52"/>
      <c r="F123" s="52"/>
      <c r="G123" s="52"/>
      <c r="H123" s="52">
        <v>5562</v>
      </c>
      <c r="I123" s="52" t="s">
        <v>21</v>
      </c>
      <c r="J123" s="52" t="s">
        <v>126</v>
      </c>
      <c r="K123" s="53">
        <v>23000</v>
      </c>
      <c r="L123" s="54">
        <v>1</v>
      </c>
      <c r="M123" s="52" t="s">
        <v>129</v>
      </c>
      <c r="N123" s="55" t="s">
        <v>130</v>
      </c>
      <c r="O123" s="50"/>
      <c r="P123" s="53">
        <v>23000</v>
      </c>
      <c r="Q123" s="52">
        <v>1</v>
      </c>
      <c r="R123" s="52" t="s">
        <v>256</v>
      </c>
      <c r="S123" s="52"/>
      <c r="T123" s="55"/>
      <c r="U123" s="52">
        <f t="shared" ca="1" si="1"/>
        <v>79</v>
      </c>
      <c r="V123" s="54">
        <v>0.5</v>
      </c>
      <c r="W123" s="52" t="s">
        <v>5587</v>
      </c>
    </row>
    <row r="124" spans="1:23" ht="20.100000000000001" customHeight="1" x14ac:dyDescent="0.25">
      <c r="A124" s="50">
        <v>46107</v>
      </c>
      <c r="B124" s="50">
        <v>46111</v>
      </c>
      <c r="C124" s="51">
        <v>46111</v>
      </c>
      <c r="D124" s="51"/>
      <c r="E124" s="52"/>
      <c r="F124" s="52"/>
      <c r="G124" s="52"/>
      <c r="H124" s="52">
        <v>5563</v>
      </c>
      <c r="I124" s="52" t="s">
        <v>21</v>
      </c>
      <c r="J124" s="52" t="s">
        <v>126</v>
      </c>
      <c r="K124" s="53">
        <v>25000</v>
      </c>
      <c r="L124" s="54"/>
      <c r="M124" s="52" t="s">
        <v>142</v>
      </c>
      <c r="N124" s="55"/>
      <c r="O124" s="50"/>
      <c r="P124" s="53"/>
      <c r="Q124" s="52"/>
      <c r="R124" s="52" t="s">
        <v>257</v>
      </c>
      <c r="S124" s="52"/>
      <c r="T124" s="55"/>
      <c r="U124" s="52">
        <f t="shared" ca="1" si="1"/>
        <v>75</v>
      </c>
      <c r="V124" s="54">
        <v>0</v>
      </c>
      <c r="W124" s="52" t="s">
        <v>5587</v>
      </c>
    </row>
    <row r="125" spans="1:23" ht="20.100000000000001" customHeight="1" x14ac:dyDescent="0.25">
      <c r="A125" s="50">
        <v>46111</v>
      </c>
      <c r="B125" s="50">
        <v>46111</v>
      </c>
      <c r="C125" s="51">
        <v>46111</v>
      </c>
      <c r="D125" s="51"/>
      <c r="E125" s="52"/>
      <c r="F125" s="52"/>
      <c r="G125" s="52"/>
      <c r="H125" s="52">
        <v>5564</v>
      </c>
      <c r="I125" s="52" t="s">
        <v>22</v>
      </c>
      <c r="J125" s="52" t="s">
        <v>126</v>
      </c>
      <c r="K125" s="53"/>
      <c r="L125" s="54"/>
      <c r="M125" s="52"/>
      <c r="N125" s="55"/>
      <c r="O125" s="50"/>
      <c r="P125" s="53"/>
      <c r="Q125" s="52"/>
      <c r="R125" s="52"/>
      <c r="S125" s="52"/>
      <c r="T125" s="55"/>
      <c r="U125" s="52">
        <f t="shared" ca="1" si="1"/>
        <v>75</v>
      </c>
      <c r="V125" s="54">
        <v>0</v>
      </c>
      <c r="W125" s="52" t="s">
        <v>5587</v>
      </c>
    </row>
    <row r="126" spans="1:23" ht="20.100000000000001" customHeight="1" x14ac:dyDescent="0.25">
      <c r="A126" s="50">
        <v>46112</v>
      </c>
      <c r="B126" s="50">
        <v>46112</v>
      </c>
      <c r="C126" s="51">
        <v>46112</v>
      </c>
      <c r="D126" s="51"/>
      <c r="E126" s="52"/>
      <c r="F126" s="52"/>
      <c r="G126" s="52"/>
      <c r="H126" s="52">
        <v>5565</v>
      </c>
      <c r="I126" s="52" t="s">
        <v>22</v>
      </c>
      <c r="J126" s="52" t="s">
        <v>126</v>
      </c>
      <c r="K126" s="53">
        <v>25000</v>
      </c>
      <c r="L126" s="54"/>
      <c r="M126" s="52" t="s">
        <v>142</v>
      </c>
      <c r="N126" s="55"/>
      <c r="O126" s="50"/>
      <c r="P126" s="53"/>
      <c r="Q126" s="52"/>
      <c r="R126" s="52" t="s">
        <v>258</v>
      </c>
      <c r="S126" s="52"/>
      <c r="T126" s="55"/>
      <c r="U126" s="52">
        <f t="shared" ca="1" si="1"/>
        <v>74</v>
      </c>
      <c r="V126" s="54">
        <v>0</v>
      </c>
      <c r="W126" s="52" t="s">
        <v>5587</v>
      </c>
    </row>
    <row r="127" spans="1:23" ht="20.100000000000001" customHeight="1" x14ac:dyDescent="0.25">
      <c r="A127" s="50">
        <v>46112</v>
      </c>
      <c r="B127" s="50">
        <v>46112</v>
      </c>
      <c r="C127" s="51">
        <v>46112</v>
      </c>
      <c r="D127" s="51"/>
      <c r="E127" s="52"/>
      <c r="F127" s="52"/>
      <c r="G127" s="52"/>
      <c r="H127" s="52">
        <v>5566</v>
      </c>
      <c r="I127" s="52" t="s">
        <v>21</v>
      </c>
      <c r="J127" s="52" t="s">
        <v>126</v>
      </c>
      <c r="K127" s="53">
        <v>32000</v>
      </c>
      <c r="L127" s="54"/>
      <c r="M127" s="52" t="s">
        <v>142</v>
      </c>
      <c r="N127" s="55"/>
      <c r="O127" s="50"/>
      <c r="P127" s="53"/>
      <c r="Q127" s="52"/>
      <c r="R127" s="52" t="s">
        <v>259</v>
      </c>
      <c r="S127" s="52"/>
      <c r="T127" s="55" t="s">
        <v>154</v>
      </c>
      <c r="U127" s="52">
        <f t="shared" ca="1" si="1"/>
        <v>74</v>
      </c>
      <c r="V127" s="54">
        <v>0</v>
      </c>
      <c r="W127" s="52" t="s">
        <v>5587</v>
      </c>
    </row>
    <row r="128" spans="1:23" ht="20.100000000000001" customHeight="1" x14ac:dyDescent="0.25">
      <c r="A128" s="50">
        <v>46112</v>
      </c>
      <c r="B128" s="50">
        <v>46112</v>
      </c>
      <c r="C128" s="51">
        <v>46112</v>
      </c>
      <c r="D128" s="51"/>
      <c r="E128" s="52"/>
      <c r="F128" s="52"/>
      <c r="G128" s="52"/>
      <c r="H128" s="52">
        <v>5567</v>
      </c>
      <c r="I128" s="52" t="s">
        <v>21</v>
      </c>
      <c r="J128" s="52" t="s">
        <v>126</v>
      </c>
      <c r="K128" s="53">
        <v>20000</v>
      </c>
      <c r="L128" s="54"/>
      <c r="M128" s="52" t="s">
        <v>142</v>
      </c>
      <c r="N128" s="55"/>
      <c r="O128" s="50"/>
      <c r="P128" s="53"/>
      <c r="Q128" s="52"/>
      <c r="R128" s="52" t="s">
        <v>260</v>
      </c>
      <c r="S128" s="52"/>
      <c r="T128" s="55"/>
      <c r="U128" s="52">
        <f t="shared" ca="1" si="1"/>
        <v>74</v>
      </c>
      <c r="V128" s="54">
        <v>0</v>
      </c>
      <c r="W128" s="52" t="s">
        <v>5587</v>
      </c>
    </row>
    <row r="129" spans="1:23" ht="20.100000000000001" customHeight="1" x14ac:dyDescent="0.25">
      <c r="A129" s="50">
        <v>46112</v>
      </c>
      <c r="B129" s="50">
        <v>46112</v>
      </c>
      <c r="C129" s="51">
        <v>46112</v>
      </c>
      <c r="D129" s="51"/>
      <c r="E129" s="52"/>
      <c r="F129" s="52"/>
      <c r="G129" s="52"/>
      <c r="H129" s="52">
        <v>5568</v>
      </c>
      <c r="I129" s="52" t="s">
        <v>21</v>
      </c>
      <c r="J129" s="52" t="s">
        <v>126</v>
      </c>
      <c r="K129" s="53">
        <v>22000</v>
      </c>
      <c r="L129" s="54"/>
      <c r="M129" s="52" t="s">
        <v>142</v>
      </c>
      <c r="N129" s="55"/>
      <c r="O129" s="50"/>
      <c r="P129" s="53"/>
      <c r="Q129" s="52"/>
      <c r="R129" s="52" t="s">
        <v>261</v>
      </c>
      <c r="S129" s="52"/>
      <c r="T129" s="55"/>
      <c r="U129" s="52">
        <f t="shared" ca="1" si="1"/>
        <v>74</v>
      </c>
      <c r="V129" s="54">
        <v>0</v>
      </c>
      <c r="W129" s="52" t="s">
        <v>5587</v>
      </c>
    </row>
    <row r="130" spans="1:23" ht="20.100000000000001" customHeight="1" x14ac:dyDescent="0.25">
      <c r="A130" s="50">
        <v>46113</v>
      </c>
      <c r="B130" s="50">
        <v>46113</v>
      </c>
      <c r="C130" s="51">
        <v>46113</v>
      </c>
      <c r="D130" s="51"/>
      <c r="E130" s="52"/>
      <c r="F130" s="52"/>
      <c r="G130" s="52"/>
      <c r="H130" s="52">
        <v>5569</v>
      </c>
      <c r="I130" s="52" t="s">
        <v>21</v>
      </c>
      <c r="J130" s="52" t="s">
        <v>126</v>
      </c>
      <c r="K130" s="53">
        <v>25000</v>
      </c>
      <c r="L130" s="54"/>
      <c r="M130" s="52" t="s">
        <v>142</v>
      </c>
      <c r="N130" s="55"/>
      <c r="O130" s="50"/>
      <c r="P130" s="53"/>
      <c r="Q130" s="52"/>
      <c r="R130" s="52" t="s">
        <v>262</v>
      </c>
      <c r="S130" s="52"/>
      <c r="T130" s="55"/>
      <c r="U130" s="52">
        <f t="shared" ca="1" si="1"/>
        <v>73</v>
      </c>
      <c r="V130" s="54">
        <v>0</v>
      </c>
      <c r="W130" s="52" t="s">
        <v>5587</v>
      </c>
    </row>
    <row r="131" spans="1:23" ht="20.100000000000001" customHeight="1" x14ac:dyDescent="0.25">
      <c r="A131" s="50">
        <v>46113</v>
      </c>
      <c r="B131" s="50">
        <v>46113</v>
      </c>
      <c r="C131" s="51">
        <v>46113</v>
      </c>
      <c r="D131" s="51"/>
      <c r="E131" s="52"/>
      <c r="F131" s="52"/>
      <c r="G131" s="52"/>
      <c r="H131" s="52">
        <v>5570</v>
      </c>
      <c r="I131" s="52" t="s">
        <v>21</v>
      </c>
      <c r="J131" s="52" t="s">
        <v>110</v>
      </c>
      <c r="K131" s="53">
        <v>59000</v>
      </c>
      <c r="L131" s="54">
        <v>1</v>
      </c>
      <c r="M131" s="52" t="s">
        <v>142</v>
      </c>
      <c r="N131" s="55" t="s">
        <v>130</v>
      </c>
      <c r="O131" s="50"/>
      <c r="P131" s="53">
        <v>59000</v>
      </c>
      <c r="Q131" s="52">
        <v>1</v>
      </c>
      <c r="R131" s="52" t="s">
        <v>263</v>
      </c>
      <c r="S131" s="52"/>
      <c r="T131" s="55" t="s">
        <v>243</v>
      </c>
      <c r="U131" s="52">
        <f t="shared" ca="1" si="1"/>
        <v>73</v>
      </c>
      <c r="V131" s="54">
        <v>0.5</v>
      </c>
      <c r="W131" s="52" t="s">
        <v>5587</v>
      </c>
    </row>
    <row r="132" spans="1:23" ht="20.100000000000001" customHeight="1" x14ac:dyDescent="0.25">
      <c r="A132" s="50">
        <v>46113</v>
      </c>
      <c r="B132" s="50">
        <v>46113</v>
      </c>
      <c r="C132" s="51">
        <v>46113</v>
      </c>
      <c r="D132" s="51"/>
      <c r="E132" s="52"/>
      <c r="F132" s="52"/>
      <c r="G132" s="52"/>
      <c r="H132" s="52">
        <v>5571</v>
      </c>
      <c r="I132" s="52" t="s">
        <v>22</v>
      </c>
      <c r="J132" s="52" t="s">
        <v>126</v>
      </c>
      <c r="K132" s="53">
        <v>28000</v>
      </c>
      <c r="L132" s="54"/>
      <c r="M132" s="52"/>
      <c r="N132" s="55"/>
      <c r="O132" s="50"/>
      <c r="P132" s="53"/>
      <c r="Q132" s="52"/>
      <c r="R132" s="52"/>
      <c r="S132" s="52"/>
      <c r="T132" s="55" t="s">
        <v>264</v>
      </c>
      <c r="U132" s="52">
        <f t="shared" ca="1" si="1"/>
        <v>73</v>
      </c>
      <c r="V132" s="54">
        <v>0</v>
      </c>
      <c r="W132" s="52" t="s">
        <v>5587</v>
      </c>
    </row>
    <row r="133" spans="1:23" ht="20.100000000000001" customHeight="1" x14ac:dyDescent="0.25">
      <c r="A133" s="50">
        <v>46113</v>
      </c>
      <c r="B133" s="50">
        <v>46113</v>
      </c>
      <c r="C133" s="51">
        <v>46113</v>
      </c>
      <c r="D133" s="51"/>
      <c r="E133" s="52"/>
      <c r="F133" s="52"/>
      <c r="G133" s="52"/>
      <c r="H133" s="52">
        <v>5572</v>
      </c>
      <c r="I133" s="52" t="s">
        <v>22</v>
      </c>
      <c r="J133" s="52" t="s">
        <v>110</v>
      </c>
      <c r="K133" s="53">
        <v>60000</v>
      </c>
      <c r="L133" s="54"/>
      <c r="M133" s="52"/>
      <c r="N133" s="55"/>
      <c r="O133" s="50"/>
      <c r="P133" s="53"/>
      <c r="Q133" s="52"/>
      <c r="R133" s="52" t="s">
        <v>265</v>
      </c>
      <c r="S133" s="52"/>
      <c r="T133" s="55"/>
      <c r="U133" s="52">
        <f t="shared" ref="U133:U196" ca="1" si="2">IF(C133="","",TODAY()-C133)</f>
        <v>73</v>
      </c>
      <c r="V133" s="54">
        <v>0</v>
      </c>
      <c r="W133" s="52" t="s">
        <v>5587</v>
      </c>
    </row>
    <row r="134" spans="1:23" ht="20.100000000000001" customHeight="1" x14ac:dyDescent="0.25">
      <c r="A134" s="50">
        <v>46114</v>
      </c>
      <c r="B134" s="50">
        <v>46114</v>
      </c>
      <c r="C134" s="51">
        <v>46114</v>
      </c>
      <c r="D134" s="51"/>
      <c r="E134" s="52"/>
      <c r="F134" s="52"/>
      <c r="G134" s="52"/>
      <c r="H134" s="52">
        <v>5573</v>
      </c>
      <c r="I134" s="52" t="s">
        <v>21</v>
      </c>
      <c r="J134" s="52" t="s">
        <v>126</v>
      </c>
      <c r="K134" s="53"/>
      <c r="L134" s="54"/>
      <c r="M134" s="52"/>
      <c r="N134" s="55"/>
      <c r="O134" s="50"/>
      <c r="P134" s="53"/>
      <c r="Q134" s="52"/>
      <c r="R134" s="52"/>
      <c r="S134" s="52"/>
      <c r="T134" s="55"/>
      <c r="U134" s="52">
        <f t="shared" ca="1" si="2"/>
        <v>72</v>
      </c>
      <c r="V134" s="54">
        <v>0</v>
      </c>
      <c r="W134" s="52" t="s">
        <v>5587</v>
      </c>
    </row>
    <row r="135" spans="1:23" ht="20.100000000000001" customHeight="1" x14ac:dyDescent="0.25">
      <c r="A135" s="50">
        <v>46119</v>
      </c>
      <c r="B135" s="50">
        <v>46119</v>
      </c>
      <c r="C135" s="51">
        <v>46119</v>
      </c>
      <c r="D135" s="51"/>
      <c r="E135" s="52"/>
      <c r="F135" s="52"/>
      <c r="G135" s="52"/>
      <c r="H135" s="52">
        <v>5574</v>
      </c>
      <c r="I135" s="52" t="s">
        <v>22</v>
      </c>
      <c r="J135" s="52" t="s">
        <v>126</v>
      </c>
      <c r="K135" s="53"/>
      <c r="L135" s="54"/>
      <c r="M135" s="52"/>
      <c r="N135" s="55"/>
      <c r="O135" s="50"/>
      <c r="P135" s="53"/>
      <c r="Q135" s="52"/>
      <c r="R135" s="52"/>
      <c r="S135" s="52"/>
      <c r="T135" s="55"/>
      <c r="U135" s="52">
        <f t="shared" ca="1" si="2"/>
        <v>67</v>
      </c>
      <c r="V135" s="54">
        <v>0</v>
      </c>
      <c r="W135" s="52" t="s">
        <v>5587</v>
      </c>
    </row>
    <row r="136" spans="1:23" ht="20.100000000000001" customHeight="1" x14ac:dyDescent="0.25">
      <c r="A136" s="50">
        <v>46119</v>
      </c>
      <c r="B136" s="50">
        <v>46119</v>
      </c>
      <c r="C136" s="51">
        <v>46119</v>
      </c>
      <c r="D136" s="51"/>
      <c r="E136" s="52"/>
      <c r="F136" s="52"/>
      <c r="G136" s="52"/>
      <c r="H136" s="52">
        <v>5575</v>
      </c>
      <c r="I136" s="52" t="s">
        <v>22</v>
      </c>
      <c r="J136" s="52" t="s">
        <v>126</v>
      </c>
      <c r="K136" s="53">
        <v>13000</v>
      </c>
      <c r="L136" s="54"/>
      <c r="M136" s="52" t="s">
        <v>142</v>
      </c>
      <c r="N136" s="55"/>
      <c r="O136" s="50"/>
      <c r="P136" s="53"/>
      <c r="Q136" s="52"/>
      <c r="R136" s="52" t="s">
        <v>266</v>
      </c>
      <c r="S136" s="52"/>
      <c r="T136" s="55"/>
      <c r="U136" s="52">
        <f t="shared" ca="1" si="2"/>
        <v>67</v>
      </c>
      <c r="V136" s="54">
        <v>0</v>
      </c>
      <c r="W136" s="52" t="s">
        <v>5587</v>
      </c>
    </row>
    <row r="137" spans="1:23" ht="20.100000000000001" customHeight="1" x14ac:dyDescent="0.25">
      <c r="A137" s="50">
        <v>46120</v>
      </c>
      <c r="B137" s="50">
        <v>46120</v>
      </c>
      <c r="C137" s="51">
        <v>46120</v>
      </c>
      <c r="D137" s="51"/>
      <c r="E137" s="52"/>
      <c r="F137" s="52"/>
      <c r="G137" s="52"/>
      <c r="H137" s="52">
        <v>5576</v>
      </c>
      <c r="I137" s="52" t="s">
        <v>22</v>
      </c>
      <c r="J137" s="52" t="s">
        <v>110</v>
      </c>
      <c r="K137" s="53">
        <v>23760</v>
      </c>
      <c r="L137" s="54">
        <v>1</v>
      </c>
      <c r="M137" s="52" t="s">
        <v>147</v>
      </c>
      <c r="N137" s="55" t="s">
        <v>130</v>
      </c>
      <c r="O137" s="50">
        <v>46160</v>
      </c>
      <c r="P137" s="53">
        <v>23760</v>
      </c>
      <c r="Q137" s="52">
        <v>1</v>
      </c>
      <c r="R137" s="52" t="s">
        <v>267</v>
      </c>
      <c r="S137" s="52"/>
      <c r="T137" s="55"/>
      <c r="U137" s="52">
        <f t="shared" ca="1" si="2"/>
        <v>66</v>
      </c>
      <c r="V137" s="54">
        <v>0.5</v>
      </c>
      <c r="W137" s="52" t="s">
        <v>5587</v>
      </c>
    </row>
    <row r="138" spans="1:23" ht="20.100000000000001" customHeight="1" x14ac:dyDescent="0.25">
      <c r="A138" s="50">
        <v>46120</v>
      </c>
      <c r="B138" s="50">
        <v>46120</v>
      </c>
      <c r="C138" s="51">
        <v>46120</v>
      </c>
      <c r="D138" s="51"/>
      <c r="E138" s="52"/>
      <c r="F138" s="52"/>
      <c r="G138" s="52"/>
      <c r="H138" s="52">
        <v>5577</v>
      </c>
      <c r="I138" s="52" t="s">
        <v>22</v>
      </c>
      <c r="J138" s="52" t="s">
        <v>110</v>
      </c>
      <c r="K138" s="53">
        <v>16000</v>
      </c>
      <c r="L138" s="54"/>
      <c r="M138" s="52" t="s">
        <v>142</v>
      </c>
      <c r="N138" s="55"/>
      <c r="O138" s="50"/>
      <c r="P138" s="53"/>
      <c r="Q138" s="52"/>
      <c r="R138" s="52" t="s">
        <v>268</v>
      </c>
      <c r="S138" s="52"/>
      <c r="T138" s="55"/>
      <c r="U138" s="52">
        <f t="shared" ca="1" si="2"/>
        <v>66</v>
      </c>
      <c r="V138" s="54">
        <v>0</v>
      </c>
      <c r="W138" s="52" t="s">
        <v>5587</v>
      </c>
    </row>
    <row r="139" spans="1:23" ht="20.100000000000001" customHeight="1" x14ac:dyDescent="0.25">
      <c r="A139" s="50">
        <v>46120</v>
      </c>
      <c r="B139" s="50">
        <v>-618622</v>
      </c>
      <c r="C139" s="51">
        <v>46120</v>
      </c>
      <c r="D139" s="51"/>
      <c r="E139" s="52"/>
      <c r="F139" s="52"/>
      <c r="G139" s="52"/>
      <c r="H139" s="52">
        <v>5578</v>
      </c>
      <c r="I139" s="52" t="s">
        <v>22</v>
      </c>
      <c r="J139" s="52" t="s">
        <v>145</v>
      </c>
      <c r="K139" s="53">
        <v>25000</v>
      </c>
      <c r="L139" s="54"/>
      <c r="M139" s="52" t="s">
        <v>142</v>
      </c>
      <c r="N139" s="55"/>
      <c r="O139" s="50"/>
      <c r="P139" s="53"/>
      <c r="Q139" s="52"/>
      <c r="R139" s="52" t="s">
        <v>250</v>
      </c>
      <c r="S139" s="52"/>
      <c r="T139" s="55"/>
      <c r="U139" s="52">
        <f t="shared" ca="1" si="2"/>
        <v>66</v>
      </c>
      <c r="V139" s="54">
        <v>0</v>
      </c>
      <c r="W139" s="52" t="s">
        <v>5587</v>
      </c>
    </row>
    <row r="140" spans="1:23" ht="20.100000000000001" customHeight="1" x14ac:dyDescent="0.25">
      <c r="A140" s="50">
        <v>46121</v>
      </c>
      <c r="B140" s="50">
        <v>46121</v>
      </c>
      <c r="C140" s="51">
        <v>46121</v>
      </c>
      <c r="D140" s="51"/>
      <c r="E140" s="52"/>
      <c r="F140" s="52"/>
      <c r="G140" s="52"/>
      <c r="H140" s="52">
        <v>5580</v>
      </c>
      <c r="I140" s="52" t="s">
        <v>21</v>
      </c>
      <c r="J140" s="52" t="s">
        <v>126</v>
      </c>
      <c r="K140" s="53">
        <v>12500</v>
      </c>
      <c r="L140" s="54"/>
      <c r="M140" s="52" t="s">
        <v>142</v>
      </c>
      <c r="N140" s="55"/>
      <c r="O140" s="50"/>
      <c r="P140" s="53"/>
      <c r="Q140" s="52"/>
      <c r="R140" s="52" t="s">
        <v>269</v>
      </c>
      <c r="S140" s="52"/>
      <c r="T140" s="55"/>
      <c r="U140" s="52">
        <f t="shared" ca="1" si="2"/>
        <v>65</v>
      </c>
      <c r="V140" s="54">
        <v>0</v>
      </c>
      <c r="W140" s="52" t="s">
        <v>5587</v>
      </c>
    </row>
    <row r="141" spans="1:23" ht="20.100000000000001" customHeight="1" x14ac:dyDescent="0.25">
      <c r="A141" s="50">
        <v>46121</v>
      </c>
      <c r="B141" s="50">
        <v>46121</v>
      </c>
      <c r="C141" s="51">
        <v>46121</v>
      </c>
      <c r="D141" s="51"/>
      <c r="E141" s="52"/>
      <c r="F141" s="52"/>
      <c r="G141" s="52"/>
      <c r="H141" s="52">
        <v>5581</v>
      </c>
      <c r="I141" s="52" t="s">
        <v>21</v>
      </c>
      <c r="J141" s="52" t="s">
        <v>126</v>
      </c>
      <c r="K141" s="53">
        <v>60000</v>
      </c>
      <c r="L141" s="54"/>
      <c r="M141" s="52" t="s">
        <v>142</v>
      </c>
      <c r="N141" s="55"/>
      <c r="O141" s="50"/>
      <c r="P141" s="53"/>
      <c r="Q141" s="52"/>
      <c r="R141" s="52"/>
      <c r="S141" s="52"/>
      <c r="T141" s="55" t="s">
        <v>243</v>
      </c>
      <c r="U141" s="52">
        <f t="shared" ca="1" si="2"/>
        <v>65</v>
      </c>
      <c r="V141" s="54">
        <v>0</v>
      </c>
      <c r="W141" s="52" t="s">
        <v>5587</v>
      </c>
    </row>
    <row r="142" spans="1:23" ht="20.100000000000001" customHeight="1" x14ac:dyDescent="0.25">
      <c r="A142" s="50">
        <v>46121</v>
      </c>
      <c r="B142" s="50">
        <v>46121</v>
      </c>
      <c r="C142" s="51">
        <v>46121</v>
      </c>
      <c r="D142" s="51"/>
      <c r="E142" s="52"/>
      <c r="F142" s="52"/>
      <c r="G142" s="52"/>
      <c r="H142" s="52">
        <v>5582</v>
      </c>
      <c r="I142" s="52" t="s">
        <v>21</v>
      </c>
      <c r="J142" s="52" t="s">
        <v>126</v>
      </c>
      <c r="K142" s="53">
        <v>30000</v>
      </c>
      <c r="L142" s="54">
        <v>1</v>
      </c>
      <c r="M142" s="52" t="s">
        <v>129</v>
      </c>
      <c r="N142" s="55" t="s">
        <v>130</v>
      </c>
      <c r="O142" s="50"/>
      <c r="P142" s="53">
        <v>30000</v>
      </c>
      <c r="Q142" s="52">
        <v>1</v>
      </c>
      <c r="R142" s="52" t="s">
        <v>270</v>
      </c>
      <c r="S142" s="52"/>
      <c r="T142" s="55"/>
      <c r="U142" s="52">
        <f t="shared" ca="1" si="2"/>
        <v>65</v>
      </c>
      <c r="V142" s="54">
        <v>0.5</v>
      </c>
      <c r="W142" s="52" t="s">
        <v>5587</v>
      </c>
    </row>
    <row r="143" spans="1:23" ht="20.100000000000001" customHeight="1" x14ac:dyDescent="0.25">
      <c r="A143" s="50">
        <v>46121</v>
      </c>
      <c r="B143" s="50">
        <v>46121</v>
      </c>
      <c r="C143" s="51">
        <v>46121</v>
      </c>
      <c r="D143" s="51"/>
      <c r="E143" s="52"/>
      <c r="F143" s="52"/>
      <c r="G143" s="52"/>
      <c r="H143" s="52">
        <v>5583</v>
      </c>
      <c r="I143" s="52" t="s">
        <v>21</v>
      </c>
      <c r="J143" s="52" t="s">
        <v>126</v>
      </c>
      <c r="K143" s="53"/>
      <c r="L143" s="54"/>
      <c r="M143" s="52"/>
      <c r="N143" s="55"/>
      <c r="O143" s="50"/>
      <c r="P143" s="53"/>
      <c r="Q143" s="52"/>
      <c r="R143" s="52" t="s">
        <v>271</v>
      </c>
      <c r="S143" s="52"/>
      <c r="T143" s="55"/>
      <c r="U143" s="52">
        <f t="shared" ca="1" si="2"/>
        <v>65</v>
      </c>
      <c r="V143" s="54">
        <v>0</v>
      </c>
      <c r="W143" s="52" t="s">
        <v>5587</v>
      </c>
    </row>
    <row r="144" spans="1:23" ht="20.100000000000001" customHeight="1" x14ac:dyDescent="0.25">
      <c r="A144" s="50">
        <v>46122</v>
      </c>
      <c r="B144" s="50">
        <v>46122</v>
      </c>
      <c r="C144" s="51">
        <v>46122</v>
      </c>
      <c r="D144" s="51"/>
      <c r="E144" s="52"/>
      <c r="F144" s="52"/>
      <c r="G144" s="52"/>
      <c r="H144" s="52">
        <v>5584</v>
      </c>
      <c r="I144" s="52" t="s">
        <v>22</v>
      </c>
      <c r="J144" s="52" t="s">
        <v>126</v>
      </c>
      <c r="K144" s="53"/>
      <c r="L144" s="54">
        <v>1</v>
      </c>
      <c r="M144" s="52"/>
      <c r="N144" s="55" t="s">
        <v>130</v>
      </c>
      <c r="O144" s="50"/>
      <c r="P144" s="53"/>
      <c r="Q144" s="52">
        <v>1</v>
      </c>
      <c r="R144" s="52" t="s">
        <v>272</v>
      </c>
      <c r="S144" s="52"/>
      <c r="T144" s="55"/>
      <c r="U144" s="52">
        <f t="shared" ca="1" si="2"/>
        <v>64</v>
      </c>
      <c r="V144" s="54">
        <v>0.5</v>
      </c>
      <c r="W144" s="52" t="s">
        <v>5587</v>
      </c>
    </row>
    <row r="145" spans="1:23" ht="20.100000000000001" customHeight="1" x14ac:dyDescent="0.25">
      <c r="A145" s="50">
        <v>46122</v>
      </c>
      <c r="B145" s="50">
        <v>46122</v>
      </c>
      <c r="C145" s="51">
        <v>46122</v>
      </c>
      <c r="D145" s="51"/>
      <c r="E145" s="52"/>
      <c r="F145" s="52"/>
      <c r="G145" s="52"/>
      <c r="H145" s="52">
        <v>5585</v>
      </c>
      <c r="I145" s="52" t="s">
        <v>21</v>
      </c>
      <c r="J145" s="52" t="s">
        <v>126</v>
      </c>
      <c r="K145" s="53">
        <v>23000</v>
      </c>
      <c r="L145" s="54"/>
      <c r="M145" s="52" t="s">
        <v>142</v>
      </c>
      <c r="N145" s="55"/>
      <c r="O145" s="50"/>
      <c r="P145" s="53"/>
      <c r="Q145" s="52"/>
      <c r="R145" s="52" t="s">
        <v>273</v>
      </c>
      <c r="S145" s="52"/>
      <c r="T145" s="55"/>
      <c r="U145" s="52">
        <f t="shared" ca="1" si="2"/>
        <v>64</v>
      </c>
      <c r="V145" s="54">
        <v>0</v>
      </c>
      <c r="W145" s="52" t="s">
        <v>5587</v>
      </c>
    </row>
    <row r="146" spans="1:23" ht="20.100000000000001" customHeight="1" x14ac:dyDescent="0.25">
      <c r="A146" s="50">
        <v>46122</v>
      </c>
      <c r="B146" s="50">
        <v>46122</v>
      </c>
      <c r="C146" s="51">
        <v>46122</v>
      </c>
      <c r="D146" s="51"/>
      <c r="E146" s="52"/>
      <c r="F146" s="52"/>
      <c r="G146" s="52"/>
      <c r="H146" s="52">
        <v>5586</v>
      </c>
      <c r="I146" s="52" t="s">
        <v>21</v>
      </c>
      <c r="J146" s="52" t="s">
        <v>126</v>
      </c>
      <c r="K146" s="53">
        <v>33000</v>
      </c>
      <c r="L146" s="54"/>
      <c r="M146" s="52" t="s">
        <v>142</v>
      </c>
      <c r="N146" s="55"/>
      <c r="O146" s="50"/>
      <c r="P146" s="53"/>
      <c r="Q146" s="52"/>
      <c r="R146" s="52" t="s">
        <v>274</v>
      </c>
      <c r="S146" s="52"/>
      <c r="T146" s="55"/>
      <c r="U146" s="52">
        <f t="shared" ca="1" si="2"/>
        <v>64</v>
      </c>
      <c r="V146" s="54">
        <v>0</v>
      </c>
      <c r="W146" s="52" t="s">
        <v>5587</v>
      </c>
    </row>
    <row r="147" spans="1:23" ht="20.100000000000001" customHeight="1" x14ac:dyDescent="0.25">
      <c r="A147" s="50">
        <v>46125</v>
      </c>
      <c r="B147" s="50">
        <v>46125</v>
      </c>
      <c r="C147" s="51">
        <v>46125</v>
      </c>
      <c r="D147" s="51"/>
      <c r="E147" s="52"/>
      <c r="F147" s="52"/>
      <c r="G147" s="52"/>
      <c r="H147" s="52">
        <v>5587</v>
      </c>
      <c r="I147" s="52" t="s">
        <v>21</v>
      </c>
      <c r="J147" s="52" t="s">
        <v>126</v>
      </c>
      <c r="K147" s="53">
        <v>23000</v>
      </c>
      <c r="L147" s="54"/>
      <c r="M147" s="52" t="s">
        <v>142</v>
      </c>
      <c r="N147" s="55"/>
      <c r="O147" s="50"/>
      <c r="P147" s="53"/>
      <c r="Q147" s="52"/>
      <c r="R147" s="52" t="s">
        <v>275</v>
      </c>
      <c r="S147" s="52"/>
      <c r="T147" s="55"/>
      <c r="U147" s="52">
        <f t="shared" ca="1" si="2"/>
        <v>61</v>
      </c>
      <c r="V147" s="54">
        <v>0</v>
      </c>
      <c r="W147" s="52" t="s">
        <v>5587</v>
      </c>
    </row>
    <row r="148" spans="1:23" ht="20.100000000000001" customHeight="1" x14ac:dyDescent="0.25">
      <c r="A148" s="50">
        <v>46125</v>
      </c>
      <c r="B148" s="50">
        <v>46125</v>
      </c>
      <c r="C148" s="51">
        <v>46125</v>
      </c>
      <c r="D148" s="51"/>
      <c r="E148" s="52"/>
      <c r="F148" s="52"/>
      <c r="G148" s="52"/>
      <c r="H148" s="52">
        <v>5588</v>
      </c>
      <c r="I148" s="52" t="s">
        <v>21</v>
      </c>
      <c r="J148" s="52" t="s">
        <v>126</v>
      </c>
      <c r="K148" s="53"/>
      <c r="L148" s="54"/>
      <c r="M148" s="52"/>
      <c r="N148" s="55"/>
      <c r="O148" s="50"/>
      <c r="P148" s="53"/>
      <c r="Q148" s="52"/>
      <c r="R148" s="52"/>
      <c r="S148" s="52"/>
      <c r="T148" s="55" t="s">
        <v>276</v>
      </c>
      <c r="U148" s="52">
        <f t="shared" ca="1" si="2"/>
        <v>61</v>
      </c>
      <c r="V148" s="54">
        <v>0</v>
      </c>
      <c r="W148" s="52" t="s">
        <v>5587</v>
      </c>
    </row>
    <row r="149" spans="1:23" ht="20.100000000000001" customHeight="1" x14ac:dyDescent="0.25">
      <c r="A149" s="50">
        <v>46125</v>
      </c>
      <c r="B149" s="50">
        <v>46125</v>
      </c>
      <c r="C149" s="51">
        <v>46125</v>
      </c>
      <c r="D149" s="51"/>
      <c r="E149" s="52"/>
      <c r="F149" s="52"/>
      <c r="G149" s="52"/>
      <c r="H149" s="52">
        <v>5593</v>
      </c>
      <c r="I149" s="52" t="s">
        <v>21</v>
      </c>
      <c r="J149" s="52" t="s">
        <v>126</v>
      </c>
      <c r="K149" s="53">
        <v>27000</v>
      </c>
      <c r="L149" s="54"/>
      <c r="M149" s="52" t="s">
        <v>142</v>
      </c>
      <c r="N149" s="55"/>
      <c r="O149" s="50"/>
      <c r="P149" s="53"/>
      <c r="Q149" s="52"/>
      <c r="R149" s="52"/>
      <c r="S149" s="52"/>
      <c r="T149" s="55" t="s">
        <v>277</v>
      </c>
      <c r="U149" s="52">
        <f t="shared" ca="1" si="2"/>
        <v>61</v>
      </c>
      <c r="V149" s="54">
        <v>0</v>
      </c>
      <c r="W149" s="52" t="s">
        <v>5587</v>
      </c>
    </row>
    <row r="150" spans="1:23" ht="20.100000000000001" customHeight="1" x14ac:dyDescent="0.25">
      <c r="A150" s="50">
        <v>46126</v>
      </c>
      <c r="B150" s="50">
        <v>46126</v>
      </c>
      <c r="C150" s="51">
        <v>46126</v>
      </c>
      <c r="D150" s="51"/>
      <c r="E150" s="52"/>
      <c r="F150" s="52"/>
      <c r="G150" s="52"/>
      <c r="H150" s="52">
        <v>5590</v>
      </c>
      <c r="I150" s="52" t="s">
        <v>21</v>
      </c>
      <c r="J150" s="52" t="s">
        <v>126</v>
      </c>
      <c r="K150" s="53">
        <v>16000</v>
      </c>
      <c r="L150" s="54"/>
      <c r="M150" s="52" t="s">
        <v>142</v>
      </c>
      <c r="N150" s="55"/>
      <c r="O150" s="50"/>
      <c r="P150" s="53"/>
      <c r="Q150" s="52"/>
      <c r="R150" s="52" t="s">
        <v>278</v>
      </c>
      <c r="S150" s="52"/>
      <c r="T150" s="55"/>
      <c r="U150" s="52">
        <f t="shared" ca="1" si="2"/>
        <v>60</v>
      </c>
      <c r="V150" s="54">
        <v>0</v>
      </c>
      <c r="W150" s="52" t="s">
        <v>5587</v>
      </c>
    </row>
    <row r="151" spans="1:23" ht="20.100000000000001" customHeight="1" x14ac:dyDescent="0.25">
      <c r="A151" s="50">
        <v>46126</v>
      </c>
      <c r="B151" s="50">
        <v>46126</v>
      </c>
      <c r="C151" s="51">
        <v>46126</v>
      </c>
      <c r="D151" s="51"/>
      <c r="E151" s="52"/>
      <c r="F151" s="52"/>
      <c r="G151" s="52"/>
      <c r="H151" s="52">
        <v>5591</v>
      </c>
      <c r="I151" s="52" t="s">
        <v>21</v>
      </c>
      <c r="J151" s="52" t="s">
        <v>126</v>
      </c>
      <c r="K151" s="53">
        <v>32000</v>
      </c>
      <c r="L151" s="54"/>
      <c r="M151" s="52" t="s">
        <v>142</v>
      </c>
      <c r="N151" s="55"/>
      <c r="O151" s="50"/>
      <c r="P151" s="53"/>
      <c r="Q151" s="52"/>
      <c r="R151" s="52" t="s">
        <v>279</v>
      </c>
      <c r="S151" s="52"/>
      <c r="T151" s="55"/>
      <c r="U151" s="52">
        <f t="shared" ca="1" si="2"/>
        <v>60</v>
      </c>
      <c r="V151" s="54">
        <v>0</v>
      </c>
      <c r="W151" s="52" t="s">
        <v>5587</v>
      </c>
    </row>
    <row r="152" spans="1:23" ht="20.100000000000001" customHeight="1" x14ac:dyDescent="0.25">
      <c r="A152" s="50">
        <v>46126</v>
      </c>
      <c r="B152" s="50">
        <v>46126</v>
      </c>
      <c r="C152" s="51">
        <v>46126</v>
      </c>
      <c r="D152" s="51"/>
      <c r="E152" s="52"/>
      <c r="F152" s="52"/>
      <c r="G152" s="52"/>
      <c r="H152" s="52">
        <v>5592</v>
      </c>
      <c r="I152" s="52" t="s">
        <v>21</v>
      </c>
      <c r="J152" s="52" t="s">
        <v>126</v>
      </c>
      <c r="K152" s="53">
        <v>21000</v>
      </c>
      <c r="L152" s="54"/>
      <c r="M152" s="52" t="s">
        <v>142</v>
      </c>
      <c r="N152" s="55"/>
      <c r="O152" s="50"/>
      <c r="P152" s="53"/>
      <c r="Q152" s="52"/>
      <c r="R152" s="52" t="s">
        <v>270</v>
      </c>
      <c r="S152" s="52"/>
      <c r="T152" s="55"/>
      <c r="U152" s="52">
        <f t="shared" ca="1" si="2"/>
        <v>60</v>
      </c>
      <c r="V152" s="54">
        <v>0</v>
      </c>
      <c r="W152" s="52" t="s">
        <v>5587</v>
      </c>
    </row>
    <row r="153" spans="1:23" ht="20.100000000000001" customHeight="1" x14ac:dyDescent="0.25">
      <c r="A153" s="50">
        <v>46126</v>
      </c>
      <c r="B153" s="50">
        <v>46126</v>
      </c>
      <c r="C153" s="51">
        <v>46126</v>
      </c>
      <c r="D153" s="51"/>
      <c r="E153" s="52"/>
      <c r="F153" s="52"/>
      <c r="G153" s="52"/>
      <c r="H153" s="52">
        <v>5593</v>
      </c>
      <c r="I153" s="52" t="s">
        <v>21</v>
      </c>
      <c r="J153" s="52" t="s">
        <v>126</v>
      </c>
      <c r="K153" s="53">
        <v>27000</v>
      </c>
      <c r="L153" s="54"/>
      <c r="M153" s="52" t="s">
        <v>142</v>
      </c>
      <c r="N153" s="55"/>
      <c r="O153" s="50"/>
      <c r="P153" s="53"/>
      <c r="Q153" s="52"/>
      <c r="R153" s="52"/>
      <c r="S153" s="52"/>
      <c r="T153" s="55" t="s">
        <v>280</v>
      </c>
      <c r="U153" s="52">
        <f t="shared" ca="1" si="2"/>
        <v>60</v>
      </c>
      <c r="V153" s="54">
        <v>0</v>
      </c>
      <c r="W153" s="52" t="s">
        <v>5587</v>
      </c>
    </row>
    <row r="154" spans="1:23" ht="20.100000000000001" customHeight="1" x14ac:dyDescent="0.25">
      <c r="A154" s="50">
        <v>46127</v>
      </c>
      <c r="B154" s="50">
        <v>46127</v>
      </c>
      <c r="C154" s="51">
        <v>46127</v>
      </c>
      <c r="D154" s="51"/>
      <c r="E154" s="52"/>
      <c r="F154" s="52"/>
      <c r="G154" s="52"/>
      <c r="H154" s="52">
        <v>5594</v>
      </c>
      <c r="I154" s="52" t="s">
        <v>21</v>
      </c>
      <c r="J154" s="52" t="s">
        <v>126</v>
      </c>
      <c r="K154" s="53"/>
      <c r="L154" s="54"/>
      <c r="M154" s="52"/>
      <c r="N154" s="55"/>
      <c r="O154" s="50"/>
      <c r="P154" s="53"/>
      <c r="Q154" s="52"/>
      <c r="R154" s="52"/>
      <c r="S154" s="52"/>
      <c r="T154" s="55"/>
      <c r="U154" s="52">
        <f t="shared" ca="1" si="2"/>
        <v>59</v>
      </c>
      <c r="V154" s="54">
        <v>0</v>
      </c>
      <c r="W154" s="52" t="s">
        <v>5587</v>
      </c>
    </row>
    <row r="155" spans="1:23" ht="20.100000000000001" customHeight="1" x14ac:dyDescent="0.25">
      <c r="A155" s="50">
        <v>46127</v>
      </c>
      <c r="B155" s="50">
        <v>46127</v>
      </c>
      <c r="C155" s="51">
        <v>46127</v>
      </c>
      <c r="D155" s="51"/>
      <c r="E155" s="52"/>
      <c r="F155" s="52"/>
      <c r="G155" s="52"/>
      <c r="H155" s="52">
        <v>5595</v>
      </c>
      <c r="I155" s="52" t="s">
        <v>22</v>
      </c>
      <c r="J155" s="52" t="s">
        <v>282</v>
      </c>
      <c r="K155" s="53">
        <v>17300</v>
      </c>
      <c r="L155" s="54"/>
      <c r="M155" s="52" t="s">
        <v>142</v>
      </c>
      <c r="N155" s="55"/>
      <c r="O155" s="50"/>
      <c r="P155" s="53"/>
      <c r="Q155" s="52"/>
      <c r="R155" s="52" t="s">
        <v>267</v>
      </c>
      <c r="S155" s="52"/>
      <c r="T155" s="55" t="s">
        <v>281</v>
      </c>
      <c r="U155" s="52">
        <f t="shared" ca="1" si="2"/>
        <v>59</v>
      </c>
      <c r="V155" s="54">
        <v>0</v>
      </c>
      <c r="W155" s="52" t="s">
        <v>5587</v>
      </c>
    </row>
    <row r="156" spans="1:23" ht="20.100000000000001" customHeight="1" x14ac:dyDescent="0.25">
      <c r="A156" s="50">
        <v>46128</v>
      </c>
      <c r="B156" s="50">
        <v>46128</v>
      </c>
      <c r="C156" s="51">
        <v>46128</v>
      </c>
      <c r="D156" s="51"/>
      <c r="E156" s="52"/>
      <c r="F156" s="52"/>
      <c r="G156" s="52"/>
      <c r="H156" s="52">
        <v>5596</v>
      </c>
      <c r="I156" s="52" t="s">
        <v>22</v>
      </c>
      <c r="J156" s="52" t="s">
        <v>126</v>
      </c>
      <c r="K156" s="53"/>
      <c r="L156" s="54"/>
      <c r="M156" s="52"/>
      <c r="N156" s="55"/>
      <c r="O156" s="50"/>
      <c r="P156" s="53"/>
      <c r="Q156" s="52"/>
      <c r="R156" s="52"/>
      <c r="S156" s="52"/>
      <c r="T156" s="55"/>
      <c r="U156" s="52">
        <f t="shared" ca="1" si="2"/>
        <v>58</v>
      </c>
      <c r="V156" s="54">
        <v>0</v>
      </c>
      <c r="W156" s="52" t="s">
        <v>5587</v>
      </c>
    </row>
    <row r="157" spans="1:23" ht="20.100000000000001" customHeight="1" x14ac:dyDescent="0.25">
      <c r="A157" s="50">
        <v>46129</v>
      </c>
      <c r="B157" s="50">
        <v>46129</v>
      </c>
      <c r="C157" s="51">
        <v>46129</v>
      </c>
      <c r="D157" s="51"/>
      <c r="E157" s="52"/>
      <c r="F157" s="52"/>
      <c r="G157" s="52"/>
      <c r="H157" s="52">
        <v>5597</v>
      </c>
      <c r="I157" s="52" t="s">
        <v>21</v>
      </c>
      <c r="J157" s="52" t="s">
        <v>126</v>
      </c>
      <c r="K157" s="53">
        <v>20000</v>
      </c>
      <c r="L157" s="54"/>
      <c r="M157" s="52" t="s">
        <v>142</v>
      </c>
      <c r="N157" s="55"/>
      <c r="O157" s="50"/>
      <c r="P157" s="53"/>
      <c r="Q157" s="52"/>
      <c r="R157" s="52" t="s">
        <v>283</v>
      </c>
      <c r="S157" s="52"/>
      <c r="T157" s="55"/>
      <c r="U157" s="52">
        <f t="shared" ca="1" si="2"/>
        <v>57</v>
      </c>
      <c r="V157" s="54">
        <v>0</v>
      </c>
      <c r="W157" s="52" t="s">
        <v>5587</v>
      </c>
    </row>
    <row r="158" spans="1:23" ht="20.100000000000001" customHeight="1" x14ac:dyDescent="0.25">
      <c r="A158" s="50">
        <v>46129</v>
      </c>
      <c r="B158" s="50">
        <v>46129</v>
      </c>
      <c r="C158" s="51">
        <v>46129</v>
      </c>
      <c r="D158" s="51"/>
      <c r="E158" s="52"/>
      <c r="F158" s="52"/>
      <c r="G158" s="52"/>
      <c r="H158" s="52">
        <v>5598</v>
      </c>
      <c r="I158" s="52" t="s">
        <v>21</v>
      </c>
      <c r="J158" s="52" t="s">
        <v>126</v>
      </c>
      <c r="K158" s="53">
        <v>17000</v>
      </c>
      <c r="L158" s="54"/>
      <c r="M158" s="52" t="s">
        <v>142</v>
      </c>
      <c r="N158" s="55"/>
      <c r="O158" s="50"/>
      <c r="P158" s="53"/>
      <c r="Q158" s="52"/>
      <c r="R158" s="52" t="s">
        <v>284</v>
      </c>
      <c r="S158" s="52"/>
      <c r="T158" s="55"/>
      <c r="U158" s="52">
        <f t="shared" ca="1" si="2"/>
        <v>57</v>
      </c>
      <c r="V158" s="54">
        <v>0</v>
      </c>
      <c r="W158" s="52" t="s">
        <v>5587</v>
      </c>
    </row>
    <row r="159" spans="1:23" ht="20.100000000000001" customHeight="1" x14ac:dyDescent="0.25">
      <c r="A159" s="50">
        <v>46132</v>
      </c>
      <c r="B159" s="50">
        <v>46132</v>
      </c>
      <c r="C159" s="51">
        <v>46132</v>
      </c>
      <c r="D159" s="51"/>
      <c r="E159" s="52"/>
      <c r="F159" s="52"/>
      <c r="G159" s="52"/>
      <c r="H159" s="52">
        <v>5599</v>
      </c>
      <c r="I159" s="52" t="s">
        <v>22</v>
      </c>
      <c r="J159" s="52" t="s">
        <v>126</v>
      </c>
      <c r="K159" s="53">
        <v>25000</v>
      </c>
      <c r="L159" s="54"/>
      <c r="M159" s="52" t="s">
        <v>142</v>
      </c>
      <c r="N159" s="55"/>
      <c r="O159" s="50"/>
      <c r="P159" s="53"/>
      <c r="Q159" s="52"/>
      <c r="R159" s="52" t="s">
        <v>286</v>
      </c>
      <c r="S159" s="52"/>
      <c r="T159" s="55" t="s">
        <v>285</v>
      </c>
      <c r="U159" s="52">
        <f t="shared" ca="1" si="2"/>
        <v>54</v>
      </c>
      <c r="V159" s="54">
        <v>0</v>
      </c>
      <c r="W159" s="52" t="s">
        <v>5587</v>
      </c>
    </row>
    <row r="160" spans="1:23" ht="20.100000000000001" customHeight="1" x14ac:dyDescent="0.25">
      <c r="A160" s="50">
        <v>46132</v>
      </c>
      <c r="B160" s="50">
        <v>46132</v>
      </c>
      <c r="C160" s="51">
        <v>46132</v>
      </c>
      <c r="D160" s="51"/>
      <c r="E160" s="52"/>
      <c r="F160" s="52"/>
      <c r="G160" s="52"/>
      <c r="H160" s="52">
        <v>5600</v>
      </c>
      <c r="I160" s="52" t="s">
        <v>21</v>
      </c>
      <c r="J160" s="52" t="s">
        <v>110</v>
      </c>
      <c r="K160" s="53"/>
      <c r="L160" s="54"/>
      <c r="M160" s="52" t="s">
        <v>146</v>
      </c>
      <c r="N160" s="55"/>
      <c r="O160" s="50"/>
      <c r="P160" s="53"/>
      <c r="Q160" s="52"/>
      <c r="R160" s="52"/>
      <c r="S160" s="52"/>
      <c r="T160" s="55" t="s">
        <v>287</v>
      </c>
      <c r="U160" s="52">
        <f t="shared" ca="1" si="2"/>
        <v>54</v>
      </c>
      <c r="V160" s="54">
        <v>0</v>
      </c>
      <c r="W160" s="52" t="s">
        <v>5587</v>
      </c>
    </row>
    <row r="161" spans="1:23" ht="20.100000000000001" customHeight="1" x14ac:dyDescent="0.25">
      <c r="A161" s="50">
        <v>46133</v>
      </c>
      <c r="B161" s="50">
        <v>46133</v>
      </c>
      <c r="C161" s="51">
        <v>46133</v>
      </c>
      <c r="D161" s="51"/>
      <c r="E161" s="52"/>
      <c r="F161" s="52"/>
      <c r="G161" s="52"/>
      <c r="H161" s="52">
        <v>5601</v>
      </c>
      <c r="I161" s="52" t="s">
        <v>22</v>
      </c>
      <c r="J161" s="52" t="s">
        <v>110</v>
      </c>
      <c r="K161" s="53">
        <v>30000</v>
      </c>
      <c r="L161" s="54"/>
      <c r="M161" s="52" t="s">
        <v>142</v>
      </c>
      <c r="N161" s="55"/>
      <c r="O161" s="50"/>
      <c r="P161" s="53"/>
      <c r="Q161" s="52"/>
      <c r="R161" s="52" t="s">
        <v>247</v>
      </c>
      <c r="S161" s="52"/>
      <c r="T161" s="55"/>
      <c r="U161" s="52">
        <f t="shared" ca="1" si="2"/>
        <v>53</v>
      </c>
      <c r="V161" s="54">
        <v>0</v>
      </c>
      <c r="W161" s="52" t="s">
        <v>5587</v>
      </c>
    </row>
    <row r="162" spans="1:23" ht="20.100000000000001" customHeight="1" x14ac:dyDescent="0.25">
      <c r="A162" s="50">
        <v>46133</v>
      </c>
      <c r="B162" s="50">
        <v>46133</v>
      </c>
      <c r="C162" s="51">
        <v>46133</v>
      </c>
      <c r="D162" s="51"/>
      <c r="E162" s="52"/>
      <c r="F162" s="52"/>
      <c r="G162" s="52"/>
      <c r="H162" s="52">
        <v>5602</v>
      </c>
      <c r="I162" s="52" t="s">
        <v>21</v>
      </c>
      <c r="J162" s="52" t="s">
        <v>126</v>
      </c>
      <c r="K162" s="53"/>
      <c r="L162" s="54"/>
      <c r="M162" s="52"/>
      <c r="N162" s="55"/>
      <c r="O162" s="50"/>
      <c r="P162" s="53"/>
      <c r="Q162" s="52"/>
      <c r="R162" s="52"/>
      <c r="S162" s="52"/>
      <c r="T162" s="55"/>
      <c r="U162" s="52">
        <f t="shared" ca="1" si="2"/>
        <v>53</v>
      </c>
      <c r="V162" s="54">
        <v>0</v>
      </c>
      <c r="W162" s="52" t="s">
        <v>5587</v>
      </c>
    </row>
    <row r="163" spans="1:23" ht="20.100000000000001" customHeight="1" x14ac:dyDescent="0.25">
      <c r="A163" s="50">
        <v>46134</v>
      </c>
      <c r="B163" s="50">
        <v>46134</v>
      </c>
      <c r="C163" s="51">
        <v>46134</v>
      </c>
      <c r="D163" s="51"/>
      <c r="E163" s="52"/>
      <c r="F163" s="52"/>
      <c r="G163" s="52"/>
      <c r="H163" s="52">
        <v>5603</v>
      </c>
      <c r="I163" s="52" t="s">
        <v>22</v>
      </c>
      <c r="J163" s="52" t="s">
        <v>126</v>
      </c>
      <c r="K163" s="53">
        <v>25000</v>
      </c>
      <c r="L163" s="54"/>
      <c r="M163" s="52" t="s">
        <v>142</v>
      </c>
      <c r="N163" s="55"/>
      <c r="O163" s="50"/>
      <c r="P163" s="53"/>
      <c r="Q163" s="52"/>
      <c r="R163" s="52" t="s">
        <v>225</v>
      </c>
      <c r="S163" s="52"/>
      <c r="T163" s="55"/>
      <c r="U163" s="52">
        <f t="shared" ca="1" si="2"/>
        <v>52</v>
      </c>
      <c r="V163" s="54">
        <v>0</v>
      </c>
      <c r="W163" s="52" t="s">
        <v>5587</v>
      </c>
    </row>
    <row r="164" spans="1:23" ht="20.100000000000001" customHeight="1" x14ac:dyDescent="0.25">
      <c r="A164" s="50">
        <v>46134</v>
      </c>
      <c r="B164" s="50">
        <v>46134</v>
      </c>
      <c r="C164" s="51">
        <v>46134</v>
      </c>
      <c r="D164" s="51"/>
      <c r="E164" s="52"/>
      <c r="F164" s="52"/>
      <c r="G164" s="52"/>
      <c r="H164" s="52">
        <v>5604</v>
      </c>
      <c r="I164" s="52" t="s">
        <v>22</v>
      </c>
      <c r="J164" s="52" t="s">
        <v>126</v>
      </c>
      <c r="K164" s="53">
        <v>21400</v>
      </c>
      <c r="L164" s="54"/>
      <c r="M164" s="52" t="s">
        <v>142</v>
      </c>
      <c r="N164" s="55"/>
      <c r="O164" s="50"/>
      <c r="P164" s="53"/>
      <c r="Q164" s="52"/>
      <c r="R164" s="52" t="s">
        <v>288</v>
      </c>
      <c r="S164" s="52"/>
      <c r="T164" s="55"/>
      <c r="U164" s="52">
        <f t="shared" ca="1" si="2"/>
        <v>52</v>
      </c>
      <c r="V164" s="54">
        <v>0</v>
      </c>
      <c r="W164" s="52" t="s">
        <v>5587</v>
      </c>
    </row>
    <row r="165" spans="1:23" ht="20.100000000000001" customHeight="1" x14ac:dyDescent="0.25">
      <c r="A165" s="50">
        <v>46134</v>
      </c>
      <c r="B165" s="50">
        <v>46134</v>
      </c>
      <c r="C165" s="51">
        <v>46134</v>
      </c>
      <c r="D165" s="51"/>
      <c r="E165" s="52"/>
      <c r="F165" s="52"/>
      <c r="G165" s="52"/>
      <c r="H165" s="52">
        <v>5605</v>
      </c>
      <c r="I165" s="52" t="s">
        <v>22</v>
      </c>
      <c r="J165" s="52" t="s">
        <v>126</v>
      </c>
      <c r="K165" s="53">
        <v>17000</v>
      </c>
      <c r="L165" s="54">
        <v>1</v>
      </c>
      <c r="M165" s="52" t="s">
        <v>142</v>
      </c>
      <c r="N165" s="55" t="s">
        <v>130</v>
      </c>
      <c r="O165" s="50"/>
      <c r="P165" s="53">
        <v>17000</v>
      </c>
      <c r="Q165" s="52">
        <v>1</v>
      </c>
      <c r="R165" s="52" t="s">
        <v>289</v>
      </c>
      <c r="S165" s="52"/>
      <c r="T165" s="55"/>
      <c r="U165" s="52">
        <f t="shared" ca="1" si="2"/>
        <v>52</v>
      </c>
      <c r="V165" s="54">
        <v>0.5</v>
      </c>
      <c r="W165" s="52" t="s">
        <v>5587</v>
      </c>
    </row>
    <row r="166" spans="1:23" ht="20.100000000000001" customHeight="1" x14ac:dyDescent="0.25">
      <c r="A166" s="50">
        <v>46134</v>
      </c>
      <c r="B166" s="50">
        <v>46134</v>
      </c>
      <c r="C166" s="51">
        <v>46134</v>
      </c>
      <c r="D166" s="51"/>
      <c r="E166" s="52"/>
      <c r="F166" s="52"/>
      <c r="G166" s="52"/>
      <c r="H166" s="52">
        <v>5606</v>
      </c>
      <c r="I166" s="52" t="s">
        <v>21</v>
      </c>
      <c r="J166" s="52" t="s">
        <v>126</v>
      </c>
      <c r="K166" s="53"/>
      <c r="L166" s="54"/>
      <c r="M166" s="52"/>
      <c r="N166" s="55"/>
      <c r="O166" s="50"/>
      <c r="P166" s="53"/>
      <c r="Q166" s="52"/>
      <c r="R166" s="52"/>
      <c r="S166" s="52"/>
      <c r="T166" s="55"/>
      <c r="U166" s="52">
        <f t="shared" ca="1" si="2"/>
        <v>52</v>
      </c>
      <c r="V166" s="54">
        <v>0</v>
      </c>
      <c r="W166" s="52" t="s">
        <v>5587</v>
      </c>
    </row>
    <row r="167" spans="1:23" ht="20.100000000000001" customHeight="1" x14ac:dyDescent="0.25">
      <c r="A167" s="50">
        <v>46136</v>
      </c>
      <c r="B167" s="50">
        <v>46136</v>
      </c>
      <c r="C167" s="51">
        <v>46136</v>
      </c>
      <c r="D167" s="51"/>
      <c r="E167" s="52"/>
      <c r="F167" s="52"/>
      <c r="G167" s="52"/>
      <c r="H167" s="52">
        <v>5607</v>
      </c>
      <c r="I167" s="52" t="s">
        <v>21</v>
      </c>
      <c r="J167" s="52" t="s">
        <v>126</v>
      </c>
      <c r="K167" s="53">
        <v>19000</v>
      </c>
      <c r="L167" s="54"/>
      <c r="M167" s="52" t="s">
        <v>142</v>
      </c>
      <c r="N167" s="55"/>
      <c r="O167" s="50"/>
      <c r="P167" s="53"/>
      <c r="Q167" s="52"/>
      <c r="R167" s="52" t="s">
        <v>290</v>
      </c>
      <c r="S167" s="52"/>
      <c r="T167" s="55"/>
      <c r="U167" s="52">
        <f t="shared" ca="1" si="2"/>
        <v>50</v>
      </c>
      <c r="V167" s="54">
        <v>0</v>
      </c>
      <c r="W167" s="52" t="s">
        <v>5587</v>
      </c>
    </row>
    <row r="168" spans="1:23" ht="20.100000000000001" customHeight="1" x14ac:dyDescent="0.25">
      <c r="A168" s="50">
        <v>46136</v>
      </c>
      <c r="B168" s="50">
        <v>46136</v>
      </c>
      <c r="C168" s="51">
        <v>46136</v>
      </c>
      <c r="D168" s="51"/>
      <c r="E168" s="52"/>
      <c r="F168" s="52"/>
      <c r="G168" s="52"/>
      <c r="H168" s="52">
        <v>5608</v>
      </c>
      <c r="I168" s="52" t="s">
        <v>21</v>
      </c>
      <c r="J168" s="52" t="s">
        <v>126</v>
      </c>
      <c r="K168" s="53">
        <v>28000</v>
      </c>
      <c r="L168" s="54"/>
      <c r="M168" s="52" t="s">
        <v>142</v>
      </c>
      <c r="N168" s="55"/>
      <c r="O168" s="50"/>
      <c r="P168" s="53"/>
      <c r="Q168" s="52"/>
      <c r="R168" s="52" t="s">
        <v>291</v>
      </c>
      <c r="S168" s="52"/>
      <c r="T168" s="55"/>
      <c r="U168" s="52">
        <f t="shared" ca="1" si="2"/>
        <v>50</v>
      </c>
      <c r="V168" s="54">
        <v>0</v>
      </c>
      <c r="W168" s="52" t="s">
        <v>5587</v>
      </c>
    </row>
    <row r="169" spans="1:23" ht="20.100000000000001" customHeight="1" x14ac:dyDescent="0.25">
      <c r="A169" s="50">
        <v>46136</v>
      </c>
      <c r="B169" s="50">
        <v>46136</v>
      </c>
      <c r="C169" s="51">
        <v>46136</v>
      </c>
      <c r="D169" s="51"/>
      <c r="E169" s="52"/>
      <c r="F169" s="52"/>
      <c r="G169" s="52"/>
      <c r="H169" s="52">
        <v>5609</v>
      </c>
      <c r="I169" s="52" t="s">
        <v>21</v>
      </c>
      <c r="J169" s="52" t="s">
        <v>126</v>
      </c>
      <c r="K169" s="53">
        <v>32000</v>
      </c>
      <c r="L169" s="54"/>
      <c r="M169" s="52" t="s">
        <v>155</v>
      </c>
      <c r="N169" s="55"/>
      <c r="O169" s="50"/>
      <c r="P169" s="53"/>
      <c r="Q169" s="52"/>
      <c r="R169" s="52" t="s">
        <v>247</v>
      </c>
      <c r="S169" s="52"/>
      <c r="T169" s="55"/>
      <c r="U169" s="52">
        <f t="shared" ca="1" si="2"/>
        <v>50</v>
      </c>
      <c r="V169" s="54">
        <v>0</v>
      </c>
      <c r="W169" s="52" t="s">
        <v>5587</v>
      </c>
    </row>
    <row r="170" spans="1:23" ht="20.100000000000001" customHeight="1" x14ac:dyDescent="0.25">
      <c r="A170" s="50">
        <v>46139</v>
      </c>
      <c r="B170" s="50">
        <v>46139</v>
      </c>
      <c r="C170" s="51">
        <v>46139</v>
      </c>
      <c r="D170" s="51"/>
      <c r="E170" s="52"/>
      <c r="F170" s="52"/>
      <c r="G170" s="52"/>
      <c r="H170" s="52">
        <v>5610</v>
      </c>
      <c r="I170" s="52" t="s">
        <v>21</v>
      </c>
      <c r="J170" s="52" t="s">
        <v>126</v>
      </c>
      <c r="K170" s="53">
        <v>27000</v>
      </c>
      <c r="L170" s="54"/>
      <c r="M170" s="52" t="s">
        <v>142</v>
      </c>
      <c r="N170" s="55"/>
      <c r="O170" s="50"/>
      <c r="P170" s="53"/>
      <c r="Q170" s="52"/>
      <c r="R170" s="52" t="s">
        <v>292</v>
      </c>
      <c r="S170" s="52"/>
      <c r="T170" s="55"/>
      <c r="U170" s="52">
        <f t="shared" ca="1" si="2"/>
        <v>47</v>
      </c>
      <c r="V170" s="54">
        <v>0</v>
      </c>
      <c r="W170" s="52" t="s">
        <v>5587</v>
      </c>
    </row>
    <row r="171" spans="1:23" ht="20.100000000000001" customHeight="1" x14ac:dyDescent="0.25">
      <c r="A171" s="50">
        <v>46139</v>
      </c>
      <c r="B171" s="50">
        <v>46504</v>
      </c>
      <c r="C171" s="51">
        <v>46504</v>
      </c>
      <c r="D171" s="51"/>
      <c r="E171" s="52"/>
      <c r="F171" s="52"/>
      <c r="G171" s="52"/>
      <c r="H171" s="52">
        <v>5611</v>
      </c>
      <c r="I171" s="52" t="s">
        <v>22</v>
      </c>
      <c r="J171" s="52" t="s">
        <v>126</v>
      </c>
      <c r="K171" s="53">
        <v>25000</v>
      </c>
      <c r="L171" s="54">
        <v>0.6</v>
      </c>
      <c r="M171" s="52" t="s">
        <v>293</v>
      </c>
      <c r="N171" s="55"/>
      <c r="O171" s="50"/>
      <c r="P171" s="53"/>
      <c r="Q171" s="52"/>
      <c r="R171" s="52" t="s">
        <v>247</v>
      </c>
      <c r="S171" s="52"/>
      <c r="T171" s="55"/>
      <c r="U171" s="52">
        <f t="shared" ca="1" si="2"/>
        <v>-318</v>
      </c>
      <c r="V171" s="54">
        <v>0.25</v>
      </c>
      <c r="W171" s="52" t="s">
        <v>5587</v>
      </c>
    </row>
    <row r="172" spans="1:23" ht="20.100000000000001" customHeight="1" x14ac:dyDescent="0.25">
      <c r="A172" s="50">
        <v>46140</v>
      </c>
      <c r="B172" s="50">
        <v>46140</v>
      </c>
      <c r="C172" s="51">
        <v>46140</v>
      </c>
      <c r="D172" s="51"/>
      <c r="E172" s="52"/>
      <c r="F172" s="52"/>
      <c r="G172" s="52"/>
      <c r="H172" s="52">
        <v>5612</v>
      </c>
      <c r="I172" s="52" t="s">
        <v>22</v>
      </c>
      <c r="J172" s="52" t="s">
        <v>126</v>
      </c>
      <c r="K172" s="53">
        <v>15000</v>
      </c>
      <c r="L172" s="54"/>
      <c r="M172" s="52" t="s">
        <v>142</v>
      </c>
      <c r="N172" s="55"/>
      <c r="O172" s="50"/>
      <c r="P172" s="53"/>
      <c r="Q172" s="52"/>
      <c r="R172" s="52" t="s">
        <v>247</v>
      </c>
      <c r="S172" s="52"/>
      <c r="T172" s="55"/>
      <c r="U172" s="52">
        <f t="shared" ca="1" si="2"/>
        <v>46</v>
      </c>
      <c r="V172" s="54">
        <v>0</v>
      </c>
      <c r="W172" s="52" t="s">
        <v>5587</v>
      </c>
    </row>
    <row r="173" spans="1:23" ht="20.100000000000001" customHeight="1" x14ac:dyDescent="0.25">
      <c r="A173" s="50">
        <v>46140</v>
      </c>
      <c r="B173" s="50">
        <v>46140</v>
      </c>
      <c r="C173" s="51">
        <v>46140</v>
      </c>
      <c r="D173" s="51"/>
      <c r="E173" s="52"/>
      <c r="F173" s="52"/>
      <c r="G173" s="52"/>
      <c r="H173" s="52">
        <v>5613</v>
      </c>
      <c r="I173" s="52" t="s">
        <v>21</v>
      </c>
      <c r="J173" s="52" t="s">
        <v>126</v>
      </c>
      <c r="K173" s="53"/>
      <c r="L173" s="54">
        <v>1</v>
      </c>
      <c r="M173" s="52" t="s">
        <v>129</v>
      </c>
      <c r="N173" s="55" t="s">
        <v>130</v>
      </c>
      <c r="O173" s="50"/>
      <c r="P173" s="53"/>
      <c r="Q173" s="52">
        <v>1</v>
      </c>
      <c r="R173" s="52"/>
      <c r="S173" s="52"/>
      <c r="T173" s="55"/>
      <c r="U173" s="52">
        <f t="shared" ca="1" si="2"/>
        <v>46</v>
      </c>
      <c r="V173" s="54">
        <v>0.5</v>
      </c>
      <c r="W173" s="52" t="s">
        <v>5587</v>
      </c>
    </row>
    <row r="174" spans="1:23" ht="20.100000000000001" customHeight="1" x14ac:dyDescent="0.25">
      <c r="A174" s="50">
        <v>46141</v>
      </c>
      <c r="B174" s="50">
        <v>46141</v>
      </c>
      <c r="C174" s="51">
        <v>46141</v>
      </c>
      <c r="D174" s="51"/>
      <c r="E174" s="52"/>
      <c r="F174" s="52"/>
      <c r="G174" s="52"/>
      <c r="H174" s="52">
        <v>5614</v>
      </c>
      <c r="I174" s="52" t="s">
        <v>22</v>
      </c>
      <c r="J174" s="52" t="s">
        <v>126</v>
      </c>
      <c r="K174" s="53">
        <v>105000</v>
      </c>
      <c r="L174" s="54">
        <v>0.6</v>
      </c>
      <c r="M174" s="52" t="s">
        <v>142</v>
      </c>
      <c r="N174" s="55"/>
      <c r="O174" s="50"/>
      <c r="P174" s="53"/>
      <c r="Q174" s="52"/>
      <c r="R174" s="52" t="s">
        <v>267</v>
      </c>
      <c r="S174" s="52"/>
      <c r="T174" s="55" t="s">
        <v>5595</v>
      </c>
      <c r="U174" s="52">
        <f t="shared" ca="1" si="2"/>
        <v>45</v>
      </c>
      <c r="V174" s="54">
        <v>0.25</v>
      </c>
      <c r="W174" s="52" t="s">
        <v>5587</v>
      </c>
    </row>
    <row r="175" spans="1:23" ht="20.100000000000001" customHeight="1" x14ac:dyDescent="0.25">
      <c r="A175" s="50">
        <v>46141</v>
      </c>
      <c r="B175" s="50">
        <v>46141</v>
      </c>
      <c r="C175" s="51">
        <v>46141</v>
      </c>
      <c r="D175" s="51"/>
      <c r="E175" s="52"/>
      <c r="F175" s="52"/>
      <c r="G175" s="52"/>
      <c r="H175" s="52">
        <v>5615</v>
      </c>
      <c r="I175" s="52" t="s">
        <v>22</v>
      </c>
      <c r="J175" s="52" t="s">
        <v>110</v>
      </c>
      <c r="K175" s="53"/>
      <c r="L175" s="54"/>
      <c r="M175" s="52"/>
      <c r="N175" s="55"/>
      <c r="O175" s="50"/>
      <c r="P175" s="53"/>
      <c r="Q175" s="52"/>
      <c r="R175" s="52"/>
      <c r="S175" s="52"/>
      <c r="T175" s="55"/>
      <c r="U175" s="52">
        <f t="shared" ca="1" si="2"/>
        <v>45</v>
      </c>
      <c r="V175" s="54">
        <v>0</v>
      </c>
      <c r="W175" s="52" t="s">
        <v>5587</v>
      </c>
    </row>
    <row r="176" spans="1:23" ht="20.100000000000001" customHeight="1" x14ac:dyDescent="0.25">
      <c r="A176" s="50">
        <v>46141</v>
      </c>
      <c r="B176" s="50">
        <v>46141</v>
      </c>
      <c r="C176" s="51">
        <v>46141</v>
      </c>
      <c r="D176" s="51"/>
      <c r="E176" s="52"/>
      <c r="F176" s="52"/>
      <c r="G176" s="52"/>
      <c r="H176" s="52">
        <v>5616</v>
      </c>
      <c r="I176" s="52" t="s">
        <v>21</v>
      </c>
      <c r="J176" s="52" t="s">
        <v>126</v>
      </c>
      <c r="K176" s="53">
        <v>20000</v>
      </c>
      <c r="L176" s="54"/>
      <c r="M176" s="52" t="s">
        <v>142</v>
      </c>
      <c r="N176" s="55"/>
      <c r="O176" s="50"/>
      <c r="P176" s="53"/>
      <c r="Q176" s="52"/>
      <c r="R176" s="52" t="s">
        <v>295</v>
      </c>
      <c r="S176" s="52"/>
      <c r="T176" s="55"/>
      <c r="U176" s="52">
        <f t="shared" ca="1" si="2"/>
        <v>45</v>
      </c>
      <c r="V176" s="54">
        <v>0</v>
      </c>
      <c r="W176" s="52" t="s">
        <v>5587</v>
      </c>
    </row>
    <row r="177" spans="1:23" ht="20.100000000000001" customHeight="1" x14ac:dyDescent="0.25">
      <c r="A177" s="50">
        <v>46141</v>
      </c>
      <c r="B177" s="50">
        <v>46141</v>
      </c>
      <c r="C177" s="51">
        <v>46141</v>
      </c>
      <c r="D177" s="51"/>
      <c r="E177" s="52"/>
      <c r="F177" s="52"/>
      <c r="G177" s="52"/>
      <c r="H177" s="52">
        <v>5617</v>
      </c>
      <c r="I177" s="52" t="s">
        <v>21</v>
      </c>
      <c r="J177" s="52" t="s">
        <v>126</v>
      </c>
      <c r="K177" s="53">
        <v>17000</v>
      </c>
      <c r="L177" s="54"/>
      <c r="M177" s="52" t="s">
        <v>142</v>
      </c>
      <c r="N177" s="55"/>
      <c r="O177" s="50"/>
      <c r="P177" s="53"/>
      <c r="Q177" s="52"/>
      <c r="R177" s="52" t="s">
        <v>296</v>
      </c>
      <c r="S177" s="52"/>
      <c r="T177" s="55"/>
      <c r="U177" s="52">
        <f t="shared" ca="1" si="2"/>
        <v>45</v>
      </c>
      <c r="V177" s="54">
        <v>0</v>
      </c>
      <c r="W177" s="52" t="s">
        <v>5587</v>
      </c>
    </row>
    <row r="178" spans="1:23" ht="20.100000000000001" customHeight="1" x14ac:dyDescent="0.25">
      <c r="A178" s="50">
        <v>46141</v>
      </c>
      <c r="B178" s="50">
        <v>46141</v>
      </c>
      <c r="C178" s="51">
        <v>46141</v>
      </c>
      <c r="D178" s="51"/>
      <c r="E178" s="52"/>
      <c r="F178" s="52"/>
      <c r="G178" s="52"/>
      <c r="H178" s="52">
        <v>5618</v>
      </c>
      <c r="I178" s="52" t="s">
        <v>21</v>
      </c>
      <c r="J178" s="52" t="s">
        <v>145</v>
      </c>
      <c r="K178" s="53"/>
      <c r="L178" s="54"/>
      <c r="M178" s="52"/>
      <c r="N178" s="55"/>
      <c r="O178" s="50"/>
      <c r="P178" s="53"/>
      <c r="Q178" s="52"/>
      <c r="R178" s="52" t="s">
        <v>297</v>
      </c>
      <c r="S178" s="52"/>
      <c r="T178" s="55"/>
      <c r="U178" s="52">
        <f t="shared" ca="1" si="2"/>
        <v>45</v>
      </c>
      <c r="V178" s="54">
        <v>0</v>
      </c>
      <c r="W178" s="52" t="s">
        <v>5587</v>
      </c>
    </row>
    <row r="179" spans="1:23" ht="20.100000000000001" customHeight="1" x14ac:dyDescent="0.25">
      <c r="A179" s="50">
        <v>46141</v>
      </c>
      <c r="B179" s="50">
        <v>46141</v>
      </c>
      <c r="C179" s="51">
        <v>46141</v>
      </c>
      <c r="D179" s="51"/>
      <c r="E179" s="52"/>
      <c r="F179" s="52"/>
      <c r="G179" s="52"/>
      <c r="H179" s="52">
        <v>5619</v>
      </c>
      <c r="I179" s="52" t="s">
        <v>21</v>
      </c>
      <c r="J179" s="52" t="s">
        <v>126</v>
      </c>
      <c r="K179" s="53">
        <v>25000</v>
      </c>
      <c r="L179" s="54"/>
      <c r="M179" s="52" t="s">
        <v>142</v>
      </c>
      <c r="N179" s="55"/>
      <c r="O179" s="50"/>
      <c r="P179" s="53"/>
      <c r="Q179" s="52"/>
      <c r="R179" s="52"/>
      <c r="S179" s="52"/>
      <c r="T179" s="55"/>
      <c r="U179" s="52">
        <f t="shared" ca="1" si="2"/>
        <v>45</v>
      </c>
      <c r="V179" s="54">
        <v>0</v>
      </c>
      <c r="W179" s="52" t="s">
        <v>5587</v>
      </c>
    </row>
    <row r="180" spans="1:23" ht="20.100000000000001" customHeight="1" x14ac:dyDescent="0.25">
      <c r="A180" s="50">
        <v>46141</v>
      </c>
      <c r="B180" s="50">
        <v>46141</v>
      </c>
      <c r="C180" s="51">
        <v>46141</v>
      </c>
      <c r="D180" s="51"/>
      <c r="E180" s="52"/>
      <c r="F180" s="52"/>
      <c r="G180" s="52"/>
      <c r="H180" s="52">
        <v>5620</v>
      </c>
      <c r="I180" s="52" t="s">
        <v>22</v>
      </c>
      <c r="J180" s="52" t="s">
        <v>110</v>
      </c>
      <c r="K180" s="53">
        <v>18684</v>
      </c>
      <c r="L180" s="54">
        <v>1</v>
      </c>
      <c r="M180" s="52" t="s">
        <v>157</v>
      </c>
      <c r="N180" s="55" t="s">
        <v>130</v>
      </c>
      <c r="O180" s="50"/>
      <c r="P180" s="53">
        <v>18684</v>
      </c>
      <c r="Q180" s="52">
        <v>1</v>
      </c>
      <c r="R180" s="52" t="s">
        <v>299</v>
      </c>
      <c r="S180" s="52"/>
      <c r="T180" s="55" t="s">
        <v>5596</v>
      </c>
      <c r="U180" s="52">
        <f t="shared" ca="1" si="2"/>
        <v>45</v>
      </c>
      <c r="V180" s="54">
        <v>0.5</v>
      </c>
      <c r="W180" s="52" t="s">
        <v>5587</v>
      </c>
    </row>
    <row r="181" spans="1:23" ht="20.100000000000001" customHeight="1" x14ac:dyDescent="0.25">
      <c r="A181" s="50">
        <v>46149</v>
      </c>
      <c r="B181" s="50">
        <v>46149</v>
      </c>
      <c r="C181" s="51">
        <v>46149</v>
      </c>
      <c r="D181" s="51"/>
      <c r="E181" s="52"/>
      <c r="F181" s="52"/>
      <c r="G181" s="52"/>
      <c r="H181" s="52">
        <v>5621</v>
      </c>
      <c r="I181" s="52" t="s">
        <v>22</v>
      </c>
      <c r="J181" s="52" t="s">
        <v>128</v>
      </c>
      <c r="K181" s="53">
        <v>23000</v>
      </c>
      <c r="L181" s="54">
        <v>0.6</v>
      </c>
      <c r="M181" s="52" t="s">
        <v>142</v>
      </c>
      <c r="N181" s="55"/>
      <c r="O181" s="50"/>
      <c r="P181" s="53"/>
      <c r="Q181" s="52"/>
      <c r="R181" s="52"/>
      <c r="S181" s="52"/>
      <c r="T181" s="55" t="s">
        <v>5597</v>
      </c>
      <c r="U181" s="52">
        <f t="shared" ca="1" si="2"/>
        <v>37</v>
      </c>
      <c r="V181" s="54">
        <v>0.25</v>
      </c>
      <c r="W181" s="52" t="s">
        <v>5587</v>
      </c>
    </row>
    <row r="182" spans="1:23" ht="20.100000000000001" customHeight="1" x14ac:dyDescent="0.25">
      <c r="A182" s="50">
        <v>46149</v>
      </c>
      <c r="B182" s="50"/>
      <c r="C182" s="51">
        <v>46149</v>
      </c>
      <c r="D182" s="51"/>
      <c r="E182" s="52"/>
      <c r="F182" s="52"/>
      <c r="G182" s="52"/>
      <c r="H182" s="52">
        <v>5622</v>
      </c>
      <c r="I182" s="52" t="s">
        <v>21</v>
      </c>
      <c r="J182" s="52" t="s">
        <v>126</v>
      </c>
      <c r="K182" s="53">
        <v>11000</v>
      </c>
      <c r="L182" s="54"/>
      <c r="M182" s="52" t="s">
        <v>142</v>
      </c>
      <c r="N182" s="55"/>
      <c r="O182" s="50"/>
      <c r="P182" s="53"/>
      <c r="Q182" s="52"/>
      <c r="R182" s="52" t="s">
        <v>301</v>
      </c>
      <c r="S182" s="52"/>
      <c r="T182" s="55"/>
      <c r="U182" s="52">
        <f t="shared" ca="1" si="2"/>
        <v>37</v>
      </c>
      <c r="V182" s="54">
        <v>0</v>
      </c>
      <c r="W182" s="52" t="s">
        <v>5587</v>
      </c>
    </row>
    <row r="183" spans="1:23" ht="20.100000000000001" customHeight="1" x14ac:dyDescent="0.25">
      <c r="A183" s="50">
        <v>46148</v>
      </c>
      <c r="B183" s="50">
        <v>46150</v>
      </c>
      <c r="C183" s="51">
        <v>46150</v>
      </c>
      <c r="D183" s="51"/>
      <c r="E183" s="52"/>
      <c r="F183" s="52"/>
      <c r="G183" s="52"/>
      <c r="H183" s="52">
        <v>5623</v>
      </c>
      <c r="I183" s="52" t="s">
        <v>21</v>
      </c>
      <c r="J183" s="52" t="s">
        <v>126</v>
      </c>
      <c r="K183" s="53">
        <v>30000</v>
      </c>
      <c r="L183" s="54"/>
      <c r="M183" s="52" t="s">
        <v>142</v>
      </c>
      <c r="N183" s="55"/>
      <c r="O183" s="50"/>
      <c r="P183" s="53"/>
      <c r="Q183" s="52"/>
      <c r="R183" s="52" t="s">
        <v>302</v>
      </c>
      <c r="S183" s="52"/>
      <c r="T183" s="55"/>
      <c r="U183" s="52">
        <f t="shared" ca="1" si="2"/>
        <v>36</v>
      </c>
      <c r="V183" s="54">
        <v>0</v>
      </c>
      <c r="W183" s="52" t="s">
        <v>5587</v>
      </c>
    </row>
    <row r="184" spans="1:23" ht="20.100000000000001" customHeight="1" x14ac:dyDescent="0.25">
      <c r="A184" s="50">
        <v>46148</v>
      </c>
      <c r="B184" s="50">
        <v>46155</v>
      </c>
      <c r="C184" s="51">
        <v>46155</v>
      </c>
      <c r="D184" s="51"/>
      <c r="E184" s="52"/>
      <c r="F184" s="52"/>
      <c r="G184" s="52"/>
      <c r="H184" s="52">
        <v>5624</v>
      </c>
      <c r="I184" s="52" t="s">
        <v>21</v>
      </c>
      <c r="J184" s="52" t="s">
        <v>126</v>
      </c>
      <c r="K184" s="53">
        <v>30000</v>
      </c>
      <c r="L184" s="54">
        <v>0.6</v>
      </c>
      <c r="M184" s="52" t="s">
        <v>142</v>
      </c>
      <c r="N184" s="55"/>
      <c r="O184" s="50"/>
      <c r="P184" s="53"/>
      <c r="Q184" s="52"/>
      <c r="R184" s="52" t="s">
        <v>304</v>
      </c>
      <c r="S184" s="52"/>
      <c r="T184" s="55" t="s">
        <v>303</v>
      </c>
      <c r="U184" s="52">
        <f t="shared" ca="1" si="2"/>
        <v>31</v>
      </c>
      <c r="V184" s="54">
        <v>0.25</v>
      </c>
      <c r="W184" s="52" t="s">
        <v>5587</v>
      </c>
    </row>
    <row r="185" spans="1:23" ht="20.100000000000001" customHeight="1" x14ac:dyDescent="0.25">
      <c r="A185" s="50">
        <v>46151</v>
      </c>
      <c r="B185" s="50">
        <v>46153</v>
      </c>
      <c r="C185" s="51">
        <v>46153</v>
      </c>
      <c r="D185" s="51"/>
      <c r="E185" s="52"/>
      <c r="F185" s="52"/>
      <c r="G185" s="52"/>
      <c r="H185" s="52">
        <v>5625</v>
      </c>
      <c r="I185" s="52" t="s">
        <v>22</v>
      </c>
      <c r="J185" s="52" t="s">
        <v>110</v>
      </c>
      <c r="K185" s="53"/>
      <c r="L185" s="54">
        <v>0.2</v>
      </c>
      <c r="M185" s="52" t="s">
        <v>146</v>
      </c>
      <c r="N185" s="55"/>
      <c r="O185" s="50"/>
      <c r="P185" s="53"/>
      <c r="Q185" s="52"/>
      <c r="R185" s="52"/>
      <c r="S185" s="52"/>
      <c r="T185" s="55" t="s">
        <v>5598</v>
      </c>
      <c r="U185" s="52">
        <f t="shared" ca="1" si="2"/>
        <v>33</v>
      </c>
      <c r="V185" s="54">
        <v>0.25</v>
      </c>
      <c r="W185" s="52" t="s">
        <v>5587</v>
      </c>
    </row>
    <row r="186" spans="1:23" ht="20.100000000000001" customHeight="1" x14ac:dyDescent="0.25">
      <c r="A186" s="50">
        <v>46151</v>
      </c>
      <c r="B186" s="50">
        <v>46151</v>
      </c>
      <c r="C186" s="51">
        <v>46151</v>
      </c>
      <c r="D186" s="51"/>
      <c r="E186" s="52"/>
      <c r="F186" s="52"/>
      <c r="G186" s="52"/>
      <c r="H186" s="52">
        <v>5626</v>
      </c>
      <c r="I186" s="52" t="s">
        <v>22</v>
      </c>
      <c r="J186" s="52" t="s">
        <v>126</v>
      </c>
      <c r="K186" s="53">
        <v>21600</v>
      </c>
      <c r="L186" s="54"/>
      <c r="M186" s="52" t="s">
        <v>142</v>
      </c>
      <c r="N186" s="55"/>
      <c r="O186" s="50"/>
      <c r="P186" s="53"/>
      <c r="Q186" s="52"/>
      <c r="R186" s="52" t="s">
        <v>267</v>
      </c>
      <c r="S186" s="52"/>
      <c r="T186" s="55"/>
      <c r="U186" s="52">
        <f t="shared" ca="1" si="2"/>
        <v>35</v>
      </c>
      <c r="V186" s="54">
        <v>0</v>
      </c>
      <c r="W186" s="52" t="s">
        <v>5587</v>
      </c>
    </row>
    <row r="187" spans="1:23" ht="20.100000000000001" customHeight="1" x14ac:dyDescent="0.25">
      <c r="A187" s="50">
        <v>46156</v>
      </c>
      <c r="B187" s="50">
        <v>46157</v>
      </c>
      <c r="C187" s="51">
        <v>46157</v>
      </c>
      <c r="D187" s="51"/>
      <c r="E187" s="52"/>
      <c r="F187" s="52"/>
      <c r="G187" s="52"/>
      <c r="H187" s="52">
        <v>5627</v>
      </c>
      <c r="I187" s="52" t="s">
        <v>21</v>
      </c>
      <c r="J187" s="52" t="s">
        <v>126</v>
      </c>
      <c r="K187" s="53">
        <v>24000</v>
      </c>
      <c r="L187" s="54"/>
      <c r="M187" s="52" t="s">
        <v>142</v>
      </c>
      <c r="N187" s="55"/>
      <c r="O187" s="50"/>
      <c r="P187" s="53"/>
      <c r="Q187" s="52"/>
      <c r="R187" s="52" t="s">
        <v>278</v>
      </c>
      <c r="S187" s="52"/>
      <c r="T187" s="55"/>
      <c r="U187" s="52">
        <f t="shared" ca="1" si="2"/>
        <v>29</v>
      </c>
      <c r="V187" s="54">
        <v>0</v>
      </c>
      <c r="W187" s="52" t="s">
        <v>5587</v>
      </c>
    </row>
    <row r="188" spans="1:23" ht="20.100000000000001" customHeight="1" x14ac:dyDescent="0.25">
      <c r="A188" s="50">
        <v>46160</v>
      </c>
      <c r="B188" s="50">
        <v>46160</v>
      </c>
      <c r="C188" s="51">
        <v>46160</v>
      </c>
      <c r="D188" s="51"/>
      <c r="E188" s="52"/>
      <c r="F188" s="52"/>
      <c r="G188" s="52"/>
      <c r="H188" s="52">
        <v>5628</v>
      </c>
      <c r="I188" s="52" t="s">
        <v>22</v>
      </c>
      <c r="J188" s="52" t="s">
        <v>126</v>
      </c>
      <c r="K188" s="53">
        <v>35000</v>
      </c>
      <c r="L188" s="54">
        <v>0.6</v>
      </c>
      <c r="M188" s="52" t="s">
        <v>142</v>
      </c>
      <c r="N188" s="55"/>
      <c r="O188" s="50"/>
      <c r="P188" s="53"/>
      <c r="Q188" s="52"/>
      <c r="R188" s="52"/>
      <c r="S188" s="52"/>
      <c r="T188" s="55"/>
      <c r="U188" s="52">
        <f t="shared" ca="1" si="2"/>
        <v>26</v>
      </c>
      <c r="V188" s="54">
        <v>0.25</v>
      </c>
      <c r="W188" s="52" t="s">
        <v>5587</v>
      </c>
    </row>
    <row r="189" spans="1:23" ht="20.100000000000001" customHeight="1" x14ac:dyDescent="0.25">
      <c r="A189" s="50">
        <v>46160</v>
      </c>
      <c r="B189" s="50">
        <v>46160</v>
      </c>
      <c r="C189" s="51">
        <v>46160</v>
      </c>
      <c r="D189" s="51"/>
      <c r="E189" s="52"/>
      <c r="F189" s="52"/>
      <c r="G189" s="52"/>
      <c r="H189" s="52">
        <v>5629</v>
      </c>
      <c r="I189" s="52" t="s">
        <v>21</v>
      </c>
      <c r="J189" s="52" t="s">
        <v>126</v>
      </c>
      <c r="K189" s="53">
        <v>21000</v>
      </c>
      <c r="L189" s="54"/>
      <c r="M189" s="52" t="s">
        <v>142</v>
      </c>
      <c r="N189" s="55"/>
      <c r="O189" s="50"/>
      <c r="P189" s="53"/>
      <c r="Q189" s="52"/>
      <c r="R189" s="52" t="s">
        <v>306</v>
      </c>
      <c r="S189" s="52"/>
      <c r="T189" s="55"/>
      <c r="U189" s="52">
        <f t="shared" ca="1" si="2"/>
        <v>26</v>
      </c>
      <c r="V189" s="54">
        <v>0</v>
      </c>
      <c r="W189" s="52" t="s">
        <v>5587</v>
      </c>
    </row>
    <row r="190" spans="1:23" ht="20.100000000000001" customHeight="1" x14ac:dyDescent="0.25">
      <c r="A190" s="50">
        <v>46161</v>
      </c>
      <c r="B190" s="50">
        <v>46161</v>
      </c>
      <c r="C190" s="51">
        <v>46161</v>
      </c>
      <c r="D190" s="51"/>
      <c r="E190" s="52"/>
      <c r="F190" s="52"/>
      <c r="G190" s="52"/>
      <c r="H190" s="52">
        <v>5630</v>
      </c>
      <c r="I190" s="52" t="s">
        <v>22</v>
      </c>
      <c r="J190" s="52" t="s">
        <v>126</v>
      </c>
      <c r="K190" s="53"/>
      <c r="L190" s="54"/>
      <c r="M190" s="52" t="s">
        <v>142</v>
      </c>
      <c r="N190" s="55"/>
      <c r="O190" s="50"/>
      <c r="P190" s="53"/>
      <c r="Q190" s="52"/>
      <c r="R190" s="52"/>
      <c r="S190" s="52"/>
      <c r="T190" s="55"/>
      <c r="U190" s="52">
        <f t="shared" ca="1" si="2"/>
        <v>25</v>
      </c>
      <c r="V190" s="54">
        <v>0</v>
      </c>
      <c r="W190" s="52" t="s">
        <v>5587</v>
      </c>
    </row>
    <row r="191" spans="1:23" ht="20.100000000000001" customHeight="1" x14ac:dyDescent="0.25">
      <c r="A191" s="50">
        <v>46161</v>
      </c>
      <c r="B191" s="50">
        <v>46161</v>
      </c>
      <c r="C191" s="51">
        <v>46161</v>
      </c>
      <c r="D191" s="51"/>
      <c r="E191" s="52"/>
      <c r="F191" s="52"/>
      <c r="G191" s="52"/>
      <c r="H191" s="52">
        <v>5630</v>
      </c>
      <c r="I191" s="52" t="s">
        <v>21</v>
      </c>
      <c r="J191" s="52" t="s">
        <v>128</v>
      </c>
      <c r="K191" s="53">
        <v>23000</v>
      </c>
      <c r="L191" s="54">
        <v>1</v>
      </c>
      <c r="M191" s="52" t="s">
        <v>157</v>
      </c>
      <c r="N191" s="55" t="s">
        <v>130</v>
      </c>
      <c r="O191" s="50"/>
      <c r="P191" s="53">
        <v>23000</v>
      </c>
      <c r="Q191" s="52">
        <v>1</v>
      </c>
      <c r="R191" s="52" t="s">
        <v>219</v>
      </c>
      <c r="S191" s="52"/>
      <c r="T191" s="55"/>
      <c r="U191" s="52">
        <f t="shared" ca="1" si="2"/>
        <v>25</v>
      </c>
      <c r="V191" s="54">
        <v>0.5</v>
      </c>
      <c r="W191" s="52" t="s">
        <v>5587</v>
      </c>
    </row>
    <row r="192" spans="1:23" ht="20.100000000000001" customHeight="1" x14ac:dyDescent="0.25">
      <c r="A192" s="50">
        <v>46163</v>
      </c>
      <c r="B192" s="50">
        <v>46163</v>
      </c>
      <c r="C192" s="51">
        <v>46163</v>
      </c>
      <c r="D192" s="51"/>
      <c r="E192" s="52"/>
      <c r="F192" s="52"/>
      <c r="G192" s="52"/>
      <c r="H192" s="52">
        <v>5632</v>
      </c>
      <c r="I192" s="52" t="s">
        <v>22</v>
      </c>
      <c r="J192" s="52" t="s">
        <v>126</v>
      </c>
      <c r="K192" s="53">
        <v>30000</v>
      </c>
      <c r="L192" s="54">
        <v>0.6</v>
      </c>
      <c r="M192" s="52" t="s">
        <v>142</v>
      </c>
      <c r="N192" s="55"/>
      <c r="O192" s="50"/>
      <c r="P192" s="53"/>
      <c r="Q192" s="52"/>
      <c r="R192" s="52" t="s">
        <v>247</v>
      </c>
      <c r="S192" s="52"/>
      <c r="T192" s="55"/>
      <c r="U192" s="52">
        <f t="shared" ca="1" si="2"/>
        <v>23</v>
      </c>
      <c r="V192" s="54">
        <v>0.25</v>
      </c>
      <c r="W192" s="52" t="s">
        <v>5587</v>
      </c>
    </row>
    <row r="193" spans="1:23" ht="20.100000000000001" customHeight="1" x14ac:dyDescent="0.25">
      <c r="A193" s="50">
        <v>46164</v>
      </c>
      <c r="B193" s="50">
        <v>46164</v>
      </c>
      <c r="C193" s="51">
        <v>46164</v>
      </c>
      <c r="D193" s="51"/>
      <c r="E193" s="52"/>
      <c r="F193" s="52"/>
      <c r="G193" s="52"/>
      <c r="H193" s="52">
        <v>5633</v>
      </c>
      <c r="I193" s="52" t="s">
        <v>22</v>
      </c>
      <c r="J193" s="52" t="s">
        <v>145</v>
      </c>
      <c r="K193" s="53">
        <v>25000</v>
      </c>
      <c r="L193" s="54">
        <v>0.6</v>
      </c>
      <c r="M193" s="52" t="s">
        <v>142</v>
      </c>
      <c r="N193" s="55"/>
      <c r="O193" s="50"/>
      <c r="P193" s="53"/>
      <c r="Q193" s="52"/>
      <c r="R193" s="52"/>
      <c r="S193" s="52"/>
      <c r="T193" s="55"/>
      <c r="U193" s="52">
        <f t="shared" ca="1" si="2"/>
        <v>22</v>
      </c>
      <c r="V193" s="54">
        <v>0.25</v>
      </c>
      <c r="W193" s="52" t="s">
        <v>5587</v>
      </c>
    </row>
    <row r="194" spans="1:23" ht="20.100000000000001" customHeight="1" x14ac:dyDescent="0.25">
      <c r="A194" s="50">
        <v>46167</v>
      </c>
      <c r="B194" s="50">
        <v>46167</v>
      </c>
      <c r="C194" s="51">
        <v>46167</v>
      </c>
      <c r="D194" s="51"/>
      <c r="E194" s="52"/>
      <c r="F194" s="52"/>
      <c r="G194" s="52"/>
      <c r="H194" s="52">
        <v>5634</v>
      </c>
      <c r="I194" s="52" t="s">
        <v>22</v>
      </c>
      <c r="J194" s="52" t="s">
        <v>110</v>
      </c>
      <c r="K194" s="53">
        <v>17000</v>
      </c>
      <c r="L194" s="54">
        <v>0.6</v>
      </c>
      <c r="M194" s="52" t="s">
        <v>142</v>
      </c>
      <c r="N194" s="55"/>
      <c r="O194" s="50"/>
      <c r="P194" s="53"/>
      <c r="Q194" s="52"/>
      <c r="R194" s="52" t="s">
        <v>267</v>
      </c>
      <c r="S194" s="52"/>
      <c r="T194" s="55" t="s">
        <v>5599</v>
      </c>
      <c r="U194" s="52">
        <f t="shared" ca="1" si="2"/>
        <v>19</v>
      </c>
      <c r="V194" s="54">
        <v>0.25</v>
      </c>
      <c r="W194" s="52" t="s">
        <v>5587</v>
      </c>
    </row>
    <row r="195" spans="1:23" ht="20.100000000000001" customHeight="1" x14ac:dyDescent="0.25">
      <c r="A195" s="50">
        <v>46169</v>
      </c>
      <c r="B195" s="50">
        <v>46169</v>
      </c>
      <c r="C195" s="51">
        <v>46169</v>
      </c>
      <c r="D195" s="51"/>
      <c r="E195" s="52"/>
      <c r="F195" s="52"/>
      <c r="G195" s="52"/>
      <c r="H195" s="52">
        <v>5635</v>
      </c>
      <c r="I195" s="52" t="s">
        <v>21</v>
      </c>
      <c r="J195" s="52" t="s">
        <v>128</v>
      </c>
      <c r="K195" s="53">
        <v>25000</v>
      </c>
      <c r="L195" s="54"/>
      <c r="M195" s="52" t="s">
        <v>142</v>
      </c>
      <c r="N195" s="55"/>
      <c r="O195" s="50"/>
      <c r="P195" s="53"/>
      <c r="Q195" s="52"/>
      <c r="R195" s="52" t="s">
        <v>308</v>
      </c>
      <c r="S195" s="52"/>
      <c r="T195" s="55"/>
      <c r="U195" s="52">
        <f t="shared" ca="1" si="2"/>
        <v>17</v>
      </c>
      <c r="V195" s="54">
        <v>0</v>
      </c>
      <c r="W195" s="52" t="s">
        <v>5587</v>
      </c>
    </row>
    <row r="196" spans="1:23" ht="20.100000000000001" customHeight="1" x14ac:dyDescent="0.25">
      <c r="A196" s="50">
        <v>47266</v>
      </c>
      <c r="B196" s="50">
        <v>46170</v>
      </c>
      <c r="C196" s="51">
        <v>46170</v>
      </c>
      <c r="D196" s="51"/>
      <c r="E196" s="52"/>
      <c r="F196" s="52"/>
      <c r="G196" s="52"/>
      <c r="H196" s="52">
        <v>5636</v>
      </c>
      <c r="I196" s="52" t="s">
        <v>21</v>
      </c>
      <c r="J196" s="52" t="s">
        <v>126</v>
      </c>
      <c r="K196" s="53">
        <v>17000</v>
      </c>
      <c r="L196" s="54"/>
      <c r="M196" s="52" t="s">
        <v>142</v>
      </c>
      <c r="N196" s="55"/>
      <c r="O196" s="50"/>
      <c r="P196" s="53"/>
      <c r="Q196" s="52"/>
      <c r="R196" s="52" t="s">
        <v>309</v>
      </c>
      <c r="S196" s="52"/>
      <c r="T196" s="55"/>
      <c r="U196" s="52">
        <f t="shared" ca="1" si="2"/>
        <v>16</v>
      </c>
      <c r="V196" s="54">
        <v>0</v>
      </c>
      <c r="W196" s="52" t="s">
        <v>5587</v>
      </c>
    </row>
    <row r="197" spans="1:23" ht="20.100000000000001" customHeight="1" x14ac:dyDescent="0.25">
      <c r="A197" s="50">
        <v>46170</v>
      </c>
      <c r="B197" s="50">
        <v>46170</v>
      </c>
      <c r="C197" s="51">
        <v>46170</v>
      </c>
      <c r="D197" s="51"/>
      <c r="E197" s="52"/>
      <c r="F197" s="52"/>
      <c r="G197" s="52"/>
      <c r="H197" s="52">
        <v>5637</v>
      </c>
      <c r="I197" s="52" t="s">
        <v>22</v>
      </c>
      <c r="J197" s="52" t="s">
        <v>126</v>
      </c>
      <c r="K197" s="53">
        <v>20000</v>
      </c>
      <c r="L197" s="54">
        <v>0.6</v>
      </c>
      <c r="M197" s="52" t="s">
        <v>142</v>
      </c>
      <c r="N197" s="55"/>
      <c r="O197" s="50"/>
      <c r="P197" s="53"/>
      <c r="Q197" s="52"/>
      <c r="R197" s="52" t="s">
        <v>267</v>
      </c>
      <c r="S197" s="52"/>
      <c r="T197" s="55" t="s">
        <v>310</v>
      </c>
      <c r="U197" s="52">
        <f t="shared" ref="U197:U260" ca="1" si="3">IF(C197="","",TODAY()-C197)</f>
        <v>16</v>
      </c>
      <c r="V197" s="54">
        <v>0.25</v>
      </c>
      <c r="W197" s="52" t="s">
        <v>5587</v>
      </c>
    </row>
    <row r="198" spans="1:23" ht="20.100000000000001" customHeight="1" x14ac:dyDescent="0.25">
      <c r="A198" s="50">
        <v>46170</v>
      </c>
      <c r="B198" s="50">
        <v>46170</v>
      </c>
      <c r="C198" s="51">
        <v>46170</v>
      </c>
      <c r="D198" s="51"/>
      <c r="E198" s="52"/>
      <c r="F198" s="52"/>
      <c r="G198" s="52"/>
      <c r="H198" s="52">
        <v>5638</v>
      </c>
      <c r="I198" s="52" t="s">
        <v>22</v>
      </c>
      <c r="J198" s="52" t="s">
        <v>126</v>
      </c>
      <c r="K198" s="53">
        <v>19000</v>
      </c>
      <c r="L198" s="54">
        <v>0.6</v>
      </c>
      <c r="M198" s="52" t="s">
        <v>142</v>
      </c>
      <c r="N198" s="55"/>
      <c r="O198" s="50" t="s">
        <v>307</v>
      </c>
      <c r="P198" s="53"/>
      <c r="Q198" s="52"/>
      <c r="R198" s="52" t="s">
        <v>267</v>
      </c>
      <c r="S198" s="52"/>
      <c r="T198" s="55" t="s">
        <v>311</v>
      </c>
      <c r="U198" s="52">
        <f t="shared" ca="1" si="3"/>
        <v>16</v>
      </c>
      <c r="V198" s="54">
        <v>0.25</v>
      </c>
      <c r="W198" s="52" t="s">
        <v>5587</v>
      </c>
    </row>
    <row r="199" spans="1:23" ht="20.100000000000001" customHeight="1" x14ac:dyDescent="0.25">
      <c r="A199" s="50">
        <v>46170</v>
      </c>
      <c r="B199" s="50">
        <v>46170</v>
      </c>
      <c r="C199" s="51">
        <v>46170</v>
      </c>
      <c r="D199" s="51"/>
      <c r="E199" s="52"/>
      <c r="F199" s="52"/>
      <c r="G199" s="52"/>
      <c r="H199" s="52">
        <v>5639</v>
      </c>
      <c r="I199" s="52" t="s">
        <v>21</v>
      </c>
      <c r="J199" s="52" t="s">
        <v>126</v>
      </c>
      <c r="K199" s="53">
        <v>25000</v>
      </c>
      <c r="L199" s="54"/>
      <c r="M199" s="52" t="s">
        <v>142</v>
      </c>
      <c r="N199" s="55" t="s">
        <v>134</v>
      </c>
      <c r="O199" s="50"/>
      <c r="P199" s="53"/>
      <c r="Q199" s="52"/>
      <c r="R199" s="52" t="s">
        <v>313</v>
      </c>
      <c r="S199" s="52" t="s">
        <v>198</v>
      </c>
      <c r="T199" s="55" t="s">
        <v>312</v>
      </c>
      <c r="U199" s="52">
        <f t="shared" ca="1" si="3"/>
        <v>16</v>
      </c>
      <c r="V199" s="54">
        <v>0.25</v>
      </c>
      <c r="W199" s="52" t="s">
        <v>5587</v>
      </c>
    </row>
    <row r="200" spans="1:23" ht="20.100000000000001" customHeight="1" x14ac:dyDescent="0.25">
      <c r="A200" s="50">
        <v>46170</v>
      </c>
      <c r="B200" s="50">
        <v>46170</v>
      </c>
      <c r="C200" s="51">
        <v>46170</v>
      </c>
      <c r="D200" s="51"/>
      <c r="E200" s="52"/>
      <c r="F200" s="52"/>
      <c r="G200" s="52"/>
      <c r="H200" s="52">
        <v>5640</v>
      </c>
      <c r="I200" s="52" t="s">
        <v>22</v>
      </c>
      <c r="J200" s="52" t="s">
        <v>126</v>
      </c>
      <c r="K200" s="53">
        <v>29000</v>
      </c>
      <c r="L200" s="54">
        <v>0.6</v>
      </c>
      <c r="M200" s="52" t="s">
        <v>142</v>
      </c>
      <c r="N200" s="55"/>
      <c r="O200" s="50"/>
      <c r="P200" s="53"/>
      <c r="Q200" s="52"/>
      <c r="R200" s="52" t="s">
        <v>314</v>
      </c>
      <c r="S200" s="52"/>
      <c r="T200" s="55"/>
      <c r="U200" s="52">
        <f t="shared" ca="1" si="3"/>
        <v>16</v>
      </c>
      <c r="V200" s="54">
        <v>0.25</v>
      </c>
      <c r="W200" s="52" t="s">
        <v>5587</v>
      </c>
    </row>
    <row r="201" spans="1:23" ht="20.100000000000001" customHeight="1" x14ac:dyDescent="0.25">
      <c r="A201" s="50">
        <v>46170</v>
      </c>
      <c r="B201" s="50">
        <v>46170</v>
      </c>
      <c r="C201" s="51">
        <v>46170</v>
      </c>
      <c r="D201" s="51"/>
      <c r="E201" s="52"/>
      <c r="F201" s="52"/>
      <c r="G201" s="52"/>
      <c r="H201" s="52">
        <v>5641</v>
      </c>
      <c r="I201" s="52" t="s">
        <v>21</v>
      </c>
      <c r="J201" s="52" t="s">
        <v>126</v>
      </c>
      <c r="K201" s="53">
        <v>20000</v>
      </c>
      <c r="L201" s="54"/>
      <c r="M201" s="52" t="s">
        <v>142</v>
      </c>
      <c r="N201" s="55"/>
      <c r="O201" s="50"/>
      <c r="P201" s="53"/>
      <c r="Q201" s="52"/>
      <c r="R201" s="52"/>
      <c r="S201" s="52"/>
      <c r="T201" s="55"/>
      <c r="U201" s="52">
        <f t="shared" ca="1" si="3"/>
        <v>16</v>
      </c>
      <c r="V201" s="54">
        <v>0</v>
      </c>
      <c r="W201" s="52" t="s">
        <v>5587</v>
      </c>
    </row>
    <row r="202" spans="1:23" ht="20.100000000000001" customHeight="1" x14ac:dyDescent="0.25">
      <c r="A202" s="50">
        <v>46170</v>
      </c>
      <c r="B202" s="50">
        <v>46170</v>
      </c>
      <c r="C202" s="51">
        <v>46170</v>
      </c>
      <c r="D202" s="51"/>
      <c r="E202" s="52"/>
      <c r="F202" s="52"/>
      <c r="G202" s="52"/>
      <c r="H202" s="52">
        <v>5642</v>
      </c>
      <c r="I202" s="52" t="s">
        <v>21</v>
      </c>
      <c r="J202" s="52" t="s">
        <v>126</v>
      </c>
      <c r="K202" s="53">
        <v>25000</v>
      </c>
      <c r="L202" s="54"/>
      <c r="M202" s="52" t="s">
        <v>142</v>
      </c>
      <c r="N202" s="55"/>
      <c r="O202" s="50"/>
      <c r="P202" s="53"/>
      <c r="Q202" s="52"/>
      <c r="R202" s="52" t="s">
        <v>315</v>
      </c>
      <c r="S202" s="52"/>
      <c r="T202" s="55"/>
      <c r="U202" s="52">
        <f t="shared" ca="1" si="3"/>
        <v>16</v>
      </c>
      <c r="V202" s="54">
        <v>0</v>
      </c>
      <c r="W202" s="52" t="s">
        <v>5587</v>
      </c>
    </row>
    <row r="203" spans="1:23" ht="20.100000000000001" customHeight="1" x14ac:dyDescent="0.25">
      <c r="A203" s="50">
        <v>46174</v>
      </c>
      <c r="B203" s="50">
        <v>46174</v>
      </c>
      <c r="C203" s="51">
        <v>46174</v>
      </c>
      <c r="D203" s="51"/>
      <c r="E203" s="52"/>
      <c r="F203" s="52"/>
      <c r="G203" s="52"/>
      <c r="H203" s="52">
        <v>5643</v>
      </c>
      <c r="I203" s="52" t="s">
        <v>21</v>
      </c>
      <c r="J203" s="52" t="s">
        <v>126</v>
      </c>
      <c r="K203" s="53">
        <v>22000</v>
      </c>
      <c r="L203" s="54"/>
      <c r="M203" s="52" t="s">
        <v>142</v>
      </c>
      <c r="N203" s="55"/>
      <c r="O203" s="50"/>
      <c r="P203" s="53"/>
      <c r="Q203" s="52"/>
      <c r="R203" s="52" t="s">
        <v>316</v>
      </c>
      <c r="S203" s="52"/>
      <c r="T203" s="55"/>
      <c r="U203" s="52">
        <f t="shared" ca="1" si="3"/>
        <v>12</v>
      </c>
      <c r="V203" s="54">
        <v>0</v>
      </c>
      <c r="W203" s="52" t="s">
        <v>5587</v>
      </c>
    </row>
    <row r="204" spans="1:23" ht="20.100000000000001" customHeight="1" x14ac:dyDescent="0.25">
      <c r="A204" s="50">
        <v>46174</v>
      </c>
      <c r="B204" s="50">
        <v>46174</v>
      </c>
      <c r="C204" s="51">
        <v>46174</v>
      </c>
      <c r="D204" s="51"/>
      <c r="E204" s="52"/>
      <c r="F204" s="52"/>
      <c r="G204" s="52"/>
      <c r="H204" s="52">
        <v>5644</v>
      </c>
      <c r="I204" s="52" t="s">
        <v>22</v>
      </c>
      <c r="J204" s="52" t="s">
        <v>126</v>
      </c>
      <c r="K204" s="53">
        <v>56000</v>
      </c>
      <c r="L204" s="54"/>
      <c r="M204" s="52" t="s">
        <v>142</v>
      </c>
      <c r="N204" s="55"/>
      <c r="O204" s="50"/>
      <c r="P204" s="53"/>
      <c r="Q204" s="52"/>
      <c r="R204" s="52" t="s">
        <v>317</v>
      </c>
      <c r="S204" s="52"/>
      <c r="T204" s="55"/>
      <c r="U204" s="52">
        <f t="shared" ca="1" si="3"/>
        <v>12</v>
      </c>
      <c r="V204" s="54">
        <v>0</v>
      </c>
      <c r="W204" s="52" t="s">
        <v>5587</v>
      </c>
    </row>
    <row r="205" spans="1:23" ht="20.100000000000001" customHeight="1" x14ac:dyDescent="0.25">
      <c r="A205" s="50">
        <v>46174</v>
      </c>
      <c r="B205" s="50">
        <v>46174</v>
      </c>
      <c r="C205" s="51">
        <v>46174</v>
      </c>
      <c r="D205" s="51"/>
      <c r="E205" s="52"/>
      <c r="F205" s="52"/>
      <c r="G205" s="52"/>
      <c r="H205" s="52">
        <v>5645</v>
      </c>
      <c r="I205" s="52" t="s">
        <v>21</v>
      </c>
      <c r="J205" s="52" t="s">
        <v>126</v>
      </c>
      <c r="K205" s="53">
        <v>24000</v>
      </c>
      <c r="L205" s="54"/>
      <c r="M205" s="52" t="s">
        <v>142</v>
      </c>
      <c r="N205" s="55"/>
      <c r="O205" s="50"/>
      <c r="P205" s="53"/>
      <c r="Q205" s="52"/>
      <c r="R205" s="52" t="s">
        <v>318</v>
      </c>
      <c r="S205" s="52"/>
      <c r="T205" s="55"/>
      <c r="U205" s="52">
        <f t="shared" ca="1" si="3"/>
        <v>12</v>
      </c>
      <c r="V205" s="54">
        <v>0</v>
      </c>
      <c r="W205" s="52" t="s">
        <v>5587</v>
      </c>
    </row>
    <row r="206" spans="1:23" ht="20.100000000000001" customHeight="1" x14ac:dyDescent="0.25">
      <c r="A206" s="50">
        <v>46174</v>
      </c>
      <c r="B206" s="50">
        <v>46174</v>
      </c>
      <c r="C206" s="51">
        <v>46174</v>
      </c>
      <c r="D206" s="51"/>
      <c r="E206" s="52"/>
      <c r="F206" s="52"/>
      <c r="G206" s="52"/>
      <c r="H206" s="52">
        <v>5646</v>
      </c>
      <c r="I206" s="52" t="s">
        <v>21</v>
      </c>
      <c r="J206" s="52" t="s">
        <v>126</v>
      </c>
      <c r="K206" s="53">
        <v>48000</v>
      </c>
      <c r="L206" s="54"/>
      <c r="M206" s="52" t="s">
        <v>142</v>
      </c>
      <c r="N206" s="55"/>
      <c r="O206" s="50"/>
      <c r="P206" s="53"/>
      <c r="Q206" s="52"/>
      <c r="R206" s="52" t="s">
        <v>319</v>
      </c>
      <c r="S206" s="52"/>
      <c r="T206" s="55" t="s">
        <v>243</v>
      </c>
      <c r="U206" s="52">
        <f t="shared" ca="1" si="3"/>
        <v>12</v>
      </c>
      <c r="V206" s="54">
        <v>0</v>
      </c>
      <c r="W206" s="52" t="s">
        <v>5587</v>
      </c>
    </row>
    <row r="207" spans="1:23" ht="20.100000000000001" customHeight="1" x14ac:dyDescent="0.25">
      <c r="A207" s="50">
        <v>46174</v>
      </c>
      <c r="B207" s="50">
        <v>46174</v>
      </c>
      <c r="C207" s="51">
        <v>46174</v>
      </c>
      <c r="D207" s="51"/>
      <c r="E207" s="52"/>
      <c r="F207" s="52"/>
      <c r="G207" s="52"/>
      <c r="H207" s="52">
        <v>5647</v>
      </c>
      <c r="I207" s="52" t="s">
        <v>22</v>
      </c>
      <c r="J207" s="52" t="s">
        <v>126</v>
      </c>
      <c r="K207" s="53">
        <v>40000</v>
      </c>
      <c r="L207" s="54">
        <v>0.6</v>
      </c>
      <c r="M207" s="52" t="s">
        <v>142</v>
      </c>
      <c r="N207" s="55"/>
      <c r="O207" s="50"/>
      <c r="P207" s="53"/>
      <c r="Q207" s="52"/>
      <c r="R207" s="52" t="s">
        <v>321</v>
      </c>
      <c r="S207" s="52"/>
      <c r="T207" s="55" t="s">
        <v>5600</v>
      </c>
      <c r="U207" s="52">
        <f t="shared" ca="1" si="3"/>
        <v>12</v>
      </c>
      <c r="V207" s="54">
        <v>0.25</v>
      </c>
      <c r="W207" s="52" t="s">
        <v>5587</v>
      </c>
    </row>
    <row r="208" spans="1:23" ht="20.100000000000001" customHeight="1" x14ac:dyDescent="0.25">
      <c r="A208" s="50">
        <v>46175</v>
      </c>
      <c r="B208" s="50">
        <v>46175</v>
      </c>
      <c r="C208" s="51">
        <v>46175</v>
      </c>
      <c r="D208" s="51"/>
      <c r="E208" s="52"/>
      <c r="F208" s="52"/>
      <c r="G208" s="52"/>
      <c r="H208" s="52">
        <v>5648</v>
      </c>
      <c r="I208" s="52" t="s">
        <v>22</v>
      </c>
      <c r="J208" s="52" t="s">
        <v>126</v>
      </c>
      <c r="K208" s="53">
        <v>22000</v>
      </c>
      <c r="L208" s="54">
        <v>0.6</v>
      </c>
      <c r="M208" s="52" t="s">
        <v>142</v>
      </c>
      <c r="N208" s="55"/>
      <c r="O208" s="50"/>
      <c r="P208" s="53"/>
      <c r="Q208" s="52"/>
      <c r="R208" s="52" t="s">
        <v>322</v>
      </c>
      <c r="S208" s="52"/>
      <c r="T208" s="55"/>
      <c r="U208" s="52">
        <f t="shared" ca="1" si="3"/>
        <v>11</v>
      </c>
      <c r="V208" s="54">
        <v>0.25</v>
      </c>
      <c r="W208" s="52" t="s">
        <v>5587</v>
      </c>
    </row>
    <row r="209" spans="1:23" ht="20.100000000000001" customHeight="1" x14ac:dyDescent="0.25">
      <c r="A209" s="50">
        <v>46175</v>
      </c>
      <c r="B209" s="50">
        <v>46175</v>
      </c>
      <c r="C209" s="51">
        <v>46175</v>
      </c>
      <c r="D209" s="51"/>
      <c r="E209" s="52"/>
      <c r="F209" s="52"/>
      <c r="G209" s="52"/>
      <c r="H209" s="52">
        <v>5650</v>
      </c>
      <c r="I209" s="52" t="s">
        <v>21</v>
      </c>
      <c r="J209" s="52" t="s">
        <v>126</v>
      </c>
      <c r="K209" s="53">
        <v>23000</v>
      </c>
      <c r="L209" s="54"/>
      <c r="M209" s="52" t="s">
        <v>142</v>
      </c>
      <c r="N209" s="55"/>
      <c r="O209" s="50"/>
      <c r="P209" s="53"/>
      <c r="Q209" s="52"/>
      <c r="R209" s="52" t="s">
        <v>323</v>
      </c>
      <c r="S209" s="52"/>
      <c r="T209" s="55"/>
      <c r="U209" s="52">
        <f t="shared" ca="1" si="3"/>
        <v>11</v>
      </c>
      <c r="V209" s="54">
        <v>0</v>
      </c>
      <c r="W209" s="52" t="s">
        <v>5587</v>
      </c>
    </row>
    <row r="210" spans="1:23" ht="20.100000000000001" customHeight="1" x14ac:dyDescent="0.25">
      <c r="A210" s="50">
        <v>46175</v>
      </c>
      <c r="B210" s="50">
        <v>46175</v>
      </c>
      <c r="C210" s="51">
        <v>46175</v>
      </c>
      <c r="D210" s="51"/>
      <c r="E210" s="52"/>
      <c r="F210" s="52"/>
      <c r="G210" s="52"/>
      <c r="H210" s="52">
        <v>5651</v>
      </c>
      <c r="I210" s="52" t="s">
        <v>22</v>
      </c>
      <c r="J210" s="52" t="s">
        <v>126</v>
      </c>
      <c r="K210" s="53">
        <v>49000</v>
      </c>
      <c r="L210" s="54">
        <v>0.6</v>
      </c>
      <c r="M210" s="52" t="s">
        <v>142</v>
      </c>
      <c r="N210" s="55"/>
      <c r="O210" s="50"/>
      <c r="P210" s="53"/>
      <c r="Q210" s="52"/>
      <c r="R210" s="52" t="s">
        <v>324</v>
      </c>
      <c r="S210" s="52"/>
      <c r="T210" s="55"/>
      <c r="U210" s="52">
        <f t="shared" ca="1" si="3"/>
        <v>11</v>
      </c>
      <c r="V210" s="54">
        <v>0.25</v>
      </c>
      <c r="W210" s="52" t="s">
        <v>5587</v>
      </c>
    </row>
    <row r="211" spans="1:23" ht="20.100000000000001" customHeight="1" x14ac:dyDescent="0.25">
      <c r="A211" s="50">
        <v>46178</v>
      </c>
      <c r="B211" s="50">
        <v>46178</v>
      </c>
      <c r="C211" s="51">
        <v>46178</v>
      </c>
      <c r="D211" s="51"/>
      <c r="E211" s="52"/>
      <c r="F211" s="52"/>
      <c r="G211" s="52"/>
      <c r="H211" s="52">
        <v>5652</v>
      </c>
      <c r="I211" s="52" t="s">
        <v>22</v>
      </c>
      <c r="J211" s="52" t="s">
        <v>126</v>
      </c>
      <c r="K211" s="53">
        <v>31000</v>
      </c>
      <c r="L211" s="54">
        <v>0.6</v>
      </c>
      <c r="M211" s="52" t="s">
        <v>142</v>
      </c>
      <c r="N211" s="55"/>
      <c r="O211" s="50"/>
      <c r="P211" s="53"/>
      <c r="Q211" s="52"/>
      <c r="R211" s="52" t="s">
        <v>325</v>
      </c>
      <c r="S211" s="52"/>
      <c r="T211" s="55"/>
      <c r="U211" s="52">
        <f t="shared" ca="1" si="3"/>
        <v>8</v>
      </c>
      <c r="V211" s="54">
        <v>0.25</v>
      </c>
      <c r="W211" s="52" t="s">
        <v>5587</v>
      </c>
    </row>
    <row r="212" spans="1:23" ht="20.100000000000001" customHeight="1" x14ac:dyDescent="0.25">
      <c r="A212" s="50">
        <v>46178</v>
      </c>
      <c r="B212" s="50">
        <v>46178</v>
      </c>
      <c r="C212" s="51">
        <v>46178</v>
      </c>
      <c r="D212" s="51"/>
      <c r="E212" s="52"/>
      <c r="F212" s="52"/>
      <c r="G212" s="52"/>
      <c r="H212" s="52">
        <v>5653</v>
      </c>
      <c r="I212" s="52" t="s">
        <v>21</v>
      </c>
      <c r="J212" s="52" t="s">
        <v>145</v>
      </c>
      <c r="K212" s="53">
        <v>23000</v>
      </c>
      <c r="L212" s="54"/>
      <c r="M212" s="52" t="s">
        <v>142</v>
      </c>
      <c r="N212" s="55" t="s">
        <v>134</v>
      </c>
      <c r="O212" s="50"/>
      <c r="P212" s="53"/>
      <c r="Q212" s="52"/>
      <c r="R212" s="52" t="s">
        <v>327</v>
      </c>
      <c r="S212" s="52" t="s">
        <v>150</v>
      </c>
      <c r="T212" s="55" t="s">
        <v>326</v>
      </c>
      <c r="U212" s="52">
        <f t="shared" ca="1" si="3"/>
        <v>8</v>
      </c>
      <c r="V212" s="54">
        <v>0.25</v>
      </c>
      <c r="W212" s="52" t="s">
        <v>5587</v>
      </c>
    </row>
    <row r="213" spans="1:23" ht="20.100000000000001" customHeight="1" x14ac:dyDescent="0.25">
      <c r="A213" s="50">
        <v>46178</v>
      </c>
      <c r="B213" s="50">
        <v>46178</v>
      </c>
      <c r="C213" s="51">
        <v>46178</v>
      </c>
      <c r="D213" s="51"/>
      <c r="E213" s="52"/>
      <c r="F213" s="52"/>
      <c r="G213" s="52"/>
      <c r="H213" s="52">
        <v>5654</v>
      </c>
      <c r="I213" s="52" t="s">
        <v>22</v>
      </c>
      <c r="J213" s="52" t="s">
        <v>110</v>
      </c>
      <c r="K213" s="53">
        <v>80000</v>
      </c>
      <c r="L213" s="54">
        <v>0.6</v>
      </c>
      <c r="M213" s="52" t="s">
        <v>142</v>
      </c>
      <c r="N213" s="55"/>
      <c r="O213" s="50"/>
      <c r="P213" s="53"/>
      <c r="Q213" s="52"/>
      <c r="R213" s="52" t="s">
        <v>328</v>
      </c>
      <c r="S213" s="52"/>
      <c r="T213" s="55"/>
      <c r="U213" s="52">
        <f t="shared" ca="1" si="3"/>
        <v>8</v>
      </c>
      <c r="V213" s="54">
        <v>0.25</v>
      </c>
      <c r="W213" s="52" t="s">
        <v>5587</v>
      </c>
    </row>
    <row r="214" spans="1:23" ht="20.100000000000001" customHeight="1" x14ac:dyDescent="0.25">
      <c r="A214" s="50">
        <v>46181</v>
      </c>
      <c r="B214" s="50">
        <v>46181</v>
      </c>
      <c r="C214" s="51">
        <v>46181</v>
      </c>
      <c r="D214" s="51"/>
      <c r="E214" s="52"/>
      <c r="F214" s="52"/>
      <c r="G214" s="52"/>
      <c r="H214" s="52">
        <v>5655</v>
      </c>
      <c r="I214" s="52" t="s">
        <v>21</v>
      </c>
      <c r="J214" s="52" t="s">
        <v>145</v>
      </c>
      <c r="K214" s="53">
        <v>21000</v>
      </c>
      <c r="L214" s="54"/>
      <c r="M214" s="52" t="s">
        <v>142</v>
      </c>
      <c r="N214" s="55"/>
      <c r="O214" s="50"/>
      <c r="P214" s="53"/>
      <c r="Q214" s="52"/>
      <c r="R214" s="52" t="s">
        <v>329</v>
      </c>
      <c r="S214" s="52"/>
      <c r="T214" s="55"/>
      <c r="U214" s="52">
        <f t="shared" ca="1" si="3"/>
        <v>5</v>
      </c>
      <c r="V214" s="54">
        <v>0</v>
      </c>
      <c r="W214" s="52" t="s">
        <v>5587</v>
      </c>
    </row>
    <row r="215" spans="1:23" ht="20.100000000000001" customHeight="1" x14ac:dyDescent="0.25">
      <c r="A215" s="50">
        <v>46181</v>
      </c>
      <c r="B215" s="50">
        <v>46181</v>
      </c>
      <c r="C215" s="51">
        <v>46181</v>
      </c>
      <c r="D215" s="51"/>
      <c r="E215" s="52"/>
      <c r="F215" s="52"/>
      <c r="G215" s="52"/>
      <c r="H215" s="52">
        <v>5656</v>
      </c>
      <c r="I215" s="52" t="s">
        <v>22</v>
      </c>
      <c r="J215" s="52" t="s">
        <v>126</v>
      </c>
      <c r="K215" s="53">
        <v>22000</v>
      </c>
      <c r="L215" s="54">
        <v>0.6</v>
      </c>
      <c r="M215" s="52" t="s">
        <v>142</v>
      </c>
      <c r="N215" s="55"/>
      <c r="O215" s="50"/>
      <c r="P215" s="53"/>
      <c r="Q215" s="52"/>
      <c r="R215" s="52" t="s">
        <v>330</v>
      </c>
      <c r="S215" s="52"/>
      <c r="T215" s="55"/>
      <c r="U215" s="52">
        <f t="shared" ca="1" si="3"/>
        <v>5</v>
      </c>
      <c r="V215" s="54">
        <v>0.25</v>
      </c>
      <c r="W215" s="52" t="s">
        <v>5587</v>
      </c>
    </row>
    <row r="216" spans="1:23" ht="20.100000000000001" customHeight="1" x14ac:dyDescent="0.25">
      <c r="A216" s="50">
        <v>46181</v>
      </c>
      <c r="B216" s="50">
        <v>46181</v>
      </c>
      <c r="C216" s="51">
        <v>46181</v>
      </c>
      <c r="D216" s="51"/>
      <c r="E216" s="52"/>
      <c r="F216" s="52"/>
      <c r="G216" s="52"/>
      <c r="H216" s="52">
        <v>5657</v>
      </c>
      <c r="I216" s="52" t="s">
        <v>22</v>
      </c>
      <c r="J216" s="52" t="s">
        <v>126</v>
      </c>
      <c r="K216" s="53">
        <v>20000</v>
      </c>
      <c r="L216" s="54">
        <v>0.4</v>
      </c>
      <c r="M216" s="52" t="s">
        <v>155</v>
      </c>
      <c r="N216" s="55"/>
      <c r="O216" s="50"/>
      <c r="P216" s="53"/>
      <c r="Q216" s="52"/>
      <c r="R216" s="52" t="s">
        <v>331</v>
      </c>
      <c r="S216" s="52"/>
      <c r="T216" s="55"/>
      <c r="U216" s="52">
        <f t="shared" ca="1" si="3"/>
        <v>5</v>
      </c>
      <c r="V216" s="54">
        <v>0.25</v>
      </c>
      <c r="W216" s="52" t="s">
        <v>5587</v>
      </c>
    </row>
    <row r="217" spans="1:23" ht="20.100000000000001" customHeight="1" x14ac:dyDescent="0.25">
      <c r="A217" s="50">
        <v>46182</v>
      </c>
      <c r="B217" s="50">
        <v>46182</v>
      </c>
      <c r="C217" s="51">
        <v>46182</v>
      </c>
      <c r="D217" s="51"/>
      <c r="E217" s="52"/>
      <c r="F217" s="52"/>
      <c r="G217" s="52"/>
      <c r="H217" s="52">
        <v>5658</v>
      </c>
      <c r="I217" s="52" t="s">
        <v>22</v>
      </c>
      <c r="J217" s="52" t="s">
        <v>126</v>
      </c>
      <c r="K217" s="53">
        <v>22000</v>
      </c>
      <c r="L217" s="54"/>
      <c r="M217" s="52" t="s">
        <v>142</v>
      </c>
      <c r="N217" s="55"/>
      <c r="O217" s="50"/>
      <c r="P217" s="53"/>
      <c r="Q217" s="52"/>
      <c r="R217" s="52" t="s">
        <v>332</v>
      </c>
      <c r="S217" s="52"/>
      <c r="T217" s="55"/>
      <c r="U217" s="52">
        <f t="shared" ca="1" si="3"/>
        <v>4</v>
      </c>
      <c r="V217" s="54">
        <v>0</v>
      </c>
      <c r="W217" s="52" t="s">
        <v>5587</v>
      </c>
    </row>
    <row r="218" spans="1:23" ht="20.100000000000001" customHeight="1" x14ac:dyDescent="0.25">
      <c r="A218" s="50"/>
      <c r="B218" s="50"/>
      <c r="C218" s="51"/>
      <c r="D218" s="51"/>
      <c r="E218" s="52"/>
      <c r="F218" s="52"/>
      <c r="G218" s="52"/>
      <c r="H218" s="52">
        <v>5659</v>
      </c>
      <c r="I218" s="52"/>
      <c r="J218" s="52"/>
      <c r="K218" s="53"/>
      <c r="L218" s="54"/>
      <c r="M218" s="52"/>
      <c r="N218" s="55"/>
      <c r="O218" s="50"/>
      <c r="P218" s="53"/>
      <c r="Q218" s="52"/>
      <c r="R218" s="52"/>
      <c r="S218" s="52"/>
      <c r="T218" s="55"/>
      <c r="U218" s="52" t="str">
        <f t="shared" ca="1" si="3"/>
        <v/>
      </c>
      <c r="V218" s="54">
        <v>0</v>
      </c>
      <c r="W218" s="52" t="s">
        <v>5587</v>
      </c>
    </row>
    <row r="219" spans="1:23" ht="20.100000000000001" customHeight="1" x14ac:dyDescent="0.25">
      <c r="A219" s="50"/>
      <c r="B219" s="50"/>
      <c r="C219" s="51"/>
      <c r="D219" s="51"/>
      <c r="E219" s="52"/>
      <c r="F219" s="52"/>
      <c r="G219" s="52"/>
      <c r="H219" s="52">
        <v>5660</v>
      </c>
      <c r="I219" s="52"/>
      <c r="J219" s="52"/>
      <c r="K219" s="53"/>
      <c r="L219" s="54"/>
      <c r="M219" s="52"/>
      <c r="N219" s="55"/>
      <c r="O219" s="50"/>
      <c r="P219" s="53"/>
      <c r="Q219" s="52"/>
      <c r="R219" s="52"/>
      <c r="S219" s="52"/>
      <c r="T219" s="55"/>
      <c r="U219" s="52" t="str">
        <f t="shared" ca="1" si="3"/>
        <v/>
      </c>
      <c r="V219" s="54">
        <v>0</v>
      </c>
      <c r="W219" s="52" t="s">
        <v>5587</v>
      </c>
    </row>
    <row r="220" spans="1:23" ht="20.100000000000001" customHeight="1" x14ac:dyDescent="0.25">
      <c r="A220" s="50"/>
      <c r="B220" s="50"/>
      <c r="C220" s="51"/>
      <c r="D220" s="51"/>
      <c r="E220" s="52"/>
      <c r="F220" s="52"/>
      <c r="G220" s="52"/>
      <c r="H220" s="52">
        <v>5661</v>
      </c>
      <c r="I220" s="52"/>
      <c r="J220" s="52"/>
      <c r="K220" s="53"/>
      <c r="L220" s="54"/>
      <c r="M220" s="52"/>
      <c r="N220" s="55"/>
      <c r="O220" s="50"/>
      <c r="P220" s="53"/>
      <c r="Q220" s="52"/>
      <c r="R220" s="52"/>
      <c r="S220" s="52"/>
      <c r="T220" s="55"/>
      <c r="U220" s="52" t="str">
        <f t="shared" ca="1" si="3"/>
        <v/>
      </c>
      <c r="V220" s="54">
        <v>0</v>
      </c>
      <c r="W220" s="52" t="s">
        <v>5587</v>
      </c>
    </row>
    <row r="221" spans="1:23" ht="20.100000000000001" customHeight="1" x14ac:dyDescent="0.25">
      <c r="A221" s="50"/>
      <c r="B221" s="50"/>
      <c r="C221" s="51"/>
      <c r="D221" s="51"/>
      <c r="E221" s="52"/>
      <c r="F221" s="52"/>
      <c r="G221" s="52"/>
      <c r="H221" s="52">
        <v>5662</v>
      </c>
      <c r="I221" s="52"/>
      <c r="J221" s="52"/>
      <c r="K221" s="53"/>
      <c r="L221" s="54"/>
      <c r="M221" s="52"/>
      <c r="N221" s="55"/>
      <c r="O221" s="50"/>
      <c r="P221" s="53"/>
      <c r="Q221" s="52"/>
      <c r="R221" s="52"/>
      <c r="S221" s="52"/>
      <c r="T221" s="55"/>
      <c r="U221" s="52" t="str">
        <f t="shared" ca="1" si="3"/>
        <v/>
      </c>
      <c r="V221" s="54">
        <v>0</v>
      </c>
      <c r="W221" s="52" t="s">
        <v>5587</v>
      </c>
    </row>
    <row r="222" spans="1:23" ht="20.100000000000001" customHeight="1" x14ac:dyDescent="0.25">
      <c r="A222" s="50"/>
      <c r="B222" s="50"/>
      <c r="C222" s="51"/>
      <c r="D222" s="51"/>
      <c r="E222" s="52"/>
      <c r="F222" s="52"/>
      <c r="G222" s="52"/>
      <c r="H222" s="52">
        <v>5663</v>
      </c>
      <c r="I222" s="52"/>
      <c r="J222" s="52"/>
      <c r="K222" s="53"/>
      <c r="L222" s="54"/>
      <c r="M222" s="52"/>
      <c r="N222" s="55"/>
      <c r="O222" s="50"/>
      <c r="P222" s="53"/>
      <c r="Q222" s="52"/>
      <c r="R222" s="52"/>
      <c r="S222" s="52"/>
      <c r="T222" s="55"/>
      <c r="U222" s="52" t="str">
        <f t="shared" ca="1" si="3"/>
        <v/>
      </c>
      <c r="V222" s="54">
        <v>0</v>
      </c>
      <c r="W222" s="52" t="s">
        <v>5587</v>
      </c>
    </row>
    <row r="223" spans="1:23" ht="20.100000000000001" customHeight="1" x14ac:dyDescent="0.25">
      <c r="A223" s="50"/>
      <c r="B223" s="50"/>
      <c r="C223" s="51"/>
      <c r="D223" s="51"/>
      <c r="E223" s="52"/>
      <c r="F223" s="52"/>
      <c r="G223" s="52"/>
      <c r="H223" s="52">
        <v>5664</v>
      </c>
      <c r="I223" s="52"/>
      <c r="J223" s="52"/>
      <c r="K223" s="53"/>
      <c r="L223" s="54"/>
      <c r="M223" s="52"/>
      <c r="N223" s="55"/>
      <c r="O223" s="50"/>
      <c r="P223" s="53"/>
      <c r="Q223" s="52"/>
      <c r="R223" s="52"/>
      <c r="S223" s="52"/>
      <c r="T223" s="55"/>
      <c r="U223" s="52" t="str">
        <f t="shared" ca="1" si="3"/>
        <v/>
      </c>
      <c r="V223" s="54">
        <v>0</v>
      </c>
      <c r="W223" s="52" t="s">
        <v>5587</v>
      </c>
    </row>
    <row r="224" spans="1:23" ht="20.100000000000001" customHeight="1" x14ac:dyDescent="0.25">
      <c r="A224" s="50"/>
      <c r="B224" s="50"/>
      <c r="C224" s="51"/>
      <c r="D224" s="51"/>
      <c r="E224" s="52"/>
      <c r="F224" s="52"/>
      <c r="G224" s="52"/>
      <c r="H224" s="52">
        <v>5665</v>
      </c>
      <c r="I224" s="52"/>
      <c r="J224" s="52"/>
      <c r="K224" s="53"/>
      <c r="L224" s="54"/>
      <c r="M224" s="52"/>
      <c r="N224" s="55"/>
      <c r="O224" s="50"/>
      <c r="P224" s="53"/>
      <c r="Q224" s="52"/>
      <c r="R224" s="52"/>
      <c r="S224" s="52"/>
      <c r="T224" s="55"/>
      <c r="U224" s="52" t="str">
        <f t="shared" ca="1" si="3"/>
        <v/>
      </c>
      <c r="V224" s="54">
        <v>0</v>
      </c>
      <c r="W224" s="52" t="s">
        <v>5587</v>
      </c>
    </row>
    <row r="225" spans="1:23" ht="20.100000000000001" customHeight="1" x14ac:dyDescent="0.25">
      <c r="A225" s="50"/>
      <c r="B225" s="50"/>
      <c r="C225" s="51"/>
      <c r="D225" s="51"/>
      <c r="E225" s="52"/>
      <c r="F225" s="52"/>
      <c r="G225" s="52"/>
      <c r="H225" s="52">
        <v>5666</v>
      </c>
      <c r="I225" s="52"/>
      <c r="J225" s="52"/>
      <c r="K225" s="53"/>
      <c r="L225" s="54"/>
      <c r="M225" s="52"/>
      <c r="N225" s="55"/>
      <c r="O225" s="50"/>
      <c r="P225" s="53"/>
      <c r="Q225" s="52"/>
      <c r="R225" s="52"/>
      <c r="S225" s="52"/>
      <c r="T225" s="55"/>
      <c r="U225" s="52" t="str">
        <f t="shared" ca="1" si="3"/>
        <v/>
      </c>
      <c r="V225" s="54">
        <v>0</v>
      </c>
      <c r="W225" s="52" t="s">
        <v>5587</v>
      </c>
    </row>
    <row r="226" spans="1:23" ht="20.100000000000001" customHeight="1" x14ac:dyDescent="0.25">
      <c r="A226" s="50"/>
      <c r="B226" s="50"/>
      <c r="C226" s="51"/>
      <c r="D226" s="51"/>
      <c r="E226" s="52"/>
      <c r="F226" s="52"/>
      <c r="G226" s="52"/>
      <c r="H226" s="52">
        <v>5667</v>
      </c>
      <c r="I226" s="52"/>
      <c r="J226" s="52"/>
      <c r="K226" s="53"/>
      <c r="L226" s="54"/>
      <c r="M226" s="52"/>
      <c r="N226" s="55"/>
      <c r="O226" s="50"/>
      <c r="P226" s="53"/>
      <c r="Q226" s="52"/>
      <c r="R226" s="52"/>
      <c r="S226" s="52"/>
      <c r="T226" s="55"/>
      <c r="U226" s="52" t="str">
        <f t="shared" ca="1" si="3"/>
        <v/>
      </c>
      <c r="V226" s="54">
        <v>0</v>
      </c>
      <c r="W226" s="52" t="s">
        <v>5587</v>
      </c>
    </row>
    <row r="227" spans="1:23" ht="20.100000000000001" customHeight="1" x14ac:dyDescent="0.25">
      <c r="A227" s="50"/>
      <c r="B227" s="50"/>
      <c r="C227" s="51"/>
      <c r="D227" s="51"/>
      <c r="E227" s="52"/>
      <c r="F227" s="52"/>
      <c r="G227" s="52"/>
      <c r="H227" s="52">
        <v>5668</v>
      </c>
      <c r="I227" s="52"/>
      <c r="J227" s="52"/>
      <c r="K227" s="53"/>
      <c r="L227" s="54"/>
      <c r="M227" s="52"/>
      <c r="N227" s="55"/>
      <c r="O227" s="50"/>
      <c r="P227" s="53"/>
      <c r="Q227" s="52"/>
      <c r="R227" s="52"/>
      <c r="S227" s="52"/>
      <c r="T227" s="55"/>
      <c r="U227" s="52" t="str">
        <f t="shared" ca="1" si="3"/>
        <v/>
      </c>
      <c r="V227" s="54">
        <v>0</v>
      </c>
      <c r="W227" s="52" t="s">
        <v>5587</v>
      </c>
    </row>
    <row r="228" spans="1:23" ht="20.100000000000001" customHeight="1" x14ac:dyDescent="0.25">
      <c r="A228" s="50"/>
      <c r="B228" s="50"/>
      <c r="C228" s="51"/>
      <c r="D228" s="51"/>
      <c r="E228" s="52"/>
      <c r="F228" s="52"/>
      <c r="G228" s="52"/>
      <c r="H228" s="52">
        <v>5669</v>
      </c>
      <c r="I228" s="52"/>
      <c r="J228" s="52"/>
      <c r="K228" s="53"/>
      <c r="L228" s="54"/>
      <c r="M228" s="52"/>
      <c r="N228" s="55"/>
      <c r="O228" s="50"/>
      <c r="P228" s="53"/>
      <c r="Q228" s="52"/>
      <c r="R228" s="52"/>
      <c r="S228" s="52"/>
      <c r="T228" s="55"/>
      <c r="U228" s="52" t="str">
        <f t="shared" ca="1" si="3"/>
        <v/>
      </c>
      <c r="V228" s="54">
        <v>0</v>
      </c>
      <c r="W228" s="52" t="s">
        <v>5587</v>
      </c>
    </row>
    <row r="229" spans="1:23" ht="20.100000000000001" customHeight="1" x14ac:dyDescent="0.25">
      <c r="A229" s="50"/>
      <c r="B229" s="50"/>
      <c r="C229" s="51"/>
      <c r="D229" s="51"/>
      <c r="E229" s="52"/>
      <c r="F229" s="52"/>
      <c r="G229" s="52"/>
      <c r="H229" s="52">
        <v>5670</v>
      </c>
      <c r="I229" s="52"/>
      <c r="J229" s="52"/>
      <c r="K229" s="53"/>
      <c r="L229" s="54"/>
      <c r="M229" s="52"/>
      <c r="N229" s="55"/>
      <c r="O229" s="50"/>
      <c r="P229" s="53"/>
      <c r="Q229" s="52"/>
      <c r="R229" s="52"/>
      <c r="S229" s="52"/>
      <c r="T229" s="55"/>
      <c r="U229" s="52" t="str">
        <f t="shared" ca="1" si="3"/>
        <v/>
      </c>
      <c r="V229" s="54">
        <v>0</v>
      </c>
      <c r="W229" s="52" t="s">
        <v>5587</v>
      </c>
    </row>
    <row r="230" spans="1:23" ht="20.100000000000001" customHeight="1" x14ac:dyDescent="0.25">
      <c r="A230" s="50"/>
      <c r="B230" s="50"/>
      <c r="C230" s="51"/>
      <c r="D230" s="51"/>
      <c r="E230" s="52"/>
      <c r="F230" s="52"/>
      <c r="G230" s="52"/>
      <c r="H230" s="52">
        <v>5671</v>
      </c>
      <c r="I230" s="52"/>
      <c r="J230" s="52"/>
      <c r="K230" s="53"/>
      <c r="L230" s="54"/>
      <c r="M230" s="52"/>
      <c r="N230" s="55"/>
      <c r="O230" s="50"/>
      <c r="P230" s="53"/>
      <c r="Q230" s="52"/>
      <c r="R230" s="52"/>
      <c r="S230" s="52"/>
      <c r="T230" s="55"/>
      <c r="U230" s="52" t="str">
        <f t="shared" ca="1" si="3"/>
        <v/>
      </c>
      <c r="V230" s="54">
        <v>0</v>
      </c>
      <c r="W230" s="52" t="s">
        <v>5587</v>
      </c>
    </row>
    <row r="231" spans="1:23" ht="20.100000000000001" customHeight="1" x14ac:dyDescent="0.25">
      <c r="A231" s="50"/>
      <c r="B231" s="50"/>
      <c r="C231" s="51"/>
      <c r="D231" s="51"/>
      <c r="E231" s="52"/>
      <c r="F231" s="52"/>
      <c r="G231" s="52"/>
      <c r="H231" s="52">
        <v>5672</v>
      </c>
      <c r="I231" s="52"/>
      <c r="J231" s="52"/>
      <c r="K231" s="53"/>
      <c r="L231" s="54"/>
      <c r="M231" s="52"/>
      <c r="N231" s="55"/>
      <c r="O231" s="50"/>
      <c r="P231" s="53"/>
      <c r="Q231" s="52"/>
      <c r="R231" s="52"/>
      <c r="S231" s="52"/>
      <c r="T231" s="55"/>
      <c r="U231" s="52" t="str">
        <f t="shared" ca="1" si="3"/>
        <v/>
      </c>
      <c r="V231" s="54">
        <v>0</v>
      </c>
      <c r="W231" s="52" t="s">
        <v>5587</v>
      </c>
    </row>
    <row r="232" spans="1:23" ht="20.100000000000001" customHeight="1" x14ac:dyDescent="0.25">
      <c r="A232" s="50"/>
      <c r="B232" s="50"/>
      <c r="C232" s="51"/>
      <c r="D232" s="51"/>
      <c r="E232" s="52"/>
      <c r="F232" s="52"/>
      <c r="G232" s="52"/>
      <c r="H232" s="52">
        <v>5673</v>
      </c>
      <c r="I232" s="52"/>
      <c r="J232" s="52"/>
      <c r="K232" s="53"/>
      <c r="L232" s="54"/>
      <c r="M232" s="52"/>
      <c r="N232" s="55"/>
      <c r="O232" s="50"/>
      <c r="P232" s="53"/>
      <c r="Q232" s="52"/>
      <c r="R232" s="52"/>
      <c r="S232" s="52"/>
      <c r="T232" s="55"/>
      <c r="U232" s="52" t="str">
        <f t="shared" ca="1" si="3"/>
        <v/>
      </c>
      <c r="V232" s="54">
        <v>0</v>
      </c>
      <c r="W232" s="52" t="s">
        <v>5587</v>
      </c>
    </row>
    <row r="233" spans="1:23" ht="20.100000000000001" customHeight="1" x14ac:dyDescent="0.25">
      <c r="A233" s="50"/>
      <c r="B233" s="50"/>
      <c r="C233" s="51"/>
      <c r="D233" s="51"/>
      <c r="E233" s="52"/>
      <c r="F233" s="52"/>
      <c r="G233" s="52"/>
      <c r="H233" s="52">
        <v>5674</v>
      </c>
      <c r="I233" s="52"/>
      <c r="J233" s="52"/>
      <c r="K233" s="53"/>
      <c r="L233" s="54"/>
      <c r="M233" s="52"/>
      <c r="N233" s="55"/>
      <c r="O233" s="50"/>
      <c r="P233" s="53"/>
      <c r="Q233" s="52"/>
      <c r="R233" s="52"/>
      <c r="S233" s="52"/>
      <c r="T233" s="55"/>
      <c r="U233" s="52" t="str">
        <f t="shared" ca="1" si="3"/>
        <v/>
      </c>
      <c r="V233" s="54">
        <v>0</v>
      </c>
      <c r="W233" s="52" t="s">
        <v>5587</v>
      </c>
    </row>
    <row r="234" spans="1:23" ht="20.100000000000001" customHeight="1" x14ac:dyDescent="0.25">
      <c r="A234" s="50"/>
      <c r="B234" s="50"/>
      <c r="C234" s="51"/>
      <c r="D234" s="51"/>
      <c r="E234" s="52"/>
      <c r="F234" s="52"/>
      <c r="G234" s="52"/>
      <c r="H234" s="52">
        <v>5675</v>
      </c>
      <c r="I234" s="52"/>
      <c r="J234" s="52"/>
      <c r="K234" s="53"/>
      <c r="L234" s="54"/>
      <c r="M234" s="52"/>
      <c r="N234" s="55"/>
      <c r="O234" s="50"/>
      <c r="P234" s="53"/>
      <c r="Q234" s="52"/>
      <c r="R234" s="52"/>
      <c r="S234" s="52"/>
      <c r="T234" s="55"/>
      <c r="U234" s="52" t="str">
        <f t="shared" ca="1" si="3"/>
        <v/>
      </c>
      <c r="V234" s="54">
        <v>0</v>
      </c>
      <c r="W234" s="52" t="s">
        <v>5587</v>
      </c>
    </row>
    <row r="235" spans="1:23" ht="20.100000000000001" customHeight="1" x14ac:dyDescent="0.25">
      <c r="A235" s="50"/>
      <c r="B235" s="50"/>
      <c r="C235" s="51"/>
      <c r="D235" s="51"/>
      <c r="E235" s="52"/>
      <c r="F235" s="52"/>
      <c r="G235" s="52"/>
      <c r="H235" s="52">
        <v>5676</v>
      </c>
      <c r="I235" s="52"/>
      <c r="J235" s="52"/>
      <c r="K235" s="53"/>
      <c r="L235" s="54"/>
      <c r="M235" s="52"/>
      <c r="N235" s="55"/>
      <c r="O235" s="50"/>
      <c r="P235" s="53"/>
      <c r="Q235" s="52"/>
      <c r="R235" s="52"/>
      <c r="S235" s="52"/>
      <c r="T235" s="55"/>
      <c r="U235" s="52" t="str">
        <f t="shared" ca="1" si="3"/>
        <v/>
      </c>
      <c r="V235" s="54">
        <v>0</v>
      </c>
      <c r="W235" s="52" t="s">
        <v>5587</v>
      </c>
    </row>
    <row r="236" spans="1:23" ht="20.100000000000001" customHeight="1" x14ac:dyDescent="0.25">
      <c r="A236" s="50"/>
      <c r="B236" s="50"/>
      <c r="C236" s="51"/>
      <c r="D236" s="51"/>
      <c r="E236" s="52"/>
      <c r="F236" s="52"/>
      <c r="G236" s="52"/>
      <c r="H236" s="52">
        <v>5677</v>
      </c>
      <c r="I236" s="52"/>
      <c r="J236" s="52"/>
      <c r="K236" s="53"/>
      <c r="L236" s="54"/>
      <c r="M236" s="52"/>
      <c r="N236" s="55"/>
      <c r="O236" s="50"/>
      <c r="P236" s="53"/>
      <c r="Q236" s="52"/>
      <c r="R236" s="52"/>
      <c r="S236" s="52"/>
      <c r="T236" s="55"/>
      <c r="U236" s="52" t="str">
        <f t="shared" ca="1" si="3"/>
        <v/>
      </c>
      <c r="V236" s="54">
        <v>0</v>
      </c>
      <c r="W236" s="52" t="s">
        <v>5587</v>
      </c>
    </row>
    <row r="237" spans="1:23" ht="20.100000000000001" customHeight="1" x14ac:dyDescent="0.25">
      <c r="A237" s="50"/>
      <c r="B237" s="50"/>
      <c r="C237" s="51"/>
      <c r="D237" s="51"/>
      <c r="E237" s="52"/>
      <c r="F237" s="52"/>
      <c r="G237" s="52"/>
      <c r="H237" s="52">
        <v>5678</v>
      </c>
      <c r="I237" s="52"/>
      <c r="J237" s="52"/>
      <c r="K237" s="53"/>
      <c r="L237" s="54"/>
      <c r="M237" s="52"/>
      <c r="N237" s="55"/>
      <c r="O237" s="50"/>
      <c r="P237" s="53"/>
      <c r="Q237" s="52"/>
      <c r="R237" s="52"/>
      <c r="S237" s="52"/>
      <c r="T237" s="55"/>
      <c r="U237" s="52" t="str">
        <f t="shared" ca="1" si="3"/>
        <v/>
      </c>
      <c r="V237" s="54">
        <v>0</v>
      </c>
      <c r="W237" s="52" t="s">
        <v>5587</v>
      </c>
    </row>
    <row r="238" spans="1:23" ht="20.100000000000001" customHeight="1" x14ac:dyDescent="0.25">
      <c r="A238" s="50"/>
      <c r="B238" s="50"/>
      <c r="C238" s="51"/>
      <c r="D238" s="51"/>
      <c r="E238" s="52"/>
      <c r="F238" s="52"/>
      <c r="G238" s="52"/>
      <c r="H238" s="52">
        <v>5679</v>
      </c>
      <c r="I238" s="52"/>
      <c r="J238" s="52"/>
      <c r="K238" s="53"/>
      <c r="L238" s="54"/>
      <c r="M238" s="52"/>
      <c r="N238" s="55"/>
      <c r="O238" s="50"/>
      <c r="P238" s="53"/>
      <c r="Q238" s="52"/>
      <c r="R238" s="52"/>
      <c r="S238" s="52"/>
      <c r="T238" s="55"/>
      <c r="U238" s="52" t="str">
        <f t="shared" ca="1" si="3"/>
        <v/>
      </c>
      <c r="V238" s="54">
        <v>0</v>
      </c>
      <c r="W238" s="52" t="s">
        <v>5587</v>
      </c>
    </row>
    <row r="239" spans="1:23" ht="20.100000000000001" customHeight="1" x14ac:dyDescent="0.25">
      <c r="A239" s="50"/>
      <c r="B239" s="50"/>
      <c r="C239" s="51"/>
      <c r="D239" s="51"/>
      <c r="E239" s="52"/>
      <c r="F239" s="52"/>
      <c r="G239" s="52"/>
      <c r="H239" s="52">
        <v>5680</v>
      </c>
      <c r="I239" s="52"/>
      <c r="J239" s="52"/>
      <c r="K239" s="53"/>
      <c r="L239" s="54"/>
      <c r="M239" s="52"/>
      <c r="N239" s="55"/>
      <c r="O239" s="50"/>
      <c r="P239" s="53"/>
      <c r="Q239" s="52"/>
      <c r="R239" s="52"/>
      <c r="S239" s="52"/>
      <c r="T239" s="55"/>
      <c r="U239" s="52" t="str">
        <f t="shared" ca="1" si="3"/>
        <v/>
      </c>
      <c r="V239" s="54">
        <v>0</v>
      </c>
      <c r="W239" s="52" t="s">
        <v>5587</v>
      </c>
    </row>
    <row r="240" spans="1:23" ht="20.100000000000001" customHeight="1" x14ac:dyDescent="0.25">
      <c r="A240" s="50"/>
      <c r="B240" s="50"/>
      <c r="C240" s="51"/>
      <c r="D240" s="51"/>
      <c r="E240" s="52"/>
      <c r="F240" s="52"/>
      <c r="G240" s="52"/>
      <c r="H240" s="52">
        <v>5681</v>
      </c>
      <c r="I240" s="52"/>
      <c r="J240" s="52"/>
      <c r="K240" s="53"/>
      <c r="L240" s="54"/>
      <c r="M240" s="52"/>
      <c r="N240" s="55"/>
      <c r="O240" s="50"/>
      <c r="P240" s="53"/>
      <c r="Q240" s="52"/>
      <c r="R240" s="52"/>
      <c r="S240" s="52"/>
      <c r="T240" s="55"/>
      <c r="U240" s="52" t="str">
        <f t="shared" ca="1" si="3"/>
        <v/>
      </c>
      <c r="V240" s="54">
        <v>0</v>
      </c>
      <c r="W240" s="52" t="s">
        <v>5587</v>
      </c>
    </row>
    <row r="241" spans="1:23" ht="20.100000000000001" customHeight="1" x14ac:dyDescent="0.25">
      <c r="A241" s="50"/>
      <c r="B241" s="50"/>
      <c r="C241" s="51"/>
      <c r="D241" s="51"/>
      <c r="E241" s="52"/>
      <c r="F241" s="52"/>
      <c r="G241" s="52"/>
      <c r="H241" s="52">
        <v>5682</v>
      </c>
      <c r="I241" s="52"/>
      <c r="J241" s="52"/>
      <c r="K241" s="53"/>
      <c r="L241" s="54"/>
      <c r="M241" s="52"/>
      <c r="N241" s="55"/>
      <c r="O241" s="50"/>
      <c r="P241" s="53"/>
      <c r="Q241" s="52"/>
      <c r="R241" s="52"/>
      <c r="S241" s="52"/>
      <c r="T241" s="55"/>
      <c r="U241" s="52" t="str">
        <f t="shared" ca="1" si="3"/>
        <v/>
      </c>
      <c r="V241" s="54">
        <v>0</v>
      </c>
      <c r="W241" s="52" t="s">
        <v>5587</v>
      </c>
    </row>
    <row r="242" spans="1:23" ht="20.100000000000001" customHeight="1" x14ac:dyDescent="0.25">
      <c r="A242" s="50"/>
      <c r="B242" s="50"/>
      <c r="C242" s="51"/>
      <c r="D242" s="51"/>
      <c r="E242" s="52"/>
      <c r="F242" s="52"/>
      <c r="G242" s="52"/>
      <c r="H242" s="52">
        <v>5683</v>
      </c>
      <c r="I242" s="52"/>
      <c r="J242" s="52"/>
      <c r="K242" s="53"/>
      <c r="L242" s="54"/>
      <c r="M242" s="52"/>
      <c r="N242" s="55"/>
      <c r="O242" s="50"/>
      <c r="P242" s="53"/>
      <c r="Q242" s="52"/>
      <c r="R242" s="52"/>
      <c r="S242" s="52"/>
      <c r="T242" s="55"/>
      <c r="U242" s="52" t="str">
        <f t="shared" ca="1" si="3"/>
        <v/>
      </c>
      <c r="V242" s="54">
        <v>0</v>
      </c>
      <c r="W242" s="52" t="s">
        <v>5587</v>
      </c>
    </row>
    <row r="243" spans="1:23" ht="20.100000000000001" customHeight="1" x14ac:dyDescent="0.25">
      <c r="A243" s="50"/>
      <c r="B243" s="50"/>
      <c r="C243" s="51"/>
      <c r="D243" s="51"/>
      <c r="E243" s="52"/>
      <c r="F243" s="52"/>
      <c r="G243" s="52"/>
      <c r="H243" s="52">
        <v>5684</v>
      </c>
      <c r="I243" s="52"/>
      <c r="J243" s="52"/>
      <c r="K243" s="53"/>
      <c r="L243" s="54"/>
      <c r="M243" s="52"/>
      <c r="N243" s="55"/>
      <c r="O243" s="50"/>
      <c r="P243" s="53"/>
      <c r="Q243" s="52"/>
      <c r="R243" s="52"/>
      <c r="S243" s="52"/>
      <c r="T243" s="55"/>
      <c r="U243" s="52" t="str">
        <f t="shared" ca="1" si="3"/>
        <v/>
      </c>
      <c r="V243" s="54">
        <v>0</v>
      </c>
      <c r="W243" s="52" t="s">
        <v>5587</v>
      </c>
    </row>
    <row r="244" spans="1:23" ht="20.100000000000001" customHeight="1" x14ac:dyDescent="0.25">
      <c r="A244" s="50"/>
      <c r="B244" s="50"/>
      <c r="C244" s="51"/>
      <c r="D244" s="51"/>
      <c r="E244" s="52"/>
      <c r="F244" s="52"/>
      <c r="G244" s="52"/>
      <c r="H244" s="52">
        <v>5685</v>
      </c>
      <c r="I244" s="52"/>
      <c r="J244" s="52"/>
      <c r="K244" s="53"/>
      <c r="L244" s="54"/>
      <c r="M244" s="52"/>
      <c r="N244" s="55"/>
      <c r="O244" s="50"/>
      <c r="P244" s="53"/>
      <c r="Q244" s="52"/>
      <c r="R244" s="52"/>
      <c r="S244" s="52"/>
      <c r="T244" s="55"/>
      <c r="U244" s="52" t="str">
        <f t="shared" ca="1" si="3"/>
        <v/>
      </c>
      <c r="V244" s="54">
        <v>0</v>
      </c>
      <c r="W244" s="52" t="s">
        <v>5587</v>
      </c>
    </row>
    <row r="245" spans="1:23" ht="20.100000000000001" customHeight="1" x14ac:dyDescent="0.25">
      <c r="A245" s="50"/>
      <c r="B245" s="50"/>
      <c r="C245" s="51"/>
      <c r="D245" s="51"/>
      <c r="E245" s="52"/>
      <c r="F245" s="52"/>
      <c r="G245" s="52"/>
      <c r="H245" s="52">
        <v>5686</v>
      </c>
      <c r="I245" s="52"/>
      <c r="J245" s="52"/>
      <c r="K245" s="53"/>
      <c r="L245" s="54"/>
      <c r="M245" s="52"/>
      <c r="N245" s="55"/>
      <c r="O245" s="50"/>
      <c r="P245" s="53"/>
      <c r="Q245" s="52"/>
      <c r="R245" s="52"/>
      <c r="S245" s="52"/>
      <c r="T245" s="55"/>
      <c r="U245" s="52" t="str">
        <f t="shared" ca="1" si="3"/>
        <v/>
      </c>
      <c r="V245" s="54">
        <v>0</v>
      </c>
      <c r="W245" s="52" t="s">
        <v>5587</v>
      </c>
    </row>
    <row r="246" spans="1:23" ht="20.100000000000001" customHeight="1" x14ac:dyDescent="0.25">
      <c r="A246" s="50"/>
      <c r="B246" s="50"/>
      <c r="C246" s="51"/>
      <c r="D246" s="51"/>
      <c r="E246" s="52"/>
      <c r="F246" s="52"/>
      <c r="G246" s="52"/>
      <c r="H246" s="52">
        <v>5687</v>
      </c>
      <c r="I246" s="52"/>
      <c r="J246" s="52"/>
      <c r="K246" s="53"/>
      <c r="L246" s="54"/>
      <c r="M246" s="52"/>
      <c r="N246" s="55"/>
      <c r="O246" s="50"/>
      <c r="P246" s="53"/>
      <c r="Q246" s="52"/>
      <c r="R246" s="52"/>
      <c r="S246" s="52"/>
      <c r="T246" s="55"/>
      <c r="U246" s="52" t="str">
        <f t="shared" ca="1" si="3"/>
        <v/>
      </c>
      <c r="V246" s="54">
        <v>0</v>
      </c>
      <c r="W246" s="52" t="s">
        <v>5587</v>
      </c>
    </row>
    <row r="247" spans="1:23" ht="20.100000000000001" customHeight="1" x14ac:dyDescent="0.25">
      <c r="A247" s="50"/>
      <c r="B247" s="50"/>
      <c r="C247" s="51"/>
      <c r="D247" s="51"/>
      <c r="E247" s="52"/>
      <c r="F247" s="52"/>
      <c r="G247" s="52"/>
      <c r="H247" s="52">
        <v>5688</v>
      </c>
      <c r="I247" s="52"/>
      <c r="J247" s="52"/>
      <c r="K247" s="53"/>
      <c r="L247" s="54"/>
      <c r="M247" s="52"/>
      <c r="N247" s="55"/>
      <c r="O247" s="50"/>
      <c r="P247" s="53"/>
      <c r="Q247" s="52"/>
      <c r="R247" s="52"/>
      <c r="S247" s="52"/>
      <c r="T247" s="55"/>
      <c r="U247" s="52" t="str">
        <f t="shared" ca="1" si="3"/>
        <v/>
      </c>
      <c r="V247" s="54">
        <v>0</v>
      </c>
      <c r="W247" s="52" t="s">
        <v>5587</v>
      </c>
    </row>
    <row r="248" spans="1:23" ht="20.100000000000001" customHeight="1" x14ac:dyDescent="0.25">
      <c r="A248" s="50"/>
      <c r="B248" s="50"/>
      <c r="C248" s="51"/>
      <c r="D248" s="51"/>
      <c r="E248" s="52"/>
      <c r="F248" s="52"/>
      <c r="G248" s="52"/>
      <c r="H248" s="52">
        <v>5689</v>
      </c>
      <c r="I248" s="52"/>
      <c r="J248" s="52"/>
      <c r="K248" s="53"/>
      <c r="L248" s="54"/>
      <c r="M248" s="52"/>
      <c r="N248" s="55"/>
      <c r="O248" s="50"/>
      <c r="P248" s="53"/>
      <c r="Q248" s="52"/>
      <c r="R248" s="52"/>
      <c r="S248" s="52"/>
      <c r="T248" s="55"/>
      <c r="U248" s="52" t="str">
        <f t="shared" ca="1" si="3"/>
        <v/>
      </c>
      <c r="V248" s="54">
        <v>0</v>
      </c>
      <c r="W248" s="52" t="s">
        <v>5587</v>
      </c>
    </row>
    <row r="249" spans="1:23" ht="20.100000000000001" customHeight="1" x14ac:dyDescent="0.25">
      <c r="A249" s="50"/>
      <c r="B249" s="50"/>
      <c r="C249" s="51"/>
      <c r="D249" s="51"/>
      <c r="E249" s="52"/>
      <c r="F249" s="52"/>
      <c r="G249" s="52"/>
      <c r="H249" s="52">
        <v>5690</v>
      </c>
      <c r="I249" s="52"/>
      <c r="J249" s="52"/>
      <c r="K249" s="53"/>
      <c r="L249" s="54"/>
      <c r="M249" s="52"/>
      <c r="N249" s="55"/>
      <c r="O249" s="50"/>
      <c r="P249" s="53"/>
      <c r="Q249" s="52"/>
      <c r="R249" s="52"/>
      <c r="S249" s="52"/>
      <c r="T249" s="55"/>
      <c r="U249" s="52" t="str">
        <f t="shared" ca="1" si="3"/>
        <v/>
      </c>
      <c r="V249" s="54">
        <v>0</v>
      </c>
      <c r="W249" s="52" t="s">
        <v>5587</v>
      </c>
    </row>
    <row r="250" spans="1:23" ht="20.100000000000001" customHeight="1" x14ac:dyDescent="0.25">
      <c r="A250" s="50"/>
      <c r="B250" s="50"/>
      <c r="C250" s="51"/>
      <c r="D250" s="51"/>
      <c r="E250" s="52"/>
      <c r="F250" s="52"/>
      <c r="G250" s="52"/>
      <c r="H250" s="52">
        <v>5691</v>
      </c>
      <c r="I250" s="52"/>
      <c r="J250" s="52"/>
      <c r="K250" s="53"/>
      <c r="L250" s="54"/>
      <c r="M250" s="52"/>
      <c r="N250" s="55"/>
      <c r="O250" s="50"/>
      <c r="P250" s="53"/>
      <c r="Q250" s="52"/>
      <c r="R250" s="52"/>
      <c r="S250" s="52"/>
      <c r="T250" s="55"/>
      <c r="U250" s="52" t="str">
        <f t="shared" ca="1" si="3"/>
        <v/>
      </c>
      <c r="V250" s="54">
        <v>0</v>
      </c>
      <c r="W250" s="52" t="s">
        <v>5587</v>
      </c>
    </row>
    <row r="251" spans="1:23" ht="20.100000000000001" customHeight="1" x14ac:dyDescent="0.25">
      <c r="A251" s="50"/>
      <c r="B251" s="50"/>
      <c r="C251" s="51"/>
      <c r="D251" s="51"/>
      <c r="E251" s="52"/>
      <c r="F251" s="52"/>
      <c r="G251" s="52"/>
      <c r="H251" s="52">
        <v>5692</v>
      </c>
      <c r="I251" s="52"/>
      <c r="J251" s="52"/>
      <c r="K251" s="53"/>
      <c r="L251" s="54"/>
      <c r="M251" s="52"/>
      <c r="N251" s="55"/>
      <c r="O251" s="50"/>
      <c r="P251" s="53"/>
      <c r="Q251" s="52"/>
      <c r="R251" s="52"/>
      <c r="S251" s="52"/>
      <c r="T251" s="55"/>
      <c r="U251" s="52" t="str">
        <f t="shared" ca="1" si="3"/>
        <v/>
      </c>
      <c r="V251" s="54">
        <v>0</v>
      </c>
      <c r="W251" s="52" t="s">
        <v>5587</v>
      </c>
    </row>
    <row r="252" spans="1:23" ht="20.100000000000001" customHeight="1" x14ac:dyDescent="0.25">
      <c r="A252" s="50"/>
      <c r="B252" s="50"/>
      <c r="C252" s="51"/>
      <c r="D252" s="51"/>
      <c r="E252" s="52"/>
      <c r="F252" s="52"/>
      <c r="G252" s="52"/>
      <c r="H252" s="52">
        <v>5693</v>
      </c>
      <c r="I252" s="52"/>
      <c r="J252" s="52"/>
      <c r="K252" s="53"/>
      <c r="L252" s="54"/>
      <c r="M252" s="52"/>
      <c r="N252" s="55"/>
      <c r="O252" s="50"/>
      <c r="P252" s="53"/>
      <c r="Q252" s="52"/>
      <c r="R252" s="52"/>
      <c r="S252" s="52"/>
      <c r="T252" s="55"/>
      <c r="U252" s="52" t="str">
        <f t="shared" ca="1" si="3"/>
        <v/>
      </c>
      <c r="V252" s="54">
        <v>0</v>
      </c>
      <c r="W252" s="52" t="s">
        <v>5587</v>
      </c>
    </row>
    <row r="253" spans="1:23" ht="20.100000000000001" customHeight="1" x14ac:dyDescent="0.25">
      <c r="A253" s="50"/>
      <c r="B253" s="50"/>
      <c r="C253" s="51"/>
      <c r="D253" s="51"/>
      <c r="E253" s="52"/>
      <c r="F253" s="52"/>
      <c r="G253" s="52"/>
      <c r="H253" s="52">
        <v>5694</v>
      </c>
      <c r="I253" s="52"/>
      <c r="J253" s="52"/>
      <c r="K253" s="53"/>
      <c r="L253" s="54"/>
      <c r="M253" s="52"/>
      <c r="N253" s="55"/>
      <c r="O253" s="50"/>
      <c r="P253" s="53"/>
      <c r="Q253" s="52"/>
      <c r="R253" s="52"/>
      <c r="S253" s="52"/>
      <c r="T253" s="55"/>
      <c r="U253" s="52" t="str">
        <f t="shared" ca="1" si="3"/>
        <v/>
      </c>
      <c r="V253" s="54">
        <v>0</v>
      </c>
      <c r="W253" s="52" t="s">
        <v>5587</v>
      </c>
    </row>
    <row r="254" spans="1:23" ht="20.100000000000001" customHeight="1" x14ac:dyDescent="0.25">
      <c r="A254" s="50"/>
      <c r="B254" s="50"/>
      <c r="C254" s="51"/>
      <c r="D254" s="51"/>
      <c r="E254" s="52"/>
      <c r="F254" s="52"/>
      <c r="G254" s="52"/>
      <c r="H254" s="52">
        <v>5695</v>
      </c>
      <c r="I254" s="52"/>
      <c r="J254" s="52"/>
      <c r="K254" s="53"/>
      <c r="L254" s="54"/>
      <c r="M254" s="52"/>
      <c r="N254" s="55"/>
      <c r="O254" s="50"/>
      <c r="P254" s="53"/>
      <c r="Q254" s="52"/>
      <c r="R254" s="52"/>
      <c r="S254" s="52"/>
      <c r="T254" s="55"/>
      <c r="U254" s="52" t="str">
        <f t="shared" ca="1" si="3"/>
        <v/>
      </c>
      <c r="V254" s="54">
        <v>0</v>
      </c>
      <c r="W254" s="52" t="s">
        <v>5587</v>
      </c>
    </row>
    <row r="255" spans="1:23" ht="20.100000000000001" customHeight="1" x14ac:dyDescent="0.25">
      <c r="A255" s="50"/>
      <c r="B255" s="50"/>
      <c r="C255" s="51"/>
      <c r="D255" s="51"/>
      <c r="E255" s="52"/>
      <c r="F255" s="52"/>
      <c r="G255" s="52"/>
      <c r="H255" s="52">
        <v>5696</v>
      </c>
      <c r="I255" s="52"/>
      <c r="J255" s="52"/>
      <c r="K255" s="53"/>
      <c r="L255" s="54"/>
      <c r="M255" s="52"/>
      <c r="N255" s="55"/>
      <c r="O255" s="50"/>
      <c r="P255" s="53"/>
      <c r="Q255" s="52"/>
      <c r="R255" s="52"/>
      <c r="S255" s="52"/>
      <c r="T255" s="55"/>
      <c r="U255" s="52" t="str">
        <f t="shared" ca="1" si="3"/>
        <v/>
      </c>
      <c r="V255" s="54">
        <v>0</v>
      </c>
      <c r="W255" s="52" t="s">
        <v>5587</v>
      </c>
    </row>
    <row r="256" spans="1:23" ht="20.100000000000001" customHeight="1" x14ac:dyDescent="0.25">
      <c r="A256" s="50"/>
      <c r="B256" s="50"/>
      <c r="C256" s="51"/>
      <c r="D256" s="51"/>
      <c r="E256" s="52"/>
      <c r="F256" s="52"/>
      <c r="G256" s="52"/>
      <c r="H256" s="52">
        <v>5697</v>
      </c>
      <c r="I256" s="52"/>
      <c r="J256" s="52"/>
      <c r="K256" s="53"/>
      <c r="L256" s="54"/>
      <c r="M256" s="52"/>
      <c r="N256" s="55"/>
      <c r="O256" s="50"/>
      <c r="P256" s="53"/>
      <c r="Q256" s="52"/>
      <c r="R256" s="52"/>
      <c r="S256" s="52"/>
      <c r="T256" s="55"/>
      <c r="U256" s="52" t="str">
        <f t="shared" ca="1" si="3"/>
        <v/>
      </c>
      <c r="V256" s="54">
        <v>0</v>
      </c>
      <c r="W256" s="52" t="s">
        <v>5587</v>
      </c>
    </row>
    <row r="257" spans="1:23" ht="20.100000000000001" customHeight="1" x14ac:dyDescent="0.25">
      <c r="A257" s="50"/>
      <c r="B257" s="50"/>
      <c r="C257" s="51"/>
      <c r="D257" s="51"/>
      <c r="E257" s="52"/>
      <c r="F257" s="52"/>
      <c r="G257" s="52"/>
      <c r="H257" s="52">
        <v>5698</v>
      </c>
      <c r="I257" s="52"/>
      <c r="J257" s="52"/>
      <c r="K257" s="53"/>
      <c r="L257" s="54"/>
      <c r="M257" s="52"/>
      <c r="N257" s="55"/>
      <c r="O257" s="50"/>
      <c r="P257" s="53"/>
      <c r="Q257" s="52"/>
      <c r="R257" s="52"/>
      <c r="S257" s="52"/>
      <c r="T257" s="55"/>
      <c r="U257" s="52" t="str">
        <f t="shared" ca="1" si="3"/>
        <v/>
      </c>
      <c r="V257" s="54">
        <v>0</v>
      </c>
      <c r="W257" s="52" t="s">
        <v>5587</v>
      </c>
    </row>
    <row r="258" spans="1:23" ht="20.100000000000001" customHeight="1" x14ac:dyDescent="0.25">
      <c r="A258" s="50"/>
      <c r="B258" s="50"/>
      <c r="C258" s="51"/>
      <c r="D258" s="51"/>
      <c r="E258" s="52"/>
      <c r="F258" s="52"/>
      <c r="G258" s="52"/>
      <c r="H258" s="52">
        <v>5699</v>
      </c>
      <c r="I258" s="52"/>
      <c r="J258" s="52"/>
      <c r="K258" s="53"/>
      <c r="L258" s="54"/>
      <c r="M258" s="52"/>
      <c r="N258" s="55"/>
      <c r="O258" s="50"/>
      <c r="P258" s="53"/>
      <c r="Q258" s="52"/>
      <c r="R258" s="52"/>
      <c r="S258" s="52"/>
      <c r="T258" s="55"/>
      <c r="U258" s="52" t="str">
        <f t="shared" ca="1" si="3"/>
        <v/>
      </c>
      <c r="V258" s="54">
        <v>0</v>
      </c>
      <c r="W258" s="52" t="s">
        <v>5587</v>
      </c>
    </row>
    <row r="259" spans="1:23" ht="20.100000000000001" customHeight="1" x14ac:dyDescent="0.25">
      <c r="A259" s="50"/>
      <c r="B259" s="50"/>
      <c r="C259" s="51"/>
      <c r="D259" s="51"/>
      <c r="E259" s="52"/>
      <c r="F259" s="52"/>
      <c r="G259" s="52"/>
      <c r="H259" s="52">
        <v>5700</v>
      </c>
      <c r="I259" s="52"/>
      <c r="J259" s="52"/>
      <c r="K259" s="53"/>
      <c r="L259" s="54"/>
      <c r="M259" s="52"/>
      <c r="N259" s="55"/>
      <c r="O259" s="50"/>
      <c r="P259" s="53"/>
      <c r="Q259" s="52"/>
      <c r="R259" s="52"/>
      <c r="S259" s="52"/>
      <c r="T259" s="55"/>
      <c r="U259" s="52" t="str">
        <f t="shared" ca="1" si="3"/>
        <v/>
      </c>
      <c r="V259" s="54">
        <v>0</v>
      </c>
      <c r="W259" s="52" t="s">
        <v>5587</v>
      </c>
    </row>
    <row r="260" spans="1:23" ht="20.100000000000001" customHeight="1" x14ac:dyDescent="0.25">
      <c r="A260" s="50"/>
      <c r="B260" s="50"/>
      <c r="C260" s="51"/>
      <c r="D260" s="51"/>
      <c r="E260" s="52"/>
      <c r="F260" s="52"/>
      <c r="G260" s="52"/>
      <c r="H260" s="52">
        <v>5701</v>
      </c>
      <c r="I260" s="52"/>
      <c r="J260" s="52"/>
      <c r="K260" s="53"/>
      <c r="L260" s="54"/>
      <c r="M260" s="52"/>
      <c r="N260" s="55"/>
      <c r="O260" s="50"/>
      <c r="P260" s="53"/>
      <c r="Q260" s="52"/>
      <c r="R260" s="52"/>
      <c r="S260" s="52"/>
      <c r="T260" s="55"/>
      <c r="U260" s="52" t="str">
        <f t="shared" ca="1" si="3"/>
        <v/>
      </c>
      <c r="V260" s="54">
        <v>0</v>
      </c>
      <c r="W260" s="52" t="s">
        <v>5587</v>
      </c>
    </row>
    <row r="261" spans="1:23" ht="20.100000000000001" customHeight="1" x14ac:dyDescent="0.25">
      <c r="A261" s="50"/>
      <c r="B261" s="50"/>
      <c r="C261" s="51"/>
      <c r="D261" s="51"/>
      <c r="E261" s="52"/>
      <c r="F261" s="52"/>
      <c r="G261" s="52"/>
      <c r="H261" s="52">
        <v>5702</v>
      </c>
      <c r="I261" s="52"/>
      <c r="J261" s="52"/>
      <c r="K261" s="53"/>
      <c r="L261" s="54"/>
      <c r="M261" s="52"/>
      <c r="N261" s="55"/>
      <c r="O261" s="50"/>
      <c r="P261" s="53"/>
      <c r="Q261" s="52"/>
      <c r="R261" s="52"/>
      <c r="S261" s="52"/>
      <c r="T261" s="55"/>
      <c r="U261" s="52" t="str">
        <f t="shared" ref="U261:U324" ca="1" si="4">IF(C261="","",TODAY()-C261)</f>
        <v/>
      </c>
      <c r="V261" s="54">
        <v>0</v>
      </c>
      <c r="W261" s="52" t="s">
        <v>5587</v>
      </c>
    </row>
    <row r="262" spans="1:23" ht="20.100000000000001" customHeight="1" x14ac:dyDescent="0.25">
      <c r="A262" s="50"/>
      <c r="B262" s="50"/>
      <c r="C262" s="51"/>
      <c r="D262" s="51"/>
      <c r="E262" s="52"/>
      <c r="F262" s="52"/>
      <c r="G262" s="52"/>
      <c r="H262" s="52">
        <v>5703</v>
      </c>
      <c r="I262" s="52"/>
      <c r="J262" s="52"/>
      <c r="K262" s="53"/>
      <c r="L262" s="54"/>
      <c r="M262" s="52"/>
      <c r="N262" s="55"/>
      <c r="O262" s="50"/>
      <c r="P262" s="53"/>
      <c r="Q262" s="52"/>
      <c r="R262" s="52"/>
      <c r="S262" s="52"/>
      <c r="T262" s="55"/>
      <c r="U262" s="52" t="str">
        <f t="shared" ca="1" si="4"/>
        <v/>
      </c>
      <c r="V262" s="54">
        <v>0</v>
      </c>
      <c r="W262" s="52" t="s">
        <v>5587</v>
      </c>
    </row>
    <row r="263" spans="1:23" ht="20.100000000000001" customHeight="1" x14ac:dyDescent="0.25">
      <c r="A263" s="50"/>
      <c r="B263" s="50"/>
      <c r="C263" s="51"/>
      <c r="D263" s="51"/>
      <c r="E263" s="52"/>
      <c r="F263" s="52"/>
      <c r="G263" s="52"/>
      <c r="H263" s="52">
        <v>5704</v>
      </c>
      <c r="I263" s="52"/>
      <c r="J263" s="52"/>
      <c r="K263" s="53"/>
      <c r="L263" s="54"/>
      <c r="M263" s="52"/>
      <c r="N263" s="55"/>
      <c r="O263" s="50"/>
      <c r="P263" s="53"/>
      <c r="Q263" s="52"/>
      <c r="R263" s="52"/>
      <c r="S263" s="52"/>
      <c r="T263" s="55"/>
      <c r="U263" s="52" t="str">
        <f t="shared" ca="1" si="4"/>
        <v/>
      </c>
      <c r="V263" s="54">
        <v>0</v>
      </c>
      <c r="W263" s="52" t="s">
        <v>5587</v>
      </c>
    </row>
    <row r="264" spans="1:23" ht="20.100000000000001" customHeight="1" x14ac:dyDescent="0.25">
      <c r="A264" s="50"/>
      <c r="B264" s="50"/>
      <c r="C264" s="51"/>
      <c r="D264" s="51"/>
      <c r="E264" s="52"/>
      <c r="F264" s="52"/>
      <c r="G264" s="52"/>
      <c r="H264" s="52">
        <v>5705</v>
      </c>
      <c r="I264" s="52"/>
      <c r="J264" s="52"/>
      <c r="K264" s="53"/>
      <c r="L264" s="54"/>
      <c r="M264" s="52"/>
      <c r="N264" s="55"/>
      <c r="O264" s="50"/>
      <c r="P264" s="53"/>
      <c r="Q264" s="52"/>
      <c r="R264" s="52"/>
      <c r="S264" s="52"/>
      <c r="T264" s="55"/>
      <c r="U264" s="52" t="str">
        <f t="shared" ca="1" si="4"/>
        <v/>
      </c>
      <c r="V264" s="54">
        <v>0</v>
      </c>
      <c r="W264" s="52" t="s">
        <v>5587</v>
      </c>
    </row>
    <row r="265" spans="1:23" ht="20.100000000000001" customHeight="1" x14ac:dyDescent="0.25">
      <c r="A265" s="50"/>
      <c r="B265" s="50"/>
      <c r="C265" s="51"/>
      <c r="D265" s="51"/>
      <c r="E265" s="52"/>
      <c r="F265" s="52"/>
      <c r="G265" s="52"/>
      <c r="H265" s="52">
        <v>5706</v>
      </c>
      <c r="I265" s="52"/>
      <c r="J265" s="52"/>
      <c r="K265" s="53"/>
      <c r="L265" s="54"/>
      <c r="M265" s="52"/>
      <c r="N265" s="55"/>
      <c r="O265" s="50"/>
      <c r="P265" s="53"/>
      <c r="Q265" s="52"/>
      <c r="R265" s="52"/>
      <c r="S265" s="52"/>
      <c r="T265" s="55"/>
      <c r="U265" s="52" t="str">
        <f t="shared" ca="1" si="4"/>
        <v/>
      </c>
      <c r="V265" s="54">
        <v>0</v>
      </c>
      <c r="W265" s="52" t="s">
        <v>5587</v>
      </c>
    </row>
    <row r="266" spans="1:23" ht="20.100000000000001" customHeight="1" x14ac:dyDescent="0.25">
      <c r="A266" s="50"/>
      <c r="B266" s="50"/>
      <c r="C266" s="51"/>
      <c r="D266" s="51"/>
      <c r="E266" s="52"/>
      <c r="F266" s="52"/>
      <c r="G266" s="52"/>
      <c r="H266" s="52">
        <v>5707</v>
      </c>
      <c r="I266" s="52"/>
      <c r="J266" s="52"/>
      <c r="K266" s="53"/>
      <c r="L266" s="54"/>
      <c r="M266" s="52"/>
      <c r="N266" s="55"/>
      <c r="O266" s="50"/>
      <c r="P266" s="53"/>
      <c r="Q266" s="52"/>
      <c r="R266" s="52"/>
      <c r="S266" s="52"/>
      <c r="T266" s="55"/>
      <c r="U266" s="52" t="str">
        <f t="shared" ca="1" si="4"/>
        <v/>
      </c>
      <c r="V266" s="54">
        <v>0</v>
      </c>
      <c r="W266" s="52" t="s">
        <v>5587</v>
      </c>
    </row>
    <row r="267" spans="1:23" ht="20.100000000000001" customHeight="1" x14ac:dyDescent="0.25">
      <c r="A267" s="50"/>
      <c r="B267" s="50"/>
      <c r="C267" s="51"/>
      <c r="D267" s="51"/>
      <c r="E267" s="52"/>
      <c r="F267" s="52"/>
      <c r="G267" s="52"/>
      <c r="H267" s="52">
        <v>5708</v>
      </c>
      <c r="I267" s="52"/>
      <c r="J267" s="52"/>
      <c r="K267" s="53"/>
      <c r="L267" s="54"/>
      <c r="M267" s="52"/>
      <c r="N267" s="55"/>
      <c r="O267" s="50"/>
      <c r="P267" s="53"/>
      <c r="Q267" s="52"/>
      <c r="R267" s="52"/>
      <c r="S267" s="52"/>
      <c r="T267" s="55"/>
      <c r="U267" s="52" t="str">
        <f t="shared" ca="1" si="4"/>
        <v/>
      </c>
      <c r="V267" s="54">
        <v>0</v>
      </c>
      <c r="W267" s="52" t="s">
        <v>5587</v>
      </c>
    </row>
    <row r="268" spans="1:23" ht="20.100000000000001" customHeight="1" x14ac:dyDescent="0.25">
      <c r="A268" s="50"/>
      <c r="B268" s="50"/>
      <c r="C268" s="51"/>
      <c r="D268" s="51"/>
      <c r="E268" s="52"/>
      <c r="F268" s="52"/>
      <c r="G268" s="52"/>
      <c r="H268" s="52">
        <v>5709</v>
      </c>
      <c r="I268" s="52"/>
      <c r="J268" s="52"/>
      <c r="K268" s="53"/>
      <c r="L268" s="54"/>
      <c r="M268" s="52"/>
      <c r="N268" s="55"/>
      <c r="O268" s="50"/>
      <c r="P268" s="53"/>
      <c r="Q268" s="52"/>
      <c r="R268" s="52"/>
      <c r="S268" s="52"/>
      <c r="T268" s="55"/>
      <c r="U268" s="52" t="str">
        <f t="shared" ca="1" si="4"/>
        <v/>
      </c>
      <c r="V268" s="54">
        <v>0</v>
      </c>
      <c r="W268" s="52" t="s">
        <v>5587</v>
      </c>
    </row>
    <row r="269" spans="1:23" ht="20.100000000000001" customHeight="1" x14ac:dyDescent="0.25">
      <c r="A269" s="50"/>
      <c r="B269" s="50"/>
      <c r="C269" s="51"/>
      <c r="D269" s="51"/>
      <c r="E269" s="52"/>
      <c r="F269" s="52"/>
      <c r="G269" s="52"/>
      <c r="H269" s="52">
        <v>5710</v>
      </c>
      <c r="I269" s="52"/>
      <c r="J269" s="52"/>
      <c r="K269" s="53"/>
      <c r="L269" s="54"/>
      <c r="M269" s="52"/>
      <c r="N269" s="55"/>
      <c r="O269" s="50"/>
      <c r="P269" s="53"/>
      <c r="Q269" s="52"/>
      <c r="R269" s="52"/>
      <c r="S269" s="52"/>
      <c r="T269" s="55"/>
      <c r="U269" s="52" t="str">
        <f t="shared" ca="1" si="4"/>
        <v/>
      </c>
      <c r="V269" s="54">
        <v>0</v>
      </c>
      <c r="W269" s="52" t="s">
        <v>5587</v>
      </c>
    </row>
    <row r="270" spans="1:23" ht="20.100000000000001" customHeight="1" x14ac:dyDescent="0.25">
      <c r="A270" s="50"/>
      <c r="B270" s="50"/>
      <c r="C270" s="51"/>
      <c r="D270" s="51"/>
      <c r="E270" s="52"/>
      <c r="F270" s="52"/>
      <c r="G270" s="52"/>
      <c r="H270" s="52">
        <v>5711</v>
      </c>
      <c r="I270" s="52"/>
      <c r="J270" s="52"/>
      <c r="K270" s="53"/>
      <c r="L270" s="54"/>
      <c r="M270" s="52"/>
      <c r="N270" s="55"/>
      <c r="O270" s="50"/>
      <c r="P270" s="53"/>
      <c r="Q270" s="52"/>
      <c r="R270" s="52"/>
      <c r="S270" s="52"/>
      <c r="T270" s="55"/>
      <c r="U270" s="52" t="str">
        <f t="shared" ca="1" si="4"/>
        <v/>
      </c>
      <c r="V270" s="54">
        <v>0</v>
      </c>
      <c r="W270" s="52" t="s">
        <v>5587</v>
      </c>
    </row>
    <row r="271" spans="1:23" ht="20.100000000000001" customHeight="1" x14ac:dyDescent="0.25">
      <c r="A271" s="50"/>
      <c r="B271" s="50"/>
      <c r="C271" s="51"/>
      <c r="D271" s="51"/>
      <c r="E271" s="52"/>
      <c r="F271" s="52"/>
      <c r="G271" s="52"/>
      <c r="H271" s="52">
        <v>5712</v>
      </c>
      <c r="I271" s="52"/>
      <c r="J271" s="52"/>
      <c r="K271" s="53"/>
      <c r="L271" s="54"/>
      <c r="M271" s="52"/>
      <c r="N271" s="55"/>
      <c r="O271" s="50"/>
      <c r="P271" s="53"/>
      <c r="Q271" s="52"/>
      <c r="R271" s="52"/>
      <c r="S271" s="52"/>
      <c r="T271" s="55"/>
      <c r="U271" s="52" t="str">
        <f t="shared" ca="1" si="4"/>
        <v/>
      </c>
      <c r="V271" s="54">
        <v>0</v>
      </c>
      <c r="W271" s="52" t="s">
        <v>5587</v>
      </c>
    </row>
    <row r="272" spans="1:23" ht="20.100000000000001" customHeight="1" x14ac:dyDescent="0.25">
      <c r="A272" s="50"/>
      <c r="B272" s="50"/>
      <c r="C272" s="51"/>
      <c r="D272" s="51"/>
      <c r="E272" s="52"/>
      <c r="F272" s="52"/>
      <c r="G272" s="52"/>
      <c r="H272" s="52">
        <v>5713</v>
      </c>
      <c r="I272" s="52"/>
      <c r="J272" s="52"/>
      <c r="K272" s="53"/>
      <c r="L272" s="54"/>
      <c r="M272" s="52"/>
      <c r="N272" s="55"/>
      <c r="O272" s="50"/>
      <c r="P272" s="53"/>
      <c r="Q272" s="52"/>
      <c r="R272" s="52"/>
      <c r="S272" s="52"/>
      <c r="T272" s="55"/>
      <c r="U272" s="52" t="str">
        <f t="shared" ca="1" si="4"/>
        <v/>
      </c>
      <c r="V272" s="54">
        <v>0</v>
      </c>
      <c r="W272" s="52" t="s">
        <v>5587</v>
      </c>
    </row>
    <row r="273" spans="1:23" ht="20.100000000000001" customHeight="1" x14ac:dyDescent="0.25">
      <c r="A273" s="50"/>
      <c r="B273" s="50"/>
      <c r="C273" s="51"/>
      <c r="D273" s="51"/>
      <c r="E273" s="52"/>
      <c r="F273" s="52"/>
      <c r="G273" s="52"/>
      <c r="H273" s="52">
        <v>5714</v>
      </c>
      <c r="I273" s="52"/>
      <c r="J273" s="52"/>
      <c r="K273" s="53"/>
      <c r="L273" s="54"/>
      <c r="M273" s="52"/>
      <c r="N273" s="55"/>
      <c r="O273" s="50"/>
      <c r="P273" s="53"/>
      <c r="Q273" s="52"/>
      <c r="R273" s="52"/>
      <c r="S273" s="52"/>
      <c r="T273" s="55"/>
      <c r="U273" s="52" t="str">
        <f t="shared" ca="1" si="4"/>
        <v/>
      </c>
      <c r="V273" s="54">
        <v>0</v>
      </c>
      <c r="W273" s="52" t="s">
        <v>5587</v>
      </c>
    </row>
    <row r="274" spans="1:23" ht="20.100000000000001" customHeight="1" x14ac:dyDescent="0.25">
      <c r="A274" s="50"/>
      <c r="B274" s="50"/>
      <c r="C274" s="51"/>
      <c r="D274" s="51"/>
      <c r="E274" s="52"/>
      <c r="F274" s="52"/>
      <c r="G274" s="52"/>
      <c r="H274" s="52">
        <v>5715</v>
      </c>
      <c r="I274" s="52"/>
      <c r="J274" s="52"/>
      <c r="K274" s="53"/>
      <c r="L274" s="54"/>
      <c r="M274" s="52"/>
      <c r="N274" s="55"/>
      <c r="O274" s="50"/>
      <c r="P274" s="53"/>
      <c r="Q274" s="52"/>
      <c r="R274" s="52"/>
      <c r="S274" s="52"/>
      <c r="T274" s="55"/>
      <c r="U274" s="52" t="str">
        <f t="shared" ca="1" si="4"/>
        <v/>
      </c>
      <c r="V274" s="54">
        <v>0</v>
      </c>
      <c r="W274" s="52" t="s">
        <v>5587</v>
      </c>
    </row>
    <row r="275" spans="1:23" ht="20.100000000000001" customHeight="1" x14ac:dyDescent="0.25">
      <c r="A275" s="50"/>
      <c r="B275" s="50"/>
      <c r="C275" s="51"/>
      <c r="D275" s="51"/>
      <c r="E275" s="52"/>
      <c r="F275" s="52"/>
      <c r="G275" s="52"/>
      <c r="H275" s="52">
        <v>5716</v>
      </c>
      <c r="I275" s="52"/>
      <c r="J275" s="52"/>
      <c r="K275" s="53"/>
      <c r="L275" s="54"/>
      <c r="M275" s="52"/>
      <c r="N275" s="55"/>
      <c r="O275" s="50"/>
      <c r="P275" s="53"/>
      <c r="Q275" s="52"/>
      <c r="R275" s="52"/>
      <c r="S275" s="52"/>
      <c r="T275" s="55"/>
      <c r="U275" s="52" t="str">
        <f t="shared" ca="1" si="4"/>
        <v/>
      </c>
      <c r="V275" s="54">
        <v>0</v>
      </c>
      <c r="W275" s="52" t="s">
        <v>5587</v>
      </c>
    </row>
    <row r="276" spans="1:23" ht="20.100000000000001" customHeight="1" x14ac:dyDescent="0.25">
      <c r="A276" s="50"/>
      <c r="B276" s="50"/>
      <c r="C276" s="51"/>
      <c r="D276" s="51"/>
      <c r="E276" s="52"/>
      <c r="F276" s="52"/>
      <c r="G276" s="52"/>
      <c r="H276" s="52">
        <v>5717</v>
      </c>
      <c r="I276" s="52"/>
      <c r="J276" s="52"/>
      <c r="K276" s="53"/>
      <c r="L276" s="54"/>
      <c r="M276" s="52"/>
      <c r="N276" s="55"/>
      <c r="O276" s="50"/>
      <c r="P276" s="53"/>
      <c r="Q276" s="52"/>
      <c r="R276" s="52"/>
      <c r="S276" s="52"/>
      <c r="T276" s="55"/>
      <c r="U276" s="52" t="str">
        <f t="shared" ca="1" si="4"/>
        <v/>
      </c>
      <c r="V276" s="54">
        <v>0</v>
      </c>
      <c r="W276" s="52" t="s">
        <v>5587</v>
      </c>
    </row>
    <row r="277" spans="1:23" ht="20.100000000000001" customHeight="1" x14ac:dyDescent="0.25">
      <c r="A277" s="50"/>
      <c r="B277" s="50"/>
      <c r="C277" s="51"/>
      <c r="D277" s="51"/>
      <c r="E277" s="52"/>
      <c r="F277" s="52"/>
      <c r="G277" s="52"/>
      <c r="H277" s="52">
        <v>5718</v>
      </c>
      <c r="I277" s="52"/>
      <c r="J277" s="52"/>
      <c r="K277" s="53"/>
      <c r="L277" s="54"/>
      <c r="M277" s="52"/>
      <c r="N277" s="55"/>
      <c r="O277" s="50"/>
      <c r="P277" s="53"/>
      <c r="Q277" s="52"/>
      <c r="R277" s="52"/>
      <c r="S277" s="52"/>
      <c r="T277" s="55"/>
      <c r="U277" s="52" t="str">
        <f t="shared" ca="1" si="4"/>
        <v/>
      </c>
      <c r="V277" s="54">
        <v>0</v>
      </c>
      <c r="W277" s="52" t="s">
        <v>5587</v>
      </c>
    </row>
    <row r="278" spans="1:23" ht="20.100000000000001" customHeight="1" x14ac:dyDescent="0.25">
      <c r="A278" s="50"/>
      <c r="B278" s="50"/>
      <c r="C278" s="51"/>
      <c r="D278" s="51"/>
      <c r="E278" s="52"/>
      <c r="F278" s="52"/>
      <c r="G278" s="52"/>
      <c r="H278" s="52">
        <v>5719</v>
      </c>
      <c r="I278" s="52"/>
      <c r="J278" s="52"/>
      <c r="K278" s="53"/>
      <c r="L278" s="54"/>
      <c r="M278" s="52"/>
      <c r="N278" s="55"/>
      <c r="O278" s="50"/>
      <c r="P278" s="53"/>
      <c r="Q278" s="52"/>
      <c r="R278" s="52"/>
      <c r="S278" s="52"/>
      <c r="T278" s="55"/>
      <c r="U278" s="52" t="str">
        <f t="shared" ca="1" si="4"/>
        <v/>
      </c>
      <c r="V278" s="54">
        <v>0</v>
      </c>
      <c r="W278" s="52" t="s">
        <v>5587</v>
      </c>
    </row>
    <row r="279" spans="1:23" ht="20.100000000000001" customHeight="1" x14ac:dyDescent="0.25">
      <c r="A279" s="50"/>
      <c r="B279" s="50"/>
      <c r="C279" s="51"/>
      <c r="D279" s="51"/>
      <c r="E279" s="52"/>
      <c r="F279" s="52"/>
      <c r="G279" s="52"/>
      <c r="H279" s="52">
        <v>5720</v>
      </c>
      <c r="I279" s="52"/>
      <c r="J279" s="52"/>
      <c r="K279" s="53"/>
      <c r="L279" s="54"/>
      <c r="M279" s="52"/>
      <c r="N279" s="55"/>
      <c r="O279" s="50"/>
      <c r="P279" s="53"/>
      <c r="Q279" s="52"/>
      <c r="R279" s="52"/>
      <c r="S279" s="52"/>
      <c r="T279" s="55"/>
      <c r="U279" s="52" t="str">
        <f t="shared" ca="1" si="4"/>
        <v/>
      </c>
      <c r="V279" s="54">
        <v>0</v>
      </c>
      <c r="W279" s="52" t="s">
        <v>5587</v>
      </c>
    </row>
    <row r="280" spans="1:23" ht="20.100000000000001" customHeight="1" x14ac:dyDescent="0.25">
      <c r="A280" s="50"/>
      <c r="B280" s="50"/>
      <c r="C280" s="51"/>
      <c r="D280" s="51"/>
      <c r="E280" s="52"/>
      <c r="F280" s="52"/>
      <c r="G280" s="52"/>
      <c r="H280" s="52">
        <v>5721</v>
      </c>
      <c r="I280" s="52"/>
      <c r="J280" s="52"/>
      <c r="K280" s="53"/>
      <c r="L280" s="54"/>
      <c r="M280" s="52"/>
      <c r="N280" s="55"/>
      <c r="O280" s="50"/>
      <c r="P280" s="53"/>
      <c r="Q280" s="52"/>
      <c r="R280" s="52"/>
      <c r="S280" s="52"/>
      <c r="T280" s="55"/>
      <c r="U280" s="52" t="str">
        <f t="shared" ca="1" si="4"/>
        <v/>
      </c>
      <c r="V280" s="54">
        <v>0</v>
      </c>
      <c r="W280" s="52" t="s">
        <v>5587</v>
      </c>
    </row>
    <row r="281" spans="1:23" ht="20.100000000000001" customHeight="1" x14ac:dyDescent="0.25">
      <c r="A281" s="50"/>
      <c r="B281" s="50"/>
      <c r="C281" s="51"/>
      <c r="D281" s="51"/>
      <c r="E281" s="52"/>
      <c r="F281" s="52"/>
      <c r="G281" s="52"/>
      <c r="H281" s="52">
        <v>5722</v>
      </c>
      <c r="I281" s="52"/>
      <c r="J281" s="52"/>
      <c r="K281" s="53"/>
      <c r="L281" s="54"/>
      <c r="M281" s="52"/>
      <c r="N281" s="55"/>
      <c r="O281" s="50"/>
      <c r="P281" s="53"/>
      <c r="Q281" s="52"/>
      <c r="R281" s="52"/>
      <c r="S281" s="52"/>
      <c r="T281" s="55"/>
      <c r="U281" s="52" t="str">
        <f t="shared" ca="1" si="4"/>
        <v/>
      </c>
      <c r="V281" s="54">
        <v>0</v>
      </c>
      <c r="W281" s="52" t="s">
        <v>5587</v>
      </c>
    </row>
    <row r="282" spans="1:23" ht="20.100000000000001" customHeight="1" x14ac:dyDescent="0.25">
      <c r="A282" s="50"/>
      <c r="B282" s="50"/>
      <c r="C282" s="51"/>
      <c r="D282" s="51"/>
      <c r="E282" s="52"/>
      <c r="F282" s="52"/>
      <c r="G282" s="52"/>
      <c r="H282" s="52">
        <v>5723</v>
      </c>
      <c r="I282" s="52"/>
      <c r="J282" s="52"/>
      <c r="K282" s="53"/>
      <c r="L282" s="54"/>
      <c r="M282" s="52"/>
      <c r="N282" s="55"/>
      <c r="O282" s="50"/>
      <c r="P282" s="53"/>
      <c r="Q282" s="52"/>
      <c r="R282" s="52"/>
      <c r="S282" s="52"/>
      <c r="T282" s="55"/>
      <c r="U282" s="52" t="str">
        <f t="shared" ca="1" si="4"/>
        <v/>
      </c>
      <c r="V282" s="54">
        <v>0</v>
      </c>
      <c r="W282" s="52" t="s">
        <v>5587</v>
      </c>
    </row>
    <row r="283" spans="1:23" ht="20.100000000000001" customHeight="1" x14ac:dyDescent="0.25">
      <c r="A283" s="50"/>
      <c r="B283" s="50"/>
      <c r="C283" s="51"/>
      <c r="D283" s="51"/>
      <c r="E283" s="52"/>
      <c r="F283" s="52"/>
      <c r="G283" s="52"/>
      <c r="H283" s="52">
        <v>5724</v>
      </c>
      <c r="I283" s="52"/>
      <c r="J283" s="52"/>
      <c r="K283" s="53"/>
      <c r="L283" s="54"/>
      <c r="M283" s="52"/>
      <c r="N283" s="55"/>
      <c r="O283" s="50"/>
      <c r="P283" s="53"/>
      <c r="Q283" s="52"/>
      <c r="R283" s="52"/>
      <c r="S283" s="52"/>
      <c r="T283" s="55"/>
      <c r="U283" s="52" t="str">
        <f t="shared" ca="1" si="4"/>
        <v/>
      </c>
      <c r="V283" s="54">
        <v>0</v>
      </c>
      <c r="W283" s="52" t="s">
        <v>5587</v>
      </c>
    </row>
    <row r="284" spans="1:23" ht="20.100000000000001" customHeight="1" x14ac:dyDescent="0.25">
      <c r="A284" s="50"/>
      <c r="B284" s="50"/>
      <c r="C284" s="51"/>
      <c r="D284" s="51"/>
      <c r="E284" s="52"/>
      <c r="F284" s="52"/>
      <c r="G284" s="52"/>
      <c r="H284" s="52">
        <v>5725</v>
      </c>
      <c r="I284" s="52"/>
      <c r="J284" s="52"/>
      <c r="K284" s="53"/>
      <c r="L284" s="54"/>
      <c r="M284" s="52"/>
      <c r="N284" s="55"/>
      <c r="O284" s="50"/>
      <c r="P284" s="53"/>
      <c r="Q284" s="52"/>
      <c r="R284" s="52"/>
      <c r="S284" s="52"/>
      <c r="T284" s="55"/>
      <c r="U284" s="52" t="str">
        <f t="shared" ca="1" si="4"/>
        <v/>
      </c>
      <c r="V284" s="54">
        <v>0</v>
      </c>
      <c r="W284" s="52" t="s">
        <v>5587</v>
      </c>
    </row>
    <row r="285" spans="1:23" ht="20.100000000000001" customHeight="1" x14ac:dyDescent="0.25">
      <c r="A285" s="50"/>
      <c r="B285" s="50"/>
      <c r="C285" s="51"/>
      <c r="D285" s="51"/>
      <c r="E285" s="52"/>
      <c r="F285" s="52"/>
      <c r="G285" s="52"/>
      <c r="H285" s="52">
        <v>5726</v>
      </c>
      <c r="I285" s="52"/>
      <c r="J285" s="52"/>
      <c r="K285" s="53"/>
      <c r="L285" s="54"/>
      <c r="M285" s="52"/>
      <c r="N285" s="55"/>
      <c r="O285" s="50"/>
      <c r="P285" s="53"/>
      <c r="Q285" s="52"/>
      <c r="R285" s="52"/>
      <c r="S285" s="52"/>
      <c r="T285" s="55"/>
      <c r="U285" s="52" t="str">
        <f t="shared" ca="1" si="4"/>
        <v/>
      </c>
      <c r="V285" s="54">
        <v>0</v>
      </c>
      <c r="W285" s="52" t="s">
        <v>5587</v>
      </c>
    </row>
    <row r="286" spans="1:23" ht="20.100000000000001" customHeight="1" x14ac:dyDescent="0.25">
      <c r="A286" s="50"/>
      <c r="B286" s="50"/>
      <c r="C286" s="51"/>
      <c r="D286" s="51"/>
      <c r="E286" s="52"/>
      <c r="F286" s="52"/>
      <c r="G286" s="52"/>
      <c r="H286" s="52">
        <v>5727</v>
      </c>
      <c r="I286" s="52"/>
      <c r="J286" s="52"/>
      <c r="K286" s="53"/>
      <c r="L286" s="54"/>
      <c r="M286" s="52"/>
      <c r="N286" s="55"/>
      <c r="O286" s="50"/>
      <c r="P286" s="53"/>
      <c r="Q286" s="52"/>
      <c r="R286" s="52"/>
      <c r="S286" s="52"/>
      <c r="T286" s="55"/>
      <c r="U286" s="52" t="str">
        <f t="shared" ca="1" si="4"/>
        <v/>
      </c>
      <c r="V286" s="54">
        <v>0</v>
      </c>
      <c r="W286" s="52" t="s">
        <v>5587</v>
      </c>
    </row>
    <row r="287" spans="1:23" ht="20.100000000000001" customHeight="1" x14ac:dyDescent="0.25">
      <c r="A287" s="50"/>
      <c r="B287" s="50"/>
      <c r="C287" s="51"/>
      <c r="D287" s="51"/>
      <c r="E287" s="52"/>
      <c r="F287" s="52"/>
      <c r="G287" s="52"/>
      <c r="H287" s="52">
        <v>5728</v>
      </c>
      <c r="I287" s="52"/>
      <c r="J287" s="52"/>
      <c r="K287" s="53"/>
      <c r="L287" s="54"/>
      <c r="M287" s="52"/>
      <c r="N287" s="55"/>
      <c r="O287" s="50"/>
      <c r="P287" s="53"/>
      <c r="Q287" s="52"/>
      <c r="R287" s="52"/>
      <c r="S287" s="52"/>
      <c r="T287" s="55"/>
      <c r="U287" s="52" t="str">
        <f t="shared" ca="1" si="4"/>
        <v/>
      </c>
      <c r="V287" s="54">
        <v>0</v>
      </c>
      <c r="W287" s="52" t="s">
        <v>5587</v>
      </c>
    </row>
    <row r="288" spans="1:23" ht="20.100000000000001" customHeight="1" x14ac:dyDescent="0.25">
      <c r="A288" s="50"/>
      <c r="B288" s="50"/>
      <c r="C288" s="51"/>
      <c r="D288" s="51"/>
      <c r="E288" s="52"/>
      <c r="F288" s="52"/>
      <c r="G288" s="52"/>
      <c r="H288" s="52">
        <v>5729</v>
      </c>
      <c r="I288" s="52"/>
      <c r="J288" s="52"/>
      <c r="K288" s="53"/>
      <c r="L288" s="54"/>
      <c r="M288" s="52"/>
      <c r="N288" s="55"/>
      <c r="O288" s="50"/>
      <c r="P288" s="53"/>
      <c r="Q288" s="52"/>
      <c r="R288" s="52"/>
      <c r="S288" s="52"/>
      <c r="T288" s="55"/>
      <c r="U288" s="52" t="str">
        <f t="shared" ca="1" si="4"/>
        <v/>
      </c>
      <c r="V288" s="54">
        <v>0</v>
      </c>
      <c r="W288" s="52" t="s">
        <v>5587</v>
      </c>
    </row>
    <row r="289" spans="1:23" ht="20.100000000000001" customHeight="1" x14ac:dyDescent="0.25">
      <c r="A289" s="50"/>
      <c r="B289" s="50"/>
      <c r="C289" s="51"/>
      <c r="D289" s="51"/>
      <c r="E289" s="52"/>
      <c r="F289" s="52"/>
      <c r="G289" s="52"/>
      <c r="H289" s="52">
        <v>5730</v>
      </c>
      <c r="I289" s="52"/>
      <c r="J289" s="52"/>
      <c r="K289" s="53"/>
      <c r="L289" s="54"/>
      <c r="M289" s="52"/>
      <c r="N289" s="55"/>
      <c r="O289" s="50"/>
      <c r="P289" s="53"/>
      <c r="Q289" s="52"/>
      <c r="R289" s="52"/>
      <c r="S289" s="52"/>
      <c r="T289" s="55"/>
      <c r="U289" s="52" t="str">
        <f t="shared" ca="1" si="4"/>
        <v/>
      </c>
      <c r="V289" s="54">
        <v>0</v>
      </c>
      <c r="W289" s="52" t="s">
        <v>5587</v>
      </c>
    </row>
    <row r="290" spans="1:23" ht="20.100000000000001" customHeight="1" x14ac:dyDescent="0.25">
      <c r="A290" s="50"/>
      <c r="B290" s="50"/>
      <c r="C290" s="51"/>
      <c r="D290" s="51"/>
      <c r="E290" s="52"/>
      <c r="F290" s="52"/>
      <c r="G290" s="52"/>
      <c r="H290" s="52">
        <v>5731</v>
      </c>
      <c r="I290" s="52"/>
      <c r="J290" s="52"/>
      <c r="K290" s="53"/>
      <c r="L290" s="54"/>
      <c r="M290" s="52"/>
      <c r="N290" s="55"/>
      <c r="O290" s="50"/>
      <c r="P290" s="53"/>
      <c r="Q290" s="52"/>
      <c r="R290" s="52"/>
      <c r="S290" s="52"/>
      <c r="T290" s="55"/>
      <c r="U290" s="52" t="str">
        <f t="shared" ca="1" si="4"/>
        <v/>
      </c>
      <c r="V290" s="54">
        <v>0</v>
      </c>
      <c r="W290" s="52" t="s">
        <v>5587</v>
      </c>
    </row>
    <row r="291" spans="1:23" ht="20.100000000000001" customHeight="1" x14ac:dyDescent="0.25">
      <c r="A291" s="50"/>
      <c r="B291" s="50"/>
      <c r="C291" s="51"/>
      <c r="D291" s="51"/>
      <c r="E291" s="52"/>
      <c r="F291" s="52"/>
      <c r="G291" s="52"/>
      <c r="H291" s="52">
        <v>5732</v>
      </c>
      <c r="I291" s="52"/>
      <c r="J291" s="52"/>
      <c r="K291" s="53"/>
      <c r="L291" s="54"/>
      <c r="M291" s="52"/>
      <c r="N291" s="55"/>
      <c r="O291" s="50"/>
      <c r="P291" s="53"/>
      <c r="Q291" s="52"/>
      <c r="R291" s="52"/>
      <c r="S291" s="52"/>
      <c r="T291" s="55"/>
      <c r="U291" s="52" t="str">
        <f t="shared" ca="1" si="4"/>
        <v/>
      </c>
      <c r="V291" s="54">
        <v>0</v>
      </c>
      <c r="W291" s="52" t="s">
        <v>5587</v>
      </c>
    </row>
    <row r="292" spans="1:23" ht="20.100000000000001" customHeight="1" x14ac:dyDescent="0.25">
      <c r="A292" s="50"/>
      <c r="B292" s="50"/>
      <c r="C292" s="51"/>
      <c r="D292" s="51"/>
      <c r="E292" s="52"/>
      <c r="F292" s="52"/>
      <c r="G292" s="52"/>
      <c r="H292" s="52">
        <v>5733</v>
      </c>
      <c r="I292" s="52"/>
      <c r="J292" s="52"/>
      <c r="K292" s="53"/>
      <c r="L292" s="54"/>
      <c r="M292" s="52"/>
      <c r="N292" s="55"/>
      <c r="O292" s="50"/>
      <c r="P292" s="53"/>
      <c r="Q292" s="52"/>
      <c r="R292" s="52"/>
      <c r="S292" s="52"/>
      <c r="T292" s="55"/>
      <c r="U292" s="52" t="str">
        <f t="shared" ca="1" si="4"/>
        <v/>
      </c>
      <c r="V292" s="54">
        <v>0</v>
      </c>
      <c r="W292" s="52" t="s">
        <v>5587</v>
      </c>
    </row>
    <row r="293" spans="1:23" ht="20.100000000000001" customHeight="1" x14ac:dyDescent="0.25">
      <c r="A293" s="50"/>
      <c r="B293" s="50"/>
      <c r="C293" s="51"/>
      <c r="D293" s="51"/>
      <c r="E293" s="52"/>
      <c r="F293" s="52"/>
      <c r="G293" s="52"/>
      <c r="H293" s="52">
        <v>5734</v>
      </c>
      <c r="I293" s="52"/>
      <c r="J293" s="52"/>
      <c r="K293" s="53"/>
      <c r="L293" s="54"/>
      <c r="M293" s="52"/>
      <c r="N293" s="55"/>
      <c r="O293" s="50"/>
      <c r="P293" s="53"/>
      <c r="Q293" s="52"/>
      <c r="R293" s="52"/>
      <c r="S293" s="52"/>
      <c r="T293" s="55"/>
      <c r="U293" s="52" t="str">
        <f t="shared" ca="1" si="4"/>
        <v/>
      </c>
      <c r="V293" s="54">
        <v>0</v>
      </c>
      <c r="W293" s="52" t="s">
        <v>5587</v>
      </c>
    </row>
    <row r="294" spans="1:23" ht="20.100000000000001" customHeight="1" x14ac:dyDescent="0.25">
      <c r="A294" s="50"/>
      <c r="B294" s="50"/>
      <c r="C294" s="51"/>
      <c r="D294" s="51"/>
      <c r="E294" s="52"/>
      <c r="F294" s="52"/>
      <c r="G294" s="52"/>
      <c r="H294" s="52">
        <v>5735</v>
      </c>
      <c r="I294" s="52"/>
      <c r="J294" s="52"/>
      <c r="K294" s="53"/>
      <c r="L294" s="54"/>
      <c r="M294" s="52"/>
      <c r="N294" s="55"/>
      <c r="O294" s="50"/>
      <c r="P294" s="53"/>
      <c r="Q294" s="52"/>
      <c r="R294" s="52"/>
      <c r="S294" s="52"/>
      <c r="T294" s="55"/>
      <c r="U294" s="52" t="str">
        <f t="shared" ca="1" si="4"/>
        <v/>
      </c>
      <c r="V294" s="54">
        <v>0</v>
      </c>
      <c r="W294" s="52" t="s">
        <v>5587</v>
      </c>
    </row>
    <row r="295" spans="1:23" ht="20.100000000000001" customHeight="1" x14ac:dyDescent="0.25">
      <c r="A295" s="50"/>
      <c r="B295" s="50"/>
      <c r="C295" s="51"/>
      <c r="D295" s="51"/>
      <c r="E295" s="52"/>
      <c r="F295" s="52"/>
      <c r="G295" s="52"/>
      <c r="H295" s="52">
        <v>5736</v>
      </c>
      <c r="I295" s="52"/>
      <c r="J295" s="52"/>
      <c r="K295" s="53"/>
      <c r="L295" s="54"/>
      <c r="M295" s="52"/>
      <c r="N295" s="55"/>
      <c r="O295" s="50"/>
      <c r="P295" s="53"/>
      <c r="Q295" s="52"/>
      <c r="R295" s="52"/>
      <c r="S295" s="52"/>
      <c r="T295" s="55"/>
      <c r="U295" s="52" t="str">
        <f t="shared" ca="1" si="4"/>
        <v/>
      </c>
      <c r="V295" s="54">
        <v>0</v>
      </c>
      <c r="W295" s="52" t="s">
        <v>5587</v>
      </c>
    </row>
    <row r="296" spans="1:23" ht="20.100000000000001" customHeight="1" x14ac:dyDescent="0.25">
      <c r="A296" s="50"/>
      <c r="B296" s="50"/>
      <c r="C296" s="51"/>
      <c r="D296" s="51"/>
      <c r="E296" s="52"/>
      <c r="F296" s="52"/>
      <c r="G296" s="52"/>
      <c r="H296" s="52">
        <v>5737</v>
      </c>
      <c r="I296" s="52"/>
      <c r="J296" s="52"/>
      <c r="K296" s="53"/>
      <c r="L296" s="54"/>
      <c r="M296" s="52"/>
      <c r="N296" s="55"/>
      <c r="O296" s="50"/>
      <c r="P296" s="53"/>
      <c r="Q296" s="52"/>
      <c r="R296" s="52"/>
      <c r="S296" s="52"/>
      <c r="T296" s="55"/>
      <c r="U296" s="52" t="str">
        <f t="shared" ca="1" si="4"/>
        <v/>
      </c>
      <c r="V296" s="54">
        <v>0</v>
      </c>
      <c r="W296" s="52" t="s">
        <v>5587</v>
      </c>
    </row>
    <row r="297" spans="1:23" ht="20.100000000000001" customHeight="1" x14ac:dyDescent="0.25">
      <c r="A297" s="50"/>
      <c r="B297" s="50"/>
      <c r="C297" s="51"/>
      <c r="D297" s="51"/>
      <c r="E297" s="52"/>
      <c r="F297" s="52"/>
      <c r="G297" s="52"/>
      <c r="H297" s="52">
        <v>5738</v>
      </c>
      <c r="I297" s="52"/>
      <c r="J297" s="52"/>
      <c r="K297" s="53"/>
      <c r="L297" s="54"/>
      <c r="M297" s="52"/>
      <c r="N297" s="55"/>
      <c r="O297" s="50"/>
      <c r="P297" s="53"/>
      <c r="Q297" s="52"/>
      <c r="R297" s="52"/>
      <c r="S297" s="52"/>
      <c r="T297" s="55"/>
      <c r="U297" s="52" t="str">
        <f t="shared" ca="1" si="4"/>
        <v/>
      </c>
      <c r="V297" s="54">
        <v>0</v>
      </c>
      <c r="W297" s="52" t="s">
        <v>5587</v>
      </c>
    </row>
    <row r="298" spans="1:23" ht="20.100000000000001" customHeight="1" x14ac:dyDescent="0.25">
      <c r="A298" s="50"/>
      <c r="B298" s="50"/>
      <c r="C298" s="51"/>
      <c r="D298" s="51"/>
      <c r="E298" s="52"/>
      <c r="F298" s="52"/>
      <c r="G298" s="52"/>
      <c r="H298" s="52">
        <v>5739</v>
      </c>
      <c r="I298" s="52"/>
      <c r="J298" s="52"/>
      <c r="K298" s="53"/>
      <c r="L298" s="54"/>
      <c r="M298" s="52"/>
      <c r="N298" s="55"/>
      <c r="O298" s="50"/>
      <c r="P298" s="53"/>
      <c r="Q298" s="52"/>
      <c r="R298" s="52"/>
      <c r="S298" s="52"/>
      <c r="T298" s="55"/>
      <c r="U298" s="52" t="str">
        <f t="shared" ca="1" si="4"/>
        <v/>
      </c>
      <c r="V298" s="54">
        <v>0</v>
      </c>
      <c r="W298" s="52" t="s">
        <v>5587</v>
      </c>
    </row>
    <row r="299" spans="1:23" ht="20.100000000000001" customHeight="1" x14ac:dyDescent="0.25">
      <c r="A299" s="50"/>
      <c r="B299" s="50"/>
      <c r="C299" s="51"/>
      <c r="D299" s="51"/>
      <c r="E299" s="52"/>
      <c r="F299" s="52"/>
      <c r="G299" s="52"/>
      <c r="H299" s="52">
        <v>5740</v>
      </c>
      <c r="I299" s="52"/>
      <c r="J299" s="52"/>
      <c r="K299" s="53"/>
      <c r="L299" s="54"/>
      <c r="M299" s="52"/>
      <c r="N299" s="55"/>
      <c r="O299" s="50"/>
      <c r="P299" s="53"/>
      <c r="Q299" s="52"/>
      <c r="R299" s="52"/>
      <c r="S299" s="52"/>
      <c r="T299" s="55"/>
      <c r="U299" s="52" t="str">
        <f t="shared" ca="1" si="4"/>
        <v/>
      </c>
      <c r="V299" s="54">
        <v>0</v>
      </c>
      <c r="W299" s="52" t="s">
        <v>5587</v>
      </c>
    </row>
    <row r="300" spans="1:23" ht="20.100000000000001" customHeight="1" x14ac:dyDescent="0.25">
      <c r="A300" s="50"/>
      <c r="B300" s="50"/>
      <c r="C300" s="51"/>
      <c r="D300" s="51"/>
      <c r="E300" s="52"/>
      <c r="F300" s="52"/>
      <c r="G300" s="52"/>
      <c r="H300" s="52">
        <v>5741</v>
      </c>
      <c r="I300" s="52"/>
      <c r="J300" s="52"/>
      <c r="K300" s="53"/>
      <c r="L300" s="54"/>
      <c r="M300" s="52"/>
      <c r="N300" s="55"/>
      <c r="O300" s="50"/>
      <c r="P300" s="53"/>
      <c r="Q300" s="52"/>
      <c r="R300" s="52"/>
      <c r="S300" s="52"/>
      <c r="T300" s="55"/>
      <c r="U300" s="52" t="str">
        <f t="shared" ca="1" si="4"/>
        <v/>
      </c>
      <c r="V300" s="54">
        <v>0</v>
      </c>
      <c r="W300" s="52" t="s">
        <v>5587</v>
      </c>
    </row>
    <row r="301" spans="1:23" ht="20.100000000000001" customHeight="1" x14ac:dyDescent="0.25">
      <c r="A301" s="50"/>
      <c r="B301" s="50"/>
      <c r="C301" s="51"/>
      <c r="D301" s="51"/>
      <c r="E301" s="52"/>
      <c r="F301" s="52"/>
      <c r="G301" s="52"/>
      <c r="H301" s="52">
        <v>5742</v>
      </c>
      <c r="I301" s="52"/>
      <c r="J301" s="52"/>
      <c r="K301" s="53"/>
      <c r="L301" s="54"/>
      <c r="M301" s="52"/>
      <c r="N301" s="55"/>
      <c r="O301" s="50"/>
      <c r="P301" s="53"/>
      <c r="Q301" s="52"/>
      <c r="R301" s="52"/>
      <c r="S301" s="52"/>
      <c r="T301" s="55"/>
      <c r="U301" s="52" t="str">
        <f t="shared" ca="1" si="4"/>
        <v/>
      </c>
      <c r="V301" s="54">
        <v>0</v>
      </c>
      <c r="W301" s="52" t="s">
        <v>5587</v>
      </c>
    </row>
    <row r="302" spans="1:23" ht="20.100000000000001" customHeight="1" x14ac:dyDescent="0.25">
      <c r="A302" s="50"/>
      <c r="B302" s="50"/>
      <c r="C302" s="51"/>
      <c r="D302" s="51"/>
      <c r="E302" s="52"/>
      <c r="F302" s="52"/>
      <c r="G302" s="52"/>
      <c r="H302" s="52">
        <v>5743</v>
      </c>
      <c r="I302" s="52"/>
      <c r="J302" s="52"/>
      <c r="K302" s="53"/>
      <c r="L302" s="54"/>
      <c r="M302" s="52"/>
      <c r="N302" s="55"/>
      <c r="O302" s="50"/>
      <c r="P302" s="53"/>
      <c r="Q302" s="52"/>
      <c r="R302" s="52"/>
      <c r="S302" s="52"/>
      <c r="T302" s="55"/>
      <c r="U302" s="52" t="str">
        <f t="shared" ca="1" si="4"/>
        <v/>
      </c>
      <c r="V302" s="54">
        <v>0</v>
      </c>
      <c r="W302" s="52" t="s">
        <v>5587</v>
      </c>
    </row>
    <row r="303" spans="1:23" ht="20.100000000000001" customHeight="1" x14ac:dyDescent="0.25">
      <c r="A303" s="50"/>
      <c r="B303" s="50"/>
      <c r="C303" s="51"/>
      <c r="D303" s="51"/>
      <c r="E303" s="52"/>
      <c r="F303" s="52"/>
      <c r="G303" s="52"/>
      <c r="H303" s="52">
        <v>5744</v>
      </c>
      <c r="I303" s="52"/>
      <c r="J303" s="52"/>
      <c r="K303" s="53"/>
      <c r="L303" s="54"/>
      <c r="M303" s="52"/>
      <c r="N303" s="55"/>
      <c r="O303" s="50"/>
      <c r="P303" s="53"/>
      <c r="Q303" s="52"/>
      <c r="R303" s="52"/>
      <c r="S303" s="52"/>
      <c r="T303" s="55"/>
      <c r="U303" s="52" t="str">
        <f t="shared" ca="1" si="4"/>
        <v/>
      </c>
      <c r="V303" s="54">
        <v>0</v>
      </c>
      <c r="W303" s="52" t="s">
        <v>5587</v>
      </c>
    </row>
    <row r="304" spans="1:23" ht="20.100000000000001" customHeight="1" x14ac:dyDescent="0.25">
      <c r="A304" s="50"/>
      <c r="B304" s="50"/>
      <c r="C304" s="51"/>
      <c r="D304" s="51"/>
      <c r="E304" s="52"/>
      <c r="F304" s="52"/>
      <c r="G304" s="52"/>
      <c r="H304" s="52">
        <v>5745</v>
      </c>
      <c r="I304" s="52"/>
      <c r="J304" s="52"/>
      <c r="K304" s="53"/>
      <c r="L304" s="54"/>
      <c r="M304" s="52"/>
      <c r="N304" s="55"/>
      <c r="O304" s="50"/>
      <c r="P304" s="53"/>
      <c r="Q304" s="52"/>
      <c r="R304" s="52"/>
      <c r="S304" s="52"/>
      <c r="T304" s="55"/>
      <c r="U304" s="52" t="str">
        <f t="shared" ca="1" si="4"/>
        <v/>
      </c>
      <c r="V304" s="54">
        <v>0</v>
      </c>
      <c r="W304" s="52" t="s">
        <v>5587</v>
      </c>
    </row>
    <row r="305" spans="1:23" ht="20.100000000000001" customHeight="1" x14ac:dyDescent="0.25">
      <c r="A305" s="50"/>
      <c r="B305" s="50"/>
      <c r="C305" s="51"/>
      <c r="D305" s="51"/>
      <c r="E305" s="52"/>
      <c r="F305" s="52"/>
      <c r="G305" s="52"/>
      <c r="H305" s="52">
        <v>5746</v>
      </c>
      <c r="I305" s="52"/>
      <c r="J305" s="52"/>
      <c r="K305" s="53"/>
      <c r="L305" s="54"/>
      <c r="M305" s="52"/>
      <c r="N305" s="55"/>
      <c r="O305" s="50"/>
      <c r="P305" s="53"/>
      <c r="Q305" s="52"/>
      <c r="R305" s="52"/>
      <c r="S305" s="52"/>
      <c r="T305" s="55"/>
      <c r="U305" s="52" t="str">
        <f t="shared" ca="1" si="4"/>
        <v/>
      </c>
      <c r="V305" s="54">
        <v>0</v>
      </c>
      <c r="W305" s="52" t="s">
        <v>5587</v>
      </c>
    </row>
    <row r="306" spans="1:23" ht="20.100000000000001" customHeight="1" x14ac:dyDescent="0.25">
      <c r="A306" s="50"/>
      <c r="B306" s="50"/>
      <c r="C306" s="51"/>
      <c r="D306" s="51"/>
      <c r="E306" s="52"/>
      <c r="F306" s="52"/>
      <c r="G306" s="52"/>
      <c r="H306" s="52">
        <v>5747</v>
      </c>
      <c r="I306" s="52"/>
      <c r="J306" s="52"/>
      <c r="K306" s="53"/>
      <c r="L306" s="54"/>
      <c r="M306" s="52"/>
      <c r="N306" s="55"/>
      <c r="O306" s="50"/>
      <c r="P306" s="53"/>
      <c r="Q306" s="52"/>
      <c r="R306" s="52"/>
      <c r="S306" s="52"/>
      <c r="T306" s="55"/>
      <c r="U306" s="52" t="str">
        <f t="shared" ca="1" si="4"/>
        <v/>
      </c>
      <c r="V306" s="54">
        <v>0</v>
      </c>
      <c r="W306" s="52" t="s">
        <v>5587</v>
      </c>
    </row>
    <row r="307" spans="1:23" ht="20.100000000000001" customHeight="1" x14ac:dyDescent="0.25">
      <c r="A307" s="50"/>
      <c r="B307" s="50"/>
      <c r="C307" s="51"/>
      <c r="D307" s="51"/>
      <c r="E307" s="52"/>
      <c r="F307" s="52"/>
      <c r="G307" s="52"/>
      <c r="H307" s="52">
        <v>5748</v>
      </c>
      <c r="I307" s="52"/>
      <c r="J307" s="52"/>
      <c r="K307" s="53"/>
      <c r="L307" s="54"/>
      <c r="M307" s="52"/>
      <c r="N307" s="55"/>
      <c r="O307" s="50"/>
      <c r="P307" s="53"/>
      <c r="Q307" s="52"/>
      <c r="R307" s="52"/>
      <c r="S307" s="52"/>
      <c r="T307" s="55"/>
      <c r="U307" s="52" t="str">
        <f t="shared" ca="1" si="4"/>
        <v/>
      </c>
      <c r="V307" s="54">
        <v>0</v>
      </c>
      <c r="W307" s="52" t="s">
        <v>5587</v>
      </c>
    </row>
    <row r="308" spans="1:23" ht="20.100000000000001" customHeight="1" x14ac:dyDescent="0.25">
      <c r="A308" s="50"/>
      <c r="B308" s="50"/>
      <c r="C308" s="51"/>
      <c r="D308" s="51"/>
      <c r="E308" s="52"/>
      <c r="F308" s="52"/>
      <c r="G308" s="52"/>
      <c r="H308" s="52">
        <v>5749</v>
      </c>
      <c r="I308" s="52"/>
      <c r="J308" s="52"/>
      <c r="K308" s="53"/>
      <c r="L308" s="54"/>
      <c r="M308" s="52"/>
      <c r="N308" s="55"/>
      <c r="O308" s="50"/>
      <c r="P308" s="53"/>
      <c r="Q308" s="52"/>
      <c r="R308" s="52"/>
      <c r="S308" s="52"/>
      <c r="T308" s="55"/>
      <c r="U308" s="52" t="str">
        <f t="shared" ca="1" si="4"/>
        <v/>
      </c>
      <c r="V308" s="54">
        <v>0</v>
      </c>
      <c r="W308" s="52" t="s">
        <v>5587</v>
      </c>
    </row>
    <row r="309" spans="1:23" ht="20.100000000000001" customHeight="1" x14ac:dyDescent="0.25">
      <c r="A309" s="50"/>
      <c r="B309" s="50"/>
      <c r="C309" s="51"/>
      <c r="D309" s="51"/>
      <c r="E309" s="52"/>
      <c r="F309" s="52"/>
      <c r="G309" s="52"/>
      <c r="H309" s="52">
        <v>5750</v>
      </c>
      <c r="I309" s="52"/>
      <c r="J309" s="52"/>
      <c r="K309" s="53"/>
      <c r="L309" s="54"/>
      <c r="M309" s="52"/>
      <c r="N309" s="55"/>
      <c r="O309" s="50"/>
      <c r="P309" s="53"/>
      <c r="Q309" s="52"/>
      <c r="R309" s="52"/>
      <c r="S309" s="52"/>
      <c r="T309" s="55"/>
      <c r="U309" s="52" t="str">
        <f t="shared" ca="1" si="4"/>
        <v/>
      </c>
      <c r="V309" s="54">
        <v>0</v>
      </c>
      <c r="W309" s="52" t="s">
        <v>5587</v>
      </c>
    </row>
    <row r="310" spans="1:23" ht="20.100000000000001" customHeight="1" x14ac:dyDescent="0.25">
      <c r="A310" s="50"/>
      <c r="B310" s="50"/>
      <c r="C310" s="51"/>
      <c r="D310" s="51"/>
      <c r="E310" s="52"/>
      <c r="F310" s="52"/>
      <c r="G310" s="52"/>
      <c r="H310" s="52">
        <v>5751</v>
      </c>
      <c r="I310" s="52"/>
      <c r="J310" s="52"/>
      <c r="K310" s="53"/>
      <c r="L310" s="54"/>
      <c r="M310" s="52"/>
      <c r="N310" s="55"/>
      <c r="O310" s="50"/>
      <c r="P310" s="53"/>
      <c r="Q310" s="52"/>
      <c r="R310" s="52"/>
      <c r="S310" s="52"/>
      <c r="T310" s="55"/>
      <c r="U310" s="52" t="str">
        <f t="shared" ca="1" si="4"/>
        <v/>
      </c>
      <c r="V310" s="54">
        <v>0</v>
      </c>
      <c r="W310" s="52" t="s">
        <v>5587</v>
      </c>
    </row>
    <row r="311" spans="1:23" ht="20.100000000000001" customHeight="1" x14ac:dyDescent="0.25">
      <c r="A311" s="50"/>
      <c r="B311" s="50"/>
      <c r="C311" s="51"/>
      <c r="D311" s="51"/>
      <c r="E311" s="52"/>
      <c r="F311" s="52"/>
      <c r="G311" s="52"/>
      <c r="H311" s="52">
        <v>5752</v>
      </c>
      <c r="I311" s="52"/>
      <c r="J311" s="52"/>
      <c r="K311" s="53"/>
      <c r="L311" s="54"/>
      <c r="M311" s="52"/>
      <c r="N311" s="55"/>
      <c r="O311" s="50"/>
      <c r="P311" s="53"/>
      <c r="Q311" s="52"/>
      <c r="R311" s="52"/>
      <c r="S311" s="52"/>
      <c r="T311" s="55"/>
      <c r="U311" s="52" t="str">
        <f t="shared" ca="1" si="4"/>
        <v/>
      </c>
      <c r="V311" s="54">
        <v>0</v>
      </c>
      <c r="W311" s="52" t="s">
        <v>5587</v>
      </c>
    </row>
    <row r="312" spans="1:23" ht="20.100000000000001" customHeight="1" x14ac:dyDescent="0.25">
      <c r="A312" s="50"/>
      <c r="B312" s="50"/>
      <c r="C312" s="51"/>
      <c r="D312" s="51"/>
      <c r="E312" s="52"/>
      <c r="F312" s="52"/>
      <c r="G312" s="52"/>
      <c r="H312" s="52">
        <v>5753</v>
      </c>
      <c r="I312" s="52"/>
      <c r="J312" s="52"/>
      <c r="K312" s="53"/>
      <c r="L312" s="54"/>
      <c r="M312" s="52"/>
      <c r="N312" s="55"/>
      <c r="O312" s="50"/>
      <c r="P312" s="53"/>
      <c r="Q312" s="52"/>
      <c r="R312" s="52"/>
      <c r="S312" s="52"/>
      <c r="T312" s="55"/>
      <c r="U312" s="52" t="str">
        <f t="shared" ca="1" si="4"/>
        <v/>
      </c>
      <c r="V312" s="54">
        <v>0</v>
      </c>
      <c r="W312" s="52" t="s">
        <v>5587</v>
      </c>
    </row>
    <row r="313" spans="1:23" ht="20.100000000000001" customHeight="1" x14ac:dyDescent="0.25">
      <c r="A313" s="50"/>
      <c r="B313" s="50"/>
      <c r="C313" s="51"/>
      <c r="D313" s="51"/>
      <c r="E313" s="52"/>
      <c r="F313" s="52"/>
      <c r="G313" s="52"/>
      <c r="H313" s="52">
        <v>5754</v>
      </c>
      <c r="I313" s="52"/>
      <c r="J313" s="52"/>
      <c r="K313" s="53"/>
      <c r="L313" s="54"/>
      <c r="M313" s="52"/>
      <c r="N313" s="55"/>
      <c r="O313" s="50"/>
      <c r="P313" s="53"/>
      <c r="Q313" s="52"/>
      <c r="R313" s="52"/>
      <c r="S313" s="52"/>
      <c r="T313" s="55"/>
      <c r="U313" s="52" t="str">
        <f t="shared" ca="1" si="4"/>
        <v/>
      </c>
      <c r="V313" s="54">
        <v>0</v>
      </c>
      <c r="W313" s="52" t="s">
        <v>5587</v>
      </c>
    </row>
    <row r="314" spans="1:23" ht="20.100000000000001" customHeight="1" x14ac:dyDescent="0.25">
      <c r="A314" s="50"/>
      <c r="B314" s="50"/>
      <c r="C314" s="51"/>
      <c r="D314" s="51"/>
      <c r="E314" s="52"/>
      <c r="F314" s="52"/>
      <c r="G314" s="52"/>
      <c r="H314" s="52">
        <v>5755</v>
      </c>
      <c r="I314" s="52"/>
      <c r="J314" s="52"/>
      <c r="K314" s="53"/>
      <c r="L314" s="54"/>
      <c r="M314" s="52"/>
      <c r="N314" s="55"/>
      <c r="O314" s="50"/>
      <c r="P314" s="53"/>
      <c r="Q314" s="52"/>
      <c r="R314" s="52"/>
      <c r="S314" s="52"/>
      <c r="T314" s="55"/>
      <c r="U314" s="52" t="str">
        <f t="shared" ca="1" si="4"/>
        <v/>
      </c>
      <c r="V314" s="54">
        <v>0</v>
      </c>
      <c r="W314" s="52" t="s">
        <v>5587</v>
      </c>
    </row>
    <row r="315" spans="1:23" ht="20.100000000000001" customHeight="1" x14ac:dyDescent="0.25">
      <c r="A315" s="50"/>
      <c r="B315" s="50"/>
      <c r="C315" s="51"/>
      <c r="D315" s="51"/>
      <c r="E315" s="52"/>
      <c r="F315" s="52"/>
      <c r="G315" s="52"/>
      <c r="H315" s="52">
        <v>5756</v>
      </c>
      <c r="I315" s="52"/>
      <c r="J315" s="52"/>
      <c r="K315" s="53"/>
      <c r="L315" s="54"/>
      <c r="M315" s="52"/>
      <c r="N315" s="55"/>
      <c r="O315" s="50"/>
      <c r="P315" s="53"/>
      <c r="Q315" s="52"/>
      <c r="R315" s="52"/>
      <c r="S315" s="52"/>
      <c r="T315" s="55"/>
      <c r="U315" s="52" t="str">
        <f t="shared" ca="1" si="4"/>
        <v/>
      </c>
      <c r="V315" s="54">
        <v>0</v>
      </c>
      <c r="W315" s="52" t="s">
        <v>5587</v>
      </c>
    </row>
    <row r="316" spans="1:23" ht="20.100000000000001" customHeight="1" x14ac:dyDescent="0.25">
      <c r="A316" s="50"/>
      <c r="B316" s="50"/>
      <c r="C316" s="51"/>
      <c r="D316" s="51"/>
      <c r="E316" s="52"/>
      <c r="F316" s="52"/>
      <c r="G316" s="52"/>
      <c r="H316" s="52">
        <v>5757</v>
      </c>
      <c r="I316" s="52"/>
      <c r="J316" s="52"/>
      <c r="K316" s="53"/>
      <c r="L316" s="54"/>
      <c r="M316" s="52"/>
      <c r="N316" s="55"/>
      <c r="O316" s="50"/>
      <c r="P316" s="53"/>
      <c r="Q316" s="52"/>
      <c r="R316" s="52"/>
      <c r="S316" s="52"/>
      <c r="T316" s="55"/>
      <c r="U316" s="52" t="str">
        <f t="shared" ca="1" si="4"/>
        <v/>
      </c>
      <c r="V316" s="54">
        <v>0</v>
      </c>
      <c r="W316" s="52" t="s">
        <v>5587</v>
      </c>
    </row>
    <row r="317" spans="1:23" ht="20.100000000000001" customHeight="1" x14ac:dyDescent="0.25">
      <c r="A317" s="50"/>
      <c r="B317" s="50"/>
      <c r="C317" s="51"/>
      <c r="D317" s="51"/>
      <c r="E317" s="52"/>
      <c r="F317" s="52"/>
      <c r="G317" s="52"/>
      <c r="H317" s="52">
        <v>5758</v>
      </c>
      <c r="I317" s="52"/>
      <c r="J317" s="52"/>
      <c r="K317" s="53"/>
      <c r="L317" s="54"/>
      <c r="M317" s="52"/>
      <c r="N317" s="55"/>
      <c r="O317" s="50"/>
      <c r="P317" s="53"/>
      <c r="Q317" s="52"/>
      <c r="R317" s="52"/>
      <c r="S317" s="52"/>
      <c r="T317" s="55"/>
      <c r="U317" s="52" t="str">
        <f t="shared" ca="1" si="4"/>
        <v/>
      </c>
      <c r="V317" s="54">
        <v>0</v>
      </c>
      <c r="W317" s="52" t="s">
        <v>5587</v>
      </c>
    </row>
    <row r="318" spans="1:23" ht="20.100000000000001" customHeight="1" x14ac:dyDescent="0.25">
      <c r="A318" s="50"/>
      <c r="B318" s="50"/>
      <c r="C318" s="51"/>
      <c r="D318" s="51"/>
      <c r="E318" s="52"/>
      <c r="F318" s="52"/>
      <c r="G318" s="52"/>
      <c r="H318" s="52">
        <v>5759</v>
      </c>
      <c r="I318" s="52"/>
      <c r="J318" s="52"/>
      <c r="K318" s="53"/>
      <c r="L318" s="54"/>
      <c r="M318" s="52"/>
      <c r="N318" s="55"/>
      <c r="O318" s="50"/>
      <c r="P318" s="53"/>
      <c r="Q318" s="52"/>
      <c r="R318" s="52"/>
      <c r="S318" s="52"/>
      <c r="T318" s="55"/>
      <c r="U318" s="52" t="str">
        <f t="shared" ca="1" si="4"/>
        <v/>
      </c>
      <c r="V318" s="54">
        <v>0</v>
      </c>
      <c r="W318" s="52" t="s">
        <v>5587</v>
      </c>
    </row>
    <row r="319" spans="1:23" ht="20.100000000000001" customHeight="1" x14ac:dyDescent="0.25">
      <c r="A319" s="50"/>
      <c r="B319" s="50"/>
      <c r="C319" s="51"/>
      <c r="D319" s="51"/>
      <c r="E319" s="52"/>
      <c r="F319" s="52"/>
      <c r="G319" s="52"/>
      <c r="H319" s="52">
        <v>5760</v>
      </c>
      <c r="I319" s="52"/>
      <c r="J319" s="52"/>
      <c r="K319" s="53"/>
      <c r="L319" s="54"/>
      <c r="M319" s="52"/>
      <c r="N319" s="55"/>
      <c r="O319" s="50"/>
      <c r="P319" s="53"/>
      <c r="Q319" s="52"/>
      <c r="R319" s="52"/>
      <c r="S319" s="52"/>
      <c r="T319" s="55"/>
      <c r="U319" s="52" t="str">
        <f t="shared" ca="1" si="4"/>
        <v/>
      </c>
      <c r="V319" s="54">
        <v>0</v>
      </c>
      <c r="W319" s="52" t="s">
        <v>5587</v>
      </c>
    </row>
    <row r="320" spans="1:23" ht="20.100000000000001" customHeight="1" x14ac:dyDescent="0.25">
      <c r="A320" s="50"/>
      <c r="B320" s="50"/>
      <c r="C320" s="51"/>
      <c r="D320" s="51"/>
      <c r="E320" s="52"/>
      <c r="F320" s="52"/>
      <c r="G320" s="52"/>
      <c r="H320" s="52">
        <v>5761</v>
      </c>
      <c r="I320" s="52"/>
      <c r="J320" s="52"/>
      <c r="K320" s="53"/>
      <c r="L320" s="54"/>
      <c r="M320" s="52"/>
      <c r="N320" s="55"/>
      <c r="O320" s="50"/>
      <c r="P320" s="53"/>
      <c r="Q320" s="52"/>
      <c r="R320" s="52"/>
      <c r="S320" s="52"/>
      <c r="T320" s="55"/>
      <c r="U320" s="52" t="str">
        <f t="shared" ca="1" si="4"/>
        <v/>
      </c>
      <c r="V320" s="54">
        <v>0</v>
      </c>
      <c r="W320" s="52" t="s">
        <v>5587</v>
      </c>
    </row>
    <row r="321" spans="1:23" ht="20.100000000000001" customHeight="1" x14ac:dyDescent="0.25">
      <c r="A321" s="50"/>
      <c r="B321" s="50"/>
      <c r="C321" s="51"/>
      <c r="D321" s="51"/>
      <c r="E321" s="52"/>
      <c r="F321" s="52"/>
      <c r="G321" s="52"/>
      <c r="H321" s="52">
        <v>5762</v>
      </c>
      <c r="I321" s="52"/>
      <c r="J321" s="52"/>
      <c r="K321" s="53"/>
      <c r="L321" s="54"/>
      <c r="M321" s="52"/>
      <c r="N321" s="55"/>
      <c r="O321" s="50"/>
      <c r="P321" s="53"/>
      <c r="Q321" s="52"/>
      <c r="R321" s="52"/>
      <c r="S321" s="52"/>
      <c r="T321" s="55"/>
      <c r="U321" s="52" t="str">
        <f t="shared" ca="1" si="4"/>
        <v/>
      </c>
      <c r="V321" s="54">
        <v>0</v>
      </c>
      <c r="W321" s="52" t="s">
        <v>5587</v>
      </c>
    </row>
    <row r="322" spans="1:23" ht="20.100000000000001" customHeight="1" x14ac:dyDescent="0.25">
      <c r="A322" s="50"/>
      <c r="B322" s="50"/>
      <c r="C322" s="51"/>
      <c r="D322" s="51"/>
      <c r="E322" s="52"/>
      <c r="F322" s="52"/>
      <c r="G322" s="52"/>
      <c r="H322" s="52">
        <v>5763</v>
      </c>
      <c r="I322" s="52"/>
      <c r="J322" s="52"/>
      <c r="K322" s="53"/>
      <c r="L322" s="54"/>
      <c r="M322" s="52"/>
      <c r="N322" s="55"/>
      <c r="O322" s="50"/>
      <c r="P322" s="53"/>
      <c r="Q322" s="52"/>
      <c r="R322" s="52"/>
      <c r="S322" s="52"/>
      <c r="T322" s="55"/>
      <c r="U322" s="52" t="str">
        <f t="shared" ca="1" si="4"/>
        <v/>
      </c>
      <c r="V322" s="54">
        <v>0</v>
      </c>
      <c r="W322" s="52" t="s">
        <v>5587</v>
      </c>
    </row>
    <row r="323" spans="1:23" ht="20.100000000000001" customHeight="1" x14ac:dyDescent="0.25">
      <c r="A323" s="50"/>
      <c r="B323" s="50"/>
      <c r="C323" s="51"/>
      <c r="D323" s="51"/>
      <c r="E323" s="52"/>
      <c r="F323" s="52"/>
      <c r="G323" s="52"/>
      <c r="H323" s="52">
        <v>5764</v>
      </c>
      <c r="I323" s="52"/>
      <c r="J323" s="52"/>
      <c r="K323" s="53"/>
      <c r="L323" s="54"/>
      <c r="M323" s="52"/>
      <c r="N323" s="55"/>
      <c r="O323" s="50"/>
      <c r="P323" s="53"/>
      <c r="Q323" s="52"/>
      <c r="R323" s="52"/>
      <c r="S323" s="52"/>
      <c r="T323" s="55"/>
      <c r="U323" s="52" t="str">
        <f t="shared" ca="1" si="4"/>
        <v/>
      </c>
      <c r="V323" s="54">
        <v>0</v>
      </c>
      <c r="W323" s="52" t="s">
        <v>5587</v>
      </c>
    </row>
    <row r="324" spans="1:23" ht="20.100000000000001" customHeight="1" x14ac:dyDescent="0.25">
      <c r="A324" s="50"/>
      <c r="B324" s="50"/>
      <c r="C324" s="51"/>
      <c r="D324" s="51"/>
      <c r="E324" s="52"/>
      <c r="F324" s="52"/>
      <c r="G324" s="52"/>
      <c r="H324" s="52">
        <v>5765</v>
      </c>
      <c r="I324" s="52"/>
      <c r="J324" s="52"/>
      <c r="K324" s="53"/>
      <c r="L324" s="54"/>
      <c r="M324" s="52"/>
      <c r="N324" s="55"/>
      <c r="O324" s="50"/>
      <c r="P324" s="53"/>
      <c r="Q324" s="52"/>
      <c r="R324" s="52"/>
      <c r="S324" s="52"/>
      <c r="T324" s="55"/>
      <c r="U324" s="52" t="str">
        <f t="shared" ca="1" si="4"/>
        <v/>
      </c>
      <c r="V324" s="54">
        <v>0</v>
      </c>
      <c r="W324" s="52" t="s">
        <v>5587</v>
      </c>
    </row>
    <row r="325" spans="1:23" ht="20.100000000000001" customHeight="1" x14ac:dyDescent="0.25">
      <c r="A325" s="50"/>
      <c r="B325" s="50"/>
      <c r="C325" s="51"/>
      <c r="D325" s="51"/>
      <c r="E325" s="52"/>
      <c r="F325" s="52"/>
      <c r="G325" s="52"/>
      <c r="H325" s="52">
        <v>5766</v>
      </c>
      <c r="I325" s="52"/>
      <c r="J325" s="52"/>
      <c r="K325" s="53"/>
      <c r="L325" s="54"/>
      <c r="M325" s="52"/>
      <c r="N325" s="55"/>
      <c r="O325" s="50"/>
      <c r="P325" s="53"/>
      <c r="Q325" s="52"/>
      <c r="R325" s="52"/>
      <c r="S325" s="52"/>
      <c r="T325" s="55"/>
      <c r="U325" s="52" t="str">
        <f t="shared" ref="U325:U388" ca="1" si="5">IF(C325="","",TODAY()-C325)</f>
        <v/>
      </c>
      <c r="V325" s="54">
        <v>0</v>
      </c>
      <c r="W325" s="52" t="s">
        <v>5587</v>
      </c>
    </row>
    <row r="326" spans="1:23" ht="20.100000000000001" customHeight="1" x14ac:dyDescent="0.25">
      <c r="A326" s="50"/>
      <c r="B326" s="50"/>
      <c r="C326" s="51"/>
      <c r="D326" s="51"/>
      <c r="E326" s="52"/>
      <c r="F326" s="52"/>
      <c r="G326" s="52"/>
      <c r="H326" s="52">
        <v>5767</v>
      </c>
      <c r="I326" s="52"/>
      <c r="J326" s="52"/>
      <c r="K326" s="53"/>
      <c r="L326" s="54"/>
      <c r="M326" s="52"/>
      <c r="N326" s="55"/>
      <c r="O326" s="50"/>
      <c r="P326" s="53"/>
      <c r="Q326" s="52"/>
      <c r="R326" s="52"/>
      <c r="S326" s="52"/>
      <c r="T326" s="55"/>
      <c r="U326" s="52" t="str">
        <f t="shared" ca="1" si="5"/>
        <v/>
      </c>
      <c r="V326" s="54">
        <v>0</v>
      </c>
      <c r="W326" s="52" t="s">
        <v>5587</v>
      </c>
    </row>
    <row r="327" spans="1:23" ht="20.100000000000001" customHeight="1" x14ac:dyDescent="0.25">
      <c r="A327" s="50"/>
      <c r="B327" s="50"/>
      <c r="C327" s="51"/>
      <c r="D327" s="51"/>
      <c r="E327" s="52"/>
      <c r="F327" s="52"/>
      <c r="G327" s="52"/>
      <c r="H327" s="52">
        <v>5768</v>
      </c>
      <c r="I327" s="52"/>
      <c r="J327" s="52"/>
      <c r="K327" s="53"/>
      <c r="L327" s="54"/>
      <c r="M327" s="52"/>
      <c r="N327" s="55"/>
      <c r="O327" s="50"/>
      <c r="P327" s="53"/>
      <c r="Q327" s="52"/>
      <c r="R327" s="52"/>
      <c r="S327" s="52"/>
      <c r="T327" s="55"/>
      <c r="U327" s="52" t="str">
        <f t="shared" ca="1" si="5"/>
        <v/>
      </c>
      <c r="V327" s="54">
        <v>0</v>
      </c>
      <c r="W327" s="52" t="s">
        <v>5587</v>
      </c>
    </row>
    <row r="328" spans="1:23" ht="20.100000000000001" customHeight="1" x14ac:dyDescent="0.25">
      <c r="A328" s="50"/>
      <c r="B328" s="50"/>
      <c r="C328" s="51"/>
      <c r="D328" s="51"/>
      <c r="E328" s="52"/>
      <c r="F328" s="52"/>
      <c r="G328" s="52"/>
      <c r="H328" s="52">
        <v>5769</v>
      </c>
      <c r="I328" s="52"/>
      <c r="J328" s="52"/>
      <c r="K328" s="53"/>
      <c r="L328" s="54"/>
      <c r="M328" s="52"/>
      <c r="N328" s="55"/>
      <c r="O328" s="50"/>
      <c r="P328" s="53"/>
      <c r="Q328" s="52"/>
      <c r="R328" s="52"/>
      <c r="S328" s="52"/>
      <c r="T328" s="55"/>
      <c r="U328" s="52" t="str">
        <f t="shared" ca="1" si="5"/>
        <v/>
      </c>
      <c r="V328" s="54">
        <v>0</v>
      </c>
      <c r="W328" s="52" t="s">
        <v>5587</v>
      </c>
    </row>
    <row r="329" spans="1:23" ht="20.100000000000001" customHeight="1" x14ac:dyDescent="0.25">
      <c r="A329" s="50"/>
      <c r="B329" s="50"/>
      <c r="C329" s="51"/>
      <c r="D329" s="51"/>
      <c r="E329" s="52"/>
      <c r="F329" s="52"/>
      <c r="G329" s="52"/>
      <c r="H329" s="52">
        <v>5770</v>
      </c>
      <c r="I329" s="52"/>
      <c r="J329" s="52"/>
      <c r="K329" s="53"/>
      <c r="L329" s="54"/>
      <c r="M329" s="52"/>
      <c r="N329" s="55"/>
      <c r="O329" s="50"/>
      <c r="P329" s="53"/>
      <c r="Q329" s="52"/>
      <c r="R329" s="52"/>
      <c r="S329" s="52"/>
      <c r="T329" s="55"/>
      <c r="U329" s="52" t="str">
        <f t="shared" ca="1" si="5"/>
        <v/>
      </c>
      <c r="V329" s="54">
        <v>0</v>
      </c>
      <c r="W329" s="52" t="s">
        <v>5587</v>
      </c>
    </row>
    <row r="330" spans="1:23" ht="20.100000000000001" customHeight="1" x14ac:dyDescent="0.25">
      <c r="A330" s="50"/>
      <c r="B330" s="50"/>
      <c r="C330" s="51"/>
      <c r="D330" s="51"/>
      <c r="E330" s="52"/>
      <c r="F330" s="52"/>
      <c r="G330" s="52"/>
      <c r="H330" s="52">
        <v>5771</v>
      </c>
      <c r="I330" s="52"/>
      <c r="J330" s="52"/>
      <c r="K330" s="53"/>
      <c r="L330" s="54"/>
      <c r="M330" s="52"/>
      <c r="N330" s="55"/>
      <c r="O330" s="50"/>
      <c r="P330" s="53"/>
      <c r="Q330" s="52"/>
      <c r="R330" s="52"/>
      <c r="S330" s="52"/>
      <c r="T330" s="55"/>
      <c r="U330" s="52" t="str">
        <f t="shared" ca="1" si="5"/>
        <v/>
      </c>
      <c r="V330" s="54">
        <v>0</v>
      </c>
      <c r="W330" s="52" t="s">
        <v>5587</v>
      </c>
    </row>
    <row r="331" spans="1:23" ht="20.100000000000001" customHeight="1" x14ac:dyDescent="0.25">
      <c r="A331" s="50"/>
      <c r="B331" s="50"/>
      <c r="C331" s="51"/>
      <c r="D331" s="51"/>
      <c r="E331" s="52"/>
      <c r="F331" s="52"/>
      <c r="G331" s="52"/>
      <c r="H331" s="52">
        <v>5772</v>
      </c>
      <c r="I331" s="52"/>
      <c r="J331" s="52"/>
      <c r="K331" s="53"/>
      <c r="L331" s="54"/>
      <c r="M331" s="52"/>
      <c r="N331" s="55"/>
      <c r="O331" s="50"/>
      <c r="P331" s="53"/>
      <c r="Q331" s="52"/>
      <c r="R331" s="52"/>
      <c r="S331" s="52"/>
      <c r="T331" s="55"/>
      <c r="U331" s="52" t="str">
        <f t="shared" ca="1" si="5"/>
        <v/>
      </c>
      <c r="V331" s="54">
        <v>0</v>
      </c>
      <c r="W331" s="52" t="s">
        <v>5587</v>
      </c>
    </row>
    <row r="332" spans="1:23" ht="20.100000000000001" customHeight="1" x14ac:dyDescent="0.25">
      <c r="A332" s="50"/>
      <c r="B332" s="50"/>
      <c r="C332" s="51"/>
      <c r="D332" s="51"/>
      <c r="E332" s="52"/>
      <c r="F332" s="52"/>
      <c r="G332" s="52"/>
      <c r="H332" s="52">
        <v>5773</v>
      </c>
      <c r="I332" s="52"/>
      <c r="J332" s="52"/>
      <c r="K332" s="53"/>
      <c r="L332" s="54"/>
      <c r="M332" s="52"/>
      <c r="N332" s="55"/>
      <c r="O332" s="50"/>
      <c r="P332" s="53"/>
      <c r="Q332" s="52"/>
      <c r="R332" s="52"/>
      <c r="S332" s="52"/>
      <c r="T332" s="55"/>
      <c r="U332" s="52" t="str">
        <f t="shared" ca="1" si="5"/>
        <v/>
      </c>
      <c r="V332" s="54">
        <v>0</v>
      </c>
      <c r="W332" s="52" t="s">
        <v>5587</v>
      </c>
    </row>
    <row r="333" spans="1:23" ht="20.100000000000001" customHeight="1" x14ac:dyDescent="0.25">
      <c r="A333" s="50"/>
      <c r="B333" s="50"/>
      <c r="C333" s="51"/>
      <c r="D333" s="51"/>
      <c r="E333" s="52"/>
      <c r="F333" s="52"/>
      <c r="G333" s="52"/>
      <c r="H333" s="52">
        <v>5774</v>
      </c>
      <c r="I333" s="52"/>
      <c r="J333" s="52"/>
      <c r="K333" s="53"/>
      <c r="L333" s="54"/>
      <c r="M333" s="52"/>
      <c r="N333" s="55"/>
      <c r="O333" s="50"/>
      <c r="P333" s="53"/>
      <c r="Q333" s="52"/>
      <c r="R333" s="52"/>
      <c r="S333" s="52"/>
      <c r="T333" s="55"/>
      <c r="U333" s="52" t="str">
        <f t="shared" ca="1" si="5"/>
        <v/>
      </c>
      <c r="V333" s="54">
        <v>0</v>
      </c>
      <c r="W333" s="52" t="s">
        <v>5587</v>
      </c>
    </row>
    <row r="334" spans="1:23" ht="20.100000000000001" customHeight="1" x14ac:dyDescent="0.25">
      <c r="A334" s="50"/>
      <c r="B334" s="50"/>
      <c r="C334" s="51"/>
      <c r="D334" s="51"/>
      <c r="E334" s="52"/>
      <c r="F334" s="52"/>
      <c r="G334" s="52"/>
      <c r="H334" s="52">
        <v>5775</v>
      </c>
      <c r="I334" s="52"/>
      <c r="J334" s="52"/>
      <c r="K334" s="53"/>
      <c r="L334" s="54"/>
      <c r="M334" s="52"/>
      <c r="N334" s="55"/>
      <c r="O334" s="50"/>
      <c r="P334" s="53"/>
      <c r="Q334" s="52"/>
      <c r="R334" s="52"/>
      <c r="S334" s="52"/>
      <c r="T334" s="55"/>
      <c r="U334" s="52" t="str">
        <f t="shared" ca="1" si="5"/>
        <v/>
      </c>
      <c r="V334" s="54">
        <v>0</v>
      </c>
      <c r="W334" s="52" t="s">
        <v>5587</v>
      </c>
    </row>
    <row r="335" spans="1:23" ht="20.100000000000001" customHeight="1" x14ac:dyDescent="0.25">
      <c r="A335" s="50"/>
      <c r="B335" s="50"/>
      <c r="C335" s="51"/>
      <c r="D335" s="51"/>
      <c r="E335" s="52"/>
      <c r="F335" s="52"/>
      <c r="G335" s="52"/>
      <c r="H335" s="52">
        <v>5776</v>
      </c>
      <c r="I335" s="52"/>
      <c r="J335" s="52"/>
      <c r="K335" s="53"/>
      <c r="L335" s="54"/>
      <c r="M335" s="52"/>
      <c r="N335" s="55"/>
      <c r="O335" s="50"/>
      <c r="P335" s="53"/>
      <c r="Q335" s="52"/>
      <c r="R335" s="52"/>
      <c r="S335" s="52"/>
      <c r="T335" s="55"/>
      <c r="U335" s="52" t="str">
        <f t="shared" ca="1" si="5"/>
        <v/>
      </c>
      <c r="V335" s="54">
        <v>0</v>
      </c>
      <c r="W335" s="52" t="s">
        <v>5587</v>
      </c>
    </row>
    <row r="336" spans="1:23" ht="20.100000000000001" customHeight="1" x14ac:dyDescent="0.25">
      <c r="A336" s="50"/>
      <c r="B336" s="50"/>
      <c r="C336" s="51"/>
      <c r="D336" s="51"/>
      <c r="E336" s="52"/>
      <c r="F336" s="52"/>
      <c r="G336" s="52"/>
      <c r="H336" s="52">
        <v>5777</v>
      </c>
      <c r="I336" s="52"/>
      <c r="J336" s="52"/>
      <c r="K336" s="53"/>
      <c r="L336" s="54"/>
      <c r="M336" s="52"/>
      <c r="N336" s="55"/>
      <c r="O336" s="50"/>
      <c r="P336" s="53"/>
      <c r="Q336" s="52"/>
      <c r="R336" s="52"/>
      <c r="S336" s="52"/>
      <c r="T336" s="55"/>
      <c r="U336" s="52" t="str">
        <f t="shared" ca="1" si="5"/>
        <v/>
      </c>
      <c r="V336" s="54">
        <v>0</v>
      </c>
      <c r="W336" s="52" t="s">
        <v>5587</v>
      </c>
    </row>
    <row r="337" spans="1:23" ht="20.100000000000001" customHeight="1" x14ac:dyDescent="0.25">
      <c r="A337" s="50"/>
      <c r="B337" s="50"/>
      <c r="C337" s="51"/>
      <c r="D337" s="51"/>
      <c r="E337" s="52"/>
      <c r="F337" s="52"/>
      <c r="G337" s="52"/>
      <c r="H337" s="52">
        <v>5778</v>
      </c>
      <c r="I337" s="52"/>
      <c r="J337" s="52"/>
      <c r="K337" s="53"/>
      <c r="L337" s="54"/>
      <c r="M337" s="52"/>
      <c r="N337" s="55"/>
      <c r="O337" s="50"/>
      <c r="P337" s="53"/>
      <c r="Q337" s="52"/>
      <c r="R337" s="52"/>
      <c r="S337" s="52"/>
      <c r="T337" s="55"/>
      <c r="U337" s="52" t="str">
        <f t="shared" ca="1" si="5"/>
        <v/>
      </c>
      <c r="V337" s="54">
        <v>0</v>
      </c>
      <c r="W337" s="52" t="s">
        <v>5587</v>
      </c>
    </row>
    <row r="338" spans="1:23" ht="20.100000000000001" customHeight="1" x14ac:dyDescent="0.25">
      <c r="A338" s="50"/>
      <c r="B338" s="50"/>
      <c r="C338" s="51"/>
      <c r="D338" s="51"/>
      <c r="E338" s="52"/>
      <c r="F338" s="52"/>
      <c r="G338" s="52"/>
      <c r="H338" s="52">
        <v>5779</v>
      </c>
      <c r="I338" s="52"/>
      <c r="J338" s="52"/>
      <c r="K338" s="53"/>
      <c r="L338" s="54"/>
      <c r="M338" s="52"/>
      <c r="N338" s="55"/>
      <c r="O338" s="50"/>
      <c r="P338" s="53"/>
      <c r="Q338" s="52"/>
      <c r="R338" s="52"/>
      <c r="S338" s="52"/>
      <c r="T338" s="55"/>
      <c r="U338" s="52" t="str">
        <f t="shared" ca="1" si="5"/>
        <v/>
      </c>
      <c r="V338" s="54">
        <v>0</v>
      </c>
      <c r="W338" s="52" t="s">
        <v>5587</v>
      </c>
    </row>
    <row r="339" spans="1:23" ht="20.100000000000001" customHeight="1" x14ac:dyDescent="0.25">
      <c r="A339" s="50"/>
      <c r="B339" s="50"/>
      <c r="C339" s="51"/>
      <c r="D339" s="51"/>
      <c r="E339" s="52"/>
      <c r="F339" s="52"/>
      <c r="G339" s="52"/>
      <c r="H339" s="52">
        <v>5780</v>
      </c>
      <c r="I339" s="52"/>
      <c r="J339" s="52"/>
      <c r="K339" s="53"/>
      <c r="L339" s="54"/>
      <c r="M339" s="52"/>
      <c r="N339" s="55"/>
      <c r="O339" s="50"/>
      <c r="P339" s="53"/>
      <c r="Q339" s="52"/>
      <c r="R339" s="52"/>
      <c r="S339" s="52"/>
      <c r="T339" s="55"/>
      <c r="U339" s="52" t="str">
        <f t="shared" ca="1" si="5"/>
        <v/>
      </c>
      <c r="V339" s="54">
        <v>0</v>
      </c>
      <c r="W339" s="52" t="s">
        <v>5587</v>
      </c>
    </row>
    <row r="340" spans="1:23" ht="20.100000000000001" customHeight="1" x14ac:dyDescent="0.25">
      <c r="A340" s="50"/>
      <c r="B340" s="50"/>
      <c r="C340" s="51"/>
      <c r="D340" s="51"/>
      <c r="E340" s="52"/>
      <c r="F340" s="52"/>
      <c r="G340" s="52"/>
      <c r="H340" s="52">
        <v>5781</v>
      </c>
      <c r="I340" s="52"/>
      <c r="J340" s="52"/>
      <c r="K340" s="53"/>
      <c r="L340" s="54"/>
      <c r="M340" s="52"/>
      <c r="N340" s="55"/>
      <c r="O340" s="50"/>
      <c r="P340" s="53"/>
      <c r="Q340" s="52"/>
      <c r="R340" s="52"/>
      <c r="S340" s="52"/>
      <c r="T340" s="55"/>
      <c r="U340" s="52" t="str">
        <f t="shared" ca="1" si="5"/>
        <v/>
      </c>
      <c r="V340" s="54">
        <v>0</v>
      </c>
      <c r="W340" s="52" t="s">
        <v>5587</v>
      </c>
    </row>
    <row r="341" spans="1:23" ht="20.100000000000001" customHeight="1" x14ac:dyDescent="0.25">
      <c r="A341" s="50"/>
      <c r="B341" s="50"/>
      <c r="C341" s="51"/>
      <c r="D341" s="51"/>
      <c r="E341" s="52"/>
      <c r="F341" s="52"/>
      <c r="G341" s="52"/>
      <c r="H341" s="52">
        <v>5782</v>
      </c>
      <c r="I341" s="52"/>
      <c r="J341" s="52"/>
      <c r="K341" s="53"/>
      <c r="L341" s="54"/>
      <c r="M341" s="52"/>
      <c r="N341" s="55"/>
      <c r="O341" s="50"/>
      <c r="P341" s="53"/>
      <c r="Q341" s="52"/>
      <c r="R341" s="52"/>
      <c r="S341" s="52"/>
      <c r="T341" s="55"/>
      <c r="U341" s="52" t="str">
        <f t="shared" ca="1" si="5"/>
        <v/>
      </c>
      <c r="V341" s="54">
        <v>0</v>
      </c>
      <c r="W341" s="52" t="s">
        <v>5587</v>
      </c>
    </row>
    <row r="342" spans="1:23" ht="20.100000000000001" customHeight="1" x14ac:dyDescent="0.25">
      <c r="A342" s="50"/>
      <c r="B342" s="50"/>
      <c r="C342" s="51"/>
      <c r="D342" s="51"/>
      <c r="E342" s="52"/>
      <c r="F342" s="52"/>
      <c r="G342" s="52"/>
      <c r="H342" s="52">
        <v>5783</v>
      </c>
      <c r="I342" s="52"/>
      <c r="J342" s="52"/>
      <c r="K342" s="53"/>
      <c r="L342" s="54"/>
      <c r="M342" s="52"/>
      <c r="N342" s="55"/>
      <c r="O342" s="50"/>
      <c r="P342" s="53"/>
      <c r="Q342" s="52"/>
      <c r="R342" s="52"/>
      <c r="S342" s="52"/>
      <c r="T342" s="55"/>
      <c r="U342" s="52" t="str">
        <f t="shared" ca="1" si="5"/>
        <v/>
      </c>
      <c r="V342" s="54">
        <v>0</v>
      </c>
      <c r="W342" s="52" t="s">
        <v>5587</v>
      </c>
    </row>
    <row r="343" spans="1:23" ht="20.100000000000001" customHeight="1" x14ac:dyDescent="0.25">
      <c r="A343" s="50"/>
      <c r="B343" s="50"/>
      <c r="C343" s="51"/>
      <c r="D343" s="51"/>
      <c r="E343" s="52"/>
      <c r="F343" s="52"/>
      <c r="G343" s="52"/>
      <c r="H343" s="52">
        <v>5784</v>
      </c>
      <c r="I343" s="52"/>
      <c r="J343" s="52"/>
      <c r="K343" s="53"/>
      <c r="L343" s="54"/>
      <c r="M343" s="52"/>
      <c r="N343" s="55"/>
      <c r="O343" s="50"/>
      <c r="P343" s="53"/>
      <c r="Q343" s="52"/>
      <c r="R343" s="52"/>
      <c r="S343" s="52"/>
      <c r="T343" s="55"/>
      <c r="U343" s="52" t="str">
        <f t="shared" ca="1" si="5"/>
        <v/>
      </c>
      <c r="V343" s="54">
        <v>0</v>
      </c>
      <c r="W343" s="52" t="s">
        <v>5587</v>
      </c>
    </row>
    <row r="344" spans="1:23" ht="20.100000000000001" customHeight="1" x14ac:dyDescent="0.25">
      <c r="A344" s="50"/>
      <c r="B344" s="50"/>
      <c r="C344" s="51"/>
      <c r="D344" s="51"/>
      <c r="E344" s="52"/>
      <c r="F344" s="52"/>
      <c r="G344" s="52"/>
      <c r="H344" s="52">
        <v>5785</v>
      </c>
      <c r="I344" s="52"/>
      <c r="J344" s="52"/>
      <c r="K344" s="53"/>
      <c r="L344" s="54"/>
      <c r="M344" s="52"/>
      <c r="N344" s="55"/>
      <c r="O344" s="50"/>
      <c r="P344" s="53"/>
      <c r="Q344" s="52"/>
      <c r="R344" s="52"/>
      <c r="S344" s="52"/>
      <c r="T344" s="55"/>
      <c r="U344" s="52" t="str">
        <f t="shared" ca="1" si="5"/>
        <v/>
      </c>
      <c r="V344" s="54">
        <v>0</v>
      </c>
      <c r="W344" s="52" t="s">
        <v>5587</v>
      </c>
    </row>
    <row r="345" spans="1:23" ht="20.100000000000001" customHeight="1" x14ac:dyDescent="0.25">
      <c r="A345" s="50"/>
      <c r="B345" s="50"/>
      <c r="C345" s="51"/>
      <c r="D345" s="51"/>
      <c r="E345" s="52"/>
      <c r="F345" s="52"/>
      <c r="G345" s="52"/>
      <c r="H345" s="52">
        <v>5786</v>
      </c>
      <c r="I345" s="52"/>
      <c r="J345" s="52"/>
      <c r="K345" s="53"/>
      <c r="L345" s="54"/>
      <c r="M345" s="52"/>
      <c r="N345" s="55"/>
      <c r="O345" s="50"/>
      <c r="P345" s="53"/>
      <c r="Q345" s="52"/>
      <c r="R345" s="52"/>
      <c r="S345" s="52"/>
      <c r="T345" s="55"/>
      <c r="U345" s="52" t="str">
        <f t="shared" ca="1" si="5"/>
        <v/>
      </c>
      <c r="V345" s="54">
        <v>0</v>
      </c>
      <c r="W345" s="52" t="s">
        <v>5587</v>
      </c>
    </row>
    <row r="346" spans="1:23" ht="20.100000000000001" customHeight="1" x14ac:dyDescent="0.25">
      <c r="A346" s="50"/>
      <c r="B346" s="50"/>
      <c r="C346" s="51"/>
      <c r="D346" s="51"/>
      <c r="E346" s="52"/>
      <c r="F346" s="52"/>
      <c r="G346" s="52"/>
      <c r="H346" s="52">
        <v>5787</v>
      </c>
      <c r="I346" s="52"/>
      <c r="J346" s="52"/>
      <c r="K346" s="53"/>
      <c r="L346" s="54"/>
      <c r="M346" s="52"/>
      <c r="N346" s="55"/>
      <c r="O346" s="50"/>
      <c r="P346" s="53"/>
      <c r="Q346" s="52"/>
      <c r="R346" s="52"/>
      <c r="S346" s="52"/>
      <c r="T346" s="55"/>
      <c r="U346" s="52" t="str">
        <f t="shared" ca="1" si="5"/>
        <v/>
      </c>
      <c r="V346" s="54">
        <v>0</v>
      </c>
      <c r="W346" s="52" t="s">
        <v>5587</v>
      </c>
    </row>
    <row r="347" spans="1:23" ht="20.100000000000001" customHeight="1" x14ac:dyDescent="0.25">
      <c r="A347" s="50"/>
      <c r="B347" s="50"/>
      <c r="C347" s="51"/>
      <c r="D347" s="51"/>
      <c r="E347" s="52"/>
      <c r="F347" s="52"/>
      <c r="G347" s="52"/>
      <c r="H347" s="52">
        <v>5788</v>
      </c>
      <c r="I347" s="52"/>
      <c r="J347" s="52"/>
      <c r="K347" s="53"/>
      <c r="L347" s="54"/>
      <c r="M347" s="52"/>
      <c r="N347" s="55"/>
      <c r="O347" s="50"/>
      <c r="P347" s="53"/>
      <c r="Q347" s="52"/>
      <c r="R347" s="52"/>
      <c r="S347" s="52"/>
      <c r="T347" s="55"/>
      <c r="U347" s="52" t="str">
        <f t="shared" ca="1" si="5"/>
        <v/>
      </c>
      <c r="V347" s="54">
        <v>0</v>
      </c>
      <c r="W347" s="52" t="s">
        <v>5587</v>
      </c>
    </row>
    <row r="348" spans="1:23" ht="20.100000000000001" customHeight="1" x14ac:dyDescent="0.25">
      <c r="A348" s="50"/>
      <c r="B348" s="50"/>
      <c r="C348" s="51"/>
      <c r="D348" s="51"/>
      <c r="E348" s="52"/>
      <c r="F348" s="52"/>
      <c r="G348" s="52"/>
      <c r="H348" s="52">
        <v>5789</v>
      </c>
      <c r="I348" s="52"/>
      <c r="J348" s="52"/>
      <c r="K348" s="53"/>
      <c r="L348" s="54"/>
      <c r="M348" s="52"/>
      <c r="N348" s="55"/>
      <c r="O348" s="50"/>
      <c r="P348" s="53"/>
      <c r="Q348" s="52"/>
      <c r="R348" s="52"/>
      <c r="S348" s="52"/>
      <c r="T348" s="55"/>
      <c r="U348" s="52" t="str">
        <f t="shared" ca="1" si="5"/>
        <v/>
      </c>
      <c r="V348" s="54">
        <v>0</v>
      </c>
      <c r="W348" s="52" t="s">
        <v>5587</v>
      </c>
    </row>
    <row r="349" spans="1:23" ht="20.100000000000001" customHeight="1" x14ac:dyDescent="0.25">
      <c r="A349" s="50"/>
      <c r="B349" s="50"/>
      <c r="C349" s="51"/>
      <c r="D349" s="51"/>
      <c r="E349" s="52"/>
      <c r="F349" s="52"/>
      <c r="G349" s="52"/>
      <c r="H349" s="52">
        <v>5790</v>
      </c>
      <c r="I349" s="52"/>
      <c r="J349" s="52"/>
      <c r="K349" s="53"/>
      <c r="L349" s="54"/>
      <c r="M349" s="52"/>
      <c r="N349" s="55"/>
      <c r="O349" s="50"/>
      <c r="P349" s="53"/>
      <c r="Q349" s="52"/>
      <c r="R349" s="52"/>
      <c r="S349" s="52"/>
      <c r="T349" s="55"/>
      <c r="U349" s="52" t="str">
        <f t="shared" ca="1" si="5"/>
        <v/>
      </c>
      <c r="V349" s="54">
        <v>0</v>
      </c>
      <c r="W349" s="52" t="s">
        <v>5587</v>
      </c>
    </row>
    <row r="350" spans="1:23" ht="20.100000000000001" customHeight="1" x14ac:dyDescent="0.25">
      <c r="A350" s="50"/>
      <c r="B350" s="50"/>
      <c r="C350" s="51"/>
      <c r="D350" s="51"/>
      <c r="E350" s="52"/>
      <c r="F350" s="52"/>
      <c r="G350" s="52"/>
      <c r="H350" s="52">
        <v>5791</v>
      </c>
      <c r="I350" s="52"/>
      <c r="J350" s="52"/>
      <c r="K350" s="53"/>
      <c r="L350" s="54"/>
      <c r="M350" s="52"/>
      <c r="N350" s="55"/>
      <c r="O350" s="50"/>
      <c r="P350" s="53"/>
      <c r="Q350" s="52"/>
      <c r="R350" s="52"/>
      <c r="S350" s="52"/>
      <c r="T350" s="55"/>
      <c r="U350" s="52" t="str">
        <f t="shared" ca="1" si="5"/>
        <v/>
      </c>
      <c r="V350" s="54">
        <v>0</v>
      </c>
      <c r="W350" s="52" t="s">
        <v>5587</v>
      </c>
    </row>
    <row r="351" spans="1:23" ht="20.100000000000001" customHeight="1" x14ac:dyDescent="0.25">
      <c r="A351" s="50"/>
      <c r="B351" s="50"/>
      <c r="C351" s="51"/>
      <c r="D351" s="51"/>
      <c r="E351" s="52"/>
      <c r="F351" s="52"/>
      <c r="G351" s="52"/>
      <c r="H351" s="52">
        <v>5792</v>
      </c>
      <c r="I351" s="52"/>
      <c r="J351" s="52"/>
      <c r="K351" s="53"/>
      <c r="L351" s="54"/>
      <c r="M351" s="52"/>
      <c r="N351" s="55"/>
      <c r="O351" s="50"/>
      <c r="P351" s="53"/>
      <c r="Q351" s="52"/>
      <c r="R351" s="52"/>
      <c r="S351" s="52"/>
      <c r="T351" s="55"/>
      <c r="U351" s="52" t="str">
        <f t="shared" ca="1" si="5"/>
        <v/>
      </c>
      <c r="V351" s="54">
        <v>0</v>
      </c>
      <c r="W351" s="52" t="s">
        <v>5587</v>
      </c>
    </row>
    <row r="352" spans="1:23" ht="20.100000000000001" customHeight="1" x14ac:dyDescent="0.25">
      <c r="A352" s="50"/>
      <c r="B352" s="50"/>
      <c r="C352" s="51"/>
      <c r="D352" s="51"/>
      <c r="E352" s="52"/>
      <c r="F352" s="52"/>
      <c r="G352" s="52"/>
      <c r="H352" s="52">
        <v>5793</v>
      </c>
      <c r="I352" s="52"/>
      <c r="J352" s="52"/>
      <c r="K352" s="53"/>
      <c r="L352" s="54"/>
      <c r="M352" s="52"/>
      <c r="N352" s="55"/>
      <c r="O352" s="50"/>
      <c r="P352" s="53"/>
      <c r="Q352" s="52"/>
      <c r="R352" s="52"/>
      <c r="S352" s="52"/>
      <c r="T352" s="55"/>
      <c r="U352" s="52" t="str">
        <f t="shared" ca="1" si="5"/>
        <v/>
      </c>
      <c r="V352" s="54">
        <v>0</v>
      </c>
      <c r="W352" s="52" t="s">
        <v>5587</v>
      </c>
    </row>
    <row r="353" spans="1:23" ht="20.100000000000001" customHeight="1" x14ac:dyDescent="0.25">
      <c r="A353" s="50"/>
      <c r="B353" s="50"/>
      <c r="C353" s="51"/>
      <c r="D353" s="51"/>
      <c r="E353" s="52"/>
      <c r="F353" s="52"/>
      <c r="G353" s="52"/>
      <c r="H353" s="52">
        <v>5794</v>
      </c>
      <c r="I353" s="52"/>
      <c r="J353" s="52"/>
      <c r="K353" s="53"/>
      <c r="L353" s="54"/>
      <c r="M353" s="52"/>
      <c r="N353" s="55"/>
      <c r="O353" s="50"/>
      <c r="P353" s="53"/>
      <c r="Q353" s="52"/>
      <c r="R353" s="52"/>
      <c r="S353" s="52"/>
      <c r="T353" s="55"/>
      <c r="U353" s="52" t="str">
        <f t="shared" ca="1" si="5"/>
        <v/>
      </c>
      <c r="V353" s="54">
        <v>0</v>
      </c>
      <c r="W353" s="52" t="s">
        <v>5587</v>
      </c>
    </row>
    <row r="354" spans="1:23" ht="20.100000000000001" customHeight="1" x14ac:dyDescent="0.25">
      <c r="A354" s="50"/>
      <c r="B354" s="50"/>
      <c r="C354" s="51"/>
      <c r="D354" s="51"/>
      <c r="E354" s="52"/>
      <c r="F354" s="52"/>
      <c r="G354" s="52"/>
      <c r="H354" s="52">
        <v>5795</v>
      </c>
      <c r="I354" s="52"/>
      <c r="J354" s="52"/>
      <c r="K354" s="53"/>
      <c r="L354" s="54"/>
      <c r="M354" s="52"/>
      <c r="N354" s="55"/>
      <c r="O354" s="50"/>
      <c r="P354" s="53"/>
      <c r="Q354" s="52"/>
      <c r="R354" s="52"/>
      <c r="S354" s="52"/>
      <c r="T354" s="55"/>
      <c r="U354" s="52" t="str">
        <f t="shared" ca="1" si="5"/>
        <v/>
      </c>
      <c r="V354" s="54">
        <v>0</v>
      </c>
      <c r="W354" s="52" t="s">
        <v>5587</v>
      </c>
    </row>
    <row r="355" spans="1:23" ht="20.100000000000001" customHeight="1" x14ac:dyDescent="0.25">
      <c r="A355" s="50"/>
      <c r="B355" s="50"/>
      <c r="C355" s="51"/>
      <c r="D355" s="51"/>
      <c r="E355" s="52"/>
      <c r="F355" s="52"/>
      <c r="G355" s="52"/>
      <c r="H355" s="52">
        <v>5796</v>
      </c>
      <c r="I355" s="52"/>
      <c r="J355" s="52"/>
      <c r="K355" s="53"/>
      <c r="L355" s="54"/>
      <c r="M355" s="52"/>
      <c r="N355" s="55"/>
      <c r="O355" s="50"/>
      <c r="P355" s="53"/>
      <c r="Q355" s="52"/>
      <c r="R355" s="52"/>
      <c r="S355" s="52"/>
      <c r="T355" s="55"/>
      <c r="U355" s="52" t="str">
        <f t="shared" ca="1" si="5"/>
        <v/>
      </c>
      <c r="V355" s="54">
        <v>0</v>
      </c>
      <c r="W355" s="52" t="s">
        <v>5587</v>
      </c>
    </row>
    <row r="356" spans="1:23" ht="20.100000000000001" customHeight="1" x14ac:dyDescent="0.25">
      <c r="A356" s="50"/>
      <c r="B356" s="50"/>
      <c r="C356" s="51"/>
      <c r="D356" s="51"/>
      <c r="E356" s="52"/>
      <c r="F356" s="52"/>
      <c r="G356" s="52"/>
      <c r="H356" s="52">
        <v>5797</v>
      </c>
      <c r="I356" s="52"/>
      <c r="J356" s="52"/>
      <c r="K356" s="53"/>
      <c r="L356" s="54"/>
      <c r="M356" s="52"/>
      <c r="N356" s="55"/>
      <c r="O356" s="50"/>
      <c r="P356" s="53"/>
      <c r="Q356" s="52"/>
      <c r="R356" s="52"/>
      <c r="S356" s="52"/>
      <c r="T356" s="55"/>
      <c r="U356" s="52" t="str">
        <f t="shared" ca="1" si="5"/>
        <v/>
      </c>
      <c r="V356" s="54">
        <v>0</v>
      </c>
      <c r="W356" s="52" t="s">
        <v>5587</v>
      </c>
    </row>
    <row r="357" spans="1:23" ht="20.100000000000001" customHeight="1" x14ac:dyDescent="0.25">
      <c r="A357" s="50"/>
      <c r="B357" s="50"/>
      <c r="C357" s="51"/>
      <c r="D357" s="51"/>
      <c r="E357" s="52"/>
      <c r="F357" s="52"/>
      <c r="G357" s="52"/>
      <c r="H357" s="52">
        <v>5798</v>
      </c>
      <c r="I357" s="52"/>
      <c r="J357" s="52"/>
      <c r="K357" s="53"/>
      <c r="L357" s="54"/>
      <c r="M357" s="52"/>
      <c r="N357" s="55"/>
      <c r="O357" s="50"/>
      <c r="P357" s="53"/>
      <c r="Q357" s="52"/>
      <c r="R357" s="52"/>
      <c r="S357" s="52"/>
      <c r="T357" s="55"/>
      <c r="U357" s="52" t="str">
        <f t="shared" ca="1" si="5"/>
        <v/>
      </c>
      <c r="V357" s="54">
        <v>0</v>
      </c>
      <c r="W357" s="52" t="s">
        <v>5587</v>
      </c>
    </row>
    <row r="358" spans="1:23" ht="20.100000000000001" customHeight="1" x14ac:dyDescent="0.25">
      <c r="A358" s="50"/>
      <c r="B358" s="50"/>
      <c r="C358" s="51"/>
      <c r="D358" s="51"/>
      <c r="E358" s="52"/>
      <c r="F358" s="52"/>
      <c r="G358" s="52"/>
      <c r="H358" s="52">
        <v>5799</v>
      </c>
      <c r="I358" s="52"/>
      <c r="J358" s="52"/>
      <c r="K358" s="53"/>
      <c r="L358" s="54"/>
      <c r="M358" s="52"/>
      <c r="N358" s="55"/>
      <c r="O358" s="50"/>
      <c r="P358" s="53"/>
      <c r="Q358" s="52"/>
      <c r="R358" s="52"/>
      <c r="S358" s="52"/>
      <c r="T358" s="55"/>
      <c r="U358" s="52" t="str">
        <f t="shared" ca="1" si="5"/>
        <v/>
      </c>
      <c r="V358" s="54">
        <v>0</v>
      </c>
      <c r="W358" s="52" t="s">
        <v>5587</v>
      </c>
    </row>
    <row r="359" spans="1:23" ht="20.100000000000001" customHeight="1" x14ac:dyDescent="0.25">
      <c r="A359" s="50"/>
      <c r="B359" s="50"/>
      <c r="C359" s="51"/>
      <c r="D359" s="51"/>
      <c r="E359" s="52"/>
      <c r="F359" s="52"/>
      <c r="G359" s="52"/>
      <c r="H359" s="52">
        <v>5800</v>
      </c>
      <c r="I359" s="52"/>
      <c r="J359" s="52"/>
      <c r="K359" s="53"/>
      <c r="L359" s="54"/>
      <c r="M359" s="52"/>
      <c r="N359" s="55"/>
      <c r="O359" s="50"/>
      <c r="P359" s="53"/>
      <c r="Q359" s="52"/>
      <c r="R359" s="52"/>
      <c r="S359" s="52"/>
      <c r="T359" s="55"/>
      <c r="U359" s="52" t="str">
        <f t="shared" ca="1" si="5"/>
        <v/>
      </c>
      <c r="V359" s="54">
        <v>0</v>
      </c>
      <c r="W359" s="52" t="s">
        <v>5587</v>
      </c>
    </row>
    <row r="360" spans="1:23" ht="20.100000000000001" customHeight="1" x14ac:dyDescent="0.25">
      <c r="A360" s="50"/>
      <c r="B360" s="50"/>
      <c r="C360" s="51"/>
      <c r="D360" s="51"/>
      <c r="E360" s="52"/>
      <c r="F360" s="52"/>
      <c r="G360" s="52"/>
      <c r="H360" s="52">
        <v>5801</v>
      </c>
      <c r="I360" s="52"/>
      <c r="J360" s="52"/>
      <c r="K360" s="53"/>
      <c r="L360" s="54"/>
      <c r="M360" s="52"/>
      <c r="N360" s="55"/>
      <c r="O360" s="50"/>
      <c r="P360" s="53"/>
      <c r="Q360" s="52"/>
      <c r="R360" s="52"/>
      <c r="S360" s="52"/>
      <c r="T360" s="55"/>
      <c r="U360" s="52" t="str">
        <f t="shared" ca="1" si="5"/>
        <v/>
      </c>
      <c r="V360" s="54">
        <v>0</v>
      </c>
      <c r="W360" s="52" t="s">
        <v>5587</v>
      </c>
    </row>
    <row r="361" spans="1:23" ht="20.100000000000001" customHeight="1" x14ac:dyDescent="0.25">
      <c r="A361" s="50"/>
      <c r="B361" s="50"/>
      <c r="C361" s="51"/>
      <c r="D361" s="51"/>
      <c r="E361" s="52"/>
      <c r="F361" s="52"/>
      <c r="G361" s="52"/>
      <c r="H361" s="52">
        <v>5802</v>
      </c>
      <c r="I361" s="52"/>
      <c r="J361" s="52"/>
      <c r="K361" s="53"/>
      <c r="L361" s="54"/>
      <c r="M361" s="52"/>
      <c r="N361" s="55"/>
      <c r="O361" s="50"/>
      <c r="P361" s="53"/>
      <c r="Q361" s="52"/>
      <c r="R361" s="52"/>
      <c r="S361" s="52"/>
      <c r="T361" s="55"/>
      <c r="U361" s="52" t="str">
        <f t="shared" ca="1" si="5"/>
        <v/>
      </c>
      <c r="V361" s="54">
        <v>0</v>
      </c>
      <c r="W361" s="52" t="s">
        <v>5587</v>
      </c>
    </row>
    <row r="362" spans="1:23" ht="20.100000000000001" customHeight="1" x14ac:dyDescent="0.25">
      <c r="A362" s="50"/>
      <c r="B362" s="50"/>
      <c r="C362" s="51"/>
      <c r="D362" s="51"/>
      <c r="E362" s="52"/>
      <c r="F362" s="52"/>
      <c r="G362" s="52"/>
      <c r="H362" s="52">
        <v>5803</v>
      </c>
      <c r="I362" s="52"/>
      <c r="J362" s="52"/>
      <c r="K362" s="53"/>
      <c r="L362" s="54"/>
      <c r="M362" s="52"/>
      <c r="N362" s="55"/>
      <c r="O362" s="50"/>
      <c r="P362" s="53"/>
      <c r="Q362" s="52"/>
      <c r="R362" s="52"/>
      <c r="S362" s="52"/>
      <c r="T362" s="55"/>
      <c r="U362" s="52" t="str">
        <f t="shared" ca="1" si="5"/>
        <v/>
      </c>
      <c r="V362" s="54">
        <v>0</v>
      </c>
      <c r="W362" s="52" t="s">
        <v>5587</v>
      </c>
    </row>
    <row r="363" spans="1:23" ht="20.100000000000001" customHeight="1" x14ac:dyDescent="0.25">
      <c r="A363" s="50"/>
      <c r="B363" s="50"/>
      <c r="C363" s="51"/>
      <c r="D363" s="51"/>
      <c r="E363" s="52"/>
      <c r="F363" s="52"/>
      <c r="G363" s="52"/>
      <c r="H363" s="52">
        <v>5804</v>
      </c>
      <c r="I363" s="52"/>
      <c r="J363" s="52"/>
      <c r="K363" s="53"/>
      <c r="L363" s="54"/>
      <c r="M363" s="52"/>
      <c r="N363" s="55"/>
      <c r="O363" s="50"/>
      <c r="P363" s="53"/>
      <c r="Q363" s="52"/>
      <c r="R363" s="52"/>
      <c r="S363" s="52"/>
      <c r="T363" s="55"/>
      <c r="U363" s="52" t="str">
        <f t="shared" ca="1" si="5"/>
        <v/>
      </c>
      <c r="V363" s="54">
        <v>0</v>
      </c>
      <c r="W363" s="52" t="s">
        <v>5587</v>
      </c>
    </row>
    <row r="364" spans="1:23" ht="20.100000000000001" customHeight="1" x14ac:dyDescent="0.25">
      <c r="A364" s="50"/>
      <c r="B364" s="50"/>
      <c r="C364" s="51"/>
      <c r="D364" s="51"/>
      <c r="E364" s="52"/>
      <c r="F364" s="52"/>
      <c r="G364" s="52"/>
      <c r="H364" s="52">
        <v>5805</v>
      </c>
      <c r="I364" s="52"/>
      <c r="J364" s="52"/>
      <c r="K364" s="53"/>
      <c r="L364" s="54"/>
      <c r="M364" s="52"/>
      <c r="N364" s="55"/>
      <c r="O364" s="50"/>
      <c r="P364" s="53"/>
      <c r="Q364" s="52"/>
      <c r="R364" s="52"/>
      <c r="S364" s="52"/>
      <c r="T364" s="55"/>
      <c r="U364" s="52" t="str">
        <f t="shared" ca="1" si="5"/>
        <v/>
      </c>
      <c r="V364" s="54">
        <v>0</v>
      </c>
      <c r="W364" s="52" t="s">
        <v>5587</v>
      </c>
    </row>
    <row r="365" spans="1:23" ht="20.100000000000001" customHeight="1" x14ac:dyDescent="0.25">
      <c r="A365" s="50"/>
      <c r="B365" s="50"/>
      <c r="C365" s="51"/>
      <c r="D365" s="51"/>
      <c r="E365" s="52"/>
      <c r="F365" s="52"/>
      <c r="G365" s="52"/>
      <c r="H365" s="52">
        <v>5806</v>
      </c>
      <c r="I365" s="52"/>
      <c r="J365" s="52"/>
      <c r="K365" s="53"/>
      <c r="L365" s="54"/>
      <c r="M365" s="52"/>
      <c r="N365" s="55"/>
      <c r="O365" s="50"/>
      <c r="P365" s="53"/>
      <c r="Q365" s="52"/>
      <c r="R365" s="52"/>
      <c r="S365" s="52"/>
      <c r="T365" s="55"/>
      <c r="U365" s="52" t="str">
        <f t="shared" ca="1" si="5"/>
        <v/>
      </c>
      <c r="V365" s="54">
        <v>0</v>
      </c>
      <c r="W365" s="52" t="s">
        <v>5587</v>
      </c>
    </row>
    <row r="366" spans="1:23" ht="20.100000000000001" customHeight="1" x14ac:dyDescent="0.25">
      <c r="A366" s="50"/>
      <c r="B366" s="50"/>
      <c r="C366" s="51"/>
      <c r="D366" s="51"/>
      <c r="E366" s="52"/>
      <c r="F366" s="52"/>
      <c r="G366" s="52"/>
      <c r="H366" s="52">
        <v>5807</v>
      </c>
      <c r="I366" s="52"/>
      <c r="J366" s="52"/>
      <c r="K366" s="53"/>
      <c r="L366" s="54"/>
      <c r="M366" s="52"/>
      <c r="N366" s="55"/>
      <c r="O366" s="50"/>
      <c r="P366" s="53"/>
      <c r="Q366" s="52"/>
      <c r="R366" s="52"/>
      <c r="S366" s="52"/>
      <c r="T366" s="55"/>
      <c r="U366" s="52" t="str">
        <f t="shared" ca="1" si="5"/>
        <v/>
      </c>
      <c r="V366" s="54">
        <v>0</v>
      </c>
      <c r="W366" s="52" t="s">
        <v>5587</v>
      </c>
    </row>
    <row r="367" spans="1:23" ht="20.100000000000001" customHeight="1" x14ac:dyDescent="0.25">
      <c r="A367" s="50"/>
      <c r="B367" s="50"/>
      <c r="C367" s="51"/>
      <c r="D367" s="51"/>
      <c r="E367" s="52"/>
      <c r="F367" s="52"/>
      <c r="G367" s="52"/>
      <c r="H367" s="52">
        <v>5808</v>
      </c>
      <c r="I367" s="52"/>
      <c r="J367" s="52"/>
      <c r="K367" s="53"/>
      <c r="L367" s="54"/>
      <c r="M367" s="52"/>
      <c r="N367" s="55"/>
      <c r="O367" s="50"/>
      <c r="P367" s="53"/>
      <c r="Q367" s="52"/>
      <c r="R367" s="52"/>
      <c r="S367" s="52"/>
      <c r="T367" s="55"/>
      <c r="U367" s="52" t="str">
        <f t="shared" ca="1" si="5"/>
        <v/>
      </c>
      <c r="V367" s="54">
        <v>0</v>
      </c>
      <c r="W367" s="52" t="s">
        <v>5587</v>
      </c>
    </row>
    <row r="368" spans="1:23" ht="20.100000000000001" customHeight="1" x14ac:dyDescent="0.25">
      <c r="A368" s="50"/>
      <c r="B368" s="50"/>
      <c r="C368" s="51"/>
      <c r="D368" s="51"/>
      <c r="E368" s="52"/>
      <c r="F368" s="52"/>
      <c r="G368" s="52"/>
      <c r="H368" s="52">
        <v>5809</v>
      </c>
      <c r="I368" s="52"/>
      <c r="J368" s="52"/>
      <c r="K368" s="53"/>
      <c r="L368" s="54"/>
      <c r="M368" s="52"/>
      <c r="N368" s="55"/>
      <c r="O368" s="50"/>
      <c r="P368" s="53"/>
      <c r="Q368" s="52"/>
      <c r="R368" s="52"/>
      <c r="S368" s="52"/>
      <c r="T368" s="55"/>
      <c r="U368" s="52" t="str">
        <f t="shared" ca="1" si="5"/>
        <v/>
      </c>
      <c r="V368" s="54">
        <v>0</v>
      </c>
      <c r="W368" s="52" t="s">
        <v>5587</v>
      </c>
    </row>
    <row r="369" spans="1:23" ht="20.100000000000001" customHeight="1" x14ac:dyDescent="0.25">
      <c r="A369" s="50"/>
      <c r="B369" s="50"/>
      <c r="C369" s="51"/>
      <c r="D369" s="51"/>
      <c r="E369" s="52"/>
      <c r="F369" s="52"/>
      <c r="G369" s="52"/>
      <c r="H369" s="52">
        <v>5810</v>
      </c>
      <c r="I369" s="52"/>
      <c r="J369" s="52"/>
      <c r="K369" s="53"/>
      <c r="L369" s="54"/>
      <c r="M369" s="52"/>
      <c r="N369" s="55"/>
      <c r="O369" s="50"/>
      <c r="P369" s="53"/>
      <c r="Q369" s="52"/>
      <c r="R369" s="52"/>
      <c r="S369" s="52"/>
      <c r="T369" s="55"/>
      <c r="U369" s="52" t="str">
        <f t="shared" ca="1" si="5"/>
        <v/>
      </c>
      <c r="V369" s="54">
        <v>0</v>
      </c>
      <c r="W369" s="52" t="s">
        <v>5587</v>
      </c>
    </row>
    <row r="370" spans="1:23" ht="20.100000000000001" customHeight="1" x14ac:dyDescent="0.25">
      <c r="A370" s="50"/>
      <c r="B370" s="50"/>
      <c r="C370" s="51"/>
      <c r="D370" s="51"/>
      <c r="E370" s="52"/>
      <c r="F370" s="52"/>
      <c r="G370" s="52"/>
      <c r="H370" s="52">
        <v>5811</v>
      </c>
      <c r="I370" s="52"/>
      <c r="J370" s="52"/>
      <c r="K370" s="53"/>
      <c r="L370" s="54"/>
      <c r="M370" s="52"/>
      <c r="N370" s="55"/>
      <c r="O370" s="50"/>
      <c r="P370" s="53"/>
      <c r="Q370" s="52"/>
      <c r="R370" s="52"/>
      <c r="S370" s="52"/>
      <c r="T370" s="55"/>
      <c r="U370" s="52" t="str">
        <f t="shared" ca="1" si="5"/>
        <v/>
      </c>
      <c r="V370" s="54">
        <v>0</v>
      </c>
      <c r="W370" s="52" t="s">
        <v>5587</v>
      </c>
    </row>
    <row r="371" spans="1:23" ht="20.100000000000001" customHeight="1" x14ac:dyDescent="0.25">
      <c r="A371" s="50"/>
      <c r="B371" s="50"/>
      <c r="C371" s="51"/>
      <c r="D371" s="51"/>
      <c r="E371" s="52"/>
      <c r="F371" s="52"/>
      <c r="G371" s="52"/>
      <c r="H371" s="52">
        <v>5812</v>
      </c>
      <c r="I371" s="52"/>
      <c r="J371" s="52"/>
      <c r="K371" s="53"/>
      <c r="L371" s="54"/>
      <c r="M371" s="52"/>
      <c r="N371" s="55"/>
      <c r="O371" s="50"/>
      <c r="P371" s="53"/>
      <c r="Q371" s="52"/>
      <c r="R371" s="52"/>
      <c r="S371" s="52"/>
      <c r="T371" s="55"/>
      <c r="U371" s="52" t="str">
        <f t="shared" ca="1" si="5"/>
        <v/>
      </c>
      <c r="V371" s="54">
        <v>0</v>
      </c>
      <c r="W371" s="52" t="s">
        <v>5587</v>
      </c>
    </row>
    <row r="372" spans="1:23" ht="20.100000000000001" customHeight="1" x14ac:dyDescent="0.25">
      <c r="A372" s="50"/>
      <c r="B372" s="50"/>
      <c r="C372" s="51"/>
      <c r="D372" s="51"/>
      <c r="E372" s="52"/>
      <c r="F372" s="52"/>
      <c r="G372" s="52"/>
      <c r="H372" s="52">
        <v>5813</v>
      </c>
      <c r="I372" s="52"/>
      <c r="J372" s="52"/>
      <c r="K372" s="53"/>
      <c r="L372" s="54"/>
      <c r="M372" s="52"/>
      <c r="N372" s="55"/>
      <c r="O372" s="50"/>
      <c r="P372" s="53"/>
      <c r="Q372" s="52"/>
      <c r="R372" s="52"/>
      <c r="S372" s="52"/>
      <c r="T372" s="55"/>
      <c r="U372" s="52" t="str">
        <f t="shared" ca="1" si="5"/>
        <v/>
      </c>
      <c r="V372" s="54">
        <v>0</v>
      </c>
      <c r="W372" s="52" t="s">
        <v>5587</v>
      </c>
    </row>
    <row r="373" spans="1:23" ht="20.100000000000001" customHeight="1" x14ac:dyDescent="0.25">
      <c r="A373" s="50"/>
      <c r="B373" s="50"/>
      <c r="C373" s="51"/>
      <c r="D373" s="51"/>
      <c r="E373" s="52"/>
      <c r="F373" s="52"/>
      <c r="G373" s="52"/>
      <c r="H373" s="52">
        <v>5814</v>
      </c>
      <c r="I373" s="52"/>
      <c r="J373" s="52"/>
      <c r="K373" s="53"/>
      <c r="L373" s="54"/>
      <c r="M373" s="52"/>
      <c r="N373" s="55"/>
      <c r="O373" s="50"/>
      <c r="P373" s="53"/>
      <c r="Q373" s="52"/>
      <c r="R373" s="52"/>
      <c r="S373" s="52"/>
      <c r="T373" s="55"/>
      <c r="U373" s="52" t="str">
        <f t="shared" ca="1" si="5"/>
        <v/>
      </c>
      <c r="V373" s="54">
        <v>0</v>
      </c>
      <c r="W373" s="52" t="s">
        <v>5587</v>
      </c>
    </row>
    <row r="374" spans="1:23" ht="20.100000000000001" customHeight="1" x14ac:dyDescent="0.25">
      <c r="A374" s="50"/>
      <c r="B374" s="50"/>
      <c r="C374" s="51"/>
      <c r="D374" s="51"/>
      <c r="E374" s="52"/>
      <c r="F374" s="52"/>
      <c r="G374" s="52"/>
      <c r="H374" s="52">
        <v>5815</v>
      </c>
      <c r="I374" s="52"/>
      <c r="J374" s="52"/>
      <c r="K374" s="53"/>
      <c r="L374" s="54"/>
      <c r="M374" s="52"/>
      <c r="N374" s="55"/>
      <c r="O374" s="50"/>
      <c r="P374" s="53"/>
      <c r="Q374" s="52"/>
      <c r="R374" s="52"/>
      <c r="S374" s="52"/>
      <c r="T374" s="55"/>
      <c r="U374" s="52" t="str">
        <f t="shared" ca="1" si="5"/>
        <v/>
      </c>
      <c r="V374" s="54">
        <v>0</v>
      </c>
      <c r="W374" s="52" t="s">
        <v>5587</v>
      </c>
    </row>
    <row r="375" spans="1:23" ht="20.100000000000001" customHeight="1" x14ac:dyDescent="0.25">
      <c r="A375" s="50"/>
      <c r="B375" s="50"/>
      <c r="C375" s="51"/>
      <c r="D375" s="51"/>
      <c r="E375" s="52"/>
      <c r="F375" s="52"/>
      <c r="G375" s="52"/>
      <c r="H375" s="52">
        <v>5816</v>
      </c>
      <c r="I375" s="52"/>
      <c r="J375" s="52"/>
      <c r="K375" s="53"/>
      <c r="L375" s="54"/>
      <c r="M375" s="52"/>
      <c r="N375" s="55"/>
      <c r="O375" s="50"/>
      <c r="P375" s="53"/>
      <c r="Q375" s="52"/>
      <c r="R375" s="52"/>
      <c r="S375" s="52"/>
      <c r="T375" s="55"/>
      <c r="U375" s="52" t="str">
        <f t="shared" ca="1" si="5"/>
        <v/>
      </c>
      <c r="V375" s="54">
        <v>0</v>
      </c>
      <c r="W375" s="52" t="s">
        <v>5587</v>
      </c>
    </row>
    <row r="376" spans="1:23" ht="20.100000000000001" customHeight="1" x14ac:dyDescent="0.25">
      <c r="A376" s="50"/>
      <c r="B376" s="50"/>
      <c r="C376" s="51"/>
      <c r="D376" s="51"/>
      <c r="E376" s="52"/>
      <c r="F376" s="52"/>
      <c r="G376" s="52"/>
      <c r="H376" s="52">
        <v>5817</v>
      </c>
      <c r="I376" s="52"/>
      <c r="J376" s="52"/>
      <c r="K376" s="53"/>
      <c r="L376" s="54"/>
      <c r="M376" s="52"/>
      <c r="N376" s="55"/>
      <c r="O376" s="50"/>
      <c r="P376" s="53"/>
      <c r="Q376" s="52"/>
      <c r="R376" s="52"/>
      <c r="S376" s="52"/>
      <c r="T376" s="55"/>
      <c r="U376" s="52" t="str">
        <f t="shared" ca="1" si="5"/>
        <v/>
      </c>
      <c r="V376" s="54">
        <v>0</v>
      </c>
      <c r="W376" s="52" t="s">
        <v>5587</v>
      </c>
    </row>
    <row r="377" spans="1:23" ht="20.100000000000001" customHeight="1" x14ac:dyDescent="0.25">
      <c r="A377" s="50"/>
      <c r="B377" s="50"/>
      <c r="C377" s="51"/>
      <c r="D377" s="51"/>
      <c r="E377" s="52"/>
      <c r="F377" s="52"/>
      <c r="G377" s="52"/>
      <c r="H377" s="52">
        <v>5818</v>
      </c>
      <c r="I377" s="52"/>
      <c r="J377" s="52"/>
      <c r="K377" s="53"/>
      <c r="L377" s="54"/>
      <c r="M377" s="52"/>
      <c r="N377" s="55"/>
      <c r="O377" s="50"/>
      <c r="P377" s="53"/>
      <c r="Q377" s="52"/>
      <c r="R377" s="52"/>
      <c r="S377" s="52"/>
      <c r="T377" s="55"/>
      <c r="U377" s="52" t="str">
        <f t="shared" ca="1" si="5"/>
        <v/>
      </c>
      <c r="V377" s="54">
        <v>0</v>
      </c>
      <c r="W377" s="52" t="s">
        <v>5587</v>
      </c>
    </row>
    <row r="378" spans="1:23" ht="20.100000000000001" customHeight="1" x14ac:dyDescent="0.25">
      <c r="A378" s="50"/>
      <c r="B378" s="50"/>
      <c r="C378" s="51"/>
      <c r="D378" s="51"/>
      <c r="E378" s="52"/>
      <c r="F378" s="52"/>
      <c r="G378" s="52"/>
      <c r="H378" s="52">
        <v>5819</v>
      </c>
      <c r="I378" s="52"/>
      <c r="J378" s="52"/>
      <c r="K378" s="53"/>
      <c r="L378" s="54"/>
      <c r="M378" s="52"/>
      <c r="N378" s="55"/>
      <c r="O378" s="50"/>
      <c r="P378" s="53"/>
      <c r="Q378" s="52"/>
      <c r="R378" s="52"/>
      <c r="S378" s="52"/>
      <c r="T378" s="55"/>
      <c r="U378" s="52" t="str">
        <f t="shared" ca="1" si="5"/>
        <v/>
      </c>
      <c r="V378" s="54">
        <v>0</v>
      </c>
      <c r="W378" s="52" t="s">
        <v>5587</v>
      </c>
    </row>
    <row r="379" spans="1:23" ht="20.100000000000001" customHeight="1" x14ac:dyDescent="0.25">
      <c r="A379" s="50"/>
      <c r="B379" s="50"/>
      <c r="C379" s="51"/>
      <c r="D379" s="51"/>
      <c r="E379" s="52"/>
      <c r="F379" s="52"/>
      <c r="G379" s="52"/>
      <c r="H379" s="52">
        <v>5820</v>
      </c>
      <c r="I379" s="52"/>
      <c r="J379" s="52"/>
      <c r="K379" s="53"/>
      <c r="L379" s="54"/>
      <c r="M379" s="52"/>
      <c r="N379" s="55"/>
      <c r="O379" s="50"/>
      <c r="P379" s="53"/>
      <c r="Q379" s="52"/>
      <c r="R379" s="52"/>
      <c r="S379" s="52"/>
      <c r="T379" s="55"/>
      <c r="U379" s="52" t="str">
        <f t="shared" ca="1" si="5"/>
        <v/>
      </c>
      <c r="V379" s="54">
        <v>0</v>
      </c>
      <c r="W379" s="52" t="s">
        <v>5587</v>
      </c>
    </row>
    <row r="380" spans="1:23" ht="20.100000000000001" customHeight="1" x14ac:dyDescent="0.25">
      <c r="A380" s="50"/>
      <c r="B380" s="50"/>
      <c r="C380" s="51"/>
      <c r="D380" s="51"/>
      <c r="E380" s="52"/>
      <c r="F380" s="52"/>
      <c r="G380" s="52"/>
      <c r="H380" s="52">
        <v>5821</v>
      </c>
      <c r="I380" s="52"/>
      <c r="J380" s="52"/>
      <c r="K380" s="53"/>
      <c r="L380" s="54"/>
      <c r="M380" s="52"/>
      <c r="N380" s="55"/>
      <c r="O380" s="50"/>
      <c r="P380" s="53"/>
      <c r="Q380" s="52"/>
      <c r="R380" s="52"/>
      <c r="S380" s="52"/>
      <c r="T380" s="55"/>
      <c r="U380" s="52" t="str">
        <f t="shared" ca="1" si="5"/>
        <v/>
      </c>
      <c r="V380" s="54">
        <v>0</v>
      </c>
      <c r="W380" s="52" t="s">
        <v>5587</v>
      </c>
    </row>
    <row r="381" spans="1:23" ht="20.100000000000001" customHeight="1" x14ac:dyDescent="0.25">
      <c r="A381" s="50"/>
      <c r="B381" s="50"/>
      <c r="C381" s="51"/>
      <c r="D381" s="51"/>
      <c r="E381" s="52"/>
      <c r="F381" s="52"/>
      <c r="G381" s="52"/>
      <c r="H381" s="52">
        <v>5822</v>
      </c>
      <c r="I381" s="52"/>
      <c r="J381" s="52"/>
      <c r="K381" s="53"/>
      <c r="L381" s="54"/>
      <c r="M381" s="52"/>
      <c r="N381" s="55"/>
      <c r="O381" s="50"/>
      <c r="P381" s="53"/>
      <c r="Q381" s="52"/>
      <c r="R381" s="52"/>
      <c r="S381" s="52"/>
      <c r="T381" s="55"/>
      <c r="U381" s="52" t="str">
        <f t="shared" ca="1" si="5"/>
        <v/>
      </c>
      <c r="V381" s="54">
        <v>0</v>
      </c>
      <c r="W381" s="52" t="s">
        <v>5587</v>
      </c>
    </row>
    <row r="382" spans="1:23" ht="20.100000000000001" customHeight="1" x14ac:dyDescent="0.25">
      <c r="A382" s="50"/>
      <c r="B382" s="50"/>
      <c r="C382" s="51"/>
      <c r="D382" s="51"/>
      <c r="E382" s="52"/>
      <c r="F382" s="52"/>
      <c r="G382" s="52"/>
      <c r="H382" s="52">
        <v>5823</v>
      </c>
      <c r="I382" s="52"/>
      <c r="J382" s="52"/>
      <c r="K382" s="53"/>
      <c r="L382" s="54"/>
      <c r="M382" s="52"/>
      <c r="N382" s="55"/>
      <c r="O382" s="50"/>
      <c r="P382" s="53"/>
      <c r="Q382" s="52"/>
      <c r="R382" s="52"/>
      <c r="S382" s="52"/>
      <c r="T382" s="55"/>
      <c r="U382" s="52" t="str">
        <f t="shared" ca="1" si="5"/>
        <v/>
      </c>
      <c r="V382" s="54">
        <v>0</v>
      </c>
      <c r="W382" s="52" t="s">
        <v>5587</v>
      </c>
    </row>
    <row r="383" spans="1:23" ht="20.100000000000001" customHeight="1" x14ac:dyDescent="0.25">
      <c r="A383" s="50"/>
      <c r="B383" s="50"/>
      <c r="C383" s="51"/>
      <c r="D383" s="51"/>
      <c r="E383" s="52"/>
      <c r="F383" s="52"/>
      <c r="G383" s="52"/>
      <c r="H383" s="52">
        <v>5824</v>
      </c>
      <c r="I383" s="52"/>
      <c r="J383" s="52"/>
      <c r="K383" s="53"/>
      <c r="L383" s="54"/>
      <c r="M383" s="52"/>
      <c r="N383" s="55"/>
      <c r="O383" s="50"/>
      <c r="P383" s="53"/>
      <c r="Q383" s="52"/>
      <c r="R383" s="52"/>
      <c r="S383" s="52"/>
      <c r="T383" s="55"/>
      <c r="U383" s="52" t="str">
        <f t="shared" ca="1" si="5"/>
        <v/>
      </c>
      <c r="V383" s="54">
        <v>0</v>
      </c>
      <c r="W383" s="52" t="s">
        <v>5587</v>
      </c>
    </row>
    <row r="384" spans="1:23" ht="20.100000000000001" customHeight="1" x14ac:dyDescent="0.25">
      <c r="A384" s="50"/>
      <c r="B384" s="50"/>
      <c r="C384" s="51"/>
      <c r="D384" s="51"/>
      <c r="E384" s="52"/>
      <c r="F384" s="52"/>
      <c r="G384" s="52"/>
      <c r="H384" s="52">
        <v>5825</v>
      </c>
      <c r="I384" s="52"/>
      <c r="J384" s="52"/>
      <c r="K384" s="53"/>
      <c r="L384" s="54"/>
      <c r="M384" s="52"/>
      <c r="N384" s="55"/>
      <c r="O384" s="50"/>
      <c r="P384" s="53"/>
      <c r="Q384" s="52"/>
      <c r="R384" s="52"/>
      <c r="S384" s="52"/>
      <c r="T384" s="55"/>
      <c r="U384" s="52" t="str">
        <f t="shared" ca="1" si="5"/>
        <v/>
      </c>
      <c r="V384" s="54">
        <v>0</v>
      </c>
      <c r="W384" s="52" t="s">
        <v>5587</v>
      </c>
    </row>
    <row r="385" spans="1:23" ht="20.100000000000001" customHeight="1" x14ac:dyDescent="0.25">
      <c r="A385" s="50"/>
      <c r="B385" s="50"/>
      <c r="C385" s="51"/>
      <c r="D385" s="51"/>
      <c r="E385" s="52"/>
      <c r="F385" s="52"/>
      <c r="G385" s="52"/>
      <c r="H385" s="52">
        <v>5826</v>
      </c>
      <c r="I385" s="52"/>
      <c r="J385" s="52"/>
      <c r="K385" s="53"/>
      <c r="L385" s="54"/>
      <c r="M385" s="52"/>
      <c r="N385" s="55"/>
      <c r="O385" s="50"/>
      <c r="P385" s="53"/>
      <c r="Q385" s="52"/>
      <c r="R385" s="52"/>
      <c r="S385" s="52"/>
      <c r="T385" s="55"/>
      <c r="U385" s="52" t="str">
        <f t="shared" ca="1" si="5"/>
        <v/>
      </c>
      <c r="V385" s="54">
        <v>0</v>
      </c>
      <c r="W385" s="52" t="s">
        <v>5587</v>
      </c>
    </row>
    <row r="386" spans="1:23" ht="20.100000000000001" customHeight="1" x14ac:dyDescent="0.25">
      <c r="A386" s="50"/>
      <c r="B386" s="50"/>
      <c r="C386" s="51"/>
      <c r="D386" s="51"/>
      <c r="E386" s="52"/>
      <c r="F386" s="52"/>
      <c r="G386" s="52"/>
      <c r="H386" s="52">
        <v>5827</v>
      </c>
      <c r="I386" s="52"/>
      <c r="J386" s="52"/>
      <c r="K386" s="53"/>
      <c r="L386" s="54"/>
      <c r="M386" s="52"/>
      <c r="N386" s="55"/>
      <c r="O386" s="50"/>
      <c r="P386" s="53"/>
      <c r="Q386" s="52"/>
      <c r="R386" s="52"/>
      <c r="S386" s="52"/>
      <c r="T386" s="55"/>
      <c r="U386" s="52" t="str">
        <f t="shared" ca="1" si="5"/>
        <v/>
      </c>
      <c r="V386" s="54">
        <v>0</v>
      </c>
      <c r="W386" s="52" t="s">
        <v>5587</v>
      </c>
    </row>
    <row r="387" spans="1:23" ht="20.100000000000001" customHeight="1" x14ac:dyDescent="0.25">
      <c r="A387" s="50"/>
      <c r="B387" s="50"/>
      <c r="C387" s="51"/>
      <c r="D387" s="51"/>
      <c r="E387" s="52"/>
      <c r="F387" s="52"/>
      <c r="G387" s="52"/>
      <c r="H387" s="52">
        <v>5828</v>
      </c>
      <c r="I387" s="52"/>
      <c r="J387" s="52"/>
      <c r="K387" s="53"/>
      <c r="L387" s="54"/>
      <c r="M387" s="52"/>
      <c r="N387" s="55"/>
      <c r="O387" s="50"/>
      <c r="P387" s="53"/>
      <c r="Q387" s="52"/>
      <c r="R387" s="52"/>
      <c r="S387" s="52"/>
      <c r="T387" s="55"/>
      <c r="U387" s="52" t="str">
        <f t="shared" ca="1" si="5"/>
        <v/>
      </c>
      <c r="V387" s="54">
        <v>0</v>
      </c>
      <c r="W387" s="52" t="s">
        <v>5587</v>
      </c>
    </row>
    <row r="388" spans="1:23" ht="20.100000000000001" customHeight="1" x14ac:dyDescent="0.25">
      <c r="A388" s="50"/>
      <c r="B388" s="50"/>
      <c r="C388" s="51"/>
      <c r="D388" s="51"/>
      <c r="E388" s="52"/>
      <c r="F388" s="52"/>
      <c r="G388" s="52"/>
      <c r="H388" s="52">
        <v>5829</v>
      </c>
      <c r="I388" s="52"/>
      <c r="J388" s="52"/>
      <c r="K388" s="53"/>
      <c r="L388" s="54"/>
      <c r="M388" s="52"/>
      <c r="N388" s="55"/>
      <c r="O388" s="50"/>
      <c r="P388" s="53"/>
      <c r="Q388" s="52"/>
      <c r="R388" s="52"/>
      <c r="S388" s="52"/>
      <c r="T388" s="55"/>
      <c r="U388" s="52" t="str">
        <f t="shared" ca="1" si="5"/>
        <v/>
      </c>
      <c r="V388" s="54">
        <v>0</v>
      </c>
      <c r="W388" s="52" t="s">
        <v>5587</v>
      </c>
    </row>
    <row r="389" spans="1:23" ht="20.100000000000001" customHeight="1" x14ac:dyDescent="0.25">
      <c r="A389" s="50"/>
      <c r="B389" s="50"/>
      <c r="C389" s="51"/>
      <c r="D389" s="51"/>
      <c r="E389" s="52"/>
      <c r="F389" s="52"/>
      <c r="G389" s="52"/>
      <c r="H389" s="52">
        <v>5830</v>
      </c>
      <c r="I389" s="52"/>
      <c r="J389" s="52"/>
      <c r="K389" s="53"/>
      <c r="L389" s="54"/>
      <c r="M389" s="52"/>
      <c r="N389" s="55"/>
      <c r="O389" s="50"/>
      <c r="P389" s="53"/>
      <c r="Q389" s="52"/>
      <c r="R389" s="52"/>
      <c r="S389" s="52"/>
      <c r="T389" s="55"/>
      <c r="U389" s="52" t="str">
        <f t="shared" ref="U389:U452" ca="1" si="6">IF(C389="","",TODAY()-C389)</f>
        <v/>
      </c>
      <c r="V389" s="54">
        <v>0</v>
      </c>
      <c r="W389" s="52" t="s">
        <v>5587</v>
      </c>
    </row>
    <row r="390" spans="1:23" ht="20.100000000000001" customHeight="1" x14ac:dyDescent="0.25">
      <c r="A390" s="50"/>
      <c r="B390" s="50"/>
      <c r="C390" s="51"/>
      <c r="D390" s="51"/>
      <c r="E390" s="52"/>
      <c r="F390" s="52"/>
      <c r="G390" s="52"/>
      <c r="H390" s="52">
        <v>5831</v>
      </c>
      <c r="I390" s="52"/>
      <c r="J390" s="52"/>
      <c r="K390" s="53"/>
      <c r="L390" s="54"/>
      <c r="M390" s="52"/>
      <c r="N390" s="55"/>
      <c r="O390" s="50"/>
      <c r="P390" s="53"/>
      <c r="Q390" s="52"/>
      <c r="R390" s="52"/>
      <c r="S390" s="52"/>
      <c r="T390" s="55"/>
      <c r="U390" s="52" t="str">
        <f t="shared" ca="1" si="6"/>
        <v/>
      </c>
      <c r="V390" s="54">
        <v>0</v>
      </c>
      <c r="W390" s="52" t="s">
        <v>5587</v>
      </c>
    </row>
    <row r="391" spans="1:23" ht="20.100000000000001" customHeight="1" x14ac:dyDescent="0.25">
      <c r="A391" s="50"/>
      <c r="B391" s="50"/>
      <c r="C391" s="51"/>
      <c r="D391" s="51"/>
      <c r="E391" s="52"/>
      <c r="F391" s="52"/>
      <c r="G391" s="52"/>
      <c r="H391" s="52">
        <v>5832</v>
      </c>
      <c r="I391" s="52"/>
      <c r="J391" s="52"/>
      <c r="K391" s="53"/>
      <c r="L391" s="54"/>
      <c r="M391" s="52"/>
      <c r="N391" s="55"/>
      <c r="O391" s="50"/>
      <c r="P391" s="53"/>
      <c r="Q391" s="52"/>
      <c r="R391" s="52"/>
      <c r="S391" s="52"/>
      <c r="T391" s="55"/>
      <c r="U391" s="52" t="str">
        <f t="shared" ca="1" si="6"/>
        <v/>
      </c>
      <c r="V391" s="54">
        <v>0</v>
      </c>
      <c r="W391" s="52" t="s">
        <v>5587</v>
      </c>
    </row>
    <row r="392" spans="1:23" ht="20.100000000000001" customHeight="1" x14ac:dyDescent="0.25">
      <c r="A392" s="50"/>
      <c r="B392" s="50"/>
      <c r="C392" s="51"/>
      <c r="D392" s="51"/>
      <c r="E392" s="52"/>
      <c r="F392" s="52"/>
      <c r="G392" s="52"/>
      <c r="H392" s="52">
        <v>5833</v>
      </c>
      <c r="I392" s="52"/>
      <c r="J392" s="52"/>
      <c r="K392" s="53"/>
      <c r="L392" s="54"/>
      <c r="M392" s="52"/>
      <c r="N392" s="55"/>
      <c r="O392" s="50"/>
      <c r="P392" s="53"/>
      <c r="Q392" s="52"/>
      <c r="R392" s="52"/>
      <c r="S392" s="52"/>
      <c r="T392" s="55"/>
      <c r="U392" s="52" t="str">
        <f t="shared" ca="1" si="6"/>
        <v/>
      </c>
      <c r="V392" s="54">
        <v>0</v>
      </c>
      <c r="W392" s="52" t="s">
        <v>5587</v>
      </c>
    </row>
    <row r="393" spans="1:23" ht="20.100000000000001" customHeight="1" x14ac:dyDescent="0.25">
      <c r="A393" s="50"/>
      <c r="B393" s="50"/>
      <c r="C393" s="51"/>
      <c r="D393" s="51"/>
      <c r="E393" s="52"/>
      <c r="F393" s="52"/>
      <c r="G393" s="52"/>
      <c r="H393" s="52">
        <v>5834</v>
      </c>
      <c r="I393" s="52"/>
      <c r="J393" s="52"/>
      <c r="K393" s="53"/>
      <c r="L393" s="54"/>
      <c r="M393" s="52"/>
      <c r="N393" s="55"/>
      <c r="O393" s="50"/>
      <c r="P393" s="53"/>
      <c r="Q393" s="52"/>
      <c r="R393" s="52"/>
      <c r="S393" s="52"/>
      <c r="T393" s="55"/>
      <c r="U393" s="52" t="str">
        <f t="shared" ca="1" si="6"/>
        <v/>
      </c>
      <c r="V393" s="54">
        <v>0</v>
      </c>
      <c r="W393" s="52" t="s">
        <v>5587</v>
      </c>
    </row>
    <row r="394" spans="1:23" ht="20.100000000000001" customHeight="1" x14ac:dyDescent="0.25">
      <c r="A394" s="50"/>
      <c r="B394" s="50"/>
      <c r="C394" s="51"/>
      <c r="D394" s="51"/>
      <c r="E394" s="52"/>
      <c r="F394" s="52"/>
      <c r="G394" s="52"/>
      <c r="H394" s="52">
        <v>5835</v>
      </c>
      <c r="I394" s="52"/>
      <c r="J394" s="52"/>
      <c r="K394" s="53"/>
      <c r="L394" s="54"/>
      <c r="M394" s="52"/>
      <c r="N394" s="55"/>
      <c r="O394" s="50"/>
      <c r="P394" s="53"/>
      <c r="Q394" s="52"/>
      <c r="R394" s="52"/>
      <c r="S394" s="52"/>
      <c r="T394" s="55"/>
      <c r="U394" s="52" t="str">
        <f t="shared" ca="1" si="6"/>
        <v/>
      </c>
      <c r="V394" s="54">
        <v>0</v>
      </c>
      <c r="W394" s="52" t="s">
        <v>5587</v>
      </c>
    </row>
    <row r="395" spans="1:23" ht="20.100000000000001" customHeight="1" x14ac:dyDescent="0.25">
      <c r="A395" s="50"/>
      <c r="B395" s="50"/>
      <c r="C395" s="51"/>
      <c r="D395" s="51"/>
      <c r="E395" s="52"/>
      <c r="F395" s="52"/>
      <c r="G395" s="52"/>
      <c r="H395" s="52">
        <v>5836</v>
      </c>
      <c r="I395" s="52"/>
      <c r="J395" s="52"/>
      <c r="K395" s="53"/>
      <c r="L395" s="54"/>
      <c r="M395" s="52"/>
      <c r="N395" s="55"/>
      <c r="O395" s="50"/>
      <c r="P395" s="53"/>
      <c r="Q395" s="52"/>
      <c r="R395" s="52"/>
      <c r="S395" s="52"/>
      <c r="T395" s="55"/>
      <c r="U395" s="52" t="str">
        <f t="shared" ca="1" si="6"/>
        <v/>
      </c>
      <c r="V395" s="54">
        <v>0</v>
      </c>
      <c r="W395" s="52" t="s">
        <v>5587</v>
      </c>
    </row>
    <row r="396" spans="1:23" ht="20.100000000000001" customHeight="1" x14ac:dyDescent="0.25">
      <c r="A396" s="50"/>
      <c r="B396" s="50"/>
      <c r="C396" s="51"/>
      <c r="D396" s="51"/>
      <c r="E396" s="52"/>
      <c r="F396" s="52"/>
      <c r="G396" s="52"/>
      <c r="H396" s="52">
        <v>5837</v>
      </c>
      <c r="I396" s="52"/>
      <c r="J396" s="52"/>
      <c r="K396" s="53"/>
      <c r="L396" s="54"/>
      <c r="M396" s="52"/>
      <c r="N396" s="55"/>
      <c r="O396" s="50"/>
      <c r="P396" s="53"/>
      <c r="Q396" s="52"/>
      <c r="R396" s="52"/>
      <c r="S396" s="52"/>
      <c r="T396" s="55"/>
      <c r="U396" s="52" t="str">
        <f t="shared" ca="1" si="6"/>
        <v/>
      </c>
      <c r="V396" s="54">
        <v>0</v>
      </c>
      <c r="W396" s="52" t="s">
        <v>5587</v>
      </c>
    </row>
    <row r="397" spans="1:23" ht="20.100000000000001" customHeight="1" x14ac:dyDescent="0.25">
      <c r="A397" s="50"/>
      <c r="B397" s="50"/>
      <c r="C397" s="51"/>
      <c r="D397" s="51"/>
      <c r="E397" s="52"/>
      <c r="F397" s="52"/>
      <c r="G397" s="52"/>
      <c r="H397" s="52">
        <v>5838</v>
      </c>
      <c r="I397" s="52"/>
      <c r="J397" s="52"/>
      <c r="K397" s="53"/>
      <c r="L397" s="54"/>
      <c r="M397" s="52"/>
      <c r="N397" s="55"/>
      <c r="O397" s="50"/>
      <c r="P397" s="53"/>
      <c r="Q397" s="52"/>
      <c r="R397" s="52"/>
      <c r="S397" s="52"/>
      <c r="T397" s="55"/>
      <c r="U397" s="52" t="str">
        <f t="shared" ca="1" si="6"/>
        <v/>
      </c>
      <c r="V397" s="54">
        <v>0</v>
      </c>
      <c r="W397" s="52" t="s">
        <v>5587</v>
      </c>
    </row>
    <row r="398" spans="1:23" ht="20.100000000000001" customHeight="1" x14ac:dyDescent="0.25">
      <c r="A398" s="50"/>
      <c r="B398" s="50"/>
      <c r="C398" s="51"/>
      <c r="D398" s="51"/>
      <c r="E398" s="52"/>
      <c r="F398" s="52"/>
      <c r="G398" s="52"/>
      <c r="H398" s="52">
        <v>5839</v>
      </c>
      <c r="I398" s="52"/>
      <c r="J398" s="52"/>
      <c r="K398" s="53"/>
      <c r="L398" s="54"/>
      <c r="M398" s="52"/>
      <c r="N398" s="55"/>
      <c r="O398" s="50"/>
      <c r="P398" s="53"/>
      <c r="Q398" s="52"/>
      <c r="R398" s="52"/>
      <c r="S398" s="52"/>
      <c r="T398" s="55"/>
      <c r="U398" s="52" t="str">
        <f t="shared" ca="1" si="6"/>
        <v/>
      </c>
      <c r="V398" s="54">
        <v>0</v>
      </c>
      <c r="W398" s="52" t="s">
        <v>5587</v>
      </c>
    </row>
    <row r="399" spans="1:23" ht="20.100000000000001" customHeight="1" x14ac:dyDescent="0.25">
      <c r="A399" s="50"/>
      <c r="B399" s="50"/>
      <c r="C399" s="51"/>
      <c r="D399" s="51"/>
      <c r="E399" s="52"/>
      <c r="F399" s="52"/>
      <c r="G399" s="52"/>
      <c r="H399" s="52">
        <v>5840</v>
      </c>
      <c r="I399" s="52"/>
      <c r="J399" s="52"/>
      <c r="K399" s="53"/>
      <c r="L399" s="54"/>
      <c r="M399" s="52"/>
      <c r="N399" s="55"/>
      <c r="O399" s="50"/>
      <c r="P399" s="53"/>
      <c r="Q399" s="52"/>
      <c r="R399" s="52"/>
      <c r="S399" s="52"/>
      <c r="T399" s="55"/>
      <c r="U399" s="52" t="str">
        <f t="shared" ca="1" si="6"/>
        <v/>
      </c>
      <c r="V399" s="54">
        <v>0</v>
      </c>
      <c r="W399" s="52" t="s">
        <v>5587</v>
      </c>
    </row>
    <row r="400" spans="1:23" ht="20.100000000000001" customHeight="1" x14ac:dyDescent="0.25">
      <c r="A400" s="50"/>
      <c r="B400" s="50"/>
      <c r="C400" s="51"/>
      <c r="D400" s="51"/>
      <c r="E400" s="52"/>
      <c r="F400" s="52"/>
      <c r="G400" s="52"/>
      <c r="H400" s="52">
        <v>5841</v>
      </c>
      <c r="I400" s="52"/>
      <c r="J400" s="52"/>
      <c r="K400" s="53"/>
      <c r="L400" s="54"/>
      <c r="M400" s="52"/>
      <c r="N400" s="55"/>
      <c r="O400" s="50"/>
      <c r="P400" s="53"/>
      <c r="Q400" s="52"/>
      <c r="R400" s="52"/>
      <c r="S400" s="52"/>
      <c r="T400" s="55"/>
      <c r="U400" s="52" t="str">
        <f t="shared" ca="1" si="6"/>
        <v/>
      </c>
      <c r="V400" s="54">
        <v>0</v>
      </c>
      <c r="W400" s="52" t="s">
        <v>5587</v>
      </c>
    </row>
    <row r="401" spans="1:23" ht="20.100000000000001" customHeight="1" x14ac:dyDescent="0.25">
      <c r="A401" s="50"/>
      <c r="B401" s="50"/>
      <c r="C401" s="51"/>
      <c r="D401" s="51"/>
      <c r="E401" s="52"/>
      <c r="F401" s="52"/>
      <c r="G401" s="52"/>
      <c r="H401" s="52">
        <v>5842</v>
      </c>
      <c r="I401" s="52"/>
      <c r="J401" s="52"/>
      <c r="K401" s="53"/>
      <c r="L401" s="54"/>
      <c r="M401" s="52"/>
      <c r="N401" s="55"/>
      <c r="O401" s="50"/>
      <c r="P401" s="53"/>
      <c r="Q401" s="52"/>
      <c r="R401" s="52"/>
      <c r="S401" s="52"/>
      <c r="T401" s="55"/>
      <c r="U401" s="52" t="str">
        <f t="shared" ca="1" si="6"/>
        <v/>
      </c>
      <c r="V401" s="54">
        <v>0</v>
      </c>
      <c r="W401" s="52" t="s">
        <v>5587</v>
      </c>
    </row>
    <row r="402" spans="1:23" ht="20.100000000000001" customHeight="1" x14ac:dyDescent="0.25">
      <c r="A402" s="50"/>
      <c r="B402" s="50"/>
      <c r="C402" s="51"/>
      <c r="D402" s="51"/>
      <c r="E402" s="52"/>
      <c r="F402" s="52"/>
      <c r="G402" s="52"/>
      <c r="H402" s="52">
        <v>5843</v>
      </c>
      <c r="I402" s="52"/>
      <c r="J402" s="52"/>
      <c r="K402" s="53"/>
      <c r="L402" s="54"/>
      <c r="M402" s="52"/>
      <c r="N402" s="55"/>
      <c r="O402" s="50"/>
      <c r="P402" s="53"/>
      <c r="Q402" s="52"/>
      <c r="R402" s="52"/>
      <c r="S402" s="52"/>
      <c r="T402" s="55"/>
      <c r="U402" s="52" t="str">
        <f t="shared" ca="1" si="6"/>
        <v/>
      </c>
      <c r="V402" s="54">
        <v>0</v>
      </c>
      <c r="W402" s="52" t="s">
        <v>5587</v>
      </c>
    </row>
    <row r="403" spans="1:23" ht="20.100000000000001" customHeight="1" x14ac:dyDescent="0.25">
      <c r="A403" s="50"/>
      <c r="B403" s="50"/>
      <c r="C403" s="51"/>
      <c r="D403" s="51"/>
      <c r="E403" s="52"/>
      <c r="F403" s="52"/>
      <c r="G403" s="52"/>
      <c r="H403" s="52">
        <v>5844</v>
      </c>
      <c r="I403" s="52"/>
      <c r="J403" s="52"/>
      <c r="K403" s="53"/>
      <c r="L403" s="54"/>
      <c r="M403" s="52"/>
      <c r="N403" s="55"/>
      <c r="O403" s="50"/>
      <c r="P403" s="53"/>
      <c r="Q403" s="52"/>
      <c r="R403" s="52"/>
      <c r="S403" s="52"/>
      <c r="T403" s="55"/>
      <c r="U403" s="52" t="str">
        <f t="shared" ca="1" si="6"/>
        <v/>
      </c>
      <c r="V403" s="54">
        <v>0</v>
      </c>
      <c r="W403" s="52" t="s">
        <v>5587</v>
      </c>
    </row>
    <row r="404" spans="1:23" ht="20.100000000000001" customHeight="1" x14ac:dyDescent="0.25">
      <c r="A404" s="50"/>
      <c r="B404" s="50"/>
      <c r="C404" s="51"/>
      <c r="D404" s="51"/>
      <c r="E404" s="52"/>
      <c r="F404" s="52"/>
      <c r="G404" s="52"/>
      <c r="H404" s="52">
        <v>5845</v>
      </c>
      <c r="I404" s="52"/>
      <c r="J404" s="52"/>
      <c r="K404" s="53"/>
      <c r="L404" s="54"/>
      <c r="M404" s="52"/>
      <c r="N404" s="55"/>
      <c r="O404" s="50"/>
      <c r="P404" s="53"/>
      <c r="Q404" s="52"/>
      <c r="R404" s="52"/>
      <c r="S404" s="52"/>
      <c r="T404" s="55"/>
      <c r="U404" s="52" t="str">
        <f t="shared" ca="1" si="6"/>
        <v/>
      </c>
      <c r="V404" s="54">
        <v>0</v>
      </c>
      <c r="W404" s="52" t="s">
        <v>5587</v>
      </c>
    </row>
    <row r="405" spans="1:23" ht="20.100000000000001" customHeight="1" x14ac:dyDescent="0.25">
      <c r="A405" s="50"/>
      <c r="B405" s="50"/>
      <c r="C405" s="51"/>
      <c r="D405" s="51"/>
      <c r="E405" s="52"/>
      <c r="F405" s="52"/>
      <c r="G405" s="52"/>
      <c r="H405" s="52">
        <v>5846</v>
      </c>
      <c r="I405" s="52"/>
      <c r="J405" s="52"/>
      <c r="K405" s="53"/>
      <c r="L405" s="54"/>
      <c r="M405" s="52"/>
      <c r="N405" s="55"/>
      <c r="O405" s="50"/>
      <c r="P405" s="53"/>
      <c r="Q405" s="52"/>
      <c r="R405" s="52"/>
      <c r="S405" s="52"/>
      <c r="T405" s="55"/>
      <c r="U405" s="52" t="str">
        <f t="shared" ca="1" si="6"/>
        <v/>
      </c>
      <c r="V405" s="54">
        <v>0</v>
      </c>
      <c r="W405" s="52" t="s">
        <v>5587</v>
      </c>
    </row>
    <row r="406" spans="1:23" ht="20.100000000000001" customHeight="1" x14ac:dyDescent="0.25">
      <c r="A406" s="50"/>
      <c r="B406" s="50"/>
      <c r="C406" s="51"/>
      <c r="D406" s="51"/>
      <c r="E406" s="52"/>
      <c r="F406" s="52"/>
      <c r="G406" s="52"/>
      <c r="H406" s="52">
        <v>5847</v>
      </c>
      <c r="I406" s="52"/>
      <c r="J406" s="52"/>
      <c r="K406" s="53"/>
      <c r="L406" s="54"/>
      <c r="M406" s="52"/>
      <c r="N406" s="55"/>
      <c r="O406" s="50"/>
      <c r="P406" s="53"/>
      <c r="Q406" s="52"/>
      <c r="R406" s="52"/>
      <c r="S406" s="52"/>
      <c r="T406" s="55"/>
      <c r="U406" s="52" t="str">
        <f t="shared" ca="1" si="6"/>
        <v/>
      </c>
      <c r="V406" s="54">
        <v>0</v>
      </c>
      <c r="W406" s="52" t="s">
        <v>5587</v>
      </c>
    </row>
    <row r="407" spans="1:23" ht="20.100000000000001" customHeight="1" x14ac:dyDescent="0.25">
      <c r="A407" s="50"/>
      <c r="B407" s="50"/>
      <c r="C407" s="51"/>
      <c r="D407" s="51"/>
      <c r="E407" s="52"/>
      <c r="F407" s="52"/>
      <c r="G407" s="52"/>
      <c r="H407" s="52">
        <v>5848</v>
      </c>
      <c r="I407" s="52"/>
      <c r="J407" s="52"/>
      <c r="K407" s="53"/>
      <c r="L407" s="54"/>
      <c r="M407" s="52"/>
      <c r="N407" s="55"/>
      <c r="O407" s="50"/>
      <c r="P407" s="53"/>
      <c r="Q407" s="52"/>
      <c r="R407" s="52"/>
      <c r="S407" s="52"/>
      <c r="T407" s="55"/>
      <c r="U407" s="52" t="str">
        <f t="shared" ca="1" si="6"/>
        <v/>
      </c>
      <c r="V407" s="54">
        <v>0</v>
      </c>
      <c r="W407" s="52" t="s">
        <v>5587</v>
      </c>
    </row>
    <row r="408" spans="1:23" ht="20.100000000000001" customHeight="1" x14ac:dyDescent="0.25">
      <c r="A408" s="50"/>
      <c r="B408" s="50"/>
      <c r="C408" s="51"/>
      <c r="D408" s="51"/>
      <c r="E408" s="52"/>
      <c r="F408" s="52"/>
      <c r="G408" s="52"/>
      <c r="H408" s="52">
        <v>5849</v>
      </c>
      <c r="I408" s="52"/>
      <c r="J408" s="52"/>
      <c r="K408" s="53"/>
      <c r="L408" s="54"/>
      <c r="M408" s="52"/>
      <c r="N408" s="55"/>
      <c r="O408" s="50"/>
      <c r="P408" s="53"/>
      <c r="Q408" s="52"/>
      <c r="R408" s="52"/>
      <c r="S408" s="52"/>
      <c r="T408" s="55"/>
      <c r="U408" s="52" t="str">
        <f t="shared" ca="1" si="6"/>
        <v/>
      </c>
      <c r="V408" s="54">
        <v>0</v>
      </c>
      <c r="W408" s="52" t="s">
        <v>5587</v>
      </c>
    </row>
    <row r="409" spans="1:23" ht="20.100000000000001" customHeight="1" x14ac:dyDescent="0.25">
      <c r="A409" s="50"/>
      <c r="B409" s="50"/>
      <c r="C409" s="51"/>
      <c r="D409" s="51"/>
      <c r="E409" s="52"/>
      <c r="F409" s="52"/>
      <c r="G409" s="52"/>
      <c r="H409" s="52">
        <v>5850</v>
      </c>
      <c r="I409" s="52"/>
      <c r="J409" s="52"/>
      <c r="K409" s="53"/>
      <c r="L409" s="54"/>
      <c r="M409" s="52"/>
      <c r="N409" s="55"/>
      <c r="O409" s="50"/>
      <c r="P409" s="53"/>
      <c r="Q409" s="52"/>
      <c r="R409" s="52"/>
      <c r="S409" s="52"/>
      <c r="T409" s="55"/>
      <c r="U409" s="52" t="str">
        <f t="shared" ca="1" si="6"/>
        <v/>
      </c>
      <c r="V409" s="54">
        <v>0</v>
      </c>
      <c r="W409" s="52" t="s">
        <v>5587</v>
      </c>
    </row>
    <row r="410" spans="1:23" ht="20.100000000000001" customHeight="1" x14ac:dyDescent="0.25">
      <c r="A410" s="50"/>
      <c r="B410" s="50"/>
      <c r="C410" s="51"/>
      <c r="D410" s="51"/>
      <c r="E410" s="52"/>
      <c r="F410" s="52"/>
      <c r="G410" s="52"/>
      <c r="H410" s="52">
        <v>5851</v>
      </c>
      <c r="I410" s="52"/>
      <c r="J410" s="52"/>
      <c r="K410" s="53"/>
      <c r="L410" s="54"/>
      <c r="M410" s="52"/>
      <c r="N410" s="55"/>
      <c r="O410" s="50"/>
      <c r="P410" s="53"/>
      <c r="Q410" s="52"/>
      <c r="R410" s="52"/>
      <c r="S410" s="52"/>
      <c r="T410" s="55"/>
      <c r="U410" s="52" t="str">
        <f t="shared" ca="1" si="6"/>
        <v/>
      </c>
      <c r="V410" s="54">
        <v>0</v>
      </c>
      <c r="W410" s="52" t="s">
        <v>5587</v>
      </c>
    </row>
    <row r="411" spans="1:23" ht="20.100000000000001" customHeight="1" x14ac:dyDescent="0.25">
      <c r="A411" s="50"/>
      <c r="B411" s="50"/>
      <c r="C411" s="51"/>
      <c r="D411" s="51"/>
      <c r="E411" s="52"/>
      <c r="F411" s="52"/>
      <c r="G411" s="52"/>
      <c r="H411" s="52">
        <v>5852</v>
      </c>
      <c r="I411" s="52"/>
      <c r="J411" s="52"/>
      <c r="K411" s="53"/>
      <c r="L411" s="54"/>
      <c r="M411" s="52"/>
      <c r="N411" s="55"/>
      <c r="O411" s="50"/>
      <c r="P411" s="53"/>
      <c r="Q411" s="52"/>
      <c r="R411" s="52"/>
      <c r="S411" s="52"/>
      <c r="T411" s="55"/>
      <c r="U411" s="52" t="str">
        <f t="shared" ca="1" si="6"/>
        <v/>
      </c>
      <c r="V411" s="54">
        <v>0</v>
      </c>
      <c r="W411" s="52" t="s">
        <v>5587</v>
      </c>
    </row>
    <row r="412" spans="1:23" ht="20.100000000000001" customHeight="1" x14ac:dyDescent="0.25">
      <c r="A412" s="50"/>
      <c r="B412" s="50"/>
      <c r="C412" s="51"/>
      <c r="D412" s="51"/>
      <c r="E412" s="52"/>
      <c r="F412" s="52"/>
      <c r="G412" s="52"/>
      <c r="H412" s="52">
        <v>5853</v>
      </c>
      <c r="I412" s="52"/>
      <c r="J412" s="52"/>
      <c r="K412" s="53"/>
      <c r="L412" s="54"/>
      <c r="M412" s="52"/>
      <c r="N412" s="55"/>
      <c r="O412" s="50"/>
      <c r="P412" s="53"/>
      <c r="Q412" s="52"/>
      <c r="R412" s="52"/>
      <c r="S412" s="52"/>
      <c r="T412" s="55"/>
      <c r="U412" s="52" t="str">
        <f t="shared" ca="1" si="6"/>
        <v/>
      </c>
      <c r="V412" s="54">
        <v>0</v>
      </c>
      <c r="W412" s="52" t="s">
        <v>5587</v>
      </c>
    </row>
    <row r="413" spans="1:23" ht="20.100000000000001" customHeight="1" x14ac:dyDescent="0.25">
      <c r="A413" s="50"/>
      <c r="B413" s="50"/>
      <c r="C413" s="51"/>
      <c r="D413" s="51"/>
      <c r="E413" s="52"/>
      <c r="F413" s="52"/>
      <c r="G413" s="52"/>
      <c r="H413" s="52">
        <v>5854</v>
      </c>
      <c r="I413" s="52"/>
      <c r="J413" s="52"/>
      <c r="K413" s="53"/>
      <c r="L413" s="54"/>
      <c r="M413" s="52"/>
      <c r="N413" s="55"/>
      <c r="O413" s="50"/>
      <c r="P413" s="53"/>
      <c r="Q413" s="52"/>
      <c r="R413" s="52"/>
      <c r="S413" s="52"/>
      <c r="T413" s="55"/>
      <c r="U413" s="52" t="str">
        <f t="shared" ca="1" si="6"/>
        <v/>
      </c>
      <c r="V413" s="54">
        <v>0</v>
      </c>
      <c r="W413" s="52" t="s">
        <v>5587</v>
      </c>
    </row>
    <row r="414" spans="1:23" ht="20.100000000000001" customHeight="1" x14ac:dyDescent="0.25">
      <c r="A414" s="50"/>
      <c r="B414" s="50"/>
      <c r="C414" s="51"/>
      <c r="D414" s="51"/>
      <c r="E414" s="52"/>
      <c r="F414" s="52"/>
      <c r="G414" s="52"/>
      <c r="H414" s="52">
        <v>5855</v>
      </c>
      <c r="I414" s="52"/>
      <c r="J414" s="52"/>
      <c r="K414" s="53"/>
      <c r="L414" s="54"/>
      <c r="M414" s="52"/>
      <c r="N414" s="55"/>
      <c r="O414" s="50"/>
      <c r="P414" s="53"/>
      <c r="Q414" s="52"/>
      <c r="R414" s="52"/>
      <c r="S414" s="52"/>
      <c r="T414" s="55"/>
      <c r="U414" s="52" t="str">
        <f t="shared" ca="1" si="6"/>
        <v/>
      </c>
      <c r="V414" s="54">
        <v>0</v>
      </c>
      <c r="W414" s="52" t="s">
        <v>5587</v>
      </c>
    </row>
    <row r="415" spans="1:23" ht="20.100000000000001" customHeight="1" x14ac:dyDescent="0.25">
      <c r="A415" s="50"/>
      <c r="B415" s="50"/>
      <c r="C415" s="51"/>
      <c r="D415" s="51"/>
      <c r="E415" s="52"/>
      <c r="F415" s="52"/>
      <c r="G415" s="52"/>
      <c r="H415" s="52">
        <v>5856</v>
      </c>
      <c r="I415" s="52"/>
      <c r="J415" s="52"/>
      <c r="K415" s="53"/>
      <c r="L415" s="54"/>
      <c r="M415" s="52"/>
      <c r="N415" s="55"/>
      <c r="O415" s="50"/>
      <c r="P415" s="53"/>
      <c r="Q415" s="52"/>
      <c r="R415" s="52"/>
      <c r="S415" s="52"/>
      <c r="T415" s="55"/>
      <c r="U415" s="52" t="str">
        <f t="shared" ca="1" si="6"/>
        <v/>
      </c>
      <c r="V415" s="54">
        <v>0</v>
      </c>
      <c r="W415" s="52" t="s">
        <v>5587</v>
      </c>
    </row>
    <row r="416" spans="1:23" ht="20.100000000000001" customHeight="1" x14ac:dyDescent="0.25">
      <c r="A416" s="50"/>
      <c r="B416" s="50"/>
      <c r="C416" s="51"/>
      <c r="D416" s="51"/>
      <c r="E416" s="52"/>
      <c r="F416" s="52"/>
      <c r="G416" s="52"/>
      <c r="H416" s="52">
        <v>5857</v>
      </c>
      <c r="I416" s="52"/>
      <c r="J416" s="52"/>
      <c r="K416" s="53"/>
      <c r="L416" s="54"/>
      <c r="M416" s="52"/>
      <c r="N416" s="55"/>
      <c r="O416" s="50"/>
      <c r="P416" s="53"/>
      <c r="Q416" s="52"/>
      <c r="R416" s="52"/>
      <c r="S416" s="52"/>
      <c r="T416" s="55"/>
      <c r="U416" s="52" t="str">
        <f t="shared" ca="1" si="6"/>
        <v/>
      </c>
      <c r="V416" s="54">
        <v>0</v>
      </c>
      <c r="W416" s="52" t="s">
        <v>5587</v>
      </c>
    </row>
    <row r="417" spans="1:23" ht="20.100000000000001" customHeight="1" x14ac:dyDescent="0.25">
      <c r="A417" s="50"/>
      <c r="B417" s="50"/>
      <c r="C417" s="51"/>
      <c r="D417" s="51"/>
      <c r="E417" s="52"/>
      <c r="F417" s="52"/>
      <c r="G417" s="52"/>
      <c r="H417" s="52">
        <v>5858</v>
      </c>
      <c r="I417" s="52"/>
      <c r="J417" s="52"/>
      <c r="K417" s="53"/>
      <c r="L417" s="54"/>
      <c r="M417" s="52"/>
      <c r="N417" s="55"/>
      <c r="O417" s="50"/>
      <c r="P417" s="53"/>
      <c r="Q417" s="52"/>
      <c r="R417" s="52"/>
      <c r="S417" s="52"/>
      <c r="T417" s="55"/>
      <c r="U417" s="52" t="str">
        <f t="shared" ca="1" si="6"/>
        <v/>
      </c>
      <c r="V417" s="54">
        <v>0</v>
      </c>
      <c r="W417" s="52" t="s">
        <v>5587</v>
      </c>
    </row>
    <row r="418" spans="1:23" ht="20.100000000000001" customHeight="1" x14ac:dyDescent="0.25">
      <c r="A418" s="50"/>
      <c r="B418" s="50"/>
      <c r="C418" s="51"/>
      <c r="D418" s="51"/>
      <c r="E418" s="52"/>
      <c r="F418" s="52"/>
      <c r="G418" s="52"/>
      <c r="H418" s="52">
        <v>5859</v>
      </c>
      <c r="I418" s="52"/>
      <c r="J418" s="52"/>
      <c r="K418" s="53"/>
      <c r="L418" s="54"/>
      <c r="M418" s="52"/>
      <c r="N418" s="55"/>
      <c r="O418" s="50"/>
      <c r="P418" s="53"/>
      <c r="Q418" s="52"/>
      <c r="R418" s="52"/>
      <c r="S418" s="52"/>
      <c r="T418" s="55"/>
      <c r="U418" s="52" t="str">
        <f t="shared" ca="1" si="6"/>
        <v/>
      </c>
      <c r="V418" s="54">
        <v>0</v>
      </c>
      <c r="W418" s="52" t="s">
        <v>5587</v>
      </c>
    </row>
    <row r="419" spans="1:23" ht="20.100000000000001" customHeight="1" x14ac:dyDescent="0.25">
      <c r="A419" s="50"/>
      <c r="B419" s="50"/>
      <c r="C419" s="51"/>
      <c r="D419" s="51"/>
      <c r="E419" s="52"/>
      <c r="F419" s="52"/>
      <c r="G419" s="52"/>
      <c r="H419" s="52">
        <v>5860</v>
      </c>
      <c r="I419" s="52"/>
      <c r="J419" s="52"/>
      <c r="K419" s="53"/>
      <c r="L419" s="54"/>
      <c r="M419" s="52"/>
      <c r="N419" s="55"/>
      <c r="O419" s="50"/>
      <c r="P419" s="53"/>
      <c r="Q419" s="52"/>
      <c r="R419" s="52"/>
      <c r="S419" s="52"/>
      <c r="T419" s="55"/>
      <c r="U419" s="52" t="str">
        <f t="shared" ca="1" si="6"/>
        <v/>
      </c>
      <c r="V419" s="54">
        <v>0</v>
      </c>
      <c r="W419" s="52" t="s">
        <v>5587</v>
      </c>
    </row>
    <row r="420" spans="1:23" ht="20.100000000000001" customHeight="1" x14ac:dyDescent="0.25">
      <c r="A420" s="50"/>
      <c r="B420" s="50"/>
      <c r="C420" s="51"/>
      <c r="D420" s="51"/>
      <c r="E420" s="52"/>
      <c r="F420" s="52"/>
      <c r="G420" s="52"/>
      <c r="H420" s="52">
        <v>5861</v>
      </c>
      <c r="I420" s="52"/>
      <c r="J420" s="52"/>
      <c r="K420" s="53"/>
      <c r="L420" s="54"/>
      <c r="M420" s="52"/>
      <c r="N420" s="55"/>
      <c r="O420" s="50"/>
      <c r="P420" s="53"/>
      <c r="Q420" s="52"/>
      <c r="R420" s="52"/>
      <c r="S420" s="52"/>
      <c r="T420" s="55"/>
      <c r="U420" s="52" t="str">
        <f t="shared" ca="1" si="6"/>
        <v/>
      </c>
      <c r="V420" s="54">
        <v>0</v>
      </c>
      <c r="W420" s="52" t="s">
        <v>5587</v>
      </c>
    </row>
    <row r="421" spans="1:23" ht="20.100000000000001" customHeight="1" x14ac:dyDescent="0.25">
      <c r="A421" s="50"/>
      <c r="B421" s="50"/>
      <c r="C421" s="51"/>
      <c r="D421" s="51"/>
      <c r="E421" s="52"/>
      <c r="F421" s="52"/>
      <c r="G421" s="52"/>
      <c r="H421" s="52">
        <v>5862</v>
      </c>
      <c r="I421" s="52"/>
      <c r="J421" s="52"/>
      <c r="K421" s="53"/>
      <c r="L421" s="54"/>
      <c r="M421" s="52"/>
      <c r="N421" s="55"/>
      <c r="O421" s="50"/>
      <c r="P421" s="53"/>
      <c r="Q421" s="52"/>
      <c r="R421" s="52"/>
      <c r="S421" s="52"/>
      <c r="T421" s="55"/>
      <c r="U421" s="52" t="str">
        <f t="shared" ca="1" si="6"/>
        <v/>
      </c>
      <c r="V421" s="54">
        <v>0</v>
      </c>
      <c r="W421" s="52" t="s">
        <v>5587</v>
      </c>
    </row>
    <row r="422" spans="1:23" ht="20.100000000000001" customHeight="1" x14ac:dyDescent="0.25">
      <c r="A422" s="50"/>
      <c r="B422" s="50"/>
      <c r="C422" s="51"/>
      <c r="D422" s="51"/>
      <c r="E422" s="52"/>
      <c r="F422" s="52"/>
      <c r="G422" s="52"/>
      <c r="H422" s="52">
        <v>5863</v>
      </c>
      <c r="I422" s="52"/>
      <c r="J422" s="52"/>
      <c r="K422" s="53"/>
      <c r="L422" s="54"/>
      <c r="M422" s="52"/>
      <c r="N422" s="55"/>
      <c r="O422" s="50"/>
      <c r="P422" s="53"/>
      <c r="Q422" s="52"/>
      <c r="R422" s="52"/>
      <c r="S422" s="52"/>
      <c r="T422" s="55"/>
      <c r="U422" s="52" t="str">
        <f t="shared" ca="1" si="6"/>
        <v/>
      </c>
      <c r="V422" s="54">
        <v>0</v>
      </c>
      <c r="W422" s="52" t="s">
        <v>5587</v>
      </c>
    </row>
    <row r="423" spans="1:23" ht="20.100000000000001" customHeight="1" x14ac:dyDescent="0.25">
      <c r="A423" s="50"/>
      <c r="B423" s="50"/>
      <c r="C423" s="51"/>
      <c r="D423" s="51"/>
      <c r="E423" s="52"/>
      <c r="F423" s="52"/>
      <c r="G423" s="52"/>
      <c r="H423" s="52">
        <v>5864</v>
      </c>
      <c r="I423" s="52"/>
      <c r="J423" s="52"/>
      <c r="K423" s="53"/>
      <c r="L423" s="54"/>
      <c r="M423" s="52"/>
      <c r="N423" s="55"/>
      <c r="O423" s="50"/>
      <c r="P423" s="53"/>
      <c r="Q423" s="52"/>
      <c r="R423" s="52"/>
      <c r="S423" s="52"/>
      <c r="T423" s="55"/>
      <c r="U423" s="52" t="str">
        <f t="shared" ca="1" si="6"/>
        <v/>
      </c>
      <c r="V423" s="54">
        <v>0</v>
      </c>
      <c r="W423" s="52" t="s">
        <v>5587</v>
      </c>
    </row>
    <row r="424" spans="1:23" ht="20.100000000000001" customHeight="1" x14ac:dyDescent="0.25">
      <c r="A424" s="50"/>
      <c r="B424" s="50"/>
      <c r="C424" s="51"/>
      <c r="D424" s="51"/>
      <c r="E424" s="52"/>
      <c r="F424" s="52"/>
      <c r="G424" s="52"/>
      <c r="H424" s="52">
        <v>5865</v>
      </c>
      <c r="I424" s="52"/>
      <c r="J424" s="52"/>
      <c r="K424" s="53"/>
      <c r="L424" s="54"/>
      <c r="M424" s="52"/>
      <c r="N424" s="55"/>
      <c r="O424" s="50"/>
      <c r="P424" s="53"/>
      <c r="Q424" s="52"/>
      <c r="R424" s="52"/>
      <c r="S424" s="52"/>
      <c r="T424" s="55"/>
      <c r="U424" s="52" t="str">
        <f t="shared" ca="1" si="6"/>
        <v/>
      </c>
      <c r="V424" s="54">
        <v>0</v>
      </c>
      <c r="W424" s="52" t="s">
        <v>5587</v>
      </c>
    </row>
    <row r="425" spans="1:23" ht="20.100000000000001" customHeight="1" x14ac:dyDescent="0.25">
      <c r="A425" s="50"/>
      <c r="B425" s="50"/>
      <c r="C425" s="51"/>
      <c r="D425" s="51"/>
      <c r="E425" s="52"/>
      <c r="F425" s="52"/>
      <c r="G425" s="52"/>
      <c r="H425" s="52">
        <v>5866</v>
      </c>
      <c r="I425" s="52"/>
      <c r="J425" s="52"/>
      <c r="K425" s="53"/>
      <c r="L425" s="54"/>
      <c r="M425" s="52"/>
      <c r="N425" s="55"/>
      <c r="O425" s="50"/>
      <c r="P425" s="53"/>
      <c r="Q425" s="52"/>
      <c r="R425" s="52"/>
      <c r="S425" s="52"/>
      <c r="T425" s="55"/>
      <c r="U425" s="52" t="str">
        <f t="shared" ca="1" si="6"/>
        <v/>
      </c>
      <c r="V425" s="54">
        <v>0</v>
      </c>
      <c r="W425" s="52" t="s">
        <v>5587</v>
      </c>
    </row>
    <row r="426" spans="1:23" ht="20.100000000000001" customHeight="1" x14ac:dyDescent="0.25">
      <c r="A426" s="50"/>
      <c r="B426" s="50"/>
      <c r="C426" s="51"/>
      <c r="D426" s="51"/>
      <c r="E426" s="52"/>
      <c r="F426" s="52"/>
      <c r="G426" s="52"/>
      <c r="H426" s="52">
        <v>5867</v>
      </c>
      <c r="I426" s="52"/>
      <c r="J426" s="52"/>
      <c r="K426" s="53"/>
      <c r="L426" s="54"/>
      <c r="M426" s="52"/>
      <c r="N426" s="55"/>
      <c r="O426" s="50"/>
      <c r="P426" s="53"/>
      <c r="Q426" s="52"/>
      <c r="R426" s="52"/>
      <c r="S426" s="52"/>
      <c r="T426" s="55"/>
      <c r="U426" s="52" t="str">
        <f t="shared" ca="1" si="6"/>
        <v/>
      </c>
      <c r="V426" s="54">
        <v>0</v>
      </c>
      <c r="W426" s="52" t="s">
        <v>5587</v>
      </c>
    </row>
    <row r="427" spans="1:23" ht="20.100000000000001" customHeight="1" x14ac:dyDescent="0.25">
      <c r="A427" s="50"/>
      <c r="B427" s="50"/>
      <c r="C427" s="51"/>
      <c r="D427" s="51"/>
      <c r="E427" s="52"/>
      <c r="F427" s="52"/>
      <c r="G427" s="52"/>
      <c r="H427" s="52">
        <v>5868</v>
      </c>
      <c r="I427" s="52"/>
      <c r="J427" s="52"/>
      <c r="K427" s="53"/>
      <c r="L427" s="54"/>
      <c r="M427" s="52"/>
      <c r="N427" s="55"/>
      <c r="O427" s="50"/>
      <c r="P427" s="53"/>
      <c r="Q427" s="52"/>
      <c r="R427" s="52"/>
      <c r="S427" s="52"/>
      <c r="T427" s="55"/>
      <c r="U427" s="52" t="str">
        <f t="shared" ca="1" si="6"/>
        <v/>
      </c>
      <c r="V427" s="54">
        <v>0</v>
      </c>
      <c r="W427" s="52" t="s">
        <v>5587</v>
      </c>
    </row>
    <row r="428" spans="1:23" ht="20.100000000000001" customHeight="1" x14ac:dyDescent="0.25">
      <c r="A428" s="50"/>
      <c r="B428" s="50"/>
      <c r="C428" s="51"/>
      <c r="D428" s="51"/>
      <c r="E428" s="52"/>
      <c r="F428" s="52"/>
      <c r="G428" s="52"/>
      <c r="H428" s="52">
        <v>5869</v>
      </c>
      <c r="I428" s="52"/>
      <c r="J428" s="52"/>
      <c r="K428" s="53"/>
      <c r="L428" s="54"/>
      <c r="M428" s="52"/>
      <c r="N428" s="55"/>
      <c r="O428" s="50"/>
      <c r="P428" s="53"/>
      <c r="Q428" s="52"/>
      <c r="R428" s="52"/>
      <c r="S428" s="52"/>
      <c r="T428" s="55"/>
      <c r="U428" s="52" t="str">
        <f t="shared" ca="1" si="6"/>
        <v/>
      </c>
      <c r="V428" s="54">
        <v>0</v>
      </c>
      <c r="W428" s="52" t="s">
        <v>5587</v>
      </c>
    </row>
    <row r="429" spans="1:23" ht="20.100000000000001" customHeight="1" x14ac:dyDescent="0.25">
      <c r="A429" s="50"/>
      <c r="B429" s="50"/>
      <c r="C429" s="51"/>
      <c r="D429" s="51"/>
      <c r="E429" s="52"/>
      <c r="F429" s="52"/>
      <c r="G429" s="52"/>
      <c r="H429" s="52">
        <v>5870</v>
      </c>
      <c r="I429" s="52"/>
      <c r="J429" s="52"/>
      <c r="K429" s="53"/>
      <c r="L429" s="54"/>
      <c r="M429" s="52"/>
      <c r="N429" s="55"/>
      <c r="O429" s="50"/>
      <c r="P429" s="53"/>
      <c r="Q429" s="52"/>
      <c r="R429" s="52"/>
      <c r="S429" s="52"/>
      <c r="T429" s="55"/>
      <c r="U429" s="52" t="str">
        <f t="shared" ca="1" si="6"/>
        <v/>
      </c>
      <c r="V429" s="54">
        <v>0</v>
      </c>
      <c r="W429" s="52" t="s">
        <v>5587</v>
      </c>
    </row>
    <row r="430" spans="1:23" ht="20.100000000000001" customHeight="1" x14ac:dyDescent="0.25">
      <c r="A430" s="50"/>
      <c r="B430" s="50"/>
      <c r="C430" s="51"/>
      <c r="D430" s="51"/>
      <c r="E430" s="52"/>
      <c r="F430" s="52"/>
      <c r="G430" s="52"/>
      <c r="H430" s="52">
        <v>5871</v>
      </c>
      <c r="I430" s="52"/>
      <c r="J430" s="52"/>
      <c r="K430" s="53"/>
      <c r="L430" s="54"/>
      <c r="M430" s="52"/>
      <c r="N430" s="55"/>
      <c r="O430" s="50"/>
      <c r="P430" s="53"/>
      <c r="Q430" s="52"/>
      <c r="R430" s="52"/>
      <c r="S430" s="52"/>
      <c r="T430" s="55"/>
      <c r="U430" s="52" t="str">
        <f t="shared" ca="1" si="6"/>
        <v/>
      </c>
      <c r="V430" s="54">
        <v>0</v>
      </c>
      <c r="W430" s="52" t="s">
        <v>5587</v>
      </c>
    </row>
    <row r="431" spans="1:23" ht="20.100000000000001" customHeight="1" x14ac:dyDescent="0.25">
      <c r="A431" s="50"/>
      <c r="B431" s="50"/>
      <c r="C431" s="51"/>
      <c r="D431" s="51"/>
      <c r="E431" s="52"/>
      <c r="F431" s="52"/>
      <c r="G431" s="52"/>
      <c r="H431" s="52">
        <v>5872</v>
      </c>
      <c r="I431" s="52"/>
      <c r="J431" s="52"/>
      <c r="K431" s="53"/>
      <c r="L431" s="54"/>
      <c r="M431" s="52"/>
      <c r="N431" s="55"/>
      <c r="O431" s="50"/>
      <c r="P431" s="53"/>
      <c r="Q431" s="52"/>
      <c r="R431" s="52"/>
      <c r="S431" s="52"/>
      <c r="T431" s="55"/>
      <c r="U431" s="52" t="str">
        <f t="shared" ca="1" si="6"/>
        <v/>
      </c>
      <c r="V431" s="54">
        <v>0</v>
      </c>
      <c r="W431" s="52" t="s">
        <v>5587</v>
      </c>
    </row>
    <row r="432" spans="1:23" ht="20.100000000000001" customHeight="1" x14ac:dyDescent="0.25">
      <c r="A432" s="50"/>
      <c r="B432" s="50"/>
      <c r="C432" s="51"/>
      <c r="D432" s="51"/>
      <c r="E432" s="52"/>
      <c r="F432" s="52"/>
      <c r="G432" s="52"/>
      <c r="H432" s="52">
        <v>5873</v>
      </c>
      <c r="I432" s="52"/>
      <c r="J432" s="52"/>
      <c r="K432" s="53"/>
      <c r="L432" s="54"/>
      <c r="M432" s="52"/>
      <c r="N432" s="55"/>
      <c r="O432" s="50"/>
      <c r="P432" s="53"/>
      <c r="Q432" s="52"/>
      <c r="R432" s="52"/>
      <c r="S432" s="52"/>
      <c r="T432" s="55"/>
      <c r="U432" s="52" t="str">
        <f t="shared" ca="1" si="6"/>
        <v/>
      </c>
      <c r="V432" s="54">
        <v>0</v>
      </c>
      <c r="W432" s="52" t="s">
        <v>5587</v>
      </c>
    </row>
    <row r="433" spans="1:23" ht="20.100000000000001" customHeight="1" x14ac:dyDescent="0.25">
      <c r="A433" s="50"/>
      <c r="B433" s="50"/>
      <c r="C433" s="51"/>
      <c r="D433" s="51"/>
      <c r="E433" s="52"/>
      <c r="F433" s="52"/>
      <c r="G433" s="52"/>
      <c r="H433" s="52">
        <v>5874</v>
      </c>
      <c r="I433" s="52"/>
      <c r="J433" s="52"/>
      <c r="K433" s="53"/>
      <c r="L433" s="54"/>
      <c r="M433" s="52"/>
      <c r="N433" s="55"/>
      <c r="O433" s="50"/>
      <c r="P433" s="53"/>
      <c r="Q433" s="52"/>
      <c r="R433" s="52"/>
      <c r="S433" s="52"/>
      <c r="T433" s="55"/>
      <c r="U433" s="52" t="str">
        <f t="shared" ca="1" si="6"/>
        <v/>
      </c>
      <c r="V433" s="54">
        <v>0</v>
      </c>
      <c r="W433" s="52" t="s">
        <v>5587</v>
      </c>
    </row>
    <row r="434" spans="1:23" ht="20.100000000000001" customHeight="1" x14ac:dyDescent="0.25">
      <c r="A434" s="50"/>
      <c r="B434" s="50"/>
      <c r="C434" s="51"/>
      <c r="D434" s="51"/>
      <c r="E434" s="52"/>
      <c r="F434" s="52"/>
      <c r="G434" s="52"/>
      <c r="H434" s="52">
        <v>5875</v>
      </c>
      <c r="I434" s="52"/>
      <c r="J434" s="52"/>
      <c r="K434" s="53"/>
      <c r="L434" s="54"/>
      <c r="M434" s="52"/>
      <c r="N434" s="55"/>
      <c r="O434" s="50"/>
      <c r="P434" s="53"/>
      <c r="Q434" s="52"/>
      <c r="R434" s="52"/>
      <c r="S434" s="52"/>
      <c r="T434" s="55"/>
      <c r="U434" s="52" t="str">
        <f t="shared" ca="1" si="6"/>
        <v/>
      </c>
      <c r="V434" s="54">
        <v>0</v>
      </c>
      <c r="W434" s="52" t="s">
        <v>5587</v>
      </c>
    </row>
    <row r="435" spans="1:23" ht="20.100000000000001" customHeight="1" x14ac:dyDescent="0.25">
      <c r="A435" s="50"/>
      <c r="B435" s="50"/>
      <c r="C435" s="51"/>
      <c r="D435" s="51"/>
      <c r="E435" s="52"/>
      <c r="F435" s="52"/>
      <c r="G435" s="52"/>
      <c r="H435" s="52">
        <v>5876</v>
      </c>
      <c r="I435" s="52"/>
      <c r="J435" s="52"/>
      <c r="K435" s="53"/>
      <c r="L435" s="54"/>
      <c r="M435" s="52"/>
      <c r="N435" s="55"/>
      <c r="O435" s="50"/>
      <c r="P435" s="53"/>
      <c r="Q435" s="52"/>
      <c r="R435" s="52"/>
      <c r="S435" s="52"/>
      <c r="T435" s="55"/>
      <c r="U435" s="52" t="str">
        <f t="shared" ca="1" si="6"/>
        <v/>
      </c>
      <c r="V435" s="54">
        <v>0</v>
      </c>
      <c r="W435" s="52" t="s">
        <v>5587</v>
      </c>
    </row>
    <row r="436" spans="1:23" ht="20.100000000000001" customHeight="1" x14ac:dyDescent="0.25">
      <c r="A436" s="50"/>
      <c r="B436" s="50"/>
      <c r="C436" s="51"/>
      <c r="D436" s="51"/>
      <c r="E436" s="52"/>
      <c r="F436" s="52"/>
      <c r="G436" s="52"/>
      <c r="H436" s="52">
        <v>5877</v>
      </c>
      <c r="I436" s="52"/>
      <c r="J436" s="52"/>
      <c r="K436" s="53"/>
      <c r="L436" s="54"/>
      <c r="M436" s="52"/>
      <c r="N436" s="55"/>
      <c r="O436" s="50"/>
      <c r="P436" s="53"/>
      <c r="Q436" s="52"/>
      <c r="R436" s="52"/>
      <c r="S436" s="52"/>
      <c r="T436" s="55"/>
      <c r="U436" s="52" t="str">
        <f t="shared" ca="1" si="6"/>
        <v/>
      </c>
      <c r="V436" s="54">
        <v>0</v>
      </c>
      <c r="W436" s="52" t="s">
        <v>5587</v>
      </c>
    </row>
    <row r="437" spans="1:23" ht="20.100000000000001" customHeight="1" x14ac:dyDescent="0.25">
      <c r="A437" s="50"/>
      <c r="B437" s="50"/>
      <c r="C437" s="51"/>
      <c r="D437" s="51"/>
      <c r="E437" s="52"/>
      <c r="F437" s="52"/>
      <c r="G437" s="52"/>
      <c r="H437" s="52">
        <v>5878</v>
      </c>
      <c r="I437" s="52"/>
      <c r="J437" s="52"/>
      <c r="K437" s="53"/>
      <c r="L437" s="54"/>
      <c r="M437" s="52"/>
      <c r="N437" s="55"/>
      <c r="O437" s="50"/>
      <c r="P437" s="53"/>
      <c r="Q437" s="52"/>
      <c r="R437" s="52"/>
      <c r="S437" s="52"/>
      <c r="T437" s="55"/>
      <c r="U437" s="52" t="str">
        <f t="shared" ca="1" si="6"/>
        <v/>
      </c>
      <c r="V437" s="54">
        <v>0</v>
      </c>
      <c r="W437" s="52" t="s">
        <v>5587</v>
      </c>
    </row>
    <row r="438" spans="1:23" ht="20.100000000000001" customHeight="1" x14ac:dyDescent="0.25">
      <c r="A438" s="50"/>
      <c r="B438" s="50"/>
      <c r="C438" s="51"/>
      <c r="D438" s="51"/>
      <c r="E438" s="52"/>
      <c r="F438" s="52"/>
      <c r="G438" s="52"/>
      <c r="H438" s="52">
        <v>5879</v>
      </c>
      <c r="I438" s="52"/>
      <c r="J438" s="52"/>
      <c r="K438" s="53"/>
      <c r="L438" s="54"/>
      <c r="M438" s="52"/>
      <c r="N438" s="55"/>
      <c r="O438" s="50"/>
      <c r="P438" s="53"/>
      <c r="Q438" s="52"/>
      <c r="R438" s="52"/>
      <c r="S438" s="52"/>
      <c r="T438" s="55"/>
      <c r="U438" s="52" t="str">
        <f t="shared" ca="1" si="6"/>
        <v/>
      </c>
      <c r="V438" s="54">
        <v>0</v>
      </c>
      <c r="W438" s="52" t="s">
        <v>5587</v>
      </c>
    </row>
    <row r="439" spans="1:23" ht="20.100000000000001" customHeight="1" x14ac:dyDescent="0.25">
      <c r="A439" s="50"/>
      <c r="B439" s="50"/>
      <c r="C439" s="51"/>
      <c r="D439" s="51"/>
      <c r="E439" s="52"/>
      <c r="F439" s="52"/>
      <c r="G439" s="52"/>
      <c r="H439" s="52">
        <v>5880</v>
      </c>
      <c r="I439" s="52"/>
      <c r="J439" s="52"/>
      <c r="K439" s="53"/>
      <c r="L439" s="54"/>
      <c r="M439" s="52"/>
      <c r="N439" s="55"/>
      <c r="O439" s="50"/>
      <c r="P439" s="53"/>
      <c r="Q439" s="52"/>
      <c r="R439" s="52"/>
      <c r="S439" s="52"/>
      <c r="T439" s="55"/>
      <c r="U439" s="52" t="str">
        <f t="shared" ca="1" si="6"/>
        <v/>
      </c>
      <c r="V439" s="54">
        <v>0</v>
      </c>
      <c r="W439" s="52" t="s">
        <v>5587</v>
      </c>
    </row>
    <row r="440" spans="1:23" ht="20.100000000000001" customHeight="1" x14ac:dyDescent="0.25">
      <c r="A440" s="50"/>
      <c r="B440" s="50"/>
      <c r="C440" s="51"/>
      <c r="D440" s="51"/>
      <c r="E440" s="52"/>
      <c r="F440" s="52"/>
      <c r="G440" s="52"/>
      <c r="H440" s="52">
        <v>5881</v>
      </c>
      <c r="I440" s="52"/>
      <c r="J440" s="52"/>
      <c r="K440" s="53"/>
      <c r="L440" s="54"/>
      <c r="M440" s="52"/>
      <c r="N440" s="55"/>
      <c r="O440" s="50"/>
      <c r="P440" s="53"/>
      <c r="Q440" s="52"/>
      <c r="R440" s="52"/>
      <c r="S440" s="52"/>
      <c r="T440" s="55"/>
      <c r="U440" s="52" t="str">
        <f t="shared" ca="1" si="6"/>
        <v/>
      </c>
      <c r="V440" s="54">
        <v>0</v>
      </c>
      <c r="W440" s="52" t="s">
        <v>5587</v>
      </c>
    </row>
    <row r="441" spans="1:23" ht="20.100000000000001" customHeight="1" x14ac:dyDescent="0.25">
      <c r="A441" s="50"/>
      <c r="B441" s="50"/>
      <c r="C441" s="51"/>
      <c r="D441" s="51"/>
      <c r="E441" s="52"/>
      <c r="F441" s="52"/>
      <c r="G441" s="52"/>
      <c r="H441" s="52">
        <v>5882</v>
      </c>
      <c r="I441" s="52"/>
      <c r="J441" s="52"/>
      <c r="K441" s="53"/>
      <c r="L441" s="54"/>
      <c r="M441" s="52"/>
      <c r="N441" s="55"/>
      <c r="O441" s="50"/>
      <c r="P441" s="53"/>
      <c r="Q441" s="52"/>
      <c r="R441" s="52"/>
      <c r="S441" s="52"/>
      <c r="T441" s="55"/>
      <c r="U441" s="52" t="str">
        <f t="shared" ca="1" si="6"/>
        <v/>
      </c>
      <c r="V441" s="54">
        <v>0</v>
      </c>
      <c r="W441" s="52" t="s">
        <v>5587</v>
      </c>
    </row>
    <row r="442" spans="1:23" ht="20.100000000000001" customHeight="1" x14ac:dyDescent="0.25">
      <c r="A442" s="50"/>
      <c r="B442" s="50"/>
      <c r="C442" s="51"/>
      <c r="D442" s="51"/>
      <c r="E442" s="52"/>
      <c r="F442" s="52"/>
      <c r="G442" s="52"/>
      <c r="H442" s="52">
        <v>5883</v>
      </c>
      <c r="I442" s="52"/>
      <c r="J442" s="52"/>
      <c r="K442" s="53"/>
      <c r="L442" s="54"/>
      <c r="M442" s="52"/>
      <c r="N442" s="55"/>
      <c r="O442" s="50"/>
      <c r="P442" s="53"/>
      <c r="Q442" s="52"/>
      <c r="R442" s="52"/>
      <c r="S442" s="52"/>
      <c r="T442" s="55"/>
      <c r="U442" s="52" t="str">
        <f t="shared" ca="1" si="6"/>
        <v/>
      </c>
      <c r="V442" s="54">
        <v>0</v>
      </c>
      <c r="W442" s="52" t="s">
        <v>5587</v>
      </c>
    </row>
    <row r="443" spans="1:23" ht="20.100000000000001" customHeight="1" x14ac:dyDescent="0.25">
      <c r="A443" s="50"/>
      <c r="B443" s="50"/>
      <c r="C443" s="51"/>
      <c r="D443" s="51"/>
      <c r="E443" s="52"/>
      <c r="F443" s="52"/>
      <c r="G443" s="52"/>
      <c r="H443" s="52">
        <v>5884</v>
      </c>
      <c r="I443" s="52"/>
      <c r="J443" s="52"/>
      <c r="K443" s="53"/>
      <c r="L443" s="54"/>
      <c r="M443" s="52"/>
      <c r="N443" s="55"/>
      <c r="O443" s="50"/>
      <c r="P443" s="53"/>
      <c r="Q443" s="52"/>
      <c r="R443" s="52"/>
      <c r="S443" s="52"/>
      <c r="T443" s="55"/>
      <c r="U443" s="52" t="str">
        <f t="shared" ca="1" si="6"/>
        <v/>
      </c>
      <c r="V443" s="54">
        <v>0</v>
      </c>
      <c r="W443" s="52" t="s">
        <v>5587</v>
      </c>
    </row>
    <row r="444" spans="1:23" ht="20.100000000000001" customHeight="1" x14ac:dyDescent="0.25">
      <c r="A444" s="50"/>
      <c r="B444" s="50"/>
      <c r="C444" s="51"/>
      <c r="D444" s="51"/>
      <c r="E444" s="52"/>
      <c r="F444" s="52"/>
      <c r="G444" s="52"/>
      <c r="H444" s="52">
        <v>5885</v>
      </c>
      <c r="I444" s="52"/>
      <c r="J444" s="52"/>
      <c r="K444" s="53"/>
      <c r="L444" s="54"/>
      <c r="M444" s="52"/>
      <c r="N444" s="55"/>
      <c r="O444" s="50"/>
      <c r="P444" s="53"/>
      <c r="Q444" s="52"/>
      <c r="R444" s="52"/>
      <c r="S444" s="52"/>
      <c r="T444" s="55"/>
      <c r="U444" s="52" t="str">
        <f t="shared" ca="1" si="6"/>
        <v/>
      </c>
      <c r="V444" s="54">
        <v>0</v>
      </c>
      <c r="W444" s="52" t="s">
        <v>5587</v>
      </c>
    </row>
    <row r="445" spans="1:23" ht="20.100000000000001" customHeight="1" x14ac:dyDescent="0.25">
      <c r="A445" s="50"/>
      <c r="B445" s="50"/>
      <c r="C445" s="51"/>
      <c r="D445" s="51"/>
      <c r="E445" s="52"/>
      <c r="F445" s="52"/>
      <c r="G445" s="52"/>
      <c r="H445" s="52">
        <v>5886</v>
      </c>
      <c r="I445" s="52"/>
      <c r="J445" s="52"/>
      <c r="K445" s="53"/>
      <c r="L445" s="54"/>
      <c r="M445" s="52"/>
      <c r="N445" s="55"/>
      <c r="O445" s="50"/>
      <c r="P445" s="53"/>
      <c r="Q445" s="52"/>
      <c r="R445" s="52"/>
      <c r="S445" s="52"/>
      <c r="T445" s="55"/>
      <c r="U445" s="52" t="str">
        <f t="shared" ca="1" si="6"/>
        <v/>
      </c>
      <c r="V445" s="54">
        <v>0</v>
      </c>
      <c r="W445" s="52" t="s">
        <v>5587</v>
      </c>
    </row>
    <row r="446" spans="1:23" ht="20.100000000000001" customHeight="1" x14ac:dyDescent="0.25">
      <c r="A446" s="50"/>
      <c r="B446" s="50"/>
      <c r="C446" s="51"/>
      <c r="D446" s="51"/>
      <c r="E446" s="52"/>
      <c r="F446" s="52"/>
      <c r="G446" s="52"/>
      <c r="H446" s="52">
        <v>5887</v>
      </c>
      <c r="I446" s="52"/>
      <c r="J446" s="52"/>
      <c r="K446" s="53"/>
      <c r="L446" s="54"/>
      <c r="M446" s="52"/>
      <c r="N446" s="55"/>
      <c r="O446" s="50"/>
      <c r="P446" s="53"/>
      <c r="Q446" s="52"/>
      <c r="R446" s="52"/>
      <c r="S446" s="52"/>
      <c r="T446" s="55"/>
      <c r="U446" s="52" t="str">
        <f t="shared" ca="1" si="6"/>
        <v/>
      </c>
      <c r="V446" s="54">
        <v>0</v>
      </c>
      <c r="W446" s="52" t="s">
        <v>5587</v>
      </c>
    </row>
    <row r="447" spans="1:23" ht="20.100000000000001" customHeight="1" x14ac:dyDescent="0.25">
      <c r="A447" s="50"/>
      <c r="B447" s="50"/>
      <c r="C447" s="51"/>
      <c r="D447" s="51"/>
      <c r="E447" s="52"/>
      <c r="F447" s="52"/>
      <c r="G447" s="52"/>
      <c r="H447" s="52">
        <v>5888</v>
      </c>
      <c r="I447" s="52"/>
      <c r="J447" s="52"/>
      <c r="K447" s="53"/>
      <c r="L447" s="54"/>
      <c r="M447" s="52"/>
      <c r="N447" s="55"/>
      <c r="O447" s="50"/>
      <c r="P447" s="53"/>
      <c r="Q447" s="52"/>
      <c r="R447" s="52"/>
      <c r="S447" s="52"/>
      <c r="T447" s="55"/>
      <c r="U447" s="52" t="str">
        <f t="shared" ca="1" si="6"/>
        <v/>
      </c>
      <c r="V447" s="54">
        <v>0</v>
      </c>
      <c r="W447" s="52" t="s">
        <v>5587</v>
      </c>
    </row>
    <row r="448" spans="1:23" ht="20.100000000000001" customHeight="1" x14ac:dyDescent="0.25">
      <c r="A448" s="50"/>
      <c r="B448" s="50"/>
      <c r="C448" s="51"/>
      <c r="D448" s="51"/>
      <c r="E448" s="52"/>
      <c r="F448" s="52"/>
      <c r="G448" s="52"/>
      <c r="H448" s="52">
        <v>5889</v>
      </c>
      <c r="I448" s="52"/>
      <c r="J448" s="52"/>
      <c r="K448" s="53"/>
      <c r="L448" s="54"/>
      <c r="M448" s="52"/>
      <c r="N448" s="55"/>
      <c r="O448" s="50"/>
      <c r="P448" s="53"/>
      <c r="Q448" s="52"/>
      <c r="R448" s="52"/>
      <c r="S448" s="52"/>
      <c r="T448" s="55"/>
      <c r="U448" s="52" t="str">
        <f t="shared" ca="1" si="6"/>
        <v/>
      </c>
      <c r="V448" s="54">
        <v>0</v>
      </c>
      <c r="W448" s="52" t="s">
        <v>5587</v>
      </c>
    </row>
    <row r="449" spans="1:23" ht="20.100000000000001" customHeight="1" x14ac:dyDescent="0.25">
      <c r="A449" s="50"/>
      <c r="B449" s="50"/>
      <c r="C449" s="51"/>
      <c r="D449" s="51"/>
      <c r="E449" s="52"/>
      <c r="F449" s="52"/>
      <c r="G449" s="52"/>
      <c r="H449" s="52">
        <v>5890</v>
      </c>
      <c r="I449" s="52"/>
      <c r="J449" s="52"/>
      <c r="K449" s="53"/>
      <c r="L449" s="54"/>
      <c r="M449" s="52"/>
      <c r="N449" s="55"/>
      <c r="O449" s="50"/>
      <c r="P449" s="53"/>
      <c r="Q449" s="52"/>
      <c r="R449" s="52"/>
      <c r="S449" s="52"/>
      <c r="T449" s="55"/>
      <c r="U449" s="52" t="str">
        <f t="shared" ca="1" si="6"/>
        <v/>
      </c>
      <c r="V449" s="54">
        <v>0</v>
      </c>
      <c r="W449" s="52" t="s">
        <v>5587</v>
      </c>
    </row>
    <row r="450" spans="1:23" ht="20.100000000000001" customHeight="1" x14ac:dyDescent="0.25">
      <c r="A450" s="50"/>
      <c r="B450" s="50"/>
      <c r="C450" s="51"/>
      <c r="D450" s="51"/>
      <c r="E450" s="52"/>
      <c r="F450" s="52"/>
      <c r="G450" s="52"/>
      <c r="H450" s="52">
        <v>5891</v>
      </c>
      <c r="I450" s="52"/>
      <c r="J450" s="52"/>
      <c r="K450" s="53"/>
      <c r="L450" s="54"/>
      <c r="M450" s="52"/>
      <c r="N450" s="55"/>
      <c r="O450" s="50"/>
      <c r="P450" s="53"/>
      <c r="Q450" s="52"/>
      <c r="R450" s="52"/>
      <c r="S450" s="52"/>
      <c r="T450" s="55"/>
      <c r="U450" s="52" t="str">
        <f t="shared" ca="1" si="6"/>
        <v/>
      </c>
      <c r="V450" s="54">
        <v>0</v>
      </c>
      <c r="W450" s="52" t="s">
        <v>5587</v>
      </c>
    </row>
    <row r="451" spans="1:23" ht="20.100000000000001" customHeight="1" x14ac:dyDescent="0.25">
      <c r="A451" s="50"/>
      <c r="B451" s="50"/>
      <c r="C451" s="51"/>
      <c r="D451" s="51"/>
      <c r="E451" s="52"/>
      <c r="F451" s="52"/>
      <c r="G451" s="52"/>
      <c r="H451" s="52">
        <v>5892</v>
      </c>
      <c r="I451" s="52"/>
      <c r="J451" s="52"/>
      <c r="K451" s="53"/>
      <c r="L451" s="54"/>
      <c r="M451" s="52"/>
      <c r="N451" s="55"/>
      <c r="O451" s="50"/>
      <c r="P451" s="53"/>
      <c r="Q451" s="52"/>
      <c r="R451" s="52"/>
      <c r="S451" s="52"/>
      <c r="T451" s="55"/>
      <c r="U451" s="52" t="str">
        <f t="shared" ca="1" si="6"/>
        <v/>
      </c>
      <c r="V451" s="54">
        <v>0</v>
      </c>
      <c r="W451" s="52" t="s">
        <v>5587</v>
      </c>
    </row>
    <row r="452" spans="1:23" ht="20.100000000000001" customHeight="1" x14ac:dyDescent="0.25">
      <c r="A452" s="50"/>
      <c r="B452" s="50"/>
      <c r="C452" s="51"/>
      <c r="D452" s="51"/>
      <c r="E452" s="52"/>
      <c r="F452" s="52"/>
      <c r="G452" s="52"/>
      <c r="H452" s="52">
        <v>5893</v>
      </c>
      <c r="I452" s="52"/>
      <c r="J452" s="52"/>
      <c r="K452" s="53"/>
      <c r="L452" s="54"/>
      <c r="M452" s="52"/>
      <c r="N452" s="55"/>
      <c r="O452" s="50"/>
      <c r="P452" s="53"/>
      <c r="Q452" s="52"/>
      <c r="R452" s="52"/>
      <c r="S452" s="52"/>
      <c r="T452" s="55"/>
      <c r="U452" s="52" t="str">
        <f t="shared" ca="1" si="6"/>
        <v/>
      </c>
      <c r="V452" s="54">
        <v>0</v>
      </c>
      <c r="W452" s="52" t="s">
        <v>5587</v>
      </c>
    </row>
    <row r="453" spans="1:23" ht="20.100000000000001" customHeight="1" x14ac:dyDescent="0.25">
      <c r="A453" s="50"/>
      <c r="B453" s="50"/>
      <c r="C453" s="51"/>
      <c r="D453" s="51"/>
      <c r="E453" s="52"/>
      <c r="F453" s="52"/>
      <c r="G453" s="52"/>
      <c r="H453" s="52">
        <v>5894</v>
      </c>
      <c r="I453" s="52"/>
      <c r="J453" s="52"/>
      <c r="K453" s="53"/>
      <c r="L453" s="54"/>
      <c r="M453" s="52"/>
      <c r="N453" s="55"/>
      <c r="O453" s="50"/>
      <c r="P453" s="53"/>
      <c r="Q453" s="52"/>
      <c r="R453" s="52"/>
      <c r="S453" s="52"/>
      <c r="T453" s="55"/>
      <c r="U453" s="52" t="str">
        <f t="shared" ref="U453:U516" ca="1" si="7">IF(C453="","",TODAY()-C453)</f>
        <v/>
      </c>
      <c r="V453" s="54">
        <v>0</v>
      </c>
      <c r="W453" s="52" t="s">
        <v>5587</v>
      </c>
    </row>
    <row r="454" spans="1:23" ht="20.100000000000001" customHeight="1" x14ac:dyDescent="0.25">
      <c r="A454" s="50"/>
      <c r="B454" s="50"/>
      <c r="C454" s="51"/>
      <c r="D454" s="51"/>
      <c r="E454" s="52"/>
      <c r="F454" s="52"/>
      <c r="G454" s="52"/>
      <c r="H454" s="52">
        <v>5895</v>
      </c>
      <c r="I454" s="52"/>
      <c r="J454" s="52"/>
      <c r="K454" s="53"/>
      <c r="L454" s="54"/>
      <c r="M454" s="52"/>
      <c r="N454" s="55"/>
      <c r="O454" s="50"/>
      <c r="P454" s="53"/>
      <c r="Q454" s="52"/>
      <c r="R454" s="52"/>
      <c r="S454" s="52"/>
      <c r="T454" s="55"/>
      <c r="U454" s="52" t="str">
        <f t="shared" ca="1" si="7"/>
        <v/>
      </c>
      <c r="V454" s="54">
        <v>0</v>
      </c>
      <c r="W454" s="52" t="s">
        <v>5587</v>
      </c>
    </row>
    <row r="455" spans="1:23" ht="20.100000000000001" customHeight="1" x14ac:dyDescent="0.25">
      <c r="A455" s="50"/>
      <c r="B455" s="50"/>
      <c r="C455" s="51"/>
      <c r="D455" s="51"/>
      <c r="E455" s="52"/>
      <c r="F455" s="52"/>
      <c r="G455" s="52"/>
      <c r="H455" s="52">
        <v>5896</v>
      </c>
      <c r="I455" s="52"/>
      <c r="J455" s="52"/>
      <c r="K455" s="53"/>
      <c r="L455" s="54"/>
      <c r="M455" s="52"/>
      <c r="N455" s="55"/>
      <c r="O455" s="50"/>
      <c r="P455" s="53"/>
      <c r="Q455" s="52"/>
      <c r="R455" s="52"/>
      <c r="S455" s="52"/>
      <c r="T455" s="55"/>
      <c r="U455" s="52" t="str">
        <f t="shared" ca="1" si="7"/>
        <v/>
      </c>
      <c r="V455" s="54">
        <v>0</v>
      </c>
      <c r="W455" s="52" t="s">
        <v>5587</v>
      </c>
    </row>
    <row r="456" spans="1:23" ht="20.100000000000001" customHeight="1" x14ac:dyDescent="0.25">
      <c r="A456" s="50"/>
      <c r="B456" s="50"/>
      <c r="C456" s="51"/>
      <c r="D456" s="51"/>
      <c r="E456" s="52"/>
      <c r="F456" s="52"/>
      <c r="G456" s="52"/>
      <c r="H456" s="52">
        <v>5897</v>
      </c>
      <c r="I456" s="52"/>
      <c r="J456" s="52"/>
      <c r="K456" s="53"/>
      <c r="L456" s="54"/>
      <c r="M456" s="52"/>
      <c r="N456" s="55"/>
      <c r="O456" s="50"/>
      <c r="P456" s="53"/>
      <c r="Q456" s="52"/>
      <c r="R456" s="52"/>
      <c r="S456" s="52"/>
      <c r="T456" s="55"/>
      <c r="U456" s="52" t="str">
        <f t="shared" ca="1" si="7"/>
        <v/>
      </c>
      <c r="V456" s="54">
        <v>0</v>
      </c>
      <c r="W456" s="52" t="s">
        <v>5587</v>
      </c>
    </row>
    <row r="457" spans="1:23" ht="20.100000000000001" customHeight="1" x14ac:dyDescent="0.25">
      <c r="A457" s="50"/>
      <c r="B457" s="50"/>
      <c r="C457" s="51"/>
      <c r="D457" s="51"/>
      <c r="E457" s="52"/>
      <c r="F457" s="52"/>
      <c r="G457" s="52"/>
      <c r="H457" s="52">
        <v>5898</v>
      </c>
      <c r="I457" s="52"/>
      <c r="J457" s="52"/>
      <c r="K457" s="53"/>
      <c r="L457" s="54"/>
      <c r="M457" s="52"/>
      <c r="N457" s="55"/>
      <c r="O457" s="50"/>
      <c r="P457" s="53"/>
      <c r="Q457" s="52"/>
      <c r="R457" s="52"/>
      <c r="S457" s="52"/>
      <c r="T457" s="55"/>
      <c r="U457" s="52" t="str">
        <f t="shared" ca="1" si="7"/>
        <v/>
      </c>
      <c r="V457" s="54">
        <v>0</v>
      </c>
      <c r="W457" s="52" t="s">
        <v>5587</v>
      </c>
    </row>
    <row r="458" spans="1:23" ht="20.100000000000001" customHeight="1" x14ac:dyDescent="0.25">
      <c r="A458" s="50"/>
      <c r="B458" s="50"/>
      <c r="C458" s="51"/>
      <c r="D458" s="51"/>
      <c r="E458" s="52"/>
      <c r="F458" s="52"/>
      <c r="G458" s="52"/>
      <c r="H458" s="52">
        <v>5899</v>
      </c>
      <c r="I458" s="52"/>
      <c r="J458" s="52"/>
      <c r="K458" s="53"/>
      <c r="L458" s="54"/>
      <c r="M458" s="52"/>
      <c r="N458" s="55"/>
      <c r="O458" s="50"/>
      <c r="P458" s="53"/>
      <c r="Q458" s="52"/>
      <c r="R458" s="52"/>
      <c r="S458" s="52"/>
      <c r="T458" s="55"/>
      <c r="U458" s="52" t="str">
        <f t="shared" ca="1" si="7"/>
        <v/>
      </c>
      <c r="V458" s="54">
        <v>0</v>
      </c>
      <c r="W458" s="52" t="s">
        <v>5587</v>
      </c>
    </row>
    <row r="459" spans="1:23" ht="20.100000000000001" customHeight="1" x14ac:dyDescent="0.25">
      <c r="A459" s="50"/>
      <c r="B459" s="50"/>
      <c r="C459" s="51"/>
      <c r="D459" s="51"/>
      <c r="E459" s="52"/>
      <c r="F459" s="52"/>
      <c r="G459" s="52"/>
      <c r="H459" s="52">
        <v>5900</v>
      </c>
      <c r="I459" s="52"/>
      <c r="J459" s="52"/>
      <c r="K459" s="53"/>
      <c r="L459" s="54"/>
      <c r="M459" s="52"/>
      <c r="N459" s="55"/>
      <c r="O459" s="50"/>
      <c r="P459" s="53"/>
      <c r="Q459" s="52"/>
      <c r="R459" s="52"/>
      <c r="S459" s="52"/>
      <c r="T459" s="55"/>
      <c r="U459" s="52" t="str">
        <f t="shared" ca="1" si="7"/>
        <v/>
      </c>
      <c r="V459" s="54">
        <v>0</v>
      </c>
      <c r="W459" s="52" t="s">
        <v>5587</v>
      </c>
    </row>
    <row r="460" spans="1:23" ht="20.100000000000001" customHeight="1" x14ac:dyDescent="0.25">
      <c r="A460" s="50"/>
      <c r="B460" s="50"/>
      <c r="C460" s="51"/>
      <c r="D460" s="51"/>
      <c r="E460" s="52"/>
      <c r="F460" s="52"/>
      <c r="G460" s="52"/>
      <c r="H460" s="52">
        <v>5901</v>
      </c>
      <c r="I460" s="52"/>
      <c r="J460" s="52"/>
      <c r="K460" s="53"/>
      <c r="L460" s="54"/>
      <c r="M460" s="52"/>
      <c r="N460" s="55"/>
      <c r="O460" s="50"/>
      <c r="P460" s="53"/>
      <c r="Q460" s="52"/>
      <c r="R460" s="52"/>
      <c r="S460" s="52"/>
      <c r="T460" s="55"/>
      <c r="U460" s="52" t="str">
        <f t="shared" ca="1" si="7"/>
        <v/>
      </c>
      <c r="V460" s="54">
        <v>0</v>
      </c>
      <c r="W460" s="52" t="s">
        <v>5587</v>
      </c>
    </row>
    <row r="461" spans="1:23" ht="20.100000000000001" customHeight="1" x14ac:dyDescent="0.25">
      <c r="A461" s="50"/>
      <c r="B461" s="50"/>
      <c r="C461" s="51"/>
      <c r="D461" s="51"/>
      <c r="E461" s="52"/>
      <c r="F461" s="52"/>
      <c r="G461" s="52"/>
      <c r="H461" s="52">
        <v>5902</v>
      </c>
      <c r="I461" s="52"/>
      <c r="J461" s="52"/>
      <c r="K461" s="53"/>
      <c r="L461" s="54"/>
      <c r="M461" s="52"/>
      <c r="N461" s="55"/>
      <c r="O461" s="50"/>
      <c r="P461" s="53"/>
      <c r="Q461" s="52"/>
      <c r="R461" s="52"/>
      <c r="S461" s="52"/>
      <c r="T461" s="55"/>
      <c r="U461" s="52" t="str">
        <f t="shared" ca="1" si="7"/>
        <v/>
      </c>
      <c r="V461" s="54">
        <v>0</v>
      </c>
      <c r="W461" s="52" t="s">
        <v>5587</v>
      </c>
    </row>
    <row r="462" spans="1:23" ht="20.100000000000001" customHeight="1" x14ac:dyDescent="0.25">
      <c r="A462" s="50"/>
      <c r="B462" s="50"/>
      <c r="C462" s="51"/>
      <c r="D462" s="51"/>
      <c r="E462" s="52"/>
      <c r="F462" s="52"/>
      <c r="G462" s="52"/>
      <c r="H462" s="52">
        <v>5903</v>
      </c>
      <c r="I462" s="52"/>
      <c r="J462" s="52"/>
      <c r="K462" s="53"/>
      <c r="L462" s="54"/>
      <c r="M462" s="52"/>
      <c r="N462" s="55"/>
      <c r="O462" s="50"/>
      <c r="P462" s="53"/>
      <c r="Q462" s="52"/>
      <c r="R462" s="52"/>
      <c r="S462" s="52"/>
      <c r="T462" s="55"/>
      <c r="U462" s="52" t="str">
        <f t="shared" ca="1" si="7"/>
        <v/>
      </c>
      <c r="V462" s="54">
        <v>0</v>
      </c>
      <c r="W462" s="52" t="s">
        <v>5587</v>
      </c>
    </row>
    <row r="463" spans="1:23" ht="20.100000000000001" customHeight="1" x14ac:dyDescent="0.25">
      <c r="A463" s="50"/>
      <c r="B463" s="50"/>
      <c r="C463" s="51"/>
      <c r="D463" s="51"/>
      <c r="E463" s="52"/>
      <c r="F463" s="52"/>
      <c r="G463" s="52"/>
      <c r="H463" s="52">
        <v>5904</v>
      </c>
      <c r="I463" s="52"/>
      <c r="J463" s="52"/>
      <c r="K463" s="53"/>
      <c r="L463" s="54"/>
      <c r="M463" s="52"/>
      <c r="N463" s="55"/>
      <c r="O463" s="50"/>
      <c r="P463" s="53"/>
      <c r="Q463" s="52"/>
      <c r="R463" s="52"/>
      <c r="S463" s="52"/>
      <c r="T463" s="55"/>
      <c r="U463" s="52" t="str">
        <f t="shared" ca="1" si="7"/>
        <v/>
      </c>
      <c r="V463" s="54">
        <v>0</v>
      </c>
      <c r="W463" s="52" t="s">
        <v>5587</v>
      </c>
    </row>
    <row r="464" spans="1:23" ht="20.100000000000001" customHeight="1" x14ac:dyDescent="0.25">
      <c r="A464" s="50"/>
      <c r="B464" s="50"/>
      <c r="C464" s="51"/>
      <c r="D464" s="51"/>
      <c r="E464" s="52"/>
      <c r="F464" s="52"/>
      <c r="G464" s="52"/>
      <c r="H464" s="52">
        <v>5905</v>
      </c>
      <c r="I464" s="52"/>
      <c r="J464" s="52"/>
      <c r="K464" s="53"/>
      <c r="L464" s="54"/>
      <c r="M464" s="52"/>
      <c r="N464" s="55"/>
      <c r="O464" s="50"/>
      <c r="P464" s="53"/>
      <c r="Q464" s="52"/>
      <c r="R464" s="52"/>
      <c r="S464" s="52"/>
      <c r="T464" s="55"/>
      <c r="U464" s="52" t="str">
        <f t="shared" ca="1" si="7"/>
        <v/>
      </c>
      <c r="V464" s="54">
        <v>0</v>
      </c>
      <c r="W464" s="52" t="s">
        <v>5587</v>
      </c>
    </row>
    <row r="465" spans="1:23" ht="20.100000000000001" customHeight="1" x14ac:dyDescent="0.25">
      <c r="A465" s="50"/>
      <c r="B465" s="50"/>
      <c r="C465" s="51"/>
      <c r="D465" s="51"/>
      <c r="E465" s="52"/>
      <c r="F465" s="52"/>
      <c r="G465" s="52"/>
      <c r="H465" s="52">
        <v>5906</v>
      </c>
      <c r="I465" s="52"/>
      <c r="J465" s="52"/>
      <c r="K465" s="53"/>
      <c r="L465" s="54"/>
      <c r="M465" s="52"/>
      <c r="N465" s="55"/>
      <c r="O465" s="50"/>
      <c r="P465" s="53"/>
      <c r="Q465" s="52"/>
      <c r="R465" s="52"/>
      <c r="S465" s="52"/>
      <c r="T465" s="55"/>
      <c r="U465" s="52" t="str">
        <f t="shared" ca="1" si="7"/>
        <v/>
      </c>
      <c r="V465" s="54">
        <v>0</v>
      </c>
      <c r="W465" s="52" t="s">
        <v>5587</v>
      </c>
    </row>
    <row r="466" spans="1:23" ht="20.100000000000001" customHeight="1" x14ac:dyDescent="0.25">
      <c r="A466" s="50"/>
      <c r="B466" s="50"/>
      <c r="C466" s="51"/>
      <c r="D466" s="51"/>
      <c r="E466" s="52"/>
      <c r="F466" s="52"/>
      <c r="G466" s="52"/>
      <c r="H466" s="52">
        <v>5907</v>
      </c>
      <c r="I466" s="52"/>
      <c r="J466" s="52"/>
      <c r="K466" s="53"/>
      <c r="L466" s="54"/>
      <c r="M466" s="52"/>
      <c r="N466" s="55"/>
      <c r="O466" s="50"/>
      <c r="P466" s="53"/>
      <c r="Q466" s="52"/>
      <c r="R466" s="52"/>
      <c r="S466" s="52"/>
      <c r="T466" s="55"/>
      <c r="U466" s="52" t="str">
        <f t="shared" ca="1" si="7"/>
        <v/>
      </c>
      <c r="V466" s="54">
        <v>0</v>
      </c>
      <c r="W466" s="52" t="s">
        <v>5587</v>
      </c>
    </row>
    <row r="467" spans="1:23" ht="20.100000000000001" customHeight="1" x14ac:dyDescent="0.25">
      <c r="A467" s="50"/>
      <c r="B467" s="50"/>
      <c r="C467" s="51"/>
      <c r="D467" s="51"/>
      <c r="E467" s="52"/>
      <c r="F467" s="52"/>
      <c r="G467" s="52"/>
      <c r="H467" s="52">
        <v>5908</v>
      </c>
      <c r="I467" s="52"/>
      <c r="J467" s="52"/>
      <c r="K467" s="53"/>
      <c r="L467" s="54"/>
      <c r="M467" s="52"/>
      <c r="N467" s="55"/>
      <c r="O467" s="50"/>
      <c r="P467" s="53"/>
      <c r="Q467" s="52"/>
      <c r="R467" s="52"/>
      <c r="S467" s="52"/>
      <c r="T467" s="55"/>
      <c r="U467" s="52" t="str">
        <f t="shared" ca="1" si="7"/>
        <v/>
      </c>
      <c r="V467" s="54">
        <v>0</v>
      </c>
      <c r="W467" s="52" t="s">
        <v>5587</v>
      </c>
    </row>
    <row r="468" spans="1:23" ht="20.100000000000001" customHeight="1" x14ac:dyDescent="0.25">
      <c r="A468" s="50"/>
      <c r="B468" s="50"/>
      <c r="C468" s="51"/>
      <c r="D468" s="51"/>
      <c r="E468" s="52"/>
      <c r="F468" s="52"/>
      <c r="G468" s="52"/>
      <c r="H468" s="52">
        <v>5909</v>
      </c>
      <c r="I468" s="52"/>
      <c r="J468" s="52"/>
      <c r="K468" s="53"/>
      <c r="L468" s="54"/>
      <c r="M468" s="52"/>
      <c r="N468" s="55"/>
      <c r="O468" s="50"/>
      <c r="P468" s="53"/>
      <c r="Q468" s="52"/>
      <c r="R468" s="52"/>
      <c r="S468" s="52"/>
      <c r="T468" s="55"/>
      <c r="U468" s="52" t="str">
        <f t="shared" ca="1" si="7"/>
        <v/>
      </c>
      <c r="V468" s="54">
        <v>0</v>
      </c>
      <c r="W468" s="52" t="s">
        <v>5587</v>
      </c>
    </row>
    <row r="469" spans="1:23" ht="20.100000000000001" customHeight="1" x14ac:dyDescent="0.25">
      <c r="A469" s="50"/>
      <c r="B469" s="50"/>
      <c r="C469" s="51"/>
      <c r="D469" s="51"/>
      <c r="E469" s="52"/>
      <c r="F469" s="52"/>
      <c r="G469" s="52"/>
      <c r="H469" s="52">
        <v>5910</v>
      </c>
      <c r="I469" s="52"/>
      <c r="J469" s="52"/>
      <c r="K469" s="53"/>
      <c r="L469" s="54"/>
      <c r="M469" s="52"/>
      <c r="N469" s="55"/>
      <c r="O469" s="50"/>
      <c r="P469" s="53"/>
      <c r="Q469" s="52"/>
      <c r="R469" s="52"/>
      <c r="S469" s="52"/>
      <c r="T469" s="55"/>
      <c r="U469" s="52" t="str">
        <f t="shared" ca="1" si="7"/>
        <v/>
      </c>
      <c r="V469" s="54">
        <v>0</v>
      </c>
      <c r="W469" s="52" t="s">
        <v>5587</v>
      </c>
    </row>
    <row r="470" spans="1:23" ht="20.100000000000001" customHeight="1" x14ac:dyDescent="0.25">
      <c r="A470" s="50"/>
      <c r="B470" s="50"/>
      <c r="C470" s="51"/>
      <c r="D470" s="51"/>
      <c r="E470" s="52"/>
      <c r="F470" s="52"/>
      <c r="G470" s="52"/>
      <c r="H470" s="52">
        <v>5911</v>
      </c>
      <c r="I470" s="52"/>
      <c r="J470" s="52"/>
      <c r="K470" s="53"/>
      <c r="L470" s="54"/>
      <c r="M470" s="52"/>
      <c r="N470" s="55"/>
      <c r="O470" s="50"/>
      <c r="P470" s="53"/>
      <c r="Q470" s="52"/>
      <c r="R470" s="52"/>
      <c r="S470" s="52"/>
      <c r="T470" s="55"/>
      <c r="U470" s="52" t="str">
        <f t="shared" ca="1" si="7"/>
        <v/>
      </c>
      <c r="V470" s="54">
        <v>0</v>
      </c>
      <c r="W470" s="52" t="s">
        <v>5587</v>
      </c>
    </row>
    <row r="471" spans="1:23" ht="20.100000000000001" customHeight="1" x14ac:dyDescent="0.25">
      <c r="A471" s="50"/>
      <c r="B471" s="50"/>
      <c r="C471" s="51"/>
      <c r="D471" s="51"/>
      <c r="E471" s="52"/>
      <c r="F471" s="52"/>
      <c r="G471" s="52"/>
      <c r="H471" s="52">
        <v>5912</v>
      </c>
      <c r="I471" s="52"/>
      <c r="J471" s="52"/>
      <c r="K471" s="53"/>
      <c r="L471" s="54"/>
      <c r="M471" s="52"/>
      <c r="N471" s="55"/>
      <c r="O471" s="50"/>
      <c r="P471" s="53"/>
      <c r="Q471" s="52"/>
      <c r="R471" s="52"/>
      <c r="S471" s="52"/>
      <c r="T471" s="55"/>
      <c r="U471" s="52" t="str">
        <f t="shared" ca="1" si="7"/>
        <v/>
      </c>
      <c r="V471" s="54">
        <v>0</v>
      </c>
      <c r="W471" s="52" t="s">
        <v>5587</v>
      </c>
    </row>
    <row r="472" spans="1:23" ht="20.100000000000001" customHeight="1" x14ac:dyDescent="0.25">
      <c r="A472" s="50"/>
      <c r="B472" s="50"/>
      <c r="C472" s="51"/>
      <c r="D472" s="51"/>
      <c r="E472" s="52"/>
      <c r="F472" s="52"/>
      <c r="G472" s="52"/>
      <c r="H472" s="52">
        <v>5913</v>
      </c>
      <c r="I472" s="52"/>
      <c r="J472" s="52"/>
      <c r="K472" s="53"/>
      <c r="L472" s="54"/>
      <c r="M472" s="52"/>
      <c r="N472" s="55"/>
      <c r="O472" s="50"/>
      <c r="P472" s="53"/>
      <c r="Q472" s="52"/>
      <c r="R472" s="52"/>
      <c r="S472" s="52"/>
      <c r="T472" s="55"/>
      <c r="U472" s="52" t="str">
        <f t="shared" ca="1" si="7"/>
        <v/>
      </c>
      <c r="V472" s="54">
        <v>0</v>
      </c>
      <c r="W472" s="52" t="s">
        <v>5587</v>
      </c>
    </row>
    <row r="473" spans="1:23" ht="20.100000000000001" customHeight="1" x14ac:dyDescent="0.25">
      <c r="A473" s="50"/>
      <c r="B473" s="50"/>
      <c r="C473" s="51"/>
      <c r="D473" s="51"/>
      <c r="E473" s="52"/>
      <c r="F473" s="52"/>
      <c r="G473" s="52"/>
      <c r="H473" s="52">
        <v>5914</v>
      </c>
      <c r="I473" s="52"/>
      <c r="J473" s="52"/>
      <c r="K473" s="53"/>
      <c r="L473" s="54"/>
      <c r="M473" s="52"/>
      <c r="N473" s="55"/>
      <c r="O473" s="50"/>
      <c r="P473" s="53"/>
      <c r="Q473" s="52"/>
      <c r="R473" s="52"/>
      <c r="S473" s="52"/>
      <c r="T473" s="55"/>
      <c r="U473" s="52" t="str">
        <f t="shared" ca="1" si="7"/>
        <v/>
      </c>
      <c r="V473" s="54">
        <v>0</v>
      </c>
      <c r="W473" s="52" t="s">
        <v>5587</v>
      </c>
    </row>
    <row r="474" spans="1:23" ht="20.100000000000001" customHeight="1" x14ac:dyDescent="0.25">
      <c r="A474" s="50"/>
      <c r="B474" s="50"/>
      <c r="C474" s="51"/>
      <c r="D474" s="51"/>
      <c r="E474" s="52"/>
      <c r="F474" s="52"/>
      <c r="G474" s="52"/>
      <c r="H474" s="52">
        <v>5915</v>
      </c>
      <c r="I474" s="52"/>
      <c r="J474" s="52"/>
      <c r="K474" s="53"/>
      <c r="L474" s="54"/>
      <c r="M474" s="52"/>
      <c r="N474" s="55"/>
      <c r="O474" s="50"/>
      <c r="P474" s="53"/>
      <c r="Q474" s="52"/>
      <c r="R474" s="52"/>
      <c r="S474" s="52"/>
      <c r="T474" s="55"/>
      <c r="U474" s="52" t="str">
        <f t="shared" ca="1" si="7"/>
        <v/>
      </c>
      <c r="V474" s="54">
        <v>0</v>
      </c>
      <c r="W474" s="52" t="s">
        <v>5587</v>
      </c>
    </row>
    <row r="475" spans="1:23" ht="20.100000000000001" customHeight="1" x14ac:dyDescent="0.25">
      <c r="A475" s="50"/>
      <c r="B475" s="50"/>
      <c r="C475" s="51"/>
      <c r="D475" s="51"/>
      <c r="E475" s="52"/>
      <c r="F475" s="52"/>
      <c r="G475" s="52"/>
      <c r="H475" s="52">
        <v>5916</v>
      </c>
      <c r="I475" s="52"/>
      <c r="J475" s="52"/>
      <c r="K475" s="53"/>
      <c r="L475" s="54"/>
      <c r="M475" s="52"/>
      <c r="N475" s="55"/>
      <c r="O475" s="50"/>
      <c r="P475" s="53"/>
      <c r="Q475" s="52"/>
      <c r="R475" s="52"/>
      <c r="S475" s="52"/>
      <c r="T475" s="55"/>
      <c r="U475" s="52" t="str">
        <f t="shared" ca="1" si="7"/>
        <v/>
      </c>
      <c r="V475" s="54">
        <v>0</v>
      </c>
      <c r="W475" s="52" t="s">
        <v>5587</v>
      </c>
    </row>
    <row r="476" spans="1:23" ht="20.100000000000001" customHeight="1" x14ac:dyDescent="0.25">
      <c r="A476" s="50"/>
      <c r="B476" s="50"/>
      <c r="C476" s="51"/>
      <c r="D476" s="51"/>
      <c r="E476" s="52"/>
      <c r="F476" s="52"/>
      <c r="G476" s="52"/>
      <c r="H476" s="52">
        <v>5917</v>
      </c>
      <c r="I476" s="52"/>
      <c r="J476" s="52"/>
      <c r="K476" s="53"/>
      <c r="L476" s="54"/>
      <c r="M476" s="52"/>
      <c r="N476" s="55"/>
      <c r="O476" s="50"/>
      <c r="P476" s="53"/>
      <c r="Q476" s="52"/>
      <c r="R476" s="52"/>
      <c r="S476" s="52"/>
      <c r="T476" s="55"/>
      <c r="U476" s="52" t="str">
        <f t="shared" ca="1" si="7"/>
        <v/>
      </c>
      <c r="V476" s="54">
        <v>0</v>
      </c>
      <c r="W476" s="52" t="s">
        <v>5587</v>
      </c>
    </row>
    <row r="477" spans="1:23" ht="20.100000000000001" customHeight="1" x14ac:dyDescent="0.25">
      <c r="A477" s="50"/>
      <c r="B477" s="50"/>
      <c r="C477" s="51"/>
      <c r="D477" s="51"/>
      <c r="E477" s="52"/>
      <c r="F477" s="52"/>
      <c r="G477" s="52"/>
      <c r="H477" s="52">
        <v>5918</v>
      </c>
      <c r="I477" s="52"/>
      <c r="J477" s="52"/>
      <c r="K477" s="53"/>
      <c r="L477" s="54"/>
      <c r="M477" s="52"/>
      <c r="N477" s="55"/>
      <c r="O477" s="50"/>
      <c r="P477" s="53"/>
      <c r="Q477" s="52"/>
      <c r="R477" s="52"/>
      <c r="S477" s="52"/>
      <c r="T477" s="55"/>
      <c r="U477" s="52" t="str">
        <f t="shared" ca="1" si="7"/>
        <v/>
      </c>
      <c r="V477" s="54">
        <v>0</v>
      </c>
      <c r="W477" s="52" t="s">
        <v>5587</v>
      </c>
    </row>
    <row r="478" spans="1:23" ht="20.100000000000001" customHeight="1" x14ac:dyDescent="0.25">
      <c r="A478" s="50"/>
      <c r="B478" s="50"/>
      <c r="C478" s="51"/>
      <c r="D478" s="51"/>
      <c r="E478" s="52"/>
      <c r="F478" s="52"/>
      <c r="G478" s="52"/>
      <c r="H478" s="52">
        <v>5919</v>
      </c>
      <c r="I478" s="52"/>
      <c r="J478" s="52"/>
      <c r="K478" s="53"/>
      <c r="L478" s="54"/>
      <c r="M478" s="52"/>
      <c r="N478" s="55"/>
      <c r="O478" s="50"/>
      <c r="P478" s="53"/>
      <c r="Q478" s="52"/>
      <c r="R478" s="52"/>
      <c r="S478" s="52"/>
      <c r="T478" s="55"/>
      <c r="U478" s="52" t="str">
        <f t="shared" ca="1" si="7"/>
        <v/>
      </c>
      <c r="V478" s="54">
        <v>0</v>
      </c>
      <c r="W478" s="52" t="s">
        <v>5587</v>
      </c>
    </row>
    <row r="479" spans="1:23" ht="20.100000000000001" customHeight="1" x14ac:dyDescent="0.25">
      <c r="A479" s="50"/>
      <c r="B479" s="50"/>
      <c r="C479" s="51"/>
      <c r="D479" s="51"/>
      <c r="E479" s="52"/>
      <c r="F479" s="52"/>
      <c r="G479" s="52"/>
      <c r="H479" s="52">
        <v>5920</v>
      </c>
      <c r="I479" s="52"/>
      <c r="J479" s="52"/>
      <c r="K479" s="53"/>
      <c r="L479" s="54"/>
      <c r="M479" s="52"/>
      <c r="N479" s="55"/>
      <c r="O479" s="50"/>
      <c r="P479" s="53"/>
      <c r="Q479" s="52"/>
      <c r="R479" s="52"/>
      <c r="S479" s="52"/>
      <c r="T479" s="55"/>
      <c r="U479" s="52" t="str">
        <f t="shared" ca="1" si="7"/>
        <v/>
      </c>
      <c r="V479" s="54">
        <v>0</v>
      </c>
      <c r="W479" s="52" t="s">
        <v>5587</v>
      </c>
    </row>
    <row r="480" spans="1:23" ht="20.100000000000001" customHeight="1" x14ac:dyDescent="0.25">
      <c r="A480" s="50"/>
      <c r="B480" s="50"/>
      <c r="C480" s="51"/>
      <c r="D480" s="51"/>
      <c r="E480" s="52"/>
      <c r="F480" s="52"/>
      <c r="G480" s="52"/>
      <c r="H480" s="52">
        <v>5921</v>
      </c>
      <c r="I480" s="52"/>
      <c r="J480" s="52"/>
      <c r="K480" s="53"/>
      <c r="L480" s="54"/>
      <c r="M480" s="52"/>
      <c r="N480" s="55"/>
      <c r="O480" s="50"/>
      <c r="P480" s="53"/>
      <c r="Q480" s="52"/>
      <c r="R480" s="52"/>
      <c r="S480" s="52"/>
      <c r="T480" s="55"/>
      <c r="U480" s="52" t="str">
        <f t="shared" ca="1" si="7"/>
        <v/>
      </c>
      <c r="V480" s="54">
        <v>0</v>
      </c>
      <c r="W480" s="52" t="s">
        <v>5587</v>
      </c>
    </row>
    <row r="481" spans="1:23" ht="20.100000000000001" customHeight="1" x14ac:dyDescent="0.25">
      <c r="A481" s="50"/>
      <c r="B481" s="50"/>
      <c r="C481" s="51"/>
      <c r="D481" s="51"/>
      <c r="E481" s="52"/>
      <c r="F481" s="52"/>
      <c r="G481" s="52"/>
      <c r="H481" s="52">
        <v>5922</v>
      </c>
      <c r="I481" s="52"/>
      <c r="J481" s="52"/>
      <c r="K481" s="53"/>
      <c r="L481" s="54"/>
      <c r="M481" s="52"/>
      <c r="N481" s="55"/>
      <c r="O481" s="50"/>
      <c r="P481" s="53"/>
      <c r="Q481" s="52"/>
      <c r="R481" s="52"/>
      <c r="S481" s="52"/>
      <c r="T481" s="55"/>
      <c r="U481" s="52" t="str">
        <f t="shared" ca="1" si="7"/>
        <v/>
      </c>
      <c r="V481" s="54">
        <v>0</v>
      </c>
      <c r="W481" s="52" t="s">
        <v>5587</v>
      </c>
    </row>
    <row r="482" spans="1:23" ht="20.100000000000001" customHeight="1" x14ac:dyDescent="0.25">
      <c r="A482" s="50"/>
      <c r="B482" s="50"/>
      <c r="C482" s="51"/>
      <c r="D482" s="51"/>
      <c r="E482" s="52"/>
      <c r="F482" s="52"/>
      <c r="G482" s="52"/>
      <c r="H482" s="52">
        <v>5923</v>
      </c>
      <c r="I482" s="52"/>
      <c r="J482" s="52"/>
      <c r="K482" s="53"/>
      <c r="L482" s="54"/>
      <c r="M482" s="52"/>
      <c r="N482" s="55"/>
      <c r="O482" s="50"/>
      <c r="P482" s="53"/>
      <c r="Q482" s="52"/>
      <c r="R482" s="52"/>
      <c r="S482" s="52"/>
      <c r="T482" s="55"/>
      <c r="U482" s="52" t="str">
        <f t="shared" ca="1" si="7"/>
        <v/>
      </c>
      <c r="V482" s="54">
        <v>0</v>
      </c>
      <c r="W482" s="52" t="s">
        <v>5587</v>
      </c>
    </row>
    <row r="483" spans="1:23" ht="20.100000000000001" customHeight="1" x14ac:dyDescent="0.25">
      <c r="A483" s="50"/>
      <c r="B483" s="50"/>
      <c r="C483" s="51"/>
      <c r="D483" s="51"/>
      <c r="E483" s="52"/>
      <c r="F483" s="52"/>
      <c r="G483" s="52"/>
      <c r="H483" s="52">
        <v>5924</v>
      </c>
      <c r="I483" s="52"/>
      <c r="J483" s="52"/>
      <c r="K483" s="53"/>
      <c r="L483" s="54"/>
      <c r="M483" s="52"/>
      <c r="N483" s="55"/>
      <c r="O483" s="50"/>
      <c r="P483" s="53"/>
      <c r="Q483" s="52"/>
      <c r="R483" s="52"/>
      <c r="S483" s="52"/>
      <c r="T483" s="55"/>
      <c r="U483" s="52" t="str">
        <f t="shared" ca="1" si="7"/>
        <v/>
      </c>
      <c r="V483" s="54">
        <v>0</v>
      </c>
      <c r="W483" s="52" t="s">
        <v>5587</v>
      </c>
    </row>
    <row r="484" spans="1:23" ht="20.100000000000001" customHeight="1" x14ac:dyDescent="0.25">
      <c r="A484" s="50"/>
      <c r="B484" s="50"/>
      <c r="C484" s="51"/>
      <c r="D484" s="51"/>
      <c r="E484" s="52"/>
      <c r="F484" s="52"/>
      <c r="G484" s="52"/>
      <c r="H484" s="52">
        <v>5925</v>
      </c>
      <c r="I484" s="52"/>
      <c r="J484" s="52"/>
      <c r="K484" s="53"/>
      <c r="L484" s="54"/>
      <c r="M484" s="52"/>
      <c r="N484" s="55"/>
      <c r="O484" s="50"/>
      <c r="P484" s="53"/>
      <c r="Q484" s="52"/>
      <c r="R484" s="52"/>
      <c r="S484" s="52"/>
      <c r="T484" s="55"/>
      <c r="U484" s="52" t="str">
        <f t="shared" ca="1" si="7"/>
        <v/>
      </c>
      <c r="V484" s="54">
        <v>0</v>
      </c>
      <c r="W484" s="52" t="s">
        <v>5587</v>
      </c>
    </row>
    <row r="485" spans="1:23" ht="20.100000000000001" customHeight="1" x14ac:dyDescent="0.25">
      <c r="A485" s="50"/>
      <c r="B485" s="50"/>
      <c r="C485" s="51"/>
      <c r="D485" s="51"/>
      <c r="E485" s="52"/>
      <c r="F485" s="52"/>
      <c r="G485" s="52"/>
      <c r="H485" s="52">
        <v>5926</v>
      </c>
      <c r="I485" s="52"/>
      <c r="J485" s="52"/>
      <c r="K485" s="53"/>
      <c r="L485" s="54"/>
      <c r="M485" s="52"/>
      <c r="N485" s="55"/>
      <c r="O485" s="50"/>
      <c r="P485" s="53"/>
      <c r="Q485" s="52"/>
      <c r="R485" s="52"/>
      <c r="S485" s="52"/>
      <c r="T485" s="55"/>
      <c r="U485" s="52" t="str">
        <f t="shared" ca="1" si="7"/>
        <v/>
      </c>
      <c r="V485" s="54">
        <v>0</v>
      </c>
      <c r="W485" s="52" t="s">
        <v>5587</v>
      </c>
    </row>
    <row r="486" spans="1:23" ht="20.100000000000001" customHeight="1" x14ac:dyDescent="0.25">
      <c r="A486" s="50"/>
      <c r="B486" s="50"/>
      <c r="C486" s="51"/>
      <c r="D486" s="51"/>
      <c r="E486" s="52"/>
      <c r="F486" s="52"/>
      <c r="G486" s="52"/>
      <c r="H486" s="52">
        <v>5927</v>
      </c>
      <c r="I486" s="52"/>
      <c r="J486" s="52"/>
      <c r="K486" s="53"/>
      <c r="L486" s="54"/>
      <c r="M486" s="52"/>
      <c r="N486" s="55"/>
      <c r="O486" s="50"/>
      <c r="P486" s="53"/>
      <c r="Q486" s="52"/>
      <c r="R486" s="52"/>
      <c r="S486" s="52"/>
      <c r="T486" s="55"/>
      <c r="U486" s="52" t="str">
        <f t="shared" ca="1" si="7"/>
        <v/>
      </c>
      <c r="V486" s="54">
        <v>0</v>
      </c>
      <c r="W486" s="52" t="s">
        <v>5587</v>
      </c>
    </row>
    <row r="487" spans="1:23" ht="20.100000000000001" customHeight="1" x14ac:dyDescent="0.25">
      <c r="A487" s="50"/>
      <c r="B487" s="50"/>
      <c r="C487" s="51"/>
      <c r="D487" s="51"/>
      <c r="E487" s="52"/>
      <c r="F487" s="52"/>
      <c r="G487" s="52"/>
      <c r="H487" s="52">
        <v>5928</v>
      </c>
      <c r="I487" s="52"/>
      <c r="J487" s="52"/>
      <c r="K487" s="53"/>
      <c r="L487" s="54"/>
      <c r="M487" s="52"/>
      <c r="N487" s="55"/>
      <c r="O487" s="50"/>
      <c r="P487" s="53"/>
      <c r="Q487" s="52"/>
      <c r="R487" s="52"/>
      <c r="S487" s="52"/>
      <c r="T487" s="55"/>
      <c r="U487" s="52" t="str">
        <f t="shared" ca="1" si="7"/>
        <v/>
      </c>
      <c r="V487" s="54">
        <v>0</v>
      </c>
      <c r="W487" s="52" t="s">
        <v>5587</v>
      </c>
    </row>
    <row r="488" spans="1:23" ht="20.100000000000001" customHeight="1" x14ac:dyDescent="0.25">
      <c r="A488" s="50"/>
      <c r="B488" s="50"/>
      <c r="C488" s="51"/>
      <c r="D488" s="51"/>
      <c r="E488" s="52"/>
      <c r="F488" s="52"/>
      <c r="G488" s="52"/>
      <c r="H488" s="52">
        <v>5929</v>
      </c>
      <c r="I488" s="52"/>
      <c r="J488" s="52"/>
      <c r="K488" s="53"/>
      <c r="L488" s="54"/>
      <c r="M488" s="52"/>
      <c r="N488" s="55"/>
      <c r="O488" s="50"/>
      <c r="P488" s="53"/>
      <c r="Q488" s="52"/>
      <c r="R488" s="52"/>
      <c r="S488" s="52"/>
      <c r="T488" s="55"/>
      <c r="U488" s="52" t="str">
        <f t="shared" ca="1" si="7"/>
        <v/>
      </c>
      <c r="V488" s="54">
        <v>0</v>
      </c>
      <c r="W488" s="52" t="s">
        <v>5587</v>
      </c>
    </row>
    <row r="489" spans="1:23" ht="20.100000000000001" customHeight="1" x14ac:dyDescent="0.25">
      <c r="A489" s="50"/>
      <c r="B489" s="50"/>
      <c r="C489" s="51"/>
      <c r="D489" s="51"/>
      <c r="E489" s="52"/>
      <c r="F489" s="52"/>
      <c r="G489" s="52"/>
      <c r="H489" s="52">
        <v>5930</v>
      </c>
      <c r="I489" s="52"/>
      <c r="J489" s="52"/>
      <c r="K489" s="53"/>
      <c r="L489" s="54"/>
      <c r="M489" s="52"/>
      <c r="N489" s="55"/>
      <c r="O489" s="50"/>
      <c r="P489" s="53"/>
      <c r="Q489" s="52"/>
      <c r="R489" s="52"/>
      <c r="S489" s="52"/>
      <c r="T489" s="55"/>
      <c r="U489" s="52" t="str">
        <f t="shared" ca="1" si="7"/>
        <v/>
      </c>
      <c r="V489" s="54">
        <v>0</v>
      </c>
      <c r="W489" s="52" t="s">
        <v>5587</v>
      </c>
    </row>
    <row r="490" spans="1:23" ht="20.100000000000001" customHeight="1" x14ac:dyDescent="0.25">
      <c r="A490" s="50"/>
      <c r="B490" s="50"/>
      <c r="C490" s="51"/>
      <c r="D490" s="51"/>
      <c r="E490" s="52"/>
      <c r="F490" s="52"/>
      <c r="G490" s="52"/>
      <c r="H490" s="52">
        <v>5931</v>
      </c>
      <c r="I490" s="52"/>
      <c r="J490" s="52"/>
      <c r="K490" s="53"/>
      <c r="L490" s="54"/>
      <c r="M490" s="52"/>
      <c r="N490" s="55"/>
      <c r="O490" s="50"/>
      <c r="P490" s="53"/>
      <c r="Q490" s="52"/>
      <c r="R490" s="52"/>
      <c r="S490" s="52"/>
      <c r="T490" s="55"/>
      <c r="U490" s="52" t="str">
        <f t="shared" ca="1" si="7"/>
        <v/>
      </c>
      <c r="V490" s="54">
        <v>0</v>
      </c>
      <c r="W490" s="52" t="s">
        <v>5587</v>
      </c>
    </row>
    <row r="491" spans="1:23" ht="20.100000000000001" customHeight="1" x14ac:dyDescent="0.25">
      <c r="A491" s="50"/>
      <c r="B491" s="50"/>
      <c r="C491" s="51"/>
      <c r="D491" s="51"/>
      <c r="E491" s="52"/>
      <c r="F491" s="52"/>
      <c r="G491" s="52"/>
      <c r="H491" s="52">
        <v>5932</v>
      </c>
      <c r="I491" s="52"/>
      <c r="J491" s="52"/>
      <c r="K491" s="53"/>
      <c r="L491" s="54"/>
      <c r="M491" s="52"/>
      <c r="N491" s="55"/>
      <c r="O491" s="50"/>
      <c r="P491" s="53"/>
      <c r="Q491" s="52"/>
      <c r="R491" s="52"/>
      <c r="S491" s="52"/>
      <c r="T491" s="55"/>
      <c r="U491" s="52" t="str">
        <f t="shared" ca="1" si="7"/>
        <v/>
      </c>
      <c r="V491" s="54">
        <v>0</v>
      </c>
      <c r="W491" s="52" t="s">
        <v>5587</v>
      </c>
    </row>
    <row r="492" spans="1:23" ht="20.100000000000001" customHeight="1" x14ac:dyDescent="0.25">
      <c r="A492" s="50"/>
      <c r="B492" s="50"/>
      <c r="C492" s="51"/>
      <c r="D492" s="51"/>
      <c r="E492" s="52"/>
      <c r="F492" s="52"/>
      <c r="G492" s="52"/>
      <c r="H492" s="52">
        <v>5933</v>
      </c>
      <c r="I492" s="52"/>
      <c r="J492" s="52"/>
      <c r="K492" s="53"/>
      <c r="L492" s="54"/>
      <c r="M492" s="52"/>
      <c r="N492" s="55"/>
      <c r="O492" s="50"/>
      <c r="P492" s="53"/>
      <c r="Q492" s="52"/>
      <c r="R492" s="52"/>
      <c r="S492" s="52"/>
      <c r="T492" s="55"/>
      <c r="U492" s="52" t="str">
        <f t="shared" ca="1" si="7"/>
        <v/>
      </c>
      <c r="V492" s="54">
        <v>0</v>
      </c>
      <c r="W492" s="52" t="s">
        <v>5587</v>
      </c>
    </row>
    <row r="493" spans="1:23" ht="20.100000000000001" customHeight="1" x14ac:dyDescent="0.25">
      <c r="A493" s="50"/>
      <c r="B493" s="50"/>
      <c r="C493" s="51"/>
      <c r="D493" s="51"/>
      <c r="E493" s="52"/>
      <c r="F493" s="52"/>
      <c r="G493" s="52"/>
      <c r="H493" s="52">
        <v>5934</v>
      </c>
      <c r="I493" s="52"/>
      <c r="J493" s="52"/>
      <c r="K493" s="53"/>
      <c r="L493" s="54"/>
      <c r="M493" s="52"/>
      <c r="N493" s="55"/>
      <c r="O493" s="50"/>
      <c r="P493" s="53"/>
      <c r="Q493" s="52"/>
      <c r="R493" s="52"/>
      <c r="S493" s="52"/>
      <c r="T493" s="55"/>
      <c r="U493" s="52" t="str">
        <f t="shared" ca="1" si="7"/>
        <v/>
      </c>
      <c r="V493" s="54">
        <v>0</v>
      </c>
      <c r="W493" s="52" t="s">
        <v>5587</v>
      </c>
    </row>
    <row r="494" spans="1:23" ht="20.100000000000001" customHeight="1" x14ac:dyDescent="0.25">
      <c r="A494" s="50"/>
      <c r="B494" s="50"/>
      <c r="C494" s="51"/>
      <c r="D494" s="51"/>
      <c r="E494" s="52"/>
      <c r="F494" s="52"/>
      <c r="G494" s="52"/>
      <c r="H494" s="52">
        <v>5935</v>
      </c>
      <c r="I494" s="52"/>
      <c r="J494" s="52"/>
      <c r="K494" s="53"/>
      <c r="L494" s="54"/>
      <c r="M494" s="52"/>
      <c r="N494" s="55"/>
      <c r="O494" s="50"/>
      <c r="P494" s="53"/>
      <c r="Q494" s="52"/>
      <c r="R494" s="52"/>
      <c r="S494" s="52"/>
      <c r="T494" s="55"/>
      <c r="U494" s="52" t="str">
        <f t="shared" ca="1" si="7"/>
        <v/>
      </c>
      <c r="V494" s="54">
        <v>0</v>
      </c>
      <c r="W494" s="52" t="s">
        <v>5587</v>
      </c>
    </row>
    <row r="495" spans="1:23" ht="20.100000000000001" customHeight="1" x14ac:dyDescent="0.25">
      <c r="A495" s="50"/>
      <c r="B495" s="50"/>
      <c r="C495" s="51"/>
      <c r="D495" s="51"/>
      <c r="E495" s="52"/>
      <c r="F495" s="52"/>
      <c r="G495" s="52"/>
      <c r="H495" s="52">
        <v>5936</v>
      </c>
      <c r="I495" s="52"/>
      <c r="J495" s="52"/>
      <c r="K495" s="53"/>
      <c r="L495" s="54"/>
      <c r="M495" s="52"/>
      <c r="N495" s="55"/>
      <c r="O495" s="50"/>
      <c r="P495" s="53"/>
      <c r="Q495" s="52"/>
      <c r="R495" s="52"/>
      <c r="S495" s="52"/>
      <c r="T495" s="55"/>
      <c r="U495" s="52" t="str">
        <f t="shared" ca="1" si="7"/>
        <v/>
      </c>
      <c r="V495" s="54">
        <v>0</v>
      </c>
      <c r="W495" s="52" t="s">
        <v>5587</v>
      </c>
    </row>
    <row r="496" spans="1:23" ht="20.100000000000001" customHeight="1" x14ac:dyDescent="0.25">
      <c r="A496" s="50"/>
      <c r="B496" s="50"/>
      <c r="C496" s="51"/>
      <c r="D496" s="51"/>
      <c r="E496" s="52"/>
      <c r="F496" s="52"/>
      <c r="G496" s="52"/>
      <c r="H496" s="52">
        <v>5937</v>
      </c>
      <c r="I496" s="52"/>
      <c r="J496" s="52"/>
      <c r="K496" s="53"/>
      <c r="L496" s="54"/>
      <c r="M496" s="52"/>
      <c r="N496" s="55"/>
      <c r="O496" s="50"/>
      <c r="P496" s="53"/>
      <c r="Q496" s="52"/>
      <c r="R496" s="52"/>
      <c r="S496" s="52"/>
      <c r="T496" s="55"/>
      <c r="U496" s="52" t="str">
        <f t="shared" ca="1" si="7"/>
        <v/>
      </c>
      <c r="V496" s="54">
        <v>0</v>
      </c>
      <c r="W496" s="52" t="s">
        <v>5587</v>
      </c>
    </row>
    <row r="497" spans="1:23" ht="20.100000000000001" customHeight="1" x14ac:dyDescent="0.25">
      <c r="A497" s="50"/>
      <c r="B497" s="50"/>
      <c r="C497" s="51"/>
      <c r="D497" s="51"/>
      <c r="E497" s="52"/>
      <c r="F497" s="52"/>
      <c r="G497" s="52"/>
      <c r="H497" s="52">
        <v>5938</v>
      </c>
      <c r="I497" s="52"/>
      <c r="J497" s="52"/>
      <c r="K497" s="53"/>
      <c r="L497" s="54"/>
      <c r="M497" s="52"/>
      <c r="N497" s="55"/>
      <c r="O497" s="50"/>
      <c r="P497" s="53"/>
      <c r="Q497" s="52"/>
      <c r="R497" s="52"/>
      <c r="S497" s="52"/>
      <c r="T497" s="55"/>
      <c r="U497" s="52" t="str">
        <f t="shared" ca="1" si="7"/>
        <v/>
      </c>
      <c r="V497" s="54">
        <v>0</v>
      </c>
      <c r="W497" s="52" t="s">
        <v>5587</v>
      </c>
    </row>
    <row r="498" spans="1:23" ht="20.100000000000001" customHeight="1" x14ac:dyDescent="0.25">
      <c r="A498" s="50"/>
      <c r="B498" s="50"/>
      <c r="C498" s="51"/>
      <c r="D498" s="51"/>
      <c r="E498" s="52"/>
      <c r="F498" s="52"/>
      <c r="G498" s="52"/>
      <c r="H498" s="52">
        <v>5939</v>
      </c>
      <c r="I498" s="52"/>
      <c r="J498" s="52"/>
      <c r="K498" s="53"/>
      <c r="L498" s="54"/>
      <c r="M498" s="52"/>
      <c r="N498" s="55"/>
      <c r="O498" s="50"/>
      <c r="P498" s="53"/>
      <c r="Q498" s="52"/>
      <c r="R498" s="52"/>
      <c r="S498" s="52"/>
      <c r="T498" s="55"/>
      <c r="U498" s="52" t="str">
        <f t="shared" ca="1" si="7"/>
        <v/>
      </c>
      <c r="V498" s="54">
        <v>0</v>
      </c>
      <c r="W498" s="52" t="s">
        <v>5587</v>
      </c>
    </row>
    <row r="499" spans="1:23" ht="20.100000000000001" customHeight="1" x14ac:dyDescent="0.25">
      <c r="A499" s="50"/>
      <c r="B499" s="50"/>
      <c r="C499" s="51"/>
      <c r="D499" s="51"/>
      <c r="E499" s="52"/>
      <c r="F499" s="52"/>
      <c r="G499" s="52"/>
      <c r="H499" s="52">
        <v>5940</v>
      </c>
      <c r="I499" s="52"/>
      <c r="J499" s="52"/>
      <c r="K499" s="53"/>
      <c r="L499" s="54"/>
      <c r="M499" s="52"/>
      <c r="N499" s="55"/>
      <c r="O499" s="50"/>
      <c r="P499" s="53"/>
      <c r="Q499" s="52"/>
      <c r="R499" s="52"/>
      <c r="S499" s="52"/>
      <c r="T499" s="55"/>
      <c r="U499" s="52" t="str">
        <f t="shared" ca="1" si="7"/>
        <v/>
      </c>
      <c r="V499" s="54">
        <v>0</v>
      </c>
      <c r="W499" s="52" t="s">
        <v>5587</v>
      </c>
    </row>
    <row r="500" spans="1:23" ht="20.100000000000001" customHeight="1" x14ac:dyDescent="0.25">
      <c r="A500" s="50"/>
      <c r="B500" s="50"/>
      <c r="C500" s="51"/>
      <c r="D500" s="51"/>
      <c r="E500" s="52"/>
      <c r="F500" s="52"/>
      <c r="G500" s="52"/>
      <c r="H500" s="52">
        <v>5941</v>
      </c>
      <c r="I500" s="52"/>
      <c r="J500" s="52"/>
      <c r="K500" s="53"/>
      <c r="L500" s="54"/>
      <c r="M500" s="52"/>
      <c r="N500" s="55"/>
      <c r="O500" s="50"/>
      <c r="P500" s="53"/>
      <c r="Q500" s="52"/>
      <c r="R500" s="52"/>
      <c r="S500" s="52"/>
      <c r="T500" s="55"/>
      <c r="U500" s="52" t="str">
        <f t="shared" ca="1" si="7"/>
        <v/>
      </c>
      <c r="V500" s="54">
        <v>0</v>
      </c>
      <c r="W500" s="52" t="s">
        <v>5587</v>
      </c>
    </row>
    <row r="501" spans="1:23" ht="20.100000000000001" customHeight="1" x14ac:dyDescent="0.25">
      <c r="A501" s="50"/>
      <c r="B501" s="50"/>
      <c r="C501" s="51"/>
      <c r="D501" s="51"/>
      <c r="E501" s="52"/>
      <c r="F501" s="52"/>
      <c r="G501" s="52"/>
      <c r="H501" s="52">
        <v>5942</v>
      </c>
      <c r="I501" s="52"/>
      <c r="J501" s="52"/>
      <c r="K501" s="53"/>
      <c r="L501" s="54"/>
      <c r="M501" s="52"/>
      <c r="N501" s="55"/>
      <c r="O501" s="50"/>
      <c r="P501" s="53"/>
      <c r="Q501" s="52"/>
      <c r="R501" s="52"/>
      <c r="S501" s="52"/>
      <c r="T501" s="55"/>
      <c r="U501" s="52" t="str">
        <f t="shared" ca="1" si="7"/>
        <v/>
      </c>
      <c r="V501" s="54">
        <v>0</v>
      </c>
      <c r="W501" s="52" t="s">
        <v>5587</v>
      </c>
    </row>
    <row r="502" spans="1:23" ht="20.100000000000001" customHeight="1" x14ac:dyDescent="0.25">
      <c r="A502" s="50"/>
      <c r="B502" s="50"/>
      <c r="C502" s="51"/>
      <c r="D502" s="51"/>
      <c r="E502" s="52"/>
      <c r="F502" s="52"/>
      <c r="G502" s="52"/>
      <c r="H502" s="52">
        <v>5943</v>
      </c>
      <c r="I502" s="52"/>
      <c r="J502" s="52"/>
      <c r="K502" s="53"/>
      <c r="L502" s="54"/>
      <c r="M502" s="52"/>
      <c r="N502" s="55"/>
      <c r="O502" s="50"/>
      <c r="P502" s="53"/>
      <c r="Q502" s="52"/>
      <c r="R502" s="52"/>
      <c r="S502" s="52"/>
      <c r="T502" s="55"/>
      <c r="U502" s="52" t="str">
        <f t="shared" ca="1" si="7"/>
        <v/>
      </c>
      <c r="V502" s="54">
        <v>0</v>
      </c>
      <c r="W502" s="52" t="s">
        <v>5587</v>
      </c>
    </row>
    <row r="503" spans="1:23" ht="20.100000000000001" customHeight="1" x14ac:dyDescent="0.25">
      <c r="A503" s="50"/>
      <c r="B503" s="50"/>
      <c r="C503" s="51"/>
      <c r="D503" s="51"/>
      <c r="E503" s="52"/>
      <c r="F503" s="52"/>
      <c r="G503" s="52"/>
      <c r="H503" s="52">
        <v>5944</v>
      </c>
      <c r="I503" s="52"/>
      <c r="J503" s="52"/>
      <c r="K503" s="53"/>
      <c r="L503" s="54"/>
      <c r="M503" s="52"/>
      <c r="N503" s="55"/>
      <c r="O503" s="50"/>
      <c r="P503" s="53"/>
      <c r="Q503" s="52"/>
      <c r="R503" s="52"/>
      <c r="S503" s="52"/>
      <c r="T503" s="55"/>
      <c r="U503" s="52" t="str">
        <f t="shared" ca="1" si="7"/>
        <v/>
      </c>
      <c r="V503" s="54">
        <v>0</v>
      </c>
      <c r="W503" s="52" t="s">
        <v>5587</v>
      </c>
    </row>
    <row r="504" spans="1:23" ht="20.100000000000001" customHeight="1" x14ac:dyDescent="0.25">
      <c r="A504" s="50"/>
      <c r="B504" s="50"/>
      <c r="C504" s="51"/>
      <c r="D504" s="51"/>
      <c r="E504" s="52"/>
      <c r="F504" s="52"/>
      <c r="G504" s="52"/>
      <c r="H504" s="52">
        <v>5945</v>
      </c>
      <c r="I504" s="52"/>
      <c r="J504" s="52"/>
      <c r="K504" s="53"/>
      <c r="L504" s="54"/>
      <c r="M504" s="52"/>
      <c r="N504" s="55"/>
      <c r="O504" s="50"/>
      <c r="P504" s="53"/>
      <c r="Q504" s="52"/>
      <c r="R504" s="52"/>
      <c r="S504" s="52"/>
      <c r="T504" s="55"/>
      <c r="U504" s="52" t="str">
        <f t="shared" ca="1" si="7"/>
        <v/>
      </c>
      <c r="V504" s="54">
        <v>0</v>
      </c>
      <c r="W504" s="52" t="s">
        <v>5587</v>
      </c>
    </row>
    <row r="505" spans="1:23" ht="20.100000000000001" customHeight="1" x14ac:dyDescent="0.25">
      <c r="A505" s="50"/>
      <c r="B505" s="50"/>
      <c r="C505" s="51"/>
      <c r="D505" s="51"/>
      <c r="E505" s="52"/>
      <c r="F505" s="52"/>
      <c r="G505" s="52"/>
      <c r="H505" s="52">
        <v>5946</v>
      </c>
      <c r="I505" s="52"/>
      <c r="J505" s="52"/>
      <c r="K505" s="53"/>
      <c r="L505" s="54"/>
      <c r="M505" s="52"/>
      <c r="N505" s="55"/>
      <c r="O505" s="50"/>
      <c r="P505" s="53"/>
      <c r="Q505" s="52"/>
      <c r="R505" s="52"/>
      <c r="S505" s="52"/>
      <c r="T505" s="55"/>
      <c r="U505" s="52" t="str">
        <f t="shared" ca="1" si="7"/>
        <v/>
      </c>
      <c r="V505" s="54">
        <v>0</v>
      </c>
      <c r="W505" s="52" t="s">
        <v>5587</v>
      </c>
    </row>
    <row r="506" spans="1:23" ht="20.100000000000001" customHeight="1" x14ac:dyDescent="0.25">
      <c r="A506" s="50"/>
      <c r="B506" s="50"/>
      <c r="C506" s="51"/>
      <c r="D506" s="51"/>
      <c r="E506" s="52"/>
      <c r="F506" s="52"/>
      <c r="G506" s="52"/>
      <c r="H506" s="52">
        <v>5947</v>
      </c>
      <c r="I506" s="52"/>
      <c r="J506" s="52"/>
      <c r="K506" s="53"/>
      <c r="L506" s="54"/>
      <c r="M506" s="52"/>
      <c r="N506" s="55"/>
      <c r="O506" s="50"/>
      <c r="P506" s="53"/>
      <c r="Q506" s="52"/>
      <c r="R506" s="52"/>
      <c r="S506" s="52"/>
      <c r="T506" s="55"/>
      <c r="U506" s="52" t="str">
        <f t="shared" ca="1" si="7"/>
        <v/>
      </c>
      <c r="V506" s="54">
        <v>0</v>
      </c>
      <c r="W506" s="52" t="s">
        <v>5587</v>
      </c>
    </row>
    <row r="507" spans="1:23" ht="20.100000000000001" customHeight="1" x14ac:dyDescent="0.25">
      <c r="A507" s="50"/>
      <c r="B507" s="50"/>
      <c r="C507" s="51"/>
      <c r="D507" s="51"/>
      <c r="E507" s="52"/>
      <c r="F507" s="52"/>
      <c r="G507" s="52"/>
      <c r="H507" s="52">
        <v>5948</v>
      </c>
      <c r="I507" s="52"/>
      <c r="J507" s="52"/>
      <c r="K507" s="53"/>
      <c r="L507" s="54"/>
      <c r="M507" s="52"/>
      <c r="N507" s="55"/>
      <c r="O507" s="50"/>
      <c r="P507" s="53"/>
      <c r="Q507" s="52"/>
      <c r="R507" s="52"/>
      <c r="S507" s="52"/>
      <c r="T507" s="55"/>
      <c r="U507" s="52" t="str">
        <f t="shared" ca="1" si="7"/>
        <v/>
      </c>
      <c r="V507" s="54">
        <v>0</v>
      </c>
      <c r="W507" s="52" t="s">
        <v>5587</v>
      </c>
    </row>
    <row r="508" spans="1:23" ht="20.100000000000001" customHeight="1" x14ac:dyDescent="0.25">
      <c r="A508" s="50"/>
      <c r="B508" s="50"/>
      <c r="C508" s="51"/>
      <c r="D508" s="51"/>
      <c r="E508" s="52"/>
      <c r="F508" s="52"/>
      <c r="G508" s="52"/>
      <c r="H508" s="52">
        <v>5949</v>
      </c>
      <c r="I508" s="52"/>
      <c r="J508" s="52"/>
      <c r="K508" s="53"/>
      <c r="L508" s="54"/>
      <c r="M508" s="52"/>
      <c r="N508" s="55"/>
      <c r="O508" s="50"/>
      <c r="P508" s="53"/>
      <c r="Q508" s="52"/>
      <c r="R508" s="52"/>
      <c r="S508" s="52"/>
      <c r="T508" s="55"/>
      <c r="U508" s="52" t="str">
        <f t="shared" ca="1" si="7"/>
        <v/>
      </c>
      <c r="V508" s="54">
        <v>0</v>
      </c>
      <c r="W508" s="52" t="s">
        <v>5587</v>
      </c>
    </row>
    <row r="509" spans="1:23" ht="20.100000000000001" customHeight="1" x14ac:dyDescent="0.25">
      <c r="A509" s="50"/>
      <c r="B509" s="50"/>
      <c r="C509" s="51"/>
      <c r="D509" s="51"/>
      <c r="E509" s="52"/>
      <c r="F509" s="52"/>
      <c r="G509" s="52"/>
      <c r="H509" s="52">
        <v>5950</v>
      </c>
      <c r="I509" s="52"/>
      <c r="J509" s="52"/>
      <c r="K509" s="53"/>
      <c r="L509" s="54"/>
      <c r="M509" s="52"/>
      <c r="N509" s="55"/>
      <c r="O509" s="50"/>
      <c r="P509" s="53"/>
      <c r="Q509" s="52"/>
      <c r="R509" s="52"/>
      <c r="S509" s="52"/>
      <c r="T509" s="55"/>
      <c r="U509" s="52" t="str">
        <f t="shared" ca="1" si="7"/>
        <v/>
      </c>
      <c r="V509" s="54">
        <v>0</v>
      </c>
      <c r="W509" s="52" t="s">
        <v>5587</v>
      </c>
    </row>
    <row r="510" spans="1:23" ht="20.100000000000001" customHeight="1" x14ac:dyDescent="0.25">
      <c r="A510" s="50"/>
      <c r="B510" s="50"/>
      <c r="C510" s="51"/>
      <c r="D510" s="51"/>
      <c r="E510" s="52"/>
      <c r="F510" s="52"/>
      <c r="G510" s="52"/>
      <c r="H510" s="52">
        <v>5951</v>
      </c>
      <c r="I510" s="52"/>
      <c r="J510" s="52"/>
      <c r="K510" s="53"/>
      <c r="L510" s="54"/>
      <c r="M510" s="52"/>
      <c r="N510" s="55"/>
      <c r="O510" s="50"/>
      <c r="P510" s="53"/>
      <c r="Q510" s="52"/>
      <c r="R510" s="52"/>
      <c r="S510" s="52"/>
      <c r="T510" s="55"/>
      <c r="U510" s="52" t="str">
        <f t="shared" ca="1" si="7"/>
        <v/>
      </c>
      <c r="V510" s="54">
        <v>0</v>
      </c>
      <c r="W510" s="52" t="s">
        <v>5587</v>
      </c>
    </row>
    <row r="511" spans="1:23" ht="20.100000000000001" customHeight="1" x14ac:dyDescent="0.25">
      <c r="A511" s="50"/>
      <c r="B511" s="50"/>
      <c r="C511" s="51"/>
      <c r="D511" s="51"/>
      <c r="E511" s="52"/>
      <c r="F511" s="52"/>
      <c r="G511" s="52"/>
      <c r="H511" s="52">
        <v>5952</v>
      </c>
      <c r="I511" s="52"/>
      <c r="J511" s="52"/>
      <c r="K511" s="53"/>
      <c r="L511" s="54"/>
      <c r="M511" s="52"/>
      <c r="N511" s="55"/>
      <c r="O511" s="50"/>
      <c r="P511" s="53"/>
      <c r="Q511" s="52"/>
      <c r="R511" s="52"/>
      <c r="S511" s="52"/>
      <c r="T511" s="55"/>
      <c r="U511" s="52" t="str">
        <f t="shared" ca="1" si="7"/>
        <v/>
      </c>
      <c r="V511" s="54">
        <v>0</v>
      </c>
      <c r="W511" s="52" t="s">
        <v>5587</v>
      </c>
    </row>
    <row r="512" spans="1:23" ht="20.100000000000001" customHeight="1" x14ac:dyDescent="0.25">
      <c r="A512" s="50"/>
      <c r="B512" s="50"/>
      <c r="C512" s="51"/>
      <c r="D512" s="51"/>
      <c r="E512" s="52"/>
      <c r="F512" s="52"/>
      <c r="G512" s="52"/>
      <c r="H512" s="52">
        <v>5953</v>
      </c>
      <c r="I512" s="52"/>
      <c r="J512" s="52"/>
      <c r="K512" s="53"/>
      <c r="L512" s="54"/>
      <c r="M512" s="52"/>
      <c r="N512" s="55"/>
      <c r="O512" s="50"/>
      <c r="P512" s="53"/>
      <c r="Q512" s="52"/>
      <c r="R512" s="52"/>
      <c r="S512" s="52"/>
      <c r="T512" s="55"/>
      <c r="U512" s="52" t="str">
        <f t="shared" ca="1" si="7"/>
        <v/>
      </c>
      <c r="V512" s="54">
        <v>0</v>
      </c>
      <c r="W512" s="52" t="s">
        <v>5587</v>
      </c>
    </row>
    <row r="513" spans="1:23" ht="20.100000000000001" customHeight="1" x14ac:dyDescent="0.25">
      <c r="A513" s="50"/>
      <c r="B513" s="50"/>
      <c r="C513" s="51"/>
      <c r="D513" s="51"/>
      <c r="E513" s="52"/>
      <c r="F513" s="52"/>
      <c r="G513" s="52"/>
      <c r="H513" s="52">
        <v>5954</v>
      </c>
      <c r="I513" s="52"/>
      <c r="J513" s="52"/>
      <c r="K513" s="53"/>
      <c r="L513" s="54"/>
      <c r="M513" s="52"/>
      <c r="N513" s="55"/>
      <c r="O513" s="50"/>
      <c r="P513" s="53"/>
      <c r="Q513" s="52"/>
      <c r="R513" s="52"/>
      <c r="S513" s="52"/>
      <c r="T513" s="55"/>
      <c r="U513" s="52" t="str">
        <f t="shared" ca="1" si="7"/>
        <v/>
      </c>
      <c r="V513" s="54">
        <v>0</v>
      </c>
      <c r="W513" s="52" t="s">
        <v>5587</v>
      </c>
    </row>
    <row r="514" spans="1:23" ht="20.100000000000001" customHeight="1" x14ac:dyDescent="0.25">
      <c r="A514" s="50"/>
      <c r="B514" s="50"/>
      <c r="C514" s="51"/>
      <c r="D514" s="51"/>
      <c r="E514" s="52"/>
      <c r="F514" s="52"/>
      <c r="G514" s="52"/>
      <c r="H514" s="52">
        <v>5955</v>
      </c>
      <c r="I514" s="52"/>
      <c r="J514" s="52"/>
      <c r="K514" s="53"/>
      <c r="L514" s="54"/>
      <c r="M514" s="52"/>
      <c r="N514" s="55"/>
      <c r="O514" s="50"/>
      <c r="P514" s="53"/>
      <c r="Q514" s="52"/>
      <c r="R514" s="52"/>
      <c r="S514" s="52"/>
      <c r="T514" s="55"/>
      <c r="U514" s="52" t="str">
        <f t="shared" ca="1" si="7"/>
        <v/>
      </c>
      <c r="V514" s="54">
        <v>0</v>
      </c>
      <c r="W514" s="52" t="s">
        <v>5587</v>
      </c>
    </row>
    <row r="515" spans="1:23" ht="20.100000000000001" customHeight="1" x14ac:dyDescent="0.25">
      <c r="A515" s="50"/>
      <c r="B515" s="50"/>
      <c r="C515" s="51"/>
      <c r="D515" s="51"/>
      <c r="E515" s="52"/>
      <c r="F515" s="52"/>
      <c r="G515" s="52"/>
      <c r="H515" s="52">
        <v>5956</v>
      </c>
      <c r="I515" s="52"/>
      <c r="J515" s="52"/>
      <c r="K515" s="53"/>
      <c r="L515" s="54"/>
      <c r="M515" s="52"/>
      <c r="N515" s="55"/>
      <c r="O515" s="50"/>
      <c r="P515" s="53"/>
      <c r="Q515" s="52"/>
      <c r="R515" s="52"/>
      <c r="S515" s="52"/>
      <c r="T515" s="55"/>
      <c r="U515" s="52" t="str">
        <f t="shared" ca="1" si="7"/>
        <v/>
      </c>
      <c r="V515" s="54">
        <v>0</v>
      </c>
      <c r="W515" s="52" t="s">
        <v>5587</v>
      </c>
    </row>
    <row r="516" spans="1:23" ht="20.100000000000001" customHeight="1" x14ac:dyDescent="0.25">
      <c r="A516" s="50"/>
      <c r="B516" s="50"/>
      <c r="C516" s="51"/>
      <c r="D516" s="51"/>
      <c r="E516" s="52"/>
      <c r="F516" s="52"/>
      <c r="G516" s="52"/>
      <c r="H516" s="52">
        <v>5957</v>
      </c>
      <c r="I516" s="52"/>
      <c r="J516" s="52"/>
      <c r="K516" s="53"/>
      <c r="L516" s="54"/>
      <c r="M516" s="52"/>
      <c r="N516" s="55"/>
      <c r="O516" s="50"/>
      <c r="P516" s="53"/>
      <c r="Q516" s="52"/>
      <c r="R516" s="52"/>
      <c r="S516" s="52"/>
      <c r="T516" s="55"/>
      <c r="U516" s="52" t="str">
        <f t="shared" ca="1" si="7"/>
        <v/>
      </c>
      <c r="V516" s="54">
        <v>0</v>
      </c>
      <c r="W516" s="52" t="s">
        <v>5587</v>
      </c>
    </row>
    <row r="517" spans="1:23" ht="20.100000000000001" customHeight="1" x14ac:dyDescent="0.25">
      <c r="A517" s="50"/>
      <c r="B517" s="50"/>
      <c r="C517" s="51"/>
      <c r="D517" s="51"/>
      <c r="E517" s="52"/>
      <c r="F517" s="52"/>
      <c r="G517" s="52"/>
      <c r="H517" s="52">
        <v>5958</v>
      </c>
      <c r="I517" s="52"/>
      <c r="J517" s="52"/>
      <c r="K517" s="53"/>
      <c r="L517" s="54"/>
      <c r="M517" s="52"/>
      <c r="N517" s="55"/>
      <c r="O517" s="50"/>
      <c r="P517" s="53"/>
      <c r="Q517" s="52"/>
      <c r="R517" s="52"/>
      <c r="S517" s="52"/>
      <c r="T517" s="55"/>
      <c r="U517" s="52" t="str">
        <f t="shared" ref="U517:U580" ca="1" si="8">IF(C517="","",TODAY()-C517)</f>
        <v/>
      </c>
      <c r="V517" s="54">
        <v>0</v>
      </c>
      <c r="W517" s="52" t="s">
        <v>5587</v>
      </c>
    </row>
    <row r="518" spans="1:23" ht="20.100000000000001" customHeight="1" x14ac:dyDescent="0.25">
      <c r="A518" s="50"/>
      <c r="B518" s="50"/>
      <c r="C518" s="51"/>
      <c r="D518" s="51"/>
      <c r="E518" s="52"/>
      <c r="F518" s="52"/>
      <c r="G518" s="52"/>
      <c r="H518" s="52">
        <v>5959</v>
      </c>
      <c r="I518" s="52"/>
      <c r="J518" s="52"/>
      <c r="K518" s="53"/>
      <c r="L518" s="54"/>
      <c r="M518" s="52"/>
      <c r="N518" s="55"/>
      <c r="O518" s="50"/>
      <c r="P518" s="53"/>
      <c r="Q518" s="52"/>
      <c r="R518" s="52"/>
      <c r="S518" s="52"/>
      <c r="T518" s="55"/>
      <c r="U518" s="52" t="str">
        <f t="shared" ca="1" si="8"/>
        <v/>
      </c>
      <c r="V518" s="54">
        <v>0</v>
      </c>
      <c r="W518" s="52" t="s">
        <v>5587</v>
      </c>
    </row>
    <row r="519" spans="1:23" ht="20.100000000000001" customHeight="1" x14ac:dyDescent="0.25">
      <c r="A519" s="50"/>
      <c r="B519" s="50"/>
      <c r="C519" s="51"/>
      <c r="D519" s="51"/>
      <c r="E519" s="52"/>
      <c r="F519" s="52"/>
      <c r="G519" s="52"/>
      <c r="H519" s="52">
        <v>5960</v>
      </c>
      <c r="I519" s="52"/>
      <c r="J519" s="52"/>
      <c r="K519" s="53"/>
      <c r="L519" s="54"/>
      <c r="M519" s="52"/>
      <c r="N519" s="55"/>
      <c r="O519" s="50"/>
      <c r="P519" s="53"/>
      <c r="Q519" s="52"/>
      <c r="R519" s="52"/>
      <c r="S519" s="52"/>
      <c r="T519" s="55"/>
      <c r="U519" s="52" t="str">
        <f t="shared" ca="1" si="8"/>
        <v/>
      </c>
      <c r="V519" s="54">
        <v>0</v>
      </c>
      <c r="W519" s="52" t="s">
        <v>5587</v>
      </c>
    </row>
    <row r="520" spans="1:23" ht="20.100000000000001" customHeight="1" x14ac:dyDescent="0.25">
      <c r="A520" s="50"/>
      <c r="B520" s="50"/>
      <c r="C520" s="51"/>
      <c r="D520" s="51"/>
      <c r="E520" s="52"/>
      <c r="F520" s="52"/>
      <c r="G520" s="52"/>
      <c r="H520" s="52">
        <v>5961</v>
      </c>
      <c r="I520" s="52"/>
      <c r="J520" s="52"/>
      <c r="K520" s="53"/>
      <c r="L520" s="54"/>
      <c r="M520" s="52"/>
      <c r="N520" s="55"/>
      <c r="O520" s="50"/>
      <c r="P520" s="53"/>
      <c r="Q520" s="52"/>
      <c r="R520" s="52"/>
      <c r="S520" s="52"/>
      <c r="T520" s="55"/>
      <c r="U520" s="52" t="str">
        <f t="shared" ca="1" si="8"/>
        <v/>
      </c>
      <c r="V520" s="54">
        <v>0</v>
      </c>
      <c r="W520" s="52" t="s">
        <v>5587</v>
      </c>
    </row>
    <row r="521" spans="1:23" ht="20.100000000000001" customHeight="1" x14ac:dyDescent="0.25">
      <c r="A521" s="50"/>
      <c r="B521" s="50"/>
      <c r="C521" s="51"/>
      <c r="D521" s="51"/>
      <c r="E521" s="52"/>
      <c r="F521" s="52"/>
      <c r="G521" s="52"/>
      <c r="H521" s="52">
        <v>5962</v>
      </c>
      <c r="I521" s="52"/>
      <c r="J521" s="52"/>
      <c r="K521" s="53"/>
      <c r="L521" s="54"/>
      <c r="M521" s="52"/>
      <c r="N521" s="55"/>
      <c r="O521" s="50"/>
      <c r="P521" s="53"/>
      <c r="Q521" s="52"/>
      <c r="R521" s="52"/>
      <c r="S521" s="52"/>
      <c r="T521" s="55"/>
      <c r="U521" s="52" t="str">
        <f t="shared" ca="1" si="8"/>
        <v/>
      </c>
      <c r="V521" s="54">
        <v>0</v>
      </c>
      <c r="W521" s="52" t="s">
        <v>5587</v>
      </c>
    </row>
    <row r="522" spans="1:23" ht="20.100000000000001" customHeight="1" x14ac:dyDescent="0.25">
      <c r="A522" s="50"/>
      <c r="B522" s="50"/>
      <c r="C522" s="51"/>
      <c r="D522" s="51"/>
      <c r="E522" s="52"/>
      <c r="F522" s="52"/>
      <c r="G522" s="52"/>
      <c r="H522" s="52">
        <v>5963</v>
      </c>
      <c r="I522" s="52"/>
      <c r="J522" s="52"/>
      <c r="K522" s="53"/>
      <c r="L522" s="54"/>
      <c r="M522" s="52"/>
      <c r="N522" s="55"/>
      <c r="O522" s="50"/>
      <c r="P522" s="53"/>
      <c r="Q522" s="52"/>
      <c r="R522" s="52"/>
      <c r="S522" s="52"/>
      <c r="T522" s="55"/>
      <c r="U522" s="52" t="str">
        <f t="shared" ca="1" si="8"/>
        <v/>
      </c>
      <c r="V522" s="54">
        <v>0</v>
      </c>
      <c r="W522" s="52" t="s">
        <v>5587</v>
      </c>
    </row>
    <row r="523" spans="1:23" ht="20.100000000000001" customHeight="1" x14ac:dyDescent="0.25">
      <c r="A523" s="50"/>
      <c r="B523" s="50"/>
      <c r="C523" s="51"/>
      <c r="D523" s="51"/>
      <c r="E523" s="52"/>
      <c r="F523" s="52"/>
      <c r="G523" s="52"/>
      <c r="H523" s="52">
        <v>5964</v>
      </c>
      <c r="I523" s="52"/>
      <c r="J523" s="52"/>
      <c r="K523" s="53"/>
      <c r="L523" s="54"/>
      <c r="M523" s="52"/>
      <c r="N523" s="55"/>
      <c r="O523" s="50"/>
      <c r="P523" s="53"/>
      <c r="Q523" s="52"/>
      <c r="R523" s="52"/>
      <c r="S523" s="52"/>
      <c r="T523" s="55"/>
      <c r="U523" s="52" t="str">
        <f t="shared" ca="1" si="8"/>
        <v/>
      </c>
      <c r="V523" s="54">
        <v>0</v>
      </c>
      <c r="W523" s="52" t="s">
        <v>5587</v>
      </c>
    </row>
    <row r="524" spans="1:23" ht="20.100000000000001" customHeight="1" x14ac:dyDescent="0.25">
      <c r="A524" s="50"/>
      <c r="B524" s="50"/>
      <c r="C524" s="51"/>
      <c r="D524" s="51"/>
      <c r="E524" s="52"/>
      <c r="F524" s="52"/>
      <c r="G524" s="52"/>
      <c r="H524" s="52">
        <v>5965</v>
      </c>
      <c r="I524" s="52"/>
      <c r="J524" s="52"/>
      <c r="K524" s="53"/>
      <c r="L524" s="54"/>
      <c r="M524" s="52"/>
      <c r="N524" s="55"/>
      <c r="O524" s="50"/>
      <c r="P524" s="53"/>
      <c r="Q524" s="52"/>
      <c r="R524" s="52"/>
      <c r="S524" s="52"/>
      <c r="T524" s="55"/>
      <c r="U524" s="52" t="str">
        <f t="shared" ca="1" si="8"/>
        <v/>
      </c>
      <c r="V524" s="54">
        <v>0</v>
      </c>
      <c r="W524" s="52" t="s">
        <v>5587</v>
      </c>
    </row>
    <row r="525" spans="1:23" ht="20.100000000000001" customHeight="1" x14ac:dyDescent="0.25">
      <c r="A525" s="50"/>
      <c r="B525" s="50"/>
      <c r="C525" s="51"/>
      <c r="D525" s="51"/>
      <c r="E525" s="52"/>
      <c r="F525" s="52"/>
      <c r="G525" s="52"/>
      <c r="H525" s="52">
        <v>5966</v>
      </c>
      <c r="I525" s="52"/>
      <c r="J525" s="52"/>
      <c r="K525" s="53"/>
      <c r="L525" s="54"/>
      <c r="M525" s="52"/>
      <c r="N525" s="55"/>
      <c r="O525" s="50"/>
      <c r="P525" s="53"/>
      <c r="Q525" s="52"/>
      <c r="R525" s="52"/>
      <c r="S525" s="52"/>
      <c r="T525" s="55"/>
      <c r="U525" s="52" t="str">
        <f t="shared" ca="1" si="8"/>
        <v/>
      </c>
      <c r="V525" s="54">
        <v>0</v>
      </c>
      <c r="W525" s="52" t="s">
        <v>5587</v>
      </c>
    </row>
    <row r="526" spans="1:23" ht="20.100000000000001" customHeight="1" x14ac:dyDescent="0.25">
      <c r="A526" s="50"/>
      <c r="B526" s="50"/>
      <c r="C526" s="51"/>
      <c r="D526" s="51"/>
      <c r="E526" s="52"/>
      <c r="F526" s="52"/>
      <c r="G526" s="52"/>
      <c r="H526" s="52">
        <v>5967</v>
      </c>
      <c r="I526" s="52"/>
      <c r="J526" s="52"/>
      <c r="K526" s="53"/>
      <c r="L526" s="54"/>
      <c r="M526" s="52"/>
      <c r="N526" s="55"/>
      <c r="O526" s="50"/>
      <c r="P526" s="53"/>
      <c r="Q526" s="52"/>
      <c r="R526" s="52"/>
      <c r="S526" s="52"/>
      <c r="T526" s="55"/>
      <c r="U526" s="52" t="str">
        <f t="shared" ca="1" si="8"/>
        <v/>
      </c>
      <c r="V526" s="54">
        <v>0</v>
      </c>
      <c r="W526" s="52" t="s">
        <v>5587</v>
      </c>
    </row>
    <row r="527" spans="1:23" ht="20.100000000000001" customHeight="1" x14ac:dyDescent="0.25">
      <c r="A527" s="50"/>
      <c r="B527" s="50"/>
      <c r="C527" s="51"/>
      <c r="D527" s="51"/>
      <c r="E527" s="52"/>
      <c r="F527" s="52"/>
      <c r="G527" s="52"/>
      <c r="H527" s="52">
        <v>5968</v>
      </c>
      <c r="I527" s="52"/>
      <c r="J527" s="52"/>
      <c r="K527" s="53"/>
      <c r="L527" s="54"/>
      <c r="M527" s="52"/>
      <c r="N527" s="55"/>
      <c r="O527" s="50"/>
      <c r="P527" s="53"/>
      <c r="Q527" s="52"/>
      <c r="R527" s="52"/>
      <c r="S527" s="52"/>
      <c r="T527" s="55"/>
      <c r="U527" s="52" t="str">
        <f t="shared" ca="1" si="8"/>
        <v/>
      </c>
      <c r="V527" s="54">
        <v>0</v>
      </c>
      <c r="W527" s="52" t="s">
        <v>5587</v>
      </c>
    </row>
    <row r="528" spans="1:23" ht="20.100000000000001" customHeight="1" x14ac:dyDescent="0.25">
      <c r="A528" s="50"/>
      <c r="B528" s="50"/>
      <c r="C528" s="51"/>
      <c r="D528" s="51"/>
      <c r="E528" s="52"/>
      <c r="F528" s="52"/>
      <c r="G528" s="52"/>
      <c r="H528" s="52">
        <v>5969</v>
      </c>
      <c r="I528" s="52"/>
      <c r="J528" s="52"/>
      <c r="K528" s="53"/>
      <c r="L528" s="54"/>
      <c r="M528" s="52"/>
      <c r="N528" s="55"/>
      <c r="O528" s="50"/>
      <c r="P528" s="53"/>
      <c r="Q528" s="52"/>
      <c r="R528" s="52"/>
      <c r="S528" s="52"/>
      <c r="T528" s="55"/>
      <c r="U528" s="52" t="str">
        <f t="shared" ca="1" si="8"/>
        <v/>
      </c>
      <c r="V528" s="54">
        <v>0</v>
      </c>
      <c r="W528" s="52" t="s">
        <v>5587</v>
      </c>
    </row>
    <row r="529" spans="1:23" ht="20.100000000000001" customHeight="1" x14ac:dyDescent="0.25">
      <c r="A529" s="50"/>
      <c r="B529" s="50"/>
      <c r="C529" s="51"/>
      <c r="D529" s="51"/>
      <c r="E529" s="52"/>
      <c r="F529" s="52"/>
      <c r="G529" s="52"/>
      <c r="H529" s="52">
        <v>5970</v>
      </c>
      <c r="I529" s="52"/>
      <c r="J529" s="52"/>
      <c r="K529" s="53"/>
      <c r="L529" s="54"/>
      <c r="M529" s="52"/>
      <c r="N529" s="55"/>
      <c r="O529" s="50"/>
      <c r="P529" s="53"/>
      <c r="Q529" s="52"/>
      <c r="R529" s="52"/>
      <c r="S529" s="52"/>
      <c r="T529" s="55"/>
      <c r="U529" s="52" t="str">
        <f t="shared" ca="1" si="8"/>
        <v/>
      </c>
      <c r="V529" s="54">
        <v>0</v>
      </c>
      <c r="W529" s="52" t="s">
        <v>5587</v>
      </c>
    </row>
    <row r="530" spans="1:23" ht="20.100000000000001" customHeight="1" x14ac:dyDescent="0.25">
      <c r="A530" s="50"/>
      <c r="B530" s="50"/>
      <c r="C530" s="51"/>
      <c r="D530" s="51"/>
      <c r="E530" s="52"/>
      <c r="F530" s="52"/>
      <c r="G530" s="52"/>
      <c r="H530" s="52">
        <v>5971</v>
      </c>
      <c r="I530" s="52"/>
      <c r="J530" s="52"/>
      <c r="K530" s="53"/>
      <c r="L530" s="54"/>
      <c r="M530" s="52"/>
      <c r="N530" s="55"/>
      <c r="O530" s="50"/>
      <c r="P530" s="53"/>
      <c r="Q530" s="52"/>
      <c r="R530" s="52"/>
      <c r="S530" s="52"/>
      <c r="T530" s="55"/>
      <c r="U530" s="52" t="str">
        <f t="shared" ca="1" si="8"/>
        <v/>
      </c>
      <c r="V530" s="54">
        <v>0</v>
      </c>
      <c r="W530" s="52" t="s">
        <v>5587</v>
      </c>
    </row>
    <row r="531" spans="1:23" ht="20.100000000000001" customHeight="1" x14ac:dyDescent="0.25">
      <c r="A531" s="50"/>
      <c r="B531" s="50"/>
      <c r="C531" s="51"/>
      <c r="D531" s="51"/>
      <c r="E531" s="52"/>
      <c r="F531" s="52"/>
      <c r="G531" s="52"/>
      <c r="H531" s="52">
        <v>5972</v>
      </c>
      <c r="I531" s="52"/>
      <c r="J531" s="52"/>
      <c r="K531" s="53"/>
      <c r="L531" s="54"/>
      <c r="M531" s="52"/>
      <c r="N531" s="55"/>
      <c r="O531" s="50"/>
      <c r="P531" s="53"/>
      <c r="Q531" s="52"/>
      <c r="R531" s="52"/>
      <c r="S531" s="52"/>
      <c r="T531" s="55"/>
      <c r="U531" s="52" t="str">
        <f t="shared" ca="1" si="8"/>
        <v/>
      </c>
      <c r="V531" s="54">
        <v>0</v>
      </c>
      <c r="W531" s="52" t="s">
        <v>5587</v>
      </c>
    </row>
    <row r="532" spans="1:23" ht="20.100000000000001" customHeight="1" x14ac:dyDescent="0.25">
      <c r="A532" s="50"/>
      <c r="B532" s="50"/>
      <c r="C532" s="51"/>
      <c r="D532" s="51"/>
      <c r="E532" s="52"/>
      <c r="F532" s="52"/>
      <c r="G532" s="52"/>
      <c r="H532" s="52">
        <v>5973</v>
      </c>
      <c r="I532" s="52"/>
      <c r="J532" s="52"/>
      <c r="K532" s="53"/>
      <c r="L532" s="54"/>
      <c r="M532" s="52"/>
      <c r="N532" s="55"/>
      <c r="O532" s="50"/>
      <c r="P532" s="53"/>
      <c r="Q532" s="52"/>
      <c r="R532" s="52"/>
      <c r="S532" s="52"/>
      <c r="T532" s="55"/>
      <c r="U532" s="52" t="str">
        <f t="shared" ca="1" si="8"/>
        <v/>
      </c>
      <c r="V532" s="54">
        <v>0</v>
      </c>
      <c r="W532" s="52" t="s">
        <v>5587</v>
      </c>
    </row>
    <row r="533" spans="1:23" ht="20.100000000000001" customHeight="1" x14ac:dyDescent="0.25">
      <c r="A533" s="50"/>
      <c r="B533" s="50"/>
      <c r="C533" s="51"/>
      <c r="D533" s="51"/>
      <c r="E533" s="52"/>
      <c r="F533" s="52"/>
      <c r="G533" s="52"/>
      <c r="H533" s="52">
        <v>5974</v>
      </c>
      <c r="I533" s="52"/>
      <c r="J533" s="52"/>
      <c r="K533" s="53"/>
      <c r="L533" s="54"/>
      <c r="M533" s="52"/>
      <c r="N533" s="55"/>
      <c r="O533" s="50"/>
      <c r="P533" s="53"/>
      <c r="Q533" s="52"/>
      <c r="R533" s="52"/>
      <c r="S533" s="52"/>
      <c r="T533" s="55"/>
      <c r="U533" s="52" t="str">
        <f t="shared" ca="1" si="8"/>
        <v/>
      </c>
      <c r="V533" s="54">
        <v>0</v>
      </c>
      <c r="W533" s="52" t="s">
        <v>5587</v>
      </c>
    </row>
    <row r="534" spans="1:23" ht="20.100000000000001" customHeight="1" x14ac:dyDescent="0.25">
      <c r="A534" s="50"/>
      <c r="B534" s="50"/>
      <c r="C534" s="51"/>
      <c r="D534" s="51"/>
      <c r="E534" s="52"/>
      <c r="F534" s="52"/>
      <c r="G534" s="52"/>
      <c r="H534" s="52">
        <v>5975</v>
      </c>
      <c r="I534" s="52"/>
      <c r="J534" s="52"/>
      <c r="K534" s="53"/>
      <c r="L534" s="54"/>
      <c r="M534" s="52"/>
      <c r="N534" s="55"/>
      <c r="O534" s="50"/>
      <c r="P534" s="53"/>
      <c r="Q534" s="52"/>
      <c r="R534" s="52"/>
      <c r="S534" s="52"/>
      <c r="T534" s="55"/>
      <c r="U534" s="52" t="str">
        <f t="shared" ca="1" si="8"/>
        <v/>
      </c>
      <c r="V534" s="54">
        <v>0</v>
      </c>
      <c r="W534" s="52" t="s">
        <v>5587</v>
      </c>
    </row>
    <row r="535" spans="1:23" ht="20.100000000000001" customHeight="1" x14ac:dyDescent="0.25">
      <c r="A535" s="50"/>
      <c r="B535" s="50"/>
      <c r="C535" s="51"/>
      <c r="D535" s="51"/>
      <c r="E535" s="52"/>
      <c r="F535" s="52"/>
      <c r="G535" s="52"/>
      <c r="H535" s="52">
        <v>5976</v>
      </c>
      <c r="I535" s="52"/>
      <c r="J535" s="52"/>
      <c r="K535" s="53"/>
      <c r="L535" s="54"/>
      <c r="M535" s="52"/>
      <c r="N535" s="55"/>
      <c r="O535" s="50"/>
      <c r="P535" s="53"/>
      <c r="Q535" s="52"/>
      <c r="R535" s="52"/>
      <c r="S535" s="52"/>
      <c r="T535" s="55"/>
      <c r="U535" s="52" t="str">
        <f t="shared" ca="1" si="8"/>
        <v/>
      </c>
      <c r="V535" s="54">
        <v>0</v>
      </c>
      <c r="W535" s="52" t="s">
        <v>5587</v>
      </c>
    </row>
    <row r="536" spans="1:23" ht="20.100000000000001" customHeight="1" x14ac:dyDescent="0.25">
      <c r="A536" s="50"/>
      <c r="B536" s="50"/>
      <c r="C536" s="51"/>
      <c r="D536" s="51"/>
      <c r="E536" s="52"/>
      <c r="F536" s="52"/>
      <c r="G536" s="52"/>
      <c r="H536" s="52">
        <v>5977</v>
      </c>
      <c r="I536" s="52"/>
      <c r="J536" s="52"/>
      <c r="K536" s="53"/>
      <c r="L536" s="54"/>
      <c r="M536" s="52"/>
      <c r="N536" s="55"/>
      <c r="O536" s="50"/>
      <c r="P536" s="53"/>
      <c r="Q536" s="52"/>
      <c r="R536" s="52"/>
      <c r="S536" s="52"/>
      <c r="T536" s="55"/>
      <c r="U536" s="52" t="str">
        <f t="shared" ca="1" si="8"/>
        <v/>
      </c>
      <c r="V536" s="54">
        <v>0</v>
      </c>
      <c r="W536" s="52" t="s">
        <v>5587</v>
      </c>
    </row>
    <row r="537" spans="1:23" ht="20.100000000000001" customHeight="1" x14ac:dyDescent="0.25">
      <c r="A537" s="50"/>
      <c r="B537" s="50"/>
      <c r="C537" s="51"/>
      <c r="D537" s="51"/>
      <c r="E537" s="52"/>
      <c r="F537" s="52"/>
      <c r="G537" s="52"/>
      <c r="H537" s="52">
        <v>5978</v>
      </c>
      <c r="I537" s="52"/>
      <c r="J537" s="52"/>
      <c r="K537" s="53"/>
      <c r="L537" s="54"/>
      <c r="M537" s="52"/>
      <c r="N537" s="55"/>
      <c r="O537" s="50"/>
      <c r="P537" s="53"/>
      <c r="Q537" s="52"/>
      <c r="R537" s="52"/>
      <c r="S537" s="52"/>
      <c r="T537" s="55"/>
      <c r="U537" s="52" t="str">
        <f t="shared" ca="1" si="8"/>
        <v/>
      </c>
      <c r="V537" s="54">
        <v>0</v>
      </c>
      <c r="W537" s="52" t="s">
        <v>5587</v>
      </c>
    </row>
    <row r="538" spans="1:23" ht="20.100000000000001" customHeight="1" x14ac:dyDescent="0.25">
      <c r="A538" s="50"/>
      <c r="B538" s="50"/>
      <c r="C538" s="51"/>
      <c r="D538" s="51"/>
      <c r="E538" s="52"/>
      <c r="F538" s="52"/>
      <c r="G538" s="52"/>
      <c r="H538" s="52">
        <v>5979</v>
      </c>
      <c r="I538" s="52"/>
      <c r="J538" s="52"/>
      <c r="K538" s="53"/>
      <c r="L538" s="54"/>
      <c r="M538" s="52"/>
      <c r="N538" s="55"/>
      <c r="O538" s="50"/>
      <c r="P538" s="53"/>
      <c r="Q538" s="52"/>
      <c r="R538" s="52"/>
      <c r="S538" s="52"/>
      <c r="T538" s="55"/>
      <c r="U538" s="52" t="str">
        <f t="shared" ca="1" si="8"/>
        <v/>
      </c>
      <c r="V538" s="54">
        <v>0</v>
      </c>
      <c r="W538" s="52" t="s">
        <v>5587</v>
      </c>
    </row>
    <row r="539" spans="1:23" ht="20.100000000000001" customHeight="1" x14ac:dyDescent="0.25">
      <c r="A539" s="50"/>
      <c r="B539" s="50"/>
      <c r="C539" s="51"/>
      <c r="D539" s="51"/>
      <c r="E539" s="52"/>
      <c r="F539" s="52"/>
      <c r="G539" s="52"/>
      <c r="H539" s="52">
        <v>5980</v>
      </c>
      <c r="I539" s="52"/>
      <c r="J539" s="52"/>
      <c r="K539" s="53"/>
      <c r="L539" s="54"/>
      <c r="M539" s="52"/>
      <c r="N539" s="55"/>
      <c r="O539" s="50"/>
      <c r="P539" s="53"/>
      <c r="Q539" s="52"/>
      <c r="R539" s="52"/>
      <c r="S539" s="52"/>
      <c r="T539" s="55"/>
      <c r="U539" s="52" t="str">
        <f t="shared" ca="1" si="8"/>
        <v/>
      </c>
      <c r="V539" s="54">
        <v>0</v>
      </c>
      <c r="W539" s="52" t="s">
        <v>5587</v>
      </c>
    </row>
    <row r="540" spans="1:23" ht="20.100000000000001" customHeight="1" x14ac:dyDescent="0.25">
      <c r="A540" s="50"/>
      <c r="B540" s="50"/>
      <c r="C540" s="51"/>
      <c r="D540" s="51"/>
      <c r="E540" s="52"/>
      <c r="F540" s="52"/>
      <c r="G540" s="52"/>
      <c r="H540" s="52">
        <v>5981</v>
      </c>
      <c r="I540" s="52"/>
      <c r="J540" s="52"/>
      <c r="K540" s="53"/>
      <c r="L540" s="54"/>
      <c r="M540" s="52"/>
      <c r="N540" s="55"/>
      <c r="O540" s="50"/>
      <c r="P540" s="53"/>
      <c r="Q540" s="52"/>
      <c r="R540" s="52"/>
      <c r="S540" s="52"/>
      <c r="T540" s="55"/>
      <c r="U540" s="52" t="str">
        <f t="shared" ca="1" si="8"/>
        <v/>
      </c>
      <c r="V540" s="54">
        <v>0</v>
      </c>
      <c r="W540" s="52" t="s">
        <v>5587</v>
      </c>
    </row>
    <row r="541" spans="1:23" ht="20.100000000000001" customHeight="1" x14ac:dyDescent="0.25">
      <c r="A541" s="50"/>
      <c r="B541" s="50"/>
      <c r="C541" s="51"/>
      <c r="D541" s="51"/>
      <c r="E541" s="52"/>
      <c r="F541" s="52"/>
      <c r="G541" s="52"/>
      <c r="H541" s="52">
        <v>5982</v>
      </c>
      <c r="I541" s="52"/>
      <c r="J541" s="52"/>
      <c r="K541" s="53"/>
      <c r="L541" s="54"/>
      <c r="M541" s="52"/>
      <c r="N541" s="55"/>
      <c r="O541" s="50"/>
      <c r="P541" s="53"/>
      <c r="Q541" s="52"/>
      <c r="R541" s="52"/>
      <c r="S541" s="52"/>
      <c r="T541" s="55"/>
      <c r="U541" s="52" t="str">
        <f t="shared" ca="1" si="8"/>
        <v/>
      </c>
      <c r="V541" s="54">
        <v>0</v>
      </c>
      <c r="W541" s="52" t="s">
        <v>5587</v>
      </c>
    </row>
    <row r="542" spans="1:23" ht="20.100000000000001" customHeight="1" x14ac:dyDescent="0.25">
      <c r="A542" s="50"/>
      <c r="B542" s="50"/>
      <c r="C542" s="51"/>
      <c r="D542" s="51"/>
      <c r="E542" s="52"/>
      <c r="F542" s="52"/>
      <c r="G542" s="52"/>
      <c r="H542" s="52">
        <v>5983</v>
      </c>
      <c r="I542" s="52"/>
      <c r="J542" s="52"/>
      <c r="K542" s="53"/>
      <c r="L542" s="54"/>
      <c r="M542" s="52"/>
      <c r="N542" s="55"/>
      <c r="O542" s="50"/>
      <c r="P542" s="53"/>
      <c r="Q542" s="52"/>
      <c r="R542" s="52"/>
      <c r="S542" s="52"/>
      <c r="T542" s="55"/>
      <c r="U542" s="52" t="str">
        <f t="shared" ca="1" si="8"/>
        <v/>
      </c>
      <c r="V542" s="54">
        <v>0</v>
      </c>
      <c r="W542" s="52" t="s">
        <v>5587</v>
      </c>
    </row>
    <row r="543" spans="1:23" ht="20.100000000000001" customHeight="1" x14ac:dyDescent="0.25">
      <c r="A543" s="50"/>
      <c r="B543" s="50"/>
      <c r="C543" s="51"/>
      <c r="D543" s="51"/>
      <c r="E543" s="52"/>
      <c r="F543" s="52"/>
      <c r="G543" s="52"/>
      <c r="H543" s="52">
        <v>5984</v>
      </c>
      <c r="I543" s="52"/>
      <c r="J543" s="52"/>
      <c r="K543" s="53"/>
      <c r="L543" s="54"/>
      <c r="M543" s="52"/>
      <c r="N543" s="55"/>
      <c r="O543" s="50"/>
      <c r="P543" s="53"/>
      <c r="Q543" s="52"/>
      <c r="R543" s="52"/>
      <c r="S543" s="52"/>
      <c r="T543" s="55"/>
      <c r="U543" s="52" t="str">
        <f t="shared" ca="1" si="8"/>
        <v/>
      </c>
      <c r="V543" s="54">
        <v>0</v>
      </c>
      <c r="W543" s="52" t="s">
        <v>5587</v>
      </c>
    </row>
    <row r="544" spans="1:23" ht="20.100000000000001" customHeight="1" x14ac:dyDescent="0.25">
      <c r="A544" s="50"/>
      <c r="B544" s="50"/>
      <c r="C544" s="51"/>
      <c r="D544" s="51"/>
      <c r="E544" s="52"/>
      <c r="F544" s="52"/>
      <c r="G544" s="52"/>
      <c r="H544" s="52">
        <v>5985</v>
      </c>
      <c r="I544" s="52"/>
      <c r="J544" s="52"/>
      <c r="K544" s="53"/>
      <c r="L544" s="54"/>
      <c r="M544" s="52"/>
      <c r="N544" s="55"/>
      <c r="O544" s="50"/>
      <c r="P544" s="53"/>
      <c r="Q544" s="52"/>
      <c r="R544" s="52"/>
      <c r="S544" s="52"/>
      <c r="T544" s="55"/>
      <c r="U544" s="52" t="str">
        <f t="shared" ca="1" si="8"/>
        <v/>
      </c>
      <c r="V544" s="54">
        <v>0</v>
      </c>
      <c r="W544" s="52" t="s">
        <v>5587</v>
      </c>
    </row>
    <row r="545" spans="1:23" ht="20.100000000000001" customHeight="1" x14ac:dyDescent="0.25">
      <c r="A545" s="50"/>
      <c r="B545" s="50"/>
      <c r="C545" s="51"/>
      <c r="D545" s="51"/>
      <c r="E545" s="52"/>
      <c r="F545" s="52"/>
      <c r="G545" s="52"/>
      <c r="H545" s="52">
        <v>5986</v>
      </c>
      <c r="I545" s="52"/>
      <c r="J545" s="52"/>
      <c r="K545" s="53"/>
      <c r="L545" s="54"/>
      <c r="M545" s="52"/>
      <c r="N545" s="55"/>
      <c r="O545" s="50"/>
      <c r="P545" s="53"/>
      <c r="Q545" s="52"/>
      <c r="R545" s="52"/>
      <c r="S545" s="52"/>
      <c r="T545" s="55"/>
      <c r="U545" s="52" t="str">
        <f t="shared" ca="1" si="8"/>
        <v/>
      </c>
      <c r="V545" s="54">
        <v>0</v>
      </c>
      <c r="W545" s="52" t="s">
        <v>5587</v>
      </c>
    </row>
    <row r="546" spans="1:23" ht="20.100000000000001" customHeight="1" x14ac:dyDescent="0.25">
      <c r="A546" s="50"/>
      <c r="B546" s="50"/>
      <c r="C546" s="51"/>
      <c r="D546" s="51"/>
      <c r="E546" s="52"/>
      <c r="F546" s="52"/>
      <c r="G546" s="52"/>
      <c r="H546" s="52">
        <v>5987</v>
      </c>
      <c r="I546" s="52"/>
      <c r="J546" s="52"/>
      <c r="K546" s="53"/>
      <c r="L546" s="54"/>
      <c r="M546" s="52"/>
      <c r="N546" s="55"/>
      <c r="O546" s="50"/>
      <c r="P546" s="53"/>
      <c r="Q546" s="52"/>
      <c r="R546" s="52"/>
      <c r="S546" s="52"/>
      <c r="T546" s="55"/>
      <c r="U546" s="52" t="str">
        <f t="shared" ca="1" si="8"/>
        <v/>
      </c>
      <c r="V546" s="54">
        <v>0</v>
      </c>
      <c r="W546" s="52" t="s">
        <v>5587</v>
      </c>
    </row>
    <row r="547" spans="1:23" ht="20.100000000000001" customHeight="1" x14ac:dyDescent="0.25">
      <c r="A547" s="50"/>
      <c r="B547" s="50"/>
      <c r="C547" s="51"/>
      <c r="D547" s="51"/>
      <c r="E547" s="52"/>
      <c r="F547" s="52"/>
      <c r="G547" s="52"/>
      <c r="H547" s="52">
        <v>5988</v>
      </c>
      <c r="I547" s="52"/>
      <c r="J547" s="52"/>
      <c r="K547" s="53"/>
      <c r="L547" s="54"/>
      <c r="M547" s="52"/>
      <c r="N547" s="55"/>
      <c r="O547" s="50"/>
      <c r="P547" s="53"/>
      <c r="Q547" s="52"/>
      <c r="R547" s="52"/>
      <c r="S547" s="52"/>
      <c r="T547" s="55"/>
      <c r="U547" s="52" t="str">
        <f t="shared" ca="1" si="8"/>
        <v/>
      </c>
      <c r="V547" s="54">
        <v>0</v>
      </c>
      <c r="W547" s="52" t="s">
        <v>5587</v>
      </c>
    </row>
    <row r="548" spans="1:23" ht="20.100000000000001" customHeight="1" x14ac:dyDescent="0.25">
      <c r="A548" s="50"/>
      <c r="B548" s="50"/>
      <c r="C548" s="51"/>
      <c r="D548" s="51"/>
      <c r="E548" s="52"/>
      <c r="F548" s="52"/>
      <c r="G548" s="52"/>
      <c r="H548" s="52">
        <v>5989</v>
      </c>
      <c r="I548" s="52"/>
      <c r="J548" s="52"/>
      <c r="K548" s="53"/>
      <c r="L548" s="54"/>
      <c r="M548" s="52"/>
      <c r="N548" s="55"/>
      <c r="O548" s="50"/>
      <c r="P548" s="53"/>
      <c r="Q548" s="52"/>
      <c r="R548" s="52"/>
      <c r="S548" s="52"/>
      <c r="T548" s="55"/>
      <c r="U548" s="52" t="str">
        <f t="shared" ca="1" si="8"/>
        <v/>
      </c>
      <c r="V548" s="54">
        <v>0</v>
      </c>
      <c r="W548" s="52" t="s">
        <v>5587</v>
      </c>
    </row>
    <row r="549" spans="1:23" ht="20.100000000000001" customHeight="1" x14ac:dyDescent="0.25">
      <c r="A549" s="50"/>
      <c r="B549" s="50"/>
      <c r="C549" s="51"/>
      <c r="D549" s="51"/>
      <c r="E549" s="52"/>
      <c r="F549" s="52"/>
      <c r="G549" s="52"/>
      <c r="H549" s="52">
        <v>5990</v>
      </c>
      <c r="I549" s="52"/>
      <c r="J549" s="52"/>
      <c r="K549" s="53"/>
      <c r="L549" s="54"/>
      <c r="M549" s="52"/>
      <c r="N549" s="55"/>
      <c r="O549" s="50"/>
      <c r="P549" s="53"/>
      <c r="Q549" s="52"/>
      <c r="R549" s="52"/>
      <c r="S549" s="52"/>
      <c r="T549" s="55"/>
      <c r="U549" s="52" t="str">
        <f t="shared" ca="1" si="8"/>
        <v/>
      </c>
      <c r="V549" s="54">
        <v>0</v>
      </c>
      <c r="W549" s="52" t="s">
        <v>5587</v>
      </c>
    </row>
    <row r="550" spans="1:23" ht="20.100000000000001" customHeight="1" x14ac:dyDescent="0.25">
      <c r="A550" s="50"/>
      <c r="B550" s="50"/>
      <c r="C550" s="51"/>
      <c r="D550" s="51"/>
      <c r="E550" s="52"/>
      <c r="F550" s="52"/>
      <c r="G550" s="52"/>
      <c r="H550" s="52">
        <v>5991</v>
      </c>
      <c r="I550" s="52"/>
      <c r="J550" s="52"/>
      <c r="K550" s="53"/>
      <c r="L550" s="54"/>
      <c r="M550" s="52"/>
      <c r="N550" s="55"/>
      <c r="O550" s="50"/>
      <c r="P550" s="53"/>
      <c r="Q550" s="52"/>
      <c r="R550" s="52"/>
      <c r="S550" s="52"/>
      <c r="T550" s="55"/>
      <c r="U550" s="52" t="str">
        <f t="shared" ca="1" si="8"/>
        <v/>
      </c>
      <c r="V550" s="54">
        <v>0</v>
      </c>
      <c r="W550" s="52" t="s">
        <v>5587</v>
      </c>
    </row>
    <row r="551" spans="1:23" ht="20.100000000000001" customHeight="1" x14ac:dyDescent="0.25">
      <c r="A551" s="50"/>
      <c r="B551" s="50"/>
      <c r="C551" s="51"/>
      <c r="D551" s="51"/>
      <c r="E551" s="52"/>
      <c r="F551" s="52"/>
      <c r="G551" s="52"/>
      <c r="H551" s="52">
        <v>5992</v>
      </c>
      <c r="I551" s="52"/>
      <c r="J551" s="52"/>
      <c r="K551" s="53"/>
      <c r="L551" s="54"/>
      <c r="M551" s="52"/>
      <c r="N551" s="55"/>
      <c r="O551" s="50"/>
      <c r="P551" s="53"/>
      <c r="Q551" s="52"/>
      <c r="R551" s="52"/>
      <c r="S551" s="52"/>
      <c r="T551" s="55"/>
      <c r="U551" s="52" t="str">
        <f t="shared" ca="1" si="8"/>
        <v/>
      </c>
      <c r="V551" s="54">
        <v>0</v>
      </c>
      <c r="W551" s="52" t="s">
        <v>5587</v>
      </c>
    </row>
    <row r="552" spans="1:23" ht="20.100000000000001" customHeight="1" x14ac:dyDescent="0.25">
      <c r="A552" s="50"/>
      <c r="B552" s="50"/>
      <c r="C552" s="51"/>
      <c r="D552" s="51"/>
      <c r="E552" s="52"/>
      <c r="F552" s="52"/>
      <c r="G552" s="52"/>
      <c r="H552" s="52">
        <v>5993</v>
      </c>
      <c r="I552" s="52"/>
      <c r="J552" s="52"/>
      <c r="K552" s="53"/>
      <c r="L552" s="54"/>
      <c r="M552" s="52"/>
      <c r="N552" s="55"/>
      <c r="O552" s="50"/>
      <c r="P552" s="53"/>
      <c r="Q552" s="52"/>
      <c r="R552" s="52"/>
      <c r="S552" s="52"/>
      <c r="T552" s="55"/>
      <c r="U552" s="52" t="str">
        <f t="shared" ca="1" si="8"/>
        <v/>
      </c>
      <c r="V552" s="54">
        <v>0</v>
      </c>
      <c r="W552" s="52" t="s">
        <v>5587</v>
      </c>
    </row>
    <row r="553" spans="1:23" ht="20.100000000000001" customHeight="1" x14ac:dyDescent="0.25">
      <c r="A553" s="50"/>
      <c r="B553" s="50"/>
      <c r="C553" s="51"/>
      <c r="D553" s="51"/>
      <c r="E553" s="52"/>
      <c r="F553" s="52"/>
      <c r="G553" s="52"/>
      <c r="H553" s="52">
        <v>5994</v>
      </c>
      <c r="I553" s="52"/>
      <c r="J553" s="52"/>
      <c r="K553" s="53"/>
      <c r="L553" s="54"/>
      <c r="M553" s="52"/>
      <c r="N553" s="55"/>
      <c r="O553" s="50"/>
      <c r="P553" s="53"/>
      <c r="Q553" s="52"/>
      <c r="R553" s="52"/>
      <c r="S553" s="52"/>
      <c r="T553" s="55"/>
      <c r="U553" s="52" t="str">
        <f t="shared" ca="1" si="8"/>
        <v/>
      </c>
      <c r="V553" s="54">
        <v>0</v>
      </c>
      <c r="W553" s="52" t="s">
        <v>5587</v>
      </c>
    </row>
    <row r="554" spans="1:23" ht="20.100000000000001" customHeight="1" x14ac:dyDescent="0.25">
      <c r="A554" s="50"/>
      <c r="B554" s="50"/>
      <c r="C554" s="51"/>
      <c r="D554" s="51"/>
      <c r="E554" s="52"/>
      <c r="F554" s="52"/>
      <c r="G554" s="52"/>
      <c r="H554" s="52">
        <v>5995</v>
      </c>
      <c r="I554" s="52"/>
      <c r="J554" s="52"/>
      <c r="K554" s="53"/>
      <c r="L554" s="54"/>
      <c r="M554" s="52"/>
      <c r="N554" s="55"/>
      <c r="O554" s="50"/>
      <c r="P554" s="53"/>
      <c r="Q554" s="52"/>
      <c r="R554" s="52"/>
      <c r="S554" s="52"/>
      <c r="T554" s="55"/>
      <c r="U554" s="52" t="str">
        <f t="shared" ca="1" si="8"/>
        <v/>
      </c>
      <c r="V554" s="54">
        <v>0</v>
      </c>
      <c r="W554" s="52" t="s">
        <v>5587</v>
      </c>
    </row>
    <row r="555" spans="1:23" ht="20.100000000000001" customHeight="1" x14ac:dyDescent="0.25">
      <c r="A555" s="50"/>
      <c r="B555" s="50"/>
      <c r="C555" s="51"/>
      <c r="D555" s="51"/>
      <c r="E555" s="52"/>
      <c r="F555" s="52"/>
      <c r="G555" s="52"/>
      <c r="H555" s="52">
        <v>5996</v>
      </c>
      <c r="I555" s="52"/>
      <c r="J555" s="52"/>
      <c r="K555" s="53"/>
      <c r="L555" s="54"/>
      <c r="M555" s="52"/>
      <c r="N555" s="55"/>
      <c r="O555" s="50"/>
      <c r="P555" s="53"/>
      <c r="Q555" s="52"/>
      <c r="R555" s="52"/>
      <c r="S555" s="52"/>
      <c r="T555" s="55"/>
      <c r="U555" s="52" t="str">
        <f t="shared" ca="1" si="8"/>
        <v/>
      </c>
      <c r="V555" s="54">
        <v>0</v>
      </c>
      <c r="W555" s="52" t="s">
        <v>5587</v>
      </c>
    </row>
    <row r="556" spans="1:23" ht="20.100000000000001" customHeight="1" x14ac:dyDescent="0.25">
      <c r="A556" s="50"/>
      <c r="B556" s="50"/>
      <c r="C556" s="51"/>
      <c r="D556" s="51"/>
      <c r="E556" s="52"/>
      <c r="F556" s="52"/>
      <c r="G556" s="52"/>
      <c r="H556" s="52">
        <v>5997</v>
      </c>
      <c r="I556" s="52"/>
      <c r="J556" s="52"/>
      <c r="K556" s="53"/>
      <c r="L556" s="54"/>
      <c r="M556" s="52"/>
      <c r="N556" s="55"/>
      <c r="O556" s="50"/>
      <c r="P556" s="53"/>
      <c r="Q556" s="52"/>
      <c r="R556" s="52"/>
      <c r="S556" s="52"/>
      <c r="T556" s="55"/>
      <c r="U556" s="52" t="str">
        <f t="shared" ca="1" si="8"/>
        <v/>
      </c>
      <c r="V556" s="54">
        <v>0</v>
      </c>
      <c r="W556" s="52" t="s">
        <v>5587</v>
      </c>
    </row>
    <row r="557" spans="1:23" ht="20.100000000000001" customHeight="1" x14ac:dyDescent="0.25">
      <c r="A557" s="50"/>
      <c r="B557" s="50"/>
      <c r="C557" s="51"/>
      <c r="D557" s="51"/>
      <c r="E557" s="52"/>
      <c r="F557" s="52"/>
      <c r="G557" s="52"/>
      <c r="H557" s="52">
        <v>5998</v>
      </c>
      <c r="I557" s="52"/>
      <c r="J557" s="52"/>
      <c r="K557" s="53"/>
      <c r="L557" s="54"/>
      <c r="M557" s="52"/>
      <c r="N557" s="55"/>
      <c r="O557" s="50"/>
      <c r="P557" s="53"/>
      <c r="Q557" s="52"/>
      <c r="R557" s="52"/>
      <c r="S557" s="52"/>
      <c r="T557" s="55"/>
      <c r="U557" s="52" t="str">
        <f t="shared" ca="1" si="8"/>
        <v/>
      </c>
      <c r="V557" s="54">
        <v>0</v>
      </c>
      <c r="W557" s="52" t="s">
        <v>5587</v>
      </c>
    </row>
    <row r="558" spans="1:23" ht="20.100000000000001" customHeight="1" x14ac:dyDescent="0.25">
      <c r="A558" s="50"/>
      <c r="B558" s="50"/>
      <c r="C558" s="51"/>
      <c r="D558" s="51"/>
      <c r="E558" s="52"/>
      <c r="F558" s="52"/>
      <c r="G558" s="52"/>
      <c r="H558" s="52">
        <v>5999</v>
      </c>
      <c r="I558" s="52"/>
      <c r="J558" s="52"/>
      <c r="K558" s="53"/>
      <c r="L558" s="54"/>
      <c r="M558" s="52"/>
      <c r="N558" s="55"/>
      <c r="O558" s="50"/>
      <c r="P558" s="53"/>
      <c r="Q558" s="52"/>
      <c r="R558" s="52"/>
      <c r="S558" s="52"/>
      <c r="T558" s="55"/>
      <c r="U558" s="52" t="str">
        <f t="shared" ca="1" si="8"/>
        <v/>
      </c>
      <c r="V558" s="54">
        <v>0</v>
      </c>
      <c r="W558" s="52" t="s">
        <v>5587</v>
      </c>
    </row>
    <row r="559" spans="1:23" ht="20.100000000000001" customHeight="1" x14ac:dyDescent="0.25">
      <c r="A559" s="50"/>
      <c r="B559" s="50"/>
      <c r="C559" s="51"/>
      <c r="D559" s="51"/>
      <c r="E559" s="52"/>
      <c r="F559" s="52"/>
      <c r="G559" s="52"/>
      <c r="H559" s="52">
        <v>6000</v>
      </c>
      <c r="I559" s="52"/>
      <c r="J559" s="52"/>
      <c r="K559" s="53"/>
      <c r="L559" s="54"/>
      <c r="M559" s="52"/>
      <c r="N559" s="55"/>
      <c r="O559" s="50"/>
      <c r="P559" s="53"/>
      <c r="Q559" s="52"/>
      <c r="R559" s="52"/>
      <c r="S559" s="52"/>
      <c r="T559" s="55"/>
      <c r="U559" s="52" t="str">
        <f t="shared" ca="1" si="8"/>
        <v/>
      </c>
      <c r="V559" s="54">
        <v>0</v>
      </c>
      <c r="W559" s="52" t="s">
        <v>5587</v>
      </c>
    </row>
    <row r="560" spans="1:23" ht="20.100000000000001" customHeight="1" x14ac:dyDescent="0.25">
      <c r="A560" s="50"/>
      <c r="B560" s="50"/>
      <c r="C560" s="51"/>
      <c r="D560" s="51"/>
      <c r="E560" s="52"/>
      <c r="F560" s="52"/>
      <c r="G560" s="52"/>
      <c r="H560" s="52">
        <v>6001</v>
      </c>
      <c r="I560" s="52"/>
      <c r="J560" s="52"/>
      <c r="K560" s="53"/>
      <c r="L560" s="54"/>
      <c r="M560" s="52"/>
      <c r="N560" s="55"/>
      <c r="O560" s="50"/>
      <c r="P560" s="53"/>
      <c r="Q560" s="52"/>
      <c r="R560" s="52"/>
      <c r="S560" s="52"/>
      <c r="T560" s="55"/>
      <c r="U560" s="52" t="str">
        <f t="shared" ca="1" si="8"/>
        <v/>
      </c>
      <c r="V560" s="54">
        <v>0</v>
      </c>
      <c r="W560" s="52" t="s">
        <v>5587</v>
      </c>
    </row>
    <row r="561" spans="1:23" ht="20.100000000000001" customHeight="1" x14ac:dyDescent="0.25">
      <c r="A561" s="50"/>
      <c r="B561" s="50"/>
      <c r="C561" s="51"/>
      <c r="D561" s="51"/>
      <c r="E561" s="52"/>
      <c r="F561" s="52"/>
      <c r="G561" s="52"/>
      <c r="H561" s="52">
        <v>6002</v>
      </c>
      <c r="I561" s="52"/>
      <c r="J561" s="52"/>
      <c r="K561" s="53"/>
      <c r="L561" s="54"/>
      <c r="M561" s="52"/>
      <c r="N561" s="55"/>
      <c r="O561" s="50"/>
      <c r="P561" s="53"/>
      <c r="Q561" s="52"/>
      <c r="R561" s="52"/>
      <c r="S561" s="52"/>
      <c r="T561" s="55"/>
      <c r="U561" s="52" t="str">
        <f t="shared" ca="1" si="8"/>
        <v/>
      </c>
      <c r="V561" s="54">
        <v>0</v>
      </c>
      <c r="W561" s="52" t="s">
        <v>5587</v>
      </c>
    </row>
    <row r="562" spans="1:23" ht="20.100000000000001" customHeight="1" x14ac:dyDescent="0.25">
      <c r="A562" s="50"/>
      <c r="B562" s="50"/>
      <c r="C562" s="51"/>
      <c r="D562" s="51"/>
      <c r="E562" s="52"/>
      <c r="F562" s="52"/>
      <c r="G562" s="52"/>
      <c r="H562" s="52">
        <v>6003</v>
      </c>
      <c r="I562" s="52"/>
      <c r="J562" s="52"/>
      <c r="K562" s="53"/>
      <c r="L562" s="54"/>
      <c r="M562" s="52"/>
      <c r="N562" s="55"/>
      <c r="O562" s="50"/>
      <c r="P562" s="53"/>
      <c r="Q562" s="52"/>
      <c r="R562" s="52"/>
      <c r="S562" s="52"/>
      <c r="T562" s="55"/>
      <c r="U562" s="52" t="str">
        <f t="shared" ca="1" si="8"/>
        <v/>
      </c>
      <c r="V562" s="54">
        <v>0</v>
      </c>
      <c r="W562" s="52" t="s">
        <v>5587</v>
      </c>
    </row>
    <row r="563" spans="1:23" ht="20.100000000000001" customHeight="1" x14ac:dyDescent="0.25">
      <c r="A563" s="50"/>
      <c r="B563" s="50"/>
      <c r="C563" s="51"/>
      <c r="D563" s="51"/>
      <c r="E563" s="52"/>
      <c r="F563" s="52"/>
      <c r="G563" s="52"/>
      <c r="H563" s="52">
        <v>6004</v>
      </c>
      <c r="I563" s="52"/>
      <c r="J563" s="52"/>
      <c r="K563" s="53"/>
      <c r="L563" s="54"/>
      <c r="M563" s="52"/>
      <c r="N563" s="55"/>
      <c r="O563" s="50"/>
      <c r="P563" s="53"/>
      <c r="Q563" s="52"/>
      <c r="R563" s="52"/>
      <c r="S563" s="52"/>
      <c r="T563" s="55"/>
      <c r="U563" s="52" t="str">
        <f t="shared" ca="1" si="8"/>
        <v/>
      </c>
      <c r="V563" s="54">
        <v>0</v>
      </c>
      <c r="W563" s="52" t="s">
        <v>5587</v>
      </c>
    </row>
    <row r="564" spans="1:23" ht="20.100000000000001" customHeight="1" x14ac:dyDescent="0.25">
      <c r="A564" s="50"/>
      <c r="B564" s="50"/>
      <c r="C564" s="51"/>
      <c r="D564" s="51"/>
      <c r="E564" s="52"/>
      <c r="F564" s="52"/>
      <c r="G564" s="52"/>
      <c r="H564" s="52">
        <v>6005</v>
      </c>
      <c r="I564" s="52"/>
      <c r="J564" s="52"/>
      <c r="K564" s="53"/>
      <c r="L564" s="54"/>
      <c r="M564" s="52"/>
      <c r="N564" s="55"/>
      <c r="O564" s="50"/>
      <c r="P564" s="53"/>
      <c r="Q564" s="52"/>
      <c r="R564" s="52"/>
      <c r="S564" s="52"/>
      <c r="T564" s="55"/>
      <c r="U564" s="52" t="str">
        <f t="shared" ca="1" si="8"/>
        <v/>
      </c>
      <c r="V564" s="54">
        <v>0</v>
      </c>
      <c r="W564" s="52" t="s">
        <v>5587</v>
      </c>
    </row>
    <row r="565" spans="1:23" ht="20.100000000000001" customHeight="1" x14ac:dyDescent="0.25">
      <c r="A565" s="50"/>
      <c r="B565" s="50"/>
      <c r="C565" s="51"/>
      <c r="D565" s="51"/>
      <c r="E565" s="52"/>
      <c r="F565" s="52"/>
      <c r="G565" s="52"/>
      <c r="H565" s="52">
        <v>6006</v>
      </c>
      <c r="I565" s="52"/>
      <c r="J565" s="52"/>
      <c r="K565" s="53"/>
      <c r="L565" s="54"/>
      <c r="M565" s="52"/>
      <c r="N565" s="55"/>
      <c r="O565" s="50"/>
      <c r="P565" s="53"/>
      <c r="Q565" s="52"/>
      <c r="R565" s="52"/>
      <c r="S565" s="52"/>
      <c r="T565" s="55"/>
      <c r="U565" s="52" t="str">
        <f t="shared" ca="1" si="8"/>
        <v/>
      </c>
      <c r="V565" s="54">
        <v>0</v>
      </c>
      <c r="W565" s="52" t="s">
        <v>5587</v>
      </c>
    </row>
    <row r="566" spans="1:23" ht="20.100000000000001" customHeight="1" x14ac:dyDescent="0.25">
      <c r="A566" s="50"/>
      <c r="B566" s="50"/>
      <c r="C566" s="51"/>
      <c r="D566" s="51"/>
      <c r="E566" s="52"/>
      <c r="F566" s="52"/>
      <c r="G566" s="52"/>
      <c r="H566" s="52">
        <v>6007</v>
      </c>
      <c r="I566" s="52"/>
      <c r="J566" s="52"/>
      <c r="K566" s="53"/>
      <c r="L566" s="54"/>
      <c r="M566" s="52"/>
      <c r="N566" s="55"/>
      <c r="O566" s="50"/>
      <c r="P566" s="53"/>
      <c r="Q566" s="52"/>
      <c r="R566" s="52"/>
      <c r="S566" s="52"/>
      <c r="T566" s="55"/>
      <c r="U566" s="52" t="str">
        <f t="shared" ca="1" si="8"/>
        <v/>
      </c>
      <c r="V566" s="54">
        <v>0</v>
      </c>
      <c r="W566" s="52" t="s">
        <v>5587</v>
      </c>
    </row>
    <row r="567" spans="1:23" ht="20.100000000000001" customHeight="1" x14ac:dyDescent="0.25">
      <c r="A567" s="50"/>
      <c r="B567" s="50"/>
      <c r="C567" s="51"/>
      <c r="D567" s="51"/>
      <c r="E567" s="52"/>
      <c r="F567" s="52"/>
      <c r="G567" s="52"/>
      <c r="H567" s="52">
        <v>6008</v>
      </c>
      <c r="I567" s="52"/>
      <c r="J567" s="52"/>
      <c r="K567" s="53"/>
      <c r="L567" s="54"/>
      <c r="M567" s="52"/>
      <c r="N567" s="55"/>
      <c r="O567" s="50"/>
      <c r="P567" s="53"/>
      <c r="Q567" s="52"/>
      <c r="R567" s="52"/>
      <c r="S567" s="52"/>
      <c r="T567" s="55"/>
      <c r="U567" s="52" t="str">
        <f t="shared" ca="1" si="8"/>
        <v/>
      </c>
      <c r="V567" s="54">
        <v>0</v>
      </c>
      <c r="W567" s="52" t="s">
        <v>5587</v>
      </c>
    </row>
    <row r="568" spans="1:23" ht="20.100000000000001" customHeight="1" x14ac:dyDescent="0.25">
      <c r="A568" s="50"/>
      <c r="B568" s="50"/>
      <c r="C568" s="51"/>
      <c r="D568" s="51"/>
      <c r="E568" s="52"/>
      <c r="F568" s="52"/>
      <c r="G568" s="52"/>
      <c r="H568" s="52">
        <v>6009</v>
      </c>
      <c r="I568" s="52"/>
      <c r="J568" s="52"/>
      <c r="K568" s="53"/>
      <c r="L568" s="54"/>
      <c r="M568" s="52"/>
      <c r="N568" s="55"/>
      <c r="O568" s="50"/>
      <c r="P568" s="53"/>
      <c r="Q568" s="52"/>
      <c r="R568" s="52"/>
      <c r="S568" s="52"/>
      <c r="T568" s="55"/>
      <c r="U568" s="52" t="str">
        <f t="shared" ca="1" si="8"/>
        <v/>
      </c>
      <c r="V568" s="54">
        <v>0</v>
      </c>
      <c r="W568" s="52" t="s">
        <v>5587</v>
      </c>
    </row>
    <row r="569" spans="1:23" ht="20.100000000000001" customHeight="1" x14ac:dyDescent="0.25">
      <c r="A569" s="50"/>
      <c r="B569" s="50"/>
      <c r="C569" s="51"/>
      <c r="D569" s="51"/>
      <c r="E569" s="52"/>
      <c r="F569" s="52"/>
      <c r="G569" s="52"/>
      <c r="H569" s="52">
        <v>6010</v>
      </c>
      <c r="I569" s="52"/>
      <c r="J569" s="52"/>
      <c r="K569" s="53"/>
      <c r="L569" s="54"/>
      <c r="M569" s="52"/>
      <c r="N569" s="55"/>
      <c r="O569" s="50"/>
      <c r="P569" s="53"/>
      <c r="Q569" s="52"/>
      <c r="R569" s="52"/>
      <c r="S569" s="52"/>
      <c r="T569" s="55"/>
      <c r="U569" s="52" t="str">
        <f t="shared" ca="1" si="8"/>
        <v/>
      </c>
      <c r="V569" s="54">
        <v>0</v>
      </c>
      <c r="W569" s="52" t="s">
        <v>5587</v>
      </c>
    </row>
    <row r="570" spans="1:23" ht="20.100000000000001" customHeight="1" x14ac:dyDescent="0.25">
      <c r="A570" s="50"/>
      <c r="B570" s="50"/>
      <c r="C570" s="51"/>
      <c r="D570" s="51"/>
      <c r="E570" s="52"/>
      <c r="F570" s="52"/>
      <c r="G570" s="52"/>
      <c r="H570" s="52">
        <v>6011</v>
      </c>
      <c r="I570" s="52"/>
      <c r="J570" s="52"/>
      <c r="K570" s="53"/>
      <c r="L570" s="54"/>
      <c r="M570" s="52"/>
      <c r="N570" s="55"/>
      <c r="O570" s="50"/>
      <c r="P570" s="53"/>
      <c r="Q570" s="52"/>
      <c r="R570" s="52"/>
      <c r="S570" s="52"/>
      <c r="T570" s="55"/>
      <c r="U570" s="52" t="str">
        <f t="shared" ca="1" si="8"/>
        <v/>
      </c>
      <c r="V570" s="54">
        <v>0</v>
      </c>
      <c r="W570" s="52" t="s">
        <v>5587</v>
      </c>
    </row>
    <row r="571" spans="1:23" ht="20.100000000000001" customHeight="1" x14ac:dyDescent="0.25">
      <c r="A571" s="50"/>
      <c r="B571" s="50"/>
      <c r="C571" s="51"/>
      <c r="D571" s="51"/>
      <c r="E571" s="52"/>
      <c r="F571" s="52"/>
      <c r="G571" s="52"/>
      <c r="H571" s="52">
        <v>6012</v>
      </c>
      <c r="I571" s="52"/>
      <c r="J571" s="52"/>
      <c r="K571" s="53"/>
      <c r="L571" s="54"/>
      <c r="M571" s="52"/>
      <c r="N571" s="55"/>
      <c r="O571" s="50"/>
      <c r="P571" s="53"/>
      <c r="Q571" s="52"/>
      <c r="R571" s="52"/>
      <c r="S571" s="52"/>
      <c r="T571" s="55"/>
      <c r="U571" s="52" t="str">
        <f t="shared" ca="1" si="8"/>
        <v/>
      </c>
      <c r="V571" s="54">
        <v>0</v>
      </c>
      <c r="W571" s="52" t="s">
        <v>5587</v>
      </c>
    </row>
    <row r="572" spans="1:23" ht="20.100000000000001" customHeight="1" x14ac:dyDescent="0.25">
      <c r="A572" s="50"/>
      <c r="B572" s="50"/>
      <c r="C572" s="51"/>
      <c r="D572" s="51"/>
      <c r="E572" s="52"/>
      <c r="F572" s="52"/>
      <c r="G572" s="52"/>
      <c r="H572" s="52">
        <v>6013</v>
      </c>
      <c r="I572" s="52"/>
      <c r="J572" s="52"/>
      <c r="K572" s="53"/>
      <c r="L572" s="54"/>
      <c r="M572" s="52"/>
      <c r="N572" s="55"/>
      <c r="O572" s="50"/>
      <c r="P572" s="53"/>
      <c r="Q572" s="52"/>
      <c r="R572" s="52"/>
      <c r="S572" s="52"/>
      <c r="T572" s="55"/>
      <c r="U572" s="52" t="str">
        <f t="shared" ca="1" si="8"/>
        <v/>
      </c>
      <c r="V572" s="54">
        <v>0</v>
      </c>
      <c r="W572" s="52" t="s">
        <v>5587</v>
      </c>
    </row>
    <row r="573" spans="1:23" ht="20.100000000000001" customHeight="1" x14ac:dyDescent="0.25">
      <c r="A573" s="50"/>
      <c r="B573" s="50"/>
      <c r="C573" s="51"/>
      <c r="D573" s="51"/>
      <c r="E573" s="52"/>
      <c r="F573" s="52"/>
      <c r="G573" s="52"/>
      <c r="H573" s="52">
        <v>6014</v>
      </c>
      <c r="I573" s="52"/>
      <c r="J573" s="52"/>
      <c r="K573" s="53"/>
      <c r="L573" s="54"/>
      <c r="M573" s="52"/>
      <c r="N573" s="55"/>
      <c r="O573" s="50"/>
      <c r="P573" s="53"/>
      <c r="Q573" s="52"/>
      <c r="R573" s="52"/>
      <c r="S573" s="52"/>
      <c r="T573" s="55"/>
      <c r="U573" s="52" t="str">
        <f t="shared" ca="1" si="8"/>
        <v/>
      </c>
      <c r="V573" s="54">
        <v>0</v>
      </c>
      <c r="W573" s="52" t="s">
        <v>5587</v>
      </c>
    </row>
    <row r="574" spans="1:23" ht="20.100000000000001" customHeight="1" x14ac:dyDescent="0.25">
      <c r="A574" s="50"/>
      <c r="B574" s="50"/>
      <c r="C574" s="51"/>
      <c r="D574" s="51"/>
      <c r="E574" s="52"/>
      <c r="F574" s="52"/>
      <c r="G574" s="52"/>
      <c r="H574" s="52">
        <v>6015</v>
      </c>
      <c r="I574" s="52"/>
      <c r="J574" s="52"/>
      <c r="K574" s="53"/>
      <c r="L574" s="54"/>
      <c r="M574" s="52"/>
      <c r="N574" s="55"/>
      <c r="O574" s="50"/>
      <c r="P574" s="53"/>
      <c r="Q574" s="52"/>
      <c r="R574" s="52"/>
      <c r="S574" s="52"/>
      <c r="T574" s="55"/>
      <c r="U574" s="52" t="str">
        <f t="shared" ca="1" si="8"/>
        <v/>
      </c>
      <c r="V574" s="54">
        <v>0</v>
      </c>
      <c r="W574" s="52" t="s">
        <v>5587</v>
      </c>
    </row>
    <row r="575" spans="1:23" ht="20.100000000000001" customHeight="1" x14ac:dyDescent="0.25">
      <c r="A575" s="50"/>
      <c r="B575" s="50"/>
      <c r="C575" s="51"/>
      <c r="D575" s="51"/>
      <c r="E575" s="52"/>
      <c r="F575" s="52"/>
      <c r="G575" s="52"/>
      <c r="H575" s="52">
        <v>6016</v>
      </c>
      <c r="I575" s="52"/>
      <c r="J575" s="52"/>
      <c r="K575" s="53"/>
      <c r="L575" s="54"/>
      <c r="M575" s="52"/>
      <c r="N575" s="55"/>
      <c r="O575" s="50"/>
      <c r="P575" s="53"/>
      <c r="Q575" s="52"/>
      <c r="R575" s="52"/>
      <c r="S575" s="52"/>
      <c r="T575" s="55"/>
      <c r="U575" s="52" t="str">
        <f t="shared" ca="1" si="8"/>
        <v/>
      </c>
      <c r="V575" s="54">
        <v>0</v>
      </c>
      <c r="W575" s="52" t="s">
        <v>5587</v>
      </c>
    </row>
    <row r="576" spans="1:23" ht="20.100000000000001" customHeight="1" x14ac:dyDescent="0.25">
      <c r="A576" s="50"/>
      <c r="B576" s="50"/>
      <c r="C576" s="51"/>
      <c r="D576" s="51"/>
      <c r="E576" s="52"/>
      <c r="F576" s="52"/>
      <c r="G576" s="52"/>
      <c r="H576" s="52">
        <v>6017</v>
      </c>
      <c r="I576" s="52"/>
      <c r="J576" s="52"/>
      <c r="K576" s="53"/>
      <c r="L576" s="54"/>
      <c r="M576" s="52"/>
      <c r="N576" s="55"/>
      <c r="O576" s="50"/>
      <c r="P576" s="53"/>
      <c r="Q576" s="52"/>
      <c r="R576" s="52"/>
      <c r="S576" s="52"/>
      <c r="T576" s="55"/>
      <c r="U576" s="52" t="str">
        <f t="shared" ca="1" si="8"/>
        <v/>
      </c>
      <c r="V576" s="54">
        <v>0</v>
      </c>
      <c r="W576" s="52" t="s">
        <v>5587</v>
      </c>
    </row>
    <row r="577" spans="1:23" ht="20.100000000000001" customHeight="1" x14ac:dyDescent="0.25">
      <c r="A577" s="50"/>
      <c r="B577" s="50"/>
      <c r="C577" s="51"/>
      <c r="D577" s="51"/>
      <c r="E577" s="52"/>
      <c r="F577" s="52"/>
      <c r="G577" s="52"/>
      <c r="H577" s="52">
        <v>6018</v>
      </c>
      <c r="I577" s="52"/>
      <c r="J577" s="52"/>
      <c r="K577" s="53"/>
      <c r="L577" s="54"/>
      <c r="M577" s="52"/>
      <c r="N577" s="55"/>
      <c r="O577" s="50"/>
      <c r="P577" s="53"/>
      <c r="Q577" s="52"/>
      <c r="R577" s="52"/>
      <c r="S577" s="52"/>
      <c r="T577" s="55"/>
      <c r="U577" s="52" t="str">
        <f t="shared" ca="1" si="8"/>
        <v/>
      </c>
      <c r="V577" s="54">
        <v>0</v>
      </c>
      <c r="W577" s="52" t="s">
        <v>5587</v>
      </c>
    </row>
    <row r="578" spans="1:23" ht="20.100000000000001" customHeight="1" x14ac:dyDescent="0.25">
      <c r="A578" s="50"/>
      <c r="B578" s="50"/>
      <c r="C578" s="51"/>
      <c r="D578" s="51"/>
      <c r="E578" s="52"/>
      <c r="F578" s="52"/>
      <c r="G578" s="52"/>
      <c r="H578" s="52">
        <v>6019</v>
      </c>
      <c r="I578" s="52"/>
      <c r="J578" s="52"/>
      <c r="K578" s="53"/>
      <c r="L578" s="54"/>
      <c r="M578" s="52"/>
      <c r="N578" s="55"/>
      <c r="O578" s="50"/>
      <c r="P578" s="53"/>
      <c r="Q578" s="52"/>
      <c r="R578" s="52"/>
      <c r="S578" s="52"/>
      <c r="T578" s="55"/>
      <c r="U578" s="52" t="str">
        <f t="shared" ca="1" si="8"/>
        <v/>
      </c>
      <c r="V578" s="54">
        <v>0</v>
      </c>
      <c r="W578" s="52" t="s">
        <v>5587</v>
      </c>
    </row>
    <row r="579" spans="1:23" ht="20.100000000000001" customHeight="1" x14ac:dyDescent="0.25">
      <c r="A579" s="50"/>
      <c r="B579" s="50"/>
      <c r="C579" s="51"/>
      <c r="D579" s="51"/>
      <c r="E579" s="52"/>
      <c r="F579" s="52"/>
      <c r="G579" s="52"/>
      <c r="H579" s="52">
        <v>6020</v>
      </c>
      <c r="I579" s="52"/>
      <c r="J579" s="52"/>
      <c r="K579" s="53"/>
      <c r="L579" s="54"/>
      <c r="M579" s="52"/>
      <c r="N579" s="55"/>
      <c r="O579" s="50"/>
      <c r="P579" s="53"/>
      <c r="Q579" s="52"/>
      <c r="R579" s="52"/>
      <c r="S579" s="52"/>
      <c r="T579" s="55"/>
      <c r="U579" s="52" t="str">
        <f t="shared" ca="1" si="8"/>
        <v/>
      </c>
      <c r="V579" s="54">
        <v>0</v>
      </c>
      <c r="W579" s="52" t="s">
        <v>5587</v>
      </c>
    </row>
    <row r="580" spans="1:23" ht="20.100000000000001" customHeight="1" x14ac:dyDescent="0.25">
      <c r="A580" s="50"/>
      <c r="B580" s="50"/>
      <c r="C580" s="51"/>
      <c r="D580" s="51"/>
      <c r="E580" s="52"/>
      <c r="F580" s="52"/>
      <c r="G580" s="52"/>
      <c r="H580" s="52">
        <v>6021</v>
      </c>
      <c r="I580" s="52"/>
      <c r="J580" s="52"/>
      <c r="K580" s="53"/>
      <c r="L580" s="54"/>
      <c r="M580" s="52"/>
      <c r="N580" s="55"/>
      <c r="O580" s="50"/>
      <c r="P580" s="53"/>
      <c r="Q580" s="52"/>
      <c r="R580" s="52"/>
      <c r="S580" s="52"/>
      <c r="T580" s="55"/>
      <c r="U580" s="52" t="str">
        <f t="shared" ca="1" si="8"/>
        <v/>
      </c>
      <c r="V580" s="54">
        <v>0</v>
      </c>
      <c r="W580" s="52" t="s">
        <v>5587</v>
      </c>
    </row>
    <row r="581" spans="1:23" ht="20.100000000000001" customHeight="1" x14ac:dyDescent="0.25">
      <c r="A581" s="50"/>
      <c r="B581" s="50"/>
      <c r="C581" s="51"/>
      <c r="D581" s="51"/>
      <c r="E581" s="52"/>
      <c r="F581" s="52"/>
      <c r="G581" s="52"/>
      <c r="H581" s="52">
        <v>6022</v>
      </c>
      <c r="I581" s="52"/>
      <c r="J581" s="52"/>
      <c r="K581" s="53"/>
      <c r="L581" s="54"/>
      <c r="M581" s="52"/>
      <c r="N581" s="55"/>
      <c r="O581" s="50"/>
      <c r="P581" s="53"/>
      <c r="Q581" s="52"/>
      <c r="R581" s="52"/>
      <c r="S581" s="52"/>
      <c r="T581" s="55"/>
      <c r="U581" s="52" t="str">
        <f t="shared" ref="U581:U644" ca="1" si="9">IF(C581="","",TODAY()-C581)</f>
        <v/>
      </c>
      <c r="V581" s="54">
        <v>0</v>
      </c>
      <c r="W581" s="52" t="s">
        <v>5587</v>
      </c>
    </row>
    <row r="582" spans="1:23" ht="20.100000000000001" customHeight="1" x14ac:dyDescent="0.25">
      <c r="A582" s="50"/>
      <c r="B582" s="50"/>
      <c r="C582" s="51"/>
      <c r="D582" s="51"/>
      <c r="E582" s="52"/>
      <c r="F582" s="52"/>
      <c r="G582" s="52"/>
      <c r="H582" s="52">
        <v>6023</v>
      </c>
      <c r="I582" s="52"/>
      <c r="J582" s="52"/>
      <c r="K582" s="53"/>
      <c r="L582" s="54"/>
      <c r="M582" s="52"/>
      <c r="N582" s="55"/>
      <c r="O582" s="50"/>
      <c r="P582" s="53"/>
      <c r="Q582" s="52"/>
      <c r="R582" s="52"/>
      <c r="S582" s="52"/>
      <c r="T582" s="55"/>
      <c r="U582" s="52" t="str">
        <f t="shared" ca="1" si="9"/>
        <v/>
      </c>
      <c r="V582" s="54">
        <v>0</v>
      </c>
      <c r="W582" s="52" t="s">
        <v>5587</v>
      </c>
    </row>
    <row r="583" spans="1:23" ht="20.100000000000001" customHeight="1" x14ac:dyDescent="0.25">
      <c r="A583" s="50"/>
      <c r="B583" s="50"/>
      <c r="C583" s="51"/>
      <c r="D583" s="51"/>
      <c r="E583" s="52"/>
      <c r="F583" s="52"/>
      <c r="G583" s="52"/>
      <c r="H583" s="52">
        <v>6024</v>
      </c>
      <c r="I583" s="52"/>
      <c r="J583" s="52"/>
      <c r="K583" s="53"/>
      <c r="L583" s="54"/>
      <c r="M583" s="52"/>
      <c r="N583" s="55"/>
      <c r="O583" s="50"/>
      <c r="P583" s="53"/>
      <c r="Q583" s="52"/>
      <c r="R583" s="52"/>
      <c r="S583" s="52"/>
      <c r="T583" s="55"/>
      <c r="U583" s="52" t="str">
        <f t="shared" ca="1" si="9"/>
        <v/>
      </c>
      <c r="V583" s="54">
        <v>0</v>
      </c>
      <c r="W583" s="52" t="s">
        <v>5587</v>
      </c>
    </row>
    <row r="584" spans="1:23" ht="20.100000000000001" customHeight="1" x14ac:dyDescent="0.25">
      <c r="A584" s="50"/>
      <c r="B584" s="50"/>
      <c r="C584" s="51"/>
      <c r="D584" s="51"/>
      <c r="E584" s="52"/>
      <c r="F584" s="52"/>
      <c r="G584" s="52"/>
      <c r="H584" s="52">
        <v>6025</v>
      </c>
      <c r="I584" s="52"/>
      <c r="J584" s="52"/>
      <c r="K584" s="53"/>
      <c r="L584" s="54"/>
      <c r="M584" s="52"/>
      <c r="N584" s="55"/>
      <c r="O584" s="50"/>
      <c r="P584" s="53"/>
      <c r="Q584" s="52"/>
      <c r="R584" s="52"/>
      <c r="S584" s="52"/>
      <c r="T584" s="55"/>
      <c r="U584" s="52" t="str">
        <f t="shared" ca="1" si="9"/>
        <v/>
      </c>
      <c r="V584" s="54">
        <v>0</v>
      </c>
      <c r="W584" s="52" t="s">
        <v>5587</v>
      </c>
    </row>
    <row r="585" spans="1:23" ht="20.100000000000001" customHeight="1" x14ac:dyDescent="0.25">
      <c r="A585" s="50"/>
      <c r="B585" s="50"/>
      <c r="C585" s="51"/>
      <c r="D585" s="51"/>
      <c r="E585" s="52"/>
      <c r="F585" s="52"/>
      <c r="G585" s="52"/>
      <c r="H585" s="52">
        <v>6026</v>
      </c>
      <c r="I585" s="52"/>
      <c r="J585" s="52"/>
      <c r="K585" s="53"/>
      <c r="L585" s="54"/>
      <c r="M585" s="52"/>
      <c r="N585" s="55"/>
      <c r="O585" s="50"/>
      <c r="P585" s="53"/>
      <c r="Q585" s="52"/>
      <c r="R585" s="52"/>
      <c r="S585" s="52"/>
      <c r="T585" s="55"/>
      <c r="U585" s="52" t="str">
        <f t="shared" ca="1" si="9"/>
        <v/>
      </c>
      <c r="V585" s="54">
        <v>0</v>
      </c>
      <c r="W585" s="52" t="s">
        <v>5587</v>
      </c>
    </row>
    <row r="586" spans="1:23" ht="20.100000000000001" customHeight="1" x14ac:dyDescent="0.25">
      <c r="A586" s="50"/>
      <c r="B586" s="50"/>
      <c r="C586" s="51"/>
      <c r="D586" s="51"/>
      <c r="E586" s="52"/>
      <c r="F586" s="52"/>
      <c r="G586" s="52"/>
      <c r="H586" s="52">
        <v>6027</v>
      </c>
      <c r="I586" s="52"/>
      <c r="J586" s="52"/>
      <c r="K586" s="53"/>
      <c r="L586" s="54"/>
      <c r="M586" s="52"/>
      <c r="N586" s="55"/>
      <c r="O586" s="50"/>
      <c r="P586" s="53"/>
      <c r="Q586" s="52"/>
      <c r="R586" s="52"/>
      <c r="S586" s="52"/>
      <c r="T586" s="55"/>
      <c r="U586" s="52" t="str">
        <f t="shared" ca="1" si="9"/>
        <v/>
      </c>
      <c r="V586" s="54">
        <v>0</v>
      </c>
      <c r="W586" s="52" t="s">
        <v>5587</v>
      </c>
    </row>
    <row r="587" spans="1:23" ht="20.100000000000001" customHeight="1" x14ac:dyDescent="0.25">
      <c r="A587" s="50"/>
      <c r="B587" s="50"/>
      <c r="C587" s="51"/>
      <c r="D587" s="51"/>
      <c r="E587" s="52"/>
      <c r="F587" s="52"/>
      <c r="G587" s="52"/>
      <c r="H587" s="52">
        <v>6028</v>
      </c>
      <c r="I587" s="52"/>
      <c r="J587" s="52"/>
      <c r="K587" s="53"/>
      <c r="L587" s="54"/>
      <c r="M587" s="52"/>
      <c r="N587" s="55"/>
      <c r="O587" s="50"/>
      <c r="P587" s="53"/>
      <c r="Q587" s="52"/>
      <c r="R587" s="52"/>
      <c r="S587" s="52"/>
      <c r="T587" s="55"/>
      <c r="U587" s="52" t="str">
        <f t="shared" ca="1" si="9"/>
        <v/>
      </c>
      <c r="V587" s="54">
        <v>0</v>
      </c>
      <c r="W587" s="52" t="s">
        <v>5587</v>
      </c>
    </row>
    <row r="588" spans="1:23" ht="20.100000000000001" customHeight="1" x14ac:dyDescent="0.25">
      <c r="A588" s="50"/>
      <c r="B588" s="50"/>
      <c r="C588" s="51"/>
      <c r="D588" s="51"/>
      <c r="E588" s="52"/>
      <c r="F588" s="52"/>
      <c r="G588" s="52"/>
      <c r="H588" s="52">
        <v>6029</v>
      </c>
      <c r="I588" s="52"/>
      <c r="J588" s="52"/>
      <c r="K588" s="53"/>
      <c r="L588" s="54"/>
      <c r="M588" s="52"/>
      <c r="N588" s="55"/>
      <c r="O588" s="50"/>
      <c r="P588" s="53"/>
      <c r="Q588" s="52"/>
      <c r="R588" s="52"/>
      <c r="S588" s="52"/>
      <c r="T588" s="55"/>
      <c r="U588" s="52" t="str">
        <f t="shared" ca="1" si="9"/>
        <v/>
      </c>
      <c r="V588" s="54">
        <v>0</v>
      </c>
      <c r="W588" s="52" t="s">
        <v>5587</v>
      </c>
    </row>
    <row r="589" spans="1:23" ht="20.100000000000001" customHeight="1" x14ac:dyDescent="0.25">
      <c r="A589" s="50"/>
      <c r="B589" s="50"/>
      <c r="C589" s="51"/>
      <c r="D589" s="51"/>
      <c r="E589" s="52"/>
      <c r="F589" s="52"/>
      <c r="G589" s="52"/>
      <c r="H589" s="52">
        <v>6030</v>
      </c>
      <c r="I589" s="52"/>
      <c r="J589" s="52"/>
      <c r="K589" s="53"/>
      <c r="L589" s="54"/>
      <c r="M589" s="52"/>
      <c r="N589" s="55"/>
      <c r="O589" s="50"/>
      <c r="P589" s="53"/>
      <c r="Q589" s="52"/>
      <c r="R589" s="52"/>
      <c r="S589" s="52"/>
      <c r="T589" s="55"/>
      <c r="U589" s="52" t="str">
        <f t="shared" ca="1" si="9"/>
        <v/>
      </c>
      <c r="V589" s="54">
        <v>0</v>
      </c>
      <c r="W589" s="52" t="s">
        <v>5587</v>
      </c>
    </row>
    <row r="590" spans="1:23" ht="20.100000000000001" customHeight="1" x14ac:dyDescent="0.25">
      <c r="A590" s="50"/>
      <c r="B590" s="50"/>
      <c r="C590" s="51"/>
      <c r="D590" s="51"/>
      <c r="E590" s="52"/>
      <c r="F590" s="52"/>
      <c r="G590" s="52"/>
      <c r="H590" s="52">
        <v>6031</v>
      </c>
      <c r="I590" s="52"/>
      <c r="J590" s="52"/>
      <c r="K590" s="53"/>
      <c r="L590" s="54"/>
      <c r="M590" s="52"/>
      <c r="N590" s="55"/>
      <c r="O590" s="50"/>
      <c r="P590" s="53"/>
      <c r="Q590" s="52"/>
      <c r="R590" s="52"/>
      <c r="S590" s="52"/>
      <c r="T590" s="55"/>
      <c r="U590" s="52" t="str">
        <f t="shared" ca="1" si="9"/>
        <v/>
      </c>
      <c r="V590" s="54">
        <v>0</v>
      </c>
      <c r="W590" s="52" t="s">
        <v>5587</v>
      </c>
    </row>
    <row r="591" spans="1:23" ht="20.100000000000001" customHeight="1" x14ac:dyDescent="0.25">
      <c r="A591" s="50"/>
      <c r="B591" s="50"/>
      <c r="C591" s="51"/>
      <c r="D591" s="51"/>
      <c r="E591" s="52"/>
      <c r="F591" s="52"/>
      <c r="G591" s="52"/>
      <c r="H591" s="52">
        <v>6032</v>
      </c>
      <c r="I591" s="52"/>
      <c r="J591" s="52"/>
      <c r="K591" s="53"/>
      <c r="L591" s="54"/>
      <c r="M591" s="52"/>
      <c r="N591" s="55"/>
      <c r="O591" s="50"/>
      <c r="P591" s="53"/>
      <c r="Q591" s="52"/>
      <c r="R591" s="52"/>
      <c r="S591" s="52"/>
      <c r="T591" s="55"/>
      <c r="U591" s="52" t="str">
        <f t="shared" ca="1" si="9"/>
        <v/>
      </c>
      <c r="V591" s="54">
        <v>0</v>
      </c>
      <c r="W591" s="52" t="s">
        <v>5587</v>
      </c>
    </row>
    <row r="592" spans="1:23" ht="20.100000000000001" customHeight="1" x14ac:dyDescent="0.25">
      <c r="A592" s="50"/>
      <c r="B592" s="50"/>
      <c r="C592" s="51"/>
      <c r="D592" s="51"/>
      <c r="E592" s="52"/>
      <c r="F592" s="52"/>
      <c r="G592" s="52"/>
      <c r="H592" s="52">
        <v>6033</v>
      </c>
      <c r="I592" s="52"/>
      <c r="J592" s="52"/>
      <c r="K592" s="53"/>
      <c r="L592" s="54"/>
      <c r="M592" s="52"/>
      <c r="N592" s="55"/>
      <c r="O592" s="50"/>
      <c r="P592" s="53"/>
      <c r="Q592" s="52"/>
      <c r="R592" s="52"/>
      <c r="S592" s="52"/>
      <c r="T592" s="55"/>
      <c r="U592" s="52" t="str">
        <f t="shared" ca="1" si="9"/>
        <v/>
      </c>
      <c r="V592" s="54">
        <v>0</v>
      </c>
      <c r="W592" s="52" t="s">
        <v>5587</v>
      </c>
    </row>
    <row r="593" spans="1:23" ht="20.100000000000001" customHeight="1" x14ac:dyDescent="0.25">
      <c r="A593" s="50"/>
      <c r="B593" s="50"/>
      <c r="C593" s="51"/>
      <c r="D593" s="51"/>
      <c r="E593" s="52"/>
      <c r="F593" s="52"/>
      <c r="G593" s="52"/>
      <c r="H593" s="52">
        <v>6034</v>
      </c>
      <c r="I593" s="52"/>
      <c r="J593" s="52"/>
      <c r="K593" s="53"/>
      <c r="L593" s="54"/>
      <c r="M593" s="52"/>
      <c r="N593" s="55"/>
      <c r="O593" s="50"/>
      <c r="P593" s="53"/>
      <c r="Q593" s="52"/>
      <c r="R593" s="52"/>
      <c r="S593" s="52"/>
      <c r="T593" s="55"/>
      <c r="U593" s="52" t="str">
        <f t="shared" ca="1" si="9"/>
        <v/>
      </c>
      <c r="V593" s="54">
        <v>0</v>
      </c>
      <c r="W593" s="52" t="s">
        <v>5587</v>
      </c>
    </row>
    <row r="594" spans="1:23" ht="20.100000000000001" customHeight="1" x14ac:dyDescent="0.25">
      <c r="A594" s="50"/>
      <c r="B594" s="50"/>
      <c r="C594" s="51"/>
      <c r="D594" s="51"/>
      <c r="E594" s="52"/>
      <c r="F594" s="52"/>
      <c r="G594" s="52"/>
      <c r="H594" s="52">
        <v>6035</v>
      </c>
      <c r="I594" s="52"/>
      <c r="J594" s="52"/>
      <c r="K594" s="53"/>
      <c r="L594" s="54"/>
      <c r="M594" s="52"/>
      <c r="N594" s="55"/>
      <c r="O594" s="50"/>
      <c r="P594" s="53"/>
      <c r="Q594" s="52"/>
      <c r="R594" s="52"/>
      <c r="S594" s="52"/>
      <c r="T594" s="55"/>
      <c r="U594" s="52" t="str">
        <f t="shared" ca="1" si="9"/>
        <v/>
      </c>
      <c r="V594" s="54">
        <v>0</v>
      </c>
      <c r="W594" s="52" t="s">
        <v>5587</v>
      </c>
    </row>
    <row r="595" spans="1:23" ht="20.100000000000001" customHeight="1" x14ac:dyDescent="0.25">
      <c r="A595" s="50"/>
      <c r="B595" s="50"/>
      <c r="C595" s="51"/>
      <c r="D595" s="51"/>
      <c r="E595" s="52"/>
      <c r="F595" s="52"/>
      <c r="G595" s="52"/>
      <c r="H595" s="52">
        <v>6036</v>
      </c>
      <c r="I595" s="52"/>
      <c r="J595" s="52"/>
      <c r="K595" s="53"/>
      <c r="L595" s="54"/>
      <c r="M595" s="52"/>
      <c r="N595" s="55"/>
      <c r="O595" s="50"/>
      <c r="P595" s="53"/>
      <c r="Q595" s="52"/>
      <c r="R595" s="52"/>
      <c r="S595" s="52"/>
      <c r="T595" s="55"/>
      <c r="U595" s="52" t="str">
        <f t="shared" ca="1" si="9"/>
        <v/>
      </c>
      <c r="V595" s="54">
        <v>0</v>
      </c>
      <c r="W595" s="52" t="s">
        <v>5587</v>
      </c>
    </row>
    <row r="596" spans="1:23" ht="20.100000000000001" customHeight="1" x14ac:dyDescent="0.25">
      <c r="A596" s="50"/>
      <c r="B596" s="50"/>
      <c r="C596" s="51"/>
      <c r="D596" s="51"/>
      <c r="E596" s="52"/>
      <c r="F596" s="52"/>
      <c r="G596" s="52"/>
      <c r="H596" s="52">
        <v>6037</v>
      </c>
      <c r="I596" s="52"/>
      <c r="J596" s="52"/>
      <c r="K596" s="53"/>
      <c r="L596" s="54"/>
      <c r="M596" s="52"/>
      <c r="N596" s="55"/>
      <c r="O596" s="50"/>
      <c r="P596" s="53"/>
      <c r="Q596" s="52"/>
      <c r="R596" s="52"/>
      <c r="S596" s="52"/>
      <c r="T596" s="55"/>
      <c r="U596" s="52" t="str">
        <f t="shared" ca="1" si="9"/>
        <v/>
      </c>
      <c r="V596" s="54">
        <v>0</v>
      </c>
      <c r="W596" s="52" t="s">
        <v>5587</v>
      </c>
    </row>
    <row r="597" spans="1:23" ht="20.100000000000001" customHeight="1" x14ac:dyDescent="0.25">
      <c r="A597" s="50"/>
      <c r="B597" s="50"/>
      <c r="C597" s="51"/>
      <c r="D597" s="51"/>
      <c r="E597" s="52"/>
      <c r="F597" s="52"/>
      <c r="G597" s="52"/>
      <c r="H597" s="52">
        <v>6038</v>
      </c>
      <c r="I597" s="52"/>
      <c r="J597" s="52"/>
      <c r="K597" s="53"/>
      <c r="L597" s="54"/>
      <c r="M597" s="52"/>
      <c r="N597" s="55"/>
      <c r="O597" s="50"/>
      <c r="P597" s="53"/>
      <c r="Q597" s="52"/>
      <c r="R597" s="52"/>
      <c r="S597" s="52"/>
      <c r="T597" s="55"/>
      <c r="U597" s="52" t="str">
        <f t="shared" ca="1" si="9"/>
        <v/>
      </c>
      <c r="V597" s="54">
        <v>0</v>
      </c>
      <c r="W597" s="52" t="s">
        <v>5587</v>
      </c>
    </row>
    <row r="598" spans="1:23" ht="20.100000000000001" customHeight="1" x14ac:dyDescent="0.25">
      <c r="A598" s="50"/>
      <c r="B598" s="50"/>
      <c r="C598" s="51"/>
      <c r="D598" s="51"/>
      <c r="E598" s="52"/>
      <c r="F598" s="52"/>
      <c r="G598" s="52"/>
      <c r="H598" s="52">
        <v>6039</v>
      </c>
      <c r="I598" s="52"/>
      <c r="J598" s="52"/>
      <c r="K598" s="53"/>
      <c r="L598" s="54"/>
      <c r="M598" s="52"/>
      <c r="N598" s="55"/>
      <c r="O598" s="50"/>
      <c r="P598" s="53"/>
      <c r="Q598" s="52"/>
      <c r="R598" s="52"/>
      <c r="S598" s="52"/>
      <c r="T598" s="55"/>
      <c r="U598" s="52" t="str">
        <f t="shared" ca="1" si="9"/>
        <v/>
      </c>
      <c r="V598" s="54">
        <v>0</v>
      </c>
      <c r="W598" s="52" t="s">
        <v>5587</v>
      </c>
    </row>
    <row r="599" spans="1:23" ht="20.100000000000001" customHeight="1" x14ac:dyDescent="0.25">
      <c r="A599" s="50"/>
      <c r="B599" s="50"/>
      <c r="C599" s="51"/>
      <c r="D599" s="51"/>
      <c r="E599" s="52"/>
      <c r="F599" s="52"/>
      <c r="G599" s="52"/>
      <c r="H599" s="52">
        <v>6040</v>
      </c>
      <c r="I599" s="52"/>
      <c r="J599" s="52"/>
      <c r="K599" s="53"/>
      <c r="L599" s="54"/>
      <c r="M599" s="52"/>
      <c r="N599" s="55"/>
      <c r="O599" s="50"/>
      <c r="P599" s="53"/>
      <c r="Q599" s="52"/>
      <c r="R599" s="52"/>
      <c r="S599" s="52"/>
      <c r="T599" s="55"/>
      <c r="U599" s="52" t="str">
        <f t="shared" ca="1" si="9"/>
        <v/>
      </c>
      <c r="V599" s="54">
        <v>0</v>
      </c>
      <c r="W599" s="52" t="s">
        <v>5587</v>
      </c>
    </row>
    <row r="600" spans="1:23" ht="20.100000000000001" customHeight="1" x14ac:dyDescent="0.25">
      <c r="A600" s="50"/>
      <c r="B600" s="50"/>
      <c r="C600" s="51"/>
      <c r="D600" s="51"/>
      <c r="E600" s="52"/>
      <c r="F600" s="52"/>
      <c r="G600" s="52"/>
      <c r="H600" s="52">
        <v>6041</v>
      </c>
      <c r="I600" s="52"/>
      <c r="J600" s="52"/>
      <c r="K600" s="53"/>
      <c r="L600" s="54"/>
      <c r="M600" s="52"/>
      <c r="N600" s="55"/>
      <c r="O600" s="50"/>
      <c r="P600" s="53"/>
      <c r="Q600" s="52"/>
      <c r="R600" s="52"/>
      <c r="S600" s="52"/>
      <c r="T600" s="55"/>
      <c r="U600" s="52" t="str">
        <f t="shared" ca="1" si="9"/>
        <v/>
      </c>
      <c r="V600" s="54">
        <v>0</v>
      </c>
      <c r="W600" s="52" t="s">
        <v>5587</v>
      </c>
    </row>
    <row r="601" spans="1:23" ht="20.100000000000001" customHeight="1" x14ac:dyDescent="0.25">
      <c r="A601" s="50"/>
      <c r="B601" s="50"/>
      <c r="C601" s="51"/>
      <c r="D601" s="51"/>
      <c r="E601" s="52"/>
      <c r="F601" s="52"/>
      <c r="G601" s="52"/>
      <c r="H601" s="52">
        <v>6042</v>
      </c>
      <c r="I601" s="52"/>
      <c r="J601" s="52"/>
      <c r="K601" s="53"/>
      <c r="L601" s="54"/>
      <c r="M601" s="52"/>
      <c r="N601" s="55"/>
      <c r="O601" s="50"/>
      <c r="P601" s="53"/>
      <c r="Q601" s="52"/>
      <c r="R601" s="52"/>
      <c r="S601" s="52"/>
      <c r="T601" s="55"/>
      <c r="U601" s="52" t="str">
        <f t="shared" ca="1" si="9"/>
        <v/>
      </c>
      <c r="V601" s="54">
        <v>0</v>
      </c>
      <c r="W601" s="52" t="s">
        <v>5587</v>
      </c>
    </row>
    <row r="602" spans="1:23" ht="20.100000000000001" customHeight="1" x14ac:dyDescent="0.25">
      <c r="A602" s="50"/>
      <c r="B602" s="50"/>
      <c r="C602" s="51"/>
      <c r="D602" s="51"/>
      <c r="E602" s="52"/>
      <c r="F602" s="52"/>
      <c r="G602" s="52"/>
      <c r="H602" s="52">
        <v>6043</v>
      </c>
      <c r="I602" s="52"/>
      <c r="J602" s="52"/>
      <c r="K602" s="53"/>
      <c r="L602" s="54"/>
      <c r="M602" s="52"/>
      <c r="N602" s="55"/>
      <c r="O602" s="50"/>
      <c r="P602" s="53"/>
      <c r="Q602" s="52"/>
      <c r="R602" s="52"/>
      <c r="S602" s="52"/>
      <c r="T602" s="55"/>
      <c r="U602" s="52" t="str">
        <f t="shared" ca="1" si="9"/>
        <v/>
      </c>
      <c r="V602" s="54">
        <v>0</v>
      </c>
      <c r="W602" s="52" t="s">
        <v>5587</v>
      </c>
    </row>
    <row r="603" spans="1:23" ht="20.100000000000001" customHeight="1" x14ac:dyDescent="0.25">
      <c r="A603" s="50"/>
      <c r="B603" s="50"/>
      <c r="C603" s="51"/>
      <c r="D603" s="51"/>
      <c r="E603" s="52"/>
      <c r="F603" s="52"/>
      <c r="G603" s="52"/>
      <c r="H603" s="52">
        <v>6044</v>
      </c>
      <c r="I603" s="52"/>
      <c r="J603" s="52"/>
      <c r="K603" s="53"/>
      <c r="L603" s="54"/>
      <c r="M603" s="52"/>
      <c r="N603" s="55"/>
      <c r="O603" s="50"/>
      <c r="P603" s="53"/>
      <c r="Q603" s="52"/>
      <c r="R603" s="52"/>
      <c r="S603" s="52"/>
      <c r="T603" s="55"/>
      <c r="U603" s="52" t="str">
        <f t="shared" ca="1" si="9"/>
        <v/>
      </c>
      <c r="V603" s="54">
        <v>0</v>
      </c>
      <c r="W603" s="52" t="s">
        <v>5587</v>
      </c>
    </row>
    <row r="604" spans="1:23" ht="20.100000000000001" customHeight="1" x14ac:dyDescent="0.25">
      <c r="A604" s="50"/>
      <c r="B604" s="50"/>
      <c r="C604" s="51"/>
      <c r="D604" s="51"/>
      <c r="E604" s="52"/>
      <c r="F604" s="52"/>
      <c r="G604" s="52"/>
      <c r="H604" s="52">
        <v>6045</v>
      </c>
      <c r="I604" s="52"/>
      <c r="J604" s="52"/>
      <c r="K604" s="53"/>
      <c r="L604" s="54"/>
      <c r="M604" s="52"/>
      <c r="N604" s="55"/>
      <c r="O604" s="50"/>
      <c r="P604" s="53"/>
      <c r="Q604" s="52"/>
      <c r="R604" s="52"/>
      <c r="S604" s="52"/>
      <c r="T604" s="55"/>
      <c r="U604" s="52" t="str">
        <f t="shared" ca="1" si="9"/>
        <v/>
      </c>
      <c r="V604" s="54">
        <v>0</v>
      </c>
      <c r="W604" s="52" t="s">
        <v>5587</v>
      </c>
    </row>
    <row r="605" spans="1:23" ht="20.100000000000001" customHeight="1" x14ac:dyDescent="0.25">
      <c r="A605" s="50"/>
      <c r="B605" s="50"/>
      <c r="C605" s="51"/>
      <c r="D605" s="51"/>
      <c r="E605" s="52"/>
      <c r="F605" s="52"/>
      <c r="G605" s="52"/>
      <c r="H605" s="52">
        <v>6046</v>
      </c>
      <c r="I605" s="52"/>
      <c r="J605" s="52"/>
      <c r="K605" s="53"/>
      <c r="L605" s="54"/>
      <c r="M605" s="52"/>
      <c r="N605" s="55"/>
      <c r="O605" s="50"/>
      <c r="P605" s="53"/>
      <c r="Q605" s="52"/>
      <c r="R605" s="52"/>
      <c r="S605" s="52"/>
      <c r="T605" s="55"/>
      <c r="U605" s="52" t="str">
        <f t="shared" ca="1" si="9"/>
        <v/>
      </c>
      <c r="V605" s="54">
        <v>0</v>
      </c>
      <c r="W605" s="52" t="s">
        <v>5587</v>
      </c>
    </row>
    <row r="606" spans="1:23" ht="20.100000000000001" customHeight="1" x14ac:dyDescent="0.25">
      <c r="A606" s="50"/>
      <c r="B606" s="50"/>
      <c r="C606" s="51"/>
      <c r="D606" s="51"/>
      <c r="E606" s="52"/>
      <c r="F606" s="52"/>
      <c r="G606" s="52"/>
      <c r="H606" s="52">
        <v>6047</v>
      </c>
      <c r="I606" s="52"/>
      <c r="J606" s="52"/>
      <c r="K606" s="53"/>
      <c r="L606" s="54"/>
      <c r="M606" s="52"/>
      <c r="N606" s="55"/>
      <c r="O606" s="50"/>
      <c r="P606" s="53"/>
      <c r="Q606" s="52"/>
      <c r="R606" s="52"/>
      <c r="S606" s="52"/>
      <c r="T606" s="55"/>
      <c r="U606" s="52" t="str">
        <f t="shared" ca="1" si="9"/>
        <v/>
      </c>
      <c r="V606" s="54">
        <v>0</v>
      </c>
      <c r="W606" s="52" t="s">
        <v>5587</v>
      </c>
    </row>
    <row r="607" spans="1:23" ht="20.100000000000001" customHeight="1" x14ac:dyDescent="0.25">
      <c r="A607" s="50"/>
      <c r="B607" s="50"/>
      <c r="C607" s="51"/>
      <c r="D607" s="51"/>
      <c r="E607" s="52"/>
      <c r="F607" s="52"/>
      <c r="G607" s="52"/>
      <c r="H607" s="52">
        <v>6048</v>
      </c>
      <c r="I607" s="52"/>
      <c r="J607" s="52"/>
      <c r="K607" s="53"/>
      <c r="L607" s="54"/>
      <c r="M607" s="52"/>
      <c r="N607" s="55"/>
      <c r="O607" s="50"/>
      <c r="P607" s="53"/>
      <c r="Q607" s="52"/>
      <c r="R607" s="52"/>
      <c r="S607" s="52"/>
      <c r="T607" s="55"/>
      <c r="U607" s="52" t="str">
        <f t="shared" ca="1" si="9"/>
        <v/>
      </c>
      <c r="V607" s="54">
        <v>0</v>
      </c>
      <c r="W607" s="52" t="s">
        <v>5587</v>
      </c>
    </row>
    <row r="608" spans="1:23" ht="20.100000000000001" customHeight="1" x14ac:dyDescent="0.25">
      <c r="A608" s="50"/>
      <c r="B608" s="50"/>
      <c r="C608" s="51"/>
      <c r="D608" s="51"/>
      <c r="E608" s="52"/>
      <c r="F608" s="52"/>
      <c r="G608" s="52"/>
      <c r="H608" s="52">
        <v>6049</v>
      </c>
      <c r="I608" s="52"/>
      <c r="J608" s="52"/>
      <c r="K608" s="53"/>
      <c r="L608" s="54"/>
      <c r="M608" s="52"/>
      <c r="N608" s="55"/>
      <c r="O608" s="50"/>
      <c r="P608" s="53"/>
      <c r="Q608" s="52"/>
      <c r="R608" s="52"/>
      <c r="S608" s="52"/>
      <c r="T608" s="55"/>
      <c r="U608" s="52" t="str">
        <f t="shared" ca="1" si="9"/>
        <v/>
      </c>
      <c r="V608" s="54">
        <v>0</v>
      </c>
      <c r="W608" s="52" t="s">
        <v>5587</v>
      </c>
    </row>
    <row r="609" spans="1:23" ht="20.100000000000001" customHeight="1" x14ac:dyDescent="0.25">
      <c r="A609" s="50"/>
      <c r="B609" s="50"/>
      <c r="C609" s="51"/>
      <c r="D609" s="51"/>
      <c r="E609" s="52"/>
      <c r="F609" s="52"/>
      <c r="G609" s="52"/>
      <c r="H609" s="52">
        <v>6050</v>
      </c>
      <c r="I609" s="52"/>
      <c r="J609" s="52"/>
      <c r="K609" s="53"/>
      <c r="L609" s="54"/>
      <c r="M609" s="52"/>
      <c r="N609" s="55"/>
      <c r="O609" s="50"/>
      <c r="P609" s="53"/>
      <c r="Q609" s="52"/>
      <c r="R609" s="52"/>
      <c r="S609" s="52"/>
      <c r="T609" s="55"/>
      <c r="U609" s="52" t="str">
        <f t="shared" ca="1" si="9"/>
        <v/>
      </c>
      <c r="V609" s="54">
        <v>0</v>
      </c>
      <c r="W609" s="52" t="s">
        <v>5587</v>
      </c>
    </row>
    <row r="610" spans="1:23" ht="20.100000000000001" customHeight="1" x14ac:dyDescent="0.25">
      <c r="A610" s="50"/>
      <c r="B610" s="50"/>
      <c r="C610" s="51"/>
      <c r="D610" s="51"/>
      <c r="E610" s="52"/>
      <c r="F610" s="52"/>
      <c r="G610" s="52"/>
      <c r="H610" s="52">
        <v>6051</v>
      </c>
      <c r="I610" s="52"/>
      <c r="J610" s="52"/>
      <c r="K610" s="53"/>
      <c r="L610" s="54"/>
      <c r="M610" s="52"/>
      <c r="N610" s="55"/>
      <c r="O610" s="50"/>
      <c r="P610" s="53"/>
      <c r="Q610" s="52"/>
      <c r="R610" s="52"/>
      <c r="S610" s="52"/>
      <c r="T610" s="55"/>
      <c r="U610" s="52" t="str">
        <f t="shared" ca="1" si="9"/>
        <v/>
      </c>
      <c r="V610" s="54">
        <v>0</v>
      </c>
      <c r="W610" s="52" t="s">
        <v>5587</v>
      </c>
    </row>
    <row r="611" spans="1:23" ht="20.100000000000001" customHeight="1" x14ac:dyDescent="0.25">
      <c r="A611" s="50"/>
      <c r="B611" s="50"/>
      <c r="C611" s="51"/>
      <c r="D611" s="51"/>
      <c r="E611" s="52"/>
      <c r="F611" s="52"/>
      <c r="G611" s="52"/>
      <c r="H611" s="52">
        <v>6052</v>
      </c>
      <c r="I611" s="52"/>
      <c r="J611" s="52"/>
      <c r="K611" s="53"/>
      <c r="L611" s="54"/>
      <c r="M611" s="52"/>
      <c r="N611" s="55"/>
      <c r="O611" s="50"/>
      <c r="P611" s="53"/>
      <c r="Q611" s="52"/>
      <c r="R611" s="52"/>
      <c r="S611" s="52"/>
      <c r="T611" s="55"/>
      <c r="U611" s="52" t="str">
        <f t="shared" ca="1" si="9"/>
        <v/>
      </c>
      <c r="V611" s="54">
        <v>0</v>
      </c>
      <c r="W611" s="52" t="s">
        <v>5587</v>
      </c>
    </row>
    <row r="612" spans="1:23" ht="20.100000000000001" customHeight="1" x14ac:dyDescent="0.25">
      <c r="A612" s="50"/>
      <c r="B612" s="50"/>
      <c r="C612" s="51"/>
      <c r="D612" s="51"/>
      <c r="E612" s="52"/>
      <c r="F612" s="52"/>
      <c r="G612" s="52"/>
      <c r="H612" s="52">
        <v>6053</v>
      </c>
      <c r="I612" s="52"/>
      <c r="J612" s="52"/>
      <c r="K612" s="53"/>
      <c r="L612" s="54"/>
      <c r="M612" s="52"/>
      <c r="N612" s="55"/>
      <c r="O612" s="50"/>
      <c r="P612" s="53"/>
      <c r="Q612" s="52"/>
      <c r="R612" s="52"/>
      <c r="S612" s="52"/>
      <c r="T612" s="55"/>
      <c r="U612" s="52" t="str">
        <f t="shared" ca="1" si="9"/>
        <v/>
      </c>
      <c r="V612" s="54">
        <v>0</v>
      </c>
      <c r="W612" s="52" t="s">
        <v>5587</v>
      </c>
    </row>
    <row r="613" spans="1:23" ht="20.100000000000001" customHeight="1" x14ac:dyDescent="0.25">
      <c r="A613" s="50"/>
      <c r="B613" s="50"/>
      <c r="C613" s="51"/>
      <c r="D613" s="51"/>
      <c r="E613" s="52"/>
      <c r="F613" s="52"/>
      <c r="G613" s="52"/>
      <c r="H613" s="52">
        <v>6054</v>
      </c>
      <c r="I613" s="52"/>
      <c r="J613" s="52"/>
      <c r="K613" s="53"/>
      <c r="L613" s="54"/>
      <c r="M613" s="52"/>
      <c r="N613" s="55"/>
      <c r="O613" s="50"/>
      <c r="P613" s="53"/>
      <c r="Q613" s="52"/>
      <c r="R613" s="52"/>
      <c r="S613" s="52"/>
      <c r="T613" s="55"/>
      <c r="U613" s="52" t="str">
        <f t="shared" ca="1" si="9"/>
        <v/>
      </c>
      <c r="V613" s="54">
        <v>0</v>
      </c>
      <c r="W613" s="52" t="s">
        <v>5587</v>
      </c>
    </row>
    <row r="614" spans="1:23" ht="20.100000000000001" customHeight="1" x14ac:dyDescent="0.25">
      <c r="A614" s="50"/>
      <c r="B614" s="50"/>
      <c r="C614" s="51"/>
      <c r="D614" s="51"/>
      <c r="E614" s="52"/>
      <c r="F614" s="52"/>
      <c r="G614" s="52"/>
      <c r="H614" s="52">
        <v>6055</v>
      </c>
      <c r="I614" s="52"/>
      <c r="J614" s="52"/>
      <c r="K614" s="53"/>
      <c r="L614" s="54"/>
      <c r="M614" s="52"/>
      <c r="N614" s="55"/>
      <c r="O614" s="50"/>
      <c r="P614" s="53"/>
      <c r="Q614" s="52"/>
      <c r="R614" s="52"/>
      <c r="S614" s="52"/>
      <c r="T614" s="55"/>
      <c r="U614" s="52" t="str">
        <f t="shared" ca="1" si="9"/>
        <v/>
      </c>
      <c r="V614" s="54">
        <v>0</v>
      </c>
      <c r="W614" s="52" t="s">
        <v>5587</v>
      </c>
    </row>
    <row r="615" spans="1:23" ht="20.100000000000001" customHeight="1" x14ac:dyDescent="0.25">
      <c r="A615" s="50"/>
      <c r="B615" s="50"/>
      <c r="C615" s="51"/>
      <c r="D615" s="51"/>
      <c r="E615" s="52"/>
      <c r="F615" s="52"/>
      <c r="G615" s="52"/>
      <c r="H615" s="52">
        <v>6056</v>
      </c>
      <c r="I615" s="52"/>
      <c r="J615" s="52"/>
      <c r="K615" s="53"/>
      <c r="L615" s="54"/>
      <c r="M615" s="52"/>
      <c r="N615" s="55"/>
      <c r="O615" s="50"/>
      <c r="P615" s="53"/>
      <c r="Q615" s="52"/>
      <c r="R615" s="52"/>
      <c r="S615" s="52"/>
      <c r="T615" s="55"/>
      <c r="U615" s="52" t="str">
        <f t="shared" ca="1" si="9"/>
        <v/>
      </c>
      <c r="V615" s="54">
        <v>0</v>
      </c>
      <c r="W615" s="52" t="s">
        <v>5587</v>
      </c>
    </row>
    <row r="616" spans="1:23" ht="20.100000000000001" customHeight="1" x14ac:dyDescent="0.25">
      <c r="A616" s="50"/>
      <c r="B616" s="50"/>
      <c r="C616" s="51"/>
      <c r="D616" s="51"/>
      <c r="E616" s="52"/>
      <c r="F616" s="52"/>
      <c r="G616" s="52"/>
      <c r="H616" s="52">
        <v>6057</v>
      </c>
      <c r="I616" s="52"/>
      <c r="J616" s="52"/>
      <c r="K616" s="53"/>
      <c r="L616" s="54"/>
      <c r="M616" s="52"/>
      <c r="N616" s="55"/>
      <c r="O616" s="50"/>
      <c r="P616" s="53"/>
      <c r="Q616" s="52"/>
      <c r="R616" s="52"/>
      <c r="S616" s="52"/>
      <c r="T616" s="55"/>
      <c r="U616" s="52" t="str">
        <f t="shared" ca="1" si="9"/>
        <v/>
      </c>
      <c r="V616" s="54">
        <v>0</v>
      </c>
      <c r="W616" s="52" t="s">
        <v>5587</v>
      </c>
    </row>
    <row r="617" spans="1:23" ht="20.100000000000001" customHeight="1" x14ac:dyDescent="0.25">
      <c r="A617" s="50"/>
      <c r="B617" s="50"/>
      <c r="C617" s="51"/>
      <c r="D617" s="51"/>
      <c r="E617" s="52"/>
      <c r="F617" s="52"/>
      <c r="G617" s="52"/>
      <c r="H617" s="52">
        <v>6058</v>
      </c>
      <c r="I617" s="52"/>
      <c r="J617" s="52"/>
      <c r="K617" s="53"/>
      <c r="L617" s="54"/>
      <c r="M617" s="52"/>
      <c r="N617" s="55"/>
      <c r="O617" s="50"/>
      <c r="P617" s="53"/>
      <c r="Q617" s="52"/>
      <c r="R617" s="52"/>
      <c r="S617" s="52"/>
      <c r="T617" s="55"/>
      <c r="U617" s="52" t="str">
        <f t="shared" ca="1" si="9"/>
        <v/>
      </c>
      <c r="V617" s="54">
        <v>0</v>
      </c>
      <c r="W617" s="52" t="s">
        <v>5587</v>
      </c>
    </row>
    <row r="618" spans="1:23" ht="20.100000000000001" customHeight="1" x14ac:dyDescent="0.25">
      <c r="A618" s="50"/>
      <c r="B618" s="50"/>
      <c r="C618" s="51"/>
      <c r="D618" s="51"/>
      <c r="E618" s="52"/>
      <c r="F618" s="52"/>
      <c r="G618" s="52"/>
      <c r="H618" s="52">
        <v>6059</v>
      </c>
      <c r="I618" s="52"/>
      <c r="J618" s="52"/>
      <c r="K618" s="53"/>
      <c r="L618" s="54"/>
      <c r="M618" s="52"/>
      <c r="N618" s="55"/>
      <c r="O618" s="50"/>
      <c r="P618" s="53"/>
      <c r="Q618" s="52"/>
      <c r="R618" s="52"/>
      <c r="S618" s="52"/>
      <c r="T618" s="55"/>
      <c r="U618" s="52" t="str">
        <f t="shared" ca="1" si="9"/>
        <v/>
      </c>
      <c r="V618" s="54">
        <v>0</v>
      </c>
      <c r="W618" s="52" t="s">
        <v>5587</v>
      </c>
    </row>
    <row r="619" spans="1:23" ht="20.100000000000001" customHeight="1" x14ac:dyDescent="0.25">
      <c r="A619" s="50"/>
      <c r="B619" s="50"/>
      <c r="C619" s="51"/>
      <c r="D619" s="51"/>
      <c r="E619" s="52"/>
      <c r="F619" s="52"/>
      <c r="G619" s="52"/>
      <c r="H619" s="52">
        <v>6060</v>
      </c>
      <c r="I619" s="52"/>
      <c r="J619" s="52"/>
      <c r="K619" s="53"/>
      <c r="L619" s="54"/>
      <c r="M619" s="52"/>
      <c r="N619" s="55"/>
      <c r="O619" s="50"/>
      <c r="P619" s="53"/>
      <c r="Q619" s="52"/>
      <c r="R619" s="52"/>
      <c r="S619" s="52"/>
      <c r="T619" s="55"/>
      <c r="U619" s="52" t="str">
        <f t="shared" ca="1" si="9"/>
        <v/>
      </c>
      <c r="V619" s="54">
        <v>0</v>
      </c>
      <c r="W619" s="52" t="s">
        <v>5587</v>
      </c>
    </row>
    <row r="620" spans="1:23" ht="20.100000000000001" customHeight="1" x14ac:dyDescent="0.25">
      <c r="A620" s="50"/>
      <c r="B620" s="50"/>
      <c r="C620" s="51"/>
      <c r="D620" s="51"/>
      <c r="E620" s="52"/>
      <c r="F620" s="52"/>
      <c r="G620" s="52"/>
      <c r="H620" s="52">
        <v>6061</v>
      </c>
      <c r="I620" s="52"/>
      <c r="J620" s="52"/>
      <c r="K620" s="53"/>
      <c r="L620" s="54"/>
      <c r="M620" s="52"/>
      <c r="N620" s="55"/>
      <c r="O620" s="50"/>
      <c r="P620" s="53"/>
      <c r="Q620" s="52"/>
      <c r="R620" s="52"/>
      <c r="S620" s="52"/>
      <c r="T620" s="55"/>
      <c r="U620" s="52" t="str">
        <f t="shared" ca="1" si="9"/>
        <v/>
      </c>
      <c r="V620" s="54">
        <v>0</v>
      </c>
      <c r="W620" s="52" t="s">
        <v>5587</v>
      </c>
    </row>
    <row r="621" spans="1:23" ht="20.100000000000001" customHeight="1" x14ac:dyDescent="0.25">
      <c r="A621" s="50"/>
      <c r="B621" s="50"/>
      <c r="C621" s="51"/>
      <c r="D621" s="51"/>
      <c r="E621" s="52"/>
      <c r="F621" s="52"/>
      <c r="G621" s="52"/>
      <c r="H621" s="52">
        <v>6062</v>
      </c>
      <c r="I621" s="52"/>
      <c r="J621" s="52"/>
      <c r="K621" s="53"/>
      <c r="L621" s="54"/>
      <c r="M621" s="52"/>
      <c r="N621" s="55"/>
      <c r="O621" s="50"/>
      <c r="P621" s="53"/>
      <c r="Q621" s="52"/>
      <c r="R621" s="52"/>
      <c r="S621" s="52"/>
      <c r="T621" s="55"/>
      <c r="U621" s="52" t="str">
        <f t="shared" ca="1" si="9"/>
        <v/>
      </c>
      <c r="V621" s="54">
        <v>0</v>
      </c>
      <c r="W621" s="52" t="s">
        <v>5587</v>
      </c>
    </row>
    <row r="622" spans="1:23" ht="20.100000000000001" customHeight="1" x14ac:dyDescent="0.25">
      <c r="A622" s="50"/>
      <c r="B622" s="50"/>
      <c r="C622" s="51"/>
      <c r="D622" s="51"/>
      <c r="E622" s="52"/>
      <c r="F622" s="52"/>
      <c r="G622" s="52"/>
      <c r="H622" s="52">
        <v>6063</v>
      </c>
      <c r="I622" s="52"/>
      <c r="J622" s="52"/>
      <c r="K622" s="53"/>
      <c r="L622" s="54"/>
      <c r="M622" s="52"/>
      <c r="N622" s="55"/>
      <c r="O622" s="50"/>
      <c r="P622" s="53"/>
      <c r="Q622" s="52"/>
      <c r="R622" s="52"/>
      <c r="S622" s="52"/>
      <c r="T622" s="55"/>
      <c r="U622" s="52" t="str">
        <f t="shared" ca="1" si="9"/>
        <v/>
      </c>
      <c r="V622" s="54">
        <v>0</v>
      </c>
      <c r="W622" s="52" t="s">
        <v>5587</v>
      </c>
    </row>
    <row r="623" spans="1:23" ht="20.100000000000001" customHeight="1" x14ac:dyDescent="0.25">
      <c r="A623" s="50"/>
      <c r="B623" s="50"/>
      <c r="C623" s="51"/>
      <c r="D623" s="51"/>
      <c r="E623" s="52"/>
      <c r="F623" s="52"/>
      <c r="G623" s="52"/>
      <c r="H623" s="52">
        <v>6064</v>
      </c>
      <c r="I623" s="52"/>
      <c r="J623" s="52"/>
      <c r="K623" s="53"/>
      <c r="L623" s="54"/>
      <c r="M623" s="52"/>
      <c r="N623" s="55"/>
      <c r="O623" s="50"/>
      <c r="P623" s="53"/>
      <c r="Q623" s="52"/>
      <c r="R623" s="52"/>
      <c r="S623" s="52"/>
      <c r="T623" s="55"/>
      <c r="U623" s="52" t="str">
        <f t="shared" ca="1" si="9"/>
        <v/>
      </c>
      <c r="V623" s="54">
        <v>0</v>
      </c>
      <c r="W623" s="52" t="s">
        <v>5587</v>
      </c>
    </row>
    <row r="624" spans="1:23" ht="20.100000000000001" customHeight="1" x14ac:dyDescent="0.25">
      <c r="A624" s="50"/>
      <c r="B624" s="50"/>
      <c r="C624" s="51"/>
      <c r="D624" s="51"/>
      <c r="E624" s="52"/>
      <c r="F624" s="52"/>
      <c r="G624" s="52"/>
      <c r="H624" s="52">
        <v>6065</v>
      </c>
      <c r="I624" s="52"/>
      <c r="J624" s="52"/>
      <c r="K624" s="53"/>
      <c r="L624" s="54"/>
      <c r="M624" s="52"/>
      <c r="N624" s="55"/>
      <c r="O624" s="50"/>
      <c r="P624" s="53"/>
      <c r="Q624" s="52"/>
      <c r="R624" s="52"/>
      <c r="S624" s="52"/>
      <c r="T624" s="55"/>
      <c r="U624" s="52" t="str">
        <f t="shared" ca="1" si="9"/>
        <v/>
      </c>
      <c r="V624" s="54">
        <v>0</v>
      </c>
      <c r="W624" s="52" t="s">
        <v>5587</v>
      </c>
    </row>
    <row r="625" spans="1:23" ht="20.100000000000001" customHeight="1" x14ac:dyDescent="0.25">
      <c r="A625" s="50"/>
      <c r="B625" s="50"/>
      <c r="C625" s="51"/>
      <c r="D625" s="51"/>
      <c r="E625" s="52"/>
      <c r="F625" s="52"/>
      <c r="G625" s="52"/>
      <c r="H625" s="52">
        <v>6066</v>
      </c>
      <c r="I625" s="52"/>
      <c r="J625" s="52"/>
      <c r="K625" s="53"/>
      <c r="L625" s="54"/>
      <c r="M625" s="52"/>
      <c r="N625" s="55"/>
      <c r="O625" s="50"/>
      <c r="P625" s="53"/>
      <c r="Q625" s="52"/>
      <c r="R625" s="52"/>
      <c r="S625" s="52"/>
      <c r="T625" s="55"/>
      <c r="U625" s="52" t="str">
        <f t="shared" ca="1" si="9"/>
        <v/>
      </c>
      <c r="V625" s="54">
        <v>0</v>
      </c>
      <c r="W625" s="52" t="s">
        <v>5587</v>
      </c>
    </row>
    <row r="626" spans="1:23" ht="20.100000000000001" customHeight="1" x14ac:dyDescent="0.25">
      <c r="A626" s="50"/>
      <c r="B626" s="50"/>
      <c r="C626" s="51"/>
      <c r="D626" s="51"/>
      <c r="E626" s="52"/>
      <c r="F626" s="52"/>
      <c r="G626" s="52"/>
      <c r="H626" s="52">
        <v>6067</v>
      </c>
      <c r="I626" s="52"/>
      <c r="J626" s="52"/>
      <c r="K626" s="53"/>
      <c r="L626" s="54"/>
      <c r="M626" s="52"/>
      <c r="N626" s="55"/>
      <c r="O626" s="50"/>
      <c r="P626" s="53"/>
      <c r="Q626" s="52"/>
      <c r="R626" s="52"/>
      <c r="S626" s="52"/>
      <c r="T626" s="55"/>
      <c r="U626" s="52" t="str">
        <f t="shared" ca="1" si="9"/>
        <v/>
      </c>
      <c r="V626" s="54">
        <v>0</v>
      </c>
      <c r="W626" s="52" t="s">
        <v>5587</v>
      </c>
    </row>
    <row r="627" spans="1:23" ht="20.100000000000001" customHeight="1" x14ac:dyDescent="0.25">
      <c r="A627" s="50"/>
      <c r="B627" s="50"/>
      <c r="C627" s="51"/>
      <c r="D627" s="51"/>
      <c r="E627" s="52"/>
      <c r="F627" s="52"/>
      <c r="G627" s="52"/>
      <c r="H627" s="52">
        <v>6068</v>
      </c>
      <c r="I627" s="52"/>
      <c r="J627" s="52"/>
      <c r="K627" s="53"/>
      <c r="L627" s="54"/>
      <c r="M627" s="52"/>
      <c r="N627" s="55"/>
      <c r="O627" s="50"/>
      <c r="P627" s="53"/>
      <c r="Q627" s="52"/>
      <c r="R627" s="52"/>
      <c r="S627" s="52"/>
      <c r="T627" s="55"/>
      <c r="U627" s="52" t="str">
        <f t="shared" ca="1" si="9"/>
        <v/>
      </c>
      <c r="V627" s="54">
        <v>0</v>
      </c>
      <c r="W627" s="52" t="s">
        <v>5587</v>
      </c>
    </row>
    <row r="628" spans="1:23" ht="20.100000000000001" customHeight="1" x14ac:dyDescent="0.25">
      <c r="A628" s="50"/>
      <c r="B628" s="50"/>
      <c r="C628" s="51"/>
      <c r="D628" s="51"/>
      <c r="E628" s="52"/>
      <c r="F628" s="52"/>
      <c r="G628" s="52"/>
      <c r="H628" s="52">
        <v>6069</v>
      </c>
      <c r="I628" s="52"/>
      <c r="J628" s="52"/>
      <c r="K628" s="53"/>
      <c r="L628" s="54"/>
      <c r="M628" s="52"/>
      <c r="N628" s="55"/>
      <c r="O628" s="50"/>
      <c r="P628" s="53"/>
      <c r="Q628" s="52"/>
      <c r="R628" s="52"/>
      <c r="S628" s="52"/>
      <c r="T628" s="55"/>
      <c r="U628" s="52" t="str">
        <f t="shared" ca="1" si="9"/>
        <v/>
      </c>
      <c r="V628" s="54">
        <v>0</v>
      </c>
      <c r="W628" s="52" t="s">
        <v>5587</v>
      </c>
    </row>
    <row r="629" spans="1:23" ht="20.100000000000001" customHeight="1" x14ac:dyDescent="0.25">
      <c r="A629" s="50"/>
      <c r="B629" s="50"/>
      <c r="C629" s="51"/>
      <c r="D629" s="51"/>
      <c r="E629" s="52"/>
      <c r="F629" s="52"/>
      <c r="G629" s="52"/>
      <c r="H629" s="52">
        <v>6070</v>
      </c>
      <c r="I629" s="52"/>
      <c r="J629" s="52"/>
      <c r="K629" s="53"/>
      <c r="L629" s="54"/>
      <c r="M629" s="52"/>
      <c r="N629" s="55"/>
      <c r="O629" s="50"/>
      <c r="P629" s="53"/>
      <c r="Q629" s="52"/>
      <c r="R629" s="52"/>
      <c r="S629" s="52"/>
      <c r="T629" s="55"/>
      <c r="U629" s="52" t="str">
        <f t="shared" ca="1" si="9"/>
        <v/>
      </c>
      <c r="V629" s="54">
        <v>0</v>
      </c>
      <c r="W629" s="52" t="s">
        <v>5587</v>
      </c>
    </row>
    <row r="630" spans="1:23" ht="20.100000000000001" customHeight="1" x14ac:dyDescent="0.25">
      <c r="A630" s="50"/>
      <c r="B630" s="50"/>
      <c r="C630" s="51"/>
      <c r="D630" s="51"/>
      <c r="E630" s="52"/>
      <c r="F630" s="52"/>
      <c r="G630" s="52"/>
      <c r="H630" s="52">
        <v>6071</v>
      </c>
      <c r="I630" s="52"/>
      <c r="J630" s="52"/>
      <c r="K630" s="53"/>
      <c r="L630" s="54"/>
      <c r="M630" s="52"/>
      <c r="N630" s="55"/>
      <c r="O630" s="50"/>
      <c r="P630" s="53"/>
      <c r="Q630" s="52"/>
      <c r="R630" s="52"/>
      <c r="S630" s="52"/>
      <c r="T630" s="55"/>
      <c r="U630" s="52" t="str">
        <f t="shared" ca="1" si="9"/>
        <v/>
      </c>
      <c r="V630" s="54">
        <v>0</v>
      </c>
      <c r="W630" s="52" t="s">
        <v>5587</v>
      </c>
    </row>
    <row r="631" spans="1:23" ht="20.100000000000001" customHeight="1" x14ac:dyDescent="0.25">
      <c r="A631" s="50"/>
      <c r="B631" s="50"/>
      <c r="C631" s="51"/>
      <c r="D631" s="51"/>
      <c r="E631" s="52"/>
      <c r="F631" s="52"/>
      <c r="G631" s="52"/>
      <c r="H631" s="52">
        <v>6072</v>
      </c>
      <c r="I631" s="52"/>
      <c r="J631" s="52"/>
      <c r="K631" s="53"/>
      <c r="L631" s="54"/>
      <c r="M631" s="52"/>
      <c r="N631" s="55"/>
      <c r="O631" s="50"/>
      <c r="P631" s="53"/>
      <c r="Q631" s="52"/>
      <c r="R631" s="52"/>
      <c r="S631" s="52"/>
      <c r="T631" s="55"/>
      <c r="U631" s="52" t="str">
        <f t="shared" ca="1" si="9"/>
        <v/>
      </c>
      <c r="V631" s="54">
        <v>0</v>
      </c>
      <c r="W631" s="52" t="s">
        <v>5587</v>
      </c>
    </row>
    <row r="632" spans="1:23" ht="20.100000000000001" customHeight="1" x14ac:dyDescent="0.25">
      <c r="A632" s="50"/>
      <c r="B632" s="50"/>
      <c r="C632" s="51"/>
      <c r="D632" s="51"/>
      <c r="E632" s="52"/>
      <c r="F632" s="52"/>
      <c r="G632" s="52"/>
      <c r="H632" s="52">
        <v>6073</v>
      </c>
      <c r="I632" s="52"/>
      <c r="J632" s="52"/>
      <c r="K632" s="53"/>
      <c r="L632" s="54"/>
      <c r="M632" s="52"/>
      <c r="N632" s="55"/>
      <c r="O632" s="50"/>
      <c r="P632" s="53"/>
      <c r="Q632" s="52"/>
      <c r="R632" s="52"/>
      <c r="S632" s="52"/>
      <c r="T632" s="55"/>
      <c r="U632" s="52" t="str">
        <f t="shared" ca="1" si="9"/>
        <v/>
      </c>
      <c r="V632" s="54">
        <v>0</v>
      </c>
      <c r="W632" s="52" t="s">
        <v>5587</v>
      </c>
    </row>
    <row r="633" spans="1:23" ht="20.100000000000001" customHeight="1" x14ac:dyDescent="0.25">
      <c r="A633" s="50"/>
      <c r="B633" s="50"/>
      <c r="C633" s="51"/>
      <c r="D633" s="51"/>
      <c r="E633" s="52"/>
      <c r="F633" s="52"/>
      <c r="G633" s="52"/>
      <c r="H633" s="52">
        <v>6074</v>
      </c>
      <c r="I633" s="52"/>
      <c r="J633" s="52"/>
      <c r="K633" s="53"/>
      <c r="L633" s="54"/>
      <c r="M633" s="52"/>
      <c r="N633" s="55"/>
      <c r="O633" s="50"/>
      <c r="P633" s="53"/>
      <c r="Q633" s="52"/>
      <c r="R633" s="52"/>
      <c r="S633" s="52"/>
      <c r="T633" s="55"/>
      <c r="U633" s="52" t="str">
        <f t="shared" ca="1" si="9"/>
        <v/>
      </c>
      <c r="V633" s="54">
        <v>0</v>
      </c>
      <c r="W633" s="52" t="s">
        <v>5587</v>
      </c>
    </row>
    <row r="634" spans="1:23" ht="20.100000000000001" customHeight="1" x14ac:dyDescent="0.25">
      <c r="A634" s="50"/>
      <c r="B634" s="50"/>
      <c r="C634" s="51"/>
      <c r="D634" s="51"/>
      <c r="E634" s="52"/>
      <c r="F634" s="52"/>
      <c r="G634" s="52"/>
      <c r="H634" s="52">
        <v>6075</v>
      </c>
      <c r="I634" s="52"/>
      <c r="J634" s="52"/>
      <c r="K634" s="53"/>
      <c r="L634" s="54"/>
      <c r="M634" s="52"/>
      <c r="N634" s="55"/>
      <c r="O634" s="50"/>
      <c r="P634" s="53"/>
      <c r="Q634" s="52"/>
      <c r="R634" s="52"/>
      <c r="S634" s="52"/>
      <c r="T634" s="55"/>
      <c r="U634" s="52" t="str">
        <f t="shared" ca="1" si="9"/>
        <v/>
      </c>
      <c r="V634" s="54">
        <v>0</v>
      </c>
      <c r="W634" s="52" t="s">
        <v>5587</v>
      </c>
    </row>
    <row r="635" spans="1:23" ht="20.100000000000001" customHeight="1" x14ac:dyDescent="0.25">
      <c r="A635" s="50"/>
      <c r="B635" s="50"/>
      <c r="C635" s="51"/>
      <c r="D635" s="51"/>
      <c r="E635" s="52"/>
      <c r="F635" s="52"/>
      <c r="G635" s="52"/>
      <c r="H635" s="52">
        <v>6076</v>
      </c>
      <c r="I635" s="52"/>
      <c r="J635" s="52"/>
      <c r="K635" s="53"/>
      <c r="L635" s="54"/>
      <c r="M635" s="52"/>
      <c r="N635" s="55"/>
      <c r="O635" s="50"/>
      <c r="P635" s="53"/>
      <c r="Q635" s="52"/>
      <c r="R635" s="52"/>
      <c r="S635" s="52"/>
      <c r="T635" s="55"/>
      <c r="U635" s="52" t="str">
        <f t="shared" ca="1" si="9"/>
        <v/>
      </c>
      <c r="V635" s="54">
        <v>0</v>
      </c>
      <c r="W635" s="52" t="s">
        <v>5587</v>
      </c>
    </row>
    <row r="636" spans="1:23" ht="20.100000000000001" customHeight="1" x14ac:dyDescent="0.25">
      <c r="A636" s="50"/>
      <c r="B636" s="50"/>
      <c r="C636" s="51"/>
      <c r="D636" s="51"/>
      <c r="E636" s="52"/>
      <c r="F636" s="52"/>
      <c r="G636" s="52"/>
      <c r="H636" s="52">
        <v>6077</v>
      </c>
      <c r="I636" s="52"/>
      <c r="J636" s="52"/>
      <c r="K636" s="53"/>
      <c r="L636" s="54"/>
      <c r="M636" s="52"/>
      <c r="N636" s="55"/>
      <c r="O636" s="50"/>
      <c r="P636" s="53"/>
      <c r="Q636" s="52"/>
      <c r="R636" s="52"/>
      <c r="S636" s="52"/>
      <c r="T636" s="55"/>
      <c r="U636" s="52" t="str">
        <f t="shared" ca="1" si="9"/>
        <v/>
      </c>
      <c r="V636" s="54">
        <v>0</v>
      </c>
      <c r="W636" s="52" t="s">
        <v>5587</v>
      </c>
    </row>
    <row r="637" spans="1:23" ht="20.100000000000001" customHeight="1" x14ac:dyDescent="0.25">
      <c r="A637" s="50"/>
      <c r="B637" s="50"/>
      <c r="C637" s="51"/>
      <c r="D637" s="51"/>
      <c r="E637" s="52"/>
      <c r="F637" s="52"/>
      <c r="G637" s="52"/>
      <c r="H637" s="52">
        <v>6078</v>
      </c>
      <c r="I637" s="52"/>
      <c r="J637" s="52"/>
      <c r="K637" s="53"/>
      <c r="L637" s="54"/>
      <c r="M637" s="52"/>
      <c r="N637" s="55"/>
      <c r="O637" s="50"/>
      <c r="P637" s="53"/>
      <c r="Q637" s="52"/>
      <c r="R637" s="52"/>
      <c r="S637" s="52"/>
      <c r="T637" s="55"/>
      <c r="U637" s="52" t="str">
        <f t="shared" ca="1" si="9"/>
        <v/>
      </c>
      <c r="V637" s="54">
        <v>0</v>
      </c>
      <c r="W637" s="52" t="s">
        <v>5587</v>
      </c>
    </row>
    <row r="638" spans="1:23" ht="20.100000000000001" customHeight="1" x14ac:dyDescent="0.25">
      <c r="A638" s="50"/>
      <c r="B638" s="50"/>
      <c r="C638" s="51"/>
      <c r="D638" s="51"/>
      <c r="E638" s="52"/>
      <c r="F638" s="52"/>
      <c r="G638" s="52"/>
      <c r="H638" s="52">
        <v>6079</v>
      </c>
      <c r="I638" s="52"/>
      <c r="J638" s="52"/>
      <c r="K638" s="53"/>
      <c r="L638" s="54"/>
      <c r="M638" s="52"/>
      <c r="N638" s="55"/>
      <c r="O638" s="50"/>
      <c r="P638" s="53"/>
      <c r="Q638" s="52"/>
      <c r="R638" s="52"/>
      <c r="S638" s="52"/>
      <c r="T638" s="55"/>
      <c r="U638" s="52" t="str">
        <f t="shared" ca="1" si="9"/>
        <v/>
      </c>
      <c r="V638" s="54">
        <v>0</v>
      </c>
      <c r="W638" s="52" t="s">
        <v>5587</v>
      </c>
    </row>
    <row r="639" spans="1:23" ht="20.100000000000001" customHeight="1" x14ac:dyDescent="0.25">
      <c r="A639" s="50"/>
      <c r="B639" s="50"/>
      <c r="C639" s="51"/>
      <c r="D639" s="51"/>
      <c r="E639" s="52"/>
      <c r="F639" s="52"/>
      <c r="G639" s="52"/>
      <c r="H639" s="52">
        <v>6080</v>
      </c>
      <c r="I639" s="52"/>
      <c r="J639" s="52"/>
      <c r="K639" s="53"/>
      <c r="L639" s="54"/>
      <c r="M639" s="52"/>
      <c r="N639" s="55"/>
      <c r="O639" s="50"/>
      <c r="P639" s="53"/>
      <c r="Q639" s="52"/>
      <c r="R639" s="52"/>
      <c r="S639" s="52"/>
      <c r="T639" s="55"/>
      <c r="U639" s="52" t="str">
        <f t="shared" ca="1" si="9"/>
        <v/>
      </c>
      <c r="V639" s="54">
        <v>0</v>
      </c>
      <c r="W639" s="52" t="s">
        <v>5587</v>
      </c>
    </row>
    <row r="640" spans="1:23" ht="20.100000000000001" customHeight="1" x14ac:dyDescent="0.25">
      <c r="A640" s="50"/>
      <c r="B640" s="50"/>
      <c r="C640" s="51"/>
      <c r="D640" s="51"/>
      <c r="E640" s="52"/>
      <c r="F640" s="52"/>
      <c r="G640" s="52"/>
      <c r="H640" s="52">
        <v>6081</v>
      </c>
      <c r="I640" s="52"/>
      <c r="J640" s="52"/>
      <c r="K640" s="53"/>
      <c r="L640" s="54"/>
      <c r="M640" s="52"/>
      <c r="N640" s="55"/>
      <c r="O640" s="50"/>
      <c r="P640" s="53"/>
      <c r="Q640" s="52"/>
      <c r="R640" s="52"/>
      <c r="S640" s="52"/>
      <c r="T640" s="55"/>
      <c r="U640" s="52" t="str">
        <f t="shared" ca="1" si="9"/>
        <v/>
      </c>
      <c r="V640" s="54">
        <v>0</v>
      </c>
      <c r="W640" s="52" t="s">
        <v>5587</v>
      </c>
    </row>
    <row r="641" spans="1:23" ht="20.100000000000001" customHeight="1" x14ac:dyDescent="0.25">
      <c r="A641" s="50"/>
      <c r="B641" s="50"/>
      <c r="C641" s="51"/>
      <c r="D641" s="51"/>
      <c r="E641" s="52"/>
      <c r="F641" s="52"/>
      <c r="G641" s="52"/>
      <c r="H641" s="52">
        <v>6082</v>
      </c>
      <c r="I641" s="52"/>
      <c r="J641" s="52"/>
      <c r="K641" s="53"/>
      <c r="L641" s="54"/>
      <c r="M641" s="52"/>
      <c r="N641" s="55"/>
      <c r="O641" s="50"/>
      <c r="P641" s="53"/>
      <c r="Q641" s="52"/>
      <c r="R641" s="52"/>
      <c r="S641" s="52"/>
      <c r="T641" s="55"/>
      <c r="U641" s="52" t="str">
        <f t="shared" ca="1" si="9"/>
        <v/>
      </c>
      <c r="V641" s="54">
        <v>0</v>
      </c>
      <c r="W641" s="52" t="s">
        <v>5587</v>
      </c>
    </row>
    <row r="642" spans="1:23" ht="20.100000000000001" customHeight="1" x14ac:dyDescent="0.25">
      <c r="A642" s="50"/>
      <c r="B642" s="50"/>
      <c r="C642" s="51"/>
      <c r="D642" s="51"/>
      <c r="E642" s="52"/>
      <c r="F642" s="52"/>
      <c r="G642" s="52"/>
      <c r="H642" s="52">
        <v>6083</v>
      </c>
      <c r="I642" s="52"/>
      <c r="J642" s="52"/>
      <c r="K642" s="53"/>
      <c r="L642" s="54"/>
      <c r="M642" s="52"/>
      <c r="N642" s="55"/>
      <c r="O642" s="50"/>
      <c r="P642" s="53"/>
      <c r="Q642" s="52"/>
      <c r="R642" s="52"/>
      <c r="S642" s="52"/>
      <c r="T642" s="55"/>
      <c r="U642" s="52" t="str">
        <f t="shared" ca="1" si="9"/>
        <v/>
      </c>
      <c r="V642" s="54">
        <v>0</v>
      </c>
      <c r="W642" s="52" t="s">
        <v>5587</v>
      </c>
    </row>
    <row r="643" spans="1:23" ht="20.100000000000001" customHeight="1" x14ac:dyDescent="0.25">
      <c r="A643" s="50"/>
      <c r="B643" s="50"/>
      <c r="C643" s="51"/>
      <c r="D643" s="51"/>
      <c r="E643" s="52"/>
      <c r="F643" s="52"/>
      <c r="G643" s="52"/>
      <c r="H643" s="52">
        <v>6084</v>
      </c>
      <c r="I643" s="52"/>
      <c r="J643" s="52"/>
      <c r="K643" s="53"/>
      <c r="L643" s="54"/>
      <c r="M643" s="52"/>
      <c r="N643" s="55"/>
      <c r="O643" s="50"/>
      <c r="P643" s="53"/>
      <c r="Q643" s="52"/>
      <c r="R643" s="52"/>
      <c r="S643" s="52"/>
      <c r="T643" s="55"/>
      <c r="U643" s="52" t="str">
        <f t="shared" ca="1" si="9"/>
        <v/>
      </c>
      <c r="V643" s="54">
        <v>0</v>
      </c>
      <c r="W643" s="52" t="s">
        <v>5587</v>
      </c>
    </row>
    <row r="644" spans="1:23" ht="20.100000000000001" customHeight="1" x14ac:dyDescent="0.25">
      <c r="A644" s="50"/>
      <c r="B644" s="50"/>
      <c r="C644" s="51"/>
      <c r="D644" s="51"/>
      <c r="E644" s="52"/>
      <c r="F644" s="52"/>
      <c r="G644" s="52"/>
      <c r="H644" s="52">
        <v>6085</v>
      </c>
      <c r="I644" s="52"/>
      <c r="J644" s="52"/>
      <c r="K644" s="53"/>
      <c r="L644" s="54"/>
      <c r="M644" s="52"/>
      <c r="N644" s="55"/>
      <c r="O644" s="50"/>
      <c r="P644" s="53"/>
      <c r="Q644" s="52"/>
      <c r="R644" s="52"/>
      <c r="S644" s="52"/>
      <c r="T644" s="55"/>
      <c r="U644" s="52" t="str">
        <f t="shared" ca="1" si="9"/>
        <v/>
      </c>
      <c r="V644" s="54">
        <v>0</v>
      </c>
      <c r="W644" s="52" t="s">
        <v>5587</v>
      </c>
    </row>
    <row r="645" spans="1:23" ht="20.100000000000001" customHeight="1" x14ac:dyDescent="0.25">
      <c r="A645" s="50"/>
      <c r="B645" s="50"/>
      <c r="C645" s="51"/>
      <c r="D645" s="51"/>
      <c r="E645" s="52"/>
      <c r="F645" s="52"/>
      <c r="G645" s="52"/>
      <c r="H645" s="52">
        <v>6086</v>
      </c>
      <c r="I645" s="52"/>
      <c r="J645" s="52"/>
      <c r="K645" s="53"/>
      <c r="L645" s="54"/>
      <c r="M645" s="52"/>
      <c r="N645" s="55"/>
      <c r="O645" s="50"/>
      <c r="P645" s="53"/>
      <c r="Q645" s="52"/>
      <c r="R645" s="52"/>
      <c r="S645" s="52"/>
      <c r="T645" s="55"/>
      <c r="U645" s="52" t="str">
        <f t="shared" ref="U645:U708" ca="1" si="10">IF(C645="","",TODAY()-C645)</f>
        <v/>
      </c>
      <c r="V645" s="54">
        <v>0</v>
      </c>
      <c r="W645" s="52" t="s">
        <v>5587</v>
      </c>
    </row>
    <row r="646" spans="1:23" ht="20.100000000000001" customHeight="1" x14ac:dyDescent="0.25">
      <c r="A646" s="50"/>
      <c r="B646" s="50"/>
      <c r="C646" s="51"/>
      <c r="D646" s="51"/>
      <c r="E646" s="52"/>
      <c r="F646" s="52"/>
      <c r="G646" s="52"/>
      <c r="H646" s="52">
        <v>6087</v>
      </c>
      <c r="I646" s="52"/>
      <c r="J646" s="52"/>
      <c r="K646" s="53"/>
      <c r="L646" s="54"/>
      <c r="M646" s="52"/>
      <c r="N646" s="55"/>
      <c r="O646" s="50"/>
      <c r="P646" s="53"/>
      <c r="Q646" s="52"/>
      <c r="R646" s="52"/>
      <c r="S646" s="52"/>
      <c r="T646" s="55"/>
      <c r="U646" s="52" t="str">
        <f t="shared" ca="1" si="10"/>
        <v/>
      </c>
      <c r="V646" s="54">
        <v>0</v>
      </c>
      <c r="W646" s="52" t="s">
        <v>5587</v>
      </c>
    </row>
    <row r="647" spans="1:23" ht="20.100000000000001" customHeight="1" x14ac:dyDescent="0.25">
      <c r="A647" s="50"/>
      <c r="B647" s="50"/>
      <c r="C647" s="51"/>
      <c r="D647" s="51"/>
      <c r="E647" s="52"/>
      <c r="F647" s="52"/>
      <c r="G647" s="52"/>
      <c r="H647" s="52">
        <v>6088</v>
      </c>
      <c r="I647" s="52"/>
      <c r="J647" s="52"/>
      <c r="K647" s="53"/>
      <c r="L647" s="54"/>
      <c r="M647" s="52"/>
      <c r="N647" s="55"/>
      <c r="O647" s="50"/>
      <c r="P647" s="53"/>
      <c r="Q647" s="52"/>
      <c r="R647" s="52"/>
      <c r="S647" s="52"/>
      <c r="T647" s="55"/>
      <c r="U647" s="52" t="str">
        <f t="shared" ca="1" si="10"/>
        <v/>
      </c>
      <c r="V647" s="54">
        <v>0</v>
      </c>
      <c r="W647" s="52" t="s">
        <v>5587</v>
      </c>
    </row>
    <row r="648" spans="1:23" ht="20.100000000000001" customHeight="1" x14ac:dyDescent="0.25">
      <c r="A648" s="50"/>
      <c r="B648" s="50"/>
      <c r="C648" s="51"/>
      <c r="D648" s="51"/>
      <c r="E648" s="52"/>
      <c r="F648" s="52"/>
      <c r="G648" s="52"/>
      <c r="H648" s="52">
        <v>6084</v>
      </c>
      <c r="I648" s="52"/>
      <c r="J648" s="52"/>
      <c r="K648" s="53"/>
      <c r="L648" s="54"/>
      <c r="M648" s="52"/>
      <c r="N648" s="55"/>
      <c r="O648" s="50"/>
      <c r="P648" s="53"/>
      <c r="Q648" s="52"/>
      <c r="R648" s="52"/>
      <c r="S648" s="52"/>
      <c r="T648" s="55"/>
      <c r="U648" s="52" t="str">
        <f t="shared" ca="1" si="10"/>
        <v/>
      </c>
      <c r="V648" s="54">
        <v>0</v>
      </c>
      <c r="W648" s="52" t="s">
        <v>5587</v>
      </c>
    </row>
    <row r="649" spans="1:23" ht="20.100000000000001" customHeight="1" x14ac:dyDescent="0.25">
      <c r="A649" s="50"/>
      <c r="B649" s="50"/>
      <c r="C649" s="51"/>
      <c r="D649" s="51"/>
      <c r="E649" s="52"/>
      <c r="F649" s="52"/>
      <c r="G649" s="52"/>
      <c r="H649" s="52">
        <v>6085</v>
      </c>
      <c r="I649" s="52"/>
      <c r="J649" s="52"/>
      <c r="K649" s="53"/>
      <c r="L649" s="54"/>
      <c r="M649" s="52"/>
      <c r="N649" s="55"/>
      <c r="O649" s="50"/>
      <c r="P649" s="53"/>
      <c r="Q649" s="52"/>
      <c r="R649" s="52"/>
      <c r="S649" s="52"/>
      <c r="T649" s="55"/>
      <c r="U649" s="52" t="str">
        <f t="shared" ca="1" si="10"/>
        <v/>
      </c>
      <c r="V649" s="54">
        <v>0</v>
      </c>
      <c r="W649" s="52" t="s">
        <v>5587</v>
      </c>
    </row>
    <row r="650" spans="1:23" ht="20.100000000000001" customHeight="1" x14ac:dyDescent="0.25">
      <c r="A650" s="50"/>
      <c r="B650" s="50"/>
      <c r="C650" s="51"/>
      <c r="D650" s="51"/>
      <c r="E650" s="52"/>
      <c r="F650" s="52"/>
      <c r="G650" s="52"/>
      <c r="H650" s="52">
        <v>6086</v>
      </c>
      <c r="I650" s="52"/>
      <c r="J650" s="52"/>
      <c r="K650" s="53"/>
      <c r="L650" s="54"/>
      <c r="M650" s="52"/>
      <c r="N650" s="55"/>
      <c r="O650" s="50"/>
      <c r="P650" s="53"/>
      <c r="Q650" s="52"/>
      <c r="R650" s="52"/>
      <c r="S650" s="52"/>
      <c r="T650" s="55"/>
      <c r="U650" s="52" t="str">
        <f t="shared" ca="1" si="10"/>
        <v/>
      </c>
      <c r="V650" s="54">
        <v>0</v>
      </c>
      <c r="W650" s="52" t="s">
        <v>5587</v>
      </c>
    </row>
    <row r="651" spans="1:23" ht="20.100000000000001" customHeight="1" x14ac:dyDescent="0.25">
      <c r="A651" s="50"/>
      <c r="B651" s="50"/>
      <c r="C651" s="51"/>
      <c r="D651" s="51"/>
      <c r="E651" s="52"/>
      <c r="F651" s="52"/>
      <c r="G651" s="52"/>
      <c r="H651" s="52">
        <v>6087</v>
      </c>
      <c r="I651" s="52"/>
      <c r="J651" s="52"/>
      <c r="K651" s="53"/>
      <c r="L651" s="54"/>
      <c r="M651" s="52"/>
      <c r="N651" s="55"/>
      <c r="O651" s="50"/>
      <c r="P651" s="53"/>
      <c r="Q651" s="52"/>
      <c r="R651" s="52"/>
      <c r="S651" s="52"/>
      <c r="T651" s="55"/>
      <c r="U651" s="52" t="str">
        <f t="shared" ca="1" si="10"/>
        <v/>
      </c>
      <c r="V651" s="54">
        <v>0</v>
      </c>
      <c r="W651" s="52" t="s">
        <v>5587</v>
      </c>
    </row>
    <row r="652" spans="1:23" ht="20.100000000000001" customHeight="1" x14ac:dyDescent="0.25">
      <c r="A652" s="50"/>
      <c r="B652" s="50"/>
      <c r="C652" s="51"/>
      <c r="D652" s="51"/>
      <c r="E652" s="52"/>
      <c r="F652" s="52"/>
      <c r="G652" s="52"/>
      <c r="H652" s="52">
        <v>6088</v>
      </c>
      <c r="I652" s="52"/>
      <c r="J652" s="52"/>
      <c r="K652" s="53"/>
      <c r="L652" s="54"/>
      <c r="M652" s="52"/>
      <c r="N652" s="55"/>
      <c r="O652" s="50"/>
      <c r="P652" s="53"/>
      <c r="Q652" s="52"/>
      <c r="R652" s="52"/>
      <c r="S652" s="52"/>
      <c r="T652" s="55"/>
      <c r="U652" s="52" t="str">
        <f t="shared" ca="1" si="10"/>
        <v/>
      </c>
      <c r="V652" s="54">
        <v>0</v>
      </c>
      <c r="W652" s="52" t="s">
        <v>5587</v>
      </c>
    </row>
    <row r="653" spans="1:23" ht="20.100000000000001" customHeight="1" x14ac:dyDescent="0.25">
      <c r="A653" s="50"/>
      <c r="B653" s="50"/>
      <c r="C653" s="51"/>
      <c r="D653" s="51"/>
      <c r="E653" s="52"/>
      <c r="F653" s="52"/>
      <c r="G653" s="52"/>
      <c r="H653" s="52">
        <v>6089</v>
      </c>
      <c r="I653" s="52"/>
      <c r="J653" s="52"/>
      <c r="K653" s="53"/>
      <c r="L653" s="54"/>
      <c r="M653" s="52"/>
      <c r="N653" s="55"/>
      <c r="O653" s="50"/>
      <c r="P653" s="53"/>
      <c r="Q653" s="52"/>
      <c r="R653" s="52"/>
      <c r="S653" s="52"/>
      <c r="T653" s="55"/>
      <c r="U653" s="52" t="str">
        <f t="shared" ca="1" si="10"/>
        <v/>
      </c>
      <c r="V653" s="54">
        <v>0</v>
      </c>
      <c r="W653" s="52" t="s">
        <v>5587</v>
      </c>
    </row>
    <row r="654" spans="1:23" ht="20.100000000000001" customHeight="1" x14ac:dyDescent="0.25">
      <c r="A654" s="50"/>
      <c r="B654" s="50"/>
      <c r="C654" s="51"/>
      <c r="D654" s="51"/>
      <c r="E654" s="52"/>
      <c r="F654" s="52"/>
      <c r="G654" s="52"/>
      <c r="H654" s="52">
        <v>6090</v>
      </c>
      <c r="I654" s="52"/>
      <c r="J654" s="52"/>
      <c r="K654" s="53"/>
      <c r="L654" s="54"/>
      <c r="M654" s="52"/>
      <c r="N654" s="55"/>
      <c r="O654" s="50"/>
      <c r="P654" s="53"/>
      <c r="Q654" s="52"/>
      <c r="R654" s="52"/>
      <c r="S654" s="52"/>
      <c r="T654" s="55"/>
      <c r="U654" s="52" t="str">
        <f t="shared" ca="1" si="10"/>
        <v/>
      </c>
      <c r="V654" s="54">
        <v>0</v>
      </c>
      <c r="W654" s="52" t="s">
        <v>5587</v>
      </c>
    </row>
    <row r="655" spans="1:23" ht="20.100000000000001" customHeight="1" x14ac:dyDescent="0.25">
      <c r="A655" s="50"/>
      <c r="B655" s="50"/>
      <c r="C655" s="51"/>
      <c r="D655" s="51"/>
      <c r="E655" s="52"/>
      <c r="F655" s="52"/>
      <c r="G655" s="52"/>
      <c r="H655" s="52">
        <v>6091</v>
      </c>
      <c r="I655" s="52"/>
      <c r="J655" s="52"/>
      <c r="K655" s="53"/>
      <c r="L655" s="54"/>
      <c r="M655" s="52"/>
      <c r="N655" s="55"/>
      <c r="O655" s="50"/>
      <c r="P655" s="53"/>
      <c r="Q655" s="52"/>
      <c r="R655" s="52"/>
      <c r="S655" s="52"/>
      <c r="T655" s="55"/>
      <c r="U655" s="52" t="str">
        <f t="shared" ca="1" si="10"/>
        <v/>
      </c>
      <c r="V655" s="54">
        <v>0</v>
      </c>
      <c r="W655" s="52" t="s">
        <v>5587</v>
      </c>
    </row>
    <row r="656" spans="1:23" ht="20.100000000000001" customHeight="1" x14ac:dyDescent="0.25">
      <c r="A656" s="50"/>
      <c r="B656" s="50"/>
      <c r="C656" s="51"/>
      <c r="D656" s="51"/>
      <c r="E656" s="52"/>
      <c r="F656" s="52"/>
      <c r="G656" s="52"/>
      <c r="H656" s="52">
        <v>6092</v>
      </c>
      <c r="I656" s="52"/>
      <c r="J656" s="52"/>
      <c r="K656" s="53"/>
      <c r="L656" s="54"/>
      <c r="M656" s="52"/>
      <c r="N656" s="55"/>
      <c r="O656" s="50"/>
      <c r="P656" s="53"/>
      <c r="Q656" s="52"/>
      <c r="R656" s="52"/>
      <c r="S656" s="52"/>
      <c r="T656" s="55"/>
      <c r="U656" s="52" t="str">
        <f t="shared" ca="1" si="10"/>
        <v/>
      </c>
      <c r="V656" s="54">
        <v>0</v>
      </c>
      <c r="W656" s="52" t="s">
        <v>5587</v>
      </c>
    </row>
    <row r="657" spans="1:23" ht="20.100000000000001" customHeight="1" x14ac:dyDescent="0.25">
      <c r="A657" s="50"/>
      <c r="B657" s="50"/>
      <c r="C657" s="51"/>
      <c r="D657" s="51"/>
      <c r="E657" s="52"/>
      <c r="F657" s="52"/>
      <c r="G657" s="52"/>
      <c r="H657" s="52">
        <v>6093</v>
      </c>
      <c r="I657" s="52"/>
      <c r="J657" s="52"/>
      <c r="K657" s="53"/>
      <c r="L657" s="54"/>
      <c r="M657" s="52"/>
      <c r="N657" s="55"/>
      <c r="O657" s="50"/>
      <c r="P657" s="53"/>
      <c r="Q657" s="52"/>
      <c r="R657" s="52"/>
      <c r="S657" s="52"/>
      <c r="T657" s="55"/>
      <c r="U657" s="52" t="str">
        <f t="shared" ca="1" si="10"/>
        <v/>
      </c>
      <c r="V657" s="54">
        <v>0</v>
      </c>
      <c r="W657" s="52" t="s">
        <v>5587</v>
      </c>
    </row>
    <row r="658" spans="1:23" ht="20.100000000000001" customHeight="1" x14ac:dyDescent="0.25">
      <c r="A658" s="50"/>
      <c r="B658" s="50"/>
      <c r="C658" s="51"/>
      <c r="D658" s="51"/>
      <c r="E658" s="52"/>
      <c r="F658" s="52"/>
      <c r="G658" s="52"/>
      <c r="H658" s="52">
        <v>6094</v>
      </c>
      <c r="I658" s="52"/>
      <c r="J658" s="52"/>
      <c r="K658" s="53"/>
      <c r="L658" s="54"/>
      <c r="M658" s="52"/>
      <c r="N658" s="55"/>
      <c r="O658" s="50"/>
      <c r="P658" s="53"/>
      <c r="Q658" s="52"/>
      <c r="R658" s="52"/>
      <c r="S658" s="52"/>
      <c r="T658" s="55"/>
      <c r="U658" s="52" t="str">
        <f t="shared" ca="1" si="10"/>
        <v/>
      </c>
      <c r="V658" s="54">
        <v>0</v>
      </c>
      <c r="W658" s="52" t="s">
        <v>5587</v>
      </c>
    </row>
    <row r="659" spans="1:23" ht="20.100000000000001" customHeight="1" x14ac:dyDescent="0.25">
      <c r="A659" s="50"/>
      <c r="B659" s="50"/>
      <c r="C659" s="51"/>
      <c r="D659" s="51"/>
      <c r="E659" s="52"/>
      <c r="F659" s="52"/>
      <c r="G659" s="52"/>
      <c r="H659" s="52">
        <v>6095</v>
      </c>
      <c r="I659" s="52"/>
      <c r="J659" s="52"/>
      <c r="K659" s="53"/>
      <c r="L659" s="54"/>
      <c r="M659" s="52"/>
      <c r="N659" s="55"/>
      <c r="O659" s="50"/>
      <c r="P659" s="53"/>
      <c r="Q659" s="52"/>
      <c r="R659" s="52"/>
      <c r="S659" s="52"/>
      <c r="T659" s="55"/>
      <c r="U659" s="52" t="str">
        <f t="shared" ca="1" si="10"/>
        <v/>
      </c>
      <c r="V659" s="54">
        <v>0</v>
      </c>
      <c r="W659" s="52" t="s">
        <v>5587</v>
      </c>
    </row>
    <row r="660" spans="1:23" ht="20.100000000000001" customHeight="1" x14ac:dyDescent="0.25">
      <c r="A660" s="50"/>
      <c r="B660" s="50"/>
      <c r="C660" s="51"/>
      <c r="D660" s="51"/>
      <c r="E660" s="52"/>
      <c r="F660" s="52"/>
      <c r="G660" s="52"/>
      <c r="H660" s="52">
        <v>6096</v>
      </c>
      <c r="I660" s="52"/>
      <c r="J660" s="52"/>
      <c r="K660" s="53"/>
      <c r="L660" s="54"/>
      <c r="M660" s="52"/>
      <c r="N660" s="55"/>
      <c r="O660" s="50"/>
      <c r="P660" s="53"/>
      <c r="Q660" s="52"/>
      <c r="R660" s="52"/>
      <c r="S660" s="52"/>
      <c r="T660" s="55"/>
      <c r="U660" s="52" t="str">
        <f t="shared" ca="1" si="10"/>
        <v/>
      </c>
      <c r="V660" s="54">
        <v>0</v>
      </c>
      <c r="W660" s="52" t="s">
        <v>5587</v>
      </c>
    </row>
    <row r="661" spans="1:23" ht="20.100000000000001" customHeight="1" x14ac:dyDescent="0.25">
      <c r="A661" s="50"/>
      <c r="B661" s="50"/>
      <c r="C661" s="51"/>
      <c r="D661" s="51"/>
      <c r="E661" s="52"/>
      <c r="F661" s="52"/>
      <c r="G661" s="52"/>
      <c r="H661" s="52">
        <v>6097</v>
      </c>
      <c r="I661" s="52"/>
      <c r="J661" s="52"/>
      <c r="K661" s="53"/>
      <c r="L661" s="54"/>
      <c r="M661" s="52"/>
      <c r="N661" s="55"/>
      <c r="O661" s="50"/>
      <c r="P661" s="53"/>
      <c r="Q661" s="52"/>
      <c r="R661" s="52"/>
      <c r="S661" s="52"/>
      <c r="T661" s="55"/>
      <c r="U661" s="52" t="str">
        <f t="shared" ca="1" si="10"/>
        <v/>
      </c>
      <c r="V661" s="54">
        <v>0</v>
      </c>
      <c r="W661" s="52" t="s">
        <v>5587</v>
      </c>
    </row>
    <row r="662" spans="1:23" ht="20.100000000000001" customHeight="1" x14ac:dyDescent="0.25">
      <c r="A662" s="50"/>
      <c r="B662" s="50"/>
      <c r="C662" s="51"/>
      <c r="D662" s="51"/>
      <c r="E662" s="52"/>
      <c r="F662" s="52"/>
      <c r="G662" s="52"/>
      <c r="H662" s="52">
        <v>6098</v>
      </c>
      <c r="I662" s="52"/>
      <c r="J662" s="52"/>
      <c r="K662" s="53"/>
      <c r="L662" s="54"/>
      <c r="M662" s="52"/>
      <c r="N662" s="55"/>
      <c r="O662" s="50"/>
      <c r="P662" s="53"/>
      <c r="Q662" s="52"/>
      <c r="R662" s="52"/>
      <c r="S662" s="52"/>
      <c r="T662" s="55"/>
      <c r="U662" s="52" t="str">
        <f t="shared" ca="1" si="10"/>
        <v/>
      </c>
      <c r="V662" s="54">
        <v>0</v>
      </c>
      <c r="W662" s="52" t="s">
        <v>5587</v>
      </c>
    </row>
    <row r="663" spans="1:23" ht="20.100000000000001" customHeight="1" x14ac:dyDescent="0.25">
      <c r="A663" s="50"/>
      <c r="B663" s="50"/>
      <c r="C663" s="51"/>
      <c r="D663" s="51"/>
      <c r="E663" s="52"/>
      <c r="F663" s="52"/>
      <c r="G663" s="52"/>
      <c r="H663" s="52">
        <v>6099</v>
      </c>
      <c r="I663" s="52"/>
      <c r="J663" s="52"/>
      <c r="K663" s="53"/>
      <c r="L663" s="54"/>
      <c r="M663" s="52"/>
      <c r="N663" s="55"/>
      <c r="O663" s="50"/>
      <c r="P663" s="53"/>
      <c r="Q663" s="52"/>
      <c r="R663" s="52"/>
      <c r="S663" s="52"/>
      <c r="T663" s="55"/>
      <c r="U663" s="52" t="str">
        <f t="shared" ca="1" si="10"/>
        <v/>
      </c>
      <c r="V663" s="54">
        <v>0</v>
      </c>
      <c r="W663" s="52" t="s">
        <v>5587</v>
      </c>
    </row>
    <row r="664" spans="1:23" ht="20.100000000000001" customHeight="1" x14ac:dyDescent="0.25">
      <c r="A664" s="50"/>
      <c r="B664" s="50"/>
      <c r="C664" s="51"/>
      <c r="D664" s="51"/>
      <c r="E664" s="52"/>
      <c r="F664" s="52"/>
      <c r="G664" s="52"/>
      <c r="H664" s="52">
        <v>6100</v>
      </c>
      <c r="I664" s="52"/>
      <c r="J664" s="52"/>
      <c r="K664" s="53"/>
      <c r="L664" s="54"/>
      <c r="M664" s="52"/>
      <c r="N664" s="55"/>
      <c r="O664" s="50"/>
      <c r="P664" s="53"/>
      <c r="Q664" s="52"/>
      <c r="R664" s="52"/>
      <c r="S664" s="52"/>
      <c r="T664" s="55"/>
      <c r="U664" s="52" t="str">
        <f t="shared" ca="1" si="10"/>
        <v/>
      </c>
      <c r="V664" s="54">
        <v>0</v>
      </c>
      <c r="W664" s="52" t="s">
        <v>5587</v>
      </c>
    </row>
    <row r="665" spans="1:23" ht="20.100000000000001" customHeight="1" x14ac:dyDescent="0.25">
      <c r="A665" s="50"/>
      <c r="B665" s="50"/>
      <c r="C665" s="51"/>
      <c r="D665" s="51"/>
      <c r="E665" s="52"/>
      <c r="F665" s="52"/>
      <c r="G665" s="52"/>
      <c r="H665" s="52">
        <v>6101</v>
      </c>
      <c r="I665" s="52"/>
      <c r="J665" s="52"/>
      <c r="K665" s="53"/>
      <c r="L665" s="54"/>
      <c r="M665" s="52"/>
      <c r="N665" s="55"/>
      <c r="O665" s="50"/>
      <c r="P665" s="53"/>
      <c r="Q665" s="52"/>
      <c r="R665" s="52"/>
      <c r="S665" s="52"/>
      <c r="T665" s="55"/>
      <c r="U665" s="52" t="str">
        <f t="shared" ca="1" si="10"/>
        <v/>
      </c>
      <c r="V665" s="54">
        <v>0</v>
      </c>
      <c r="W665" s="52" t="s">
        <v>5587</v>
      </c>
    </row>
    <row r="666" spans="1:23" ht="20.100000000000001" customHeight="1" x14ac:dyDescent="0.25">
      <c r="A666" s="50"/>
      <c r="B666" s="50"/>
      <c r="C666" s="51"/>
      <c r="D666" s="51"/>
      <c r="E666" s="52"/>
      <c r="F666" s="52"/>
      <c r="G666" s="52"/>
      <c r="H666" s="52">
        <v>6102</v>
      </c>
      <c r="I666" s="52"/>
      <c r="J666" s="52"/>
      <c r="K666" s="53"/>
      <c r="L666" s="54"/>
      <c r="M666" s="52"/>
      <c r="N666" s="55"/>
      <c r="O666" s="50"/>
      <c r="P666" s="53"/>
      <c r="Q666" s="52"/>
      <c r="R666" s="52"/>
      <c r="S666" s="52"/>
      <c r="T666" s="55"/>
      <c r="U666" s="52" t="str">
        <f t="shared" ca="1" si="10"/>
        <v/>
      </c>
      <c r="V666" s="54">
        <v>0</v>
      </c>
      <c r="W666" s="52" t="s">
        <v>5587</v>
      </c>
    </row>
    <row r="667" spans="1:23" ht="20.100000000000001" customHeight="1" x14ac:dyDescent="0.25">
      <c r="A667" s="50"/>
      <c r="B667" s="50"/>
      <c r="C667" s="51"/>
      <c r="D667" s="51"/>
      <c r="E667" s="52"/>
      <c r="F667" s="52"/>
      <c r="G667" s="52"/>
      <c r="H667" s="52">
        <v>6103</v>
      </c>
      <c r="I667" s="52"/>
      <c r="J667" s="52"/>
      <c r="K667" s="53"/>
      <c r="L667" s="54"/>
      <c r="M667" s="52"/>
      <c r="N667" s="55"/>
      <c r="O667" s="50"/>
      <c r="P667" s="53"/>
      <c r="Q667" s="52"/>
      <c r="R667" s="52"/>
      <c r="S667" s="52"/>
      <c r="T667" s="55"/>
      <c r="U667" s="52" t="str">
        <f t="shared" ca="1" si="10"/>
        <v/>
      </c>
      <c r="V667" s="54">
        <v>0</v>
      </c>
      <c r="W667" s="52" t="s">
        <v>5587</v>
      </c>
    </row>
    <row r="668" spans="1:23" ht="20.100000000000001" customHeight="1" x14ac:dyDescent="0.25">
      <c r="A668" s="50"/>
      <c r="B668" s="50"/>
      <c r="C668" s="51"/>
      <c r="D668" s="51"/>
      <c r="E668" s="52"/>
      <c r="F668" s="52"/>
      <c r="G668" s="52"/>
      <c r="H668" s="52">
        <v>6104</v>
      </c>
      <c r="I668" s="52"/>
      <c r="J668" s="52"/>
      <c r="K668" s="53"/>
      <c r="L668" s="54"/>
      <c r="M668" s="52"/>
      <c r="N668" s="55"/>
      <c r="O668" s="50"/>
      <c r="P668" s="53"/>
      <c r="Q668" s="52"/>
      <c r="R668" s="52"/>
      <c r="S668" s="52"/>
      <c r="T668" s="55"/>
      <c r="U668" s="52" t="str">
        <f t="shared" ca="1" si="10"/>
        <v/>
      </c>
      <c r="V668" s="54">
        <v>0</v>
      </c>
      <c r="W668" s="52" t="s">
        <v>5587</v>
      </c>
    </row>
    <row r="669" spans="1:23" ht="20.100000000000001" customHeight="1" x14ac:dyDescent="0.25">
      <c r="A669" s="50"/>
      <c r="B669" s="50"/>
      <c r="C669" s="51"/>
      <c r="D669" s="51"/>
      <c r="E669" s="52"/>
      <c r="F669" s="52"/>
      <c r="G669" s="52"/>
      <c r="H669" s="52">
        <v>6105</v>
      </c>
      <c r="I669" s="52"/>
      <c r="J669" s="52"/>
      <c r="K669" s="53"/>
      <c r="L669" s="54"/>
      <c r="M669" s="52"/>
      <c r="N669" s="55"/>
      <c r="O669" s="50"/>
      <c r="P669" s="53"/>
      <c r="Q669" s="52"/>
      <c r="R669" s="52"/>
      <c r="S669" s="52"/>
      <c r="T669" s="55"/>
      <c r="U669" s="52" t="str">
        <f t="shared" ca="1" si="10"/>
        <v/>
      </c>
      <c r="V669" s="54">
        <v>0</v>
      </c>
      <c r="W669" s="52" t="s">
        <v>5587</v>
      </c>
    </row>
    <row r="670" spans="1:23" ht="20.100000000000001" customHeight="1" x14ac:dyDescent="0.25">
      <c r="A670" s="50"/>
      <c r="B670" s="50"/>
      <c r="C670" s="51"/>
      <c r="D670" s="51"/>
      <c r="E670" s="52"/>
      <c r="F670" s="52"/>
      <c r="G670" s="52"/>
      <c r="H670" s="52">
        <v>6106</v>
      </c>
      <c r="I670" s="52"/>
      <c r="J670" s="52"/>
      <c r="K670" s="53"/>
      <c r="L670" s="54"/>
      <c r="M670" s="52"/>
      <c r="N670" s="55"/>
      <c r="O670" s="50"/>
      <c r="P670" s="53"/>
      <c r="Q670" s="52"/>
      <c r="R670" s="52"/>
      <c r="S670" s="52"/>
      <c r="T670" s="55"/>
      <c r="U670" s="52" t="str">
        <f t="shared" ca="1" si="10"/>
        <v/>
      </c>
      <c r="V670" s="54">
        <v>0</v>
      </c>
      <c r="W670" s="52" t="s">
        <v>5587</v>
      </c>
    </row>
    <row r="671" spans="1:23" ht="20.100000000000001" customHeight="1" x14ac:dyDescent="0.25">
      <c r="A671" s="50"/>
      <c r="B671" s="50"/>
      <c r="C671" s="51"/>
      <c r="D671" s="51"/>
      <c r="E671" s="52"/>
      <c r="F671" s="52"/>
      <c r="G671" s="52"/>
      <c r="H671" s="52">
        <v>6107</v>
      </c>
      <c r="I671" s="52"/>
      <c r="J671" s="52"/>
      <c r="K671" s="53"/>
      <c r="L671" s="54"/>
      <c r="M671" s="52"/>
      <c r="N671" s="55"/>
      <c r="O671" s="50"/>
      <c r="P671" s="53"/>
      <c r="Q671" s="52"/>
      <c r="R671" s="52"/>
      <c r="S671" s="52"/>
      <c r="T671" s="55"/>
      <c r="U671" s="52" t="str">
        <f t="shared" ca="1" si="10"/>
        <v/>
      </c>
      <c r="V671" s="54">
        <v>0</v>
      </c>
      <c r="W671" s="52" t="s">
        <v>5587</v>
      </c>
    </row>
    <row r="672" spans="1:23" ht="20.100000000000001" customHeight="1" x14ac:dyDescent="0.25">
      <c r="A672" s="50"/>
      <c r="B672" s="50"/>
      <c r="C672" s="51"/>
      <c r="D672" s="51"/>
      <c r="E672" s="52"/>
      <c r="F672" s="52"/>
      <c r="G672" s="52"/>
      <c r="H672" s="52">
        <v>6108</v>
      </c>
      <c r="I672" s="52"/>
      <c r="J672" s="52"/>
      <c r="K672" s="53"/>
      <c r="L672" s="54"/>
      <c r="M672" s="52"/>
      <c r="N672" s="55"/>
      <c r="O672" s="50"/>
      <c r="P672" s="53"/>
      <c r="Q672" s="52"/>
      <c r="R672" s="52"/>
      <c r="S672" s="52"/>
      <c r="T672" s="55"/>
      <c r="U672" s="52" t="str">
        <f t="shared" ca="1" si="10"/>
        <v/>
      </c>
      <c r="V672" s="54">
        <v>0</v>
      </c>
      <c r="W672" s="52" t="s">
        <v>5587</v>
      </c>
    </row>
    <row r="673" spans="1:23" ht="20.100000000000001" customHeight="1" x14ac:dyDescent="0.25">
      <c r="A673" s="50"/>
      <c r="B673" s="50"/>
      <c r="C673" s="51"/>
      <c r="D673" s="51"/>
      <c r="E673" s="52"/>
      <c r="F673" s="52"/>
      <c r="G673" s="52"/>
      <c r="H673" s="52">
        <v>6109</v>
      </c>
      <c r="I673" s="52"/>
      <c r="J673" s="52"/>
      <c r="K673" s="53"/>
      <c r="L673" s="54"/>
      <c r="M673" s="52"/>
      <c r="N673" s="55"/>
      <c r="O673" s="50"/>
      <c r="P673" s="53"/>
      <c r="Q673" s="52"/>
      <c r="R673" s="52"/>
      <c r="S673" s="52"/>
      <c r="T673" s="55"/>
      <c r="U673" s="52" t="str">
        <f t="shared" ca="1" si="10"/>
        <v/>
      </c>
      <c r="V673" s="54">
        <v>0</v>
      </c>
      <c r="W673" s="52" t="s">
        <v>5587</v>
      </c>
    </row>
    <row r="674" spans="1:23" ht="20.100000000000001" customHeight="1" x14ac:dyDescent="0.25">
      <c r="A674" s="50"/>
      <c r="B674" s="50"/>
      <c r="C674" s="51"/>
      <c r="D674" s="51"/>
      <c r="E674" s="52"/>
      <c r="F674" s="52"/>
      <c r="G674" s="52"/>
      <c r="H674" s="52">
        <v>6110</v>
      </c>
      <c r="I674" s="52"/>
      <c r="J674" s="52"/>
      <c r="K674" s="53"/>
      <c r="L674" s="54"/>
      <c r="M674" s="52"/>
      <c r="N674" s="55"/>
      <c r="O674" s="50"/>
      <c r="P674" s="53"/>
      <c r="Q674" s="52"/>
      <c r="R674" s="52"/>
      <c r="S674" s="52"/>
      <c r="T674" s="55"/>
      <c r="U674" s="52" t="str">
        <f t="shared" ca="1" si="10"/>
        <v/>
      </c>
      <c r="V674" s="54">
        <v>0</v>
      </c>
      <c r="W674" s="52" t="s">
        <v>5587</v>
      </c>
    </row>
    <row r="675" spans="1:23" ht="20.100000000000001" customHeight="1" x14ac:dyDescent="0.25">
      <c r="A675" s="50"/>
      <c r="B675" s="50"/>
      <c r="C675" s="51"/>
      <c r="D675" s="51"/>
      <c r="E675" s="52"/>
      <c r="F675" s="52"/>
      <c r="G675" s="52"/>
      <c r="H675" s="52">
        <v>6111</v>
      </c>
      <c r="I675" s="52"/>
      <c r="J675" s="52"/>
      <c r="K675" s="53"/>
      <c r="L675" s="54"/>
      <c r="M675" s="52"/>
      <c r="N675" s="55"/>
      <c r="O675" s="50"/>
      <c r="P675" s="53"/>
      <c r="Q675" s="52"/>
      <c r="R675" s="52"/>
      <c r="S675" s="52"/>
      <c r="T675" s="55"/>
      <c r="U675" s="52" t="str">
        <f t="shared" ca="1" si="10"/>
        <v/>
      </c>
      <c r="V675" s="54">
        <v>0</v>
      </c>
      <c r="W675" s="52" t="s">
        <v>5587</v>
      </c>
    </row>
    <row r="676" spans="1:23" ht="20.100000000000001" customHeight="1" x14ac:dyDescent="0.25">
      <c r="A676" s="50"/>
      <c r="B676" s="50"/>
      <c r="C676" s="51"/>
      <c r="D676" s="51"/>
      <c r="E676" s="52"/>
      <c r="F676" s="52"/>
      <c r="G676" s="52"/>
      <c r="H676" s="52">
        <v>6112</v>
      </c>
      <c r="I676" s="52"/>
      <c r="J676" s="52"/>
      <c r="K676" s="53"/>
      <c r="L676" s="54"/>
      <c r="M676" s="52"/>
      <c r="N676" s="55"/>
      <c r="O676" s="50"/>
      <c r="P676" s="53"/>
      <c r="Q676" s="52"/>
      <c r="R676" s="52"/>
      <c r="S676" s="52"/>
      <c r="T676" s="55"/>
      <c r="U676" s="52" t="str">
        <f t="shared" ca="1" si="10"/>
        <v/>
      </c>
      <c r="V676" s="54">
        <v>0</v>
      </c>
      <c r="W676" s="52" t="s">
        <v>5587</v>
      </c>
    </row>
    <row r="677" spans="1:23" ht="20.100000000000001" customHeight="1" x14ac:dyDescent="0.25">
      <c r="A677" s="50"/>
      <c r="B677" s="50"/>
      <c r="C677" s="51"/>
      <c r="D677" s="51"/>
      <c r="E677" s="52"/>
      <c r="F677" s="52"/>
      <c r="G677" s="52"/>
      <c r="H677" s="52">
        <v>6113</v>
      </c>
      <c r="I677" s="52"/>
      <c r="J677" s="52"/>
      <c r="K677" s="53"/>
      <c r="L677" s="54"/>
      <c r="M677" s="52"/>
      <c r="N677" s="55"/>
      <c r="O677" s="50"/>
      <c r="P677" s="53"/>
      <c r="Q677" s="52"/>
      <c r="R677" s="52"/>
      <c r="S677" s="52"/>
      <c r="T677" s="55"/>
      <c r="U677" s="52" t="str">
        <f t="shared" ca="1" si="10"/>
        <v/>
      </c>
      <c r="V677" s="54">
        <v>0</v>
      </c>
      <c r="W677" s="52" t="s">
        <v>5587</v>
      </c>
    </row>
    <row r="678" spans="1:23" ht="20.100000000000001" customHeight="1" x14ac:dyDescent="0.25">
      <c r="A678" s="50"/>
      <c r="B678" s="50"/>
      <c r="C678" s="51"/>
      <c r="D678" s="51"/>
      <c r="E678" s="52"/>
      <c r="F678" s="52"/>
      <c r="G678" s="52"/>
      <c r="H678" s="52">
        <v>6114</v>
      </c>
      <c r="I678" s="52"/>
      <c r="J678" s="52"/>
      <c r="K678" s="53"/>
      <c r="L678" s="54"/>
      <c r="M678" s="52"/>
      <c r="N678" s="55"/>
      <c r="O678" s="50"/>
      <c r="P678" s="53"/>
      <c r="Q678" s="52"/>
      <c r="R678" s="52"/>
      <c r="S678" s="52"/>
      <c r="T678" s="55"/>
      <c r="U678" s="52" t="str">
        <f t="shared" ca="1" si="10"/>
        <v/>
      </c>
      <c r="V678" s="54">
        <v>0</v>
      </c>
      <c r="W678" s="52" t="s">
        <v>5587</v>
      </c>
    </row>
    <row r="679" spans="1:23" ht="20.100000000000001" customHeight="1" x14ac:dyDescent="0.25">
      <c r="A679" s="50"/>
      <c r="B679" s="50"/>
      <c r="C679" s="51"/>
      <c r="D679" s="51"/>
      <c r="E679" s="52"/>
      <c r="F679" s="52"/>
      <c r="G679" s="52"/>
      <c r="H679" s="52">
        <v>6115</v>
      </c>
      <c r="I679" s="52"/>
      <c r="J679" s="52"/>
      <c r="K679" s="53"/>
      <c r="L679" s="54"/>
      <c r="M679" s="52"/>
      <c r="N679" s="55"/>
      <c r="O679" s="50"/>
      <c r="P679" s="53"/>
      <c r="Q679" s="52"/>
      <c r="R679" s="52"/>
      <c r="S679" s="52"/>
      <c r="T679" s="55"/>
      <c r="U679" s="52" t="str">
        <f t="shared" ca="1" si="10"/>
        <v/>
      </c>
      <c r="V679" s="54">
        <v>0</v>
      </c>
      <c r="W679" s="52" t="s">
        <v>5587</v>
      </c>
    </row>
    <row r="680" spans="1:23" ht="20.100000000000001" customHeight="1" x14ac:dyDescent="0.25">
      <c r="A680" s="50"/>
      <c r="B680" s="50"/>
      <c r="C680" s="51"/>
      <c r="D680" s="51"/>
      <c r="E680" s="52"/>
      <c r="F680" s="52"/>
      <c r="G680" s="52"/>
      <c r="H680" s="52">
        <v>6116</v>
      </c>
      <c r="I680" s="52"/>
      <c r="J680" s="52"/>
      <c r="K680" s="53"/>
      <c r="L680" s="54"/>
      <c r="M680" s="52"/>
      <c r="N680" s="55"/>
      <c r="O680" s="50"/>
      <c r="P680" s="53"/>
      <c r="Q680" s="52"/>
      <c r="R680" s="52"/>
      <c r="S680" s="52"/>
      <c r="T680" s="55"/>
      <c r="U680" s="52" t="str">
        <f t="shared" ca="1" si="10"/>
        <v/>
      </c>
      <c r="V680" s="54">
        <v>0</v>
      </c>
      <c r="W680" s="52" t="s">
        <v>5587</v>
      </c>
    </row>
    <row r="681" spans="1:23" ht="20.100000000000001" customHeight="1" x14ac:dyDescent="0.25">
      <c r="A681" s="50"/>
      <c r="B681" s="50"/>
      <c r="C681" s="51"/>
      <c r="D681" s="51"/>
      <c r="E681" s="52"/>
      <c r="F681" s="52"/>
      <c r="G681" s="52"/>
      <c r="H681" s="52">
        <v>6117</v>
      </c>
      <c r="I681" s="52"/>
      <c r="J681" s="52"/>
      <c r="K681" s="53"/>
      <c r="L681" s="54"/>
      <c r="M681" s="52"/>
      <c r="N681" s="55"/>
      <c r="O681" s="50"/>
      <c r="P681" s="53"/>
      <c r="Q681" s="52"/>
      <c r="R681" s="52"/>
      <c r="S681" s="52"/>
      <c r="T681" s="55"/>
      <c r="U681" s="52" t="str">
        <f t="shared" ca="1" si="10"/>
        <v/>
      </c>
      <c r="V681" s="54">
        <v>0</v>
      </c>
      <c r="W681" s="52" t="s">
        <v>5587</v>
      </c>
    </row>
    <row r="682" spans="1:23" ht="20.100000000000001" customHeight="1" x14ac:dyDescent="0.25">
      <c r="A682" s="50"/>
      <c r="B682" s="50"/>
      <c r="C682" s="51"/>
      <c r="D682" s="51"/>
      <c r="E682" s="52"/>
      <c r="F682" s="52"/>
      <c r="G682" s="52"/>
      <c r="H682" s="52">
        <v>6118</v>
      </c>
      <c r="I682" s="52"/>
      <c r="J682" s="52"/>
      <c r="K682" s="53"/>
      <c r="L682" s="54"/>
      <c r="M682" s="52"/>
      <c r="N682" s="55"/>
      <c r="O682" s="50"/>
      <c r="P682" s="53"/>
      <c r="Q682" s="52"/>
      <c r="R682" s="52"/>
      <c r="S682" s="52"/>
      <c r="T682" s="55"/>
      <c r="U682" s="52" t="str">
        <f t="shared" ca="1" si="10"/>
        <v/>
      </c>
      <c r="V682" s="54">
        <v>0</v>
      </c>
      <c r="W682" s="52" t="s">
        <v>5587</v>
      </c>
    </row>
    <row r="683" spans="1:23" ht="20.100000000000001" customHeight="1" x14ac:dyDescent="0.25">
      <c r="A683" s="50"/>
      <c r="B683" s="50"/>
      <c r="C683" s="51"/>
      <c r="D683" s="51"/>
      <c r="E683" s="52"/>
      <c r="F683" s="52"/>
      <c r="G683" s="52"/>
      <c r="H683" s="52">
        <v>6119</v>
      </c>
      <c r="I683" s="52"/>
      <c r="J683" s="52"/>
      <c r="K683" s="53"/>
      <c r="L683" s="54"/>
      <c r="M683" s="52"/>
      <c r="N683" s="55"/>
      <c r="O683" s="50"/>
      <c r="P683" s="53"/>
      <c r="Q683" s="52"/>
      <c r="R683" s="52"/>
      <c r="S683" s="52"/>
      <c r="T683" s="55"/>
      <c r="U683" s="52" t="str">
        <f t="shared" ca="1" si="10"/>
        <v/>
      </c>
      <c r="V683" s="54">
        <v>0</v>
      </c>
      <c r="W683" s="52" t="s">
        <v>5587</v>
      </c>
    </row>
    <row r="684" spans="1:23" ht="20.100000000000001" customHeight="1" x14ac:dyDescent="0.25">
      <c r="A684" s="50"/>
      <c r="B684" s="50"/>
      <c r="C684" s="51"/>
      <c r="D684" s="51"/>
      <c r="E684" s="52"/>
      <c r="F684" s="52"/>
      <c r="G684" s="52"/>
      <c r="H684" s="52">
        <v>6120</v>
      </c>
      <c r="I684" s="52"/>
      <c r="J684" s="52"/>
      <c r="K684" s="53"/>
      <c r="L684" s="54"/>
      <c r="M684" s="52"/>
      <c r="N684" s="55"/>
      <c r="O684" s="50"/>
      <c r="P684" s="53"/>
      <c r="Q684" s="52"/>
      <c r="R684" s="52"/>
      <c r="S684" s="52"/>
      <c r="T684" s="55"/>
      <c r="U684" s="52" t="str">
        <f t="shared" ca="1" si="10"/>
        <v/>
      </c>
      <c r="V684" s="54">
        <v>0</v>
      </c>
      <c r="W684" s="52" t="s">
        <v>5587</v>
      </c>
    </row>
    <row r="685" spans="1:23" ht="20.100000000000001" customHeight="1" x14ac:dyDescent="0.25">
      <c r="A685" s="50"/>
      <c r="B685" s="50"/>
      <c r="C685" s="51"/>
      <c r="D685" s="51"/>
      <c r="E685" s="52"/>
      <c r="F685" s="52"/>
      <c r="G685" s="52"/>
      <c r="H685" s="52">
        <v>6121</v>
      </c>
      <c r="I685" s="52"/>
      <c r="J685" s="52"/>
      <c r="K685" s="53"/>
      <c r="L685" s="54"/>
      <c r="M685" s="52"/>
      <c r="N685" s="55"/>
      <c r="O685" s="50"/>
      <c r="P685" s="53"/>
      <c r="Q685" s="52"/>
      <c r="R685" s="52"/>
      <c r="S685" s="52"/>
      <c r="T685" s="55"/>
      <c r="U685" s="52" t="str">
        <f t="shared" ca="1" si="10"/>
        <v/>
      </c>
      <c r="V685" s="54">
        <v>0</v>
      </c>
      <c r="W685" s="52" t="s">
        <v>5587</v>
      </c>
    </row>
    <row r="686" spans="1:23" ht="20.100000000000001" customHeight="1" x14ac:dyDescent="0.25">
      <c r="A686" s="50"/>
      <c r="B686" s="50"/>
      <c r="C686" s="51"/>
      <c r="D686" s="51"/>
      <c r="E686" s="52"/>
      <c r="F686" s="52"/>
      <c r="G686" s="52"/>
      <c r="H686" s="52">
        <v>6122</v>
      </c>
      <c r="I686" s="52"/>
      <c r="J686" s="52"/>
      <c r="K686" s="53"/>
      <c r="L686" s="54"/>
      <c r="M686" s="52"/>
      <c r="N686" s="55"/>
      <c r="O686" s="50"/>
      <c r="P686" s="53"/>
      <c r="Q686" s="52"/>
      <c r="R686" s="52"/>
      <c r="S686" s="52"/>
      <c r="T686" s="55"/>
      <c r="U686" s="52" t="str">
        <f t="shared" ca="1" si="10"/>
        <v/>
      </c>
      <c r="V686" s="54">
        <v>0</v>
      </c>
      <c r="W686" s="52" t="s">
        <v>5587</v>
      </c>
    </row>
    <row r="687" spans="1:23" ht="20.100000000000001" customHeight="1" x14ac:dyDescent="0.25">
      <c r="A687" s="50"/>
      <c r="B687" s="50"/>
      <c r="C687" s="51"/>
      <c r="D687" s="51"/>
      <c r="E687" s="52"/>
      <c r="F687" s="52"/>
      <c r="G687" s="52"/>
      <c r="H687" s="52">
        <v>6123</v>
      </c>
      <c r="I687" s="52"/>
      <c r="J687" s="52"/>
      <c r="K687" s="53"/>
      <c r="L687" s="54"/>
      <c r="M687" s="52"/>
      <c r="N687" s="55"/>
      <c r="O687" s="50"/>
      <c r="P687" s="53"/>
      <c r="Q687" s="52"/>
      <c r="R687" s="52"/>
      <c r="S687" s="52"/>
      <c r="T687" s="55"/>
      <c r="U687" s="52" t="str">
        <f t="shared" ca="1" si="10"/>
        <v/>
      </c>
      <c r="V687" s="54">
        <v>0</v>
      </c>
      <c r="W687" s="52" t="s">
        <v>5587</v>
      </c>
    </row>
    <row r="688" spans="1:23" ht="20.100000000000001" customHeight="1" x14ac:dyDescent="0.25">
      <c r="A688" s="50"/>
      <c r="B688" s="50"/>
      <c r="C688" s="51"/>
      <c r="D688" s="51"/>
      <c r="E688" s="52"/>
      <c r="F688" s="52"/>
      <c r="G688" s="52"/>
      <c r="H688" s="52">
        <v>6124</v>
      </c>
      <c r="I688" s="52"/>
      <c r="J688" s="52"/>
      <c r="K688" s="53"/>
      <c r="L688" s="54"/>
      <c r="M688" s="52"/>
      <c r="N688" s="55"/>
      <c r="O688" s="50"/>
      <c r="P688" s="53"/>
      <c r="Q688" s="52"/>
      <c r="R688" s="52"/>
      <c r="S688" s="52"/>
      <c r="T688" s="55"/>
      <c r="U688" s="52" t="str">
        <f t="shared" ca="1" si="10"/>
        <v/>
      </c>
      <c r="V688" s="54">
        <v>0</v>
      </c>
      <c r="W688" s="52" t="s">
        <v>5587</v>
      </c>
    </row>
    <row r="689" spans="1:23" ht="20.100000000000001" customHeight="1" x14ac:dyDescent="0.25">
      <c r="A689" s="50"/>
      <c r="B689" s="50"/>
      <c r="C689" s="51"/>
      <c r="D689" s="51"/>
      <c r="E689" s="52"/>
      <c r="F689" s="52"/>
      <c r="G689" s="52"/>
      <c r="H689" s="52">
        <v>6125</v>
      </c>
      <c r="I689" s="52"/>
      <c r="J689" s="52"/>
      <c r="K689" s="53"/>
      <c r="L689" s="54"/>
      <c r="M689" s="52"/>
      <c r="N689" s="55"/>
      <c r="O689" s="50"/>
      <c r="P689" s="53"/>
      <c r="Q689" s="52"/>
      <c r="R689" s="52"/>
      <c r="S689" s="52"/>
      <c r="T689" s="55"/>
      <c r="U689" s="52" t="str">
        <f t="shared" ca="1" si="10"/>
        <v/>
      </c>
      <c r="V689" s="54">
        <v>0</v>
      </c>
      <c r="W689" s="52" t="s">
        <v>5587</v>
      </c>
    </row>
    <row r="690" spans="1:23" ht="20.100000000000001" customHeight="1" x14ac:dyDescent="0.25">
      <c r="A690" s="50"/>
      <c r="B690" s="50"/>
      <c r="C690" s="51"/>
      <c r="D690" s="51"/>
      <c r="E690" s="52"/>
      <c r="F690" s="52"/>
      <c r="G690" s="52"/>
      <c r="H690" s="52">
        <v>6126</v>
      </c>
      <c r="I690" s="52"/>
      <c r="J690" s="52"/>
      <c r="K690" s="53"/>
      <c r="L690" s="54"/>
      <c r="M690" s="52"/>
      <c r="N690" s="55"/>
      <c r="O690" s="50"/>
      <c r="P690" s="53"/>
      <c r="Q690" s="52"/>
      <c r="R690" s="52"/>
      <c r="S690" s="52"/>
      <c r="T690" s="55"/>
      <c r="U690" s="52" t="str">
        <f t="shared" ca="1" si="10"/>
        <v/>
      </c>
      <c r="V690" s="54">
        <v>0</v>
      </c>
      <c r="W690" s="52" t="s">
        <v>5587</v>
      </c>
    </row>
    <row r="691" spans="1:23" ht="20.100000000000001" customHeight="1" x14ac:dyDescent="0.25">
      <c r="A691" s="50"/>
      <c r="B691" s="50"/>
      <c r="C691" s="51"/>
      <c r="D691" s="51"/>
      <c r="E691" s="52"/>
      <c r="F691" s="52"/>
      <c r="G691" s="52"/>
      <c r="H691" s="52">
        <v>6127</v>
      </c>
      <c r="I691" s="52"/>
      <c r="J691" s="52"/>
      <c r="K691" s="53"/>
      <c r="L691" s="54"/>
      <c r="M691" s="52"/>
      <c r="N691" s="55"/>
      <c r="O691" s="50"/>
      <c r="P691" s="53"/>
      <c r="Q691" s="52"/>
      <c r="R691" s="52"/>
      <c r="S691" s="52"/>
      <c r="T691" s="55"/>
      <c r="U691" s="52" t="str">
        <f t="shared" ca="1" si="10"/>
        <v/>
      </c>
      <c r="V691" s="54">
        <v>0</v>
      </c>
      <c r="W691" s="52" t="s">
        <v>5587</v>
      </c>
    </row>
    <row r="692" spans="1:23" ht="20.100000000000001" customHeight="1" x14ac:dyDescent="0.25">
      <c r="A692" s="50"/>
      <c r="B692" s="50"/>
      <c r="C692" s="51"/>
      <c r="D692" s="51"/>
      <c r="E692" s="52"/>
      <c r="F692" s="52"/>
      <c r="G692" s="52"/>
      <c r="H692" s="52">
        <v>6128</v>
      </c>
      <c r="I692" s="52"/>
      <c r="J692" s="52"/>
      <c r="K692" s="53"/>
      <c r="L692" s="54"/>
      <c r="M692" s="52"/>
      <c r="N692" s="55"/>
      <c r="O692" s="50"/>
      <c r="P692" s="53"/>
      <c r="Q692" s="52"/>
      <c r="R692" s="52"/>
      <c r="S692" s="52"/>
      <c r="T692" s="55"/>
      <c r="U692" s="52" t="str">
        <f t="shared" ca="1" si="10"/>
        <v/>
      </c>
      <c r="V692" s="54">
        <v>0</v>
      </c>
      <c r="W692" s="52" t="s">
        <v>5587</v>
      </c>
    </row>
    <row r="693" spans="1:23" ht="20.100000000000001" customHeight="1" x14ac:dyDescent="0.25">
      <c r="A693" s="50"/>
      <c r="B693" s="50"/>
      <c r="C693" s="51"/>
      <c r="D693" s="51"/>
      <c r="E693" s="52"/>
      <c r="F693" s="52"/>
      <c r="G693" s="52"/>
      <c r="H693" s="52">
        <v>6129</v>
      </c>
      <c r="I693" s="52"/>
      <c r="J693" s="52"/>
      <c r="K693" s="53"/>
      <c r="L693" s="54"/>
      <c r="M693" s="52"/>
      <c r="N693" s="55"/>
      <c r="O693" s="50"/>
      <c r="P693" s="53"/>
      <c r="Q693" s="52"/>
      <c r="R693" s="52"/>
      <c r="S693" s="52"/>
      <c r="T693" s="55"/>
      <c r="U693" s="52" t="str">
        <f t="shared" ca="1" si="10"/>
        <v/>
      </c>
      <c r="V693" s="54">
        <v>0</v>
      </c>
      <c r="W693" s="52" t="s">
        <v>5587</v>
      </c>
    </row>
    <row r="694" spans="1:23" ht="20.100000000000001" customHeight="1" x14ac:dyDescent="0.25">
      <c r="A694" s="50"/>
      <c r="B694" s="50"/>
      <c r="C694" s="51"/>
      <c r="D694" s="51"/>
      <c r="E694" s="52"/>
      <c r="F694" s="52"/>
      <c r="G694" s="52"/>
      <c r="H694" s="52">
        <v>6130</v>
      </c>
      <c r="I694" s="52"/>
      <c r="J694" s="52"/>
      <c r="K694" s="53"/>
      <c r="L694" s="54"/>
      <c r="M694" s="52"/>
      <c r="N694" s="55"/>
      <c r="O694" s="50"/>
      <c r="P694" s="53"/>
      <c r="Q694" s="52"/>
      <c r="R694" s="52"/>
      <c r="S694" s="52"/>
      <c r="T694" s="55"/>
      <c r="U694" s="52" t="str">
        <f t="shared" ca="1" si="10"/>
        <v/>
      </c>
      <c r="V694" s="54">
        <v>0</v>
      </c>
      <c r="W694" s="52" t="s">
        <v>5587</v>
      </c>
    </row>
    <row r="695" spans="1:23" ht="20.100000000000001" customHeight="1" x14ac:dyDescent="0.25">
      <c r="A695" s="50"/>
      <c r="B695" s="50"/>
      <c r="C695" s="51"/>
      <c r="D695" s="51"/>
      <c r="E695" s="52"/>
      <c r="F695" s="52"/>
      <c r="G695" s="52"/>
      <c r="H695" s="52">
        <v>6131</v>
      </c>
      <c r="I695" s="52"/>
      <c r="J695" s="52"/>
      <c r="K695" s="53"/>
      <c r="L695" s="54"/>
      <c r="M695" s="52"/>
      <c r="N695" s="55"/>
      <c r="O695" s="50"/>
      <c r="P695" s="53"/>
      <c r="Q695" s="52"/>
      <c r="R695" s="52"/>
      <c r="S695" s="52"/>
      <c r="T695" s="55"/>
      <c r="U695" s="52" t="str">
        <f t="shared" ca="1" si="10"/>
        <v/>
      </c>
      <c r="V695" s="54">
        <v>0</v>
      </c>
      <c r="W695" s="52" t="s">
        <v>5587</v>
      </c>
    </row>
    <row r="696" spans="1:23" ht="20.100000000000001" customHeight="1" x14ac:dyDescent="0.25">
      <c r="A696" s="50"/>
      <c r="B696" s="50"/>
      <c r="C696" s="51"/>
      <c r="D696" s="51"/>
      <c r="E696" s="52"/>
      <c r="F696" s="52"/>
      <c r="G696" s="52"/>
      <c r="H696" s="52">
        <v>6132</v>
      </c>
      <c r="I696" s="52"/>
      <c r="J696" s="52"/>
      <c r="K696" s="53"/>
      <c r="L696" s="54"/>
      <c r="M696" s="52"/>
      <c r="N696" s="55"/>
      <c r="O696" s="50"/>
      <c r="P696" s="53"/>
      <c r="Q696" s="52"/>
      <c r="R696" s="52"/>
      <c r="S696" s="52"/>
      <c r="T696" s="55"/>
      <c r="U696" s="52" t="str">
        <f t="shared" ca="1" si="10"/>
        <v/>
      </c>
      <c r="V696" s="54">
        <v>0</v>
      </c>
      <c r="W696" s="52" t="s">
        <v>5587</v>
      </c>
    </row>
    <row r="697" spans="1:23" ht="20.100000000000001" customHeight="1" x14ac:dyDescent="0.25">
      <c r="A697" s="50"/>
      <c r="B697" s="50"/>
      <c r="C697" s="51"/>
      <c r="D697" s="51"/>
      <c r="E697" s="52"/>
      <c r="F697" s="52"/>
      <c r="G697" s="52"/>
      <c r="H697" s="52">
        <v>6133</v>
      </c>
      <c r="I697" s="52"/>
      <c r="J697" s="52"/>
      <c r="K697" s="53"/>
      <c r="L697" s="54"/>
      <c r="M697" s="52"/>
      <c r="N697" s="55"/>
      <c r="O697" s="50"/>
      <c r="P697" s="53"/>
      <c r="Q697" s="52"/>
      <c r="R697" s="52"/>
      <c r="S697" s="52"/>
      <c r="T697" s="55"/>
      <c r="U697" s="52" t="str">
        <f t="shared" ca="1" si="10"/>
        <v/>
      </c>
      <c r="V697" s="54">
        <v>0</v>
      </c>
      <c r="W697" s="52" t="s">
        <v>5587</v>
      </c>
    </row>
    <row r="698" spans="1:23" ht="20.100000000000001" customHeight="1" x14ac:dyDescent="0.25">
      <c r="A698" s="50"/>
      <c r="B698" s="50"/>
      <c r="C698" s="51"/>
      <c r="D698" s="51"/>
      <c r="E698" s="52"/>
      <c r="F698" s="52"/>
      <c r="G698" s="52"/>
      <c r="H698" s="52">
        <v>6134</v>
      </c>
      <c r="I698" s="52"/>
      <c r="J698" s="52"/>
      <c r="K698" s="53"/>
      <c r="L698" s="54"/>
      <c r="M698" s="52"/>
      <c r="N698" s="55"/>
      <c r="O698" s="50"/>
      <c r="P698" s="53"/>
      <c r="Q698" s="52"/>
      <c r="R698" s="52"/>
      <c r="S698" s="52"/>
      <c r="T698" s="55"/>
      <c r="U698" s="52" t="str">
        <f t="shared" ca="1" si="10"/>
        <v/>
      </c>
      <c r="V698" s="54">
        <v>0</v>
      </c>
      <c r="W698" s="52" t="s">
        <v>5587</v>
      </c>
    </row>
    <row r="699" spans="1:23" ht="20.100000000000001" customHeight="1" x14ac:dyDescent="0.25">
      <c r="A699" s="50"/>
      <c r="B699" s="50"/>
      <c r="C699" s="51"/>
      <c r="D699" s="51"/>
      <c r="E699" s="52"/>
      <c r="F699" s="52"/>
      <c r="G699" s="52"/>
      <c r="H699" s="52">
        <v>6135</v>
      </c>
      <c r="I699" s="52"/>
      <c r="J699" s="52"/>
      <c r="K699" s="53"/>
      <c r="L699" s="54"/>
      <c r="M699" s="52"/>
      <c r="N699" s="55"/>
      <c r="O699" s="50"/>
      <c r="P699" s="53"/>
      <c r="Q699" s="52"/>
      <c r="R699" s="52"/>
      <c r="S699" s="52"/>
      <c r="T699" s="55"/>
      <c r="U699" s="52" t="str">
        <f t="shared" ca="1" si="10"/>
        <v/>
      </c>
      <c r="V699" s="54">
        <v>0</v>
      </c>
      <c r="W699" s="52" t="s">
        <v>5587</v>
      </c>
    </row>
    <row r="700" spans="1:23" ht="20.100000000000001" customHeight="1" x14ac:dyDescent="0.25">
      <c r="A700" s="50"/>
      <c r="B700" s="50"/>
      <c r="C700" s="51"/>
      <c r="D700" s="51"/>
      <c r="E700" s="52"/>
      <c r="F700" s="52"/>
      <c r="G700" s="52"/>
      <c r="H700" s="52">
        <v>6136</v>
      </c>
      <c r="I700" s="52"/>
      <c r="J700" s="52"/>
      <c r="K700" s="53"/>
      <c r="L700" s="54"/>
      <c r="M700" s="52"/>
      <c r="N700" s="55"/>
      <c r="O700" s="50"/>
      <c r="P700" s="53"/>
      <c r="Q700" s="52"/>
      <c r="R700" s="52"/>
      <c r="S700" s="52"/>
      <c r="T700" s="55"/>
      <c r="U700" s="52" t="str">
        <f t="shared" ca="1" si="10"/>
        <v/>
      </c>
      <c r="V700" s="54">
        <v>0</v>
      </c>
      <c r="W700" s="52" t="s">
        <v>5587</v>
      </c>
    </row>
    <row r="701" spans="1:23" ht="20.100000000000001" customHeight="1" x14ac:dyDescent="0.25">
      <c r="A701" s="50"/>
      <c r="B701" s="50"/>
      <c r="C701" s="51"/>
      <c r="D701" s="51"/>
      <c r="E701" s="52"/>
      <c r="F701" s="52"/>
      <c r="G701" s="52"/>
      <c r="H701" s="52">
        <v>6137</v>
      </c>
      <c r="I701" s="52"/>
      <c r="J701" s="52"/>
      <c r="K701" s="53"/>
      <c r="L701" s="54"/>
      <c r="M701" s="52"/>
      <c r="N701" s="55"/>
      <c r="O701" s="50"/>
      <c r="P701" s="53"/>
      <c r="Q701" s="52"/>
      <c r="R701" s="52"/>
      <c r="S701" s="52"/>
      <c r="T701" s="55"/>
      <c r="U701" s="52" t="str">
        <f t="shared" ca="1" si="10"/>
        <v/>
      </c>
      <c r="V701" s="54">
        <v>0</v>
      </c>
      <c r="W701" s="52" t="s">
        <v>5587</v>
      </c>
    </row>
    <row r="702" spans="1:23" ht="20.100000000000001" customHeight="1" x14ac:dyDescent="0.25">
      <c r="A702" s="50"/>
      <c r="B702" s="50"/>
      <c r="C702" s="51"/>
      <c r="D702" s="51"/>
      <c r="E702" s="52"/>
      <c r="F702" s="52"/>
      <c r="G702" s="52"/>
      <c r="H702" s="52">
        <v>6138</v>
      </c>
      <c r="I702" s="52"/>
      <c r="J702" s="52"/>
      <c r="K702" s="53"/>
      <c r="L702" s="54"/>
      <c r="M702" s="52"/>
      <c r="N702" s="55"/>
      <c r="O702" s="50"/>
      <c r="P702" s="53"/>
      <c r="Q702" s="52"/>
      <c r="R702" s="52"/>
      <c r="S702" s="52"/>
      <c r="T702" s="55"/>
      <c r="U702" s="52" t="str">
        <f t="shared" ca="1" si="10"/>
        <v/>
      </c>
      <c r="V702" s="54">
        <v>0</v>
      </c>
      <c r="W702" s="52" t="s">
        <v>5587</v>
      </c>
    </row>
    <row r="703" spans="1:23" ht="20.100000000000001" customHeight="1" x14ac:dyDescent="0.25">
      <c r="A703" s="50"/>
      <c r="B703" s="50"/>
      <c r="C703" s="51"/>
      <c r="D703" s="51"/>
      <c r="E703" s="52"/>
      <c r="F703" s="52"/>
      <c r="G703" s="52"/>
      <c r="H703" s="52">
        <v>6139</v>
      </c>
      <c r="I703" s="52"/>
      <c r="J703" s="52"/>
      <c r="K703" s="53"/>
      <c r="L703" s="54"/>
      <c r="M703" s="52"/>
      <c r="N703" s="55"/>
      <c r="O703" s="50"/>
      <c r="P703" s="53"/>
      <c r="Q703" s="52"/>
      <c r="R703" s="52"/>
      <c r="S703" s="52"/>
      <c r="T703" s="55"/>
      <c r="U703" s="52" t="str">
        <f t="shared" ca="1" si="10"/>
        <v/>
      </c>
      <c r="V703" s="54">
        <v>0</v>
      </c>
      <c r="W703" s="52" t="s">
        <v>5587</v>
      </c>
    </row>
    <row r="704" spans="1:23" ht="20.100000000000001" customHeight="1" x14ac:dyDescent="0.25">
      <c r="A704" s="50"/>
      <c r="B704" s="50"/>
      <c r="C704" s="51"/>
      <c r="D704" s="51"/>
      <c r="E704" s="52"/>
      <c r="F704" s="52"/>
      <c r="G704" s="52"/>
      <c r="H704" s="52">
        <v>6140</v>
      </c>
      <c r="I704" s="52"/>
      <c r="J704" s="52"/>
      <c r="K704" s="53"/>
      <c r="L704" s="54"/>
      <c r="M704" s="52"/>
      <c r="N704" s="55"/>
      <c r="O704" s="50"/>
      <c r="P704" s="53"/>
      <c r="Q704" s="52"/>
      <c r="R704" s="52"/>
      <c r="S704" s="52"/>
      <c r="T704" s="55"/>
      <c r="U704" s="52" t="str">
        <f t="shared" ca="1" si="10"/>
        <v/>
      </c>
      <c r="V704" s="54">
        <v>0</v>
      </c>
      <c r="W704" s="52" t="s">
        <v>5587</v>
      </c>
    </row>
    <row r="705" spans="1:23" ht="20.100000000000001" customHeight="1" x14ac:dyDescent="0.25">
      <c r="A705" s="50"/>
      <c r="B705" s="50"/>
      <c r="C705" s="51"/>
      <c r="D705" s="51"/>
      <c r="E705" s="52"/>
      <c r="F705" s="52"/>
      <c r="G705" s="52"/>
      <c r="H705" s="52">
        <v>6141</v>
      </c>
      <c r="I705" s="52"/>
      <c r="J705" s="52"/>
      <c r="K705" s="53"/>
      <c r="L705" s="54"/>
      <c r="M705" s="52"/>
      <c r="N705" s="55"/>
      <c r="O705" s="50"/>
      <c r="P705" s="53"/>
      <c r="Q705" s="52"/>
      <c r="R705" s="52"/>
      <c r="S705" s="52"/>
      <c r="T705" s="55"/>
      <c r="U705" s="52" t="str">
        <f t="shared" ca="1" si="10"/>
        <v/>
      </c>
      <c r="V705" s="54">
        <v>0</v>
      </c>
      <c r="W705" s="52" t="s">
        <v>5587</v>
      </c>
    </row>
    <row r="706" spans="1:23" ht="20.100000000000001" customHeight="1" x14ac:dyDescent="0.25">
      <c r="A706" s="50"/>
      <c r="B706" s="50"/>
      <c r="C706" s="51"/>
      <c r="D706" s="51"/>
      <c r="E706" s="52"/>
      <c r="F706" s="52"/>
      <c r="G706" s="52"/>
      <c r="H706" s="52">
        <v>6142</v>
      </c>
      <c r="I706" s="52"/>
      <c r="J706" s="52"/>
      <c r="K706" s="53"/>
      <c r="L706" s="54"/>
      <c r="M706" s="52"/>
      <c r="N706" s="55"/>
      <c r="O706" s="50"/>
      <c r="P706" s="53"/>
      <c r="Q706" s="52"/>
      <c r="R706" s="52"/>
      <c r="S706" s="52"/>
      <c r="T706" s="55"/>
      <c r="U706" s="52" t="str">
        <f t="shared" ca="1" si="10"/>
        <v/>
      </c>
      <c r="V706" s="54">
        <v>0</v>
      </c>
      <c r="W706" s="52" t="s">
        <v>5587</v>
      </c>
    </row>
    <row r="707" spans="1:23" ht="20.100000000000001" customHeight="1" x14ac:dyDescent="0.25">
      <c r="A707" s="50"/>
      <c r="B707" s="50"/>
      <c r="C707" s="51"/>
      <c r="D707" s="51"/>
      <c r="E707" s="52"/>
      <c r="F707" s="52"/>
      <c r="G707" s="52"/>
      <c r="H707" s="52">
        <v>6143</v>
      </c>
      <c r="I707" s="52"/>
      <c r="J707" s="52"/>
      <c r="K707" s="53"/>
      <c r="L707" s="54"/>
      <c r="M707" s="52"/>
      <c r="N707" s="55"/>
      <c r="O707" s="50"/>
      <c r="P707" s="53"/>
      <c r="Q707" s="52"/>
      <c r="R707" s="52"/>
      <c r="S707" s="52"/>
      <c r="T707" s="55"/>
      <c r="U707" s="52" t="str">
        <f t="shared" ca="1" si="10"/>
        <v/>
      </c>
      <c r="V707" s="54">
        <v>0</v>
      </c>
      <c r="W707" s="52" t="s">
        <v>5587</v>
      </c>
    </row>
    <row r="708" spans="1:23" ht="20.100000000000001" customHeight="1" x14ac:dyDescent="0.25">
      <c r="A708" s="50"/>
      <c r="B708" s="50"/>
      <c r="C708" s="51"/>
      <c r="D708" s="51"/>
      <c r="E708" s="52"/>
      <c r="F708" s="52"/>
      <c r="G708" s="52"/>
      <c r="H708" s="52">
        <v>6144</v>
      </c>
      <c r="I708" s="52"/>
      <c r="J708" s="52"/>
      <c r="K708" s="53"/>
      <c r="L708" s="54"/>
      <c r="M708" s="52"/>
      <c r="N708" s="55"/>
      <c r="O708" s="50"/>
      <c r="P708" s="53"/>
      <c r="Q708" s="52"/>
      <c r="R708" s="52"/>
      <c r="S708" s="52"/>
      <c r="T708" s="55"/>
      <c r="U708" s="52" t="str">
        <f t="shared" ca="1" si="10"/>
        <v/>
      </c>
      <c r="V708" s="54">
        <v>0</v>
      </c>
      <c r="W708" s="52" t="s">
        <v>5587</v>
      </c>
    </row>
    <row r="709" spans="1:23" ht="20.100000000000001" customHeight="1" x14ac:dyDescent="0.25">
      <c r="A709" s="50"/>
      <c r="B709" s="50"/>
      <c r="C709" s="51"/>
      <c r="D709" s="51"/>
      <c r="E709" s="52"/>
      <c r="F709" s="52"/>
      <c r="G709" s="52"/>
      <c r="H709" s="52">
        <v>6145</v>
      </c>
      <c r="I709" s="52"/>
      <c r="J709" s="52"/>
      <c r="K709" s="53"/>
      <c r="L709" s="54"/>
      <c r="M709" s="52"/>
      <c r="N709" s="55"/>
      <c r="O709" s="50"/>
      <c r="P709" s="53"/>
      <c r="Q709" s="52"/>
      <c r="R709" s="52"/>
      <c r="S709" s="52"/>
      <c r="T709" s="55"/>
      <c r="U709" s="52" t="str">
        <f t="shared" ref="U709:U772" ca="1" si="11">IF(C709="","",TODAY()-C709)</f>
        <v/>
      </c>
      <c r="V709" s="54">
        <v>0</v>
      </c>
      <c r="W709" s="52" t="s">
        <v>5587</v>
      </c>
    </row>
    <row r="710" spans="1:23" ht="20.100000000000001" customHeight="1" x14ac:dyDescent="0.25">
      <c r="A710" s="50"/>
      <c r="B710" s="50"/>
      <c r="C710" s="51"/>
      <c r="D710" s="51"/>
      <c r="E710" s="52"/>
      <c r="F710" s="52"/>
      <c r="G710" s="52"/>
      <c r="H710" s="52">
        <v>6146</v>
      </c>
      <c r="I710" s="52"/>
      <c r="J710" s="52"/>
      <c r="K710" s="53"/>
      <c r="L710" s="54"/>
      <c r="M710" s="52"/>
      <c r="N710" s="55"/>
      <c r="O710" s="50"/>
      <c r="P710" s="53"/>
      <c r="Q710" s="52"/>
      <c r="R710" s="52"/>
      <c r="S710" s="52"/>
      <c r="T710" s="55"/>
      <c r="U710" s="52" t="str">
        <f t="shared" ca="1" si="11"/>
        <v/>
      </c>
      <c r="V710" s="54">
        <v>0</v>
      </c>
      <c r="W710" s="52" t="s">
        <v>5587</v>
      </c>
    </row>
    <row r="711" spans="1:23" ht="20.100000000000001" customHeight="1" x14ac:dyDescent="0.25">
      <c r="A711" s="50"/>
      <c r="B711" s="50"/>
      <c r="C711" s="51"/>
      <c r="D711" s="51"/>
      <c r="E711" s="52"/>
      <c r="F711" s="52"/>
      <c r="G711" s="52"/>
      <c r="H711" s="52">
        <v>6147</v>
      </c>
      <c r="I711" s="52"/>
      <c r="J711" s="52"/>
      <c r="K711" s="53"/>
      <c r="L711" s="54"/>
      <c r="M711" s="52"/>
      <c r="N711" s="55"/>
      <c r="O711" s="50"/>
      <c r="P711" s="53"/>
      <c r="Q711" s="52"/>
      <c r="R711" s="52"/>
      <c r="S711" s="52"/>
      <c r="T711" s="55"/>
      <c r="U711" s="52" t="str">
        <f t="shared" ca="1" si="11"/>
        <v/>
      </c>
      <c r="V711" s="54">
        <v>0</v>
      </c>
      <c r="W711" s="52" t="s">
        <v>5587</v>
      </c>
    </row>
    <row r="712" spans="1:23" ht="20.100000000000001" customHeight="1" x14ac:dyDescent="0.25">
      <c r="A712" s="50"/>
      <c r="B712" s="50"/>
      <c r="C712" s="51"/>
      <c r="D712" s="51"/>
      <c r="E712" s="52"/>
      <c r="F712" s="52"/>
      <c r="G712" s="52"/>
      <c r="H712" s="52">
        <v>6148</v>
      </c>
      <c r="I712" s="52"/>
      <c r="J712" s="52"/>
      <c r="K712" s="53"/>
      <c r="L712" s="54"/>
      <c r="M712" s="52"/>
      <c r="N712" s="55"/>
      <c r="O712" s="50"/>
      <c r="P712" s="53"/>
      <c r="Q712" s="52"/>
      <c r="R712" s="52"/>
      <c r="S712" s="52"/>
      <c r="T712" s="55"/>
      <c r="U712" s="52" t="str">
        <f t="shared" ca="1" si="11"/>
        <v/>
      </c>
      <c r="V712" s="54">
        <v>0</v>
      </c>
      <c r="W712" s="52" t="s">
        <v>5587</v>
      </c>
    </row>
    <row r="713" spans="1:23" ht="20.100000000000001" customHeight="1" x14ac:dyDescent="0.25">
      <c r="A713" s="50"/>
      <c r="B713" s="50"/>
      <c r="C713" s="51"/>
      <c r="D713" s="51"/>
      <c r="E713" s="52"/>
      <c r="F713" s="52"/>
      <c r="G713" s="52"/>
      <c r="H713" s="52">
        <v>6149</v>
      </c>
      <c r="I713" s="52"/>
      <c r="J713" s="52"/>
      <c r="K713" s="53"/>
      <c r="L713" s="54"/>
      <c r="M713" s="52"/>
      <c r="N713" s="55"/>
      <c r="O713" s="50"/>
      <c r="P713" s="53"/>
      <c r="Q713" s="52"/>
      <c r="R713" s="52"/>
      <c r="S713" s="52"/>
      <c r="T713" s="55"/>
      <c r="U713" s="52" t="str">
        <f t="shared" ca="1" si="11"/>
        <v/>
      </c>
      <c r="V713" s="54">
        <v>0</v>
      </c>
      <c r="W713" s="52" t="s">
        <v>5587</v>
      </c>
    </row>
    <row r="714" spans="1:23" ht="20.100000000000001" customHeight="1" x14ac:dyDescent="0.25">
      <c r="A714" s="50"/>
      <c r="B714" s="50"/>
      <c r="C714" s="51"/>
      <c r="D714" s="51"/>
      <c r="E714" s="52"/>
      <c r="F714" s="52"/>
      <c r="G714" s="52"/>
      <c r="H714" s="52">
        <v>6150</v>
      </c>
      <c r="I714" s="52"/>
      <c r="J714" s="52"/>
      <c r="K714" s="53"/>
      <c r="L714" s="54"/>
      <c r="M714" s="52"/>
      <c r="N714" s="55"/>
      <c r="O714" s="50"/>
      <c r="P714" s="53"/>
      <c r="Q714" s="52"/>
      <c r="R714" s="52"/>
      <c r="S714" s="52"/>
      <c r="T714" s="55"/>
      <c r="U714" s="52" t="str">
        <f t="shared" ca="1" si="11"/>
        <v/>
      </c>
      <c r="V714" s="54">
        <v>0</v>
      </c>
      <c r="W714" s="52" t="s">
        <v>5587</v>
      </c>
    </row>
    <row r="715" spans="1:23" ht="20.100000000000001" customHeight="1" x14ac:dyDescent="0.25">
      <c r="A715" s="50"/>
      <c r="B715" s="50"/>
      <c r="C715" s="51"/>
      <c r="D715" s="51"/>
      <c r="E715" s="52"/>
      <c r="F715" s="52"/>
      <c r="G715" s="52"/>
      <c r="H715" s="52">
        <v>6151</v>
      </c>
      <c r="I715" s="52"/>
      <c r="J715" s="52"/>
      <c r="K715" s="53"/>
      <c r="L715" s="54"/>
      <c r="M715" s="52"/>
      <c r="N715" s="55"/>
      <c r="O715" s="50"/>
      <c r="P715" s="53"/>
      <c r="Q715" s="52"/>
      <c r="R715" s="52"/>
      <c r="S715" s="52"/>
      <c r="T715" s="55"/>
      <c r="U715" s="52" t="str">
        <f t="shared" ca="1" si="11"/>
        <v/>
      </c>
      <c r="V715" s="54">
        <v>0</v>
      </c>
      <c r="W715" s="52" t="s">
        <v>5587</v>
      </c>
    </row>
    <row r="716" spans="1:23" ht="20.100000000000001" customHeight="1" x14ac:dyDescent="0.25">
      <c r="A716" s="50"/>
      <c r="B716" s="50"/>
      <c r="C716" s="51"/>
      <c r="D716" s="51"/>
      <c r="E716" s="52"/>
      <c r="F716" s="52"/>
      <c r="G716" s="52"/>
      <c r="H716" s="52">
        <v>6152</v>
      </c>
      <c r="I716" s="52"/>
      <c r="J716" s="52"/>
      <c r="K716" s="53"/>
      <c r="L716" s="54"/>
      <c r="M716" s="52"/>
      <c r="N716" s="55"/>
      <c r="O716" s="50"/>
      <c r="P716" s="53"/>
      <c r="Q716" s="52"/>
      <c r="R716" s="52"/>
      <c r="S716" s="52"/>
      <c r="T716" s="55"/>
      <c r="U716" s="52" t="str">
        <f t="shared" ca="1" si="11"/>
        <v/>
      </c>
      <c r="V716" s="54">
        <v>0</v>
      </c>
      <c r="W716" s="52" t="s">
        <v>5587</v>
      </c>
    </row>
    <row r="717" spans="1:23" ht="20.100000000000001" customHeight="1" x14ac:dyDescent="0.25">
      <c r="A717" s="50"/>
      <c r="B717" s="50"/>
      <c r="C717" s="51"/>
      <c r="D717" s="51"/>
      <c r="E717" s="52"/>
      <c r="F717" s="52"/>
      <c r="G717" s="52"/>
      <c r="H717" s="52">
        <v>6153</v>
      </c>
      <c r="I717" s="52"/>
      <c r="J717" s="52"/>
      <c r="K717" s="53"/>
      <c r="L717" s="54"/>
      <c r="M717" s="52"/>
      <c r="N717" s="55"/>
      <c r="O717" s="50"/>
      <c r="P717" s="53"/>
      <c r="Q717" s="52"/>
      <c r="R717" s="52"/>
      <c r="S717" s="52"/>
      <c r="T717" s="55"/>
      <c r="U717" s="52" t="str">
        <f t="shared" ca="1" si="11"/>
        <v/>
      </c>
      <c r="V717" s="54">
        <v>0</v>
      </c>
      <c r="W717" s="52" t="s">
        <v>5587</v>
      </c>
    </row>
    <row r="718" spans="1:23" ht="20.100000000000001" customHeight="1" x14ac:dyDescent="0.25">
      <c r="A718" s="50"/>
      <c r="B718" s="50"/>
      <c r="C718" s="51"/>
      <c r="D718" s="51"/>
      <c r="E718" s="52"/>
      <c r="F718" s="52"/>
      <c r="G718" s="52"/>
      <c r="H718" s="52">
        <v>6154</v>
      </c>
      <c r="I718" s="52"/>
      <c r="J718" s="52"/>
      <c r="K718" s="53"/>
      <c r="L718" s="54"/>
      <c r="M718" s="52"/>
      <c r="N718" s="55"/>
      <c r="O718" s="50"/>
      <c r="P718" s="53"/>
      <c r="Q718" s="52"/>
      <c r="R718" s="52"/>
      <c r="S718" s="52"/>
      <c r="T718" s="55"/>
      <c r="U718" s="52" t="str">
        <f t="shared" ca="1" si="11"/>
        <v/>
      </c>
      <c r="V718" s="54">
        <v>0</v>
      </c>
      <c r="W718" s="52" t="s">
        <v>5587</v>
      </c>
    </row>
    <row r="719" spans="1:23" ht="20.100000000000001" customHeight="1" x14ac:dyDescent="0.25">
      <c r="A719" s="50"/>
      <c r="B719" s="50"/>
      <c r="C719" s="51"/>
      <c r="D719" s="51"/>
      <c r="E719" s="52"/>
      <c r="F719" s="52"/>
      <c r="G719" s="52"/>
      <c r="H719" s="52">
        <v>6155</v>
      </c>
      <c r="I719" s="52"/>
      <c r="J719" s="52"/>
      <c r="K719" s="53"/>
      <c r="L719" s="54"/>
      <c r="M719" s="52"/>
      <c r="N719" s="55"/>
      <c r="O719" s="50"/>
      <c r="P719" s="53"/>
      <c r="Q719" s="52"/>
      <c r="R719" s="52"/>
      <c r="S719" s="52"/>
      <c r="T719" s="55"/>
      <c r="U719" s="52" t="str">
        <f t="shared" ca="1" si="11"/>
        <v/>
      </c>
      <c r="V719" s="54">
        <v>0</v>
      </c>
      <c r="W719" s="52" t="s">
        <v>5587</v>
      </c>
    </row>
    <row r="720" spans="1:23" ht="20.100000000000001" customHeight="1" x14ac:dyDescent="0.25">
      <c r="A720" s="50"/>
      <c r="B720" s="50"/>
      <c r="C720" s="51"/>
      <c r="D720" s="51"/>
      <c r="E720" s="52"/>
      <c r="F720" s="52"/>
      <c r="G720" s="52"/>
      <c r="H720" s="52">
        <v>6156</v>
      </c>
      <c r="I720" s="52"/>
      <c r="J720" s="52"/>
      <c r="K720" s="53"/>
      <c r="L720" s="54"/>
      <c r="M720" s="52"/>
      <c r="N720" s="55"/>
      <c r="O720" s="50"/>
      <c r="P720" s="53"/>
      <c r="Q720" s="52"/>
      <c r="R720" s="52"/>
      <c r="S720" s="52"/>
      <c r="T720" s="55"/>
      <c r="U720" s="52" t="str">
        <f t="shared" ca="1" si="11"/>
        <v/>
      </c>
      <c r="V720" s="54">
        <v>0</v>
      </c>
      <c r="W720" s="52" t="s">
        <v>5587</v>
      </c>
    </row>
    <row r="721" spans="1:23" ht="20.100000000000001" customHeight="1" x14ac:dyDescent="0.25">
      <c r="A721" s="50"/>
      <c r="B721" s="50"/>
      <c r="C721" s="51"/>
      <c r="D721" s="51"/>
      <c r="E721" s="52"/>
      <c r="F721" s="52"/>
      <c r="G721" s="52"/>
      <c r="H721" s="52">
        <v>6157</v>
      </c>
      <c r="I721" s="52"/>
      <c r="J721" s="52"/>
      <c r="K721" s="53"/>
      <c r="L721" s="54"/>
      <c r="M721" s="52"/>
      <c r="N721" s="55"/>
      <c r="O721" s="50"/>
      <c r="P721" s="53"/>
      <c r="Q721" s="52"/>
      <c r="R721" s="52"/>
      <c r="S721" s="52"/>
      <c r="T721" s="55"/>
      <c r="U721" s="52" t="str">
        <f t="shared" ca="1" si="11"/>
        <v/>
      </c>
      <c r="V721" s="54">
        <v>0</v>
      </c>
      <c r="W721" s="52" t="s">
        <v>5587</v>
      </c>
    </row>
    <row r="722" spans="1:23" ht="20.100000000000001" customHeight="1" x14ac:dyDescent="0.25">
      <c r="A722" s="50"/>
      <c r="B722" s="50"/>
      <c r="C722" s="51"/>
      <c r="D722" s="51"/>
      <c r="E722" s="52"/>
      <c r="F722" s="52"/>
      <c r="G722" s="52"/>
      <c r="H722" s="52">
        <v>6158</v>
      </c>
      <c r="I722" s="52"/>
      <c r="J722" s="52"/>
      <c r="K722" s="53"/>
      <c r="L722" s="54"/>
      <c r="M722" s="52"/>
      <c r="N722" s="55"/>
      <c r="O722" s="50"/>
      <c r="P722" s="53"/>
      <c r="Q722" s="52"/>
      <c r="R722" s="52"/>
      <c r="S722" s="52"/>
      <c r="T722" s="55"/>
      <c r="U722" s="52" t="str">
        <f t="shared" ca="1" si="11"/>
        <v/>
      </c>
      <c r="V722" s="54">
        <v>0</v>
      </c>
      <c r="W722" s="52" t="s">
        <v>5587</v>
      </c>
    </row>
    <row r="723" spans="1:23" ht="20.100000000000001" customHeight="1" x14ac:dyDescent="0.25">
      <c r="A723" s="50"/>
      <c r="B723" s="50"/>
      <c r="C723" s="51"/>
      <c r="D723" s="51"/>
      <c r="E723" s="52"/>
      <c r="F723" s="52"/>
      <c r="G723" s="52"/>
      <c r="H723" s="52">
        <v>6159</v>
      </c>
      <c r="I723" s="52"/>
      <c r="J723" s="52"/>
      <c r="K723" s="53"/>
      <c r="L723" s="54"/>
      <c r="M723" s="52"/>
      <c r="N723" s="55"/>
      <c r="O723" s="50"/>
      <c r="P723" s="53"/>
      <c r="Q723" s="52"/>
      <c r="R723" s="52"/>
      <c r="S723" s="52"/>
      <c r="T723" s="55"/>
      <c r="U723" s="52" t="str">
        <f t="shared" ca="1" si="11"/>
        <v/>
      </c>
      <c r="V723" s="54">
        <v>0</v>
      </c>
      <c r="W723" s="52" t="s">
        <v>5587</v>
      </c>
    </row>
    <row r="724" spans="1:23" ht="20.100000000000001" customHeight="1" x14ac:dyDescent="0.25">
      <c r="A724" s="50"/>
      <c r="B724" s="50"/>
      <c r="C724" s="51"/>
      <c r="D724" s="51"/>
      <c r="E724" s="52"/>
      <c r="F724" s="52"/>
      <c r="G724" s="52"/>
      <c r="H724" s="52">
        <v>6160</v>
      </c>
      <c r="I724" s="52"/>
      <c r="J724" s="52"/>
      <c r="K724" s="53"/>
      <c r="L724" s="54"/>
      <c r="M724" s="52"/>
      <c r="N724" s="55"/>
      <c r="O724" s="50"/>
      <c r="P724" s="53"/>
      <c r="Q724" s="52"/>
      <c r="R724" s="52"/>
      <c r="S724" s="52"/>
      <c r="T724" s="55"/>
      <c r="U724" s="52" t="str">
        <f t="shared" ca="1" si="11"/>
        <v/>
      </c>
      <c r="V724" s="54">
        <v>0</v>
      </c>
      <c r="W724" s="52" t="s">
        <v>5587</v>
      </c>
    </row>
    <row r="725" spans="1:23" ht="20.100000000000001" customHeight="1" x14ac:dyDescent="0.25">
      <c r="A725" s="50"/>
      <c r="B725" s="50"/>
      <c r="C725" s="51"/>
      <c r="D725" s="51"/>
      <c r="E725" s="52"/>
      <c r="F725" s="52"/>
      <c r="G725" s="52"/>
      <c r="H725" s="52">
        <v>6161</v>
      </c>
      <c r="I725" s="52"/>
      <c r="J725" s="52"/>
      <c r="K725" s="53"/>
      <c r="L725" s="54"/>
      <c r="M725" s="52"/>
      <c r="N725" s="55"/>
      <c r="O725" s="50"/>
      <c r="P725" s="53"/>
      <c r="Q725" s="52"/>
      <c r="R725" s="52"/>
      <c r="S725" s="52"/>
      <c r="T725" s="55"/>
      <c r="U725" s="52" t="str">
        <f t="shared" ca="1" si="11"/>
        <v/>
      </c>
      <c r="V725" s="54">
        <v>0</v>
      </c>
      <c r="W725" s="52" t="s">
        <v>5587</v>
      </c>
    </row>
    <row r="726" spans="1:23" ht="20.100000000000001" customHeight="1" x14ac:dyDescent="0.25">
      <c r="A726" s="50"/>
      <c r="B726" s="50"/>
      <c r="C726" s="51"/>
      <c r="D726" s="51"/>
      <c r="E726" s="52"/>
      <c r="F726" s="52"/>
      <c r="G726" s="52"/>
      <c r="H726" s="52">
        <v>6162</v>
      </c>
      <c r="I726" s="52"/>
      <c r="J726" s="52"/>
      <c r="K726" s="53"/>
      <c r="L726" s="54"/>
      <c r="M726" s="52"/>
      <c r="N726" s="55"/>
      <c r="O726" s="50"/>
      <c r="P726" s="53"/>
      <c r="Q726" s="52"/>
      <c r="R726" s="52"/>
      <c r="S726" s="52"/>
      <c r="T726" s="55"/>
      <c r="U726" s="52" t="str">
        <f t="shared" ca="1" si="11"/>
        <v/>
      </c>
      <c r="V726" s="54">
        <v>0</v>
      </c>
      <c r="W726" s="52" t="s">
        <v>5587</v>
      </c>
    </row>
    <row r="727" spans="1:23" ht="20.100000000000001" customHeight="1" x14ac:dyDescent="0.25">
      <c r="A727" s="50"/>
      <c r="B727" s="50"/>
      <c r="C727" s="51"/>
      <c r="D727" s="51"/>
      <c r="E727" s="52"/>
      <c r="F727" s="52"/>
      <c r="G727" s="52"/>
      <c r="H727" s="52">
        <v>6163</v>
      </c>
      <c r="I727" s="52"/>
      <c r="J727" s="52"/>
      <c r="K727" s="53"/>
      <c r="L727" s="54"/>
      <c r="M727" s="52"/>
      <c r="N727" s="55"/>
      <c r="O727" s="50"/>
      <c r="P727" s="53"/>
      <c r="Q727" s="52"/>
      <c r="R727" s="52"/>
      <c r="S727" s="52"/>
      <c r="T727" s="55"/>
      <c r="U727" s="52" t="str">
        <f t="shared" ca="1" si="11"/>
        <v/>
      </c>
      <c r="V727" s="54">
        <v>0</v>
      </c>
      <c r="W727" s="52" t="s">
        <v>5587</v>
      </c>
    </row>
    <row r="728" spans="1:23" ht="20.100000000000001" customHeight="1" x14ac:dyDescent="0.25">
      <c r="A728" s="50"/>
      <c r="B728" s="50"/>
      <c r="C728" s="51"/>
      <c r="D728" s="51"/>
      <c r="E728" s="52"/>
      <c r="F728" s="52"/>
      <c r="G728" s="52"/>
      <c r="H728" s="52">
        <v>6164</v>
      </c>
      <c r="I728" s="52"/>
      <c r="J728" s="52"/>
      <c r="K728" s="53"/>
      <c r="L728" s="54"/>
      <c r="M728" s="52"/>
      <c r="N728" s="55"/>
      <c r="O728" s="50"/>
      <c r="P728" s="53"/>
      <c r="Q728" s="52"/>
      <c r="R728" s="52"/>
      <c r="S728" s="52"/>
      <c r="T728" s="55"/>
      <c r="U728" s="52" t="str">
        <f t="shared" ca="1" si="11"/>
        <v/>
      </c>
      <c r="V728" s="54">
        <v>0</v>
      </c>
      <c r="W728" s="52" t="s">
        <v>5587</v>
      </c>
    </row>
    <row r="729" spans="1:23" ht="20.100000000000001" customHeight="1" x14ac:dyDescent="0.25">
      <c r="A729" s="50"/>
      <c r="B729" s="50"/>
      <c r="C729" s="51"/>
      <c r="D729" s="51"/>
      <c r="E729" s="52"/>
      <c r="F729" s="52"/>
      <c r="G729" s="52"/>
      <c r="H729" s="52">
        <v>6165</v>
      </c>
      <c r="I729" s="52"/>
      <c r="J729" s="52"/>
      <c r="K729" s="53"/>
      <c r="L729" s="54"/>
      <c r="M729" s="52"/>
      <c r="N729" s="55"/>
      <c r="O729" s="50"/>
      <c r="P729" s="53"/>
      <c r="Q729" s="52"/>
      <c r="R729" s="52"/>
      <c r="S729" s="52"/>
      <c r="T729" s="55"/>
      <c r="U729" s="52" t="str">
        <f t="shared" ca="1" si="11"/>
        <v/>
      </c>
      <c r="V729" s="54">
        <v>0</v>
      </c>
      <c r="W729" s="52" t="s">
        <v>5587</v>
      </c>
    </row>
    <row r="730" spans="1:23" ht="20.100000000000001" customHeight="1" x14ac:dyDescent="0.25">
      <c r="A730" s="50"/>
      <c r="B730" s="50"/>
      <c r="C730" s="51"/>
      <c r="D730" s="51"/>
      <c r="E730" s="52"/>
      <c r="F730" s="52"/>
      <c r="G730" s="52"/>
      <c r="H730" s="52">
        <v>6166</v>
      </c>
      <c r="I730" s="52"/>
      <c r="J730" s="52"/>
      <c r="K730" s="53"/>
      <c r="L730" s="54"/>
      <c r="M730" s="52"/>
      <c r="N730" s="55"/>
      <c r="O730" s="50"/>
      <c r="P730" s="53"/>
      <c r="Q730" s="52"/>
      <c r="R730" s="52"/>
      <c r="S730" s="52"/>
      <c r="T730" s="55"/>
      <c r="U730" s="52" t="str">
        <f t="shared" ca="1" si="11"/>
        <v/>
      </c>
      <c r="V730" s="54">
        <v>0</v>
      </c>
      <c r="W730" s="52" t="s">
        <v>5587</v>
      </c>
    </row>
    <row r="731" spans="1:23" ht="20.100000000000001" customHeight="1" x14ac:dyDescent="0.25">
      <c r="A731" s="50"/>
      <c r="B731" s="50"/>
      <c r="C731" s="51"/>
      <c r="D731" s="51"/>
      <c r="E731" s="52"/>
      <c r="F731" s="52"/>
      <c r="G731" s="52"/>
      <c r="H731" s="52">
        <v>6167</v>
      </c>
      <c r="I731" s="52"/>
      <c r="J731" s="52"/>
      <c r="K731" s="53"/>
      <c r="L731" s="54"/>
      <c r="M731" s="52"/>
      <c r="N731" s="55"/>
      <c r="O731" s="50"/>
      <c r="P731" s="53"/>
      <c r="Q731" s="52"/>
      <c r="R731" s="52"/>
      <c r="S731" s="52"/>
      <c r="T731" s="55"/>
      <c r="U731" s="52" t="str">
        <f t="shared" ca="1" si="11"/>
        <v/>
      </c>
      <c r="V731" s="54">
        <v>0</v>
      </c>
      <c r="W731" s="52" t="s">
        <v>5587</v>
      </c>
    </row>
    <row r="732" spans="1:23" ht="20.100000000000001" customHeight="1" x14ac:dyDescent="0.25">
      <c r="A732" s="50"/>
      <c r="B732" s="50"/>
      <c r="C732" s="51"/>
      <c r="D732" s="51"/>
      <c r="E732" s="52"/>
      <c r="F732" s="52"/>
      <c r="G732" s="52"/>
      <c r="H732" s="52">
        <v>6168</v>
      </c>
      <c r="I732" s="52"/>
      <c r="J732" s="52"/>
      <c r="K732" s="53"/>
      <c r="L732" s="54"/>
      <c r="M732" s="52"/>
      <c r="N732" s="55"/>
      <c r="O732" s="50"/>
      <c r="P732" s="53"/>
      <c r="Q732" s="52"/>
      <c r="R732" s="52"/>
      <c r="S732" s="52"/>
      <c r="T732" s="55"/>
      <c r="U732" s="52" t="str">
        <f t="shared" ca="1" si="11"/>
        <v/>
      </c>
      <c r="V732" s="54">
        <v>0</v>
      </c>
      <c r="W732" s="52" t="s">
        <v>5587</v>
      </c>
    </row>
    <row r="733" spans="1:23" ht="20.100000000000001" customHeight="1" x14ac:dyDescent="0.25">
      <c r="A733" s="50"/>
      <c r="B733" s="50"/>
      <c r="C733" s="51"/>
      <c r="D733" s="51"/>
      <c r="E733" s="52"/>
      <c r="F733" s="52"/>
      <c r="G733" s="52"/>
      <c r="H733" s="52">
        <v>6169</v>
      </c>
      <c r="I733" s="52"/>
      <c r="J733" s="52"/>
      <c r="K733" s="53"/>
      <c r="L733" s="54"/>
      <c r="M733" s="52"/>
      <c r="N733" s="55"/>
      <c r="O733" s="50"/>
      <c r="P733" s="53"/>
      <c r="Q733" s="52"/>
      <c r="R733" s="52"/>
      <c r="S733" s="52"/>
      <c r="T733" s="55"/>
      <c r="U733" s="52" t="str">
        <f t="shared" ca="1" si="11"/>
        <v/>
      </c>
      <c r="V733" s="54">
        <v>0</v>
      </c>
      <c r="W733" s="52" t="s">
        <v>5587</v>
      </c>
    </row>
    <row r="734" spans="1:23" ht="20.100000000000001" customHeight="1" x14ac:dyDescent="0.25">
      <c r="A734" s="50"/>
      <c r="B734" s="50"/>
      <c r="C734" s="51"/>
      <c r="D734" s="51"/>
      <c r="E734" s="52"/>
      <c r="F734" s="52"/>
      <c r="G734" s="52"/>
      <c r="H734" s="52">
        <v>6170</v>
      </c>
      <c r="I734" s="52"/>
      <c r="J734" s="52"/>
      <c r="K734" s="53"/>
      <c r="L734" s="54"/>
      <c r="M734" s="52"/>
      <c r="N734" s="55"/>
      <c r="O734" s="50"/>
      <c r="P734" s="53"/>
      <c r="Q734" s="52"/>
      <c r="R734" s="52"/>
      <c r="S734" s="52"/>
      <c r="T734" s="55"/>
      <c r="U734" s="52" t="str">
        <f t="shared" ca="1" si="11"/>
        <v/>
      </c>
      <c r="V734" s="54">
        <v>0</v>
      </c>
      <c r="W734" s="52" t="s">
        <v>5587</v>
      </c>
    </row>
    <row r="735" spans="1:23" ht="20.100000000000001" customHeight="1" x14ac:dyDescent="0.25">
      <c r="A735" s="50"/>
      <c r="B735" s="50"/>
      <c r="C735" s="51"/>
      <c r="D735" s="51"/>
      <c r="E735" s="52"/>
      <c r="F735" s="52"/>
      <c r="G735" s="52"/>
      <c r="H735" s="52">
        <v>6171</v>
      </c>
      <c r="I735" s="52"/>
      <c r="J735" s="52"/>
      <c r="K735" s="53"/>
      <c r="L735" s="54"/>
      <c r="M735" s="52"/>
      <c r="N735" s="55"/>
      <c r="O735" s="50"/>
      <c r="P735" s="53"/>
      <c r="Q735" s="52"/>
      <c r="R735" s="52"/>
      <c r="S735" s="52"/>
      <c r="T735" s="55"/>
      <c r="U735" s="52" t="str">
        <f t="shared" ca="1" si="11"/>
        <v/>
      </c>
      <c r="V735" s="54">
        <v>0</v>
      </c>
      <c r="W735" s="52" t="s">
        <v>5587</v>
      </c>
    </row>
    <row r="736" spans="1:23" ht="20.100000000000001" customHeight="1" x14ac:dyDescent="0.25">
      <c r="A736" s="50"/>
      <c r="B736" s="50"/>
      <c r="C736" s="51"/>
      <c r="D736" s="51"/>
      <c r="E736" s="52"/>
      <c r="F736" s="52"/>
      <c r="G736" s="52"/>
      <c r="H736" s="52">
        <v>6172</v>
      </c>
      <c r="I736" s="52"/>
      <c r="J736" s="52"/>
      <c r="K736" s="53"/>
      <c r="L736" s="54"/>
      <c r="M736" s="52"/>
      <c r="N736" s="55"/>
      <c r="O736" s="50"/>
      <c r="P736" s="53"/>
      <c r="Q736" s="52"/>
      <c r="R736" s="52"/>
      <c r="S736" s="52"/>
      <c r="T736" s="55"/>
      <c r="U736" s="52" t="str">
        <f t="shared" ca="1" si="11"/>
        <v/>
      </c>
      <c r="V736" s="54">
        <v>0</v>
      </c>
      <c r="W736" s="52" t="s">
        <v>5587</v>
      </c>
    </row>
    <row r="737" spans="1:23" ht="20.100000000000001" customHeight="1" x14ac:dyDescent="0.25">
      <c r="A737" s="50"/>
      <c r="B737" s="50"/>
      <c r="C737" s="51"/>
      <c r="D737" s="51"/>
      <c r="E737" s="52"/>
      <c r="F737" s="52"/>
      <c r="G737" s="52"/>
      <c r="H737" s="52">
        <v>6173</v>
      </c>
      <c r="I737" s="52"/>
      <c r="J737" s="52"/>
      <c r="K737" s="53"/>
      <c r="L737" s="54"/>
      <c r="M737" s="52"/>
      <c r="N737" s="55"/>
      <c r="O737" s="50"/>
      <c r="P737" s="53"/>
      <c r="Q737" s="52"/>
      <c r="R737" s="52"/>
      <c r="S737" s="52"/>
      <c r="T737" s="55"/>
      <c r="U737" s="52" t="str">
        <f t="shared" ca="1" si="11"/>
        <v/>
      </c>
      <c r="V737" s="54">
        <v>0</v>
      </c>
      <c r="W737" s="52" t="s">
        <v>5587</v>
      </c>
    </row>
    <row r="738" spans="1:23" ht="20.100000000000001" customHeight="1" x14ac:dyDescent="0.25">
      <c r="A738" s="50"/>
      <c r="B738" s="50"/>
      <c r="C738" s="51"/>
      <c r="D738" s="51"/>
      <c r="E738" s="52"/>
      <c r="F738" s="52"/>
      <c r="G738" s="52"/>
      <c r="H738" s="52">
        <v>6174</v>
      </c>
      <c r="I738" s="52"/>
      <c r="J738" s="52"/>
      <c r="K738" s="53"/>
      <c r="L738" s="54"/>
      <c r="M738" s="52"/>
      <c r="N738" s="55"/>
      <c r="O738" s="50"/>
      <c r="P738" s="53"/>
      <c r="Q738" s="52"/>
      <c r="R738" s="52"/>
      <c r="S738" s="52"/>
      <c r="T738" s="55"/>
      <c r="U738" s="52" t="str">
        <f t="shared" ca="1" si="11"/>
        <v/>
      </c>
      <c r="V738" s="54">
        <v>0</v>
      </c>
      <c r="W738" s="52" t="s">
        <v>5587</v>
      </c>
    </row>
    <row r="739" spans="1:23" ht="20.100000000000001" customHeight="1" x14ac:dyDescent="0.25">
      <c r="A739" s="50"/>
      <c r="B739" s="50"/>
      <c r="C739" s="51"/>
      <c r="D739" s="51"/>
      <c r="E739" s="52"/>
      <c r="F739" s="52"/>
      <c r="G739" s="52"/>
      <c r="H739" s="52">
        <v>6175</v>
      </c>
      <c r="I739" s="52"/>
      <c r="J739" s="52"/>
      <c r="K739" s="53"/>
      <c r="L739" s="54"/>
      <c r="M739" s="52"/>
      <c r="N739" s="55"/>
      <c r="O739" s="50"/>
      <c r="P739" s="53"/>
      <c r="Q739" s="52"/>
      <c r="R739" s="52"/>
      <c r="S739" s="52"/>
      <c r="T739" s="55"/>
      <c r="U739" s="52" t="str">
        <f t="shared" ca="1" si="11"/>
        <v/>
      </c>
      <c r="V739" s="54">
        <v>0</v>
      </c>
      <c r="W739" s="52" t="s">
        <v>5587</v>
      </c>
    </row>
    <row r="740" spans="1:23" ht="20.100000000000001" customHeight="1" x14ac:dyDescent="0.25">
      <c r="A740" s="50"/>
      <c r="B740" s="50"/>
      <c r="C740" s="51"/>
      <c r="D740" s="51"/>
      <c r="E740" s="52"/>
      <c r="F740" s="52"/>
      <c r="G740" s="52"/>
      <c r="H740" s="52">
        <v>6176</v>
      </c>
      <c r="I740" s="52"/>
      <c r="J740" s="52"/>
      <c r="K740" s="53"/>
      <c r="L740" s="54"/>
      <c r="M740" s="52"/>
      <c r="N740" s="55"/>
      <c r="O740" s="50"/>
      <c r="P740" s="53"/>
      <c r="Q740" s="52"/>
      <c r="R740" s="52"/>
      <c r="S740" s="52"/>
      <c r="T740" s="55"/>
      <c r="U740" s="52" t="str">
        <f t="shared" ca="1" si="11"/>
        <v/>
      </c>
      <c r="V740" s="54">
        <v>0</v>
      </c>
      <c r="W740" s="52" t="s">
        <v>5587</v>
      </c>
    </row>
    <row r="741" spans="1:23" ht="20.100000000000001" customHeight="1" x14ac:dyDescent="0.25">
      <c r="A741" s="50"/>
      <c r="B741" s="50"/>
      <c r="C741" s="51"/>
      <c r="D741" s="51"/>
      <c r="E741" s="52"/>
      <c r="F741" s="52"/>
      <c r="G741" s="52"/>
      <c r="H741" s="52">
        <v>6177</v>
      </c>
      <c r="I741" s="52"/>
      <c r="J741" s="52"/>
      <c r="K741" s="53"/>
      <c r="L741" s="54"/>
      <c r="M741" s="52"/>
      <c r="N741" s="55"/>
      <c r="O741" s="50"/>
      <c r="P741" s="53"/>
      <c r="Q741" s="52"/>
      <c r="R741" s="52"/>
      <c r="S741" s="52"/>
      <c r="T741" s="55"/>
      <c r="U741" s="52" t="str">
        <f t="shared" ca="1" si="11"/>
        <v/>
      </c>
      <c r="V741" s="54">
        <v>0</v>
      </c>
      <c r="W741" s="52" t="s">
        <v>5587</v>
      </c>
    </row>
    <row r="742" spans="1:23" ht="20.100000000000001" customHeight="1" x14ac:dyDescent="0.25">
      <c r="A742" s="50"/>
      <c r="B742" s="50"/>
      <c r="C742" s="51"/>
      <c r="D742" s="51"/>
      <c r="E742" s="52"/>
      <c r="F742" s="52"/>
      <c r="G742" s="52"/>
      <c r="H742" s="52">
        <v>6178</v>
      </c>
      <c r="I742" s="52"/>
      <c r="J742" s="52"/>
      <c r="K742" s="53"/>
      <c r="L742" s="54"/>
      <c r="M742" s="52"/>
      <c r="N742" s="55"/>
      <c r="O742" s="50"/>
      <c r="P742" s="53"/>
      <c r="Q742" s="52"/>
      <c r="R742" s="52"/>
      <c r="S742" s="52"/>
      <c r="T742" s="55"/>
      <c r="U742" s="52" t="str">
        <f t="shared" ca="1" si="11"/>
        <v/>
      </c>
      <c r="V742" s="54">
        <v>0</v>
      </c>
      <c r="W742" s="52" t="s">
        <v>5587</v>
      </c>
    </row>
    <row r="743" spans="1:23" ht="20.100000000000001" customHeight="1" x14ac:dyDescent="0.25">
      <c r="A743" s="50"/>
      <c r="B743" s="50"/>
      <c r="C743" s="51"/>
      <c r="D743" s="51"/>
      <c r="E743" s="52"/>
      <c r="F743" s="52"/>
      <c r="G743" s="52"/>
      <c r="H743" s="52">
        <v>6179</v>
      </c>
      <c r="I743" s="52"/>
      <c r="J743" s="52"/>
      <c r="K743" s="53"/>
      <c r="L743" s="54"/>
      <c r="M743" s="52"/>
      <c r="N743" s="55"/>
      <c r="O743" s="50"/>
      <c r="P743" s="53"/>
      <c r="Q743" s="52"/>
      <c r="R743" s="52"/>
      <c r="S743" s="52"/>
      <c r="T743" s="55"/>
      <c r="U743" s="52" t="str">
        <f t="shared" ca="1" si="11"/>
        <v/>
      </c>
      <c r="V743" s="54">
        <v>0</v>
      </c>
      <c r="W743" s="52" t="s">
        <v>5587</v>
      </c>
    </row>
    <row r="744" spans="1:23" ht="20.100000000000001" customHeight="1" x14ac:dyDescent="0.25">
      <c r="A744" s="50"/>
      <c r="B744" s="50"/>
      <c r="C744" s="51"/>
      <c r="D744" s="51"/>
      <c r="E744" s="52"/>
      <c r="F744" s="52"/>
      <c r="G744" s="52"/>
      <c r="H744" s="52">
        <v>6180</v>
      </c>
      <c r="I744" s="52"/>
      <c r="J744" s="52"/>
      <c r="K744" s="53"/>
      <c r="L744" s="54"/>
      <c r="M744" s="52"/>
      <c r="N744" s="55"/>
      <c r="O744" s="50"/>
      <c r="P744" s="53"/>
      <c r="Q744" s="52"/>
      <c r="R744" s="52"/>
      <c r="S744" s="52"/>
      <c r="T744" s="55"/>
      <c r="U744" s="52" t="str">
        <f t="shared" ca="1" si="11"/>
        <v/>
      </c>
      <c r="V744" s="54">
        <v>0</v>
      </c>
      <c r="W744" s="52" t="s">
        <v>5587</v>
      </c>
    </row>
    <row r="745" spans="1:23" ht="20.100000000000001" customHeight="1" x14ac:dyDescent="0.25">
      <c r="A745" s="50"/>
      <c r="B745" s="50"/>
      <c r="C745" s="51"/>
      <c r="D745" s="51"/>
      <c r="E745" s="52"/>
      <c r="F745" s="52"/>
      <c r="G745" s="52"/>
      <c r="H745" s="52">
        <v>6181</v>
      </c>
      <c r="I745" s="52"/>
      <c r="J745" s="52"/>
      <c r="K745" s="53"/>
      <c r="L745" s="54"/>
      <c r="M745" s="52"/>
      <c r="N745" s="55"/>
      <c r="O745" s="50"/>
      <c r="P745" s="53"/>
      <c r="Q745" s="52"/>
      <c r="R745" s="52"/>
      <c r="S745" s="52"/>
      <c r="T745" s="55"/>
      <c r="U745" s="52" t="str">
        <f t="shared" ca="1" si="11"/>
        <v/>
      </c>
      <c r="V745" s="54">
        <v>0</v>
      </c>
      <c r="W745" s="52" t="s">
        <v>5587</v>
      </c>
    </row>
    <row r="746" spans="1:23" ht="20.100000000000001" customHeight="1" x14ac:dyDescent="0.25">
      <c r="A746" s="50"/>
      <c r="B746" s="50"/>
      <c r="C746" s="51"/>
      <c r="D746" s="51"/>
      <c r="E746" s="52"/>
      <c r="F746" s="52"/>
      <c r="G746" s="52"/>
      <c r="H746" s="52">
        <v>6182</v>
      </c>
      <c r="I746" s="52"/>
      <c r="J746" s="52"/>
      <c r="K746" s="53"/>
      <c r="L746" s="54"/>
      <c r="M746" s="52"/>
      <c r="N746" s="55"/>
      <c r="O746" s="50"/>
      <c r="P746" s="53"/>
      <c r="Q746" s="52"/>
      <c r="R746" s="52"/>
      <c r="S746" s="52"/>
      <c r="T746" s="55"/>
      <c r="U746" s="52" t="str">
        <f t="shared" ca="1" si="11"/>
        <v/>
      </c>
      <c r="V746" s="54">
        <v>0</v>
      </c>
      <c r="W746" s="52" t="s">
        <v>5587</v>
      </c>
    </row>
    <row r="747" spans="1:23" ht="20.100000000000001" customHeight="1" x14ac:dyDescent="0.25">
      <c r="A747" s="50"/>
      <c r="B747" s="50"/>
      <c r="C747" s="51"/>
      <c r="D747" s="51"/>
      <c r="E747" s="52"/>
      <c r="F747" s="52"/>
      <c r="G747" s="52"/>
      <c r="H747" s="52">
        <v>6183</v>
      </c>
      <c r="I747" s="52"/>
      <c r="J747" s="52"/>
      <c r="K747" s="53"/>
      <c r="L747" s="54"/>
      <c r="M747" s="52"/>
      <c r="N747" s="55"/>
      <c r="O747" s="50"/>
      <c r="P747" s="53"/>
      <c r="Q747" s="52"/>
      <c r="R747" s="52"/>
      <c r="S747" s="52"/>
      <c r="T747" s="55"/>
      <c r="U747" s="52" t="str">
        <f t="shared" ca="1" si="11"/>
        <v/>
      </c>
      <c r="V747" s="54">
        <v>0</v>
      </c>
      <c r="W747" s="52" t="s">
        <v>5587</v>
      </c>
    </row>
    <row r="748" spans="1:23" ht="20.100000000000001" customHeight="1" x14ac:dyDescent="0.25">
      <c r="A748" s="50"/>
      <c r="B748" s="50"/>
      <c r="C748" s="51"/>
      <c r="D748" s="51"/>
      <c r="E748" s="52"/>
      <c r="F748" s="52"/>
      <c r="G748" s="52"/>
      <c r="H748" s="52">
        <v>6184</v>
      </c>
      <c r="I748" s="52"/>
      <c r="J748" s="52"/>
      <c r="K748" s="53"/>
      <c r="L748" s="54"/>
      <c r="M748" s="52"/>
      <c r="N748" s="55"/>
      <c r="O748" s="50"/>
      <c r="P748" s="53"/>
      <c r="Q748" s="52"/>
      <c r="R748" s="52"/>
      <c r="S748" s="52"/>
      <c r="T748" s="55"/>
      <c r="U748" s="52" t="str">
        <f t="shared" ca="1" si="11"/>
        <v/>
      </c>
      <c r="V748" s="54">
        <v>0</v>
      </c>
      <c r="W748" s="52" t="s">
        <v>5587</v>
      </c>
    </row>
    <row r="749" spans="1:23" ht="20.100000000000001" customHeight="1" x14ac:dyDescent="0.25">
      <c r="A749" s="50"/>
      <c r="B749" s="50"/>
      <c r="C749" s="51"/>
      <c r="D749" s="51"/>
      <c r="E749" s="52"/>
      <c r="F749" s="52"/>
      <c r="G749" s="52"/>
      <c r="H749" s="52">
        <v>6185</v>
      </c>
      <c r="I749" s="52"/>
      <c r="J749" s="52"/>
      <c r="K749" s="53"/>
      <c r="L749" s="54"/>
      <c r="M749" s="52"/>
      <c r="N749" s="55"/>
      <c r="O749" s="50"/>
      <c r="P749" s="53"/>
      <c r="Q749" s="52"/>
      <c r="R749" s="52"/>
      <c r="S749" s="52"/>
      <c r="T749" s="55"/>
      <c r="U749" s="52" t="str">
        <f t="shared" ca="1" si="11"/>
        <v/>
      </c>
      <c r="V749" s="54">
        <v>0</v>
      </c>
      <c r="W749" s="52" t="s">
        <v>5587</v>
      </c>
    </row>
    <row r="750" spans="1:23" ht="20.100000000000001" customHeight="1" x14ac:dyDescent="0.25">
      <c r="A750" s="50"/>
      <c r="B750" s="50"/>
      <c r="C750" s="51"/>
      <c r="D750" s="51"/>
      <c r="E750" s="52"/>
      <c r="F750" s="52"/>
      <c r="G750" s="52"/>
      <c r="H750" s="52">
        <v>6186</v>
      </c>
      <c r="I750" s="52"/>
      <c r="J750" s="52"/>
      <c r="K750" s="53"/>
      <c r="L750" s="54"/>
      <c r="M750" s="52"/>
      <c r="N750" s="55"/>
      <c r="O750" s="50"/>
      <c r="P750" s="53"/>
      <c r="Q750" s="52"/>
      <c r="R750" s="52"/>
      <c r="S750" s="52"/>
      <c r="T750" s="55"/>
      <c r="U750" s="52" t="str">
        <f t="shared" ca="1" si="11"/>
        <v/>
      </c>
      <c r="V750" s="54">
        <v>0</v>
      </c>
      <c r="W750" s="52" t="s">
        <v>5587</v>
      </c>
    </row>
    <row r="751" spans="1:23" ht="20.100000000000001" customHeight="1" x14ac:dyDescent="0.25">
      <c r="A751" s="50"/>
      <c r="B751" s="50"/>
      <c r="C751" s="51"/>
      <c r="D751" s="51"/>
      <c r="E751" s="52"/>
      <c r="F751" s="52"/>
      <c r="G751" s="52"/>
      <c r="H751" s="52">
        <v>6187</v>
      </c>
      <c r="I751" s="52"/>
      <c r="J751" s="52"/>
      <c r="K751" s="53"/>
      <c r="L751" s="54"/>
      <c r="M751" s="52"/>
      <c r="N751" s="55"/>
      <c r="O751" s="50"/>
      <c r="P751" s="53"/>
      <c r="Q751" s="52"/>
      <c r="R751" s="52"/>
      <c r="S751" s="52"/>
      <c r="T751" s="55"/>
      <c r="U751" s="52" t="str">
        <f t="shared" ca="1" si="11"/>
        <v/>
      </c>
      <c r="V751" s="54">
        <v>0</v>
      </c>
      <c r="W751" s="52" t="s">
        <v>5587</v>
      </c>
    </row>
    <row r="752" spans="1:23" ht="20.100000000000001" customHeight="1" x14ac:dyDescent="0.25">
      <c r="A752" s="50"/>
      <c r="B752" s="50"/>
      <c r="C752" s="51"/>
      <c r="D752" s="51"/>
      <c r="E752" s="52"/>
      <c r="F752" s="52"/>
      <c r="G752" s="52"/>
      <c r="H752" s="52">
        <v>6188</v>
      </c>
      <c r="I752" s="52"/>
      <c r="J752" s="52"/>
      <c r="K752" s="53"/>
      <c r="L752" s="54"/>
      <c r="M752" s="52"/>
      <c r="N752" s="55"/>
      <c r="O752" s="50"/>
      <c r="P752" s="53"/>
      <c r="Q752" s="52"/>
      <c r="R752" s="52"/>
      <c r="S752" s="52"/>
      <c r="T752" s="55"/>
      <c r="U752" s="52" t="str">
        <f t="shared" ca="1" si="11"/>
        <v/>
      </c>
      <c r="V752" s="54">
        <v>0</v>
      </c>
      <c r="W752" s="52" t="s">
        <v>5587</v>
      </c>
    </row>
    <row r="753" spans="1:23" ht="20.100000000000001" customHeight="1" x14ac:dyDescent="0.25">
      <c r="A753" s="50"/>
      <c r="B753" s="50"/>
      <c r="C753" s="51"/>
      <c r="D753" s="51"/>
      <c r="E753" s="52"/>
      <c r="F753" s="52"/>
      <c r="G753" s="52"/>
      <c r="H753" s="52">
        <v>6189</v>
      </c>
      <c r="I753" s="52"/>
      <c r="J753" s="52"/>
      <c r="K753" s="53"/>
      <c r="L753" s="54"/>
      <c r="M753" s="52"/>
      <c r="N753" s="55"/>
      <c r="O753" s="50"/>
      <c r="P753" s="53"/>
      <c r="Q753" s="52"/>
      <c r="R753" s="52"/>
      <c r="S753" s="52"/>
      <c r="T753" s="55"/>
      <c r="U753" s="52" t="str">
        <f t="shared" ca="1" si="11"/>
        <v/>
      </c>
      <c r="V753" s="54">
        <v>0</v>
      </c>
      <c r="W753" s="52" t="s">
        <v>5587</v>
      </c>
    </row>
    <row r="754" spans="1:23" ht="20.100000000000001" customHeight="1" x14ac:dyDescent="0.25">
      <c r="A754" s="50"/>
      <c r="B754" s="50"/>
      <c r="C754" s="51"/>
      <c r="D754" s="51"/>
      <c r="E754" s="52"/>
      <c r="F754" s="52"/>
      <c r="G754" s="52"/>
      <c r="H754" s="52">
        <v>6190</v>
      </c>
      <c r="I754" s="52"/>
      <c r="J754" s="52"/>
      <c r="K754" s="53"/>
      <c r="L754" s="54"/>
      <c r="M754" s="52"/>
      <c r="N754" s="55"/>
      <c r="O754" s="50"/>
      <c r="P754" s="53"/>
      <c r="Q754" s="52"/>
      <c r="R754" s="52"/>
      <c r="S754" s="52"/>
      <c r="T754" s="55"/>
      <c r="U754" s="52" t="str">
        <f t="shared" ca="1" si="11"/>
        <v/>
      </c>
      <c r="V754" s="54">
        <v>0</v>
      </c>
      <c r="W754" s="52" t="s">
        <v>5587</v>
      </c>
    </row>
    <row r="755" spans="1:23" ht="20.100000000000001" customHeight="1" x14ac:dyDescent="0.25">
      <c r="A755" s="50"/>
      <c r="B755" s="50"/>
      <c r="C755" s="51"/>
      <c r="D755" s="51"/>
      <c r="E755" s="52"/>
      <c r="F755" s="52"/>
      <c r="G755" s="52"/>
      <c r="H755" s="52">
        <v>6191</v>
      </c>
      <c r="I755" s="52"/>
      <c r="J755" s="52"/>
      <c r="K755" s="53"/>
      <c r="L755" s="54"/>
      <c r="M755" s="52"/>
      <c r="N755" s="55"/>
      <c r="O755" s="50"/>
      <c r="P755" s="53"/>
      <c r="Q755" s="52"/>
      <c r="R755" s="52"/>
      <c r="S755" s="52"/>
      <c r="T755" s="55"/>
      <c r="U755" s="52" t="str">
        <f t="shared" ca="1" si="11"/>
        <v/>
      </c>
      <c r="V755" s="54">
        <v>0</v>
      </c>
      <c r="W755" s="52" t="s">
        <v>5587</v>
      </c>
    </row>
    <row r="756" spans="1:23" ht="20.100000000000001" customHeight="1" x14ac:dyDescent="0.25">
      <c r="A756" s="50"/>
      <c r="B756" s="50"/>
      <c r="C756" s="51"/>
      <c r="D756" s="51"/>
      <c r="E756" s="52"/>
      <c r="F756" s="52"/>
      <c r="G756" s="52"/>
      <c r="H756" s="52">
        <v>6192</v>
      </c>
      <c r="I756" s="52"/>
      <c r="J756" s="52"/>
      <c r="K756" s="53"/>
      <c r="L756" s="54"/>
      <c r="M756" s="52"/>
      <c r="N756" s="55"/>
      <c r="O756" s="50"/>
      <c r="P756" s="53"/>
      <c r="Q756" s="52"/>
      <c r="R756" s="52"/>
      <c r="S756" s="52"/>
      <c r="T756" s="55"/>
      <c r="U756" s="52" t="str">
        <f t="shared" ca="1" si="11"/>
        <v/>
      </c>
      <c r="V756" s="54">
        <v>0</v>
      </c>
      <c r="W756" s="52" t="s">
        <v>5587</v>
      </c>
    </row>
    <row r="757" spans="1:23" ht="20.100000000000001" customHeight="1" x14ac:dyDescent="0.25">
      <c r="A757" s="50"/>
      <c r="B757" s="50"/>
      <c r="C757" s="51"/>
      <c r="D757" s="51"/>
      <c r="E757" s="52"/>
      <c r="F757" s="52"/>
      <c r="G757" s="52"/>
      <c r="H757" s="52">
        <v>6193</v>
      </c>
      <c r="I757" s="52"/>
      <c r="J757" s="52"/>
      <c r="K757" s="53"/>
      <c r="L757" s="54"/>
      <c r="M757" s="52"/>
      <c r="N757" s="55"/>
      <c r="O757" s="50"/>
      <c r="P757" s="53"/>
      <c r="Q757" s="52"/>
      <c r="R757" s="52"/>
      <c r="S757" s="52"/>
      <c r="T757" s="55"/>
      <c r="U757" s="52" t="str">
        <f t="shared" ca="1" si="11"/>
        <v/>
      </c>
      <c r="V757" s="54">
        <v>0</v>
      </c>
      <c r="W757" s="52" t="s">
        <v>5587</v>
      </c>
    </row>
    <row r="758" spans="1:23" ht="20.100000000000001" customHeight="1" x14ac:dyDescent="0.25">
      <c r="A758" s="50"/>
      <c r="B758" s="50"/>
      <c r="C758" s="51"/>
      <c r="D758" s="51"/>
      <c r="E758" s="52"/>
      <c r="F758" s="52"/>
      <c r="G758" s="52"/>
      <c r="H758" s="52">
        <v>6194</v>
      </c>
      <c r="I758" s="52"/>
      <c r="J758" s="52"/>
      <c r="K758" s="53"/>
      <c r="L758" s="54"/>
      <c r="M758" s="52"/>
      <c r="N758" s="55"/>
      <c r="O758" s="50"/>
      <c r="P758" s="53"/>
      <c r="Q758" s="52"/>
      <c r="R758" s="52"/>
      <c r="S758" s="52"/>
      <c r="T758" s="55"/>
      <c r="U758" s="52" t="str">
        <f t="shared" ca="1" si="11"/>
        <v/>
      </c>
      <c r="V758" s="54">
        <v>0</v>
      </c>
      <c r="W758" s="52" t="s">
        <v>5587</v>
      </c>
    </row>
    <row r="759" spans="1:23" ht="20.100000000000001" customHeight="1" x14ac:dyDescent="0.25">
      <c r="A759" s="50"/>
      <c r="B759" s="50"/>
      <c r="C759" s="51"/>
      <c r="D759" s="51"/>
      <c r="E759" s="52"/>
      <c r="F759" s="52"/>
      <c r="G759" s="52"/>
      <c r="H759" s="52">
        <v>6195</v>
      </c>
      <c r="I759" s="52"/>
      <c r="J759" s="52"/>
      <c r="K759" s="53"/>
      <c r="L759" s="54"/>
      <c r="M759" s="52"/>
      <c r="N759" s="55"/>
      <c r="O759" s="50"/>
      <c r="P759" s="53"/>
      <c r="Q759" s="52"/>
      <c r="R759" s="52"/>
      <c r="S759" s="52"/>
      <c r="T759" s="55"/>
      <c r="U759" s="52" t="str">
        <f t="shared" ca="1" si="11"/>
        <v/>
      </c>
      <c r="V759" s="54">
        <v>0</v>
      </c>
      <c r="W759" s="52" t="s">
        <v>5587</v>
      </c>
    </row>
    <row r="760" spans="1:23" ht="20.100000000000001" customHeight="1" x14ac:dyDescent="0.25">
      <c r="A760" s="50"/>
      <c r="B760" s="50"/>
      <c r="C760" s="51"/>
      <c r="D760" s="51"/>
      <c r="E760" s="52"/>
      <c r="F760" s="52"/>
      <c r="G760" s="52"/>
      <c r="H760" s="52">
        <v>6196</v>
      </c>
      <c r="I760" s="52"/>
      <c r="J760" s="52"/>
      <c r="K760" s="53"/>
      <c r="L760" s="54"/>
      <c r="M760" s="52"/>
      <c r="N760" s="55"/>
      <c r="O760" s="50"/>
      <c r="P760" s="53"/>
      <c r="Q760" s="52"/>
      <c r="R760" s="52"/>
      <c r="S760" s="52"/>
      <c r="T760" s="55"/>
      <c r="U760" s="52" t="str">
        <f t="shared" ca="1" si="11"/>
        <v/>
      </c>
      <c r="V760" s="54">
        <v>0</v>
      </c>
      <c r="W760" s="52" t="s">
        <v>5587</v>
      </c>
    </row>
    <row r="761" spans="1:23" ht="20.100000000000001" customHeight="1" x14ac:dyDescent="0.25">
      <c r="A761" s="50"/>
      <c r="B761" s="50"/>
      <c r="C761" s="51"/>
      <c r="D761" s="51"/>
      <c r="E761" s="52"/>
      <c r="F761" s="52"/>
      <c r="G761" s="52"/>
      <c r="H761" s="52">
        <v>6197</v>
      </c>
      <c r="I761" s="52"/>
      <c r="J761" s="52"/>
      <c r="K761" s="53"/>
      <c r="L761" s="54"/>
      <c r="M761" s="52"/>
      <c r="N761" s="55"/>
      <c r="O761" s="50"/>
      <c r="P761" s="53"/>
      <c r="Q761" s="52"/>
      <c r="R761" s="52"/>
      <c r="S761" s="52"/>
      <c r="T761" s="55"/>
      <c r="U761" s="52" t="str">
        <f t="shared" ca="1" si="11"/>
        <v/>
      </c>
      <c r="V761" s="54">
        <v>0</v>
      </c>
      <c r="W761" s="52" t="s">
        <v>5587</v>
      </c>
    </row>
    <row r="762" spans="1:23" ht="20.100000000000001" customHeight="1" x14ac:dyDescent="0.25">
      <c r="A762" s="50"/>
      <c r="B762" s="50"/>
      <c r="C762" s="51"/>
      <c r="D762" s="51"/>
      <c r="E762" s="52"/>
      <c r="F762" s="52"/>
      <c r="G762" s="52"/>
      <c r="H762" s="52">
        <v>6198</v>
      </c>
      <c r="I762" s="52"/>
      <c r="J762" s="52"/>
      <c r="K762" s="53"/>
      <c r="L762" s="54"/>
      <c r="M762" s="52"/>
      <c r="N762" s="55"/>
      <c r="O762" s="50"/>
      <c r="P762" s="53"/>
      <c r="Q762" s="52"/>
      <c r="R762" s="52"/>
      <c r="S762" s="52"/>
      <c r="T762" s="55"/>
      <c r="U762" s="52" t="str">
        <f t="shared" ca="1" si="11"/>
        <v/>
      </c>
      <c r="V762" s="54">
        <v>0</v>
      </c>
      <c r="W762" s="52" t="s">
        <v>5587</v>
      </c>
    </row>
    <row r="763" spans="1:23" ht="20.100000000000001" customHeight="1" x14ac:dyDescent="0.25">
      <c r="A763" s="50"/>
      <c r="B763" s="50"/>
      <c r="C763" s="51"/>
      <c r="D763" s="51"/>
      <c r="E763" s="52"/>
      <c r="F763" s="52"/>
      <c r="G763" s="52"/>
      <c r="H763" s="52">
        <v>6199</v>
      </c>
      <c r="I763" s="52"/>
      <c r="J763" s="52"/>
      <c r="K763" s="53"/>
      <c r="L763" s="54"/>
      <c r="M763" s="52"/>
      <c r="N763" s="55"/>
      <c r="O763" s="50"/>
      <c r="P763" s="53"/>
      <c r="Q763" s="52"/>
      <c r="R763" s="52"/>
      <c r="S763" s="52"/>
      <c r="T763" s="55"/>
      <c r="U763" s="52" t="str">
        <f t="shared" ca="1" si="11"/>
        <v/>
      </c>
      <c r="V763" s="54">
        <v>0</v>
      </c>
      <c r="W763" s="52" t="s">
        <v>5587</v>
      </c>
    </row>
    <row r="764" spans="1:23" ht="20.100000000000001" customHeight="1" x14ac:dyDescent="0.25">
      <c r="A764" s="50"/>
      <c r="B764" s="50"/>
      <c r="C764" s="51"/>
      <c r="D764" s="51"/>
      <c r="E764" s="52"/>
      <c r="F764" s="52"/>
      <c r="G764" s="52"/>
      <c r="H764" s="52">
        <v>6200</v>
      </c>
      <c r="I764" s="52"/>
      <c r="J764" s="52"/>
      <c r="K764" s="53"/>
      <c r="L764" s="54"/>
      <c r="M764" s="52"/>
      <c r="N764" s="55"/>
      <c r="O764" s="50"/>
      <c r="P764" s="53"/>
      <c r="Q764" s="52"/>
      <c r="R764" s="52"/>
      <c r="S764" s="52"/>
      <c r="T764" s="55"/>
      <c r="U764" s="52" t="str">
        <f t="shared" ca="1" si="11"/>
        <v/>
      </c>
      <c r="V764" s="54">
        <v>0</v>
      </c>
      <c r="W764" s="52" t="s">
        <v>5587</v>
      </c>
    </row>
    <row r="765" spans="1:23" ht="20.100000000000001" customHeight="1" x14ac:dyDescent="0.25">
      <c r="A765" s="50"/>
      <c r="B765" s="50"/>
      <c r="C765" s="51"/>
      <c r="D765" s="51"/>
      <c r="E765" s="52"/>
      <c r="F765" s="52"/>
      <c r="G765" s="52"/>
      <c r="H765" s="52">
        <v>6201</v>
      </c>
      <c r="I765" s="52"/>
      <c r="J765" s="52"/>
      <c r="K765" s="53"/>
      <c r="L765" s="54"/>
      <c r="M765" s="52"/>
      <c r="N765" s="55"/>
      <c r="O765" s="50"/>
      <c r="P765" s="53"/>
      <c r="Q765" s="52"/>
      <c r="R765" s="52"/>
      <c r="S765" s="52"/>
      <c r="T765" s="55"/>
      <c r="U765" s="52" t="str">
        <f t="shared" ca="1" si="11"/>
        <v/>
      </c>
      <c r="V765" s="54">
        <v>0</v>
      </c>
      <c r="W765" s="52" t="s">
        <v>5587</v>
      </c>
    </row>
    <row r="766" spans="1:23" ht="20.100000000000001" customHeight="1" x14ac:dyDescent="0.25">
      <c r="A766" s="50"/>
      <c r="B766" s="50"/>
      <c r="C766" s="51"/>
      <c r="D766" s="51"/>
      <c r="E766" s="52"/>
      <c r="F766" s="52"/>
      <c r="G766" s="52"/>
      <c r="H766" s="52">
        <v>6202</v>
      </c>
      <c r="I766" s="52"/>
      <c r="J766" s="52"/>
      <c r="K766" s="53"/>
      <c r="L766" s="54"/>
      <c r="M766" s="52"/>
      <c r="N766" s="55"/>
      <c r="O766" s="50"/>
      <c r="P766" s="53"/>
      <c r="Q766" s="52"/>
      <c r="R766" s="52"/>
      <c r="S766" s="52"/>
      <c r="T766" s="55"/>
      <c r="U766" s="52" t="str">
        <f t="shared" ca="1" si="11"/>
        <v/>
      </c>
      <c r="V766" s="54">
        <v>0</v>
      </c>
      <c r="W766" s="52" t="s">
        <v>5587</v>
      </c>
    </row>
    <row r="767" spans="1:23" ht="20.100000000000001" customHeight="1" x14ac:dyDescent="0.25">
      <c r="A767" s="50"/>
      <c r="B767" s="50"/>
      <c r="C767" s="51"/>
      <c r="D767" s="51"/>
      <c r="E767" s="52"/>
      <c r="F767" s="52"/>
      <c r="G767" s="52"/>
      <c r="H767" s="52">
        <v>6203</v>
      </c>
      <c r="I767" s="52"/>
      <c r="J767" s="52"/>
      <c r="K767" s="53"/>
      <c r="L767" s="54"/>
      <c r="M767" s="52"/>
      <c r="N767" s="55"/>
      <c r="O767" s="50"/>
      <c r="P767" s="53"/>
      <c r="Q767" s="52"/>
      <c r="R767" s="52"/>
      <c r="S767" s="52"/>
      <c r="T767" s="55"/>
      <c r="U767" s="52" t="str">
        <f t="shared" ca="1" si="11"/>
        <v/>
      </c>
      <c r="V767" s="54">
        <v>0</v>
      </c>
      <c r="W767" s="52" t="s">
        <v>5587</v>
      </c>
    </row>
    <row r="768" spans="1:23" ht="20.100000000000001" customHeight="1" x14ac:dyDescent="0.25">
      <c r="A768" s="50"/>
      <c r="B768" s="50"/>
      <c r="C768" s="51"/>
      <c r="D768" s="51"/>
      <c r="E768" s="52"/>
      <c r="F768" s="52"/>
      <c r="G768" s="52"/>
      <c r="H768" s="52">
        <v>6204</v>
      </c>
      <c r="I768" s="52"/>
      <c r="J768" s="52"/>
      <c r="K768" s="53"/>
      <c r="L768" s="54"/>
      <c r="M768" s="52"/>
      <c r="N768" s="55"/>
      <c r="O768" s="50"/>
      <c r="P768" s="53"/>
      <c r="Q768" s="52"/>
      <c r="R768" s="52"/>
      <c r="S768" s="52"/>
      <c r="T768" s="55"/>
      <c r="U768" s="52" t="str">
        <f t="shared" ca="1" si="11"/>
        <v/>
      </c>
      <c r="V768" s="54">
        <v>0</v>
      </c>
      <c r="W768" s="52" t="s">
        <v>5587</v>
      </c>
    </row>
    <row r="769" spans="1:23" ht="20.100000000000001" customHeight="1" x14ac:dyDescent="0.25">
      <c r="A769" s="50"/>
      <c r="B769" s="50"/>
      <c r="C769" s="51"/>
      <c r="D769" s="51"/>
      <c r="E769" s="52"/>
      <c r="F769" s="52"/>
      <c r="G769" s="52"/>
      <c r="H769" s="52">
        <v>6205</v>
      </c>
      <c r="I769" s="52"/>
      <c r="J769" s="52"/>
      <c r="K769" s="53"/>
      <c r="L769" s="54"/>
      <c r="M769" s="52"/>
      <c r="N769" s="55"/>
      <c r="O769" s="50"/>
      <c r="P769" s="53"/>
      <c r="Q769" s="52"/>
      <c r="R769" s="52"/>
      <c r="S769" s="52"/>
      <c r="T769" s="55"/>
      <c r="U769" s="52" t="str">
        <f t="shared" ca="1" si="11"/>
        <v/>
      </c>
      <c r="V769" s="54">
        <v>0</v>
      </c>
      <c r="W769" s="52" t="s">
        <v>5587</v>
      </c>
    </row>
    <row r="770" spans="1:23" ht="20.100000000000001" customHeight="1" x14ac:dyDescent="0.25">
      <c r="A770" s="50"/>
      <c r="B770" s="50"/>
      <c r="C770" s="51"/>
      <c r="D770" s="51"/>
      <c r="E770" s="52"/>
      <c r="F770" s="52"/>
      <c r="G770" s="52"/>
      <c r="H770" s="52">
        <v>6206</v>
      </c>
      <c r="I770" s="52"/>
      <c r="J770" s="52"/>
      <c r="K770" s="53"/>
      <c r="L770" s="54"/>
      <c r="M770" s="52"/>
      <c r="N770" s="55"/>
      <c r="O770" s="50"/>
      <c r="P770" s="53"/>
      <c r="Q770" s="52"/>
      <c r="R770" s="52"/>
      <c r="S770" s="52"/>
      <c r="T770" s="55"/>
      <c r="U770" s="52" t="str">
        <f t="shared" ca="1" si="11"/>
        <v/>
      </c>
      <c r="V770" s="54">
        <v>0</v>
      </c>
      <c r="W770" s="52" t="s">
        <v>5587</v>
      </c>
    </row>
    <row r="771" spans="1:23" ht="20.100000000000001" customHeight="1" x14ac:dyDescent="0.25">
      <c r="A771" s="50"/>
      <c r="B771" s="50"/>
      <c r="C771" s="51"/>
      <c r="D771" s="51"/>
      <c r="E771" s="52"/>
      <c r="F771" s="52"/>
      <c r="G771" s="52"/>
      <c r="H771" s="52">
        <v>6207</v>
      </c>
      <c r="I771" s="52"/>
      <c r="J771" s="52"/>
      <c r="K771" s="53"/>
      <c r="L771" s="54"/>
      <c r="M771" s="52"/>
      <c r="N771" s="55"/>
      <c r="O771" s="50"/>
      <c r="P771" s="53"/>
      <c r="Q771" s="52"/>
      <c r="R771" s="52"/>
      <c r="S771" s="52"/>
      <c r="T771" s="55"/>
      <c r="U771" s="52" t="str">
        <f t="shared" ca="1" si="11"/>
        <v/>
      </c>
      <c r="V771" s="54">
        <v>0</v>
      </c>
      <c r="W771" s="52" t="s">
        <v>5587</v>
      </c>
    </row>
    <row r="772" spans="1:23" ht="20.100000000000001" customHeight="1" x14ac:dyDescent="0.25">
      <c r="A772" s="50"/>
      <c r="B772" s="50"/>
      <c r="C772" s="51"/>
      <c r="D772" s="51"/>
      <c r="E772" s="52"/>
      <c r="F772" s="52"/>
      <c r="G772" s="52"/>
      <c r="H772" s="52">
        <v>6208</v>
      </c>
      <c r="I772" s="52"/>
      <c r="J772" s="52"/>
      <c r="K772" s="53"/>
      <c r="L772" s="54"/>
      <c r="M772" s="52"/>
      <c r="N772" s="55"/>
      <c r="O772" s="50"/>
      <c r="P772" s="53"/>
      <c r="Q772" s="52"/>
      <c r="R772" s="52"/>
      <c r="S772" s="52"/>
      <c r="T772" s="55"/>
      <c r="U772" s="52" t="str">
        <f t="shared" ca="1" si="11"/>
        <v/>
      </c>
      <c r="V772" s="54">
        <v>0</v>
      </c>
      <c r="W772" s="52" t="s">
        <v>5587</v>
      </c>
    </row>
    <row r="773" spans="1:23" ht="20.100000000000001" customHeight="1" x14ac:dyDescent="0.25">
      <c r="A773" s="50"/>
      <c r="B773" s="50"/>
      <c r="C773" s="51"/>
      <c r="D773" s="51"/>
      <c r="E773" s="52"/>
      <c r="F773" s="52"/>
      <c r="G773" s="52"/>
      <c r="H773" s="52">
        <v>6209</v>
      </c>
      <c r="I773" s="52"/>
      <c r="J773" s="52"/>
      <c r="K773" s="53"/>
      <c r="L773" s="54"/>
      <c r="M773" s="52"/>
      <c r="N773" s="55"/>
      <c r="O773" s="50"/>
      <c r="P773" s="53"/>
      <c r="Q773" s="52"/>
      <c r="R773" s="52"/>
      <c r="S773" s="52"/>
      <c r="T773" s="55"/>
      <c r="U773" s="52" t="str">
        <f t="shared" ref="U773:U836" ca="1" si="12">IF(C773="","",TODAY()-C773)</f>
        <v/>
      </c>
      <c r="V773" s="54">
        <v>0</v>
      </c>
      <c r="W773" s="52" t="s">
        <v>5587</v>
      </c>
    </row>
    <row r="774" spans="1:23" ht="20.100000000000001" customHeight="1" x14ac:dyDescent="0.25">
      <c r="A774" s="50"/>
      <c r="B774" s="50"/>
      <c r="C774" s="51"/>
      <c r="D774" s="51"/>
      <c r="E774" s="52"/>
      <c r="F774" s="52"/>
      <c r="G774" s="52"/>
      <c r="H774" s="52">
        <v>6210</v>
      </c>
      <c r="I774" s="52"/>
      <c r="J774" s="52"/>
      <c r="K774" s="53"/>
      <c r="L774" s="54"/>
      <c r="M774" s="52"/>
      <c r="N774" s="55"/>
      <c r="O774" s="50"/>
      <c r="P774" s="53"/>
      <c r="Q774" s="52"/>
      <c r="R774" s="52"/>
      <c r="S774" s="52"/>
      <c r="T774" s="55"/>
      <c r="U774" s="52" t="str">
        <f t="shared" ca="1" si="12"/>
        <v/>
      </c>
      <c r="V774" s="54">
        <v>0</v>
      </c>
      <c r="W774" s="52" t="s">
        <v>5587</v>
      </c>
    </row>
    <row r="775" spans="1:23" ht="20.100000000000001" customHeight="1" x14ac:dyDescent="0.25">
      <c r="A775" s="50"/>
      <c r="B775" s="50"/>
      <c r="C775" s="51"/>
      <c r="D775" s="51"/>
      <c r="E775" s="52"/>
      <c r="F775" s="52"/>
      <c r="G775" s="52"/>
      <c r="H775" s="52">
        <v>6211</v>
      </c>
      <c r="I775" s="52"/>
      <c r="J775" s="52"/>
      <c r="K775" s="53"/>
      <c r="L775" s="54"/>
      <c r="M775" s="52"/>
      <c r="N775" s="55"/>
      <c r="O775" s="50"/>
      <c r="P775" s="53"/>
      <c r="Q775" s="52"/>
      <c r="R775" s="52"/>
      <c r="S775" s="52"/>
      <c r="T775" s="55"/>
      <c r="U775" s="52" t="str">
        <f t="shared" ca="1" si="12"/>
        <v/>
      </c>
      <c r="V775" s="54">
        <v>0</v>
      </c>
      <c r="W775" s="52" t="s">
        <v>5587</v>
      </c>
    </row>
    <row r="776" spans="1:23" ht="20.100000000000001" customHeight="1" x14ac:dyDescent="0.25">
      <c r="A776" s="50"/>
      <c r="B776" s="50"/>
      <c r="C776" s="51"/>
      <c r="D776" s="51"/>
      <c r="E776" s="52"/>
      <c r="F776" s="52"/>
      <c r="G776" s="52"/>
      <c r="H776" s="52">
        <v>6212</v>
      </c>
      <c r="I776" s="52"/>
      <c r="J776" s="52"/>
      <c r="K776" s="53"/>
      <c r="L776" s="54"/>
      <c r="M776" s="52"/>
      <c r="N776" s="55"/>
      <c r="O776" s="50"/>
      <c r="P776" s="53"/>
      <c r="Q776" s="52"/>
      <c r="R776" s="52"/>
      <c r="S776" s="52"/>
      <c r="T776" s="55"/>
      <c r="U776" s="52" t="str">
        <f t="shared" ca="1" si="12"/>
        <v/>
      </c>
      <c r="V776" s="54">
        <v>0</v>
      </c>
      <c r="W776" s="52" t="s">
        <v>5587</v>
      </c>
    </row>
    <row r="777" spans="1:23" ht="20.100000000000001" customHeight="1" x14ac:dyDescent="0.25">
      <c r="A777" s="50"/>
      <c r="B777" s="50"/>
      <c r="C777" s="51"/>
      <c r="D777" s="51"/>
      <c r="E777" s="52"/>
      <c r="F777" s="52"/>
      <c r="G777" s="52"/>
      <c r="H777" s="52">
        <v>6213</v>
      </c>
      <c r="I777" s="52"/>
      <c r="J777" s="52"/>
      <c r="K777" s="53"/>
      <c r="L777" s="54"/>
      <c r="M777" s="52"/>
      <c r="N777" s="55"/>
      <c r="O777" s="50"/>
      <c r="P777" s="53"/>
      <c r="Q777" s="52"/>
      <c r="R777" s="52"/>
      <c r="S777" s="52"/>
      <c r="T777" s="55"/>
      <c r="U777" s="52" t="str">
        <f t="shared" ca="1" si="12"/>
        <v/>
      </c>
      <c r="V777" s="54">
        <v>0</v>
      </c>
      <c r="W777" s="52" t="s">
        <v>5587</v>
      </c>
    </row>
    <row r="778" spans="1:23" ht="20.100000000000001" customHeight="1" x14ac:dyDescent="0.25">
      <c r="A778" s="50"/>
      <c r="B778" s="50"/>
      <c r="C778" s="51"/>
      <c r="D778" s="51"/>
      <c r="E778" s="52"/>
      <c r="F778" s="52"/>
      <c r="G778" s="52"/>
      <c r="H778" s="52">
        <v>6214</v>
      </c>
      <c r="I778" s="52"/>
      <c r="J778" s="52"/>
      <c r="K778" s="53"/>
      <c r="L778" s="54"/>
      <c r="M778" s="52"/>
      <c r="N778" s="55"/>
      <c r="O778" s="50"/>
      <c r="P778" s="53"/>
      <c r="Q778" s="52"/>
      <c r="R778" s="52"/>
      <c r="S778" s="52"/>
      <c r="T778" s="55"/>
      <c r="U778" s="52" t="str">
        <f t="shared" ca="1" si="12"/>
        <v/>
      </c>
      <c r="V778" s="54">
        <v>0</v>
      </c>
      <c r="W778" s="52" t="s">
        <v>5587</v>
      </c>
    </row>
    <row r="779" spans="1:23" ht="20.100000000000001" customHeight="1" x14ac:dyDescent="0.25">
      <c r="A779" s="50"/>
      <c r="B779" s="50"/>
      <c r="C779" s="51"/>
      <c r="D779" s="51"/>
      <c r="E779" s="52"/>
      <c r="F779" s="52"/>
      <c r="G779" s="52"/>
      <c r="H779" s="52">
        <v>6215</v>
      </c>
      <c r="I779" s="52"/>
      <c r="J779" s="52"/>
      <c r="K779" s="53"/>
      <c r="L779" s="54"/>
      <c r="M779" s="52"/>
      <c r="N779" s="55"/>
      <c r="O779" s="50"/>
      <c r="P779" s="53"/>
      <c r="Q779" s="52"/>
      <c r="R779" s="52"/>
      <c r="S779" s="52"/>
      <c r="T779" s="55"/>
      <c r="U779" s="52" t="str">
        <f t="shared" ca="1" si="12"/>
        <v/>
      </c>
      <c r="V779" s="54">
        <v>0</v>
      </c>
      <c r="W779" s="52" t="s">
        <v>5587</v>
      </c>
    </row>
    <row r="780" spans="1:23" ht="20.100000000000001" customHeight="1" x14ac:dyDescent="0.25">
      <c r="A780" s="50"/>
      <c r="B780" s="50"/>
      <c r="C780" s="51"/>
      <c r="D780" s="51"/>
      <c r="E780" s="52"/>
      <c r="F780" s="52"/>
      <c r="G780" s="52"/>
      <c r="H780" s="52">
        <v>6216</v>
      </c>
      <c r="I780" s="52"/>
      <c r="J780" s="52"/>
      <c r="K780" s="53"/>
      <c r="L780" s="54"/>
      <c r="M780" s="52"/>
      <c r="N780" s="55"/>
      <c r="O780" s="50"/>
      <c r="P780" s="53"/>
      <c r="Q780" s="52"/>
      <c r="R780" s="52"/>
      <c r="S780" s="52"/>
      <c r="T780" s="55"/>
      <c r="U780" s="52" t="str">
        <f t="shared" ca="1" si="12"/>
        <v/>
      </c>
      <c r="V780" s="54">
        <v>0</v>
      </c>
      <c r="W780" s="52" t="s">
        <v>5587</v>
      </c>
    </row>
    <row r="781" spans="1:23" ht="20.100000000000001" customHeight="1" x14ac:dyDescent="0.25">
      <c r="A781" s="50"/>
      <c r="B781" s="50"/>
      <c r="C781" s="51"/>
      <c r="D781" s="51"/>
      <c r="E781" s="52"/>
      <c r="F781" s="52"/>
      <c r="G781" s="52"/>
      <c r="H781" s="52">
        <v>6217</v>
      </c>
      <c r="I781" s="52"/>
      <c r="J781" s="52"/>
      <c r="K781" s="53"/>
      <c r="L781" s="54"/>
      <c r="M781" s="52"/>
      <c r="N781" s="55"/>
      <c r="O781" s="50"/>
      <c r="P781" s="53"/>
      <c r="Q781" s="52"/>
      <c r="R781" s="52"/>
      <c r="S781" s="52"/>
      <c r="T781" s="55"/>
      <c r="U781" s="52" t="str">
        <f t="shared" ca="1" si="12"/>
        <v/>
      </c>
      <c r="V781" s="54">
        <v>0</v>
      </c>
      <c r="W781" s="52" t="s">
        <v>5587</v>
      </c>
    </row>
    <row r="782" spans="1:23" ht="20.100000000000001" customHeight="1" x14ac:dyDescent="0.25">
      <c r="A782" s="50"/>
      <c r="B782" s="50"/>
      <c r="C782" s="51"/>
      <c r="D782" s="51"/>
      <c r="E782" s="52"/>
      <c r="F782" s="52"/>
      <c r="G782" s="52"/>
      <c r="H782" s="52">
        <v>6218</v>
      </c>
      <c r="I782" s="52"/>
      <c r="J782" s="52"/>
      <c r="K782" s="53"/>
      <c r="L782" s="54"/>
      <c r="M782" s="52"/>
      <c r="N782" s="55"/>
      <c r="O782" s="50"/>
      <c r="P782" s="53"/>
      <c r="Q782" s="52"/>
      <c r="R782" s="52"/>
      <c r="S782" s="52"/>
      <c r="T782" s="55"/>
      <c r="U782" s="52" t="str">
        <f t="shared" ca="1" si="12"/>
        <v/>
      </c>
      <c r="V782" s="54">
        <v>0</v>
      </c>
      <c r="W782" s="52" t="s">
        <v>5587</v>
      </c>
    </row>
    <row r="783" spans="1:23" ht="20.100000000000001" customHeight="1" x14ac:dyDescent="0.25">
      <c r="A783" s="50"/>
      <c r="B783" s="50"/>
      <c r="C783" s="51"/>
      <c r="D783" s="51"/>
      <c r="E783" s="52"/>
      <c r="F783" s="52"/>
      <c r="G783" s="52"/>
      <c r="H783" s="52">
        <v>6219</v>
      </c>
      <c r="I783" s="52"/>
      <c r="J783" s="52"/>
      <c r="K783" s="53"/>
      <c r="L783" s="54"/>
      <c r="M783" s="52"/>
      <c r="N783" s="55"/>
      <c r="O783" s="50"/>
      <c r="P783" s="53"/>
      <c r="Q783" s="52"/>
      <c r="R783" s="52"/>
      <c r="S783" s="52"/>
      <c r="T783" s="55"/>
      <c r="U783" s="52" t="str">
        <f t="shared" ca="1" si="12"/>
        <v/>
      </c>
      <c r="V783" s="54">
        <v>0</v>
      </c>
      <c r="W783" s="52" t="s">
        <v>5587</v>
      </c>
    </row>
    <row r="784" spans="1:23" ht="20.100000000000001" customHeight="1" x14ac:dyDescent="0.25">
      <c r="A784" s="50"/>
      <c r="B784" s="50"/>
      <c r="C784" s="51"/>
      <c r="D784" s="51"/>
      <c r="E784" s="52"/>
      <c r="F784" s="52"/>
      <c r="G784" s="52"/>
      <c r="H784" s="52">
        <v>6220</v>
      </c>
      <c r="I784" s="52"/>
      <c r="J784" s="52"/>
      <c r="K784" s="53"/>
      <c r="L784" s="54"/>
      <c r="M784" s="52"/>
      <c r="N784" s="55"/>
      <c r="O784" s="50"/>
      <c r="P784" s="53"/>
      <c r="Q784" s="52"/>
      <c r="R784" s="52"/>
      <c r="S784" s="52"/>
      <c r="T784" s="55"/>
      <c r="U784" s="52" t="str">
        <f t="shared" ca="1" si="12"/>
        <v/>
      </c>
      <c r="V784" s="54">
        <v>0</v>
      </c>
      <c r="W784" s="52" t="s">
        <v>5587</v>
      </c>
    </row>
    <row r="785" spans="1:23" ht="20.100000000000001" customHeight="1" x14ac:dyDescent="0.25">
      <c r="A785" s="50"/>
      <c r="B785" s="50"/>
      <c r="C785" s="51"/>
      <c r="D785" s="51"/>
      <c r="E785" s="52"/>
      <c r="F785" s="52"/>
      <c r="G785" s="52"/>
      <c r="H785" s="52">
        <v>6221</v>
      </c>
      <c r="I785" s="52"/>
      <c r="J785" s="52"/>
      <c r="K785" s="53"/>
      <c r="L785" s="54"/>
      <c r="M785" s="52"/>
      <c r="N785" s="55"/>
      <c r="O785" s="50"/>
      <c r="P785" s="53"/>
      <c r="Q785" s="52"/>
      <c r="R785" s="52"/>
      <c r="S785" s="52"/>
      <c r="T785" s="55"/>
      <c r="U785" s="52" t="str">
        <f t="shared" ca="1" si="12"/>
        <v/>
      </c>
      <c r="V785" s="54">
        <v>0</v>
      </c>
      <c r="W785" s="52" t="s">
        <v>5587</v>
      </c>
    </row>
    <row r="786" spans="1:23" ht="20.100000000000001" customHeight="1" x14ac:dyDescent="0.25">
      <c r="A786" s="50"/>
      <c r="B786" s="50"/>
      <c r="C786" s="51"/>
      <c r="D786" s="51"/>
      <c r="E786" s="52"/>
      <c r="F786" s="52"/>
      <c r="G786" s="52"/>
      <c r="H786" s="52">
        <v>6222</v>
      </c>
      <c r="I786" s="52"/>
      <c r="J786" s="52"/>
      <c r="K786" s="53"/>
      <c r="L786" s="54"/>
      <c r="M786" s="52"/>
      <c r="N786" s="55"/>
      <c r="O786" s="50"/>
      <c r="P786" s="53"/>
      <c r="Q786" s="52"/>
      <c r="R786" s="52"/>
      <c r="S786" s="52"/>
      <c r="T786" s="55"/>
      <c r="U786" s="52" t="str">
        <f t="shared" ca="1" si="12"/>
        <v/>
      </c>
      <c r="V786" s="54">
        <v>0</v>
      </c>
      <c r="W786" s="52" t="s">
        <v>5587</v>
      </c>
    </row>
    <row r="787" spans="1:23" ht="20.100000000000001" customHeight="1" x14ac:dyDescent="0.25">
      <c r="A787" s="50"/>
      <c r="B787" s="50"/>
      <c r="C787" s="51"/>
      <c r="D787" s="51"/>
      <c r="E787" s="52"/>
      <c r="F787" s="52"/>
      <c r="G787" s="52"/>
      <c r="H787" s="52">
        <v>6223</v>
      </c>
      <c r="I787" s="52"/>
      <c r="J787" s="52"/>
      <c r="K787" s="53"/>
      <c r="L787" s="54"/>
      <c r="M787" s="52"/>
      <c r="N787" s="55"/>
      <c r="O787" s="50"/>
      <c r="P787" s="53"/>
      <c r="Q787" s="52"/>
      <c r="R787" s="52"/>
      <c r="S787" s="52"/>
      <c r="T787" s="55"/>
      <c r="U787" s="52" t="str">
        <f t="shared" ca="1" si="12"/>
        <v/>
      </c>
      <c r="V787" s="54">
        <v>0</v>
      </c>
      <c r="W787" s="52" t="s">
        <v>5587</v>
      </c>
    </row>
    <row r="788" spans="1:23" ht="20.100000000000001" customHeight="1" x14ac:dyDescent="0.25">
      <c r="A788" s="50"/>
      <c r="B788" s="50"/>
      <c r="C788" s="51"/>
      <c r="D788" s="51"/>
      <c r="E788" s="52"/>
      <c r="F788" s="52"/>
      <c r="G788" s="52"/>
      <c r="H788" s="52">
        <v>6224</v>
      </c>
      <c r="I788" s="52"/>
      <c r="J788" s="52"/>
      <c r="K788" s="53"/>
      <c r="L788" s="54"/>
      <c r="M788" s="52"/>
      <c r="N788" s="55"/>
      <c r="O788" s="50"/>
      <c r="P788" s="53"/>
      <c r="Q788" s="52"/>
      <c r="R788" s="52"/>
      <c r="S788" s="52"/>
      <c r="T788" s="55"/>
      <c r="U788" s="52" t="str">
        <f t="shared" ca="1" si="12"/>
        <v/>
      </c>
      <c r="V788" s="54">
        <v>0</v>
      </c>
      <c r="W788" s="52" t="s">
        <v>5587</v>
      </c>
    </row>
    <row r="789" spans="1:23" ht="20.100000000000001" customHeight="1" x14ac:dyDescent="0.25">
      <c r="A789" s="50"/>
      <c r="B789" s="50"/>
      <c r="C789" s="51"/>
      <c r="D789" s="51"/>
      <c r="E789" s="52"/>
      <c r="F789" s="52"/>
      <c r="G789" s="52"/>
      <c r="H789" s="52">
        <v>6225</v>
      </c>
      <c r="I789" s="52"/>
      <c r="J789" s="52"/>
      <c r="K789" s="53"/>
      <c r="L789" s="54"/>
      <c r="M789" s="52"/>
      <c r="N789" s="55"/>
      <c r="O789" s="50"/>
      <c r="P789" s="53"/>
      <c r="Q789" s="52"/>
      <c r="R789" s="52"/>
      <c r="S789" s="52"/>
      <c r="T789" s="55"/>
      <c r="U789" s="52" t="str">
        <f t="shared" ca="1" si="12"/>
        <v/>
      </c>
      <c r="V789" s="54">
        <v>0</v>
      </c>
      <c r="W789" s="52" t="s">
        <v>5587</v>
      </c>
    </row>
    <row r="790" spans="1:23" ht="20.100000000000001" customHeight="1" x14ac:dyDescent="0.25">
      <c r="A790" s="50"/>
      <c r="B790" s="50"/>
      <c r="C790" s="51"/>
      <c r="D790" s="51"/>
      <c r="E790" s="52"/>
      <c r="F790" s="52"/>
      <c r="G790" s="52"/>
      <c r="H790" s="52">
        <v>6226</v>
      </c>
      <c r="I790" s="52"/>
      <c r="J790" s="52"/>
      <c r="K790" s="53"/>
      <c r="L790" s="54"/>
      <c r="M790" s="52"/>
      <c r="N790" s="55"/>
      <c r="O790" s="50"/>
      <c r="P790" s="53"/>
      <c r="Q790" s="52"/>
      <c r="R790" s="52"/>
      <c r="S790" s="52"/>
      <c r="T790" s="55"/>
      <c r="U790" s="52" t="str">
        <f t="shared" ca="1" si="12"/>
        <v/>
      </c>
      <c r="V790" s="54">
        <v>0</v>
      </c>
      <c r="W790" s="52" t="s">
        <v>5587</v>
      </c>
    </row>
    <row r="791" spans="1:23" ht="20.100000000000001" customHeight="1" x14ac:dyDescent="0.25">
      <c r="A791" s="50"/>
      <c r="B791" s="50"/>
      <c r="C791" s="51"/>
      <c r="D791" s="51"/>
      <c r="E791" s="52"/>
      <c r="F791" s="52"/>
      <c r="G791" s="52"/>
      <c r="H791" s="52">
        <v>6227</v>
      </c>
      <c r="I791" s="52"/>
      <c r="J791" s="52"/>
      <c r="K791" s="53"/>
      <c r="L791" s="54"/>
      <c r="M791" s="52"/>
      <c r="N791" s="55"/>
      <c r="O791" s="50"/>
      <c r="P791" s="53"/>
      <c r="Q791" s="52"/>
      <c r="R791" s="52"/>
      <c r="S791" s="52"/>
      <c r="T791" s="55"/>
      <c r="U791" s="52" t="str">
        <f t="shared" ca="1" si="12"/>
        <v/>
      </c>
      <c r="V791" s="54">
        <v>0</v>
      </c>
      <c r="W791" s="52" t="s">
        <v>5587</v>
      </c>
    </row>
    <row r="792" spans="1:23" ht="20.100000000000001" customHeight="1" x14ac:dyDescent="0.25">
      <c r="A792" s="50"/>
      <c r="B792" s="50"/>
      <c r="C792" s="51"/>
      <c r="D792" s="51"/>
      <c r="E792" s="52"/>
      <c r="F792" s="52"/>
      <c r="G792" s="52"/>
      <c r="H792" s="52">
        <v>6228</v>
      </c>
      <c r="I792" s="52"/>
      <c r="J792" s="52"/>
      <c r="K792" s="53"/>
      <c r="L792" s="54"/>
      <c r="M792" s="52"/>
      <c r="N792" s="55"/>
      <c r="O792" s="50"/>
      <c r="P792" s="53"/>
      <c r="Q792" s="52"/>
      <c r="R792" s="52"/>
      <c r="S792" s="52"/>
      <c r="T792" s="55"/>
      <c r="U792" s="52" t="str">
        <f t="shared" ca="1" si="12"/>
        <v/>
      </c>
      <c r="V792" s="54">
        <v>0</v>
      </c>
      <c r="W792" s="52" t="s">
        <v>5587</v>
      </c>
    </row>
    <row r="793" spans="1:23" ht="20.100000000000001" customHeight="1" x14ac:dyDescent="0.25">
      <c r="A793" s="50"/>
      <c r="B793" s="50"/>
      <c r="C793" s="51"/>
      <c r="D793" s="51"/>
      <c r="E793" s="52"/>
      <c r="F793" s="52"/>
      <c r="G793" s="52"/>
      <c r="H793" s="52">
        <v>6229</v>
      </c>
      <c r="I793" s="52"/>
      <c r="J793" s="52"/>
      <c r="K793" s="53"/>
      <c r="L793" s="54"/>
      <c r="M793" s="52"/>
      <c r="N793" s="55"/>
      <c r="O793" s="50"/>
      <c r="P793" s="53"/>
      <c r="Q793" s="52"/>
      <c r="R793" s="52"/>
      <c r="S793" s="52"/>
      <c r="T793" s="55"/>
      <c r="U793" s="52" t="str">
        <f t="shared" ca="1" si="12"/>
        <v/>
      </c>
      <c r="V793" s="54">
        <v>0</v>
      </c>
      <c r="W793" s="52" t="s">
        <v>5587</v>
      </c>
    </row>
    <row r="794" spans="1:23" ht="20.100000000000001" customHeight="1" x14ac:dyDescent="0.25">
      <c r="A794" s="50"/>
      <c r="B794" s="50"/>
      <c r="C794" s="51"/>
      <c r="D794" s="51"/>
      <c r="E794" s="52"/>
      <c r="F794" s="52"/>
      <c r="G794" s="52"/>
      <c r="H794" s="52">
        <v>6230</v>
      </c>
      <c r="I794" s="52"/>
      <c r="J794" s="52"/>
      <c r="K794" s="53"/>
      <c r="L794" s="54"/>
      <c r="M794" s="52"/>
      <c r="N794" s="55"/>
      <c r="O794" s="50"/>
      <c r="P794" s="53"/>
      <c r="Q794" s="52"/>
      <c r="R794" s="52"/>
      <c r="S794" s="52"/>
      <c r="T794" s="55"/>
      <c r="U794" s="52" t="str">
        <f t="shared" ca="1" si="12"/>
        <v/>
      </c>
      <c r="V794" s="54">
        <v>0</v>
      </c>
      <c r="W794" s="52" t="s">
        <v>5587</v>
      </c>
    </row>
    <row r="795" spans="1:23" ht="20.100000000000001" customHeight="1" x14ac:dyDescent="0.25">
      <c r="A795" s="50"/>
      <c r="B795" s="50"/>
      <c r="C795" s="51"/>
      <c r="D795" s="51"/>
      <c r="E795" s="52"/>
      <c r="F795" s="52"/>
      <c r="G795" s="52"/>
      <c r="H795" s="52">
        <v>6231</v>
      </c>
      <c r="I795" s="52"/>
      <c r="J795" s="52"/>
      <c r="K795" s="53"/>
      <c r="L795" s="54"/>
      <c r="M795" s="52"/>
      <c r="N795" s="55"/>
      <c r="O795" s="50"/>
      <c r="P795" s="53"/>
      <c r="Q795" s="52"/>
      <c r="R795" s="52"/>
      <c r="S795" s="52"/>
      <c r="T795" s="55"/>
      <c r="U795" s="52" t="str">
        <f t="shared" ca="1" si="12"/>
        <v/>
      </c>
      <c r="V795" s="54">
        <v>0</v>
      </c>
      <c r="W795" s="52" t="s">
        <v>5587</v>
      </c>
    </row>
    <row r="796" spans="1:23" ht="20.100000000000001" customHeight="1" x14ac:dyDescent="0.25">
      <c r="A796" s="50"/>
      <c r="B796" s="50"/>
      <c r="C796" s="51"/>
      <c r="D796" s="51"/>
      <c r="E796" s="52"/>
      <c r="F796" s="52"/>
      <c r="G796" s="52"/>
      <c r="H796" s="52">
        <v>6232</v>
      </c>
      <c r="I796" s="52"/>
      <c r="J796" s="52"/>
      <c r="K796" s="53"/>
      <c r="L796" s="54"/>
      <c r="M796" s="52"/>
      <c r="N796" s="55"/>
      <c r="O796" s="50"/>
      <c r="P796" s="53"/>
      <c r="Q796" s="52"/>
      <c r="R796" s="52"/>
      <c r="S796" s="52"/>
      <c r="T796" s="55"/>
      <c r="U796" s="52" t="str">
        <f t="shared" ca="1" si="12"/>
        <v/>
      </c>
      <c r="V796" s="54">
        <v>0</v>
      </c>
      <c r="W796" s="52" t="s">
        <v>5587</v>
      </c>
    </row>
    <row r="797" spans="1:23" ht="20.100000000000001" customHeight="1" x14ac:dyDescent="0.25">
      <c r="A797" s="50"/>
      <c r="B797" s="50"/>
      <c r="C797" s="51"/>
      <c r="D797" s="51"/>
      <c r="E797" s="52"/>
      <c r="F797" s="52"/>
      <c r="G797" s="52"/>
      <c r="H797" s="52">
        <v>6233</v>
      </c>
      <c r="I797" s="52"/>
      <c r="J797" s="52"/>
      <c r="K797" s="53"/>
      <c r="L797" s="54"/>
      <c r="M797" s="52"/>
      <c r="N797" s="55"/>
      <c r="O797" s="50"/>
      <c r="P797" s="53"/>
      <c r="Q797" s="52"/>
      <c r="R797" s="52"/>
      <c r="S797" s="52"/>
      <c r="T797" s="55"/>
      <c r="U797" s="52" t="str">
        <f t="shared" ca="1" si="12"/>
        <v/>
      </c>
      <c r="V797" s="54">
        <v>0</v>
      </c>
      <c r="W797" s="52" t="s">
        <v>5587</v>
      </c>
    </row>
    <row r="798" spans="1:23" ht="20.100000000000001" customHeight="1" x14ac:dyDescent="0.25">
      <c r="A798" s="50"/>
      <c r="B798" s="50"/>
      <c r="C798" s="51"/>
      <c r="D798" s="51"/>
      <c r="E798" s="52"/>
      <c r="F798" s="52"/>
      <c r="G798" s="52"/>
      <c r="H798" s="52">
        <v>6234</v>
      </c>
      <c r="I798" s="52"/>
      <c r="J798" s="52"/>
      <c r="K798" s="53"/>
      <c r="L798" s="54"/>
      <c r="M798" s="52"/>
      <c r="N798" s="55"/>
      <c r="O798" s="50"/>
      <c r="P798" s="53"/>
      <c r="Q798" s="52"/>
      <c r="R798" s="52"/>
      <c r="S798" s="52"/>
      <c r="T798" s="55"/>
      <c r="U798" s="52" t="str">
        <f t="shared" ca="1" si="12"/>
        <v/>
      </c>
      <c r="V798" s="54">
        <v>0</v>
      </c>
      <c r="W798" s="52" t="s">
        <v>5587</v>
      </c>
    </row>
    <row r="799" spans="1:23" ht="20.100000000000001" customHeight="1" x14ac:dyDescent="0.25">
      <c r="A799" s="50"/>
      <c r="B799" s="50"/>
      <c r="C799" s="51"/>
      <c r="D799" s="51"/>
      <c r="E799" s="52"/>
      <c r="F799" s="52"/>
      <c r="G799" s="52"/>
      <c r="H799" s="52">
        <v>6235</v>
      </c>
      <c r="I799" s="52"/>
      <c r="J799" s="52"/>
      <c r="K799" s="53"/>
      <c r="L799" s="54"/>
      <c r="M799" s="52"/>
      <c r="N799" s="55"/>
      <c r="O799" s="50"/>
      <c r="P799" s="53"/>
      <c r="Q799" s="52"/>
      <c r="R799" s="52"/>
      <c r="S799" s="52"/>
      <c r="T799" s="55"/>
      <c r="U799" s="52" t="str">
        <f t="shared" ca="1" si="12"/>
        <v/>
      </c>
      <c r="V799" s="54">
        <v>0</v>
      </c>
      <c r="W799" s="52" t="s">
        <v>5587</v>
      </c>
    </row>
    <row r="800" spans="1:23" ht="20.100000000000001" customHeight="1" x14ac:dyDescent="0.25">
      <c r="A800" s="50"/>
      <c r="B800" s="50"/>
      <c r="C800" s="51"/>
      <c r="D800" s="51"/>
      <c r="E800" s="52"/>
      <c r="F800" s="52"/>
      <c r="G800" s="52"/>
      <c r="H800" s="52">
        <v>6236</v>
      </c>
      <c r="I800" s="52"/>
      <c r="J800" s="52"/>
      <c r="K800" s="53"/>
      <c r="L800" s="54"/>
      <c r="M800" s="52"/>
      <c r="N800" s="55"/>
      <c r="O800" s="50"/>
      <c r="P800" s="53"/>
      <c r="Q800" s="52"/>
      <c r="R800" s="52"/>
      <c r="S800" s="52"/>
      <c r="T800" s="55"/>
      <c r="U800" s="52" t="str">
        <f t="shared" ca="1" si="12"/>
        <v/>
      </c>
      <c r="V800" s="54">
        <v>0</v>
      </c>
      <c r="W800" s="52" t="s">
        <v>5587</v>
      </c>
    </row>
    <row r="801" spans="1:23" ht="20.100000000000001" customHeight="1" x14ac:dyDescent="0.25">
      <c r="A801" s="50"/>
      <c r="B801" s="50"/>
      <c r="C801" s="51"/>
      <c r="D801" s="51"/>
      <c r="E801" s="52"/>
      <c r="F801" s="52"/>
      <c r="G801" s="52"/>
      <c r="H801" s="52">
        <v>6237</v>
      </c>
      <c r="I801" s="52"/>
      <c r="J801" s="52"/>
      <c r="K801" s="53"/>
      <c r="L801" s="54"/>
      <c r="M801" s="52"/>
      <c r="N801" s="55"/>
      <c r="O801" s="50"/>
      <c r="P801" s="53"/>
      <c r="Q801" s="52"/>
      <c r="R801" s="52"/>
      <c r="S801" s="52"/>
      <c r="T801" s="55"/>
      <c r="U801" s="52" t="str">
        <f t="shared" ca="1" si="12"/>
        <v/>
      </c>
      <c r="V801" s="54">
        <v>0</v>
      </c>
      <c r="W801" s="52" t="s">
        <v>5587</v>
      </c>
    </row>
    <row r="802" spans="1:23" ht="20.100000000000001" customHeight="1" x14ac:dyDescent="0.25">
      <c r="A802" s="50"/>
      <c r="B802" s="50"/>
      <c r="C802" s="51"/>
      <c r="D802" s="51"/>
      <c r="E802" s="52"/>
      <c r="F802" s="52"/>
      <c r="G802" s="52"/>
      <c r="H802" s="52">
        <v>6238</v>
      </c>
      <c r="I802" s="52"/>
      <c r="J802" s="52"/>
      <c r="K802" s="53"/>
      <c r="L802" s="54"/>
      <c r="M802" s="52"/>
      <c r="N802" s="55"/>
      <c r="O802" s="50"/>
      <c r="P802" s="53"/>
      <c r="Q802" s="52"/>
      <c r="R802" s="52"/>
      <c r="S802" s="52"/>
      <c r="T802" s="55"/>
      <c r="U802" s="52" t="str">
        <f t="shared" ca="1" si="12"/>
        <v/>
      </c>
      <c r="V802" s="54">
        <v>0</v>
      </c>
      <c r="W802" s="52" t="s">
        <v>5587</v>
      </c>
    </row>
    <row r="803" spans="1:23" ht="20.100000000000001" customHeight="1" x14ac:dyDescent="0.25">
      <c r="A803" s="50"/>
      <c r="B803" s="50"/>
      <c r="C803" s="51"/>
      <c r="D803" s="51"/>
      <c r="E803" s="52"/>
      <c r="F803" s="52"/>
      <c r="G803" s="52"/>
      <c r="H803" s="52">
        <v>6239</v>
      </c>
      <c r="I803" s="52"/>
      <c r="J803" s="52"/>
      <c r="K803" s="53"/>
      <c r="L803" s="54"/>
      <c r="M803" s="52"/>
      <c r="N803" s="55"/>
      <c r="O803" s="50"/>
      <c r="P803" s="53"/>
      <c r="Q803" s="52"/>
      <c r="R803" s="52"/>
      <c r="S803" s="52"/>
      <c r="T803" s="55"/>
      <c r="U803" s="52" t="str">
        <f t="shared" ca="1" si="12"/>
        <v/>
      </c>
      <c r="V803" s="54">
        <v>0</v>
      </c>
      <c r="W803" s="52" t="s">
        <v>5587</v>
      </c>
    </row>
    <row r="804" spans="1:23" ht="20.100000000000001" customHeight="1" x14ac:dyDescent="0.25">
      <c r="A804" s="50"/>
      <c r="B804" s="50"/>
      <c r="C804" s="51"/>
      <c r="D804" s="51"/>
      <c r="E804" s="52"/>
      <c r="F804" s="52"/>
      <c r="G804" s="52"/>
      <c r="H804" s="52">
        <v>6240</v>
      </c>
      <c r="I804" s="52"/>
      <c r="J804" s="52"/>
      <c r="K804" s="53"/>
      <c r="L804" s="54"/>
      <c r="M804" s="52"/>
      <c r="N804" s="55"/>
      <c r="O804" s="50"/>
      <c r="P804" s="53"/>
      <c r="Q804" s="52"/>
      <c r="R804" s="52"/>
      <c r="S804" s="52"/>
      <c r="T804" s="55"/>
      <c r="U804" s="52" t="str">
        <f t="shared" ca="1" si="12"/>
        <v/>
      </c>
      <c r="V804" s="54">
        <v>0</v>
      </c>
      <c r="W804" s="52" t="s">
        <v>5587</v>
      </c>
    </row>
    <row r="805" spans="1:23" ht="20.100000000000001" customHeight="1" x14ac:dyDescent="0.25">
      <c r="A805" s="50"/>
      <c r="B805" s="50"/>
      <c r="C805" s="51"/>
      <c r="D805" s="51"/>
      <c r="E805" s="52"/>
      <c r="F805" s="52"/>
      <c r="G805" s="52"/>
      <c r="H805" s="52">
        <v>6241</v>
      </c>
      <c r="I805" s="52"/>
      <c r="J805" s="52"/>
      <c r="K805" s="53"/>
      <c r="L805" s="54"/>
      <c r="M805" s="52"/>
      <c r="N805" s="55"/>
      <c r="O805" s="50"/>
      <c r="P805" s="53"/>
      <c r="Q805" s="52"/>
      <c r="R805" s="52"/>
      <c r="S805" s="52"/>
      <c r="T805" s="55"/>
      <c r="U805" s="52" t="str">
        <f t="shared" ca="1" si="12"/>
        <v/>
      </c>
      <c r="V805" s="54">
        <v>0</v>
      </c>
      <c r="W805" s="52" t="s">
        <v>5587</v>
      </c>
    </row>
    <row r="806" spans="1:23" ht="20.100000000000001" customHeight="1" x14ac:dyDescent="0.25">
      <c r="A806" s="50"/>
      <c r="B806" s="50"/>
      <c r="C806" s="51"/>
      <c r="D806" s="51"/>
      <c r="E806" s="52"/>
      <c r="F806" s="52"/>
      <c r="G806" s="52"/>
      <c r="H806" s="52">
        <v>6242</v>
      </c>
      <c r="I806" s="52"/>
      <c r="J806" s="52"/>
      <c r="K806" s="53"/>
      <c r="L806" s="54"/>
      <c r="M806" s="52"/>
      <c r="N806" s="55"/>
      <c r="O806" s="50"/>
      <c r="P806" s="53"/>
      <c r="Q806" s="52"/>
      <c r="R806" s="52"/>
      <c r="S806" s="52"/>
      <c r="T806" s="55"/>
      <c r="U806" s="52" t="str">
        <f t="shared" ca="1" si="12"/>
        <v/>
      </c>
      <c r="V806" s="54">
        <v>0</v>
      </c>
      <c r="W806" s="52" t="s">
        <v>5587</v>
      </c>
    </row>
    <row r="807" spans="1:23" ht="20.100000000000001" customHeight="1" x14ac:dyDescent="0.25">
      <c r="A807" s="50"/>
      <c r="B807" s="50"/>
      <c r="C807" s="51"/>
      <c r="D807" s="51"/>
      <c r="E807" s="52"/>
      <c r="F807" s="52"/>
      <c r="G807" s="52"/>
      <c r="H807" s="52">
        <v>6243</v>
      </c>
      <c r="I807" s="52"/>
      <c r="J807" s="52"/>
      <c r="K807" s="53"/>
      <c r="L807" s="54"/>
      <c r="M807" s="52"/>
      <c r="N807" s="55"/>
      <c r="O807" s="50"/>
      <c r="P807" s="53"/>
      <c r="Q807" s="52"/>
      <c r="R807" s="52"/>
      <c r="S807" s="52"/>
      <c r="T807" s="55"/>
      <c r="U807" s="52" t="str">
        <f t="shared" ca="1" si="12"/>
        <v/>
      </c>
      <c r="V807" s="54">
        <v>0</v>
      </c>
      <c r="W807" s="52" t="s">
        <v>5587</v>
      </c>
    </row>
    <row r="808" spans="1:23" ht="20.100000000000001" customHeight="1" x14ac:dyDescent="0.25">
      <c r="A808" s="50"/>
      <c r="B808" s="50"/>
      <c r="C808" s="51"/>
      <c r="D808" s="51"/>
      <c r="E808" s="52"/>
      <c r="F808" s="52"/>
      <c r="G808" s="52"/>
      <c r="H808" s="52">
        <v>6244</v>
      </c>
      <c r="I808" s="52"/>
      <c r="J808" s="52"/>
      <c r="K808" s="53"/>
      <c r="L808" s="54"/>
      <c r="M808" s="52"/>
      <c r="N808" s="55"/>
      <c r="O808" s="50"/>
      <c r="P808" s="53"/>
      <c r="Q808" s="52"/>
      <c r="R808" s="52"/>
      <c r="S808" s="52"/>
      <c r="T808" s="55"/>
      <c r="U808" s="52" t="str">
        <f t="shared" ca="1" si="12"/>
        <v/>
      </c>
      <c r="V808" s="54">
        <v>0</v>
      </c>
      <c r="W808" s="52" t="s">
        <v>5587</v>
      </c>
    </row>
    <row r="809" spans="1:23" ht="20.100000000000001" customHeight="1" x14ac:dyDescent="0.25">
      <c r="A809" s="50"/>
      <c r="B809" s="50"/>
      <c r="C809" s="51"/>
      <c r="D809" s="51"/>
      <c r="E809" s="52"/>
      <c r="F809" s="52"/>
      <c r="G809" s="52"/>
      <c r="H809" s="52">
        <v>6245</v>
      </c>
      <c r="I809" s="52"/>
      <c r="J809" s="52"/>
      <c r="K809" s="53"/>
      <c r="L809" s="54"/>
      <c r="M809" s="52"/>
      <c r="N809" s="55"/>
      <c r="O809" s="50"/>
      <c r="P809" s="53"/>
      <c r="Q809" s="52"/>
      <c r="R809" s="52"/>
      <c r="S809" s="52"/>
      <c r="T809" s="55"/>
      <c r="U809" s="52" t="str">
        <f t="shared" ca="1" si="12"/>
        <v/>
      </c>
      <c r="V809" s="54">
        <v>0</v>
      </c>
      <c r="W809" s="52" t="s">
        <v>5587</v>
      </c>
    </row>
    <row r="810" spans="1:23" ht="20.100000000000001" customHeight="1" x14ac:dyDescent="0.25">
      <c r="A810" s="50"/>
      <c r="B810" s="50"/>
      <c r="C810" s="51"/>
      <c r="D810" s="51"/>
      <c r="E810" s="52"/>
      <c r="F810" s="52"/>
      <c r="G810" s="52"/>
      <c r="H810" s="52">
        <v>6246</v>
      </c>
      <c r="I810" s="52"/>
      <c r="J810" s="52"/>
      <c r="K810" s="53"/>
      <c r="L810" s="54"/>
      <c r="M810" s="52"/>
      <c r="N810" s="55"/>
      <c r="O810" s="50"/>
      <c r="P810" s="53"/>
      <c r="Q810" s="52"/>
      <c r="R810" s="52"/>
      <c r="S810" s="52"/>
      <c r="T810" s="55"/>
      <c r="U810" s="52" t="str">
        <f t="shared" ca="1" si="12"/>
        <v/>
      </c>
      <c r="V810" s="54">
        <v>0</v>
      </c>
      <c r="W810" s="52" t="s">
        <v>5587</v>
      </c>
    </row>
    <row r="811" spans="1:23" ht="20.100000000000001" customHeight="1" x14ac:dyDescent="0.25">
      <c r="A811" s="50"/>
      <c r="B811" s="50"/>
      <c r="C811" s="51"/>
      <c r="D811" s="51"/>
      <c r="E811" s="52"/>
      <c r="F811" s="52"/>
      <c r="G811" s="52"/>
      <c r="H811" s="52">
        <v>6247</v>
      </c>
      <c r="I811" s="52"/>
      <c r="J811" s="52"/>
      <c r="K811" s="53"/>
      <c r="L811" s="54"/>
      <c r="M811" s="52"/>
      <c r="N811" s="55"/>
      <c r="O811" s="50"/>
      <c r="P811" s="53"/>
      <c r="Q811" s="52"/>
      <c r="R811" s="52"/>
      <c r="S811" s="52"/>
      <c r="T811" s="55"/>
      <c r="U811" s="52" t="str">
        <f t="shared" ca="1" si="12"/>
        <v/>
      </c>
      <c r="V811" s="54">
        <v>0</v>
      </c>
      <c r="W811" s="52" t="s">
        <v>5587</v>
      </c>
    </row>
    <row r="812" spans="1:23" ht="20.100000000000001" customHeight="1" x14ac:dyDescent="0.25">
      <c r="A812" s="50"/>
      <c r="B812" s="50"/>
      <c r="C812" s="51"/>
      <c r="D812" s="51"/>
      <c r="E812" s="52"/>
      <c r="F812" s="52"/>
      <c r="G812" s="52"/>
      <c r="H812" s="52">
        <v>6248</v>
      </c>
      <c r="I812" s="52"/>
      <c r="J812" s="52"/>
      <c r="K812" s="53"/>
      <c r="L812" s="54"/>
      <c r="M812" s="52"/>
      <c r="N812" s="55"/>
      <c r="O812" s="50"/>
      <c r="P812" s="53"/>
      <c r="Q812" s="52"/>
      <c r="R812" s="52"/>
      <c r="S812" s="52"/>
      <c r="T812" s="55"/>
      <c r="U812" s="52" t="str">
        <f t="shared" ca="1" si="12"/>
        <v/>
      </c>
      <c r="V812" s="54">
        <v>0</v>
      </c>
      <c r="W812" s="52" t="s">
        <v>5587</v>
      </c>
    </row>
    <row r="813" spans="1:23" ht="20.100000000000001" customHeight="1" x14ac:dyDescent="0.25">
      <c r="A813" s="50"/>
      <c r="B813" s="50"/>
      <c r="C813" s="51"/>
      <c r="D813" s="51"/>
      <c r="E813" s="52"/>
      <c r="F813" s="52"/>
      <c r="G813" s="52"/>
      <c r="H813" s="52">
        <v>6249</v>
      </c>
      <c r="I813" s="52"/>
      <c r="J813" s="52"/>
      <c r="K813" s="53"/>
      <c r="L813" s="54"/>
      <c r="M813" s="52"/>
      <c r="N813" s="55"/>
      <c r="O813" s="50"/>
      <c r="P813" s="53"/>
      <c r="Q813" s="52"/>
      <c r="R813" s="52"/>
      <c r="S813" s="52"/>
      <c r="T813" s="55"/>
      <c r="U813" s="52" t="str">
        <f t="shared" ca="1" si="12"/>
        <v/>
      </c>
      <c r="V813" s="54">
        <v>0</v>
      </c>
      <c r="W813" s="52" t="s">
        <v>5587</v>
      </c>
    </row>
    <row r="814" spans="1:23" ht="20.100000000000001" customHeight="1" x14ac:dyDescent="0.25">
      <c r="A814" s="50"/>
      <c r="B814" s="50"/>
      <c r="C814" s="51"/>
      <c r="D814" s="51"/>
      <c r="E814" s="52"/>
      <c r="F814" s="52"/>
      <c r="G814" s="52"/>
      <c r="H814" s="52">
        <v>6250</v>
      </c>
      <c r="I814" s="52"/>
      <c r="J814" s="52"/>
      <c r="K814" s="53"/>
      <c r="L814" s="54"/>
      <c r="M814" s="52"/>
      <c r="N814" s="55"/>
      <c r="O814" s="50"/>
      <c r="P814" s="53"/>
      <c r="Q814" s="52"/>
      <c r="R814" s="52"/>
      <c r="S814" s="52"/>
      <c r="T814" s="55"/>
      <c r="U814" s="52" t="str">
        <f t="shared" ca="1" si="12"/>
        <v/>
      </c>
      <c r="V814" s="54">
        <v>0</v>
      </c>
      <c r="W814" s="52" t="s">
        <v>5587</v>
      </c>
    </row>
    <row r="815" spans="1:23" ht="20.100000000000001" customHeight="1" x14ac:dyDescent="0.25">
      <c r="A815" s="50"/>
      <c r="B815" s="50"/>
      <c r="C815" s="51"/>
      <c r="D815" s="51"/>
      <c r="E815" s="52"/>
      <c r="F815" s="52"/>
      <c r="G815" s="52"/>
      <c r="H815" s="52">
        <v>6251</v>
      </c>
      <c r="I815" s="52"/>
      <c r="J815" s="52"/>
      <c r="K815" s="53"/>
      <c r="L815" s="54"/>
      <c r="M815" s="52"/>
      <c r="N815" s="55"/>
      <c r="O815" s="50"/>
      <c r="P815" s="53"/>
      <c r="Q815" s="52"/>
      <c r="R815" s="52"/>
      <c r="S815" s="52"/>
      <c r="T815" s="55"/>
      <c r="U815" s="52" t="str">
        <f t="shared" ca="1" si="12"/>
        <v/>
      </c>
      <c r="V815" s="54">
        <v>0</v>
      </c>
      <c r="W815" s="52" t="s">
        <v>5587</v>
      </c>
    </row>
    <row r="816" spans="1:23" ht="20.100000000000001" customHeight="1" x14ac:dyDescent="0.25">
      <c r="A816" s="50"/>
      <c r="B816" s="50"/>
      <c r="C816" s="51"/>
      <c r="D816" s="51"/>
      <c r="E816" s="52"/>
      <c r="F816" s="52"/>
      <c r="G816" s="52"/>
      <c r="H816" s="52">
        <v>6252</v>
      </c>
      <c r="I816" s="52"/>
      <c r="J816" s="52"/>
      <c r="K816" s="53"/>
      <c r="L816" s="54"/>
      <c r="M816" s="52"/>
      <c r="N816" s="55"/>
      <c r="O816" s="50"/>
      <c r="P816" s="53"/>
      <c r="Q816" s="52"/>
      <c r="R816" s="52"/>
      <c r="S816" s="52"/>
      <c r="T816" s="55"/>
      <c r="U816" s="52" t="str">
        <f t="shared" ca="1" si="12"/>
        <v/>
      </c>
      <c r="V816" s="54">
        <v>0</v>
      </c>
      <c r="W816" s="52" t="s">
        <v>5587</v>
      </c>
    </row>
    <row r="817" spans="1:23" ht="20.100000000000001" customHeight="1" x14ac:dyDescent="0.25">
      <c r="A817" s="50"/>
      <c r="B817" s="50"/>
      <c r="C817" s="51"/>
      <c r="D817" s="51"/>
      <c r="E817" s="52"/>
      <c r="F817" s="52"/>
      <c r="G817" s="52"/>
      <c r="H817" s="52">
        <v>6253</v>
      </c>
      <c r="I817" s="52"/>
      <c r="J817" s="52"/>
      <c r="K817" s="53"/>
      <c r="L817" s="54"/>
      <c r="M817" s="52"/>
      <c r="N817" s="55"/>
      <c r="O817" s="50"/>
      <c r="P817" s="53"/>
      <c r="Q817" s="52"/>
      <c r="R817" s="52"/>
      <c r="S817" s="52"/>
      <c r="T817" s="55"/>
      <c r="U817" s="52" t="str">
        <f t="shared" ca="1" si="12"/>
        <v/>
      </c>
      <c r="V817" s="54">
        <v>0</v>
      </c>
      <c r="W817" s="52" t="s">
        <v>5587</v>
      </c>
    </row>
    <row r="818" spans="1:23" ht="20.100000000000001" customHeight="1" x14ac:dyDescent="0.25">
      <c r="A818" s="50"/>
      <c r="B818" s="50"/>
      <c r="C818" s="51"/>
      <c r="D818" s="51"/>
      <c r="E818" s="52"/>
      <c r="F818" s="52"/>
      <c r="G818" s="52"/>
      <c r="H818" s="52">
        <v>6254</v>
      </c>
      <c r="I818" s="52"/>
      <c r="J818" s="52"/>
      <c r="K818" s="53"/>
      <c r="L818" s="54"/>
      <c r="M818" s="52"/>
      <c r="N818" s="55"/>
      <c r="O818" s="50"/>
      <c r="P818" s="53"/>
      <c r="Q818" s="52"/>
      <c r="R818" s="52"/>
      <c r="S818" s="52"/>
      <c r="T818" s="55"/>
      <c r="U818" s="52" t="str">
        <f t="shared" ca="1" si="12"/>
        <v/>
      </c>
      <c r="V818" s="54">
        <v>0</v>
      </c>
      <c r="W818" s="52" t="s">
        <v>5587</v>
      </c>
    </row>
    <row r="819" spans="1:23" ht="20.100000000000001" customHeight="1" x14ac:dyDescent="0.25">
      <c r="A819" s="50"/>
      <c r="B819" s="50"/>
      <c r="C819" s="51"/>
      <c r="D819" s="51"/>
      <c r="E819" s="52"/>
      <c r="F819" s="52"/>
      <c r="G819" s="52"/>
      <c r="H819" s="52">
        <v>6255</v>
      </c>
      <c r="I819" s="52"/>
      <c r="J819" s="52"/>
      <c r="K819" s="53"/>
      <c r="L819" s="54"/>
      <c r="M819" s="52"/>
      <c r="N819" s="55"/>
      <c r="O819" s="50"/>
      <c r="P819" s="53"/>
      <c r="Q819" s="52"/>
      <c r="R819" s="52"/>
      <c r="S819" s="52"/>
      <c r="T819" s="55"/>
      <c r="U819" s="52" t="str">
        <f t="shared" ca="1" si="12"/>
        <v/>
      </c>
      <c r="V819" s="54">
        <v>0</v>
      </c>
      <c r="W819" s="52" t="s">
        <v>5587</v>
      </c>
    </row>
    <row r="820" spans="1:23" ht="20.100000000000001" customHeight="1" x14ac:dyDescent="0.25">
      <c r="A820" s="50"/>
      <c r="B820" s="50"/>
      <c r="C820" s="51"/>
      <c r="D820" s="51"/>
      <c r="E820" s="52"/>
      <c r="F820" s="52"/>
      <c r="G820" s="52"/>
      <c r="H820" s="52">
        <v>6256</v>
      </c>
      <c r="I820" s="52"/>
      <c r="J820" s="52"/>
      <c r="K820" s="53"/>
      <c r="L820" s="54"/>
      <c r="M820" s="52"/>
      <c r="N820" s="55"/>
      <c r="O820" s="50"/>
      <c r="P820" s="53"/>
      <c r="Q820" s="52"/>
      <c r="R820" s="52"/>
      <c r="S820" s="52"/>
      <c r="T820" s="55"/>
      <c r="U820" s="52" t="str">
        <f t="shared" ca="1" si="12"/>
        <v/>
      </c>
      <c r="V820" s="54">
        <v>0</v>
      </c>
      <c r="W820" s="52" t="s">
        <v>5587</v>
      </c>
    </row>
    <row r="821" spans="1:23" ht="20.100000000000001" customHeight="1" x14ac:dyDescent="0.25">
      <c r="A821" s="50"/>
      <c r="B821" s="50"/>
      <c r="C821" s="51"/>
      <c r="D821" s="51"/>
      <c r="E821" s="52"/>
      <c r="F821" s="52"/>
      <c r="G821" s="52"/>
      <c r="H821" s="52">
        <v>6257</v>
      </c>
      <c r="I821" s="52"/>
      <c r="J821" s="52"/>
      <c r="K821" s="53"/>
      <c r="L821" s="54"/>
      <c r="M821" s="52"/>
      <c r="N821" s="55"/>
      <c r="O821" s="50"/>
      <c r="P821" s="53"/>
      <c r="Q821" s="52"/>
      <c r="R821" s="52"/>
      <c r="S821" s="52"/>
      <c r="T821" s="55"/>
      <c r="U821" s="52" t="str">
        <f t="shared" ca="1" si="12"/>
        <v/>
      </c>
      <c r="V821" s="54">
        <v>0</v>
      </c>
      <c r="W821" s="52" t="s">
        <v>5587</v>
      </c>
    </row>
    <row r="822" spans="1:23" ht="20.100000000000001" customHeight="1" x14ac:dyDescent="0.25">
      <c r="A822" s="50"/>
      <c r="B822" s="50"/>
      <c r="C822" s="51"/>
      <c r="D822" s="51"/>
      <c r="E822" s="52"/>
      <c r="F822" s="52"/>
      <c r="G822" s="52"/>
      <c r="H822" s="52">
        <v>6258</v>
      </c>
      <c r="I822" s="52"/>
      <c r="J822" s="52"/>
      <c r="K822" s="53"/>
      <c r="L822" s="54"/>
      <c r="M822" s="52"/>
      <c r="N822" s="55"/>
      <c r="O822" s="50"/>
      <c r="P822" s="53"/>
      <c r="Q822" s="52"/>
      <c r="R822" s="52"/>
      <c r="S822" s="52"/>
      <c r="T822" s="55"/>
      <c r="U822" s="52" t="str">
        <f t="shared" ca="1" si="12"/>
        <v/>
      </c>
      <c r="V822" s="54">
        <v>0</v>
      </c>
      <c r="W822" s="52" t="s">
        <v>5587</v>
      </c>
    </row>
    <row r="823" spans="1:23" ht="20.100000000000001" customHeight="1" x14ac:dyDescent="0.25">
      <c r="A823" s="50"/>
      <c r="B823" s="50"/>
      <c r="C823" s="51"/>
      <c r="D823" s="51"/>
      <c r="E823" s="52"/>
      <c r="F823" s="52"/>
      <c r="G823" s="52"/>
      <c r="H823" s="52">
        <v>6259</v>
      </c>
      <c r="I823" s="52"/>
      <c r="J823" s="52"/>
      <c r="K823" s="53"/>
      <c r="L823" s="54"/>
      <c r="M823" s="52"/>
      <c r="N823" s="55"/>
      <c r="O823" s="50"/>
      <c r="P823" s="53"/>
      <c r="Q823" s="52"/>
      <c r="R823" s="52"/>
      <c r="S823" s="52"/>
      <c r="T823" s="55"/>
      <c r="U823" s="52" t="str">
        <f t="shared" ca="1" si="12"/>
        <v/>
      </c>
      <c r="V823" s="54">
        <v>0</v>
      </c>
      <c r="W823" s="52" t="s">
        <v>5587</v>
      </c>
    </row>
    <row r="824" spans="1:23" ht="20.100000000000001" customHeight="1" x14ac:dyDescent="0.25">
      <c r="A824" s="50"/>
      <c r="B824" s="50"/>
      <c r="C824" s="51"/>
      <c r="D824" s="51"/>
      <c r="E824" s="52"/>
      <c r="F824" s="52"/>
      <c r="G824" s="52"/>
      <c r="H824" s="52">
        <v>6260</v>
      </c>
      <c r="I824" s="52"/>
      <c r="J824" s="52"/>
      <c r="K824" s="53"/>
      <c r="L824" s="54"/>
      <c r="M824" s="52"/>
      <c r="N824" s="55"/>
      <c r="O824" s="50"/>
      <c r="P824" s="53"/>
      <c r="Q824" s="52"/>
      <c r="R824" s="52"/>
      <c r="S824" s="52"/>
      <c r="T824" s="55"/>
      <c r="U824" s="52" t="str">
        <f t="shared" ca="1" si="12"/>
        <v/>
      </c>
      <c r="V824" s="54">
        <v>0</v>
      </c>
      <c r="W824" s="52" t="s">
        <v>5587</v>
      </c>
    </row>
    <row r="825" spans="1:23" ht="20.100000000000001" customHeight="1" x14ac:dyDescent="0.25">
      <c r="A825" s="50"/>
      <c r="B825" s="50"/>
      <c r="C825" s="51"/>
      <c r="D825" s="51"/>
      <c r="E825" s="52"/>
      <c r="F825" s="52"/>
      <c r="G825" s="52"/>
      <c r="H825" s="52">
        <v>6261</v>
      </c>
      <c r="I825" s="52"/>
      <c r="J825" s="52"/>
      <c r="K825" s="53"/>
      <c r="L825" s="54"/>
      <c r="M825" s="52"/>
      <c r="N825" s="55"/>
      <c r="O825" s="50"/>
      <c r="P825" s="53"/>
      <c r="Q825" s="52"/>
      <c r="R825" s="52"/>
      <c r="S825" s="52"/>
      <c r="T825" s="55"/>
      <c r="U825" s="52" t="str">
        <f t="shared" ca="1" si="12"/>
        <v/>
      </c>
      <c r="V825" s="54">
        <v>0</v>
      </c>
      <c r="W825" s="52" t="s">
        <v>5587</v>
      </c>
    </row>
    <row r="826" spans="1:23" ht="20.100000000000001" customHeight="1" x14ac:dyDescent="0.25">
      <c r="A826" s="50"/>
      <c r="B826" s="50"/>
      <c r="C826" s="51"/>
      <c r="D826" s="51"/>
      <c r="E826" s="52"/>
      <c r="F826" s="52"/>
      <c r="G826" s="52"/>
      <c r="H826" s="52">
        <v>6262</v>
      </c>
      <c r="I826" s="52"/>
      <c r="J826" s="52"/>
      <c r="K826" s="53"/>
      <c r="L826" s="54"/>
      <c r="M826" s="52"/>
      <c r="N826" s="55"/>
      <c r="O826" s="50"/>
      <c r="P826" s="53"/>
      <c r="Q826" s="52"/>
      <c r="R826" s="52"/>
      <c r="S826" s="52"/>
      <c r="T826" s="55"/>
      <c r="U826" s="52" t="str">
        <f t="shared" ca="1" si="12"/>
        <v/>
      </c>
      <c r="V826" s="54">
        <v>0</v>
      </c>
      <c r="W826" s="52" t="s">
        <v>5587</v>
      </c>
    </row>
    <row r="827" spans="1:23" ht="20.100000000000001" customHeight="1" x14ac:dyDescent="0.25">
      <c r="A827" s="50"/>
      <c r="B827" s="50"/>
      <c r="C827" s="51"/>
      <c r="D827" s="51"/>
      <c r="E827" s="52"/>
      <c r="F827" s="52"/>
      <c r="G827" s="52"/>
      <c r="H827" s="52">
        <v>6263</v>
      </c>
      <c r="I827" s="52"/>
      <c r="J827" s="52"/>
      <c r="K827" s="53"/>
      <c r="L827" s="54"/>
      <c r="M827" s="52"/>
      <c r="N827" s="55"/>
      <c r="O827" s="50"/>
      <c r="P827" s="53"/>
      <c r="Q827" s="52"/>
      <c r="R827" s="52"/>
      <c r="S827" s="52"/>
      <c r="T827" s="55"/>
      <c r="U827" s="52" t="str">
        <f t="shared" ca="1" si="12"/>
        <v/>
      </c>
      <c r="V827" s="54">
        <v>0</v>
      </c>
      <c r="W827" s="52" t="s">
        <v>5587</v>
      </c>
    </row>
    <row r="828" spans="1:23" ht="20.100000000000001" customHeight="1" x14ac:dyDescent="0.25">
      <c r="A828" s="50"/>
      <c r="B828" s="50"/>
      <c r="C828" s="51"/>
      <c r="D828" s="51"/>
      <c r="E828" s="52"/>
      <c r="F828" s="52"/>
      <c r="G828" s="52"/>
      <c r="H828" s="52">
        <v>6264</v>
      </c>
      <c r="I828" s="52"/>
      <c r="J828" s="52"/>
      <c r="K828" s="53"/>
      <c r="L828" s="54"/>
      <c r="M828" s="52"/>
      <c r="N828" s="55"/>
      <c r="O828" s="50"/>
      <c r="P828" s="53"/>
      <c r="Q828" s="52"/>
      <c r="R828" s="52"/>
      <c r="S828" s="52"/>
      <c r="T828" s="55"/>
      <c r="U828" s="52" t="str">
        <f t="shared" ca="1" si="12"/>
        <v/>
      </c>
      <c r="V828" s="54">
        <v>0</v>
      </c>
      <c r="W828" s="52" t="s">
        <v>5587</v>
      </c>
    </row>
    <row r="829" spans="1:23" ht="20.100000000000001" customHeight="1" x14ac:dyDescent="0.25">
      <c r="A829" s="50"/>
      <c r="B829" s="50"/>
      <c r="C829" s="51"/>
      <c r="D829" s="51"/>
      <c r="E829" s="52"/>
      <c r="F829" s="52"/>
      <c r="G829" s="52"/>
      <c r="H829" s="52">
        <v>6265</v>
      </c>
      <c r="I829" s="52"/>
      <c r="J829" s="52"/>
      <c r="K829" s="53"/>
      <c r="L829" s="54"/>
      <c r="M829" s="52"/>
      <c r="N829" s="55"/>
      <c r="O829" s="50"/>
      <c r="P829" s="53"/>
      <c r="Q829" s="52"/>
      <c r="R829" s="52"/>
      <c r="S829" s="52"/>
      <c r="T829" s="55"/>
      <c r="U829" s="52" t="str">
        <f t="shared" ca="1" si="12"/>
        <v/>
      </c>
      <c r="V829" s="54">
        <v>0</v>
      </c>
      <c r="W829" s="52" t="s">
        <v>5587</v>
      </c>
    </row>
    <row r="830" spans="1:23" ht="20.100000000000001" customHeight="1" x14ac:dyDescent="0.25">
      <c r="A830" s="50"/>
      <c r="B830" s="50"/>
      <c r="C830" s="51"/>
      <c r="D830" s="51"/>
      <c r="E830" s="52"/>
      <c r="F830" s="52"/>
      <c r="G830" s="52"/>
      <c r="H830" s="52">
        <v>6266</v>
      </c>
      <c r="I830" s="52"/>
      <c r="J830" s="52"/>
      <c r="K830" s="53"/>
      <c r="L830" s="54"/>
      <c r="M830" s="52"/>
      <c r="N830" s="55"/>
      <c r="O830" s="50"/>
      <c r="P830" s="53"/>
      <c r="Q830" s="52"/>
      <c r="R830" s="52"/>
      <c r="S830" s="52"/>
      <c r="T830" s="55"/>
      <c r="U830" s="52" t="str">
        <f t="shared" ca="1" si="12"/>
        <v/>
      </c>
      <c r="V830" s="54">
        <v>0</v>
      </c>
      <c r="W830" s="52" t="s">
        <v>5587</v>
      </c>
    </row>
    <row r="831" spans="1:23" ht="20.100000000000001" customHeight="1" x14ac:dyDescent="0.25">
      <c r="A831" s="50"/>
      <c r="B831" s="50"/>
      <c r="C831" s="51"/>
      <c r="D831" s="51"/>
      <c r="E831" s="52"/>
      <c r="F831" s="52"/>
      <c r="G831" s="52"/>
      <c r="H831" s="52">
        <v>6267</v>
      </c>
      <c r="I831" s="52"/>
      <c r="J831" s="52"/>
      <c r="K831" s="53"/>
      <c r="L831" s="54"/>
      <c r="M831" s="52"/>
      <c r="N831" s="55"/>
      <c r="O831" s="50"/>
      <c r="P831" s="53"/>
      <c r="Q831" s="52"/>
      <c r="R831" s="52"/>
      <c r="S831" s="52"/>
      <c r="T831" s="55"/>
      <c r="U831" s="52" t="str">
        <f t="shared" ca="1" si="12"/>
        <v/>
      </c>
      <c r="V831" s="54">
        <v>0</v>
      </c>
      <c r="W831" s="52" t="s">
        <v>5587</v>
      </c>
    </row>
    <row r="832" spans="1:23" ht="20.100000000000001" customHeight="1" x14ac:dyDescent="0.25">
      <c r="A832" s="50"/>
      <c r="B832" s="50"/>
      <c r="C832" s="51"/>
      <c r="D832" s="51"/>
      <c r="E832" s="52"/>
      <c r="F832" s="52"/>
      <c r="G832" s="52"/>
      <c r="H832" s="52">
        <v>6268</v>
      </c>
      <c r="I832" s="52"/>
      <c r="J832" s="52"/>
      <c r="K832" s="53"/>
      <c r="L832" s="54"/>
      <c r="M832" s="52"/>
      <c r="N832" s="55"/>
      <c r="O832" s="50"/>
      <c r="P832" s="53"/>
      <c r="Q832" s="52"/>
      <c r="R832" s="52"/>
      <c r="S832" s="52"/>
      <c r="T832" s="55"/>
      <c r="U832" s="52" t="str">
        <f t="shared" ca="1" si="12"/>
        <v/>
      </c>
      <c r="V832" s="54">
        <v>0</v>
      </c>
      <c r="W832" s="52" t="s">
        <v>5587</v>
      </c>
    </row>
    <row r="833" spans="1:23" ht="20.100000000000001" customHeight="1" x14ac:dyDescent="0.25">
      <c r="A833" s="50"/>
      <c r="B833" s="50"/>
      <c r="C833" s="51"/>
      <c r="D833" s="51"/>
      <c r="E833" s="52"/>
      <c r="F833" s="52"/>
      <c r="G833" s="52"/>
      <c r="H833" s="52">
        <v>6269</v>
      </c>
      <c r="I833" s="52"/>
      <c r="J833" s="52"/>
      <c r="K833" s="53"/>
      <c r="L833" s="54"/>
      <c r="M833" s="52"/>
      <c r="N833" s="55"/>
      <c r="O833" s="50"/>
      <c r="P833" s="53"/>
      <c r="Q833" s="52"/>
      <c r="R833" s="52"/>
      <c r="S833" s="52"/>
      <c r="T833" s="55"/>
      <c r="U833" s="52" t="str">
        <f t="shared" ca="1" si="12"/>
        <v/>
      </c>
      <c r="V833" s="54">
        <v>0</v>
      </c>
      <c r="W833" s="52" t="s">
        <v>5587</v>
      </c>
    </row>
    <row r="834" spans="1:23" ht="20.100000000000001" customHeight="1" x14ac:dyDescent="0.25">
      <c r="A834" s="50"/>
      <c r="B834" s="50"/>
      <c r="C834" s="51"/>
      <c r="D834" s="51"/>
      <c r="E834" s="52"/>
      <c r="F834" s="52"/>
      <c r="G834" s="52"/>
      <c r="H834" s="52">
        <v>6270</v>
      </c>
      <c r="I834" s="52"/>
      <c r="J834" s="52"/>
      <c r="K834" s="53"/>
      <c r="L834" s="54"/>
      <c r="M834" s="52"/>
      <c r="N834" s="55"/>
      <c r="O834" s="50"/>
      <c r="P834" s="53"/>
      <c r="Q834" s="52"/>
      <c r="R834" s="52"/>
      <c r="S834" s="52"/>
      <c r="T834" s="55"/>
      <c r="U834" s="52" t="str">
        <f t="shared" ca="1" si="12"/>
        <v/>
      </c>
      <c r="V834" s="54">
        <v>0</v>
      </c>
      <c r="W834" s="52" t="s">
        <v>5587</v>
      </c>
    </row>
    <row r="835" spans="1:23" ht="20.100000000000001" customHeight="1" x14ac:dyDescent="0.25">
      <c r="A835" s="50"/>
      <c r="B835" s="50"/>
      <c r="C835" s="51"/>
      <c r="D835" s="51"/>
      <c r="E835" s="52"/>
      <c r="F835" s="52"/>
      <c r="G835" s="52"/>
      <c r="H835" s="52">
        <v>6271</v>
      </c>
      <c r="I835" s="52"/>
      <c r="J835" s="52"/>
      <c r="K835" s="53"/>
      <c r="L835" s="54"/>
      <c r="M835" s="52"/>
      <c r="N835" s="55"/>
      <c r="O835" s="50"/>
      <c r="P835" s="53"/>
      <c r="Q835" s="52"/>
      <c r="R835" s="52"/>
      <c r="S835" s="52"/>
      <c r="T835" s="55"/>
      <c r="U835" s="52" t="str">
        <f t="shared" ca="1" si="12"/>
        <v/>
      </c>
      <c r="V835" s="54">
        <v>0</v>
      </c>
      <c r="W835" s="52" t="s">
        <v>5587</v>
      </c>
    </row>
    <row r="836" spans="1:23" ht="20.100000000000001" customHeight="1" x14ac:dyDescent="0.25">
      <c r="A836" s="50"/>
      <c r="B836" s="50"/>
      <c r="C836" s="51"/>
      <c r="D836" s="51"/>
      <c r="E836" s="52"/>
      <c r="F836" s="52"/>
      <c r="G836" s="52"/>
      <c r="H836" s="52">
        <v>6272</v>
      </c>
      <c r="I836" s="52"/>
      <c r="J836" s="52"/>
      <c r="K836" s="53"/>
      <c r="L836" s="54"/>
      <c r="M836" s="52"/>
      <c r="N836" s="55"/>
      <c r="O836" s="50"/>
      <c r="P836" s="53"/>
      <c r="Q836" s="52"/>
      <c r="R836" s="52"/>
      <c r="S836" s="52"/>
      <c r="T836" s="55"/>
      <c r="U836" s="52" t="str">
        <f t="shared" ca="1" si="12"/>
        <v/>
      </c>
      <c r="V836" s="54">
        <v>0</v>
      </c>
      <c r="W836" s="52" t="s">
        <v>5587</v>
      </c>
    </row>
    <row r="837" spans="1:23" ht="20.100000000000001" customHeight="1" x14ac:dyDescent="0.25">
      <c r="A837" s="50"/>
      <c r="B837" s="50"/>
      <c r="C837" s="51"/>
      <c r="D837" s="51"/>
      <c r="E837" s="52"/>
      <c r="F837" s="52"/>
      <c r="G837" s="52"/>
      <c r="H837" s="52">
        <v>6273</v>
      </c>
      <c r="I837" s="52"/>
      <c r="J837" s="52"/>
      <c r="K837" s="53"/>
      <c r="L837" s="54"/>
      <c r="M837" s="52"/>
      <c r="N837" s="55"/>
      <c r="O837" s="50"/>
      <c r="P837" s="53"/>
      <c r="Q837" s="52"/>
      <c r="R837" s="52"/>
      <c r="S837" s="52"/>
      <c r="T837" s="55"/>
      <c r="U837" s="52" t="str">
        <f t="shared" ref="U837:U900" ca="1" si="13">IF(C837="","",TODAY()-C837)</f>
        <v/>
      </c>
      <c r="V837" s="54">
        <v>0</v>
      </c>
      <c r="W837" s="52" t="s">
        <v>5587</v>
      </c>
    </row>
    <row r="838" spans="1:23" ht="20.100000000000001" customHeight="1" x14ac:dyDescent="0.25">
      <c r="A838" s="50"/>
      <c r="B838" s="50"/>
      <c r="C838" s="51"/>
      <c r="D838" s="51"/>
      <c r="E838" s="52"/>
      <c r="F838" s="52"/>
      <c r="G838" s="52"/>
      <c r="H838" s="52">
        <v>6274</v>
      </c>
      <c r="I838" s="52"/>
      <c r="J838" s="52"/>
      <c r="K838" s="53"/>
      <c r="L838" s="54"/>
      <c r="M838" s="52"/>
      <c r="N838" s="55"/>
      <c r="O838" s="50"/>
      <c r="P838" s="53"/>
      <c r="Q838" s="52"/>
      <c r="R838" s="52"/>
      <c r="S838" s="52"/>
      <c r="T838" s="55"/>
      <c r="U838" s="52" t="str">
        <f t="shared" ca="1" si="13"/>
        <v/>
      </c>
      <c r="V838" s="54">
        <v>0</v>
      </c>
      <c r="W838" s="52" t="s">
        <v>5587</v>
      </c>
    </row>
    <row r="839" spans="1:23" ht="20.100000000000001" customHeight="1" x14ac:dyDescent="0.25">
      <c r="A839" s="50"/>
      <c r="B839" s="50"/>
      <c r="C839" s="51"/>
      <c r="D839" s="51"/>
      <c r="E839" s="52"/>
      <c r="F839" s="52"/>
      <c r="G839" s="52"/>
      <c r="H839" s="52">
        <v>6275</v>
      </c>
      <c r="I839" s="52"/>
      <c r="J839" s="52"/>
      <c r="K839" s="53"/>
      <c r="L839" s="54"/>
      <c r="M839" s="52"/>
      <c r="N839" s="55"/>
      <c r="O839" s="50"/>
      <c r="P839" s="53"/>
      <c r="Q839" s="52"/>
      <c r="R839" s="52"/>
      <c r="S839" s="52"/>
      <c r="T839" s="55"/>
      <c r="U839" s="52" t="str">
        <f t="shared" ca="1" si="13"/>
        <v/>
      </c>
      <c r="V839" s="54">
        <v>0</v>
      </c>
      <c r="W839" s="52" t="s">
        <v>5587</v>
      </c>
    </row>
    <row r="840" spans="1:23" ht="20.100000000000001" customHeight="1" x14ac:dyDescent="0.25">
      <c r="A840" s="50"/>
      <c r="B840" s="50"/>
      <c r="C840" s="51"/>
      <c r="D840" s="51"/>
      <c r="E840" s="52"/>
      <c r="F840" s="52"/>
      <c r="G840" s="52"/>
      <c r="H840" s="52">
        <v>6276</v>
      </c>
      <c r="I840" s="52"/>
      <c r="J840" s="52"/>
      <c r="K840" s="53"/>
      <c r="L840" s="54"/>
      <c r="M840" s="52"/>
      <c r="N840" s="55"/>
      <c r="O840" s="50"/>
      <c r="P840" s="53"/>
      <c r="Q840" s="52"/>
      <c r="R840" s="52"/>
      <c r="S840" s="52"/>
      <c r="T840" s="55"/>
      <c r="U840" s="52" t="str">
        <f t="shared" ca="1" si="13"/>
        <v/>
      </c>
      <c r="V840" s="54">
        <v>0</v>
      </c>
      <c r="W840" s="52" t="s">
        <v>5587</v>
      </c>
    </row>
    <row r="841" spans="1:23" ht="20.100000000000001" customHeight="1" x14ac:dyDescent="0.25">
      <c r="A841" s="50"/>
      <c r="B841" s="50"/>
      <c r="C841" s="51"/>
      <c r="D841" s="51"/>
      <c r="E841" s="52"/>
      <c r="F841" s="52"/>
      <c r="G841" s="52"/>
      <c r="H841" s="52">
        <v>6277</v>
      </c>
      <c r="I841" s="52"/>
      <c r="J841" s="52"/>
      <c r="K841" s="53"/>
      <c r="L841" s="54"/>
      <c r="M841" s="52"/>
      <c r="N841" s="55"/>
      <c r="O841" s="50"/>
      <c r="P841" s="53"/>
      <c r="Q841" s="52"/>
      <c r="R841" s="52"/>
      <c r="S841" s="52"/>
      <c r="T841" s="55"/>
      <c r="U841" s="52" t="str">
        <f t="shared" ca="1" si="13"/>
        <v/>
      </c>
      <c r="V841" s="54">
        <v>0</v>
      </c>
      <c r="W841" s="52" t="s">
        <v>5587</v>
      </c>
    </row>
    <row r="842" spans="1:23" ht="20.100000000000001" customHeight="1" x14ac:dyDescent="0.25">
      <c r="A842" s="50"/>
      <c r="B842" s="50"/>
      <c r="C842" s="51"/>
      <c r="D842" s="51"/>
      <c r="E842" s="52"/>
      <c r="F842" s="52"/>
      <c r="G842" s="52"/>
      <c r="H842" s="52">
        <v>6278</v>
      </c>
      <c r="I842" s="52"/>
      <c r="J842" s="52"/>
      <c r="K842" s="53"/>
      <c r="L842" s="54"/>
      <c r="M842" s="52"/>
      <c r="N842" s="55"/>
      <c r="O842" s="50"/>
      <c r="P842" s="53"/>
      <c r="Q842" s="52"/>
      <c r="R842" s="52"/>
      <c r="S842" s="52"/>
      <c r="T842" s="55"/>
      <c r="U842" s="52" t="str">
        <f t="shared" ca="1" si="13"/>
        <v/>
      </c>
      <c r="V842" s="54">
        <v>0</v>
      </c>
      <c r="W842" s="52" t="s">
        <v>5587</v>
      </c>
    </row>
    <row r="843" spans="1:23" ht="20.100000000000001" customHeight="1" x14ac:dyDescent="0.25">
      <c r="A843" s="50"/>
      <c r="B843" s="50"/>
      <c r="C843" s="51"/>
      <c r="D843" s="51"/>
      <c r="E843" s="52"/>
      <c r="F843" s="52"/>
      <c r="G843" s="52"/>
      <c r="H843" s="52">
        <v>6279</v>
      </c>
      <c r="I843" s="52"/>
      <c r="J843" s="52"/>
      <c r="K843" s="53"/>
      <c r="L843" s="54"/>
      <c r="M843" s="52"/>
      <c r="N843" s="55"/>
      <c r="O843" s="50"/>
      <c r="P843" s="53"/>
      <c r="Q843" s="52"/>
      <c r="R843" s="52"/>
      <c r="S843" s="52"/>
      <c r="T843" s="55"/>
      <c r="U843" s="52" t="str">
        <f t="shared" ca="1" si="13"/>
        <v/>
      </c>
      <c r="V843" s="54">
        <v>0</v>
      </c>
      <c r="W843" s="52" t="s">
        <v>5587</v>
      </c>
    </row>
    <row r="844" spans="1:23" ht="20.100000000000001" customHeight="1" x14ac:dyDescent="0.25">
      <c r="A844" s="50"/>
      <c r="B844" s="50"/>
      <c r="C844" s="51"/>
      <c r="D844" s="51"/>
      <c r="E844" s="52"/>
      <c r="F844" s="52"/>
      <c r="G844" s="52"/>
      <c r="H844" s="52">
        <v>6280</v>
      </c>
      <c r="I844" s="52"/>
      <c r="J844" s="52"/>
      <c r="K844" s="53"/>
      <c r="L844" s="54"/>
      <c r="M844" s="52"/>
      <c r="N844" s="55"/>
      <c r="O844" s="50"/>
      <c r="P844" s="53"/>
      <c r="Q844" s="52"/>
      <c r="R844" s="52"/>
      <c r="S844" s="52"/>
      <c r="T844" s="55"/>
      <c r="U844" s="52" t="str">
        <f t="shared" ca="1" si="13"/>
        <v/>
      </c>
      <c r="V844" s="54">
        <v>0</v>
      </c>
      <c r="W844" s="52" t="s">
        <v>5587</v>
      </c>
    </row>
    <row r="845" spans="1:23" ht="20.100000000000001" customHeight="1" x14ac:dyDescent="0.25">
      <c r="A845" s="50"/>
      <c r="B845" s="50"/>
      <c r="C845" s="51"/>
      <c r="D845" s="51"/>
      <c r="E845" s="52"/>
      <c r="F845" s="52"/>
      <c r="G845" s="52"/>
      <c r="H845" s="52">
        <v>6281</v>
      </c>
      <c r="I845" s="52"/>
      <c r="J845" s="52"/>
      <c r="K845" s="53"/>
      <c r="L845" s="54"/>
      <c r="M845" s="52"/>
      <c r="N845" s="55"/>
      <c r="O845" s="50"/>
      <c r="P845" s="53"/>
      <c r="Q845" s="52"/>
      <c r="R845" s="52"/>
      <c r="S845" s="52"/>
      <c r="T845" s="55"/>
      <c r="U845" s="52" t="str">
        <f t="shared" ca="1" si="13"/>
        <v/>
      </c>
      <c r="V845" s="54">
        <v>0</v>
      </c>
      <c r="W845" s="52" t="s">
        <v>5587</v>
      </c>
    </row>
    <row r="846" spans="1:23" ht="20.100000000000001" customHeight="1" x14ac:dyDescent="0.25">
      <c r="A846" s="50"/>
      <c r="B846" s="50"/>
      <c r="C846" s="51"/>
      <c r="D846" s="51"/>
      <c r="E846" s="52"/>
      <c r="F846" s="52"/>
      <c r="G846" s="52"/>
      <c r="H846" s="52">
        <v>6282</v>
      </c>
      <c r="I846" s="52"/>
      <c r="J846" s="52"/>
      <c r="K846" s="53"/>
      <c r="L846" s="54"/>
      <c r="M846" s="52"/>
      <c r="N846" s="55"/>
      <c r="O846" s="50"/>
      <c r="P846" s="53"/>
      <c r="Q846" s="52"/>
      <c r="R846" s="52"/>
      <c r="S846" s="52"/>
      <c r="T846" s="55"/>
      <c r="U846" s="52" t="str">
        <f t="shared" ca="1" si="13"/>
        <v/>
      </c>
      <c r="V846" s="54">
        <v>0</v>
      </c>
      <c r="W846" s="52" t="s">
        <v>5587</v>
      </c>
    </row>
    <row r="847" spans="1:23" ht="20.100000000000001" customHeight="1" x14ac:dyDescent="0.25">
      <c r="A847" s="50"/>
      <c r="B847" s="50"/>
      <c r="C847" s="51"/>
      <c r="D847" s="51"/>
      <c r="E847" s="52"/>
      <c r="F847" s="52"/>
      <c r="G847" s="52"/>
      <c r="H847" s="52">
        <v>6283</v>
      </c>
      <c r="I847" s="52"/>
      <c r="J847" s="52"/>
      <c r="K847" s="53"/>
      <c r="L847" s="54"/>
      <c r="M847" s="52"/>
      <c r="N847" s="55"/>
      <c r="O847" s="50"/>
      <c r="P847" s="53"/>
      <c r="Q847" s="52"/>
      <c r="R847" s="52"/>
      <c r="S847" s="52"/>
      <c r="T847" s="55"/>
      <c r="U847" s="52" t="str">
        <f t="shared" ca="1" si="13"/>
        <v/>
      </c>
      <c r="V847" s="54">
        <v>0</v>
      </c>
      <c r="W847" s="52" t="s">
        <v>5587</v>
      </c>
    </row>
    <row r="848" spans="1:23" ht="20.100000000000001" customHeight="1" x14ac:dyDescent="0.25">
      <c r="A848" s="50"/>
      <c r="B848" s="50"/>
      <c r="C848" s="51"/>
      <c r="D848" s="51"/>
      <c r="E848" s="52"/>
      <c r="F848" s="52"/>
      <c r="G848" s="52"/>
      <c r="H848" s="52">
        <v>6284</v>
      </c>
      <c r="I848" s="52"/>
      <c r="J848" s="52"/>
      <c r="K848" s="53"/>
      <c r="L848" s="54"/>
      <c r="M848" s="52"/>
      <c r="N848" s="55"/>
      <c r="O848" s="50"/>
      <c r="P848" s="53"/>
      <c r="Q848" s="52"/>
      <c r="R848" s="52"/>
      <c r="S848" s="52"/>
      <c r="T848" s="55"/>
      <c r="U848" s="52" t="str">
        <f t="shared" ca="1" si="13"/>
        <v/>
      </c>
      <c r="V848" s="54">
        <v>0</v>
      </c>
      <c r="W848" s="52" t="s">
        <v>5587</v>
      </c>
    </row>
    <row r="849" spans="1:23" ht="20.100000000000001" customHeight="1" x14ac:dyDescent="0.25">
      <c r="A849" s="50"/>
      <c r="B849" s="50"/>
      <c r="C849" s="51"/>
      <c r="D849" s="51"/>
      <c r="E849" s="52"/>
      <c r="F849" s="52"/>
      <c r="G849" s="52"/>
      <c r="H849" s="52">
        <v>6285</v>
      </c>
      <c r="I849" s="52"/>
      <c r="J849" s="52"/>
      <c r="K849" s="53"/>
      <c r="L849" s="54"/>
      <c r="M849" s="52"/>
      <c r="N849" s="55"/>
      <c r="O849" s="50"/>
      <c r="P849" s="53"/>
      <c r="Q849" s="52"/>
      <c r="R849" s="52"/>
      <c r="S849" s="52"/>
      <c r="T849" s="55"/>
      <c r="U849" s="52" t="str">
        <f t="shared" ca="1" si="13"/>
        <v/>
      </c>
      <c r="V849" s="54">
        <v>0</v>
      </c>
      <c r="W849" s="52" t="s">
        <v>5587</v>
      </c>
    </row>
    <row r="850" spans="1:23" ht="20.100000000000001" customHeight="1" x14ac:dyDescent="0.25">
      <c r="A850" s="50"/>
      <c r="B850" s="50"/>
      <c r="C850" s="51"/>
      <c r="D850" s="51"/>
      <c r="E850" s="52"/>
      <c r="F850" s="52"/>
      <c r="G850" s="52"/>
      <c r="H850" s="52">
        <v>6286</v>
      </c>
      <c r="I850" s="52"/>
      <c r="J850" s="52"/>
      <c r="K850" s="53"/>
      <c r="L850" s="54"/>
      <c r="M850" s="52"/>
      <c r="N850" s="55"/>
      <c r="O850" s="50"/>
      <c r="P850" s="53"/>
      <c r="Q850" s="52"/>
      <c r="R850" s="52"/>
      <c r="S850" s="52"/>
      <c r="T850" s="55"/>
      <c r="U850" s="52" t="str">
        <f t="shared" ca="1" si="13"/>
        <v/>
      </c>
      <c r="V850" s="54">
        <v>0</v>
      </c>
      <c r="W850" s="52" t="s">
        <v>5587</v>
      </c>
    </row>
    <row r="851" spans="1:23" ht="20.100000000000001" customHeight="1" x14ac:dyDescent="0.25">
      <c r="A851" s="50"/>
      <c r="B851" s="50"/>
      <c r="C851" s="51"/>
      <c r="D851" s="51"/>
      <c r="E851" s="52"/>
      <c r="F851" s="52"/>
      <c r="G851" s="52"/>
      <c r="H851" s="52">
        <v>6287</v>
      </c>
      <c r="I851" s="52"/>
      <c r="J851" s="52"/>
      <c r="K851" s="53"/>
      <c r="L851" s="54"/>
      <c r="M851" s="52"/>
      <c r="N851" s="55"/>
      <c r="O851" s="50"/>
      <c r="P851" s="53"/>
      <c r="Q851" s="52"/>
      <c r="R851" s="52"/>
      <c r="S851" s="52"/>
      <c r="T851" s="55"/>
      <c r="U851" s="52" t="str">
        <f t="shared" ca="1" si="13"/>
        <v/>
      </c>
      <c r="V851" s="54">
        <v>0</v>
      </c>
      <c r="W851" s="52" t="s">
        <v>5587</v>
      </c>
    </row>
    <row r="852" spans="1:23" ht="20.100000000000001" customHeight="1" x14ac:dyDescent="0.25">
      <c r="A852" s="50"/>
      <c r="B852" s="50"/>
      <c r="C852" s="51"/>
      <c r="D852" s="51"/>
      <c r="E852" s="52"/>
      <c r="F852" s="52"/>
      <c r="G852" s="52"/>
      <c r="H852" s="52">
        <v>6288</v>
      </c>
      <c r="I852" s="52"/>
      <c r="J852" s="52"/>
      <c r="K852" s="53"/>
      <c r="L852" s="54"/>
      <c r="M852" s="52"/>
      <c r="N852" s="55"/>
      <c r="O852" s="50"/>
      <c r="P852" s="53"/>
      <c r="Q852" s="52"/>
      <c r="R852" s="52"/>
      <c r="S852" s="52"/>
      <c r="T852" s="55"/>
      <c r="U852" s="52" t="str">
        <f t="shared" ca="1" si="13"/>
        <v/>
      </c>
      <c r="V852" s="54">
        <v>0</v>
      </c>
      <c r="W852" s="52" t="s">
        <v>5587</v>
      </c>
    </row>
    <row r="853" spans="1:23" ht="20.100000000000001" customHeight="1" x14ac:dyDescent="0.25">
      <c r="A853" s="50"/>
      <c r="B853" s="50"/>
      <c r="C853" s="51"/>
      <c r="D853" s="51"/>
      <c r="E853" s="52"/>
      <c r="F853" s="52"/>
      <c r="G853" s="52"/>
      <c r="H853" s="52">
        <v>6289</v>
      </c>
      <c r="I853" s="52"/>
      <c r="J853" s="52"/>
      <c r="K853" s="53"/>
      <c r="L853" s="54"/>
      <c r="M853" s="52"/>
      <c r="N853" s="55"/>
      <c r="O853" s="50"/>
      <c r="P853" s="53"/>
      <c r="Q853" s="52"/>
      <c r="R853" s="52"/>
      <c r="S853" s="52"/>
      <c r="T853" s="55"/>
      <c r="U853" s="52" t="str">
        <f t="shared" ca="1" si="13"/>
        <v/>
      </c>
      <c r="V853" s="54">
        <v>0</v>
      </c>
      <c r="W853" s="52" t="s">
        <v>5587</v>
      </c>
    </row>
    <row r="854" spans="1:23" ht="20.100000000000001" customHeight="1" x14ac:dyDescent="0.25">
      <c r="A854" s="50"/>
      <c r="B854" s="50"/>
      <c r="C854" s="51"/>
      <c r="D854" s="51"/>
      <c r="E854" s="52"/>
      <c r="F854" s="52"/>
      <c r="G854" s="52"/>
      <c r="H854" s="52">
        <v>6290</v>
      </c>
      <c r="I854" s="52"/>
      <c r="J854" s="52"/>
      <c r="K854" s="53"/>
      <c r="L854" s="54"/>
      <c r="M854" s="52"/>
      <c r="N854" s="55"/>
      <c r="O854" s="50"/>
      <c r="P854" s="53"/>
      <c r="Q854" s="52"/>
      <c r="R854" s="52"/>
      <c r="S854" s="52"/>
      <c r="T854" s="55"/>
      <c r="U854" s="52" t="str">
        <f t="shared" ca="1" si="13"/>
        <v/>
      </c>
      <c r="V854" s="54">
        <v>0</v>
      </c>
      <c r="W854" s="52" t="s">
        <v>5587</v>
      </c>
    </row>
    <row r="855" spans="1:23" ht="20.100000000000001" customHeight="1" x14ac:dyDescent="0.25">
      <c r="A855" s="50"/>
      <c r="B855" s="50"/>
      <c r="C855" s="51"/>
      <c r="D855" s="51"/>
      <c r="E855" s="52"/>
      <c r="F855" s="52"/>
      <c r="G855" s="52"/>
      <c r="H855" s="52">
        <v>6291</v>
      </c>
      <c r="I855" s="52"/>
      <c r="J855" s="52"/>
      <c r="K855" s="53"/>
      <c r="L855" s="54"/>
      <c r="M855" s="52"/>
      <c r="N855" s="55"/>
      <c r="O855" s="50"/>
      <c r="P855" s="53"/>
      <c r="Q855" s="52"/>
      <c r="R855" s="52"/>
      <c r="S855" s="52"/>
      <c r="T855" s="55"/>
      <c r="U855" s="52" t="str">
        <f t="shared" ca="1" si="13"/>
        <v/>
      </c>
      <c r="V855" s="54">
        <v>0</v>
      </c>
      <c r="W855" s="52" t="s">
        <v>5587</v>
      </c>
    </row>
    <row r="856" spans="1:23" ht="20.100000000000001" customHeight="1" x14ac:dyDescent="0.25">
      <c r="A856" s="50"/>
      <c r="B856" s="50"/>
      <c r="C856" s="51"/>
      <c r="D856" s="51"/>
      <c r="E856" s="52"/>
      <c r="F856" s="52"/>
      <c r="G856" s="52"/>
      <c r="H856" s="52">
        <v>6292</v>
      </c>
      <c r="I856" s="52"/>
      <c r="J856" s="52"/>
      <c r="K856" s="53"/>
      <c r="L856" s="54"/>
      <c r="M856" s="52"/>
      <c r="N856" s="55"/>
      <c r="O856" s="50"/>
      <c r="P856" s="53"/>
      <c r="Q856" s="52"/>
      <c r="R856" s="52"/>
      <c r="S856" s="52"/>
      <c r="T856" s="55"/>
      <c r="U856" s="52" t="str">
        <f t="shared" ca="1" si="13"/>
        <v/>
      </c>
      <c r="V856" s="54">
        <v>0</v>
      </c>
      <c r="W856" s="52" t="s">
        <v>5587</v>
      </c>
    </row>
    <row r="857" spans="1:23" ht="20.100000000000001" customHeight="1" x14ac:dyDescent="0.25">
      <c r="A857" s="50"/>
      <c r="B857" s="50"/>
      <c r="C857" s="51"/>
      <c r="D857" s="51"/>
      <c r="E857" s="52"/>
      <c r="F857" s="52"/>
      <c r="G857" s="52"/>
      <c r="H857" s="52">
        <v>6293</v>
      </c>
      <c r="I857" s="52"/>
      <c r="J857" s="52"/>
      <c r="K857" s="53"/>
      <c r="L857" s="54"/>
      <c r="M857" s="52"/>
      <c r="N857" s="55"/>
      <c r="O857" s="50"/>
      <c r="P857" s="53"/>
      <c r="Q857" s="52"/>
      <c r="R857" s="52"/>
      <c r="S857" s="52"/>
      <c r="T857" s="55"/>
      <c r="U857" s="52" t="str">
        <f t="shared" ca="1" si="13"/>
        <v/>
      </c>
      <c r="V857" s="54">
        <v>0</v>
      </c>
      <c r="W857" s="52" t="s">
        <v>5587</v>
      </c>
    </row>
    <row r="858" spans="1:23" ht="20.100000000000001" customHeight="1" x14ac:dyDescent="0.25">
      <c r="A858" s="50"/>
      <c r="B858" s="50"/>
      <c r="C858" s="51"/>
      <c r="D858" s="51"/>
      <c r="E858" s="52"/>
      <c r="F858" s="52"/>
      <c r="G858" s="52"/>
      <c r="H858" s="52">
        <v>6294</v>
      </c>
      <c r="I858" s="52"/>
      <c r="J858" s="52"/>
      <c r="K858" s="53"/>
      <c r="L858" s="54"/>
      <c r="M858" s="52"/>
      <c r="N858" s="55"/>
      <c r="O858" s="50"/>
      <c r="P858" s="53"/>
      <c r="Q858" s="52"/>
      <c r="R858" s="52"/>
      <c r="S858" s="52"/>
      <c r="T858" s="55"/>
      <c r="U858" s="52" t="str">
        <f t="shared" ca="1" si="13"/>
        <v/>
      </c>
      <c r="V858" s="54">
        <v>0</v>
      </c>
      <c r="W858" s="52" t="s">
        <v>5587</v>
      </c>
    </row>
    <row r="859" spans="1:23" ht="20.100000000000001" customHeight="1" x14ac:dyDescent="0.25">
      <c r="A859" s="50"/>
      <c r="B859" s="50"/>
      <c r="C859" s="51"/>
      <c r="D859" s="51"/>
      <c r="E859" s="52"/>
      <c r="F859" s="52"/>
      <c r="G859" s="52"/>
      <c r="H859" s="52">
        <v>6295</v>
      </c>
      <c r="I859" s="52"/>
      <c r="J859" s="52"/>
      <c r="K859" s="53"/>
      <c r="L859" s="54"/>
      <c r="M859" s="52"/>
      <c r="N859" s="55"/>
      <c r="O859" s="50"/>
      <c r="P859" s="53"/>
      <c r="Q859" s="52"/>
      <c r="R859" s="52"/>
      <c r="S859" s="52"/>
      <c r="T859" s="55"/>
      <c r="U859" s="52" t="str">
        <f t="shared" ca="1" si="13"/>
        <v/>
      </c>
      <c r="V859" s="54">
        <v>0</v>
      </c>
      <c r="W859" s="52" t="s">
        <v>5587</v>
      </c>
    </row>
    <row r="860" spans="1:23" ht="20.100000000000001" customHeight="1" x14ac:dyDescent="0.25">
      <c r="A860" s="50"/>
      <c r="B860" s="50"/>
      <c r="C860" s="51"/>
      <c r="D860" s="51"/>
      <c r="E860" s="52"/>
      <c r="F860" s="52"/>
      <c r="G860" s="52"/>
      <c r="H860" s="52">
        <v>6296</v>
      </c>
      <c r="I860" s="52"/>
      <c r="J860" s="52"/>
      <c r="K860" s="53"/>
      <c r="L860" s="54"/>
      <c r="M860" s="52"/>
      <c r="N860" s="55"/>
      <c r="O860" s="50"/>
      <c r="P860" s="53"/>
      <c r="Q860" s="52"/>
      <c r="R860" s="52"/>
      <c r="S860" s="52"/>
      <c r="T860" s="55"/>
      <c r="U860" s="52" t="str">
        <f t="shared" ca="1" si="13"/>
        <v/>
      </c>
      <c r="V860" s="54">
        <v>0</v>
      </c>
      <c r="W860" s="52" t="s">
        <v>5587</v>
      </c>
    </row>
    <row r="861" spans="1:23" ht="20.100000000000001" customHeight="1" x14ac:dyDescent="0.25">
      <c r="A861" s="50"/>
      <c r="B861" s="50"/>
      <c r="C861" s="51"/>
      <c r="D861" s="51"/>
      <c r="E861" s="52"/>
      <c r="F861" s="52"/>
      <c r="G861" s="52"/>
      <c r="H861" s="52">
        <v>6297</v>
      </c>
      <c r="I861" s="52"/>
      <c r="J861" s="52"/>
      <c r="K861" s="53"/>
      <c r="L861" s="54"/>
      <c r="M861" s="52"/>
      <c r="N861" s="55"/>
      <c r="O861" s="50"/>
      <c r="P861" s="53"/>
      <c r="Q861" s="52"/>
      <c r="R861" s="52"/>
      <c r="S861" s="52"/>
      <c r="T861" s="55"/>
      <c r="U861" s="52" t="str">
        <f t="shared" ca="1" si="13"/>
        <v/>
      </c>
      <c r="V861" s="54">
        <v>0</v>
      </c>
      <c r="W861" s="52" t="s">
        <v>5587</v>
      </c>
    </row>
    <row r="862" spans="1:23" ht="20.100000000000001" customHeight="1" x14ac:dyDescent="0.25">
      <c r="A862" s="50"/>
      <c r="B862" s="50"/>
      <c r="C862" s="51"/>
      <c r="D862" s="51"/>
      <c r="E862" s="52"/>
      <c r="F862" s="52"/>
      <c r="G862" s="52"/>
      <c r="H862" s="52">
        <v>6298</v>
      </c>
      <c r="I862" s="52"/>
      <c r="J862" s="52"/>
      <c r="K862" s="53"/>
      <c r="L862" s="54"/>
      <c r="M862" s="52"/>
      <c r="N862" s="55"/>
      <c r="O862" s="50"/>
      <c r="P862" s="53"/>
      <c r="Q862" s="52"/>
      <c r="R862" s="52"/>
      <c r="S862" s="52"/>
      <c r="T862" s="55"/>
      <c r="U862" s="52" t="str">
        <f t="shared" ca="1" si="13"/>
        <v/>
      </c>
      <c r="V862" s="54">
        <v>0</v>
      </c>
      <c r="W862" s="52" t="s">
        <v>5587</v>
      </c>
    </row>
    <row r="863" spans="1:23" ht="20.100000000000001" customHeight="1" x14ac:dyDescent="0.25">
      <c r="A863" s="50"/>
      <c r="B863" s="50"/>
      <c r="C863" s="51"/>
      <c r="D863" s="51"/>
      <c r="E863" s="52"/>
      <c r="F863" s="52"/>
      <c r="G863" s="52"/>
      <c r="H863" s="52">
        <v>6299</v>
      </c>
      <c r="I863" s="52"/>
      <c r="J863" s="52"/>
      <c r="K863" s="53"/>
      <c r="L863" s="54"/>
      <c r="M863" s="52"/>
      <c r="N863" s="55"/>
      <c r="O863" s="50"/>
      <c r="P863" s="53"/>
      <c r="Q863" s="52"/>
      <c r="R863" s="52"/>
      <c r="S863" s="52"/>
      <c r="T863" s="55"/>
      <c r="U863" s="52" t="str">
        <f t="shared" ca="1" si="13"/>
        <v/>
      </c>
      <c r="V863" s="54">
        <v>0</v>
      </c>
      <c r="W863" s="52" t="s">
        <v>5587</v>
      </c>
    </row>
    <row r="864" spans="1:23" ht="20.100000000000001" customHeight="1" x14ac:dyDescent="0.25">
      <c r="A864" s="50"/>
      <c r="B864" s="50"/>
      <c r="C864" s="51"/>
      <c r="D864" s="51"/>
      <c r="E864" s="52"/>
      <c r="F864" s="52"/>
      <c r="G864" s="52"/>
      <c r="H864" s="52">
        <v>6300</v>
      </c>
      <c r="I864" s="52"/>
      <c r="J864" s="52"/>
      <c r="K864" s="53"/>
      <c r="L864" s="54"/>
      <c r="M864" s="52"/>
      <c r="N864" s="55"/>
      <c r="O864" s="50"/>
      <c r="P864" s="53"/>
      <c r="Q864" s="52"/>
      <c r="R864" s="52"/>
      <c r="S864" s="52"/>
      <c r="T864" s="55"/>
      <c r="U864" s="52" t="str">
        <f t="shared" ca="1" si="13"/>
        <v/>
      </c>
      <c r="V864" s="54">
        <v>0</v>
      </c>
      <c r="W864" s="52" t="s">
        <v>5587</v>
      </c>
    </row>
    <row r="865" spans="1:23" ht="20.100000000000001" customHeight="1" x14ac:dyDescent="0.25">
      <c r="A865" s="50"/>
      <c r="B865" s="50"/>
      <c r="C865" s="51"/>
      <c r="D865" s="51"/>
      <c r="E865" s="52"/>
      <c r="F865" s="52"/>
      <c r="G865" s="52"/>
      <c r="H865" s="52">
        <v>6301</v>
      </c>
      <c r="I865" s="52"/>
      <c r="J865" s="52"/>
      <c r="K865" s="53"/>
      <c r="L865" s="54"/>
      <c r="M865" s="52"/>
      <c r="N865" s="55"/>
      <c r="O865" s="50"/>
      <c r="P865" s="53"/>
      <c r="Q865" s="52"/>
      <c r="R865" s="52"/>
      <c r="S865" s="52"/>
      <c r="T865" s="55"/>
      <c r="U865" s="52" t="str">
        <f t="shared" ca="1" si="13"/>
        <v/>
      </c>
      <c r="V865" s="54">
        <v>0</v>
      </c>
      <c r="W865" s="52" t="s">
        <v>5587</v>
      </c>
    </row>
    <row r="866" spans="1:23" ht="20.100000000000001" customHeight="1" x14ac:dyDescent="0.25">
      <c r="A866" s="50"/>
      <c r="B866" s="50"/>
      <c r="C866" s="51"/>
      <c r="D866" s="51"/>
      <c r="E866" s="52"/>
      <c r="F866" s="52"/>
      <c r="G866" s="52"/>
      <c r="H866" s="52">
        <v>6302</v>
      </c>
      <c r="I866" s="52"/>
      <c r="J866" s="52"/>
      <c r="K866" s="53"/>
      <c r="L866" s="54"/>
      <c r="M866" s="52"/>
      <c r="N866" s="55"/>
      <c r="O866" s="50"/>
      <c r="P866" s="53"/>
      <c r="Q866" s="52"/>
      <c r="R866" s="52"/>
      <c r="S866" s="52"/>
      <c r="T866" s="55"/>
      <c r="U866" s="52" t="str">
        <f t="shared" ca="1" si="13"/>
        <v/>
      </c>
      <c r="V866" s="54">
        <v>0</v>
      </c>
      <c r="W866" s="52" t="s">
        <v>5587</v>
      </c>
    </row>
    <row r="867" spans="1:23" ht="20.100000000000001" customHeight="1" x14ac:dyDescent="0.25">
      <c r="A867" s="50"/>
      <c r="B867" s="50"/>
      <c r="C867" s="51"/>
      <c r="D867" s="51"/>
      <c r="E867" s="52"/>
      <c r="F867" s="52"/>
      <c r="G867" s="52"/>
      <c r="H867" s="52">
        <v>6303</v>
      </c>
      <c r="I867" s="52"/>
      <c r="J867" s="52"/>
      <c r="K867" s="53"/>
      <c r="L867" s="54"/>
      <c r="M867" s="52"/>
      <c r="N867" s="55"/>
      <c r="O867" s="50"/>
      <c r="P867" s="53"/>
      <c r="Q867" s="52"/>
      <c r="R867" s="52"/>
      <c r="S867" s="52"/>
      <c r="T867" s="55"/>
      <c r="U867" s="52" t="str">
        <f t="shared" ca="1" si="13"/>
        <v/>
      </c>
      <c r="V867" s="54">
        <v>0</v>
      </c>
      <c r="W867" s="52" t="s">
        <v>5587</v>
      </c>
    </row>
    <row r="868" spans="1:23" ht="20.100000000000001" customHeight="1" x14ac:dyDescent="0.25">
      <c r="A868" s="50"/>
      <c r="B868" s="50"/>
      <c r="C868" s="51"/>
      <c r="D868" s="51"/>
      <c r="E868" s="52"/>
      <c r="F868" s="52"/>
      <c r="G868" s="52"/>
      <c r="H868" s="52">
        <v>6304</v>
      </c>
      <c r="I868" s="52"/>
      <c r="J868" s="52"/>
      <c r="K868" s="53"/>
      <c r="L868" s="54"/>
      <c r="M868" s="52"/>
      <c r="N868" s="55"/>
      <c r="O868" s="50"/>
      <c r="P868" s="53"/>
      <c r="Q868" s="52"/>
      <c r="R868" s="52"/>
      <c r="S868" s="52"/>
      <c r="T868" s="55"/>
      <c r="U868" s="52" t="str">
        <f t="shared" ca="1" si="13"/>
        <v/>
      </c>
      <c r="V868" s="54">
        <v>0</v>
      </c>
      <c r="W868" s="52" t="s">
        <v>5587</v>
      </c>
    </row>
    <row r="869" spans="1:23" ht="20.100000000000001" customHeight="1" x14ac:dyDescent="0.25">
      <c r="A869" s="50"/>
      <c r="B869" s="50"/>
      <c r="C869" s="51"/>
      <c r="D869" s="51"/>
      <c r="E869" s="52"/>
      <c r="F869" s="52"/>
      <c r="G869" s="52"/>
      <c r="H869" s="52">
        <v>6305</v>
      </c>
      <c r="I869" s="52"/>
      <c r="J869" s="52"/>
      <c r="K869" s="53"/>
      <c r="L869" s="54"/>
      <c r="M869" s="52"/>
      <c r="N869" s="55"/>
      <c r="O869" s="50"/>
      <c r="P869" s="53"/>
      <c r="Q869" s="52"/>
      <c r="R869" s="52"/>
      <c r="S869" s="52"/>
      <c r="T869" s="55"/>
      <c r="U869" s="52" t="str">
        <f t="shared" ca="1" si="13"/>
        <v/>
      </c>
      <c r="V869" s="54">
        <v>0</v>
      </c>
      <c r="W869" s="52" t="s">
        <v>5587</v>
      </c>
    </row>
    <row r="870" spans="1:23" ht="20.100000000000001" customHeight="1" x14ac:dyDescent="0.25">
      <c r="A870" s="50"/>
      <c r="B870" s="50"/>
      <c r="C870" s="51"/>
      <c r="D870" s="51"/>
      <c r="E870" s="52"/>
      <c r="F870" s="52"/>
      <c r="G870" s="52"/>
      <c r="H870" s="52">
        <v>6306</v>
      </c>
      <c r="I870" s="52"/>
      <c r="J870" s="52"/>
      <c r="K870" s="53"/>
      <c r="L870" s="54"/>
      <c r="M870" s="52"/>
      <c r="N870" s="55"/>
      <c r="O870" s="50"/>
      <c r="P870" s="53"/>
      <c r="Q870" s="52"/>
      <c r="R870" s="52"/>
      <c r="S870" s="52"/>
      <c r="T870" s="55"/>
      <c r="U870" s="52" t="str">
        <f t="shared" ca="1" si="13"/>
        <v/>
      </c>
      <c r="V870" s="54">
        <v>0</v>
      </c>
      <c r="W870" s="52" t="s">
        <v>5587</v>
      </c>
    </row>
    <row r="871" spans="1:23" ht="20.100000000000001" customHeight="1" x14ac:dyDescent="0.25">
      <c r="A871" s="50"/>
      <c r="B871" s="50"/>
      <c r="C871" s="51"/>
      <c r="D871" s="51"/>
      <c r="E871" s="52"/>
      <c r="F871" s="52"/>
      <c r="G871" s="52"/>
      <c r="H871" s="52">
        <v>6307</v>
      </c>
      <c r="I871" s="52"/>
      <c r="J871" s="52"/>
      <c r="K871" s="53"/>
      <c r="L871" s="54"/>
      <c r="M871" s="52"/>
      <c r="N871" s="55"/>
      <c r="O871" s="50"/>
      <c r="P871" s="53"/>
      <c r="Q871" s="52"/>
      <c r="R871" s="52"/>
      <c r="S871" s="52"/>
      <c r="T871" s="55"/>
      <c r="U871" s="52" t="str">
        <f t="shared" ca="1" si="13"/>
        <v/>
      </c>
      <c r="V871" s="54">
        <v>0</v>
      </c>
      <c r="W871" s="52" t="s">
        <v>5587</v>
      </c>
    </row>
    <row r="872" spans="1:23" ht="20.100000000000001" customHeight="1" x14ac:dyDescent="0.25">
      <c r="A872" s="50"/>
      <c r="B872" s="50"/>
      <c r="C872" s="51"/>
      <c r="D872" s="51"/>
      <c r="E872" s="52"/>
      <c r="F872" s="52"/>
      <c r="G872" s="52"/>
      <c r="H872" s="52">
        <v>6308</v>
      </c>
      <c r="I872" s="52"/>
      <c r="J872" s="52"/>
      <c r="K872" s="53"/>
      <c r="L872" s="54"/>
      <c r="M872" s="52"/>
      <c r="N872" s="55"/>
      <c r="O872" s="50"/>
      <c r="P872" s="53"/>
      <c r="Q872" s="52"/>
      <c r="R872" s="52"/>
      <c r="S872" s="52"/>
      <c r="T872" s="55"/>
      <c r="U872" s="52" t="str">
        <f t="shared" ca="1" si="13"/>
        <v/>
      </c>
      <c r="V872" s="54">
        <v>0</v>
      </c>
      <c r="W872" s="52" t="s">
        <v>5587</v>
      </c>
    </row>
    <row r="873" spans="1:23" ht="20.100000000000001" customHeight="1" x14ac:dyDescent="0.25">
      <c r="A873" s="50"/>
      <c r="B873" s="50"/>
      <c r="C873" s="51"/>
      <c r="D873" s="51"/>
      <c r="E873" s="52"/>
      <c r="F873" s="52"/>
      <c r="G873" s="52"/>
      <c r="H873" s="52">
        <v>6309</v>
      </c>
      <c r="I873" s="52"/>
      <c r="J873" s="52"/>
      <c r="K873" s="53"/>
      <c r="L873" s="54"/>
      <c r="M873" s="52"/>
      <c r="N873" s="55"/>
      <c r="O873" s="50"/>
      <c r="P873" s="53"/>
      <c r="Q873" s="52"/>
      <c r="R873" s="52"/>
      <c r="S873" s="52"/>
      <c r="T873" s="55"/>
      <c r="U873" s="52" t="str">
        <f t="shared" ca="1" si="13"/>
        <v/>
      </c>
      <c r="V873" s="54">
        <v>0</v>
      </c>
      <c r="W873" s="52" t="s">
        <v>5587</v>
      </c>
    </row>
    <row r="874" spans="1:23" ht="20.100000000000001" customHeight="1" x14ac:dyDescent="0.25">
      <c r="A874" s="50"/>
      <c r="B874" s="50"/>
      <c r="C874" s="51"/>
      <c r="D874" s="51"/>
      <c r="E874" s="52"/>
      <c r="F874" s="52"/>
      <c r="G874" s="52"/>
      <c r="H874" s="52">
        <v>6310</v>
      </c>
      <c r="I874" s="52"/>
      <c r="J874" s="52"/>
      <c r="K874" s="53"/>
      <c r="L874" s="54"/>
      <c r="M874" s="52"/>
      <c r="N874" s="55"/>
      <c r="O874" s="50"/>
      <c r="P874" s="53"/>
      <c r="Q874" s="52"/>
      <c r="R874" s="52"/>
      <c r="S874" s="52"/>
      <c r="T874" s="55"/>
      <c r="U874" s="52" t="str">
        <f t="shared" ca="1" si="13"/>
        <v/>
      </c>
      <c r="V874" s="54">
        <v>0</v>
      </c>
      <c r="W874" s="52" t="s">
        <v>5587</v>
      </c>
    </row>
    <row r="875" spans="1:23" ht="20.100000000000001" customHeight="1" x14ac:dyDescent="0.25">
      <c r="A875" s="50"/>
      <c r="B875" s="50"/>
      <c r="C875" s="51"/>
      <c r="D875" s="51"/>
      <c r="E875" s="52"/>
      <c r="F875" s="52"/>
      <c r="G875" s="52"/>
      <c r="H875" s="52">
        <v>6311</v>
      </c>
      <c r="I875" s="52"/>
      <c r="J875" s="52"/>
      <c r="K875" s="53"/>
      <c r="L875" s="54"/>
      <c r="M875" s="52"/>
      <c r="N875" s="55"/>
      <c r="O875" s="50"/>
      <c r="P875" s="53"/>
      <c r="Q875" s="52"/>
      <c r="R875" s="52"/>
      <c r="S875" s="52"/>
      <c r="T875" s="55"/>
      <c r="U875" s="52" t="str">
        <f t="shared" ca="1" si="13"/>
        <v/>
      </c>
      <c r="V875" s="54">
        <v>0</v>
      </c>
      <c r="W875" s="52" t="s">
        <v>5587</v>
      </c>
    </row>
    <row r="876" spans="1:23" ht="20.100000000000001" customHeight="1" x14ac:dyDescent="0.25">
      <c r="A876" s="50"/>
      <c r="B876" s="50"/>
      <c r="C876" s="51"/>
      <c r="D876" s="51"/>
      <c r="E876" s="52"/>
      <c r="F876" s="52"/>
      <c r="G876" s="52"/>
      <c r="H876" s="52">
        <v>6312</v>
      </c>
      <c r="I876" s="52"/>
      <c r="J876" s="52"/>
      <c r="K876" s="53"/>
      <c r="L876" s="54"/>
      <c r="M876" s="52"/>
      <c r="N876" s="55"/>
      <c r="O876" s="50"/>
      <c r="P876" s="53"/>
      <c r="Q876" s="52"/>
      <c r="R876" s="52"/>
      <c r="S876" s="52"/>
      <c r="T876" s="55"/>
      <c r="U876" s="52" t="str">
        <f t="shared" ca="1" si="13"/>
        <v/>
      </c>
      <c r="V876" s="54">
        <v>0</v>
      </c>
      <c r="W876" s="52" t="s">
        <v>5587</v>
      </c>
    </row>
    <row r="877" spans="1:23" ht="20.100000000000001" customHeight="1" x14ac:dyDescent="0.25">
      <c r="A877" s="50"/>
      <c r="B877" s="50"/>
      <c r="C877" s="51"/>
      <c r="D877" s="51"/>
      <c r="E877" s="52"/>
      <c r="F877" s="52"/>
      <c r="G877" s="52"/>
      <c r="H877" s="52">
        <v>6313</v>
      </c>
      <c r="I877" s="52"/>
      <c r="J877" s="52"/>
      <c r="K877" s="53"/>
      <c r="L877" s="54"/>
      <c r="M877" s="52"/>
      <c r="N877" s="55"/>
      <c r="O877" s="50"/>
      <c r="P877" s="53"/>
      <c r="Q877" s="52"/>
      <c r="R877" s="52"/>
      <c r="S877" s="52"/>
      <c r="T877" s="55"/>
      <c r="U877" s="52" t="str">
        <f t="shared" ca="1" si="13"/>
        <v/>
      </c>
      <c r="V877" s="54">
        <v>0</v>
      </c>
      <c r="W877" s="52" t="s">
        <v>5587</v>
      </c>
    </row>
    <row r="878" spans="1:23" ht="20.100000000000001" customHeight="1" x14ac:dyDescent="0.25">
      <c r="A878" s="50"/>
      <c r="B878" s="50"/>
      <c r="C878" s="51"/>
      <c r="D878" s="51"/>
      <c r="E878" s="52"/>
      <c r="F878" s="52"/>
      <c r="G878" s="52"/>
      <c r="H878" s="52">
        <v>6314</v>
      </c>
      <c r="I878" s="52"/>
      <c r="J878" s="52"/>
      <c r="K878" s="53"/>
      <c r="L878" s="54"/>
      <c r="M878" s="52"/>
      <c r="N878" s="55"/>
      <c r="O878" s="50"/>
      <c r="P878" s="53"/>
      <c r="Q878" s="52"/>
      <c r="R878" s="52"/>
      <c r="S878" s="52"/>
      <c r="T878" s="55"/>
      <c r="U878" s="52" t="str">
        <f t="shared" ca="1" si="13"/>
        <v/>
      </c>
      <c r="V878" s="54">
        <v>0</v>
      </c>
      <c r="W878" s="52" t="s">
        <v>5587</v>
      </c>
    </row>
    <row r="879" spans="1:23" ht="20.100000000000001" customHeight="1" x14ac:dyDescent="0.25">
      <c r="A879" s="50"/>
      <c r="B879" s="50"/>
      <c r="C879" s="51"/>
      <c r="D879" s="51"/>
      <c r="E879" s="52"/>
      <c r="F879" s="52"/>
      <c r="G879" s="52"/>
      <c r="H879" s="52">
        <v>6315</v>
      </c>
      <c r="I879" s="52"/>
      <c r="J879" s="52"/>
      <c r="K879" s="53"/>
      <c r="L879" s="54"/>
      <c r="M879" s="52"/>
      <c r="N879" s="55"/>
      <c r="O879" s="50"/>
      <c r="P879" s="53"/>
      <c r="Q879" s="52"/>
      <c r="R879" s="52"/>
      <c r="S879" s="52"/>
      <c r="T879" s="55"/>
      <c r="U879" s="52" t="str">
        <f t="shared" ca="1" si="13"/>
        <v/>
      </c>
      <c r="V879" s="54">
        <v>0</v>
      </c>
      <c r="W879" s="52" t="s">
        <v>5587</v>
      </c>
    </row>
    <row r="880" spans="1:23" ht="20.100000000000001" customHeight="1" x14ac:dyDescent="0.25">
      <c r="A880" s="50"/>
      <c r="B880" s="50"/>
      <c r="C880" s="51"/>
      <c r="D880" s="51"/>
      <c r="E880" s="52"/>
      <c r="F880" s="52"/>
      <c r="G880" s="52"/>
      <c r="H880" s="52">
        <v>6316</v>
      </c>
      <c r="I880" s="52"/>
      <c r="J880" s="52"/>
      <c r="K880" s="53"/>
      <c r="L880" s="54"/>
      <c r="M880" s="52"/>
      <c r="N880" s="55"/>
      <c r="O880" s="50"/>
      <c r="P880" s="53"/>
      <c r="Q880" s="52"/>
      <c r="R880" s="52"/>
      <c r="S880" s="52"/>
      <c r="T880" s="55"/>
      <c r="U880" s="52" t="str">
        <f t="shared" ca="1" si="13"/>
        <v/>
      </c>
      <c r="V880" s="54">
        <v>0</v>
      </c>
      <c r="W880" s="52" t="s">
        <v>5587</v>
      </c>
    </row>
    <row r="881" spans="1:23" ht="20.100000000000001" customHeight="1" x14ac:dyDescent="0.25">
      <c r="A881" s="50"/>
      <c r="B881" s="50"/>
      <c r="C881" s="51"/>
      <c r="D881" s="51"/>
      <c r="E881" s="52"/>
      <c r="F881" s="52"/>
      <c r="G881" s="52"/>
      <c r="H881" s="52">
        <v>6317</v>
      </c>
      <c r="I881" s="52"/>
      <c r="J881" s="52"/>
      <c r="K881" s="53"/>
      <c r="L881" s="54"/>
      <c r="M881" s="52"/>
      <c r="N881" s="55"/>
      <c r="O881" s="50"/>
      <c r="P881" s="53"/>
      <c r="Q881" s="52"/>
      <c r="R881" s="52"/>
      <c r="S881" s="52"/>
      <c r="T881" s="55"/>
      <c r="U881" s="52" t="str">
        <f t="shared" ca="1" si="13"/>
        <v/>
      </c>
      <c r="V881" s="54">
        <v>0</v>
      </c>
      <c r="W881" s="52" t="s">
        <v>5587</v>
      </c>
    </row>
    <row r="882" spans="1:23" ht="20.100000000000001" customHeight="1" x14ac:dyDescent="0.25">
      <c r="A882" s="50"/>
      <c r="B882" s="50"/>
      <c r="C882" s="51"/>
      <c r="D882" s="51"/>
      <c r="E882" s="52"/>
      <c r="F882" s="52"/>
      <c r="G882" s="52"/>
      <c r="H882" s="52">
        <v>6318</v>
      </c>
      <c r="I882" s="52"/>
      <c r="J882" s="52"/>
      <c r="K882" s="53"/>
      <c r="L882" s="54"/>
      <c r="M882" s="52"/>
      <c r="N882" s="55"/>
      <c r="O882" s="50"/>
      <c r="P882" s="53"/>
      <c r="Q882" s="52"/>
      <c r="R882" s="52"/>
      <c r="S882" s="52"/>
      <c r="T882" s="55"/>
      <c r="U882" s="52" t="str">
        <f t="shared" ca="1" si="13"/>
        <v/>
      </c>
      <c r="V882" s="54">
        <v>0</v>
      </c>
      <c r="W882" s="52" t="s">
        <v>5587</v>
      </c>
    </row>
    <row r="883" spans="1:23" ht="20.100000000000001" customHeight="1" x14ac:dyDescent="0.25">
      <c r="A883" s="50"/>
      <c r="B883" s="50"/>
      <c r="C883" s="51"/>
      <c r="D883" s="51"/>
      <c r="E883" s="52"/>
      <c r="F883" s="52"/>
      <c r="G883" s="52"/>
      <c r="H883" s="52">
        <v>6319</v>
      </c>
      <c r="I883" s="52"/>
      <c r="J883" s="52"/>
      <c r="K883" s="53"/>
      <c r="L883" s="54"/>
      <c r="M883" s="52"/>
      <c r="N883" s="55"/>
      <c r="O883" s="50"/>
      <c r="P883" s="53"/>
      <c r="Q883" s="52"/>
      <c r="R883" s="52"/>
      <c r="S883" s="52"/>
      <c r="T883" s="55"/>
      <c r="U883" s="52" t="str">
        <f t="shared" ca="1" si="13"/>
        <v/>
      </c>
      <c r="V883" s="54">
        <v>0</v>
      </c>
      <c r="W883" s="52" t="s">
        <v>5587</v>
      </c>
    </row>
    <row r="884" spans="1:23" ht="20.100000000000001" customHeight="1" x14ac:dyDescent="0.25">
      <c r="A884" s="50"/>
      <c r="B884" s="50"/>
      <c r="C884" s="51"/>
      <c r="D884" s="51"/>
      <c r="E884" s="52"/>
      <c r="F884" s="52"/>
      <c r="G884" s="52"/>
      <c r="H884" s="52">
        <v>6320</v>
      </c>
      <c r="I884" s="52"/>
      <c r="J884" s="52"/>
      <c r="K884" s="53"/>
      <c r="L884" s="54"/>
      <c r="M884" s="52"/>
      <c r="N884" s="55"/>
      <c r="O884" s="50"/>
      <c r="P884" s="53"/>
      <c r="Q884" s="52"/>
      <c r="R884" s="52"/>
      <c r="S884" s="52"/>
      <c r="T884" s="55"/>
      <c r="U884" s="52" t="str">
        <f t="shared" ca="1" si="13"/>
        <v/>
      </c>
      <c r="V884" s="54">
        <v>0</v>
      </c>
      <c r="W884" s="52" t="s">
        <v>5587</v>
      </c>
    </row>
    <row r="885" spans="1:23" ht="20.100000000000001" customHeight="1" x14ac:dyDescent="0.25">
      <c r="A885" s="50"/>
      <c r="B885" s="50"/>
      <c r="C885" s="51"/>
      <c r="D885" s="51"/>
      <c r="E885" s="52"/>
      <c r="F885" s="52"/>
      <c r="G885" s="52"/>
      <c r="H885" s="52">
        <v>6321</v>
      </c>
      <c r="I885" s="52"/>
      <c r="J885" s="52"/>
      <c r="K885" s="53"/>
      <c r="L885" s="54"/>
      <c r="M885" s="52"/>
      <c r="N885" s="55"/>
      <c r="O885" s="50"/>
      <c r="P885" s="53"/>
      <c r="Q885" s="52"/>
      <c r="R885" s="52"/>
      <c r="S885" s="52"/>
      <c r="T885" s="55"/>
      <c r="U885" s="52" t="str">
        <f t="shared" ca="1" si="13"/>
        <v/>
      </c>
      <c r="V885" s="54">
        <v>0</v>
      </c>
      <c r="W885" s="52" t="s">
        <v>5587</v>
      </c>
    </row>
    <row r="886" spans="1:23" ht="20.100000000000001" customHeight="1" x14ac:dyDescent="0.25">
      <c r="A886" s="50"/>
      <c r="B886" s="50"/>
      <c r="C886" s="51"/>
      <c r="D886" s="51"/>
      <c r="E886" s="52"/>
      <c r="F886" s="52"/>
      <c r="G886" s="52"/>
      <c r="H886" s="52">
        <v>6322</v>
      </c>
      <c r="I886" s="52"/>
      <c r="J886" s="52"/>
      <c r="K886" s="53"/>
      <c r="L886" s="54"/>
      <c r="M886" s="52"/>
      <c r="N886" s="55"/>
      <c r="O886" s="50"/>
      <c r="P886" s="53"/>
      <c r="Q886" s="52"/>
      <c r="R886" s="52"/>
      <c r="S886" s="52"/>
      <c r="T886" s="55"/>
      <c r="U886" s="52" t="str">
        <f t="shared" ca="1" si="13"/>
        <v/>
      </c>
      <c r="V886" s="54">
        <v>0</v>
      </c>
      <c r="W886" s="52" t="s">
        <v>5587</v>
      </c>
    </row>
    <row r="887" spans="1:23" ht="20.100000000000001" customHeight="1" x14ac:dyDescent="0.25">
      <c r="A887" s="50"/>
      <c r="B887" s="50"/>
      <c r="C887" s="51"/>
      <c r="D887" s="51"/>
      <c r="E887" s="52"/>
      <c r="F887" s="52"/>
      <c r="G887" s="52"/>
      <c r="H887" s="52">
        <v>6323</v>
      </c>
      <c r="I887" s="52"/>
      <c r="J887" s="52"/>
      <c r="K887" s="53"/>
      <c r="L887" s="54"/>
      <c r="M887" s="52"/>
      <c r="N887" s="55"/>
      <c r="O887" s="50"/>
      <c r="P887" s="53"/>
      <c r="Q887" s="52"/>
      <c r="R887" s="52"/>
      <c r="S887" s="52"/>
      <c r="T887" s="55"/>
      <c r="U887" s="52" t="str">
        <f t="shared" ca="1" si="13"/>
        <v/>
      </c>
      <c r="V887" s="54">
        <v>0</v>
      </c>
      <c r="W887" s="52" t="s">
        <v>5587</v>
      </c>
    </row>
    <row r="888" spans="1:23" ht="20.100000000000001" customHeight="1" x14ac:dyDescent="0.25">
      <c r="A888" s="50"/>
      <c r="B888" s="50"/>
      <c r="C888" s="51"/>
      <c r="D888" s="51"/>
      <c r="E888" s="52"/>
      <c r="F888" s="52"/>
      <c r="G888" s="52"/>
      <c r="H888" s="52">
        <v>6324</v>
      </c>
      <c r="I888" s="52"/>
      <c r="J888" s="52"/>
      <c r="K888" s="53"/>
      <c r="L888" s="54"/>
      <c r="M888" s="52"/>
      <c r="N888" s="55"/>
      <c r="O888" s="50"/>
      <c r="P888" s="53"/>
      <c r="Q888" s="52"/>
      <c r="R888" s="52"/>
      <c r="S888" s="52"/>
      <c r="T888" s="55"/>
      <c r="U888" s="52" t="str">
        <f t="shared" ca="1" si="13"/>
        <v/>
      </c>
      <c r="V888" s="54">
        <v>0</v>
      </c>
      <c r="W888" s="52" t="s">
        <v>5587</v>
      </c>
    </row>
    <row r="889" spans="1:23" ht="20.100000000000001" customHeight="1" x14ac:dyDescent="0.25">
      <c r="A889" s="50"/>
      <c r="B889" s="50"/>
      <c r="C889" s="51"/>
      <c r="D889" s="51"/>
      <c r="E889" s="52"/>
      <c r="F889" s="52"/>
      <c r="G889" s="52"/>
      <c r="H889" s="52">
        <v>6325</v>
      </c>
      <c r="I889" s="52"/>
      <c r="J889" s="52"/>
      <c r="K889" s="53"/>
      <c r="L889" s="54"/>
      <c r="M889" s="52"/>
      <c r="N889" s="55"/>
      <c r="O889" s="50"/>
      <c r="P889" s="53"/>
      <c r="Q889" s="52"/>
      <c r="R889" s="52"/>
      <c r="S889" s="52"/>
      <c r="T889" s="55"/>
      <c r="U889" s="52" t="str">
        <f t="shared" ca="1" si="13"/>
        <v/>
      </c>
      <c r="V889" s="54">
        <v>0</v>
      </c>
      <c r="W889" s="52" t="s">
        <v>5587</v>
      </c>
    </row>
    <row r="890" spans="1:23" ht="20.100000000000001" customHeight="1" x14ac:dyDescent="0.25">
      <c r="A890" s="50"/>
      <c r="B890" s="50"/>
      <c r="C890" s="51"/>
      <c r="D890" s="51"/>
      <c r="E890" s="52"/>
      <c r="F890" s="52"/>
      <c r="G890" s="52"/>
      <c r="H890" s="52">
        <v>6326</v>
      </c>
      <c r="I890" s="52"/>
      <c r="J890" s="52"/>
      <c r="K890" s="53"/>
      <c r="L890" s="54"/>
      <c r="M890" s="52"/>
      <c r="N890" s="55"/>
      <c r="O890" s="50"/>
      <c r="P890" s="53"/>
      <c r="Q890" s="52"/>
      <c r="R890" s="52"/>
      <c r="S890" s="52"/>
      <c r="T890" s="55"/>
      <c r="U890" s="52" t="str">
        <f t="shared" ca="1" si="13"/>
        <v/>
      </c>
      <c r="V890" s="54">
        <v>0</v>
      </c>
      <c r="W890" s="52" t="s">
        <v>5587</v>
      </c>
    </row>
    <row r="891" spans="1:23" ht="20.100000000000001" customHeight="1" x14ac:dyDescent="0.25">
      <c r="A891" s="50"/>
      <c r="B891" s="50"/>
      <c r="C891" s="51"/>
      <c r="D891" s="51"/>
      <c r="E891" s="52"/>
      <c r="F891" s="52"/>
      <c r="G891" s="52"/>
      <c r="H891" s="52">
        <v>6327</v>
      </c>
      <c r="I891" s="52"/>
      <c r="J891" s="52"/>
      <c r="K891" s="53"/>
      <c r="L891" s="54"/>
      <c r="M891" s="52"/>
      <c r="N891" s="55"/>
      <c r="O891" s="50"/>
      <c r="P891" s="53"/>
      <c r="Q891" s="52"/>
      <c r="R891" s="52"/>
      <c r="S891" s="52"/>
      <c r="T891" s="55"/>
      <c r="U891" s="52" t="str">
        <f t="shared" ca="1" si="13"/>
        <v/>
      </c>
      <c r="V891" s="54">
        <v>0</v>
      </c>
      <c r="W891" s="52" t="s">
        <v>5587</v>
      </c>
    </row>
    <row r="892" spans="1:23" ht="20.100000000000001" customHeight="1" x14ac:dyDescent="0.25">
      <c r="A892" s="50"/>
      <c r="B892" s="50"/>
      <c r="C892" s="51"/>
      <c r="D892" s="51"/>
      <c r="E892" s="52"/>
      <c r="F892" s="52"/>
      <c r="G892" s="52"/>
      <c r="H892" s="52">
        <v>6328</v>
      </c>
      <c r="I892" s="52"/>
      <c r="J892" s="52"/>
      <c r="K892" s="53"/>
      <c r="L892" s="54"/>
      <c r="M892" s="52"/>
      <c r="N892" s="55"/>
      <c r="O892" s="50"/>
      <c r="P892" s="53"/>
      <c r="Q892" s="52"/>
      <c r="R892" s="52"/>
      <c r="S892" s="52"/>
      <c r="T892" s="55"/>
      <c r="U892" s="52" t="str">
        <f t="shared" ca="1" si="13"/>
        <v/>
      </c>
      <c r="V892" s="54">
        <v>0</v>
      </c>
      <c r="W892" s="52" t="s">
        <v>5587</v>
      </c>
    </row>
    <row r="893" spans="1:23" ht="20.100000000000001" customHeight="1" x14ac:dyDescent="0.25">
      <c r="A893" s="50"/>
      <c r="B893" s="50"/>
      <c r="C893" s="51"/>
      <c r="D893" s="51"/>
      <c r="E893" s="52"/>
      <c r="F893" s="52"/>
      <c r="G893" s="52"/>
      <c r="H893" s="52">
        <v>6329</v>
      </c>
      <c r="I893" s="52"/>
      <c r="J893" s="52"/>
      <c r="K893" s="53"/>
      <c r="L893" s="54"/>
      <c r="M893" s="52"/>
      <c r="N893" s="55"/>
      <c r="O893" s="50"/>
      <c r="P893" s="53"/>
      <c r="Q893" s="52"/>
      <c r="R893" s="52"/>
      <c r="S893" s="52"/>
      <c r="T893" s="55"/>
      <c r="U893" s="52" t="str">
        <f t="shared" ca="1" si="13"/>
        <v/>
      </c>
      <c r="V893" s="54">
        <v>0</v>
      </c>
      <c r="W893" s="52" t="s">
        <v>5587</v>
      </c>
    </row>
    <row r="894" spans="1:23" ht="20.100000000000001" customHeight="1" x14ac:dyDescent="0.25">
      <c r="A894" s="50"/>
      <c r="B894" s="50"/>
      <c r="C894" s="51"/>
      <c r="D894" s="51"/>
      <c r="E894" s="52"/>
      <c r="F894" s="52"/>
      <c r="G894" s="52"/>
      <c r="H894" s="52">
        <v>6330</v>
      </c>
      <c r="I894" s="52"/>
      <c r="J894" s="52"/>
      <c r="K894" s="53"/>
      <c r="L894" s="54"/>
      <c r="M894" s="52"/>
      <c r="N894" s="55"/>
      <c r="O894" s="50"/>
      <c r="P894" s="53"/>
      <c r="Q894" s="52"/>
      <c r="R894" s="52"/>
      <c r="S894" s="52"/>
      <c r="T894" s="55"/>
      <c r="U894" s="52" t="str">
        <f t="shared" ca="1" si="13"/>
        <v/>
      </c>
      <c r="V894" s="54">
        <v>0</v>
      </c>
      <c r="W894" s="52" t="s">
        <v>5587</v>
      </c>
    </row>
    <row r="895" spans="1:23" ht="20.100000000000001" customHeight="1" x14ac:dyDescent="0.25">
      <c r="A895" s="50"/>
      <c r="B895" s="50"/>
      <c r="C895" s="51"/>
      <c r="D895" s="51"/>
      <c r="E895" s="52"/>
      <c r="F895" s="52"/>
      <c r="G895" s="52"/>
      <c r="H895" s="52">
        <v>6331</v>
      </c>
      <c r="I895" s="52"/>
      <c r="J895" s="52"/>
      <c r="K895" s="53"/>
      <c r="L895" s="54"/>
      <c r="M895" s="52"/>
      <c r="N895" s="55"/>
      <c r="O895" s="50"/>
      <c r="P895" s="53"/>
      <c r="Q895" s="52"/>
      <c r="R895" s="52"/>
      <c r="S895" s="52"/>
      <c r="T895" s="55"/>
      <c r="U895" s="52" t="str">
        <f t="shared" ca="1" si="13"/>
        <v/>
      </c>
      <c r="V895" s="54">
        <v>0</v>
      </c>
      <c r="W895" s="52" t="s">
        <v>5587</v>
      </c>
    </row>
    <row r="896" spans="1:23" ht="20.100000000000001" customHeight="1" x14ac:dyDescent="0.25">
      <c r="A896" s="50"/>
      <c r="B896" s="50"/>
      <c r="C896" s="51"/>
      <c r="D896" s="51"/>
      <c r="E896" s="52"/>
      <c r="F896" s="52"/>
      <c r="G896" s="52"/>
      <c r="H896" s="52">
        <v>6332</v>
      </c>
      <c r="I896" s="52"/>
      <c r="J896" s="52"/>
      <c r="K896" s="53"/>
      <c r="L896" s="54"/>
      <c r="M896" s="52"/>
      <c r="N896" s="55"/>
      <c r="O896" s="50"/>
      <c r="P896" s="53"/>
      <c r="Q896" s="52"/>
      <c r="R896" s="52"/>
      <c r="S896" s="52"/>
      <c r="T896" s="55"/>
      <c r="U896" s="52" t="str">
        <f t="shared" ca="1" si="13"/>
        <v/>
      </c>
      <c r="V896" s="54">
        <v>0</v>
      </c>
      <c r="W896" s="52" t="s">
        <v>5587</v>
      </c>
    </row>
    <row r="897" spans="1:23" ht="20.100000000000001" customHeight="1" x14ac:dyDescent="0.25">
      <c r="A897" s="50"/>
      <c r="B897" s="50"/>
      <c r="C897" s="51"/>
      <c r="D897" s="51"/>
      <c r="E897" s="52"/>
      <c r="F897" s="52"/>
      <c r="G897" s="52"/>
      <c r="H897" s="52">
        <v>6333</v>
      </c>
      <c r="I897" s="52"/>
      <c r="J897" s="52"/>
      <c r="K897" s="53"/>
      <c r="L897" s="54"/>
      <c r="M897" s="52"/>
      <c r="N897" s="55"/>
      <c r="O897" s="50"/>
      <c r="P897" s="53"/>
      <c r="Q897" s="52"/>
      <c r="R897" s="52"/>
      <c r="S897" s="52"/>
      <c r="T897" s="55"/>
      <c r="U897" s="52" t="str">
        <f t="shared" ca="1" si="13"/>
        <v/>
      </c>
      <c r="V897" s="54">
        <v>0</v>
      </c>
      <c r="W897" s="52" t="s">
        <v>5587</v>
      </c>
    </row>
    <row r="898" spans="1:23" ht="20.100000000000001" customHeight="1" x14ac:dyDescent="0.25">
      <c r="A898" s="50"/>
      <c r="B898" s="50"/>
      <c r="C898" s="51"/>
      <c r="D898" s="51"/>
      <c r="E898" s="52"/>
      <c r="F898" s="52"/>
      <c r="G898" s="52"/>
      <c r="H898" s="52">
        <v>6334</v>
      </c>
      <c r="I898" s="52"/>
      <c r="J898" s="52"/>
      <c r="K898" s="53"/>
      <c r="L898" s="54"/>
      <c r="M898" s="52"/>
      <c r="N898" s="55"/>
      <c r="O898" s="50"/>
      <c r="P898" s="53"/>
      <c r="Q898" s="52"/>
      <c r="R898" s="52"/>
      <c r="S898" s="52"/>
      <c r="T898" s="55"/>
      <c r="U898" s="52" t="str">
        <f t="shared" ca="1" si="13"/>
        <v/>
      </c>
      <c r="V898" s="54">
        <v>0</v>
      </c>
      <c r="W898" s="52" t="s">
        <v>5587</v>
      </c>
    </row>
    <row r="899" spans="1:23" ht="20.100000000000001" customHeight="1" x14ac:dyDescent="0.25">
      <c r="A899" s="50"/>
      <c r="B899" s="50"/>
      <c r="C899" s="51"/>
      <c r="D899" s="51"/>
      <c r="E899" s="52"/>
      <c r="F899" s="52"/>
      <c r="G899" s="52"/>
      <c r="H899" s="52">
        <v>6335</v>
      </c>
      <c r="I899" s="52"/>
      <c r="J899" s="52"/>
      <c r="K899" s="53"/>
      <c r="L899" s="54"/>
      <c r="M899" s="52"/>
      <c r="N899" s="55"/>
      <c r="O899" s="50"/>
      <c r="P899" s="53"/>
      <c r="Q899" s="52"/>
      <c r="R899" s="52"/>
      <c r="S899" s="52"/>
      <c r="T899" s="55"/>
      <c r="U899" s="52" t="str">
        <f t="shared" ca="1" si="13"/>
        <v/>
      </c>
      <c r="V899" s="54">
        <v>0</v>
      </c>
      <c r="W899" s="52" t="s">
        <v>5587</v>
      </c>
    </row>
    <row r="900" spans="1:23" ht="20.100000000000001" customHeight="1" x14ac:dyDescent="0.25">
      <c r="A900" s="50"/>
      <c r="B900" s="50"/>
      <c r="C900" s="51"/>
      <c r="D900" s="51"/>
      <c r="E900" s="52"/>
      <c r="F900" s="52"/>
      <c r="G900" s="52"/>
      <c r="H900" s="52">
        <v>6336</v>
      </c>
      <c r="I900" s="52"/>
      <c r="J900" s="52"/>
      <c r="K900" s="53"/>
      <c r="L900" s="54"/>
      <c r="M900" s="52"/>
      <c r="N900" s="55"/>
      <c r="O900" s="50"/>
      <c r="P900" s="53"/>
      <c r="Q900" s="52"/>
      <c r="R900" s="52"/>
      <c r="S900" s="52"/>
      <c r="T900" s="55"/>
      <c r="U900" s="52" t="str">
        <f t="shared" ca="1" si="13"/>
        <v/>
      </c>
      <c r="V900" s="54">
        <v>0</v>
      </c>
      <c r="W900" s="52" t="s">
        <v>5587</v>
      </c>
    </row>
    <row r="901" spans="1:23" ht="20.100000000000001" customHeight="1" x14ac:dyDescent="0.25">
      <c r="A901" s="50"/>
      <c r="B901" s="50"/>
      <c r="C901" s="51"/>
      <c r="D901" s="51"/>
      <c r="E901" s="52"/>
      <c r="F901" s="52"/>
      <c r="G901" s="52"/>
      <c r="H901" s="52">
        <v>6337</v>
      </c>
      <c r="I901" s="52"/>
      <c r="J901" s="52"/>
      <c r="K901" s="53"/>
      <c r="L901" s="54"/>
      <c r="M901" s="52"/>
      <c r="N901" s="55"/>
      <c r="O901" s="50"/>
      <c r="P901" s="53"/>
      <c r="Q901" s="52"/>
      <c r="R901" s="52"/>
      <c r="S901" s="52"/>
      <c r="T901" s="55"/>
      <c r="U901" s="52" t="str">
        <f t="shared" ref="U901:U964" ca="1" si="14">IF(C901="","",TODAY()-C901)</f>
        <v/>
      </c>
      <c r="V901" s="54">
        <v>0</v>
      </c>
      <c r="W901" s="52" t="s">
        <v>5587</v>
      </c>
    </row>
    <row r="902" spans="1:23" ht="20.100000000000001" customHeight="1" x14ac:dyDescent="0.25">
      <c r="A902" s="50"/>
      <c r="B902" s="50"/>
      <c r="C902" s="51"/>
      <c r="D902" s="51"/>
      <c r="E902" s="52"/>
      <c r="F902" s="52"/>
      <c r="G902" s="52"/>
      <c r="H902" s="52">
        <v>6338</v>
      </c>
      <c r="I902" s="52"/>
      <c r="J902" s="52"/>
      <c r="K902" s="53"/>
      <c r="L902" s="54"/>
      <c r="M902" s="52"/>
      <c r="N902" s="55"/>
      <c r="O902" s="50"/>
      <c r="P902" s="53"/>
      <c r="Q902" s="52"/>
      <c r="R902" s="52"/>
      <c r="S902" s="52"/>
      <c r="T902" s="55"/>
      <c r="U902" s="52" t="str">
        <f t="shared" ca="1" si="14"/>
        <v/>
      </c>
      <c r="V902" s="54">
        <v>0</v>
      </c>
      <c r="W902" s="52" t="s">
        <v>5587</v>
      </c>
    </row>
    <row r="903" spans="1:23" ht="20.100000000000001" customHeight="1" x14ac:dyDescent="0.25">
      <c r="A903" s="50"/>
      <c r="B903" s="50"/>
      <c r="C903" s="51"/>
      <c r="D903" s="51"/>
      <c r="E903" s="52"/>
      <c r="F903" s="52"/>
      <c r="G903" s="52"/>
      <c r="H903" s="52">
        <v>6339</v>
      </c>
      <c r="I903" s="52"/>
      <c r="J903" s="52"/>
      <c r="K903" s="53"/>
      <c r="L903" s="54"/>
      <c r="M903" s="52"/>
      <c r="N903" s="55"/>
      <c r="O903" s="50"/>
      <c r="P903" s="53"/>
      <c r="Q903" s="52"/>
      <c r="R903" s="52"/>
      <c r="S903" s="52"/>
      <c r="T903" s="55"/>
      <c r="U903" s="52" t="str">
        <f t="shared" ca="1" si="14"/>
        <v/>
      </c>
      <c r="V903" s="54">
        <v>0</v>
      </c>
      <c r="W903" s="52" t="s">
        <v>5587</v>
      </c>
    </row>
    <row r="904" spans="1:23" ht="20.100000000000001" customHeight="1" x14ac:dyDescent="0.25">
      <c r="A904" s="50"/>
      <c r="B904" s="50"/>
      <c r="C904" s="51"/>
      <c r="D904" s="51"/>
      <c r="E904" s="52"/>
      <c r="F904" s="52"/>
      <c r="G904" s="52"/>
      <c r="H904" s="52">
        <v>6340</v>
      </c>
      <c r="I904" s="52"/>
      <c r="J904" s="52"/>
      <c r="K904" s="53"/>
      <c r="L904" s="54"/>
      <c r="M904" s="52"/>
      <c r="N904" s="55"/>
      <c r="O904" s="50"/>
      <c r="P904" s="53"/>
      <c r="Q904" s="52"/>
      <c r="R904" s="52"/>
      <c r="S904" s="52"/>
      <c r="T904" s="55"/>
      <c r="U904" s="52" t="str">
        <f t="shared" ca="1" si="14"/>
        <v/>
      </c>
      <c r="V904" s="54">
        <v>0</v>
      </c>
      <c r="W904" s="52" t="s">
        <v>5587</v>
      </c>
    </row>
    <row r="905" spans="1:23" ht="20.100000000000001" customHeight="1" x14ac:dyDescent="0.25">
      <c r="A905" s="50"/>
      <c r="B905" s="50"/>
      <c r="C905" s="51"/>
      <c r="D905" s="51"/>
      <c r="E905" s="52"/>
      <c r="F905" s="52"/>
      <c r="G905" s="52"/>
      <c r="H905" s="52">
        <v>6341</v>
      </c>
      <c r="I905" s="52"/>
      <c r="J905" s="52"/>
      <c r="K905" s="53"/>
      <c r="L905" s="54"/>
      <c r="M905" s="52"/>
      <c r="N905" s="55"/>
      <c r="O905" s="50"/>
      <c r="P905" s="53"/>
      <c r="Q905" s="52"/>
      <c r="R905" s="52"/>
      <c r="S905" s="52"/>
      <c r="T905" s="55"/>
      <c r="U905" s="52" t="str">
        <f t="shared" ca="1" si="14"/>
        <v/>
      </c>
      <c r="V905" s="54">
        <v>0</v>
      </c>
      <c r="W905" s="52" t="s">
        <v>5587</v>
      </c>
    </row>
    <row r="906" spans="1:23" ht="20.100000000000001" customHeight="1" x14ac:dyDescent="0.25">
      <c r="A906" s="50"/>
      <c r="B906" s="50"/>
      <c r="C906" s="51"/>
      <c r="D906" s="51"/>
      <c r="E906" s="52"/>
      <c r="F906" s="52"/>
      <c r="G906" s="52"/>
      <c r="H906" s="52">
        <v>6342</v>
      </c>
      <c r="I906" s="52"/>
      <c r="J906" s="52"/>
      <c r="K906" s="53"/>
      <c r="L906" s="54"/>
      <c r="M906" s="52"/>
      <c r="N906" s="55"/>
      <c r="O906" s="50"/>
      <c r="P906" s="53"/>
      <c r="Q906" s="52"/>
      <c r="R906" s="52"/>
      <c r="S906" s="52"/>
      <c r="T906" s="55"/>
      <c r="U906" s="52" t="str">
        <f t="shared" ca="1" si="14"/>
        <v/>
      </c>
      <c r="V906" s="54">
        <v>0</v>
      </c>
      <c r="W906" s="52" t="s">
        <v>5587</v>
      </c>
    </row>
    <row r="907" spans="1:23" ht="20.100000000000001" customHeight="1" x14ac:dyDescent="0.25">
      <c r="A907" s="50"/>
      <c r="B907" s="50"/>
      <c r="C907" s="51"/>
      <c r="D907" s="51"/>
      <c r="E907" s="52"/>
      <c r="F907" s="52"/>
      <c r="G907" s="52"/>
      <c r="H907" s="52">
        <v>6343</v>
      </c>
      <c r="I907" s="52"/>
      <c r="J907" s="52"/>
      <c r="K907" s="53"/>
      <c r="L907" s="54"/>
      <c r="M907" s="52"/>
      <c r="N907" s="55"/>
      <c r="O907" s="50"/>
      <c r="P907" s="53"/>
      <c r="Q907" s="52"/>
      <c r="R907" s="52"/>
      <c r="S907" s="52"/>
      <c r="T907" s="55"/>
      <c r="U907" s="52" t="str">
        <f t="shared" ca="1" si="14"/>
        <v/>
      </c>
      <c r="V907" s="54">
        <v>0</v>
      </c>
      <c r="W907" s="52" t="s">
        <v>5587</v>
      </c>
    </row>
    <row r="908" spans="1:23" ht="20.100000000000001" customHeight="1" x14ac:dyDescent="0.25">
      <c r="A908" s="50"/>
      <c r="B908" s="50"/>
      <c r="C908" s="51"/>
      <c r="D908" s="51"/>
      <c r="E908" s="52"/>
      <c r="F908" s="52"/>
      <c r="G908" s="52"/>
      <c r="H908" s="52">
        <v>6344</v>
      </c>
      <c r="I908" s="52"/>
      <c r="J908" s="52"/>
      <c r="K908" s="53"/>
      <c r="L908" s="54"/>
      <c r="M908" s="52"/>
      <c r="N908" s="55"/>
      <c r="O908" s="50"/>
      <c r="P908" s="53"/>
      <c r="Q908" s="52"/>
      <c r="R908" s="52"/>
      <c r="S908" s="52"/>
      <c r="T908" s="55"/>
      <c r="U908" s="52" t="str">
        <f t="shared" ca="1" si="14"/>
        <v/>
      </c>
      <c r="V908" s="54">
        <v>0</v>
      </c>
      <c r="W908" s="52" t="s">
        <v>5587</v>
      </c>
    </row>
    <row r="909" spans="1:23" ht="20.100000000000001" customHeight="1" x14ac:dyDescent="0.25">
      <c r="A909" s="50"/>
      <c r="B909" s="50"/>
      <c r="C909" s="51"/>
      <c r="D909" s="51"/>
      <c r="E909" s="52"/>
      <c r="F909" s="52"/>
      <c r="G909" s="52"/>
      <c r="H909" s="52">
        <v>6345</v>
      </c>
      <c r="I909" s="52"/>
      <c r="J909" s="52"/>
      <c r="K909" s="53"/>
      <c r="L909" s="54"/>
      <c r="M909" s="52"/>
      <c r="N909" s="55"/>
      <c r="O909" s="50"/>
      <c r="P909" s="53"/>
      <c r="Q909" s="52"/>
      <c r="R909" s="52"/>
      <c r="S909" s="52"/>
      <c r="T909" s="55"/>
      <c r="U909" s="52" t="str">
        <f t="shared" ca="1" si="14"/>
        <v/>
      </c>
      <c r="V909" s="54">
        <v>0</v>
      </c>
      <c r="W909" s="52" t="s">
        <v>5587</v>
      </c>
    </row>
    <row r="910" spans="1:23" ht="20.100000000000001" customHeight="1" x14ac:dyDescent="0.25">
      <c r="A910" s="50"/>
      <c r="B910" s="50"/>
      <c r="C910" s="51"/>
      <c r="D910" s="51"/>
      <c r="E910" s="52"/>
      <c r="F910" s="52"/>
      <c r="G910" s="52"/>
      <c r="H910" s="52">
        <v>6346</v>
      </c>
      <c r="I910" s="52"/>
      <c r="J910" s="52"/>
      <c r="K910" s="53"/>
      <c r="L910" s="54"/>
      <c r="M910" s="52"/>
      <c r="N910" s="55"/>
      <c r="O910" s="50"/>
      <c r="P910" s="53"/>
      <c r="Q910" s="52"/>
      <c r="R910" s="52"/>
      <c r="S910" s="52"/>
      <c r="T910" s="55"/>
      <c r="U910" s="52" t="str">
        <f t="shared" ca="1" si="14"/>
        <v/>
      </c>
      <c r="V910" s="54">
        <v>0</v>
      </c>
      <c r="W910" s="52" t="s">
        <v>5587</v>
      </c>
    </row>
    <row r="911" spans="1:23" ht="20.100000000000001" customHeight="1" x14ac:dyDescent="0.25">
      <c r="A911" s="50"/>
      <c r="B911" s="50"/>
      <c r="C911" s="51"/>
      <c r="D911" s="51"/>
      <c r="E911" s="52"/>
      <c r="F911" s="52"/>
      <c r="G911" s="52"/>
      <c r="H911" s="52">
        <v>6347</v>
      </c>
      <c r="I911" s="52"/>
      <c r="J911" s="52"/>
      <c r="K911" s="53"/>
      <c r="L911" s="54"/>
      <c r="M911" s="52"/>
      <c r="N911" s="55"/>
      <c r="O911" s="50"/>
      <c r="P911" s="53"/>
      <c r="Q911" s="52"/>
      <c r="R911" s="52"/>
      <c r="S911" s="52"/>
      <c r="T911" s="55"/>
      <c r="U911" s="52" t="str">
        <f t="shared" ca="1" si="14"/>
        <v/>
      </c>
      <c r="V911" s="54">
        <v>0</v>
      </c>
      <c r="W911" s="52" t="s">
        <v>5587</v>
      </c>
    </row>
    <row r="912" spans="1:23" ht="20.100000000000001" customHeight="1" x14ac:dyDescent="0.25">
      <c r="A912" s="50"/>
      <c r="B912" s="50"/>
      <c r="C912" s="51"/>
      <c r="D912" s="51"/>
      <c r="E912" s="52"/>
      <c r="F912" s="52"/>
      <c r="G912" s="52"/>
      <c r="H912" s="52">
        <v>6348</v>
      </c>
      <c r="I912" s="52"/>
      <c r="J912" s="52"/>
      <c r="K912" s="53"/>
      <c r="L912" s="54"/>
      <c r="M912" s="52"/>
      <c r="N912" s="55"/>
      <c r="O912" s="50"/>
      <c r="P912" s="53"/>
      <c r="Q912" s="52"/>
      <c r="R912" s="52"/>
      <c r="S912" s="52"/>
      <c r="T912" s="55"/>
      <c r="U912" s="52" t="str">
        <f t="shared" ca="1" si="14"/>
        <v/>
      </c>
      <c r="V912" s="54">
        <v>0</v>
      </c>
      <c r="W912" s="52" t="s">
        <v>5587</v>
      </c>
    </row>
    <row r="913" spans="1:23" ht="20.100000000000001" customHeight="1" x14ac:dyDescent="0.25">
      <c r="A913" s="50"/>
      <c r="B913" s="50"/>
      <c r="C913" s="51"/>
      <c r="D913" s="51"/>
      <c r="E913" s="52"/>
      <c r="F913" s="52"/>
      <c r="G913" s="52"/>
      <c r="H913" s="52">
        <v>6349</v>
      </c>
      <c r="I913" s="52"/>
      <c r="J913" s="52"/>
      <c r="K913" s="53"/>
      <c r="L913" s="54"/>
      <c r="M913" s="52"/>
      <c r="N913" s="55"/>
      <c r="O913" s="50"/>
      <c r="P913" s="53"/>
      <c r="Q913" s="52"/>
      <c r="R913" s="52"/>
      <c r="S913" s="52"/>
      <c r="T913" s="55"/>
      <c r="U913" s="52" t="str">
        <f t="shared" ca="1" si="14"/>
        <v/>
      </c>
      <c r="V913" s="54">
        <v>0</v>
      </c>
      <c r="W913" s="52" t="s">
        <v>5587</v>
      </c>
    </row>
    <row r="914" spans="1:23" ht="20.100000000000001" customHeight="1" x14ac:dyDescent="0.25">
      <c r="A914" s="50"/>
      <c r="B914" s="50"/>
      <c r="C914" s="51"/>
      <c r="D914" s="51"/>
      <c r="E914" s="52"/>
      <c r="F914" s="52"/>
      <c r="G914" s="52"/>
      <c r="H914" s="52">
        <v>6350</v>
      </c>
      <c r="I914" s="52"/>
      <c r="J914" s="52"/>
      <c r="K914" s="53"/>
      <c r="L914" s="54"/>
      <c r="M914" s="52"/>
      <c r="N914" s="55"/>
      <c r="O914" s="50"/>
      <c r="P914" s="53"/>
      <c r="Q914" s="52"/>
      <c r="R914" s="52"/>
      <c r="S914" s="52"/>
      <c r="T914" s="55"/>
      <c r="U914" s="52" t="str">
        <f t="shared" ca="1" si="14"/>
        <v/>
      </c>
      <c r="V914" s="54">
        <v>0</v>
      </c>
      <c r="W914" s="52" t="s">
        <v>5587</v>
      </c>
    </row>
    <row r="915" spans="1:23" ht="20.100000000000001" customHeight="1" x14ac:dyDescent="0.25">
      <c r="A915" s="50"/>
      <c r="B915" s="50"/>
      <c r="C915" s="51"/>
      <c r="D915" s="51"/>
      <c r="E915" s="52"/>
      <c r="F915" s="52"/>
      <c r="G915" s="52"/>
      <c r="H915" s="52">
        <v>6351</v>
      </c>
      <c r="I915" s="52"/>
      <c r="J915" s="52"/>
      <c r="K915" s="53"/>
      <c r="L915" s="54"/>
      <c r="M915" s="52"/>
      <c r="N915" s="55"/>
      <c r="O915" s="50"/>
      <c r="P915" s="53"/>
      <c r="Q915" s="52"/>
      <c r="R915" s="52"/>
      <c r="S915" s="52"/>
      <c r="T915" s="55"/>
      <c r="U915" s="52" t="str">
        <f t="shared" ca="1" si="14"/>
        <v/>
      </c>
      <c r="V915" s="54">
        <v>0</v>
      </c>
      <c r="W915" s="52" t="s">
        <v>5587</v>
      </c>
    </row>
    <row r="916" spans="1:23" ht="20.100000000000001" customHeight="1" x14ac:dyDescent="0.25">
      <c r="A916" s="50"/>
      <c r="B916" s="50"/>
      <c r="C916" s="51"/>
      <c r="D916" s="51"/>
      <c r="E916" s="52"/>
      <c r="F916" s="52"/>
      <c r="G916" s="52"/>
      <c r="H916" s="52">
        <v>6352</v>
      </c>
      <c r="I916" s="52"/>
      <c r="J916" s="52"/>
      <c r="K916" s="53"/>
      <c r="L916" s="54"/>
      <c r="M916" s="52"/>
      <c r="N916" s="55"/>
      <c r="O916" s="50"/>
      <c r="P916" s="53"/>
      <c r="Q916" s="52"/>
      <c r="R916" s="52"/>
      <c r="S916" s="52"/>
      <c r="T916" s="55"/>
      <c r="U916" s="52" t="str">
        <f t="shared" ca="1" si="14"/>
        <v/>
      </c>
      <c r="V916" s="54">
        <v>0</v>
      </c>
      <c r="W916" s="52" t="s">
        <v>5587</v>
      </c>
    </row>
    <row r="917" spans="1:23" ht="20.100000000000001" customHeight="1" x14ac:dyDescent="0.25">
      <c r="A917" s="50"/>
      <c r="B917" s="50"/>
      <c r="C917" s="51"/>
      <c r="D917" s="51"/>
      <c r="E917" s="52"/>
      <c r="F917" s="52"/>
      <c r="G917" s="52"/>
      <c r="H917" s="52">
        <v>6353</v>
      </c>
      <c r="I917" s="52"/>
      <c r="J917" s="52"/>
      <c r="K917" s="53"/>
      <c r="L917" s="54"/>
      <c r="M917" s="52"/>
      <c r="N917" s="55"/>
      <c r="O917" s="50"/>
      <c r="P917" s="53"/>
      <c r="Q917" s="52"/>
      <c r="R917" s="52"/>
      <c r="S917" s="52"/>
      <c r="T917" s="55"/>
      <c r="U917" s="52" t="str">
        <f t="shared" ca="1" si="14"/>
        <v/>
      </c>
      <c r="V917" s="54">
        <v>0</v>
      </c>
      <c r="W917" s="52" t="s">
        <v>5587</v>
      </c>
    </row>
    <row r="918" spans="1:23" ht="20.100000000000001" customHeight="1" x14ac:dyDescent="0.25">
      <c r="A918" s="50"/>
      <c r="B918" s="50"/>
      <c r="C918" s="51"/>
      <c r="D918" s="51"/>
      <c r="E918" s="52"/>
      <c r="F918" s="52"/>
      <c r="G918" s="52"/>
      <c r="H918" s="52">
        <v>6354</v>
      </c>
      <c r="I918" s="52"/>
      <c r="J918" s="52"/>
      <c r="K918" s="53"/>
      <c r="L918" s="54"/>
      <c r="M918" s="52"/>
      <c r="N918" s="55"/>
      <c r="O918" s="50"/>
      <c r="P918" s="53"/>
      <c r="Q918" s="52"/>
      <c r="R918" s="52"/>
      <c r="S918" s="52"/>
      <c r="T918" s="55"/>
      <c r="U918" s="52" t="str">
        <f t="shared" ca="1" si="14"/>
        <v/>
      </c>
      <c r="V918" s="54">
        <v>0</v>
      </c>
      <c r="W918" s="52" t="s">
        <v>5587</v>
      </c>
    </row>
    <row r="919" spans="1:23" ht="20.100000000000001" customHeight="1" x14ac:dyDescent="0.25">
      <c r="A919" s="50"/>
      <c r="B919" s="50"/>
      <c r="C919" s="51"/>
      <c r="D919" s="51"/>
      <c r="E919" s="52"/>
      <c r="F919" s="52"/>
      <c r="G919" s="52"/>
      <c r="H919" s="52">
        <v>6355</v>
      </c>
      <c r="I919" s="52"/>
      <c r="J919" s="52"/>
      <c r="K919" s="53"/>
      <c r="L919" s="54"/>
      <c r="M919" s="52"/>
      <c r="N919" s="55"/>
      <c r="O919" s="50"/>
      <c r="P919" s="53"/>
      <c r="Q919" s="52"/>
      <c r="R919" s="52"/>
      <c r="S919" s="52"/>
      <c r="T919" s="55"/>
      <c r="U919" s="52" t="str">
        <f t="shared" ca="1" si="14"/>
        <v/>
      </c>
      <c r="V919" s="54">
        <v>0</v>
      </c>
      <c r="W919" s="52" t="s">
        <v>5587</v>
      </c>
    </row>
    <row r="920" spans="1:23" ht="20.100000000000001" customHeight="1" x14ac:dyDescent="0.25">
      <c r="A920" s="50"/>
      <c r="B920" s="50"/>
      <c r="C920" s="51"/>
      <c r="D920" s="51"/>
      <c r="E920" s="52"/>
      <c r="F920" s="52"/>
      <c r="G920" s="52"/>
      <c r="H920" s="52">
        <v>6356</v>
      </c>
      <c r="I920" s="52"/>
      <c r="J920" s="52"/>
      <c r="K920" s="53"/>
      <c r="L920" s="54"/>
      <c r="M920" s="52"/>
      <c r="N920" s="55"/>
      <c r="O920" s="50"/>
      <c r="P920" s="53"/>
      <c r="Q920" s="52"/>
      <c r="R920" s="52"/>
      <c r="S920" s="52"/>
      <c r="T920" s="55"/>
      <c r="U920" s="52" t="str">
        <f t="shared" ca="1" si="14"/>
        <v/>
      </c>
      <c r="V920" s="54">
        <v>0</v>
      </c>
      <c r="W920" s="52" t="s">
        <v>5587</v>
      </c>
    </row>
    <row r="921" spans="1:23" ht="20.100000000000001" customHeight="1" x14ac:dyDescent="0.25">
      <c r="A921" s="50"/>
      <c r="B921" s="50"/>
      <c r="C921" s="51"/>
      <c r="D921" s="51"/>
      <c r="E921" s="52"/>
      <c r="F921" s="52"/>
      <c r="G921" s="52"/>
      <c r="H921" s="52">
        <v>6357</v>
      </c>
      <c r="I921" s="52"/>
      <c r="J921" s="52"/>
      <c r="K921" s="53"/>
      <c r="L921" s="54"/>
      <c r="M921" s="52"/>
      <c r="N921" s="55"/>
      <c r="O921" s="50"/>
      <c r="P921" s="53"/>
      <c r="Q921" s="52"/>
      <c r="R921" s="52"/>
      <c r="S921" s="52"/>
      <c r="T921" s="55"/>
      <c r="U921" s="52" t="str">
        <f t="shared" ca="1" si="14"/>
        <v/>
      </c>
      <c r="V921" s="54">
        <v>0</v>
      </c>
      <c r="W921" s="52" t="s">
        <v>5587</v>
      </c>
    </row>
    <row r="922" spans="1:23" ht="20.100000000000001" customHeight="1" x14ac:dyDescent="0.25">
      <c r="A922" s="50"/>
      <c r="B922" s="50"/>
      <c r="C922" s="51"/>
      <c r="D922" s="51"/>
      <c r="E922" s="52"/>
      <c r="F922" s="52"/>
      <c r="G922" s="52"/>
      <c r="H922" s="52">
        <v>6358</v>
      </c>
      <c r="I922" s="52"/>
      <c r="J922" s="52"/>
      <c r="K922" s="53"/>
      <c r="L922" s="54"/>
      <c r="M922" s="52"/>
      <c r="N922" s="55"/>
      <c r="O922" s="50"/>
      <c r="P922" s="53"/>
      <c r="Q922" s="52"/>
      <c r="R922" s="52"/>
      <c r="S922" s="52"/>
      <c r="T922" s="55"/>
      <c r="U922" s="52" t="str">
        <f t="shared" ca="1" si="14"/>
        <v/>
      </c>
      <c r="V922" s="54">
        <v>0</v>
      </c>
      <c r="W922" s="52" t="s">
        <v>5587</v>
      </c>
    </row>
    <row r="923" spans="1:23" ht="20.100000000000001" customHeight="1" x14ac:dyDescent="0.25">
      <c r="A923" s="50"/>
      <c r="B923" s="50"/>
      <c r="C923" s="51"/>
      <c r="D923" s="51"/>
      <c r="E923" s="52"/>
      <c r="F923" s="52"/>
      <c r="G923" s="52"/>
      <c r="H923" s="52">
        <v>6359</v>
      </c>
      <c r="I923" s="52"/>
      <c r="J923" s="52"/>
      <c r="K923" s="53"/>
      <c r="L923" s="54"/>
      <c r="M923" s="52"/>
      <c r="N923" s="55"/>
      <c r="O923" s="50"/>
      <c r="P923" s="53"/>
      <c r="Q923" s="52"/>
      <c r="R923" s="52"/>
      <c r="S923" s="52"/>
      <c r="T923" s="55"/>
      <c r="U923" s="52" t="str">
        <f t="shared" ca="1" si="14"/>
        <v/>
      </c>
      <c r="V923" s="54">
        <v>0</v>
      </c>
      <c r="W923" s="52" t="s">
        <v>5587</v>
      </c>
    </row>
    <row r="924" spans="1:23" ht="20.100000000000001" customHeight="1" x14ac:dyDescent="0.25">
      <c r="A924" s="50"/>
      <c r="B924" s="50"/>
      <c r="C924" s="51"/>
      <c r="D924" s="51"/>
      <c r="E924" s="52"/>
      <c r="F924" s="52"/>
      <c r="G924" s="52"/>
      <c r="H924" s="52">
        <v>6360</v>
      </c>
      <c r="I924" s="52"/>
      <c r="J924" s="52"/>
      <c r="K924" s="53"/>
      <c r="L924" s="54"/>
      <c r="M924" s="52"/>
      <c r="N924" s="55"/>
      <c r="O924" s="50"/>
      <c r="P924" s="53"/>
      <c r="Q924" s="52"/>
      <c r="R924" s="52"/>
      <c r="S924" s="52"/>
      <c r="T924" s="55"/>
      <c r="U924" s="52" t="str">
        <f t="shared" ca="1" si="14"/>
        <v/>
      </c>
      <c r="V924" s="54">
        <v>0</v>
      </c>
      <c r="W924" s="52" t="s">
        <v>5587</v>
      </c>
    </row>
    <row r="925" spans="1:23" ht="20.100000000000001" customHeight="1" x14ac:dyDescent="0.25">
      <c r="A925" s="50"/>
      <c r="B925" s="50"/>
      <c r="C925" s="51"/>
      <c r="D925" s="51"/>
      <c r="E925" s="52"/>
      <c r="F925" s="52"/>
      <c r="G925" s="52"/>
      <c r="H925" s="52">
        <v>6361</v>
      </c>
      <c r="I925" s="52"/>
      <c r="J925" s="52"/>
      <c r="K925" s="53"/>
      <c r="L925" s="54"/>
      <c r="M925" s="52"/>
      <c r="N925" s="55"/>
      <c r="O925" s="50"/>
      <c r="P925" s="53"/>
      <c r="Q925" s="52"/>
      <c r="R925" s="52"/>
      <c r="S925" s="52"/>
      <c r="T925" s="55"/>
      <c r="U925" s="52" t="str">
        <f t="shared" ca="1" si="14"/>
        <v/>
      </c>
      <c r="V925" s="54">
        <v>0</v>
      </c>
      <c r="W925" s="52" t="s">
        <v>5587</v>
      </c>
    </row>
    <row r="926" spans="1:23" ht="20.100000000000001" customHeight="1" x14ac:dyDescent="0.25">
      <c r="A926" s="50"/>
      <c r="B926" s="50"/>
      <c r="C926" s="51"/>
      <c r="D926" s="51"/>
      <c r="E926" s="52"/>
      <c r="F926" s="52"/>
      <c r="G926" s="52"/>
      <c r="H926" s="52">
        <v>6362</v>
      </c>
      <c r="I926" s="52"/>
      <c r="J926" s="52"/>
      <c r="K926" s="53"/>
      <c r="L926" s="54"/>
      <c r="M926" s="52"/>
      <c r="N926" s="55"/>
      <c r="O926" s="50"/>
      <c r="P926" s="53"/>
      <c r="Q926" s="52"/>
      <c r="R926" s="52"/>
      <c r="S926" s="52"/>
      <c r="T926" s="55"/>
      <c r="U926" s="52" t="str">
        <f t="shared" ca="1" si="14"/>
        <v/>
      </c>
      <c r="V926" s="54">
        <v>0</v>
      </c>
      <c r="W926" s="52" t="s">
        <v>5587</v>
      </c>
    </row>
    <row r="927" spans="1:23" ht="20.100000000000001" customHeight="1" x14ac:dyDescent="0.25">
      <c r="A927" s="50"/>
      <c r="B927" s="50"/>
      <c r="C927" s="51"/>
      <c r="D927" s="51"/>
      <c r="E927" s="52"/>
      <c r="F927" s="52"/>
      <c r="G927" s="52"/>
      <c r="H927" s="52">
        <v>6363</v>
      </c>
      <c r="I927" s="52"/>
      <c r="J927" s="52"/>
      <c r="K927" s="53"/>
      <c r="L927" s="54"/>
      <c r="M927" s="52"/>
      <c r="N927" s="55"/>
      <c r="O927" s="50"/>
      <c r="P927" s="53"/>
      <c r="Q927" s="52"/>
      <c r="R927" s="52"/>
      <c r="S927" s="52"/>
      <c r="T927" s="55"/>
      <c r="U927" s="52" t="str">
        <f t="shared" ca="1" si="14"/>
        <v/>
      </c>
      <c r="V927" s="54">
        <v>0</v>
      </c>
      <c r="W927" s="52" t="s">
        <v>5587</v>
      </c>
    </row>
    <row r="928" spans="1:23" ht="20.100000000000001" customHeight="1" x14ac:dyDescent="0.25">
      <c r="A928" s="50"/>
      <c r="B928" s="50"/>
      <c r="C928" s="51"/>
      <c r="D928" s="51"/>
      <c r="E928" s="52"/>
      <c r="F928" s="52"/>
      <c r="G928" s="52"/>
      <c r="H928" s="52">
        <v>6364</v>
      </c>
      <c r="I928" s="52"/>
      <c r="J928" s="52"/>
      <c r="K928" s="53"/>
      <c r="L928" s="54"/>
      <c r="M928" s="52"/>
      <c r="N928" s="55"/>
      <c r="O928" s="50"/>
      <c r="P928" s="53"/>
      <c r="Q928" s="52"/>
      <c r="R928" s="52"/>
      <c r="S928" s="52"/>
      <c r="T928" s="55"/>
      <c r="U928" s="52" t="str">
        <f t="shared" ca="1" si="14"/>
        <v/>
      </c>
      <c r="V928" s="54">
        <v>0</v>
      </c>
      <c r="W928" s="52" t="s">
        <v>5587</v>
      </c>
    </row>
    <row r="929" spans="1:23" ht="20.100000000000001" customHeight="1" x14ac:dyDescent="0.25">
      <c r="A929" s="50"/>
      <c r="B929" s="50"/>
      <c r="C929" s="51"/>
      <c r="D929" s="51"/>
      <c r="E929" s="52"/>
      <c r="F929" s="52"/>
      <c r="G929" s="52"/>
      <c r="H929" s="52">
        <v>6365</v>
      </c>
      <c r="I929" s="52"/>
      <c r="J929" s="52"/>
      <c r="K929" s="53"/>
      <c r="L929" s="54"/>
      <c r="M929" s="52"/>
      <c r="N929" s="55"/>
      <c r="O929" s="50"/>
      <c r="P929" s="53"/>
      <c r="Q929" s="52"/>
      <c r="R929" s="52"/>
      <c r="S929" s="52"/>
      <c r="T929" s="55"/>
      <c r="U929" s="52" t="str">
        <f t="shared" ca="1" si="14"/>
        <v/>
      </c>
      <c r="V929" s="54">
        <v>0</v>
      </c>
      <c r="W929" s="52" t="s">
        <v>5587</v>
      </c>
    </row>
    <row r="930" spans="1:23" ht="20.100000000000001" customHeight="1" x14ac:dyDescent="0.25">
      <c r="A930" s="50"/>
      <c r="B930" s="50"/>
      <c r="C930" s="51"/>
      <c r="D930" s="51"/>
      <c r="E930" s="52"/>
      <c r="F930" s="52"/>
      <c r="G930" s="52"/>
      <c r="H930" s="52">
        <v>6366</v>
      </c>
      <c r="I930" s="52"/>
      <c r="J930" s="52"/>
      <c r="K930" s="53"/>
      <c r="L930" s="54"/>
      <c r="M930" s="52"/>
      <c r="N930" s="55"/>
      <c r="O930" s="50"/>
      <c r="P930" s="53"/>
      <c r="Q930" s="52"/>
      <c r="R930" s="52"/>
      <c r="S930" s="52"/>
      <c r="T930" s="55"/>
      <c r="U930" s="52" t="str">
        <f t="shared" ca="1" si="14"/>
        <v/>
      </c>
      <c r="V930" s="54">
        <v>0</v>
      </c>
      <c r="W930" s="52" t="s">
        <v>5587</v>
      </c>
    </row>
    <row r="931" spans="1:23" ht="20.100000000000001" customHeight="1" x14ac:dyDescent="0.25">
      <c r="A931" s="50"/>
      <c r="B931" s="50"/>
      <c r="C931" s="51"/>
      <c r="D931" s="51"/>
      <c r="E931" s="52"/>
      <c r="F931" s="52"/>
      <c r="G931" s="52"/>
      <c r="H931" s="52">
        <v>6367</v>
      </c>
      <c r="I931" s="52"/>
      <c r="J931" s="52"/>
      <c r="K931" s="53"/>
      <c r="L931" s="54"/>
      <c r="M931" s="52"/>
      <c r="N931" s="55"/>
      <c r="O931" s="50"/>
      <c r="P931" s="53"/>
      <c r="Q931" s="52"/>
      <c r="R931" s="52"/>
      <c r="S931" s="52"/>
      <c r="T931" s="55"/>
      <c r="U931" s="52" t="str">
        <f t="shared" ca="1" si="14"/>
        <v/>
      </c>
      <c r="V931" s="54">
        <v>0</v>
      </c>
      <c r="W931" s="52" t="s">
        <v>5587</v>
      </c>
    </row>
    <row r="932" spans="1:23" ht="20.100000000000001" customHeight="1" x14ac:dyDescent="0.25">
      <c r="A932" s="50"/>
      <c r="B932" s="50"/>
      <c r="C932" s="51"/>
      <c r="D932" s="51"/>
      <c r="E932" s="52"/>
      <c r="F932" s="52"/>
      <c r="G932" s="52"/>
      <c r="H932" s="52">
        <v>6368</v>
      </c>
      <c r="I932" s="52"/>
      <c r="J932" s="52"/>
      <c r="K932" s="53"/>
      <c r="L932" s="54"/>
      <c r="M932" s="52"/>
      <c r="N932" s="55"/>
      <c r="O932" s="50"/>
      <c r="P932" s="53"/>
      <c r="Q932" s="52"/>
      <c r="R932" s="52"/>
      <c r="S932" s="52"/>
      <c r="T932" s="55"/>
      <c r="U932" s="52" t="str">
        <f t="shared" ca="1" si="14"/>
        <v/>
      </c>
      <c r="V932" s="54">
        <v>0</v>
      </c>
      <c r="W932" s="52" t="s">
        <v>5587</v>
      </c>
    </row>
    <row r="933" spans="1:23" ht="20.100000000000001" customHeight="1" x14ac:dyDescent="0.25">
      <c r="A933" s="50"/>
      <c r="B933" s="50"/>
      <c r="C933" s="51"/>
      <c r="D933" s="51"/>
      <c r="E933" s="52"/>
      <c r="F933" s="52"/>
      <c r="G933" s="52"/>
      <c r="H933" s="52">
        <v>6369</v>
      </c>
      <c r="I933" s="52"/>
      <c r="J933" s="52"/>
      <c r="K933" s="53"/>
      <c r="L933" s="54"/>
      <c r="M933" s="52"/>
      <c r="N933" s="55"/>
      <c r="O933" s="50"/>
      <c r="P933" s="53"/>
      <c r="Q933" s="52"/>
      <c r="R933" s="52"/>
      <c r="S933" s="52"/>
      <c r="T933" s="55"/>
      <c r="U933" s="52" t="str">
        <f t="shared" ca="1" si="14"/>
        <v/>
      </c>
      <c r="V933" s="54">
        <v>0</v>
      </c>
      <c r="W933" s="52" t="s">
        <v>5587</v>
      </c>
    </row>
    <row r="934" spans="1:23" ht="20.100000000000001" customHeight="1" x14ac:dyDescent="0.25">
      <c r="A934" s="50"/>
      <c r="B934" s="50"/>
      <c r="C934" s="51"/>
      <c r="D934" s="51"/>
      <c r="E934" s="52"/>
      <c r="F934" s="52"/>
      <c r="G934" s="52"/>
      <c r="H934" s="52">
        <v>6370</v>
      </c>
      <c r="I934" s="52"/>
      <c r="J934" s="52"/>
      <c r="K934" s="53"/>
      <c r="L934" s="54"/>
      <c r="M934" s="52"/>
      <c r="N934" s="55"/>
      <c r="O934" s="50"/>
      <c r="P934" s="53"/>
      <c r="Q934" s="52"/>
      <c r="R934" s="52"/>
      <c r="S934" s="52"/>
      <c r="T934" s="55"/>
      <c r="U934" s="52" t="str">
        <f t="shared" ca="1" si="14"/>
        <v/>
      </c>
      <c r="V934" s="54">
        <v>0</v>
      </c>
      <c r="W934" s="52" t="s">
        <v>5587</v>
      </c>
    </row>
    <row r="935" spans="1:23" ht="20.100000000000001" customHeight="1" x14ac:dyDescent="0.25">
      <c r="A935" s="50"/>
      <c r="B935" s="50"/>
      <c r="C935" s="51"/>
      <c r="D935" s="51"/>
      <c r="E935" s="52"/>
      <c r="F935" s="52"/>
      <c r="G935" s="52"/>
      <c r="H935" s="52">
        <v>6371</v>
      </c>
      <c r="I935" s="52"/>
      <c r="J935" s="52"/>
      <c r="K935" s="53"/>
      <c r="L935" s="54"/>
      <c r="M935" s="52"/>
      <c r="N935" s="55"/>
      <c r="O935" s="50"/>
      <c r="P935" s="53"/>
      <c r="Q935" s="52"/>
      <c r="R935" s="52"/>
      <c r="S935" s="52"/>
      <c r="T935" s="55"/>
      <c r="U935" s="52" t="str">
        <f t="shared" ca="1" si="14"/>
        <v/>
      </c>
      <c r="V935" s="54">
        <v>0</v>
      </c>
      <c r="W935" s="52" t="s">
        <v>5587</v>
      </c>
    </row>
    <row r="936" spans="1:23" ht="20.100000000000001" customHeight="1" x14ac:dyDescent="0.25">
      <c r="A936" s="50"/>
      <c r="B936" s="50"/>
      <c r="C936" s="51"/>
      <c r="D936" s="51"/>
      <c r="E936" s="52"/>
      <c r="F936" s="52"/>
      <c r="G936" s="52"/>
      <c r="H936" s="52">
        <v>6372</v>
      </c>
      <c r="I936" s="52"/>
      <c r="J936" s="52"/>
      <c r="K936" s="53"/>
      <c r="L936" s="54"/>
      <c r="M936" s="52"/>
      <c r="N936" s="55"/>
      <c r="O936" s="50"/>
      <c r="P936" s="53"/>
      <c r="Q936" s="52"/>
      <c r="R936" s="52"/>
      <c r="S936" s="52"/>
      <c r="T936" s="55"/>
      <c r="U936" s="52" t="str">
        <f t="shared" ca="1" si="14"/>
        <v/>
      </c>
      <c r="V936" s="54">
        <v>0</v>
      </c>
      <c r="W936" s="52" t="s">
        <v>5587</v>
      </c>
    </row>
    <row r="937" spans="1:23" ht="20.100000000000001" customHeight="1" x14ac:dyDescent="0.25">
      <c r="A937" s="50"/>
      <c r="B937" s="50"/>
      <c r="C937" s="51"/>
      <c r="D937" s="51"/>
      <c r="E937" s="52"/>
      <c r="F937" s="52"/>
      <c r="G937" s="52"/>
      <c r="H937" s="52">
        <v>6373</v>
      </c>
      <c r="I937" s="52"/>
      <c r="J937" s="52"/>
      <c r="K937" s="53"/>
      <c r="L937" s="54"/>
      <c r="M937" s="52"/>
      <c r="N937" s="55"/>
      <c r="O937" s="50"/>
      <c r="P937" s="53"/>
      <c r="Q937" s="52"/>
      <c r="R937" s="52"/>
      <c r="S937" s="52"/>
      <c r="T937" s="55"/>
      <c r="U937" s="52" t="str">
        <f t="shared" ca="1" si="14"/>
        <v/>
      </c>
      <c r="V937" s="54">
        <v>0</v>
      </c>
      <c r="W937" s="52" t="s">
        <v>5587</v>
      </c>
    </row>
    <row r="938" spans="1:23" ht="20.100000000000001" customHeight="1" x14ac:dyDescent="0.25">
      <c r="A938" s="50"/>
      <c r="B938" s="50"/>
      <c r="C938" s="51"/>
      <c r="D938" s="51"/>
      <c r="E938" s="52"/>
      <c r="F938" s="52"/>
      <c r="G938" s="52"/>
      <c r="H938" s="52">
        <v>6374</v>
      </c>
      <c r="I938" s="52"/>
      <c r="J938" s="52"/>
      <c r="K938" s="53"/>
      <c r="L938" s="54"/>
      <c r="M938" s="52"/>
      <c r="N938" s="55"/>
      <c r="O938" s="50"/>
      <c r="P938" s="53"/>
      <c r="Q938" s="52"/>
      <c r="R938" s="52"/>
      <c r="S938" s="52"/>
      <c r="T938" s="55"/>
      <c r="U938" s="52" t="str">
        <f t="shared" ca="1" si="14"/>
        <v/>
      </c>
      <c r="V938" s="54">
        <v>0</v>
      </c>
      <c r="W938" s="52" t="s">
        <v>5587</v>
      </c>
    </row>
    <row r="939" spans="1:23" ht="20.100000000000001" customHeight="1" x14ac:dyDescent="0.25">
      <c r="A939" s="50"/>
      <c r="B939" s="50"/>
      <c r="C939" s="51"/>
      <c r="D939" s="51"/>
      <c r="E939" s="52"/>
      <c r="F939" s="52"/>
      <c r="G939" s="52"/>
      <c r="H939" s="52">
        <v>6375</v>
      </c>
      <c r="I939" s="52"/>
      <c r="J939" s="52"/>
      <c r="K939" s="53"/>
      <c r="L939" s="54"/>
      <c r="M939" s="52"/>
      <c r="N939" s="55"/>
      <c r="O939" s="50"/>
      <c r="P939" s="53"/>
      <c r="Q939" s="52"/>
      <c r="R939" s="52"/>
      <c r="S939" s="52"/>
      <c r="T939" s="55"/>
      <c r="U939" s="52" t="str">
        <f t="shared" ca="1" si="14"/>
        <v/>
      </c>
      <c r="V939" s="54">
        <v>0</v>
      </c>
      <c r="W939" s="52" t="s">
        <v>5587</v>
      </c>
    </row>
    <row r="940" spans="1:23" ht="20.100000000000001" customHeight="1" x14ac:dyDescent="0.25">
      <c r="A940" s="50"/>
      <c r="B940" s="50"/>
      <c r="C940" s="51"/>
      <c r="D940" s="51"/>
      <c r="E940" s="52"/>
      <c r="F940" s="52"/>
      <c r="G940" s="52"/>
      <c r="H940" s="52">
        <v>6376</v>
      </c>
      <c r="I940" s="52"/>
      <c r="J940" s="52"/>
      <c r="K940" s="53"/>
      <c r="L940" s="54"/>
      <c r="M940" s="52"/>
      <c r="N940" s="55"/>
      <c r="O940" s="50"/>
      <c r="P940" s="53"/>
      <c r="Q940" s="52"/>
      <c r="R940" s="52"/>
      <c r="S940" s="52"/>
      <c r="T940" s="55"/>
      <c r="U940" s="52" t="str">
        <f t="shared" ca="1" si="14"/>
        <v/>
      </c>
      <c r="V940" s="54">
        <v>0</v>
      </c>
      <c r="W940" s="52" t="s">
        <v>5587</v>
      </c>
    </row>
    <row r="941" spans="1:23" ht="20.100000000000001" customHeight="1" x14ac:dyDescent="0.25">
      <c r="A941" s="50"/>
      <c r="B941" s="50"/>
      <c r="C941" s="51"/>
      <c r="D941" s="51"/>
      <c r="E941" s="52"/>
      <c r="F941" s="52"/>
      <c r="G941" s="52"/>
      <c r="H941" s="52">
        <v>6377</v>
      </c>
      <c r="I941" s="52"/>
      <c r="J941" s="52"/>
      <c r="K941" s="53"/>
      <c r="L941" s="54"/>
      <c r="M941" s="52"/>
      <c r="N941" s="55"/>
      <c r="O941" s="50"/>
      <c r="P941" s="53"/>
      <c r="Q941" s="52"/>
      <c r="R941" s="52"/>
      <c r="S941" s="52"/>
      <c r="T941" s="55"/>
      <c r="U941" s="52" t="str">
        <f t="shared" ca="1" si="14"/>
        <v/>
      </c>
      <c r="V941" s="54">
        <v>0</v>
      </c>
      <c r="W941" s="52" t="s">
        <v>5587</v>
      </c>
    </row>
    <row r="942" spans="1:23" ht="20.100000000000001" customHeight="1" x14ac:dyDescent="0.25">
      <c r="A942" s="50"/>
      <c r="B942" s="50"/>
      <c r="C942" s="51"/>
      <c r="D942" s="51"/>
      <c r="E942" s="52"/>
      <c r="F942" s="52"/>
      <c r="G942" s="52"/>
      <c r="H942" s="52">
        <v>6378</v>
      </c>
      <c r="I942" s="52"/>
      <c r="J942" s="52"/>
      <c r="K942" s="53"/>
      <c r="L942" s="54"/>
      <c r="M942" s="52"/>
      <c r="N942" s="55"/>
      <c r="O942" s="50"/>
      <c r="P942" s="53"/>
      <c r="Q942" s="52"/>
      <c r="R942" s="52"/>
      <c r="S942" s="52"/>
      <c r="T942" s="55"/>
      <c r="U942" s="52" t="str">
        <f t="shared" ca="1" si="14"/>
        <v/>
      </c>
      <c r="V942" s="54">
        <v>0</v>
      </c>
      <c r="W942" s="52" t="s">
        <v>5587</v>
      </c>
    </row>
    <row r="943" spans="1:23" ht="20.100000000000001" customHeight="1" x14ac:dyDescent="0.25">
      <c r="A943" s="50"/>
      <c r="B943" s="50"/>
      <c r="C943" s="51"/>
      <c r="D943" s="51"/>
      <c r="E943" s="52"/>
      <c r="F943" s="52"/>
      <c r="G943" s="52"/>
      <c r="H943" s="52">
        <v>6379</v>
      </c>
      <c r="I943" s="52"/>
      <c r="J943" s="52"/>
      <c r="K943" s="53"/>
      <c r="L943" s="54"/>
      <c r="M943" s="52"/>
      <c r="N943" s="55"/>
      <c r="O943" s="50"/>
      <c r="P943" s="53"/>
      <c r="Q943" s="52"/>
      <c r="R943" s="52"/>
      <c r="S943" s="52"/>
      <c r="T943" s="55"/>
      <c r="U943" s="52" t="str">
        <f t="shared" ca="1" si="14"/>
        <v/>
      </c>
      <c r="V943" s="54">
        <v>0</v>
      </c>
      <c r="W943" s="52" t="s">
        <v>5587</v>
      </c>
    </row>
    <row r="944" spans="1:23" ht="20.100000000000001" customHeight="1" x14ac:dyDescent="0.25">
      <c r="A944" s="50"/>
      <c r="B944" s="50"/>
      <c r="C944" s="51"/>
      <c r="D944" s="51"/>
      <c r="E944" s="52"/>
      <c r="F944" s="52"/>
      <c r="G944" s="52"/>
      <c r="H944" s="52">
        <v>6380</v>
      </c>
      <c r="I944" s="52"/>
      <c r="J944" s="52"/>
      <c r="K944" s="53"/>
      <c r="L944" s="54"/>
      <c r="M944" s="52"/>
      <c r="N944" s="55"/>
      <c r="O944" s="50"/>
      <c r="P944" s="53"/>
      <c r="Q944" s="52"/>
      <c r="R944" s="52"/>
      <c r="S944" s="52"/>
      <c r="T944" s="55"/>
      <c r="U944" s="52" t="str">
        <f t="shared" ca="1" si="14"/>
        <v/>
      </c>
      <c r="V944" s="54">
        <v>0</v>
      </c>
      <c r="W944" s="52" t="s">
        <v>5587</v>
      </c>
    </row>
    <row r="945" spans="1:23" ht="20.100000000000001" customHeight="1" x14ac:dyDescent="0.25">
      <c r="A945" s="50"/>
      <c r="B945" s="50"/>
      <c r="C945" s="51"/>
      <c r="D945" s="51"/>
      <c r="E945" s="52"/>
      <c r="F945" s="52"/>
      <c r="G945" s="52"/>
      <c r="H945" s="52">
        <v>6381</v>
      </c>
      <c r="I945" s="52"/>
      <c r="J945" s="52"/>
      <c r="K945" s="53"/>
      <c r="L945" s="54"/>
      <c r="M945" s="52"/>
      <c r="N945" s="55"/>
      <c r="O945" s="50"/>
      <c r="P945" s="53"/>
      <c r="Q945" s="52"/>
      <c r="R945" s="52"/>
      <c r="S945" s="52"/>
      <c r="T945" s="55"/>
      <c r="U945" s="52" t="str">
        <f t="shared" ca="1" si="14"/>
        <v/>
      </c>
      <c r="V945" s="54">
        <v>0</v>
      </c>
      <c r="W945" s="52" t="s">
        <v>5587</v>
      </c>
    </row>
    <row r="946" spans="1:23" ht="20.100000000000001" customHeight="1" x14ac:dyDescent="0.25">
      <c r="A946" s="50"/>
      <c r="B946" s="50"/>
      <c r="C946" s="51"/>
      <c r="D946" s="51"/>
      <c r="E946" s="52"/>
      <c r="F946" s="52"/>
      <c r="G946" s="52"/>
      <c r="H946" s="52">
        <v>6382</v>
      </c>
      <c r="I946" s="52"/>
      <c r="J946" s="52"/>
      <c r="K946" s="53"/>
      <c r="L946" s="54"/>
      <c r="M946" s="52"/>
      <c r="N946" s="55"/>
      <c r="O946" s="50"/>
      <c r="P946" s="53"/>
      <c r="Q946" s="52"/>
      <c r="R946" s="52"/>
      <c r="S946" s="52"/>
      <c r="T946" s="55"/>
      <c r="U946" s="52" t="str">
        <f t="shared" ca="1" si="14"/>
        <v/>
      </c>
      <c r="V946" s="54">
        <v>0</v>
      </c>
      <c r="W946" s="52" t="s">
        <v>5587</v>
      </c>
    </row>
    <row r="947" spans="1:23" ht="20.100000000000001" customHeight="1" x14ac:dyDescent="0.25">
      <c r="A947" s="50"/>
      <c r="B947" s="50"/>
      <c r="C947" s="51"/>
      <c r="D947" s="51"/>
      <c r="E947" s="52"/>
      <c r="F947" s="52"/>
      <c r="G947" s="52"/>
      <c r="H947" s="52">
        <v>6383</v>
      </c>
      <c r="I947" s="52"/>
      <c r="J947" s="52"/>
      <c r="K947" s="53"/>
      <c r="L947" s="54"/>
      <c r="M947" s="52"/>
      <c r="N947" s="55"/>
      <c r="O947" s="50"/>
      <c r="P947" s="53"/>
      <c r="Q947" s="52"/>
      <c r="R947" s="52"/>
      <c r="S947" s="52"/>
      <c r="T947" s="55"/>
      <c r="U947" s="52" t="str">
        <f t="shared" ca="1" si="14"/>
        <v/>
      </c>
      <c r="V947" s="54">
        <v>0</v>
      </c>
      <c r="W947" s="52" t="s">
        <v>5587</v>
      </c>
    </row>
    <row r="948" spans="1:23" ht="20.100000000000001" customHeight="1" x14ac:dyDescent="0.25">
      <c r="A948" s="50"/>
      <c r="B948" s="50"/>
      <c r="C948" s="51"/>
      <c r="D948" s="51"/>
      <c r="E948" s="52"/>
      <c r="F948" s="52"/>
      <c r="G948" s="52"/>
      <c r="H948" s="52">
        <v>6384</v>
      </c>
      <c r="I948" s="52"/>
      <c r="J948" s="52"/>
      <c r="K948" s="53"/>
      <c r="L948" s="54"/>
      <c r="M948" s="52"/>
      <c r="N948" s="55"/>
      <c r="O948" s="50"/>
      <c r="P948" s="53"/>
      <c r="Q948" s="52"/>
      <c r="R948" s="52"/>
      <c r="S948" s="52"/>
      <c r="T948" s="55"/>
      <c r="U948" s="52" t="str">
        <f t="shared" ca="1" si="14"/>
        <v/>
      </c>
      <c r="V948" s="54">
        <v>0</v>
      </c>
      <c r="W948" s="52" t="s">
        <v>5587</v>
      </c>
    </row>
    <row r="949" spans="1:23" ht="20.100000000000001" customHeight="1" x14ac:dyDescent="0.25">
      <c r="A949" s="50"/>
      <c r="B949" s="50"/>
      <c r="C949" s="51"/>
      <c r="D949" s="51"/>
      <c r="E949" s="52"/>
      <c r="F949" s="52"/>
      <c r="G949" s="52"/>
      <c r="H949" s="52">
        <v>6385</v>
      </c>
      <c r="I949" s="52"/>
      <c r="J949" s="52"/>
      <c r="K949" s="53"/>
      <c r="L949" s="54"/>
      <c r="M949" s="52"/>
      <c r="N949" s="55"/>
      <c r="O949" s="50"/>
      <c r="P949" s="53"/>
      <c r="Q949" s="52"/>
      <c r="R949" s="52"/>
      <c r="S949" s="52"/>
      <c r="T949" s="55"/>
      <c r="U949" s="52" t="str">
        <f t="shared" ca="1" si="14"/>
        <v/>
      </c>
      <c r="V949" s="54">
        <v>0</v>
      </c>
      <c r="W949" s="52" t="s">
        <v>5587</v>
      </c>
    </row>
    <row r="950" spans="1:23" ht="20.100000000000001" customHeight="1" x14ac:dyDescent="0.25">
      <c r="A950" s="50"/>
      <c r="B950" s="50"/>
      <c r="C950" s="51"/>
      <c r="D950" s="51"/>
      <c r="E950" s="52"/>
      <c r="F950" s="52"/>
      <c r="G950" s="52"/>
      <c r="H950" s="52">
        <v>6386</v>
      </c>
      <c r="I950" s="52"/>
      <c r="J950" s="52"/>
      <c r="K950" s="53"/>
      <c r="L950" s="54"/>
      <c r="M950" s="52"/>
      <c r="N950" s="55"/>
      <c r="O950" s="50"/>
      <c r="P950" s="53"/>
      <c r="Q950" s="52"/>
      <c r="R950" s="52"/>
      <c r="S950" s="52"/>
      <c r="T950" s="55"/>
      <c r="U950" s="52" t="str">
        <f t="shared" ca="1" si="14"/>
        <v/>
      </c>
      <c r="V950" s="54">
        <v>0</v>
      </c>
      <c r="W950" s="52" t="s">
        <v>5587</v>
      </c>
    </row>
    <row r="951" spans="1:23" ht="20.100000000000001" customHeight="1" x14ac:dyDescent="0.25">
      <c r="A951" s="50"/>
      <c r="B951" s="50"/>
      <c r="C951" s="51"/>
      <c r="D951" s="51"/>
      <c r="E951" s="52"/>
      <c r="F951" s="52"/>
      <c r="G951" s="52"/>
      <c r="H951" s="52">
        <v>6387</v>
      </c>
      <c r="I951" s="52"/>
      <c r="J951" s="52"/>
      <c r="K951" s="53"/>
      <c r="L951" s="54"/>
      <c r="M951" s="52"/>
      <c r="N951" s="55"/>
      <c r="O951" s="50"/>
      <c r="P951" s="53"/>
      <c r="Q951" s="52"/>
      <c r="R951" s="52"/>
      <c r="S951" s="52"/>
      <c r="T951" s="55"/>
      <c r="U951" s="52" t="str">
        <f t="shared" ca="1" si="14"/>
        <v/>
      </c>
      <c r="V951" s="54">
        <v>0</v>
      </c>
      <c r="W951" s="52" t="s">
        <v>5587</v>
      </c>
    </row>
    <row r="952" spans="1:23" ht="20.100000000000001" customHeight="1" x14ac:dyDescent="0.25">
      <c r="A952" s="50"/>
      <c r="B952" s="50"/>
      <c r="C952" s="51"/>
      <c r="D952" s="51"/>
      <c r="E952" s="52"/>
      <c r="F952" s="52"/>
      <c r="G952" s="52"/>
      <c r="H952" s="52">
        <v>6388</v>
      </c>
      <c r="I952" s="52"/>
      <c r="J952" s="52"/>
      <c r="K952" s="53"/>
      <c r="L952" s="54"/>
      <c r="M952" s="52"/>
      <c r="N952" s="55"/>
      <c r="O952" s="50"/>
      <c r="P952" s="53"/>
      <c r="Q952" s="52"/>
      <c r="R952" s="52"/>
      <c r="S952" s="52"/>
      <c r="T952" s="55"/>
      <c r="U952" s="52" t="str">
        <f t="shared" ca="1" si="14"/>
        <v/>
      </c>
      <c r="V952" s="54">
        <v>0</v>
      </c>
      <c r="W952" s="52" t="s">
        <v>5587</v>
      </c>
    </row>
    <row r="953" spans="1:23" ht="20.100000000000001" customHeight="1" x14ac:dyDescent="0.25">
      <c r="A953" s="50"/>
      <c r="B953" s="50"/>
      <c r="C953" s="51"/>
      <c r="D953" s="51"/>
      <c r="E953" s="52"/>
      <c r="F953" s="52"/>
      <c r="G953" s="52"/>
      <c r="H953" s="52">
        <v>6389</v>
      </c>
      <c r="I953" s="52"/>
      <c r="J953" s="52"/>
      <c r="K953" s="53"/>
      <c r="L953" s="54"/>
      <c r="M953" s="52"/>
      <c r="N953" s="55"/>
      <c r="O953" s="50"/>
      <c r="P953" s="53"/>
      <c r="Q953" s="52"/>
      <c r="R953" s="52"/>
      <c r="S953" s="52"/>
      <c r="T953" s="55"/>
      <c r="U953" s="52" t="str">
        <f t="shared" ca="1" si="14"/>
        <v/>
      </c>
      <c r="V953" s="54">
        <v>0</v>
      </c>
      <c r="W953" s="52" t="s">
        <v>5587</v>
      </c>
    </row>
    <row r="954" spans="1:23" ht="20.100000000000001" customHeight="1" x14ac:dyDescent="0.25">
      <c r="A954" s="50"/>
      <c r="B954" s="50"/>
      <c r="C954" s="51"/>
      <c r="D954" s="51"/>
      <c r="E954" s="52"/>
      <c r="F954" s="52"/>
      <c r="G954" s="52"/>
      <c r="H954" s="52">
        <v>6390</v>
      </c>
      <c r="I954" s="52"/>
      <c r="J954" s="52"/>
      <c r="K954" s="53"/>
      <c r="L954" s="54"/>
      <c r="M954" s="52"/>
      <c r="N954" s="55"/>
      <c r="O954" s="50"/>
      <c r="P954" s="53"/>
      <c r="Q954" s="52"/>
      <c r="R954" s="52"/>
      <c r="S954" s="52"/>
      <c r="T954" s="55"/>
      <c r="U954" s="52" t="str">
        <f t="shared" ca="1" si="14"/>
        <v/>
      </c>
      <c r="V954" s="54">
        <v>0</v>
      </c>
      <c r="W954" s="52" t="s">
        <v>5587</v>
      </c>
    </row>
    <row r="955" spans="1:23" ht="20.100000000000001" customHeight="1" x14ac:dyDescent="0.25">
      <c r="A955" s="50"/>
      <c r="B955" s="50"/>
      <c r="C955" s="51"/>
      <c r="D955" s="51"/>
      <c r="E955" s="52"/>
      <c r="F955" s="52"/>
      <c r="G955" s="52"/>
      <c r="H955" s="52">
        <v>6391</v>
      </c>
      <c r="I955" s="52"/>
      <c r="J955" s="52"/>
      <c r="K955" s="53"/>
      <c r="L955" s="54"/>
      <c r="M955" s="52"/>
      <c r="N955" s="55"/>
      <c r="O955" s="50"/>
      <c r="P955" s="53"/>
      <c r="Q955" s="52"/>
      <c r="R955" s="52"/>
      <c r="S955" s="52"/>
      <c r="T955" s="55"/>
      <c r="U955" s="52" t="str">
        <f t="shared" ca="1" si="14"/>
        <v/>
      </c>
      <c r="V955" s="54">
        <v>0</v>
      </c>
      <c r="W955" s="52" t="s">
        <v>5587</v>
      </c>
    </row>
    <row r="956" spans="1:23" ht="20.100000000000001" customHeight="1" x14ac:dyDescent="0.25">
      <c r="A956" s="50"/>
      <c r="B956" s="50"/>
      <c r="C956" s="51"/>
      <c r="D956" s="51"/>
      <c r="E956" s="52"/>
      <c r="F956" s="52"/>
      <c r="G956" s="52"/>
      <c r="H956" s="52">
        <v>6392</v>
      </c>
      <c r="I956" s="52"/>
      <c r="J956" s="52"/>
      <c r="K956" s="53"/>
      <c r="L956" s="54"/>
      <c r="M956" s="52"/>
      <c r="N956" s="55"/>
      <c r="O956" s="50"/>
      <c r="P956" s="53"/>
      <c r="Q956" s="52"/>
      <c r="R956" s="52"/>
      <c r="S956" s="52"/>
      <c r="T956" s="55"/>
      <c r="U956" s="52" t="str">
        <f t="shared" ca="1" si="14"/>
        <v/>
      </c>
      <c r="V956" s="54">
        <v>0</v>
      </c>
      <c r="W956" s="52" t="s">
        <v>5587</v>
      </c>
    </row>
    <row r="957" spans="1:23" ht="20.100000000000001" customHeight="1" x14ac:dyDescent="0.25">
      <c r="A957" s="50"/>
      <c r="B957" s="50"/>
      <c r="C957" s="51"/>
      <c r="D957" s="51"/>
      <c r="E957" s="52"/>
      <c r="F957" s="52"/>
      <c r="G957" s="52"/>
      <c r="H957" s="52">
        <v>6393</v>
      </c>
      <c r="I957" s="52"/>
      <c r="J957" s="52"/>
      <c r="K957" s="53"/>
      <c r="L957" s="54"/>
      <c r="M957" s="52"/>
      <c r="N957" s="55"/>
      <c r="O957" s="50"/>
      <c r="P957" s="53"/>
      <c r="Q957" s="52"/>
      <c r="R957" s="52"/>
      <c r="S957" s="52"/>
      <c r="T957" s="55"/>
      <c r="U957" s="52" t="str">
        <f t="shared" ca="1" si="14"/>
        <v/>
      </c>
      <c r="V957" s="54">
        <v>0</v>
      </c>
      <c r="W957" s="52" t="s">
        <v>5587</v>
      </c>
    </row>
    <row r="958" spans="1:23" ht="20.100000000000001" customHeight="1" x14ac:dyDescent="0.25">
      <c r="A958" s="50"/>
      <c r="B958" s="50"/>
      <c r="C958" s="51"/>
      <c r="D958" s="51"/>
      <c r="E958" s="52"/>
      <c r="F958" s="52"/>
      <c r="G958" s="52"/>
      <c r="H958" s="52">
        <v>6394</v>
      </c>
      <c r="I958" s="52"/>
      <c r="J958" s="52"/>
      <c r="K958" s="53"/>
      <c r="L958" s="54"/>
      <c r="M958" s="52"/>
      <c r="N958" s="55"/>
      <c r="O958" s="50"/>
      <c r="P958" s="53"/>
      <c r="Q958" s="52"/>
      <c r="R958" s="52"/>
      <c r="S958" s="52"/>
      <c r="T958" s="55"/>
      <c r="U958" s="52" t="str">
        <f t="shared" ca="1" si="14"/>
        <v/>
      </c>
      <c r="V958" s="54">
        <v>0</v>
      </c>
      <c r="W958" s="52" t="s">
        <v>5587</v>
      </c>
    </row>
    <row r="959" spans="1:23" ht="20.100000000000001" customHeight="1" x14ac:dyDescent="0.25">
      <c r="A959" s="50"/>
      <c r="B959" s="50"/>
      <c r="C959" s="51"/>
      <c r="D959" s="51"/>
      <c r="E959" s="52"/>
      <c r="F959" s="52"/>
      <c r="G959" s="52"/>
      <c r="H959" s="52">
        <v>6395</v>
      </c>
      <c r="I959" s="52"/>
      <c r="J959" s="52"/>
      <c r="K959" s="53"/>
      <c r="L959" s="54"/>
      <c r="M959" s="52"/>
      <c r="N959" s="55"/>
      <c r="O959" s="50"/>
      <c r="P959" s="53"/>
      <c r="Q959" s="52"/>
      <c r="R959" s="52"/>
      <c r="S959" s="52"/>
      <c r="T959" s="55"/>
      <c r="U959" s="52" t="str">
        <f t="shared" ca="1" si="14"/>
        <v/>
      </c>
      <c r="V959" s="54">
        <v>0</v>
      </c>
      <c r="W959" s="52" t="s">
        <v>5587</v>
      </c>
    </row>
    <row r="960" spans="1:23" ht="20.100000000000001" customHeight="1" x14ac:dyDescent="0.25">
      <c r="A960" s="50"/>
      <c r="B960" s="50"/>
      <c r="C960" s="51"/>
      <c r="D960" s="51"/>
      <c r="E960" s="52"/>
      <c r="F960" s="52"/>
      <c r="G960" s="52"/>
      <c r="H960" s="52">
        <v>6396</v>
      </c>
      <c r="I960" s="52"/>
      <c r="J960" s="52"/>
      <c r="K960" s="53"/>
      <c r="L960" s="54"/>
      <c r="M960" s="52"/>
      <c r="N960" s="55"/>
      <c r="O960" s="50"/>
      <c r="P960" s="53"/>
      <c r="Q960" s="52"/>
      <c r="R960" s="52"/>
      <c r="S960" s="52"/>
      <c r="T960" s="55"/>
      <c r="U960" s="52" t="str">
        <f t="shared" ca="1" si="14"/>
        <v/>
      </c>
      <c r="V960" s="54">
        <v>0</v>
      </c>
      <c r="W960" s="52" t="s">
        <v>5587</v>
      </c>
    </row>
    <row r="961" spans="1:23" ht="20.100000000000001" customHeight="1" x14ac:dyDescent="0.25">
      <c r="A961" s="50"/>
      <c r="B961" s="50"/>
      <c r="C961" s="51"/>
      <c r="D961" s="51"/>
      <c r="E961" s="52"/>
      <c r="F961" s="52"/>
      <c r="G961" s="52"/>
      <c r="H961" s="52">
        <v>6397</v>
      </c>
      <c r="I961" s="52"/>
      <c r="J961" s="52"/>
      <c r="K961" s="53"/>
      <c r="L961" s="54"/>
      <c r="M961" s="52"/>
      <c r="N961" s="55"/>
      <c r="O961" s="50"/>
      <c r="P961" s="53"/>
      <c r="Q961" s="52"/>
      <c r="R961" s="52"/>
      <c r="S961" s="52"/>
      <c r="T961" s="55"/>
      <c r="U961" s="52" t="str">
        <f t="shared" ca="1" si="14"/>
        <v/>
      </c>
      <c r="V961" s="54">
        <v>0</v>
      </c>
      <c r="W961" s="52" t="s">
        <v>5587</v>
      </c>
    </row>
    <row r="962" spans="1:23" ht="20.100000000000001" customHeight="1" x14ac:dyDescent="0.25">
      <c r="A962" s="50"/>
      <c r="B962" s="50"/>
      <c r="C962" s="51"/>
      <c r="D962" s="51"/>
      <c r="E962" s="52"/>
      <c r="F962" s="52"/>
      <c r="G962" s="52"/>
      <c r="H962" s="52">
        <v>6398</v>
      </c>
      <c r="I962" s="52"/>
      <c r="J962" s="52"/>
      <c r="K962" s="53"/>
      <c r="L962" s="54"/>
      <c r="M962" s="52"/>
      <c r="N962" s="55"/>
      <c r="O962" s="50"/>
      <c r="P962" s="53"/>
      <c r="Q962" s="52"/>
      <c r="R962" s="52"/>
      <c r="S962" s="52"/>
      <c r="T962" s="55"/>
      <c r="U962" s="52" t="str">
        <f t="shared" ca="1" si="14"/>
        <v/>
      </c>
      <c r="V962" s="54">
        <v>0</v>
      </c>
      <c r="W962" s="52" t="s">
        <v>5587</v>
      </c>
    </row>
    <row r="963" spans="1:23" ht="20.100000000000001" customHeight="1" x14ac:dyDescent="0.25">
      <c r="A963" s="50"/>
      <c r="B963" s="50"/>
      <c r="C963" s="51"/>
      <c r="D963" s="51"/>
      <c r="E963" s="52"/>
      <c r="F963" s="52"/>
      <c r="G963" s="52"/>
      <c r="H963" s="52">
        <v>6399</v>
      </c>
      <c r="I963" s="52"/>
      <c r="J963" s="52"/>
      <c r="K963" s="53"/>
      <c r="L963" s="54"/>
      <c r="M963" s="52"/>
      <c r="N963" s="55"/>
      <c r="O963" s="50"/>
      <c r="P963" s="53"/>
      <c r="Q963" s="52"/>
      <c r="R963" s="52"/>
      <c r="S963" s="52"/>
      <c r="T963" s="55"/>
      <c r="U963" s="52" t="str">
        <f t="shared" ca="1" si="14"/>
        <v/>
      </c>
      <c r="V963" s="54">
        <v>0</v>
      </c>
      <c r="W963" s="52" t="s">
        <v>5587</v>
      </c>
    </row>
    <row r="964" spans="1:23" ht="20.100000000000001" customHeight="1" x14ac:dyDescent="0.25">
      <c r="A964" s="50"/>
      <c r="B964" s="50"/>
      <c r="C964" s="51"/>
      <c r="D964" s="51"/>
      <c r="E964" s="52"/>
      <c r="F964" s="52"/>
      <c r="G964" s="52"/>
      <c r="H964" s="52">
        <v>6400</v>
      </c>
      <c r="I964" s="52"/>
      <c r="J964" s="52"/>
      <c r="K964" s="53"/>
      <c r="L964" s="54"/>
      <c r="M964" s="52"/>
      <c r="N964" s="55"/>
      <c r="O964" s="50"/>
      <c r="P964" s="53"/>
      <c r="Q964" s="52"/>
      <c r="R964" s="52"/>
      <c r="S964" s="52"/>
      <c r="T964" s="55"/>
      <c r="U964" s="52" t="str">
        <f t="shared" ca="1" si="14"/>
        <v/>
      </c>
      <c r="V964" s="54">
        <v>0</v>
      </c>
      <c r="W964" s="52" t="s">
        <v>5587</v>
      </c>
    </row>
    <row r="965" spans="1:23" ht="20.100000000000001" customHeight="1" x14ac:dyDescent="0.25">
      <c r="A965" s="50"/>
      <c r="B965" s="50"/>
      <c r="C965" s="51"/>
      <c r="D965" s="51"/>
      <c r="E965" s="52"/>
      <c r="F965" s="52"/>
      <c r="G965" s="52"/>
      <c r="H965" s="52">
        <v>6401</v>
      </c>
      <c r="I965" s="52"/>
      <c r="J965" s="52"/>
      <c r="K965" s="53"/>
      <c r="L965" s="54"/>
      <c r="M965" s="52"/>
      <c r="N965" s="55"/>
      <c r="O965" s="50"/>
      <c r="P965" s="53"/>
      <c r="Q965" s="52"/>
      <c r="R965" s="52"/>
      <c r="S965" s="52"/>
      <c r="T965" s="55"/>
      <c r="U965" s="52" t="str">
        <f t="shared" ref="U965:U1028" ca="1" si="15">IF(C965="","",TODAY()-C965)</f>
        <v/>
      </c>
      <c r="V965" s="54">
        <v>0</v>
      </c>
      <c r="W965" s="52" t="s">
        <v>5587</v>
      </c>
    </row>
    <row r="966" spans="1:23" ht="20.100000000000001" customHeight="1" x14ac:dyDescent="0.25">
      <c r="A966" s="50"/>
      <c r="B966" s="50"/>
      <c r="C966" s="51"/>
      <c r="D966" s="51"/>
      <c r="E966" s="52"/>
      <c r="F966" s="52"/>
      <c r="G966" s="52"/>
      <c r="H966" s="52">
        <v>6402</v>
      </c>
      <c r="I966" s="52"/>
      <c r="J966" s="52"/>
      <c r="K966" s="53"/>
      <c r="L966" s="54"/>
      <c r="M966" s="52"/>
      <c r="N966" s="55"/>
      <c r="O966" s="50"/>
      <c r="P966" s="53"/>
      <c r="Q966" s="52"/>
      <c r="R966" s="52"/>
      <c r="S966" s="52"/>
      <c r="T966" s="55"/>
      <c r="U966" s="52" t="str">
        <f t="shared" ca="1" si="15"/>
        <v/>
      </c>
      <c r="V966" s="54">
        <v>0</v>
      </c>
      <c r="W966" s="52" t="s">
        <v>5587</v>
      </c>
    </row>
    <row r="967" spans="1:23" ht="20.100000000000001" customHeight="1" x14ac:dyDescent="0.25">
      <c r="A967" s="50"/>
      <c r="B967" s="50"/>
      <c r="C967" s="51"/>
      <c r="D967" s="51"/>
      <c r="E967" s="52"/>
      <c r="F967" s="52"/>
      <c r="G967" s="52"/>
      <c r="H967" s="52">
        <v>6403</v>
      </c>
      <c r="I967" s="52"/>
      <c r="J967" s="52"/>
      <c r="K967" s="53"/>
      <c r="L967" s="54"/>
      <c r="M967" s="52"/>
      <c r="N967" s="55"/>
      <c r="O967" s="50"/>
      <c r="P967" s="53"/>
      <c r="Q967" s="52"/>
      <c r="R967" s="52"/>
      <c r="S967" s="52"/>
      <c r="T967" s="55"/>
      <c r="U967" s="52" t="str">
        <f t="shared" ca="1" si="15"/>
        <v/>
      </c>
      <c r="V967" s="54">
        <v>0</v>
      </c>
      <c r="W967" s="52" t="s">
        <v>5587</v>
      </c>
    </row>
    <row r="968" spans="1:23" ht="20.100000000000001" customHeight="1" x14ac:dyDescent="0.25">
      <c r="A968" s="50"/>
      <c r="B968" s="50"/>
      <c r="C968" s="51"/>
      <c r="D968" s="51"/>
      <c r="E968" s="52"/>
      <c r="F968" s="52"/>
      <c r="G968" s="52"/>
      <c r="H968" s="52">
        <v>6404</v>
      </c>
      <c r="I968" s="52"/>
      <c r="J968" s="52"/>
      <c r="K968" s="53"/>
      <c r="L968" s="54"/>
      <c r="M968" s="52"/>
      <c r="N968" s="55"/>
      <c r="O968" s="50"/>
      <c r="P968" s="53"/>
      <c r="Q968" s="52"/>
      <c r="R968" s="52"/>
      <c r="S968" s="52"/>
      <c r="T968" s="55"/>
      <c r="U968" s="52" t="str">
        <f t="shared" ca="1" si="15"/>
        <v/>
      </c>
      <c r="V968" s="54">
        <v>0</v>
      </c>
      <c r="W968" s="52" t="s">
        <v>5587</v>
      </c>
    </row>
    <row r="969" spans="1:23" ht="20.100000000000001" customHeight="1" x14ac:dyDescent="0.25">
      <c r="A969" s="50"/>
      <c r="B969" s="50"/>
      <c r="C969" s="51"/>
      <c r="D969" s="51"/>
      <c r="E969" s="52"/>
      <c r="F969" s="52"/>
      <c r="G969" s="52"/>
      <c r="H969" s="52">
        <v>6405</v>
      </c>
      <c r="I969" s="52"/>
      <c r="J969" s="52"/>
      <c r="K969" s="53"/>
      <c r="L969" s="54"/>
      <c r="M969" s="52"/>
      <c r="N969" s="55"/>
      <c r="O969" s="50"/>
      <c r="P969" s="53"/>
      <c r="Q969" s="52"/>
      <c r="R969" s="52"/>
      <c r="S969" s="52"/>
      <c r="T969" s="55"/>
      <c r="U969" s="52" t="str">
        <f t="shared" ca="1" si="15"/>
        <v/>
      </c>
      <c r="V969" s="54">
        <v>0</v>
      </c>
      <c r="W969" s="52" t="s">
        <v>5587</v>
      </c>
    </row>
    <row r="970" spans="1:23" ht="20.100000000000001" customHeight="1" x14ac:dyDescent="0.25">
      <c r="A970" s="50"/>
      <c r="B970" s="50"/>
      <c r="C970" s="51"/>
      <c r="D970" s="51"/>
      <c r="E970" s="52"/>
      <c r="F970" s="52"/>
      <c r="G970" s="52"/>
      <c r="H970" s="52">
        <v>6406</v>
      </c>
      <c r="I970" s="52"/>
      <c r="J970" s="52"/>
      <c r="K970" s="53"/>
      <c r="L970" s="54"/>
      <c r="M970" s="52"/>
      <c r="N970" s="55"/>
      <c r="O970" s="50"/>
      <c r="P970" s="53"/>
      <c r="Q970" s="52"/>
      <c r="R970" s="52"/>
      <c r="S970" s="52"/>
      <c r="T970" s="55"/>
      <c r="U970" s="52" t="str">
        <f t="shared" ca="1" si="15"/>
        <v/>
      </c>
      <c r="V970" s="54">
        <v>0</v>
      </c>
      <c r="W970" s="52" t="s">
        <v>5587</v>
      </c>
    </row>
    <row r="971" spans="1:23" ht="20.100000000000001" customHeight="1" x14ac:dyDescent="0.25">
      <c r="A971" s="50"/>
      <c r="B971" s="50"/>
      <c r="C971" s="51"/>
      <c r="D971" s="51"/>
      <c r="E971" s="52"/>
      <c r="F971" s="52"/>
      <c r="G971" s="52"/>
      <c r="H971" s="52">
        <v>6407</v>
      </c>
      <c r="I971" s="52"/>
      <c r="J971" s="52"/>
      <c r="K971" s="53"/>
      <c r="L971" s="54"/>
      <c r="M971" s="52"/>
      <c r="N971" s="55"/>
      <c r="O971" s="50"/>
      <c r="P971" s="53"/>
      <c r="Q971" s="52"/>
      <c r="R971" s="52"/>
      <c r="S971" s="52"/>
      <c r="T971" s="55"/>
      <c r="U971" s="52" t="str">
        <f t="shared" ca="1" si="15"/>
        <v/>
      </c>
      <c r="V971" s="54">
        <v>0</v>
      </c>
      <c r="W971" s="52" t="s">
        <v>5587</v>
      </c>
    </row>
    <row r="972" spans="1:23" ht="20.100000000000001" customHeight="1" x14ac:dyDescent="0.25">
      <c r="A972" s="50"/>
      <c r="B972" s="50"/>
      <c r="C972" s="51"/>
      <c r="D972" s="51"/>
      <c r="E972" s="52"/>
      <c r="F972" s="52"/>
      <c r="G972" s="52"/>
      <c r="H972" s="52">
        <v>6408</v>
      </c>
      <c r="I972" s="52"/>
      <c r="J972" s="52"/>
      <c r="K972" s="53"/>
      <c r="L972" s="54"/>
      <c r="M972" s="52"/>
      <c r="N972" s="55"/>
      <c r="O972" s="50"/>
      <c r="P972" s="53"/>
      <c r="Q972" s="52"/>
      <c r="R972" s="52"/>
      <c r="S972" s="52"/>
      <c r="T972" s="55"/>
      <c r="U972" s="52" t="str">
        <f t="shared" ca="1" si="15"/>
        <v/>
      </c>
      <c r="V972" s="54">
        <v>0</v>
      </c>
      <c r="W972" s="52" t="s">
        <v>5587</v>
      </c>
    </row>
    <row r="973" spans="1:23" ht="20.100000000000001" customHeight="1" x14ac:dyDescent="0.25">
      <c r="A973" s="50"/>
      <c r="B973" s="50"/>
      <c r="C973" s="51"/>
      <c r="D973" s="51"/>
      <c r="E973" s="52"/>
      <c r="F973" s="52"/>
      <c r="G973" s="52"/>
      <c r="H973" s="52">
        <v>6409</v>
      </c>
      <c r="I973" s="52"/>
      <c r="J973" s="52"/>
      <c r="K973" s="53"/>
      <c r="L973" s="54"/>
      <c r="M973" s="52"/>
      <c r="N973" s="55"/>
      <c r="O973" s="50"/>
      <c r="P973" s="53"/>
      <c r="Q973" s="52"/>
      <c r="R973" s="52"/>
      <c r="S973" s="52"/>
      <c r="T973" s="55"/>
      <c r="U973" s="52" t="str">
        <f t="shared" ca="1" si="15"/>
        <v/>
      </c>
      <c r="V973" s="54">
        <v>0</v>
      </c>
      <c r="W973" s="52" t="s">
        <v>5587</v>
      </c>
    </row>
    <row r="974" spans="1:23" ht="20.100000000000001" customHeight="1" x14ac:dyDescent="0.25">
      <c r="A974" s="50"/>
      <c r="B974" s="50"/>
      <c r="C974" s="51"/>
      <c r="D974" s="51"/>
      <c r="E974" s="52"/>
      <c r="F974" s="52"/>
      <c r="G974" s="52"/>
      <c r="H974" s="52">
        <v>6410</v>
      </c>
      <c r="I974" s="52"/>
      <c r="J974" s="52"/>
      <c r="K974" s="53"/>
      <c r="L974" s="54"/>
      <c r="M974" s="52"/>
      <c r="N974" s="55"/>
      <c r="O974" s="50"/>
      <c r="P974" s="53"/>
      <c r="Q974" s="52"/>
      <c r="R974" s="52"/>
      <c r="S974" s="52"/>
      <c r="T974" s="55"/>
      <c r="U974" s="52" t="str">
        <f t="shared" ca="1" si="15"/>
        <v/>
      </c>
      <c r="V974" s="54">
        <v>0</v>
      </c>
      <c r="W974" s="52" t="s">
        <v>5587</v>
      </c>
    </row>
    <row r="975" spans="1:23" ht="20.100000000000001" customHeight="1" x14ac:dyDescent="0.25">
      <c r="A975" s="50"/>
      <c r="B975" s="50"/>
      <c r="C975" s="51"/>
      <c r="D975" s="51"/>
      <c r="E975" s="52"/>
      <c r="F975" s="52"/>
      <c r="G975" s="52"/>
      <c r="H975" s="52">
        <v>6411</v>
      </c>
      <c r="I975" s="52"/>
      <c r="J975" s="52"/>
      <c r="K975" s="53"/>
      <c r="L975" s="54"/>
      <c r="M975" s="52"/>
      <c r="N975" s="55"/>
      <c r="O975" s="50"/>
      <c r="P975" s="53"/>
      <c r="Q975" s="52"/>
      <c r="R975" s="52"/>
      <c r="S975" s="52"/>
      <c r="T975" s="55"/>
      <c r="U975" s="52" t="str">
        <f t="shared" ca="1" si="15"/>
        <v/>
      </c>
      <c r="V975" s="54">
        <v>0</v>
      </c>
      <c r="W975" s="52" t="s">
        <v>5587</v>
      </c>
    </row>
    <row r="976" spans="1:23" ht="20.100000000000001" customHeight="1" x14ac:dyDescent="0.25">
      <c r="A976" s="50"/>
      <c r="B976" s="50"/>
      <c r="C976" s="51"/>
      <c r="D976" s="51"/>
      <c r="E976" s="52"/>
      <c r="F976" s="52"/>
      <c r="G976" s="52"/>
      <c r="H976" s="52">
        <v>6412</v>
      </c>
      <c r="I976" s="52"/>
      <c r="J976" s="52"/>
      <c r="K976" s="53"/>
      <c r="L976" s="54"/>
      <c r="M976" s="52"/>
      <c r="N976" s="55"/>
      <c r="O976" s="50"/>
      <c r="P976" s="53"/>
      <c r="Q976" s="52"/>
      <c r="R976" s="52"/>
      <c r="S976" s="52"/>
      <c r="T976" s="55"/>
      <c r="U976" s="52" t="str">
        <f t="shared" ca="1" si="15"/>
        <v/>
      </c>
      <c r="V976" s="54">
        <v>0</v>
      </c>
      <c r="W976" s="52" t="s">
        <v>5587</v>
      </c>
    </row>
    <row r="977" spans="1:23" ht="20.100000000000001" customHeight="1" x14ac:dyDescent="0.25">
      <c r="A977" s="50"/>
      <c r="B977" s="50"/>
      <c r="C977" s="51"/>
      <c r="D977" s="51"/>
      <c r="E977" s="52"/>
      <c r="F977" s="52"/>
      <c r="G977" s="52"/>
      <c r="H977" s="52">
        <v>6413</v>
      </c>
      <c r="I977" s="52"/>
      <c r="J977" s="52"/>
      <c r="K977" s="53"/>
      <c r="L977" s="54"/>
      <c r="M977" s="52"/>
      <c r="N977" s="55"/>
      <c r="O977" s="50"/>
      <c r="P977" s="53"/>
      <c r="Q977" s="52"/>
      <c r="R977" s="52"/>
      <c r="S977" s="52"/>
      <c r="T977" s="55"/>
      <c r="U977" s="52" t="str">
        <f t="shared" ca="1" si="15"/>
        <v/>
      </c>
      <c r="V977" s="54">
        <v>0</v>
      </c>
      <c r="W977" s="52" t="s">
        <v>5587</v>
      </c>
    </row>
    <row r="978" spans="1:23" ht="20.100000000000001" customHeight="1" x14ac:dyDescent="0.25">
      <c r="A978" s="50"/>
      <c r="B978" s="50"/>
      <c r="C978" s="51"/>
      <c r="D978" s="51"/>
      <c r="E978" s="52"/>
      <c r="F978" s="52"/>
      <c r="G978" s="52"/>
      <c r="H978" s="52">
        <v>6414</v>
      </c>
      <c r="I978" s="52"/>
      <c r="J978" s="52"/>
      <c r="K978" s="53"/>
      <c r="L978" s="54"/>
      <c r="M978" s="52"/>
      <c r="N978" s="55"/>
      <c r="O978" s="50"/>
      <c r="P978" s="53"/>
      <c r="Q978" s="52"/>
      <c r="R978" s="52"/>
      <c r="S978" s="52"/>
      <c r="T978" s="55"/>
      <c r="U978" s="52" t="str">
        <f t="shared" ca="1" si="15"/>
        <v/>
      </c>
      <c r="V978" s="54">
        <v>0</v>
      </c>
      <c r="W978" s="52" t="s">
        <v>5587</v>
      </c>
    </row>
    <row r="979" spans="1:23" ht="20.100000000000001" customHeight="1" x14ac:dyDescent="0.25">
      <c r="A979" s="50"/>
      <c r="B979" s="50"/>
      <c r="C979" s="51"/>
      <c r="D979" s="51"/>
      <c r="E979" s="52"/>
      <c r="F979" s="52"/>
      <c r="G979" s="52"/>
      <c r="H979" s="52">
        <v>6415</v>
      </c>
      <c r="I979" s="52"/>
      <c r="J979" s="52"/>
      <c r="K979" s="53"/>
      <c r="L979" s="54"/>
      <c r="M979" s="52"/>
      <c r="N979" s="55"/>
      <c r="O979" s="50"/>
      <c r="P979" s="53"/>
      <c r="Q979" s="52"/>
      <c r="R979" s="52"/>
      <c r="S979" s="52"/>
      <c r="T979" s="55"/>
      <c r="U979" s="52" t="str">
        <f t="shared" ca="1" si="15"/>
        <v/>
      </c>
      <c r="V979" s="54">
        <v>0</v>
      </c>
      <c r="W979" s="52" t="s">
        <v>5587</v>
      </c>
    </row>
    <row r="980" spans="1:23" ht="20.100000000000001" customHeight="1" x14ac:dyDescent="0.25">
      <c r="A980" s="50"/>
      <c r="B980" s="50"/>
      <c r="C980" s="51"/>
      <c r="D980" s="51"/>
      <c r="E980" s="52"/>
      <c r="F980" s="52"/>
      <c r="G980" s="52"/>
      <c r="H980" s="52">
        <v>6416</v>
      </c>
      <c r="I980" s="52"/>
      <c r="J980" s="52"/>
      <c r="K980" s="53"/>
      <c r="L980" s="54"/>
      <c r="M980" s="52"/>
      <c r="N980" s="55"/>
      <c r="O980" s="50"/>
      <c r="P980" s="53"/>
      <c r="Q980" s="52"/>
      <c r="R980" s="52"/>
      <c r="S980" s="52"/>
      <c r="T980" s="55"/>
      <c r="U980" s="52" t="str">
        <f t="shared" ca="1" si="15"/>
        <v/>
      </c>
      <c r="V980" s="54">
        <v>0</v>
      </c>
      <c r="W980" s="52" t="s">
        <v>5587</v>
      </c>
    </row>
    <row r="981" spans="1:23" ht="20.100000000000001" customHeight="1" x14ac:dyDescent="0.25">
      <c r="A981" s="50"/>
      <c r="B981" s="50"/>
      <c r="C981" s="51"/>
      <c r="D981" s="51"/>
      <c r="E981" s="52"/>
      <c r="F981" s="52"/>
      <c r="G981" s="52"/>
      <c r="H981" s="52">
        <v>6417</v>
      </c>
      <c r="I981" s="52"/>
      <c r="J981" s="52"/>
      <c r="K981" s="53"/>
      <c r="L981" s="54"/>
      <c r="M981" s="52"/>
      <c r="N981" s="55"/>
      <c r="O981" s="50"/>
      <c r="P981" s="53"/>
      <c r="Q981" s="52"/>
      <c r="R981" s="52"/>
      <c r="S981" s="52"/>
      <c r="T981" s="55"/>
      <c r="U981" s="52" t="str">
        <f t="shared" ca="1" si="15"/>
        <v/>
      </c>
      <c r="V981" s="54">
        <v>0</v>
      </c>
      <c r="W981" s="52" t="s">
        <v>5587</v>
      </c>
    </row>
    <row r="982" spans="1:23" ht="20.100000000000001" customHeight="1" x14ac:dyDescent="0.25">
      <c r="A982" s="50"/>
      <c r="B982" s="50"/>
      <c r="C982" s="51"/>
      <c r="D982" s="51"/>
      <c r="E982" s="52"/>
      <c r="F982" s="52"/>
      <c r="G982" s="52"/>
      <c r="H982" s="52">
        <v>6418</v>
      </c>
      <c r="I982" s="52"/>
      <c r="J982" s="52"/>
      <c r="K982" s="53"/>
      <c r="L982" s="54"/>
      <c r="M982" s="52"/>
      <c r="N982" s="55"/>
      <c r="O982" s="50"/>
      <c r="P982" s="53"/>
      <c r="Q982" s="52"/>
      <c r="R982" s="52"/>
      <c r="S982" s="52"/>
      <c r="T982" s="55"/>
      <c r="U982" s="52" t="str">
        <f t="shared" ca="1" si="15"/>
        <v/>
      </c>
      <c r="V982" s="54">
        <v>0</v>
      </c>
      <c r="W982" s="52" t="s">
        <v>5587</v>
      </c>
    </row>
    <row r="983" spans="1:23" ht="20.100000000000001" customHeight="1" x14ac:dyDescent="0.25">
      <c r="A983" s="50"/>
      <c r="B983" s="50"/>
      <c r="C983" s="51"/>
      <c r="D983" s="51"/>
      <c r="E983" s="52"/>
      <c r="F983" s="52"/>
      <c r="G983" s="52"/>
      <c r="H983" s="52">
        <v>6419</v>
      </c>
      <c r="I983" s="52"/>
      <c r="J983" s="52"/>
      <c r="K983" s="53"/>
      <c r="L983" s="54"/>
      <c r="M983" s="52"/>
      <c r="N983" s="55"/>
      <c r="O983" s="50"/>
      <c r="P983" s="53"/>
      <c r="Q983" s="52"/>
      <c r="R983" s="52"/>
      <c r="S983" s="52"/>
      <c r="T983" s="55"/>
      <c r="U983" s="52" t="str">
        <f t="shared" ca="1" si="15"/>
        <v/>
      </c>
      <c r="V983" s="54">
        <v>0</v>
      </c>
      <c r="W983" s="52" t="s">
        <v>5587</v>
      </c>
    </row>
    <row r="984" spans="1:23" ht="20.100000000000001" customHeight="1" x14ac:dyDescent="0.25">
      <c r="A984" s="50"/>
      <c r="B984" s="50"/>
      <c r="C984" s="51"/>
      <c r="D984" s="51"/>
      <c r="E984" s="52"/>
      <c r="F984" s="52"/>
      <c r="G984" s="52"/>
      <c r="H984" s="52">
        <v>6420</v>
      </c>
      <c r="I984" s="52"/>
      <c r="J984" s="52"/>
      <c r="K984" s="53"/>
      <c r="L984" s="54"/>
      <c r="M984" s="52"/>
      <c r="N984" s="55"/>
      <c r="O984" s="50"/>
      <c r="P984" s="53"/>
      <c r="Q984" s="52"/>
      <c r="R984" s="52"/>
      <c r="S984" s="52"/>
      <c r="T984" s="55"/>
      <c r="U984" s="52" t="str">
        <f t="shared" ca="1" si="15"/>
        <v/>
      </c>
      <c r="V984" s="54">
        <v>0</v>
      </c>
      <c r="W984" s="52" t="s">
        <v>5587</v>
      </c>
    </row>
    <row r="985" spans="1:23" ht="20.100000000000001" customHeight="1" x14ac:dyDescent="0.25">
      <c r="A985" s="50"/>
      <c r="B985" s="50"/>
      <c r="C985" s="51"/>
      <c r="D985" s="51"/>
      <c r="E985" s="52"/>
      <c r="F985" s="52"/>
      <c r="G985" s="52"/>
      <c r="H985" s="52">
        <v>6421</v>
      </c>
      <c r="I985" s="52"/>
      <c r="J985" s="52"/>
      <c r="K985" s="53"/>
      <c r="L985" s="54"/>
      <c r="M985" s="52"/>
      <c r="N985" s="55"/>
      <c r="O985" s="50"/>
      <c r="P985" s="53"/>
      <c r="Q985" s="52"/>
      <c r="R985" s="52"/>
      <c r="S985" s="52"/>
      <c r="T985" s="55"/>
      <c r="U985" s="52" t="str">
        <f t="shared" ca="1" si="15"/>
        <v/>
      </c>
      <c r="V985" s="54">
        <v>0</v>
      </c>
      <c r="W985" s="52" t="s">
        <v>5587</v>
      </c>
    </row>
    <row r="986" spans="1:23" ht="20.100000000000001" customHeight="1" x14ac:dyDescent="0.25">
      <c r="A986" s="50"/>
      <c r="B986" s="50"/>
      <c r="C986" s="51"/>
      <c r="D986" s="51"/>
      <c r="E986" s="52"/>
      <c r="F986" s="52"/>
      <c r="G986" s="52"/>
      <c r="H986" s="52">
        <v>6422</v>
      </c>
      <c r="I986" s="52"/>
      <c r="J986" s="52"/>
      <c r="K986" s="53"/>
      <c r="L986" s="54"/>
      <c r="M986" s="52"/>
      <c r="N986" s="55"/>
      <c r="O986" s="50"/>
      <c r="P986" s="53"/>
      <c r="Q986" s="52"/>
      <c r="R986" s="52"/>
      <c r="S986" s="52"/>
      <c r="T986" s="55"/>
      <c r="U986" s="52" t="str">
        <f t="shared" ca="1" si="15"/>
        <v/>
      </c>
      <c r="V986" s="54">
        <v>0</v>
      </c>
      <c r="W986" s="52" t="s">
        <v>5587</v>
      </c>
    </row>
    <row r="987" spans="1:23" ht="20.100000000000001" customHeight="1" x14ac:dyDescent="0.25">
      <c r="A987" s="50"/>
      <c r="B987" s="50"/>
      <c r="C987" s="51"/>
      <c r="D987" s="51"/>
      <c r="E987" s="52"/>
      <c r="F987" s="52"/>
      <c r="G987" s="52"/>
      <c r="H987" s="52">
        <v>6423</v>
      </c>
      <c r="I987" s="52"/>
      <c r="J987" s="52"/>
      <c r="K987" s="53"/>
      <c r="L987" s="54"/>
      <c r="M987" s="52"/>
      <c r="N987" s="55"/>
      <c r="O987" s="50"/>
      <c r="P987" s="53"/>
      <c r="Q987" s="52"/>
      <c r="R987" s="52"/>
      <c r="S987" s="52"/>
      <c r="T987" s="55"/>
      <c r="U987" s="52" t="str">
        <f t="shared" ca="1" si="15"/>
        <v/>
      </c>
      <c r="V987" s="54">
        <v>0</v>
      </c>
      <c r="W987" s="52" t="s">
        <v>5587</v>
      </c>
    </row>
    <row r="988" spans="1:23" ht="20.100000000000001" customHeight="1" x14ac:dyDescent="0.25">
      <c r="A988" s="50"/>
      <c r="B988" s="50"/>
      <c r="C988" s="51"/>
      <c r="D988" s="51"/>
      <c r="E988" s="52"/>
      <c r="F988" s="52"/>
      <c r="G988" s="52"/>
      <c r="H988" s="52">
        <v>6424</v>
      </c>
      <c r="I988" s="52"/>
      <c r="J988" s="52"/>
      <c r="K988" s="53"/>
      <c r="L988" s="54"/>
      <c r="M988" s="52"/>
      <c r="N988" s="55"/>
      <c r="O988" s="50"/>
      <c r="P988" s="53"/>
      <c r="Q988" s="52"/>
      <c r="R988" s="52"/>
      <c r="S988" s="52"/>
      <c r="T988" s="55"/>
      <c r="U988" s="52" t="str">
        <f t="shared" ca="1" si="15"/>
        <v/>
      </c>
      <c r="V988" s="54">
        <v>0</v>
      </c>
      <c r="W988" s="52" t="s">
        <v>5587</v>
      </c>
    </row>
    <row r="989" spans="1:23" ht="20.100000000000001" customHeight="1" x14ac:dyDescent="0.25">
      <c r="A989" s="50"/>
      <c r="B989" s="50"/>
      <c r="C989" s="51"/>
      <c r="D989" s="51"/>
      <c r="E989" s="52"/>
      <c r="F989" s="52"/>
      <c r="G989" s="52"/>
      <c r="H989" s="52">
        <v>6425</v>
      </c>
      <c r="I989" s="52"/>
      <c r="J989" s="52"/>
      <c r="K989" s="53"/>
      <c r="L989" s="54"/>
      <c r="M989" s="52"/>
      <c r="N989" s="55"/>
      <c r="O989" s="50"/>
      <c r="P989" s="53"/>
      <c r="Q989" s="52"/>
      <c r="R989" s="52"/>
      <c r="S989" s="52"/>
      <c r="T989" s="55"/>
      <c r="U989" s="52" t="str">
        <f t="shared" ca="1" si="15"/>
        <v/>
      </c>
      <c r="V989" s="54">
        <v>0</v>
      </c>
      <c r="W989" s="52" t="s">
        <v>5587</v>
      </c>
    </row>
    <row r="990" spans="1:23" ht="20.100000000000001" customHeight="1" x14ac:dyDescent="0.25">
      <c r="A990" s="50"/>
      <c r="B990" s="50"/>
      <c r="C990" s="51"/>
      <c r="D990" s="51"/>
      <c r="E990" s="52"/>
      <c r="F990" s="52"/>
      <c r="G990" s="52"/>
      <c r="H990" s="52">
        <v>6426</v>
      </c>
      <c r="I990" s="52"/>
      <c r="J990" s="52"/>
      <c r="K990" s="53"/>
      <c r="L990" s="54"/>
      <c r="M990" s="52"/>
      <c r="N990" s="55"/>
      <c r="O990" s="50"/>
      <c r="P990" s="53"/>
      <c r="Q990" s="52"/>
      <c r="R990" s="52"/>
      <c r="S990" s="52"/>
      <c r="T990" s="55"/>
      <c r="U990" s="52" t="str">
        <f t="shared" ca="1" si="15"/>
        <v/>
      </c>
      <c r="V990" s="54">
        <v>0</v>
      </c>
      <c r="W990" s="52" t="s">
        <v>5587</v>
      </c>
    </row>
    <row r="991" spans="1:23" ht="20.100000000000001" customHeight="1" x14ac:dyDescent="0.25">
      <c r="A991" s="50"/>
      <c r="B991" s="50"/>
      <c r="C991" s="51"/>
      <c r="D991" s="51"/>
      <c r="E991" s="52"/>
      <c r="F991" s="52"/>
      <c r="G991" s="52"/>
      <c r="H991" s="52">
        <v>6427</v>
      </c>
      <c r="I991" s="52"/>
      <c r="J991" s="52"/>
      <c r="K991" s="53"/>
      <c r="L991" s="54"/>
      <c r="M991" s="52"/>
      <c r="N991" s="55"/>
      <c r="O991" s="50"/>
      <c r="P991" s="53"/>
      <c r="Q991" s="52"/>
      <c r="R991" s="52"/>
      <c r="S991" s="52"/>
      <c r="T991" s="55"/>
      <c r="U991" s="52" t="str">
        <f t="shared" ca="1" si="15"/>
        <v/>
      </c>
      <c r="V991" s="54">
        <v>0</v>
      </c>
      <c r="W991" s="52" t="s">
        <v>5587</v>
      </c>
    </row>
    <row r="992" spans="1:23" ht="20.100000000000001" customHeight="1" x14ac:dyDescent="0.25">
      <c r="A992" s="50"/>
      <c r="B992" s="50"/>
      <c r="C992" s="51"/>
      <c r="D992" s="51"/>
      <c r="E992" s="52"/>
      <c r="F992" s="52"/>
      <c r="G992" s="52"/>
      <c r="H992" s="52">
        <v>6428</v>
      </c>
      <c r="I992" s="52"/>
      <c r="J992" s="52"/>
      <c r="K992" s="53"/>
      <c r="L992" s="54"/>
      <c r="M992" s="52"/>
      <c r="N992" s="55"/>
      <c r="O992" s="50"/>
      <c r="P992" s="53"/>
      <c r="Q992" s="52"/>
      <c r="R992" s="52"/>
      <c r="S992" s="52"/>
      <c r="T992" s="55"/>
      <c r="U992" s="52" t="str">
        <f t="shared" ca="1" si="15"/>
        <v/>
      </c>
      <c r="V992" s="54">
        <v>0</v>
      </c>
      <c r="W992" s="52" t="s">
        <v>5587</v>
      </c>
    </row>
    <row r="993" spans="1:23" ht="20.100000000000001" customHeight="1" x14ac:dyDescent="0.25">
      <c r="A993" s="50"/>
      <c r="B993" s="50"/>
      <c r="C993" s="51"/>
      <c r="D993" s="51"/>
      <c r="E993" s="52"/>
      <c r="F993" s="52"/>
      <c r="G993" s="52"/>
      <c r="H993" s="52">
        <v>6429</v>
      </c>
      <c r="I993" s="52"/>
      <c r="J993" s="52"/>
      <c r="K993" s="53"/>
      <c r="L993" s="54"/>
      <c r="M993" s="52"/>
      <c r="N993" s="55"/>
      <c r="O993" s="50"/>
      <c r="P993" s="53"/>
      <c r="Q993" s="52"/>
      <c r="R993" s="52"/>
      <c r="S993" s="52"/>
      <c r="T993" s="55"/>
      <c r="U993" s="52" t="str">
        <f t="shared" ca="1" si="15"/>
        <v/>
      </c>
      <c r="V993" s="54">
        <v>0</v>
      </c>
      <c r="W993" s="52" t="s">
        <v>5587</v>
      </c>
    </row>
    <row r="994" spans="1:23" ht="20.100000000000001" customHeight="1" x14ac:dyDescent="0.25">
      <c r="A994" s="50"/>
      <c r="B994" s="50"/>
      <c r="C994" s="51"/>
      <c r="D994" s="51"/>
      <c r="E994" s="52"/>
      <c r="F994" s="52"/>
      <c r="G994" s="52"/>
      <c r="H994" s="52">
        <v>6430</v>
      </c>
      <c r="I994" s="52"/>
      <c r="J994" s="52"/>
      <c r="K994" s="53"/>
      <c r="L994" s="54"/>
      <c r="M994" s="52"/>
      <c r="N994" s="55"/>
      <c r="O994" s="50"/>
      <c r="P994" s="53"/>
      <c r="Q994" s="52"/>
      <c r="R994" s="52"/>
      <c r="S994" s="52"/>
      <c r="T994" s="55"/>
      <c r="U994" s="52" t="str">
        <f t="shared" ca="1" si="15"/>
        <v/>
      </c>
      <c r="V994" s="54">
        <v>0</v>
      </c>
      <c r="W994" s="52" t="s">
        <v>5587</v>
      </c>
    </row>
    <row r="995" spans="1:23" ht="20.100000000000001" customHeight="1" x14ac:dyDescent="0.25">
      <c r="A995" s="50"/>
      <c r="B995" s="50"/>
      <c r="C995" s="51"/>
      <c r="D995" s="51"/>
      <c r="E995" s="52"/>
      <c r="F995" s="52"/>
      <c r="G995" s="52"/>
      <c r="H995" s="52">
        <v>6431</v>
      </c>
      <c r="I995" s="52"/>
      <c r="J995" s="52"/>
      <c r="K995" s="53"/>
      <c r="L995" s="54"/>
      <c r="M995" s="52"/>
      <c r="N995" s="55"/>
      <c r="O995" s="50"/>
      <c r="P995" s="53"/>
      <c r="Q995" s="52"/>
      <c r="R995" s="52"/>
      <c r="S995" s="52"/>
      <c r="T995" s="55"/>
      <c r="U995" s="52" t="str">
        <f t="shared" ca="1" si="15"/>
        <v/>
      </c>
      <c r="V995" s="54">
        <v>0</v>
      </c>
      <c r="W995" s="52" t="s">
        <v>5587</v>
      </c>
    </row>
    <row r="996" spans="1:23" ht="20.100000000000001" customHeight="1" x14ac:dyDescent="0.25">
      <c r="A996" s="50"/>
      <c r="B996" s="50"/>
      <c r="C996" s="51"/>
      <c r="D996" s="51"/>
      <c r="E996" s="52"/>
      <c r="F996" s="52"/>
      <c r="G996" s="52"/>
      <c r="H996" s="52">
        <v>6432</v>
      </c>
      <c r="I996" s="52"/>
      <c r="J996" s="52"/>
      <c r="K996" s="53"/>
      <c r="L996" s="54"/>
      <c r="M996" s="52"/>
      <c r="N996" s="55"/>
      <c r="O996" s="50"/>
      <c r="P996" s="53"/>
      <c r="Q996" s="52"/>
      <c r="R996" s="52"/>
      <c r="S996" s="52"/>
      <c r="T996" s="55"/>
      <c r="U996" s="52" t="str">
        <f t="shared" ca="1" si="15"/>
        <v/>
      </c>
      <c r="V996" s="54">
        <v>0</v>
      </c>
      <c r="W996" s="52" t="s">
        <v>5587</v>
      </c>
    </row>
    <row r="997" spans="1:23" ht="20.100000000000001" customHeight="1" x14ac:dyDescent="0.25">
      <c r="A997" s="50"/>
      <c r="B997" s="50"/>
      <c r="C997" s="51"/>
      <c r="D997" s="51"/>
      <c r="E997" s="52"/>
      <c r="F997" s="52"/>
      <c r="G997" s="52"/>
      <c r="H997" s="52">
        <v>6433</v>
      </c>
      <c r="I997" s="52"/>
      <c r="J997" s="52"/>
      <c r="K997" s="53"/>
      <c r="L997" s="54"/>
      <c r="M997" s="52"/>
      <c r="N997" s="55"/>
      <c r="O997" s="50"/>
      <c r="P997" s="53"/>
      <c r="Q997" s="52"/>
      <c r="R997" s="52"/>
      <c r="S997" s="52"/>
      <c r="T997" s="55"/>
      <c r="U997" s="52" t="str">
        <f t="shared" ca="1" si="15"/>
        <v/>
      </c>
      <c r="V997" s="54">
        <v>0</v>
      </c>
      <c r="W997" s="52" t="s">
        <v>5587</v>
      </c>
    </row>
    <row r="998" spans="1:23" ht="20.100000000000001" customHeight="1" x14ac:dyDescent="0.25">
      <c r="A998" s="50"/>
      <c r="B998" s="50"/>
      <c r="C998" s="51"/>
      <c r="D998" s="51"/>
      <c r="E998" s="52"/>
      <c r="F998" s="52"/>
      <c r="G998" s="52"/>
      <c r="H998" s="52">
        <v>6434</v>
      </c>
      <c r="I998" s="52"/>
      <c r="J998" s="52"/>
      <c r="K998" s="53"/>
      <c r="L998" s="54"/>
      <c r="M998" s="52"/>
      <c r="N998" s="55"/>
      <c r="O998" s="50"/>
      <c r="P998" s="53"/>
      <c r="Q998" s="52"/>
      <c r="R998" s="52"/>
      <c r="S998" s="52"/>
      <c r="T998" s="55"/>
      <c r="U998" s="52" t="str">
        <f t="shared" ca="1" si="15"/>
        <v/>
      </c>
      <c r="V998" s="54">
        <v>0</v>
      </c>
      <c r="W998" s="52" t="s">
        <v>5587</v>
      </c>
    </row>
    <row r="999" spans="1:23" ht="20.100000000000001" customHeight="1" x14ac:dyDescent="0.25">
      <c r="A999" s="50"/>
      <c r="B999" s="50"/>
      <c r="C999" s="51"/>
      <c r="D999" s="51"/>
      <c r="E999" s="52"/>
      <c r="F999" s="52"/>
      <c r="G999" s="52"/>
      <c r="H999" s="52">
        <v>6435</v>
      </c>
      <c r="I999" s="52"/>
      <c r="J999" s="52"/>
      <c r="K999" s="53"/>
      <c r="L999" s="54"/>
      <c r="M999" s="52"/>
      <c r="N999" s="55"/>
      <c r="O999" s="50"/>
      <c r="P999" s="53"/>
      <c r="Q999" s="52"/>
      <c r="R999" s="52"/>
      <c r="S999" s="52"/>
      <c r="T999" s="55"/>
      <c r="U999" s="52" t="str">
        <f t="shared" ca="1" si="15"/>
        <v/>
      </c>
      <c r="V999" s="54">
        <v>0</v>
      </c>
      <c r="W999" s="52" t="s">
        <v>5587</v>
      </c>
    </row>
    <row r="1000" spans="1:23" ht="20.100000000000001" customHeight="1" x14ac:dyDescent="0.25">
      <c r="A1000" s="50"/>
      <c r="B1000" s="50"/>
      <c r="C1000" s="51"/>
      <c r="D1000" s="51"/>
      <c r="E1000" s="52"/>
      <c r="F1000" s="52"/>
      <c r="G1000" s="52"/>
      <c r="H1000" s="52">
        <v>6436</v>
      </c>
      <c r="I1000" s="52"/>
      <c r="J1000" s="52"/>
      <c r="K1000" s="53"/>
      <c r="L1000" s="54"/>
      <c r="M1000" s="52"/>
      <c r="N1000" s="55"/>
      <c r="O1000" s="50"/>
      <c r="P1000" s="53"/>
      <c r="Q1000" s="52"/>
      <c r="R1000" s="52"/>
      <c r="S1000" s="52"/>
      <c r="T1000" s="55"/>
      <c r="U1000" s="52" t="str">
        <f t="shared" ca="1" si="15"/>
        <v/>
      </c>
      <c r="V1000" s="54">
        <v>0</v>
      </c>
      <c r="W1000" s="52" t="s">
        <v>5587</v>
      </c>
    </row>
    <row r="1001" spans="1:23" ht="20.100000000000001" customHeight="1" x14ac:dyDescent="0.25">
      <c r="A1001" s="50"/>
      <c r="B1001" s="50"/>
      <c r="C1001" s="51"/>
      <c r="D1001" s="51"/>
      <c r="E1001" s="52"/>
      <c r="F1001" s="52"/>
      <c r="G1001" s="52"/>
      <c r="H1001" s="52">
        <v>6437</v>
      </c>
      <c r="I1001" s="52"/>
      <c r="J1001" s="52"/>
      <c r="K1001" s="53"/>
      <c r="L1001" s="54"/>
      <c r="M1001" s="52"/>
      <c r="N1001" s="55"/>
      <c r="O1001" s="50"/>
      <c r="P1001" s="53"/>
      <c r="Q1001" s="52"/>
      <c r="R1001" s="52"/>
      <c r="S1001" s="52"/>
      <c r="T1001" s="55"/>
      <c r="U1001" s="52" t="str">
        <f t="shared" ca="1" si="15"/>
        <v/>
      </c>
      <c r="V1001" s="54">
        <v>0</v>
      </c>
      <c r="W1001" s="52" t="s">
        <v>5587</v>
      </c>
    </row>
    <row r="1002" spans="1:23" ht="20.100000000000001" customHeight="1" x14ac:dyDescent="0.25">
      <c r="A1002" s="50"/>
      <c r="B1002" s="50"/>
      <c r="C1002" s="51"/>
      <c r="D1002" s="51"/>
      <c r="E1002" s="52"/>
      <c r="F1002" s="52"/>
      <c r="G1002" s="52"/>
      <c r="H1002" s="52">
        <v>6438</v>
      </c>
      <c r="I1002" s="52"/>
      <c r="J1002" s="52"/>
      <c r="K1002" s="53"/>
      <c r="L1002" s="54"/>
      <c r="M1002" s="52"/>
      <c r="N1002" s="55"/>
      <c r="O1002" s="50"/>
      <c r="P1002" s="53"/>
      <c r="Q1002" s="52"/>
      <c r="R1002" s="52"/>
      <c r="S1002" s="52"/>
      <c r="T1002" s="55"/>
      <c r="U1002" s="52" t="str">
        <f t="shared" ca="1" si="15"/>
        <v/>
      </c>
      <c r="V1002" s="54">
        <v>0</v>
      </c>
      <c r="W1002" s="52" t="s">
        <v>5587</v>
      </c>
    </row>
    <row r="1003" spans="1:23" ht="20.100000000000001" customHeight="1" x14ac:dyDescent="0.25">
      <c r="A1003" s="50"/>
      <c r="B1003" s="50"/>
      <c r="C1003" s="51"/>
      <c r="D1003" s="51"/>
      <c r="E1003" s="52"/>
      <c r="F1003" s="52"/>
      <c r="G1003" s="52"/>
      <c r="H1003" s="52">
        <v>6439</v>
      </c>
      <c r="I1003" s="52"/>
      <c r="J1003" s="52"/>
      <c r="K1003" s="53"/>
      <c r="L1003" s="54"/>
      <c r="M1003" s="52"/>
      <c r="N1003" s="55"/>
      <c r="O1003" s="50"/>
      <c r="P1003" s="53"/>
      <c r="Q1003" s="52"/>
      <c r="R1003" s="52"/>
      <c r="S1003" s="52"/>
      <c r="T1003" s="55"/>
      <c r="U1003" s="52" t="str">
        <f t="shared" ca="1" si="15"/>
        <v/>
      </c>
      <c r="V1003" s="54">
        <v>0</v>
      </c>
      <c r="W1003" s="52" t="s">
        <v>5587</v>
      </c>
    </row>
    <row r="1004" spans="1:23" ht="20.100000000000001" customHeight="1" x14ac:dyDescent="0.25">
      <c r="A1004" s="50"/>
      <c r="B1004" s="50"/>
      <c r="C1004" s="51"/>
      <c r="D1004" s="51"/>
      <c r="E1004" s="52"/>
      <c r="F1004" s="52"/>
      <c r="G1004" s="52"/>
      <c r="H1004" s="52">
        <v>6440</v>
      </c>
      <c r="I1004" s="52"/>
      <c r="J1004" s="52"/>
      <c r="K1004" s="53"/>
      <c r="L1004" s="54"/>
      <c r="M1004" s="52"/>
      <c r="N1004" s="55"/>
      <c r="O1004" s="50"/>
      <c r="P1004" s="53"/>
      <c r="Q1004" s="52"/>
      <c r="R1004" s="52"/>
      <c r="S1004" s="52"/>
      <c r="T1004" s="55"/>
      <c r="U1004" s="52" t="str">
        <f t="shared" ca="1" si="15"/>
        <v/>
      </c>
      <c r="V1004" s="54">
        <v>0</v>
      </c>
      <c r="W1004" s="52" t="s">
        <v>5587</v>
      </c>
    </row>
    <row r="1005" spans="1:23" ht="20.100000000000001" customHeight="1" x14ac:dyDescent="0.25">
      <c r="A1005" s="50"/>
      <c r="B1005" s="50"/>
      <c r="C1005" s="51"/>
      <c r="D1005" s="51"/>
      <c r="E1005" s="52"/>
      <c r="F1005" s="52"/>
      <c r="G1005" s="52"/>
      <c r="H1005" s="52">
        <v>6441</v>
      </c>
      <c r="I1005" s="52"/>
      <c r="J1005" s="52"/>
      <c r="K1005" s="53"/>
      <c r="L1005" s="54"/>
      <c r="M1005" s="52"/>
      <c r="N1005" s="55"/>
      <c r="O1005" s="50"/>
      <c r="P1005" s="53"/>
      <c r="Q1005" s="52"/>
      <c r="R1005" s="52"/>
      <c r="S1005" s="52"/>
      <c r="T1005" s="55"/>
      <c r="U1005" s="52" t="str">
        <f t="shared" ca="1" si="15"/>
        <v/>
      </c>
      <c r="V1005" s="54">
        <v>0</v>
      </c>
      <c r="W1005" s="52" t="s">
        <v>5587</v>
      </c>
    </row>
    <row r="1006" spans="1:23" ht="20.100000000000001" customHeight="1" x14ac:dyDescent="0.25">
      <c r="A1006" s="50"/>
      <c r="B1006" s="50"/>
      <c r="C1006" s="51"/>
      <c r="D1006" s="51"/>
      <c r="E1006" s="52"/>
      <c r="F1006" s="52"/>
      <c r="G1006" s="52"/>
      <c r="H1006" s="52">
        <v>6442</v>
      </c>
      <c r="I1006" s="52"/>
      <c r="J1006" s="52"/>
      <c r="K1006" s="53"/>
      <c r="L1006" s="54"/>
      <c r="M1006" s="52"/>
      <c r="N1006" s="55"/>
      <c r="O1006" s="50"/>
      <c r="P1006" s="53"/>
      <c r="Q1006" s="52"/>
      <c r="R1006" s="52"/>
      <c r="S1006" s="52"/>
      <c r="T1006" s="55"/>
      <c r="U1006" s="52" t="str">
        <f t="shared" ca="1" si="15"/>
        <v/>
      </c>
      <c r="V1006" s="54">
        <v>0</v>
      </c>
      <c r="W1006" s="52" t="s">
        <v>5587</v>
      </c>
    </row>
    <row r="1007" spans="1:23" ht="20.100000000000001" customHeight="1" x14ac:dyDescent="0.25">
      <c r="A1007" s="50"/>
      <c r="B1007" s="50"/>
      <c r="C1007" s="51"/>
      <c r="D1007" s="51"/>
      <c r="E1007" s="52"/>
      <c r="F1007" s="52"/>
      <c r="G1007" s="52"/>
      <c r="H1007" s="52">
        <v>6443</v>
      </c>
      <c r="I1007" s="52"/>
      <c r="J1007" s="52"/>
      <c r="K1007" s="53"/>
      <c r="L1007" s="54"/>
      <c r="M1007" s="52"/>
      <c r="N1007" s="55"/>
      <c r="O1007" s="50"/>
      <c r="P1007" s="53"/>
      <c r="Q1007" s="52"/>
      <c r="R1007" s="52"/>
      <c r="S1007" s="52"/>
      <c r="T1007" s="55"/>
      <c r="U1007" s="52" t="str">
        <f t="shared" ca="1" si="15"/>
        <v/>
      </c>
      <c r="V1007" s="54">
        <v>0</v>
      </c>
      <c r="W1007" s="52" t="s">
        <v>5587</v>
      </c>
    </row>
    <row r="1008" spans="1:23" ht="20.100000000000001" customHeight="1" x14ac:dyDescent="0.25">
      <c r="A1008" s="50"/>
      <c r="B1008" s="50"/>
      <c r="C1008" s="51"/>
      <c r="D1008" s="51"/>
      <c r="E1008" s="52"/>
      <c r="F1008" s="52"/>
      <c r="G1008" s="52"/>
      <c r="H1008" s="52">
        <v>6444</v>
      </c>
      <c r="I1008" s="52"/>
      <c r="J1008" s="52"/>
      <c r="K1008" s="53"/>
      <c r="L1008" s="54"/>
      <c r="M1008" s="52"/>
      <c r="N1008" s="55"/>
      <c r="O1008" s="50"/>
      <c r="P1008" s="53"/>
      <c r="Q1008" s="52"/>
      <c r="R1008" s="52"/>
      <c r="S1008" s="52"/>
      <c r="T1008" s="55"/>
      <c r="U1008" s="52" t="str">
        <f t="shared" ca="1" si="15"/>
        <v/>
      </c>
      <c r="V1008" s="54">
        <v>0</v>
      </c>
      <c r="W1008" s="52" t="s">
        <v>5587</v>
      </c>
    </row>
    <row r="1009" spans="1:23" ht="20.100000000000001" customHeight="1" x14ac:dyDescent="0.25">
      <c r="A1009" s="50"/>
      <c r="B1009" s="50"/>
      <c r="C1009" s="51"/>
      <c r="D1009" s="51"/>
      <c r="E1009" s="52"/>
      <c r="F1009" s="52"/>
      <c r="G1009" s="52"/>
      <c r="H1009" s="52">
        <v>6445</v>
      </c>
      <c r="I1009" s="52"/>
      <c r="J1009" s="52"/>
      <c r="K1009" s="53"/>
      <c r="L1009" s="54"/>
      <c r="M1009" s="52"/>
      <c r="N1009" s="55"/>
      <c r="O1009" s="50"/>
      <c r="P1009" s="53"/>
      <c r="Q1009" s="52"/>
      <c r="R1009" s="52"/>
      <c r="S1009" s="52"/>
      <c r="T1009" s="55"/>
      <c r="U1009" s="52" t="str">
        <f t="shared" ca="1" si="15"/>
        <v/>
      </c>
      <c r="V1009" s="54">
        <v>0</v>
      </c>
      <c r="W1009" s="52" t="s">
        <v>5587</v>
      </c>
    </row>
    <row r="1010" spans="1:23" ht="20.100000000000001" customHeight="1" x14ac:dyDescent="0.25">
      <c r="A1010" s="50"/>
      <c r="B1010" s="50"/>
      <c r="C1010" s="51"/>
      <c r="D1010" s="51"/>
      <c r="E1010" s="52"/>
      <c r="F1010" s="52"/>
      <c r="G1010" s="52"/>
      <c r="H1010" s="52">
        <v>6446</v>
      </c>
      <c r="I1010" s="52"/>
      <c r="J1010" s="52"/>
      <c r="K1010" s="53"/>
      <c r="L1010" s="54"/>
      <c r="M1010" s="52"/>
      <c r="N1010" s="55"/>
      <c r="O1010" s="50"/>
      <c r="P1010" s="53"/>
      <c r="Q1010" s="52"/>
      <c r="R1010" s="52"/>
      <c r="S1010" s="52"/>
      <c r="T1010" s="55"/>
      <c r="U1010" s="52" t="str">
        <f t="shared" ca="1" si="15"/>
        <v/>
      </c>
      <c r="V1010" s="54">
        <v>0</v>
      </c>
      <c r="W1010" s="52" t="s">
        <v>5587</v>
      </c>
    </row>
    <row r="1011" spans="1:23" ht="20.100000000000001" customHeight="1" x14ac:dyDescent="0.25">
      <c r="A1011" s="50"/>
      <c r="B1011" s="50"/>
      <c r="C1011" s="51"/>
      <c r="D1011" s="51"/>
      <c r="E1011" s="52"/>
      <c r="F1011" s="52"/>
      <c r="G1011" s="52"/>
      <c r="H1011" s="52">
        <v>6447</v>
      </c>
      <c r="I1011" s="52"/>
      <c r="J1011" s="52"/>
      <c r="K1011" s="53"/>
      <c r="L1011" s="54"/>
      <c r="M1011" s="52"/>
      <c r="N1011" s="55"/>
      <c r="O1011" s="50"/>
      <c r="P1011" s="53"/>
      <c r="Q1011" s="52"/>
      <c r="R1011" s="52"/>
      <c r="S1011" s="52"/>
      <c r="T1011" s="55"/>
      <c r="U1011" s="52" t="str">
        <f t="shared" ca="1" si="15"/>
        <v/>
      </c>
      <c r="V1011" s="54">
        <v>0</v>
      </c>
      <c r="W1011" s="52" t="s">
        <v>5587</v>
      </c>
    </row>
    <row r="1012" spans="1:23" ht="20.100000000000001" customHeight="1" x14ac:dyDescent="0.25">
      <c r="A1012" s="50"/>
      <c r="B1012" s="50"/>
      <c r="C1012" s="51"/>
      <c r="D1012" s="51"/>
      <c r="E1012" s="52"/>
      <c r="F1012" s="52"/>
      <c r="G1012" s="52"/>
      <c r="H1012" s="52">
        <v>6448</v>
      </c>
      <c r="I1012" s="52"/>
      <c r="J1012" s="52"/>
      <c r="K1012" s="53"/>
      <c r="L1012" s="54"/>
      <c r="M1012" s="52"/>
      <c r="N1012" s="55"/>
      <c r="O1012" s="50"/>
      <c r="P1012" s="53"/>
      <c r="Q1012" s="52"/>
      <c r="R1012" s="52"/>
      <c r="S1012" s="52"/>
      <c r="T1012" s="55"/>
      <c r="U1012" s="52" t="str">
        <f t="shared" ca="1" si="15"/>
        <v/>
      </c>
      <c r="V1012" s="54">
        <v>0</v>
      </c>
      <c r="W1012" s="52" t="s">
        <v>5587</v>
      </c>
    </row>
    <row r="1013" spans="1:23" ht="20.100000000000001" customHeight="1" x14ac:dyDescent="0.25">
      <c r="A1013" s="50"/>
      <c r="B1013" s="50"/>
      <c r="C1013" s="51"/>
      <c r="D1013" s="51"/>
      <c r="E1013" s="52"/>
      <c r="F1013" s="52"/>
      <c r="G1013" s="52"/>
      <c r="H1013" s="52">
        <v>6449</v>
      </c>
      <c r="I1013" s="52"/>
      <c r="J1013" s="52"/>
      <c r="K1013" s="53"/>
      <c r="L1013" s="54"/>
      <c r="M1013" s="52"/>
      <c r="N1013" s="55"/>
      <c r="O1013" s="50"/>
      <c r="P1013" s="53"/>
      <c r="Q1013" s="52"/>
      <c r="R1013" s="52"/>
      <c r="S1013" s="52"/>
      <c r="T1013" s="55"/>
      <c r="U1013" s="52" t="str">
        <f t="shared" ca="1" si="15"/>
        <v/>
      </c>
      <c r="V1013" s="54">
        <v>0</v>
      </c>
      <c r="W1013" s="52" t="s">
        <v>5587</v>
      </c>
    </row>
    <row r="1014" spans="1:23" ht="20.100000000000001" customHeight="1" x14ac:dyDescent="0.25">
      <c r="A1014" s="50"/>
      <c r="B1014" s="50"/>
      <c r="C1014" s="51"/>
      <c r="D1014" s="51"/>
      <c r="E1014" s="52"/>
      <c r="F1014" s="52"/>
      <c r="G1014" s="52"/>
      <c r="H1014" s="52">
        <v>6450</v>
      </c>
      <c r="I1014" s="52"/>
      <c r="J1014" s="52"/>
      <c r="K1014" s="53"/>
      <c r="L1014" s="54"/>
      <c r="M1014" s="52"/>
      <c r="N1014" s="55"/>
      <c r="O1014" s="50"/>
      <c r="P1014" s="53"/>
      <c r="Q1014" s="52"/>
      <c r="R1014" s="52"/>
      <c r="S1014" s="52"/>
      <c r="T1014" s="55"/>
      <c r="U1014" s="52" t="str">
        <f t="shared" ca="1" si="15"/>
        <v/>
      </c>
      <c r="V1014" s="54">
        <v>0</v>
      </c>
      <c r="W1014" s="52" t="s">
        <v>5587</v>
      </c>
    </row>
    <row r="1015" spans="1:23" ht="20.100000000000001" customHeight="1" x14ac:dyDescent="0.25">
      <c r="A1015" s="50"/>
      <c r="B1015" s="50"/>
      <c r="C1015" s="51"/>
      <c r="D1015" s="51"/>
      <c r="E1015" s="52"/>
      <c r="F1015" s="52"/>
      <c r="G1015" s="52"/>
      <c r="H1015" s="52">
        <v>6451</v>
      </c>
      <c r="I1015" s="52"/>
      <c r="J1015" s="52"/>
      <c r="K1015" s="53"/>
      <c r="L1015" s="54"/>
      <c r="M1015" s="52"/>
      <c r="N1015" s="55"/>
      <c r="O1015" s="50"/>
      <c r="P1015" s="53"/>
      <c r="Q1015" s="52"/>
      <c r="R1015" s="52"/>
      <c r="S1015" s="52"/>
      <c r="T1015" s="55"/>
      <c r="U1015" s="52" t="str">
        <f t="shared" ca="1" si="15"/>
        <v/>
      </c>
      <c r="V1015" s="54">
        <v>0</v>
      </c>
      <c r="W1015" s="52" t="s">
        <v>5587</v>
      </c>
    </row>
    <row r="1016" spans="1:23" ht="20.100000000000001" customHeight="1" x14ac:dyDescent="0.25">
      <c r="A1016" s="50"/>
      <c r="B1016" s="50"/>
      <c r="C1016" s="51"/>
      <c r="D1016" s="51"/>
      <c r="E1016" s="52"/>
      <c r="F1016" s="52"/>
      <c r="G1016" s="52"/>
      <c r="H1016" s="52">
        <v>6452</v>
      </c>
      <c r="I1016" s="52"/>
      <c r="J1016" s="52"/>
      <c r="K1016" s="53"/>
      <c r="L1016" s="54"/>
      <c r="M1016" s="52"/>
      <c r="N1016" s="55"/>
      <c r="O1016" s="50"/>
      <c r="P1016" s="53"/>
      <c r="Q1016" s="52"/>
      <c r="R1016" s="52"/>
      <c r="S1016" s="52"/>
      <c r="T1016" s="55"/>
      <c r="U1016" s="52" t="str">
        <f t="shared" ca="1" si="15"/>
        <v/>
      </c>
      <c r="V1016" s="54">
        <v>0</v>
      </c>
      <c r="W1016" s="52" t="s">
        <v>5587</v>
      </c>
    </row>
    <row r="1017" spans="1:23" ht="20.100000000000001" customHeight="1" x14ac:dyDescent="0.25">
      <c r="A1017" s="50"/>
      <c r="B1017" s="50"/>
      <c r="C1017" s="51"/>
      <c r="D1017" s="51"/>
      <c r="E1017" s="52"/>
      <c r="F1017" s="52"/>
      <c r="G1017" s="52"/>
      <c r="H1017" s="52">
        <v>6453</v>
      </c>
      <c r="I1017" s="52"/>
      <c r="J1017" s="52"/>
      <c r="K1017" s="53"/>
      <c r="L1017" s="54"/>
      <c r="M1017" s="52"/>
      <c r="N1017" s="55"/>
      <c r="O1017" s="50"/>
      <c r="P1017" s="53"/>
      <c r="Q1017" s="52"/>
      <c r="R1017" s="52"/>
      <c r="S1017" s="52"/>
      <c r="T1017" s="55"/>
      <c r="U1017" s="52" t="str">
        <f t="shared" ca="1" si="15"/>
        <v/>
      </c>
      <c r="V1017" s="54">
        <v>0</v>
      </c>
      <c r="W1017" s="52" t="s">
        <v>5587</v>
      </c>
    </row>
    <row r="1018" spans="1:23" ht="20.100000000000001" customHeight="1" x14ac:dyDescent="0.25">
      <c r="A1018" s="50"/>
      <c r="B1018" s="50"/>
      <c r="C1018" s="51"/>
      <c r="D1018" s="51"/>
      <c r="E1018" s="52"/>
      <c r="F1018" s="52"/>
      <c r="G1018" s="52"/>
      <c r="H1018" s="52">
        <v>6454</v>
      </c>
      <c r="I1018" s="52"/>
      <c r="J1018" s="52"/>
      <c r="K1018" s="53"/>
      <c r="L1018" s="54"/>
      <c r="M1018" s="52"/>
      <c r="N1018" s="55"/>
      <c r="O1018" s="50"/>
      <c r="P1018" s="53"/>
      <c r="Q1018" s="52"/>
      <c r="R1018" s="52"/>
      <c r="S1018" s="52"/>
      <c r="T1018" s="55"/>
      <c r="U1018" s="52" t="str">
        <f t="shared" ca="1" si="15"/>
        <v/>
      </c>
      <c r="V1018" s="54">
        <v>0</v>
      </c>
      <c r="W1018" s="52" t="s">
        <v>5587</v>
      </c>
    </row>
    <row r="1019" spans="1:23" ht="20.100000000000001" customHeight="1" x14ac:dyDescent="0.25">
      <c r="A1019" s="50"/>
      <c r="B1019" s="50"/>
      <c r="C1019" s="51"/>
      <c r="D1019" s="51"/>
      <c r="E1019" s="52"/>
      <c r="F1019" s="52"/>
      <c r="G1019" s="52"/>
      <c r="H1019" s="52">
        <v>6455</v>
      </c>
      <c r="I1019" s="52"/>
      <c r="J1019" s="52"/>
      <c r="K1019" s="53"/>
      <c r="L1019" s="54"/>
      <c r="M1019" s="52"/>
      <c r="N1019" s="55"/>
      <c r="O1019" s="50"/>
      <c r="P1019" s="53"/>
      <c r="Q1019" s="52"/>
      <c r="R1019" s="52"/>
      <c r="S1019" s="52"/>
      <c r="T1019" s="55"/>
      <c r="U1019" s="52" t="str">
        <f t="shared" ca="1" si="15"/>
        <v/>
      </c>
      <c r="V1019" s="54">
        <v>0</v>
      </c>
      <c r="W1019" s="52" t="s">
        <v>5587</v>
      </c>
    </row>
    <row r="1020" spans="1:23" ht="20.100000000000001" customHeight="1" x14ac:dyDescent="0.25">
      <c r="A1020" s="50"/>
      <c r="B1020" s="50"/>
      <c r="C1020" s="51"/>
      <c r="D1020" s="51"/>
      <c r="E1020" s="52"/>
      <c r="F1020" s="52"/>
      <c r="G1020" s="52"/>
      <c r="H1020" s="52">
        <v>6456</v>
      </c>
      <c r="I1020" s="52"/>
      <c r="J1020" s="52"/>
      <c r="K1020" s="53"/>
      <c r="L1020" s="54"/>
      <c r="M1020" s="52"/>
      <c r="N1020" s="55"/>
      <c r="O1020" s="50"/>
      <c r="P1020" s="53"/>
      <c r="Q1020" s="52"/>
      <c r="R1020" s="52"/>
      <c r="S1020" s="52"/>
      <c r="T1020" s="55"/>
      <c r="U1020" s="52" t="str">
        <f t="shared" ca="1" si="15"/>
        <v/>
      </c>
      <c r="V1020" s="54">
        <v>0</v>
      </c>
      <c r="W1020" s="52" t="s">
        <v>5587</v>
      </c>
    </row>
    <row r="1021" spans="1:23" ht="20.100000000000001" customHeight="1" x14ac:dyDescent="0.25">
      <c r="A1021" s="50"/>
      <c r="B1021" s="50"/>
      <c r="C1021" s="51"/>
      <c r="D1021" s="51"/>
      <c r="E1021" s="52"/>
      <c r="F1021" s="52"/>
      <c r="G1021" s="52"/>
      <c r="H1021" s="52">
        <v>6457</v>
      </c>
      <c r="I1021" s="52"/>
      <c r="J1021" s="52"/>
      <c r="K1021" s="53"/>
      <c r="L1021" s="54"/>
      <c r="M1021" s="52"/>
      <c r="N1021" s="55"/>
      <c r="O1021" s="50"/>
      <c r="P1021" s="53"/>
      <c r="Q1021" s="52"/>
      <c r="R1021" s="52"/>
      <c r="S1021" s="52"/>
      <c r="T1021" s="55"/>
      <c r="U1021" s="52" t="str">
        <f t="shared" ca="1" si="15"/>
        <v/>
      </c>
      <c r="V1021" s="54">
        <v>0</v>
      </c>
      <c r="W1021" s="52" t="s">
        <v>5587</v>
      </c>
    </row>
    <row r="1022" spans="1:23" ht="20.100000000000001" customHeight="1" x14ac:dyDescent="0.25">
      <c r="A1022" s="50"/>
      <c r="B1022" s="50"/>
      <c r="C1022" s="51"/>
      <c r="D1022" s="51"/>
      <c r="E1022" s="52"/>
      <c r="F1022" s="52"/>
      <c r="G1022" s="52"/>
      <c r="H1022" s="52">
        <v>6458</v>
      </c>
      <c r="I1022" s="52"/>
      <c r="J1022" s="52"/>
      <c r="K1022" s="53"/>
      <c r="L1022" s="54"/>
      <c r="M1022" s="52"/>
      <c r="N1022" s="55"/>
      <c r="O1022" s="50"/>
      <c r="P1022" s="53"/>
      <c r="Q1022" s="52"/>
      <c r="R1022" s="52"/>
      <c r="S1022" s="52"/>
      <c r="T1022" s="55"/>
      <c r="U1022" s="52" t="str">
        <f t="shared" ca="1" si="15"/>
        <v/>
      </c>
      <c r="V1022" s="54">
        <v>0</v>
      </c>
      <c r="W1022" s="52" t="s">
        <v>5587</v>
      </c>
    </row>
    <row r="1023" spans="1:23" ht="20.100000000000001" customHeight="1" x14ac:dyDescent="0.25">
      <c r="A1023" s="50"/>
      <c r="B1023" s="50"/>
      <c r="C1023" s="51"/>
      <c r="D1023" s="51"/>
      <c r="E1023" s="52"/>
      <c r="F1023" s="52"/>
      <c r="G1023" s="52"/>
      <c r="H1023" s="52">
        <v>6459</v>
      </c>
      <c r="I1023" s="52"/>
      <c r="J1023" s="52"/>
      <c r="K1023" s="53"/>
      <c r="L1023" s="54"/>
      <c r="M1023" s="52"/>
      <c r="N1023" s="55"/>
      <c r="O1023" s="50"/>
      <c r="P1023" s="53"/>
      <c r="Q1023" s="52"/>
      <c r="R1023" s="52"/>
      <c r="S1023" s="52"/>
      <c r="T1023" s="55"/>
      <c r="U1023" s="52" t="str">
        <f t="shared" ca="1" si="15"/>
        <v/>
      </c>
      <c r="V1023" s="54">
        <v>0</v>
      </c>
      <c r="W1023" s="52" t="s">
        <v>5587</v>
      </c>
    </row>
    <row r="1024" spans="1:23" ht="20.100000000000001" customHeight="1" x14ac:dyDescent="0.25">
      <c r="A1024" s="50"/>
      <c r="B1024" s="50"/>
      <c r="C1024" s="51"/>
      <c r="D1024" s="51"/>
      <c r="E1024" s="52"/>
      <c r="F1024" s="52"/>
      <c r="G1024" s="52"/>
      <c r="H1024" s="52">
        <v>6460</v>
      </c>
      <c r="I1024" s="52"/>
      <c r="J1024" s="52"/>
      <c r="K1024" s="53"/>
      <c r="L1024" s="54"/>
      <c r="M1024" s="52"/>
      <c r="N1024" s="55"/>
      <c r="O1024" s="50"/>
      <c r="P1024" s="53"/>
      <c r="Q1024" s="52"/>
      <c r="R1024" s="52"/>
      <c r="S1024" s="52"/>
      <c r="T1024" s="55"/>
      <c r="U1024" s="52" t="str">
        <f t="shared" ca="1" si="15"/>
        <v/>
      </c>
      <c r="V1024" s="54">
        <v>0</v>
      </c>
      <c r="W1024" s="52" t="s">
        <v>5587</v>
      </c>
    </row>
    <row r="1025" spans="1:23" ht="20.100000000000001" customHeight="1" x14ac:dyDescent="0.25">
      <c r="A1025" s="50"/>
      <c r="B1025" s="50"/>
      <c r="C1025" s="51"/>
      <c r="D1025" s="51"/>
      <c r="E1025" s="52"/>
      <c r="F1025" s="52"/>
      <c r="G1025" s="52"/>
      <c r="H1025" s="52">
        <v>6461</v>
      </c>
      <c r="I1025" s="52"/>
      <c r="J1025" s="52"/>
      <c r="K1025" s="53"/>
      <c r="L1025" s="54"/>
      <c r="M1025" s="52"/>
      <c r="N1025" s="55"/>
      <c r="O1025" s="50"/>
      <c r="P1025" s="53"/>
      <c r="Q1025" s="52"/>
      <c r="R1025" s="52"/>
      <c r="S1025" s="52"/>
      <c r="T1025" s="55"/>
      <c r="U1025" s="52" t="str">
        <f t="shared" ca="1" si="15"/>
        <v/>
      </c>
      <c r="V1025" s="54">
        <v>0</v>
      </c>
      <c r="W1025" s="52" t="s">
        <v>5587</v>
      </c>
    </row>
    <row r="1026" spans="1:23" ht="20.100000000000001" customHeight="1" x14ac:dyDescent="0.25">
      <c r="A1026" s="50"/>
      <c r="B1026" s="50"/>
      <c r="C1026" s="51"/>
      <c r="D1026" s="51"/>
      <c r="E1026" s="52"/>
      <c r="F1026" s="52"/>
      <c r="G1026" s="52"/>
      <c r="H1026" s="52">
        <v>6462</v>
      </c>
      <c r="I1026" s="52"/>
      <c r="J1026" s="52"/>
      <c r="K1026" s="53"/>
      <c r="L1026" s="54"/>
      <c r="M1026" s="52"/>
      <c r="N1026" s="55"/>
      <c r="O1026" s="50"/>
      <c r="P1026" s="53"/>
      <c r="Q1026" s="52"/>
      <c r="R1026" s="52"/>
      <c r="S1026" s="52"/>
      <c r="T1026" s="55"/>
      <c r="U1026" s="52" t="str">
        <f t="shared" ca="1" si="15"/>
        <v/>
      </c>
      <c r="V1026" s="54">
        <v>0</v>
      </c>
      <c r="W1026" s="52" t="s">
        <v>5587</v>
      </c>
    </row>
    <row r="1027" spans="1:23" ht="20.100000000000001" customHeight="1" x14ac:dyDescent="0.25">
      <c r="A1027" s="50"/>
      <c r="B1027" s="50"/>
      <c r="C1027" s="51"/>
      <c r="D1027" s="51"/>
      <c r="E1027" s="52"/>
      <c r="F1027" s="52"/>
      <c r="G1027" s="52"/>
      <c r="H1027" s="52">
        <v>6463</v>
      </c>
      <c r="I1027" s="52"/>
      <c r="J1027" s="52"/>
      <c r="K1027" s="53"/>
      <c r="L1027" s="54"/>
      <c r="M1027" s="52"/>
      <c r="N1027" s="55"/>
      <c r="O1027" s="50"/>
      <c r="P1027" s="53"/>
      <c r="Q1027" s="52"/>
      <c r="R1027" s="52"/>
      <c r="S1027" s="52"/>
      <c r="T1027" s="55"/>
      <c r="U1027" s="52" t="str">
        <f t="shared" ca="1" si="15"/>
        <v/>
      </c>
      <c r="V1027" s="54">
        <v>0</v>
      </c>
      <c r="W1027" s="52" t="s">
        <v>5587</v>
      </c>
    </row>
    <row r="1028" spans="1:23" ht="20.100000000000001" customHeight="1" x14ac:dyDescent="0.25">
      <c r="A1028" s="50"/>
      <c r="B1028" s="50"/>
      <c r="C1028" s="51"/>
      <c r="D1028" s="51"/>
      <c r="E1028" s="52"/>
      <c r="F1028" s="52"/>
      <c r="G1028" s="52"/>
      <c r="H1028" s="52">
        <v>6464</v>
      </c>
      <c r="I1028" s="52"/>
      <c r="J1028" s="52"/>
      <c r="K1028" s="53"/>
      <c r="L1028" s="54"/>
      <c r="M1028" s="52"/>
      <c r="N1028" s="55"/>
      <c r="O1028" s="50"/>
      <c r="P1028" s="53"/>
      <c r="Q1028" s="52"/>
      <c r="R1028" s="52"/>
      <c r="S1028" s="52"/>
      <c r="T1028" s="55"/>
      <c r="U1028" s="52" t="str">
        <f t="shared" ca="1" si="15"/>
        <v/>
      </c>
      <c r="V1028" s="54">
        <v>0</v>
      </c>
      <c r="W1028" s="52" t="s">
        <v>5587</v>
      </c>
    </row>
    <row r="1029" spans="1:23" ht="20.100000000000001" customHeight="1" x14ac:dyDescent="0.25">
      <c r="A1029" s="50"/>
      <c r="B1029" s="50"/>
      <c r="C1029" s="51"/>
      <c r="D1029" s="51"/>
      <c r="E1029" s="52"/>
      <c r="F1029" s="52"/>
      <c r="G1029" s="52"/>
      <c r="H1029" s="52">
        <v>6465</v>
      </c>
      <c r="I1029" s="52"/>
      <c r="J1029" s="52"/>
      <c r="K1029" s="53"/>
      <c r="L1029" s="54"/>
      <c r="M1029" s="52"/>
      <c r="N1029" s="55"/>
      <c r="O1029" s="50"/>
      <c r="P1029" s="53"/>
      <c r="Q1029" s="52"/>
      <c r="R1029" s="52"/>
      <c r="S1029" s="52"/>
      <c r="T1029" s="55"/>
      <c r="U1029" s="52" t="str">
        <f t="shared" ref="U1029:U1092" ca="1" si="16">IF(C1029="","",TODAY()-C1029)</f>
        <v/>
      </c>
      <c r="V1029" s="54">
        <v>0</v>
      </c>
      <c r="W1029" s="52" t="s">
        <v>5587</v>
      </c>
    </row>
    <row r="1030" spans="1:23" ht="20.100000000000001" customHeight="1" x14ac:dyDescent="0.25">
      <c r="A1030" s="50"/>
      <c r="B1030" s="50"/>
      <c r="C1030" s="51"/>
      <c r="D1030" s="51"/>
      <c r="E1030" s="52"/>
      <c r="F1030" s="52"/>
      <c r="G1030" s="52"/>
      <c r="H1030" s="52">
        <v>6466</v>
      </c>
      <c r="I1030" s="52"/>
      <c r="J1030" s="52"/>
      <c r="K1030" s="53"/>
      <c r="L1030" s="54"/>
      <c r="M1030" s="52"/>
      <c r="N1030" s="55"/>
      <c r="O1030" s="50"/>
      <c r="P1030" s="53"/>
      <c r="Q1030" s="52"/>
      <c r="R1030" s="52"/>
      <c r="S1030" s="52"/>
      <c r="T1030" s="55"/>
      <c r="U1030" s="52" t="str">
        <f t="shared" ca="1" si="16"/>
        <v/>
      </c>
      <c r="V1030" s="54">
        <v>0</v>
      </c>
      <c r="W1030" s="52" t="s">
        <v>5587</v>
      </c>
    </row>
    <row r="1031" spans="1:23" ht="20.100000000000001" customHeight="1" x14ac:dyDescent="0.25">
      <c r="A1031" s="50"/>
      <c r="B1031" s="50"/>
      <c r="C1031" s="51"/>
      <c r="D1031" s="51"/>
      <c r="E1031" s="52"/>
      <c r="F1031" s="52"/>
      <c r="G1031" s="52"/>
      <c r="H1031" s="52">
        <v>6467</v>
      </c>
      <c r="I1031" s="52"/>
      <c r="J1031" s="52"/>
      <c r="K1031" s="53"/>
      <c r="L1031" s="54"/>
      <c r="M1031" s="52"/>
      <c r="N1031" s="55"/>
      <c r="O1031" s="50"/>
      <c r="P1031" s="53"/>
      <c r="Q1031" s="52"/>
      <c r="R1031" s="52"/>
      <c r="S1031" s="52"/>
      <c r="T1031" s="55"/>
      <c r="U1031" s="52" t="str">
        <f t="shared" ca="1" si="16"/>
        <v/>
      </c>
      <c r="V1031" s="54">
        <v>0</v>
      </c>
      <c r="W1031" s="52" t="s">
        <v>5587</v>
      </c>
    </row>
    <row r="1032" spans="1:23" ht="20.100000000000001" customHeight="1" x14ac:dyDescent="0.25">
      <c r="A1032" s="50"/>
      <c r="B1032" s="50"/>
      <c r="C1032" s="51"/>
      <c r="D1032" s="51"/>
      <c r="E1032" s="52"/>
      <c r="F1032" s="52"/>
      <c r="G1032" s="52"/>
      <c r="H1032" s="52">
        <v>6468</v>
      </c>
      <c r="I1032" s="52"/>
      <c r="J1032" s="52"/>
      <c r="K1032" s="53"/>
      <c r="L1032" s="54"/>
      <c r="M1032" s="52"/>
      <c r="N1032" s="55"/>
      <c r="O1032" s="50"/>
      <c r="P1032" s="53"/>
      <c r="Q1032" s="52"/>
      <c r="R1032" s="52"/>
      <c r="S1032" s="52"/>
      <c r="T1032" s="55"/>
      <c r="U1032" s="52" t="str">
        <f t="shared" ca="1" si="16"/>
        <v/>
      </c>
      <c r="V1032" s="54">
        <v>0</v>
      </c>
      <c r="W1032" s="52" t="s">
        <v>5587</v>
      </c>
    </row>
    <row r="1033" spans="1:23" ht="20.100000000000001" customHeight="1" x14ac:dyDescent="0.25">
      <c r="A1033" s="50"/>
      <c r="B1033" s="50"/>
      <c r="C1033" s="51"/>
      <c r="D1033" s="51"/>
      <c r="E1033" s="52"/>
      <c r="F1033" s="52"/>
      <c r="G1033" s="52"/>
      <c r="H1033" s="52">
        <v>6469</v>
      </c>
      <c r="I1033" s="52"/>
      <c r="J1033" s="52"/>
      <c r="K1033" s="53"/>
      <c r="L1033" s="54"/>
      <c r="M1033" s="52"/>
      <c r="N1033" s="55"/>
      <c r="O1033" s="50"/>
      <c r="P1033" s="53"/>
      <c r="Q1033" s="52"/>
      <c r="R1033" s="52"/>
      <c r="S1033" s="52"/>
      <c r="T1033" s="55"/>
      <c r="U1033" s="52" t="str">
        <f t="shared" ca="1" si="16"/>
        <v/>
      </c>
      <c r="V1033" s="54">
        <v>0</v>
      </c>
      <c r="W1033" s="52" t="s">
        <v>5587</v>
      </c>
    </row>
    <row r="1034" spans="1:23" ht="20.100000000000001" customHeight="1" x14ac:dyDescent="0.25">
      <c r="A1034" s="50"/>
      <c r="B1034" s="50"/>
      <c r="C1034" s="51"/>
      <c r="D1034" s="51"/>
      <c r="E1034" s="52"/>
      <c r="F1034" s="52"/>
      <c r="G1034" s="52"/>
      <c r="H1034" s="52">
        <v>6470</v>
      </c>
      <c r="I1034" s="52"/>
      <c r="J1034" s="52"/>
      <c r="K1034" s="53"/>
      <c r="L1034" s="54"/>
      <c r="M1034" s="52"/>
      <c r="N1034" s="55"/>
      <c r="O1034" s="50"/>
      <c r="P1034" s="53"/>
      <c r="Q1034" s="52"/>
      <c r="R1034" s="52"/>
      <c r="S1034" s="52"/>
      <c r="T1034" s="55"/>
      <c r="U1034" s="52" t="str">
        <f t="shared" ca="1" si="16"/>
        <v/>
      </c>
      <c r="V1034" s="54">
        <v>0</v>
      </c>
      <c r="W1034" s="52" t="s">
        <v>5587</v>
      </c>
    </row>
    <row r="1035" spans="1:23" ht="20.100000000000001" customHeight="1" x14ac:dyDescent="0.25">
      <c r="A1035" s="50"/>
      <c r="B1035" s="50"/>
      <c r="C1035" s="51"/>
      <c r="D1035" s="51"/>
      <c r="E1035" s="52"/>
      <c r="F1035" s="52"/>
      <c r="G1035" s="52"/>
      <c r="H1035" s="52">
        <v>6471</v>
      </c>
      <c r="I1035" s="52"/>
      <c r="J1035" s="52"/>
      <c r="K1035" s="53"/>
      <c r="L1035" s="54"/>
      <c r="M1035" s="52"/>
      <c r="N1035" s="55"/>
      <c r="O1035" s="50"/>
      <c r="P1035" s="53"/>
      <c r="Q1035" s="52"/>
      <c r="R1035" s="52"/>
      <c r="S1035" s="52"/>
      <c r="T1035" s="55"/>
      <c r="U1035" s="52" t="str">
        <f t="shared" ca="1" si="16"/>
        <v/>
      </c>
      <c r="V1035" s="54">
        <v>0</v>
      </c>
      <c r="W1035" s="52" t="s">
        <v>5587</v>
      </c>
    </row>
    <row r="1036" spans="1:23" ht="20.100000000000001" customHeight="1" x14ac:dyDescent="0.25">
      <c r="A1036" s="50"/>
      <c r="B1036" s="50"/>
      <c r="C1036" s="51"/>
      <c r="D1036" s="51"/>
      <c r="E1036" s="52"/>
      <c r="F1036" s="52"/>
      <c r="G1036" s="52"/>
      <c r="H1036" s="52">
        <v>6472</v>
      </c>
      <c r="I1036" s="52"/>
      <c r="J1036" s="52"/>
      <c r="K1036" s="53"/>
      <c r="L1036" s="54"/>
      <c r="M1036" s="52"/>
      <c r="N1036" s="55"/>
      <c r="O1036" s="50"/>
      <c r="P1036" s="53"/>
      <c r="Q1036" s="52"/>
      <c r="R1036" s="52"/>
      <c r="S1036" s="52"/>
      <c r="T1036" s="55"/>
      <c r="U1036" s="52" t="str">
        <f t="shared" ca="1" si="16"/>
        <v/>
      </c>
      <c r="V1036" s="54">
        <v>0</v>
      </c>
      <c r="W1036" s="52" t="s">
        <v>5587</v>
      </c>
    </row>
    <row r="1037" spans="1:23" ht="20.100000000000001" customHeight="1" x14ac:dyDescent="0.25">
      <c r="A1037" s="50"/>
      <c r="B1037" s="50"/>
      <c r="C1037" s="51"/>
      <c r="D1037" s="51"/>
      <c r="E1037" s="52"/>
      <c r="F1037" s="52"/>
      <c r="G1037" s="52"/>
      <c r="H1037" s="52">
        <v>6473</v>
      </c>
      <c r="I1037" s="52"/>
      <c r="J1037" s="52"/>
      <c r="K1037" s="53"/>
      <c r="L1037" s="54"/>
      <c r="M1037" s="52"/>
      <c r="N1037" s="55"/>
      <c r="O1037" s="50"/>
      <c r="P1037" s="53"/>
      <c r="Q1037" s="52"/>
      <c r="R1037" s="52"/>
      <c r="S1037" s="52"/>
      <c r="T1037" s="55"/>
      <c r="U1037" s="52" t="str">
        <f t="shared" ca="1" si="16"/>
        <v/>
      </c>
      <c r="V1037" s="54">
        <v>0</v>
      </c>
      <c r="W1037" s="52" t="s">
        <v>5587</v>
      </c>
    </row>
    <row r="1038" spans="1:23" ht="20.100000000000001" customHeight="1" x14ac:dyDescent="0.25">
      <c r="A1038" s="50"/>
      <c r="B1038" s="50"/>
      <c r="C1038" s="51"/>
      <c r="D1038" s="51"/>
      <c r="E1038" s="52"/>
      <c r="F1038" s="52"/>
      <c r="G1038" s="52"/>
      <c r="H1038" s="52">
        <v>6474</v>
      </c>
      <c r="I1038" s="52"/>
      <c r="J1038" s="52"/>
      <c r="K1038" s="53"/>
      <c r="L1038" s="54"/>
      <c r="M1038" s="52"/>
      <c r="N1038" s="55"/>
      <c r="O1038" s="50"/>
      <c r="P1038" s="53"/>
      <c r="Q1038" s="52"/>
      <c r="R1038" s="52"/>
      <c r="S1038" s="52"/>
      <c r="T1038" s="55"/>
      <c r="U1038" s="52" t="str">
        <f t="shared" ca="1" si="16"/>
        <v/>
      </c>
      <c r="V1038" s="54">
        <v>0</v>
      </c>
      <c r="W1038" s="52" t="s">
        <v>5587</v>
      </c>
    </row>
    <row r="1039" spans="1:23" ht="20.100000000000001" customHeight="1" x14ac:dyDescent="0.25">
      <c r="A1039" s="50"/>
      <c r="B1039" s="50"/>
      <c r="C1039" s="51"/>
      <c r="D1039" s="51"/>
      <c r="E1039" s="52"/>
      <c r="F1039" s="52"/>
      <c r="G1039" s="52"/>
      <c r="H1039" s="52">
        <v>6475</v>
      </c>
      <c r="I1039" s="52"/>
      <c r="J1039" s="52"/>
      <c r="K1039" s="53"/>
      <c r="L1039" s="54"/>
      <c r="M1039" s="52"/>
      <c r="N1039" s="55"/>
      <c r="O1039" s="50"/>
      <c r="P1039" s="53"/>
      <c r="Q1039" s="52"/>
      <c r="R1039" s="52"/>
      <c r="S1039" s="52"/>
      <c r="T1039" s="55"/>
      <c r="U1039" s="52" t="str">
        <f t="shared" ca="1" si="16"/>
        <v/>
      </c>
      <c r="V1039" s="54">
        <v>0</v>
      </c>
      <c r="W1039" s="52" t="s">
        <v>5587</v>
      </c>
    </row>
    <row r="1040" spans="1:23" ht="20.100000000000001" customHeight="1" x14ac:dyDescent="0.25">
      <c r="A1040" s="50"/>
      <c r="B1040" s="50"/>
      <c r="C1040" s="51"/>
      <c r="D1040" s="51"/>
      <c r="E1040" s="52"/>
      <c r="F1040" s="52"/>
      <c r="G1040" s="52"/>
      <c r="H1040" s="52">
        <v>6476</v>
      </c>
      <c r="I1040" s="52"/>
      <c r="J1040" s="52"/>
      <c r="K1040" s="53"/>
      <c r="L1040" s="54"/>
      <c r="M1040" s="52"/>
      <c r="N1040" s="55"/>
      <c r="O1040" s="50"/>
      <c r="P1040" s="53"/>
      <c r="Q1040" s="52"/>
      <c r="R1040" s="52"/>
      <c r="S1040" s="52"/>
      <c r="T1040" s="55"/>
      <c r="U1040" s="52" t="str">
        <f t="shared" ca="1" si="16"/>
        <v/>
      </c>
      <c r="V1040" s="54">
        <v>0</v>
      </c>
      <c r="W1040" s="52" t="s">
        <v>5587</v>
      </c>
    </row>
    <row r="1041" spans="1:23" ht="20.100000000000001" customHeight="1" x14ac:dyDescent="0.25">
      <c r="A1041" s="50"/>
      <c r="B1041" s="50"/>
      <c r="C1041" s="51"/>
      <c r="D1041" s="51"/>
      <c r="E1041" s="52"/>
      <c r="F1041" s="52"/>
      <c r="G1041" s="52"/>
      <c r="H1041" s="52">
        <v>6477</v>
      </c>
      <c r="I1041" s="52"/>
      <c r="J1041" s="52"/>
      <c r="K1041" s="53"/>
      <c r="L1041" s="54"/>
      <c r="M1041" s="52"/>
      <c r="N1041" s="55"/>
      <c r="O1041" s="50"/>
      <c r="P1041" s="53"/>
      <c r="Q1041" s="52"/>
      <c r="R1041" s="52"/>
      <c r="S1041" s="52"/>
      <c r="T1041" s="55"/>
      <c r="U1041" s="52" t="str">
        <f t="shared" ca="1" si="16"/>
        <v/>
      </c>
      <c r="V1041" s="54">
        <v>0</v>
      </c>
      <c r="W1041" s="52" t="s">
        <v>5587</v>
      </c>
    </row>
    <row r="1042" spans="1:23" ht="20.100000000000001" customHeight="1" x14ac:dyDescent="0.25">
      <c r="A1042" s="50"/>
      <c r="B1042" s="50"/>
      <c r="C1042" s="51"/>
      <c r="D1042" s="51"/>
      <c r="E1042" s="52"/>
      <c r="F1042" s="52"/>
      <c r="G1042" s="52"/>
      <c r="H1042" s="52">
        <v>6478</v>
      </c>
      <c r="I1042" s="52"/>
      <c r="J1042" s="52"/>
      <c r="K1042" s="53"/>
      <c r="L1042" s="54"/>
      <c r="M1042" s="52"/>
      <c r="N1042" s="55"/>
      <c r="O1042" s="50"/>
      <c r="P1042" s="53"/>
      <c r="Q1042" s="52"/>
      <c r="R1042" s="52"/>
      <c r="S1042" s="52"/>
      <c r="T1042" s="55"/>
      <c r="U1042" s="52" t="str">
        <f t="shared" ca="1" si="16"/>
        <v/>
      </c>
      <c r="V1042" s="54">
        <v>0</v>
      </c>
      <c r="W1042" s="52" t="s">
        <v>5587</v>
      </c>
    </row>
    <row r="1043" spans="1:23" ht="20.100000000000001" customHeight="1" x14ac:dyDescent="0.25">
      <c r="A1043" s="50"/>
      <c r="B1043" s="50"/>
      <c r="C1043" s="51"/>
      <c r="D1043" s="51"/>
      <c r="E1043" s="52"/>
      <c r="F1043" s="52"/>
      <c r="G1043" s="52"/>
      <c r="H1043" s="52">
        <v>6479</v>
      </c>
      <c r="I1043" s="52"/>
      <c r="J1043" s="52"/>
      <c r="K1043" s="53"/>
      <c r="L1043" s="54"/>
      <c r="M1043" s="52"/>
      <c r="N1043" s="55"/>
      <c r="O1043" s="50"/>
      <c r="P1043" s="53"/>
      <c r="Q1043" s="52"/>
      <c r="R1043" s="52"/>
      <c r="S1043" s="52"/>
      <c r="T1043" s="55"/>
      <c r="U1043" s="52" t="str">
        <f t="shared" ca="1" si="16"/>
        <v/>
      </c>
      <c r="V1043" s="54">
        <v>0</v>
      </c>
      <c r="W1043" s="52" t="s">
        <v>5587</v>
      </c>
    </row>
    <row r="1044" spans="1:23" ht="20.100000000000001" customHeight="1" x14ac:dyDescent="0.25">
      <c r="A1044" s="50"/>
      <c r="B1044" s="50"/>
      <c r="C1044" s="51"/>
      <c r="D1044" s="51"/>
      <c r="E1044" s="52"/>
      <c r="F1044" s="52"/>
      <c r="G1044" s="52"/>
      <c r="H1044" s="52">
        <v>6480</v>
      </c>
      <c r="I1044" s="52"/>
      <c r="J1044" s="52"/>
      <c r="K1044" s="53"/>
      <c r="L1044" s="54"/>
      <c r="M1044" s="52"/>
      <c r="N1044" s="55"/>
      <c r="O1044" s="50"/>
      <c r="P1044" s="53"/>
      <c r="Q1044" s="52"/>
      <c r="R1044" s="52"/>
      <c r="S1044" s="52"/>
      <c r="T1044" s="55"/>
      <c r="U1044" s="52" t="str">
        <f t="shared" ca="1" si="16"/>
        <v/>
      </c>
      <c r="V1044" s="54">
        <v>0</v>
      </c>
      <c r="W1044" s="52" t="s">
        <v>5587</v>
      </c>
    </row>
    <row r="1045" spans="1:23" ht="20.100000000000001" customHeight="1" x14ac:dyDescent="0.25">
      <c r="A1045" s="50"/>
      <c r="B1045" s="50"/>
      <c r="C1045" s="51"/>
      <c r="D1045" s="51"/>
      <c r="E1045" s="52"/>
      <c r="F1045" s="52"/>
      <c r="G1045" s="52"/>
      <c r="H1045" s="52">
        <v>6481</v>
      </c>
      <c r="I1045" s="52"/>
      <c r="J1045" s="52"/>
      <c r="K1045" s="53"/>
      <c r="L1045" s="54"/>
      <c r="M1045" s="52"/>
      <c r="N1045" s="55"/>
      <c r="O1045" s="50"/>
      <c r="P1045" s="53"/>
      <c r="Q1045" s="52"/>
      <c r="R1045" s="52"/>
      <c r="S1045" s="52"/>
      <c r="T1045" s="55"/>
      <c r="U1045" s="52" t="str">
        <f t="shared" ca="1" si="16"/>
        <v/>
      </c>
      <c r="V1045" s="54">
        <v>0</v>
      </c>
      <c r="W1045" s="52" t="s">
        <v>5587</v>
      </c>
    </row>
    <row r="1046" spans="1:23" ht="20.100000000000001" customHeight="1" x14ac:dyDescent="0.25">
      <c r="A1046" s="50"/>
      <c r="B1046" s="50"/>
      <c r="C1046" s="51"/>
      <c r="D1046" s="51"/>
      <c r="E1046" s="52"/>
      <c r="F1046" s="52"/>
      <c r="G1046" s="52"/>
      <c r="H1046" s="52">
        <v>6482</v>
      </c>
      <c r="I1046" s="52"/>
      <c r="J1046" s="52"/>
      <c r="K1046" s="53"/>
      <c r="L1046" s="54"/>
      <c r="M1046" s="52"/>
      <c r="N1046" s="55"/>
      <c r="O1046" s="50"/>
      <c r="P1046" s="53"/>
      <c r="Q1046" s="52"/>
      <c r="R1046" s="52"/>
      <c r="S1046" s="52"/>
      <c r="T1046" s="55"/>
      <c r="U1046" s="52" t="str">
        <f t="shared" ca="1" si="16"/>
        <v/>
      </c>
      <c r="V1046" s="54">
        <v>0</v>
      </c>
      <c r="W1046" s="52" t="s">
        <v>5587</v>
      </c>
    </row>
    <row r="1047" spans="1:23" ht="20.100000000000001" customHeight="1" x14ac:dyDescent="0.25">
      <c r="A1047" s="50"/>
      <c r="B1047" s="50"/>
      <c r="C1047" s="51"/>
      <c r="D1047" s="51"/>
      <c r="E1047" s="52"/>
      <c r="F1047" s="52"/>
      <c r="G1047" s="52"/>
      <c r="H1047" s="52">
        <v>6483</v>
      </c>
      <c r="I1047" s="52"/>
      <c r="J1047" s="52"/>
      <c r="K1047" s="53"/>
      <c r="L1047" s="54"/>
      <c r="M1047" s="52"/>
      <c r="N1047" s="55"/>
      <c r="O1047" s="50"/>
      <c r="P1047" s="53"/>
      <c r="Q1047" s="52"/>
      <c r="R1047" s="52"/>
      <c r="S1047" s="52"/>
      <c r="T1047" s="55"/>
      <c r="U1047" s="52" t="str">
        <f t="shared" ca="1" si="16"/>
        <v/>
      </c>
      <c r="V1047" s="54">
        <v>0</v>
      </c>
      <c r="W1047" s="52" t="s">
        <v>5587</v>
      </c>
    </row>
    <row r="1048" spans="1:23" ht="20.100000000000001" customHeight="1" x14ac:dyDescent="0.25">
      <c r="A1048" s="50"/>
      <c r="B1048" s="50"/>
      <c r="C1048" s="51"/>
      <c r="D1048" s="51"/>
      <c r="E1048" s="52"/>
      <c r="F1048" s="52"/>
      <c r="G1048" s="52"/>
      <c r="H1048" s="52">
        <v>6484</v>
      </c>
      <c r="I1048" s="52"/>
      <c r="J1048" s="52"/>
      <c r="K1048" s="53"/>
      <c r="L1048" s="54"/>
      <c r="M1048" s="52"/>
      <c r="N1048" s="55"/>
      <c r="O1048" s="50"/>
      <c r="P1048" s="53"/>
      <c r="Q1048" s="52"/>
      <c r="R1048" s="52"/>
      <c r="S1048" s="52"/>
      <c r="T1048" s="55"/>
      <c r="U1048" s="52" t="str">
        <f t="shared" ca="1" si="16"/>
        <v/>
      </c>
      <c r="V1048" s="54">
        <v>0</v>
      </c>
      <c r="W1048" s="52" t="s">
        <v>5587</v>
      </c>
    </row>
    <row r="1049" spans="1:23" ht="20.100000000000001" customHeight="1" x14ac:dyDescent="0.25">
      <c r="A1049" s="50"/>
      <c r="B1049" s="50"/>
      <c r="C1049" s="51"/>
      <c r="D1049" s="51"/>
      <c r="E1049" s="52"/>
      <c r="F1049" s="52"/>
      <c r="G1049" s="52"/>
      <c r="H1049" s="52">
        <v>6485</v>
      </c>
      <c r="I1049" s="52"/>
      <c r="J1049" s="52"/>
      <c r="K1049" s="53"/>
      <c r="L1049" s="54"/>
      <c r="M1049" s="52"/>
      <c r="N1049" s="55"/>
      <c r="O1049" s="50"/>
      <c r="P1049" s="53"/>
      <c r="Q1049" s="52"/>
      <c r="R1049" s="52"/>
      <c r="S1049" s="52"/>
      <c r="T1049" s="55"/>
      <c r="U1049" s="52" t="str">
        <f t="shared" ca="1" si="16"/>
        <v/>
      </c>
      <c r="V1049" s="54">
        <v>0</v>
      </c>
      <c r="W1049" s="52" t="s">
        <v>5587</v>
      </c>
    </row>
    <row r="1050" spans="1:23" ht="20.100000000000001" customHeight="1" x14ac:dyDescent="0.25">
      <c r="A1050" s="50"/>
      <c r="B1050" s="50"/>
      <c r="C1050" s="51"/>
      <c r="D1050" s="51"/>
      <c r="E1050" s="52"/>
      <c r="F1050" s="52"/>
      <c r="G1050" s="52"/>
      <c r="H1050" s="52">
        <v>6486</v>
      </c>
      <c r="I1050" s="52"/>
      <c r="J1050" s="52"/>
      <c r="K1050" s="53"/>
      <c r="L1050" s="54"/>
      <c r="M1050" s="52"/>
      <c r="N1050" s="55"/>
      <c r="O1050" s="50"/>
      <c r="P1050" s="53"/>
      <c r="Q1050" s="52"/>
      <c r="R1050" s="52"/>
      <c r="S1050" s="52"/>
      <c r="T1050" s="55"/>
      <c r="U1050" s="52" t="str">
        <f t="shared" ca="1" si="16"/>
        <v/>
      </c>
      <c r="V1050" s="54">
        <v>0</v>
      </c>
      <c r="W1050" s="52" t="s">
        <v>5587</v>
      </c>
    </row>
    <row r="1051" spans="1:23" ht="20.100000000000001" customHeight="1" x14ac:dyDescent="0.25">
      <c r="A1051" s="50"/>
      <c r="B1051" s="50"/>
      <c r="C1051" s="51"/>
      <c r="D1051" s="51"/>
      <c r="E1051" s="52"/>
      <c r="F1051" s="52"/>
      <c r="G1051" s="52"/>
      <c r="H1051" s="52">
        <v>6487</v>
      </c>
      <c r="I1051" s="52"/>
      <c r="J1051" s="52"/>
      <c r="K1051" s="53"/>
      <c r="L1051" s="54"/>
      <c r="M1051" s="52"/>
      <c r="N1051" s="55"/>
      <c r="O1051" s="50"/>
      <c r="P1051" s="53"/>
      <c r="Q1051" s="52"/>
      <c r="R1051" s="52"/>
      <c r="S1051" s="52"/>
      <c r="T1051" s="55"/>
      <c r="U1051" s="52" t="str">
        <f t="shared" ca="1" si="16"/>
        <v/>
      </c>
      <c r="V1051" s="54">
        <v>0</v>
      </c>
      <c r="W1051" s="52" t="s">
        <v>5587</v>
      </c>
    </row>
    <row r="1052" spans="1:23" ht="20.100000000000001" customHeight="1" x14ac:dyDescent="0.25">
      <c r="A1052" s="50"/>
      <c r="B1052" s="50"/>
      <c r="C1052" s="51"/>
      <c r="D1052" s="51"/>
      <c r="E1052" s="52"/>
      <c r="F1052" s="52"/>
      <c r="G1052" s="52"/>
      <c r="H1052" s="52">
        <v>6488</v>
      </c>
      <c r="I1052" s="52"/>
      <c r="J1052" s="52"/>
      <c r="K1052" s="53"/>
      <c r="L1052" s="54"/>
      <c r="M1052" s="52"/>
      <c r="N1052" s="55"/>
      <c r="O1052" s="50"/>
      <c r="P1052" s="53"/>
      <c r="Q1052" s="52"/>
      <c r="R1052" s="52"/>
      <c r="S1052" s="52"/>
      <c r="T1052" s="55"/>
      <c r="U1052" s="52" t="str">
        <f t="shared" ca="1" si="16"/>
        <v/>
      </c>
      <c r="V1052" s="54">
        <v>0</v>
      </c>
      <c r="W1052" s="52" t="s">
        <v>5587</v>
      </c>
    </row>
    <row r="1053" spans="1:23" ht="20.100000000000001" customHeight="1" x14ac:dyDescent="0.25">
      <c r="A1053" s="50"/>
      <c r="B1053" s="50"/>
      <c r="C1053" s="51"/>
      <c r="D1053" s="51"/>
      <c r="E1053" s="52"/>
      <c r="F1053" s="52"/>
      <c r="G1053" s="52"/>
      <c r="H1053" s="52">
        <v>6489</v>
      </c>
      <c r="I1053" s="52"/>
      <c r="J1053" s="52"/>
      <c r="K1053" s="53"/>
      <c r="L1053" s="54"/>
      <c r="M1053" s="52"/>
      <c r="N1053" s="55"/>
      <c r="O1053" s="50"/>
      <c r="P1053" s="53"/>
      <c r="Q1053" s="52"/>
      <c r="R1053" s="52"/>
      <c r="S1053" s="52"/>
      <c r="T1053" s="55"/>
      <c r="U1053" s="52" t="str">
        <f t="shared" ca="1" si="16"/>
        <v/>
      </c>
      <c r="V1053" s="54">
        <v>0</v>
      </c>
      <c r="W1053" s="52" t="s">
        <v>5587</v>
      </c>
    </row>
    <row r="1054" spans="1:23" ht="20.100000000000001" customHeight="1" x14ac:dyDescent="0.25">
      <c r="A1054" s="50"/>
      <c r="B1054" s="50"/>
      <c r="C1054" s="51"/>
      <c r="D1054" s="51"/>
      <c r="E1054" s="52"/>
      <c r="F1054" s="52"/>
      <c r="G1054" s="52"/>
      <c r="H1054" s="52">
        <v>6490</v>
      </c>
      <c r="I1054" s="52"/>
      <c r="J1054" s="52"/>
      <c r="K1054" s="53"/>
      <c r="L1054" s="54"/>
      <c r="M1054" s="52"/>
      <c r="N1054" s="55"/>
      <c r="O1054" s="50"/>
      <c r="P1054" s="53"/>
      <c r="Q1054" s="52"/>
      <c r="R1054" s="52"/>
      <c r="S1054" s="52"/>
      <c r="T1054" s="55"/>
      <c r="U1054" s="52" t="str">
        <f t="shared" ca="1" si="16"/>
        <v/>
      </c>
      <c r="V1054" s="54">
        <v>0</v>
      </c>
      <c r="W1054" s="52" t="s">
        <v>5587</v>
      </c>
    </row>
    <row r="1055" spans="1:23" ht="20.100000000000001" customHeight="1" x14ac:dyDescent="0.25">
      <c r="A1055" s="50"/>
      <c r="B1055" s="50"/>
      <c r="C1055" s="51"/>
      <c r="D1055" s="51"/>
      <c r="E1055" s="52"/>
      <c r="F1055" s="52"/>
      <c r="G1055" s="52"/>
      <c r="H1055" s="52">
        <v>6491</v>
      </c>
      <c r="I1055" s="52"/>
      <c r="J1055" s="52"/>
      <c r="K1055" s="53"/>
      <c r="L1055" s="54"/>
      <c r="M1055" s="52"/>
      <c r="N1055" s="55"/>
      <c r="O1055" s="50"/>
      <c r="P1055" s="53"/>
      <c r="Q1055" s="52"/>
      <c r="R1055" s="52"/>
      <c r="S1055" s="52"/>
      <c r="T1055" s="55"/>
      <c r="U1055" s="52" t="str">
        <f t="shared" ca="1" si="16"/>
        <v/>
      </c>
      <c r="V1055" s="54">
        <v>0</v>
      </c>
      <c r="W1055" s="52" t="s">
        <v>5587</v>
      </c>
    </row>
    <row r="1056" spans="1:23" ht="20.100000000000001" customHeight="1" x14ac:dyDescent="0.25">
      <c r="A1056" s="50"/>
      <c r="B1056" s="50"/>
      <c r="C1056" s="51"/>
      <c r="D1056" s="51"/>
      <c r="E1056" s="52"/>
      <c r="F1056" s="52"/>
      <c r="G1056" s="52"/>
      <c r="H1056" s="52">
        <v>6492</v>
      </c>
      <c r="I1056" s="52"/>
      <c r="J1056" s="52"/>
      <c r="K1056" s="53"/>
      <c r="L1056" s="54"/>
      <c r="M1056" s="52"/>
      <c r="N1056" s="55"/>
      <c r="O1056" s="50"/>
      <c r="P1056" s="53"/>
      <c r="Q1056" s="52"/>
      <c r="R1056" s="52"/>
      <c r="S1056" s="52"/>
      <c r="T1056" s="55"/>
      <c r="U1056" s="52" t="str">
        <f t="shared" ca="1" si="16"/>
        <v/>
      </c>
      <c r="V1056" s="54">
        <v>0</v>
      </c>
      <c r="W1056" s="52" t="s">
        <v>5587</v>
      </c>
    </row>
    <row r="1057" spans="1:23" ht="20.100000000000001" customHeight="1" x14ac:dyDescent="0.25">
      <c r="A1057" s="50"/>
      <c r="B1057" s="50"/>
      <c r="C1057" s="51"/>
      <c r="D1057" s="51"/>
      <c r="E1057" s="52"/>
      <c r="F1057" s="52"/>
      <c r="G1057" s="52"/>
      <c r="H1057" s="52">
        <v>6493</v>
      </c>
      <c r="I1057" s="52"/>
      <c r="J1057" s="52"/>
      <c r="K1057" s="53"/>
      <c r="L1057" s="54"/>
      <c r="M1057" s="52"/>
      <c r="N1057" s="55"/>
      <c r="O1057" s="50"/>
      <c r="P1057" s="53"/>
      <c r="Q1057" s="52"/>
      <c r="R1057" s="52"/>
      <c r="S1057" s="52"/>
      <c r="T1057" s="55"/>
      <c r="U1057" s="52" t="str">
        <f t="shared" ca="1" si="16"/>
        <v/>
      </c>
      <c r="V1057" s="54">
        <v>0</v>
      </c>
      <c r="W1057" s="52" t="s">
        <v>5587</v>
      </c>
    </row>
    <row r="1058" spans="1:23" ht="20.100000000000001" customHeight="1" x14ac:dyDescent="0.25">
      <c r="A1058" s="50"/>
      <c r="B1058" s="50"/>
      <c r="C1058" s="51"/>
      <c r="D1058" s="51"/>
      <c r="E1058" s="52"/>
      <c r="F1058" s="52"/>
      <c r="G1058" s="52"/>
      <c r="H1058" s="52">
        <v>6494</v>
      </c>
      <c r="I1058" s="52"/>
      <c r="J1058" s="52"/>
      <c r="K1058" s="53"/>
      <c r="L1058" s="54"/>
      <c r="M1058" s="52"/>
      <c r="N1058" s="55"/>
      <c r="O1058" s="50"/>
      <c r="P1058" s="53"/>
      <c r="Q1058" s="52"/>
      <c r="R1058" s="52"/>
      <c r="S1058" s="52"/>
      <c r="T1058" s="55"/>
      <c r="U1058" s="52" t="str">
        <f t="shared" ca="1" si="16"/>
        <v/>
      </c>
      <c r="V1058" s="54">
        <v>0</v>
      </c>
      <c r="W1058" s="52" t="s">
        <v>5587</v>
      </c>
    </row>
    <row r="1059" spans="1:23" ht="20.100000000000001" customHeight="1" x14ac:dyDescent="0.25">
      <c r="A1059" s="50"/>
      <c r="B1059" s="50"/>
      <c r="C1059" s="51"/>
      <c r="D1059" s="51"/>
      <c r="E1059" s="52"/>
      <c r="F1059" s="52"/>
      <c r="G1059" s="52"/>
      <c r="H1059" s="52">
        <v>6495</v>
      </c>
      <c r="I1059" s="52"/>
      <c r="J1059" s="52"/>
      <c r="K1059" s="53"/>
      <c r="L1059" s="54"/>
      <c r="M1059" s="52"/>
      <c r="N1059" s="55"/>
      <c r="O1059" s="50"/>
      <c r="P1059" s="53"/>
      <c r="Q1059" s="52"/>
      <c r="R1059" s="52"/>
      <c r="S1059" s="52"/>
      <c r="T1059" s="55"/>
      <c r="U1059" s="52" t="str">
        <f t="shared" ca="1" si="16"/>
        <v/>
      </c>
      <c r="V1059" s="54">
        <v>0</v>
      </c>
      <c r="W1059" s="52" t="s">
        <v>5587</v>
      </c>
    </row>
    <row r="1060" spans="1:23" ht="20.100000000000001" customHeight="1" x14ac:dyDescent="0.25">
      <c r="A1060" s="50">
        <v>45925</v>
      </c>
      <c r="B1060" s="50">
        <v>45925</v>
      </c>
      <c r="C1060" s="51">
        <v>45925</v>
      </c>
      <c r="D1060" s="51"/>
      <c r="E1060" s="52" t="s">
        <v>333</v>
      </c>
      <c r="F1060" s="52" t="s">
        <v>334</v>
      </c>
      <c r="G1060" s="52"/>
      <c r="H1060" s="52">
        <v>5314</v>
      </c>
      <c r="I1060" s="52" t="s">
        <v>22</v>
      </c>
      <c r="J1060" s="52" t="s">
        <v>126</v>
      </c>
      <c r="K1060" s="53"/>
      <c r="L1060" s="54"/>
      <c r="M1060" s="52"/>
      <c r="N1060" s="55"/>
      <c r="O1060" s="50"/>
      <c r="P1060" s="53"/>
      <c r="Q1060" s="52"/>
      <c r="R1060" s="52"/>
      <c r="S1060" s="52"/>
      <c r="T1060" s="55"/>
      <c r="U1060" s="52">
        <f t="shared" ca="1" si="16"/>
        <v>261</v>
      </c>
      <c r="V1060" s="54">
        <v>0.25</v>
      </c>
      <c r="W1060" s="52" t="s">
        <v>5587</v>
      </c>
    </row>
    <row r="1061" spans="1:23" ht="20.100000000000001" customHeight="1" x14ac:dyDescent="0.25">
      <c r="A1061" s="50">
        <v>45925</v>
      </c>
      <c r="B1061" s="50">
        <v>45925</v>
      </c>
      <c r="C1061" s="51">
        <v>45925</v>
      </c>
      <c r="D1061" s="51"/>
      <c r="E1061" s="52" t="s">
        <v>335</v>
      </c>
      <c r="F1061" s="52" t="s">
        <v>336</v>
      </c>
      <c r="G1061" s="52"/>
      <c r="H1061" s="52">
        <v>5315</v>
      </c>
      <c r="I1061" s="52" t="s">
        <v>21</v>
      </c>
      <c r="J1061" s="52" t="s">
        <v>126</v>
      </c>
      <c r="K1061" s="53"/>
      <c r="L1061" s="54"/>
      <c r="M1061" s="52"/>
      <c r="N1061" s="55"/>
      <c r="O1061" s="50"/>
      <c r="P1061" s="53"/>
      <c r="Q1061" s="52"/>
      <c r="R1061" s="52"/>
      <c r="S1061" s="52"/>
      <c r="T1061" s="55"/>
      <c r="U1061" s="52">
        <f t="shared" ca="1" si="16"/>
        <v>261</v>
      </c>
      <c r="V1061" s="54">
        <v>0.25</v>
      </c>
      <c r="W1061" s="52" t="s">
        <v>5587</v>
      </c>
    </row>
    <row r="1062" spans="1:23" ht="21.95" customHeight="1" x14ac:dyDescent="0.25">
      <c r="A1062" s="56"/>
      <c r="B1062" s="56"/>
      <c r="C1062" s="56"/>
      <c r="D1062" s="56"/>
      <c r="E1062" s="52"/>
      <c r="F1062" s="52"/>
      <c r="G1062" s="52"/>
      <c r="H1062" s="52">
        <v>5316</v>
      </c>
      <c r="I1062" s="52"/>
      <c r="J1062" s="52"/>
      <c r="K1062" s="53"/>
      <c r="L1062" s="54"/>
      <c r="M1062" s="52"/>
      <c r="N1062" s="52"/>
      <c r="O1062" s="56"/>
      <c r="P1062" s="53"/>
      <c r="Q1062" s="52"/>
      <c r="R1062" s="52"/>
      <c r="S1062" s="52"/>
      <c r="T1062" s="52"/>
      <c r="U1062" s="52" t="str">
        <f t="shared" ca="1" si="16"/>
        <v/>
      </c>
      <c r="V1062" s="54">
        <v>0</v>
      </c>
      <c r="W1062" s="52" t="s">
        <v>5587</v>
      </c>
    </row>
    <row r="1063" spans="1:23" ht="21.95" customHeight="1" x14ac:dyDescent="0.25">
      <c r="A1063" s="56"/>
      <c r="B1063" s="56"/>
      <c r="C1063" s="56"/>
      <c r="D1063" s="56"/>
      <c r="E1063" s="52"/>
      <c r="F1063" s="52"/>
      <c r="G1063" s="52"/>
      <c r="H1063" s="52">
        <v>5317</v>
      </c>
      <c r="I1063" s="52"/>
      <c r="J1063" s="52"/>
      <c r="K1063" s="53"/>
      <c r="L1063" s="54"/>
      <c r="M1063" s="52"/>
      <c r="N1063" s="52"/>
      <c r="O1063" s="56"/>
      <c r="P1063" s="53"/>
      <c r="Q1063" s="52"/>
      <c r="R1063" s="52"/>
      <c r="S1063" s="52"/>
      <c r="T1063" s="52"/>
      <c r="U1063" s="52" t="str">
        <f t="shared" ca="1" si="16"/>
        <v/>
      </c>
      <c r="V1063" s="54">
        <v>0</v>
      </c>
      <c r="W1063" s="52" t="s">
        <v>5587</v>
      </c>
    </row>
    <row r="1064" spans="1:23" ht="21.95" customHeight="1" x14ac:dyDescent="0.25">
      <c r="A1064" s="56"/>
      <c r="B1064" s="56"/>
      <c r="C1064" s="56"/>
      <c r="D1064" s="56"/>
      <c r="E1064" s="52"/>
      <c r="F1064" s="52"/>
      <c r="G1064" s="52"/>
      <c r="H1064" s="52">
        <v>5318</v>
      </c>
      <c r="I1064" s="52"/>
      <c r="J1064" s="52"/>
      <c r="K1064" s="53"/>
      <c r="L1064" s="54"/>
      <c r="M1064" s="52"/>
      <c r="N1064" s="52"/>
      <c r="O1064" s="56"/>
      <c r="P1064" s="53"/>
      <c r="Q1064" s="52"/>
      <c r="R1064" s="52"/>
      <c r="S1064" s="52"/>
      <c r="T1064" s="52"/>
      <c r="U1064" s="52" t="str">
        <f t="shared" ca="1" si="16"/>
        <v/>
      </c>
      <c r="V1064" s="54">
        <v>0</v>
      </c>
      <c r="W1064" s="52" t="s">
        <v>5587</v>
      </c>
    </row>
    <row r="1065" spans="1:23" ht="21.95" customHeight="1" x14ac:dyDescent="0.25">
      <c r="A1065" s="56"/>
      <c r="B1065" s="56"/>
      <c r="C1065" s="56"/>
      <c r="D1065" s="56"/>
      <c r="E1065" s="52"/>
      <c r="F1065" s="52"/>
      <c r="G1065" s="52"/>
      <c r="H1065" s="52">
        <v>5319</v>
      </c>
      <c r="I1065" s="52"/>
      <c r="J1065" s="52"/>
      <c r="K1065" s="53"/>
      <c r="L1065" s="54"/>
      <c r="M1065" s="52"/>
      <c r="N1065" s="52"/>
      <c r="O1065" s="56"/>
      <c r="P1065" s="53"/>
      <c r="Q1065" s="52"/>
      <c r="R1065" s="52"/>
      <c r="S1065" s="52"/>
      <c r="T1065" s="52"/>
      <c r="U1065" s="52" t="str">
        <f t="shared" ca="1" si="16"/>
        <v/>
      </c>
      <c r="V1065" s="54">
        <v>0</v>
      </c>
      <c r="W1065" s="52" t="s">
        <v>5587</v>
      </c>
    </row>
    <row r="1066" spans="1:23" ht="21.95" customHeight="1" x14ac:dyDescent="0.25">
      <c r="A1066" s="56"/>
      <c r="B1066" s="56"/>
      <c r="C1066" s="56"/>
      <c r="D1066" s="56"/>
      <c r="E1066" s="52"/>
      <c r="F1066" s="52"/>
      <c r="G1066" s="52"/>
      <c r="H1066" s="52">
        <v>5320</v>
      </c>
      <c r="I1066" s="52"/>
      <c r="J1066" s="52"/>
      <c r="K1066" s="53"/>
      <c r="L1066" s="54"/>
      <c r="M1066" s="52"/>
      <c r="N1066" s="52"/>
      <c r="O1066" s="56"/>
      <c r="P1066" s="53"/>
      <c r="Q1066" s="52"/>
      <c r="R1066" s="52"/>
      <c r="S1066" s="52"/>
      <c r="T1066" s="52"/>
      <c r="U1066" s="52" t="str">
        <f t="shared" ca="1" si="16"/>
        <v/>
      </c>
      <c r="V1066" s="54">
        <v>0</v>
      </c>
      <c r="W1066" s="52" t="s">
        <v>5587</v>
      </c>
    </row>
    <row r="1067" spans="1:23" ht="21.95" customHeight="1" x14ac:dyDescent="0.25">
      <c r="A1067" s="56"/>
      <c r="B1067" s="56"/>
      <c r="C1067" s="56"/>
      <c r="D1067" s="56"/>
      <c r="E1067" s="52"/>
      <c r="F1067" s="52"/>
      <c r="G1067" s="52"/>
      <c r="H1067" s="52">
        <v>5321</v>
      </c>
      <c r="I1067" s="52"/>
      <c r="J1067" s="52"/>
      <c r="K1067" s="53"/>
      <c r="L1067" s="54"/>
      <c r="M1067" s="52"/>
      <c r="N1067" s="52"/>
      <c r="O1067" s="56"/>
      <c r="P1067" s="53"/>
      <c r="Q1067" s="52"/>
      <c r="R1067" s="52"/>
      <c r="S1067" s="52"/>
      <c r="T1067" s="52"/>
      <c r="U1067" s="52" t="str">
        <f t="shared" ca="1" si="16"/>
        <v/>
      </c>
      <c r="V1067" s="54">
        <v>0</v>
      </c>
      <c r="W1067" s="52" t="s">
        <v>5587</v>
      </c>
    </row>
    <row r="1068" spans="1:23" ht="21.95" customHeight="1" x14ac:dyDescent="0.25">
      <c r="A1068" s="56"/>
      <c r="B1068" s="56"/>
      <c r="C1068" s="56"/>
      <c r="D1068" s="56"/>
      <c r="E1068" s="52"/>
      <c r="F1068" s="52"/>
      <c r="G1068" s="52"/>
      <c r="H1068" s="52">
        <v>5322</v>
      </c>
      <c r="I1068" s="52"/>
      <c r="J1068" s="52"/>
      <c r="K1068" s="53"/>
      <c r="L1068" s="54"/>
      <c r="M1068" s="52"/>
      <c r="N1068" s="52"/>
      <c r="O1068" s="56"/>
      <c r="P1068" s="53"/>
      <c r="Q1068" s="52"/>
      <c r="R1068" s="52"/>
      <c r="S1068" s="52"/>
      <c r="T1068" s="52"/>
      <c r="U1068" s="52" t="str">
        <f t="shared" ca="1" si="16"/>
        <v/>
      </c>
      <c r="V1068" s="54">
        <v>0</v>
      </c>
      <c r="W1068" s="52" t="s">
        <v>5587</v>
      </c>
    </row>
    <row r="1069" spans="1:23" ht="21.95" customHeight="1" x14ac:dyDescent="0.25">
      <c r="A1069" s="56"/>
      <c r="B1069" s="56"/>
      <c r="C1069" s="56"/>
      <c r="D1069" s="56"/>
      <c r="E1069" s="52"/>
      <c r="F1069" s="52"/>
      <c r="G1069" s="52"/>
      <c r="H1069" s="52">
        <v>5323</v>
      </c>
      <c r="I1069" s="52"/>
      <c r="J1069" s="52"/>
      <c r="K1069" s="53"/>
      <c r="L1069" s="54"/>
      <c r="M1069" s="52"/>
      <c r="N1069" s="52"/>
      <c r="O1069" s="56"/>
      <c r="P1069" s="53"/>
      <c r="Q1069" s="52"/>
      <c r="R1069" s="52"/>
      <c r="S1069" s="52"/>
      <c r="T1069" s="52"/>
      <c r="U1069" s="52" t="str">
        <f t="shared" ca="1" si="16"/>
        <v/>
      </c>
      <c r="V1069" s="54">
        <v>0</v>
      </c>
      <c r="W1069" s="52" t="s">
        <v>5587</v>
      </c>
    </row>
    <row r="1070" spans="1:23" ht="21.95" customHeight="1" x14ac:dyDescent="0.25">
      <c r="A1070" s="56"/>
      <c r="B1070" s="56"/>
      <c r="C1070" s="56"/>
      <c r="D1070" s="56"/>
      <c r="E1070" s="52"/>
      <c r="F1070" s="52"/>
      <c r="G1070" s="52"/>
      <c r="H1070" s="52">
        <v>5324</v>
      </c>
      <c r="I1070" s="52"/>
      <c r="J1070" s="52"/>
      <c r="K1070" s="53"/>
      <c r="L1070" s="54"/>
      <c r="M1070" s="52"/>
      <c r="N1070" s="52"/>
      <c r="O1070" s="56"/>
      <c r="P1070" s="53"/>
      <c r="Q1070" s="52"/>
      <c r="R1070" s="52"/>
      <c r="S1070" s="52"/>
      <c r="T1070" s="52"/>
      <c r="U1070" s="52" t="str">
        <f t="shared" ca="1" si="16"/>
        <v/>
      </c>
      <c r="V1070" s="54">
        <v>0</v>
      </c>
      <c r="W1070" s="52" t="s">
        <v>5587</v>
      </c>
    </row>
    <row r="1071" spans="1:23" ht="21.95" customHeight="1" x14ac:dyDescent="0.25">
      <c r="A1071" s="56"/>
      <c r="B1071" s="56"/>
      <c r="C1071" s="56"/>
      <c r="D1071" s="56"/>
      <c r="E1071" s="52"/>
      <c r="F1071" s="52"/>
      <c r="G1071" s="52"/>
      <c r="H1071" s="52">
        <v>5325</v>
      </c>
      <c r="I1071" s="52"/>
      <c r="J1071" s="52"/>
      <c r="K1071" s="53"/>
      <c r="L1071" s="54"/>
      <c r="M1071" s="52"/>
      <c r="N1071" s="52"/>
      <c r="O1071" s="56"/>
      <c r="P1071" s="53"/>
      <c r="Q1071" s="52"/>
      <c r="R1071" s="52"/>
      <c r="S1071" s="52"/>
      <c r="T1071" s="52"/>
      <c r="U1071" s="52" t="str">
        <f t="shared" ca="1" si="16"/>
        <v/>
      </c>
      <c r="V1071" s="54">
        <v>0</v>
      </c>
      <c r="W1071" s="52" t="s">
        <v>5587</v>
      </c>
    </row>
    <row r="1072" spans="1:23" x14ac:dyDescent="0.25">
      <c r="A1072" s="56"/>
      <c r="B1072" s="56"/>
      <c r="C1072" s="56"/>
      <c r="D1072" s="56"/>
      <c r="E1072" s="57"/>
      <c r="F1072" s="57"/>
      <c r="G1072" s="57"/>
      <c r="H1072" s="57"/>
      <c r="I1072" s="57"/>
      <c r="J1072" s="57"/>
      <c r="K1072" s="53"/>
      <c r="L1072" s="54"/>
      <c r="M1072" s="57"/>
      <c r="N1072" s="57"/>
      <c r="O1072" s="56"/>
      <c r="P1072" s="53"/>
      <c r="Q1072" s="57"/>
      <c r="R1072" s="57"/>
      <c r="S1072" s="57"/>
      <c r="T1072" s="57"/>
      <c r="U1072" s="52" t="str">
        <f t="shared" ca="1" si="16"/>
        <v/>
      </c>
      <c r="V1072" s="54" t="str">
        <f t="shared" ref="V1029:V1092" si="17">IF(COUNTA(A1072:N1072)=0,"",ROUND((COUNTIF(A1072,"&lt;&gt;")+COUNTIF(E1072,"&lt;&gt;")+COUNTIF(G1072,"&lt;&gt;")+COUNTIF(I1072,"&lt;&gt;")+COUNTIF(K1072,"&lt;&gt;")+COUNTIF(N1072,"&lt;&gt;")+COUNTIF(C1072,"&lt;&gt;")+COUNTIF(D1072,"&lt;&gt;"))/8,2))</f>
        <v/>
      </c>
      <c r="W1072" s="52" t="str">
        <f t="shared" ref="W1029:W1092" ca="1" si="18">IF(COUNTA(A1072:N1072)=0,"",IF(G1072="","🔴 BRAK TELEFONU",IF(K1072="","🔴 BRAK KWOTY",IF(N1072="","🔴 BRAK STATUSU",IF(C1072="","🔴 BRAK DATY AKCJI",IF(TODAY()-C1072&gt;=30,"🔴 FOLLOW-UP 30D",IF(TODAY()-C1072&gt;=7,"🟠 FOLLOW-UP 7D",IF(TODAY()-C1072&gt;=3,"🟡 FOLLOW-UP 3D","🟢 OK"))))))))</f>
        <v/>
      </c>
    </row>
    <row r="1073" spans="1:23" x14ac:dyDescent="0.25">
      <c r="A1073" s="56"/>
      <c r="B1073" s="56"/>
      <c r="C1073" s="56"/>
      <c r="D1073" s="56"/>
      <c r="E1073" s="57"/>
      <c r="F1073" s="57"/>
      <c r="G1073" s="57"/>
      <c r="H1073" s="57"/>
      <c r="I1073" s="57"/>
      <c r="J1073" s="57"/>
      <c r="K1073" s="53"/>
      <c r="L1073" s="54"/>
      <c r="M1073" s="57"/>
      <c r="N1073" s="57"/>
      <c r="O1073" s="56"/>
      <c r="P1073" s="53"/>
      <c r="Q1073" s="57"/>
      <c r="R1073" s="57"/>
      <c r="S1073" s="57"/>
      <c r="T1073" s="57"/>
      <c r="U1073" s="52" t="str">
        <f t="shared" ca="1" si="16"/>
        <v/>
      </c>
      <c r="V1073" s="54" t="str">
        <f t="shared" si="17"/>
        <v/>
      </c>
      <c r="W1073" s="52" t="str">
        <f t="shared" ca="1" si="18"/>
        <v/>
      </c>
    </row>
    <row r="1074" spans="1:23" x14ac:dyDescent="0.25">
      <c r="A1074" s="56"/>
      <c r="B1074" s="56"/>
      <c r="C1074" s="56"/>
      <c r="D1074" s="56"/>
      <c r="E1074" s="57"/>
      <c r="F1074" s="57"/>
      <c r="G1074" s="57"/>
      <c r="H1074" s="57"/>
      <c r="I1074" s="57"/>
      <c r="J1074" s="57"/>
      <c r="K1074" s="53"/>
      <c r="L1074" s="54"/>
      <c r="M1074" s="57"/>
      <c r="N1074" s="57"/>
      <c r="O1074" s="56"/>
      <c r="P1074" s="53"/>
      <c r="Q1074" s="57"/>
      <c r="R1074" s="57"/>
      <c r="S1074" s="57"/>
      <c r="T1074" s="57"/>
      <c r="U1074" s="52" t="str">
        <f t="shared" ca="1" si="16"/>
        <v/>
      </c>
      <c r="V1074" s="54" t="str">
        <f t="shared" si="17"/>
        <v/>
      </c>
      <c r="W1074" s="52" t="str">
        <f t="shared" ca="1" si="18"/>
        <v/>
      </c>
    </row>
    <row r="1075" spans="1:23" x14ac:dyDescent="0.25">
      <c r="A1075" s="56"/>
      <c r="B1075" s="56"/>
      <c r="C1075" s="56"/>
      <c r="D1075" s="56"/>
      <c r="E1075" s="57"/>
      <c r="F1075" s="57"/>
      <c r="G1075" s="57"/>
      <c r="H1075" s="57"/>
      <c r="I1075" s="57"/>
      <c r="J1075" s="57"/>
      <c r="K1075" s="53"/>
      <c r="L1075" s="54"/>
      <c r="M1075" s="57"/>
      <c r="N1075" s="57"/>
      <c r="O1075" s="56"/>
      <c r="P1075" s="53"/>
      <c r="Q1075" s="57"/>
      <c r="R1075" s="57"/>
      <c r="S1075" s="57"/>
      <c r="T1075" s="57"/>
      <c r="U1075" s="52" t="str">
        <f t="shared" ca="1" si="16"/>
        <v/>
      </c>
      <c r="V1075" s="54" t="str">
        <f t="shared" si="17"/>
        <v/>
      </c>
      <c r="W1075" s="52" t="str">
        <f t="shared" ca="1" si="18"/>
        <v/>
      </c>
    </row>
    <row r="1076" spans="1:23" x14ac:dyDescent="0.25">
      <c r="A1076" s="56"/>
      <c r="B1076" s="56"/>
      <c r="C1076" s="56"/>
      <c r="D1076" s="56"/>
      <c r="E1076" s="57"/>
      <c r="F1076" s="57"/>
      <c r="G1076" s="57"/>
      <c r="H1076" s="57"/>
      <c r="I1076" s="57"/>
      <c r="J1076" s="57"/>
      <c r="K1076" s="53"/>
      <c r="L1076" s="54"/>
      <c r="M1076" s="57"/>
      <c r="N1076" s="57"/>
      <c r="O1076" s="56"/>
      <c r="P1076" s="53"/>
      <c r="Q1076" s="57"/>
      <c r="R1076" s="57"/>
      <c r="S1076" s="57"/>
      <c r="T1076" s="57"/>
      <c r="U1076" s="52" t="str">
        <f t="shared" ca="1" si="16"/>
        <v/>
      </c>
      <c r="V1076" s="54" t="str">
        <f t="shared" si="17"/>
        <v/>
      </c>
      <c r="W1076" s="52" t="str">
        <f t="shared" ca="1" si="18"/>
        <v/>
      </c>
    </row>
    <row r="1077" spans="1:23" x14ac:dyDescent="0.25">
      <c r="A1077" s="56"/>
      <c r="B1077" s="56"/>
      <c r="C1077" s="56"/>
      <c r="D1077" s="56"/>
      <c r="E1077" s="57"/>
      <c r="F1077" s="57"/>
      <c r="G1077" s="57"/>
      <c r="H1077" s="57"/>
      <c r="I1077" s="57"/>
      <c r="J1077" s="57"/>
      <c r="K1077" s="53"/>
      <c r="L1077" s="54"/>
      <c r="M1077" s="57"/>
      <c r="N1077" s="57"/>
      <c r="O1077" s="56"/>
      <c r="P1077" s="53"/>
      <c r="Q1077" s="57"/>
      <c r="R1077" s="57"/>
      <c r="S1077" s="57"/>
      <c r="T1077" s="57"/>
      <c r="U1077" s="52" t="str">
        <f t="shared" ca="1" si="16"/>
        <v/>
      </c>
      <c r="V1077" s="54" t="str">
        <f t="shared" si="17"/>
        <v/>
      </c>
      <c r="W1077" s="52" t="str">
        <f t="shared" ca="1" si="18"/>
        <v/>
      </c>
    </row>
    <row r="1078" spans="1:23" x14ac:dyDescent="0.25">
      <c r="A1078" s="56"/>
      <c r="B1078" s="56"/>
      <c r="C1078" s="56"/>
      <c r="D1078" s="56"/>
      <c r="E1078" s="57"/>
      <c r="F1078" s="57"/>
      <c r="G1078" s="57"/>
      <c r="H1078" s="57"/>
      <c r="I1078" s="57"/>
      <c r="J1078" s="57"/>
      <c r="K1078" s="53"/>
      <c r="L1078" s="54"/>
      <c r="M1078" s="57"/>
      <c r="N1078" s="57"/>
      <c r="O1078" s="56"/>
      <c r="P1078" s="53"/>
      <c r="Q1078" s="57"/>
      <c r="R1078" s="57"/>
      <c r="S1078" s="57"/>
      <c r="T1078" s="57"/>
      <c r="U1078" s="52" t="str">
        <f t="shared" ca="1" si="16"/>
        <v/>
      </c>
      <c r="V1078" s="54" t="str">
        <f t="shared" si="17"/>
        <v/>
      </c>
      <c r="W1078" s="52" t="str">
        <f t="shared" ca="1" si="18"/>
        <v/>
      </c>
    </row>
    <row r="1079" spans="1:23" x14ac:dyDescent="0.25">
      <c r="A1079" s="56"/>
      <c r="B1079" s="56"/>
      <c r="C1079" s="56"/>
      <c r="D1079" s="56"/>
      <c r="E1079" s="57"/>
      <c r="F1079" s="57"/>
      <c r="G1079" s="57"/>
      <c r="H1079" s="57"/>
      <c r="I1079" s="57"/>
      <c r="J1079" s="57"/>
      <c r="K1079" s="53"/>
      <c r="L1079" s="54"/>
      <c r="M1079" s="57"/>
      <c r="N1079" s="57"/>
      <c r="O1079" s="56"/>
      <c r="P1079" s="53"/>
      <c r="Q1079" s="57"/>
      <c r="R1079" s="57"/>
      <c r="S1079" s="57"/>
      <c r="T1079" s="57"/>
      <c r="U1079" s="52" t="str">
        <f t="shared" ca="1" si="16"/>
        <v/>
      </c>
      <c r="V1079" s="54" t="str">
        <f t="shared" si="17"/>
        <v/>
      </c>
      <c r="W1079" s="52" t="str">
        <f t="shared" ca="1" si="18"/>
        <v/>
      </c>
    </row>
    <row r="1080" spans="1:23" x14ac:dyDescent="0.25">
      <c r="A1080" s="56"/>
      <c r="B1080" s="56"/>
      <c r="C1080" s="56"/>
      <c r="D1080" s="56"/>
      <c r="E1080" s="57"/>
      <c r="F1080" s="57"/>
      <c r="G1080" s="57"/>
      <c r="H1080" s="57"/>
      <c r="I1080" s="57"/>
      <c r="J1080" s="57"/>
      <c r="K1080" s="53"/>
      <c r="L1080" s="54"/>
      <c r="M1080" s="57"/>
      <c r="N1080" s="57"/>
      <c r="O1080" s="56"/>
      <c r="P1080" s="53"/>
      <c r="Q1080" s="57"/>
      <c r="R1080" s="57"/>
      <c r="S1080" s="57"/>
      <c r="T1080" s="57"/>
      <c r="U1080" s="52" t="str">
        <f t="shared" ca="1" si="16"/>
        <v/>
      </c>
      <c r="V1080" s="54" t="str">
        <f t="shared" si="17"/>
        <v/>
      </c>
      <c r="W1080" s="52" t="str">
        <f t="shared" ca="1" si="18"/>
        <v/>
      </c>
    </row>
    <row r="1081" spans="1:23" x14ac:dyDescent="0.25">
      <c r="A1081" s="56"/>
      <c r="B1081" s="56"/>
      <c r="C1081" s="56"/>
      <c r="D1081" s="56"/>
      <c r="E1081" s="57"/>
      <c r="F1081" s="57"/>
      <c r="G1081" s="57"/>
      <c r="H1081" s="57"/>
      <c r="I1081" s="57"/>
      <c r="J1081" s="57"/>
      <c r="K1081" s="53"/>
      <c r="L1081" s="54"/>
      <c r="M1081" s="57"/>
      <c r="N1081" s="57"/>
      <c r="O1081" s="56"/>
      <c r="P1081" s="53"/>
      <c r="Q1081" s="57"/>
      <c r="R1081" s="57"/>
      <c r="S1081" s="57"/>
      <c r="T1081" s="57"/>
      <c r="U1081" s="52" t="str">
        <f t="shared" ca="1" si="16"/>
        <v/>
      </c>
      <c r="V1081" s="54" t="str">
        <f t="shared" si="17"/>
        <v/>
      </c>
      <c r="W1081" s="52" t="str">
        <f t="shared" ca="1" si="18"/>
        <v/>
      </c>
    </row>
    <row r="1082" spans="1:23" x14ac:dyDescent="0.25">
      <c r="A1082" s="56"/>
      <c r="B1082" s="56"/>
      <c r="C1082" s="56"/>
      <c r="D1082" s="56"/>
      <c r="E1082" s="57"/>
      <c r="F1082" s="57"/>
      <c r="G1082" s="57"/>
      <c r="H1082" s="57"/>
      <c r="I1082" s="57"/>
      <c r="J1082" s="57"/>
      <c r="K1082" s="53"/>
      <c r="L1082" s="54"/>
      <c r="M1082" s="57"/>
      <c r="N1082" s="57"/>
      <c r="O1082" s="56"/>
      <c r="P1082" s="53"/>
      <c r="Q1082" s="57"/>
      <c r="R1082" s="57"/>
      <c r="S1082" s="57"/>
      <c r="T1082" s="57"/>
      <c r="U1082" s="52" t="str">
        <f t="shared" ca="1" si="16"/>
        <v/>
      </c>
      <c r="V1082" s="54" t="str">
        <f t="shared" si="17"/>
        <v/>
      </c>
      <c r="W1082" s="52" t="str">
        <f t="shared" ca="1" si="18"/>
        <v/>
      </c>
    </row>
    <row r="1083" spans="1:23" x14ac:dyDescent="0.25">
      <c r="A1083" s="56"/>
      <c r="B1083" s="56"/>
      <c r="C1083" s="56"/>
      <c r="D1083" s="56"/>
      <c r="E1083" s="57"/>
      <c r="F1083" s="57"/>
      <c r="G1083" s="57"/>
      <c r="H1083" s="57"/>
      <c r="I1083" s="57"/>
      <c r="J1083" s="57"/>
      <c r="K1083" s="53"/>
      <c r="L1083" s="54"/>
      <c r="M1083" s="57"/>
      <c r="N1083" s="57"/>
      <c r="O1083" s="56"/>
      <c r="P1083" s="53"/>
      <c r="Q1083" s="57"/>
      <c r="R1083" s="57"/>
      <c r="S1083" s="57"/>
      <c r="T1083" s="57"/>
      <c r="U1083" s="52" t="str">
        <f t="shared" ca="1" si="16"/>
        <v/>
      </c>
      <c r="V1083" s="54" t="str">
        <f t="shared" si="17"/>
        <v/>
      </c>
      <c r="W1083" s="52" t="str">
        <f t="shared" ca="1" si="18"/>
        <v/>
      </c>
    </row>
    <row r="1084" spans="1:23" x14ac:dyDescent="0.25">
      <c r="A1084" s="56"/>
      <c r="B1084" s="56"/>
      <c r="C1084" s="56"/>
      <c r="D1084" s="56"/>
      <c r="E1084" s="57"/>
      <c r="F1084" s="57"/>
      <c r="G1084" s="57"/>
      <c r="H1084" s="57"/>
      <c r="I1084" s="57"/>
      <c r="J1084" s="57"/>
      <c r="K1084" s="53"/>
      <c r="L1084" s="54"/>
      <c r="M1084" s="57"/>
      <c r="N1084" s="57"/>
      <c r="O1084" s="56"/>
      <c r="P1084" s="53"/>
      <c r="Q1084" s="57"/>
      <c r="R1084" s="57"/>
      <c r="S1084" s="57"/>
      <c r="T1084" s="57"/>
      <c r="U1084" s="52" t="str">
        <f t="shared" ca="1" si="16"/>
        <v/>
      </c>
      <c r="V1084" s="54" t="str">
        <f t="shared" si="17"/>
        <v/>
      </c>
      <c r="W1084" s="52" t="str">
        <f t="shared" ca="1" si="18"/>
        <v/>
      </c>
    </row>
    <row r="1085" spans="1:23" x14ac:dyDescent="0.25">
      <c r="A1085" s="56"/>
      <c r="B1085" s="56"/>
      <c r="C1085" s="56"/>
      <c r="D1085" s="56"/>
      <c r="E1085" s="57"/>
      <c r="F1085" s="57"/>
      <c r="G1085" s="57"/>
      <c r="H1085" s="57"/>
      <c r="I1085" s="57"/>
      <c r="J1085" s="57"/>
      <c r="K1085" s="53"/>
      <c r="L1085" s="54"/>
      <c r="M1085" s="57"/>
      <c r="N1085" s="57"/>
      <c r="O1085" s="56"/>
      <c r="P1085" s="53"/>
      <c r="Q1085" s="57"/>
      <c r="R1085" s="57"/>
      <c r="S1085" s="57"/>
      <c r="T1085" s="57"/>
      <c r="U1085" s="52" t="str">
        <f t="shared" ca="1" si="16"/>
        <v/>
      </c>
      <c r="V1085" s="54" t="str">
        <f t="shared" si="17"/>
        <v/>
      </c>
      <c r="W1085" s="52" t="str">
        <f t="shared" ca="1" si="18"/>
        <v/>
      </c>
    </row>
    <row r="1086" spans="1:23" x14ac:dyDescent="0.25">
      <c r="A1086" s="56"/>
      <c r="B1086" s="56"/>
      <c r="C1086" s="56"/>
      <c r="D1086" s="56"/>
      <c r="E1086" s="57"/>
      <c r="F1086" s="57"/>
      <c r="G1086" s="57"/>
      <c r="H1086" s="57"/>
      <c r="I1086" s="57"/>
      <c r="J1086" s="57"/>
      <c r="K1086" s="53"/>
      <c r="L1086" s="54"/>
      <c r="M1086" s="57"/>
      <c r="N1086" s="57"/>
      <c r="O1086" s="56"/>
      <c r="P1086" s="53"/>
      <c r="Q1086" s="57"/>
      <c r="R1086" s="57"/>
      <c r="S1086" s="57"/>
      <c r="T1086" s="57"/>
      <c r="U1086" s="52" t="str">
        <f t="shared" ca="1" si="16"/>
        <v/>
      </c>
      <c r="V1086" s="54" t="str">
        <f t="shared" si="17"/>
        <v/>
      </c>
      <c r="W1086" s="52" t="str">
        <f t="shared" ca="1" si="18"/>
        <v/>
      </c>
    </row>
    <row r="1087" spans="1:23" x14ac:dyDescent="0.25">
      <c r="A1087" s="56"/>
      <c r="B1087" s="56"/>
      <c r="C1087" s="56"/>
      <c r="D1087" s="56"/>
      <c r="E1087" s="57"/>
      <c r="F1087" s="57"/>
      <c r="G1087" s="57"/>
      <c r="H1087" s="57"/>
      <c r="I1087" s="57"/>
      <c r="J1087" s="57"/>
      <c r="K1087" s="53"/>
      <c r="L1087" s="54"/>
      <c r="M1087" s="57"/>
      <c r="N1087" s="57"/>
      <c r="O1087" s="56"/>
      <c r="P1087" s="53"/>
      <c r="Q1087" s="57"/>
      <c r="R1087" s="57"/>
      <c r="S1087" s="57"/>
      <c r="T1087" s="57"/>
      <c r="U1087" s="52" t="str">
        <f t="shared" ca="1" si="16"/>
        <v/>
      </c>
      <c r="V1087" s="54" t="str">
        <f t="shared" si="17"/>
        <v/>
      </c>
      <c r="W1087" s="52" t="str">
        <f t="shared" ca="1" si="18"/>
        <v/>
      </c>
    </row>
    <row r="1088" spans="1:23" x14ac:dyDescent="0.25">
      <c r="A1088" s="56"/>
      <c r="B1088" s="56"/>
      <c r="C1088" s="56"/>
      <c r="D1088" s="56"/>
      <c r="E1088" s="57"/>
      <c r="F1088" s="57"/>
      <c r="G1088" s="57"/>
      <c r="H1088" s="57"/>
      <c r="I1088" s="57"/>
      <c r="J1088" s="57"/>
      <c r="K1088" s="53"/>
      <c r="L1088" s="54"/>
      <c r="M1088" s="57"/>
      <c r="N1088" s="57"/>
      <c r="O1088" s="56"/>
      <c r="P1088" s="53"/>
      <c r="Q1088" s="57"/>
      <c r="R1088" s="57"/>
      <c r="S1088" s="57"/>
      <c r="T1088" s="57"/>
      <c r="U1088" s="52" t="str">
        <f t="shared" ca="1" si="16"/>
        <v/>
      </c>
      <c r="V1088" s="54" t="str">
        <f t="shared" si="17"/>
        <v/>
      </c>
      <c r="W1088" s="52" t="str">
        <f t="shared" ca="1" si="18"/>
        <v/>
      </c>
    </row>
    <row r="1089" spans="1:23" x14ac:dyDescent="0.25">
      <c r="A1089" s="56"/>
      <c r="B1089" s="56"/>
      <c r="C1089" s="56"/>
      <c r="D1089" s="56"/>
      <c r="E1089" s="57"/>
      <c r="F1089" s="57"/>
      <c r="G1089" s="57"/>
      <c r="H1089" s="57"/>
      <c r="I1089" s="57"/>
      <c r="J1089" s="57"/>
      <c r="K1089" s="53"/>
      <c r="L1089" s="54"/>
      <c r="M1089" s="57"/>
      <c r="N1089" s="57"/>
      <c r="O1089" s="56"/>
      <c r="P1089" s="53"/>
      <c r="Q1089" s="57"/>
      <c r="R1089" s="57"/>
      <c r="S1089" s="57"/>
      <c r="T1089" s="57"/>
      <c r="U1089" s="52" t="str">
        <f t="shared" ca="1" si="16"/>
        <v/>
      </c>
      <c r="V1089" s="54" t="str">
        <f t="shared" si="17"/>
        <v/>
      </c>
      <c r="W1089" s="52" t="str">
        <f t="shared" ca="1" si="18"/>
        <v/>
      </c>
    </row>
    <row r="1090" spans="1:23" x14ac:dyDescent="0.25">
      <c r="A1090" s="56"/>
      <c r="B1090" s="56"/>
      <c r="C1090" s="56"/>
      <c r="D1090" s="56"/>
      <c r="E1090" s="57"/>
      <c r="F1090" s="57"/>
      <c r="G1090" s="57"/>
      <c r="H1090" s="57"/>
      <c r="I1090" s="57"/>
      <c r="J1090" s="57"/>
      <c r="K1090" s="53"/>
      <c r="L1090" s="54"/>
      <c r="M1090" s="57"/>
      <c r="N1090" s="57"/>
      <c r="O1090" s="56"/>
      <c r="P1090" s="53"/>
      <c r="Q1090" s="57"/>
      <c r="R1090" s="57"/>
      <c r="S1090" s="57"/>
      <c r="T1090" s="57"/>
      <c r="U1090" s="52" t="str">
        <f t="shared" ca="1" si="16"/>
        <v/>
      </c>
      <c r="V1090" s="54" t="str">
        <f t="shared" si="17"/>
        <v/>
      </c>
      <c r="W1090" s="52" t="str">
        <f t="shared" ca="1" si="18"/>
        <v/>
      </c>
    </row>
    <row r="1091" spans="1:23" x14ac:dyDescent="0.25">
      <c r="A1091" s="56"/>
      <c r="B1091" s="56"/>
      <c r="C1091" s="56"/>
      <c r="D1091" s="56"/>
      <c r="E1091" s="57"/>
      <c r="F1091" s="57"/>
      <c r="G1091" s="57"/>
      <c r="H1091" s="57"/>
      <c r="I1091" s="57"/>
      <c r="J1091" s="57"/>
      <c r="K1091" s="53"/>
      <c r="L1091" s="54"/>
      <c r="M1091" s="57"/>
      <c r="N1091" s="57"/>
      <c r="O1091" s="56"/>
      <c r="P1091" s="53"/>
      <c r="Q1091" s="57"/>
      <c r="R1091" s="57"/>
      <c r="S1091" s="57"/>
      <c r="T1091" s="57"/>
      <c r="U1091" s="52" t="str">
        <f t="shared" ca="1" si="16"/>
        <v/>
      </c>
      <c r="V1091" s="54" t="str">
        <f t="shared" si="17"/>
        <v/>
      </c>
      <c r="W1091" s="52" t="str">
        <f t="shared" ca="1" si="18"/>
        <v/>
      </c>
    </row>
    <row r="1092" spans="1:23" x14ac:dyDescent="0.25">
      <c r="A1092" s="56"/>
      <c r="B1092" s="56"/>
      <c r="C1092" s="56"/>
      <c r="D1092" s="56"/>
      <c r="E1092" s="57"/>
      <c r="F1092" s="57"/>
      <c r="G1092" s="57"/>
      <c r="H1092" s="57"/>
      <c r="I1092" s="57"/>
      <c r="J1092" s="57"/>
      <c r="K1092" s="53"/>
      <c r="L1092" s="54"/>
      <c r="M1092" s="57"/>
      <c r="N1092" s="57"/>
      <c r="O1092" s="56"/>
      <c r="P1092" s="53"/>
      <c r="Q1092" s="57"/>
      <c r="R1092" s="57"/>
      <c r="S1092" s="57"/>
      <c r="T1092" s="57"/>
      <c r="U1092" s="52" t="str">
        <f t="shared" ca="1" si="16"/>
        <v/>
      </c>
      <c r="V1092" s="54" t="str">
        <f t="shared" si="17"/>
        <v/>
      </c>
      <c r="W1092" s="52" t="str">
        <f t="shared" ca="1" si="18"/>
        <v/>
      </c>
    </row>
    <row r="1093" spans="1:23" x14ac:dyDescent="0.25">
      <c r="A1093" s="56"/>
      <c r="B1093" s="56"/>
      <c r="C1093" s="56"/>
      <c r="D1093" s="56"/>
      <c r="E1093" s="57"/>
      <c r="F1093" s="57"/>
      <c r="G1093" s="57"/>
      <c r="H1093" s="57"/>
      <c r="I1093" s="57"/>
      <c r="J1093" s="57"/>
      <c r="K1093" s="53"/>
      <c r="L1093" s="54"/>
      <c r="M1093" s="57"/>
      <c r="N1093" s="57"/>
      <c r="O1093" s="56"/>
      <c r="P1093" s="53"/>
      <c r="Q1093" s="57"/>
      <c r="R1093" s="57"/>
      <c r="S1093" s="57"/>
      <c r="T1093" s="57"/>
      <c r="U1093" s="52" t="str">
        <f t="shared" ref="U1093:U1156" ca="1" si="19">IF(C1093="","",TODAY()-C1093)</f>
        <v/>
      </c>
      <c r="V1093" s="54" t="str">
        <f t="shared" ref="V1093:V1156" si="20">IF(COUNTA(A1093:N1093)=0,"",ROUND((COUNTIF(A1093,"&lt;&gt;")+COUNTIF(E1093,"&lt;&gt;")+COUNTIF(G1093,"&lt;&gt;")+COUNTIF(I1093,"&lt;&gt;")+COUNTIF(K1093,"&lt;&gt;")+COUNTIF(N1093,"&lt;&gt;")+COUNTIF(C1093,"&lt;&gt;")+COUNTIF(D1093,"&lt;&gt;"))/8,2))</f>
        <v/>
      </c>
      <c r="W1093" s="52" t="str">
        <f t="shared" ref="W1093:W1156" ca="1" si="21">IF(COUNTA(A1093:N1093)=0,"",IF(G1093="","🔴 BRAK TELEFONU",IF(K1093="","🔴 BRAK KWOTY",IF(N1093="","🔴 BRAK STATUSU",IF(C1093="","🔴 BRAK DATY AKCJI",IF(TODAY()-C1093&gt;=30,"🔴 FOLLOW-UP 30D",IF(TODAY()-C1093&gt;=7,"🟠 FOLLOW-UP 7D",IF(TODAY()-C1093&gt;=3,"🟡 FOLLOW-UP 3D","🟢 OK"))))))))</f>
        <v/>
      </c>
    </row>
    <row r="1094" spans="1:23" x14ac:dyDescent="0.25">
      <c r="A1094" s="56"/>
      <c r="B1094" s="56"/>
      <c r="C1094" s="56"/>
      <c r="D1094" s="56"/>
      <c r="E1094" s="57"/>
      <c r="F1094" s="57"/>
      <c r="G1094" s="57"/>
      <c r="H1094" s="57"/>
      <c r="I1094" s="57"/>
      <c r="J1094" s="57"/>
      <c r="K1094" s="53"/>
      <c r="L1094" s="54"/>
      <c r="M1094" s="57"/>
      <c r="N1094" s="57"/>
      <c r="O1094" s="56"/>
      <c r="P1094" s="53"/>
      <c r="Q1094" s="57"/>
      <c r="R1094" s="57"/>
      <c r="S1094" s="57"/>
      <c r="T1094" s="57"/>
      <c r="U1094" s="52" t="str">
        <f t="shared" ca="1" si="19"/>
        <v/>
      </c>
      <c r="V1094" s="54" t="str">
        <f t="shared" si="20"/>
        <v/>
      </c>
      <c r="W1094" s="52" t="str">
        <f t="shared" ca="1" si="21"/>
        <v/>
      </c>
    </row>
    <row r="1095" spans="1:23" x14ac:dyDescent="0.25">
      <c r="A1095" s="56"/>
      <c r="B1095" s="56"/>
      <c r="C1095" s="56"/>
      <c r="D1095" s="56"/>
      <c r="E1095" s="57"/>
      <c r="F1095" s="57"/>
      <c r="G1095" s="57"/>
      <c r="H1095" s="57"/>
      <c r="I1095" s="57"/>
      <c r="J1095" s="57"/>
      <c r="K1095" s="53"/>
      <c r="L1095" s="54"/>
      <c r="M1095" s="57"/>
      <c r="N1095" s="57"/>
      <c r="O1095" s="56"/>
      <c r="P1095" s="53"/>
      <c r="Q1095" s="57"/>
      <c r="R1095" s="57"/>
      <c r="S1095" s="57"/>
      <c r="T1095" s="57"/>
      <c r="U1095" s="52" t="str">
        <f t="shared" ca="1" si="19"/>
        <v/>
      </c>
      <c r="V1095" s="54" t="str">
        <f t="shared" si="20"/>
        <v/>
      </c>
      <c r="W1095" s="52" t="str">
        <f t="shared" ca="1" si="21"/>
        <v/>
      </c>
    </row>
    <row r="1096" spans="1:23" x14ac:dyDescent="0.25">
      <c r="A1096" s="56"/>
      <c r="B1096" s="56"/>
      <c r="C1096" s="56"/>
      <c r="D1096" s="56"/>
      <c r="E1096" s="57"/>
      <c r="F1096" s="57"/>
      <c r="G1096" s="57"/>
      <c r="H1096" s="57"/>
      <c r="I1096" s="57"/>
      <c r="J1096" s="57"/>
      <c r="K1096" s="53"/>
      <c r="L1096" s="54"/>
      <c r="M1096" s="57"/>
      <c r="N1096" s="57"/>
      <c r="O1096" s="56"/>
      <c r="P1096" s="53"/>
      <c r="Q1096" s="57"/>
      <c r="R1096" s="57"/>
      <c r="S1096" s="57"/>
      <c r="T1096" s="57"/>
      <c r="U1096" s="52" t="str">
        <f t="shared" ca="1" si="19"/>
        <v/>
      </c>
      <c r="V1096" s="54" t="str">
        <f t="shared" si="20"/>
        <v/>
      </c>
      <c r="W1096" s="52" t="str">
        <f t="shared" ca="1" si="21"/>
        <v/>
      </c>
    </row>
    <row r="1097" spans="1:23" x14ac:dyDescent="0.25">
      <c r="A1097" s="56"/>
      <c r="B1097" s="56"/>
      <c r="C1097" s="56"/>
      <c r="D1097" s="56"/>
      <c r="E1097" s="57"/>
      <c r="F1097" s="57"/>
      <c r="G1097" s="57"/>
      <c r="H1097" s="57"/>
      <c r="I1097" s="57"/>
      <c r="J1097" s="57"/>
      <c r="K1097" s="53"/>
      <c r="L1097" s="54"/>
      <c r="M1097" s="57"/>
      <c r="N1097" s="57"/>
      <c r="O1097" s="56"/>
      <c r="P1097" s="53"/>
      <c r="Q1097" s="57"/>
      <c r="R1097" s="57"/>
      <c r="S1097" s="57"/>
      <c r="T1097" s="57"/>
      <c r="U1097" s="52" t="str">
        <f t="shared" ca="1" si="19"/>
        <v/>
      </c>
      <c r="V1097" s="54" t="str">
        <f t="shared" si="20"/>
        <v/>
      </c>
      <c r="W1097" s="52" t="str">
        <f t="shared" ca="1" si="21"/>
        <v/>
      </c>
    </row>
    <row r="1098" spans="1:23" x14ac:dyDescent="0.25">
      <c r="A1098" s="56"/>
      <c r="B1098" s="56"/>
      <c r="C1098" s="56"/>
      <c r="D1098" s="56"/>
      <c r="E1098" s="57"/>
      <c r="F1098" s="57"/>
      <c r="G1098" s="57"/>
      <c r="H1098" s="57"/>
      <c r="I1098" s="57"/>
      <c r="J1098" s="57"/>
      <c r="K1098" s="53"/>
      <c r="L1098" s="54"/>
      <c r="M1098" s="57"/>
      <c r="N1098" s="57"/>
      <c r="O1098" s="56"/>
      <c r="P1098" s="53"/>
      <c r="Q1098" s="57"/>
      <c r="R1098" s="57"/>
      <c r="S1098" s="57"/>
      <c r="T1098" s="57"/>
      <c r="U1098" s="52" t="str">
        <f t="shared" ca="1" si="19"/>
        <v/>
      </c>
      <c r="V1098" s="54" t="str">
        <f t="shared" si="20"/>
        <v/>
      </c>
      <c r="W1098" s="52" t="str">
        <f t="shared" ca="1" si="21"/>
        <v/>
      </c>
    </row>
    <row r="1099" spans="1:23" x14ac:dyDescent="0.25">
      <c r="A1099" s="56"/>
      <c r="B1099" s="56"/>
      <c r="C1099" s="56"/>
      <c r="D1099" s="56"/>
      <c r="E1099" s="57"/>
      <c r="F1099" s="57"/>
      <c r="G1099" s="57"/>
      <c r="H1099" s="57"/>
      <c r="I1099" s="57"/>
      <c r="J1099" s="57"/>
      <c r="K1099" s="53"/>
      <c r="L1099" s="54"/>
      <c r="M1099" s="57"/>
      <c r="N1099" s="57"/>
      <c r="O1099" s="56"/>
      <c r="P1099" s="53"/>
      <c r="Q1099" s="57"/>
      <c r="R1099" s="57"/>
      <c r="S1099" s="57"/>
      <c r="T1099" s="57"/>
      <c r="U1099" s="52" t="str">
        <f t="shared" ca="1" si="19"/>
        <v/>
      </c>
      <c r="V1099" s="54" t="str">
        <f t="shared" si="20"/>
        <v/>
      </c>
      <c r="W1099" s="52" t="str">
        <f t="shared" ca="1" si="21"/>
        <v/>
      </c>
    </row>
    <row r="1100" spans="1:23" x14ac:dyDescent="0.25">
      <c r="A1100" s="56"/>
      <c r="B1100" s="56"/>
      <c r="C1100" s="56"/>
      <c r="D1100" s="56"/>
      <c r="E1100" s="57"/>
      <c r="F1100" s="57"/>
      <c r="G1100" s="57"/>
      <c r="H1100" s="57"/>
      <c r="I1100" s="57"/>
      <c r="J1100" s="57"/>
      <c r="K1100" s="53"/>
      <c r="L1100" s="54"/>
      <c r="M1100" s="57"/>
      <c r="N1100" s="57"/>
      <c r="O1100" s="56"/>
      <c r="P1100" s="53"/>
      <c r="Q1100" s="57"/>
      <c r="R1100" s="57"/>
      <c r="S1100" s="57"/>
      <c r="T1100" s="57"/>
      <c r="U1100" s="52" t="str">
        <f t="shared" ca="1" si="19"/>
        <v/>
      </c>
      <c r="V1100" s="54" t="str">
        <f t="shared" si="20"/>
        <v/>
      </c>
      <c r="W1100" s="52" t="str">
        <f t="shared" ca="1" si="21"/>
        <v/>
      </c>
    </row>
    <row r="1101" spans="1:23" x14ac:dyDescent="0.25">
      <c r="A1101" s="56"/>
      <c r="B1101" s="56"/>
      <c r="C1101" s="56"/>
      <c r="D1101" s="56"/>
      <c r="E1101" s="57"/>
      <c r="F1101" s="57"/>
      <c r="G1101" s="57"/>
      <c r="H1101" s="57"/>
      <c r="I1101" s="57"/>
      <c r="J1101" s="57"/>
      <c r="K1101" s="53"/>
      <c r="L1101" s="54"/>
      <c r="M1101" s="57"/>
      <c r="N1101" s="57"/>
      <c r="O1101" s="56"/>
      <c r="P1101" s="53"/>
      <c r="Q1101" s="57"/>
      <c r="R1101" s="57"/>
      <c r="S1101" s="57"/>
      <c r="T1101" s="57"/>
      <c r="U1101" s="52" t="str">
        <f t="shared" ca="1" si="19"/>
        <v/>
      </c>
      <c r="V1101" s="54" t="str">
        <f t="shared" si="20"/>
        <v/>
      </c>
      <c r="W1101" s="52" t="str">
        <f t="shared" ca="1" si="21"/>
        <v/>
      </c>
    </row>
    <row r="1102" spans="1:23" x14ac:dyDescent="0.25">
      <c r="A1102" s="56"/>
      <c r="B1102" s="56"/>
      <c r="C1102" s="56"/>
      <c r="D1102" s="56"/>
      <c r="E1102" s="57"/>
      <c r="F1102" s="57"/>
      <c r="G1102" s="57"/>
      <c r="H1102" s="57"/>
      <c r="I1102" s="57"/>
      <c r="J1102" s="57"/>
      <c r="K1102" s="53"/>
      <c r="L1102" s="54"/>
      <c r="M1102" s="57"/>
      <c r="N1102" s="57"/>
      <c r="O1102" s="56"/>
      <c r="P1102" s="53"/>
      <c r="Q1102" s="57"/>
      <c r="R1102" s="57"/>
      <c r="S1102" s="57"/>
      <c r="T1102" s="57"/>
      <c r="U1102" s="52" t="str">
        <f t="shared" ca="1" si="19"/>
        <v/>
      </c>
      <c r="V1102" s="54" t="str">
        <f t="shared" si="20"/>
        <v/>
      </c>
      <c r="W1102" s="52" t="str">
        <f t="shared" ca="1" si="21"/>
        <v/>
      </c>
    </row>
    <row r="1103" spans="1:23" x14ac:dyDescent="0.25">
      <c r="A1103" s="56"/>
      <c r="B1103" s="56"/>
      <c r="C1103" s="56"/>
      <c r="D1103" s="56"/>
      <c r="E1103" s="57"/>
      <c r="F1103" s="57"/>
      <c r="G1103" s="57"/>
      <c r="H1103" s="57"/>
      <c r="I1103" s="57"/>
      <c r="J1103" s="57"/>
      <c r="K1103" s="53"/>
      <c r="L1103" s="54"/>
      <c r="M1103" s="57"/>
      <c r="N1103" s="57"/>
      <c r="O1103" s="56"/>
      <c r="P1103" s="53"/>
      <c r="Q1103" s="57"/>
      <c r="R1103" s="57"/>
      <c r="S1103" s="57"/>
      <c r="T1103" s="57"/>
      <c r="U1103" s="52" t="str">
        <f t="shared" ca="1" si="19"/>
        <v/>
      </c>
      <c r="V1103" s="54" t="str">
        <f t="shared" si="20"/>
        <v/>
      </c>
      <c r="W1103" s="52" t="str">
        <f t="shared" ca="1" si="21"/>
        <v/>
      </c>
    </row>
    <row r="1104" spans="1:23" x14ac:dyDescent="0.25">
      <c r="A1104" s="56"/>
      <c r="B1104" s="56"/>
      <c r="C1104" s="56"/>
      <c r="D1104" s="56"/>
      <c r="E1104" s="57"/>
      <c r="F1104" s="57"/>
      <c r="G1104" s="57"/>
      <c r="H1104" s="57"/>
      <c r="I1104" s="57"/>
      <c r="J1104" s="57"/>
      <c r="K1104" s="53"/>
      <c r="L1104" s="54"/>
      <c r="M1104" s="57"/>
      <c r="N1104" s="57"/>
      <c r="O1104" s="56"/>
      <c r="P1104" s="53"/>
      <c r="Q1104" s="57"/>
      <c r="R1104" s="57"/>
      <c r="S1104" s="57"/>
      <c r="T1104" s="57"/>
      <c r="U1104" s="52" t="str">
        <f t="shared" ca="1" si="19"/>
        <v/>
      </c>
      <c r="V1104" s="54" t="str">
        <f t="shared" si="20"/>
        <v/>
      </c>
      <c r="W1104" s="52" t="str">
        <f t="shared" ca="1" si="21"/>
        <v/>
      </c>
    </row>
    <row r="1105" spans="1:23" x14ac:dyDescent="0.25">
      <c r="A1105" s="56"/>
      <c r="B1105" s="56"/>
      <c r="C1105" s="56"/>
      <c r="D1105" s="56"/>
      <c r="E1105" s="57"/>
      <c r="F1105" s="57"/>
      <c r="G1105" s="57"/>
      <c r="H1105" s="57"/>
      <c r="I1105" s="57"/>
      <c r="J1105" s="57"/>
      <c r="K1105" s="53"/>
      <c r="L1105" s="54"/>
      <c r="M1105" s="57"/>
      <c r="N1105" s="57"/>
      <c r="O1105" s="56"/>
      <c r="P1105" s="53"/>
      <c r="Q1105" s="57"/>
      <c r="R1105" s="57"/>
      <c r="S1105" s="57"/>
      <c r="T1105" s="57"/>
      <c r="U1105" s="52" t="str">
        <f t="shared" ca="1" si="19"/>
        <v/>
      </c>
      <c r="V1105" s="54" t="str">
        <f t="shared" si="20"/>
        <v/>
      </c>
      <c r="W1105" s="52" t="str">
        <f t="shared" ca="1" si="21"/>
        <v/>
      </c>
    </row>
    <row r="1106" spans="1:23" x14ac:dyDescent="0.25">
      <c r="A1106" s="56"/>
      <c r="B1106" s="56"/>
      <c r="C1106" s="56"/>
      <c r="D1106" s="56"/>
      <c r="E1106" s="57"/>
      <c r="F1106" s="57"/>
      <c r="G1106" s="57"/>
      <c r="H1106" s="57"/>
      <c r="I1106" s="57"/>
      <c r="J1106" s="57"/>
      <c r="K1106" s="53"/>
      <c r="L1106" s="54"/>
      <c r="M1106" s="57"/>
      <c r="N1106" s="57"/>
      <c r="O1106" s="56"/>
      <c r="P1106" s="53"/>
      <c r="Q1106" s="57"/>
      <c r="R1106" s="57"/>
      <c r="S1106" s="57"/>
      <c r="T1106" s="57"/>
      <c r="U1106" s="52" t="str">
        <f t="shared" ca="1" si="19"/>
        <v/>
      </c>
      <c r="V1106" s="54" t="str">
        <f t="shared" si="20"/>
        <v/>
      </c>
      <c r="W1106" s="52" t="str">
        <f t="shared" ca="1" si="21"/>
        <v/>
      </c>
    </row>
    <row r="1107" spans="1:23" x14ac:dyDescent="0.25">
      <c r="A1107" s="56"/>
      <c r="B1107" s="56"/>
      <c r="C1107" s="56"/>
      <c r="D1107" s="56"/>
      <c r="E1107" s="57"/>
      <c r="F1107" s="57"/>
      <c r="G1107" s="57"/>
      <c r="H1107" s="57"/>
      <c r="I1107" s="57"/>
      <c r="J1107" s="57"/>
      <c r="K1107" s="53"/>
      <c r="L1107" s="54"/>
      <c r="M1107" s="57"/>
      <c r="N1107" s="57"/>
      <c r="O1107" s="56"/>
      <c r="P1107" s="53"/>
      <c r="Q1107" s="57"/>
      <c r="R1107" s="57"/>
      <c r="S1107" s="57"/>
      <c r="T1107" s="57"/>
      <c r="U1107" s="52" t="str">
        <f t="shared" ca="1" si="19"/>
        <v/>
      </c>
      <c r="V1107" s="54" t="str">
        <f t="shared" si="20"/>
        <v/>
      </c>
      <c r="W1107" s="52" t="str">
        <f t="shared" ca="1" si="21"/>
        <v/>
      </c>
    </row>
    <row r="1108" spans="1:23" x14ac:dyDescent="0.25">
      <c r="A1108" s="56"/>
      <c r="B1108" s="56"/>
      <c r="C1108" s="56"/>
      <c r="D1108" s="56"/>
      <c r="E1108" s="57"/>
      <c r="F1108" s="57"/>
      <c r="G1108" s="57"/>
      <c r="H1108" s="57"/>
      <c r="I1108" s="57"/>
      <c r="J1108" s="57"/>
      <c r="K1108" s="53"/>
      <c r="L1108" s="54"/>
      <c r="M1108" s="57"/>
      <c r="N1108" s="57"/>
      <c r="O1108" s="56"/>
      <c r="P1108" s="53"/>
      <c r="Q1108" s="57"/>
      <c r="R1108" s="57"/>
      <c r="S1108" s="57"/>
      <c r="T1108" s="57"/>
      <c r="U1108" s="52" t="str">
        <f t="shared" ca="1" si="19"/>
        <v/>
      </c>
      <c r="V1108" s="54" t="str">
        <f t="shared" si="20"/>
        <v/>
      </c>
      <c r="W1108" s="52" t="str">
        <f t="shared" ca="1" si="21"/>
        <v/>
      </c>
    </row>
    <row r="1109" spans="1:23" x14ac:dyDescent="0.25">
      <c r="A1109" s="56"/>
      <c r="B1109" s="56"/>
      <c r="C1109" s="56"/>
      <c r="D1109" s="56"/>
      <c r="E1109" s="57"/>
      <c r="F1109" s="57"/>
      <c r="G1109" s="57"/>
      <c r="H1109" s="57"/>
      <c r="I1109" s="57"/>
      <c r="J1109" s="57"/>
      <c r="K1109" s="53"/>
      <c r="L1109" s="54"/>
      <c r="M1109" s="57"/>
      <c r="N1109" s="57"/>
      <c r="O1109" s="56"/>
      <c r="P1109" s="53"/>
      <c r="Q1109" s="57"/>
      <c r="R1109" s="57"/>
      <c r="S1109" s="57"/>
      <c r="T1109" s="57"/>
      <c r="U1109" s="52" t="str">
        <f t="shared" ca="1" si="19"/>
        <v/>
      </c>
      <c r="V1109" s="54" t="str">
        <f t="shared" si="20"/>
        <v/>
      </c>
      <c r="W1109" s="52" t="str">
        <f t="shared" ca="1" si="21"/>
        <v/>
      </c>
    </row>
    <row r="1110" spans="1:23" x14ac:dyDescent="0.25">
      <c r="A1110" s="56"/>
      <c r="B1110" s="56"/>
      <c r="C1110" s="56"/>
      <c r="D1110" s="56"/>
      <c r="E1110" s="57"/>
      <c r="F1110" s="57"/>
      <c r="G1110" s="57"/>
      <c r="H1110" s="57"/>
      <c r="I1110" s="57"/>
      <c r="J1110" s="57"/>
      <c r="K1110" s="53"/>
      <c r="L1110" s="54"/>
      <c r="M1110" s="57"/>
      <c r="N1110" s="57"/>
      <c r="O1110" s="56"/>
      <c r="P1110" s="53"/>
      <c r="Q1110" s="57"/>
      <c r="R1110" s="57"/>
      <c r="S1110" s="57"/>
      <c r="T1110" s="57"/>
      <c r="U1110" s="52" t="str">
        <f t="shared" ca="1" si="19"/>
        <v/>
      </c>
      <c r="V1110" s="54" t="str">
        <f t="shared" si="20"/>
        <v/>
      </c>
      <c r="W1110" s="52" t="str">
        <f t="shared" ca="1" si="21"/>
        <v/>
      </c>
    </row>
    <row r="1111" spans="1:23" x14ac:dyDescent="0.25">
      <c r="A1111" s="56"/>
      <c r="B1111" s="56"/>
      <c r="C1111" s="56"/>
      <c r="D1111" s="56"/>
      <c r="E1111" s="57"/>
      <c r="F1111" s="57"/>
      <c r="G1111" s="57"/>
      <c r="H1111" s="57"/>
      <c r="I1111" s="57"/>
      <c r="J1111" s="57"/>
      <c r="K1111" s="53"/>
      <c r="L1111" s="54"/>
      <c r="M1111" s="57"/>
      <c r="N1111" s="57"/>
      <c r="O1111" s="56"/>
      <c r="P1111" s="53"/>
      <c r="Q1111" s="57"/>
      <c r="R1111" s="57"/>
      <c r="S1111" s="57"/>
      <c r="T1111" s="57"/>
      <c r="U1111" s="52" t="str">
        <f t="shared" ca="1" si="19"/>
        <v/>
      </c>
      <c r="V1111" s="54" t="str">
        <f t="shared" si="20"/>
        <v/>
      </c>
      <c r="W1111" s="52" t="str">
        <f t="shared" ca="1" si="21"/>
        <v/>
      </c>
    </row>
    <row r="1112" spans="1:23" x14ac:dyDescent="0.25">
      <c r="A1112" s="56"/>
      <c r="B1112" s="56"/>
      <c r="C1112" s="56"/>
      <c r="D1112" s="56"/>
      <c r="E1112" s="57"/>
      <c r="F1112" s="57"/>
      <c r="G1112" s="57"/>
      <c r="H1112" s="57"/>
      <c r="I1112" s="57"/>
      <c r="J1112" s="57"/>
      <c r="K1112" s="53"/>
      <c r="L1112" s="54"/>
      <c r="M1112" s="57"/>
      <c r="N1112" s="57"/>
      <c r="O1112" s="56"/>
      <c r="P1112" s="53"/>
      <c r="Q1112" s="57"/>
      <c r="R1112" s="57"/>
      <c r="S1112" s="57"/>
      <c r="T1112" s="57"/>
      <c r="U1112" s="52" t="str">
        <f t="shared" ca="1" si="19"/>
        <v/>
      </c>
      <c r="V1112" s="54" t="str">
        <f t="shared" si="20"/>
        <v/>
      </c>
      <c r="W1112" s="52" t="str">
        <f t="shared" ca="1" si="21"/>
        <v/>
      </c>
    </row>
    <row r="1113" spans="1:23" x14ac:dyDescent="0.25">
      <c r="A1113" s="56"/>
      <c r="B1113" s="56"/>
      <c r="C1113" s="56"/>
      <c r="D1113" s="56"/>
      <c r="E1113" s="57"/>
      <c r="F1113" s="57"/>
      <c r="G1113" s="57"/>
      <c r="H1113" s="57"/>
      <c r="I1113" s="57"/>
      <c r="J1113" s="57"/>
      <c r="K1113" s="53"/>
      <c r="L1113" s="54"/>
      <c r="M1113" s="57"/>
      <c r="N1113" s="57"/>
      <c r="O1113" s="56"/>
      <c r="P1113" s="53"/>
      <c r="Q1113" s="57"/>
      <c r="R1113" s="57"/>
      <c r="S1113" s="57"/>
      <c r="T1113" s="57"/>
      <c r="U1113" s="52" t="str">
        <f t="shared" ca="1" si="19"/>
        <v/>
      </c>
      <c r="V1113" s="54" t="str">
        <f t="shared" si="20"/>
        <v/>
      </c>
      <c r="W1113" s="52" t="str">
        <f t="shared" ca="1" si="21"/>
        <v/>
      </c>
    </row>
    <row r="1114" spans="1:23" x14ac:dyDescent="0.25">
      <c r="A1114" s="56"/>
      <c r="B1114" s="56"/>
      <c r="C1114" s="56"/>
      <c r="D1114" s="56"/>
      <c r="E1114" s="57"/>
      <c r="F1114" s="57"/>
      <c r="G1114" s="57"/>
      <c r="H1114" s="57"/>
      <c r="I1114" s="57"/>
      <c r="J1114" s="57"/>
      <c r="K1114" s="53"/>
      <c r="L1114" s="54"/>
      <c r="M1114" s="57"/>
      <c r="N1114" s="57"/>
      <c r="O1114" s="56"/>
      <c r="P1114" s="53"/>
      <c r="Q1114" s="57"/>
      <c r="R1114" s="57"/>
      <c r="S1114" s="57"/>
      <c r="T1114" s="57"/>
      <c r="U1114" s="52" t="str">
        <f t="shared" ca="1" si="19"/>
        <v/>
      </c>
      <c r="V1114" s="54" t="str">
        <f t="shared" si="20"/>
        <v/>
      </c>
      <c r="W1114" s="52" t="str">
        <f t="shared" ca="1" si="21"/>
        <v/>
      </c>
    </row>
    <row r="1115" spans="1:23" x14ac:dyDescent="0.25">
      <c r="A1115" s="56"/>
      <c r="B1115" s="56"/>
      <c r="C1115" s="56"/>
      <c r="D1115" s="56"/>
      <c r="E1115" s="57"/>
      <c r="F1115" s="57"/>
      <c r="G1115" s="57"/>
      <c r="H1115" s="57"/>
      <c r="I1115" s="57"/>
      <c r="J1115" s="57"/>
      <c r="K1115" s="53"/>
      <c r="L1115" s="54"/>
      <c r="M1115" s="57"/>
      <c r="N1115" s="57"/>
      <c r="O1115" s="56"/>
      <c r="P1115" s="53"/>
      <c r="Q1115" s="57"/>
      <c r="R1115" s="57"/>
      <c r="S1115" s="57"/>
      <c r="T1115" s="57"/>
      <c r="U1115" s="52" t="str">
        <f t="shared" ca="1" si="19"/>
        <v/>
      </c>
      <c r="V1115" s="54" t="str">
        <f t="shared" si="20"/>
        <v/>
      </c>
      <c r="W1115" s="52" t="str">
        <f t="shared" ca="1" si="21"/>
        <v/>
      </c>
    </row>
    <row r="1116" spans="1:23" x14ac:dyDescent="0.25">
      <c r="A1116" s="56"/>
      <c r="B1116" s="56"/>
      <c r="C1116" s="56"/>
      <c r="D1116" s="56"/>
      <c r="E1116" s="57"/>
      <c r="F1116" s="57"/>
      <c r="G1116" s="57"/>
      <c r="H1116" s="57"/>
      <c r="I1116" s="57"/>
      <c r="J1116" s="57"/>
      <c r="K1116" s="53"/>
      <c r="L1116" s="54"/>
      <c r="M1116" s="57"/>
      <c r="N1116" s="57"/>
      <c r="O1116" s="56"/>
      <c r="P1116" s="53"/>
      <c r="Q1116" s="57"/>
      <c r="R1116" s="57"/>
      <c r="S1116" s="57"/>
      <c r="T1116" s="57"/>
      <c r="U1116" s="52" t="str">
        <f t="shared" ca="1" si="19"/>
        <v/>
      </c>
      <c r="V1116" s="54" t="str">
        <f t="shared" si="20"/>
        <v/>
      </c>
      <c r="W1116" s="52" t="str">
        <f t="shared" ca="1" si="21"/>
        <v/>
      </c>
    </row>
    <row r="1117" spans="1:23" x14ac:dyDescent="0.25">
      <c r="A1117" s="56"/>
      <c r="B1117" s="56"/>
      <c r="C1117" s="56"/>
      <c r="D1117" s="56"/>
      <c r="E1117" s="57"/>
      <c r="F1117" s="57"/>
      <c r="G1117" s="57"/>
      <c r="H1117" s="57"/>
      <c r="I1117" s="57"/>
      <c r="J1117" s="57"/>
      <c r="K1117" s="53"/>
      <c r="L1117" s="54"/>
      <c r="M1117" s="57"/>
      <c r="N1117" s="57"/>
      <c r="O1117" s="56"/>
      <c r="P1117" s="53"/>
      <c r="Q1117" s="57"/>
      <c r="R1117" s="57"/>
      <c r="S1117" s="57"/>
      <c r="T1117" s="57"/>
      <c r="U1117" s="52" t="str">
        <f t="shared" ca="1" si="19"/>
        <v/>
      </c>
      <c r="V1117" s="54" t="str">
        <f t="shared" si="20"/>
        <v/>
      </c>
      <c r="W1117" s="52" t="str">
        <f t="shared" ca="1" si="21"/>
        <v/>
      </c>
    </row>
    <row r="1118" spans="1:23" x14ac:dyDescent="0.25">
      <c r="A1118" s="56"/>
      <c r="B1118" s="56"/>
      <c r="C1118" s="56"/>
      <c r="D1118" s="56"/>
      <c r="E1118" s="57"/>
      <c r="F1118" s="57"/>
      <c r="G1118" s="57"/>
      <c r="H1118" s="57"/>
      <c r="I1118" s="57"/>
      <c r="J1118" s="57"/>
      <c r="K1118" s="53"/>
      <c r="L1118" s="54"/>
      <c r="M1118" s="57"/>
      <c r="N1118" s="57"/>
      <c r="O1118" s="56"/>
      <c r="P1118" s="53"/>
      <c r="Q1118" s="57"/>
      <c r="R1118" s="57"/>
      <c r="S1118" s="57"/>
      <c r="T1118" s="57"/>
      <c r="U1118" s="52" t="str">
        <f t="shared" ca="1" si="19"/>
        <v/>
      </c>
      <c r="V1118" s="54" t="str">
        <f t="shared" si="20"/>
        <v/>
      </c>
      <c r="W1118" s="52" t="str">
        <f t="shared" ca="1" si="21"/>
        <v/>
      </c>
    </row>
    <row r="1119" spans="1:23" x14ac:dyDescent="0.25">
      <c r="A1119" s="56"/>
      <c r="B1119" s="56"/>
      <c r="C1119" s="56"/>
      <c r="D1119" s="56"/>
      <c r="E1119" s="57"/>
      <c r="F1119" s="57"/>
      <c r="G1119" s="57"/>
      <c r="H1119" s="57"/>
      <c r="I1119" s="57"/>
      <c r="J1119" s="57"/>
      <c r="K1119" s="53"/>
      <c r="L1119" s="54"/>
      <c r="M1119" s="57"/>
      <c r="N1119" s="57"/>
      <c r="O1119" s="56"/>
      <c r="P1119" s="53"/>
      <c r="Q1119" s="57"/>
      <c r="R1119" s="57"/>
      <c r="S1119" s="57"/>
      <c r="T1119" s="57"/>
      <c r="U1119" s="52" t="str">
        <f t="shared" ca="1" si="19"/>
        <v/>
      </c>
      <c r="V1119" s="54" t="str">
        <f t="shared" si="20"/>
        <v/>
      </c>
      <c r="W1119" s="52" t="str">
        <f t="shared" ca="1" si="21"/>
        <v/>
      </c>
    </row>
    <row r="1120" spans="1:23" x14ac:dyDescent="0.25">
      <c r="A1120" s="56"/>
      <c r="B1120" s="56"/>
      <c r="C1120" s="56"/>
      <c r="D1120" s="56"/>
      <c r="E1120" s="57"/>
      <c r="F1120" s="57"/>
      <c r="G1120" s="57"/>
      <c r="H1120" s="57"/>
      <c r="I1120" s="57"/>
      <c r="J1120" s="57"/>
      <c r="K1120" s="53"/>
      <c r="L1120" s="54"/>
      <c r="M1120" s="57"/>
      <c r="N1120" s="57"/>
      <c r="O1120" s="56"/>
      <c r="P1120" s="53"/>
      <c r="Q1120" s="57"/>
      <c r="R1120" s="57"/>
      <c r="S1120" s="57"/>
      <c r="T1120" s="57"/>
      <c r="U1120" s="52" t="str">
        <f t="shared" ca="1" si="19"/>
        <v/>
      </c>
      <c r="V1120" s="54" t="str">
        <f t="shared" si="20"/>
        <v/>
      </c>
      <c r="W1120" s="52" t="str">
        <f t="shared" ca="1" si="21"/>
        <v/>
      </c>
    </row>
    <row r="1121" spans="1:23" x14ac:dyDescent="0.25">
      <c r="A1121" s="56"/>
      <c r="B1121" s="56"/>
      <c r="C1121" s="56"/>
      <c r="D1121" s="56"/>
      <c r="E1121" s="57"/>
      <c r="F1121" s="57"/>
      <c r="G1121" s="57"/>
      <c r="H1121" s="57"/>
      <c r="I1121" s="57"/>
      <c r="J1121" s="57"/>
      <c r="K1121" s="53"/>
      <c r="L1121" s="54"/>
      <c r="M1121" s="57"/>
      <c r="N1121" s="57"/>
      <c r="O1121" s="56"/>
      <c r="P1121" s="53"/>
      <c r="Q1121" s="57"/>
      <c r="R1121" s="57"/>
      <c r="S1121" s="57"/>
      <c r="T1121" s="57"/>
      <c r="U1121" s="52" t="str">
        <f t="shared" ca="1" si="19"/>
        <v/>
      </c>
      <c r="V1121" s="54" t="str">
        <f t="shared" si="20"/>
        <v/>
      </c>
      <c r="W1121" s="52" t="str">
        <f t="shared" ca="1" si="21"/>
        <v/>
      </c>
    </row>
    <row r="1122" spans="1:23" x14ac:dyDescent="0.25">
      <c r="A1122" s="56"/>
      <c r="B1122" s="56"/>
      <c r="C1122" s="56"/>
      <c r="D1122" s="56"/>
      <c r="E1122" s="57"/>
      <c r="F1122" s="57"/>
      <c r="G1122" s="57"/>
      <c r="H1122" s="57"/>
      <c r="I1122" s="57"/>
      <c r="J1122" s="57"/>
      <c r="K1122" s="53"/>
      <c r="L1122" s="54"/>
      <c r="M1122" s="57"/>
      <c r="N1122" s="57"/>
      <c r="O1122" s="56"/>
      <c r="P1122" s="53"/>
      <c r="Q1122" s="57"/>
      <c r="R1122" s="57"/>
      <c r="S1122" s="57"/>
      <c r="T1122" s="57"/>
      <c r="U1122" s="52" t="str">
        <f t="shared" ca="1" si="19"/>
        <v/>
      </c>
      <c r="V1122" s="54" t="str">
        <f t="shared" si="20"/>
        <v/>
      </c>
      <c r="W1122" s="52" t="str">
        <f t="shared" ca="1" si="21"/>
        <v/>
      </c>
    </row>
    <row r="1123" spans="1:23" x14ac:dyDescent="0.25">
      <c r="A1123" s="56"/>
      <c r="B1123" s="56"/>
      <c r="C1123" s="56"/>
      <c r="D1123" s="56"/>
      <c r="E1123" s="57"/>
      <c r="F1123" s="57"/>
      <c r="G1123" s="57"/>
      <c r="H1123" s="57"/>
      <c r="I1123" s="57"/>
      <c r="J1123" s="57"/>
      <c r="K1123" s="53"/>
      <c r="L1123" s="54"/>
      <c r="M1123" s="57"/>
      <c r="N1123" s="57"/>
      <c r="O1123" s="56"/>
      <c r="P1123" s="53"/>
      <c r="Q1123" s="57"/>
      <c r="R1123" s="57"/>
      <c r="S1123" s="57"/>
      <c r="T1123" s="57"/>
      <c r="U1123" s="52" t="str">
        <f t="shared" ca="1" si="19"/>
        <v/>
      </c>
      <c r="V1123" s="54" t="str">
        <f t="shared" si="20"/>
        <v/>
      </c>
      <c r="W1123" s="52" t="str">
        <f t="shared" ca="1" si="21"/>
        <v/>
      </c>
    </row>
    <row r="1124" spans="1:23" x14ac:dyDescent="0.25">
      <c r="A1124" s="56"/>
      <c r="B1124" s="56"/>
      <c r="C1124" s="56"/>
      <c r="D1124" s="56"/>
      <c r="E1124" s="57"/>
      <c r="F1124" s="57"/>
      <c r="G1124" s="57"/>
      <c r="H1124" s="57"/>
      <c r="I1124" s="57"/>
      <c r="J1124" s="57"/>
      <c r="K1124" s="53"/>
      <c r="L1124" s="54"/>
      <c r="M1124" s="57"/>
      <c r="N1124" s="57"/>
      <c r="O1124" s="56"/>
      <c r="P1124" s="53"/>
      <c r="Q1124" s="57"/>
      <c r="R1124" s="57"/>
      <c r="S1124" s="57"/>
      <c r="T1124" s="57"/>
      <c r="U1124" s="52" t="str">
        <f t="shared" ca="1" si="19"/>
        <v/>
      </c>
      <c r="V1124" s="54" t="str">
        <f t="shared" si="20"/>
        <v/>
      </c>
      <c r="W1124" s="52" t="str">
        <f t="shared" ca="1" si="21"/>
        <v/>
      </c>
    </row>
    <row r="1125" spans="1:23" x14ac:dyDescent="0.25">
      <c r="A1125" s="56"/>
      <c r="B1125" s="56"/>
      <c r="C1125" s="56"/>
      <c r="D1125" s="56"/>
      <c r="E1125" s="57"/>
      <c r="F1125" s="57"/>
      <c r="G1125" s="57"/>
      <c r="H1125" s="57"/>
      <c r="I1125" s="57"/>
      <c r="J1125" s="57"/>
      <c r="K1125" s="53"/>
      <c r="L1125" s="54"/>
      <c r="M1125" s="57"/>
      <c r="N1125" s="57"/>
      <c r="O1125" s="56"/>
      <c r="P1125" s="53"/>
      <c r="Q1125" s="57"/>
      <c r="R1125" s="57"/>
      <c r="S1125" s="57"/>
      <c r="T1125" s="57"/>
      <c r="U1125" s="52" t="str">
        <f t="shared" ca="1" si="19"/>
        <v/>
      </c>
      <c r="V1125" s="54" t="str">
        <f t="shared" si="20"/>
        <v/>
      </c>
      <c r="W1125" s="52" t="str">
        <f t="shared" ca="1" si="21"/>
        <v/>
      </c>
    </row>
    <row r="1126" spans="1:23" x14ac:dyDescent="0.25">
      <c r="A1126" s="56"/>
      <c r="B1126" s="56"/>
      <c r="C1126" s="56"/>
      <c r="D1126" s="56"/>
      <c r="E1126" s="57"/>
      <c r="F1126" s="57"/>
      <c r="G1126" s="57"/>
      <c r="H1126" s="57"/>
      <c r="I1126" s="57"/>
      <c r="J1126" s="57"/>
      <c r="K1126" s="53"/>
      <c r="L1126" s="54"/>
      <c r="M1126" s="57"/>
      <c r="N1126" s="57"/>
      <c r="O1126" s="56"/>
      <c r="P1126" s="53"/>
      <c r="Q1126" s="57"/>
      <c r="R1126" s="57"/>
      <c r="S1126" s="57"/>
      <c r="T1126" s="57"/>
      <c r="U1126" s="52" t="str">
        <f t="shared" ca="1" si="19"/>
        <v/>
      </c>
      <c r="V1126" s="54" t="str">
        <f t="shared" si="20"/>
        <v/>
      </c>
      <c r="W1126" s="52" t="str">
        <f t="shared" ca="1" si="21"/>
        <v/>
      </c>
    </row>
    <row r="1127" spans="1:23" x14ac:dyDescent="0.25">
      <c r="A1127" s="56"/>
      <c r="B1127" s="56"/>
      <c r="C1127" s="56"/>
      <c r="D1127" s="56"/>
      <c r="E1127" s="57"/>
      <c r="F1127" s="57"/>
      <c r="G1127" s="57"/>
      <c r="H1127" s="57"/>
      <c r="I1127" s="57"/>
      <c r="J1127" s="57"/>
      <c r="K1127" s="53"/>
      <c r="L1127" s="54"/>
      <c r="M1127" s="57"/>
      <c r="N1127" s="57"/>
      <c r="O1127" s="56"/>
      <c r="P1127" s="53"/>
      <c r="Q1127" s="57"/>
      <c r="R1127" s="57"/>
      <c r="S1127" s="57"/>
      <c r="T1127" s="57"/>
      <c r="U1127" s="52" t="str">
        <f t="shared" ca="1" si="19"/>
        <v/>
      </c>
      <c r="V1127" s="54" t="str">
        <f t="shared" si="20"/>
        <v/>
      </c>
      <c r="W1127" s="52" t="str">
        <f t="shared" ca="1" si="21"/>
        <v/>
      </c>
    </row>
    <row r="1128" spans="1:23" x14ac:dyDescent="0.25">
      <c r="A1128" s="56"/>
      <c r="B1128" s="56"/>
      <c r="C1128" s="56"/>
      <c r="D1128" s="56"/>
      <c r="E1128" s="57"/>
      <c r="F1128" s="57"/>
      <c r="G1128" s="57"/>
      <c r="H1128" s="57"/>
      <c r="I1128" s="57"/>
      <c r="J1128" s="57"/>
      <c r="K1128" s="53"/>
      <c r="L1128" s="54"/>
      <c r="M1128" s="57"/>
      <c r="N1128" s="57"/>
      <c r="O1128" s="56"/>
      <c r="P1128" s="53"/>
      <c r="Q1128" s="57"/>
      <c r="R1128" s="57"/>
      <c r="S1128" s="57"/>
      <c r="T1128" s="57"/>
      <c r="U1128" s="52" t="str">
        <f t="shared" ca="1" si="19"/>
        <v/>
      </c>
      <c r="V1128" s="54" t="str">
        <f t="shared" si="20"/>
        <v/>
      </c>
      <c r="W1128" s="52" t="str">
        <f t="shared" ca="1" si="21"/>
        <v/>
      </c>
    </row>
    <row r="1129" spans="1:23" x14ac:dyDescent="0.25">
      <c r="A1129" s="56"/>
      <c r="B1129" s="56"/>
      <c r="C1129" s="56"/>
      <c r="D1129" s="56"/>
      <c r="E1129" s="57"/>
      <c r="F1129" s="57"/>
      <c r="G1129" s="57"/>
      <c r="H1129" s="57"/>
      <c r="I1129" s="57"/>
      <c r="J1129" s="57"/>
      <c r="K1129" s="53"/>
      <c r="L1129" s="54"/>
      <c r="M1129" s="57"/>
      <c r="N1129" s="57"/>
      <c r="O1129" s="56"/>
      <c r="P1129" s="53"/>
      <c r="Q1129" s="57"/>
      <c r="R1129" s="57"/>
      <c r="S1129" s="57"/>
      <c r="T1129" s="57"/>
      <c r="U1129" s="52" t="str">
        <f t="shared" ca="1" si="19"/>
        <v/>
      </c>
      <c r="V1129" s="54" t="str">
        <f t="shared" si="20"/>
        <v/>
      </c>
      <c r="W1129" s="52" t="str">
        <f t="shared" ca="1" si="21"/>
        <v/>
      </c>
    </row>
    <row r="1130" spans="1:23" x14ac:dyDescent="0.25">
      <c r="A1130" s="56"/>
      <c r="B1130" s="56"/>
      <c r="C1130" s="56"/>
      <c r="D1130" s="56"/>
      <c r="E1130" s="57"/>
      <c r="F1130" s="57"/>
      <c r="G1130" s="57"/>
      <c r="H1130" s="57"/>
      <c r="I1130" s="57"/>
      <c r="J1130" s="57"/>
      <c r="K1130" s="53"/>
      <c r="L1130" s="54"/>
      <c r="M1130" s="57"/>
      <c r="N1130" s="57"/>
      <c r="O1130" s="56"/>
      <c r="P1130" s="53"/>
      <c r="Q1130" s="57"/>
      <c r="R1130" s="57"/>
      <c r="S1130" s="57"/>
      <c r="T1130" s="57"/>
      <c r="U1130" s="52" t="str">
        <f t="shared" ca="1" si="19"/>
        <v/>
      </c>
      <c r="V1130" s="54" t="str">
        <f t="shared" si="20"/>
        <v/>
      </c>
      <c r="W1130" s="52" t="str">
        <f t="shared" ca="1" si="21"/>
        <v/>
      </c>
    </row>
    <row r="1131" spans="1:23" x14ac:dyDescent="0.25">
      <c r="A1131" s="56"/>
      <c r="B1131" s="56"/>
      <c r="C1131" s="56"/>
      <c r="D1131" s="56"/>
      <c r="E1131" s="57"/>
      <c r="F1131" s="57"/>
      <c r="G1131" s="57"/>
      <c r="H1131" s="57"/>
      <c r="I1131" s="57"/>
      <c r="J1131" s="57"/>
      <c r="K1131" s="53"/>
      <c r="L1131" s="54"/>
      <c r="M1131" s="57"/>
      <c r="N1131" s="57"/>
      <c r="O1131" s="56"/>
      <c r="P1131" s="53"/>
      <c r="Q1131" s="57"/>
      <c r="R1131" s="57"/>
      <c r="S1131" s="57"/>
      <c r="T1131" s="57"/>
      <c r="U1131" s="52" t="str">
        <f t="shared" ca="1" si="19"/>
        <v/>
      </c>
      <c r="V1131" s="54" t="str">
        <f t="shared" si="20"/>
        <v/>
      </c>
      <c r="W1131" s="52" t="str">
        <f t="shared" ca="1" si="21"/>
        <v/>
      </c>
    </row>
    <row r="1132" spans="1:23" x14ac:dyDescent="0.25">
      <c r="A1132" s="56"/>
      <c r="B1132" s="56"/>
      <c r="C1132" s="56"/>
      <c r="D1132" s="56"/>
      <c r="E1132" s="57"/>
      <c r="F1132" s="57"/>
      <c r="G1132" s="57"/>
      <c r="H1132" s="57"/>
      <c r="I1132" s="57"/>
      <c r="J1132" s="57"/>
      <c r="K1132" s="53"/>
      <c r="L1132" s="54"/>
      <c r="M1132" s="57"/>
      <c r="N1132" s="57"/>
      <c r="O1132" s="56"/>
      <c r="P1132" s="53"/>
      <c r="Q1132" s="57"/>
      <c r="R1132" s="57"/>
      <c r="S1132" s="57"/>
      <c r="T1132" s="57"/>
      <c r="U1132" s="52" t="str">
        <f t="shared" ca="1" si="19"/>
        <v/>
      </c>
      <c r="V1132" s="54" t="str">
        <f t="shared" si="20"/>
        <v/>
      </c>
      <c r="W1132" s="52" t="str">
        <f t="shared" ca="1" si="21"/>
        <v/>
      </c>
    </row>
    <row r="1133" spans="1:23" x14ac:dyDescent="0.25">
      <c r="A1133" s="56"/>
      <c r="B1133" s="56"/>
      <c r="C1133" s="56"/>
      <c r="D1133" s="56"/>
      <c r="E1133" s="57"/>
      <c r="F1133" s="57"/>
      <c r="G1133" s="57"/>
      <c r="H1133" s="57"/>
      <c r="I1133" s="57"/>
      <c r="J1133" s="57"/>
      <c r="K1133" s="53"/>
      <c r="L1133" s="54"/>
      <c r="M1133" s="57"/>
      <c r="N1133" s="57"/>
      <c r="O1133" s="56"/>
      <c r="P1133" s="53"/>
      <c r="Q1133" s="57"/>
      <c r="R1133" s="57"/>
      <c r="S1133" s="57"/>
      <c r="T1133" s="57"/>
      <c r="U1133" s="52" t="str">
        <f t="shared" ca="1" si="19"/>
        <v/>
      </c>
      <c r="V1133" s="54" t="str">
        <f t="shared" si="20"/>
        <v/>
      </c>
      <c r="W1133" s="52" t="str">
        <f t="shared" ca="1" si="21"/>
        <v/>
      </c>
    </row>
    <row r="1134" spans="1:23" x14ac:dyDescent="0.25">
      <c r="A1134" s="56"/>
      <c r="B1134" s="56"/>
      <c r="C1134" s="56"/>
      <c r="D1134" s="56"/>
      <c r="E1134" s="57"/>
      <c r="F1134" s="57"/>
      <c r="G1134" s="57"/>
      <c r="H1134" s="57"/>
      <c r="I1134" s="57"/>
      <c r="J1134" s="57"/>
      <c r="K1134" s="53"/>
      <c r="L1134" s="54"/>
      <c r="M1134" s="57"/>
      <c r="N1134" s="57"/>
      <c r="O1134" s="56"/>
      <c r="P1134" s="53"/>
      <c r="Q1134" s="57"/>
      <c r="R1134" s="57"/>
      <c r="S1134" s="57"/>
      <c r="T1134" s="57"/>
      <c r="U1134" s="52" t="str">
        <f t="shared" ca="1" si="19"/>
        <v/>
      </c>
      <c r="V1134" s="54" t="str">
        <f t="shared" si="20"/>
        <v/>
      </c>
      <c r="W1134" s="52" t="str">
        <f t="shared" ca="1" si="21"/>
        <v/>
      </c>
    </row>
    <row r="1135" spans="1:23" x14ac:dyDescent="0.25">
      <c r="A1135" s="56"/>
      <c r="B1135" s="56"/>
      <c r="C1135" s="56"/>
      <c r="D1135" s="56"/>
      <c r="E1135" s="57"/>
      <c r="F1135" s="57"/>
      <c r="G1135" s="57"/>
      <c r="H1135" s="57"/>
      <c r="I1135" s="57"/>
      <c r="J1135" s="57"/>
      <c r="K1135" s="53"/>
      <c r="L1135" s="54"/>
      <c r="M1135" s="57"/>
      <c r="N1135" s="57"/>
      <c r="O1135" s="56"/>
      <c r="P1135" s="53"/>
      <c r="Q1135" s="57"/>
      <c r="R1135" s="57"/>
      <c r="S1135" s="57"/>
      <c r="T1135" s="57"/>
      <c r="U1135" s="52" t="str">
        <f t="shared" ca="1" si="19"/>
        <v/>
      </c>
      <c r="V1135" s="54" t="str">
        <f t="shared" si="20"/>
        <v/>
      </c>
      <c r="W1135" s="52" t="str">
        <f t="shared" ca="1" si="21"/>
        <v/>
      </c>
    </row>
    <row r="1136" spans="1:23" x14ac:dyDescent="0.25">
      <c r="A1136" s="56"/>
      <c r="B1136" s="56"/>
      <c r="C1136" s="56"/>
      <c r="D1136" s="56"/>
      <c r="E1136" s="57"/>
      <c r="F1136" s="57"/>
      <c r="G1136" s="57"/>
      <c r="H1136" s="57"/>
      <c r="I1136" s="57"/>
      <c r="J1136" s="57"/>
      <c r="K1136" s="53"/>
      <c r="L1136" s="54"/>
      <c r="M1136" s="57"/>
      <c r="N1136" s="57"/>
      <c r="O1136" s="56"/>
      <c r="P1136" s="53"/>
      <c r="Q1136" s="57"/>
      <c r="R1136" s="57"/>
      <c r="S1136" s="57"/>
      <c r="T1136" s="57"/>
      <c r="U1136" s="52" t="str">
        <f t="shared" ca="1" si="19"/>
        <v/>
      </c>
      <c r="V1136" s="54" t="str">
        <f t="shared" si="20"/>
        <v/>
      </c>
      <c r="W1136" s="52" t="str">
        <f t="shared" ca="1" si="21"/>
        <v/>
      </c>
    </row>
    <row r="1137" spans="1:23" x14ac:dyDescent="0.25">
      <c r="A1137" s="56"/>
      <c r="B1137" s="56"/>
      <c r="C1137" s="56"/>
      <c r="D1137" s="56"/>
      <c r="E1137" s="57"/>
      <c r="F1137" s="57"/>
      <c r="G1137" s="57"/>
      <c r="H1137" s="57"/>
      <c r="I1137" s="57"/>
      <c r="J1137" s="57"/>
      <c r="K1137" s="53"/>
      <c r="L1137" s="54"/>
      <c r="M1137" s="57"/>
      <c r="N1137" s="57"/>
      <c r="O1137" s="56"/>
      <c r="P1137" s="53"/>
      <c r="Q1137" s="57"/>
      <c r="R1137" s="57"/>
      <c r="S1137" s="57"/>
      <c r="T1137" s="57"/>
      <c r="U1137" s="52" t="str">
        <f t="shared" ca="1" si="19"/>
        <v/>
      </c>
      <c r="V1137" s="54" t="str">
        <f t="shared" si="20"/>
        <v/>
      </c>
      <c r="W1137" s="52" t="str">
        <f t="shared" ca="1" si="21"/>
        <v/>
      </c>
    </row>
    <row r="1138" spans="1:23" x14ac:dyDescent="0.25">
      <c r="A1138" s="56"/>
      <c r="B1138" s="56"/>
      <c r="C1138" s="56"/>
      <c r="D1138" s="56"/>
      <c r="E1138" s="57"/>
      <c r="F1138" s="57"/>
      <c r="G1138" s="57"/>
      <c r="H1138" s="57"/>
      <c r="I1138" s="57"/>
      <c r="J1138" s="57"/>
      <c r="K1138" s="53"/>
      <c r="L1138" s="54"/>
      <c r="M1138" s="57"/>
      <c r="N1138" s="57"/>
      <c r="O1138" s="56"/>
      <c r="P1138" s="53"/>
      <c r="Q1138" s="57"/>
      <c r="R1138" s="57"/>
      <c r="S1138" s="57"/>
      <c r="T1138" s="57"/>
      <c r="U1138" s="52" t="str">
        <f t="shared" ca="1" si="19"/>
        <v/>
      </c>
      <c r="V1138" s="54" t="str">
        <f t="shared" si="20"/>
        <v/>
      </c>
      <c r="W1138" s="52" t="str">
        <f t="shared" ca="1" si="21"/>
        <v/>
      </c>
    </row>
    <row r="1139" spans="1:23" x14ac:dyDescent="0.25">
      <c r="A1139" s="56"/>
      <c r="B1139" s="56"/>
      <c r="C1139" s="56"/>
      <c r="D1139" s="56"/>
      <c r="E1139" s="57"/>
      <c r="F1139" s="57"/>
      <c r="G1139" s="57"/>
      <c r="H1139" s="57"/>
      <c r="I1139" s="57"/>
      <c r="J1139" s="57"/>
      <c r="K1139" s="53"/>
      <c r="L1139" s="54"/>
      <c r="M1139" s="57"/>
      <c r="N1139" s="57"/>
      <c r="O1139" s="56"/>
      <c r="P1139" s="53"/>
      <c r="Q1139" s="57"/>
      <c r="R1139" s="57"/>
      <c r="S1139" s="57"/>
      <c r="T1139" s="57"/>
      <c r="U1139" s="52" t="str">
        <f t="shared" ca="1" si="19"/>
        <v/>
      </c>
      <c r="V1139" s="54" t="str">
        <f t="shared" si="20"/>
        <v/>
      </c>
      <c r="W1139" s="52" t="str">
        <f t="shared" ca="1" si="21"/>
        <v/>
      </c>
    </row>
    <row r="1140" spans="1:23" x14ac:dyDescent="0.25">
      <c r="A1140" s="56"/>
      <c r="B1140" s="56"/>
      <c r="C1140" s="56"/>
      <c r="D1140" s="56"/>
      <c r="E1140" s="57"/>
      <c r="F1140" s="57"/>
      <c r="G1140" s="57"/>
      <c r="H1140" s="57"/>
      <c r="I1140" s="57"/>
      <c r="J1140" s="57"/>
      <c r="K1140" s="53"/>
      <c r="L1140" s="54"/>
      <c r="M1140" s="57"/>
      <c r="N1140" s="57"/>
      <c r="O1140" s="56"/>
      <c r="P1140" s="53"/>
      <c r="Q1140" s="57"/>
      <c r="R1140" s="57"/>
      <c r="S1140" s="57"/>
      <c r="T1140" s="57"/>
      <c r="U1140" s="52" t="str">
        <f t="shared" ca="1" si="19"/>
        <v/>
      </c>
      <c r="V1140" s="54" t="str">
        <f t="shared" si="20"/>
        <v/>
      </c>
      <c r="W1140" s="52" t="str">
        <f t="shared" ca="1" si="21"/>
        <v/>
      </c>
    </row>
    <row r="1141" spans="1:23" x14ac:dyDescent="0.25">
      <c r="A1141" s="56"/>
      <c r="B1141" s="56"/>
      <c r="C1141" s="56"/>
      <c r="D1141" s="56"/>
      <c r="E1141" s="57"/>
      <c r="F1141" s="57"/>
      <c r="G1141" s="57"/>
      <c r="H1141" s="57"/>
      <c r="I1141" s="57"/>
      <c r="J1141" s="57"/>
      <c r="K1141" s="53"/>
      <c r="L1141" s="54"/>
      <c r="M1141" s="57"/>
      <c r="N1141" s="57"/>
      <c r="O1141" s="56"/>
      <c r="P1141" s="53"/>
      <c r="Q1141" s="57"/>
      <c r="R1141" s="57"/>
      <c r="S1141" s="57"/>
      <c r="T1141" s="57"/>
      <c r="U1141" s="52" t="str">
        <f t="shared" ca="1" si="19"/>
        <v/>
      </c>
      <c r="V1141" s="54" t="str">
        <f t="shared" si="20"/>
        <v/>
      </c>
      <c r="W1141" s="52" t="str">
        <f t="shared" ca="1" si="21"/>
        <v/>
      </c>
    </row>
    <row r="1142" spans="1:23" x14ac:dyDescent="0.25">
      <c r="A1142" s="56"/>
      <c r="B1142" s="56"/>
      <c r="C1142" s="56"/>
      <c r="D1142" s="56"/>
      <c r="E1142" s="57"/>
      <c r="F1142" s="57"/>
      <c r="G1142" s="57"/>
      <c r="H1142" s="57"/>
      <c r="I1142" s="57"/>
      <c r="J1142" s="57"/>
      <c r="K1142" s="53"/>
      <c r="L1142" s="54"/>
      <c r="M1142" s="57"/>
      <c r="N1142" s="57"/>
      <c r="O1142" s="56"/>
      <c r="P1142" s="53"/>
      <c r="Q1142" s="57"/>
      <c r="R1142" s="57"/>
      <c r="S1142" s="57"/>
      <c r="T1142" s="57"/>
      <c r="U1142" s="52" t="str">
        <f t="shared" ca="1" si="19"/>
        <v/>
      </c>
      <c r="V1142" s="54" t="str">
        <f t="shared" si="20"/>
        <v/>
      </c>
      <c r="W1142" s="52" t="str">
        <f t="shared" ca="1" si="21"/>
        <v/>
      </c>
    </row>
    <row r="1143" spans="1:23" x14ac:dyDescent="0.25">
      <c r="A1143" s="56"/>
      <c r="B1143" s="56"/>
      <c r="C1143" s="56"/>
      <c r="D1143" s="56"/>
      <c r="E1143" s="57"/>
      <c r="F1143" s="57"/>
      <c r="G1143" s="57"/>
      <c r="H1143" s="57"/>
      <c r="I1143" s="57"/>
      <c r="J1143" s="57"/>
      <c r="K1143" s="53"/>
      <c r="L1143" s="54"/>
      <c r="M1143" s="57"/>
      <c r="N1143" s="57"/>
      <c r="O1143" s="56"/>
      <c r="P1143" s="53"/>
      <c r="Q1143" s="57"/>
      <c r="R1143" s="57"/>
      <c r="S1143" s="57"/>
      <c r="T1143" s="57"/>
      <c r="U1143" s="52" t="str">
        <f t="shared" ca="1" si="19"/>
        <v/>
      </c>
      <c r="V1143" s="54" t="str">
        <f t="shared" si="20"/>
        <v/>
      </c>
      <c r="W1143" s="52" t="str">
        <f t="shared" ca="1" si="21"/>
        <v/>
      </c>
    </row>
    <row r="1144" spans="1:23" x14ac:dyDescent="0.25">
      <c r="A1144" s="56"/>
      <c r="B1144" s="56"/>
      <c r="C1144" s="56"/>
      <c r="D1144" s="56"/>
      <c r="E1144" s="57"/>
      <c r="F1144" s="57"/>
      <c r="G1144" s="57"/>
      <c r="H1144" s="57"/>
      <c r="I1144" s="57"/>
      <c r="J1144" s="57"/>
      <c r="K1144" s="53"/>
      <c r="L1144" s="54"/>
      <c r="M1144" s="57"/>
      <c r="N1144" s="57"/>
      <c r="O1144" s="56"/>
      <c r="P1144" s="53"/>
      <c r="Q1144" s="57"/>
      <c r="R1144" s="57"/>
      <c r="S1144" s="57"/>
      <c r="T1144" s="57"/>
      <c r="U1144" s="52" t="str">
        <f t="shared" ca="1" si="19"/>
        <v/>
      </c>
      <c r="V1144" s="54" t="str">
        <f t="shared" si="20"/>
        <v/>
      </c>
      <c r="W1144" s="52" t="str">
        <f t="shared" ca="1" si="21"/>
        <v/>
      </c>
    </row>
    <row r="1145" spans="1:23" x14ac:dyDescent="0.25">
      <c r="A1145" s="56"/>
      <c r="B1145" s="56"/>
      <c r="C1145" s="56"/>
      <c r="D1145" s="56"/>
      <c r="E1145" s="57"/>
      <c r="F1145" s="57"/>
      <c r="G1145" s="57"/>
      <c r="H1145" s="57"/>
      <c r="I1145" s="57"/>
      <c r="J1145" s="57"/>
      <c r="K1145" s="53"/>
      <c r="L1145" s="54"/>
      <c r="M1145" s="57"/>
      <c r="N1145" s="57"/>
      <c r="O1145" s="56"/>
      <c r="P1145" s="53"/>
      <c r="Q1145" s="57"/>
      <c r="R1145" s="57"/>
      <c r="S1145" s="57"/>
      <c r="T1145" s="57"/>
      <c r="U1145" s="52" t="str">
        <f t="shared" ca="1" si="19"/>
        <v/>
      </c>
      <c r="V1145" s="54" t="str">
        <f t="shared" si="20"/>
        <v/>
      </c>
      <c r="W1145" s="52" t="str">
        <f t="shared" ca="1" si="21"/>
        <v/>
      </c>
    </row>
    <row r="1146" spans="1:23" x14ac:dyDescent="0.25">
      <c r="A1146" s="56"/>
      <c r="B1146" s="56"/>
      <c r="C1146" s="56"/>
      <c r="D1146" s="56"/>
      <c r="E1146" s="57"/>
      <c r="F1146" s="57"/>
      <c r="G1146" s="57"/>
      <c r="H1146" s="57"/>
      <c r="I1146" s="57"/>
      <c r="J1146" s="57"/>
      <c r="K1146" s="53"/>
      <c r="L1146" s="54"/>
      <c r="M1146" s="57"/>
      <c r="N1146" s="57"/>
      <c r="O1146" s="56"/>
      <c r="P1146" s="53"/>
      <c r="Q1146" s="57"/>
      <c r="R1146" s="57"/>
      <c r="S1146" s="57"/>
      <c r="T1146" s="57"/>
      <c r="U1146" s="52" t="str">
        <f t="shared" ca="1" si="19"/>
        <v/>
      </c>
      <c r="V1146" s="54" t="str">
        <f t="shared" si="20"/>
        <v/>
      </c>
      <c r="W1146" s="52" t="str">
        <f t="shared" ca="1" si="21"/>
        <v/>
      </c>
    </row>
    <row r="1147" spans="1:23" x14ac:dyDescent="0.25">
      <c r="A1147" s="56"/>
      <c r="B1147" s="56"/>
      <c r="C1147" s="56"/>
      <c r="D1147" s="56"/>
      <c r="E1147" s="57"/>
      <c r="F1147" s="57"/>
      <c r="G1147" s="57"/>
      <c r="H1147" s="57"/>
      <c r="I1147" s="57"/>
      <c r="J1147" s="57"/>
      <c r="K1147" s="53"/>
      <c r="L1147" s="54"/>
      <c r="M1147" s="57"/>
      <c r="N1147" s="57"/>
      <c r="O1147" s="56"/>
      <c r="P1147" s="53"/>
      <c r="Q1147" s="57"/>
      <c r="R1147" s="57"/>
      <c r="S1147" s="57"/>
      <c r="T1147" s="57"/>
      <c r="U1147" s="52" t="str">
        <f t="shared" ca="1" si="19"/>
        <v/>
      </c>
      <c r="V1147" s="54" t="str">
        <f t="shared" si="20"/>
        <v/>
      </c>
      <c r="W1147" s="52" t="str">
        <f t="shared" ca="1" si="21"/>
        <v/>
      </c>
    </row>
    <row r="1148" spans="1:23" x14ac:dyDescent="0.25">
      <c r="A1148" s="56"/>
      <c r="B1148" s="56"/>
      <c r="C1148" s="56"/>
      <c r="D1148" s="56"/>
      <c r="E1148" s="57"/>
      <c r="F1148" s="57"/>
      <c r="G1148" s="57"/>
      <c r="H1148" s="57"/>
      <c r="I1148" s="57"/>
      <c r="J1148" s="57"/>
      <c r="K1148" s="53"/>
      <c r="L1148" s="54"/>
      <c r="M1148" s="57"/>
      <c r="N1148" s="57"/>
      <c r="O1148" s="56"/>
      <c r="P1148" s="53"/>
      <c r="Q1148" s="57"/>
      <c r="R1148" s="57"/>
      <c r="S1148" s="57"/>
      <c r="T1148" s="57"/>
      <c r="U1148" s="52" t="str">
        <f t="shared" ca="1" si="19"/>
        <v/>
      </c>
      <c r="V1148" s="54" t="str">
        <f t="shared" si="20"/>
        <v/>
      </c>
      <c r="W1148" s="52" t="str">
        <f t="shared" ca="1" si="21"/>
        <v/>
      </c>
    </row>
    <row r="1149" spans="1:23" x14ac:dyDescent="0.25">
      <c r="A1149" s="56"/>
      <c r="B1149" s="56"/>
      <c r="C1149" s="56"/>
      <c r="D1149" s="56"/>
      <c r="E1149" s="57"/>
      <c r="F1149" s="57"/>
      <c r="G1149" s="57"/>
      <c r="H1149" s="57"/>
      <c r="I1149" s="57"/>
      <c r="J1149" s="57"/>
      <c r="K1149" s="53"/>
      <c r="L1149" s="54"/>
      <c r="M1149" s="57"/>
      <c r="N1149" s="57"/>
      <c r="O1149" s="56"/>
      <c r="P1149" s="53"/>
      <c r="Q1149" s="57"/>
      <c r="R1149" s="57"/>
      <c r="S1149" s="57"/>
      <c r="T1149" s="57"/>
      <c r="U1149" s="52" t="str">
        <f t="shared" ca="1" si="19"/>
        <v/>
      </c>
      <c r="V1149" s="54" t="str">
        <f t="shared" si="20"/>
        <v/>
      </c>
      <c r="W1149" s="52" t="str">
        <f t="shared" ca="1" si="21"/>
        <v/>
      </c>
    </row>
    <row r="1150" spans="1:23" x14ac:dyDescent="0.25">
      <c r="A1150" s="56"/>
      <c r="B1150" s="56"/>
      <c r="C1150" s="56"/>
      <c r="D1150" s="56"/>
      <c r="E1150" s="57"/>
      <c r="F1150" s="57"/>
      <c r="G1150" s="57"/>
      <c r="H1150" s="57"/>
      <c r="I1150" s="57"/>
      <c r="J1150" s="57"/>
      <c r="K1150" s="53"/>
      <c r="L1150" s="54"/>
      <c r="M1150" s="57"/>
      <c r="N1150" s="57"/>
      <c r="O1150" s="56"/>
      <c r="P1150" s="53"/>
      <c r="Q1150" s="57"/>
      <c r="R1150" s="57"/>
      <c r="S1150" s="57"/>
      <c r="T1150" s="57"/>
      <c r="U1150" s="52" t="str">
        <f t="shared" ca="1" si="19"/>
        <v/>
      </c>
      <c r="V1150" s="54" t="str">
        <f t="shared" si="20"/>
        <v/>
      </c>
      <c r="W1150" s="52" t="str">
        <f t="shared" ca="1" si="21"/>
        <v/>
      </c>
    </row>
    <row r="1151" spans="1:23" x14ac:dyDescent="0.25">
      <c r="A1151" s="56"/>
      <c r="B1151" s="56"/>
      <c r="C1151" s="56"/>
      <c r="D1151" s="56"/>
      <c r="E1151" s="57"/>
      <c r="F1151" s="57"/>
      <c r="G1151" s="57"/>
      <c r="H1151" s="57"/>
      <c r="I1151" s="57"/>
      <c r="J1151" s="57"/>
      <c r="K1151" s="53"/>
      <c r="L1151" s="54"/>
      <c r="M1151" s="57"/>
      <c r="N1151" s="57"/>
      <c r="O1151" s="56"/>
      <c r="P1151" s="53"/>
      <c r="Q1151" s="57"/>
      <c r="R1151" s="57"/>
      <c r="S1151" s="57"/>
      <c r="T1151" s="57"/>
      <c r="U1151" s="52" t="str">
        <f t="shared" ca="1" si="19"/>
        <v/>
      </c>
      <c r="V1151" s="54" t="str">
        <f t="shared" si="20"/>
        <v/>
      </c>
      <c r="W1151" s="52" t="str">
        <f t="shared" ca="1" si="21"/>
        <v/>
      </c>
    </row>
    <row r="1152" spans="1:23" x14ac:dyDescent="0.25">
      <c r="A1152" s="56"/>
      <c r="B1152" s="56"/>
      <c r="C1152" s="56"/>
      <c r="D1152" s="56"/>
      <c r="E1152" s="57"/>
      <c r="F1152" s="57"/>
      <c r="G1152" s="57"/>
      <c r="H1152" s="57"/>
      <c r="I1152" s="57"/>
      <c r="J1152" s="57"/>
      <c r="K1152" s="53"/>
      <c r="L1152" s="54"/>
      <c r="M1152" s="57"/>
      <c r="N1152" s="57"/>
      <c r="O1152" s="56"/>
      <c r="P1152" s="53"/>
      <c r="Q1152" s="57"/>
      <c r="R1152" s="57"/>
      <c r="S1152" s="57"/>
      <c r="T1152" s="57"/>
      <c r="U1152" s="52" t="str">
        <f t="shared" ca="1" si="19"/>
        <v/>
      </c>
      <c r="V1152" s="54" t="str">
        <f t="shared" si="20"/>
        <v/>
      </c>
      <c r="W1152" s="52" t="str">
        <f t="shared" ca="1" si="21"/>
        <v/>
      </c>
    </row>
    <row r="1153" spans="1:23" x14ac:dyDescent="0.25">
      <c r="A1153" s="56"/>
      <c r="B1153" s="56"/>
      <c r="C1153" s="56"/>
      <c r="D1153" s="56"/>
      <c r="E1153" s="57"/>
      <c r="F1153" s="57"/>
      <c r="G1153" s="57"/>
      <c r="H1153" s="57"/>
      <c r="I1153" s="57"/>
      <c r="J1153" s="57"/>
      <c r="K1153" s="53"/>
      <c r="L1153" s="54"/>
      <c r="M1153" s="57"/>
      <c r="N1153" s="57"/>
      <c r="O1153" s="56"/>
      <c r="P1153" s="53"/>
      <c r="Q1153" s="57"/>
      <c r="R1153" s="57"/>
      <c r="S1153" s="57"/>
      <c r="T1153" s="57"/>
      <c r="U1153" s="52" t="str">
        <f t="shared" ca="1" si="19"/>
        <v/>
      </c>
      <c r="V1153" s="54" t="str">
        <f t="shared" si="20"/>
        <v/>
      </c>
      <c r="W1153" s="52" t="str">
        <f t="shared" ca="1" si="21"/>
        <v/>
      </c>
    </row>
    <row r="1154" spans="1:23" x14ac:dyDescent="0.25">
      <c r="A1154" s="56"/>
      <c r="B1154" s="56"/>
      <c r="C1154" s="56"/>
      <c r="D1154" s="56"/>
      <c r="E1154" s="57"/>
      <c r="F1154" s="57"/>
      <c r="G1154" s="57"/>
      <c r="H1154" s="57"/>
      <c r="I1154" s="57"/>
      <c r="J1154" s="57"/>
      <c r="K1154" s="53"/>
      <c r="L1154" s="54"/>
      <c r="M1154" s="57"/>
      <c r="N1154" s="57"/>
      <c r="O1154" s="56"/>
      <c r="P1154" s="53"/>
      <c r="Q1154" s="57"/>
      <c r="R1154" s="57"/>
      <c r="S1154" s="57"/>
      <c r="T1154" s="57"/>
      <c r="U1154" s="52" t="str">
        <f t="shared" ca="1" si="19"/>
        <v/>
      </c>
      <c r="V1154" s="54" t="str">
        <f t="shared" si="20"/>
        <v/>
      </c>
      <c r="W1154" s="52" t="str">
        <f t="shared" ca="1" si="21"/>
        <v/>
      </c>
    </row>
    <row r="1155" spans="1:23" x14ac:dyDescent="0.25">
      <c r="A1155" s="56"/>
      <c r="B1155" s="56"/>
      <c r="C1155" s="56"/>
      <c r="D1155" s="56"/>
      <c r="E1155" s="57"/>
      <c r="F1155" s="57"/>
      <c r="G1155" s="57"/>
      <c r="H1155" s="57"/>
      <c r="I1155" s="57"/>
      <c r="J1155" s="57"/>
      <c r="K1155" s="53"/>
      <c r="L1155" s="54"/>
      <c r="M1155" s="57"/>
      <c r="N1155" s="57"/>
      <c r="O1155" s="56"/>
      <c r="P1155" s="53"/>
      <c r="Q1155" s="57"/>
      <c r="R1155" s="57"/>
      <c r="S1155" s="57"/>
      <c r="T1155" s="57"/>
      <c r="U1155" s="52" t="str">
        <f t="shared" ca="1" si="19"/>
        <v/>
      </c>
      <c r="V1155" s="54" t="str">
        <f t="shared" si="20"/>
        <v/>
      </c>
      <c r="W1155" s="52" t="str">
        <f t="shared" ca="1" si="21"/>
        <v/>
      </c>
    </row>
    <row r="1156" spans="1:23" x14ac:dyDescent="0.25">
      <c r="A1156" s="56"/>
      <c r="B1156" s="56"/>
      <c r="C1156" s="56"/>
      <c r="D1156" s="56"/>
      <c r="E1156" s="57"/>
      <c r="F1156" s="57"/>
      <c r="G1156" s="57"/>
      <c r="H1156" s="57"/>
      <c r="I1156" s="57"/>
      <c r="J1156" s="57"/>
      <c r="K1156" s="53"/>
      <c r="L1156" s="54"/>
      <c r="M1156" s="57"/>
      <c r="N1156" s="57"/>
      <c r="O1156" s="56"/>
      <c r="P1156" s="53"/>
      <c r="Q1156" s="57"/>
      <c r="R1156" s="57"/>
      <c r="S1156" s="57"/>
      <c r="T1156" s="57"/>
      <c r="U1156" s="52" t="str">
        <f t="shared" ca="1" si="19"/>
        <v/>
      </c>
      <c r="V1156" s="54" t="str">
        <f t="shared" si="20"/>
        <v/>
      </c>
      <c r="W1156" s="52" t="str">
        <f t="shared" ca="1" si="21"/>
        <v/>
      </c>
    </row>
    <row r="1157" spans="1:23" x14ac:dyDescent="0.25">
      <c r="A1157" s="56"/>
      <c r="B1157" s="56"/>
      <c r="C1157" s="56"/>
      <c r="D1157" s="56"/>
      <c r="E1157" s="57"/>
      <c r="F1157" s="57"/>
      <c r="G1157" s="57"/>
      <c r="H1157" s="57"/>
      <c r="I1157" s="57"/>
      <c r="J1157" s="57"/>
      <c r="K1157" s="53"/>
      <c r="L1157" s="54"/>
      <c r="M1157" s="57"/>
      <c r="N1157" s="57"/>
      <c r="O1157" s="56"/>
      <c r="P1157" s="53"/>
      <c r="Q1157" s="57"/>
      <c r="R1157" s="57"/>
      <c r="S1157" s="57"/>
      <c r="T1157" s="57"/>
      <c r="U1157" s="52" t="str">
        <f t="shared" ref="U1157:U1200" ca="1" si="22">IF(C1157="","",TODAY()-C1157)</f>
        <v/>
      </c>
      <c r="V1157" s="54" t="str">
        <f t="shared" ref="V1157:V1200" si="23">IF(COUNTA(A1157:N1157)=0,"",ROUND((COUNTIF(A1157,"&lt;&gt;")+COUNTIF(E1157,"&lt;&gt;")+COUNTIF(G1157,"&lt;&gt;")+COUNTIF(I1157,"&lt;&gt;")+COUNTIF(K1157,"&lt;&gt;")+COUNTIF(N1157,"&lt;&gt;")+COUNTIF(C1157,"&lt;&gt;")+COUNTIF(D1157,"&lt;&gt;"))/8,2))</f>
        <v/>
      </c>
      <c r="W1157" s="52" t="str">
        <f t="shared" ref="W1157:W1200" ca="1" si="24">IF(COUNTA(A1157:N1157)=0,"",IF(G1157="","🔴 BRAK TELEFONU",IF(K1157="","🔴 BRAK KWOTY",IF(N1157="","🔴 BRAK STATUSU",IF(C1157="","🔴 BRAK DATY AKCJI",IF(TODAY()-C1157&gt;=30,"🔴 FOLLOW-UP 30D",IF(TODAY()-C1157&gt;=7,"🟠 FOLLOW-UP 7D",IF(TODAY()-C1157&gt;=3,"🟡 FOLLOW-UP 3D","🟢 OK"))))))))</f>
        <v/>
      </c>
    </row>
    <row r="1158" spans="1:23" x14ac:dyDescent="0.25">
      <c r="A1158" s="56"/>
      <c r="B1158" s="56"/>
      <c r="C1158" s="56"/>
      <c r="D1158" s="56"/>
      <c r="E1158" s="57"/>
      <c r="F1158" s="57"/>
      <c r="G1158" s="57"/>
      <c r="H1158" s="57"/>
      <c r="I1158" s="57"/>
      <c r="J1158" s="57"/>
      <c r="K1158" s="53"/>
      <c r="L1158" s="54"/>
      <c r="M1158" s="57"/>
      <c r="N1158" s="57"/>
      <c r="O1158" s="56"/>
      <c r="P1158" s="53"/>
      <c r="Q1158" s="57"/>
      <c r="R1158" s="57"/>
      <c r="S1158" s="57"/>
      <c r="T1158" s="57"/>
      <c r="U1158" s="52" t="str">
        <f t="shared" ca="1" si="22"/>
        <v/>
      </c>
      <c r="V1158" s="54" t="str">
        <f t="shared" si="23"/>
        <v/>
      </c>
      <c r="W1158" s="52" t="str">
        <f t="shared" ca="1" si="24"/>
        <v/>
      </c>
    </row>
    <row r="1159" spans="1:23" x14ac:dyDescent="0.25">
      <c r="A1159" s="56"/>
      <c r="B1159" s="56"/>
      <c r="C1159" s="56"/>
      <c r="D1159" s="56"/>
      <c r="E1159" s="57"/>
      <c r="F1159" s="57"/>
      <c r="G1159" s="57"/>
      <c r="H1159" s="57"/>
      <c r="I1159" s="57"/>
      <c r="J1159" s="57"/>
      <c r="K1159" s="53"/>
      <c r="L1159" s="54"/>
      <c r="M1159" s="57"/>
      <c r="N1159" s="57"/>
      <c r="O1159" s="56"/>
      <c r="P1159" s="53"/>
      <c r="Q1159" s="57"/>
      <c r="R1159" s="57"/>
      <c r="S1159" s="57"/>
      <c r="T1159" s="57"/>
      <c r="U1159" s="52" t="str">
        <f t="shared" ca="1" si="22"/>
        <v/>
      </c>
      <c r="V1159" s="54" t="str">
        <f t="shared" si="23"/>
        <v/>
      </c>
      <c r="W1159" s="52" t="str">
        <f t="shared" ca="1" si="24"/>
        <v/>
      </c>
    </row>
    <row r="1160" spans="1:23" x14ac:dyDescent="0.25">
      <c r="A1160" s="56"/>
      <c r="B1160" s="56"/>
      <c r="C1160" s="56"/>
      <c r="D1160" s="56"/>
      <c r="E1160" s="57"/>
      <c r="F1160" s="57"/>
      <c r="G1160" s="57"/>
      <c r="H1160" s="57"/>
      <c r="I1160" s="57"/>
      <c r="J1160" s="57"/>
      <c r="K1160" s="53"/>
      <c r="L1160" s="54"/>
      <c r="M1160" s="57"/>
      <c r="N1160" s="57"/>
      <c r="O1160" s="56"/>
      <c r="P1160" s="53"/>
      <c r="Q1160" s="57"/>
      <c r="R1160" s="57"/>
      <c r="S1160" s="57"/>
      <c r="T1160" s="57"/>
      <c r="U1160" s="52" t="str">
        <f t="shared" ca="1" si="22"/>
        <v/>
      </c>
      <c r="V1160" s="54" t="str">
        <f t="shared" si="23"/>
        <v/>
      </c>
      <c r="W1160" s="52" t="str">
        <f t="shared" ca="1" si="24"/>
        <v/>
      </c>
    </row>
    <row r="1161" spans="1:23" x14ac:dyDescent="0.25">
      <c r="A1161" s="56"/>
      <c r="B1161" s="56"/>
      <c r="C1161" s="56"/>
      <c r="D1161" s="56"/>
      <c r="E1161" s="57"/>
      <c r="F1161" s="57"/>
      <c r="G1161" s="57"/>
      <c r="H1161" s="57"/>
      <c r="I1161" s="57"/>
      <c r="J1161" s="57"/>
      <c r="K1161" s="53"/>
      <c r="L1161" s="54"/>
      <c r="M1161" s="57"/>
      <c r="N1161" s="57"/>
      <c r="O1161" s="56"/>
      <c r="P1161" s="53"/>
      <c r="Q1161" s="57"/>
      <c r="R1161" s="57"/>
      <c r="S1161" s="57"/>
      <c r="T1161" s="57"/>
      <c r="U1161" s="52" t="str">
        <f t="shared" ca="1" si="22"/>
        <v/>
      </c>
      <c r="V1161" s="54" t="str">
        <f t="shared" si="23"/>
        <v/>
      </c>
      <c r="W1161" s="52" t="str">
        <f t="shared" ca="1" si="24"/>
        <v/>
      </c>
    </row>
    <row r="1162" spans="1:23" x14ac:dyDescent="0.25">
      <c r="A1162" s="56"/>
      <c r="B1162" s="56"/>
      <c r="C1162" s="56"/>
      <c r="D1162" s="56"/>
      <c r="E1162" s="57"/>
      <c r="F1162" s="57"/>
      <c r="G1162" s="57"/>
      <c r="H1162" s="57"/>
      <c r="I1162" s="57"/>
      <c r="J1162" s="57"/>
      <c r="K1162" s="53"/>
      <c r="L1162" s="54"/>
      <c r="M1162" s="57"/>
      <c r="N1162" s="57"/>
      <c r="O1162" s="56"/>
      <c r="P1162" s="53"/>
      <c r="Q1162" s="57"/>
      <c r="R1162" s="57"/>
      <c r="S1162" s="57"/>
      <c r="T1162" s="57"/>
      <c r="U1162" s="52" t="str">
        <f t="shared" ca="1" si="22"/>
        <v/>
      </c>
      <c r="V1162" s="54" t="str">
        <f t="shared" si="23"/>
        <v/>
      </c>
      <c r="W1162" s="52" t="str">
        <f t="shared" ca="1" si="24"/>
        <v/>
      </c>
    </row>
    <row r="1163" spans="1:23" x14ac:dyDescent="0.25">
      <c r="A1163" s="56"/>
      <c r="B1163" s="56"/>
      <c r="C1163" s="56"/>
      <c r="D1163" s="56"/>
      <c r="E1163" s="57"/>
      <c r="F1163" s="57"/>
      <c r="G1163" s="57"/>
      <c r="H1163" s="57"/>
      <c r="I1163" s="57"/>
      <c r="J1163" s="57"/>
      <c r="K1163" s="53"/>
      <c r="L1163" s="54"/>
      <c r="M1163" s="57"/>
      <c r="N1163" s="57"/>
      <c r="O1163" s="56"/>
      <c r="P1163" s="53"/>
      <c r="Q1163" s="57"/>
      <c r="R1163" s="57"/>
      <c r="S1163" s="57"/>
      <c r="T1163" s="57"/>
      <c r="U1163" s="52" t="str">
        <f t="shared" ca="1" si="22"/>
        <v/>
      </c>
      <c r="V1163" s="54" t="str">
        <f t="shared" si="23"/>
        <v/>
      </c>
      <c r="W1163" s="52" t="str">
        <f t="shared" ca="1" si="24"/>
        <v/>
      </c>
    </row>
    <row r="1164" spans="1:23" x14ac:dyDescent="0.25">
      <c r="A1164" s="56"/>
      <c r="B1164" s="56"/>
      <c r="C1164" s="56"/>
      <c r="D1164" s="56"/>
      <c r="E1164" s="57"/>
      <c r="F1164" s="57"/>
      <c r="G1164" s="57"/>
      <c r="H1164" s="57"/>
      <c r="I1164" s="57"/>
      <c r="J1164" s="57"/>
      <c r="K1164" s="53"/>
      <c r="L1164" s="54"/>
      <c r="M1164" s="57"/>
      <c r="N1164" s="57"/>
      <c r="O1164" s="56"/>
      <c r="P1164" s="53"/>
      <c r="Q1164" s="57"/>
      <c r="R1164" s="57"/>
      <c r="S1164" s="57"/>
      <c r="T1164" s="57"/>
      <c r="U1164" s="52" t="str">
        <f t="shared" ca="1" si="22"/>
        <v/>
      </c>
      <c r="V1164" s="54" t="str">
        <f t="shared" si="23"/>
        <v/>
      </c>
      <c r="W1164" s="52" t="str">
        <f t="shared" ca="1" si="24"/>
        <v/>
      </c>
    </row>
    <row r="1165" spans="1:23" x14ac:dyDescent="0.25">
      <c r="A1165" s="56"/>
      <c r="B1165" s="56"/>
      <c r="C1165" s="56"/>
      <c r="D1165" s="56"/>
      <c r="E1165" s="57"/>
      <c r="F1165" s="57"/>
      <c r="G1165" s="57"/>
      <c r="H1165" s="57"/>
      <c r="I1165" s="57"/>
      <c r="J1165" s="57"/>
      <c r="K1165" s="53"/>
      <c r="L1165" s="54"/>
      <c r="M1165" s="57"/>
      <c r="N1165" s="57"/>
      <c r="O1165" s="56"/>
      <c r="P1165" s="53"/>
      <c r="Q1165" s="57"/>
      <c r="R1165" s="57"/>
      <c r="S1165" s="57"/>
      <c r="T1165" s="57"/>
      <c r="U1165" s="52" t="str">
        <f t="shared" ca="1" si="22"/>
        <v/>
      </c>
      <c r="V1165" s="54" t="str">
        <f t="shared" si="23"/>
        <v/>
      </c>
      <c r="W1165" s="52" t="str">
        <f t="shared" ca="1" si="24"/>
        <v/>
      </c>
    </row>
    <row r="1166" spans="1:23" x14ac:dyDescent="0.25">
      <c r="A1166" s="56"/>
      <c r="B1166" s="56"/>
      <c r="C1166" s="56"/>
      <c r="D1166" s="56"/>
      <c r="E1166" s="57"/>
      <c r="F1166" s="57"/>
      <c r="G1166" s="57"/>
      <c r="H1166" s="57"/>
      <c r="I1166" s="57"/>
      <c r="J1166" s="57"/>
      <c r="K1166" s="53"/>
      <c r="L1166" s="54"/>
      <c r="M1166" s="57"/>
      <c r="N1166" s="57"/>
      <c r="O1166" s="56"/>
      <c r="P1166" s="53"/>
      <c r="Q1166" s="57"/>
      <c r="R1166" s="57"/>
      <c r="S1166" s="57"/>
      <c r="T1166" s="57"/>
      <c r="U1166" s="52" t="str">
        <f t="shared" ca="1" si="22"/>
        <v/>
      </c>
      <c r="V1166" s="54" t="str">
        <f t="shared" si="23"/>
        <v/>
      </c>
      <c r="W1166" s="52" t="str">
        <f t="shared" ca="1" si="24"/>
        <v/>
      </c>
    </row>
    <row r="1167" spans="1:23" x14ac:dyDescent="0.25">
      <c r="A1167" s="56"/>
      <c r="B1167" s="56"/>
      <c r="C1167" s="56"/>
      <c r="D1167" s="56"/>
      <c r="E1167" s="57"/>
      <c r="F1167" s="57"/>
      <c r="G1167" s="57"/>
      <c r="H1167" s="57"/>
      <c r="I1167" s="57"/>
      <c r="J1167" s="57"/>
      <c r="K1167" s="53"/>
      <c r="L1167" s="54"/>
      <c r="M1167" s="57"/>
      <c r="N1167" s="57"/>
      <c r="O1167" s="56"/>
      <c r="P1167" s="53"/>
      <c r="Q1167" s="57"/>
      <c r="R1167" s="57"/>
      <c r="S1167" s="57"/>
      <c r="T1167" s="57"/>
      <c r="U1167" s="52" t="str">
        <f t="shared" ca="1" si="22"/>
        <v/>
      </c>
      <c r="V1167" s="54" t="str">
        <f t="shared" si="23"/>
        <v/>
      </c>
      <c r="W1167" s="52" t="str">
        <f t="shared" ca="1" si="24"/>
        <v/>
      </c>
    </row>
    <row r="1168" spans="1:23" x14ac:dyDescent="0.25">
      <c r="A1168" s="56"/>
      <c r="B1168" s="56"/>
      <c r="C1168" s="56"/>
      <c r="D1168" s="56"/>
      <c r="E1168" s="57"/>
      <c r="F1168" s="57"/>
      <c r="G1168" s="57"/>
      <c r="H1168" s="57"/>
      <c r="I1168" s="57"/>
      <c r="J1168" s="57"/>
      <c r="K1168" s="53"/>
      <c r="L1168" s="54"/>
      <c r="M1168" s="57"/>
      <c r="N1168" s="57"/>
      <c r="O1168" s="56"/>
      <c r="P1168" s="53"/>
      <c r="Q1168" s="57"/>
      <c r="R1168" s="57"/>
      <c r="S1168" s="57"/>
      <c r="T1168" s="57"/>
      <c r="U1168" s="52" t="str">
        <f t="shared" ca="1" si="22"/>
        <v/>
      </c>
      <c r="V1168" s="54" t="str">
        <f t="shared" si="23"/>
        <v/>
      </c>
      <c r="W1168" s="52" t="str">
        <f t="shared" ca="1" si="24"/>
        <v/>
      </c>
    </row>
    <row r="1169" spans="1:23" x14ac:dyDescent="0.25">
      <c r="A1169" s="56"/>
      <c r="B1169" s="56"/>
      <c r="C1169" s="56"/>
      <c r="D1169" s="56"/>
      <c r="E1169" s="57"/>
      <c r="F1169" s="57"/>
      <c r="G1169" s="57"/>
      <c r="H1169" s="57"/>
      <c r="I1169" s="57"/>
      <c r="J1169" s="57"/>
      <c r="K1169" s="53"/>
      <c r="L1169" s="54"/>
      <c r="M1169" s="57"/>
      <c r="N1169" s="57"/>
      <c r="O1169" s="56"/>
      <c r="P1169" s="53"/>
      <c r="Q1169" s="57"/>
      <c r="R1169" s="57"/>
      <c r="S1169" s="57"/>
      <c r="T1169" s="57"/>
      <c r="U1169" s="52" t="str">
        <f t="shared" ca="1" si="22"/>
        <v/>
      </c>
      <c r="V1169" s="54" t="str">
        <f t="shared" si="23"/>
        <v/>
      </c>
      <c r="W1169" s="52" t="str">
        <f t="shared" ca="1" si="24"/>
        <v/>
      </c>
    </row>
    <row r="1170" spans="1:23" x14ac:dyDescent="0.25">
      <c r="A1170" s="56"/>
      <c r="B1170" s="56"/>
      <c r="C1170" s="56"/>
      <c r="D1170" s="56"/>
      <c r="E1170" s="57"/>
      <c r="F1170" s="57"/>
      <c r="G1170" s="57"/>
      <c r="H1170" s="57"/>
      <c r="I1170" s="57"/>
      <c r="J1170" s="57"/>
      <c r="K1170" s="53"/>
      <c r="L1170" s="54"/>
      <c r="M1170" s="57"/>
      <c r="N1170" s="57"/>
      <c r="O1170" s="56"/>
      <c r="P1170" s="53"/>
      <c r="Q1170" s="57"/>
      <c r="R1170" s="57"/>
      <c r="S1170" s="57"/>
      <c r="T1170" s="57"/>
      <c r="U1170" s="52" t="str">
        <f t="shared" ca="1" si="22"/>
        <v/>
      </c>
      <c r="V1170" s="54" t="str">
        <f t="shared" si="23"/>
        <v/>
      </c>
      <c r="W1170" s="52" t="str">
        <f t="shared" ca="1" si="24"/>
        <v/>
      </c>
    </row>
    <row r="1171" spans="1:23" x14ac:dyDescent="0.25">
      <c r="A1171" s="56"/>
      <c r="B1171" s="56"/>
      <c r="C1171" s="56"/>
      <c r="D1171" s="56"/>
      <c r="E1171" s="57"/>
      <c r="F1171" s="57"/>
      <c r="G1171" s="57"/>
      <c r="H1171" s="57"/>
      <c r="I1171" s="57"/>
      <c r="J1171" s="57"/>
      <c r="K1171" s="53"/>
      <c r="L1171" s="54"/>
      <c r="M1171" s="57"/>
      <c r="N1171" s="57"/>
      <c r="O1171" s="56"/>
      <c r="P1171" s="53"/>
      <c r="Q1171" s="57"/>
      <c r="R1171" s="57"/>
      <c r="S1171" s="57"/>
      <c r="T1171" s="57"/>
      <c r="U1171" s="52" t="str">
        <f t="shared" ca="1" si="22"/>
        <v/>
      </c>
      <c r="V1171" s="54" t="str">
        <f t="shared" si="23"/>
        <v/>
      </c>
      <c r="W1171" s="52" t="str">
        <f t="shared" ca="1" si="24"/>
        <v/>
      </c>
    </row>
    <row r="1172" spans="1:23" x14ac:dyDescent="0.25">
      <c r="A1172" s="56"/>
      <c r="B1172" s="56"/>
      <c r="C1172" s="56"/>
      <c r="D1172" s="56"/>
      <c r="E1172" s="57"/>
      <c r="F1172" s="57"/>
      <c r="G1172" s="57"/>
      <c r="H1172" s="57"/>
      <c r="I1172" s="57"/>
      <c r="J1172" s="57"/>
      <c r="K1172" s="53"/>
      <c r="L1172" s="54"/>
      <c r="M1172" s="57"/>
      <c r="N1172" s="57"/>
      <c r="O1172" s="56"/>
      <c r="P1172" s="53"/>
      <c r="Q1172" s="57"/>
      <c r="R1172" s="57"/>
      <c r="S1172" s="57"/>
      <c r="T1172" s="57"/>
      <c r="U1172" s="52" t="str">
        <f t="shared" ca="1" si="22"/>
        <v/>
      </c>
      <c r="V1172" s="54" t="str">
        <f t="shared" si="23"/>
        <v/>
      </c>
      <c r="W1172" s="52" t="str">
        <f t="shared" ca="1" si="24"/>
        <v/>
      </c>
    </row>
    <row r="1173" spans="1:23" x14ac:dyDescent="0.25">
      <c r="A1173" s="56"/>
      <c r="B1173" s="56"/>
      <c r="C1173" s="56"/>
      <c r="D1173" s="56"/>
      <c r="E1173" s="57"/>
      <c r="F1173" s="57"/>
      <c r="G1173" s="57"/>
      <c r="H1173" s="57"/>
      <c r="I1173" s="57"/>
      <c r="J1173" s="57"/>
      <c r="K1173" s="53"/>
      <c r="L1173" s="54"/>
      <c r="M1173" s="57"/>
      <c r="N1173" s="57"/>
      <c r="O1173" s="56"/>
      <c r="P1173" s="53"/>
      <c r="Q1173" s="57"/>
      <c r="R1173" s="57"/>
      <c r="S1173" s="57"/>
      <c r="T1173" s="57"/>
      <c r="U1173" s="52" t="str">
        <f t="shared" ca="1" si="22"/>
        <v/>
      </c>
      <c r="V1173" s="54" t="str">
        <f t="shared" si="23"/>
        <v/>
      </c>
      <c r="W1173" s="52" t="str">
        <f t="shared" ca="1" si="24"/>
        <v/>
      </c>
    </row>
    <row r="1174" spans="1:23" x14ac:dyDescent="0.25">
      <c r="A1174" s="56"/>
      <c r="B1174" s="56"/>
      <c r="C1174" s="56"/>
      <c r="D1174" s="56"/>
      <c r="E1174" s="57"/>
      <c r="F1174" s="57"/>
      <c r="G1174" s="57"/>
      <c r="H1174" s="57"/>
      <c r="I1174" s="57"/>
      <c r="J1174" s="57"/>
      <c r="K1174" s="53"/>
      <c r="L1174" s="54"/>
      <c r="M1174" s="57"/>
      <c r="N1174" s="57"/>
      <c r="O1174" s="56"/>
      <c r="P1174" s="53"/>
      <c r="Q1174" s="57"/>
      <c r="R1174" s="57"/>
      <c r="S1174" s="57"/>
      <c r="T1174" s="57"/>
      <c r="U1174" s="52" t="str">
        <f t="shared" ca="1" si="22"/>
        <v/>
      </c>
      <c r="V1174" s="54" t="str">
        <f t="shared" si="23"/>
        <v/>
      </c>
      <c r="W1174" s="52" t="str">
        <f t="shared" ca="1" si="24"/>
        <v/>
      </c>
    </row>
    <row r="1175" spans="1:23" x14ac:dyDescent="0.25">
      <c r="A1175" s="56"/>
      <c r="B1175" s="56"/>
      <c r="C1175" s="56"/>
      <c r="D1175" s="56"/>
      <c r="E1175" s="57"/>
      <c r="F1175" s="57"/>
      <c r="G1175" s="57"/>
      <c r="H1175" s="57"/>
      <c r="I1175" s="57"/>
      <c r="J1175" s="57"/>
      <c r="K1175" s="53"/>
      <c r="L1175" s="54"/>
      <c r="M1175" s="57"/>
      <c r="N1175" s="57"/>
      <c r="O1175" s="56"/>
      <c r="P1175" s="53"/>
      <c r="Q1175" s="57"/>
      <c r="R1175" s="57"/>
      <c r="S1175" s="57"/>
      <c r="T1175" s="57"/>
      <c r="U1175" s="52" t="str">
        <f t="shared" ca="1" si="22"/>
        <v/>
      </c>
      <c r="V1175" s="54" t="str">
        <f t="shared" si="23"/>
        <v/>
      </c>
      <c r="W1175" s="52" t="str">
        <f t="shared" ca="1" si="24"/>
        <v/>
      </c>
    </row>
    <row r="1176" spans="1:23" x14ac:dyDescent="0.25">
      <c r="A1176" s="56"/>
      <c r="B1176" s="56"/>
      <c r="C1176" s="56"/>
      <c r="D1176" s="56"/>
      <c r="E1176" s="57"/>
      <c r="F1176" s="57"/>
      <c r="G1176" s="57"/>
      <c r="H1176" s="57"/>
      <c r="I1176" s="57"/>
      <c r="J1176" s="57"/>
      <c r="K1176" s="53"/>
      <c r="L1176" s="54"/>
      <c r="M1176" s="57"/>
      <c r="N1176" s="57"/>
      <c r="O1176" s="56"/>
      <c r="P1176" s="53"/>
      <c r="Q1176" s="57"/>
      <c r="R1176" s="57"/>
      <c r="S1176" s="57"/>
      <c r="T1176" s="57"/>
      <c r="U1176" s="52" t="str">
        <f t="shared" ca="1" si="22"/>
        <v/>
      </c>
      <c r="V1176" s="54" t="str">
        <f t="shared" si="23"/>
        <v/>
      </c>
      <c r="W1176" s="52" t="str">
        <f t="shared" ca="1" si="24"/>
        <v/>
      </c>
    </row>
    <row r="1177" spans="1:23" x14ac:dyDescent="0.25">
      <c r="A1177" s="56"/>
      <c r="B1177" s="56"/>
      <c r="C1177" s="56"/>
      <c r="D1177" s="56"/>
      <c r="E1177" s="57"/>
      <c r="F1177" s="57"/>
      <c r="G1177" s="57"/>
      <c r="H1177" s="57"/>
      <c r="I1177" s="57"/>
      <c r="J1177" s="57"/>
      <c r="K1177" s="53"/>
      <c r="L1177" s="54"/>
      <c r="M1177" s="57"/>
      <c r="N1177" s="57"/>
      <c r="O1177" s="56"/>
      <c r="P1177" s="53"/>
      <c r="Q1177" s="57"/>
      <c r="R1177" s="57"/>
      <c r="S1177" s="57"/>
      <c r="T1177" s="57"/>
      <c r="U1177" s="52" t="str">
        <f t="shared" ca="1" si="22"/>
        <v/>
      </c>
      <c r="V1177" s="54" t="str">
        <f t="shared" si="23"/>
        <v/>
      </c>
      <c r="W1177" s="52" t="str">
        <f t="shared" ca="1" si="24"/>
        <v/>
      </c>
    </row>
    <row r="1178" spans="1:23" x14ac:dyDescent="0.25">
      <c r="A1178" s="56"/>
      <c r="B1178" s="56"/>
      <c r="C1178" s="56"/>
      <c r="D1178" s="56"/>
      <c r="E1178" s="57"/>
      <c r="F1178" s="57"/>
      <c r="G1178" s="57"/>
      <c r="H1178" s="57"/>
      <c r="I1178" s="57"/>
      <c r="J1178" s="57"/>
      <c r="K1178" s="53"/>
      <c r="L1178" s="54"/>
      <c r="M1178" s="57"/>
      <c r="N1178" s="57"/>
      <c r="O1178" s="56"/>
      <c r="P1178" s="53"/>
      <c r="Q1178" s="57"/>
      <c r="R1178" s="57"/>
      <c r="S1178" s="57"/>
      <c r="T1178" s="57"/>
      <c r="U1178" s="52" t="str">
        <f t="shared" ca="1" si="22"/>
        <v/>
      </c>
      <c r="V1178" s="54" t="str">
        <f t="shared" si="23"/>
        <v/>
      </c>
      <c r="W1178" s="52" t="str">
        <f t="shared" ca="1" si="24"/>
        <v/>
      </c>
    </row>
    <row r="1179" spans="1:23" x14ac:dyDescent="0.25">
      <c r="A1179" s="56"/>
      <c r="B1179" s="56"/>
      <c r="C1179" s="56"/>
      <c r="D1179" s="56"/>
      <c r="E1179" s="57"/>
      <c r="F1179" s="57"/>
      <c r="G1179" s="57"/>
      <c r="H1179" s="57"/>
      <c r="I1179" s="57"/>
      <c r="J1179" s="57"/>
      <c r="K1179" s="53"/>
      <c r="L1179" s="54"/>
      <c r="M1179" s="57"/>
      <c r="N1179" s="57"/>
      <c r="O1179" s="56"/>
      <c r="P1179" s="53"/>
      <c r="Q1179" s="57"/>
      <c r="R1179" s="57"/>
      <c r="S1179" s="57"/>
      <c r="T1179" s="57"/>
      <c r="U1179" s="52" t="str">
        <f t="shared" ca="1" si="22"/>
        <v/>
      </c>
      <c r="V1179" s="54" t="str">
        <f t="shared" si="23"/>
        <v/>
      </c>
      <c r="W1179" s="52" t="str">
        <f t="shared" ca="1" si="24"/>
        <v/>
      </c>
    </row>
    <row r="1180" spans="1:23" x14ac:dyDescent="0.25">
      <c r="A1180" s="56"/>
      <c r="B1180" s="56"/>
      <c r="C1180" s="56"/>
      <c r="D1180" s="56"/>
      <c r="E1180" s="57"/>
      <c r="F1180" s="57"/>
      <c r="G1180" s="57"/>
      <c r="H1180" s="57"/>
      <c r="I1180" s="57"/>
      <c r="J1180" s="57"/>
      <c r="K1180" s="53"/>
      <c r="L1180" s="54"/>
      <c r="M1180" s="57"/>
      <c r="N1180" s="57"/>
      <c r="O1180" s="56"/>
      <c r="P1180" s="53"/>
      <c r="Q1180" s="57"/>
      <c r="R1180" s="57"/>
      <c r="S1180" s="57"/>
      <c r="T1180" s="57"/>
      <c r="U1180" s="52" t="str">
        <f t="shared" ca="1" si="22"/>
        <v/>
      </c>
      <c r="V1180" s="54" t="str">
        <f t="shared" si="23"/>
        <v/>
      </c>
      <c r="W1180" s="52" t="str">
        <f t="shared" ca="1" si="24"/>
        <v/>
      </c>
    </row>
    <row r="1181" spans="1:23" x14ac:dyDescent="0.25">
      <c r="A1181" s="56"/>
      <c r="B1181" s="56"/>
      <c r="C1181" s="56"/>
      <c r="D1181" s="56"/>
      <c r="E1181" s="57"/>
      <c r="F1181" s="57"/>
      <c r="G1181" s="57"/>
      <c r="H1181" s="57"/>
      <c r="I1181" s="57"/>
      <c r="J1181" s="57"/>
      <c r="K1181" s="53"/>
      <c r="L1181" s="54"/>
      <c r="M1181" s="57"/>
      <c r="N1181" s="57"/>
      <c r="O1181" s="56"/>
      <c r="P1181" s="53"/>
      <c r="Q1181" s="57"/>
      <c r="R1181" s="57"/>
      <c r="S1181" s="57"/>
      <c r="T1181" s="57"/>
      <c r="U1181" s="52" t="str">
        <f t="shared" ca="1" si="22"/>
        <v/>
      </c>
      <c r="V1181" s="54" t="str">
        <f t="shared" si="23"/>
        <v/>
      </c>
      <c r="W1181" s="52" t="str">
        <f t="shared" ca="1" si="24"/>
        <v/>
      </c>
    </row>
    <row r="1182" spans="1:23" x14ac:dyDescent="0.25">
      <c r="A1182" s="56"/>
      <c r="B1182" s="56"/>
      <c r="C1182" s="56"/>
      <c r="D1182" s="56"/>
      <c r="E1182" s="57"/>
      <c r="F1182" s="57"/>
      <c r="G1182" s="57"/>
      <c r="H1182" s="57"/>
      <c r="I1182" s="57"/>
      <c r="J1182" s="57"/>
      <c r="K1182" s="53"/>
      <c r="L1182" s="54"/>
      <c r="M1182" s="57"/>
      <c r="N1182" s="57"/>
      <c r="O1182" s="56"/>
      <c r="P1182" s="53"/>
      <c r="Q1182" s="57"/>
      <c r="R1182" s="57"/>
      <c r="S1182" s="57"/>
      <c r="T1182" s="57"/>
      <c r="U1182" s="52" t="str">
        <f t="shared" ca="1" si="22"/>
        <v/>
      </c>
      <c r="V1182" s="54" t="str">
        <f t="shared" si="23"/>
        <v/>
      </c>
      <c r="W1182" s="52" t="str">
        <f t="shared" ca="1" si="24"/>
        <v/>
      </c>
    </row>
    <row r="1183" spans="1:23" x14ac:dyDescent="0.25">
      <c r="A1183" s="56"/>
      <c r="B1183" s="56"/>
      <c r="C1183" s="56"/>
      <c r="D1183" s="56"/>
      <c r="E1183" s="57"/>
      <c r="F1183" s="57"/>
      <c r="G1183" s="57"/>
      <c r="H1183" s="57"/>
      <c r="I1183" s="57"/>
      <c r="J1183" s="57"/>
      <c r="K1183" s="53"/>
      <c r="L1183" s="54"/>
      <c r="M1183" s="57"/>
      <c r="N1183" s="57"/>
      <c r="O1183" s="56"/>
      <c r="P1183" s="53"/>
      <c r="Q1183" s="57"/>
      <c r="R1183" s="57"/>
      <c r="S1183" s="57"/>
      <c r="T1183" s="57"/>
      <c r="U1183" s="52" t="str">
        <f t="shared" ca="1" si="22"/>
        <v/>
      </c>
      <c r="V1183" s="54" t="str">
        <f t="shared" si="23"/>
        <v/>
      </c>
      <c r="W1183" s="52" t="str">
        <f t="shared" ca="1" si="24"/>
        <v/>
      </c>
    </row>
    <row r="1184" spans="1:23" x14ac:dyDescent="0.25">
      <c r="A1184" s="56"/>
      <c r="B1184" s="56"/>
      <c r="C1184" s="56"/>
      <c r="D1184" s="56"/>
      <c r="E1184" s="57"/>
      <c r="F1184" s="57"/>
      <c r="G1184" s="57"/>
      <c r="H1184" s="57"/>
      <c r="I1184" s="57"/>
      <c r="J1184" s="57"/>
      <c r="K1184" s="53"/>
      <c r="L1184" s="54"/>
      <c r="M1184" s="57"/>
      <c r="N1184" s="57"/>
      <c r="O1184" s="56"/>
      <c r="P1184" s="53"/>
      <c r="Q1184" s="57"/>
      <c r="R1184" s="57"/>
      <c r="S1184" s="57"/>
      <c r="T1184" s="57"/>
      <c r="U1184" s="52" t="str">
        <f t="shared" ca="1" si="22"/>
        <v/>
      </c>
      <c r="V1184" s="54" t="str">
        <f t="shared" si="23"/>
        <v/>
      </c>
      <c r="W1184" s="52" t="str">
        <f t="shared" ca="1" si="24"/>
        <v/>
      </c>
    </row>
    <row r="1185" spans="1:23" x14ac:dyDescent="0.25">
      <c r="A1185" s="56"/>
      <c r="B1185" s="56"/>
      <c r="C1185" s="56"/>
      <c r="D1185" s="56"/>
      <c r="E1185" s="57"/>
      <c r="F1185" s="57"/>
      <c r="G1185" s="57"/>
      <c r="H1185" s="57"/>
      <c r="I1185" s="57"/>
      <c r="J1185" s="57"/>
      <c r="K1185" s="53"/>
      <c r="L1185" s="54"/>
      <c r="M1185" s="57"/>
      <c r="N1185" s="57"/>
      <c r="O1185" s="56"/>
      <c r="P1185" s="53"/>
      <c r="Q1185" s="57"/>
      <c r="R1185" s="57"/>
      <c r="S1185" s="57"/>
      <c r="T1185" s="57"/>
      <c r="U1185" s="52" t="str">
        <f t="shared" ca="1" si="22"/>
        <v/>
      </c>
      <c r="V1185" s="54" t="str">
        <f t="shared" si="23"/>
        <v/>
      </c>
      <c r="W1185" s="52" t="str">
        <f t="shared" ca="1" si="24"/>
        <v/>
      </c>
    </row>
    <row r="1186" spans="1:23" x14ac:dyDescent="0.25">
      <c r="A1186" s="56"/>
      <c r="B1186" s="56"/>
      <c r="C1186" s="56"/>
      <c r="D1186" s="56"/>
      <c r="E1186" s="57"/>
      <c r="F1186" s="57"/>
      <c r="G1186" s="57"/>
      <c r="H1186" s="57"/>
      <c r="I1186" s="57"/>
      <c r="J1186" s="57"/>
      <c r="K1186" s="53"/>
      <c r="L1186" s="54"/>
      <c r="M1186" s="57"/>
      <c r="N1186" s="57"/>
      <c r="O1186" s="56"/>
      <c r="P1186" s="53"/>
      <c r="Q1186" s="57"/>
      <c r="R1186" s="57"/>
      <c r="S1186" s="57"/>
      <c r="T1186" s="57"/>
      <c r="U1186" s="52" t="str">
        <f t="shared" ca="1" si="22"/>
        <v/>
      </c>
      <c r="V1186" s="54" t="str">
        <f t="shared" si="23"/>
        <v/>
      </c>
      <c r="W1186" s="52" t="str">
        <f t="shared" ca="1" si="24"/>
        <v/>
      </c>
    </row>
    <row r="1187" spans="1:23" x14ac:dyDescent="0.25">
      <c r="A1187" s="56"/>
      <c r="B1187" s="56"/>
      <c r="C1187" s="56"/>
      <c r="D1187" s="56"/>
      <c r="E1187" s="57"/>
      <c r="F1187" s="57"/>
      <c r="G1187" s="57"/>
      <c r="H1187" s="57"/>
      <c r="I1187" s="57"/>
      <c r="J1187" s="57"/>
      <c r="K1187" s="53"/>
      <c r="L1187" s="54"/>
      <c r="M1187" s="57"/>
      <c r="N1187" s="57"/>
      <c r="O1187" s="56"/>
      <c r="P1187" s="53"/>
      <c r="Q1187" s="57"/>
      <c r="R1187" s="57"/>
      <c r="S1187" s="57"/>
      <c r="T1187" s="57"/>
      <c r="U1187" s="52" t="str">
        <f t="shared" ca="1" si="22"/>
        <v/>
      </c>
      <c r="V1187" s="54" t="str">
        <f t="shared" si="23"/>
        <v/>
      </c>
      <c r="W1187" s="52" t="str">
        <f t="shared" ca="1" si="24"/>
        <v/>
      </c>
    </row>
    <row r="1188" spans="1:23" x14ac:dyDescent="0.25">
      <c r="A1188" s="56"/>
      <c r="B1188" s="56"/>
      <c r="C1188" s="56"/>
      <c r="D1188" s="56"/>
      <c r="E1188" s="57"/>
      <c r="F1188" s="57"/>
      <c r="G1188" s="57"/>
      <c r="H1188" s="57"/>
      <c r="I1188" s="57"/>
      <c r="J1188" s="57"/>
      <c r="K1188" s="53"/>
      <c r="L1188" s="54"/>
      <c r="M1188" s="57"/>
      <c r="N1188" s="57"/>
      <c r="O1188" s="56"/>
      <c r="P1188" s="53"/>
      <c r="Q1188" s="57"/>
      <c r="R1188" s="57"/>
      <c r="S1188" s="57"/>
      <c r="T1188" s="57"/>
      <c r="U1188" s="52" t="str">
        <f t="shared" ca="1" si="22"/>
        <v/>
      </c>
      <c r="V1188" s="54" t="str">
        <f t="shared" si="23"/>
        <v/>
      </c>
      <c r="W1188" s="52" t="str">
        <f t="shared" ca="1" si="24"/>
        <v/>
      </c>
    </row>
    <row r="1189" spans="1:23" x14ac:dyDescent="0.25">
      <c r="A1189" s="56"/>
      <c r="B1189" s="56"/>
      <c r="C1189" s="56"/>
      <c r="D1189" s="56"/>
      <c r="E1189" s="57"/>
      <c r="F1189" s="57"/>
      <c r="G1189" s="57"/>
      <c r="H1189" s="57"/>
      <c r="I1189" s="57"/>
      <c r="J1189" s="57"/>
      <c r="K1189" s="53"/>
      <c r="L1189" s="54"/>
      <c r="M1189" s="57"/>
      <c r="N1189" s="57"/>
      <c r="O1189" s="56"/>
      <c r="P1189" s="53"/>
      <c r="Q1189" s="57"/>
      <c r="R1189" s="57"/>
      <c r="S1189" s="57"/>
      <c r="T1189" s="57"/>
      <c r="U1189" s="52" t="str">
        <f t="shared" ca="1" si="22"/>
        <v/>
      </c>
      <c r="V1189" s="54" t="str">
        <f t="shared" si="23"/>
        <v/>
      </c>
      <c r="W1189" s="52" t="str">
        <f t="shared" ca="1" si="24"/>
        <v/>
      </c>
    </row>
    <row r="1190" spans="1:23" x14ac:dyDescent="0.25">
      <c r="A1190" s="56"/>
      <c r="B1190" s="56"/>
      <c r="C1190" s="56"/>
      <c r="D1190" s="56"/>
      <c r="E1190" s="57"/>
      <c r="F1190" s="57"/>
      <c r="G1190" s="57"/>
      <c r="H1190" s="57"/>
      <c r="I1190" s="57"/>
      <c r="J1190" s="57"/>
      <c r="K1190" s="53"/>
      <c r="L1190" s="54"/>
      <c r="M1190" s="57"/>
      <c r="N1190" s="57"/>
      <c r="O1190" s="56"/>
      <c r="P1190" s="53"/>
      <c r="Q1190" s="57"/>
      <c r="R1190" s="57"/>
      <c r="S1190" s="57"/>
      <c r="T1190" s="57"/>
      <c r="U1190" s="52" t="str">
        <f t="shared" ca="1" si="22"/>
        <v/>
      </c>
      <c r="V1190" s="54" t="str">
        <f t="shared" si="23"/>
        <v/>
      </c>
      <c r="W1190" s="52" t="str">
        <f t="shared" ca="1" si="24"/>
        <v/>
      </c>
    </row>
    <row r="1191" spans="1:23" x14ac:dyDescent="0.25">
      <c r="A1191" s="56"/>
      <c r="B1191" s="56"/>
      <c r="C1191" s="56"/>
      <c r="D1191" s="56"/>
      <c r="E1191" s="57"/>
      <c r="F1191" s="57"/>
      <c r="G1191" s="57"/>
      <c r="H1191" s="57"/>
      <c r="I1191" s="57"/>
      <c r="J1191" s="57"/>
      <c r="K1191" s="53"/>
      <c r="L1191" s="54"/>
      <c r="M1191" s="57"/>
      <c r="N1191" s="57"/>
      <c r="O1191" s="56"/>
      <c r="P1191" s="53"/>
      <c r="Q1191" s="57"/>
      <c r="R1191" s="57"/>
      <c r="S1191" s="57"/>
      <c r="T1191" s="57"/>
      <c r="U1191" s="52" t="str">
        <f t="shared" ca="1" si="22"/>
        <v/>
      </c>
      <c r="V1191" s="54" t="str">
        <f t="shared" si="23"/>
        <v/>
      </c>
      <c r="W1191" s="52" t="str">
        <f t="shared" ca="1" si="24"/>
        <v/>
      </c>
    </row>
    <row r="1192" spans="1:23" x14ac:dyDescent="0.25">
      <c r="A1192" s="56"/>
      <c r="B1192" s="56"/>
      <c r="C1192" s="56"/>
      <c r="D1192" s="56"/>
      <c r="E1192" s="57"/>
      <c r="F1192" s="57"/>
      <c r="G1192" s="57"/>
      <c r="H1192" s="57"/>
      <c r="I1192" s="57"/>
      <c r="J1192" s="57"/>
      <c r="K1192" s="53"/>
      <c r="L1192" s="54"/>
      <c r="M1192" s="57"/>
      <c r="N1192" s="57"/>
      <c r="O1192" s="56"/>
      <c r="P1192" s="53"/>
      <c r="Q1192" s="57"/>
      <c r="R1192" s="57"/>
      <c r="S1192" s="57"/>
      <c r="T1192" s="57"/>
      <c r="U1192" s="52" t="str">
        <f t="shared" ca="1" si="22"/>
        <v/>
      </c>
      <c r="V1192" s="54" t="str">
        <f t="shared" si="23"/>
        <v/>
      </c>
      <c r="W1192" s="52" t="str">
        <f t="shared" ca="1" si="24"/>
        <v/>
      </c>
    </row>
    <row r="1193" spans="1:23" x14ac:dyDescent="0.25">
      <c r="A1193" s="56"/>
      <c r="B1193" s="56"/>
      <c r="C1193" s="56"/>
      <c r="D1193" s="56"/>
      <c r="E1193" s="57"/>
      <c r="F1193" s="57"/>
      <c r="G1193" s="57"/>
      <c r="H1193" s="57"/>
      <c r="I1193" s="57"/>
      <c r="J1193" s="57"/>
      <c r="K1193" s="53"/>
      <c r="L1193" s="54"/>
      <c r="M1193" s="57"/>
      <c r="N1193" s="57"/>
      <c r="O1193" s="56"/>
      <c r="P1193" s="53"/>
      <c r="Q1193" s="57"/>
      <c r="R1193" s="57"/>
      <c r="S1193" s="57"/>
      <c r="T1193" s="57"/>
      <c r="U1193" s="52" t="str">
        <f t="shared" ca="1" si="22"/>
        <v/>
      </c>
      <c r="V1193" s="54" t="str">
        <f t="shared" si="23"/>
        <v/>
      </c>
      <c r="W1193" s="52" t="str">
        <f t="shared" ca="1" si="24"/>
        <v/>
      </c>
    </row>
    <row r="1194" spans="1:23" x14ac:dyDescent="0.25">
      <c r="A1194" s="56"/>
      <c r="B1194" s="56"/>
      <c r="C1194" s="56"/>
      <c r="D1194" s="56"/>
      <c r="E1194" s="57"/>
      <c r="F1194" s="57"/>
      <c r="G1194" s="57"/>
      <c r="H1194" s="57"/>
      <c r="I1194" s="57"/>
      <c r="J1194" s="57"/>
      <c r="K1194" s="53"/>
      <c r="L1194" s="54"/>
      <c r="M1194" s="57"/>
      <c r="N1194" s="57"/>
      <c r="O1194" s="56"/>
      <c r="P1194" s="53"/>
      <c r="Q1194" s="57"/>
      <c r="R1194" s="57"/>
      <c r="S1194" s="57"/>
      <c r="T1194" s="57"/>
      <c r="U1194" s="52" t="str">
        <f t="shared" ca="1" si="22"/>
        <v/>
      </c>
      <c r="V1194" s="54" t="str">
        <f t="shared" si="23"/>
        <v/>
      </c>
      <c r="W1194" s="52" t="str">
        <f t="shared" ca="1" si="24"/>
        <v/>
      </c>
    </row>
    <row r="1195" spans="1:23" x14ac:dyDescent="0.25">
      <c r="A1195" s="56"/>
      <c r="B1195" s="56"/>
      <c r="C1195" s="56"/>
      <c r="D1195" s="56"/>
      <c r="E1195" s="57"/>
      <c r="F1195" s="57"/>
      <c r="G1195" s="57"/>
      <c r="H1195" s="57"/>
      <c r="I1195" s="57"/>
      <c r="J1195" s="57"/>
      <c r="K1195" s="53"/>
      <c r="L1195" s="54"/>
      <c r="M1195" s="57"/>
      <c r="N1195" s="57"/>
      <c r="O1195" s="56"/>
      <c r="P1195" s="53"/>
      <c r="Q1195" s="57"/>
      <c r="R1195" s="57"/>
      <c r="S1195" s="57"/>
      <c r="T1195" s="57"/>
      <c r="U1195" s="52" t="str">
        <f t="shared" ca="1" si="22"/>
        <v/>
      </c>
      <c r="V1195" s="54" t="str">
        <f t="shared" si="23"/>
        <v/>
      </c>
      <c r="W1195" s="52" t="str">
        <f t="shared" ca="1" si="24"/>
        <v/>
      </c>
    </row>
    <row r="1196" spans="1:23" x14ac:dyDescent="0.25">
      <c r="A1196" s="56"/>
      <c r="B1196" s="56"/>
      <c r="C1196" s="56"/>
      <c r="D1196" s="56"/>
      <c r="E1196" s="57"/>
      <c r="F1196" s="57"/>
      <c r="G1196" s="57"/>
      <c r="H1196" s="57"/>
      <c r="I1196" s="57"/>
      <c r="J1196" s="57"/>
      <c r="K1196" s="53"/>
      <c r="L1196" s="54"/>
      <c r="M1196" s="57"/>
      <c r="N1196" s="57"/>
      <c r="O1196" s="56"/>
      <c r="P1196" s="53"/>
      <c r="Q1196" s="57"/>
      <c r="R1196" s="57"/>
      <c r="S1196" s="57"/>
      <c r="T1196" s="57"/>
      <c r="U1196" s="52" t="str">
        <f t="shared" ca="1" si="22"/>
        <v/>
      </c>
      <c r="V1196" s="54" t="str">
        <f t="shared" si="23"/>
        <v/>
      </c>
      <c r="W1196" s="52" t="str">
        <f t="shared" ca="1" si="24"/>
        <v/>
      </c>
    </row>
    <row r="1197" spans="1:23" x14ac:dyDescent="0.25">
      <c r="A1197" s="56"/>
      <c r="B1197" s="56"/>
      <c r="C1197" s="56"/>
      <c r="D1197" s="56"/>
      <c r="E1197" s="57"/>
      <c r="F1197" s="57"/>
      <c r="G1197" s="57"/>
      <c r="H1197" s="57"/>
      <c r="I1197" s="57"/>
      <c r="J1197" s="57"/>
      <c r="K1197" s="53"/>
      <c r="L1197" s="54"/>
      <c r="M1197" s="57"/>
      <c r="N1197" s="57"/>
      <c r="O1197" s="56"/>
      <c r="P1197" s="53"/>
      <c r="Q1197" s="57"/>
      <c r="R1197" s="57"/>
      <c r="S1197" s="57"/>
      <c r="T1197" s="57"/>
      <c r="U1197" s="52" t="str">
        <f t="shared" ca="1" si="22"/>
        <v/>
      </c>
      <c r="V1197" s="54" t="str">
        <f t="shared" si="23"/>
        <v/>
      </c>
      <c r="W1197" s="52" t="str">
        <f t="shared" ca="1" si="24"/>
        <v/>
      </c>
    </row>
    <row r="1198" spans="1:23" x14ac:dyDescent="0.25">
      <c r="A1198" s="56"/>
      <c r="B1198" s="56"/>
      <c r="C1198" s="56"/>
      <c r="D1198" s="56"/>
      <c r="E1198" s="57"/>
      <c r="F1198" s="57"/>
      <c r="G1198" s="57"/>
      <c r="H1198" s="57"/>
      <c r="I1198" s="57"/>
      <c r="J1198" s="57"/>
      <c r="K1198" s="53"/>
      <c r="L1198" s="54"/>
      <c r="M1198" s="57"/>
      <c r="N1198" s="57"/>
      <c r="O1198" s="56"/>
      <c r="P1198" s="53"/>
      <c r="Q1198" s="57"/>
      <c r="R1198" s="57"/>
      <c r="S1198" s="57"/>
      <c r="T1198" s="57"/>
      <c r="U1198" s="52" t="str">
        <f t="shared" ca="1" si="22"/>
        <v/>
      </c>
      <c r="V1198" s="54" t="str">
        <f t="shared" si="23"/>
        <v/>
      </c>
      <c r="W1198" s="52" t="str">
        <f t="shared" ca="1" si="24"/>
        <v/>
      </c>
    </row>
    <row r="1199" spans="1:23" x14ac:dyDescent="0.25">
      <c r="A1199" s="56"/>
      <c r="B1199" s="56"/>
      <c r="C1199" s="56"/>
      <c r="D1199" s="56"/>
      <c r="E1199" s="57"/>
      <c r="F1199" s="57"/>
      <c r="G1199" s="57"/>
      <c r="H1199" s="57"/>
      <c r="I1199" s="57"/>
      <c r="J1199" s="57"/>
      <c r="K1199" s="53"/>
      <c r="L1199" s="54"/>
      <c r="M1199" s="57"/>
      <c r="N1199" s="57"/>
      <c r="O1199" s="56"/>
      <c r="P1199" s="53"/>
      <c r="Q1199" s="57"/>
      <c r="R1199" s="57"/>
      <c r="S1199" s="57"/>
      <c r="T1199" s="57"/>
      <c r="U1199" s="52" t="str">
        <f t="shared" ca="1" si="22"/>
        <v/>
      </c>
      <c r="V1199" s="54" t="str">
        <f t="shared" si="23"/>
        <v/>
      </c>
      <c r="W1199" s="52" t="str">
        <f t="shared" ca="1" si="24"/>
        <v/>
      </c>
    </row>
    <row r="1200" spans="1:23" x14ac:dyDescent="0.25">
      <c r="A1200" s="56"/>
      <c r="B1200" s="56"/>
      <c r="C1200" s="56"/>
      <c r="D1200" s="56"/>
      <c r="E1200" s="57"/>
      <c r="F1200" s="57"/>
      <c r="G1200" s="57"/>
      <c r="H1200" s="57"/>
      <c r="I1200" s="57"/>
      <c r="J1200" s="57"/>
      <c r="K1200" s="53"/>
      <c r="L1200" s="54"/>
      <c r="M1200" s="57"/>
      <c r="N1200" s="57"/>
      <c r="O1200" s="56"/>
      <c r="P1200" s="53"/>
      <c r="Q1200" s="57"/>
      <c r="R1200" s="57"/>
      <c r="S1200" s="57"/>
      <c r="T1200" s="57"/>
      <c r="U1200" s="52" t="str">
        <f t="shared" ca="1" si="22"/>
        <v/>
      </c>
      <c r="V1200" s="54" t="str">
        <f t="shared" si="23"/>
        <v/>
      </c>
      <c r="W1200" s="52" t="str">
        <f t="shared" ca="1" si="24"/>
        <v/>
      </c>
    </row>
  </sheetData>
  <autoFilter ref="A1:W1200" xr:uid="{00000000-0009-0000-0000-000001000000}"/>
  <mergeCells count="2">
    <mergeCell ref="A2:W2"/>
    <mergeCell ref="A1:W1"/>
  </mergeCells>
  <conditionalFormatting sqref="C5:C1071">
    <cfRule type="expression" dxfId="11" priority="4">
      <formula>AND($H5&lt;&gt;"",C5="")</formula>
    </cfRule>
  </conditionalFormatting>
  <conditionalFormatting sqref="E5:E1071">
    <cfRule type="expression" dxfId="10" priority="5">
      <formula>AND($H5&lt;&gt;"",E5="")</formula>
    </cfRule>
  </conditionalFormatting>
  <conditionalFormatting sqref="G5:G1071">
    <cfRule type="expression" dxfId="9" priority="6">
      <formula>AND($H5&lt;&gt;"",G5="")</formula>
    </cfRule>
  </conditionalFormatting>
  <conditionalFormatting sqref="K5:K1071">
    <cfRule type="expression" dxfId="8" priority="7">
      <formula>AND($H5&lt;&gt;"",K5="")</formula>
    </cfRule>
  </conditionalFormatting>
  <conditionalFormatting sqref="N5:N1071">
    <cfRule type="expression" dxfId="7" priority="8">
      <formula>AND($H5&lt;&gt;"",N5="")</formula>
    </cfRule>
  </conditionalFormatting>
  <conditionalFormatting sqref="W5:W1200">
    <cfRule type="expression" dxfId="6" priority="1">
      <formula>LEFT(W5,1)="🔴"</formula>
    </cfRule>
    <cfRule type="expression" dxfId="5" priority="2">
      <formula>LEFT(W5,1)="🟠"</formula>
    </cfRule>
    <cfRule type="expression" dxfId="4" priority="3">
      <formula>LEFT(W5,1)="🟢"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100-000000000000}">
          <x14:formula1>
            <xm:f>_LISTY!$B$5:$B$6</xm:f>
          </x14:formula1>
          <xm:sqref>I5:I1200</xm:sqref>
        </x14:dataValidation>
        <x14:dataValidation type="list" allowBlank="1" xr:uid="{00000000-0002-0000-0100-000001000000}">
          <x14:formula1>
            <xm:f>_LISTY!$G$5:$G$13</xm:f>
          </x14:formula1>
          <xm:sqref>J5:J1200</xm:sqref>
        </x14:dataValidation>
        <x14:dataValidation type="list" allowBlank="1" xr:uid="{00000000-0002-0000-0100-000002000000}">
          <x14:formula1>
            <xm:f>_LISTY!$D$5:$D$10</xm:f>
          </x14:formula1>
          <xm:sqref>L5:L1200</xm:sqref>
        </x14:dataValidation>
        <x14:dataValidation type="list" allowBlank="1" xr:uid="{00000000-0002-0000-0100-000003000000}">
          <x14:formula1>
            <xm:f>_LISTY!$C$5:$C$12</xm:f>
          </x14:formula1>
          <xm:sqref>M5:M1200</xm:sqref>
        </x14:dataValidation>
        <x14:dataValidation type="list" allowBlank="1" xr:uid="{00000000-0002-0000-0100-000004000000}">
          <x14:formula1>
            <xm:f>_LISTY!$A$5:$A$8</xm:f>
          </x14:formula1>
          <xm:sqref>N5:N1200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A651"/>
  </sheetPr>
  <dimension ref="A1:I771"/>
  <sheetViews>
    <sheetView showGridLines="0" workbookViewId="0">
      <pane ySplit="4" topLeftCell="A5" activePane="bottomLeft" state="frozen"/>
      <selection pane="bottomLeft" sqref="A1:H1"/>
    </sheetView>
  </sheetViews>
  <sheetFormatPr defaultRowHeight="15" x14ac:dyDescent="0.25"/>
  <cols>
    <col min="1" max="3" width="12" bestFit="1" customWidth="1"/>
    <col min="4" max="4" width="13" bestFit="1" customWidth="1"/>
    <col min="5" max="5" width="12" bestFit="1" customWidth="1"/>
    <col min="6" max="6" width="17" bestFit="1" customWidth="1"/>
    <col min="7" max="7" width="12" bestFit="1" customWidth="1"/>
    <col min="8" max="8" width="15" bestFit="1" customWidth="1"/>
    <col min="9" max="9" width="12" bestFit="1" customWidth="1"/>
  </cols>
  <sheetData>
    <row r="1" spans="1:9" ht="32.1" customHeight="1" x14ac:dyDescent="0.35">
      <c r="A1" s="81" t="s">
        <v>337</v>
      </c>
      <c r="B1" s="66"/>
      <c r="C1" s="66"/>
      <c r="D1" s="66"/>
      <c r="E1" s="66"/>
      <c r="F1" s="66"/>
      <c r="G1" s="66"/>
      <c r="H1" s="67"/>
      <c r="I1" s="11"/>
    </row>
    <row r="2" spans="1:9" x14ac:dyDescent="0.25">
      <c r="A2" s="82" t="s">
        <v>338</v>
      </c>
      <c r="B2" s="66"/>
      <c r="C2" s="66"/>
      <c r="D2" s="66"/>
      <c r="E2" s="66"/>
      <c r="F2" s="66"/>
      <c r="G2" s="66"/>
      <c r="H2" s="67"/>
      <c r="I2" s="23"/>
    </row>
    <row r="3" spans="1:9" x14ac:dyDescent="0.25">
      <c r="A3" s="5"/>
      <c r="B3" s="5"/>
      <c r="C3" s="5"/>
      <c r="D3" s="5"/>
      <c r="E3" s="5"/>
      <c r="F3" s="5"/>
      <c r="G3" s="5"/>
    </row>
    <row r="4" spans="1:9" ht="21.95" customHeight="1" x14ac:dyDescent="0.25">
      <c r="A4" s="49" t="s">
        <v>339</v>
      </c>
      <c r="B4" s="49" t="s">
        <v>108</v>
      </c>
      <c r="C4" s="49" t="s">
        <v>111</v>
      </c>
      <c r="D4" s="49" t="s">
        <v>340</v>
      </c>
      <c r="E4" s="49" t="s">
        <v>341</v>
      </c>
      <c r="F4" s="49" t="s">
        <v>342</v>
      </c>
      <c r="G4" s="49" t="s">
        <v>117</v>
      </c>
      <c r="H4" s="49" t="s">
        <v>343</v>
      </c>
      <c r="I4" s="49" t="s">
        <v>344</v>
      </c>
    </row>
    <row r="5" spans="1:9" ht="20.100000000000001" customHeight="1" x14ac:dyDescent="0.25">
      <c r="A5" s="50">
        <v>46182</v>
      </c>
      <c r="B5" s="52" t="s">
        <v>77</v>
      </c>
      <c r="C5" s="52">
        <v>5443</v>
      </c>
      <c r="D5" s="52" t="s">
        <v>345</v>
      </c>
      <c r="E5" s="52" t="s">
        <v>346</v>
      </c>
      <c r="F5" s="52">
        <f t="shared" ref="F5:F68" ca="1" si="0">IF(A5="","",MAX(0,TODAY()-A5))</f>
        <v>4</v>
      </c>
      <c r="G5" s="55" t="s">
        <v>347</v>
      </c>
      <c r="H5" s="55" t="s">
        <v>348</v>
      </c>
      <c r="I5" s="52"/>
    </row>
    <row r="6" spans="1:9" ht="20.100000000000001" customHeight="1" x14ac:dyDescent="0.25">
      <c r="A6" s="50">
        <v>46182</v>
      </c>
      <c r="B6" s="52" t="s">
        <v>77</v>
      </c>
      <c r="C6" s="52">
        <v>5443</v>
      </c>
      <c r="D6" s="52" t="s">
        <v>349</v>
      </c>
      <c r="E6" s="52" t="s">
        <v>350</v>
      </c>
      <c r="F6" s="52">
        <f t="shared" ca="1" si="0"/>
        <v>4</v>
      </c>
      <c r="G6" s="55" t="s">
        <v>347</v>
      </c>
      <c r="H6" s="55" t="s">
        <v>351</v>
      </c>
      <c r="I6" s="52"/>
    </row>
    <row r="7" spans="1:9" ht="20.100000000000001" customHeight="1" x14ac:dyDescent="0.25">
      <c r="A7" s="50">
        <v>46182</v>
      </c>
      <c r="B7" s="52" t="s">
        <v>77</v>
      </c>
      <c r="C7" s="52">
        <v>5443</v>
      </c>
      <c r="D7" s="52" t="s">
        <v>352</v>
      </c>
      <c r="E7" s="52" t="s">
        <v>353</v>
      </c>
      <c r="F7" s="52">
        <f t="shared" ca="1" si="0"/>
        <v>4</v>
      </c>
      <c r="G7" s="55" t="s">
        <v>347</v>
      </c>
      <c r="H7" s="55" t="s">
        <v>354</v>
      </c>
      <c r="I7" s="52"/>
    </row>
    <row r="8" spans="1:9" ht="20.100000000000001" customHeight="1" x14ac:dyDescent="0.25">
      <c r="A8" s="50">
        <v>46182</v>
      </c>
      <c r="B8" s="52" t="s">
        <v>149</v>
      </c>
      <c r="C8" s="52">
        <v>5457</v>
      </c>
      <c r="D8" s="52" t="s">
        <v>345</v>
      </c>
      <c r="E8" s="52" t="s">
        <v>346</v>
      </c>
      <c r="F8" s="52">
        <f t="shared" ca="1" si="0"/>
        <v>4</v>
      </c>
      <c r="G8" s="55" t="s">
        <v>347</v>
      </c>
      <c r="H8" s="55" t="s">
        <v>348</v>
      </c>
      <c r="I8" s="52"/>
    </row>
    <row r="9" spans="1:9" ht="20.100000000000001" customHeight="1" x14ac:dyDescent="0.25">
      <c r="A9" s="50">
        <v>46182</v>
      </c>
      <c r="B9" s="52" t="s">
        <v>149</v>
      </c>
      <c r="C9" s="52">
        <v>5457</v>
      </c>
      <c r="D9" s="52" t="s">
        <v>349</v>
      </c>
      <c r="E9" s="52" t="s">
        <v>350</v>
      </c>
      <c r="F9" s="52">
        <f t="shared" ca="1" si="0"/>
        <v>4</v>
      </c>
      <c r="G9" s="55" t="s">
        <v>347</v>
      </c>
      <c r="H9" s="55" t="s">
        <v>351</v>
      </c>
      <c r="I9" s="52"/>
    </row>
    <row r="10" spans="1:9" ht="20.100000000000001" customHeight="1" x14ac:dyDescent="0.25">
      <c r="A10" s="50">
        <v>46182</v>
      </c>
      <c r="B10" s="52" t="s">
        <v>149</v>
      </c>
      <c r="C10" s="52">
        <v>5457</v>
      </c>
      <c r="D10" s="52" t="s">
        <v>352</v>
      </c>
      <c r="E10" s="52" t="s">
        <v>353</v>
      </c>
      <c r="F10" s="52">
        <f t="shared" ca="1" si="0"/>
        <v>4</v>
      </c>
      <c r="G10" s="55" t="s">
        <v>347</v>
      </c>
      <c r="H10" s="55" t="s">
        <v>354</v>
      </c>
      <c r="I10" s="52"/>
    </row>
    <row r="11" spans="1:9" ht="20.100000000000001" customHeight="1" x14ac:dyDescent="0.25">
      <c r="A11" s="50">
        <v>46182</v>
      </c>
      <c r="B11" s="52" t="s">
        <v>175</v>
      </c>
      <c r="C11" s="52">
        <v>5480</v>
      </c>
      <c r="D11" s="52" t="s">
        <v>345</v>
      </c>
      <c r="E11" s="52" t="s">
        <v>346</v>
      </c>
      <c r="F11" s="52">
        <f t="shared" ca="1" si="0"/>
        <v>4</v>
      </c>
      <c r="G11" s="55" t="s">
        <v>347</v>
      </c>
      <c r="H11" s="55" t="s">
        <v>348</v>
      </c>
      <c r="I11" s="52"/>
    </row>
    <row r="12" spans="1:9" ht="20.100000000000001" customHeight="1" x14ac:dyDescent="0.25">
      <c r="A12" s="50">
        <v>46182</v>
      </c>
      <c r="B12" s="52" t="s">
        <v>175</v>
      </c>
      <c r="C12" s="52">
        <v>5480</v>
      </c>
      <c r="D12" s="52" t="s">
        <v>349</v>
      </c>
      <c r="E12" s="52" t="s">
        <v>350</v>
      </c>
      <c r="F12" s="52">
        <f t="shared" ca="1" si="0"/>
        <v>4</v>
      </c>
      <c r="G12" s="55" t="s">
        <v>347</v>
      </c>
      <c r="H12" s="55" t="s">
        <v>351</v>
      </c>
      <c r="I12" s="52"/>
    </row>
    <row r="13" spans="1:9" ht="20.100000000000001" customHeight="1" x14ac:dyDescent="0.25">
      <c r="A13" s="50">
        <v>46182</v>
      </c>
      <c r="B13" s="52" t="s">
        <v>175</v>
      </c>
      <c r="C13" s="52">
        <v>5480</v>
      </c>
      <c r="D13" s="52" t="s">
        <v>352</v>
      </c>
      <c r="E13" s="52" t="s">
        <v>353</v>
      </c>
      <c r="F13" s="52">
        <f t="shared" ca="1" si="0"/>
        <v>4</v>
      </c>
      <c r="G13" s="55" t="s">
        <v>347</v>
      </c>
      <c r="H13" s="55" t="s">
        <v>354</v>
      </c>
      <c r="I13" s="52"/>
    </row>
    <row r="14" spans="1:9" ht="20.100000000000001" customHeight="1" x14ac:dyDescent="0.25">
      <c r="A14" s="50">
        <v>46182</v>
      </c>
      <c r="B14" s="52" t="s">
        <v>191</v>
      </c>
      <c r="C14" s="52">
        <v>5494</v>
      </c>
      <c r="D14" s="52" t="s">
        <v>345</v>
      </c>
      <c r="E14" s="52" t="s">
        <v>346</v>
      </c>
      <c r="F14" s="52">
        <f t="shared" ca="1" si="0"/>
        <v>4</v>
      </c>
      <c r="G14" s="55" t="s">
        <v>347</v>
      </c>
      <c r="H14" s="55" t="s">
        <v>348</v>
      </c>
      <c r="I14" s="52"/>
    </row>
    <row r="15" spans="1:9" ht="20.100000000000001" customHeight="1" x14ac:dyDescent="0.25">
      <c r="A15" s="50">
        <v>46182</v>
      </c>
      <c r="B15" s="52" t="s">
        <v>191</v>
      </c>
      <c r="C15" s="52">
        <v>5494</v>
      </c>
      <c r="D15" s="52" t="s">
        <v>349</v>
      </c>
      <c r="E15" s="52" t="s">
        <v>350</v>
      </c>
      <c r="F15" s="52">
        <f t="shared" ca="1" si="0"/>
        <v>4</v>
      </c>
      <c r="G15" s="55" t="s">
        <v>347</v>
      </c>
      <c r="H15" s="55" t="s">
        <v>351</v>
      </c>
      <c r="I15" s="52"/>
    </row>
    <row r="16" spans="1:9" ht="20.100000000000001" customHeight="1" x14ac:dyDescent="0.25">
      <c r="A16" s="50">
        <v>46182</v>
      </c>
      <c r="B16" s="52" t="s">
        <v>191</v>
      </c>
      <c r="C16" s="52">
        <v>5494</v>
      </c>
      <c r="D16" s="52" t="s">
        <v>352</v>
      </c>
      <c r="E16" s="52" t="s">
        <v>353</v>
      </c>
      <c r="F16" s="52">
        <f t="shared" ca="1" si="0"/>
        <v>4</v>
      </c>
      <c r="G16" s="55" t="s">
        <v>347</v>
      </c>
      <c r="H16" s="55" t="s">
        <v>354</v>
      </c>
      <c r="I16" s="52"/>
    </row>
    <row r="17" spans="1:9" ht="20.100000000000001" customHeight="1" x14ac:dyDescent="0.25">
      <c r="A17" s="50">
        <v>46182</v>
      </c>
      <c r="B17" s="52" t="s">
        <v>192</v>
      </c>
      <c r="C17" s="52">
        <v>5495</v>
      </c>
      <c r="D17" s="52" t="s">
        <v>345</v>
      </c>
      <c r="E17" s="52" t="s">
        <v>346</v>
      </c>
      <c r="F17" s="52">
        <f t="shared" ca="1" si="0"/>
        <v>4</v>
      </c>
      <c r="G17" s="55" t="s">
        <v>347</v>
      </c>
      <c r="H17" s="55" t="s">
        <v>348</v>
      </c>
      <c r="I17" s="52"/>
    </row>
    <row r="18" spans="1:9" ht="20.100000000000001" customHeight="1" x14ac:dyDescent="0.25">
      <c r="A18" s="50">
        <v>46182</v>
      </c>
      <c r="B18" s="52" t="s">
        <v>192</v>
      </c>
      <c r="C18" s="52">
        <v>5495</v>
      </c>
      <c r="D18" s="52" t="s">
        <v>349</v>
      </c>
      <c r="E18" s="52" t="s">
        <v>350</v>
      </c>
      <c r="F18" s="52">
        <f t="shared" ca="1" si="0"/>
        <v>4</v>
      </c>
      <c r="G18" s="55" t="s">
        <v>347</v>
      </c>
      <c r="H18" s="55" t="s">
        <v>351</v>
      </c>
      <c r="I18" s="52"/>
    </row>
    <row r="19" spans="1:9" ht="20.100000000000001" customHeight="1" x14ac:dyDescent="0.25">
      <c r="A19" s="50">
        <v>46182</v>
      </c>
      <c r="B19" s="52" t="s">
        <v>192</v>
      </c>
      <c r="C19" s="52">
        <v>5495</v>
      </c>
      <c r="D19" s="52" t="s">
        <v>352</v>
      </c>
      <c r="E19" s="52" t="s">
        <v>353</v>
      </c>
      <c r="F19" s="52">
        <f t="shared" ca="1" si="0"/>
        <v>4</v>
      </c>
      <c r="G19" s="55" t="s">
        <v>347</v>
      </c>
      <c r="H19" s="55" t="s">
        <v>354</v>
      </c>
      <c r="I19" s="52"/>
    </row>
    <row r="20" spans="1:9" ht="20.100000000000001" customHeight="1" x14ac:dyDescent="0.25">
      <c r="A20" s="50">
        <v>46182</v>
      </c>
      <c r="B20" s="52" t="s">
        <v>81</v>
      </c>
      <c r="C20" s="52">
        <v>5502</v>
      </c>
      <c r="D20" s="52" t="s">
        <v>355</v>
      </c>
      <c r="E20" s="52" t="s">
        <v>346</v>
      </c>
      <c r="F20" s="52">
        <f t="shared" ca="1" si="0"/>
        <v>4</v>
      </c>
      <c r="G20" s="55" t="s">
        <v>347</v>
      </c>
      <c r="H20" s="55" t="s">
        <v>356</v>
      </c>
      <c r="I20" s="52"/>
    </row>
    <row r="21" spans="1:9" ht="20.100000000000001" customHeight="1" x14ac:dyDescent="0.25">
      <c r="A21" s="50">
        <v>46182</v>
      </c>
      <c r="B21" s="52" t="s">
        <v>81</v>
      </c>
      <c r="C21" s="52">
        <v>5502</v>
      </c>
      <c r="D21" s="52" t="s">
        <v>345</v>
      </c>
      <c r="E21" s="52" t="s">
        <v>346</v>
      </c>
      <c r="F21" s="52">
        <f t="shared" ca="1" si="0"/>
        <v>4</v>
      </c>
      <c r="G21" s="55" t="s">
        <v>347</v>
      </c>
      <c r="H21" s="55" t="s">
        <v>348</v>
      </c>
      <c r="I21" s="52"/>
    </row>
    <row r="22" spans="1:9" ht="20.100000000000001" customHeight="1" x14ac:dyDescent="0.25">
      <c r="A22" s="50">
        <v>46182</v>
      </c>
      <c r="B22" s="52" t="s">
        <v>81</v>
      </c>
      <c r="C22" s="52">
        <v>5502</v>
      </c>
      <c r="D22" s="52" t="s">
        <v>349</v>
      </c>
      <c r="E22" s="52" t="s">
        <v>350</v>
      </c>
      <c r="F22" s="52">
        <f t="shared" ca="1" si="0"/>
        <v>4</v>
      </c>
      <c r="G22" s="55" t="s">
        <v>347</v>
      </c>
      <c r="H22" s="55" t="s">
        <v>351</v>
      </c>
      <c r="I22" s="52"/>
    </row>
    <row r="23" spans="1:9" ht="20.100000000000001" customHeight="1" x14ac:dyDescent="0.25">
      <c r="A23" s="50">
        <v>46182</v>
      </c>
      <c r="B23" s="52" t="s">
        <v>81</v>
      </c>
      <c r="C23" s="52">
        <v>5502</v>
      </c>
      <c r="D23" s="52" t="s">
        <v>352</v>
      </c>
      <c r="E23" s="52" t="s">
        <v>353</v>
      </c>
      <c r="F23" s="52">
        <f t="shared" ca="1" si="0"/>
        <v>4</v>
      </c>
      <c r="G23" s="55" t="s">
        <v>347</v>
      </c>
      <c r="H23" s="55" t="s">
        <v>354</v>
      </c>
      <c r="I23" s="52"/>
    </row>
    <row r="24" spans="1:9" ht="20.100000000000001" customHeight="1" x14ac:dyDescent="0.25">
      <c r="A24" s="50">
        <v>46182</v>
      </c>
      <c r="B24" s="52" t="s">
        <v>203</v>
      </c>
      <c r="C24" s="52">
        <v>5505</v>
      </c>
      <c r="D24" s="52" t="s">
        <v>345</v>
      </c>
      <c r="E24" s="52" t="s">
        <v>346</v>
      </c>
      <c r="F24" s="52">
        <f t="shared" ca="1" si="0"/>
        <v>4</v>
      </c>
      <c r="G24" s="55" t="s">
        <v>347</v>
      </c>
      <c r="H24" s="55" t="s">
        <v>348</v>
      </c>
      <c r="I24" s="52"/>
    </row>
    <row r="25" spans="1:9" ht="20.100000000000001" customHeight="1" x14ac:dyDescent="0.25">
      <c r="A25" s="50">
        <v>46182</v>
      </c>
      <c r="B25" s="52" t="s">
        <v>203</v>
      </c>
      <c r="C25" s="52">
        <v>5505</v>
      </c>
      <c r="D25" s="52" t="s">
        <v>349</v>
      </c>
      <c r="E25" s="52" t="s">
        <v>350</v>
      </c>
      <c r="F25" s="52">
        <f t="shared" ca="1" si="0"/>
        <v>4</v>
      </c>
      <c r="G25" s="55" t="s">
        <v>347</v>
      </c>
      <c r="H25" s="55" t="s">
        <v>351</v>
      </c>
      <c r="I25" s="52"/>
    </row>
    <row r="26" spans="1:9" ht="20.100000000000001" customHeight="1" x14ac:dyDescent="0.25">
      <c r="A26" s="50">
        <v>46182</v>
      </c>
      <c r="B26" s="52" t="s">
        <v>203</v>
      </c>
      <c r="C26" s="52">
        <v>5505</v>
      </c>
      <c r="D26" s="52" t="s">
        <v>352</v>
      </c>
      <c r="E26" s="52" t="s">
        <v>353</v>
      </c>
      <c r="F26" s="52">
        <f t="shared" ca="1" si="0"/>
        <v>4</v>
      </c>
      <c r="G26" s="55" t="s">
        <v>347</v>
      </c>
      <c r="H26" s="55" t="s">
        <v>354</v>
      </c>
      <c r="I26" s="52"/>
    </row>
    <row r="27" spans="1:9" ht="20.100000000000001" customHeight="1" x14ac:dyDescent="0.25">
      <c r="A27" s="50">
        <v>46182</v>
      </c>
      <c r="B27" s="52" t="s">
        <v>205</v>
      </c>
      <c r="C27" s="52">
        <v>5507</v>
      </c>
      <c r="D27" s="52" t="s">
        <v>345</v>
      </c>
      <c r="E27" s="52" t="s">
        <v>346</v>
      </c>
      <c r="F27" s="52">
        <f t="shared" ca="1" si="0"/>
        <v>4</v>
      </c>
      <c r="G27" s="55" t="s">
        <v>347</v>
      </c>
      <c r="H27" s="55" t="s">
        <v>348</v>
      </c>
      <c r="I27" s="52"/>
    </row>
    <row r="28" spans="1:9" ht="20.100000000000001" customHeight="1" x14ac:dyDescent="0.25">
      <c r="A28" s="50">
        <v>46182</v>
      </c>
      <c r="B28" s="52" t="s">
        <v>205</v>
      </c>
      <c r="C28" s="52">
        <v>5507</v>
      </c>
      <c r="D28" s="52" t="s">
        <v>349</v>
      </c>
      <c r="E28" s="52" t="s">
        <v>350</v>
      </c>
      <c r="F28" s="52">
        <f t="shared" ca="1" si="0"/>
        <v>4</v>
      </c>
      <c r="G28" s="55" t="s">
        <v>347</v>
      </c>
      <c r="H28" s="55" t="s">
        <v>351</v>
      </c>
      <c r="I28" s="52"/>
    </row>
    <row r="29" spans="1:9" ht="20.100000000000001" customHeight="1" x14ac:dyDescent="0.25">
      <c r="A29" s="50">
        <v>46182</v>
      </c>
      <c r="B29" s="52" t="s">
        <v>205</v>
      </c>
      <c r="C29" s="52">
        <v>5507</v>
      </c>
      <c r="D29" s="52" t="s">
        <v>352</v>
      </c>
      <c r="E29" s="52" t="s">
        <v>353</v>
      </c>
      <c r="F29" s="52">
        <f t="shared" ca="1" si="0"/>
        <v>4</v>
      </c>
      <c r="G29" s="55" t="s">
        <v>347</v>
      </c>
      <c r="H29" s="55" t="s">
        <v>354</v>
      </c>
      <c r="I29" s="52"/>
    </row>
    <row r="30" spans="1:9" ht="20.100000000000001" customHeight="1" x14ac:dyDescent="0.25">
      <c r="A30" s="50">
        <v>46182</v>
      </c>
      <c r="B30" s="52" t="s">
        <v>206</v>
      </c>
      <c r="C30" s="52">
        <v>5509</v>
      </c>
      <c r="D30" s="52" t="s">
        <v>345</v>
      </c>
      <c r="E30" s="52" t="s">
        <v>346</v>
      </c>
      <c r="F30" s="52">
        <f t="shared" ca="1" si="0"/>
        <v>4</v>
      </c>
      <c r="G30" s="55" t="s">
        <v>347</v>
      </c>
      <c r="H30" s="55" t="s">
        <v>348</v>
      </c>
      <c r="I30" s="52"/>
    </row>
    <row r="31" spans="1:9" ht="20.100000000000001" customHeight="1" x14ac:dyDescent="0.25">
      <c r="A31" s="50">
        <v>46182</v>
      </c>
      <c r="B31" s="52" t="s">
        <v>206</v>
      </c>
      <c r="C31" s="52">
        <v>5509</v>
      </c>
      <c r="D31" s="52" t="s">
        <v>349</v>
      </c>
      <c r="E31" s="52" t="s">
        <v>350</v>
      </c>
      <c r="F31" s="52">
        <f t="shared" ca="1" si="0"/>
        <v>4</v>
      </c>
      <c r="G31" s="55" t="s">
        <v>347</v>
      </c>
      <c r="H31" s="55" t="s">
        <v>351</v>
      </c>
      <c r="I31" s="52"/>
    </row>
    <row r="32" spans="1:9" ht="20.100000000000001" customHeight="1" x14ac:dyDescent="0.25">
      <c r="A32" s="50">
        <v>46182</v>
      </c>
      <c r="B32" s="52" t="s">
        <v>206</v>
      </c>
      <c r="C32" s="52">
        <v>5509</v>
      </c>
      <c r="D32" s="52" t="s">
        <v>352</v>
      </c>
      <c r="E32" s="52" t="s">
        <v>353</v>
      </c>
      <c r="F32" s="52">
        <f t="shared" ca="1" si="0"/>
        <v>4</v>
      </c>
      <c r="G32" s="55" t="s">
        <v>347</v>
      </c>
      <c r="H32" s="55" t="s">
        <v>354</v>
      </c>
      <c r="I32" s="52"/>
    </row>
    <row r="33" spans="1:9" ht="20.100000000000001" customHeight="1" x14ac:dyDescent="0.25">
      <c r="A33" s="50">
        <v>46182</v>
      </c>
      <c r="B33" s="52" t="s">
        <v>209</v>
      </c>
      <c r="C33" s="52">
        <v>5512</v>
      </c>
      <c r="D33" s="52" t="s">
        <v>345</v>
      </c>
      <c r="E33" s="52" t="s">
        <v>346</v>
      </c>
      <c r="F33" s="52">
        <f t="shared" ca="1" si="0"/>
        <v>4</v>
      </c>
      <c r="G33" s="55" t="s">
        <v>347</v>
      </c>
      <c r="H33" s="55" t="s">
        <v>348</v>
      </c>
      <c r="I33" s="52"/>
    </row>
    <row r="34" spans="1:9" ht="20.100000000000001" customHeight="1" x14ac:dyDescent="0.25">
      <c r="A34" s="50">
        <v>46182</v>
      </c>
      <c r="B34" s="52" t="s">
        <v>209</v>
      </c>
      <c r="C34" s="52">
        <v>5512</v>
      </c>
      <c r="D34" s="52" t="s">
        <v>349</v>
      </c>
      <c r="E34" s="52" t="s">
        <v>350</v>
      </c>
      <c r="F34" s="52">
        <f t="shared" ca="1" si="0"/>
        <v>4</v>
      </c>
      <c r="G34" s="55" t="s">
        <v>347</v>
      </c>
      <c r="H34" s="55" t="s">
        <v>351</v>
      </c>
      <c r="I34" s="52"/>
    </row>
    <row r="35" spans="1:9" ht="20.100000000000001" customHeight="1" x14ac:dyDescent="0.25">
      <c r="A35" s="50">
        <v>46182</v>
      </c>
      <c r="B35" s="52" t="s">
        <v>209</v>
      </c>
      <c r="C35" s="52">
        <v>5512</v>
      </c>
      <c r="D35" s="52" t="s">
        <v>352</v>
      </c>
      <c r="E35" s="52" t="s">
        <v>353</v>
      </c>
      <c r="F35" s="52">
        <f t="shared" ca="1" si="0"/>
        <v>4</v>
      </c>
      <c r="G35" s="55" t="s">
        <v>347</v>
      </c>
      <c r="H35" s="55" t="s">
        <v>354</v>
      </c>
      <c r="I35" s="52"/>
    </row>
    <row r="36" spans="1:9" ht="20.100000000000001" customHeight="1" x14ac:dyDescent="0.25">
      <c r="A36" s="50">
        <v>46182</v>
      </c>
      <c r="B36" s="52" t="s">
        <v>210</v>
      </c>
      <c r="C36" s="52">
        <v>5513</v>
      </c>
      <c r="D36" s="52" t="s">
        <v>345</v>
      </c>
      <c r="E36" s="52" t="s">
        <v>346</v>
      </c>
      <c r="F36" s="52">
        <f t="shared" ca="1" si="0"/>
        <v>4</v>
      </c>
      <c r="G36" s="55" t="s">
        <v>347</v>
      </c>
      <c r="H36" s="55" t="s">
        <v>348</v>
      </c>
      <c r="I36" s="52"/>
    </row>
    <row r="37" spans="1:9" ht="20.100000000000001" customHeight="1" x14ac:dyDescent="0.25">
      <c r="A37" s="50">
        <v>46182</v>
      </c>
      <c r="B37" s="52" t="s">
        <v>210</v>
      </c>
      <c r="C37" s="52">
        <v>5513</v>
      </c>
      <c r="D37" s="52" t="s">
        <v>349</v>
      </c>
      <c r="E37" s="52" t="s">
        <v>350</v>
      </c>
      <c r="F37" s="52">
        <f t="shared" ca="1" si="0"/>
        <v>4</v>
      </c>
      <c r="G37" s="55" t="s">
        <v>347</v>
      </c>
      <c r="H37" s="55" t="s">
        <v>351</v>
      </c>
      <c r="I37" s="52"/>
    </row>
    <row r="38" spans="1:9" ht="20.100000000000001" customHeight="1" x14ac:dyDescent="0.25">
      <c r="A38" s="50">
        <v>46182</v>
      </c>
      <c r="B38" s="52" t="s">
        <v>210</v>
      </c>
      <c r="C38" s="52">
        <v>5513</v>
      </c>
      <c r="D38" s="52" t="s">
        <v>352</v>
      </c>
      <c r="E38" s="52" t="s">
        <v>353</v>
      </c>
      <c r="F38" s="52">
        <f t="shared" ca="1" si="0"/>
        <v>4</v>
      </c>
      <c r="G38" s="55" t="s">
        <v>347</v>
      </c>
      <c r="H38" s="55" t="s">
        <v>354</v>
      </c>
      <c r="I38" s="52"/>
    </row>
    <row r="39" spans="1:9" ht="20.100000000000001" customHeight="1" x14ac:dyDescent="0.25">
      <c r="A39" s="50">
        <v>46182</v>
      </c>
      <c r="B39" s="52" t="s">
        <v>81</v>
      </c>
      <c r="C39" s="52">
        <v>5514</v>
      </c>
      <c r="D39" s="52" t="s">
        <v>345</v>
      </c>
      <c r="E39" s="52" t="s">
        <v>346</v>
      </c>
      <c r="F39" s="52">
        <f t="shared" ca="1" si="0"/>
        <v>4</v>
      </c>
      <c r="G39" s="55" t="s">
        <v>347</v>
      </c>
      <c r="H39" s="55" t="s">
        <v>348</v>
      </c>
      <c r="I39" s="52"/>
    </row>
    <row r="40" spans="1:9" ht="20.100000000000001" customHeight="1" x14ac:dyDescent="0.25">
      <c r="A40" s="50">
        <v>46182</v>
      </c>
      <c r="B40" s="52" t="s">
        <v>81</v>
      </c>
      <c r="C40" s="52">
        <v>5514</v>
      </c>
      <c r="D40" s="52" t="s">
        <v>349</v>
      </c>
      <c r="E40" s="52" t="s">
        <v>350</v>
      </c>
      <c r="F40" s="52">
        <f t="shared" ca="1" si="0"/>
        <v>4</v>
      </c>
      <c r="G40" s="55" t="s">
        <v>347</v>
      </c>
      <c r="H40" s="55" t="s">
        <v>351</v>
      </c>
      <c r="I40" s="52"/>
    </row>
    <row r="41" spans="1:9" ht="20.100000000000001" customHeight="1" x14ac:dyDescent="0.25">
      <c r="A41" s="50">
        <v>46182</v>
      </c>
      <c r="B41" s="52" t="s">
        <v>81</v>
      </c>
      <c r="C41" s="52">
        <v>5514</v>
      </c>
      <c r="D41" s="52" t="s">
        <v>352</v>
      </c>
      <c r="E41" s="52" t="s">
        <v>353</v>
      </c>
      <c r="F41" s="52">
        <f t="shared" ca="1" si="0"/>
        <v>4</v>
      </c>
      <c r="G41" s="55" t="s">
        <v>347</v>
      </c>
      <c r="H41" s="55" t="s">
        <v>354</v>
      </c>
      <c r="I41" s="52"/>
    </row>
    <row r="42" spans="1:9" ht="20.100000000000001" customHeight="1" x14ac:dyDescent="0.25">
      <c r="A42" s="50">
        <v>46182</v>
      </c>
      <c r="B42" s="52" t="s">
        <v>212</v>
      </c>
      <c r="C42" s="52">
        <v>5516</v>
      </c>
      <c r="D42" s="52" t="s">
        <v>345</v>
      </c>
      <c r="E42" s="52" t="s">
        <v>346</v>
      </c>
      <c r="F42" s="52">
        <f t="shared" ca="1" si="0"/>
        <v>4</v>
      </c>
      <c r="G42" s="55" t="s">
        <v>347</v>
      </c>
      <c r="H42" s="55" t="s">
        <v>348</v>
      </c>
      <c r="I42" s="52"/>
    </row>
    <row r="43" spans="1:9" ht="20.100000000000001" customHeight="1" x14ac:dyDescent="0.25">
      <c r="A43" s="50">
        <v>46182</v>
      </c>
      <c r="B43" s="52" t="s">
        <v>212</v>
      </c>
      <c r="C43" s="52">
        <v>5516</v>
      </c>
      <c r="D43" s="52" t="s">
        <v>349</v>
      </c>
      <c r="E43" s="52" t="s">
        <v>350</v>
      </c>
      <c r="F43" s="52">
        <f t="shared" ca="1" si="0"/>
        <v>4</v>
      </c>
      <c r="G43" s="55" t="s">
        <v>347</v>
      </c>
      <c r="H43" s="55" t="s">
        <v>351</v>
      </c>
      <c r="I43" s="52"/>
    </row>
    <row r="44" spans="1:9" ht="20.100000000000001" customHeight="1" x14ac:dyDescent="0.25">
      <c r="A44" s="50">
        <v>46182</v>
      </c>
      <c r="B44" s="52" t="s">
        <v>212</v>
      </c>
      <c r="C44" s="52">
        <v>5516</v>
      </c>
      <c r="D44" s="52" t="s">
        <v>352</v>
      </c>
      <c r="E44" s="52" t="s">
        <v>353</v>
      </c>
      <c r="F44" s="52">
        <f t="shared" ca="1" si="0"/>
        <v>4</v>
      </c>
      <c r="G44" s="55" t="s">
        <v>347</v>
      </c>
      <c r="H44" s="55" t="s">
        <v>354</v>
      </c>
      <c r="I44" s="52"/>
    </row>
    <row r="45" spans="1:9" ht="20.100000000000001" customHeight="1" x14ac:dyDescent="0.25">
      <c r="A45" s="50">
        <v>46182</v>
      </c>
      <c r="B45" s="52" t="s">
        <v>217</v>
      </c>
      <c r="C45" s="52">
        <v>5520</v>
      </c>
      <c r="D45" s="52" t="s">
        <v>345</v>
      </c>
      <c r="E45" s="52" t="s">
        <v>346</v>
      </c>
      <c r="F45" s="52">
        <f t="shared" ca="1" si="0"/>
        <v>4</v>
      </c>
      <c r="G45" s="55" t="s">
        <v>347</v>
      </c>
      <c r="H45" s="55" t="s">
        <v>348</v>
      </c>
      <c r="I45" s="52"/>
    </row>
    <row r="46" spans="1:9" ht="20.100000000000001" customHeight="1" x14ac:dyDescent="0.25">
      <c r="A46" s="50">
        <v>46182</v>
      </c>
      <c r="B46" s="52" t="s">
        <v>217</v>
      </c>
      <c r="C46" s="52">
        <v>5520</v>
      </c>
      <c r="D46" s="52" t="s">
        <v>349</v>
      </c>
      <c r="E46" s="52" t="s">
        <v>350</v>
      </c>
      <c r="F46" s="52">
        <f t="shared" ca="1" si="0"/>
        <v>4</v>
      </c>
      <c r="G46" s="55" t="s">
        <v>347</v>
      </c>
      <c r="H46" s="55" t="s">
        <v>351</v>
      </c>
      <c r="I46" s="52"/>
    </row>
    <row r="47" spans="1:9" ht="20.100000000000001" customHeight="1" x14ac:dyDescent="0.25">
      <c r="A47" s="50">
        <v>46182</v>
      </c>
      <c r="B47" s="52" t="s">
        <v>217</v>
      </c>
      <c r="C47" s="52">
        <v>5520</v>
      </c>
      <c r="D47" s="52" t="s">
        <v>352</v>
      </c>
      <c r="E47" s="52" t="s">
        <v>353</v>
      </c>
      <c r="F47" s="52">
        <f t="shared" ca="1" si="0"/>
        <v>4</v>
      </c>
      <c r="G47" s="55" t="s">
        <v>347</v>
      </c>
      <c r="H47" s="55" t="s">
        <v>354</v>
      </c>
      <c r="I47" s="52"/>
    </row>
    <row r="48" spans="1:9" ht="20.100000000000001" customHeight="1" x14ac:dyDescent="0.25">
      <c r="A48" s="50">
        <v>46182</v>
      </c>
      <c r="B48" s="52" t="s">
        <v>219</v>
      </c>
      <c r="C48" s="52">
        <v>5522</v>
      </c>
      <c r="D48" s="52" t="s">
        <v>345</v>
      </c>
      <c r="E48" s="52" t="s">
        <v>346</v>
      </c>
      <c r="F48" s="52">
        <f t="shared" ca="1" si="0"/>
        <v>4</v>
      </c>
      <c r="G48" s="55" t="s">
        <v>347</v>
      </c>
      <c r="H48" s="55" t="s">
        <v>348</v>
      </c>
      <c r="I48" s="52"/>
    </row>
    <row r="49" spans="1:9" ht="20.100000000000001" customHeight="1" x14ac:dyDescent="0.25">
      <c r="A49" s="50">
        <v>46182</v>
      </c>
      <c r="B49" s="52" t="s">
        <v>219</v>
      </c>
      <c r="C49" s="52">
        <v>5522</v>
      </c>
      <c r="D49" s="52" t="s">
        <v>349</v>
      </c>
      <c r="E49" s="52" t="s">
        <v>350</v>
      </c>
      <c r="F49" s="52">
        <f t="shared" ca="1" si="0"/>
        <v>4</v>
      </c>
      <c r="G49" s="55" t="s">
        <v>347</v>
      </c>
      <c r="H49" s="55" t="s">
        <v>351</v>
      </c>
      <c r="I49" s="52"/>
    </row>
    <row r="50" spans="1:9" ht="20.100000000000001" customHeight="1" x14ac:dyDescent="0.25">
      <c r="A50" s="50">
        <v>46182</v>
      </c>
      <c r="B50" s="52" t="s">
        <v>219</v>
      </c>
      <c r="C50" s="52">
        <v>5522</v>
      </c>
      <c r="D50" s="52" t="s">
        <v>352</v>
      </c>
      <c r="E50" s="52" t="s">
        <v>353</v>
      </c>
      <c r="F50" s="52">
        <f t="shared" ca="1" si="0"/>
        <v>4</v>
      </c>
      <c r="G50" s="55" t="s">
        <v>347</v>
      </c>
      <c r="H50" s="55" t="s">
        <v>354</v>
      </c>
      <c r="I50" s="52"/>
    </row>
    <row r="51" spans="1:9" ht="20.100000000000001" customHeight="1" x14ac:dyDescent="0.25">
      <c r="A51" s="50">
        <v>46182</v>
      </c>
      <c r="B51" s="52" t="s">
        <v>221</v>
      </c>
      <c r="C51" s="52">
        <v>5524</v>
      </c>
      <c r="D51" s="52" t="s">
        <v>345</v>
      </c>
      <c r="E51" s="52" t="s">
        <v>346</v>
      </c>
      <c r="F51" s="52">
        <f t="shared" ca="1" si="0"/>
        <v>4</v>
      </c>
      <c r="G51" s="55" t="s">
        <v>347</v>
      </c>
      <c r="H51" s="55" t="s">
        <v>348</v>
      </c>
      <c r="I51" s="52"/>
    </row>
    <row r="52" spans="1:9" ht="20.100000000000001" customHeight="1" x14ac:dyDescent="0.25">
      <c r="A52" s="50">
        <v>46182</v>
      </c>
      <c r="B52" s="52" t="s">
        <v>221</v>
      </c>
      <c r="C52" s="52">
        <v>5524</v>
      </c>
      <c r="D52" s="52" t="s">
        <v>349</v>
      </c>
      <c r="E52" s="52" t="s">
        <v>350</v>
      </c>
      <c r="F52" s="52">
        <f t="shared" ca="1" si="0"/>
        <v>4</v>
      </c>
      <c r="G52" s="55" t="s">
        <v>347</v>
      </c>
      <c r="H52" s="55" t="s">
        <v>351</v>
      </c>
      <c r="I52" s="52"/>
    </row>
    <row r="53" spans="1:9" ht="20.100000000000001" customHeight="1" x14ac:dyDescent="0.25">
      <c r="A53" s="50">
        <v>46182</v>
      </c>
      <c r="B53" s="52" t="s">
        <v>221</v>
      </c>
      <c r="C53" s="52">
        <v>5524</v>
      </c>
      <c r="D53" s="52" t="s">
        <v>352</v>
      </c>
      <c r="E53" s="52" t="s">
        <v>353</v>
      </c>
      <c r="F53" s="52">
        <f t="shared" ca="1" si="0"/>
        <v>4</v>
      </c>
      <c r="G53" s="55" t="s">
        <v>347</v>
      </c>
      <c r="H53" s="55" t="s">
        <v>354</v>
      </c>
      <c r="I53" s="52"/>
    </row>
    <row r="54" spans="1:9" ht="20.100000000000001" customHeight="1" x14ac:dyDescent="0.25">
      <c r="A54" s="50">
        <v>46182</v>
      </c>
      <c r="B54" s="52" t="s">
        <v>166</v>
      </c>
      <c r="C54" s="52">
        <v>5528</v>
      </c>
      <c r="D54" s="52" t="s">
        <v>345</v>
      </c>
      <c r="E54" s="52" t="s">
        <v>346</v>
      </c>
      <c r="F54" s="52">
        <f t="shared" ca="1" si="0"/>
        <v>4</v>
      </c>
      <c r="G54" s="55" t="s">
        <v>347</v>
      </c>
      <c r="H54" s="55" t="s">
        <v>348</v>
      </c>
      <c r="I54" s="52"/>
    </row>
    <row r="55" spans="1:9" ht="20.100000000000001" customHeight="1" x14ac:dyDescent="0.25">
      <c r="A55" s="50">
        <v>46182</v>
      </c>
      <c r="B55" s="52" t="s">
        <v>166</v>
      </c>
      <c r="C55" s="52">
        <v>5528</v>
      </c>
      <c r="D55" s="52" t="s">
        <v>349</v>
      </c>
      <c r="E55" s="52" t="s">
        <v>350</v>
      </c>
      <c r="F55" s="52">
        <f t="shared" ca="1" si="0"/>
        <v>4</v>
      </c>
      <c r="G55" s="55" t="s">
        <v>347</v>
      </c>
      <c r="H55" s="55" t="s">
        <v>351</v>
      </c>
      <c r="I55" s="52"/>
    </row>
    <row r="56" spans="1:9" ht="20.100000000000001" customHeight="1" x14ac:dyDescent="0.25">
      <c r="A56" s="50">
        <v>46182</v>
      </c>
      <c r="B56" s="52" t="s">
        <v>166</v>
      </c>
      <c r="C56" s="52">
        <v>5528</v>
      </c>
      <c r="D56" s="52" t="s">
        <v>352</v>
      </c>
      <c r="E56" s="52" t="s">
        <v>353</v>
      </c>
      <c r="F56" s="52">
        <f t="shared" ca="1" si="0"/>
        <v>4</v>
      </c>
      <c r="G56" s="55" t="s">
        <v>347</v>
      </c>
      <c r="H56" s="55" t="s">
        <v>354</v>
      </c>
      <c r="I56" s="52"/>
    </row>
    <row r="57" spans="1:9" ht="20.100000000000001" customHeight="1" x14ac:dyDescent="0.25">
      <c r="A57" s="50">
        <v>46182</v>
      </c>
      <c r="B57" s="52" t="s">
        <v>143</v>
      </c>
      <c r="C57" s="52">
        <v>5529</v>
      </c>
      <c r="D57" s="52" t="s">
        <v>345</v>
      </c>
      <c r="E57" s="52" t="s">
        <v>346</v>
      </c>
      <c r="F57" s="52">
        <f t="shared" ca="1" si="0"/>
        <v>4</v>
      </c>
      <c r="G57" s="55" t="s">
        <v>347</v>
      </c>
      <c r="H57" s="55" t="s">
        <v>348</v>
      </c>
      <c r="I57" s="52"/>
    </row>
    <row r="58" spans="1:9" ht="20.100000000000001" customHeight="1" x14ac:dyDescent="0.25">
      <c r="A58" s="50">
        <v>46182</v>
      </c>
      <c r="B58" s="52" t="s">
        <v>143</v>
      </c>
      <c r="C58" s="52">
        <v>5529</v>
      </c>
      <c r="D58" s="52" t="s">
        <v>349</v>
      </c>
      <c r="E58" s="52" t="s">
        <v>350</v>
      </c>
      <c r="F58" s="52">
        <f t="shared" ca="1" si="0"/>
        <v>4</v>
      </c>
      <c r="G58" s="55" t="s">
        <v>347</v>
      </c>
      <c r="H58" s="55" t="s">
        <v>351</v>
      </c>
      <c r="I58" s="52"/>
    </row>
    <row r="59" spans="1:9" ht="20.100000000000001" customHeight="1" x14ac:dyDescent="0.25">
      <c r="A59" s="50">
        <v>46182</v>
      </c>
      <c r="B59" s="52" t="s">
        <v>143</v>
      </c>
      <c r="C59" s="52">
        <v>5529</v>
      </c>
      <c r="D59" s="52" t="s">
        <v>352</v>
      </c>
      <c r="E59" s="52" t="s">
        <v>353</v>
      </c>
      <c r="F59" s="52">
        <f t="shared" ca="1" si="0"/>
        <v>4</v>
      </c>
      <c r="G59" s="55" t="s">
        <v>347</v>
      </c>
      <c r="H59" s="55" t="s">
        <v>354</v>
      </c>
      <c r="I59" s="52"/>
    </row>
    <row r="60" spans="1:9" ht="20.100000000000001" customHeight="1" x14ac:dyDescent="0.25">
      <c r="A60" s="50">
        <v>46182</v>
      </c>
      <c r="B60" s="52" t="s">
        <v>227</v>
      </c>
      <c r="C60" s="52">
        <v>5530</v>
      </c>
      <c r="D60" s="52" t="s">
        <v>345</v>
      </c>
      <c r="E60" s="52" t="s">
        <v>346</v>
      </c>
      <c r="F60" s="52">
        <f t="shared" ca="1" si="0"/>
        <v>4</v>
      </c>
      <c r="G60" s="55" t="s">
        <v>347</v>
      </c>
      <c r="H60" s="55" t="s">
        <v>348</v>
      </c>
      <c r="I60" s="52"/>
    </row>
    <row r="61" spans="1:9" ht="20.100000000000001" customHeight="1" x14ac:dyDescent="0.25">
      <c r="A61" s="50">
        <v>46182</v>
      </c>
      <c r="B61" s="52" t="s">
        <v>227</v>
      </c>
      <c r="C61" s="52">
        <v>5530</v>
      </c>
      <c r="D61" s="52" t="s">
        <v>349</v>
      </c>
      <c r="E61" s="52" t="s">
        <v>350</v>
      </c>
      <c r="F61" s="52">
        <f t="shared" ca="1" si="0"/>
        <v>4</v>
      </c>
      <c r="G61" s="55" t="s">
        <v>347</v>
      </c>
      <c r="H61" s="55" t="s">
        <v>351</v>
      </c>
      <c r="I61" s="52"/>
    </row>
    <row r="62" spans="1:9" ht="20.100000000000001" customHeight="1" x14ac:dyDescent="0.25">
      <c r="A62" s="50">
        <v>46182</v>
      </c>
      <c r="B62" s="52" t="s">
        <v>227</v>
      </c>
      <c r="C62" s="52">
        <v>5530</v>
      </c>
      <c r="D62" s="52" t="s">
        <v>352</v>
      </c>
      <c r="E62" s="52" t="s">
        <v>353</v>
      </c>
      <c r="F62" s="52">
        <f t="shared" ca="1" si="0"/>
        <v>4</v>
      </c>
      <c r="G62" s="55" t="s">
        <v>347</v>
      </c>
      <c r="H62" s="55" t="s">
        <v>354</v>
      </c>
      <c r="I62" s="52"/>
    </row>
    <row r="63" spans="1:9" ht="20.100000000000001" customHeight="1" x14ac:dyDescent="0.25">
      <c r="A63" s="50">
        <v>46182</v>
      </c>
      <c r="B63" s="52" t="s">
        <v>229</v>
      </c>
      <c r="C63" s="52">
        <v>5531</v>
      </c>
      <c r="D63" s="52" t="s">
        <v>345</v>
      </c>
      <c r="E63" s="52" t="s">
        <v>346</v>
      </c>
      <c r="F63" s="52">
        <f t="shared" ca="1" si="0"/>
        <v>4</v>
      </c>
      <c r="G63" s="55" t="s">
        <v>347</v>
      </c>
      <c r="H63" s="55" t="s">
        <v>348</v>
      </c>
      <c r="I63" s="52"/>
    </row>
    <row r="64" spans="1:9" ht="20.100000000000001" customHeight="1" x14ac:dyDescent="0.25">
      <c r="A64" s="50">
        <v>46182</v>
      </c>
      <c r="B64" s="52" t="s">
        <v>229</v>
      </c>
      <c r="C64" s="52">
        <v>5531</v>
      </c>
      <c r="D64" s="52" t="s">
        <v>349</v>
      </c>
      <c r="E64" s="52" t="s">
        <v>350</v>
      </c>
      <c r="F64" s="52">
        <f t="shared" ca="1" si="0"/>
        <v>4</v>
      </c>
      <c r="G64" s="55" t="s">
        <v>347</v>
      </c>
      <c r="H64" s="55" t="s">
        <v>351</v>
      </c>
      <c r="I64" s="52"/>
    </row>
    <row r="65" spans="1:9" ht="20.100000000000001" customHeight="1" x14ac:dyDescent="0.25">
      <c r="A65" s="50">
        <v>46182</v>
      </c>
      <c r="B65" s="52" t="s">
        <v>229</v>
      </c>
      <c r="C65" s="52">
        <v>5531</v>
      </c>
      <c r="D65" s="52" t="s">
        <v>352</v>
      </c>
      <c r="E65" s="52" t="s">
        <v>353</v>
      </c>
      <c r="F65" s="52">
        <f t="shared" ca="1" si="0"/>
        <v>4</v>
      </c>
      <c r="G65" s="55" t="s">
        <v>347</v>
      </c>
      <c r="H65" s="55" t="s">
        <v>354</v>
      </c>
      <c r="I65" s="52"/>
    </row>
    <row r="66" spans="1:9" ht="20.100000000000001" customHeight="1" x14ac:dyDescent="0.25">
      <c r="A66" s="50">
        <v>46182</v>
      </c>
      <c r="B66" s="52" t="s">
        <v>230</v>
      </c>
      <c r="C66" s="52">
        <v>5532</v>
      </c>
      <c r="D66" s="52" t="s">
        <v>345</v>
      </c>
      <c r="E66" s="52" t="s">
        <v>346</v>
      </c>
      <c r="F66" s="52">
        <f t="shared" ca="1" si="0"/>
        <v>4</v>
      </c>
      <c r="G66" s="55" t="s">
        <v>347</v>
      </c>
      <c r="H66" s="55" t="s">
        <v>348</v>
      </c>
      <c r="I66" s="52"/>
    </row>
    <row r="67" spans="1:9" ht="20.100000000000001" customHeight="1" x14ac:dyDescent="0.25">
      <c r="A67" s="50">
        <v>46182</v>
      </c>
      <c r="B67" s="52" t="s">
        <v>230</v>
      </c>
      <c r="C67" s="52">
        <v>5532</v>
      </c>
      <c r="D67" s="52" t="s">
        <v>349</v>
      </c>
      <c r="E67" s="52" t="s">
        <v>350</v>
      </c>
      <c r="F67" s="52">
        <f t="shared" ca="1" si="0"/>
        <v>4</v>
      </c>
      <c r="G67" s="55" t="s">
        <v>347</v>
      </c>
      <c r="H67" s="55" t="s">
        <v>351</v>
      </c>
      <c r="I67" s="52"/>
    </row>
    <row r="68" spans="1:9" ht="20.100000000000001" customHeight="1" x14ac:dyDescent="0.25">
      <c r="A68" s="50">
        <v>46182</v>
      </c>
      <c r="B68" s="52" t="s">
        <v>230</v>
      </c>
      <c r="C68" s="52">
        <v>5532</v>
      </c>
      <c r="D68" s="52" t="s">
        <v>352</v>
      </c>
      <c r="E68" s="52" t="s">
        <v>353</v>
      </c>
      <c r="F68" s="52">
        <f t="shared" ca="1" si="0"/>
        <v>4</v>
      </c>
      <c r="G68" s="55" t="s">
        <v>347</v>
      </c>
      <c r="H68" s="55" t="s">
        <v>354</v>
      </c>
      <c r="I68" s="52"/>
    </row>
    <row r="69" spans="1:9" ht="20.100000000000001" customHeight="1" x14ac:dyDescent="0.25">
      <c r="A69" s="50">
        <v>46182</v>
      </c>
      <c r="B69" s="52" t="s">
        <v>232</v>
      </c>
      <c r="C69" s="52">
        <v>5535</v>
      </c>
      <c r="D69" s="52" t="s">
        <v>345</v>
      </c>
      <c r="E69" s="52" t="s">
        <v>346</v>
      </c>
      <c r="F69" s="52">
        <f t="shared" ref="F69:F132" ca="1" si="1">IF(A69="","",MAX(0,TODAY()-A69))</f>
        <v>4</v>
      </c>
      <c r="G69" s="55" t="s">
        <v>347</v>
      </c>
      <c r="H69" s="55" t="s">
        <v>348</v>
      </c>
      <c r="I69" s="52"/>
    </row>
    <row r="70" spans="1:9" ht="20.100000000000001" customHeight="1" x14ac:dyDescent="0.25">
      <c r="A70" s="50">
        <v>46182</v>
      </c>
      <c r="B70" s="52" t="s">
        <v>232</v>
      </c>
      <c r="C70" s="52">
        <v>5535</v>
      </c>
      <c r="D70" s="52" t="s">
        <v>349</v>
      </c>
      <c r="E70" s="52" t="s">
        <v>350</v>
      </c>
      <c r="F70" s="52">
        <f t="shared" ca="1" si="1"/>
        <v>4</v>
      </c>
      <c r="G70" s="55" t="s">
        <v>347</v>
      </c>
      <c r="H70" s="55" t="s">
        <v>351</v>
      </c>
      <c r="I70" s="52"/>
    </row>
    <row r="71" spans="1:9" ht="20.100000000000001" customHeight="1" x14ac:dyDescent="0.25">
      <c r="A71" s="50">
        <v>46182</v>
      </c>
      <c r="B71" s="52" t="s">
        <v>232</v>
      </c>
      <c r="C71" s="52">
        <v>5535</v>
      </c>
      <c r="D71" s="52" t="s">
        <v>352</v>
      </c>
      <c r="E71" s="52" t="s">
        <v>353</v>
      </c>
      <c r="F71" s="52">
        <f t="shared" ca="1" si="1"/>
        <v>4</v>
      </c>
      <c r="G71" s="55" t="s">
        <v>347</v>
      </c>
      <c r="H71" s="55" t="s">
        <v>354</v>
      </c>
      <c r="I71" s="52"/>
    </row>
    <row r="72" spans="1:9" ht="20.100000000000001" customHeight="1" x14ac:dyDescent="0.25">
      <c r="A72" s="50">
        <v>46182</v>
      </c>
      <c r="B72" s="52" t="s">
        <v>233</v>
      </c>
      <c r="C72" s="52">
        <v>5536</v>
      </c>
      <c r="D72" s="52" t="s">
        <v>355</v>
      </c>
      <c r="E72" s="52" t="s">
        <v>346</v>
      </c>
      <c r="F72" s="52">
        <f t="shared" ca="1" si="1"/>
        <v>4</v>
      </c>
      <c r="G72" s="55" t="s">
        <v>347</v>
      </c>
      <c r="H72" s="55" t="s">
        <v>356</v>
      </c>
      <c r="I72" s="52"/>
    </row>
    <row r="73" spans="1:9" ht="20.100000000000001" customHeight="1" x14ac:dyDescent="0.25">
      <c r="A73" s="50">
        <v>46182</v>
      </c>
      <c r="B73" s="52" t="s">
        <v>233</v>
      </c>
      <c r="C73" s="52">
        <v>5536</v>
      </c>
      <c r="D73" s="52" t="s">
        <v>345</v>
      </c>
      <c r="E73" s="52" t="s">
        <v>346</v>
      </c>
      <c r="F73" s="52">
        <f t="shared" ca="1" si="1"/>
        <v>4</v>
      </c>
      <c r="G73" s="55" t="s">
        <v>347</v>
      </c>
      <c r="H73" s="55" t="s">
        <v>348</v>
      </c>
      <c r="I73" s="52"/>
    </row>
    <row r="74" spans="1:9" ht="20.100000000000001" customHeight="1" x14ac:dyDescent="0.25">
      <c r="A74" s="50">
        <v>46182</v>
      </c>
      <c r="B74" s="52" t="s">
        <v>233</v>
      </c>
      <c r="C74" s="52">
        <v>5536</v>
      </c>
      <c r="D74" s="52" t="s">
        <v>349</v>
      </c>
      <c r="E74" s="52" t="s">
        <v>350</v>
      </c>
      <c r="F74" s="52">
        <f t="shared" ca="1" si="1"/>
        <v>4</v>
      </c>
      <c r="G74" s="55" t="s">
        <v>347</v>
      </c>
      <c r="H74" s="55" t="s">
        <v>351</v>
      </c>
      <c r="I74" s="52"/>
    </row>
    <row r="75" spans="1:9" ht="20.100000000000001" customHeight="1" x14ac:dyDescent="0.25">
      <c r="A75" s="50">
        <v>46182</v>
      </c>
      <c r="B75" s="52" t="s">
        <v>233</v>
      </c>
      <c r="C75" s="52">
        <v>5536</v>
      </c>
      <c r="D75" s="52" t="s">
        <v>352</v>
      </c>
      <c r="E75" s="52" t="s">
        <v>353</v>
      </c>
      <c r="F75" s="52">
        <f t="shared" ca="1" si="1"/>
        <v>4</v>
      </c>
      <c r="G75" s="55" t="s">
        <v>347</v>
      </c>
      <c r="H75" s="55" t="s">
        <v>354</v>
      </c>
      <c r="I75" s="52"/>
    </row>
    <row r="76" spans="1:9" ht="20.100000000000001" customHeight="1" x14ac:dyDescent="0.25">
      <c r="A76" s="50">
        <v>46182</v>
      </c>
      <c r="B76" s="52" t="s">
        <v>234</v>
      </c>
      <c r="C76" s="52">
        <v>5537</v>
      </c>
      <c r="D76" s="52" t="s">
        <v>355</v>
      </c>
      <c r="E76" s="52" t="s">
        <v>346</v>
      </c>
      <c r="F76" s="52">
        <f t="shared" ca="1" si="1"/>
        <v>4</v>
      </c>
      <c r="G76" s="55" t="s">
        <v>347</v>
      </c>
      <c r="H76" s="55" t="s">
        <v>356</v>
      </c>
      <c r="I76" s="52"/>
    </row>
    <row r="77" spans="1:9" ht="20.100000000000001" customHeight="1" x14ac:dyDescent="0.25">
      <c r="A77" s="50">
        <v>46182</v>
      </c>
      <c r="B77" s="52" t="s">
        <v>234</v>
      </c>
      <c r="C77" s="52">
        <v>5537</v>
      </c>
      <c r="D77" s="52" t="s">
        <v>345</v>
      </c>
      <c r="E77" s="52" t="s">
        <v>346</v>
      </c>
      <c r="F77" s="52">
        <f t="shared" ca="1" si="1"/>
        <v>4</v>
      </c>
      <c r="G77" s="55" t="s">
        <v>347</v>
      </c>
      <c r="H77" s="55" t="s">
        <v>348</v>
      </c>
      <c r="I77" s="52"/>
    </row>
    <row r="78" spans="1:9" ht="20.100000000000001" customHeight="1" x14ac:dyDescent="0.25">
      <c r="A78" s="50">
        <v>46182</v>
      </c>
      <c r="B78" s="52" t="s">
        <v>234</v>
      </c>
      <c r="C78" s="52">
        <v>5537</v>
      </c>
      <c r="D78" s="52" t="s">
        <v>349</v>
      </c>
      <c r="E78" s="52" t="s">
        <v>350</v>
      </c>
      <c r="F78" s="52">
        <f t="shared" ca="1" si="1"/>
        <v>4</v>
      </c>
      <c r="G78" s="55" t="s">
        <v>347</v>
      </c>
      <c r="H78" s="55" t="s">
        <v>351</v>
      </c>
      <c r="I78" s="52"/>
    </row>
    <row r="79" spans="1:9" ht="20.100000000000001" customHeight="1" x14ac:dyDescent="0.25">
      <c r="A79" s="50">
        <v>46182</v>
      </c>
      <c r="B79" s="52" t="s">
        <v>234</v>
      </c>
      <c r="C79" s="52">
        <v>5537</v>
      </c>
      <c r="D79" s="52" t="s">
        <v>352</v>
      </c>
      <c r="E79" s="52" t="s">
        <v>353</v>
      </c>
      <c r="F79" s="52">
        <f t="shared" ca="1" si="1"/>
        <v>4</v>
      </c>
      <c r="G79" s="55" t="s">
        <v>347</v>
      </c>
      <c r="H79" s="55" t="s">
        <v>354</v>
      </c>
      <c r="I79" s="52"/>
    </row>
    <row r="80" spans="1:9" ht="20.100000000000001" customHeight="1" x14ac:dyDescent="0.25">
      <c r="A80" s="50">
        <v>46182</v>
      </c>
      <c r="B80" s="52" t="s">
        <v>235</v>
      </c>
      <c r="C80" s="52">
        <v>5538</v>
      </c>
      <c r="D80" s="52" t="s">
        <v>345</v>
      </c>
      <c r="E80" s="52" t="s">
        <v>346</v>
      </c>
      <c r="F80" s="52">
        <f t="shared" ca="1" si="1"/>
        <v>4</v>
      </c>
      <c r="G80" s="55" t="s">
        <v>347</v>
      </c>
      <c r="H80" s="55" t="s">
        <v>348</v>
      </c>
      <c r="I80" s="52"/>
    </row>
    <row r="81" spans="1:9" ht="20.100000000000001" customHeight="1" x14ac:dyDescent="0.25">
      <c r="A81" s="50">
        <v>46182</v>
      </c>
      <c r="B81" s="52" t="s">
        <v>235</v>
      </c>
      <c r="C81" s="52">
        <v>5538</v>
      </c>
      <c r="D81" s="52" t="s">
        <v>349</v>
      </c>
      <c r="E81" s="52" t="s">
        <v>350</v>
      </c>
      <c r="F81" s="52">
        <f t="shared" ca="1" si="1"/>
        <v>4</v>
      </c>
      <c r="G81" s="55" t="s">
        <v>347</v>
      </c>
      <c r="H81" s="55" t="s">
        <v>351</v>
      </c>
      <c r="I81" s="52"/>
    </row>
    <row r="82" spans="1:9" ht="20.100000000000001" customHeight="1" x14ac:dyDescent="0.25">
      <c r="A82" s="50">
        <v>46182</v>
      </c>
      <c r="B82" s="52" t="s">
        <v>235</v>
      </c>
      <c r="C82" s="52">
        <v>5538</v>
      </c>
      <c r="D82" s="52" t="s">
        <v>352</v>
      </c>
      <c r="E82" s="52" t="s">
        <v>353</v>
      </c>
      <c r="F82" s="52">
        <f t="shared" ca="1" si="1"/>
        <v>4</v>
      </c>
      <c r="G82" s="55" t="s">
        <v>347</v>
      </c>
      <c r="H82" s="55" t="s">
        <v>354</v>
      </c>
      <c r="I82" s="52"/>
    </row>
    <row r="83" spans="1:9" ht="20.100000000000001" customHeight="1" x14ac:dyDescent="0.25">
      <c r="A83" s="50">
        <v>46182</v>
      </c>
      <c r="B83" s="52" t="s">
        <v>236</v>
      </c>
      <c r="C83" s="52">
        <v>5539</v>
      </c>
      <c r="D83" s="52" t="s">
        <v>345</v>
      </c>
      <c r="E83" s="52" t="s">
        <v>346</v>
      </c>
      <c r="F83" s="52">
        <f t="shared" ca="1" si="1"/>
        <v>4</v>
      </c>
      <c r="G83" s="55" t="s">
        <v>347</v>
      </c>
      <c r="H83" s="55" t="s">
        <v>348</v>
      </c>
      <c r="I83" s="52"/>
    </row>
    <row r="84" spans="1:9" ht="20.100000000000001" customHeight="1" x14ac:dyDescent="0.25">
      <c r="A84" s="50">
        <v>46182</v>
      </c>
      <c r="B84" s="52" t="s">
        <v>236</v>
      </c>
      <c r="C84" s="52">
        <v>5539</v>
      </c>
      <c r="D84" s="52" t="s">
        <v>349</v>
      </c>
      <c r="E84" s="52" t="s">
        <v>350</v>
      </c>
      <c r="F84" s="52">
        <f t="shared" ca="1" si="1"/>
        <v>4</v>
      </c>
      <c r="G84" s="55" t="s">
        <v>347</v>
      </c>
      <c r="H84" s="55" t="s">
        <v>351</v>
      </c>
      <c r="I84" s="52"/>
    </row>
    <row r="85" spans="1:9" ht="20.100000000000001" customHeight="1" x14ac:dyDescent="0.25">
      <c r="A85" s="50">
        <v>46182</v>
      </c>
      <c r="B85" s="52" t="s">
        <v>236</v>
      </c>
      <c r="C85" s="52">
        <v>5539</v>
      </c>
      <c r="D85" s="52" t="s">
        <v>352</v>
      </c>
      <c r="E85" s="52" t="s">
        <v>353</v>
      </c>
      <c r="F85" s="52">
        <f t="shared" ca="1" si="1"/>
        <v>4</v>
      </c>
      <c r="G85" s="55" t="s">
        <v>347</v>
      </c>
      <c r="H85" s="55" t="s">
        <v>354</v>
      </c>
      <c r="I85" s="52"/>
    </row>
    <row r="86" spans="1:9" ht="20.100000000000001" customHeight="1" x14ac:dyDescent="0.25">
      <c r="A86" s="50">
        <v>46182</v>
      </c>
      <c r="B86" s="52" t="s">
        <v>237</v>
      </c>
      <c r="C86" s="52">
        <v>5540</v>
      </c>
      <c r="D86" s="52" t="s">
        <v>345</v>
      </c>
      <c r="E86" s="52" t="s">
        <v>346</v>
      </c>
      <c r="F86" s="52">
        <f t="shared" ca="1" si="1"/>
        <v>4</v>
      </c>
      <c r="G86" s="55" t="s">
        <v>347</v>
      </c>
      <c r="H86" s="55" t="s">
        <v>348</v>
      </c>
      <c r="I86" s="52"/>
    </row>
    <row r="87" spans="1:9" ht="20.100000000000001" customHeight="1" x14ac:dyDescent="0.25">
      <c r="A87" s="50">
        <v>46182</v>
      </c>
      <c r="B87" s="52" t="s">
        <v>237</v>
      </c>
      <c r="C87" s="52">
        <v>5540</v>
      </c>
      <c r="D87" s="52" t="s">
        <v>349</v>
      </c>
      <c r="E87" s="52" t="s">
        <v>350</v>
      </c>
      <c r="F87" s="52">
        <f t="shared" ca="1" si="1"/>
        <v>4</v>
      </c>
      <c r="G87" s="55" t="s">
        <v>347</v>
      </c>
      <c r="H87" s="55" t="s">
        <v>351</v>
      </c>
      <c r="I87" s="52"/>
    </row>
    <row r="88" spans="1:9" ht="20.100000000000001" customHeight="1" x14ac:dyDescent="0.25">
      <c r="A88" s="50">
        <v>46182</v>
      </c>
      <c r="B88" s="52" t="s">
        <v>237</v>
      </c>
      <c r="C88" s="52">
        <v>5540</v>
      </c>
      <c r="D88" s="52" t="s">
        <v>357</v>
      </c>
      <c r="E88" s="52" t="s">
        <v>346</v>
      </c>
      <c r="F88" s="52">
        <f t="shared" ca="1" si="1"/>
        <v>4</v>
      </c>
      <c r="G88" s="55" t="s">
        <v>347</v>
      </c>
      <c r="H88" s="55" t="s">
        <v>358</v>
      </c>
      <c r="I88" s="52"/>
    </row>
    <row r="89" spans="1:9" ht="20.100000000000001" customHeight="1" x14ac:dyDescent="0.25">
      <c r="A89" s="50">
        <v>46182</v>
      </c>
      <c r="B89" s="52" t="s">
        <v>238</v>
      </c>
      <c r="C89" s="52">
        <v>5541</v>
      </c>
      <c r="D89" s="52" t="s">
        <v>345</v>
      </c>
      <c r="E89" s="52" t="s">
        <v>346</v>
      </c>
      <c r="F89" s="52">
        <f t="shared" ca="1" si="1"/>
        <v>4</v>
      </c>
      <c r="G89" s="55" t="s">
        <v>347</v>
      </c>
      <c r="H89" s="55" t="s">
        <v>348</v>
      </c>
      <c r="I89" s="52"/>
    </row>
    <row r="90" spans="1:9" ht="20.100000000000001" customHeight="1" x14ac:dyDescent="0.25">
      <c r="A90" s="50">
        <v>46182</v>
      </c>
      <c r="B90" s="52" t="s">
        <v>238</v>
      </c>
      <c r="C90" s="52">
        <v>5541</v>
      </c>
      <c r="D90" s="52" t="s">
        <v>349</v>
      </c>
      <c r="E90" s="52" t="s">
        <v>350</v>
      </c>
      <c r="F90" s="52">
        <f t="shared" ca="1" si="1"/>
        <v>4</v>
      </c>
      <c r="G90" s="55" t="s">
        <v>347</v>
      </c>
      <c r="H90" s="55" t="s">
        <v>351</v>
      </c>
      <c r="I90" s="52"/>
    </row>
    <row r="91" spans="1:9" ht="20.100000000000001" customHeight="1" x14ac:dyDescent="0.25">
      <c r="A91" s="50">
        <v>46182</v>
      </c>
      <c r="B91" s="52" t="s">
        <v>238</v>
      </c>
      <c r="C91" s="52">
        <v>5541</v>
      </c>
      <c r="D91" s="52" t="s">
        <v>357</v>
      </c>
      <c r="E91" s="52" t="s">
        <v>346</v>
      </c>
      <c r="F91" s="52">
        <f t="shared" ca="1" si="1"/>
        <v>4</v>
      </c>
      <c r="G91" s="55" t="s">
        <v>347</v>
      </c>
      <c r="H91" s="55" t="s">
        <v>358</v>
      </c>
      <c r="I91" s="52"/>
    </row>
    <row r="92" spans="1:9" ht="20.100000000000001" customHeight="1" x14ac:dyDescent="0.25">
      <c r="A92" s="50">
        <v>46182</v>
      </c>
      <c r="B92" s="52" t="s">
        <v>241</v>
      </c>
      <c r="C92" s="52">
        <v>5545</v>
      </c>
      <c r="D92" s="52" t="s">
        <v>355</v>
      </c>
      <c r="E92" s="52" t="s">
        <v>346</v>
      </c>
      <c r="F92" s="52">
        <f t="shared" ca="1" si="1"/>
        <v>4</v>
      </c>
      <c r="G92" s="55" t="s">
        <v>347</v>
      </c>
      <c r="H92" s="55" t="s">
        <v>356</v>
      </c>
      <c r="I92" s="52"/>
    </row>
    <row r="93" spans="1:9" ht="20.100000000000001" customHeight="1" x14ac:dyDescent="0.25">
      <c r="A93" s="50">
        <v>46182</v>
      </c>
      <c r="B93" s="52" t="s">
        <v>241</v>
      </c>
      <c r="C93" s="52">
        <v>5545</v>
      </c>
      <c r="D93" s="52" t="s">
        <v>345</v>
      </c>
      <c r="E93" s="52" t="s">
        <v>346</v>
      </c>
      <c r="F93" s="52">
        <f t="shared" ca="1" si="1"/>
        <v>4</v>
      </c>
      <c r="G93" s="55" t="s">
        <v>347</v>
      </c>
      <c r="H93" s="55" t="s">
        <v>348</v>
      </c>
      <c r="I93" s="52"/>
    </row>
    <row r="94" spans="1:9" ht="20.100000000000001" customHeight="1" x14ac:dyDescent="0.25">
      <c r="A94" s="50">
        <v>46182</v>
      </c>
      <c r="B94" s="52" t="s">
        <v>241</v>
      </c>
      <c r="C94" s="52">
        <v>5545</v>
      </c>
      <c r="D94" s="52" t="s">
        <v>349</v>
      </c>
      <c r="E94" s="52" t="s">
        <v>350</v>
      </c>
      <c r="F94" s="52">
        <f t="shared" ca="1" si="1"/>
        <v>4</v>
      </c>
      <c r="G94" s="55" t="s">
        <v>347</v>
      </c>
      <c r="H94" s="55" t="s">
        <v>351</v>
      </c>
      <c r="I94" s="52"/>
    </row>
    <row r="95" spans="1:9" ht="20.100000000000001" customHeight="1" x14ac:dyDescent="0.25">
      <c r="A95" s="50">
        <v>46182</v>
      </c>
      <c r="B95" s="52" t="s">
        <v>241</v>
      </c>
      <c r="C95" s="52">
        <v>5545</v>
      </c>
      <c r="D95" s="52" t="s">
        <v>357</v>
      </c>
      <c r="E95" s="52" t="s">
        <v>346</v>
      </c>
      <c r="F95" s="52">
        <f t="shared" ca="1" si="1"/>
        <v>4</v>
      </c>
      <c r="G95" s="55" t="s">
        <v>347</v>
      </c>
      <c r="H95" s="55" t="s">
        <v>358</v>
      </c>
      <c r="I95" s="52"/>
    </row>
    <row r="96" spans="1:9" ht="20.100000000000001" customHeight="1" x14ac:dyDescent="0.25">
      <c r="A96" s="50">
        <v>46182</v>
      </c>
      <c r="B96" s="52" t="s">
        <v>242</v>
      </c>
      <c r="C96" s="52">
        <v>5547</v>
      </c>
      <c r="D96" s="52" t="s">
        <v>355</v>
      </c>
      <c r="E96" s="52" t="s">
        <v>346</v>
      </c>
      <c r="F96" s="52">
        <f t="shared" ca="1" si="1"/>
        <v>4</v>
      </c>
      <c r="G96" s="55" t="s">
        <v>347</v>
      </c>
      <c r="H96" s="55" t="s">
        <v>356</v>
      </c>
      <c r="I96" s="52"/>
    </row>
    <row r="97" spans="1:9" ht="20.100000000000001" customHeight="1" x14ac:dyDescent="0.25">
      <c r="A97" s="50">
        <v>46182</v>
      </c>
      <c r="B97" s="52" t="s">
        <v>242</v>
      </c>
      <c r="C97" s="52">
        <v>5547</v>
      </c>
      <c r="D97" s="52" t="s">
        <v>345</v>
      </c>
      <c r="E97" s="52" t="s">
        <v>346</v>
      </c>
      <c r="F97" s="52">
        <f t="shared" ca="1" si="1"/>
        <v>4</v>
      </c>
      <c r="G97" s="55" t="s">
        <v>347</v>
      </c>
      <c r="H97" s="55" t="s">
        <v>348</v>
      </c>
      <c r="I97" s="52"/>
    </row>
    <row r="98" spans="1:9" ht="20.100000000000001" customHeight="1" x14ac:dyDescent="0.25">
      <c r="A98" s="50">
        <v>46182</v>
      </c>
      <c r="B98" s="52" t="s">
        <v>242</v>
      </c>
      <c r="C98" s="52">
        <v>5547</v>
      </c>
      <c r="D98" s="52" t="s">
        <v>349</v>
      </c>
      <c r="E98" s="52" t="s">
        <v>350</v>
      </c>
      <c r="F98" s="52">
        <f t="shared" ca="1" si="1"/>
        <v>4</v>
      </c>
      <c r="G98" s="55" t="s">
        <v>347</v>
      </c>
      <c r="H98" s="55" t="s">
        <v>351</v>
      </c>
      <c r="I98" s="52"/>
    </row>
    <row r="99" spans="1:9" ht="20.100000000000001" customHeight="1" x14ac:dyDescent="0.25">
      <c r="A99" s="50">
        <v>46182</v>
      </c>
      <c r="B99" s="52" t="s">
        <v>242</v>
      </c>
      <c r="C99" s="52">
        <v>5547</v>
      </c>
      <c r="D99" s="52" t="s">
        <v>357</v>
      </c>
      <c r="E99" s="52" t="s">
        <v>346</v>
      </c>
      <c r="F99" s="52">
        <f t="shared" ca="1" si="1"/>
        <v>4</v>
      </c>
      <c r="G99" s="55" t="s">
        <v>347</v>
      </c>
      <c r="H99" s="55" t="s">
        <v>358</v>
      </c>
      <c r="I99" s="52"/>
    </row>
    <row r="100" spans="1:9" ht="20.100000000000001" customHeight="1" x14ac:dyDescent="0.25">
      <c r="A100" s="50">
        <v>46182</v>
      </c>
      <c r="B100" s="52" t="s">
        <v>81</v>
      </c>
      <c r="C100" s="52">
        <v>5548</v>
      </c>
      <c r="D100" s="52" t="s">
        <v>355</v>
      </c>
      <c r="E100" s="52" t="s">
        <v>346</v>
      </c>
      <c r="F100" s="52">
        <f t="shared" ca="1" si="1"/>
        <v>4</v>
      </c>
      <c r="G100" s="55" t="s">
        <v>347</v>
      </c>
      <c r="H100" s="55" t="s">
        <v>356</v>
      </c>
      <c r="I100" s="52"/>
    </row>
    <row r="101" spans="1:9" ht="20.100000000000001" customHeight="1" x14ac:dyDescent="0.25">
      <c r="A101" s="50">
        <v>46182</v>
      </c>
      <c r="B101" s="52" t="s">
        <v>81</v>
      </c>
      <c r="C101" s="52">
        <v>5548</v>
      </c>
      <c r="D101" s="52" t="s">
        <v>345</v>
      </c>
      <c r="E101" s="52" t="s">
        <v>346</v>
      </c>
      <c r="F101" s="52">
        <f t="shared" ca="1" si="1"/>
        <v>4</v>
      </c>
      <c r="G101" s="55" t="s">
        <v>347</v>
      </c>
      <c r="H101" s="55" t="s">
        <v>348</v>
      </c>
      <c r="I101" s="52"/>
    </row>
    <row r="102" spans="1:9" ht="20.100000000000001" customHeight="1" x14ac:dyDescent="0.25">
      <c r="A102" s="50">
        <v>46182</v>
      </c>
      <c r="B102" s="52" t="s">
        <v>81</v>
      </c>
      <c r="C102" s="52">
        <v>5548</v>
      </c>
      <c r="D102" s="52" t="s">
        <v>349</v>
      </c>
      <c r="E102" s="52" t="s">
        <v>350</v>
      </c>
      <c r="F102" s="52">
        <f t="shared" ca="1" si="1"/>
        <v>4</v>
      </c>
      <c r="G102" s="55" t="s">
        <v>347</v>
      </c>
      <c r="H102" s="55" t="s">
        <v>351</v>
      </c>
      <c r="I102" s="52"/>
    </row>
    <row r="103" spans="1:9" ht="20.100000000000001" customHeight="1" x14ac:dyDescent="0.25">
      <c r="A103" s="50">
        <v>46182</v>
      </c>
      <c r="B103" s="52" t="s">
        <v>81</v>
      </c>
      <c r="C103" s="52">
        <v>5548</v>
      </c>
      <c r="D103" s="52" t="s">
        <v>357</v>
      </c>
      <c r="E103" s="52" t="s">
        <v>346</v>
      </c>
      <c r="F103" s="52">
        <f t="shared" ca="1" si="1"/>
        <v>4</v>
      </c>
      <c r="G103" s="55" t="s">
        <v>347</v>
      </c>
      <c r="H103" s="55" t="s">
        <v>358</v>
      </c>
      <c r="I103" s="52"/>
    </row>
    <row r="104" spans="1:9" ht="20.100000000000001" customHeight="1" x14ac:dyDescent="0.25">
      <c r="A104" s="50">
        <v>46182</v>
      </c>
      <c r="B104" s="52" t="s">
        <v>245</v>
      </c>
      <c r="C104" s="52">
        <v>5549</v>
      </c>
      <c r="D104" s="52" t="s">
        <v>345</v>
      </c>
      <c r="E104" s="52" t="s">
        <v>346</v>
      </c>
      <c r="F104" s="52">
        <f t="shared" ca="1" si="1"/>
        <v>4</v>
      </c>
      <c r="G104" s="55" t="s">
        <v>347</v>
      </c>
      <c r="H104" s="55" t="s">
        <v>348</v>
      </c>
      <c r="I104" s="52"/>
    </row>
    <row r="105" spans="1:9" ht="20.100000000000001" customHeight="1" x14ac:dyDescent="0.25">
      <c r="A105" s="50">
        <v>46182</v>
      </c>
      <c r="B105" s="52" t="s">
        <v>245</v>
      </c>
      <c r="C105" s="52">
        <v>5549</v>
      </c>
      <c r="D105" s="52" t="s">
        <v>349</v>
      </c>
      <c r="E105" s="52" t="s">
        <v>350</v>
      </c>
      <c r="F105" s="52">
        <f t="shared" ca="1" si="1"/>
        <v>4</v>
      </c>
      <c r="G105" s="55" t="s">
        <v>347</v>
      </c>
      <c r="H105" s="55" t="s">
        <v>351</v>
      </c>
      <c r="I105" s="52"/>
    </row>
    <row r="106" spans="1:9" ht="20.100000000000001" customHeight="1" x14ac:dyDescent="0.25">
      <c r="A106" s="50">
        <v>46182</v>
      </c>
      <c r="B106" s="52" t="s">
        <v>245</v>
      </c>
      <c r="C106" s="52">
        <v>5549</v>
      </c>
      <c r="D106" s="52" t="s">
        <v>357</v>
      </c>
      <c r="E106" s="52" t="s">
        <v>346</v>
      </c>
      <c r="F106" s="52">
        <f t="shared" ca="1" si="1"/>
        <v>4</v>
      </c>
      <c r="G106" s="55" t="s">
        <v>347</v>
      </c>
      <c r="H106" s="55" t="s">
        <v>358</v>
      </c>
      <c r="I106" s="52"/>
    </row>
    <row r="107" spans="1:9" ht="20.100000000000001" customHeight="1" x14ac:dyDescent="0.25">
      <c r="A107" s="50">
        <v>46182</v>
      </c>
      <c r="B107" s="52" t="s">
        <v>246</v>
      </c>
      <c r="C107" s="52">
        <v>5551</v>
      </c>
      <c r="D107" s="52" t="s">
        <v>345</v>
      </c>
      <c r="E107" s="52" t="s">
        <v>346</v>
      </c>
      <c r="F107" s="52">
        <f t="shared" ca="1" si="1"/>
        <v>4</v>
      </c>
      <c r="G107" s="55" t="s">
        <v>347</v>
      </c>
      <c r="H107" s="55" t="s">
        <v>348</v>
      </c>
      <c r="I107" s="52"/>
    </row>
    <row r="108" spans="1:9" ht="20.100000000000001" customHeight="1" x14ac:dyDescent="0.25">
      <c r="A108" s="50">
        <v>46182</v>
      </c>
      <c r="B108" s="52" t="s">
        <v>246</v>
      </c>
      <c r="C108" s="52">
        <v>5551</v>
      </c>
      <c r="D108" s="52" t="s">
        <v>349</v>
      </c>
      <c r="E108" s="52" t="s">
        <v>350</v>
      </c>
      <c r="F108" s="52">
        <f t="shared" ca="1" si="1"/>
        <v>4</v>
      </c>
      <c r="G108" s="55" t="s">
        <v>347</v>
      </c>
      <c r="H108" s="55" t="s">
        <v>351</v>
      </c>
      <c r="I108" s="52"/>
    </row>
    <row r="109" spans="1:9" ht="20.100000000000001" customHeight="1" x14ac:dyDescent="0.25">
      <c r="A109" s="50">
        <v>46182</v>
      </c>
      <c r="B109" s="52" t="s">
        <v>246</v>
      </c>
      <c r="C109" s="52">
        <v>5551</v>
      </c>
      <c r="D109" s="52" t="s">
        <v>357</v>
      </c>
      <c r="E109" s="52" t="s">
        <v>346</v>
      </c>
      <c r="F109" s="52">
        <f t="shared" ca="1" si="1"/>
        <v>4</v>
      </c>
      <c r="G109" s="55" t="s">
        <v>347</v>
      </c>
      <c r="H109" s="55" t="s">
        <v>358</v>
      </c>
      <c r="I109" s="52"/>
    </row>
    <row r="110" spans="1:9" ht="20.100000000000001" customHeight="1" x14ac:dyDescent="0.25">
      <c r="A110" s="50">
        <v>46182</v>
      </c>
      <c r="B110" s="52" t="s">
        <v>247</v>
      </c>
      <c r="C110" s="52">
        <v>5552</v>
      </c>
      <c r="D110" s="52" t="s">
        <v>345</v>
      </c>
      <c r="E110" s="52" t="s">
        <v>346</v>
      </c>
      <c r="F110" s="52">
        <f t="shared" ca="1" si="1"/>
        <v>4</v>
      </c>
      <c r="G110" s="55" t="s">
        <v>347</v>
      </c>
      <c r="H110" s="55" t="s">
        <v>348</v>
      </c>
      <c r="I110" s="52"/>
    </row>
    <row r="111" spans="1:9" ht="20.100000000000001" customHeight="1" x14ac:dyDescent="0.25">
      <c r="A111" s="50">
        <v>46182</v>
      </c>
      <c r="B111" s="52" t="s">
        <v>247</v>
      </c>
      <c r="C111" s="52">
        <v>5552</v>
      </c>
      <c r="D111" s="52" t="s">
        <v>349</v>
      </c>
      <c r="E111" s="52" t="s">
        <v>350</v>
      </c>
      <c r="F111" s="52">
        <f t="shared" ca="1" si="1"/>
        <v>4</v>
      </c>
      <c r="G111" s="55" t="s">
        <v>347</v>
      </c>
      <c r="H111" s="55" t="s">
        <v>351</v>
      </c>
      <c r="I111" s="52"/>
    </row>
    <row r="112" spans="1:9" ht="20.100000000000001" customHeight="1" x14ac:dyDescent="0.25">
      <c r="A112" s="50">
        <v>46182</v>
      </c>
      <c r="B112" s="52" t="s">
        <v>247</v>
      </c>
      <c r="C112" s="52">
        <v>5552</v>
      </c>
      <c r="D112" s="52" t="s">
        <v>357</v>
      </c>
      <c r="E112" s="52" t="s">
        <v>346</v>
      </c>
      <c r="F112" s="52">
        <f t="shared" ca="1" si="1"/>
        <v>4</v>
      </c>
      <c r="G112" s="55" t="s">
        <v>347</v>
      </c>
      <c r="H112" s="55" t="s">
        <v>358</v>
      </c>
      <c r="I112" s="52"/>
    </row>
    <row r="113" spans="1:9" ht="20.100000000000001" customHeight="1" x14ac:dyDescent="0.25">
      <c r="A113" s="50">
        <v>46182</v>
      </c>
      <c r="B113" s="52" t="s">
        <v>248</v>
      </c>
      <c r="C113" s="52">
        <v>5553</v>
      </c>
      <c r="D113" s="52" t="s">
        <v>345</v>
      </c>
      <c r="E113" s="52" t="s">
        <v>346</v>
      </c>
      <c r="F113" s="52">
        <f t="shared" ca="1" si="1"/>
        <v>4</v>
      </c>
      <c r="G113" s="55" t="s">
        <v>347</v>
      </c>
      <c r="H113" s="55" t="s">
        <v>348</v>
      </c>
      <c r="I113" s="52"/>
    </row>
    <row r="114" spans="1:9" ht="20.100000000000001" customHeight="1" x14ac:dyDescent="0.25">
      <c r="A114" s="50">
        <v>46182</v>
      </c>
      <c r="B114" s="52" t="s">
        <v>248</v>
      </c>
      <c r="C114" s="52">
        <v>5553</v>
      </c>
      <c r="D114" s="52" t="s">
        <v>349</v>
      </c>
      <c r="E114" s="52" t="s">
        <v>350</v>
      </c>
      <c r="F114" s="52">
        <f t="shared" ca="1" si="1"/>
        <v>4</v>
      </c>
      <c r="G114" s="55" t="s">
        <v>347</v>
      </c>
      <c r="H114" s="55" t="s">
        <v>351</v>
      </c>
      <c r="I114" s="52"/>
    </row>
    <row r="115" spans="1:9" ht="20.100000000000001" customHeight="1" x14ac:dyDescent="0.25">
      <c r="A115" s="50">
        <v>46182</v>
      </c>
      <c r="B115" s="52" t="s">
        <v>248</v>
      </c>
      <c r="C115" s="52">
        <v>5553</v>
      </c>
      <c r="D115" s="52" t="s">
        <v>357</v>
      </c>
      <c r="E115" s="52" t="s">
        <v>346</v>
      </c>
      <c r="F115" s="52">
        <f t="shared" ca="1" si="1"/>
        <v>4</v>
      </c>
      <c r="G115" s="55" t="s">
        <v>347</v>
      </c>
      <c r="H115" s="55" t="s">
        <v>358</v>
      </c>
      <c r="I115" s="52"/>
    </row>
    <row r="116" spans="1:9" ht="20.100000000000001" customHeight="1" x14ac:dyDescent="0.25">
      <c r="A116" s="50">
        <v>46182</v>
      </c>
      <c r="B116" s="52" t="s">
        <v>249</v>
      </c>
      <c r="C116" s="52">
        <v>5554</v>
      </c>
      <c r="D116" s="52" t="s">
        <v>355</v>
      </c>
      <c r="E116" s="52" t="s">
        <v>346</v>
      </c>
      <c r="F116" s="52">
        <f t="shared" ca="1" si="1"/>
        <v>4</v>
      </c>
      <c r="G116" s="55" t="s">
        <v>347</v>
      </c>
      <c r="H116" s="55" t="s">
        <v>356</v>
      </c>
      <c r="I116" s="52"/>
    </row>
    <row r="117" spans="1:9" ht="20.100000000000001" customHeight="1" x14ac:dyDescent="0.25">
      <c r="A117" s="50">
        <v>46182</v>
      </c>
      <c r="B117" s="52" t="s">
        <v>249</v>
      </c>
      <c r="C117" s="52">
        <v>5554</v>
      </c>
      <c r="D117" s="52" t="s">
        <v>345</v>
      </c>
      <c r="E117" s="52" t="s">
        <v>346</v>
      </c>
      <c r="F117" s="52">
        <f t="shared" ca="1" si="1"/>
        <v>4</v>
      </c>
      <c r="G117" s="55" t="s">
        <v>347</v>
      </c>
      <c r="H117" s="55" t="s">
        <v>348</v>
      </c>
      <c r="I117" s="52"/>
    </row>
    <row r="118" spans="1:9" ht="20.100000000000001" customHeight="1" x14ac:dyDescent="0.25">
      <c r="A118" s="50">
        <v>46182</v>
      </c>
      <c r="B118" s="52" t="s">
        <v>249</v>
      </c>
      <c r="C118" s="52">
        <v>5554</v>
      </c>
      <c r="D118" s="52" t="s">
        <v>349</v>
      </c>
      <c r="E118" s="52" t="s">
        <v>350</v>
      </c>
      <c r="F118" s="52">
        <f t="shared" ca="1" si="1"/>
        <v>4</v>
      </c>
      <c r="G118" s="55" t="s">
        <v>347</v>
      </c>
      <c r="H118" s="55" t="s">
        <v>351</v>
      </c>
      <c r="I118" s="52"/>
    </row>
    <row r="119" spans="1:9" ht="20.100000000000001" customHeight="1" x14ac:dyDescent="0.25">
      <c r="A119" s="50">
        <v>46182</v>
      </c>
      <c r="B119" s="52" t="s">
        <v>249</v>
      </c>
      <c r="C119" s="52">
        <v>5554</v>
      </c>
      <c r="D119" s="52" t="s">
        <v>357</v>
      </c>
      <c r="E119" s="52" t="s">
        <v>346</v>
      </c>
      <c r="F119" s="52">
        <f t="shared" ca="1" si="1"/>
        <v>4</v>
      </c>
      <c r="G119" s="55" t="s">
        <v>347</v>
      </c>
      <c r="H119" s="55" t="s">
        <v>358</v>
      </c>
      <c r="I119" s="52"/>
    </row>
    <row r="120" spans="1:9" ht="20.100000000000001" customHeight="1" x14ac:dyDescent="0.25">
      <c r="A120" s="50">
        <v>46182</v>
      </c>
      <c r="B120" s="52" t="s">
        <v>247</v>
      </c>
      <c r="C120" s="52">
        <v>5557</v>
      </c>
      <c r="D120" s="52" t="s">
        <v>345</v>
      </c>
      <c r="E120" s="52" t="s">
        <v>346</v>
      </c>
      <c r="F120" s="52">
        <f t="shared" ca="1" si="1"/>
        <v>4</v>
      </c>
      <c r="G120" s="55" t="s">
        <v>347</v>
      </c>
      <c r="H120" s="55" t="s">
        <v>348</v>
      </c>
      <c r="I120" s="52"/>
    </row>
    <row r="121" spans="1:9" ht="20.100000000000001" customHeight="1" x14ac:dyDescent="0.25">
      <c r="A121" s="50">
        <v>46182</v>
      </c>
      <c r="B121" s="52" t="s">
        <v>247</v>
      </c>
      <c r="C121" s="52">
        <v>5557</v>
      </c>
      <c r="D121" s="52" t="s">
        <v>349</v>
      </c>
      <c r="E121" s="52" t="s">
        <v>350</v>
      </c>
      <c r="F121" s="52">
        <f t="shared" ca="1" si="1"/>
        <v>4</v>
      </c>
      <c r="G121" s="55" t="s">
        <v>347</v>
      </c>
      <c r="H121" s="55" t="s">
        <v>351</v>
      </c>
      <c r="I121" s="57"/>
    </row>
    <row r="122" spans="1:9" ht="20.100000000000001" customHeight="1" x14ac:dyDescent="0.25">
      <c r="A122" s="50">
        <v>46182</v>
      </c>
      <c r="B122" s="52" t="s">
        <v>247</v>
      </c>
      <c r="C122" s="52">
        <v>5557</v>
      </c>
      <c r="D122" s="52" t="s">
        <v>357</v>
      </c>
      <c r="E122" s="52" t="s">
        <v>346</v>
      </c>
      <c r="F122" s="52">
        <f t="shared" ca="1" si="1"/>
        <v>4</v>
      </c>
      <c r="G122" s="55" t="s">
        <v>347</v>
      </c>
      <c r="H122" s="55" t="s">
        <v>358</v>
      </c>
      <c r="I122" s="57"/>
    </row>
    <row r="123" spans="1:9" ht="20.100000000000001" customHeight="1" x14ac:dyDescent="0.25">
      <c r="A123" s="50">
        <v>46182</v>
      </c>
      <c r="B123" s="52" t="s">
        <v>252</v>
      </c>
      <c r="C123" s="52">
        <v>5558</v>
      </c>
      <c r="D123" s="52" t="s">
        <v>345</v>
      </c>
      <c r="E123" s="52" t="s">
        <v>346</v>
      </c>
      <c r="F123" s="52">
        <f t="shared" ca="1" si="1"/>
        <v>4</v>
      </c>
      <c r="G123" s="55" t="s">
        <v>347</v>
      </c>
      <c r="H123" s="55" t="s">
        <v>348</v>
      </c>
      <c r="I123" s="57"/>
    </row>
    <row r="124" spans="1:9" ht="20.100000000000001" customHeight="1" x14ac:dyDescent="0.25">
      <c r="A124" s="50">
        <v>46182</v>
      </c>
      <c r="B124" s="52" t="s">
        <v>252</v>
      </c>
      <c r="C124" s="52">
        <v>5558</v>
      </c>
      <c r="D124" s="52" t="s">
        <v>349</v>
      </c>
      <c r="E124" s="52" t="s">
        <v>350</v>
      </c>
      <c r="F124" s="52">
        <f t="shared" ca="1" si="1"/>
        <v>4</v>
      </c>
      <c r="G124" s="55" t="s">
        <v>347</v>
      </c>
      <c r="H124" s="55" t="s">
        <v>351</v>
      </c>
      <c r="I124" s="57"/>
    </row>
    <row r="125" spans="1:9" ht="20.100000000000001" customHeight="1" x14ac:dyDescent="0.25">
      <c r="A125" s="50">
        <v>46182</v>
      </c>
      <c r="B125" s="52" t="s">
        <v>252</v>
      </c>
      <c r="C125" s="52">
        <v>5558</v>
      </c>
      <c r="D125" s="52" t="s">
        <v>357</v>
      </c>
      <c r="E125" s="52" t="s">
        <v>346</v>
      </c>
      <c r="F125" s="52">
        <f t="shared" ca="1" si="1"/>
        <v>4</v>
      </c>
      <c r="G125" s="55" t="s">
        <v>347</v>
      </c>
      <c r="H125" s="55" t="s">
        <v>358</v>
      </c>
      <c r="I125" s="57"/>
    </row>
    <row r="126" spans="1:9" ht="20.100000000000001" customHeight="1" x14ac:dyDescent="0.25">
      <c r="A126" s="50">
        <v>46182</v>
      </c>
      <c r="B126" s="52" t="s">
        <v>253</v>
      </c>
      <c r="C126" s="52">
        <v>5559</v>
      </c>
      <c r="D126" s="52" t="s">
        <v>345</v>
      </c>
      <c r="E126" s="52" t="s">
        <v>346</v>
      </c>
      <c r="F126" s="52">
        <f t="shared" ca="1" si="1"/>
        <v>4</v>
      </c>
      <c r="G126" s="55" t="s">
        <v>347</v>
      </c>
      <c r="H126" s="55" t="s">
        <v>348</v>
      </c>
      <c r="I126" s="57"/>
    </row>
    <row r="127" spans="1:9" ht="20.100000000000001" customHeight="1" x14ac:dyDescent="0.25">
      <c r="A127" s="50">
        <v>46182</v>
      </c>
      <c r="B127" s="52" t="s">
        <v>253</v>
      </c>
      <c r="C127" s="52">
        <v>5559</v>
      </c>
      <c r="D127" s="52" t="s">
        <v>349</v>
      </c>
      <c r="E127" s="52" t="s">
        <v>350</v>
      </c>
      <c r="F127" s="52">
        <f t="shared" ca="1" si="1"/>
        <v>4</v>
      </c>
      <c r="G127" s="55" t="s">
        <v>347</v>
      </c>
      <c r="H127" s="55" t="s">
        <v>351</v>
      </c>
      <c r="I127" s="57"/>
    </row>
    <row r="128" spans="1:9" ht="20.100000000000001" customHeight="1" x14ac:dyDescent="0.25">
      <c r="A128" s="50">
        <v>46182</v>
      </c>
      <c r="B128" s="52" t="s">
        <v>253</v>
      </c>
      <c r="C128" s="52">
        <v>5559</v>
      </c>
      <c r="D128" s="52" t="s">
        <v>357</v>
      </c>
      <c r="E128" s="52" t="s">
        <v>346</v>
      </c>
      <c r="F128" s="52">
        <f t="shared" ca="1" si="1"/>
        <v>4</v>
      </c>
      <c r="G128" s="55" t="s">
        <v>347</v>
      </c>
      <c r="H128" s="55" t="s">
        <v>358</v>
      </c>
      <c r="I128" s="57"/>
    </row>
    <row r="129" spans="1:9" ht="20.100000000000001" customHeight="1" x14ac:dyDescent="0.25">
      <c r="A129" s="50">
        <v>46182</v>
      </c>
      <c r="B129" s="52" t="s">
        <v>254</v>
      </c>
      <c r="C129" s="52">
        <v>5560</v>
      </c>
      <c r="D129" s="52" t="s">
        <v>345</v>
      </c>
      <c r="E129" s="52" t="s">
        <v>346</v>
      </c>
      <c r="F129" s="52">
        <f t="shared" ca="1" si="1"/>
        <v>4</v>
      </c>
      <c r="G129" s="55" t="s">
        <v>347</v>
      </c>
      <c r="H129" s="55" t="s">
        <v>348</v>
      </c>
      <c r="I129" s="57"/>
    </row>
    <row r="130" spans="1:9" ht="20.100000000000001" customHeight="1" x14ac:dyDescent="0.25">
      <c r="A130" s="50">
        <v>46182</v>
      </c>
      <c r="B130" s="52" t="s">
        <v>254</v>
      </c>
      <c r="C130" s="52">
        <v>5560</v>
      </c>
      <c r="D130" s="52" t="s">
        <v>349</v>
      </c>
      <c r="E130" s="52" t="s">
        <v>350</v>
      </c>
      <c r="F130" s="52">
        <f t="shared" ca="1" si="1"/>
        <v>4</v>
      </c>
      <c r="G130" s="55" t="s">
        <v>347</v>
      </c>
      <c r="H130" s="55" t="s">
        <v>351</v>
      </c>
      <c r="I130" s="57"/>
    </row>
    <row r="131" spans="1:9" ht="20.100000000000001" customHeight="1" x14ac:dyDescent="0.25">
      <c r="A131" s="50">
        <v>46182</v>
      </c>
      <c r="B131" s="52" t="s">
        <v>254</v>
      </c>
      <c r="C131" s="52">
        <v>5560</v>
      </c>
      <c r="D131" s="52" t="s">
        <v>357</v>
      </c>
      <c r="E131" s="52" t="s">
        <v>346</v>
      </c>
      <c r="F131" s="52">
        <f t="shared" ca="1" si="1"/>
        <v>4</v>
      </c>
      <c r="G131" s="55" t="s">
        <v>347</v>
      </c>
      <c r="H131" s="55" t="s">
        <v>358</v>
      </c>
      <c r="I131" s="57"/>
    </row>
    <row r="132" spans="1:9" ht="20.100000000000001" customHeight="1" x14ac:dyDescent="0.25">
      <c r="A132" s="50">
        <v>46182</v>
      </c>
      <c r="B132" s="52" t="s">
        <v>255</v>
      </c>
      <c r="C132" s="52">
        <v>5561</v>
      </c>
      <c r="D132" s="52" t="s">
        <v>345</v>
      </c>
      <c r="E132" s="52" t="s">
        <v>346</v>
      </c>
      <c r="F132" s="52">
        <f t="shared" ca="1" si="1"/>
        <v>4</v>
      </c>
      <c r="G132" s="55" t="s">
        <v>347</v>
      </c>
      <c r="H132" s="55" t="s">
        <v>348</v>
      </c>
      <c r="I132" s="57"/>
    </row>
    <row r="133" spans="1:9" ht="20.100000000000001" customHeight="1" x14ac:dyDescent="0.25">
      <c r="A133" s="50">
        <v>46182</v>
      </c>
      <c r="B133" s="52" t="s">
        <v>255</v>
      </c>
      <c r="C133" s="52">
        <v>5561</v>
      </c>
      <c r="D133" s="52" t="s">
        <v>349</v>
      </c>
      <c r="E133" s="52" t="s">
        <v>350</v>
      </c>
      <c r="F133" s="52">
        <f t="shared" ref="F133:F196" ca="1" si="2">IF(A133="","",MAX(0,TODAY()-A133))</f>
        <v>4</v>
      </c>
      <c r="G133" s="55" t="s">
        <v>347</v>
      </c>
      <c r="H133" s="55" t="s">
        <v>351</v>
      </c>
      <c r="I133" s="57"/>
    </row>
    <row r="134" spans="1:9" ht="20.100000000000001" customHeight="1" x14ac:dyDescent="0.25">
      <c r="A134" s="50">
        <v>46182</v>
      </c>
      <c r="B134" s="52" t="s">
        <v>255</v>
      </c>
      <c r="C134" s="52">
        <v>5561</v>
      </c>
      <c r="D134" s="52" t="s">
        <v>357</v>
      </c>
      <c r="E134" s="52" t="s">
        <v>346</v>
      </c>
      <c r="F134" s="52">
        <f t="shared" ca="1" si="2"/>
        <v>4</v>
      </c>
      <c r="G134" s="55" t="s">
        <v>347</v>
      </c>
      <c r="H134" s="55" t="s">
        <v>358</v>
      </c>
      <c r="I134" s="57"/>
    </row>
    <row r="135" spans="1:9" ht="20.100000000000001" customHeight="1" x14ac:dyDescent="0.25">
      <c r="A135" s="50">
        <v>46182</v>
      </c>
      <c r="B135" s="52" t="s">
        <v>257</v>
      </c>
      <c r="C135" s="52">
        <v>5563</v>
      </c>
      <c r="D135" s="52" t="s">
        <v>345</v>
      </c>
      <c r="E135" s="52" t="s">
        <v>346</v>
      </c>
      <c r="F135" s="52">
        <f t="shared" ca="1" si="2"/>
        <v>4</v>
      </c>
      <c r="G135" s="55" t="s">
        <v>347</v>
      </c>
      <c r="H135" s="55" t="s">
        <v>348</v>
      </c>
      <c r="I135" s="57"/>
    </row>
    <row r="136" spans="1:9" ht="20.100000000000001" customHeight="1" x14ac:dyDescent="0.25">
      <c r="A136" s="50">
        <v>46182</v>
      </c>
      <c r="B136" s="52" t="s">
        <v>257</v>
      </c>
      <c r="C136" s="52">
        <v>5563</v>
      </c>
      <c r="D136" s="52" t="s">
        <v>349</v>
      </c>
      <c r="E136" s="52" t="s">
        <v>350</v>
      </c>
      <c r="F136" s="52">
        <f t="shared" ca="1" si="2"/>
        <v>4</v>
      </c>
      <c r="G136" s="55" t="s">
        <v>347</v>
      </c>
      <c r="H136" s="55" t="s">
        <v>351</v>
      </c>
      <c r="I136" s="57"/>
    </row>
    <row r="137" spans="1:9" ht="20.100000000000001" customHeight="1" x14ac:dyDescent="0.25">
      <c r="A137" s="50">
        <v>46182</v>
      </c>
      <c r="B137" s="52" t="s">
        <v>257</v>
      </c>
      <c r="C137" s="52">
        <v>5563</v>
      </c>
      <c r="D137" s="52" t="s">
        <v>357</v>
      </c>
      <c r="E137" s="52" t="s">
        <v>346</v>
      </c>
      <c r="F137" s="52">
        <f t="shared" ca="1" si="2"/>
        <v>4</v>
      </c>
      <c r="G137" s="55" t="s">
        <v>347</v>
      </c>
      <c r="H137" s="55" t="s">
        <v>358</v>
      </c>
      <c r="I137" s="57"/>
    </row>
    <row r="138" spans="1:9" ht="20.100000000000001" customHeight="1" x14ac:dyDescent="0.25">
      <c r="A138" s="50">
        <v>46182</v>
      </c>
      <c r="B138" s="52" t="s">
        <v>259</v>
      </c>
      <c r="C138" s="52">
        <v>5566</v>
      </c>
      <c r="D138" s="52" t="s">
        <v>345</v>
      </c>
      <c r="E138" s="52" t="s">
        <v>346</v>
      </c>
      <c r="F138" s="52">
        <f t="shared" ca="1" si="2"/>
        <v>4</v>
      </c>
      <c r="G138" s="55" t="s">
        <v>347</v>
      </c>
      <c r="H138" s="55" t="s">
        <v>348</v>
      </c>
      <c r="I138" s="57"/>
    </row>
    <row r="139" spans="1:9" ht="20.100000000000001" customHeight="1" x14ac:dyDescent="0.25">
      <c r="A139" s="50">
        <v>46182</v>
      </c>
      <c r="B139" s="52" t="s">
        <v>259</v>
      </c>
      <c r="C139" s="52">
        <v>5566</v>
      </c>
      <c r="D139" s="52" t="s">
        <v>349</v>
      </c>
      <c r="E139" s="52" t="s">
        <v>350</v>
      </c>
      <c r="F139" s="52">
        <f t="shared" ca="1" si="2"/>
        <v>4</v>
      </c>
      <c r="G139" s="55" t="s">
        <v>347</v>
      </c>
      <c r="H139" s="55" t="s">
        <v>351</v>
      </c>
      <c r="I139" s="57"/>
    </row>
    <row r="140" spans="1:9" ht="20.100000000000001" customHeight="1" x14ac:dyDescent="0.25">
      <c r="A140" s="50">
        <v>46182</v>
      </c>
      <c r="B140" s="52" t="s">
        <v>259</v>
      </c>
      <c r="C140" s="52">
        <v>5566</v>
      </c>
      <c r="D140" s="52" t="s">
        <v>357</v>
      </c>
      <c r="E140" s="52" t="s">
        <v>346</v>
      </c>
      <c r="F140" s="52">
        <f t="shared" ca="1" si="2"/>
        <v>4</v>
      </c>
      <c r="G140" s="55" t="s">
        <v>347</v>
      </c>
      <c r="H140" s="55" t="s">
        <v>358</v>
      </c>
      <c r="I140" s="57"/>
    </row>
    <row r="141" spans="1:9" ht="20.100000000000001" customHeight="1" x14ac:dyDescent="0.25">
      <c r="A141" s="50">
        <v>46182</v>
      </c>
      <c r="B141" s="52" t="s">
        <v>260</v>
      </c>
      <c r="C141" s="52">
        <v>5567</v>
      </c>
      <c r="D141" s="52" t="s">
        <v>345</v>
      </c>
      <c r="E141" s="52" t="s">
        <v>346</v>
      </c>
      <c r="F141" s="52">
        <f t="shared" ca="1" si="2"/>
        <v>4</v>
      </c>
      <c r="G141" s="55" t="s">
        <v>347</v>
      </c>
      <c r="H141" s="55" t="s">
        <v>348</v>
      </c>
      <c r="I141" s="57"/>
    </row>
    <row r="142" spans="1:9" ht="20.100000000000001" customHeight="1" x14ac:dyDescent="0.25">
      <c r="A142" s="50">
        <v>46182</v>
      </c>
      <c r="B142" s="52" t="s">
        <v>260</v>
      </c>
      <c r="C142" s="52">
        <v>5567</v>
      </c>
      <c r="D142" s="52" t="s">
        <v>349</v>
      </c>
      <c r="E142" s="52" t="s">
        <v>350</v>
      </c>
      <c r="F142" s="52">
        <f t="shared" ca="1" si="2"/>
        <v>4</v>
      </c>
      <c r="G142" s="55" t="s">
        <v>347</v>
      </c>
      <c r="H142" s="55" t="s">
        <v>351</v>
      </c>
      <c r="I142" s="57"/>
    </row>
    <row r="143" spans="1:9" ht="20.100000000000001" customHeight="1" x14ac:dyDescent="0.25">
      <c r="A143" s="50">
        <v>46182</v>
      </c>
      <c r="B143" s="52" t="s">
        <v>260</v>
      </c>
      <c r="C143" s="52">
        <v>5567</v>
      </c>
      <c r="D143" s="52" t="s">
        <v>357</v>
      </c>
      <c r="E143" s="52" t="s">
        <v>346</v>
      </c>
      <c r="F143" s="52">
        <f t="shared" ca="1" si="2"/>
        <v>4</v>
      </c>
      <c r="G143" s="55" t="s">
        <v>347</v>
      </c>
      <c r="H143" s="55" t="s">
        <v>358</v>
      </c>
      <c r="I143" s="57"/>
    </row>
    <row r="144" spans="1:9" ht="20.100000000000001" customHeight="1" x14ac:dyDescent="0.25">
      <c r="A144" s="50">
        <v>46182</v>
      </c>
      <c r="B144" s="52" t="s">
        <v>261</v>
      </c>
      <c r="C144" s="52">
        <v>5568</v>
      </c>
      <c r="D144" s="52" t="s">
        <v>345</v>
      </c>
      <c r="E144" s="52" t="s">
        <v>346</v>
      </c>
      <c r="F144" s="52">
        <f t="shared" ca="1" si="2"/>
        <v>4</v>
      </c>
      <c r="G144" s="55" t="s">
        <v>347</v>
      </c>
      <c r="H144" s="55" t="s">
        <v>348</v>
      </c>
      <c r="I144" s="57"/>
    </row>
    <row r="145" spans="1:9" ht="20.100000000000001" customHeight="1" x14ac:dyDescent="0.25">
      <c r="A145" s="50">
        <v>46182</v>
      </c>
      <c r="B145" s="52" t="s">
        <v>261</v>
      </c>
      <c r="C145" s="52">
        <v>5568</v>
      </c>
      <c r="D145" s="52" t="s">
        <v>349</v>
      </c>
      <c r="E145" s="52" t="s">
        <v>350</v>
      </c>
      <c r="F145" s="52">
        <f t="shared" ca="1" si="2"/>
        <v>4</v>
      </c>
      <c r="G145" s="55" t="s">
        <v>347</v>
      </c>
      <c r="H145" s="55" t="s">
        <v>351</v>
      </c>
      <c r="I145" s="57"/>
    </row>
    <row r="146" spans="1:9" ht="20.100000000000001" customHeight="1" x14ac:dyDescent="0.25">
      <c r="A146" s="50">
        <v>46182</v>
      </c>
      <c r="B146" s="52" t="s">
        <v>261</v>
      </c>
      <c r="C146" s="52">
        <v>5568</v>
      </c>
      <c r="D146" s="52" t="s">
        <v>357</v>
      </c>
      <c r="E146" s="52" t="s">
        <v>346</v>
      </c>
      <c r="F146" s="52">
        <f t="shared" ca="1" si="2"/>
        <v>4</v>
      </c>
      <c r="G146" s="55" t="s">
        <v>347</v>
      </c>
      <c r="H146" s="55" t="s">
        <v>358</v>
      </c>
      <c r="I146" s="57"/>
    </row>
    <row r="147" spans="1:9" ht="20.100000000000001" customHeight="1" x14ac:dyDescent="0.25">
      <c r="A147" s="50">
        <v>46182</v>
      </c>
      <c r="B147" s="52" t="s">
        <v>262</v>
      </c>
      <c r="C147" s="52">
        <v>5569</v>
      </c>
      <c r="D147" s="52" t="s">
        <v>345</v>
      </c>
      <c r="E147" s="52" t="s">
        <v>346</v>
      </c>
      <c r="F147" s="52">
        <f t="shared" ca="1" si="2"/>
        <v>4</v>
      </c>
      <c r="G147" s="55" t="s">
        <v>347</v>
      </c>
      <c r="H147" s="55" t="s">
        <v>348</v>
      </c>
      <c r="I147" s="57"/>
    </row>
    <row r="148" spans="1:9" ht="20.100000000000001" customHeight="1" x14ac:dyDescent="0.25">
      <c r="A148" s="50">
        <v>46182</v>
      </c>
      <c r="B148" s="52" t="s">
        <v>262</v>
      </c>
      <c r="C148" s="52">
        <v>5569</v>
      </c>
      <c r="D148" s="52" t="s">
        <v>349</v>
      </c>
      <c r="E148" s="52" t="s">
        <v>350</v>
      </c>
      <c r="F148" s="52">
        <f t="shared" ca="1" si="2"/>
        <v>4</v>
      </c>
      <c r="G148" s="55" t="s">
        <v>347</v>
      </c>
      <c r="H148" s="55" t="s">
        <v>351</v>
      </c>
      <c r="I148" s="57"/>
    </row>
    <row r="149" spans="1:9" ht="20.100000000000001" customHeight="1" x14ac:dyDescent="0.25">
      <c r="A149" s="50">
        <v>46182</v>
      </c>
      <c r="B149" s="52" t="s">
        <v>262</v>
      </c>
      <c r="C149" s="52">
        <v>5569</v>
      </c>
      <c r="D149" s="52" t="s">
        <v>357</v>
      </c>
      <c r="E149" s="52" t="s">
        <v>346</v>
      </c>
      <c r="F149" s="52">
        <f t="shared" ca="1" si="2"/>
        <v>4</v>
      </c>
      <c r="G149" s="55" t="s">
        <v>347</v>
      </c>
      <c r="H149" s="55" t="s">
        <v>358</v>
      </c>
      <c r="I149" s="57"/>
    </row>
    <row r="150" spans="1:9" ht="20.100000000000001" customHeight="1" x14ac:dyDescent="0.25">
      <c r="A150" s="50">
        <v>46182</v>
      </c>
      <c r="B150" s="52" t="s">
        <v>81</v>
      </c>
      <c r="C150" s="52">
        <v>5573</v>
      </c>
      <c r="D150" s="52" t="s">
        <v>355</v>
      </c>
      <c r="E150" s="52" t="s">
        <v>346</v>
      </c>
      <c r="F150" s="52">
        <f t="shared" ca="1" si="2"/>
        <v>4</v>
      </c>
      <c r="G150" s="55" t="s">
        <v>347</v>
      </c>
      <c r="H150" s="55" t="s">
        <v>356</v>
      </c>
      <c r="I150" s="57"/>
    </row>
    <row r="151" spans="1:9" ht="20.100000000000001" customHeight="1" x14ac:dyDescent="0.25">
      <c r="A151" s="50">
        <v>46182</v>
      </c>
      <c r="B151" s="52" t="s">
        <v>81</v>
      </c>
      <c r="C151" s="52">
        <v>5573</v>
      </c>
      <c r="D151" s="52" t="s">
        <v>345</v>
      </c>
      <c r="E151" s="52" t="s">
        <v>346</v>
      </c>
      <c r="F151" s="52">
        <f t="shared" ca="1" si="2"/>
        <v>4</v>
      </c>
      <c r="G151" s="55" t="s">
        <v>347</v>
      </c>
      <c r="H151" s="55" t="s">
        <v>348</v>
      </c>
      <c r="I151" s="57"/>
    </row>
    <row r="152" spans="1:9" ht="20.100000000000001" customHeight="1" x14ac:dyDescent="0.25">
      <c r="A152" s="50">
        <v>46182</v>
      </c>
      <c r="B152" s="52" t="s">
        <v>81</v>
      </c>
      <c r="C152" s="52">
        <v>5573</v>
      </c>
      <c r="D152" s="52" t="s">
        <v>349</v>
      </c>
      <c r="E152" s="52" t="s">
        <v>350</v>
      </c>
      <c r="F152" s="52">
        <f t="shared" ca="1" si="2"/>
        <v>4</v>
      </c>
      <c r="G152" s="55" t="s">
        <v>347</v>
      </c>
      <c r="H152" s="55" t="s">
        <v>351</v>
      </c>
      <c r="I152" s="57"/>
    </row>
    <row r="153" spans="1:9" ht="20.100000000000001" customHeight="1" x14ac:dyDescent="0.25">
      <c r="A153" s="50">
        <v>46182</v>
      </c>
      <c r="B153" s="52" t="s">
        <v>81</v>
      </c>
      <c r="C153" s="52">
        <v>5573</v>
      </c>
      <c r="D153" s="52" t="s">
        <v>357</v>
      </c>
      <c r="E153" s="52" t="s">
        <v>346</v>
      </c>
      <c r="F153" s="52">
        <f t="shared" ca="1" si="2"/>
        <v>4</v>
      </c>
      <c r="G153" s="55" t="s">
        <v>347</v>
      </c>
      <c r="H153" s="55" t="s">
        <v>358</v>
      </c>
      <c r="I153" s="57"/>
    </row>
    <row r="154" spans="1:9" ht="20.100000000000001" customHeight="1" x14ac:dyDescent="0.25">
      <c r="A154" s="50">
        <v>46182</v>
      </c>
      <c r="B154" s="52" t="s">
        <v>269</v>
      </c>
      <c r="C154" s="52">
        <v>5580</v>
      </c>
      <c r="D154" s="52" t="s">
        <v>345</v>
      </c>
      <c r="E154" s="52" t="s">
        <v>346</v>
      </c>
      <c r="F154" s="52">
        <f t="shared" ca="1" si="2"/>
        <v>4</v>
      </c>
      <c r="G154" s="55" t="s">
        <v>347</v>
      </c>
      <c r="H154" s="55" t="s">
        <v>348</v>
      </c>
      <c r="I154" s="57"/>
    </row>
    <row r="155" spans="1:9" ht="20.100000000000001" customHeight="1" x14ac:dyDescent="0.25">
      <c r="A155" s="50">
        <v>46182</v>
      </c>
      <c r="B155" s="52" t="s">
        <v>269</v>
      </c>
      <c r="C155" s="52">
        <v>5580</v>
      </c>
      <c r="D155" s="52" t="s">
        <v>349</v>
      </c>
      <c r="E155" s="52" t="s">
        <v>350</v>
      </c>
      <c r="F155" s="52">
        <f t="shared" ca="1" si="2"/>
        <v>4</v>
      </c>
      <c r="G155" s="55" t="s">
        <v>347</v>
      </c>
      <c r="H155" s="55" t="s">
        <v>351</v>
      </c>
      <c r="I155" s="57"/>
    </row>
    <row r="156" spans="1:9" ht="20.100000000000001" customHeight="1" x14ac:dyDescent="0.25">
      <c r="A156" s="50">
        <v>46182</v>
      </c>
      <c r="B156" s="52" t="s">
        <v>269</v>
      </c>
      <c r="C156" s="52">
        <v>5580</v>
      </c>
      <c r="D156" s="52" t="s">
        <v>357</v>
      </c>
      <c r="E156" s="52" t="s">
        <v>346</v>
      </c>
      <c r="F156" s="52">
        <f t="shared" ca="1" si="2"/>
        <v>4</v>
      </c>
      <c r="G156" s="55" t="s">
        <v>347</v>
      </c>
      <c r="H156" s="55" t="s">
        <v>358</v>
      </c>
      <c r="I156" s="57"/>
    </row>
    <row r="157" spans="1:9" ht="20.100000000000001" customHeight="1" x14ac:dyDescent="0.25">
      <c r="A157" s="50">
        <v>46182</v>
      </c>
      <c r="B157" s="52" t="s">
        <v>81</v>
      </c>
      <c r="C157" s="52">
        <v>5581</v>
      </c>
      <c r="D157" s="52" t="s">
        <v>345</v>
      </c>
      <c r="E157" s="52" t="s">
        <v>346</v>
      </c>
      <c r="F157" s="52">
        <f t="shared" ca="1" si="2"/>
        <v>4</v>
      </c>
      <c r="G157" s="55" t="s">
        <v>347</v>
      </c>
      <c r="H157" s="55" t="s">
        <v>348</v>
      </c>
      <c r="I157" s="57"/>
    </row>
    <row r="158" spans="1:9" ht="20.100000000000001" customHeight="1" x14ac:dyDescent="0.25">
      <c r="A158" s="50">
        <v>46182</v>
      </c>
      <c r="B158" s="52" t="s">
        <v>81</v>
      </c>
      <c r="C158" s="52">
        <v>5581</v>
      </c>
      <c r="D158" s="52" t="s">
        <v>349</v>
      </c>
      <c r="E158" s="52" t="s">
        <v>350</v>
      </c>
      <c r="F158" s="52">
        <f t="shared" ca="1" si="2"/>
        <v>4</v>
      </c>
      <c r="G158" s="55" t="s">
        <v>347</v>
      </c>
      <c r="H158" s="55" t="s">
        <v>351</v>
      </c>
      <c r="I158" s="57"/>
    </row>
    <row r="159" spans="1:9" ht="20.100000000000001" customHeight="1" x14ac:dyDescent="0.25">
      <c r="A159" s="50">
        <v>46182</v>
      </c>
      <c r="B159" s="52" t="s">
        <v>81</v>
      </c>
      <c r="C159" s="52">
        <v>5581</v>
      </c>
      <c r="D159" s="52" t="s">
        <v>357</v>
      </c>
      <c r="E159" s="52" t="s">
        <v>346</v>
      </c>
      <c r="F159" s="52">
        <f t="shared" ca="1" si="2"/>
        <v>4</v>
      </c>
      <c r="G159" s="55" t="s">
        <v>347</v>
      </c>
      <c r="H159" s="55" t="s">
        <v>358</v>
      </c>
      <c r="I159" s="57"/>
    </row>
    <row r="160" spans="1:9" ht="20.100000000000001" customHeight="1" x14ac:dyDescent="0.25">
      <c r="A160" s="50">
        <v>46182</v>
      </c>
      <c r="B160" s="52" t="s">
        <v>271</v>
      </c>
      <c r="C160" s="52">
        <v>5583</v>
      </c>
      <c r="D160" s="52" t="s">
        <v>355</v>
      </c>
      <c r="E160" s="52" t="s">
        <v>346</v>
      </c>
      <c r="F160" s="52">
        <f t="shared" ca="1" si="2"/>
        <v>4</v>
      </c>
      <c r="G160" s="55" t="s">
        <v>347</v>
      </c>
      <c r="H160" s="55" t="s">
        <v>356</v>
      </c>
      <c r="I160" s="57"/>
    </row>
    <row r="161" spans="1:9" ht="20.100000000000001" customHeight="1" x14ac:dyDescent="0.25">
      <c r="A161" s="50">
        <v>46182</v>
      </c>
      <c r="B161" s="52" t="s">
        <v>271</v>
      </c>
      <c r="C161" s="52">
        <v>5583</v>
      </c>
      <c r="D161" s="52" t="s">
        <v>345</v>
      </c>
      <c r="E161" s="52" t="s">
        <v>346</v>
      </c>
      <c r="F161" s="52">
        <f t="shared" ca="1" si="2"/>
        <v>4</v>
      </c>
      <c r="G161" s="55" t="s">
        <v>347</v>
      </c>
      <c r="H161" s="55" t="s">
        <v>348</v>
      </c>
      <c r="I161" s="57"/>
    </row>
    <row r="162" spans="1:9" ht="20.100000000000001" customHeight="1" x14ac:dyDescent="0.25">
      <c r="A162" s="50">
        <v>46182</v>
      </c>
      <c r="B162" s="52" t="s">
        <v>271</v>
      </c>
      <c r="C162" s="52">
        <v>5583</v>
      </c>
      <c r="D162" s="52" t="s">
        <v>349</v>
      </c>
      <c r="E162" s="52" t="s">
        <v>350</v>
      </c>
      <c r="F162" s="52">
        <f t="shared" ca="1" si="2"/>
        <v>4</v>
      </c>
      <c r="G162" s="55" t="s">
        <v>347</v>
      </c>
      <c r="H162" s="55" t="s">
        <v>351</v>
      </c>
      <c r="I162" s="57"/>
    </row>
    <row r="163" spans="1:9" ht="20.100000000000001" customHeight="1" x14ac:dyDescent="0.25">
      <c r="A163" s="50">
        <v>46182</v>
      </c>
      <c r="B163" s="52" t="s">
        <v>271</v>
      </c>
      <c r="C163" s="52">
        <v>5583</v>
      </c>
      <c r="D163" s="52" t="s">
        <v>357</v>
      </c>
      <c r="E163" s="52" t="s">
        <v>346</v>
      </c>
      <c r="F163" s="52">
        <f t="shared" ca="1" si="2"/>
        <v>4</v>
      </c>
      <c r="G163" s="55" t="s">
        <v>347</v>
      </c>
      <c r="H163" s="55" t="s">
        <v>358</v>
      </c>
      <c r="I163" s="57"/>
    </row>
    <row r="164" spans="1:9" ht="20.100000000000001" customHeight="1" x14ac:dyDescent="0.25">
      <c r="A164" s="50">
        <v>46182</v>
      </c>
      <c r="B164" s="52" t="s">
        <v>273</v>
      </c>
      <c r="C164" s="52">
        <v>5585</v>
      </c>
      <c r="D164" s="52" t="s">
        <v>345</v>
      </c>
      <c r="E164" s="52" t="s">
        <v>346</v>
      </c>
      <c r="F164" s="52">
        <f t="shared" ca="1" si="2"/>
        <v>4</v>
      </c>
      <c r="G164" s="55" t="s">
        <v>347</v>
      </c>
      <c r="H164" s="55" t="s">
        <v>348</v>
      </c>
      <c r="I164" s="57"/>
    </row>
    <row r="165" spans="1:9" ht="20.100000000000001" customHeight="1" x14ac:dyDescent="0.25">
      <c r="A165" s="50">
        <v>46182</v>
      </c>
      <c r="B165" s="52" t="s">
        <v>273</v>
      </c>
      <c r="C165" s="52">
        <v>5585</v>
      </c>
      <c r="D165" s="52" t="s">
        <v>349</v>
      </c>
      <c r="E165" s="52" t="s">
        <v>350</v>
      </c>
      <c r="F165" s="52">
        <f t="shared" ca="1" si="2"/>
        <v>4</v>
      </c>
      <c r="G165" s="55" t="s">
        <v>347</v>
      </c>
      <c r="H165" s="55" t="s">
        <v>351</v>
      </c>
      <c r="I165" s="57"/>
    </row>
    <row r="166" spans="1:9" ht="20.100000000000001" customHeight="1" x14ac:dyDescent="0.25">
      <c r="A166" s="50">
        <v>46182</v>
      </c>
      <c r="B166" s="52" t="s">
        <v>273</v>
      </c>
      <c r="C166" s="52">
        <v>5585</v>
      </c>
      <c r="D166" s="52" t="s">
        <v>357</v>
      </c>
      <c r="E166" s="52" t="s">
        <v>346</v>
      </c>
      <c r="F166" s="52">
        <f t="shared" ca="1" si="2"/>
        <v>4</v>
      </c>
      <c r="G166" s="55" t="s">
        <v>347</v>
      </c>
      <c r="H166" s="55" t="s">
        <v>358</v>
      </c>
      <c r="I166" s="57"/>
    </row>
    <row r="167" spans="1:9" ht="20.100000000000001" customHeight="1" x14ac:dyDescent="0.25">
      <c r="A167" s="50">
        <v>46182</v>
      </c>
      <c r="B167" s="52" t="s">
        <v>274</v>
      </c>
      <c r="C167" s="52">
        <v>5586</v>
      </c>
      <c r="D167" s="52" t="s">
        <v>345</v>
      </c>
      <c r="E167" s="52" t="s">
        <v>346</v>
      </c>
      <c r="F167" s="52">
        <f t="shared" ca="1" si="2"/>
        <v>4</v>
      </c>
      <c r="G167" s="55" t="s">
        <v>347</v>
      </c>
      <c r="H167" s="55" t="s">
        <v>348</v>
      </c>
      <c r="I167" s="57"/>
    </row>
    <row r="168" spans="1:9" ht="20.100000000000001" customHeight="1" x14ac:dyDescent="0.25">
      <c r="A168" s="50">
        <v>46182</v>
      </c>
      <c r="B168" s="52" t="s">
        <v>274</v>
      </c>
      <c r="C168" s="52">
        <v>5586</v>
      </c>
      <c r="D168" s="52" t="s">
        <v>349</v>
      </c>
      <c r="E168" s="52" t="s">
        <v>350</v>
      </c>
      <c r="F168" s="52">
        <f t="shared" ca="1" si="2"/>
        <v>4</v>
      </c>
      <c r="G168" s="55" t="s">
        <v>347</v>
      </c>
      <c r="H168" s="55" t="s">
        <v>351</v>
      </c>
      <c r="I168" s="57"/>
    </row>
    <row r="169" spans="1:9" ht="20.100000000000001" customHeight="1" x14ac:dyDescent="0.25">
      <c r="A169" s="50">
        <v>46182</v>
      </c>
      <c r="B169" s="52" t="s">
        <v>274</v>
      </c>
      <c r="C169" s="52">
        <v>5586</v>
      </c>
      <c r="D169" s="52" t="s">
        <v>357</v>
      </c>
      <c r="E169" s="52" t="s">
        <v>346</v>
      </c>
      <c r="F169" s="52">
        <f t="shared" ca="1" si="2"/>
        <v>4</v>
      </c>
      <c r="G169" s="55" t="s">
        <v>347</v>
      </c>
      <c r="H169" s="55" t="s">
        <v>358</v>
      </c>
      <c r="I169" s="57"/>
    </row>
    <row r="170" spans="1:9" ht="20.100000000000001" customHeight="1" x14ac:dyDescent="0.25">
      <c r="A170" s="50">
        <v>46182</v>
      </c>
      <c r="B170" s="52" t="s">
        <v>275</v>
      </c>
      <c r="C170" s="52">
        <v>5587</v>
      </c>
      <c r="D170" s="52" t="s">
        <v>345</v>
      </c>
      <c r="E170" s="52" t="s">
        <v>346</v>
      </c>
      <c r="F170" s="52">
        <f t="shared" ca="1" si="2"/>
        <v>4</v>
      </c>
      <c r="G170" s="55" t="s">
        <v>347</v>
      </c>
      <c r="H170" s="55" t="s">
        <v>348</v>
      </c>
      <c r="I170" s="57"/>
    </row>
    <row r="171" spans="1:9" ht="20.100000000000001" customHeight="1" x14ac:dyDescent="0.25">
      <c r="A171" s="50">
        <v>46182</v>
      </c>
      <c r="B171" s="52" t="s">
        <v>275</v>
      </c>
      <c r="C171" s="52">
        <v>5587</v>
      </c>
      <c r="D171" s="52" t="s">
        <v>349</v>
      </c>
      <c r="E171" s="52" t="s">
        <v>350</v>
      </c>
      <c r="F171" s="52">
        <f t="shared" ca="1" si="2"/>
        <v>4</v>
      </c>
      <c r="G171" s="55" t="s">
        <v>347</v>
      </c>
      <c r="H171" s="55" t="s">
        <v>351</v>
      </c>
      <c r="I171" s="57"/>
    </row>
    <row r="172" spans="1:9" ht="20.100000000000001" customHeight="1" x14ac:dyDescent="0.25">
      <c r="A172" s="50">
        <v>46182</v>
      </c>
      <c r="B172" s="52" t="s">
        <v>275</v>
      </c>
      <c r="C172" s="52">
        <v>5587</v>
      </c>
      <c r="D172" s="52" t="s">
        <v>357</v>
      </c>
      <c r="E172" s="52" t="s">
        <v>346</v>
      </c>
      <c r="F172" s="52">
        <f t="shared" ca="1" si="2"/>
        <v>4</v>
      </c>
      <c r="G172" s="55" t="s">
        <v>347</v>
      </c>
      <c r="H172" s="55" t="s">
        <v>358</v>
      </c>
      <c r="I172" s="57"/>
    </row>
    <row r="173" spans="1:9" ht="20.100000000000001" customHeight="1" x14ac:dyDescent="0.25">
      <c r="A173" s="50">
        <v>46182</v>
      </c>
      <c r="B173" s="52" t="s">
        <v>81</v>
      </c>
      <c r="C173" s="52">
        <v>5588</v>
      </c>
      <c r="D173" s="52" t="s">
        <v>355</v>
      </c>
      <c r="E173" s="52" t="s">
        <v>346</v>
      </c>
      <c r="F173" s="52">
        <f t="shared" ca="1" si="2"/>
        <v>4</v>
      </c>
      <c r="G173" s="55" t="s">
        <v>347</v>
      </c>
      <c r="H173" s="55" t="s">
        <v>356</v>
      </c>
      <c r="I173" s="57"/>
    </row>
    <row r="174" spans="1:9" ht="20.100000000000001" customHeight="1" x14ac:dyDescent="0.25">
      <c r="A174" s="50">
        <v>46182</v>
      </c>
      <c r="B174" s="52" t="s">
        <v>81</v>
      </c>
      <c r="C174" s="52">
        <v>5588</v>
      </c>
      <c r="D174" s="52" t="s">
        <v>345</v>
      </c>
      <c r="E174" s="52" t="s">
        <v>346</v>
      </c>
      <c r="F174" s="52">
        <f t="shared" ca="1" si="2"/>
        <v>4</v>
      </c>
      <c r="G174" s="55" t="s">
        <v>347</v>
      </c>
      <c r="H174" s="55" t="s">
        <v>348</v>
      </c>
      <c r="I174" s="57"/>
    </row>
    <row r="175" spans="1:9" ht="20.100000000000001" customHeight="1" x14ac:dyDescent="0.25">
      <c r="A175" s="50">
        <v>46182</v>
      </c>
      <c r="B175" s="52" t="s">
        <v>81</v>
      </c>
      <c r="C175" s="52">
        <v>5588</v>
      </c>
      <c r="D175" s="52" t="s">
        <v>349</v>
      </c>
      <c r="E175" s="52" t="s">
        <v>350</v>
      </c>
      <c r="F175" s="52">
        <f t="shared" ca="1" si="2"/>
        <v>4</v>
      </c>
      <c r="G175" s="55" t="s">
        <v>347</v>
      </c>
      <c r="H175" s="55" t="s">
        <v>351</v>
      </c>
      <c r="I175" s="57"/>
    </row>
    <row r="176" spans="1:9" ht="20.100000000000001" customHeight="1" x14ac:dyDescent="0.25">
      <c r="A176" s="50">
        <v>46182</v>
      </c>
      <c r="B176" s="52" t="s">
        <v>81</v>
      </c>
      <c r="C176" s="52">
        <v>5588</v>
      </c>
      <c r="D176" s="52" t="s">
        <v>357</v>
      </c>
      <c r="E176" s="52" t="s">
        <v>346</v>
      </c>
      <c r="F176" s="52">
        <f t="shared" ca="1" si="2"/>
        <v>4</v>
      </c>
      <c r="G176" s="55" t="s">
        <v>347</v>
      </c>
      <c r="H176" s="55" t="s">
        <v>358</v>
      </c>
      <c r="I176" s="57"/>
    </row>
    <row r="177" spans="1:9" ht="20.100000000000001" customHeight="1" x14ac:dyDescent="0.25">
      <c r="A177" s="50">
        <v>46182</v>
      </c>
      <c r="B177" s="52" t="s">
        <v>81</v>
      </c>
      <c r="C177" s="52">
        <v>5593</v>
      </c>
      <c r="D177" s="52" t="s">
        <v>345</v>
      </c>
      <c r="E177" s="52" t="s">
        <v>346</v>
      </c>
      <c r="F177" s="52">
        <f t="shared" ca="1" si="2"/>
        <v>4</v>
      </c>
      <c r="G177" s="55" t="s">
        <v>347</v>
      </c>
      <c r="H177" s="55" t="s">
        <v>348</v>
      </c>
      <c r="I177" s="57"/>
    </row>
    <row r="178" spans="1:9" ht="20.100000000000001" customHeight="1" x14ac:dyDescent="0.25">
      <c r="A178" s="50">
        <v>46182</v>
      </c>
      <c r="B178" s="52" t="s">
        <v>81</v>
      </c>
      <c r="C178" s="52">
        <v>5593</v>
      </c>
      <c r="D178" s="52" t="s">
        <v>349</v>
      </c>
      <c r="E178" s="52" t="s">
        <v>350</v>
      </c>
      <c r="F178" s="52">
        <f t="shared" ca="1" si="2"/>
        <v>4</v>
      </c>
      <c r="G178" s="55" t="s">
        <v>347</v>
      </c>
      <c r="H178" s="55" t="s">
        <v>351</v>
      </c>
      <c r="I178" s="57"/>
    </row>
    <row r="179" spans="1:9" ht="20.100000000000001" customHeight="1" x14ac:dyDescent="0.25">
      <c r="A179" s="50">
        <v>46182</v>
      </c>
      <c r="B179" s="52" t="s">
        <v>81</v>
      </c>
      <c r="C179" s="52">
        <v>5593</v>
      </c>
      <c r="D179" s="52" t="s">
        <v>357</v>
      </c>
      <c r="E179" s="52" t="s">
        <v>346</v>
      </c>
      <c r="F179" s="52">
        <f t="shared" ca="1" si="2"/>
        <v>4</v>
      </c>
      <c r="G179" s="55" t="s">
        <v>347</v>
      </c>
      <c r="H179" s="55" t="s">
        <v>358</v>
      </c>
      <c r="I179" s="57"/>
    </row>
    <row r="180" spans="1:9" ht="20.100000000000001" customHeight="1" x14ac:dyDescent="0.25">
      <c r="A180" s="50">
        <v>46182</v>
      </c>
      <c r="B180" s="52" t="s">
        <v>278</v>
      </c>
      <c r="C180" s="52">
        <v>5590</v>
      </c>
      <c r="D180" s="52" t="s">
        <v>345</v>
      </c>
      <c r="E180" s="52" t="s">
        <v>346</v>
      </c>
      <c r="F180" s="52">
        <f t="shared" ca="1" si="2"/>
        <v>4</v>
      </c>
      <c r="G180" s="55" t="s">
        <v>347</v>
      </c>
      <c r="H180" s="55" t="s">
        <v>348</v>
      </c>
      <c r="I180" s="57"/>
    </row>
    <row r="181" spans="1:9" ht="20.100000000000001" customHeight="1" x14ac:dyDescent="0.25">
      <c r="A181" s="50">
        <v>46182</v>
      </c>
      <c r="B181" s="52" t="s">
        <v>278</v>
      </c>
      <c r="C181" s="52">
        <v>5590</v>
      </c>
      <c r="D181" s="52" t="s">
        <v>349</v>
      </c>
      <c r="E181" s="52" t="s">
        <v>350</v>
      </c>
      <c r="F181" s="52">
        <f t="shared" ca="1" si="2"/>
        <v>4</v>
      </c>
      <c r="G181" s="55" t="s">
        <v>347</v>
      </c>
      <c r="H181" s="55" t="s">
        <v>351</v>
      </c>
      <c r="I181" s="57"/>
    </row>
    <row r="182" spans="1:9" ht="20.100000000000001" customHeight="1" x14ac:dyDescent="0.25">
      <c r="A182" s="50">
        <v>46182</v>
      </c>
      <c r="B182" s="52" t="s">
        <v>278</v>
      </c>
      <c r="C182" s="52">
        <v>5590</v>
      </c>
      <c r="D182" s="52" t="s">
        <v>357</v>
      </c>
      <c r="E182" s="52" t="s">
        <v>346</v>
      </c>
      <c r="F182" s="52">
        <f t="shared" ca="1" si="2"/>
        <v>4</v>
      </c>
      <c r="G182" s="55" t="s">
        <v>347</v>
      </c>
      <c r="H182" s="55" t="s">
        <v>358</v>
      </c>
      <c r="I182" s="57"/>
    </row>
    <row r="183" spans="1:9" ht="20.100000000000001" customHeight="1" x14ac:dyDescent="0.25">
      <c r="A183" s="50">
        <v>46182</v>
      </c>
      <c r="B183" s="52" t="s">
        <v>279</v>
      </c>
      <c r="C183" s="52">
        <v>5591</v>
      </c>
      <c r="D183" s="52" t="s">
        <v>345</v>
      </c>
      <c r="E183" s="52" t="s">
        <v>346</v>
      </c>
      <c r="F183" s="52">
        <f t="shared" ca="1" si="2"/>
        <v>4</v>
      </c>
      <c r="G183" s="55" t="s">
        <v>347</v>
      </c>
      <c r="H183" s="55" t="s">
        <v>348</v>
      </c>
      <c r="I183" s="57"/>
    </row>
    <row r="184" spans="1:9" ht="20.100000000000001" customHeight="1" x14ac:dyDescent="0.25">
      <c r="A184" s="50">
        <v>46182</v>
      </c>
      <c r="B184" s="52" t="s">
        <v>279</v>
      </c>
      <c r="C184" s="52">
        <v>5591</v>
      </c>
      <c r="D184" s="52" t="s">
        <v>349</v>
      </c>
      <c r="E184" s="52" t="s">
        <v>350</v>
      </c>
      <c r="F184" s="52">
        <f t="shared" ca="1" si="2"/>
        <v>4</v>
      </c>
      <c r="G184" s="55" t="s">
        <v>347</v>
      </c>
      <c r="H184" s="55" t="s">
        <v>351</v>
      </c>
      <c r="I184" s="57"/>
    </row>
    <row r="185" spans="1:9" ht="20.100000000000001" customHeight="1" x14ac:dyDescent="0.25">
      <c r="A185" s="50">
        <v>46182</v>
      </c>
      <c r="B185" s="52" t="s">
        <v>279</v>
      </c>
      <c r="C185" s="52">
        <v>5591</v>
      </c>
      <c r="D185" s="52" t="s">
        <v>357</v>
      </c>
      <c r="E185" s="52" t="s">
        <v>346</v>
      </c>
      <c r="F185" s="52">
        <f t="shared" ca="1" si="2"/>
        <v>4</v>
      </c>
      <c r="G185" s="55" t="s">
        <v>347</v>
      </c>
      <c r="H185" s="55" t="s">
        <v>358</v>
      </c>
      <c r="I185" s="57"/>
    </row>
    <row r="186" spans="1:9" ht="20.100000000000001" customHeight="1" x14ac:dyDescent="0.25">
      <c r="A186" s="50">
        <v>46182</v>
      </c>
      <c r="B186" s="52" t="s">
        <v>270</v>
      </c>
      <c r="C186" s="52">
        <v>5592</v>
      </c>
      <c r="D186" s="52" t="s">
        <v>345</v>
      </c>
      <c r="E186" s="52" t="s">
        <v>346</v>
      </c>
      <c r="F186" s="52">
        <f t="shared" ca="1" si="2"/>
        <v>4</v>
      </c>
      <c r="G186" s="55" t="s">
        <v>347</v>
      </c>
      <c r="H186" s="55" t="s">
        <v>348</v>
      </c>
      <c r="I186" s="57"/>
    </row>
    <row r="187" spans="1:9" ht="20.100000000000001" customHeight="1" x14ac:dyDescent="0.25">
      <c r="A187" s="50">
        <v>46182</v>
      </c>
      <c r="B187" s="52" t="s">
        <v>270</v>
      </c>
      <c r="C187" s="52">
        <v>5592</v>
      </c>
      <c r="D187" s="52" t="s">
        <v>349</v>
      </c>
      <c r="E187" s="52" t="s">
        <v>350</v>
      </c>
      <c r="F187" s="52">
        <f t="shared" ca="1" si="2"/>
        <v>4</v>
      </c>
      <c r="G187" s="55" t="s">
        <v>347</v>
      </c>
      <c r="H187" s="55" t="s">
        <v>351</v>
      </c>
      <c r="I187" s="57"/>
    </row>
    <row r="188" spans="1:9" ht="20.100000000000001" customHeight="1" x14ac:dyDescent="0.25">
      <c r="A188" s="50">
        <v>46182</v>
      </c>
      <c r="B188" s="52" t="s">
        <v>270</v>
      </c>
      <c r="C188" s="52">
        <v>5592</v>
      </c>
      <c r="D188" s="52" t="s">
        <v>357</v>
      </c>
      <c r="E188" s="52" t="s">
        <v>346</v>
      </c>
      <c r="F188" s="52">
        <f t="shared" ca="1" si="2"/>
        <v>4</v>
      </c>
      <c r="G188" s="55" t="s">
        <v>347</v>
      </c>
      <c r="H188" s="55" t="s">
        <v>358</v>
      </c>
      <c r="I188" s="57"/>
    </row>
    <row r="189" spans="1:9" ht="20.100000000000001" customHeight="1" x14ac:dyDescent="0.25">
      <c r="A189" s="50">
        <v>46182</v>
      </c>
      <c r="B189" s="52" t="s">
        <v>81</v>
      </c>
      <c r="C189" s="52">
        <v>5593</v>
      </c>
      <c r="D189" s="52" t="s">
        <v>345</v>
      </c>
      <c r="E189" s="52" t="s">
        <v>346</v>
      </c>
      <c r="F189" s="52">
        <f t="shared" ca="1" si="2"/>
        <v>4</v>
      </c>
      <c r="G189" s="55" t="s">
        <v>347</v>
      </c>
      <c r="H189" s="55" t="s">
        <v>348</v>
      </c>
      <c r="I189" s="57"/>
    </row>
    <row r="190" spans="1:9" ht="20.100000000000001" customHeight="1" x14ac:dyDescent="0.25">
      <c r="A190" s="50">
        <v>46182</v>
      </c>
      <c r="B190" s="52" t="s">
        <v>81</v>
      </c>
      <c r="C190" s="52">
        <v>5593</v>
      </c>
      <c r="D190" s="52" t="s">
        <v>349</v>
      </c>
      <c r="E190" s="52" t="s">
        <v>350</v>
      </c>
      <c r="F190" s="52">
        <f t="shared" ca="1" si="2"/>
        <v>4</v>
      </c>
      <c r="G190" s="55" t="s">
        <v>347</v>
      </c>
      <c r="H190" s="55" t="s">
        <v>351</v>
      </c>
      <c r="I190" s="57"/>
    </row>
    <row r="191" spans="1:9" ht="20.100000000000001" customHeight="1" x14ac:dyDescent="0.25">
      <c r="A191" s="50">
        <v>46182</v>
      </c>
      <c r="B191" s="52" t="s">
        <v>81</v>
      </c>
      <c r="C191" s="52">
        <v>5593</v>
      </c>
      <c r="D191" s="52" t="s">
        <v>357</v>
      </c>
      <c r="E191" s="52" t="s">
        <v>346</v>
      </c>
      <c r="F191" s="52">
        <f t="shared" ca="1" si="2"/>
        <v>4</v>
      </c>
      <c r="G191" s="55" t="s">
        <v>347</v>
      </c>
      <c r="H191" s="55" t="s">
        <v>358</v>
      </c>
      <c r="I191" s="57"/>
    </row>
    <row r="192" spans="1:9" ht="20.100000000000001" customHeight="1" x14ac:dyDescent="0.25">
      <c r="A192" s="50">
        <v>46182</v>
      </c>
      <c r="B192" s="52" t="s">
        <v>81</v>
      </c>
      <c r="C192" s="52">
        <v>5594</v>
      </c>
      <c r="D192" s="52" t="s">
        <v>355</v>
      </c>
      <c r="E192" s="52" t="s">
        <v>346</v>
      </c>
      <c r="F192" s="52">
        <f t="shared" ca="1" si="2"/>
        <v>4</v>
      </c>
      <c r="G192" s="55" t="s">
        <v>347</v>
      </c>
      <c r="H192" s="55" t="s">
        <v>356</v>
      </c>
      <c r="I192" s="57"/>
    </row>
    <row r="193" spans="1:9" ht="20.100000000000001" customHeight="1" x14ac:dyDescent="0.25">
      <c r="A193" s="50">
        <v>46182</v>
      </c>
      <c r="B193" s="52" t="s">
        <v>81</v>
      </c>
      <c r="C193" s="52">
        <v>5594</v>
      </c>
      <c r="D193" s="52" t="s">
        <v>345</v>
      </c>
      <c r="E193" s="52" t="s">
        <v>346</v>
      </c>
      <c r="F193" s="52">
        <f t="shared" ca="1" si="2"/>
        <v>4</v>
      </c>
      <c r="G193" s="55" t="s">
        <v>347</v>
      </c>
      <c r="H193" s="55" t="s">
        <v>348</v>
      </c>
      <c r="I193" s="57"/>
    </row>
    <row r="194" spans="1:9" ht="20.100000000000001" customHeight="1" x14ac:dyDescent="0.25">
      <c r="A194" s="50">
        <v>46182</v>
      </c>
      <c r="B194" s="52" t="s">
        <v>81</v>
      </c>
      <c r="C194" s="52">
        <v>5594</v>
      </c>
      <c r="D194" s="52" t="s">
        <v>349</v>
      </c>
      <c r="E194" s="52" t="s">
        <v>350</v>
      </c>
      <c r="F194" s="52">
        <f t="shared" ca="1" si="2"/>
        <v>4</v>
      </c>
      <c r="G194" s="55" t="s">
        <v>347</v>
      </c>
      <c r="H194" s="55" t="s">
        <v>351</v>
      </c>
      <c r="I194" s="57"/>
    </row>
    <row r="195" spans="1:9" ht="20.100000000000001" customHeight="1" x14ac:dyDescent="0.25">
      <c r="A195" s="50">
        <v>46182</v>
      </c>
      <c r="B195" s="52" t="s">
        <v>81</v>
      </c>
      <c r="C195" s="52">
        <v>5594</v>
      </c>
      <c r="D195" s="52" t="s">
        <v>357</v>
      </c>
      <c r="E195" s="52" t="s">
        <v>346</v>
      </c>
      <c r="F195" s="52">
        <f t="shared" ca="1" si="2"/>
        <v>4</v>
      </c>
      <c r="G195" s="55" t="s">
        <v>347</v>
      </c>
      <c r="H195" s="55" t="s">
        <v>358</v>
      </c>
      <c r="I195" s="57"/>
    </row>
    <row r="196" spans="1:9" ht="20.100000000000001" customHeight="1" x14ac:dyDescent="0.25">
      <c r="A196" s="50">
        <v>46182</v>
      </c>
      <c r="B196" s="52" t="s">
        <v>283</v>
      </c>
      <c r="C196" s="52">
        <v>5597</v>
      </c>
      <c r="D196" s="52" t="s">
        <v>345</v>
      </c>
      <c r="E196" s="52" t="s">
        <v>346</v>
      </c>
      <c r="F196" s="52">
        <f t="shared" ca="1" si="2"/>
        <v>4</v>
      </c>
      <c r="G196" s="55" t="s">
        <v>347</v>
      </c>
      <c r="H196" s="55" t="s">
        <v>348</v>
      </c>
      <c r="I196" s="57"/>
    </row>
    <row r="197" spans="1:9" ht="20.100000000000001" customHeight="1" x14ac:dyDescent="0.25">
      <c r="A197" s="50">
        <v>46182</v>
      </c>
      <c r="B197" s="52" t="s">
        <v>283</v>
      </c>
      <c r="C197" s="52">
        <v>5597</v>
      </c>
      <c r="D197" s="52" t="s">
        <v>349</v>
      </c>
      <c r="E197" s="52" t="s">
        <v>350</v>
      </c>
      <c r="F197" s="52">
        <f t="shared" ref="F197:F260" ca="1" si="3">IF(A197="","",MAX(0,TODAY()-A197))</f>
        <v>4</v>
      </c>
      <c r="G197" s="55" t="s">
        <v>347</v>
      </c>
      <c r="H197" s="55" t="s">
        <v>351</v>
      </c>
      <c r="I197" s="57"/>
    </row>
    <row r="198" spans="1:9" ht="20.100000000000001" customHeight="1" x14ac:dyDescent="0.25">
      <c r="A198" s="50">
        <v>46182</v>
      </c>
      <c r="B198" s="52" t="s">
        <v>283</v>
      </c>
      <c r="C198" s="52">
        <v>5597</v>
      </c>
      <c r="D198" s="52" t="s">
        <v>357</v>
      </c>
      <c r="E198" s="52" t="s">
        <v>346</v>
      </c>
      <c r="F198" s="52">
        <f t="shared" ca="1" si="3"/>
        <v>4</v>
      </c>
      <c r="G198" s="55" t="s">
        <v>347</v>
      </c>
      <c r="H198" s="55" t="s">
        <v>358</v>
      </c>
      <c r="I198" s="57"/>
    </row>
    <row r="199" spans="1:9" ht="20.100000000000001" customHeight="1" x14ac:dyDescent="0.25">
      <c r="A199" s="50">
        <v>46182</v>
      </c>
      <c r="B199" s="52" t="s">
        <v>284</v>
      </c>
      <c r="C199" s="52">
        <v>5598</v>
      </c>
      <c r="D199" s="52" t="s">
        <v>345</v>
      </c>
      <c r="E199" s="52" t="s">
        <v>346</v>
      </c>
      <c r="F199" s="52">
        <f t="shared" ca="1" si="3"/>
        <v>4</v>
      </c>
      <c r="G199" s="55" t="s">
        <v>347</v>
      </c>
      <c r="H199" s="55" t="s">
        <v>348</v>
      </c>
      <c r="I199" s="57"/>
    </row>
    <row r="200" spans="1:9" ht="20.100000000000001" customHeight="1" x14ac:dyDescent="0.25">
      <c r="A200" s="50">
        <v>46182</v>
      </c>
      <c r="B200" s="52" t="s">
        <v>284</v>
      </c>
      <c r="C200" s="52">
        <v>5598</v>
      </c>
      <c r="D200" s="52" t="s">
        <v>349</v>
      </c>
      <c r="E200" s="52" t="s">
        <v>350</v>
      </c>
      <c r="F200" s="52">
        <f t="shared" ca="1" si="3"/>
        <v>4</v>
      </c>
      <c r="G200" s="55" t="s">
        <v>347</v>
      </c>
      <c r="H200" s="55" t="s">
        <v>351</v>
      </c>
      <c r="I200" s="57"/>
    </row>
    <row r="201" spans="1:9" ht="20.100000000000001" customHeight="1" x14ac:dyDescent="0.25">
      <c r="A201" s="50">
        <v>46182</v>
      </c>
      <c r="B201" s="52" t="s">
        <v>284</v>
      </c>
      <c r="C201" s="52">
        <v>5598</v>
      </c>
      <c r="D201" s="52" t="s">
        <v>357</v>
      </c>
      <c r="E201" s="52" t="s">
        <v>346</v>
      </c>
      <c r="F201" s="52">
        <f t="shared" ca="1" si="3"/>
        <v>4</v>
      </c>
      <c r="G201" s="55" t="s">
        <v>347</v>
      </c>
      <c r="H201" s="55" t="s">
        <v>358</v>
      </c>
      <c r="I201" s="57"/>
    </row>
    <row r="202" spans="1:9" ht="20.100000000000001" customHeight="1" x14ac:dyDescent="0.25">
      <c r="A202" s="50">
        <v>46182</v>
      </c>
      <c r="B202" s="52" t="s">
        <v>81</v>
      </c>
      <c r="C202" s="52">
        <v>5600</v>
      </c>
      <c r="D202" s="52" t="s">
        <v>355</v>
      </c>
      <c r="E202" s="52" t="s">
        <v>346</v>
      </c>
      <c r="F202" s="52">
        <f t="shared" ca="1" si="3"/>
        <v>4</v>
      </c>
      <c r="G202" s="55" t="s">
        <v>347</v>
      </c>
      <c r="H202" s="55" t="s">
        <v>356</v>
      </c>
      <c r="I202" s="57"/>
    </row>
    <row r="203" spans="1:9" ht="20.100000000000001" customHeight="1" x14ac:dyDescent="0.25">
      <c r="A203" s="50">
        <v>46182</v>
      </c>
      <c r="B203" s="52" t="s">
        <v>81</v>
      </c>
      <c r="C203" s="52">
        <v>5600</v>
      </c>
      <c r="D203" s="52" t="s">
        <v>345</v>
      </c>
      <c r="E203" s="52" t="s">
        <v>346</v>
      </c>
      <c r="F203" s="52">
        <f t="shared" ca="1" si="3"/>
        <v>4</v>
      </c>
      <c r="G203" s="55" t="s">
        <v>347</v>
      </c>
      <c r="H203" s="55" t="s">
        <v>348</v>
      </c>
      <c r="I203" s="57"/>
    </row>
    <row r="204" spans="1:9" ht="20.100000000000001" customHeight="1" x14ac:dyDescent="0.25">
      <c r="A204" s="50">
        <v>46182</v>
      </c>
      <c r="B204" s="52" t="s">
        <v>81</v>
      </c>
      <c r="C204" s="52">
        <v>5600</v>
      </c>
      <c r="D204" s="52" t="s">
        <v>349</v>
      </c>
      <c r="E204" s="52" t="s">
        <v>350</v>
      </c>
      <c r="F204" s="52">
        <f t="shared" ca="1" si="3"/>
        <v>4</v>
      </c>
      <c r="G204" s="55" t="s">
        <v>347</v>
      </c>
      <c r="H204" s="55" t="s">
        <v>351</v>
      </c>
      <c r="I204" s="57"/>
    </row>
    <row r="205" spans="1:9" ht="20.100000000000001" customHeight="1" x14ac:dyDescent="0.25">
      <c r="A205" s="50">
        <v>46182</v>
      </c>
      <c r="B205" s="52" t="s">
        <v>81</v>
      </c>
      <c r="C205" s="52">
        <v>5600</v>
      </c>
      <c r="D205" s="52" t="s">
        <v>357</v>
      </c>
      <c r="E205" s="52" t="s">
        <v>346</v>
      </c>
      <c r="F205" s="52">
        <f t="shared" ca="1" si="3"/>
        <v>4</v>
      </c>
      <c r="G205" s="55" t="s">
        <v>347</v>
      </c>
      <c r="H205" s="55" t="s">
        <v>358</v>
      </c>
      <c r="I205" s="57"/>
    </row>
    <row r="206" spans="1:9" ht="20.100000000000001" customHeight="1" x14ac:dyDescent="0.25">
      <c r="A206" s="50">
        <v>46182</v>
      </c>
      <c r="B206" s="52" t="s">
        <v>81</v>
      </c>
      <c r="C206" s="52">
        <v>5602</v>
      </c>
      <c r="D206" s="52" t="s">
        <v>355</v>
      </c>
      <c r="E206" s="52" t="s">
        <v>346</v>
      </c>
      <c r="F206" s="52">
        <f t="shared" ca="1" si="3"/>
        <v>4</v>
      </c>
      <c r="G206" s="55" t="s">
        <v>347</v>
      </c>
      <c r="H206" s="55" t="s">
        <v>356</v>
      </c>
      <c r="I206" s="57"/>
    </row>
    <row r="207" spans="1:9" ht="20.100000000000001" customHeight="1" x14ac:dyDescent="0.25">
      <c r="A207" s="50">
        <v>46182</v>
      </c>
      <c r="B207" s="52" t="s">
        <v>81</v>
      </c>
      <c r="C207" s="52">
        <v>5602</v>
      </c>
      <c r="D207" s="52" t="s">
        <v>345</v>
      </c>
      <c r="E207" s="52" t="s">
        <v>346</v>
      </c>
      <c r="F207" s="52">
        <f t="shared" ca="1" si="3"/>
        <v>4</v>
      </c>
      <c r="G207" s="55" t="s">
        <v>347</v>
      </c>
      <c r="H207" s="55" t="s">
        <v>348</v>
      </c>
      <c r="I207" s="57"/>
    </row>
    <row r="208" spans="1:9" ht="20.100000000000001" customHeight="1" x14ac:dyDescent="0.25">
      <c r="A208" s="50">
        <v>46182</v>
      </c>
      <c r="B208" s="52" t="s">
        <v>81</v>
      </c>
      <c r="C208" s="52">
        <v>5602</v>
      </c>
      <c r="D208" s="52" t="s">
        <v>349</v>
      </c>
      <c r="E208" s="52" t="s">
        <v>350</v>
      </c>
      <c r="F208" s="52">
        <f t="shared" ca="1" si="3"/>
        <v>4</v>
      </c>
      <c r="G208" s="55" t="s">
        <v>347</v>
      </c>
      <c r="H208" s="55" t="s">
        <v>351</v>
      </c>
      <c r="I208" s="57"/>
    </row>
    <row r="209" spans="1:9" ht="20.100000000000001" customHeight="1" x14ac:dyDescent="0.25">
      <c r="A209" s="50">
        <v>46182</v>
      </c>
      <c r="B209" s="52" t="s">
        <v>81</v>
      </c>
      <c r="C209" s="52">
        <v>5602</v>
      </c>
      <c r="D209" s="52" t="s">
        <v>357</v>
      </c>
      <c r="E209" s="52" t="s">
        <v>346</v>
      </c>
      <c r="F209" s="52">
        <f t="shared" ca="1" si="3"/>
        <v>4</v>
      </c>
      <c r="G209" s="55" t="s">
        <v>347</v>
      </c>
      <c r="H209" s="55" t="s">
        <v>358</v>
      </c>
      <c r="I209" s="57"/>
    </row>
    <row r="210" spans="1:9" ht="20.100000000000001" customHeight="1" x14ac:dyDescent="0.25">
      <c r="A210" s="50">
        <v>46182</v>
      </c>
      <c r="B210" s="52" t="s">
        <v>81</v>
      </c>
      <c r="C210" s="52">
        <v>5606</v>
      </c>
      <c r="D210" s="52" t="s">
        <v>355</v>
      </c>
      <c r="E210" s="52" t="s">
        <v>346</v>
      </c>
      <c r="F210" s="52">
        <f t="shared" ca="1" si="3"/>
        <v>4</v>
      </c>
      <c r="G210" s="55" t="s">
        <v>347</v>
      </c>
      <c r="H210" s="55" t="s">
        <v>356</v>
      </c>
      <c r="I210" s="57"/>
    </row>
    <row r="211" spans="1:9" ht="20.100000000000001" customHeight="1" x14ac:dyDescent="0.25">
      <c r="A211" s="50">
        <v>46182</v>
      </c>
      <c r="B211" s="52" t="s">
        <v>81</v>
      </c>
      <c r="C211" s="52">
        <v>5606</v>
      </c>
      <c r="D211" s="52" t="s">
        <v>345</v>
      </c>
      <c r="E211" s="52" t="s">
        <v>346</v>
      </c>
      <c r="F211" s="52">
        <f t="shared" ca="1" si="3"/>
        <v>4</v>
      </c>
      <c r="G211" s="55" t="s">
        <v>347</v>
      </c>
      <c r="H211" s="55" t="s">
        <v>348</v>
      </c>
      <c r="I211" s="57"/>
    </row>
    <row r="212" spans="1:9" ht="20.100000000000001" customHeight="1" x14ac:dyDescent="0.25">
      <c r="A212" s="50">
        <v>46182</v>
      </c>
      <c r="B212" s="52" t="s">
        <v>81</v>
      </c>
      <c r="C212" s="52">
        <v>5606</v>
      </c>
      <c r="D212" s="52" t="s">
        <v>349</v>
      </c>
      <c r="E212" s="52" t="s">
        <v>350</v>
      </c>
      <c r="F212" s="52">
        <f t="shared" ca="1" si="3"/>
        <v>4</v>
      </c>
      <c r="G212" s="55" t="s">
        <v>347</v>
      </c>
      <c r="H212" s="55" t="s">
        <v>351</v>
      </c>
      <c r="I212" s="57"/>
    </row>
    <row r="213" spans="1:9" ht="20.100000000000001" customHeight="1" x14ac:dyDescent="0.25">
      <c r="A213" s="50">
        <v>46182</v>
      </c>
      <c r="B213" s="52" t="s">
        <v>81</v>
      </c>
      <c r="C213" s="52">
        <v>5606</v>
      </c>
      <c r="D213" s="52" t="s">
        <v>357</v>
      </c>
      <c r="E213" s="52" t="s">
        <v>346</v>
      </c>
      <c r="F213" s="52">
        <f t="shared" ca="1" si="3"/>
        <v>4</v>
      </c>
      <c r="G213" s="55" t="s">
        <v>347</v>
      </c>
      <c r="H213" s="55" t="s">
        <v>358</v>
      </c>
      <c r="I213" s="57"/>
    </row>
    <row r="214" spans="1:9" ht="20.100000000000001" customHeight="1" x14ac:dyDescent="0.25">
      <c r="A214" s="50">
        <v>46182</v>
      </c>
      <c r="B214" s="52" t="s">
        <v>290</v>
      </c>
      <c r="C214" s="52">
        <v>5607</v>
      </c>
      <c r="D214" s="52" t="s">
        <v>345</v>
      </c>
      <c r="E214" s="52" t="s">
        <v>346</v>
      </c>
      <c r="F214" s="52">
        <f t="shared" ca="1" si="3"/>
        <v>4</v>
      </c>
      <c r="G214" s="55" t="s">
        <v>347</v>
      </c>
      <c r="H214" s="55" t="s">
        <v>348</v>
      </c>
      <c r="I214" s="57"/>
    </row>
    <row r="215" spans="1:9" ht="20.100000000000001" customHeight="1" x14ac:dyDescent="0.25">
      <c r="A215" s="50">
        <v>46182</v>
      </c>
      <c r="B215" s="52" t="s">
        <v>290</v>
      </c>
      <c r="C215" s="52">
        <v>5607</v>
      </c>
      <c r="D215" s="52" t="s">
        <v>349</v>
      </c>
      <c r="E215" s="52" t="s">
        <v>350</v>
      </c>
      <c r="F215" s="52">
        <f t="shared" ca="1" si="3"/>
        <v>4</v>
      </c>
      <c r="G215" s="55" t="s">
        <v>347</v>
      </c>
      <c r="H215" s="55" t="s">
        <v>351</v>
      </c>
      <c r="I215" s="57"/>
    </row>
    <row r="216" spans="1:9" ht="20.100000000000001" customHeight="1" x14ac:dyDescent="0.25">
      <c r="A216" s="50">
        <v>46182</v>
      </c>
      <c r="B216" s="52" t="s">
        <v>290</v>
      </c>
      <c r="C216" s="52">
        <v>5607</v>
      </c>
      <c r="D216" s="52" t="s">
        <v>357</v>
      </c>
      <c r="E216" s="52" t="s">
        <v>346</v>
      </c>
      <c r="F216" s="52">
        <f t="shared" ca="1" si="3"/>
        <v>4</v>
      </c>
      <c r="G216" s="55" t="s">
        <v>347</v>
      </c>
      <c r="H216" s="55" t="s">
        <v>358</v>
      </c>
      <c r="I216" s="57"/>
    </row>
    <row r="217" spans="1:9" ht="20.100000000000001" customHeight="1" x14ac:dyDescent="0.25">
      <c r="A217" s="50">
        <v>46182</v>
      </c>
      <c r="B217" s="52" t="s">
        <v>291</v>
      </c>
      <c r="C217" s="52">
        <v>5608</v>
      </c>
      <c r="D217" s="52" t="s">
        <v>345</v>
      </c>
      <c r="E217" s="52" t="s">
        <v>346</v>
      </c>
      <c r="F217" s="52">
        <f t="shared" ca="1" si="3"/>
        <v>4</v>
      </c>
      <c r="G217" s="55" t="s">
        <v>347</v>
      </c>
      <c r="H217" s="55" t="s">
        <v>348</v>
      </c>
      <c r="I217" s="57"/>
    </row>
    <row r="218" spans="1:9" ht="20.100000000000001" customHeight="1" x14ac:dyDescent="0.25">
      <c r="A218" s="50">
        <v>46182</v>
      </c>
      <c r="B218" s="52" t="s">
        <v>291</v>
      </c>
      <c r="C218" s="52">
        <v>5608</v>
      </c>
      <c r="D218" s="52" t="s">
        <v>349</v>
      </c>
      <c r="E218" s="52" t="s">
        <v>350</v>
      </c>
      <c r="F218" s="52">
        <f t="shared" ca="1" si="3"/>
        <v>4</v>
      </c>
      <c r="G218" s="55" t="s">
        <v>347</v>
      </c>
      <c r="H218" s="55" t="s">
        <v>351</v>
      </c>
      <c r="I218" s="57"/>
    </row>
    <row r="219" spans="1:9" ht="20.100000000000001" customHeight="1" x14ac:dyDescent="0.25">
      <c r="A219" s="50">
        <v>46182</v>
      </c>
      <c r="B219" s="52" t="s">
        <v>291</v>
      </c>
      <c r="C219" s="52">
        <v>5608</v>
      </c>
      <c r="D219" s="52" t="s">
        <v>357</v>
      </c>
      <c r="E219" s="52" t="s">
        <v>346</v>
      </c>
      <c r="F219" s="52">
        <f t="shared" ca="1" si="3"/>
        <v>4</v>
      </c>
      <c r="G219" s="55" t="s">
        <v>347</v>
      </c>
      <c r="H219" s="55" t="s">
        <v>358</v>
      </c>
      <c r="I219" s="57"/>
    </row>
    <row r="220" spans="1:9" ht="20.100000000000001" customHeight="1" x14ac:dyDescent="0.25">
      <c r="A220" s="50">
        <v>46182</v>
      </c>
      <c r="B220" s="52" t="s">
        <v>247</v>
      </c>
      <c r="C220" s="52">
        <v>5609</v>
      </c>
      <c r="D220" s="52" t="s">
        <v>345</v>
      </c>
      <c r="E220" s="52" t="s">
        <v>346</v>
      </c>
      <c r="F220" s="52">
        <f t="shared" ca="1" si="3"/>
        <v>4</v>
      </c>
      <c r="G220" s="55" t="s">
        <v>347</v>
      </c>
      <c r="H220" s="55" t="s">
        <v>348</v>
      </c>
      <c r="I220" s="57"/>
    </row>
    <row r="221" spans="1:9" ht="20.100000000000001" customHeight="1" x14ac:dyDescent="0.25">
      <c r="A221" s="50">
        <v>46182</v>
      </c>
      <c r="B221" s="52" t="s">
        <v>247</v>
      </c>
      <c r="C221" s="52">
        <v>5609</v>
      </c>
      <c r="D221" s="52" t="s">
        <v>349</v>
      </c>
      <c r="E221" s="52" t="s">
        <v>350</v>
      </c>
      <c r="F221" s="52">
        <f t="shared" ca="1" si="3"/>
        <v>4</v>
      </c>
      <c r="G221" s="55" t="s">
        <v>347</v>
      </c>
      <c r="H221" s="55" t="s">
        <v>351</v>
      </c>
      <c r="I221" s="57"/>
    </row>
    <row r="222" spans="1:9" ht="20.100000000000001" customHeight="1" x14ac:dyDescent="0.25">
      <c r="A222" s="50">
        <v>46182</v>
      </c>
      <c r="B222" s="52" t="s">
        <v>247</v>
      </c>
      <c r="C222" s="52">
        <v>5609</v>
      </c>
      <c r="D222" s="52" t="s">
        <v>357</v>
      </c>
      <c r="E222" s="52" t="s">
        <v>346</v>
      </c>
      <c r="F222" s="52">
        <f t="shared" ca="1" si="3"/>
        <v>4</v>
      </c>
      <c r="G222" s="55" t="s">
        <v>347</v>
      </c>
      <c r="H222" s="55" t="s">
        <v>358</v>
      </c>
      <c r="I222" s="57"/>
    </row>
    <row r="223" spans="1:9" ht="20.100000000000001" customHeight="1" x14ac:dyDescent="0.25">
      <c r="A223" s="50">
        <v>46182</v>
      </c>
      <c r="B223" s="52" t="s">
        <v>292</v>
      </c>
      <c r="C223" s="52">
        <v>5610</v>
      </c>
      <c r="D223" s="52" t="s">
        <v>345</v>
      </c>
      <c r="E223" s="52" t="s">
        <v>346</v>
      </c>
      <c r="F223" s="52">
        <f t="shared" ca="1" si="3"/>
        <v>4</v>
      </c>
      <c r="G223" s="55" t="s">
        <v>347</v>
      </c>
      <c r="H223" s="55" t="s">
        <v>348</v>
      </c>
      <c r="I223" s="57"/>
    </row>
    <row r="224" spans="1:9" ht="20.100000000000001" customHeight="1" x14ac:dyDescent="0.25">
      <c r="A224" s="50">
        <v>46182</v>
      </c>
      <c r="B224" s="52" t="s">
        <v>292</v>
      </c>
      <c r="C224" s="52">
        <v>5610</v>
      </c>
      <c r="D224" s="52" t="s">
        <v>349</v>
      </c>
      <c r="E224" s="52" t="s">
        <v>350</v>
      </c>
      <c r="F224" s="52">
        <f t="shared" ca="1" si="3"/>
        <v>4</v>
      </c>
      <c r="G224" s="55" t="s">
        <v>347</v>
      </c>
      <c r="H224" s="55" t="s">
        <v>351</v>
      </c>
      <c r="I224" s="57"/>
    </row>
    <row r="225" spans="1:9" ht="20.100000000000001" customHeight="1" x14ac:dyDescent="0.25">
      <c r="A225" s="50">
        <v>46182</v>
      </c>
      <c r="B225" s="52" t="s">
        <v>292</v>
      </c>
      <c r="C225" s="52">
        <v>5610</v>
      </c>
      <c r="D225" s="52" t="s">
        <v>357</v>
      </c>
      <c r="E225" s="52" t="s">
        <v>346</v>
      </c>
      <c r="F225" s="52">
        <f t="shared" ca="1" si="3"/>
        <v>4</v>
      </c>
      <c r="G225" s="55" t="s">
        <v>347</v>
      </c>
      <c r="H225" s="55" t="s">
        <v>358</v>
      </c>
      <c r="I225" s="57"/>
    </row>
    <row r="226" spans="1:9" ht="20.100000000000001" customHeight="1" x14ac:dyDescent="0.25">
      <c r="A226" s="50">
        <v>46182</v>
      </c>
      <c r="B226" s="52" t="s">
        <v>295</v>
      </c>
      <c r="C226" s="52">
        <v>5616</v>
      </c>
      <c r="D226" s="52" t="s">
        <v>345</v>
      </c>
      <c r="E226" s="52" t="s">
        <v>346</v>
      </c>
      <c r="F226" s="52">
        <f t="shared" ca="1" si="3"/>
        <v>4</v>
      </c>
      <c r="G226" s="55" t="s">
        <v>347</v>
      </c>
      <c r="H226" s="55" t="s">
        <v>348</v>
      </c>
      <c r="I226" s="57"/>
    </row>
    <row r="227" spans="1:9" ht="20.100000000000001" customHeight="1" x14ac:dyDescent="0.25">
      <c r="A227" s="50">
        <v>46182</v>
      </c>
      <c r="B227" s="52" t="s">
        <v>295</v>
      </c>
      <c r="C227" s="52">
        <v>5616</v>
      </c>
      <c r="D227" s="52" t="s">
        <v>349</v>
      </c>
      <c r="E227" s="52" t="s">
        <v>350</v>
      </c>
      <c r="F227" s="52">
        <f t="shared" ca="1" si="3"/>
        <v>4</v>
      </c>
      <c r="G227" s="55" t="s">
        <v>347</v>
      </c>
      <c r="H227" s="55" t="s">
        <v>351</v>
      </c>
      <c r="I227" s="57"/>
    </row>
    <row r="228" spans="1:9" ht="20.100000000000001" customHeight="1" x14ac:dyDescent="0.25">
      <c r="A228" s="50">
        <v>46182</v>
      </c>
      <c r="B228" s="52" t="s">
        <v>295</v>
      </c>
      <c r="C228" s="52">
        <v>5616</v>
      </c>
      <c r="D228" s="52" t="s">
        <v>357</v>
      </c>
      <c r="E228" s="52" t="s">
        <v>346</v>
      </c>
      <c r="F228" s="52">
        <f t="shared" ca="1" si="3"/>
        <v>4</v>
      </c>
      <c r="G228" s="55" t="s">
        <v>347</v>
      </c>
      <c r="H228" s="55" t="s">
        <v>358</v>
      </c>
      <c r="I228" s="57"/>
    </row>
    <row r="229" spans="1:9" ht="20.100000000000001" customHeight="1" x14ac:dyDescent="0.25">
      <c r="A229" s="50">
        <v>46182</v>
      </c>
      <c r="B229" s="52" t="s">
        <v>296</v>
      </c>
      <c r="C229" s="52">
        <v>5617</v>
      </c>
      <c r="D229" s="52" t="s">
        <v>345</v>
      </c>
      <c r="E229" s="52" t="s">
        <v>346</v>
      </c>
      <c r="F229" s="52">
        <f t="shared" ca="1" si="3"/>
        <v>4</v>
      </c>
      <c r="G229" s="55" t="s">
        <v>347</v>
      </c>
      <c r="H229" s="55" t="s">
        <v>348</v>
      </c>
      <c r="I229" s="57"/>
    </row>
    <row r="230" spans="1:9" ht="20.100000000000001" customHeight="1" x14ac:dyDescent="0.25">
      <c r="A230" s="50">
        <v>46182</v>
      </c>
      <c r="B230" s="52" t="s">
        <v>296</v>
      </c>
      <c r="C230" s="52">
        <v>5617</v>
      </c>
      <c r="D230" s="52" t="s">
        <v>349</v>
      </c>
      <c r="E230" s="52" t="s">
        <v>350</v>
      </c>
      <c r="F230" s="52">
        <f t="shared" ca="1" si="3"/>
        <v>4</v>
      </c>
      <c r="G230" s="55" t="s">
        <v>347</v>
      </c>
      <c r="H230" s="55" t="s">
        <v>351</v>
      </c>
      <c r="I230" s="57"/>
    </row>
    <row r="231" spans="1:9" ht="20.100000000000001" customHeight="1" x14ac:dyDescent="0.25">
      <c r="A231" s="50">
        <v>46182</v>
      </c>
      <c r="B231" s="52" t="s">
        <v>296</v>
      </c>
      <c r="C231" s="52">
        <v>5617</v>
      </c>
      <c r="D231" s="52" t="s">
        <v>357</v>
      </c>
      <c r="E231" s="52" t="s">
        <v>346</v>
      </c>
      <c r="F231" s="52">
        <f t="shared" ca="1" si="3"/>
        <v>4</v>
      </c>
      <c r="G231" s="55" t="s">
        <v>347</v>
      </c>
      <c r="H231" s="55" t="s">
        <v>358</v>
      </c>
      <c r="I231" s="57"/>
    </row>
    <row r="232" spans="1:9" ht="20.100000000000001" customHeight="1" x14ac:dyDescent="0.25">
      <c r="A232" s="50">
        <v>46182</v>
      </c>
      <c r="B232" s="52" t="s">
        <v>297</v>
      </c>
      <c r="C232" s="52">
        <v>5618</v>
      </c>
      <c r="D232" s="52" t="s">
        <v>355</v>
      </c>
      <c r="E232" s="52" t="s">
        <v>346</v>
      </c>
      <c r="F232" s="52">
        <f t="shared" ca="1" si="3"/>
        <v>4</v>
      </c>
      <c r="G232" s="55" t="s">
        <v>347</v>
      </c>
      <c r="H232" s="55" t="s">
        <v>356</v>
      </c>
      <c r="I232" s="57"/>
    </row>
    <row r="233" spans="1:9" ht="20.100000000000001" customHeight="1" x14ac:dyDescent="0.25">
      <c r="A233" s="50">
        <v>46182</v>
      </c>
      <c r="B233" s="52" t="s">
        <v>297</v>
      </c>
      <c r="C233" s="52">
        <v>5618</v>
      </c>
      <c r="D233" s="52" t="s">
        <v>345</v>
      </c>
      <c r="E233" s="52" t="s">
        <v>346</v>
      </c>
      <c r="F233" s="52">
        <f t="shared" ca="1" si="3"/>
        <v>4</v>
      </c>
      <c r="G233" s="55" t="s">
        <v>347</v>
      </c>
      <c r="H233" s="55" t="s">
        <v>348</v>
      </c>
      <c r="I233" s="57"/>
    </row>
    <row r="234" spans="1:9" ht="20.100000000000001" customHeight="1" x14ac:dyDescent="0.25">
      <c r="A234" s="50">
        <v>46182</v>
      </c>
      <c r="B234" s="52" t="s">
        <v>297</v>
      </c>
      <c r="C234" s="52">
        <v>5618</v>
      </c>
      <c r="D234" s="52" t="s">
        <v>349</v>
      </c>
      <c r="E234" s="52" t="s">
        <v>350</v>
      </c>
      <c r="F234" s="52">
        <f t="shared" ca="1" si="3"/>
        <v>4</v>
      </c>
      <c r="G234" s="55" t="s">
        <v>347</v>
      </c>
      <c r="H234" s="55" t="s">
        <v>351</v>
      </c>
      <c r="I234" s="57"/>
    </row>
    <row r="235" spans="1:9" ht="20.100000000000001" customHeight="1" x14ac:dyDescent="0.25">
      <c r="A235" s="50">
        <v>46182</v>
      </c>
      <c r="B235" s="52" t="s">
        <v>297</v>
      </c>
      <c r="C235" s="52">
        <v>5618</v>
      </c>
      <c r="D235" s="52" t="s">
        <v>357</v>
      </c>
      <c r="E235" s="52" t="s">
        <v>346</v>
      </c>
      <c r="F235" s="52">
        <f t="shared" ca="1" si="3"/>
        <v>4</v>
      </c>
      <c r="G235" s="55" t="s">
        <v>347</v>
      </c>
      <c r="H235" s="55" t="s">
        <v>358</v>
      </c>
      <c r="I235" s="57"/>
    </row>
    <row r="236" spans="1:9" ht="20.100000000000001" customHeight="1" x14ac:dyDescent="0.25">
      <c r="A236" s="50">
        <v>46182</v>
      </c>
      <c r="B236" s="52" t="s">
        <v>81</v>
      </c>
      <c r="C236" s="52">
        <v>5619</v>
      </c>
      <c r="D236" s="52" t="s">
        <v>345</v>
      </c>
      <c r="E236" s="52" t="s">
        <v>346</v>
      </c>
      <c r="F236" s="52">
        <f t="shared" ca="1" si="3"/>
        <v>4</v>
      </c>
      <c r="G236" s="55" t="s">
        <v>347</v>
      </c>
      <c r="H236" s="55" t="s">
        <v>348</v>
      </c>
      <c r="I236" s="57"/>
    </row>
    <row r="237" spans="1:9" ht="20.100000000000001" customHeight="1" x14ac:dyDescent="0.25">
      <c r="A237" s="50">
        <v>46182</v>
      </c>
      <c r="B237" s="52" t="s">
        <v>81</v>
      </c>
      <c r="C237" s="52">
        <v>5619</v>
      </c>
      <c r="D237" s="52" t="s">
        <v>349</v>
      </c>
      <c r="E237" s="52" t="s">
        <v>350</v>
      </c>
      <c r="F237" s="52">
        <f t="shared" ca="1" si="3"/>
        <v>4</v>
      </c>
      <c r="G237" s="55" t="s">
        <v>347</v>
      </c>
      <c r="H237" s="55" t="s">
        <v>351</v>
      </c>
      <c r="I237" s="57"/>
    </row>
    <row r="238" spans="1:9" ht="20.100000000000001" customHeight="1" x14ac:dyDescent="0.25">
      <c r="A238" s="50">
        <v>46182</v>
      </c>
      <c r="B238" s="52" t="s">
        <v>81</v>
      </c>
      <c r="C238" s="52">
        <v>5619</v>
      </c>
      <c r="D238" s="52" t="s">
        <v>357</v>
      </c>
      <c r="E238" s="52" t="s">
        <v>346</v>
      </c>
      <c r="F238" s="52">
        <f t="shared" ca="1" si="3"/>
        <v>4</v>
      </c>
      <c r="G238" s="55" t="s">
        <v>347</v>
      </c>
      <c r="H238" s="55" t="s">
        <v>358</v>
      </c>
      <c r="I238" s="57"/>
    </row>
    <row r="239" spans="1:9" ht="20.100000000000001" customHeight="1" x14ac:dyDescent="0.25">
      <c r="A239" s="50">
        <v>46182</v>
      </c>
      <c r="B239" s="52" t="s">
        <v>301</v>
      </c>
      <c r="C239" s="52">
        <v>5622</v>
      </c>
      <c r="D239" s="52" t="s">
        <v>345</v>
      </c>
      <c r="E239" s="52" t="s">
        <v>346</v>
      </c>
      <c r="F239" s="52">
        <f t="shared" ca="1" si="3"/>
        <v>4</v>
      </c>
      <c r="G239" s="55" t="s">
        <v>347</v>
      </c>
      <c r="H239" s="55" t="s">
        <v>348</v>
      </c>
      <c r="I239" s="57"/>
    </row>
    <row r="240" spans="1:9" ht="20.100000000000001" customHeight="1" x14ac:dyDescent="0.25">
      <c r="A240" s="50">
        <v>46182</v>
      </c>
      <c r="B240" s="52" t="s">
        <v>301</v>
      </c>
      <c r="C240" s="52">
        <v>5622</v>
      </c>
      <c r="D240" s="52" t="s">
        <v>349</v>
      </c>
      <c r="E240" s="52" t="s">
        <v>350</v>
      </c>
      <c r="F240" s="52">
        <f t="shared" ca="1" si="3"/>
        <v>4</v>
      </c>
      <c r="G240" s="55" t="s">
        <v>347</v>
      </c>
      <c r="H240" s="55" t="s">
        <v>351</v>
      </c>
      <c r="I240" s="57"/>
    </row>
    <row r="241" spans="1:9" ht="20.100000000000001" customHeight="1" x14ac:dyDescent="0.25">
      <c r="A241" s="50">
        <v>46182</v>
      </c>
      <c r="B241" s="52" t="s">
        <v>301</v>
      </c>
      <c r="C241" s="52">
        <v>5622</v>
      </c>
      <c r="D241" s="52" t="s">
        <v>357</v>
      </c>
      <c r="E241" s="52" t="s">
        <v>346</v>
      </c>
      <c r="F241" s="52">
        <f t="shared" ca="1" si="3"/>
        <v>4</v>
      </c>
      <c r="G241" s="55" t="s">
        <v>347</v>
      </c>
      <c r="H241" s="55" t="s">
        <v>358</v>
      </c>
      <c r="I241" s="57"/>
    </row>
    <row r="242" spans="1:9" ht="20.100000000000001" customHeight="1" x14ac:dyDescent="0.25">
      <c r="A242" s="50">
        <v>46182</v>
      </c>
      <c r="B242" s="52" t="s">
        <v>302</v>
      </c>
      <c r="C242" s="52">
        <v>5623</v>
      </c>
      <c r="D242" s="52" t="s">
        <v>345</v>
      </c>
      <c r="E242" s="52" t="s">
        <v>346</v>
      </c>
      <c r="F242" s="52">
        <f t="shared" ca="1" si="3"/>
        <v>4</v>
      </c>
      <c r="G242" s="55" t="s">
        <v>347</v>
      </c>
      <c r="H242" s="55" t="s">
        <v>348</v>
      </c>
      <c r="I242" s="57"/>
    </row>
    <row r="243" spans="1:9" ht="20.100000000000001" customHeight="1" x14ac:dyDescent="0.25">
      <c r="A243" s="50">
        <v>46182</v>
      </c>
      <c r="B243" s="52" t="s">
        <v>302</v>
      </c>
      <c r="C243" s="52">
        <v>5623</v>
      </c>
      <c r="D243" s="52" t="s">
        <v>349</v>
      </c>
      <c r="E243" s="52" t="s">
        <v>350</v>
      </c>
      <c r="F243" s="52">
        <f t="shared" ca="1" si="3"/>
        <v>4</v>
      </c>
      <c r="G243" s="55" t="s">
        <v>347</v>
      </c>
      <c r="H243" s="55" t="s">
        <v>351</v>
      </c>
      <c r="I243" s="57"/>
    </row>
    <row r="244" spans="1:9" ht="20.100000000000001" customHeight="1" x14ac:dyDescent="0.25">
      <c r="A244" s="50">
        <v>46182</v>
      </c>
      <c r="B244" s="52" t="s">
        <v>302</v>
      </c>
      <c r="C244" s="52">
        <v>5623</v>
      </c>
      <c r="D244" s="52" t="s">
        <v>357</v>
      </c>
      <c r="E244" s="52" t="s">
        <v>346</v>
      </c>
      <c r="F244" s="52">
        <f t="shared" ca="1" si="3"/>
        <v>4</v>
      </c>
      <c r="G244" s="55" t="s">
        <v>347</v>
      </c>
      <c r="H244" s="55" t="s">
        <v>358</v>
      </c>
      <c r="I244" s="57"/>
    </row>
    <row r="245" spans="1:9" ht="20.100000000000001" customHeight="1" x14ac:dyDescent="0.25">
      <c r="A245" s="50">
        <v>46182</v>
      </c>
      <c r="B245" s="52" t="s">
        <v>304</v>
      </c>
      <c r="C245" s="52">
        <v>5624</v>
      </c>
      <c r="D245" s="52" t="s">
        <v>345</v>
      </c>
      <c r="E245" s="52" t="s">
        <v>346</v>
      </c>
      <c r="F245" s="52">
        <f t="shared" ca="1" si="3"/>
        <v>4</v>
      </c>
      <c r="G245" s="55" t="s">
        <v>347</v>
      </c>
      <c r="H245" s="55" t="s">
        <v>348</v>
      </c>
      <c r="I245" s="57"/>
    </row>
    <row r="246" spans="1:9" ht="20.100000000000001" customHeight="1" x14ac:dyDescent="0.25">
      <c r="A246" s="50">
        <v>46182</v>
      </c>
      <c r="B246" s="52" t="s">
        <v>304</v>
      </c>
      <c r="C246" s="52">
        <v>5624</v>
      </c>
      <c r="D246" s="52" t="s">
        <v>359</v>
      </c>
      <c r="E246" s="52" t="s">
        <v>353</v>
      </c>
      <c r="F246" s="52">
        <f t="shared" ca="1" si="3"/>
        <v>4</v>
      </c>
      <c r="G246" s="55" t="s">
        <v>347</v>
      </c>
      <c r="H246" s="55" t="s">
        <v>360</v>
      </c>
      <c r="I246" s="57"/>
    </row>
    <row r="247" spans="1:9" ht="20.100000000000001" customHeight="1" x14ac:dyDescent="0.25">
      <c r="A247" s="50">
        <v>46182</v>
      </c>
      <c r="B247" s="52" t="s">
        <v>278</v>
      </c>
      <c r="C247" s="52">
        <v>5627</v>
      </c>
      <c r="D247" s="52" t="s">
        <v>345</v>
      </c>
      <c r="E247" s="52" t="s">
        <v>346</v>
      </c>
      <c r="F247" s="52">
        <f t="shared" ca="1" si="3"/>
        <v>4</v>
      </c>
      <c r="G247" s="55" t="s">
        <v>347</v>
      </c>
      <c r="H247" s="55" t="s">
        <v>348</v>
      </c>
      <c r="I247" s="57"/>
    </row>
    <row r="248" spans="1:9" ht="20.100000000000001" customHeight="1" x14ac:dyDescent="0.25">
      <c r="A248" s="50">
        <v>46182</v>
      </c>
      <c r="B248" s="52" t="s">
        <v>278</v>
      </c>
      <c r="C248" s="52">
        <v>5627</v>
      </c>
      <c r="D248" s="52" t="s">
        <v>349</v>
      </c>
      <c r="E248" s="52" t="s">
        <v>350</v>
      </c>
      <c r="F248" s="52">
        <f t="shared" ca="1" si="3"/>
        <v>4</v>
      </c>
      <c r="G248" s="55" t="s">
        <v>347</v>
      </c>
      <c r="H248" s="55" t="s">
        <v>351</v>
      </c>
      <c r="I248" s="57"/>
    </row>
    <row r="249" spans="1:9" ht="20.100000000000001" customHeight="1" x14ac:dyDescent="0.25">
      <c r="A249" s="50">
        <v>46182</v>
      </c>
      <c r="B249" s="52" t="s">
        <v>278</v>
      </c>
      <c r="C249" s="52">
        <v>5627</v>
      </c>
      <c r="D249" s="52" t="s">
        <v>359</v>
      </c>
      <c r="E249" s="52" t="s">
        <v>346</v>
      </c>
      <c r="F249" s="52">
        <f t="shared" ca="1" si="3"/>
        <v>4</v>
      </c>
      <c r="G249" s="55" t="s">
        <v>347</v>
      </c>
      <c r="H249" s="55" t="s">
        <v>360</v>
      </c>
      <c r="I249" s="57"/>
    </row>
    <row r="250" spans="1:9" ht="20.100000000000001" customHeight="1" x14ac:dyDescent="0.25">
      <c r="A250" s="50">
        <v>46182</v>
      </c>
      <c r="B250" s="52" t="s">
        <v>306</v>
      </c>
      <c r="C250" s="52">
        <v>5629</v>
      </c>
      <c r="D250" s="52" t="s">
        <v>345</v>
      </c>
      <c r="E250" s="52" t="s">
        <v>346</v>
      </c>
      <c r="F250" s="52">
        <f t="shared" ca="1" si="3"/>
        <v>4</v>
      </c>
      <c r="G250" s="55" t="s">
        <v>347</v>
      </c>
      <c r="H250" s="55" t="s">
        <v>348</v>
      </c>
      <c r="I250" s="57"/>
    </row>
    <row r="251" spans="1:9" ht="20.100000000000001" customHeight="1" x14ac:dyDescent="0.25">
      <c r="A251" s="50">
        <v>46182</v>
      </c>
      <c r="B251" s="52" t="s">
        <v>306</v>
      </c>
      <c r="C251" s="52">
        <v>5629</v>
      </c>
      <c r="D251" s="52" t="s">
        <v>349</v>
      </c>
      <c r="E251" s="52" t="s">
        <v>350</v>
      </c>
      <c r="F251" s="52">
        <f t="shared" ca="1" si="3"/>
        <v>4</v>
      </c>
      <c r="G251" s="55" t="s">
        <v>347</v>
      </c>
      <c r="H251" s="55" t="s">
        <v>351</v>
      </c>
      <c r="I251" s="57"/>
    </row>
    <row r="252" spans="1:9" ht="20.100000000000001" customHeight="1" x14ac:dyDescent="0.25">
      <c r="A252" s="50">
        <v>46182</v>
      </c>
      <c r="B252" s="52" t="s">
        <v>306</v>
      </c>
      <c r="C252" s="52">
        <v>5629</v>
      </c>
      <c r="D252" s="52" t="s">
        <v>359</v>
      </c>
      <c r="E252" s="52" t="s">
        <v>346</v>
      </c>
      <c r="F252" s="52">
        <f t="shared" ca="1" si="3"/>
        <v>4</v>
      </c>
      <c r="G252" s="55" t="s">
        <v>347</v>
      </c>
      <c r="H252" s="55" t="s">
        <v>360</v>
      </c>
      <c r="I252" s="57"/>
    </row>
    <row r="253" spans="1:9" ht="20.100000000000001" customHeight="1" x14ac:dyDescent="0.25">
      <c r="A253" s="50">
        <v>46182</v>
      </c>
      <c r="B253" s="52" t="s">
        <v>308</v>
      </c>
      <c r="C253" s="52">
        <v>5635</v>
      </c>
      <c r="D253" s="52" t="s">
        <v>345</v>
      </c>
      <c r="E253" s="52" t="s">
        <v>346</v>
      </c>
      <c r="F253" s="52">
        <f t="shared" ca="1" si="3"/>
        <v>4</v>
      </c>
      <c r="G253" s="55" t="s">
        <v>347</v>
      </c>
      <c r="H253" s="55" t="s">
        <v>348</v>
      </c>
      <c r="I253" s="57"/>
    </row>
    <row r="254" spans="1:9" ht="20.100000000000001" customHeight="1" x14ac:dyDescent="0.25">
      <c r="A254" s="50">
        <v>46182</v>
      </c>
      <c r="B254" s="52" t="s">
        <v>308</v>
      </c>
      <c r="C254" s="52">
        <v>5635</v>
      </c>
      <c r="D254" s="52" t="s">
        <v>349</v>
      </c>
      <c r="E254" s="52" t="s">
        <v>350</v>
      </c>
      <c r="F254" s="52">
        <f t="shared" ca="1" si="3"/>
        <v>4</v>
      </c>
      <c r="G254" s="55" t="s">
        <v>347</v>
      </c>
      <c r="H254" s="55" t="s">
        <v>351</v>
      </c>
      <c r="I254" s="57"/>
    </row>
    <row r="255" spans="1:9" ht="20.100000000000001" customHeight="1" x14ac:dyDescent="0.25">
      <c r="A255" s="50">
        <v>46182</v>
      </c>
      <c r="B255" s="52" t="s">
        <v>308</v>
      </c>
      <c r="C255" s="52">
        <v>5635</v>
      </c>
      <c r="D255" s="52" t="s">
        <v>359</v>
      </c>
      <c r="E255" s="52" t="s">
        <v>346</v>
      </c>
      <c r="F255" s="52">
        <f t="shared" ca="1" si="3"/>
        <v>4</v>
      </c>
      <c r="G255" s="55" t="s">
        <v>347</v>
      </c>
      <c r="H255" s="55" t="s">
        <v>360</v>
      </c>
      <c r="I255" s="57"/>
    </row>
    <row r="256" spans="1:9" ht="20.100000000000001" customHeight="1" x14ac:dyDescent="0.25">
      <c r="A256" s="50">
        <v>46182</v>
      </c>
      <c r="B256" s="52" t="s">
        <v>309</v>
      </c>
      <c r="C256" s="52">
        <v>5636</v>
      </c>
      <c r="D256" s="52" t="s">
        <v>345</v>
      </c>
      <c r="E256" s="52" t="s">
        <v>346</v>
      </c>
      <c r="F256" s="52">
        <f t="shared" ca="1" si="3"/>
        <v>4</v>
      </c>
      <c r="G256" s="55" t="s">
        <v>347</v>
      </c>
      <c r="H256" s="55" t="s">
        <v>348</v>
      </c>
      <c r="I256" s="57"/>
    </row>
    <row r="257" spans="1:9" ht="20.100000000000001" customHeight="1" x14ac:dyDescent="0.25">
      <c r="A257" s="50">
        <v>46182</v>
      </c>
      <c r="B257" s="52" t="s">
        <v>309</v>
      </c>
      <c r="C257" s="52">
        <v>5636</v>
      </c>
      <c r="D257" s="52" t="s">
        <v>349</v>
      </c>
      <c r="E257" s="52" t="s">
        <v>350</v>
      </c>
      <c r="F257" s="52">
        <f t="shared" ca="1" si="3"/>
        <v>4</v>
      </c>
      <c r="G257" s="55" t="s">
        <v>347</v>
      </c>
      <c r="H257" s="55" t="s">
        <v>351</v>
      </c>
      <c r="I257" s="57"/>
    </row>
    <row r="258" spans="1:9" ht="20.100000000000001" customHeight="1" x14ac:dyDescent="0.25">
      <c r="A258" s="50">
        <v>46182</v>
      </c>
      <c r="B258" s="52" t="s">
        <v>309</v>
      </c>
      <c r="C258" s="52">
        <v>5636</v>
      </c>
      <c r="D258" s="52" t="s">
        <v>359</v>
      </c>
      <c r="E258" s="52" t="s">
        <v>346</v>
      </c>
      <c r="F258" s="52">
        <f t="shared" ca="1" si="3"/>
        <v>4</v>
      </c>
      <c r="G258" s="55" t="s">
        <v>347</v>
      </c>
      <c r="H258" s="55" t="s">
        <v>360</v>
      </c>
      <c r="I258" s="57"/>
    </row>
    <row r="259" spans="1:9" ht="20.100000000000001" customHeight="1" x14ac:dyDescent="0.25">
      <c r="A259" s="50">
        <v>46182</v>
      </c>
      <c r="B259" s="52" t="s">
        <v>81</v>
      </c>
      <c r="C259" s="52">
        <v>5641</v>
      </c>
      <c r="D259" s="52" t="s">
        <v>345</v>
      </c>
      <c r="E259" s="52" t="s">
        <v>346</v>
      </c>
      <c r="F259" s="52">
        <f t="shared" ca="1" si="3"/>
        <v>4</v>
      </c>
      <c r="G259" s="55" t="s">
        <v>347</v>
      </c>
      <c r="H259" s="55" t="s">
        <v>348</v>
      </c>
      <c r="I259" s="57"/>
    </row>
    <row r="260" spans="1:9" ht="20.100000000000001" customHeight="1" x14ac:dyDescent="0.25">
      <c r="A260" s="50">
        <v>46182</v>
      </c>
      <c r="B260" s="52" t="s">
        <v>81</v>
      </c>
      <c r="C260" s="52">
        <v>5641</v>
      </c>
      <c r="D260" s="52" t="s">
        <v>349</v>
      </c>
      <c r="E260" s="52" t="s">
        <v>350</v>
      </c>
      <c r="F260" s="52">
        <f t="shared" ca="1" si="3"/>
        <v>4</v>
      </c>
      <c r="G260" s="55" t="s">
        <v>347</v>
      </c>
      <c r="H260" s="55" t="s">
        <v>351</v>
      </c>
      <c r="I260" s="57"/>
    </row>
    <row r="261" spans="1:9" ht="20.100000000000001" customHeight="1" x14ac:dyDescent="0.25">
      <c r="A261" s="50">
        <v>46182</v>
      </c>
      <c r="B261" s="52" t="s">
        <v>81</v>
      </c>
      <c r="C261" s="52">
        <v>5641</v>
      </c>
      <c r="D261" s="52" t="s">
        <v>359</v>
      </c>
      <c r="E261" s="52" t="s">
        <v>346</v>
      </c>
      <c r="F261" s="52">
        <f t="shared" ref="F261:F304" ca="1" si="4">IF(A261="","",MAX(0,TODAY()-A261))</f>
        <v>4</v>
      </c>
      <c r="G261" s="55" t="s">
        <v>347</v>
      </c>
      <c r="H261" s="55" t="s">
        <v>360</v>
      </c>
      <c r="I261" s="57"/>
    </row>
    <row r="262" spans="1:9" ht="20.100000000000001" customHeight="1" x14ac:dyDescent="0.25">
      <c r="A262" s="50">
        <v>46182</v>
      </c>
      <c r="B262" s="52" t="s">
        <v>315</v>
      </c>
      <c r="C262" s="52">
        <v>5642</v>
      </c>
      <c r="D262" s="52" t="s">
        <v>345</v>
      </c>
      <c r="E262" s="52" t="s">
        <v>346</v>
      </c>
      <c r="F262" s="52">
        <f t="shared" ca="1" si="4"/>
        <v>4</v>
      </c>
      <c r="G262" s="55" t="s">
        <v>347</v>
      </c>
      <c r="H262" s="55" t="s">
        <v>348</v>
      </c>
      <c r="I262" s="57"/>
    </row>
    <row r="263" spans="1:9" ht="20.100000000000001" customHeight="1" x14ac:dyDescent="0.25">
      <c r="A263" s="50">
        <v>46182</v>
      </c>
      <c r="B263" s="52" t="s">
        <v>315</v>
      </c>
      <c r="C263" s="52">
        <v>5642</v>
      </c>
      <c r="D263" s="52" t="s">
        <v>349</v>
      </c>
      <c r="E263" s="52" t="s">
        <v>350</v>
      </c>
      <c r="F263" s="52">
        <f t="shared" ca="1" si="4"/>
        <v>4</v>
      </c>
      <c r="G263" s="55" t="s">
        <v>347</v>
      </c>
      <c r="H263" s="55" t="s">
        <v>351</v>
      </c>
      <c r="I263" s="57"/>
    </row>
    <row r="264" spans="1:9" ht="20.100000000000001" customHeight="1" x14ac:dyDescent="0.25">
      <c r="A264" s="50">
        <v>46182</v>
      </c>
      <c r="B264" s="52" t="s">
        <v>315</v>
      </c>
      <c r="C264" s="52">
        <v>5642</v>
      </c>
      <c r="D264" s="52" t="s">
        <v>359</v>
      </c>
      <c r="E264" s="52" t="s">
        <v>346</v>
      </c>
      <c r="F264" s="52">
        <f t="shared" ca="1" si="4"/>
        <v>4</v>
      </c>
      <c r="G264" s="55" t="s">
        <v>347</v>
      </c>
      <c r="H264" s="55" t="s">
        <v>360</v>
      </c>
      <c r="I264" s="57"/>
    </row>
    <row r="265" spans="1:9" ht="20.100000000000001" customHeight="1" x14ac:dyDescent="0.25">
      <c r="A265" s="50">
        <v>46182</v>
      </c>
      <c r="B265" s="52" t="s">
        <v>316</v>
      </c>
      <c r="C265" s="52">
        <v>5643</v>
      </c>
      <c r="D265" s="52" t="s">
        <v>345</v>
      </c>
      <c r="E265" s="52" t="s">
        <v>346</v>
      </c>
      <c r="F265" s="52">
        <f t="shared" ca="1" si="4"/>
        <v>4</v>
      </c>
      <c r="G265" s="55" t="s">
        <v>347</v>
      </c>
      <c r="H265" s="55" t="s">
        <v>348</v>
      </c>
      <c r="I265" s="57"/>
    </row>
    <row r="266" spans="1:9" ht="20.100000000000001" customHeight="1" x14ac:dyDescent="0.25">
      <c r="A266" s="50">
        <v>46182</v>
      </c>
      <c r="B266" s="52" t="s">
        <v>316</v>
      </c>
      <c r="C266" s="52">
        <v>5643</v>
      </c>
      <c r="D266" s="52" t="s">
        <v>349</v>
      </c>
      <c r="E266" s="52" t="s">
        <v>350</v>
      </c>
      <c r="F266" s="52">
        <f t="shared" ca="1" si="4"/>
        <v>4</v>
      </c>
      <c r="G266" s="55" t="s">
        <v>347</v>
      </c>
      <c r="H266" s="55" t="s">
        <v>351</v>
      </c>
      <c r="I266" s="57"/>
    </row>
    <row r="267" spans="1:9" ht="20.100000000000001" customHeight="1" x14ac:dyDescent="0.25">
      <c r="A267" s="50">
        <v>46182</v>
      </c>
      <c r="B267" s="52" t="s">
        <v>316</v>
      </c>
      <c r="C267" s="52">
        <v>5643</v>
      </c>
      <c r="D267" s="52" t="s">
        <v>359</v>
      </c>
      <c r="E267" s="52" t="s">
        <v>346</v>
      </c>
      <c r="F267" s="52">
        <f t="shared" ca="1" si="4"/>
        <v>4</v>
      </c>
      <c r="G267" s="55" t="s">
        <v>347</v>
      </c>
      <c r="H267" s="55" t="s">
        <v>360</v>
      </c>
      <c r="I267" s="57"/>
    </row>
    <row r="268" spans="1:9" ht="20.100000000000001" customHeight="1" x14ac:dyDescent="0.25">
      <c r="A268" s="50">
        <v>46182</v>
      </c>
      <c r="B268" s="52" t="s">
        <v>318</v>
      </c>
      <c r="C268" s="52">
        <v>5645</v>
      </c>
      <c r="D268" s="52" t="s">
        <v>345</v>
      </c>
      <c r="E268" s="52" t="s">
        <v>346</v>
      </c>
      <c r="F268" s="52">
        <f t="shared" ca="1" si="4"/>
        <v>4</v>
      </c>
      <c r="G268" s="55" t="s">
        <v>347</v>
      </c>
      <c r="H268" s="55" t="s">
        <v>348</v>
      </c>
      <c r="I268" s="57"/>
    </row>
    <row r="269" spans="1:9" ht="20.100000000000001" customHeight="1" x14ac:dyDescent="0.25">
      <c r="A269" s="50">
        <v>46182</v>
      </c>
      <c r="B269" s="52" t="s">
        <v>318</v>
      </c>
      <c r="C269" s="52">
        <v>5645</v>
      </c>
      <c r="D269" s="52" t="s">
        <v>349</v>
      </c>
      <c r="E269" s="52" t="s">
        <v>350</v>
      </c>
      <c r="F269" s="52">
        <f t="shared" ca="1" si="4"/>
        <v>4</v>
      </c>
      <c r="G269" s="55" t="s">
        <v>347</v>
      </c>
      <c r="H269" s="55" t="s">
        <v>351</v>
      </c>
      <c r="I269" s="57"/>
    </row>
    <row r="270" spans="1:9" ht="20.100000000000001" customHeight="1" x14ac:dyDescent="0.25">
      <c r="A270" s="50">
        <v>46182</v>
      </c>
      <c r="B270" s="52" t="s">
        <v>318</v>
      </c>
      <c r="C270" s="52">
        <v>5645</v>
      </c>
      <c r="D270" s="52" t="s">
        <v>359</v>
      </c>
      <c r="E270" s="52" t="s">
        <v>346</v>
      </c>
      <c r="F270" s="52">
        <f t="shared" ca="1" si="4"/>
        <v>4</v>
      </c>
      <c r="G270" s="55" t="s">
        <v>347</v>
      </c>
      <c r="H270" s="55" t="s">
        <v>360</v>
      </c>
      <c r="I270" s="57"/>
    </row>
    <row r="271" spans="1:9" ht="20.100000000000001" customHeight="1" x14ac:dyDescent="0.25">
      <c r="A271" s="50">
        <v>46182</v>
      </c>
      <c r="B271" s="52" t="s">
        <v>319</v>
      </c>
      <c r="C271" s="52">
        <v>5646</v>
      </c>
      <c r="D271" s="52" t="s">
        <v>345</v>
      </c>
      <c r="E271" s="52" t="s">
        <v>346</v>
      </c>
      <c r="F271" s="52">
        <f t="shared" ca="1" si="4"/>
        <v>4</v>
      </c>
      <c r="G271" s="55" t="s">
        <v>347</v>
      </c>
      <c r="H271" s="55" t="s">
        <v>348</v>
      </c>
      <c r="I271" s="57"/>
    </row>
    <row r="272" spans="1:9" ht="20.100000000000001" customHeight="1" x14ac:dyDescent="0.25">
      <c r="A272" s="50">
        <v>46182</v>
      </c>
      <c r="B272" s="52" t="s">
        <v>319</v>
      </c>
      <c r="C272" s="52">
        <v>5646</v>
      </c>
      <c r="D272" s="52" t="s">
        <v>349</v>
      </c>
      <c r="E272" s="52" t="s">
        <v>350</v>
      </c>
      <c r="F272" s="52">
        <f t="shared" ca="1" si="4"/>
        <v>4</v>
      </c>
      <c r="G272" s="55" t="s">
        <v>347</v>
      </c>
      <c r="H272" s="55" t="s">
        <v>351</v>
      </c>
      <c r="I272" s="57"/>
    </row>
    <row r="273" spans="1:9" ht="20.100000000000001" customHeight="1" x14ac:dyDescent="0.25">
      <c r="A273" s="50">
        <v>46182</v>
      </c>
      <c r="B273" s="52" t="s">
        <v>319</v>
      </c>
      <c r="C273" s="52">
        <v>5646</v>
      </c>
      <c r="D273" s="52" t="s">
        <v>359</v>
      </c>
      <c r="E273" s="52" t="s">
        <v>353</v>
      </c>
      <c r="F273" s="52">
        <f t="shared" ca="1" si="4"/>
        <v>4</v>
      </c>
      <c r="G273" s="55" t="s">
        <v>347</v>
      </c>
      <c r="H273" s="55" t="s">
        <v>360</v>
      </c>
      <c r="I273" s="57"/>
    </row>
    <row r="274" spans="1:9" ht="20.100000000000001" customHeight="1" x14ac:dyDescent="0.25">
      <c r="A274" s="50">
        <v>46182</v>
      </c>
      <c r="B274" s="52" t="s">
        <v>323</v>
      </c>
      <c r="C274" s="52">
        <v>5650</v>
      </c>
      <c r="D274" s="52" t="s">
        <v>345</v>
      </c>
      <c r="E274" s="52" t="s">
        <v>346</v>
      </c>
      <c r="F274" s="52">
        <f t="shared" ca="1" si="4"/>
        <v>4</v>
      </c>
      <c r="G274" s="55" t="s">
        <v>347</v>
      </c>
      <c r="H274" s="55" t="s">
        <v>348</v>
      </c>
      <c r="I274" s="57"/>
    </row>
    <row r="275" spans="1:9" ht="20.100000000000001" customHeight="1" x14ac:dyDescent="0.25">
      <c r="A275" s="50">
        <v>46182</v>
      </c>
      <c r="B275" s="52" t="s">
        <v>323</v>
      </c>
      <c r="C275" s="52">
        <v>5650</v>
      </c>
      <c r="D275" s="52" t="s">
        <v>349</v>
      </c>
      <c r="E275" s="52" t="s">
        <v>350</v>
      </c>
      <c r="F275" s="52">
        <f t="shared" ca="1" si="4"/>
        <v>4</v>
      </c>
      <c r="G275" s="55" t="s">
        <v>347</v>
      </c>
      <c r="H275" s="55" t="s">
        <v>351</v>
      </c>
      <c r="I275" s="57"/>
    </row>
    <row r="276" spans="1:9" ht="20.100000000000001" customHeight="1" x14ac:dyDescent="0.25">
      <c r="A276" s="50">
        <v>46182</v>
      </c>
      <c r="B276" s="52" t="s">
        <v>323</v>
      </c>
      <c r="C276" s="52">
        <v>5650</v>
      </c>
      <c r="D276" s="52" t="s">
        <v>359</v>
      </c>
      <c r="E276" s="52" t="s">
        <v>346</v>
      </c>
      <c r="F276" s="52">
        <f t="shared" ca="1" si="4"/>
        <v>4</v>
      </c>
      <c r="G276" s="55" t="s">
        <v>347</v>
      </c>
      <c r="H276" s="55" t="s">
        <v>360</v>
      </c>
      <c r="I276" s="57"/>
    </row>
    <row r="277" spans="1:9" ht="20.100000000000001" customHeight="1" x14ac:dyDescent="0.25">
      <c r="A277" s="50">
        <v>46182</v>
      </c>
      <c r="B277" s="52" t="s">
        <v>329</v>
      </c>
      <c r="C277" s="52">
        <v>5655</v>
      </c>
      <c r="D277" s="52" t="s">
        <v>345</v>
      </c>
      <c r="E277" s="52" t="s">
        <v>346</v>
      </c>
      <c r="F277" s="52">
        <f t="shared" ca="1" si="4"/>
        <v>4</v>
      </c>
      <c r="G277" s="55" t="s">
        <v>347</v>
      </c>
      <c r="H277" s="55" t="s">
        <v>348</v>
      </c>
      <c r="I277" s="57"/>
    </row>
    <row r="278" spans="1:9" ht="20.100000000000001" customHeight="1" x14ac:dyDescent="0.25">
      <c r="A278" s="50">
        <v>46182</v>
      </c>
      <c r="B278" s="52" t="s">
        <v>329</v>
      </c>
      <c r="C278" s="52">
        <v>5655</v>
      </c>
      <c r="D278" s="52" t="s">
        <v>349</v>
      </c>
      <c r="E278" s="52" t="s">
        <v>350</v>
      </c>
      <c r="F278" s="52">
        <f t="shared" ca="1" si="4"/>
        <v>4</v>
      </c>
      <c r="G278" s="55" t="s">
        <v>347</v>
      </c>
      <c r="H278" s="55" t="s">
        <v>351</v>
      </c>
      <c r="I278" s="57"/>
    </row>
    <row r="279" spans="1:9" ht="20.100000000000001" customHeight="1" x14ac:dyDescent="0.25">
      <c r="A279" s="50">
        <v>46182</v>
      </c>
      <c r="B279" s="52" t="s">
        <v>81</v>
      </c>
      <c r="C279" s="52">
        <v>5659</v>
      </c>
      <c r="D279" s="52" t="s">
        <v>355</v>
      </c>
      <c r="E279" s="52" t="s">
        <v>346</v>
      </c>
      <c r="F279" s="52">
        <f t="shared" ca="1" si="4"/>
        <v>4</v>
      </c>
      <c r="G279" s="55" t="s">
        <v>347</v>
      </c>
      <c r="H279" s="55" t="s">
        <v>356</v>
      </c>
      <c r="I279" s="57"/>
    </row>
    <row r="280" spans="1:9" ht="20.100000000000001" customHeight="1" x14ac:dyDescent="0.25">
      <c r="A280" s="50">
        <v>46182</v>
      </c>
      <c r="B280" s="52" t="s">
        <v>81</v>
      </c>
      <c r="C280" s="52">
        <v>5659</v>
      </c>
      <c r="D280" s="52" t="s">
        <v>345</v>
      </c>
      <c r="E280" s="52" t="s">
        <v>346</v>
      </c>
      <c r="F280" s="52">
        <f t="shared" ca="1" si="4"/>
        <v>4</v>
      </c>
      <c r="G280" s="55" t="s">
        <v>347</v>
      </c>
      <c r="H280" s="55" t="s">
        <v>348</v>
      </c>
      <c r="I280" s="57"/>
    </row>
    <row r="281" spans="1:9" ht="20.100000000000001" customHeight="1" x14ac:dyDescent="0.25">
      <c r="A281" s="50">
        <v>46182</v>
      </c>
      <c r="B281" s="52" t="s">
        <v>81</v>
      </c>
      <c r="C281" s="52">
        <v>5659</v>
      </c>
      <c r="D281" s="52" t="s">
        <v>349</v>
      </c>
      <c r="E281" s="52" t="s">
        <v>350</v>
      </c>
      <c r="F281" s="52">
        <f t="shared" ca="1" si="4"/>
        <v>4</v>
      </c>
      <c r="G281" s="55" t="s">
        <v>347</v>
      </c>
      <c r="H281" s="55" t="s">
        <v>351</v>
      </c>
      <c r="I281" s="57"/>
    </row>
    <row r="282" spans="1:9" ht="20.100000000000001" customHeight="1" x14ac:dyDescent="0.25">
      <c r="A282" s="50">
        <v>46182</v>
      </c>
      <c r="B282" s="52" t="s">
        <v>81</v>
      </c>
      <c r="C282" s="52">
        <v>5659</v>
      </c>
      <c r="D282" s="52" t="s">
        <v>361</v>
      </c>
      <c r="E282" s="52" t="s">
        <v>353</v>
      </c>
      <c r="F282" s="52">
        <f t="shared" ca="1" si="4"/>
        <v>4</v>
      </c>
      <c r="G282" s="55" t="s">
        <v>347</v>
      </c>
      <c r="H282" s="55" t="s">
        <v>362</v>
      </c>
      <c r="I282" s="57"/>
    </row>
    <row r="283" spans="1:9" ht="20.100000000000001" customHeight="1" x14ac:dyDescent="0.25">
      <c r="A283" s="50">
        <v>46182</v>
      </c>
      <c r="B283" s="52" t="s">
        <v>81</v>
      </c>
      <c r="C283" s="52">
        <v>5660</v>
      </c>
      <c r="D283" s="52" t="s">
        <v>355</v>
      </c>
      <c r="E283" s="52" t="s">
        <v>346</v>
      </c>
      <c r="F283" s="52">
        <f t="shared" ca="1" si="4"/>
        <v>4</v>
      </c>
      <c r="G283" s="55" t="s">
        <v>347</v>
      </c>
      <c r="H283" s="55" t="s">
        <v>356</v>
      </c>
      <c r="I283" s="57"/>
    </row>
    <row r="284" spans="1:9" ht="20.100000000000001" customHeight="1" x14ac:dyDescent="0.25">
      <c r="A284" s="50">
        <v>46182</v>
      </c>
      <c r="B284" s="52" t="s">
        <v>81</v>
      </c>
      <c r="C284" s="52">
        <v>5660</v>
      </c>
      <c r="D284" s="52" t="s">
        <v>345</v>
      </c>
      <c r="E284" s="52" t="s">
        <v>346</v>
      </c>
      <c r="F284" s="52">
        <f t="shared" ca="1" si="4"/>
        <v>4</v>
      </c>
      <c r="G284" s="55" t="s">
        <v>347</v>
      </c>
      <c r="H284" s="55" t="s">
        <v>348</v>
      </c>
      <c r="I284" s="57"/>
    </row>
    <row r="285" spans="1:9" ht="20.100000000000001" customHeight="1" x14ac:dyDescent="0.25">
      <c r="A285" s="50">
        <v>46182</v>
      </c>
      <c r="B285" s="52" t="s">
        <v>81</v>
      </c>
      <c r="C285" s="52">
        <v>5660</v>
      </c>
      <c r="D285" s="52" t="s">
        <v>349</v>
      </c>
      <c r="E285" s="52" t="s">
        <v>350</v>
      </c>
      <c r="F285" s="52">
        <f t="shared" ca="1" si="4"/>
        <v>4</v>
      </c>
      <c r="G285" s="55" t="s">
        <v>347</v>
      </c>
      <c r="H285" s="55" t="s">
        <v>351</v>
      </c>
      <c r="I285" s="57"/>
    </row>
    <row r="286" spans="1:9" ht="20.100000000000001" customHeight="1" x14ac:dyDescent="0.25">
      <c r="A286" s="50">
        <v>46182</v>
      </c>
      <c r="B286" s="52" t="s">
        <v>81</v>
      </c>
      <c r="C286" s="52">
        <v>5660</v>
      </c>
      <c r="D286" s="52" t="s">
        <v>361</v>
      </c>
      <c r="E286" s="52" t="s">
        <v>353</v>
      </c>
      <c r="F286" s="52">
        <f t="shared" ca="1" si="4"/>
        <v>4</v>
      </c>
      <c r="G286" s="55" t="s">
        <v>347</v>
      </c>
      <c r="H286" s="55" t="s">
        <v>362</v>
      </c>
      <c r="I286" s="57"/>
    </row>
    <row r="287" spans="1:9" ht="20.100000000000001" customHeight="1" x14ac:dyDescent="0.25">
      <c r="A287" s="50">
        <v>46182</v>
      </c>
      <c r="B287" s="52" t="s">
        <v>81</v>
      </c>
      <c r="C287" s="52">
        <v>5661</v>
      </c>
      <c r="D287" s="52" t="s">
        <v>355</v>
      </c>
      <c r="E287" s="52" t="s">
        <v>346</v>
      </c>
      <c r="F287" s="52">
        <f t="shared" ca="1" si="4"/>
        <v>4</v>
      </c>
      <c r="G287" s="55" t="s">
        <v>347</v>
      </c>
      <c r="H287" s="55" t="s">
        <v>356</v>
      </c>
      <c r="I287" s="57"/>
    </row>
    <row r="288" spans="1:9" ht="20.100000000000001" customHeight="1" x14ac:dyDescent="0.25">
      <c r="A288" s="50">
        <v>46182</v>
      </c>
      <c r="B288" s="52" t="s">
        <v>81</v>
      </c>
      <c r="C288" s="52">
        <v>5661</v>
      </c>
      <c r="D288" s="52" t="s">
        <v>345</v>
      </c>
      <c r="E288" s="52" t="s">
        <v>346</v>
      </c>
      <c r="F288" s="52">
        <f t="shared" ca="1" si="4"/>
        <v>4</v>
      </c>
      <c r="G288" s="55" t="s">
        <v>347</v>
      </c>
      <c r="H288" s="55" t="s">
        <v>348</v>
      </c>
      <c r="I288" s="57"/>
    </row>
    <row r="289" spans="1:9" ht="20.100000000000001" customHeight="1" x14ac:dyDescent="0.25">
      <c r="A289" s="50">
        <v>46182</v>
      </c>
      <c r="B289" s="52" t="s">
        <v>81</v>
      </c>
      <c r="C289" s="52">
        <v>5661</v>
      </c>
      <c r="D289" s="52" t="s">
        <v>349</v>
      </c>
      <c r="E289" s="52" t="s">
        <v>350</v>
      </c>
      <c r="F289" s="52">
        <f t="shared" ca="1" si="4"/>
        <v>4</v>
      </c>
      <c r="G289" s="55" t="s">
        <v>347</v>
      </c>
      <c r="H289" s="55" t="s">
        <v>351</v>
      </c>
      <c r="I289" s="57"/>
    </row>
    <row r="290" spans="1:9" ht="20.100000000000001" customHeight="1" x14ac:dyDescent="0.25">
      <c r="A290" s="50">
        <v>46182</v>
      </c>
      <c r="B290" s="52" t="s">
        <v>81</v>
      </c>
      <c r="C290" s="52">
        <v>5661</v>
      </c>
      <c r="D290" s="52" t="s">
        <v>361</v>
      </c>
      <c r="E290" s="52" t="s">
        <v>353</v>
      </c>
      <c r="F290" s="52">
        <f t="shared" ca="1" si="4"/>
        <v>4</v>
      </c>
      <c r="G290" s="55" t="s">
        <v>347</v>
      </c>
      <c r="H290" s="55" t="s">
        <v>362</v>
      </c>
      <c r="I290" s="57"/>
    </row>
    <row r="291" spans="1:9" ht="20.100000000000001" customHeight="1" x14ac:dyDescent="0.25">
      <c r="A291" s="50">
        <v>46182</v>
      </c>
      <c r="B291" s="52" t="s">
        <v>81</v>
      </c>
      <c r="C291" s="52">
        <v>5662</v>
      </c>
      <c r="D291" s="52" t="s">
        <v>355</v>
      </c>
      <c r="E291" s="52" t="s">
        <v>346</v>
      </c>
      <c r="F291" s="52">
        <f t="shared" ca="1" si="4"/>
        <v>4</v>
      </c>
      <c r="G291" s="55" t="s">
        <v>347</v>
      </c>
      <c r="H291" s="55" t="s">
        <v>356</v>
      </c>
      <c r="I291" s="57"/>
    </row>
    <row r="292" spans="1:9" ht="20.100000000000001" customHeight="1" x14ac:dyDescent="0.25">
      <c r="A292" s="50">
        <v>46182</v>
      </c>
      <c r="B292" s="52" t="s">
        <v>81</v>
      </c>
      <c r="C292" s="52">
        <v>5662</v>
      </c>
      <c r="D292" s="52" t="s">
        <v>345</v>
      </c>
      <c r="E292" s="52" t="s">
        <v>346</v>
      </c>
      <c r="F292" s="52">
        <f t="shared" ca="1" si="4"/>
        <v>4</v>
      </c>
      <c r="G292" s="55" t="s">
        <v>347</v>
      </c>
      <c r="H292" s="55" t="s">
        <v>348</v>
      </c>
      <c r="I292" s="57"/>
    </row>
    <row r="293" spans="1:9" ht="20.100000000000001" customHeight="1" x14ac:dyDescent="0.25">
      <c r="A293" s="50">
        <v>46182</v>
      </c>
      <c r="B293" s="52" t="s">
        <v>81</v>
      </c>
      <c r="C293" s="52">
        <v>5662</v>
      </c>
      <c r="D293" s="52" t="s">
        <v>349</v>
      </c>
      <c r="E293" s="52" t="s">
        <v>350</v>
      </c>
      <c r="F293" s="52">
        <f t="shared" ca="1" si="4"/>
        <v>4</v>
      </c>
      <c r="G293" s="55" t="s">
        <v>347</v>
      </c>
      <c r="H293" s="55" t="s">
        <v>351</v>
      </c>
      <c r="I293" s="57"/>
    </row>
    <row r="294" spans="1:9" ht="20.100000000000001" customHeight="1" x14ac:dyDescent="0.25">
      <c r="A294" s="50">
        <v>46182</v>
      </c>
      <c r="B294" s="52" t="s">
        <v>81</v>
      </c>
      <c r="C294" s="52">
        <v>5662</v>
      </c>
      <c r="D294" s="52" t="s">
        <v>361</v>
      </c>
      <c r="E294" s="52" t="s">
        <v>353</v>
      </c>
      <c r="F294" s="52">
        <f t="shared" ca="1" si="4"/>
        <v>4</v>
      </c>
      <c r="G294" s="55" t="s">
        <v>347</v>
      </c>
      <c r="H294" s="55" t="s">
        <v>362</v>
      </c>
      <c r="I294" s="57"/>
    </row>
    <row r="295" spans="1:9" ht="20.100000000000001" customHeight="1" x14ac:dyDescent="0.25">
      <c r="A295" s="50">
        <v>46182</v>
      </c>
      <c r="B295" s="52" t="s">
        <v>81</v>
      </c>
      <c r="C295" s="52">
        <v>5663</v>
      </c>
      <c r="D295" s="52" t="s">
        <v>355</v>
      </c>
      <c r="E295" s="52" t="s">
        <v>346</v>
      </c>
      <c r="F295" s="52">
        <f t="shared" ca="1" si="4"/>
        <v>4</v>
      </c>
      <c r="G295" s="55" t="s">
        <v>347</v>
      </c>
      <c r="H295" s="55" t="s">
        <v>356</v>
      </c>
      <c r="I295" s="57"/>
    </row>
    <row r="296" spans="1:9" ht="20.100000000000001" customHeight="1" x14ac:dyDescent="0.25">
      <c r="A296" s="50">
        <v>46182</v>
      </c>
      <c r="B296" s="52" t="s">
        <v>81</v>
      </c>
      <c r="C296" s="52">
        <v>5663</v>
      </c>
      <c r="D296" s="52" t="s">
        <v>345</v>
      </c>
      <c r="E296" s="52" t="s">
        <v>346</v>
      </c>
      <c r="F296" s="52">
        <f t="shared" ca="1" si="4"/>
        <v>4</v>
      </c>
      <c r="G296" s="55" t="s">
        <v>347</v>
      </c>
      <c r="H296" s="55" t="s">
        <v>348</v>
      </c>
      <c r="I296" s="57"/>
    </row>
    <row r="297" spans="1:9" ht="20.100000000000001" customHeight="1" x14ac:dyDescent="0.25">
      <c r="A297" s="50">
        <v>46182</v>
      </c>
      <c r="B297" s="52" t="s">
        <v>81</v>
      </c>
      <c r="C297" s="52">
        <v>5663</v>
      </c>
      <c r="D297" s="52" t="s">
        <v>349</v>
      </c>
      <c r="E297" s="52" t="s">
        <v>350</v>
      </c>
      <c r="F297" s="52">
        <f t="shared" ca="1" si="4"/>
        <v>4</v>
      </c>
      <c r="G297" s="55" t="s">
        <v>347</v>
      </c>
      <c r="H297" s="55" t="s">
        <v>351</v>
      </c>
      <c r="I297" s="57"/>
    </row>
    <row r="298" spans="1:9" ht="20.100000000000001" customHeight="1" x14ac:dyDescent="0.25">
      <c r="A298" s="50">
        <v>46182</v>
      </c>
      <c r="B298" s="52" t="s">
        <v>81</v>
      </c>
      <c r="C298" s="52">
        <v>5663</v>
      </c>
      <c r="D298" s="52" t="s">
        <v>361</v>
      </c>
      <c r="E298" s="52" t="s">
        <v>353</v>
      </c>
      <c r="F298" s="52">
        <f t="shared" ca="1" si="4"/>
        <v>4</v>
      </c>
      <c r="G298" s="55" t="s">
        <v>347</v>
      </c>
      <c r="H298" s="55" t="s">
        <v>362</v>
      </c>
      <c r="I298" s="57"/>
    </row>
    <row r="299" spans="1:9" ht="20.100000000000001" customHeight="1" x14ac:dyDescent="0.25">
      <c r="A299" s="50">
        <v>46182</v>
      </c>
      <c r="B299" s="52" t="s">
        <v>81</v>
      </c>
      <c r="C299" s="52">
        <v>5664</v>
      </c>
      <c r="D299" s="52" t="s">
        <v>355</v>
      </c>
      <c r="E299" s="52" t="s">
        <v>346</v>
      </c>
      <c r="F299" s="52">
        <f t="shared" ca="1" si="4"/>
        <v>4</v>
      </c>
      <c r="G299" s="55" t="s">
        <v>347</v>
      </c>
      <c r="H299" s="55" t="s">
        <v>356</v>
      </c>
      <c r="I299" s="57"/>
    </row>
    <row r="300" spans="1:9" ht="20.100000000000001" customHeight="1" x14ac:dyDescent="0.25">
      <c r="A300" s="50">
        <v>46182</v>
      </c>
      <c r="B300" s="52" t="s">
        <v>81</v>
      </c>
      <c r="C300" s="52">
        <v>5664</v>
      </c>
      <c r="D300" s="52" t="s">
        <v>345</v>
      </c>
      <c r="E300" s="52" t="s">
        <v>346</v>
      </c>
      <c r="F300" s="52">
        <f t="shared" ca="1" si="4"/>
        <v>4</v>
      </c>
      <c r="G300" s="55" t="s">
        <v>347</v>
      </c>
      <c r="H300" s="55" t="s">
        <v>348</v>
      </c>
      <c r="I300" s="57"/>
    </row>
    <row r="301" spans="1:9" ht="20.100000000000001" customHeight="1" x14ac:dyDescent="0.25">
      <c r="A301" s="50">
        <v>46182</v>
      </c>
      <c r="B301" s="52" t="s">
        <v>81</v>
      </c>
      <c r="C301" s="52">
        <v>5664</v>
      </c>
      <c r="D301" s="52" t="s">
        <v>349</v>
      </c>
      <c r="E301" s="52" t="s">
        <v>350</v>
      </c>
      <c r="F301" s="52">
        <f t="shared" ca="1" si="4"/>
        <v>4</v>
      </c>
      <c r="G301" s="55" t="s">
        <v>347</v>
      </c>
      <c r="H301" s="55" t="s">
        <v>351</v>
      </c>
      <c r="I301" s="57"/>
    </row>
    <row r="302" spans="1:9" ht="20.100000000000001" customHeight="1" x14ac:dyDescent="0.25">
      <c r="A302" s="50">
        <v>46182</v>
      </c>
      <c r="B302" s="52" t="s">
        <v>81</v>
      </c>
      <c r="C302" s="52">
        <v>5664</v>
      </c>
      <c r="D302" s="52" t="s">
        <v>361</v>
      </c>
      <c r="E302" s="52" t="s">
        <v>353</v>
      </c>
      <c r="F302" s="52">
        <f t="shared" ca="1" si="4"/>
        <v>4</v>
      </c>
      <c r="G302" s="55" t="s">
        <v>347</v>
      </c>
      <c r="H302" s="55" t="s">
        <v>362</v>
      </c>
      <c r="I302" s="57"/>
    </row>
    <row r="303" spans="1:9" ht="20.100000000000001" customHeight="1" x14ac:dyDescent="0.25">
      <c r="A303" s="50">
        <v>46182</v>
      </c>
      <c r="B303" s="52" t="s">
        <v>81</v>
      </c>
      <c r="C303" s="52">
        <v>5665</v>
      </c>
      <c r="D303" s="52" t="s">
        <v>355</v>
      </c>
      <c r="E303" s="52" t="s">
        <v>346</v>
      </c>
      <c r="F303" s="52">
        <f t="shared" ca="1" si="4"/>
        <v>4</v>
      </c>
      <c r="G303" s="55" t="s">
        <v>347</v>
      </c>
      <c r="H303" s="55" t="s">
        <v>356</v>
      </c>
      <c r="I303" s="57"/>
    </row>
    <row r="304" spans="1:9" ht="20.100000000000001" customHeight="1" x14ac:dyDescent="0.25">
      <c r="A304" s="50">
        <v>46182</v>
      </c>
      <c r="B304" s="52" t="s">
        <v>81</v>
      </c>
      <c r="C304" s="52">
        <v>5665</v>
      </c>
      <c r="D304" s="52" t="s">
        <v>345</v>
      </c>
      <c r="E304" s="52" t="s">
        <v>346</v>
      </c>
      <c r="F304" s="52">
        <f t="shared" ca="1" si="4"/>
        <v>4</v>
      </c>
      <c r="G304" s="55" t="s">
        <v>347</v>
      </c>
      <c r="H304" s="55" t="s">
        <v>348</v>
      </c>
      <c r="I304" s="57"/>
    </row>
    <row r="305" spans="1:9" x14ac:dyDescent="0.25">
      <c r="A305" s="56"/>
      <c r="B305" s="57"/>
      <c r="C305" s="57"/>
      <c r="D305" s="57"/>
      <c r="E305" s="57"/>
      <c r="F305" s="57"/>
      <c r="G305" s="57"/>
      <c r="H305" s="57"/>
      <c r="I305" s="57"/>
    </row>
    <row r="306" spans="1:9" x14ac:dyDescent="0.25">
      <c r="A306" s="56"/>
      <c r="B306" s="57"/>
      <c r="C306" s="57"/>
      <c r="D306" s="57"/>
      <c r="E306" s="57"/>
      <c r="F306" s="57"/>
      <c r="G306" s="57"/>
      <c r="H306" s="57"/>
      <c r="I306" s="57"/>
    </row>
    <row r="307" spans="1:9" x14ac:dyDescent="0.25">
      <c r="A307" s="56"/>
      <c r="B307" s="57"/>
      <c r="C307" s="57"/>
      <c r="D307" s="57"/>
      <c r="E307" s="57"/>
      <c r="F307" s="57"/>
      <c r="G307" s="57"/>
      <c r="H307" s="57"/>
      <c r="I307" s="57"/>
    </row>
    <row r="308" spans="1:9" x14ac:dyDescent="0.25">
      <c r="A308" s="56"/>
      <c r="B308" s="57"/>
      <c r="C308" s="57"/>
      <c r="D308" s="57"/>
      <c r="E308" s="57"/>
      <c r="F308" s="57"/>
      <c r="G308" s="57"/>
      <c r="H308" s="57"/>
      <c r="I308" s="57"/>
    </row>
    <row r="309" spans="1:9" x14ac:dyDescent="0.25">
      <c r="A309" s="56"/>
      <c r="B309" s="57"/>
      <c r="C309" s="57"/>
      <c r="D309" s="57"/>
      <c r="E309" s="57"/>
      <c r="F309" s="57"/>
      <c r="G309" s="57"/>
      <c r="H309" s="57"/>
      <c r="I309" s="57"/>
    </row>
    <row r="310" spans="1:9" x14ac:dyDescent="0.25">
      <c r="A310" s="56"/>
      <c r="B310" s="57"/>
      <c r="C310" s="57"/>
      <c r="D310" s="57"/>
      <c r="E310" s="57"/>
      <c r="F310" s="57"/>
      <c r="G310" s="57"/>
      <c r="H310" s="57"/>
      <c r="I310" s="57"/>
    </row>
    <row r="311" spans="1:9" x14ac:dyDescent="0.25">
      <c r="A311" s="56"/>
      <c r="B311" s="57"/>
      <c r="C311" s="57"/>
      <c r="D311" s="57"/>
      <c r="E311" s="57"/>
      <c r="F311" s="57"/>
      <c r="G311" s="57"/>
      <c r="H311" s="57"/>
      <c r="I311" s="57"/>
    </row>
    <row r="312" spans="1:9" x14ac:dyDescent="0.25">
      <c r="A312" s="56"/>
      <c r="B312" s="57"/>
      <c r="C312" s="57"/>
      <c r="D312" s="57"/>
      <c r="E312" s="57"/>
      <c r="F312" s="57"/>
      <c r="G312" s="57"/>
      <c r="H312" s="57"/>
      <c r="I312" s="57"/>
    </row>
    <row r="313" spans="1:9" x14ac:dyDescent="0.25">
      <c r="A313" s="56"/>
      <c r="B313" s="57"/>
      <c r="C313" s="57"/>
      <c r="D313" s="57"/>
      <c r="E313" s="57"/>
      <c r="F313" s="57"/>
      <c r="G313" s="57"/>
      <c r="H313" s="57"/>
      <c r="I313" s="57"/>
    </row>
    <row r="314" spans="1:9" x14ac:dyDescent="0.25">
      <c r="A314" s="56"/>
      <c r="B314" s="57"/>
      <c r="C314" s="57"/>
      <c r="D314" s="57"/>
      <c r="E314" s="57"/>
      <c r="F314" s="57"/>
      <c r="G314" s="57"/>
      <c r="H314" s="57"/>
      <c r="I314" s="57"/>
    </row>
    <row r="315" spans="1:9" x14ac:dyDescent="0.25">
      <c r="A315" s="56"/>
      <c r="B315" s="57"/>
      <c r="C315" s="57"/>
      <c r="D315" s="57"/>
      <c r="E315" s="57"/>
      <c r="F315" s="57"/>
      <c r="G315" s="57"/>
      <c r="H315" s="57"/>
      <c r="I315" s="57"/>
    </row>
    <row r="316" spans="1:9" x14ac:dyDescent="0.25">
      <c r="A316" s="56"/>
      <c r="B316" s="57"/>
      <c r="C316" s="57"/>
      <c r="D316" s="57"/>
      <c r="E316" s="57"/>
      <c r="F316" s="57"/>
      <c r="G316" s="57"/>
      <c r="H316" s="57"/>
      <c r="I316" s="57"/>
    </row>
    <row r="317" spans="1:9" x14ac:dyDescent="0.25">
      <c r="A317" s="56"/>
      <c r="B317" s="57"/>
      <c r="C317" s="57"/>
      <c r="D317" s="57"/>
      <c r="E317" s="57"/>
      <c r="F317" s="57"/>
      <c r="G317" s="57"/>
      <c r="H317" s="57"/>
      <c r="I317" s="57"/>
    </row>
    <row r="318" spans="1:9" x14ac:dyDescent="0.25">
      <c r="A318" s="56"/>
      <c r="B318" s="57"/>
      <c r="C318" s="57"/>
      <c r="D318" s="57"/>
      <c r="E318" s="57"/>
      <c r="F318" s="57"/>
      <c r="G318" s="57"/>
      <c r="H318" s="57"/>
      <c r="I318" s="57"/>
    </row>
    <row r="319" spans="1:9" x14ac:dyDescent="0.25">
      <c r="A319" s="56"/>
      <c r="B319" s="57"/>
      <c r="C319" s="57"/>
      <c r="D319" s="57"/>
      <c r="E319" s="57"/>
      <c r="F319" s="57"/>
      <c r="G319" s="57"/>
      <c r="H319" s="57"/>
      <c r="I319" s="57"/>
    </row>
    <row r="320" spans="1:9" x14ac:dyDescent="0.25">
      <c r="A320" s="56"/>
      <c r="B320" s="57"/>
      <c r="C320" s="57"/>
      <c r="D320" s="57"/>
      <c r="E320" s="57"/>
      <c r="F320" s="57"/>
      <c r="G320" s="57"/>
      <c r="H320" s="57"/>
      <c r="I320" s="57"/>
    </row>
    <row r="321" spans="1:9" x14ac:dyDescent="0.25">
      <c r="A321" s="56"/>
      <c r="B321" s="57"/>
      <c r="C321" s="57"/>
      <c r="D321" s="57"/>
      <c r="E321" s="57"/>
      <c r="F321" s="57"/>
      <c r="G321" s="57"/>
      <c r="H321" s="57"/>
      <c r="I321" s="57"/>
    </row>
    <row r="322" spans="1:9" x14ac:dyDescent="0.25">
      <c r="A322" s="56"/>
      <c r="B322" s="57"/>
      <c r="C322" s="57"/>
      <c r="D322" s="57"/>
      <c r="E322" s="57"/>
      <c r="F322" s="57"/>
      <c r="G322" s="57"/>
      <c r="H322" s="57"/>
      <c r="I322" s="57"/>
    </row>
    <row r="323" spans="1:9" x14ac:dyDescent="0.25">
      <c r="A323" s="56"/>
      <c r="B323" s="57"/>
      <c r="C323" s="57"/>
      <c r="D323" s="57"/>
      <c r="E323" s="57"/>
      <c r="F323" s="57"/>
      <c r="G323" s="57"/>
      <c r="H323" s="57"/>
      <c r="I323" s="57"/>
    </row>
    <row r="324" spans="1:9" x14ac:dyDescent="0.25">
      <c r="A324" s="56"/>
      <c r="B324" s="57"/>
      <c r="C324" s="57"/>
      <c r="D324" s="57"/>
      <c r="E324" s="57"/>
      <c r="F324" s="57"/>
      <c r="G324" s="57"/>
      <c r="H324" s="57"/>
      <c r="I324" s="57"/>
    </row>
    <row r="325" spans="1:9" x14ac:dyDescent="0.25">
      <c r="A325" s="56"/>
      <c r="B325" s="57"/>
      <c r="C325" s="57"/>
      <c r="D325" s="57"/>
      <c r="E325" s="57"/>
      <c r="F325" s="57"/>
      <c r="G325" s="57"/>
      <c r="H325" s="57"/>
      <c r="I325" s="57"/>
    </row>
    <row r="326" spans="1:9" x14ac:dyDescent="0.25">
      <c r="A326" s="56"/>
      <c r="B326" s="57"/>
      <c r="C326" s="57"/>
      <c r="D326" s="57"/>
      <c r="E326" s="57"/>
      <c r="F326" s="57"/>
      <c r="G326" s="57"/>
      <c r="H326" s="57"/>
      <c r="I326" s="57"/>
    </row>
    <row r="327" spans="1:9" x14ac:dyDescent="0.25">
      <c r="A327" s="56"/>
      <c r="B327" s="57"/>
      <c r="C327" s="57"/>
      <c r="D327" s="57"/>
      <c r="E327" s="57"/>
      <c r="F327" s="57"/>
      <c r="G327" s="57"/>
      <c r="H327" s="57"/>
      <c r="I327" s="57"/>
    </row>
    <row r="328" spans="1:9" x14ac:dyDescent="0.25">
      <c r="A328" s="56"/>
      <c r="B328" s="57"/>
      <c r="C328" s="57"/>
      <c r="D328" s="57"/>
      <c r="E328" s="57"/>
      <c r="F328" s="57"/>
      <c r="G328" s="57"/>
      <c r="H328" s="57"/>
      <c r="I328" s="57"/>
    </row>
    <row r="329" spans="1:9" x14ac:dyDescent="0.25">
      <c r="A329" s="56"/>
      <c r="B329" s="57"/>
      <c r="C329" s="57"/>
      <c r="D329" s="57"/>
      <c r="E329" s="57"/>
      <c r="F329" s="57"/>
      <c r="G329" s="57"/>
      <c r="H329" s="57"/>
      <c r="I329" s="57"/>
    </row>
    <row r="330" spans="1:9" x14ac:dyDescent="0.25">
      <c r="A330" s="56"/>
      <c r="B330" s="57"/>
      <c r="C330" s="57"/>
      <c r="D330" s="57"/>
      <c r="E330" s="57"/>
      <c r="F330" s="57"/>
      <c r="G330" s="57"/>
      <c r="H330" s="57"/>
      <c r="I330" s="57"/>
    </row>
    <row r="331" spans="1:9" x14ac:dyDescent="0.25">
      <c r="A331" s="56"/>
      <c r="B331" s="57"/>
      <c r="C331" s="57"/>
      <c r="D331" s="57"/>
      <c r="E331" s="57"/>
      <c r="F331" s="57"/>
      <c r="G331" s="57"/>
      <c r="H331" s="57"/>
      <c r="I331" s="57"/>
    </row>
    <row r="332" spans="1:9" x14ac:dyDescent="0.25">
      <c r="A332" s="56"/>
      <c r="B332" s="57"/>
      <c r="C332" s="57"/>
      <c r="D332" s="57"/>
      <c r="E332" s="57"/>
      <c r="F332" s="57"/>
      <c r="G332" s="57"/>
      <c r="H332" s="57"/>
      <c r="I332" s="57"/>
    </row>
    <row r="333" spans="1:9" x14ac:dyDescent="0.25">
      <c r="A333" s="56"/>
      <c r="B333" s="57"/>
      <c r="C333" s="57"/>
      <c r="D333" s="57"/>
      <c r="E333" s="57"/>
      <c r="F333" s="57"/>
      <c r="G333" s="57"/>
      <c r="H333" s="57"/>
      <c r="I333" s="57"/>
    </row>
    <row r="334" spans="1:9" x14ac:dyDescent="0.25">
      <c r="A334" s="56"/>
      <c r="B334" s="57"/>
      <c r="C334" s="57"/>
      <c r="D334" s="57"/>
      <c r="E334" s="57"/>
      <c r="F334" s="57"/>
      <c r="G334" s="57"/>
      <c r="H334" s="57"/>
      <c r="I334" s="57"/>
    </row>
    <row r="335" spans="1:9" x14ac:dyDescent="0.25">
      <c r="A335" s="56"/>
      <c r="B335" s="57"/>
      <c r="C335" s="57"/>
      <c r="D335" s="57"/>
      <c r="E335" s="57"/>
      <c r="F335" s="57"/>
      <c r="G335" s="57"/>
      <c r="H335" s="57"/>
      <c r="I335" s="57"/>
    </row>
    <row r="336" spans="1:9" x14ac:dyDescent="0.25">
      <c r="A336" s="56"/>
      <c r="B336" s="57"/>
      <c r="C336" s="57"/>
      <c r="D336" s="57"/>
      <c r="E336" s="57"/>
      <c r="F336" s="57"/>
      <c r="G336" s="57"/>
      <c r="H336" s="57"/>
      <c r="I336" s="57"/>
    </row>
    <row r="337" spans="1:9" x14ac:dyDescent="0.25">
      <c r="A337" s="56"/>
      <c r="B337" s="57"/>
      <c r="C337" s="57"/>
      <c r="D337" s="57"/>
      <c r="E337" s="57"/>
      <c r="F337" s="57"/>
      <c r="G337" s="57"/>
      <c r="H337" s="57"/>
      <c r="I337" s="57"/>
    </row>
    <row r="338" spans="1:9" x14ac:dyDescent="0.25">
      <c r="A338" s="56"/>
      <c r="B338" s="57"/>
      <c r="C338" s="57"/>
      <c r="D338" s="57"/>
      <c r="E338" s="57"/>
      <c r="F338" s="57"/>
      <c r="G338" s="57"/>
      <c r="H338" s="57"/>
      <c r="I338" s="57"/>
    </row>
    <row r="339" spans="1:9" x14ac:dyDescent="0.25">
      <c r="A339" s="56"/>
      <c r="B339" s="57"/>
      <c r="C339" s="57"/>
      <c r="D339" s="57"/>
      <c r="E339" s="57"/>
      <c r="F339" s="57"/>
      <c r="G339" s="57"/>
      <c r="H339" s="57"/>
      <c r="I339" s="57"/>
    </row>
    <row r="340" spans="1:9" x14ac:dyDescent="0.25">
      <c r="A340" s="56"/>
      <c r="B340" s="57"/>
      <c r="C340" s="57"/>
      <c r="D340" s="57"/>
      <c r="E340" s="57"/>
      <c r="F340" s="57"/>
      <c r="G340" s="57"/>
      <c r="H340" s="57"/>
      <c r="I340" s="57"/>
    </row>
    <row r="341" spans="1:9" x14ac:dyDescent="0.25">
      <c r="A341" s="56"/>
      <c r="B341" s="57"/>
      <c r="C341" s="57"/>
      <c r="D341" s="57"/>
      <c r="E341" s="57"/>
      <c r="F341" s="57"/>
      <c r="G341" s="57"/>
      <c r="H341" s="57"/>
      <c r="I341" s="57"/>
    </row>
    <row r="342" spans="1:9" x14ac:dyDescent="0.25">
      <c r="A342" s="56"/>
      <c r="B342" s="57"/>
      <c r="C342" s="57"/>
      <c r="D342" s="57"/>
      <c r="E342" s="57"/>
      <c r="F342" s="57"/>
      <c r="G342" s="57"/>
      <c r="H342" s="57"/>
      <c r="I342" s="57"/>
    </row>
    <row r="343" spans="1:9" x14ac:dyDescent="0.25">
      <c r="A343" s="56"/>
      <c r="B343" s="57"/>
      <c r="C343" s="57"/>
      <c r="D343" s="57"/>
      <c r="E343" s="57"/>
      <c r="F343" s="57"/>
      <c r="G343" s="57"/>
      <c r="H343" s="57"/>
      <c r="I343" s="57"/>
    </row>
    <row r="344" spans="1:9" x14ac:dyDescent="0.25">
      <c r="A344" s="56"/>
      <c r="B344" s="57"/>
      <c r="C344" s="57"/>
      <c r="D344" s="57"/>
      <c r="E344" s="57"/>
      <c r="F344" s="57"/>
      <c r="G344" s="57"/>
      <c r="H344" s="57"/>
      <c r="I344" s="57"/>
    </row>
    <row r="345" spans="1:9" x14ac:dyDescent="0.25">
      <c r="A345" s="56"/>
      <c r="B345" s="57"/>
      <c r="C345" s="57"/>
      <c r="D345" s="57"/>
      <c r="E345" s="57"/>
      <c r="F345" s="57"/>
      <c r="G345" s="57"/>
      <c r="H345" s="57"/>
      <c r="I345" s="57"/>
    </row>
    <row r="346" spans="1:9" x14ac:dyDescent="0.25">
      <c r="A346" s="56"/>
      <c r="B346" s="57"/>
      <c r="C346" s="57"/>
      <c r="D346" s="57"/>
      <c r="E346" s="57"/>
      <c r="F346" s="57"/>
      <c r="G346" s="57"/>
      <c r="H346" s="57"/>
      <c r="I346" s="57"/>
    </row>
    <row r="347" spans="1:9" x14ac:dyDescent="0.25">
      <c r="A347" s="56"/>
      <c r="B347" s="57"/>
      <c r="C347" s="57"/>
      <c r="D347" s="57"/>
      <c r="E347" s="57"/>
      <c r="F347" s="57"/>
      <c r="G347" s="57"/>
      <c r="H347" s="57"/>
      <c r="I347" s="57"/>
    </row>
    <row r="348" spans="1:9" x14ac:dyDescent="0.25">
      <c r="A348" s="56"/>
      <c r="B348" s="57"/>
      <c r="C348" s="57"/>
      <c r="D348" s="57"/>
      <c r="E348" s="57"/>
      <c r="F348" s="57"/>
      <c r="G348" s="57"/>
      <c r="H348" s="57"/>
      <c r="I348" s="57"/>
    </row>
    <row r="349" spans="1:9" x14ac:dyDescent="0.25">
      <c r="A349" s="56"/>
      <c r="B349" s="57"/>
      <c r="C349" s="57"/>
      <c r="D349" s="57"/>
      <c r="E349" s="57"/>
      <c r="F349" s="57"/>
      <c r="G349" s="57"/>
      <c r="H349" s="57"/>
      <c r="I349" s="57"/>
    </row>
    <row r="350" spans="1:9" x14ac:dyDescent="0.25">
      <c r="A350" s="56"/>
      <c r="B350" s="57"/>
      <c r="C350" s="57"/>
      <c r="D350" s="57"/>
      <c r="E350" s="57"/>
      <c r="F350" s="57"/>
      <c r="G350" s="57"/>
      <c r="H350" s="57"/>
      <c r="I350" s="57"/>
    </row>
    <row r="351" spans="1:9" x14ac:dyDescent="0.25">
      <c r="A351" s="56"/>
      <c r="B351" s="57"/>
      <c r="C351" s="57"/>
      <c r="D351" s="57"/>
      <c r="E351" s="57"/>
      <c r="F351" s="57"/>
      <c r="G351" s="57"/>
      <c r="H351" s="57"/>
      <c r="I351" s="57"/>
    </row>
    <row r="352" spans="1:9" x14ac:dyDescent="0.25">
      <c r="A352" s="56"/>
      <c r="B352" s="57"/>
      <c r="C352" s="57"/>
      <c r="D352" s="57"/>
      <c r="E352" s="57"/>
      <c r="F352" s="57"/>
      <c r="G352" s="57"/>
      <c r="H352" s="57"/>
      <c r="I352" s="57"/>
    </row>
    <row r="353" spans="1:9" x14ac:dyDescent="0.25">
      <c r="A353" s="56"/>
      <c r="B353" s="57"/>
      <c r="C353" s="57"/>
      <c r="D353" s="57"/>
      <c r="E353" s="57"/>
      <c r="F353" s="57"/>
      <c r="G353" s="57"/>
      <c r="H353" s="57"/>
      <c r="I353" s="57"/>
    </row>
    <row r="354" spans="1:9" x14ac:dyDescent="0.25">
      <c r="A354" s="56"/>
      <c r="B354" s="57"/>
      <c r="C354" s="57"/>
      <c r="D354" s="57"/>
      <c r="E354" s="57"/>
      <c r="F354" s="57"/>
      <c r="G354" s="57"/>
      <c r="H354" s="57"/>
      <c r="I354" s="57"/>
    </row>
    <row r="355" spans="1:9" x14ac:dyDescent="0.25">
      <c r="A355" s="56"/>
      <c r="B355" s="57"/>
      <c r="C355" s="57"/>
      <c r="D355" s="57"/>
      <c r="E355" s="57"/>
      <c r="F355" s="57"/>
      <c r="G355" s="57"/>
      <c r="H355" s="57"/>
      <c r="I355" s="57"/>
    </row>
    <row r="356" spans="1:9" x14ac:dyDescent="0.25">
      <c r="A356" s="56"/>
      <c r="B356" s="57"/>
      <c r="C356" s="57"/>
      <c r="D356" s="57"/>
      <c r="E356" s="57"/>
      <c r="F356" s="57"/>
      <c r="G356" s="57"/>
      <c r="H356" s="57"/>
      <c r="I356" s="57"/>
    </row>
    <row r="357" spans="1:9" x14ac:dyDescent="0.25">
      <c r="A357" s="56"/>
      <c r="B357" s="57"/>
      <c r="C357" s="57"/>
      <c r="D357" s="57"/>
      <c r="E357" s="57"/>
      <c r="F357" s="57"/>
      <c r="G357" s="57"/>
      <c r="H357" s="57"/>
      <c r="I357" s="57"/>
    </row>
    <row r="358" spans="1:9" x14ac:dyDescent="0.25">
      <c r="A358" s="56"/>
      <c r="B358" s="57"/>
      <c r="C358" s="57"/>
      <c r="D358" s="57"/>
      <c r="E358" s="57"/>
      <c r="F358" s="57"/>
      <c r="G358" s="57"/>
      <c r="H358" s="57"/>
      <c r="I358" s="57"/>
    </row>
    <row r="359" spans="1:9" x14ac:dyDescent="0.25">
      <c r="A359" s="56"/>
      <c r="B359" s="57"/>
      <c r="C359" s="57"/>
      <c r="D359" s="57"/>
      <c r="E359" s="57"/>
      <c r="F359" s="57"/>
      <c r="G359" s="57"/>
      <c r="H359" s="57"/>
      <c r="I359" s="57"/>
    </row>
    <row r="360" spans="1:9" x14ac:dyDescent="0.25">
      <c r="A360" s="56"/>
      <c r="B360" s="57"/>
      <c r="C360" s="57"/>
      <c r="D360" s="57"/>
      <c r="E360" s="57"/>
      <c r="F360" s="57"/>
      <c r="G360" s="57"/>
      <c r="H360" s="57"/>
      <c r="I360" s="57"/>
    </row>
    <row r="361" spans="1:9" x14ac:dyDescent="0.25">
      <c r="A361" s="56"/>
      <c r="B361" s="57"/>
      <c r="C361" s="57"/>
      <c r="D361" s="57"/>
      <c r="E361" s="57"/>
      <c r="F361" s="57"/>
      <c r="G361" s="57"/>
      <c r="H361" s="57"/>
      <c r="I361" s="57"/>
    </row>
    <row r="362" spans="1:9" x14ac:dyDescent="0.25">
      <c r="A362" s="56"/>
      <c r="B362" s="57"/>
      <c r="C362" s="57"/>
      <c r="D362" s="57"/>
      <c r="E362" s="57"/>
      <c r="F362" s="57"/>
      <c r="G362" s="57"/>
      <c r="H362" s="57"/>
      <c r="I362" s="57"/>
    </row>
    <row r="363" spans="1:9" x14ac:dyDescent="0.25">
      <c r="A363" s="56"/>
      <c r="B363" s="57"/>
      <c r="C363" s="57"/>
      <c r="D363" s="57"/>
      <c r="E363" s="57"/>
      <c r="F363" s="57"/>
      <c r="G363" s="57"/>
      <c r="H363" s="57"/>
      <c r="I363" s="57"/>
    </row>
    <row r="364" spans="1:9" x14ac:dyDescent="0.25">
      <c r="A364" s="56"/>
      <c r="B364" s="57"/>
      <c r="C364" s="57"/>
      <c r="D364" s="57"/>
      <c r="E364" s="57"/>
      <c r="F364" s="57"/>
      <c r="G364" s="57"/>
      <c r="H364" s="57"/>
      <c r="I364" s="57"/>
    </row>
    <row r="365" spans="1:9" x14ac:dyDescent="0.25">
      <c r="A365" s="56"/>
      <c r="B365" s="57"/>
      <c r="C365" s="57"/>
      <c r="D365" s="57"/>
      <c r="E365" s="57"/>
      <c r="F365" s="57"/>
      <c r="G365" s="57"/>
      <c r="H365" s="57"/>
      <c r="I365" s="57"/>
    </row>
    <row r="366" spans="1:9" x14ac:dyDescent="0.25">
      <c r="A366" s="56"/>
      <c r="B366" s="57"/>
      <c r="C366" s="57"/>
      <c r="D366" s="57"/>
      <c r="E366" s="57"/>
      <c r="F366" s="57"/>
      <c r="G366" s="57"/>
      <c r="H366" s="57"/>
      <c r="I366" s="57"/>
    </row>
    <row r="367" spans="1:9" x14ac:dyDescent="0.25">
      <c r="A367" s="56"/>
      <c r="B367" s="57"/>
      <c r="C367" s="57"/>
      <c r="D367" s="57"/>
      <c r="E367" s="57"/>
      <c r="F367" s="57"/>
      <c r="G367" s="57"/>
      <c r="H367" s="57"/>
      <c r="I367" s="57"/>
    </row>
    <row r="368" spans="1:9" x14ac:dyDescent="0.25">
      <c r="A368" s="56"/>
      <c r="B368" s="57"/>
      <c r="C368" s="57"/>
      <c r="D368" s="57"/>
      <c r="E368" s="57"/>
      <c r="F368" s="57"/>
      <c r="G368" s="57"/>
      <c r="H368" s="57"/>
      <c r="I368" s="57"/>
    </row>
    <row r="369" spans="1:9" x14ac:dyDescent="0.25">
      <c r="A369" s="56"/>
      <c r="B369" s="57"/>
      <c r="C369" s="57"/>
      <c r="D369" s="57"/>
      <c r="E369" s="57"/>
      <c r="F369" s="57"/>
      <c r="G369" s="57"/>
      <c r="H369" s="57"/>
      <c r="I369" s="57"/>
    </row>
    <row r="370" spans="1:9" x14ac:dyDescent="0.25">
      <c r="A370" s="56"/>
      <c r="B370" s="57"/>
      <c r="C370" s="57"/>
      <c r="D370" s="57"/>
      <c r="E370" s="57"/>
      <c r="F370" s="57"/>
      <c r="G370" s="57"/>
      <c r="H370" s="57"/>
      <c r="I370" s="57"/>
    </row>
    <row r="371" spans="1:9" x14ac:dyDescent="0.25">
      <c r="A371" s="56"/>
      <c r="B371" s="57"/>
      <c r="C371" s="57"/>
      <c r="D371" s="57"/>
      <c r="E371" s="57"/>
      <c r="F371" s="57"/>
      <c r="G371" s="57"/>
      <c r="H371" s="57"/>
      <c r="I371" s="57"/>
    </row>
    <row r="372" spans="1:9" x14ac:dyDescent="0.25">
      <c r="A372" s="56"/>
      <c r="B372" s="57"/>
      <c r="C372" s="57"/>
      <c r="D372" s="57"/>
      <c r="E372" s="57"/>
      <c r="F372" s="57"/>
      <c r="G372" s="57"/>
      <c r="H372" s="57"/>
      <c r="I372" s="57"/>
    </row>
    <row r="373" spans="1:9" x14ac:dyDescent="0.25">
      <c r="A373" s="56"/>
      <c r="B373" s="57"/>
      <c r="C373" s="57"/>
      <c r="D373" s="57"/>
      <c r="E373" s="57"/>
      <c r="F373" s="57"/>
      <c r="G373" s="57"/>
      <c r="H373" s="57"/>
      <c r="I373" s="57"/>
    </row>
    <row r="374" spans="1:9" x14ac:dyDescent="0.25">
      <c r="A374" s="56"/>
      <c r="B374" s="57"/>
      <c r="C374" s="57"/>
      <c r="D374" s="57"/>
      <c r="E374" s="57"/>
      <c r="F374" s="57"/>
      <c r="G374" s="57"/>
      <c r="H374" s="57"/>
      <c r="I374" s="57"/>
    </row>
    <row r="375" spans="1:9" x14ac:dyDescent="0.25">
      <c r="A375" s="56"/>
      <c r="B375" s="57"/>
      <c r="C375" s="57"/>
      <c r="D375" s="57"/>
      <c r="E375" s="57"/>
      <c r="F375" s="57"/>
      <c r="G375" s="57"/>
      <c r="H375" s="57"/>
      <c r="I375" s="57"/>
    </row>
    <row r="376" spans="1:9" x14ac:dyDescent="0.25">
      <c r="A376" s="56"/>
      <c r="B376" s="57"/>
      <c r="C376" s="57"/>
      <c r="D376" s="57"/>
      <c r="E376" s="57"/>
      <c r="F376" s="57"/>
      <c r="G376" s="57"/>
      <c r="H376" s="57"/>
      <c r="I376" s="57"/>
    </row>
    <row r="377" spans="1:9" x14ac:dyDescent="0.25">
      <c r="A377" s="56"/>
      <c r="B377" s="57"/>
      <c r="C377" s="57"/>
      <c r="D377" s="57"/>
      <c r="E377" s="57"/>
      <c r="F377" s="57"/>
      <c r="G377" s="57"/>
      <c r="H377" s="57"/>
      <c r="I377" s="57"/>
    </row>
    <row r="378" spans="1:9" x14ac:dyDescent="0.25">
      <c r="A378" s="56"/>
      <c r="B378" s="57"/>
      <c r="C378" s="57"/>
      <c r="D378" s="57"/>
      <c r="E378" s="57"/>
      <c r="F378" s="57"/>
      <c r="G378" s="57"/>
      <c r="H378" s="57"/>
      <c r="I378" s="57"/>
    </row>
    <row r="379" spans="1:9" x14ac:dyDescent="0.25">
      <c r="A379" s="56"/>
      <c r="B379" s="57"/>
      <c r="C379" s="57"/>
      <c r="D379" s="57"/>
      <c r="E379" s="57"/>
      <c r="F379" s="57"/>
      <c r="G379" s="57"/>
      <c r="H379" s="57"/>
      <c r="I379" s="57"/>
    </row>
    <row r="380" spans="1:9" x14ac:dyDescent="0.25">
      <c r="A380" s="56"/>
      <c r="B380" s="57"/>
      <c r="C380" s="57"/>
      <c r="D380" s="57"/>
      <c r="E380" s="57"/>
      <c r="F380" s="57"/>
      <c r="G380" s="57"/>
      <c r="H380" s="57"/>
      <c r="I380" s="57"/>
    </row>
    <row r="381" spans="1:9" x14ac:dyDescent="0.25">
      <c r="A381" s="56"/>
      <c r="B381" s="57"/>
      <c r="C381" s="57"/>
      <c r="D381" s="57"/>
      <c r="E381" s="57"/>
      <c r="F381" s="57"/>
      <c r="G381" s="57"/>
      <c r="H381" s="57"/>
      <c r="I381" s="57"/>
    </row>
    <row r="382" spans="1:9" x14ac:dyDescent="0.25">
      <c r="A382" s="56"/>
      <c r="B382" s="57"/>
      <c r="C382" s="57"/>
      <c r="D382" s="57"/>
      <c r="E382" s="57"/>
      <c r="F382" s="57"/>
      <c r="G382" s="57"/>
      <c r="H382" s="57"/>
      <c r="I382" s="57"/>
    </row>
    <row r="383" spans="1:9" x14ac:dyDescent="0.25">
      <c r="A383" s="56"/>
      <c r="B383" s="57"/>
      <c r="C383" s="57"/>
      <c r="D383" s="57"/>
      <c r="E383" s="57"/>
      <c r="F383" s="57"/>
      <c r="G383" s="57"/>
      <c r="H383" s="57"/>
      <c r="I383" s="57"/>
    </row>
    <row r="384" spans="1:9" x14ac:dyDescent="0.25">
      <c r="A384" s="56"/>
      <c r="B384" s="57"/>
      <c r="C384" s="57"/>
      <c r="D384" s="57"/>
      <c r="E384" s="57"/>
      <c r="F384" s="57"/>
      <c r="G384" s="57"/>
      <c r="H384" s="57"/>
      <c r="I384" s="57"/>
    </row>
    <row r="385" spans="1:9" x14ac:dyDescent="0.25">
      <c r="A385" s="56"/>
      <c r="B385" s="57"/>
      <c r="C385" s="57"/>
      <c r="D385" s="57"/>
      <c r="E385" s="57"/>
      <c r="F385" s="57"/>
      <c r="G385" s="57"/>
      <c r="H385" s="57"/>
      <c r="I385" s="57"/>
    </row>
    <row r="386" spans="1:9" x14ac:dyDescent="0.25">
      <c r="A386" s="56"/>
      <c r="B386" s="57"/>
      <c r="C386" s="57"/>
      <c r="D386" s="57"/>
      <c r="E386" s="57"/>
      <c r="F386" s="57"/>
      <c r="G386" s="57"/>
      <c r="H386" s="57"/>
      <c r="I386" s="57"/>
    </row>
    <row r="387" spans="1:9" x14ac:dyDescent="0.25">
      <c r="A387" s="56"/>
      <c r="B387" s="57"/>
      <c r="C387" s="57"/>
      <c r="D387" s="57"/>
      <c r="E387" s="57"/>
      <c r="F387" s="57"/>
      <c r="G387" s="57"/>
      <c r="H387" s="57"/>
      <c r="I387" s="57"/>
    </row>
    <row r="388" spans="1:9" x14ac:dyDescent="0.25">
      <c r="A388" s="56"/>
      <c r="B388" s="57"/>
      <c r="C388" s="57"/>
      <c r="D388" s="57"/>
      <c r="E388" s="57"/>
      <c r="F388" s="57"/>
      <c r="G388" s="57"/>
      <c r="H388" s="57"/>
      <c r="I388" s="57"/>
    </row>
    <row r="389" spans="1:9" x14ac:dyDescent="0.25">
      <c r="A389" s="56"/>
      <c r="B389" s="57"/>
      <c r="C389" s="57"/>
      <c r="D389" s="57"/>
      <c r="E389" s="57"/>
      <c r="F389" s="57"/>
      <c r="G389" s="57"/>
      <c r="H389" s="57"/>
      <c r="I389" s="57"/>
    </row>
    <row r="390" spans="1:9" x14ac:dyDescent="0.25">
      <c r="A390" s="56"/>
      <c r="B390" s="57"/>
      <c r="C390" s="57"/>
      <c r="D390" s="57"/>
      <c r="E390" s="57"/>
      <c r="F390" s="57"/>
      <c r="G390" s="57"/>
      <c r="H390" s="57"/>
      <c r="I390" s="57"/>
    </row>
    <row r="391" spans="1:9" x14ac:dyDescent="0.25">
      <c r="A391" s="56"/>
      <c r="B391" s="57"/>
      <c r="C391" s="57"/>
      <c r="D391" s="57"/>
      <c r="E391" s="57"/>
      <c r="F391" s="57"/>
      <c r="G391" s="57"/>
      <c r="H391" s="57"/>
      <c r="I391" s="57"/>
    </row>
    <row r="392" spans="1:9" x14ac:dyDescent="0.25">
      <c r="A392" s="56"/>
      <c r="B392" s="57"/>
      <c r="C392" s="57"/>
      <c r="D392" s="57"/>
      <c r="E392" s="57"/>
      <c r="F392" s="57"/>
      <c r="G392" s="57"/>
      <c r="H392" s="57"/>
      <c r="I392" s="57"/>
    </row>
    <row r="393" spans="1:9" x14ac:dyDescent="0.25">
      <c r="A393" s="56"/>
      <c r="B393" s="57"/>
      <c r="C393" s="57"/>
      <c r="D393" s="57"/>
      <c r="E393" s="57"/>
      <c r="F393" s="57"/>
      <c r="G393" s="57"/>
      <c r="H393" s="57"/>
      <c r="I393" s="57"/>
    </row>
    <row r="394" spans="1:9" x14ac:dyDescent="0.25">
      <c r="A394" s="56"/>
      <c r="B394" s="57"/>
      <c r="C394" s="57"/>
      <c r="D394" s="57"/>
      <c r="E394" s="57"/>
      <c r="F394" s="57"/>
      <c r="G394" s="57"/>
      <c r="H394" s="57"/>
      <c r="I394" s="57"/>
    </row>
    <row r="395" spans="1:9" x14ac:dyDescent="0.25">
      <c r="A395" s="56"/>
      <c r="B395" s="57"/>
      <c r="C395" s="57"/>
      <c r="D395" s="57"/>
      <c r="E395" s="57"/>
      <c r="F395" s="57"/>
      <c r="G395" s="57"/>
      <c r="H395" s="57"/>
      <c r="I395" s="57"/>
    </row>
    <row r="396" spans="1:9" x14ac:dyDescent="0.25">
      <c r="A396" s="56"/>
      <c r="B396" s="57"/>
      <c r="C396" s="57"/>
      <c r="D396" s="57"/>
      <c r="E396" s="57"/>
      <c r="F396" s="57"/>
      <c r="G396" s="57"/>
      <c r="H396" s="57"/>
      <c r="I396" s="57"/>
    </row>
    <row r="397" spans="1:9" x14ac:dyDescent="0.25">
      <c r="A397" s="56"/>
      <c r="B397" s="57"/>
      <c r="C397" s="57"/>
      <c r="D397" s="57"/>
      <c r="E397" s="57"/>
      <c r="F397" s="57"/>
      <c r="G397" s="57"/>
      <c r="H397" s="57"/>
      <c r="I397" s="57"/>
    </row>
    <row r="398" spans="1:9" x14ac:dyDescent="0.25">
      <c r="A398" s="56"/>
      <c r="B398" s="57"/>
      <c r="C398" s="57"/>
      <c r="D398" s="57"/>
      <c r="E398" s="57"/>
      <c r="F398" s="57"/>
      <c r="G398" s="57"/>
      <c r="H398" s="57"/>
      <c r="I398" s="57"/>
    </row>
    <row r="399" spans="1:9" x14ac:dyDescent="0.25">
      <c r="A399" s="56"/>
      <c r="B399" s="57"/>
      <c r="C399" s="57"/>
      <c r="D399" s="57"/>
      <c r="E399" s="57"/>
      <c r="F399" s="57"/>
      <c r="G399" s="57"/>
      <c r="H399" s="57"/>
      <c r="I399" s="57"/>
    </row>
    <row r="400" spans="1:9" x14ac:dyDescent="0.25">
      <c r="A400" s="56"/>
      <c r="B400" s="57"/>
      <c r="C400" s="57"/>
      <c r="D400" s="57"/>
      <c r="E400" s="57"/>
      <c r="F400" s="57"/>
      <c r="G400" s="57"/>
      <c r="H400" s="57"/>
      <c r="I400" s="57"/>
    </row>
    <row r="401" spans="1:9" x14ac:dyDescent="0.25">
      <c r="A401" s="56"/>
      <c r="B401" s="57"/>
      <c r="C401" s="57"/>
      <c r="D401" s="57"/>
      <c r="E401" s="57"/>
      <c r="F401" s="57"/>
      <c r="G401" s="57"/>
      <c r="H401" s="57"/>
      <c r="I401" s="57"/>
    </row>
    <row r="402" spans="1:9" x14ac:dyDescent="0.25">
      <c r="A402" s="56"/>
      <c r="B402" s="57"/>
      <c r="C402" s="57"/>
      <c r="D402" s="57"/>
      <c r="E402" s="57"/>
      <c r="F402" s="57"/>
      <c r="G402" s="57"/>
      <c r="H402" s="57"/>
      <c r="I402" s="57"/>
    </row>
    <row r="403" spans="1:9" x14ac:dyDescent="0.25">
      <c r="A403" s="56"/>
      <c r="B403" s="57"/>
      <c r="C403" s="57"/>
      <c r="D403" s="57"/>
      <c r="E403" s="57"/>
      <c r="F403" s="57"/>
      <c r="G403" s="57"/>
      <c r="H403" s="57"/>
      <c r="I403" s="57"/>
    </row>
    <row r="404" spans="1:9" x14ac:dyDescent="0.25">
      <c r="A404" s="56"/>
      <c r="B404" s="57"/>
      <c r="C404" s="57"/>
      <c r="D404" s="57"/>
      <c r="E404" s="57"/>
      <c r="F404" s="57"/>
      <c r="G404" s="57"/>
      <c r="H404" s="57"/>
      <c r="I404" s="57"/>
    </row>
    <row r="405" spans="1:9" x14ac:dyDescent="0.25">
      <c r="A405" s="56"/>
      <c r="B405" s="57"/>
      <c r="C405" s="57"/>
      <c r="D405" s="57"/>
      <c r="E405" s="57"/>
      <c r="F405" s="57"/>
      <c r="G405" s="57"/>
      <c r="H405" s="57"/>
      <c r="I405" s="57"/>
    </row>
    <row r="406" spans="1:9" x14ac:dyDescent="0.25">
      <c r="A406" s="56"/>
      <c r="B406" s="57"/>
      <c r="C406" s="57"/>
      <c r="D406" s="57"/>
      <c r="E406" s="57"/>
      <c r="F406" s="57"/>
      <c r="G406" s="57"/>
      <c r="H406" s="57"/>
      <c r="I406" s="57"/>
    </row>
    <row r="407" spans="1:9" x14ac:dyDescent="0.25">
      <c r="A407" s="56"/>
      <c r="B407" s="57"/>
      <c r="C407" s="57"/>
      <c r="D407" s="57"/>
      <c r="E407" s="57"/>
      <c r="F407" s="57"/>
      <c r="G407" s="57"/>
      <c r="H407" s="57"/>
      <c r="I407" s="57"/>
    </row>
    <row r="408" spans="1:9" x14ac:dyDescent="0.25">
      <c r="A408" s="56"/>
      <c r="B408" s="57"/>
      <c r="C408" s="57"/>
      <c r="D408" s="57"/>
      <c r="E408" s="57"/>
      <c r="F408" s="57"/>
      <c r="G408" s="57"/>
      <c r="H408" s="57"/>
      <c r="I408" s="57"/>
    </row>
    <row r="409" spans="1:9" x14ac:dyDescent="0.25">
      <c r="A409" s="56"/>
      <c r="B409" s="57"/>
      <c r="C409" s="57"/>
      <c r="D409" s="57"/>
      <c r="E409" s="57"/>
      <c r="F409" s="57"/>
      <c r="G409" s="57"/>
      <c r="H409" s="57"/>
      <c r="I409" s="57"/>
    </row>
    <row r="410" spans="1:9" x14ac:dyDescent="0.25">
      <c r="A410" s="56"/>
      <c r="B410" s="57"/>
      <c r="C410" s="57"/>
      <c r="D410" s="57"/>
      <c r="E410" s="57"/>
      <c r="F410" s="57"/>
      <c r="G410" s="57"/>
      <c r="H410" s="57"/>
      <c r="I410" s="57"/>
    </row>
    <row r="411" spans="1:9" x14ac:dyDescent="0.25">
      <c r="A411" s="56"/>
      <c r="B411" s="57"/>
      <c r="C411" s="57"/>
      <c r="D411" s="57"/>
      <c r="E411" s="57"/>
      <c r="F411" s="57"/>
      <c r="G411" s="57"/>
      <c r="H411" s="57"/>
      <c r="I411" s="57"/>
    </row>
    <row r="412" spans="1:9" x14ac:dyDescent="0.25">
      <c r="A412" s="56"/>
      <c r="B412" s="57"/>
      <c r="C412" s="57"/>
      <c r="D412" s="57"/>
      <c r="E412" s="57"/>
      <c r="F412" s="57"/>
      <c r="G412" s="57"/>
      <c r="H412" s="57"/>
      <c r="I412" s="57"/>
    </row>
    <row r="413" spans="1:9" x14ac:dyDescent="0.25">
      <c r="A413" s="56"/>
      <c r="B413" s="57"/>
      <c r="C413" s="57"/>
      <c r="D413" s="57"/>
      <c r="E413" s="57"/>
      <c r="F413" s="57"/>
      <c r="G413" s="57"/>
      <c r="H413" s="57"/>
      <c r="I413" s="57"/>
    </row>
    <row r="414" spans="1:9" x14ac:dyDescent="0.25">
      <c r="A414" s="56"/>
      <c r="B414" s="57"/>
      <c r="C414" s="57"/>
      <c r="D414" s="57"/>
      <c r="E414" s="57"/>
      <c r="F414" s="57"/>
      <c r="G414" s="57"/>
      <c r="H414" s="57"/>
      <c r="I414" s="57"/>
    </row>
    <row r="415" spans="1:9" x14ac:dyDescent="0.25">
      <c r="A415" s="56"/>
      <c r="B415" s="57"/>
      <c r="C415" s="57"/>
      <c r="D415" s="57"/>
      <c r="E415" s="57"/>
      <c r="F415" s="57"/>
      <c r="G415" s="57"/>
      <c r="H415" s="57"/>
      <c r="I415" s="57"/>
    </row>
    <row r="416" spans="1:9" x14ac:dyDescent="0.25">
      <c r="A416" s="56"/>
      <c r="B416" s="57"/>
      <c r="C416" s="57"/>
      <c r="D416" s="57"/>
      <c r="E416" s="57"/>
      <c r="F416" s="57"/>
      <c r="G416" s="57"/>
      <c r="H416" s="57"/>
      <c r="I416" s="57"/>
    </row>
    <row r="417" spans="1:9" x14ac:dyDescent="0.25">
      <c r="A417" s="56"/>
      <c r="B417" s="57"/>
      <c r="C417" s="57"/>
      <c r="D417" s="57"/>
      <c r="E417" s="57"/>
      <c r="F417" s="57"/>
      <c r="G417" s="57"/>
      <c r="H417" s="57"/>
      <c r="I417" s="57"/>
    </row>
    <row r="418" spans="1:9" x14ac:dyDescent="0.25">
      <c r="A418" s="56"/>
      <c r="B418" s="57"/>
      <c r="C418" s="57"/>
      <c r="D418" s="57"/>
      <c r="E418" s="57"/>
      <c r="F418" s="57"/>
      <c r="G418" s="57"/>
      <c r="H418" s="57"/>
      <c r="I418" s="57"/>
    </row>
    <row r="419" spans="1:9" x14ac:dyDescent="0.25">
      <c r="A419" s="56"/>
      <c r="B419" s="57"/>
      <c r="C419" s="57"/>
      <c r="D419" s="57"/>
      <c r="E419" s="57"/>
      <c r="F419" s="57"/>
      <c r="G419" s="57"/>
      <c r="H419" s="57"/>
      <c r="I419" s="57"/>
    </row>
    <row r="420" spans="1:9" x14ac:dyDescent="0.25">
      <c r="A420" s="56"/>
      <c r="B420" s="57"/>
      <c r="C420" s="57"/>
      <c r="D420" s="57"/>
      <c r="E420" s="57"/>
      <c r="F420" s="57"/>
      <c r="G420" s="57"/>
      <c r="H420" s="57"/>
      <c r="I420" s="57"/>
    </row>
    <row r="421" spans="1:9" x14ac:dyDescent="0.25">
      <c r="A421" s="56"/>
      <c r="B421" s="57"/>
      <c r="C421" s="57"/>
      <c r="D421" s="57"/>
      <c r="E421" s="57"/>
      <c r="F421" s="57"/>
      <c r="G421" s="57"/>
      <c r="H421" s="57"/>
      <c r="I421" s="57"/>
    </row>
    <row r="422" spans="1:9" x14ac:dyDescent="0.25">
      <c r="A422" s="56"/>
      <c r="B422" s="57"/>
      <c r="C422" s="57"/>
      <c r="D422" s="57"/>
      <c r="E422" s="57"/>
      <c r="F422" s="57"/>
      <c r="G422" s="57"/>
      <c r="H422" s="57"/>
      <c r="I422" s="57"/>
    </row>
    <row r="423" spans="1:9" x14ac:dyDescent="0.25">
      <c r="A423" s="56"/>
      <c r="B423" s="57"/>
      <c r="C423" s="57"/>
      <c r="D423" s="57"/>
      <c r="E423" s="57"/>
      <c r="F423" s="57"/>
      <c r="G423" s="57"/>
      <c r="H423" s="57"/>
      <c r="I423" s="57"/>
    </row>
    <row r="424" spans="1:9" x14ac:dyDescent="0.25">
      <c r="A424" s="56"/>
      <c r="B424" s="57"/>
      <c r="C424" s="57"/>
      <c r="D424" s="57"/>
      <c r="E424" s="57"/>
      <c r="F424" s="57"/>
      <c r="G424" s="57"/>
      <c r="H424" s="57"/>
      <c r="I424" s="57"/>
    </row>
    <row r="425" spans="1:9" x14ac:dyDescent="0.25">
      <c r="A425" s="56"/>
      <c r="B425" s="57"/>
      <c r="C425" s="57"/>
      <c r="D425" s="57"/>
      <c r="E425" s="57"/>
      <c r="F425" s="57"/>
      <c r="G425" s="57"/>
      <c r="H425" s="57"/>
      <c r="I425" s="57"/>
    </row>
    <row r="426" spans="1:9" x14ac:dyDescent="0.25">
      <c r="A426" s="56"/>
      <c r="B426" s="57"/>
      <c r="C426" s="57"/>
      <c r="D426" s="57"/>
      <c r="E426" s="57"/>
      <c r="F426" s="57"/>
      <c r="G426" s="57"/>
      <c r="H426" s="57"/>
      <c r="I426" s="57"/>
    </row>
    <row r="427" spans="1:9" x14ac:dyDescent="0.25">
      <c r="A427" s="56"/>
      <c r="B427" s="57"/>
      <c r="C427" s="57"/>
      <c r="D427" s="57"/>
      <c r="E427" s="57"/>
      <c r="F427" s="57"/>
      <c r="G427" s="57"/>
      <c r="H427" s="57"/>
      <c r="I427" s="57"/>
    </row>
    <row r="428" spans="1:9" x14ac:dyDescent="0.25">
      <c r="A428" s="56"/>
      <c r="B428" s="57"/>
      <c r="C428" s="57"/>
      <c r="D428" s="57"/>
      <c r="E428" s="57"/>
      <c r="F428" s="57"/>
      <c r="G428" s="57"/>
      <c r="H428" s="57"/>
      <c r="I428" s="57"/>
    </row>
    <row r="429" spans="1:9" x14ac:dyDescent="0.25">
      <c r="A429" s="56"/>
      <c r="B429" s="57"/>
      <c r="C429" s="57"/>
      <c r="D429" s="57"/>
      <c r="E429" s="57"/>
      <c r="F429" s="57"/>
      <c r="G429" s="57"/>
      <c r="H429" s="57"/>
      <c r="I429" s="57"/>
    </row>
    <row r="430" spans="1:9" x14ac:dyDescent="0.25">
      <c r="A430" s="56"/>
      <c r="B430" s="57"/>
      <c r="C430" s="57"/>
      <c r="D430" s="57"/>
      <c r="E430" s="57"/>
      <c r="F430" s="57"/>
      <c r="G430" s="57"/>
      <c r="H430" s="57"/>
      <c r="I430" s="57"/>
    </row>
    <row r="431" spans="1:9" x14ac:dyDescent="0.25">
      <c r="A431" s="56"/>
      <c r="B431" s="57"/>
      <c r="C431" s="57"/>
      <c r="D431" s="57"/>
      <c r="E431" s="57"/>
      <c r="F431" s="57"/>
      <c r="G431" s="57"/>
      <c r="H431" s="57"/>
      <c r="I431" s="57"/>
    </row>
    <row r="432" spans="1:9" x14ac:dyDescent="0.25">
      <c r="A432" s="56"/>
      <c r="B432" s="57"/>
      <c r="C432" s="57"/>
      <c r="D432" s="57"/>
      <c r="E432" s="57"/>
      <c r="F432" s="57"/>
      <c r="G432" s="57"/>
      <c r="H432" s="57"/>
      <c r="I432" s="57"/>
    </row>
    <row r="433" spans="1:9" x14ac:dyDescent="0.25">
      <c r="A433" s="56"/>
      <c r="B433" s="57"/>
      <c r="C433" s="57"/>
      <c r="D433" s="57"/>
      <c r="E433" s="57"/>
      <c r="F433" s="57"/>
      <c r="G433" s="57"/>
      <c r="H433" s="57"/>
      <c r="I433" s="57"/>
    </row>
    <row r="434" spans="1:9" x14ac:dyDescent="0.25">
      <c r="A434" s="56"/>
      <c r="B434" s="57"/>
      <c r="C434" s="57"/>
      <c r="D434" s="57"/>
      <c r="E434" s="57"/>
      <c r="F434" s="57"/>
      <c r="G434" s="57"/>
      <c r="H434" s="57"/>
      <c r="I434" s="57"/>
    </row>
    <row r="435" spans="1:9" x14ac:dyDescent="0.25">
      <c r="A435" s="56"/>
      <c r="B435" s="57"/>
      <c r="C435" s="57"/>
      <c r="D435" s="57"/>
      <c r="E435" s="57"/>
      <c r="F435" s="57"/>
      <c r="G435" s="57"/>
      <c r="H435" s="57"/>
      <c r="I435" s="57"/>
    </row>
    <row r="436" spans="1:9" x14ac:dyDescent="0.25">
      <c r="A436" s="56"/>
      <c r="B436" s="57"/>
      <c r="C436" s="57"/>
      <c r="D436" s="57"/>
      <c r="E436" s="57"/>
      <c r="F436" s="57"/>
      <c r="G436" s="57"/>
      <c r="H436" s="57"/>
      <c r="I436" s="57"/>
    </row>
    <row r="437" spans="1:9" x14ac:dyDescent="0.25">
      <c r="A437" s="56"/>
      <c r="B437" s="57"/>
      <c r="C437" s="57"/>
      <c r="D437" s="57"/>
      <c r="E437" s="57"/>
      <c r="F437" s="57"/>
      <c r="G437" s="57"/>
      <c r="H437" s="57"/>
      <c r="I437" s="57"/>
    </row>
    <row r="438" spans="1:9" x14ac:dyDescent="0.25">
      <c r="A438" s="56"/>
      <c r="B438" s="57"/>
      <c r="C438" s="57"/>
      <c r="D438" s="57"/>
      <c r="E438" s="57"/>
      <c r="F438" s="57"/>
      <c r="G438" s="57"/>
      <c r="H438" s="57"/>
      <c r="I438" s="57"/>
    </row>
    <row r="439" spans="1:9" x14ac:dyDescent="0.25">
      <c r="A439" s="56"/>
      <c r="B439" s="57"/>
      <c r="C439" s="57"/>
      <c r="D439" s="57"/>
      <c r="E439" s="57"/>
      <c r="F439" s="57"/>
      <c r="G439" s="57"/>
      <c r="H439" s="57"/>
      <c r="I439" s="57"/>
    </row>
    <row r="440" spans="1:9" x14ac:dyDescent="0.25">
      <c r="A440" s="56"/>
      <c r="B440" s="57"/>
      <c r="C440" s="57"/>
      <c r="D440" s="57"/>
      <c r="E440" s="57"/>
      <c r="F440" s="57"/>
      <c r="G440" s="57"/>
      <c r="H440" s="57"/>
      <c r="I440" s="57"/>
    </row>
    <row r="441" spans="1:9" x14ac:dyDescent="0.25">
      <c r="A441" s="56"/>
      <c r="B441" s="57"/>
      <c r="C441" s="57"/>
      <c r="D441" s="57"/>
      <c r="E441" s="57"/>
      <c r="F441" s="57"/>
      <c r="G441" s="57"/>
      <c r="H441" s="57"/>
      <c r="I441" s="57"/>
    </row>
    <row r="442" spans="1:9" x14ac:dyDescent="0.25">
      <c r="A442" s="56"/>
      <c r="B442" s="57"/>
      <c r="C442" s="57"/>
      <c r="D442" s="57"/>
      <c r="E442" s="57"/>
      <c r="F442" s="57"/>
      <c r="G442" s="57"/>
      <c r="H442" s="57"/>
      <c r="I442" s="57"/>
    </row>
    <row r="443" spans="1:9" x14ac:dyDescent="0.25">
      <c r="A443" s="56"/>
      <c r="B443" s="57"/>
      <c r="C443" s="57"/>
      <c r="D443" s="57"/>
      <c r="E443" s="57"/>
      <c r="F443" s="57"/>
      <c r="G443" s="57"/>
      <c r="H443" s="57"/>
      <c r="I443" s="57"/>
    </row>
    <row r="444" spans="1:9" x14ac:dyDescent="0.25">
      <c r="A444" s="56"/>
      <c r="B444" s="57"/>
      <c r="C444" s="57"/>
      <c r="D444" s="57"/>
      <c r="E444" s="57"/>
      <c r="F444" s="57"/>
      <c r="G444" s="57"/>
      <c r="H444" s="57"/>
      <c r="I444" s="57"/>
    </row>
    <row r="445" spans="1:9" x14ac:dyDescent="0.25">
      <c r="A445" s="56"/>
      <c r="B445" s="57"/>
      <c r="C445" s="57"/>
      <c r="D445" s="57"/>
      <c r="E445" s="57"/>
      <c r="F445" s="57"/>
      <c r="G445" s="57"/>
      <c r="H445" s="57"/>
      <c r="I445" s="57"/>
    </row>
    <row r="446" spans="1:9" x14ac:dyDescent="0.25">
      <c r="A446" s="56"/>
      <c r="B446" s="57"/>
      <c r="C446" s="57"/>
      <c r="D446" s="57"/>
      <c r="E446" s="57"/>
      <c r="F446" s="57"/>
      <c r="G446" s="57"/>
      <c r="H446" s="57"/>
      <c r="I446" s="57"/>
    </row>
    <row r="447" spans="1:9" x14ac:dyDescent="0.25">
      <c r="A447" s="56"/>
      <c r="B447" s="57"/>
      <c r="C447" s="57"/>
      <c r="D447" s="57"/>
      <c r="E447" s="57"/>
      <c r="F447" s="57"/>
      <c r="G447" s="57"/>
      <c r="H447" s="57"/>
      <c r="I447" s="57"/>
    </row>
    <row r="448" spans="1:9" x14ac:dyDescent="0.25">
      <c r="A448" s="56"/>
      <c r="B448" s="57"/>
      <c r="C448" s="57"/>
      <c r="D448" s="57"/>
      <c r="E448" s="57"/>
      <c r="F448" s="57"/>
      <c r="G448" s="57"/>
      <c r="H448" s="57"/>
      <c r="I448" s="57"/>
    </row>
    <row r="449" spans="1:9" x14ac:dyDescent="0.25">
      <c r="A449" s="56"/>
      <c r="B449" s="57"/>
      <c r="C449" s="57"/>
      <c r="D449" s="57"/>
      <c r="E449" s="57"/>
      <c r="F449" s="57"/>
      <c r="G449" s="57"/>
      <c r="H449" s="57"/>
      <c r="I449" s="57"/>
    </row>
    <row r="450" spans="1:9" x14ac:dyDescent="0.25">
      <c r="A450" s="56"/>
      <c r="B450" s="57"/>
      <c r="C450" s="57"/>
      <c r="D450" s="57"/>
      <c r="E450" s="57"/>
      <c r="F450" s="57"/>
      <c r="G450" s="57"/>
      <c r="H450" s="57"/>
      <c r="I450" s="57"/>
    </row>
    <row r="451" spans="1:9" x14ac:dyDescent="0.25">
      <c r="A451" s="56"/>
      <c r="B451" s="57"/>
      <c r="C451" s="57"/>
      <c r="D451" s="57"/>
      <c r="E451" s="57"/>
      <c r="F451" s="57"/>
      <c r="G451" s="57"/>
      <c r="H451" s="57"/>
      <c r="I451" s="57"/>
    </row>
    <row r="452" spans="1:9" x14ac:dyDescent="0.25">
      <c r="A452" s="56"/>
      <c r="B452" s="57"/>
      <c r="C452" s="57"/>
      <c r="D452" s="57"/>
      <c r="E452" s="57"/>
      <c r="F452" s="57"/>
      <c r="G452" s="57"/>
      <c r="H452" s="57"/>
      <c r="I452" s="57"/>
    </row>
    <row r="453" spans="1:9" x14ac:dyDescent="0.25">
      <c r="A453" s="56"/>
      <c r="B453" s="57"/>
      <c r="C453" s="57"/>
      <c r="D453" s="57"/>
      <c r="E453" s="57"/>
      <c r="F453" s="57"/>
      <c r="G453" s="57"/>
      <c r="H453" s="57"/>
      <c r="I453" s="57"/>
    </row>
    <row r="454" spans="1:9" x14ac:dyDescent="0.25">
      <c r="A454" s="56"/>
      <c r="B454" s="57"/>
      <c r="C454" s="57"/>
      <c r="D454" s="57"/>
      <c r="E454" s="57"/>
      <c r="F454" s="57"/>
      <c r="G454" s="57"/>
      <c r="H454" s="57"/>
      <c r="I454" s="57"/>
    </row>
    <row r="455" spans="1:9" x14ac:dyDescent="0.25">
      <c r="A455" s="56"/>
      <c r="B455" s="57"/>
      <c r="C455" s="57"/>
      <c r="D455" s="57"/>
      <c r="E455" s="57"/>
      <c r="F455" s="57"/>
      <c r="G455" s="57"/>
      <c r="H455" s="57"/>
      <c r="I455" s="57"/>
    </row>
    <row r="456" spans="1:9" x14ac:dyDescent="0.25">
      <c r="A456" s="56"/>
      <c r="B456" s="57"/>
      <c r="C456" s="57"/>
      <c r="D456" s="57"/>
      <c r="E456" s="57"/>
      <c r="F456" s="57"/>
      <c r="G456" s="57"/>
      <c r="H456" s="57"/>
      <c r="I456" s="57"/>
    </row>
    <row r="457" spans="1:9" x14ac:dyDescent="0.25">
      <c r="A457" s="56"/>
      <c r="B457" s="57"/>
      <c r="C457" s="57"/>
      <c r="D457" s="57"/>
      <c r="E457" s="57"/>
      <c r="F457" s="57"/>
      <c r="G457" s="57"/>
      <c r="H457" s="57"/>
      <c r="I457" s="57"/>
    </row>
    <row r="458" spans="1:9" x14ac:dyDescent="0.25">
      <c r="A458" s="56"/>
      <c r="B458" s="57"/>
      <c r="C458" s="57"/>
      <c r="D458" s="57"/>
      <c r="E458" s="57"/>
      <c r="F458" s="57"/>
      <c r="G458" s="57"/>
      <c r="H458" s="57"/>
      <c r="I458" s="57"/>
    </row>
    <row r="459" spans="1:9" x14ac:dyDescent="0.25">
      <c r="A459" s="56"/>
      <c r="B459" s="57"/>
      <c r="C459" s="57"/>
      <c r="D459" s="57"/>
      <c r="E459" s="57"/>
      <c r="F459" s="57"/>
      <c r="G459" s="57"/>
      <c r="H459" s="57"/>
      <c r="I459" s="57"/>
    </row>
    <row r="460" spans="1:9" x14ac:dyDescent="0.25">
      <c r="A460" s="56"/>
      <c r="B460" s="57"/>
      <c r="C460" s="57"/>
      <c r="D460" s="57"/>
      <c r="E460" s="57"/>
      <c r="F460" s="57"/>
      <c r="G460" s="57"/>
      <c r="H460" s="57"/>
      <c r="I460" s="57"/>
    </row>
    <row r="461" spans="1:9" x14ac:dyDescent="0.25">
      <c r="A461" s="56"/>
      <c r="B461" s="57"/>
      <c r="C461" s="57"/>
      <c r="D461" s="57"/>
      <c r="E461" s="57"/>
      <c r="F461" s="57"/>
      <c r="G461" s="57"/>
      <c r="H461" s="57"/>
      <c r="I461" s="57"/>
    </row>
    <row r="462" spans="1:9" x14ac:dyDescent="0.25">
      <c r="A462" s="56"/>
      <c r="B462" s="57"/>
      <c r="C462" s="57"/>
      <c r="D462" s="57"/>
      <c r="E462" s="57"/>
      <c r="F462" s="57"/>
      <c r="G462" s="57"/>
      <c r="H462" s="57"/>
      <c r="I462" s="57"/>
    </row>
    <row r="463" spans="1:9" x14ac:dyDescent="0.25">
      <c r="A463" s="56"/>
      <c r="B463" s="57"/>
      <c r="C463" s="57"/>
      <c r="D463" s="57"/>
      <c r="E463" s="57"/>
      <c r="F463" s="57"/>
      <c r="G463" s="57"/>
      <c r="H463" s="57"/>
      <c r="I463" s="57"/>
    </row>
    <row r="464" spans="1:9" x14ac:dyDescent="0.25">
      <c r="A464" s="56"/>
      <c r="B464" s="57"/>
      <c r="C464" s="57"/>
      <c r="D464" s="57"/>
      <c r="E464" s="57"/>
      <c r="F464" s="57"/>
      <c r="G464" s="57"/>
      <c r="H464" s="57"/>
      <c r="I464" s="57"/>
    </row>
    <row r="465" spans="1:9" x14ac:dyDescent="0.25">
      <c r="A465" s="56"/>
      <c r="B465" s="57"/>
      <c r="C465" s="57"/>
      <c r="D465" s="57"/>
      <c r="E465" s="57"/>
      <c r="F465" s="57"/>
      <c r="G465" s="57"/>
      <c r="H465" s="57"/>
      <c r="I465" s="57"/>
    </row>
    <row r="466" spans="1:9" x14ac:dyDescent="0.25">
      <c r="A466" s="56"/>
      <c r="B466" s="57"/>
      <c r="C466" s="57"/>
      <c r="D466" s="57"/>
      <c r="E466" s="57"/>
      <c r="F466" s="57"/>
      <c r="G466" s="57"/>
      <c r="H466" s="57"/>
      <c r="I466" s="57"/>
    </row>
    <row r="467" spans="1:9" x14ac:dyDescent="0.25">
      <c r="A467" s="56"/>
      <c r="B467" s="57"/>
      <c r="C467" s="57"/>
      <c r="D467" s="57"/>
      <c r="E467" s="57"/>
      <c r="F467" s="57"/>
      <c r="G467" s="57"/>
      <c r="H467" s="57"/>
      <c r="I467" s="57"/>
    </row>
    <row r="468" spans="1:9" x14ac:dyDescent="0.25">
      <c r="A468" s="56"/>
      <c r="B468" s="57"/>
      <c r="C468" s="57"/>
      <c r="D468" s="57"/>
      <c r="E468" s="57"/>
      <c r="F468" s="57"/>
      <c r="G468" s="57"/>
      <c r="H468" s="57"/>
      <c r="I468" s="57"/>
    </row>
    <row r="469" spans="1:9" x14ac:dyDescent="0.25">
      <c r="A469" s="56"/>
      <c r="B469" s="57"/>
      <c r="C469" s="57"/>
      <c r="D469" s="57"/>
      <c r="E469" s="57"/>
      <c r="F469" s="57"/>
      <c r="G469" s="57"/>
      <c r="H469" s="57"/>
      <c r="I469" s="57"/>
    </row>
    <row r="470" spans="1:9" x14ac:dyDescent="0.25">
      <c r="A470" s="56"/>
      <c r="B470" s="57"/>
      <c r="C470" s="57"/>
      <c r="D470" s="57"/>
      <c r="E470" s="57"/>
      <c r="F470" s="57"/>
      <c r="G470" s="57"/>
      <c r="H470" s="57"/>
      <c r="I470" s="57"/>
    </row>
    <row r="471" spans="1:9" x14ac:dyDescent="0.25">
      <c r="A471" s="56"/>
      <c r="B471" s="57"/>
      <c r="C471" s="57"/>
      <c r="D471" s="57"/>
      <c r="E471" s="57"/>
      <c r="F471" s="57"/>
      <c r="G471" s="57"/>
      <c r="H471" s="57"/>
      <c r="I471" s="57"/>
    </row>
    <row r="472" spans="1:9" x14ac:dyDescent="0.25">
      <c r="A472" s="56"/>
      <c r="B472" s="57"/>
      <c r="C472" s="57"/>
      <c r="D472" s="57"/>
      <c r="E472" s="57"/>
      <c r="F472" s="57"/>
      <c r="G472" s="57"/>
      <c r="H472" s="57"/>
      <c r="I472" s="57"/>
    </row>
    <row r="473" spans="1:9" x14ac:dyDescent="0.25">
      <c r="A473" s="56"/>
      <c r="B473" s="57"/>
      <c r="C473" s="57"/>
      <c r="D473" s="57"/>
      <c r="E473" s="57"/>
      <c r="F473" s="57"/>
      <c r="G473" s="57"/>
      <c r="H473" s="57"/>
      <c r="I473" s="57"/>
    </row>
    <row r="474" spans="1:9" x14ac:dyDescent="0.25">
      <c r="A474" s="56"/>
      <c r="B474" s="57"/>
      <c r="C474" s="57"/>
      <c r="D474" s="57"/>
      <c r="E474" s="57"/>
      <c r="F474" s="57"/>
      <c r="G474" s="57"/>
      <c r="H474" s="57"/>
      <c r="I474" s="57"/>
    </row>
    <row r="475" spans="1:9" x14ac:dyDescent="0.25">
      <c r="A475" s="56"/>
      <c r="B475" s="57"/>
      <c r="C475" s="57"/>
      <c r="D475" s="57"/>
      <c r="E475" s="57"/>
      <c r="F475" s="57"/>
      <c r="G475" s="57"/>
      <c r="H475" s="57"/>
      <c r="I475" s="57"/>
    </row>
    <row r="476" spans="1:9" x14ac:dyDescent="0.25">
      <c r="A476" s="56"/>
      <c r="B476" s="57"/>
      <c r="C476" s="57"/>
      <c r="D476" s="57"/>
      <c r="E476" s="57"/>
      <c r="F476" s="57"/>
      <c r="G476" s="57"/>
      <c r="H476" s="57"/>
      <c r="I476" s="57"/>
    </row>
    <row r="477" spans="1:9" x14ac:dyDescent="0.25">
      <c r="A477" s="56"/>
      <c r="B477" s="57"/>
      <c r="C477" s="57"/>
      <c r="D477" s="57"/>
      <c r="E477" s="57"/>
      <c r="F477" s="57"/>
      <c r="G477" s="57"/>
      <c r="H477" s="57"/>
      <c r="I477" s="57"/>
    </row>
    <row r="478" spans="1:9" x14ac:dyDescent="0.25">
      <c r="A478" s="56"/>
      <c r="B478" s="57"/>
      <c r="C478" s="57"/>
      <c r="D478" s="57"/>
      <c r="E478" s="57"/>
      <c r="F478" s="57"/>
      <c r="G478" s="57"/>
      <c r="H478" s="57"/>
      <c r="I478" s="57"/>
    </row>
    <row r="479" spans="1:9" x14ac:dyDescent="0.25">
      <c r="A479" s="56"/>
      <c r="B479" s="57"/>
      <c r="C479" s="57"/>
      <c r="D479" s="57"/>
      <c r="E479" s="57"/>
      <c r="F479" s="57"/>
      <c r="G479" s="57"/>
      <c r="H479" s="57"/>
      <c r="I479" s="57"/>
    </row>
    <row r="480" spans="1:9" x14ac:dyDescent="0.25">
      <c r="A480" s="56"/>
      <c r="B480" s="57"/>
      <c r="C480" s="57"/>
      <c r="D480" s="57"/>
      <c r="E480" s="57"/>
      <c r="F480" s="57"/>
      <c r="G480" s="57"/>
      <c r="H480" s="57"/>
      <c r="I480" s="57"/>
    </row>
    <row r="481" spans="1:9" x14ac:dyDescent="0.25">
      <c r="A481" s="56"/>
      <c r="B481" s="57"/>
      <c r="C481" s="57"/>
      <c r="D481" s="57"/>
      <c r="E481" s="57"/>
      <c r="F481" s="57"/>
      <c r="G481" s="57"/>
      <c r="H481" s="57"/>
      <c r="I481" s="57"/>
    </row>
    <row r="482" spans="1:9" x14ac:dyDescent="0.25">
      <c r="A482" s="56"/>
      <c r="B482" s="57"/>
      <c r="C482" s="57"/>
      <c r="D482" s="57"/>
      <c r="E482" s="57"/>
      <c r="F482" s="57"/>
      <c r="G482" s="57"/>
      <c r="H482" s="57"/>
      <c r="I482" s="57"/>
    </row>
    <row r="483" spans="1:9" x14ac:dyDescent="0.25">
      <c r="A483" s="56"/>
      <c r="B483" s="57"/>
      <c r="C483" s="57"/>
      <c r="D483" s="57"/>
      <c r="E483" s="57"/>
      <c r="F483" s="57"/>
      <c r="G483" s="57"/>
      <c r="H483" s="57"/>
      <c r="I483" s="57"/>
    </row>
    <row r="484" spans="1:9" x14ac:dyDescent="0.25">
      <c r="A484" s="56"/>
      <c r="B484" s="57"/>
      <c r="C484" s="57"/>
      <c r="D484" s="57"/>
      <c r="E484" s="57"/>
      <c r="F484" s="57"/>
      <c r="G484" s="57"/>
      <c r="H484" s="57"/>
      <c r="I484" s="57"/>
    </row>
    <row r="485" spans="1:9" x14ac:dyDescent="0.25">
      <c r="A485" s="56"/>
      <c r="B485" s="57"/>
      <c r="C485" s="57"/>
      <c r="D485" s="57"/>
      <c r="E485" s="57"/>
      <c r="F485" s="57"/>
      <c r="G485" s="57"/>
      <c r="H485" s="57"/>
      <c r="I485" s="57"/>
    </row>
    <row r="486" spans="1:9" x14ac:dyDescent="0.25">
      <c r="A486" s="56"/>
      <c r="B486" s="57"/>
      <c r="C486" s="57"/>
      <c r="D486" s="57"/>
      <c r="E486" s="57"/>
      <c r="F486" s="57"/>
      <c r="G486" s="57"/>
      <c r="H486" s="57"/>
      <c r="I486" s="57"/>
    </row>
    <row r="487" spans="1:9" x14ac:dyDescent="0.25">
      <c r="A487" s="56"/>
      <c r="B487" s="57"/>
      <c r="C487" s="57"/>
      <c r="D487" s="57"/>
      <c r="E487" s="57"/>
      <c r="F487" s="57"/>
      <c r="G487" s="57"/>
      <c r="H487" s="57"/>
      <c r="I487" s="57"/>
    </row>
    <row r="488" spans="1:9" x14ac:dyDescent="0.25">
      <c r="A488" s="56"/>
      <c r="B488" s="57"/>
      <c r="C488" s="57"/>
      <c r="D488" s="57"/>
      <c r="E488" s="57"/>
      <c r="F488" s="57"/>
      <c r="G488" s="57"/>
      <c r="H488" s="57"/>
      <c r="I488" s="57"/>
    </row>
    <row r="489" spans="1:9" x14ac:dyDescent="0.25">
      <c r="A489" s="56"/>
      <c r="B489" s="57"/>
      <c r="C489" s="57"/>
      <c r="D489" s="57"/>
      <c r="E489" s="57"/>
      <c r="F489" s="57"/>
      <c r="G489" s="57"/>
      <c r="H489" s="57"/>
      <c r="I489" s="57"/>
    </row>
    <row r="490" spans="1:9" x14ac:dyDescent="0.25">
      <c r="A490" s="56"/>
      <c r="B490" s="57"/>
      <c r="C490" s="57"/>
      <c r="D490" s="57"/>
      <c r="E490" s="57"/>
      <c r="F490" s="57"/>
      <c r="G490" s="57"/>
      <c r="H490" s="57"/>
      <c r="I490" s="57"/>
    </row>
    <row r="491" spans="1:9" x14ac:dyDescent="0.25">
      <c r="A491" s="56"/>
      <c r="B491" s="57"/>
      <c r="C491" s="57"/>
      <c r="D491" s="57"/>
      <c r="E491" s="57"/>
      <c r="F491" s="57"/>
      <c r="G491" s="57"/>
      <c r="H491" s="57"/>
      <c r="I491" s="57"/>
    </row>
    <row r="492" spans="1:9" x14ac:dyDescent="0.25">
      <c r="A492" s="56"/>
      <c r="B492" s="57"/>
      <c r="C492" s="57"/>
      <c r="D492" s="57"/>
      <c r="E492" s="57"/>
      <c r="F492" s="57"/>
      <c r="G492" s="57"/>
      <c r="H492" s="57"/>
      <c r="I492" s="57"/>
    </row>
    <row r="493" spans="1:9" x14ac:dyDescent="0.25">
      <c r="A493" s="56"/>
      <c r="B493" s="57"/>
      <c r="C493" s="57"/>
      <c r="D493" s="57"/>
      <c r="E493" s="57"/>
      <c r="F493" s="57"/>
      <c r="G493" s="57"/>
      <c r="H493" s="57"/>
      <c r="I493" s="57"/>
    </row>
    <row r="494" spans="1:9" x14ac:dyDescent="0.25">
      <c r="A494" s="56"/>
      <c r="B494" s="57"/>
      <c r="C494" s="57"/>
      <c r="D494" s="57"/>
      <c r="E494" s="57"/>
      <c r="F494" s="57"/>
      <c r="G494" s="57"/>
      <c r="H494" s="57"/>
      <c r="I494" s="57"/>
    </row>
    <row r="495" spans="1:9" x14ac:dyDescent="0.25">
      <c r="A495" s="56"/>
      <c r="B495" s="57"/>
      <c r="C495" s="57"/>
      <c r="D495" s="57"/>
      <c r="E495" s="57"/>
      <c r="F495" s="57"/>
      <c r="G495" s="57"/>
      <c r="H495" s="57"/>
      <c r="I495" s="57"/>
    </row>
    <row r="496" spans="1:9" x14ac:dyDescent="0.25">
      <c r="A496" s="56"/>
      <c r="B496" s="57"/>
      <c r="C496" s="57"/>
      <c r="D496" s="57"/>
      <c r="E496" s="57"/>
      <c r="F496" s="57"/>
      <c r="G496" s="57"/>
      <c r="H496" s="57"/>
      <c r="I496" s="57"/>
    </row>
    <row r="497" spans="1:9" x14ac:dyDescent="0.25">
      <c r="A497" s="56"/>
      <c r="B497" s="57"/>
      <c r="C497" s="57"/>
      <c r="D497" s="57"/>
      <c r="E497" s="57"/>
      <c r="F497" s="57"/>
      <c r="G497" s="57"/>
      <c r="H497" s="57"/>
      <c r="I497" s="57"/>
    </row>
    <row r="498" spans="1:9" x14ac:dyDescent="0.25">
      <c r="A498" s="56"/>
      <c r="B498" s="57"/>
      <c r="C498" s="57"/>
      <c r="D498" s="57"/>
      <c r="E498" s="57"/>
      <c r="F498" s="57"/>
      <c r="G498" s="57"/>
      <c r="H498" s="57"/>
      <c r="I498" s="57"/>
    </row>
    <row r="499" spans="1:9" x14ac:dyDescent="0.25">
      <c r="A499" s="56"/>
      <c r="B499" s="57"/>
      <c r="C499" s="57"/>
      <c r="D499" s="57"/>
      <c r="E499" s="57"/>
      <c r="F499" s="57"/>
      <c r="G499" s="57"/>
      <c r="H499" s="57"/>
      <c r="I499" s="57"/>
    </row>
    <row r="500" spans="1:9" ht="45" x14ac:dyDescent="0.25">
      <c r="A500" s="58"/>
      <c r="B500" s="57" t="s">
        <v>81</v>
      </c>
      <c r="C500" s="57">
        <v>5443</v>
      </c>
      <c r="D500" s="57" t="s">
        <v>41</v>
      </c>
      <c r="E500" s="57" t="s">
        <v>350</v>
      </c>
      <c r="F500" s="57">
        <v>159</v>
      </c>
      <c r="G500" s="57" t="s">
        <v>347</v>
      </c>
      <c r="H500" s="57" t="s">
        <v>363</v>
      </c>
      <c r="I500" s="57"/>
    </row>
    <row r="501" spans="1:9" ht="45" x14ac:dyDescent="0.25">
      <c r="A501" s="58"/>
      <c r="B501" s="57" t="s">
        <v>81</v>
      </c>
      <c r="C501" s="57">
        <v>5443</v>
      </c>
      <c r="D501" s="57" t="s">
        <v>43</v>
      </c>
      <c r="E501" s="57" t="s">
        <v>346</v>
      </c>
      <c r="F501" s="57">
        <v>159</v>
      </c>
      <c r="G501" s="57" t="s">
        <v>347</v>
      </c>
      <c r="H501" s="57" t="s">
        <v>364</v>
      </c>
      <c r="I501" s="57"/>
    </row>
    <row r="502" spans="1:9" ht="60" x14ac:dyDescent="0.25">
      <c r="A502" s="58"/>
      <c r="B502" s="57" t="s">
        <v>81</v>
      </c>
      <c r="C502" s="57">
        <v>5443</v>
      </c>
      <c r="D502" s="57" t="s">
        <v>44</v>
      </c>
      <c r="E502" s="57" t="s">
        <v>353</v>
      </c>
      <c r="F502" s="57">
        <v>159</v>
      </c>
      <c r="G502" s="57" t="s">
        <v>347</v>
      </c>
      <c r="H502" s="57" t="s">
        <v>365</v>
      </c>
      <c r="I502" s="57"/>
    </row>
    <row r="503" spans="1:9" ht="60" x14ac:dyDescent="0.25">
      <c r="A503" s="58"/>
      <c r="B503" s="57" t="s">
        <v>81</v>
      </c>
      <c r="C503" s="57">
        <v>5443</v>
      </c>
      <c r="D503" s="57" t="s">
        <v>366</v>
      </c>
      <c r="E503" s="57" t="s">
        <v>353</v>
      </c>
      <c r="F503" s="57">
        <v>159</v>
      </c>
      <c r="G503" s="57" t="s">
        <v>347</v>
      </c>
      <c r="H503" s="57" t="s">
        <v>367</v>
      </c>
      <c r="I503" s="57"/>
    </row>
    <row r="504" spans="1:9" ht="45" x14ac:dyDescent="0.25">
      <c r="A504" s="58"/>
      <c r="B504" s="57" t="s">
        <v>81</v>
      </c>
      <c r="C504" s="57">
        <v>5457</v>
      </c>
      <c r="D504" s="57" t="s">
        <v>41</v>
      </c>
      <c r="E504" s="57" t="s">
        <v>350</v>
      </c>
      <c r="F504" s="57">
        <v>148</v>
      </c>
      <c r="G504" s="57" t="s">
        <v>347</v>
      </c>
      <c r="H504" s="57" t="s">
        <v>363</v>
      </c>
      <c r="I504" s="57"/>
    </row>
    <row r="505" spans="1:9" ht="45" x14ac:dyDescent="0.25">
      <c r="A505" s="58"/>
      <c r="B505" s="57" t="s">
        <v>81</v>
      </c>
      <c r="C505" s="57">
        <v>5457</v>
      </c>
      <c r="D505" s="57" t="s">
        <v>43</v>
      </c>
      <c r="E505" s="57" t="s">
        <v>346</v>
      </c>
      <c r="F505" s="57">
        <v>148</v>
      </c>
      <c r="G505" s="57" t="s">
        <v>347</v>
      </c>
      <c r="H505" s="57" t="s">
        <v>364</v>
      </c>
      <c r="I505" s="57"/>
    </row>
    <row r="506" spans="1:9" ht="60" x14ac:dyDescent="0.25">
      <c r="A506" s="58"/>
      <c r="B506" s="57" t="s">
        <v>81</v>
      </c>
      <c r="C506" s="57">
        <v>5457</v>
      </c>
      <c r="D506" s="57" t="s">
        <v>44</v>
      </c>
      <c r="E506" s="57" t="s">
        <v>353</v>
      </c>
      <c r="F506" s="57">
        <v>148</v>
      </c>
      <c r="G506" s="57" t="s">
        <v>347</v>
      </c>
      <c r="H506" s="57" t="s">
        <v>365</v>
      </c>
      <c r="I506" s="57"/>
    </row>
    <row r="507" spans="1:9" ht="60" x14ac:dyDescent="0.25">
      <c r="A507" s="58"/>
      <c r="B507" s="57" t="s">
        <v>81</v>
      </c>
      <c r="C507" s="57">
        <v>5457</v>
      </c>
      <c r="D507" s="57" t="s">
        <v>366</v>
      </c>
      <c r="E507" s="57" t="s">
        <v>353</v>
      </c>
      <c r="F507" s="57">
        <v>148</v>
      </c>
      <c r="G507" s="57" t="s">
        <v>347</v>
      </c>
      <c r="H507" s="57" t="s">
        <v>367</v>
      </c>
      <c r="I507" s="57"/>
    </row>
    <row r="508" spans="1:9" ht="45" x14ac:dyDescent="0.25">
      <c r="A508" s="58"/>
      <c r="B508" s="57" t="s">
        <v>81</v>
      </c>
      <c r="C508" s="57">
        <v>5480</v>
      </c>
      <c r="D508" s="57" t="s">
        <v>41</v>
      </c>
      <c r="E508" s="57" t="s">
        <v>350</v>
      </c>
      <c r="F508" s="57">
        <v>135</v>
      </c>
      <c r="G508" s="57" t="s">
        <v>347</v>
      </c>
      <c r="H508" s="57" t="s">
        <v>363</v>
      </c>
      <c r="I508" s="57"/>
    </row>
    <row r="509" spans="1:9" ht="45" x14ac:dyDescent="0.25">
      <c r="A509" s="58"/>
      <c r="B509" s="57" t="s">
        <v>81</v>
      </c>
      <c r="C509" s="57">
        <v>5480</v>
      </c>
      <c r="D509" s="57" t="s">
        <v>43</v>
      </c>
      <c r="E509" s="57" t="s">
        <v>346</v>
      </c>
      <c r="F509" s="57">
        <v>135</v>
      </c>
      <c r="G509" s="57" t="s">
        <v>347</v>
      </c>
      <c r="H509" s="57" t="s">
        <v>364</v>
      </c>
      <c r="I509" s="57"/>
    </row>
    <row r="510" spans="1:9" ht="60" x14ac:dyDescent="0.25">
      <c r="A510" s="58"/>
      <c r="B510" s="57" t="s">
        <v>81</v>
      </c>
      <c r="C510" s="57">
        <v>5480</v>
      </c>
      <c r="D510" s="57" t="s">
        <v>44</v>
      </c>
      <c r="E510" s="57" t="s">
        <v>353</v>
      </c>
      <c r="F510" s="57">
        <v>135</v>
      </c>
      <c r="G510" s="57" t="s">
        <v>347</v>
      </c>
      <c r="H510" s="57" t="s">
        <v>365</v>
      </c>
      <c r="I510" s="57"/>
    </row>
    <row r="511" spans="1:9" ht="60" x14ac:dyDescent="0.25">
      <c r="A511" s="58"/>
      <c r="B511" s="57" t="s">
        <v>81</v>
      </c>
      <c r="C511" s="57">
        <v>5480</v>
      </c>
      <c r="D511" s="57" t="s">
        <v>366</v>
      </c>
      <c r="E511" s="57" t="s">
        <v>353</v>
      </c>
      <c r="F511" s="57">
        <v>135</v>
      </c>
      <c r="G511" s="57" t="s">
        <v>347</v>
      </c>
      <c r="H511" s="57" t="s">
        <v>367</v>
      </c>
      <c r="I511" s="57"/>
    </row>
    <row r="512" spans="1:9" ht="45" x14ac:dyDescent="0.25">
      <c r="A512" s="58"/>
      <c r="B512" s="57" t="s">
        <v>81</v>
      </c>
      <c r="C512" s="57">
        <v>5494</v>
      </c>
      <c r="D512" s="57" t="s">
        <v>41</v>
      </c>
      <c r="E512" s="57" t="s">
        <v>350</v>
      </c>
      <c r="F512" s="57">
        <v>125</v>
      </c>
      <c r="G512" s="57" t="s">
        <v>347</v>
      </c>
      <c r="H512" s="57" t="s">
        <v>363</v>
      </c>
      <c r="I512" s="57"/>
    </row>
    <row r="513" spans="1:9" ht="45" x14ac:dyDescent="0.25">
      <c r="A513" s="58"/>
      <c r="B513" s="57" t="s">
        <v>81</v>
      </c>
      <c r="C513" s="57">
        <v>5494</v>
      </c>
      <c r="D513" s="57" t="s">
        <v>43</v>
      </c>
      <c r="E513" s="57" t="s">
        <v>346</v>
      </c>
      <c r="F513" s="57">
        <v>125</v>
      </c>
      <c r="G513" s="57" t="s">
        <v>347</v>
      </c>
      <c r="H513" s="57" t="s">
        <v>364</v>
      </c>
      <c r="I513" s="57"/>
    </row>
    <row r="514" spans="1:9" ht="60" x14ac:dyDescent="0.25">
      <c r="A514" s="58"/>
      <c r="B514" s="57" t="s">
        <v>81</v>
      </c>
      <c r="C514" s="57">
        <v>5494</v>
      </c>
      <c r="D514" s="57" t="s">
        <v>44</v>
      </c>
      <c r="E514" s="57" t="s">
        <v>353</v>
      </c>
      <c r="F514" s="57">
        <v>125</v>
      </c>
      <c r="G514" s="57" t="s">
        <v>347</v>
      </c>
      <c r="H514" s="57" t="s">
        <v>365</v>
      </c>
      <c r="I514" s="57"/>
    </row>
    <row r="515" spans="1:9" ht="60" x14ac:dyDescent="0.25">
      <c r="A515" s="58"/>
      <c r="B515" s="57" t="s">
        <v>81</v>
      </c>
      <c r="C515" s="57">
        <v>5494</v>
      </c>
      <c r="D515" s="57" t="s">
        <v>366</v>
      </c>
      <c r="E515" s="57" t="s">
        <v>353</v>
      </c>
      <c r="F515" s="57">
        <v>125</v>
      </c>
      <c r="G515" s="57" t="s">
        <v>347</v>
      </c>
      <c r="H515" s="57" t="s">
        <v>367</v>
      </c>
      <c r="I515" s="57"/>
    </row>
    <row r="516" spans="1:9" ht="45" x14ac:dyDescent="0.25">
      <c r="A516" s="58"/>
      <c r="B516" s="57" t="s">
        <v>81</v>
      </c>
      <c r="C516" s="57">
        <v>5495</v>
      </c>
      <c r="D516" s="57" t="s">
        <v>41</v>
      </c>
      <c r="E516" s="57" t="s">
        <v>350</v>
      </c>
      <c r="F516" s="57">
        <v>121</v>
      </c>
      <c r="G516" s="57" t="s">
        <v>347</v>
      </c>
      <c r="H516" s="57" t="s">
        <v>363</v>
      </c>
      <c r="I516" s="57"/>
    </row>
    <row r="517" spans="1:9" ht="45" x14ac:dyDescent="0.25">
      <c r="A517" s="58"/>
      <c r="B517" s="57" t="s">
        <v>81</v>
      </c>
      <c r="C517" s="57">
        <v>5495</v>
      </c>
      <c r="D517" s="57" t="s">
        <v>43</v>
      </c>
      <c r="E517" s="57" t="s">
        <v>346</v>
      </c>
      <c r="F517" s="57">
        <v>121</v>
      </c>
      <c r="G517" s="57" t="s">
        <v>347</v>
      </c>
      <c r="H517" s="57" t="s">
        <v>364</v>
      </c>
      <c r="I517" s="57"/>
    </row>
    <row r="518" spans="1:9" ht="60" x14ac:dyDescent="0.25">
      <c r="A518" s="58"/>
      <c r="B518" s="57" t="s">
        <v>81</v>
      </c>
      <c r="C518" s="57">
        <v>5495</v>
      </c>
      <c r="D518" s="57" t="s">
        <v>44</v>
      </c>
      <c r="E518" s="57" t="s">
        <v>353</v>
      </c>
      <c r="F518" s="57">
        <v>121</v>
      </c>
      <c r="G518" s="57" t="s">
        <v>347</v>
      </c>
      <c r="H518" s="57" t="s">
        <v>365</v>
      </c>
      <c r="I518" s="57"/>
    </row>
    <row r="519" spans="1:9" ht="60" x14ac:dyDescent="0.25">
      <c r="A519" s="58"/>
      <c r="B519" s="57" t="s">
        <v>81</v>
      </c>
      <c r="C519" s="57">
        <v>5495</v>
      </c>
      <c r="D519" s="57" t="s">
        <v>366</v>
      </c>
      <c r="E519" s="57" t="s">
        <v>353</v>
      </c>
      <c r="F519" s="57">
        <v>121</v>
      </c>
      <c r="G519" s="57" t="s">
        <v>347</v>
      </c>
      <c r="H519" s="57" t="s">
        <v>367</v>
      </c>
      <c r="I519" s="57"/>
    </row>
    <row r="520" spans="1:9" ht="45" x14ac:dyDescent="0.25">
      <c r="A520" s="58"/>
      <c r="B520" s="57" t="s">
        <v>81</v>
      </c>
      <c r="C520" s="57">
        <v>5505</v>
      </c>
      <c r="D520" s="57" t="s">
        <v>41</v>
      </c>
      <c r="E520" s="57" t="s">
        <v>350</v>
      </c>
      <c r="F520" s="57">
        <v>117</v>
      </c>
      <c r="G520" s="57" t="s">
        <v>347</v>
      </c>
      <c r="H520" s="57" t="s">
        <v>363</v>
      </c>
      <c r="I520" s="57"/>
    </row>
    <row r="521" spans="1:9" ht="45" x14ac:dyDescent="0.25">
      <c r="A521" s="58"/>
      <c r="B521" s="57" t="s">
        <v>81</v>
      </c>
      <c r="C521" s="57">
        <v>5505</v>
      </c>
      <c r="D521" s="57" t="s">
        <v>43</v>
      </c>
      <c r="E521" s="57" t="s">
        <v>346</v>
      </c>
      <c r="F521" s="57">
        <v>117</v>
      </c>
      <c r="G521" s="57" t="s">
        <v>347</v>
      </c>
      <c r="H521" s="57" t="s">
        <v>364</v>
      </c>
      <c r="I521" s="57"/>
    </row>
    <row r="522" spans="1:9" ht="60" x14ac:dyDescent="0.25">
      <c r="A522" s="58"/>
      <c r="B522" s="57" t="s">
        <v>81</v>
      </c>
      <c r="C522" s="57">
        <v>5505</v>
      </c>
      <c r="D522" s="57" t="s">
        <v>44</v>
      </c>
      <c r="E522" s="57" t="s">
        <v>353</v>
      </c>
      <c r="F522" s="57">
        <v>117</v>
      </c>
      <c r="G522" s="57" t="s">
        <v>347</v>
      </c>
      <c r="H522" s="57" t="s">
        <v>365</v>
      </c>
      <c r="I522" s="57"/>
    </row>
    <row r="523" spans="1:9" ht="60" x14ac:dyDescent="0.25">
      <c r="A523" s="58"/>
      <c r="B523" s="57" t="s">
        <v>81</v>
      </c>
      <c r="C523" s="57">
        <v>5505</v>
      </c>
      <c r="D523" s="57" t="s">
        <v>366</v>
      </c>
      <c r="E523" s="57" t="s">
        <v>353</v>
      </c>
      <c r="F523" s="57">
        <v>117</v>
      </c>
      <c r="G523" s="57" t="s">
        <v>347</v>
      </c>
      <c r="H523" s="57" t="s">
        <v>367</v>
      </c>
      <c r="I523" s="57"/>
    </row>
    <row r="524" spans="1:9" ht="45" x14ac:dyDescent="0.25">
      <c r="A524" s="58"/>
      <c r="B524" s="57" t="s">
        <v>81</v>
      </c>
      <c r="C524" s="57">
        <v>5507</v>
      </c>
      <c r="D524" s="57" t="s">
        <v>41</v>
      </c>
      <c r="E524" s="57" t="s">
        <v>350</v>
      </c>
      <c r="F524" s="57">
        <v>114</v>
      </c>
      <c r="G524" s="57" t="s">
        <v>347</v>
      </c>
      <c r="H524" s="57" t="s">
        <v>363</v>
      </c>
      <c r="I524" s="57"/>
    </row>
    <row r="525" spans="1:9" ht="45" x14ac:dyDescent="0.25">
      <c r="A525" s="58"/>
      <c r="B525" s="57" t="s">
        <v>81</v>
      </c>
      <c r="C525" s="57">
        <v>5507</v>
      </c>
      <c r="D525" s="57" t="s">
        <v>43</v>
      </c>
      <c r="E525" s="57" t="s">
        <v>346</v>
      </c>
      <c r="F525" s="57">
        <v>114</v>
      </c>
      <c r="G525" s="57" t="s">
        <v>347</v>
      </c>
      <c r="H525" s="57" t="s">
        <v>364</v>
      </c>
      <c r="I525" s="57"/>
    </row>
    <row r="526" spans="1:9" ht="60" x14ac:dyDescent="0.25">
      <c r="A526" s="58"/>
      <c r="B526" s="57" t="s">
        <v>81</v>
      </c>
      <c r="C526" s="57">
        <v>5507</v>
      </c>
      <c r="D526" s="57" t="s">
        <v>44</v>
      </c>
      <c r="E526" s="57" t="s">
        <v>353</v>
      </c>
      <c r="F526" s="57">
        <v>114</v>
      </c>
      <c r="G526" s="57" t="s">
        <v>347</v>
      </c>
      <c r="H526" s="57" t="s">
        <v>365</v>
      </c>
      <c r="I526" s="57"/>
    </row>
    <row r="527" spans="1:9" ht="60" x14ac:dyDescent="0.25">
      <c r="A527" s="58"/>
      <c r="B527" s="57" t="s">
        <v>81</v>
      </c>
      <c r="C527" s="57">
        <v>5507</v>
      </c>
      <c r="D527" s="57" t="s">
        <v>366</v>
      </c>
      <c r="E527" s="57" t="s">
        <v>353</v>
      </c>
      <c r="F527" s="57">
        <v>114</v>
      </c>
      <c r="G527" s="57" t="s">
        <v>347</v>
      </c>
      <c r="H527" s="57" t="s">
        <v>367</v>
      </c>
      <c r="I527" s="57"/>
    </row>
    <row r="528" spans="1:9" ht="45" x14ac:dyDescent="0.25">
      <c r="A528" s="58"/>
      <c r="B528" s="57" t="s">
        <v>81</v>
      </c>
      <c r="C528" s="57">
        <v>5509</v>
      </c>
      <c r="D528" s="57" t="s">
        <v>41</v>
      </c>
      <c r="E528" s="57" t="s">
        <v>350</v>
      </c>
      <c r="F528" s="57">
        <v>114</v>
      </c>
      <c r="G528" s="57" t="s">
        <v>347</v>
      </c>
      <c r="H528" s="57" t="s">
        <v>363</v>
      </c>
      <c r="I528" s="57"/>
    </row>
    <row r="529" spans="1:9" ht="45" x14ac:dyDescent="0.25">
      <c r="A529" s="58"/>
      <c r="B529" s="57" t="s">
        <v>81</v>
      </c>
      <c r="C529" s="57">
        <v>5509</v>
      </c>
      <c r="D529" s="57" t="s">
        <v>43</v>
      </c>
      <c r="E529" s="57" t="s">
        <v>346</v>
      </c>
      <c r="F529" s="57">
        <v>114</v>
      </c>
      <c r="G529" s="57" t="s">
        <v>347</v>
      </c>
      <c r="H529" s="57" t="s">
        <v>364</v>
      </c>
      <c r="I529" s="57"/>
    </row>
    <row r="530" spans="1:9" ht="60" x14ac:dyDescent="0.25">
      <c r="A530" s="58"/>
      <c r="B530" s="57" t="s">
        <v>81</v>
      </c>
      <c r="C530" s="57">
        <v>5509</v>
      </c>
      <c r="D530" s="57" t="s">
        <v>44</v>
      </c>
      <c r="E530" s="57" t="s">
        <v>353</v>
      </c>
      <c r="F530" s="57">
        <v>114</v>
      </c>
      <c r="G530" s="57" t="s">
        <v>347</v>
      </c>
      <c r="H530" s="57" t="s">
        <v>365</v>
      </c>
      <c r="I530" s="57"/>
    </row>
    <row r="531" spans="1:9" ht="60" x14ac:dyDescent="0.25">
      <c r="A531" s="58"/>
      <c r="B531" s="57" t="s">
        <v>81</v>
      </c>
      <c r="C531" s="57">
        <v>5509</v>
      </c>
      <c r="D531" s="57" t="s">
        <v>366</v>
      </c>
      <c r="E531" s="57" t="s">
        <v>353</v>
      </c>
      <c r="F531" s="57">
        <v>114</v>
      </c>
      <c r="G531" s="57" t="s">
        <v>347</v>
      </c>
      <c r="H531" s="57" t="s">
        <v>367</v>
      </c>
      <c r="I531" s="57"/>
    </row>
    <row r="532" spans="1:9" ht="45" x14ac:dyDescent="0.25">
      <c r="A532" s="58"/>
      <c r="B532" s="57" t="s">
        <v>81</v>
      </c>
      <c r="C532" s="57">
        <v>5512</v>
      </c>
      <c r="D532" s="57" t="s">
        <v>41</v>
      </c>
      <c r="E532" s="57" t="s">
        <v>350</v>
      </c>
      <c r="F532" s="57">
        <v>113</v>
      </c>
      <c r="G532" s="57" t="s">
        <v>347</v>
      </c>
      <c r="H532" s="57" t="s">
        <v>363</v>
      </c>
      <c r="I532" s="57"/>
    </row>
    <row r="533" spans="1:9" ht="45" x14ac:dyDescent="0.25">
      <c r="A533" s="58"/>
      <c r="B533" s="57" t="s">
        <v>81</v>
      </c>
      <c r="C533" s="57">
        <v>5512</v>
      </c>
      <c r="D533" s="57" t="s">
        <v>43</v>
      </c>
      <c r="E533" s="57" t="s">
        <v>346</v>
      </c>
      <c r="F533" s="57">
        <v>113</v>
      </c>
      <c r="G533" s="57" t="s">
        <v>347</v>
      </c>
      <c r="H533" s="57" t="s">
        <v>364</v>
      </c>
      <c r="I533" s="57"/>
    </row>
    <row r="534" spans="1:9" ht="60" x14ac:dyDescent="0.25">
      <c r="A534" s="58"/>
      <c r="B534" s="57" t="s">
        <v>81</v>
      </c>
      <c r="C534" s="57">
        <v>5512</v>
      </c>
      <c r="D534" s="57" t="s">
        <v>44</v>
      </c>
      <c r="E534" s="57" t="s">
        <v>353</v>
      </c>
      <c r="F534" s="57">
        <v>113</v>
      </c>
      <c r="G534" s="57" t="s">
        <v>347</v>
      </c>
      <c r="H534" s="57" t="s">
        <v>365</v>
      </c>
      <c r="I534" s="57"/>
    </row>
    <row r="535" spans="1:9" ht="60" x14ac:dyDescent="0.25">
      <c r="A535" s="58"/>
      <c r="B535" s="57" t="s">
        <v>81</v>
      </c>
      <c r="C535" s="57">
        <v>5512</v>
      </c>
      <c r="D535" s="57" t="s">
        <v>366</v>
      </c>
      <c r="E535" s="57" t="s">
        <v>353</v>
      </c>
      <c r="F535" s="57">
        <v>113</v>
      </c>
      <c r="G535" s="57" t="s">
        <v>347</v>
      </c>
      <c r="H535" s="57" t="s">
        <v>367</v>
      </c>
      <c r="I535" s="57"/>
    </row>
    <row r="536" spans="1:9" ht="45" x14ac:dyDescent="0.25">
      <c r="A536" s="58"/>
      <c r="B536" s="57" t="s">
        <v>81</v>
      </c>
      <c r="C536" s="57">
        <v>5513</v>
      </c>
      <c r="D536" s="57" t="s">
        <v>41</v>
      </c>
      <c r="E536" s="57" t="s">
        <v>350</v>
      </c>
      <c r="F536" s="57">
        <v>113</v>
      </c>
      <c r="G536" s="57" t="s">
        <v>347</v>
      </c>
      <c r="H536" s="57" t="s">
        <v>363</v>
      </c>
      <c r="I536" s="57"/>
    </row>
    <row r="537" spans="1:9" ht="45" x14ac:dyDescent="0.25">
      <c r="A537" s="58"/>
      <c r="B537" s="57" t="s">
        <v>81</v>
      </c>
      <c r="C537" s="57">
        <v>5513</v>
      </c>
      <c r="D537" s="57" t="s">
        <v>43</v>
      </c>
      <c r="E537" s="57" t="s">
        <v>346</v>
      </c>
      <c r="F537" s="57">
        <v>113</v>
      </c>
      <c r="G537" s="57" t="s">
        <v>347</v>
      </c>
      <c r="H537" s="57" t="s">
        <v>364</v>
      </c>
      <c r="I537" s="57"/>
    </row>
    <row r="538" spans="1:9" ht="60" x14ac:dyDescent="0.25">
      <c r="A538" s="58"/>
      <c r="B538" s="57" t="s">
        <v>81</v>
      </c>
      <c r="C538" s="57">
        <v>5513</v>
      </c>
      <c r="D538" s="57" t="s">
        <v>44</v>
      </c>
      <c r="E538" s="57" t="s">
        <v>353</v>
      </c>
      <c r="F538" s="57">
        <v>113</v>
      </c>
      <c r="G538" s="57" t="s">
        <v>347</v>
      </c>
      <c r="H538" s="57" t="s">
        <v>365</v>
      </c>
      <c r="I538" s="57"/>
    </row>
    <row r="539" spans="1:9" ht="60" x14ac:dyDescent="0.25">
      <c r="A539" s="58"/>
      <c r="B539" s="57" t="s">
        <v>81</v>
      </c>
      <c r="C539" s="57">
        <v>5513</v>
      </c>
      <c r="D539" s="57" t="s">
        <v>366</v>
      </c>
      <c r="E539" s="57" t="s">
        <v>353</v>
      </c>
      <c r="F539" s="57">
        <v>113</v>
      </c>
      <c r="G539" s="57" t="s">
        <v>347</v>
      </c>
      <c r="H539" s="57" t="s">
        <v>367</v>
      </c>
      <c r="I539" s="57"/>
    </row>
    <row r="540" spans="1:9" ht="45" x14ac:dyDescent="0.25">
      <c r="A540" s="58"/>
      <c r="B540" s="57" t="s">
        <v>81</v>
      </c>
      <c r="C540" s="57">
        <v>5514</v>
      </c>
      <c r="D540" s="57" t="s">
        <v>41</v>
      </c>
      <c r="E540" s="57" t="s">
        <v>350</v>
      </c>
      <c r="F540" s="57">
        <v>113</v>
      </c>
      <c r="G540" s="57" t="s">
        <v>347</v>
      </c>
      <c r="H540" s="57" t="s">
        <v>363</v>
      </c>
      <c r="I540" s="57"/>
    </row>
    <row r="541" spans="1:9" ht="45" x14ac:dyDescent="0.25">
      <c r="A541" s="58"/>
      <c r="B541" s="57" t="s">
        <v>81</v>
      </c>
      <c r="C541" s="57">
        <v>5514</v>
      </c>
      <c r="D541" s="57" t="s">
        <v>43</v>
      </c>
      <c r="E541" s="57" t="s">
        <v>346</v>
      </c>
      <c r="F541" s="57">
        <v>113</v>
      </c>
      <c r="G541" s="57" t="s">
        <v>347</v>
      </c>
      <c r="H541" s="57" t="s">
        <v>364</v>
      </c>
      <c r="I541" s="57"/>
    </row>
    <row r="542" spans="1:9" ht="60" x14ac:dyDescent="0.25">
      <c r="A542" s="58"/>
      <c r="B542" s="57" t="s">
        <v>81</v>
      </c>
      <c r="C542" s="57">
        <v>5514</v>
      </c>
      <c r="D542" s="57" t="s">
        <v>44</v>
      </c>
      <c r="E542" s="57" t="s">
        <v>353</v>
      </c>
      <c r="F542" s="57">
        <v>113</v>
      </c>
      <c r="G542" s="57" t="s">
        <v>347</v>
      </c>
      <c r="H542" s="57" t="s">
        <v>365</v>
      </c>
      <c r="I542" s="57"/>
    </row>
    <row r="543" spans="1:9" ht="60" x14ac:dyDescent="0.25">
      <c r="A543" s="58"/>
      <c r="B543" s="57" t="s">
        <v>81</v>
      </c>
      <c r="C543" s="57">
        <v>5514</v>
      </c>
      <c r="D543" s="57" t="s">
        <v>366</v>
      </c>
      <c r="E543" s="57" t="s">
        <v>353</v>
      </c>
      <c r="F543" s="57">
        <v>113</v>
      </c>
      <c r="G543" s="57" t="s">
        <v>347</v>
      </c>
      <c r="H543" s="57" t="s">
        <v>367</v>
      </c>
      <c r="I543" s="57"/>
    </row>
    <row r="544" spans="1:9" ht="45" x14ac:dyDescent="0.25">
      <c r="A544" s="58"/>
      <c r="B544" s="57" t="s">
        <v>81</v>
      </c>
      <c r="C544" s="57">
        <v>5516</v>
      </c>
      <c r="D544" s="57" t="s">
        <v>41</v>
      </c>
      <c r="E544" s="57" t="s">
        <v>350</v>
      </c>
      <c r="F544" s="57">
        <v>112</v>
      </c>
      <c r="G544" s="57" t="s">
        <v>347</v>
      </c>
      <c r="H544" s="57" t="s">
        <v>363</v>
      </c>
      <c r="I544" s="57"/>
    </row>
    <row r="545" spans="1:9" ht="45" x14ac:dyDescent="0.25">
      <c r="A545" s="58"/>
      <c r="B545" s="57" t="s">
        <v>81</v>
      </c>
      <c r="C545" s="57">
        <v>5516</v>
      </c>
      <c r="D545" s="57" t="s">
        <v>43</v>
      </c>
      <c r="E545" s="57" t="s">
        <v>346</v>
      </c>
      <c r="F545" s="57">
        <v>112</v>
      </c>
      <c r="G545" s="57" t="s">
        <v>347</v>
      </c>
      <c r="H545" s="57" t="s">
        <v>364</v>
      </c>
      <c r="I545" s="57"/>
    </row>
    <row r="546" spans="1:9" ht="60" x14ac:dyDescent="0.25">
      <c r="A546" s="58"/>
      <c r="B546" s="57" t="s">
        <v>81</v>
      </c>
      <c r="C546" s="57">
        <v>5516</v>
      </c>
      <c r="D546" s="57" t="s">
        <v>44</v>
      </c>
      <c r="E546" s="57" t="s">
        <v>353</v>
      </c>
      <c r="F546" s="57">
        <v>112</v>
      </c>
      <c r="G546" s="57" t="s">
        <v>347</v>
      </c>
      <c r="H546" s="57" t="s">
        <v>365</v>
      </c>
      <c r="I546" s="57"/>
    </row>
    <row r="547" spans="1:9" ht="60" x14ac:dyDescent="0.25">
      <c r="A547" s="58"/>
      <c r="B547" s="57" t="s">
        <v>81</v>
      </c>
      <c r="C547" s="57">
        <v>5516</v>
      </c>
      <c r="D547" s="57" t="s">
        <v>366</v>
      </c>
      <c r="E547" s="57" t="s">
        <v>353</v>
      </c>
      <c r="F547" s="57">
        <v>112</v>
      </c>
      <c r="G547" s="57" t="s">
        <v>347</v>
      </c>
      <c r="H547" s="57" t="s">
        <v>367</v>
      </c>
      <c r="I547" s="57"/>
    </row>
    <row r="548" spans="1:9" ht="45" x14ac:dyDescent="0.25">
      <c r="A548" s="58"/>
      <c r="B548" s="57" t="s">
        <v>81</v>
      </c>
      <c r="C548" s="57">
        <v>5520</v>
      </c>
      <c r="D548" s="57" t="s">
        <v>41</v>
      </c>
      <c r="E548" s="57" t="s">
        <v>350</v>
      </c>
      <c r="F548" s="57">
        <v>106</v>
      </c>
      <c r="G548" s="57" t="s">
        <v>347</v>
      </c>
      <c r="H548" s="57" t="s">
        <v>363</v>
      </c>
      <c r="I548" s="57"/>
    </row>
    <row r="549" spans="1:9" ht="45" x14ac:dyDescent="0.25">
      <c r="A549" s="58"/>
      <c r="B549" s="57" t="s">
        <v>81</v>
      </c>
      <c r="C549" s="57">
        <v>5520</v>
      </c>
      <c r="D549" s="57" t="s">
        <v>43</v>
      </c>
      <c r="E549" s="57" t="s">
        <v>346</v>
      </c>
      <c r="F549" s="57">
        <v>106</v>
      </c>
      <c r="G549" s="57" t="s">
        <v>347</v>
      </c>
      <c r="H549" s="57" t="s">
        <v>364</v>
      </c>
      <c r="I549" s="57"/>
    </row>
    <row r="550" spans="1:9" ht="60" x14ac:dyDescent="0.25">
      <c r="A550" s="58"/>
      <c r="B550" s="57" t="s">
        <v>81</v>
      </c>
      <c r="C550" s="57">
        <v>5520</v>
      </c>
      <c r="D550" s="57" t="s">
        <v>44</v>
      </c>
      <c r="E550" s="57" t="s">
        <v>353</v>
      </c>
      <c r="F550" s="57">
        <v>106</v>
      </c>
      <c r="G550" s="57" t="s">
        <v>347</v>
      </c>
      <c r="H550" s="57" t="s">
        <v>365</v>
      </c>
      <c r="I550" s="57"/>
    </row>
    <row r="551" spans="1:9" ht="60" x14ac:dyDescent="0.25">
      <c r="A551" s="58"/>
      <c r="B551" s="57" t="s">
        <v>81</v>
      </c>
      <c r="C551" s="57">
        <v>5520</v>
      </c>
      <c r="D551" s="57" t="s">
        <v>366</v>
      </c>
      <c r="E551" s="57" t="s">
        <v>353</v>
      </c>
      <c r="F551" s="57">
        <v>106</v>
      </c>
      <c r="G551" s="57" t="s">
        <v>347</v>
      </c>
      <c r="H551" s="57" t="s">
        <v>367</v>
      </c>
      <c r="I551" s="57"/>
    </row>
    <row r="552" spans="1:9" ht="45" x14ac:dyDescent="0.25">
      <c r="A552" s="58"/>
      <c r="B552" s="57" t="s">
        <v>81</v>
      </c>
      <c r="C552" s="57">
        <v>5522</v>
      </c>
      <c r="D552" s="57" t="s">
        <v>41</v>
      </c>
      <c r="E552" s="57" t="s">
        <v>350</v>
      </c>
      <c r="F552" s="57">
        <v>105</v>
      </c>
      <c r="G552" s="57" t="s">
        <v>347</v>
      </c>
      <c r="H552" s="57" t="s">
        <v>363</v>
      </c>
      <c r="I552" s="57"/>
    </row>
    <row r="553" spans="1:9" ht="45" x14ac:dyDescent="0.25">
      <c r="A553" s="58"/>
      <c r="B553" s="57" t="s">
        <v>81</v>
      </c>
      <c r="C553" s="57">
        <v>5522</v>
      </c>
      <c r="D553" s="57" t="s">
        <v>43</v>
      </c>
      <c r="E553" s="57" t="s">
        <v>346</v>
      </c>
      <c r="F553" s="57">
        <v>105</v>
      </c>
      <c r="G553" s="57" t="s">
        <v>347</v>
      </c>
      <c r="H553" s="57" t="s">
        <v>364</v>
      </c>
      <c r="I553" s="57"/>
    </row>
    <row r="554" spans="1:9" ht="60" x14ac:dyDescent="0.25">
      <c r="A554" s="58"/>
      <c r="B554" s="57" t="s">
        <v>81</v>
      </c>
      <c r="C554" s="57">
        <v>5522</v>
      </c>
      <c r="D554" s="57" t="s">
        <v>44</v>
      </c>
      <c r="E554" s="57" t="s">
        <v>353</v>
      </c>
      <c r="F554" s="57">
        <v>105</v>
      </c>
      <c r="G554" s="57" t="s">
        <v>347</v>
      </c>
      <c r="H554" s="57" t="s">
        <v>365</v>
      </c>
      <c r="I554" s="57"/>
    </row>
    <row r="555" spans="1:9" ht="60" x14ac:dyDescent="0.25">
      <c r="A555" s="58"/>
      <c r="B555" s="57" t="s">
        <v>81</v>
      </c>
      <c r="C555" s="57">
        <v>5522</v>
      </c>
      <c r="D555" s="57" t="s">
        <v>366</v>
      </c>
      <c r="E555" s="57" t="s">
        <v>353</v>
      </c>
      <c r="F555" s="57">
        <v>105</v>
      </c>
      <c r="G555" s="57" t="s">
        <v>347</v>
      </c>
      <c r="H555" s="57" t="s">
        <v>367</v>
      </c>
      <c r="I555" s="57"/>
    </row>
    <row r="556" spans="1:9" ht="45" x14ac:dyDescent="0.25">
      <c r="A556" s="58"/>
      <c r="B556" s="57" t="s">
        <v>81</v>
      </c>
      <c r="C556" s="57">
        <v>5524</v>
      </c>
      <c r="D556" s="57" t="s">
        <v>41</v>
      </c>
      <c r="E556" s="57" t="s">
        <v>350</v>
      </c>
      <c r="F556" s="57">
        <v>105</v>
      </c>
      <c r="G556" s="57" t="s">
        <v>347</v>
      </c>
      <c r="H556" s="57" t="s">
        <v>363</v>
      </c>
      <c r="I556" s="57"/>
    </row>
    <row r="557" spans="1:9" ht="45" x14ac:dyDescent="0.25">
      <c r="A557" s="58"/>
      <c r="B557" s="57" t="s">
        <v>81</v>
      </c>
      <c r="C557" s="57">
        <v>5524</v>
      </c>
      <c r="D557" s="57" t="s">
        <v>43</v>
      </c>
      <c r="E557" s="57" t="s">
        <v>346</v>
      </c>
      <c r="F557" s="57">
        <v>105</v>
      </c>
      <c r="G557" s="57" t="s">
        <v>347</v>
      </c>
      <c r="H557" s="57" t="s">
        <v>364</v>
      </c>
      <c r="I557" s="57"/>
    </row>
    <row r="558" spans="1:9" ht="60" x14ac:dyDescent="0.25">
      <c r="A558" s="58"/>
      <c r="B558" s="57" t="s">
        <v>81</v>
      </c>
      <c r="C558" s="57">
        <v>5524</v>
      </c>
      <c r="D558" s="57" t="s">
        <v>44</v>
      </c>
      <c r="E558" s="57" t="s">
        <v>353</v>
      </c>
      <c r="F558" s="57">
        <v>105</v>
      </c>
      <c r="G558" s="57" t="s">
        <v>347</v>
      </c>
      <c r="H558" s="57" t="s">
        <v>365</v>
      </c>
      <c r="I558" s="57"/>
    </row>
    <row r="559" spans="1:9" ht="60" x14ac:dyDescent="0.25">
      <c r="A559" s="58"/>
      <c r="B559" s="57" t="s">
        <v>81</v>
      </c>
      <c r="C559" s="57">
        <v>5524</v>
      </c>
      <c r="D559" s="57" t="s">
        <v>366</v>
      </c>
      <c r="E559" s="57" t="s">
        <v>353</v>
      </c>
      <c r="F559" s="57">
        <v>105</v>
      </c>
      <c r="G559" s="57" t="s">
        <v>347</v>
      </c>
      <c r="H559" s="57" t="s">
        <v>367</v>
      </c>
      <c r="I559" s="57"/>
    </row>
    <row r="560" spans="1:9" ht="45" x14ac:dyDescent="0.25">
      <c r="A560" s="58"/>
      <c r="B560" s="57" t="s">
        <v>81</v>
      </c>
      <c r="C560" s="57">
        <v>5528</v>
      </c>
      <c r="D560" s="57" t="s">
        <v>41</v>
      </c>
      <c r="E560" s="57" t="s">
        <v>350</v>
      </c>
      <c r="F560" s="57">
        <v>104</v>
      </c>
      <c r="G560" s="57" t="s">
        <v>347</v>
      </c>
      <c r="H560" s="57" t="s">
        <v>363</v>
      </c>
      <c r="I560" s="57"/>
    </row>
    <row r="561" spans="1:9" ht="45" x14ac:dyDescent="0.25">
      <c r="A561" s="58"/>
      <c r="B561" s="57" t="s">
        <v>81</v>
      </c>
      <c r="C561" s="57">
        <v>5528</v>
      </c>
      <c r="D561" s="57" t="s">
        <v>43</v>
      </c>
      <c r="E561" s="57" t="s">
        <v>346</v>
      </c>
      <c r="F561" s="57">
        <v>104</v>
      </c>
      <c r="G561" s="57" t="s">
        <v>347</v>
      </c>
      <c r="H561" s="57" t="s">
        <v>364</v>
      </c>
      <c r="I561" s="57"/>
    </row>
    <row r="562" spans="1:9" ht="60" x14ac:dyDescent="0.25">
      <c r="A562" s="58"/>
      <c r="B562" s="57" t="s">
        <v>81</v>
      </c>
      <c r="C562" s="57">
        <v>5528</v>
      </c>
      <c r="D562" s="57" t="s">
        <v>44</v>
      </c>
      <c r="E562" s="57" t="s">
        <v>353</v>
      </c>
      <c r="F562" s="57">
        <v>104</v>
      </c>
      <c r="G562" s="57" t="s">
        <v>347</v>
      </c>
      <c r="H562" s="57" t="s">
        <v>365</v>
      </c>
      <c r="I562" s="57"/>
    </row>
    <row r="563" spans="1:9" ht="60" x14ac:dyDescent="0.25">
      <c r="A563" s="58"/>
      <c r="B563" s="57" t="s">
        <v>81</v>
      </c>
      <c r="C563" s="57">
        <v>5528</v>
      </c>
      <c r="D563" s="57" t="s">
        <v>366</v>
      </c>
      <c r="E563" s="57" t="s">
        <v>353</v>
      </c>
      <c r="F563" s="57">
        <v>104</v>
      </c>
      <c r="G563" s="57" t="s">
        <v>347</v>
      </c>
      <c r="H563" s="57" t="s">
        <v>367</v>
      </c>
      <c r="I563" s="57"/>
    </row>
    <row r="564" spans="1:9" ht="45" x14ac:dyDescent="0.25">
      <c r="A564" s="58"/>
      <c r="B564" s="57" t="s">
        <v>81</v>
      </c>
      <c r="C564" s="57">
        <v>5529</v>
      </c>
      <c r="D564" s="57" t="s">
        <v>41</v>
      </c>
      <c r="E564" s="57" t="s">
        <v>350</v>
      </c>
      <c r="F564" s="57">
        <v>104</v>
      </c>
      <c r="G564" s="57" t="s">
        <v>347</v>
      </c>
      <c r="H564" s="57" t="s">
        <v>363</v>
      </c>
      <c r="I564" s="57"/>
    </row>
    <row r="565" spans="1:9" ht="45" x14ac:dyDescent="0.25">
      <c r="A565" s="58"/>
      <c r="B565" s="57" t="s">
        <v>81</v>
      </c>
      <c r="C565" s="57">
        <v>5529</v>
      </c>
      <c r="D565" s="57" t="s">
        <v>43</v>
      </c>
      <c r="E565" s="57" t="s">
        <v>346</v>
      </c>
      <c r="F565" s="57">
        <v>104</v>
      </c>
      <c r="G565" s="57" t="s">
        <v>347</v>
      </c>
      <c r="H565" s="57" t="s">
        <v>364</v>
      </c>
      <c r="I565" s="57"/>
    </row>
    <row r="566" spans="1:9" ht="60" x14ac:dyDescent="0.25">
      <c r="A566" s="58"/>
      <c r="B566" s="57" t="s">
        <v>81</v>
      </c>
      <c r="C566" s="57">
        <v>5529</v>
      </c>
      <c r="D566" s="57" t="s">
        <v>44</v>
      </c>
      <c r="E566" s="57" t="s">
        <v>353</v>
      </c>
      <c r="F566" s="57">
        <v>104</v>
      </c>
      <c r="G566" s="57" t="s">
        <v>347</v>
      </c>
      <c r="H566" s="57" t="s">
        <v>365</v>
      </c>
      <c r="I566" s="57"/>
    </row>
    <row r="567" spans="1:9" ht="60" x14ac:dyDescent="0.25">
      <c r="A567" s="58"/>
      <c r="B567" s="57" t="s">
        <v>81</v>
      </c>
      <c r="C567" s="57">
        <v>5529</v>
      </c>
      <c r="D567" s="57" t="s">
        <v>366</v>
      </c>
      <c r="E567" s="57" t="s">
        <v>353</v>
      </c>
      <c r="F567" s="57">
        <v>104</v>
      </c>
      <c r="G567" s="57" t="s">
        <v>347</v>
      </c>
      <c r="H567" s="57" t="s">
        <v>367</v>
      </c>
      <c r="I567" s="57"/>
    </row>
    <row r="568" spans="1:9" ht="45" x14ac:dyDescent="0.25">
      <c r="A568" s="58"/>
      <c r="B568" s="57" t="s">
        <v>81</v>
      </c>
      <c r="C568" s="57">
        <v>5530</v>
      </c>
      <c r="D568" s="57" t="s">
        <v>41</v>
      </c>
      <c r="E568" s="57" t="s">
        <v>350</v>
      </c>
      <c r="F568" s="57">
        <v>104</v>
      </c>
      <c r="G568" s="57" t="s">
        <v>347</v>
      </c>
      <c r="H568" s="57" t="s">
        <v>363</v>
      </c>
      <c r="I568" s="57"/>
    </row>
    <row r="569" spans="1:9" ht="45" x14ac:dyDescent="0.25">
      <c r="A569" s="58"/>
      <c r="B569" s="57" t="s">
        <v>81</v>
      </c>
      <c r="C569" s="57">
        <v>5530</v>
      </c>
      <c r="D569" s="57" t="s">
        <v>43</v>
      </c>
      <c r="E569" s="57" t="s">
        <v>346</v>
      </c>
      <c r="F569" s="57">
        <v>104</v>
      </c>
      <c r="G569" s="57" t="s">
        <v>347</v>
      </c>
      <c r="H569" s="57" t="s">
        <v>364</v>
      </c>
      <c r="I569" s="57"/>
    </row>
    <row r="570" spans="1:9" ht="60" x14ac:dyDescent="0.25">
      <c r="A570" s="58"/>
      <c r="B570" s="57" t="s">
        <v>81</v>
      </c>
      <c r="C570" s="57">
        <v>5530</v>
      </c>
      <c r="D570" s="57" t="s">
        <v>44</v>
      </c>
      <c r="E570" s="57" t="s">
        <v>353</v>
      </c>
      <c r="F570" s="57">
        <v>104</v>
      </c>
      <c r="G570" s="57" t="s">
        <v>347</v>
      </c>
      <c r="H570" s="57" t="s">
        <v>365</v>
      </c>
      <c r="I570" s="57"/>
    </row>
    <row r="571" spans="1:9" ht="60" x14ac:dyDescent="0.25">
      <c r="A571" s="58"/>
      <c r="B571" s="57" t="s">
        <v>81</v>
      </c>
      <c r="C571" s="57">
        <v>5530</v>
      </c>
      <c r="D571" s="57" t="s">
        <v>366</v>
      </c>
      <c r="E571" s="57" t="s">
        <v>353</v>
      </c>
      <c r="F571" s="57">
        <v>104</v>
      </c>
      <c r="G571" s="57" t="s">
        <v>347</v>
      </c>
      <c r="H571" s="57" t="s">
        <v>367</v>
      </c>
      <c r="I571" s="57"/>
    </row>
    <row r="572" spans="1:9" ht="45" x14ac:dyDescent="0.25">
      <c r="A572" s="58"/>
      <c r="B572" s="57" t="s">
        <v>81</v>
      </c>
      <c r="C572" s="57">
        <v>5531</v>
      </c>
      <c r="D572" s="57" t="s">
        <v>41</v>
      </c>
      <c r="E572" s="57" t="s">
        <v>350</v>
      </c>
      <c r="F572" s="57">
        <v>470</v>
      </c>
      <c r="G572" s="57" t="s">
        <v>347</v>
      </c>
      <c r="H572" s="57" t="s">
        <v>363</v>
      </c>
      <c r="I572" s="57"/>
    </row>
    <row r="573" spans="1:9" ht="45" x14ac:dyDescent="0.25">
      <c r="A573" s="58"/>
      <c r="B573" s="57" t="s">
        <v>81</v>
      </c>
      <c r="C573" s="57">
        <v>5531</v>
      </c>
      <c r="D573" s="57" t="s">
        <v>43</v>
      </c>
      <c r="E573" s="57" t="s">
        <v>346</v>
      </c>
      <c r="F573" s="57">
        <v>470</v>
      </c>
      <c r="G573" s="57" t="s">
        <v>347</v>
      </c>
      <c r="H573" s="57" t="s">
        <v>364</v>
      </c>
      <c r="I573" s="57"/>
    </row>
    <row r="574" spans="1:9" ht="60" x14ac:dyDescent="0.25">
      <c r="A574" s="58"/>
      <c r="B574" s="57" t="s">
        <v>81</v>
      </c>
      <c r="C574" s="57">
        <v>5531</v>
      </c>
      <c r="D574" s="57" t="s">
        <v>44</v>
      </c>
      <c r="E574" s="57" t="s">
        <v>353</v>
      </c>
      <c r="F574" s="57">
        <v>470</v>
      </c>
      <c r="G574" s="57" t="s">
        <v>347</v>
      </c>
      <c r="H574" s="57" t="s">
        <v>365</v>
      </c>
      <c r="I574" s="57"/>
    </row>
    <row r="575" spans="1:9" ht="60" x14ac:dyDescent="0.25">
      <c r="A575" s="58"/>
      <c r="B575" s="57" t="s">
        <v>81</v>
      </c>
      <c r="C575" s="57">
        <v>5531</v>
      </c>
      <c r="D575" s="57" t="s">
        <v>366</v>
      </c>
      <c r="E575" s="57" t="s">
        <v>353</v>
      </c>
      <c r="F575" s="57">
        <v>470</v>
      </c>
      <c r="G575" s="57" t="s">
        <v>347</v>
      </c>
      <c r="H575" s="57" t="s">
        <v>367</v>
      </c>
      <c r="I575" s="57"/>
    </row>
    <row r="576" spans="1:9" ht="45" x14ac:dyDescent="0.25">
      <c r="A576" s="58"/>
      <c r="B576" s="57" t="s">
        <v>81</v>
      </c>
      <c r="C576" s="57">
        <v>5532</v>
      </c>
      <c r="D576" s="57" t="s">
        <v>41</v>
      </c>
      <c r="E576" s="57" t="s">
        <v>350</v>
      </c>
      <c r="F576" s="57">
        <v>104</v>
      </c>
      <c r="G576" s="57" t="s">
        <v>347</v>
      </c>
      <c r="H576" s="57" t="s">
        <v>363</v>
      </c>
      <c r="I576" s="57"/>
    </row>
    <row r="577" spans="1:9" ht="45" x14ac:dyDescent="0.25">
      <c r="A577" s="58"/>
      <c r="B577" s="57" t="s">
        <v>81</v>
      </c>
      <c r="C577" s="57">
        <v>5532</v>
      </c>
      <c r="D577" s="57" t="s">
        <v>43</v>
      </c>
      <c r="E577" s="57" t="s">
        <v>346</v>
      </c>
      <c r="F577" s="57">
        <v>104</v>
      </c>
      <c r="G577" s="57" t="s">
        <v>347</v>
      </c>
      <c r="H577" s="57" t="s">
        <v>364</v>
      </c>
      <c r="I577" s="57"/>
    </row>
    <row r="578" spans="1:9" ht="60" x14ac:dyDescent="0.25">
      <c r="A578" s="58"/>
      <c r="B578" s="57" t="s">
        <v>81</v>
      </c>
      <c r="C578" s="57">
        <v>5532</v>
      </c>
      <c r="D578" s="57" t="s">
        <v>44</v>
      </c>
      <c r="E578" s="57" t="s">
        <v>353</v>
      </c>
      <c r="F578" s="57">
        <v>104</v>
      </c>
      <c r="G578" s="57" t="s">
        <v>347</v>
      </c>
      <c r="H578" s="57" t="s">
        <v>365</v>
      </c>
      <c r="I578" s="57"/>
    </row>
    <row r="579" spans="1:9" ht="60" x14ac:dyDescent="0.25">
      <c r="A579" s="58"/>
      <c r="B579" s="57" t="s">
        <v>81</v>
      </c>
      <c r="C579" s="57">
        <v>5532</v>
      </c>
      <c r="D579" s="57" t="s">
        <v>366</v>
      </c>
      <c r="E579" s="57" t="s">
        <v>353</v>
      </c>
      <c r="F579" s="57">
        <v>104</v>
      </c>
      <c r="G579" s="57" t="s">
        <v>347</v>
      </c>
      <c r="H579" s="57" t="s">
        <v>367</v>
      </c>
      <c r="I579" s="57"/>
    </row>
    <row r="580" spans="1:9" ht="45" x14ac:dyDescent="0.25">
      <c r="A580" s="58"/>
      <c r="B580" s="57" t="s">
        <v>81</v>
      </c>
      <c r="C580" s="57">
        <v>5535</v>
      </c>
      <c r="D580" s="57" t="s">
        <v>41</v>
      </c>
      <c r="E580" s="57" t="s">
        <v>350</v>
      </c>
      <c r="F580" s="57">
        <v>96</v>
      </c>
      <c r="G580" s="57" t="s">
        <v>347</v>
      </c>
      <c r="H580" s="57" t="s">
        <v>363</v>
      </c>
      <c r="I580" s="57"/>
    </row>
    <row r="581" spans="1:9" ht="45" x14ac:dyDescent="0.25">
      <c r="A581" s="58"/>
      <c r="B581" s="57" t="s">
        <v>81</v>
      </c>
      <c r="C581" s="57">
        <v>5535</v>
      </c>
      <c r="D581" s="57" t="s">
        <v>43</v>
      </c>
      <c r="E581" s="57" t="s">
        <v>346</v>
      </c>
      <c r="F581" s="57">
        <v>96</v>
      </c>
      <c r="G581" s="57" t="s">
        <v>347</v>
      </c>
      <c r="H581" s="57" t="s">
        <v>364</v>
      </c>
      <c r="I581" s="57"/>
    </row>
    <row r="582" spans="1:9" ht="60" x14ac:dyDescent="0.25">
      <c r="A582" s="58"/>
      <c r="B582" s="57" t="s">
        <v>81</v>
      </c>
      <c r="C582" s="57">
        <v>5535</v>
      </c>
      <c r="D582" s="57" t="s">
        <v>44</v>
      </c>
      <c r="E582" s="57" t="s">
        <v>353</v>
      </c>
      <c r="F582" s="57">
        <v>96</v>
      </c>
      <c r="G582" s="57" t="s">
        <v>347</v>
      </c>
      <c r="H582" s="57" t="s">
        <v>365</v>
      </c>
      <c r="I582" s="57"/>
    </row>
    <row r="583" spans="1:9" ht="60" x14ac:dyDescent="0.25">
      <c r="A583" s="58"/>
      <c r="B583" s="57" t="s">
        <v>81</v>
      </c>
      <c r="C583" s="57">
        <v>5535</v>
      </c>
      <c r="D583" s="57" t="s">
        <v>366</v>
      </c>
      <c r="E583" s="57" t="s">
        <v>353</v>
      </c>
      <c r="F583" s="57">
        <v>96</v>
      </c>
      <c r="G583" s="57" t="s">
        <v>347</v>
      </c>
      <c r="H583" s="57" t="s">
        <v>367</v>
      </c>
      <c r="I583" s="57"/>
    </row>
    <row r="584" spans="1:9" ht="45" x14ac:dyDescent="0.25">
      <c r="A584" s="58"/>
      <c r="B584" s="57" t="s">
        <v>81</v>
      </c>
      <c r="C584" s="57">
        <v>5536</v>
      </c>
      <c r="D584" s="57" t="s">
        <v>41</v>
      </c>
      <c r="E584" s="57" t="s">
        <v>350</v>
      </c>
      <c r="F584" s="57">
        <v>96</v>
      </c>
      <c r="G584" s="57" t="s">
        <v>347</v>
      </c>
      <c r="H584" s="57" t="s">
        <v>363</v>
      </c>
      <c r="I584" s="57"/>
    </row>
    <row r="585" spans="1:9" ht="45" x14ac:dyDescent="0.25">
      <c r="A585" s="58"/>
      <c r="B585" s="57" t="s">
        <v>81</v>
      </c>
      <c r="C585" s="57">
        <v>5536</v>
      </c>
      <c r="D585" s="57" t="s">
        <v>43</v>
      </c>
      <c r="E585" s="57" t="s">
        <v>346</v>
      </c>
      <c r="F585" s="57">
        <v>96</v>
      </c>
      <c r="G585" s="57" t="s">
        <v>347</v>
      </c>
      <c r="H585" s="57" t="s">
        <v>364</v>
      </c>
      <c r="I585" s="57"/>
    </row>
    <row r="586" spans="1:9" ht="60" x14ac:dyDescent="0.25">
      <c r="A586" s="58"/>
      <c r="B586" s="57" t="s">
        <v>81</v>
      </c>
      <c r="C586" s="57">
        <v>5536</v>
      </c>
      <c r="D586" s="57" t="s">
        <v>44</v>
      </c>
      <c r="E586" s="57" t="s">
        <v>353</v>
      </c>
      <c r="F586" s="57">
        <v>96</v>
      </c>
      <c r="G586" s="57" t="s">
        <v>347</v>
      </c>
      <c r="H586" s="57" t="s">
        <v>365</v>
      </c>
      <c r="I586" s="57"/>
    </row>
    <row r="587" spans="1:9" ht="60" x14ac:dyDescent="0.25">
      <c r="A587" s="58"/>
      <c r="B587" s="57" t="s">
        <v>81</v>
      </c>
      <c r="C587" s="57">
        <v>5536</v>
      </c>
      <c r="D587" s="57" t="s">
        <v>366</v>
      </c>
      <c r="E587" s="57" t="s">
        <v>353</v>
      </c>
      <c r="F587" s="57">
        <v>96</v>
      </c>
      <c r="G587" s="57" t="s">
        <v>347</v>
      </c>
      <c r="H587" s="57" t="s">
        <v>367</v>
      </c>
      <c r="I587" s="57"/>
    </row>
    <row r="588" spans="1:9" ht="45" x14ac:dyDescent="0.25">
      <c r="A588" s="58"/>
      <c r="B588" s="57" t="s">
        <v>81</v>
      </c>
      <c r="C588" s="57">
        <v>5537</v>
      </c>
      <c r="D588" s="57" t="s">
        <v>41</v>
      </c>
      <c r="E588" s="57" t="s">
        <v>350</v>
      </c>
      <c r="F588" s="57">
        <v>93</v>
      </c>
      <c r="G588" s="57" t="s">
        <v>347</v>
      </c>
      <c r="H588" s="57" t="s">
        <v>363</v>
      </c>
      <c r="I588" s="57"/>
    </row>
    <row r="589" spans="1:9" ht="45" x14ac:dyDescent="0.25">
      <c r="A589" s="58"/>
      <c r="B589" s="57" t="s">
        <v>81</v>
      </c>
      <c r="C589" s="57">
        <v>5537</v>
      </c>
      <c r="D589" s="57" t="s">
        <v>43</v>
      </c>
      <c r="E589" s="57" t="s">
        <v>346</v>
      </c>
      <c r="F589" s="57">
        <v>93</v>
      </c>
      <c r="G589" s="57" t="s">
        <v>347</v>
      </c>
      <c r="H589" s="57" t="s">
        <v>364</v>
      </c>
      <c r="I589" s="57"/>
    </row>
    <row r="590" spans="1:9" ht="60" x14ac:dyDescent="0.25">
      <c r="A590" s="58"/>
      <c r="B590" s="57" t="s">
        <v>81</v>
      </c>
      <c r="C590" s="57">
        <v>5537</v>
      </c>
      <c r="D590" s="57" t="s">
        <v>44</v>
      </c>
      <c r="E590" s="57" t="s">
        <v>353</v>
      </c>
      <c r="F590" s="57">
        <v>93</v>
      </c>
      <c r="G590" s="57" t="s">
        <v>347</v>
      </c>
      <c r="H590" s="57" t="s">
        <v>365</v>
      </c>
      <c r="I590" s="57"/>
    </row>
    <row r="591" spans="1:9" ht="60" x14ac:dyDescent="0.25">
      <c r="A591" s="58"/>
      <c r="B591" s="57" t="s">
        <v>81</v>
      </c>
      <c r="C591" s="57">
        <v>5537</v>
      </c>
      <c r="D591" s="57" t="s">
        <v>366</v>
      </c>
      <c r="E591" s="57" t="s">
        <v>353</v>
      </c>
      <c r="F591" s="57">
        <v>93</v>
      </c>
      <c r="G591" s="57" t="s">
        <v>347</v>
      </c>
      <c r="H591" s="57" t="s">
        <v>367</v>
      </c>
      <c r="I591" s="57"/>
    </row>
    <row r="592" spans="1:9" ht="45" x14ac:dyDescent="0.25">
      <c r="A592" s="58"/>
      <c r="B592" s="57" t="s">
        <v>81</v>
      </c>
      <c r="C592" s="57">
        <v>5538</v>
      </c>
      <c r="D592" s="57" t="s">
        <v>41</v>
      </c>
      <c r="E592" s="57" t="s">
        <v>350</v>
      </c>
      <c r="F592" s="57">
        <v>93</v>
      </c>
      <c r="G592" s="57" t="s">
        <v>347</v>
      </c>
      <c r="H592" s="57" t="s">
        <v>363</v>
      </c>
      <c r="I592" s="57"/>
    </row>
    <row r="593" spans="1:9" ht="45" x14ac:dyDescent="0.25">
      <c r="A593" s="58"/>
      <c r="B593" s="57" t="s">
        <v>81</v>
      </c>
      <c r="C593" s="57">
        <v>5538</v>
      </c>
      <c r="D593" s="57" t="s">
        <v>43</v>
      </c>
      <c r="E593" s="57" t="s">
        <v>346</v>
      </c>
      <c r="F593" s="57">
        <v>93</v>
      </c>
      <c r="G593" s="57" t="s">
        <v>347</v>
      </c>
      <c r="H593" s="57" t="s">
        <v>364</v>
      </c>
      <c r="I593" s="57"/>
    </row>
    <row r="594" spans="1:9" ht="60" x14ac:dyDescent="0.25">
      <c r="A594" s="58"/>
      <c r="B594" s="57" t="s">
        <v>81</v>
      </c>
      <c r="C594" s="57">
        <v>5538</v>
      </c>
      <c r="D594" s="57" t="s">
        <v>44</v>
      </c>
      <c r="E594" s="57" t="s">
        <v>353</v>
      </c>
      <c r="F594" s="57">
        <v>93</v>
      </c>
      <c r="G594" s="57" t="s">
        <v>347</v>
      </c>
      <c r="H594" s="57" t="s">
        <v>365</v>
      </c>
      <c r="I594" s="57"/>
    </row>
    <row r="595" spans="1:9" ht="60" x14ac:dyDescent="0.25">
      <c r="A595" s="58"/>
      <c r="B595" s="57" t="s">
        <v>81</v>
      </c>
      <c r="C595" s="57">
        <v>5538</v>
      </c>
      <c r="D595" s="57" t="s">
        <v>366</v>
      </c>
      <c r="E595" s="57" t="s">
        <v>353</v>
      </c>
      <c r="F595" s="57">
        <v>93</v>
      </c>
      <c r="G595" s="57" t="s">
        <v>347</v>
      </c>
      <c r="H595" s="57" t="s">
        <v>367</v>
      </c>
      <c r="I595" s="57"/>
    </row>
    <row r="596" spans="1:9" ht="45" x14ac:dyDescent="0.25">
      <c r="A596" s="58"/>
      <c r="B596" s="57" t="s">
        <v>81</v>
      </c>
      <c r="C596" s="57">
        <v>5539</v>
      </c>
      <c r="D596" s="57" t="s">
        <v>41</v>
      </c>
      <c r="E596" s="57" t="s">
        <v>350</v>
      </c>
      <c r="F596" s="57">
        <v>92</v>
      </c>
      <c r="G596" s="57" t="s">
        <v>347</v>
      </c>
      <c r="H596" s="57" t="s">
        <v>363</v>
      </c>
      <c r="I596" s="57"/>
    </row>
    <row r="597" spans="1:9" ht="45" x14ac:dyDescent="0.25">
      <c r="A597" s="58"/>
      <c r="B597" s="57" t="s">
        <v>81</v>
      </c>
      <c r="C597" s="57">
        <v>5539</v>
      </c>
      <c r="D597" s="57" t="s">
        <v>43</v>
      </c>
      <c r="E597" s="57" t="s">
        <v>346</v>
      </c>
      <c r="F597" s="57">
        <v>92</v>
      </c>
      <c r="G597" s="57" t="s">
        <v>347</v>
      </c>
      <c r="H597" s="57" t="s">
        <v>364</v>
      </c>
      <c r="I597" s="57"/>
    </row>
    <row r="598" spans="1:9" ht="60" x14ac:dyDescent="0.25">
      <c r="A598" s="58"/>
      <c r="B598" s="57" t="s">
        <v>81</v>
      </c>
      <c r="C598" s="57">
        <v>5539</v>
      </c>
      <c r="D598" s="57" t="s">
        <v>44</v>
      </c>
      <c r="E598" s="57" t="s">
        <v>353</v>
      </c>
      <c r="F598" s="57">
        <v>92</v>
      </c>
      <c r="G598" s="57" t="s">
        <v>347</v>
      </c>
      <c r="H598" s="57" t="s">
        <v>365</v>
      </c>
      <c r="I598" s="57"/>
    </row>
    <row r="599" spans="1:9" ht="60" x14ac:dyDescent="0.25">
      <c r="A599" s="58"/>
      <c r="B599" s="57" t="s">
        <v>81</v>
      </c>
      <c r="C599" s="57">
        <v>5539</v>
      </c>
      <c r="D599" s="57" t="s">
        <v>366</v>
      </c>
      <c r="E599" s="57" t="s">
        <v>353</v>
      </c>
      <c r="F599" s="57">
        <v>92</v>
      </c>
      <c r="G599" s="57" t="s">
        <v>347</v>
      </c>
      <c r="H599" s="57" t="s">
        <v>367</v>
      </c>
      <c r="I599" s="57"/>
    </row>
    <row r="600" spans="1:9" ht="45" x14ac:dyDescent="0.25">
      <c r="A600" s="58"/>
      <c r="B600" s="57" t="s">
        <v>81</v>
      </c>
      <c r="C600" s="57">
        <v>5540</v>
      </c>
      <c r="D600" s="57" t="s">
        <v>41</v>
      </c>
      <c r="E600" s="57" t="s">
        <v>350</v>
      </c>
      <c r="F600" s="57">
        <v>90</v>
      </c>
      <c r="G600" s="57" t="s">
        <v>347</v>
      </c>
      <c r="H600" s="57" t="s">
        <v>363</v>
      </c>
      <c r="I600" s="57"/>
    </row>
    <row r="601" spans="1:9" ht="45" x14ac:dyDescent="0.25">
      <c r="A601" s="58"/>
      <c r="B601" s="57" t="s">
        <v>81</v>
      </c>
      <c r="C601" s="57">
        <v>5540</v>
      </c>
      <c r="D601" s="57" t="s">
        <v>43</v>
      </c>
      <c r="E601" s="57" t="s">
        <v>346</v>
      </c>
      <c r="F601" s="57">
        <v>90</v>
      </c>
      <c r="G601" s="57" t="s">
        <v>347</v>
      </c>
      <c r="H601" s="57" t="s">
        <v>364</v>
      </c>
      <c r="I601" s="57"/>
    </row>
    <row r="602" spans="1:9" ht="60" x14ac:dyDescent="0.25">
      <c r="A602" s="58"/>
      <c r="B602" s="57" t="s">
        <v>81</v>
      </c>
      <c r="C602" s="57">
        <v>5540</v>
      </c>
      <c r="D602" s="57" t="s">
        <v>44</v>
      </c>
      <c r="E602" s="57" t="s">
        <v>353</v>
      </c>
      <c r="F602" s="57">
        <v>90</v>
      </c>
      <c r="G602" s="57" t="s">
        <v>347</v>
      </c>
      <c r="H602" s="57" t="s">
        <v>365</v>
      </c>
      <c r="I602" s="57"/>
    </row>
    <row r="603" spans="1:9" ht="60" x14ac:dyDescent="0.25">
      <c r="A603" s="58"/>
      <c r="B603" s="57" t="s">
        <v>81</v>
      </c>
      <c r="C603" s="57">
        <v>5540</v>
      </c>
      <c r="D603" s="57" t="s">
        <v>366</v>
      </c>
      <c r="E603" s="57" t="s">
        <v>353</v>
      </c>
      <c r="F603" s="57">
        <v>90</v>
      </c>
      <c r="G603" s="57" t="s">
        <v>347</v>
      </c>
      <c r="H603" s="57" t="s">
        <v>367</v>
      </c>
      <c r="I603" s="57"/>
    </row>
    <row r="604" spans="1:9" ht="45" x14ac:dyDescent="0.25">
      <c r="A604" s="58"/>
      <c r="B604" s="57" t="s">
        <v>81</v>
      </c>
      <c r="C604" s="57">
        <v>5541</v>
      </c>
      <c r="D604" s="57" t="s">
        <v>41</v>
      </c>
      <c r="E604" s="57" t="s">
        <v>350</v>
      </c>
      <c r="F604" s="57">
        <v>90</v>
      </c>
      <c r="G604" s="57" t="s">
        <v>347</v>
      </c>
      <c r="H604" s="57" t="s">
        <v>363</v>
      </c>
      <c r="I604" s="57"/>
    </row>
    <row r="605" spans="1:9" ht="45" x14ac:dyDescent="0.25">
      <c r="A605" s="58"/>
      <c r="B605" s="57" t="s">
        <v>81</v>
      </c>
      <c r="C605" s="57">
        <v>5541</v>
      </c>
      <c r="D605" s="57" t="s">
        <v>43</v>
      </c>
      <c r="E605" s="57" t="s">
        <v>346</v>
      </c>
      <c r="F605" s="57">
        <v>90</v>
      </c>
      <c r="G605" s="57" t="s">
        <v>347</v>
      </c>
      <c r="H605" s="57" t="s">
        <v>364</v>
      </c>
      <c r="I605" s="57"/>
    </row>
    <row r="606" spans="1:9" ht="60" x14ac:dyDescent="0.25">
      <c r="A606" s="58"/>
      <c r="B606" s="57" t="s">
        <v>81</v>
      </c>
      <c r="C606" s="57">
        <v>5541</v>
      </c>
      <c r="D606" s="57" t="s">
        <v>44</v>
      </c>
      <c r="E606" s="57" t="s">
        <v>353</v>
      </c>
      <c r="F606" s="57">
        <v>90</v>
      </c>
      <c r="G606" s="57" t="s">
        <v>347</v>
      </c>
      <c r="H606" s="57" t="s">
        <v>365</v>
      </c>
      <c r="I606" s="57"/>
    </row>
    <row r="607" spans="1:9" ht="60" x14ac:dyDescent="0.25">
      <c r="A607" s="58"/>
      <c r="B607" s="57" t="s">
        <v>81</v>
      </c>
      <c r="C607" s="57">
        <v>5541</v>
      </c>
      <c r="D607" s="57" t="s">
        <v>366</v>
      </c>
      <c r="E607" s="57" t="s">
        <v>353</v>
      </c>
      <c r="F607" s="57">
        <v>90</v>
      </c>
      <c r="G607" s="57" t="s">
        <v>347</v>
      </c>
      <c r="H607" s="57" t="s">
        <v>367</v>
      </c>
      <c r="I607" s="57"/>
    </row>
    <row r="608" spans="1:9" ht="45" x14ac:dyDescent="0.25">
      <c r="A608" s="58"/>
      <c r="B608" s="57" t="s">
        <v>81</v>
      </c>
      <c r="C608" s="57">
        <v>5545</v>
      </c>
      <c r="D608" s="57" t="s">
        <v>41</v>
      </c>
      <c r="E608" s="57" t="s">
        <v>350</v>
      </c>
      <c r="F608" s="57">
        <v>85</v>
      </c>
      <c r="G608" s="57" t="s">
        <v>347</v>
      </c>
      <c r="H608" s="57" t="s">
        <v>363</v>
      </c>
      <c r="I608" s="57"/>
    </row>
    <row r="609" spans="1:9" ht="45" x14ac:dyDescent="0.25">
      <c r="A609" s="58"/>
      <c r="B609" s="57" t="s">
        <v>81</v>
      </c>
      <c r="C609" s="57">
        <v>5545</v>
      </c>
      <c r="D609" s="57" t="s">
        <v>43</v>
      </c>
      <c r="E609" s="57" t="s">
        <v>346</v>
      </c>
      <c r="F609" s="57">
        <v>85</v>
      </c>
      <c r="G609" s="57" t="s">
        <v>347</v>
      </c>
      <c r="H609" s="57" t="s">
        <v>364</v>
      </c>
      <c r="I609" s="57"/>
    </row>
    <row r="610" spans="1:9" ht="60" x14ac:dyDescent="0.25">
      <c r="A610" s="58"/>
      <c r="B610" s="57" t="s">
        <v>81</v>
      </c>
      <c r="C610" s="57">
        <v>5545</v>
      </c>
      <c r="D610" s="57" t="s">
        <v>44</v>
      </c>
      <c r="E610" s="57" t="s">
        <v>353</v>
      </c>
      <c r="F610" s="57">
        <v>85</v>
      </c>
      <c r="G610" s="57" t="s">
        <v>347</v>
      </c>
      <c r="H610" s="57" t="s">
        <v>365</v>
      </c>
      <c r="I610" s="57"/>
    </row>
    <row r="611" spans="1:9" ht="45" x14ac:dyDescent="0.25">
      <c r="A611" s="58"/>
      <c r="B611" s="57" t="s">
        <v>81</v>
      </c>
      <c r="C611" s="57">
        <v>5547</v>
      </c>
      <c r="D611" s="57" t="s">
        <v>41</v>
      </c>
      <c r="E611" s="57" t="s">
        <v>350</v>
      </c>
      <c r="F611" s="57">
        <v>85</v>
      </c>
      <c r="G611" s="57" t="s">
        <v>347</v>
      </c>
      <c r="H611" s="57" t="s">
        <v>363</v>
      </c>
      <c r="I611" s="57"/>
    </row>
    <row r="612" spans="1:9" ht="45" x14ac:dyDescent="0.25">
      <c r="A612" s="58"/>
      <c r="B612" s="57" t="s">
        <v>81</v>
      </c>
      <c r="C612" s="57">
        <v>5547</v>
      </c>
      <c r="D612" s="57" t="s">
        <v>43</v>
      </c>
      <c r="E612" s="57" t="s">
        <v>346</v>
      </c>
      <c r="F612" s="57">
        <v>85</v>
      </c>
      <c r="G612" s="57" t="s">
        <v>347</v>
      </c>
      <c r="H612" s="57" t="s">
        <v>364</v>
      </c>
      <c r="I612" s="57"/>
    </row>
    <row r="613" spans="1:9" ht="60" x14ac:dyDescent="0.25">
      <c r="A613" s="58"/>
      <c r="B613" s="57" t="s">
        <v>81</v>
      </c>
      <c r="C613" s="57">
        <v>5547</v>
      </c>
      <c r="D613" s="57" t="s">
        <v>44</v>
      </c>
      <c r="E613" s="57" t="s">
        <v>353</v>
      </c>
      <c r="F613" s="57">
        <v>85</v>
      </c>
      <c r="G613" s="57" t="s">
        <v>347</v>
      </c>
      <c r="H613" s="57" t="s">
        <v>365</v>
      </c>
      <c r="I613" s="57"/>
    </row>
    <row r="614" spans="1:9" ht="45" x14ac:dyDescent="0.25">
      <c r="A614" s="58"/>
      <c r="B614" s="57" t="s">
        <v>81</v>
      </c>
      <c r="C614" s="57">
        <v>5548</v>
      </c>
      <c r="D614" s="57" t="s">
        <v>41</v>
      </c>
      <c r="E614" s="57" t="s">
        <v>350</v>
      </c>
      <c r="F614" s="57">
        <v>85</v>
      </c>
      <c r="G614" s="57" t="s">
        <v>347</v>
      </c>
      <c r="H614" s="57" t="s">
        <v>363</v>
      </c>
      <c r="I614" s="57"/>
    </row>
    <row r="615" spans="1:9" ht="45" x14ac:dyDescent="0.25">
      <c r="A615" s="58"/>
      <c r="B615" s="57" t="s">
        <v>81</v>
      </c>
      <c r="C615" s="57">
        <v>5548</v>
      </c>
      <c r="D615" s="57" t="s">
        <v>43</v>
      </c>
      <c r="E615" s="57" t="s">
        <v>346</v>
      </c>
      <c r="F615" s="57">
        <v>85</v>
      </c>
      <c r="G615" s="57" t="s">
        <v>347</v>
      </c>
      <c r="H615" s="57" t="s">
        <v>364</v>
      </c>
      <c r="I615" s="57"/>
    </row>
    <row r="616" spans="1:9" ht="60" x14ac:dyDescent="0.25">
      <c r="A616" s="58"/>
      <c r="B616" s="57" t="s">
        <v>81</v>
      </c>
      <c r="C616" s="57">
        <v>5548</v>
      </c>
      <c r="D616" s="57" t="s">
        <v>44</v>
      </c>
      <c r="E616" s="57" t="s">
        <v>353</v>
      </c>
      <c r="F616" s="57">
        <v>85</v>
      </c>
      <c r="G616" s="57" t="s">
        <v>347</v>
      </c>
      <c r="H616" s="57" t="s">
        <v>365</v>
      </c>
      <c r="I616" s="57"/>
    </row>
    <row r="617" spans="1:9" ht="45" x14ac:dyDescent="0.25">
      <c r="A617" s="58"/>
      <c r="B617" s="57" t="s">
        <v>81</v>
      </c>
      <c r="C617" s="57">
        <v>5549</v>
      </c>
      <c r="D617" s="57" t="s">
        <v>41</v>
      </c>
      <c r="E617" s="57" t="s">
        <v>350</v>
      </c>
      <c r="F617" s="57">
        <v>83</v>
      </c>
      <c r="G617" s="57" t="s">
        <v>347</v>
      </c>
      <c r="H617" s="57" t="s">
        <v>363</v>
      </c>
      <c r="I617" s="57"/>
    </row>
    <row r="618" spans="1:9" ht="45" x14ac:dyDescent="0.25">
      <c r="A618" s="58"/>
      <c r="B618" s="57" t="s">
        <v>81</v>
      </c>
      <c r="C618" s="57">
        <v>5549</v>
      </c>
      <c r="D618" s="57" t="s">
        <v>43</v>
      </c>
      <c r="E618" s="57" t="s">
        <v>346</v>
      </c>
      <c r="F618" s="57">
        <v>83</v>
      </c>
      <c r="G618" s="57" t="s">
        <v>347</v>
      </c>
      <c r="H618" s="57" t="s">
        <v>364</v>
      </c>
      <c r="I618" s="57"/>
    </row>
    <row r="619" spans="1:9" ht="60" x14ac:dyDescent="0.25">
      <c r="A619" s="58"/>
      <c r="B619" s="57" t="s">
        <v>81</v>
      </c>
      <c r="C619" s="57">
        <v>5549</v>
      </c>
      <c r="D619" s="57" t="s">
        <v>44</v>
      </c>
      <c r="E619" s="57" t="s">
        <v>353</v>
      </c>
      <c r="F619" s="57">
        <v>83</v>
      </c>
      <c r="G619" s="57" t="s">
        <v>347</v>
      </c>
      <c r="H619" s="57" t="s">
        <v>365</v>
      </c>
      <c r="I619" s="57"/>
    </row>
    <row r="620" spans="1:9" ht="45" x14ac:dyDescent="0.25">
      <c r="A620" s="58"/>
      <c r="B620" s="57" t="s">
        <v>81</v>
      </c>
      <c r="C620" s="57">
        <v>5551</v>
      </c>
      <c r="D620" s="57" t="s">
        <v>41</v>
      </c>
      <c r="E620" s="57" t="s">
        <v>350</v>
      </c>
      <c r="F620" s="57">
        <v>79</v>
      </c>
      <c r="G620" s="57" t="s">
        <v>347</v>
      </c>
      <c r="H620" s="57" t="s">
        <v>363</v>
      </c>
      <c r="I620" s="57"/>
    </row>
    <row r="621" spans="1:9" ht="45" x14ac:dyDescent="0.25">
      <c r="A621" s="58"/>
      <c r="B621" s="57" t="s">
        <v>81</v>
      </c>
      <c r="C621" s="57">
        <v>5551</v>
      </c>
      <c r="D621" s="57" t="s">
        <v>43</v>
      </c>
      <c r="E621" s="57" t="s">
        <v>346</v>
      </c>
      <c r="F621" s="57">
        <v>79</v>
      </c>
      <c r="G621" s="57" t="s">
        <v>347</v>
      </c>
      <c r="H621" s="57" t="s">
        <v>364</v>
      </c>
      <c r="I621" s="57"/>
    </row>
    <row r="622" spans="1:9" ht="60" x14ac:dyDescent="0.25">
      <c r="A622" s="58"/>
      <c r="B622" s="57" t="s">
        <v>81</v>
      </c>
      <c r="C622" s="57">
        <v>5551</v>
      </c>
      <c r="D622" s="57" t="s">
        <v>44</v>
      </c>
      <c r="E622" s="57" t="s">
        <v>353</v>
      </c>
      <c r="F622" s="57">
        <v>79</v>
      </c>
      <c r="G622" s="57" t="s">
        <v>347</v>
      </c>
      <c r="H622" s="57" t="s">
        <v>365</v>
      </c>
      <c r="I622" s="57"/>
    </row>
    <row r="623" spans="1:9" ht="45" x14ac:dyDescent="0.25">
      <c r="A623" s="58"/>
      <c r="B623" s="57" t="s">
        <v>81</v>
      </c>
      <c r="C623" s="57">
        <v>5552</v>
      </c>
      <c r="D623" s="57" t="s">
        <v>41</v>
      </c>
      <c r="E623" s="57" t="s">
        <v>350</v>
      </c>
      <c r="F623" s="57">
        <v>79</v>
      </c>
      <c r="G623" s="57" t="s">
        <v>347</v>
      </c>
      <c r="H623" s="57" t="s">
        <v>363</v>
      </c>
      <c r="I623" s="57"/>
    </row>
    <row r="624" spans="1:9" ht="45" x14ac:dyDescent="0.25">
      <c r="A624" s="58"/>
      <c r="B624" s="57" t="s">
        <v>81</v>
      </c>
      <c r="C624" s="57">
        <v>5552</v>
      </c>
      <c r="D624" s="57" t="s">
        <v>43</v>
      </c>
      <c r="E624" s="57" t="s">
        <v>346</v>
      </c>
      <c r="F624" s="57">
        <v>79</v>
      </c>
      <c r="G624" s="57" t="s">
        <v>347</v>
      </c>
      <c r="H624" s="57" t="s">
        <v>364</v>
      </c>
      <c r="I624" s="57"/>
    </row>
    <row r="625" spans="1:9" ht="60" x14ac:dyDescent="0.25">
      <c r="A625" s="58"/>
      <c r="B625" s="57" t="s">
        <v>81</v>
      </c>
      <c r="C625" s="57">
        <v>5552</v>
      </c>
      <c r="D625" s="57" t="s">
        <v>44</v>
      </c>
      <c r="E625" s="57" t="s">
        <v>353</v>
      </c>
      <c r="F625" s="57">
        <v>79</v>
      </c>
      <c r="G625" s="57" t="s">
        <v>347</v>
      </c>
      <c r="H625" s="57" t="s">
        <v>365</v>
      </c>
      <c r="I625" s="57"/>
    </row>
    <row r="626" spans="1:9" ht="45" x14ac:dyDescent="0.25">
      <c r="A626" s="58"/>
      <c r="B626" s="57" t="s">
        <v>81</v>
      </c>
      <c r="C626" s="57">
        <v>5553</v>
      </c>
      <c r="D626" s="57" t="s">
        <v>41</v>
      </c>
      <c r="E626" s="57" t="s">
        <v>350</v>
      </c>
      <c r="F626" s="57">
        <v>79</v>
      </c>
      <c r="G626" s="57" t="s">
        <v>347</v>
      </c>
      <c r="H626" s="57" t="s">
        <v>363</v>
      </c>
      <c r="I626" s="57"/>
    </row>
    <row r="627" spans="1:9" ht="45" x14ac:dyDescent="0.25">
      <c r="A627" s="58"/>
      <c r="B627" s="57" t="s">
        <v>81</v>
      </c>
      <c r="C627" s="57">
        <v>5553</v>
      </c>
      <c r="D627" s="57" t="s">
        <v>43</v>
      </c>
      <c r="E627" s="57" t="s">
        <v>346</v>
      </c>
      <c r="F627" s="57">
        <v>79</v>
      </c>
      <c r="G627" s="57" t="s">
        <v>347</v>
      </c>
      <c r="H627" s="57" t="s">
        <v>364</v>
      </c>
      <c r="I627" s="57"/>
    </row>
    <row r="628" spans="1:9" ht="60" x14ac:dyDescent="0.25">
      <c r="A628" s="58"/>
      <c r="B628" s="57" t="s">
        <v>81</v>
      </c>
      <c r="C628" s="57">
        <v>5553</v>
      </c>
      <c r="D628" s="57" t="s">
        <v>44</v>
      </c>
      <c r="E628" s="57" t="s">
        <v>353</v>
      </c>
      <c r="F628" s="57">
        <v>79</v>
      </c>
      <c r="G628" s="57" t="s">
        <v>347</v>
      </c>
      <c r="H628" s="57" t="s">
        <v>365</v>
      </c>
      <c r="I628" s="57"/>
    </row>
    <row r="629" spans="1:9" ht="45" x14ac:dyDescent="0.25">
      <c r="A629" s="58"/>
      <c r="B629" s="57" t="s">
        <v>81</v>
      </c>
      <c r="C629" s="57">
        <v>5554</v>
      </c>
      <c r="D629" s="57" t="s">
        <v>41</v>
      </c>
      <c r="E629" s="57" t="s">
        <v>350</v>
      </c>
      <c r="F629" s="57">
        <v>79</v>
      </c>
      <c r="G629" s="57" t="s">
        <v>347</v>
      </c>
      <c r="H629" s="57" t="s">
        <v>363</v>
      </c>
      <c r="I629" s="57"/>
    </row>
    <row r="630" spans="1:9" ht="45" x14ac:dyDescent="0.25">
      <c r="A630" s="58"/>
      <c r="B630" s="57" t="s">
        <v>81</v>
      </c>
      <c r="C630" s="57">
        <v>5554</v>
      </c>
      <c r="D630" s="57" t="s">
        <v>43</v>
      </c>
      <c r="E630" s="57" t="s">
        <v>346</v>
      </c>
      <c r="F630" s="57">
        <v>79</v>
      </c>
      <c r="G630" s="57" t="s">
        <v>347</v>
      </c>
      <c r="H630" s="57" t="s">
        <v>364</v>
      </c>
      <c r="I630" s="57"/>
    </row>
    <row r="631" spans="1:9" ht="60" x14ac:dyDescent="0.25">
      <c r="A631" s="58"/>
      <c r="B631" s="57" t="s">
        <v>81</v>
      </c>
      <c r="C631" s="57">
        <v>5554</v>
      </c>
      <c r="D631" s="57" t="s">
        <v>44</v>
      </c>
      <c r="E631" s="57" t="s">
        <v>353</v>
      </c>
      <c r="F631" s="57">
        <v>79</v>
      </c>
      <c r="G631" s="57" t="s">
        <v>347</v>
      </c>
      <c r="H631" s="57" t="s">
        <v>365</v>
      </c>
      <c r="I631" s="57"/>
    </row>
    <row r="632" spans="1:9" ht="45" x14ac:dyDescent="0.25">
      <c r="A632" s="58"/>
      <c r="B632" s="57" t="s">
        <v>81</v>
      </c>
      <c r="C632" s="57">
        <v>5557</v>
      </c>
      <c r="D632" s="57" t="s">
        <v>41</v>
      </c>
      <c r="E632" s="57" t="s">
        <v>350</v>
      </c>
      <c r="F632" s="57">
        <v>78</v>
      </c>
      <c r="G632" s="57" t="s">
        <v>347</v>
      </c>
      <c r="H632" s="57" t="s">
        <v>363</v>
      </c>
      <c r="I632" s="57"/>
    </row>
    <row r="633" spans="1:9" ht="45" x14ac:dyDescent="0.25">
      <c r="A633" s="58"/>
      <c r="B633" s="57" t="s">
        <v>81</v>
      </c>
      <c r="C633" s="57">
        <v>5557</v>
      </c>
      <c r="D633" s="57" t="s">
        <v>43</v>
      </c>
      <c r="E633" s="57" t="s">
        <v>346</v>
      </c>
      <c r="F633" s="57">
        <v>78</v>
      </c>
      <c r="G633" s="57" t="s">
        <v>347</v>
      </c>
      <c r="H633" s="57" t="s">
        <v>364</v>
      </c>
      <c r="I633" s="57"/>
    </row>
    <row r="634" spans="1:9" ht="60" x14ac:dyDescent="0.25">
      <c r="A634" s="58"/>
      <c r="B634" s="57" t="s">
        <v>81</v>
      </c>
      <c r="C634" s="57">
        <v>5557</v>
      </c>
      <c r="D634" s="57" t="s">
        <v>44</v>
      </c>
      <c r="E634" s="57" t="s">
        <v>353</v>
      </c>
      <c r="F634" s="57">
        <v>78</v>
      </c>
      <c r="G634" s="57" t="s">
        <v>347</v>
      </c>
      <c r="H634" s="57" t="s">
        <v>365</v>
      </c>
      <c r="I634" s="57"/>
    </row>
    <row r="635" spans="1:9" ht="45" x14ac:dyDescent="0.25">
      <c r="A635" s="58"/>
      <c r="B635" s="57" t="s">
        <v>81</v>
      </c>
      <c r="C635" s="57">
        <v>5558</v>
      </c>
      <c r="D635" s="57" t="s">
        <v>41</v>
      </c>
      <c r="E635" s="57" t="s">
        <v>350</v>
      </c>
      <c r="F635" s="57">
        <v>77</v>
      </c>
      <c r="G635" s="57" t="s">
        <v>347</v>
      </c>
      <c r="H635" s="57" t="s">
        <v>363</v>
      </c>
      <c r="I635" s="57"/>
    </row>
    <row r="636" spans="1:9" ht="45" x14ac:dyDescent="0.25">
      <c r="A636" s="58"/>
      <c r="B636" s="57" t="s">
        <v>81</v>
      </c>
      <c r="C636" s="57">
        <v>5558</v>
      </c>
      <c r="D636" s="57" t="s">
        <v>43</v>
      </c>
      <c r="E636" s="57" t="s">
        <v>346</v>
      </c>
      <c r="F636" s="57">
        <v>77</v>
      </c>
      <c r="G636" s="57" t="s">
        <v>347</v>
      </c>
      <c r="H636" s="57" t="s">
        <v>364</v>
      </c>
      <c r="I636" s="57"/>
    </row>
    <row r="637" spans="1:9" ht="60" x14ac:dyDescent="0.25">
      <c r="A637" s="58"/>
      <c r="B637" s="57" t="s">
        <v>81</v>
      </c>
      <c r="C637" s="57">
        <v>5558</v>
      </c>
      <c r="D637" s="57" t="s">
        <v>44</v>
      </c>
      <c r="E637" s="57" t="s">
        <v>353</v>
      </c>
      <c r="F637" s="57">
        <v>77</v>
      </c>
      <c r="G637" s="57" t="s">
        <v>347</v>
      </c>
      <c r="H637" s="57" t="s">
        <v>365</v>
      </c>
      <c r="I637" s="57"/>
    </row>
    <row r="638" spans="1:9" ht="45" x14ac:dyDescent="0.25">
      <c r="A638" s="58"/>
      <c r="B638" s="57" t="s">
        <v>81</v>
      </c>
      <c r="C638" s="57">
        <v>5559</v>
      </c>
      <c r="D638" s="57" t="s">
        <v>41</v>
      </c>
      <c r="E638" s="57" t="s">
        <v>350</v>
      </c>
      <c r="F638" s="57">
        <v>77</v>
      </c>
      <c r="G638" s="57" t="s">
        <v>347</v>
      </c>
      <c r="H638" s="57" t="s">
        <v>363</v>
      </c>
      <c r="I638" s="57"/>
    </row>
    <row r="639" spans="1:9" ht="45" x14ac:dyDescent="0.25">
      <c r="A639" s="58"/>
      <c r="B639" s="57" t="s">
        <v>81</v>
      </c>
      <c r="C639" s="57">
        <v>5559</v>
      </c>
      <c r="D639" s="57" t="s">
        <v>43</v>
      </c>
      <c r="E639" s="57" t="s">
        <v>346</v>
      </c>
      <c r="F639" s="57">
        <v>77</v>
      </c>
      <c r="G639" s="57" t="s">
        <v>347</v>
      </c>
      <c r="H639" s="57" t="s">
        <v>364</v>
      </c>
      <c r="I639" s="57"/>
    </row>
    <row r="640" spans="1:9" ht="60" x14ac:dyDescent="0.25">
      <c r="A640" s="58"/>
      <c r="B640" s="57" t="s">
        <v>81</v>
      </c>
      <c r="C640" s="57">
        <v>5559</v>
      </c>
      <c r="D640" s="57" t="s">
        <v>44</v>
      </c>
      <c r="E640" s="57" t="s">
        <v>353</v>
      </c>
      <c r="F640" s="57">
        <v>77</v>
      </c>
      <c r="G640" s="57" t="s">
        <v>347</v>
      </c>
      <c r="H640" s="57" t="s">
        <v>365</v>
      </c>
      <c r="I640" s="57"/>
    </row>
    <row r="641" spans="1:9" ht="45" x14ac:dyDescent="0.25">
      <c r="A641" s="58"/>
      <c r="B641" s="57" t="s">
        <v>81</v>
      </c>
      <c r="C641" s="57">
        <v>5560</v>
      </c>
      <c r="D641" s="57" t="s">
        <v>41</v>
      </c>
      <c r="E641" s="57" t="s">
        <v>350</v>
      </c>
      <c r="F641" s="57">
        <v>76</v>
      </c>
      <c r="G641" s="57" t="s">
        <v>347</v>
      </c>
      <c r="H641" s="57" t="s">
        <v>363</v>
      </c>
      <c r="I641" s="57"/>
    </row>
    <row r="642" spans="1:9" ht="45" x14ac:dyDescent="0.25">
      <c r="A642" s="58"/>
      <c r="B642" s="57" t="s">
        <v>81</v>
      </c>
      <c r="C642" s="57">
        <v>5560</v>
      </c>
      <c r="D642" s="57" t="s">
        <v>43</v>
      </c>
      <c r="E642" s="57" t="s">
        <v>346</v>
      </c>
      <c r="F642" s="57">
        <v>76</v>
      </c>
      <c r="G642" s="57" t="s">
        <v>347</v>
      </c>
      <c r="H642" s="57" t="s">
        <v>364</v>
      </c>
      <c r="I642" s="57"/>
    </row>
    <row r="643" spans="1:9" ht="60" x14ac:dyDescent="0.25">
      <c r="A643" s="58"/>
      <c r="B643" s="57" t="s">
        <v>81</v>
      </c>
      <c r="C643" s="57">
        <v>5560</v>
      </c>
      <c r="D643" s="57" t="s">
        <v>44</v>
      </c>
      <c r="E643" s="57" t="s">
        <v>353</v>
      </c>
      <c r="F643" s="57">
        <v>76</v>
      </c>
      <c r="G643" s="57" t="s">
        <v>347</v>
      </c>
      <c r="H643" s="57" t="s">
        <v>365</v>
      </c>
      <c r="I643" s="57"/>
    </row>
    <row r="644" spans="1:9" ht="45" x14ac:dyDescent="0.25">
      <c r="A644" s="58"/>
      <c r="B644" s="57" t="s">
        <v>81</v>
      </c>
      <c r="C644" s="57">
        <v>5561</v>
      </c>
      <c r="D644" s="57" t="s">
        <v>41</v>
      </c>
      <c r="E644" s="57" t="s">
        <v>350</v>
      </c>
      <c r="F644" s="57">
        <v>76</v>
      </c>
      <c r="G644" s="57" t="s">
        <v>347</v>
      </c>
      <c r="H644" s="57" t="s">
        <v>363</v>
      </c>
      <c r="I644" s="57"/>
    </row>
    <row r="645" spans="1:9" ht="45" x14ac:dyDescent="0.25">
      <c r="A645" s="58"/>
      <c r="B645" s="57" t="s">
        <v>81</v>
      </c>
      <c r="C645" s="57">
        <v>5561</v>
      </c>
      <c r="D645" s="57" t="s">
        <v>43</v>
      </c>
      <c r="E645" s="57" t="s">
        <v>346</v>
      </c>
      <c r="F645" s="57">
        <v>76</v>
      </c>
      <c r="G645" s="57" t="s">
        <v>347</v>
      </c>
      <c r="H645" s="57" t="s">
        <v>364</v>
      </c>
      <c r="I645" s="57"/>
    </row>
    <row r="646" spans="1:9" ht="60" x14ac:dyDescent="0.25">
      <c r="A646" s="58"/>
      <c r="B646" s="57" t="s">
        <v>81</v>
      </c>
      <c r="C646" s="57">
        <v>5561</v>
      </c>
      <c r="D646" s="57" t="s">
        <v>44</v>
      </c>
      <c r="E646" s="57" t="s">
        <v>353</v>
      </c>
      <c r="F646" s="57">
        <v>76</v>
      </c>
      <c r="G646" s="57" t="s">
        <v>347</v>
      </c>
      <c r="H646" s="57" t="s">
        <v>365</v>
      </c>
      <c r="I646" s="57"/>
    </row>
    <row r="647" spans="1:9" ht="45" x14ac:dyDescent="0.25">
      <c r="A647" s="58"/>
      <c r="B647" s="57" t="s">
        <v>81</v>
      </c>
      <c r="C647" s="57">
        <v>5563</v>
      </c>
      <c r="D647" s="57" t="s">
        <v>41</v>
      </c>
      <c r="E647" s="57" t="s">
        <v>350</v>
      </c>
      <c r="F647" s="57">
        <v>72</v>
      </c>
      <c r="G647" s="57" t="s">
        <v>347</v>
      </c>
      <c r="H647" s="57" t="s">
        <v>363</v>
      </c>
      <c r="I647" s="57"/>
    </row>
    <row r="648" spans="1:9" ht="45" x14ac:dyDescent="0.25">
      <c r="A648" s="58"/>
      <c r="B648" s="57" t="s">
        <v>81</v>
      </c>
      <c r="C648" s="57">
        <v>5563</v>
      </c>
      <c r="D648" s="57" t="s">
        <v>43</v>
      </c>
      <c r="E648" s="57" t="s">
        <v>346</v>
      </c>
      <c r="F648" s="57">
        <v>72</v>
      </c>
      <c r="G648" s="57" t="s">
        <v>347</v>
      </c>
      <c r="H648" s="57" t="s">
        <v>364</v>
      </c>
      <c r="I648" s="57"/>
    </row>
    <row r="649" spans="1:9" ht="60" x14ac:dyDescent="0.25">
      <c r="A649" s="58"/>
      <c r="B649" s="57" t="s">
        <v>81</v>
      </c>
      <c r="C649" s="57">
        <v>5563</v>
      </c>
      <c r="D649" s="57" t="s">
        <v>44</v>
      </c>
      <c r="E649" s="57" t="s">
        <v>353</v>
      </c>
      <c r="F649" s="57">
        <v>72</v>
      </c>
      <c r="G649" s="57" t="s">
        <v>347</v>
      </c>
      <c r="H649" s="57" t="s">
        <v>365</v>
      </c>
      <c r="I649" s="57"/>
    </row>
    <row r="650" spans="1:9" ht="45" x14ac:dyDescent="0.25">
      <c r="A650" s="58"/>
      <c r="B650" s="57" t="s">
        <v>81</v>
      </c>
      <c r="C650" s="57">
        <v>5566</v>
      </c>
      <c r="D650" s="57" t="s">
        <v>41</v>
      </c>
      <c r="E650" s="57" t="s">
        <v>350</v>
      </c>
      <c r="F650" s="57">
        <v>71</v>
      </c>
      <c r="G650" s="57" t="s">
        <v>347</v>
      </c>
      <c r="H650" s="57" t="s">
        <v>363</v>
      </c>
      <c r="I650" s="57"/>
    </row>
    <row r="651" spans="1:9" ht="45" x14ac:dyDescent="0.25">
      <c r="A651" s="58"/>
      <c r="B651" s="57" t="s">
        <v>81</v>
      </c>
      <c r="C651" s="57">
        <v>5566</v>
      </c>
      <c r="D651" s="57" t="s">
        <v>43</v>
      </c>
      <c r="E651" s="57" t="s">
        <v>346</v>
      </c>
      <c r="F651" s="57">
        <v>71</v>
      </c>
      <c r="G651" s="57" t="s">
        <v>347</v>
      </c>
      <c r="H651" s="57" t="s">
        <v>364</v>
      </c>
      <c r="I651" s="57"/>
    </row>
    <row r="652" spans="1:9" ht="60" x14ac:dyDescent="0.25">
      <c r="A652" s="58"/>
      <c r="B652" s="57" t="s">
        <v>81</v>
      </c>
      <c r="C652" s="57">
        <v>5566</v>
      </c>
      <c r="D652" s="57" t="s">
        <v>44</v>
      </c>
      <c r="E652" s="57" t="s">
        <v>353</v>
      </c>
      <c r="F652" s="57">
        <v>71</v>
      </c>
      <c r="G652" s="57" t="s">
        <v>347</v>
      </c>
      <c r="H652" s="57" t="s">
        <v>365</v>
      </c>
      <c r="I652" s="57"/>
    </row>
    <row r="653" spans="1:9" ht="45" x14ac:dyDescent="0.25">
      <c r="A653" s="58"/>
      <c r="B653" s="57" t="s">
        <v>81</v>
      </c>
      <c r="C653" s="57">
        <v>5567</v>
      </c>
      <c r="D653" s="57" t="s">
        <v>41</v>
      </c>
      <c r="E653" s="57" t="s">
        <v>350</v>
      </c>
      <c r="F653" s="57">
        <v>71</v>
      </c>
      <c r="G653" s="57" t="s">
        <v>347</v>
      </c>
      <c r="H653" s="57" t="s">
        <v>363</v>
      </c>
      <c r="I653" s="57"/>
    </row>
    <row r="654" spans="1:9" ht="45" x14ac:dyDescent="0.25">
      <c r="A654" s="58"/>
      <c r="B654" s="57" t="s">
        <v>81</v>
      </c>
      <c r="C654" s="57">
        <v>5567</v>
      </c>
      <c r="D654" s="57" t="s">
        <v>43</v>
      </c>
      <c r="E654" s="57" t="s">
        <v>346</v>
      </c>
      <c r="F654" s="57">
        <v>71</v>
      </c>
      <c r="G654" s="57" t="s">
        <v>347</v>
      </c>
      <c r="H654" s="57" t="s">
        <v>364</v>
      </c>
      <c r="I654" s="57"/>
    </row>
    <row r="655" spans="1:9" ht="60" x14ac:dyDescent="0.25">
      <c r="A655" s="58"/>
      <c r="B655" s="57" t="s">
        <v>81</v>
      </c>
      <c r="C655" s="57">
        <v>5567</v>
      </c>
      <c r="D655" s="57" t="s">
        <v>44</v>
      </c>
      <c r="E655" s="57" t="s">
        <v>353</v>
      </c>
      <c r="F655" s="57">
        <v>71</v>
      </c>
      <c r="G655" s="57" t="s">
        <v>347</v>
      </c>
      <c r="H655" s="57" t="s">
        <v>365</v>
      </c>
      <c r="I655" s="57"/>
    </row>
    <row r="656" spans="1:9" ht="45" x14ac:dyDescent="0.25">
      <c r="A656" s="58"/>
      <c r="B656" s="57" t="s">
        <v>81</v>
      </c>
      <c r="C656" s="57">
        <v>5568</v>
      </c>
      <c r="D656" s="57" t="s">
        <v>41</v>
      </c>
      <c r="E656" s="57" t="s">
        <v>350</v>
      </c>
      <c r="F656" s="57">
        <v>71</v>
      </c>
      <c r="G656" s="57" t="s">
        <v>347</v>
      </c>
      <c r="H656" s="57" t="s">
        <v>363</v>
      </c>
      <c r="I656" s="57"/>
    </row>
    <row r="657" spans="1:9" ht="45" x14ac:dyDescent="0.25">
      <c r="A657" s="58"/>
      <c r="B657" s="57" t="s">
        <v>81</v>
      </c>
      <c r="C657" s="57">
        <v>5568</v>
      </c>
      <c r="D657" s="57" t="s">
        <v>43</v>
      </c>
      <c r="E657" s="57" t="s">
        <v>346</v>
      </c>
      <c r="F657" s="57">
        <v>71</v>
      </c>
      <c r="G657" s="57" t="s">
        <v>347</v>
      </c>
      <c r="H657" s="57" t="s">
        <v>364</v>
      </c>
      <c r="I657" s="57"/>
    </row>
    <row r="658" spans="1:9" ht="60" x14ac:dyDescent="0.25">
      <c r="A658" s="58"/>
      <c r="B658" s="57" t="s">
        <v>81</v>
      </c>
      <c r="C658" s="57">
        <v>5568</v>
      </c>
      <c r="D658" s="57" t="s">
        <v>44</v>
      </c>
      <c r="E658" s="57" t="s">
        <v>353</v>
      </c>
      <c r="F658" s="57">
        <v>71</v>
      </c>
      <c r="G658" s="57" t="s">
        <v>347</v>
      </c>
      <c r="H658" s="57" t="s">
        <v>365</v>
      </c>
      <c r="I658" s="57"/>
    </row>
    <row r="659" spans="1:9" ht="45" x14ac:dyDescent="0.25">
      <c r="A659" s="58"/>
      <c r="B659" s="57" t="s">
        <v>81</v>
      </c>
      <c r="C659" s="57">
        <v>5569</v>
      </c>
      <c r="D659" s="57" t="s">
        <v>41</v>
      </c>
      <c r="E659" s="57" t="s">
        <v>350</v>
      </c>
      <c r="F659" s="57">
        <v>70</v>
      </c>
      <c r="G659" s="57" t="s">
        <v>347</v>
      </c>
      <c r="H659" s="57" t="s">
        <v>363</v>
      </c>
      <c r="I659" s="57"/>
    </row>
    <row r="660" spans="1:9" ht="45" x14ac:dyDescent="0.25">
      <c r="A660" s="58"/>
      <c r="B660" s="57" t="s">
        <v>81</v>
      </c>
      <c r="C660" s="57">
        <v>5569</v>
      </c>
      <c r="D660" s="57" t="s">
        <v>43</v>
      </c>
      <c r="E660" s="57" t="s">
        <v>346</v>
      </c>
      <c r="F660" s="57">
        <v>70</v>
      </c>
      <c r="G660" s="57" t="s">
        <v>347</v>
      </c>
      <c r="H660" s="57" t="s">
        <v>364</v>
      </c>
      <c r="I660" s="57"/>
    </row>
    <row r="661" spans="1:9" ht="60" x14ac:dyDescent="0.25">
      <c r="A661" s="58"/>
      <c r="B661" s="57" t="s">
        <v>81</v>
      </c>
      <c r="C661" s="57">
        <v>5569</v>
      </c>
      <c r="D661" s="57" t="s">
        <v>44</v>
      </c>
      <c r="E661" s="57" t="s">
        <v>353</v>
      </c>
      <c r="F661" s="57">
        <v>70</v>
      </c>
      <c r="G661" s="57" t="s">
        <v>347</v>
      </c>
      <c r="H661" s="57" t="s">
        <v>365</v>
      </c>
      <c r="I661" s="57"/>
    </row>
    <row r="662" spans="1:9" ht="45" x14ac:dyDescent="0.25">
      <c r="A662" s="58"/>
      <c r="B662" s="57" t="s">
        <v>81</v>
      </c>
      <c r="C662" s="57">
        <v>5573</v>
      </c>
      <c r="D662" s="57" t="s">
        <v>41</v>
      </c>
      <c r="E662" s="57" t="s">
        <v>350</v>
      </c>
      <c r="F662" s="57">
        <v>69</v>
      </c>
      <c r="G662" s="57" t="s">
        <v>347</v>
      </c>
      <c r="H662" s="57" t="s">
        <v>363</v>
      </c>
      <c r="I662" s="57"/>
    </row>
    <row r="663" spans="1:9" ht="45" x14ac:dyDescent="0.25">
      <c r="A663" s="58"/>
      <c r="B663" s="57" t="s">
        <v>81</v>
      </c>
      <c r="C663" s="57">
        <v>5573</v>
      </c>
      <c r="D663" s="57" t="s">
        <v>43</v>
      </c>
      <c r="E663" s="57" t="s">
        <v>346</v>
      </c>
      <c r="F663" s="57">
        <v>69</v>
      </c>
      <c r="G663" s="57" t="s">
        <v>347</v>
      </c>
      <c r="H663" s="57" t="s">
        <v>364</v>
      </c>
      <c r="I663" s="57"/>
    </row>
    <row r="664" spans="1:9" ht="60" x14ac:dyDescent="0.25">
      <c r="A664" s="58"/>
      <c r="B664" s="57" t="s">
        <v>81</v>
      </c>
      <c r="C664" s="57">
        <v>5573</v>
      </c>
      <c r="D664" s="57" t="s">
        <v>44</v>
      </c>
      <c r="E664" s="57" t="s">
        <v>353</v>
      </c>
      <c r="F664" s="57">
        <v>69</v>
      </c>
      <c r="G664" s="57" t="s">
        <v>347</v>
      </c>
      <c r="H664" s="57" t="s">
        <v>365</v>
      </c>
      <c r="I664" s="57"/>
    </row>
    <row r="665" spans="1:9" ht="45" x14ac:dyDescent="0.25">
      <c r="A665" s="58"/>
      <c r="B665" s="57" t="s">
        <v>81</v>
      </c>
      <c r="C665" s="57">
        <v>5580</v>
      </c>
      <c r="D665" s="57" t="s">
        <v>41</v>
      </c>
      <c r="E665" s="57" t="s">
        <v>350</v>
      </c>
      <c r="F665" s="57">
        <v>62</v>
      </c>
      <c r="G665" s="57" t="s">
        <v>347</v>
      </c>
      <c r="H665" s="57" t="s">
        <v>363</v>
      </c>
      <c r="I665" s="57"/>
    </row>
    <row r="666" spans="1:9" ht="45" x14ac:dyDescent="0.25">
      <c r="A666" s="58"/>
      <c r="B666" s="57" t="s">
        <v>81</v>
      </c>
      <c r="C666" s="57">
        <v>5580</v>
      </c>
      <c r="D666" s="57" t="s">
        <v>43</v>
      </c>
      <c r="E666" s="57" t="s">
        <v>346</v>
      </c>
      <c r="F666" s="57">
        <v>62</v>
      </c>
      <c r="G666" s="57" t="s">
        <v>347</v>
      </c>
      <c r="H666" s="57" t="s">
        <v>364</v>
      </c>
      <c r="I666" s="57"/>
    </row>
    <row r="667" spans="1:9" ht="60" x14ac:dyDescent="0.25">
      <c r="A667" s="58"/>
      <c r="B667" s="57" t="s">
        <v>81</v>
      </c>
      <c r="C667" s="57">
        <v>5580</v>
      </c>
      <c r="D667" s="57" t="s">
        <v>44</v>
      </c>
      <c r="E667" s="57" t="s">
        <v>353</v>
      </c>
      <c r="F667" s="57">
        <v>62</v>
      </c>
      <c r="G667" s="57" t="s">
        <v>347</v>
      </c>
      <c r="H667" s="57" t="s">
        <v>365</v>
      </c>
      <c r="I667" s="57"/>
    </row>
    <row r="668" spans="1:9" ht="45" x14ac:dyDescent="0.25">
      <c r="A668" s="58"/>
      <c r="B668" s="57" t="s">
        <v>81</v>
      </c>
      <c r="C668" s="57">
        <v>5581</v>
      </c>
      <c r="D668" s="57" t="s">
        <v>41</v>
      </c>
      <c r="E668" s="57" t="s">
        <v>350</v>
      </c>
      <c r="F668" s="57">
        <v>62</v>
      </c>
      <c r="G668" s="57" t="s">
        <v>347</v>
      </c>
      <c r="H668" s="57" t="s">
        <v>363</v>
      </c>
      <c r="I668" s="57"/>
    </row>
    <row r="669" spans="1:9" ht="45" x14ac:dyDescent="0.25">
      <c r="A669" s="58"/>
      <c r="B669" s="57" t="s">
        <v>81</v>
      </c>
      <c r="C669" s="57">
        <v>5581</v>
      </c>
      <c r="D669" s="57" t="s">
        <v>43</v>
      </c>
      <c r="E669" s="57" t="s">
        <v>346</v>
      </c>
      <c r="F669" s="57">
        <v>62</v>
      </c>
      <c r="G669" s="57" t="s">
        <v>347</v>
      </c>
      <c r="H669" s="57" t="s">
        <v>364</v>
      </c>
      <c r="I669" s="57"/>
    </row>
    <row r="670" spans="1:9" ht="60" x14ac:dyDescent="0.25">
      <c r="A670" s="58"/>
      <c r="B670" s="57" t="s">
        <v>81</v>
      </c>
      <c r="C670" s="57">
        <v>5581</v>
      </c>
      <c r="D670" s="57" t="s">
        <v>44</v>
      </c>
      <c r="E670" s="57" t="s">
        <v>353</v>
      </c>
      <c r="F670" s="57">
        <v>62</v>
      </c>
      <c r="G670" s="57" t="s">
        <v>347</v>
      </c>
      <c r="H670" s="57" t="s">
        <v>365</v>
      </c>
      <c r="I670" s="57"/>
    </row>
    <row r="671" spans="1:9" ht="45" x14ac:dyDescent="0.25">
      <c r="A671" s="58"/>
      <c r="B671" s="57" t="s">
        <v>81</v>
      </c>
      <c r="C671" s="57">
        <v>5583</v>
      </c>
      <c r="D671" s="57" t="s">
        <v>41</v>
      </c>
      <c r="E671" s="57" t="s">
        <v>350</v>
      </c>
      <c r="F671" s="57">
        <v>62</v>
      </c>
      <c r="G671" s="57" t="s">
        <v>347</v>
      </c>
      <c r="H671" s="57" t="s">
        <v>363</v>
      </c>
      <c r="I671" s="57"/>
    </row>
    <row r="672" spans="1:9" ht="45" x14ac:dyDescent="0.25">
      <c r="A672" s="58"/>
      <c r="B672" s="57" t="s">
        <v>81</v>
      </c>
      <c r="C672" s="57">
        <v>5583</v>
      </c>
      <c r="D672" s="57" t="s">
        <v>43</v>
      </c>
      <c r="E672" s="57" t="s">
        <v>346</v>
      </c>
      <c r="F672" s="57">
        <v>62</v>
      </c>
      <c r="G672" s="57" t="s">
        <v>347</v>
      </c>
      <c r="H672" s="57" t="s">
        <v>364</v>
      </c>
      <c r="I672" s="57"/>
    </row>
    <row r="673" spans="1:9" ht="60" x14ac:dyDescent="0.25">
      <c r="A673" s="58"/>
      <c r="B673" s="57" t="s">
        <v>81</v>
      </c>
      <c r="C673" s="57">
        <v>5583</v>
      </c>
      <c r="D673" s="57" t="s">
        <v>44</v>
      </c>
      <c r="E673" s="57" t="s">
        <v>353</v>
      </c>
      <c r="F673" s="57">
        <v>62</v>
      </c>
      <c r="G673" s="57" t="s">
        <v>347</v>
      </c>
      <c r="H673" s="57" t="s">
        <v>365</v>
      </c>
      <c r="I673" s="57"/>
    </row>
    <row r="674" spans="1:9" ht="45" x14ac:dyDescent="0.25">
      <c r="A674" s="58"/>
      <c r="B674" s="57" t="s">
        <v>81</v>
      </c>
      <c r="C674" s="57">
        <v>5585</v>
      </c>
      <c r="D674" s="57" t="s">
        <v>41</v>
      </c>
      <c r="E674" s="57" t="s">
        <v>350</v>
      </c>
      <c r="F674" s="57">
        <v>61</v>
      </c>
      <c r="G674" s="57" t="s">
        <v>347</v>
      </c>
      <c r="H674" s="57" t="s">
        <v>363</v>
      </c>
      <c r="I674" s="57"/>
    </row>
    <row r="675" spans="1:9" ht="45" x14ac:dyDescent="0.25">
      <c r="A675" s="58"/>
      <c r="B675" s="57" t="s">
        <v>81</v>
      </c>
      <c r="C675" s="57">
        <v>5585</v>
      </c>
      <c r="D675" s="57" t="s">
        <v>43</v>
      </c>
      <c r="E675" s="57" t="s">
        <v>346</v>
      </c>
      <c r="F675" s="57">
        <v>61</v>
      </c>
      <c r="G675" s="57" t="s">
        <v>347</v>
      </c>
      <c r="H675" s="57" t="s">
        <v>364</v>
      </c>
      <c r="I675" s="57"/>
    </row>
    <row r="676" spans="1:9" ht="60" x14ac:dyDescent="0.25">
      <c r="A676" s="58"/>
      <c r="B676" s="57" t="s">
        <v>81</v>
      </c>
      <c r="C676" s="57">
        <v>5585</v>
      </c>
      <c r="D676" s="57" t="s">
        <v>44</v>
      </c>
      <c r="E676" s="57" t="s">
        <v>353</v>
      </c>
      <c r="F676" s="57">
        <v>61</v>
      </c>
      <c r="G676" s="57" t="s">
        <v>347</v>
      </c>
      <c r="H676" s="57" t="s">
        <v>365</v>
      </c>
      <c r="I676" s="57"/>
    </row>
    <row r="677" spans="1:9" ht="45" x14ac:dyDescent="0.25">
      <c r="A677" s="58"/>
      <c r="B677" s="57" t="s">
        <v>81</v>
      </c>
      <c r="C677" s="57">
        <v>5586</v>
      </c>
      <c r="D677" s="57" t="s">
        <v>41</v>
      </c>
      <c r="E677" s="57" t="s">
        <v>350</v>
      </c>
      <c r="F677" s="57">
        <v>61</v>
      </c>
      <c r="G677" s="57" t="s">
        <v>347</v>
      </c>
      <c r="H677" s="57" t="s">
        <v>363</v>
      </c>
      <c r="I677" s="57"/>
    </row>
    <row r="678" spans="1:9" ht="45" x14ac:dyDescent="0.25">
      <c r="A678" s="58"/>
      <c r="B678" s="57" t="s">
        <v>81</v>
      </c>
      <c r="C678" s="57">
        <v>5586</v>
      </c>
      <c r="D678" s="57" t="s">
        <v>43</v>
      </c>
      <c r="E678" s="57" t="s">
        <v>346</v>
      </c>
      <c r="F678" s="57">
        <v>61</v>
      </c>
      <c r="G678" s="57" t="s">
        <v>347</v>
      </c>
      <c r="H678" s="57" t="s">
        <v>364</v>
      </c>
      <c r="I678" s="57"/>
    </row>
    <row r="679" spans="1:9" ht="60" x14ac:dyDescent="0.25">
      <c r="A679" s="58"/>
      <c r="B679" s="57" t="s">
        <v>81</v>
      </c>
      <c r="C679" s="57">
        <v>5586</v>
      </c>
      <c r="D679" s="57" t="s">
        <v>44</v>
      </c>
      <c r="E679" s="57" t="s">
        <v>353</v>
      </c>
      <c r="F679" s="57">
        <v>61</v>
      </c>
      <c r="G679" s="57" t="s">
        <v>347</v>
      </c>
      <c r="H679" s="57" t="s">
        <v>365</v>
      </c>
      <c r="I679" s="57"/>
    </row>
    <row r="680" spans="1:9" ht="45" x14ac:dyDescent="0.25">
      <c r="A680" s="58"/>
      <c r="B680" s="57" t="s">
        <v>81</v>
      </c>
      <c r="C680" s="57">
        <v>5587</v>
      </c>
      <c r="D680" s="57" t="s">
        <v>41</v>
      </c>
      <c r="E680" s="57" t="s">
        <v>350</v>
      </c>
      <c r="F680" s="57">
        <v>58</v>
      </c>
      <c r="G680" s="57" t="s">
        <v>347</v>
      </c>
      <c r="H680" s="57" t="s">
        <v>363</v>
      </c>
      <c r="I680" s="57"/>
    </row>
    <row r="681" spans="1:9" ht="45" x14ac:dyDescent="0.25">
      <c r="A681" s="58"/>
      <c r="B681" s="57" t="s">
        <v>81</v>
      </c>
      <c r="C681" s="57">
        <v>5587</v>
      </c>
      <c r="D681" s="57" t="s">
        <v>43</v>
      </c>
      <c r="E681" s="57" t="s">
        <v>346</v>
      </c>
      <c r="F681" s="57">
        <v>58</v>
      </c>
      <c r="G681" s="57" t="s">
        <v>347</v>
      </c>
      <c r="H681" s="57" t="s">
        <v>364</v>
      </c>
      <c r="I681" s="57"/>
    </row>
    <row r="682" spans="1:9" ht="60" x14ac:dyDescent="0.25">
      <c r="A682" s="58"/>
      <c r="B682" s="57" t="s">
        <v>81</v>
      </c>
      <c r="C682" s="57">
        <v>5587</v>
      </c>
      <c r="D682" s="57" t="s">
        <v>44</v>
      </c>
      <c r="E682" s="57" t="s">
        <v>353</v>
      </c>
      <c r="F682" s="57">
        <v>58</v>
      </c>
      <c r="G682" s="57" t="s">
        <v>347</v>
      </c>
      <c r="H682" s="57" t="s">
        <v>365</v>
      </c>
      <c r="I682" s="57"/>
    </row>
    <row r="683" spans="1:9" ht="45" x14ac:dyDescent="0.25">
      <c r="A683" s="58"/>
      <c r="B683" s="57" t="s">
        <v>81</v>
      </c>
      <c r="C683" s="57">
        <v>5588</v>
      </c>
      <c r="D683" s="57" t="s">
        <v>41</v>
      </c>
      <c r="E683" s="57" t="s">
        <v>350</v>
      </c>
      <c r="F683" s="57">
        <v>58</v>
      </c>
      <c r="G683" s="57" t="s">
        <v>347</v>
      </c>
      <c r="H683" s="57" t="s">
        <v>363</v>
      </c>
      <c r="I683" s="57"/>
    </row>
    <row r="684" spans="1:9" ht="45" x14ac:dyDescent="0.25">
      <c r="A684" s="58"/>
      <c r="B684" s="57" t="s">
        <v>81</v>
      </c>
      <c r="C684" s="57">
        <v>5588</v>
      </c>
      <c r="D684" s="57" t="s">
        <v>43</v>
      </c>
      <c r="E684" s="57" t="s">
        <v>346</v>
      </c>
      <c r="F684" s="57">
        <v>58</v>
      </c>
      <c r="G684" s="57" t="s">
        <v>347</v>
      </c>
      <c r="H684" s="57" t="s">
        <v>364</v>
      </c>
      <c r="I684" s="57"/>
    </row>
    <row r="685" spans="1:9" ht="60" x14ac:dyDescent="0.25">
      <c r="A685" s="58"/>
      <c r="B685" s="57" t="s">
        <v>81</v>
      </c>
      <c r="C685" s="57">
        <v>5588</v>
      </c>
      <c r="D685" s="57" t="s">
        <v>44</v>
      </c>
      <c r="E685" s="57" t="s">
        <v>353</v>
      </c>
      <c r="F685" s="57">
        <v>58</v>
      </c>
      <c r="G685" s="57" t="s">
        <v>347</v>
      </c>
      <c r="H685" s="57" t="s">
        <v>365</v>
      </c>
      <c r="I685" s="57"/>
    </row>
    <row r="686" spans="1:9" ht="45" x14ac:dyDescent="0.25">
      <c r="A686" s="58"/>
      <c r="B686" s="57" t="s">
        <v>81</v>
      </c>
      <c r="C686" s="57">
        <v>5593</v>
      </c>
      <c r="D686" s="57" t="s">
        <v>41</v>
      </c>
      <c r="E686" s="57" t="s">
        <v>350</v>
      </c>
      <c r="F686" s="57">
        <v>58</v>
      </c>
      <c r="G686" s="57" t="s">
        <v>347</v>
      </c>
      <c r="H686" s="57" t="s">
        <v>363</v>
      </c>
      <c r="I686" s="57"/>
    </row>
    <row r="687" spans="1:9" ht="45" x14ac:dyDescent="0.25">
      <c r="A687" s="58"/>
      <c r="B687" s="57" t="s">
        <v>81</v>
      </c>
      <c r="C687" s="57">
        <v>5593</v>
      </c>
      <c r="D687" s="57" t="s">
        <v>43</v>
      </c>
      <c r="E687" s="57" t="s">
        <v>346</v>
      </c>
      <c r="F687" s="57">
        <v>58</v>
      </c>
      <c r="G687" s="57" t="s">
        <v>347</v>
      </c>
      <c r="H687" s="57" t="s">
        <v>364</v>
      </c>
      <c r="I687" s="57"/>
    </row>
    <row r="688" spans="1:9" ht="60" x14ac:dyDescent="0.25">
      <c r="A688" s="58"/>
      <c r="B688" s="57" t="s">
        <v>81</v>
      </c>
      <c r="C688" s="57">
        <v>5593</v>
      </c>
      <c r="D688" s="57" t="s">
        <v>44</v>
      </c>
      <c r="E688" s="57" t="s">
        <v>353</v>
      </c>
      <c r="F688" s="57">
        <v>58</v>
      </c>
      <c r="G688" s="57" t="s">
        <v>347</v>
      </c>
      <c r="H688" s="57" t="s">
        <v>365</v>
      </c>
      <c r="I688" s="57"/>
    </row>
    <row r="689" spans="1:9" ht="45" x14ac:dyDescent="0.25">
      <c r="A689" s="58"/>
      <c r="B689" s="57" t="s">
        <v>81</v>
      </c>
      <c r="C689" s="57">
        <v>5590</v>
      </c>
      <c r="D689" s="57" t="s">
        <v>41</v>
      </c>
      <c r="E689" s="57" t="s">
        <v>350</v>
      </c>
      <c r="F689" s="57">
        <v>57</v>
      </c>
      <c r="G689" s="57" t="s">
        <v>347</v>
      </c>
      <c r="H689" s="57" t="s">
        <v>363</v>
      </c>
      <c r="I689" s="57"/>
    </row>
    <row r="690" spans="1:9" ht="45" x14ac:dyDescent="0.25">
      <c r="A690" s="58"/>
      <c r="B690" s="57" t="s">
        <v>81</v>
      </c>
      <c r="C690" s="57">
        <v>5590</v>
      </c>
      <c r="D690" s="57" t="s">
        <v>43</v>
      </c>
      <c r="E690" s="57" t="s">
        <v>346</v>
      </c>
      <c r="F690" s="57">
        <v>57</v>
      </c>
      <c r="G690" s="57" t="s">
        <v>347</v>
      </c>
      <c r="H690" s="57" t="s">
        <v>364</v>
      </c>
      <c r="I690" s="57"/>
    </row>
    <row r="691" spans="1:9" ht="60" x14ac:dyDescent="0.25">
      <c r="A691" s="58"/>
      <c r="B691" s="57" t="s">
        <v>81</v>
      </c>
      <c r="C691" s="57">
        <v>5590</v>
      </c>
      <c r="D691" s="57" t="s">
        <v>44</v>
      </c>
      <c r="E691" s="57" t="s">
        <v>353</v>
      </c>
      <c r="F691" s="57">
        <v>57</v>
      </c>
      <c r="G691" s="57" t="s">
        <v>347</v>
      </c>
      <c r="H691" s="57" t="s">
        <v>365</v>
      </c>
      <c r="I691" s="57"/>
    </row>
    <row r="692" spans="1:9" ht="45" x14ac:dyDescent="0.25">
      <c r="A692" s="58"/>
      <c r="B692" s="57" t="s">
        <v>81</v>
      </c>
      <c r="C692" s="57">
        <v>5591</v>
      </c>
      <c r="D692" s="57" t="s">
        <v>41</v>
      </c>
      <c r="E692" s="57" t="s">
        <v>350</v>
      </c>
      <c r="F692" s="57">
        <v>57</v>
      </c>
      <c r="G692" s="57" t="s">
        <v>347</v>
      </c>
      <c r="H692" s="57" t="s">
        <v>363</v>
      </c>
      <c r="I692" s="57"/>
    </row>
    <row r="693" spans="1:9" ht="45" x14ac:dyDescent="0.25">
      <c r="A693" s="58"/>
      <c r="B693" s="57" t="s">
        <v>81</v>
      </c>
      <c r="C693" s="57">
        <v>5591</v>
      </c>
      <c r="D693" s="57" t="s">
        <v>43</v>
      </c>
      <c r="E693" s="57" t="s">
        <v>346</v>
      </c>
      <c r="F693" s="57">
        <v>57</v>
      </c>
      <c r="G693" s="57" t="s">
        <v>347</v>
      </c>
      <c r="H693" s="57" t="s">
        <v>364</v>
      </c>
      <c r="I693" s="57"/>
    </row>
    <row r="694" spans="1:9" ht="60" x14ac:dyDescent="0.25">
      <c r="A694" s="58"/>
      <c r="B694" s="57" t="s">
        <v>81</v>
      </c>
      <c r="C694" s="57">
        <v>5591</v>
      </c>
      <c r="D694" s="57" t="s">
        <v>44</v>
      </c>
      <c r="E694" s="57" t="s">
        <v>353</v>
      </c>
      <c r="F694" s="57">
        <v>57</v>
      </c>
      <c r="G694" s="57" t="s">
        <v>347</v>
      </c>
      <c r="H694" s="57" t="s">
        <v>365</v>
      </c>
      <c r="I694" s="57"/>
    </row>
    <row r="695" spans="1:9" ht="45" x14ac:dyDescent="0.25">
      <c r="A695" s="58"/>
      <c r="B695" s="57" t="s">
        <v>81</v>
      </c>
      <c r="C695" s="57">
        <v>5592</v>
      </c>
      <c r="D695" s="57" t="s">
        <v>41</v>
      </c>
      <c r="E695" s="57" t="s">
        <v>350</v>
      </c>
      <c r="F695" s="57">
        <v>57</v>
      </c>
      <c r="G695" s="57" t="s">
        <v>347</v>
      </c>
      <c r="H695" s="57" t="s">
        <v>363</v>
      </c>
      <c r="I695" s="57"/>
    </row>
    <row r="696" spans="1:9" ht="45" x14ac:dyDescent="0.25">
      <c r="A696" s="58"/>
      <c r="B696" s="57" t="s">
        <v>81</v>
      </c>
      <c r="C696" s="57">
        <v>5592</v>
      </c>
      <c r="D696" s="57" t="s">
        <v>43</v>
      </c>
      <c r="E696" s="57" t="s">
        <v>346</v>
      </c>
      <c r="F696" s="57">
        <v>57</v>
      </c>
      <c r="G696" s="57" t="s">
        <v>347</v>
      </c>
      <c r="H696" s="57" t="s">
        <v>364</v>
      </c>
      <c r="I696" s="57"/>
    </row>
    <row r="697" spans="1:9" ht="60" x14ac:dyDescent="0.25">
      <c r="A697" s="58"/>
      <c r="B697" s="57" t="s">
        <v>81</v>
      </c>
      <c r="C697" s="57">
        <v>5592</v>
      </c>
      <c r="D697" s="57" t="s">
        <v>44</v>
      </c>
      <c r="E697" s="57" t="s">
        <v>353</v>
      </c>
      <c r="F697" s="57">
        <v>57</v>
      </c>
      <c r="G697" s="57" t="s">
        <v>347</v>
      </c>
      <c r="H697" s="57" t="s">
        <v>365</v>
      </c>
      <c r="I697" s="57"/>
    </row>
    <row r="698" spans="1:9" ht="45" x14ac:dyDescent="0.25">
      <c r="A698" s="58"/>
      <c r="B698" s="57" t="s">
        <v>81</v>
      </c>
      <c r="C698" s="57">
        <v>5594</v>
      </c>
      <c r="D698" s="57" t="s">
        <v>41</v>
      </c>
      <c r="E698" s="57" t="s">
        <v>350</v>
      </c>
      <c r="F698" s="57">
        <v>56</v>
      </c>
      <c r="G698" s="57" t="s">
        <v>347</v>
      </c>
      <c r="H698" s="57" t="s">
        <v>363</v>
      </c>
      <c r="I698" s="57"/>
    </row>
    <row r="699" spans="1:9" ht="45" x14ac:dyDescent="0.25">
      <c r="A699" s="58"/>
      <c r="B699" s="57" t="s">
        <v>81</v>
      </c>
      <c r="C699" s="57">
        <v>5594</v>
      </c>
      <c r="D699" s="57" t="s">
        <v>43</v>
      </c>
      <c r="E699" s="57" t="s">
        <v>346</v>
      </c>
      <c r="F699" s="57">
        <v>56</v>
      </c>
      <c r="G699" s="57" t="s">
        <v>347</v>
      </c>
      <c r="H699" s="57" t="s">
        <v>364</v>
      </c>
      <c r="I699" s="57"/>
    </row>
    <row r="700" spans="1:9" ht="60" x14ac:dyDescent="0.25">
      <c r="A700" s="58"/>
      <c r="B700" s="57" t="s">
        <v>81</v>
      </c>
      <c r="C700" s="57">
        <v>5594</v>
      </c>
      <c r="D700" s="57" t="s">
        <v>44</v>
      </c>
      <c r="E700" s="57" t="s">
        <v>353</v>
      </c>
      <c r="F700" s="57">
        <v>56</v>
      </c>
      <c r="G700" s="57" t="s">
        <v>347</v>
      </c>
      <c r="H700" s="57" t="s">
        <v>365</v>
      </c>
      <c r="I700" s="57"/>
    </row>
    <row r="701" spans="1:9" ht="45" x14ac:dyDescent="0.25">
      <c r="A701" s="58"/>
      <c r="B701" s="57" t="s">
        <v>81</v>
      </c>
      <c r="C701" s="57">
        <v>5597</v>
      </c>
      <c r="D701" s="57" t="s">
        <v>41</v>
      </c>
      <c r="E701" s="57" t="s">
        <v>350</v>
      </c>
      <c r="F701" s="57">
        <v>54</v>
      </c>
      <c r="G701" s="57" t="s">
        <v>347</v>
      </c>
      <c r="H701" s="57" t="s">
        <v>363</v>
      </c>
      <c r="I701" s="57"/>
    </row>
    <row r="702" spans="1:9" ht="45" x14ac:dyDescent="0.25">
      <c r="A702" s="58"/>
      <c r="B702" s="57" t="s">
        <v>81</v>
      </c>
      <c r="C702" s="57">
        <v>5597</v>
      </c>
      <c r="D702" s="57" t="s">
        <v>43</v>
      </c>
      <c r="E702" s="57" t="s">
        <v>346</v>
      </c>
      <c r="F702" s="57">
        <v>54</v>
      </c>
      <c r="G702" s="57" t="s">
        <v>347</v>
      </c>
      <c r="H702" s="57" t="s">
        <v>364</v>
      </c>
      <c r="I702" s="57"/>
    </row>
    <row r="703" spans="1:9" ht="60" x14ac:dyDescent="0.25">
      <c r="A703" s="58"/>
      <c r="B703" s="57" t="s">
        <v>81</v>
      </c>
      <c r="C703" s="57">
        <v>5597</v>
      </c>
      <c r="D703" s="57" t="s">
        <v>44</v>
      </c>
      <c r="E703" s="57" t="s">
        <v>353</v>
      </c>
      <c r="F703" s="57">
        <v>54</v>
      </c>
      <c r="G703" s="57" t="s">
        <v>347</v>
      </c>
      <c r="H703" s="57" t="s">
        <v>365</v>
      </c>
      <c r="I703" s="57"/>
    </row>
    <row r="704" spans="1:9" ht="45" x14ac:dyDescent="0.25">
      <c r="A704" s="58"/>
      <c r="B704" s="57" t="s">
        <v>81</v>
      </c>
      <c r="C704" s="57">
        <v>5598</v>
      </c>
      <c r="D704" s="57" t="s">
        <v>41</v>
      </c>
      <c r="E704" s="57" t="s">
        <v>350</v>
      </c>
      <c r="F704" s="57">
        <v>54</v>
      </c>
      <c r="G704" s="57" t="s">
        <v>347</v>
      </c>
      <c r="H704" s="57" t="s">
        <v>363</v>
      </c>
      <c r="I704" s="57"/>
    </row>
    <row r="705" spans="1:9" ht="45" x14ac:dyDescent="0.25">
      <c r="A705" s="58"/>
      <c r="B705" s="57" t="s">
        <v>81</v>
      </c>
      <c r="C705" s="57">
        <v>5598</v>
      </c>
      <c r="D705" s="57" t="s">
        <v>43</v>
      </c>
      <c r="E705" s="57" t="s">
        <v>346</v>
      </c>
      <c r="F705" s="57">
        <v>54</v>
      </c>
      <c r="G705" s="57" t="s">
        <v>347</v>
      </c>
      <c r="H705" s="57" t="s">
        <v>364</v>
      </c>
      <c r="I705" s="57"/>
    </row>
    <row r="706" spans="1:9" ht="60" x14ac:dyDescent="0.25">
      <c r="A706" s="58"/>
      <c r="B706" s="57" t="s">
        <v>81</v>
      </c>
      <c r="C706" s="57">
        <v>5598</v>
      </c>
      <c r="D706" s="57" t="s">
        <v>44</v>
      </c>
      <c r="E706" s="57" t="s">
        <v>353</v>
      </c>
      <c r="F706" s="57">
        <v>54</v>
      </c>
      <c r="G706" s="57" t="s">
        <v>347</v>
      </c>
      <c r="H706" s="57" t="s">
        <v>365</v>
      </c>
      <c r="I706" s="57"/>
    </row>
    <row r="707" spans="1:9" ht="45" x14ac:dyDescent="0.25">
      <c r="A707" s="58"/>
      <c r="B707" s="57" t="s">
        <v>81</v>
      </c>
      <c r="C707" s="57">
        <v>5600</v>
      </c>
      <c r="D707" s="57" t="s">
        <v>41</v>
      </c>
      <c r="E707" s="57" t="s">
        <v>350</v>
      </c>
      <c r="F707" s="57">
        <v>51</v>
      </c>
      <c r="G707" s="57" t="s">
        <v>347</v>
      </c>
      <c r="H707" s="57" t="s">
        <v>363</v>
      </c>
      <c r="I707" s="57"/>
    </row>
    <row r="708" spans="1:9" ht="45" x14ac:dyDescent="0.25">
      <c r="A708" s="58"/>
      <c r="B708" s="57" t="s">
        <v>81</v>
      </c>
      <c r="C708" s="57">
        <v>5600</v>
      </c>
      <c r="D708" s="57" t="s">
        <v>43</v>
      </c>
      <c r="E708" s="57" t="s">
        <v>346</v>
      </c>
      <c r="F708" s="57">
        <v>51</v>
      </c>
      <c r="G708" s="57" t="s">
        <v>347</v>
      </c>
      <c r="H708" s="57" t="s">
        <v>364</v>
      </c>
      <c r="I708" s="57"/>
    </row>
    <row r="709" spans="1:9" ht="60" x14ac:dyDescent="0.25">
      <c r="A709" s="58"/>
      <c r="B709" s="57" t="s">
        <v>81</v>
      </c>
      <c r="C709" s="57">
        <v>5600</v>
      </c>
      <c r="D709" s="57" t="s">
        <v>44</v>
      </c>
      <c r="E709" s="57" t="s">
        <v>353</v>
      </c>
      <c r="F709" s="57">
        <v>51</v>
      </c>
      <c r="G709" s="57" t="s">
        <v>347</v>
      </c>
      <c r="H709" s="57" t="s">
        <v>365</v>
      </c>
      <c r="I709" s="57"/>
    </row>
    <row r="710" spans="1:9" ht="45" x14ac:dyDescent="0.25">
      <c r="A710" s="58"/>
      <c r="B710" s="57" t="s">
        <v>81</v>
      </c>
      <c r="C710" s="57">
        <v>5602</v>
      </c>
      <c r="D710" s="57" t="s">
        <v>41</v>
      </c>
      <c r="E710" s="57" t="s">
        <v>350</v>
      </c>
      <c r="F710" s="57">
        <v>50</v>
      </c>
      <c r="G710" s="57" t="s">
        <v>347</v>
      </c>
      <c r="H710" s="57" t="s">
        <v>363</v>
      </c>
      <c r="I710" s="57"/>
    </row>
    <row r="711" spans="1:9" ht="45" x14ac:dyDescent="0.25">
      <c r="A711" s="58"/>
      <c r="B711" s="57" t="s">
        <v>81</v>
      </c>
      <c r="C711" s="57">
        <v>5602</v>
      </c>
      <c r="D711" s="57" t="s">
        <v>43</v>
      </c>
      <c r="E711" s="57" t="s">
        <v>346</v>
      </c>
      <c r="F711" s="57">
        <v>50</v>
      </c>
      <c r="G711" s="57" t="s">
        <v>347</v>
      </c>
      <c r="H711" s="57" t="s">
        <v>364</v>
      </c>
      <c r="I711" s="57"/>
    </row>
    <row r="712" spans="1:9" ht="60" x14ac:dyDescent="0.25">
      <c r="A712" s="58"/>
      <c r="B712" s="57" t="s">
        <v>81</v>
      </c>
      <c r="C712" s="57">
        <v>5602</v>
      </c>
      <c r="D712" s="57" t="s">
        <v>44</v>
      </c>
      <c r="E712" s="57" t="s">
        <v>353</v>
      </c>
      <c r="F712" s="57">
        <v>50</v>
      </c>
      <c r="G712" s="57" t="s">
        <v>347</v>
      </c>
      <c r="H712" s="57" t="s">
        <v>365</v>
      </c>
      <c r="I712" s="57"/>
    </row>
    <row r="713" spans="1:9" ht="45" x14ac:dyDescent="0.25">
      <c r="A713" s="58"/>
      <c r="B713" s="57" t="s">
        <v>81</v>
      </c>
      <c r="C713" s="57">
        <v>5606</v>
      </c>
      <c r="D713" s="57" t="s">
        <v>41</v>
      </c>
      <c r="E713" s="57" t="s">
        <v>350</v>
      </c>
      <c r="F713" s="57">
        <v>49</v>
      </c>
      <c r="G713" s="57" t="s">
        <v>347</v>
      </c>
      <c r="H713" s="57" t="s">
        <v>363</v>
      </c>
      <c r="I713" s="57"/>
    </row>
    <row r="714" spans="1:9" ht="45" x14ac:dyDescent="0.25">
      <c r="A714" s="58"/>
      <c r="B714" s="57" t="s">
        <v>81</v>
      </c>
      <c r="C714" s="57">
        <v>5606</v>
      </c>
      <c r="D714" s="57" t="s">
        <v>43</v>
      </c>
      <c r="E714" s="57" t="s">
        <v>346</v>
      </c>
      <c r="F714" s="57">
        <v>49</v>
      </c>
      <c r="G714" s="57" t="s">
        <v>347</v>
      </c>
      <c r="H714" s="57" t="s">
        <v>364</v>
      </c>
      <c r="I714" s="57"/>
    </row>
    <row r="715" spans="1:9" ht="60" x14ac:dyDescent="0.25">
      <c r="A715" s="58"/>
      <c r="B715" s="57" t="s">
        <v>81</v>
      </c>
      <c r="C715" s="57">
        <v>5606</v>
      </c>
      <c r="D715" s="57" t="s">
        <v>44</v>
      </c>
      <c r="E715" s="57" t="s">
        <v>353</v>
      </c>
      <c r="F715" s="57">
        <v>49</v>
      </c>
      <c r="G715" s="57" t="s">
        <v>347</v>
      </c>
      <c r="H715" s="57" t="s">
        <v>365</v>
      </c>
      <c r="I715" s="57"/>
    </row>
    <row r="716" spans="1:9" ht="45" x14ac:dyDescent="0.25">
      <c r="A716" s="58"/>
      <c r="B716" s="57" t="s">
        <v>81</v>
      </c>
      <c r="C716" s="57">
        <v>5607</v>
      </c>
      <c r="D716" s="57" t="s">
        <v>41</v>
      </c>
      <c r="E716" s="57" t="s">
        <v>350</v>
      </c>
      <c r="F716" s="57">
        <v>47</v>
      </c>
      <c r="G716" s="57" t="s">
        <v>347</v>
      </c>
      <c r="H716" s="57" t="s">
        <v>363</v>
      </c>
      <c r="I716" s="57"/>
    </row>
    <row r="717" spans="1:9" ht="45" x14ac:dyDescent="0.25">
      <c r="A717" s="58"/>
      <c r="B717" s="57" t="s">
        <v>81</v>
      </c>
      <c r="C717" s="57">
        <v>5607</v>
      </c>
      <c r="D717" s="57" t="s">
        <v>43</v>
      </c>
      <c r="E717" s="57" t="s">
        <v>346</v>
      </c>
      <c r="F717" s="57">
        <v>47</v>
      </c>
      <c r="G717" s="57" t="s">
        <v>347</v>
      </c>
      <c r="H717" s="57" t="s">
        <v>364</v>
      </c>
      <c r="I717" s="57"/>
    </row>
    <row r="718" spans="1:9" ht="60" x14ac:dyDescent="0.25">
      <c r="A718" s="58"/>
      <c r="B718" s="57" t="s">
        <v>81</v>
      </c>
      <c r="C718" s="57">
        <v>5607</v>
      </c>
      <c r="D718" s="57" t="s">
        <v>44</v>
      </c>
      <c r="E718" s="57" t="s">
        <v>353</v>
      </c>
      <c r="F718" s="57">
        <v>47</v>
      </c>
      <c r="G718" s="57" t="s">
        <v>347</v>
      </c>
      <c r="H718" s="57" t="s">
        <v>365</v>
      </c>
      <c r="I718" s="57"/>
    </row>
    <row r="719" spans="1:9" ht="45" x14ac:dyDescent="0.25">
      <c r="A719" s="58"/>
      <c r="B719" s="57" t="s">
        <v>81</v>
      </c>
      <c r="C719" s="57">
        <v>5608</v>
      </c>
      <c r="D719" s="57" t="s">
        <v>41</v>
      </c>
      <c r="E719" s="57" t="s">
        <v>350</v>
      </c>
      <c r="F719" s="57">
        <v>47</v>
      </c>
      <c r="G719" s="57" t="s">
        <v>347</v>
      </c>
      <c r="H719" s="57" t="s">
        <v>363</v>
      </c>
      <c r="I719" s="57"/>
    </row>
    <row r="720" spans="1:9" ht="45" x14ac:dyDescent="0.25">
      <c r="A720" s="58"/>
      <c r="B720" s="57" t="s">
        <v>81</v>
      </c>
      <c r="C720" s="57">
        <v>5608</v>
      </c>
      <c r="D720" s="57" t="s">
        <v>43</v>
      </c>
      <c r="E720" s="57" t="s">
        <v>346</v>
      </c>
      <c r="F720" s="57">
        <v>47</v>
      </c>
      <c r="G720" s="57" t="s">
        <v>347</v>
      </c>
      <c r="H720" s="57" t="s">
        <v>364</v>
      </c>
      <c r="I720" s="57"/>
    </row>
    <row r="721" spans="1:9" ht="60" x14ac:dyDescent="0.25">
      <c r="A721" s="58"/>
      <c r="B721" s="57" t="s">
        <v>81</v>
      </c>
      <c r="C721" s="57">
        <v>5608</v>
      </c>
      <c r="D721" s="57" t="s">
        <v>44</v>
      </c>
      <c r="E721" s="57" t="s">
        <v>353</v>
      </c>
      <c r="F721" s="57">
        <v>47</v>
      </c>
      <c r="G721" s="57" t="s">
        <v>347</v>
      </c>
      <c r="H721" s="57" t="s">
        <v>365</v>
      </c>
      <c r="I721" s="57"/>
    </row>
    <row r="722" spans="1:9" ht="45" x14ac:dyDescent="0.25">
      <c r="A722" s="58"/>
      <c r="B722" s="57" t="s">
        <v>81</v>
      </c>
      <c r="C722" s="57">
        <v>5609</v>
      </c>
      <c r="D722" s="57" t="s">
        <v>41</v>
      </c>
      <c r="E722" s="57" t="s">
        <v>350</v>
      </c>
      <c r="F722" s="57">
        <v>47</v>
      </c>
      <c r="G722" s="57" t="s">
        <v>347</v>
      </c>
      <c r="H722" s="57" t="s">
        <v>363</v>
      </c>
      <c r="I722" s="57"/>
    </row>
    <row r="723" spans="1:9" ht="45" x14ac:dyDescent="0.25">
      <c r="A723" s="58"/>
      <c r="B723" s="57" t="s">
        <v>81</v>
      </c>
      <c r="C723" s="57">
        <v>5609</v>
      </c>
      <c r="D723" s="57" t="s">
        <v>43</v>
      </c>
      <c r="E723" s="57" t="s">
        <v>346</v>
      </c>
      <c r="F723" s="57">
        <v>47</v>
      </c>
      <c r="G723" s="57" t="s">
        <v>347</v>
      </c>
      <c r="H723" s="57" t="s">
        <v>364</v>
      </c>
      <c r="I723" s="57"/>
    </row>
    <row r="724" spans="1:9" ht="60" x14ac:dyDescent="0.25">
      <c r="A724" s="58"/>
      <c r="B724" s="57" t="s">
        <v>81</v>
      </c>
      <c r="C724" s="57">
        <v>5609</v>
      </c>
      <c r="D724" s="57" t="s">
        <v>44</v>
      </c>
      <c r="E724" s="57" t="s">
        <v>353</v>
      </c>
      <c r="F724" s="57">
        <v>47</v>
      </c>
      <c r="G724" s="57" t="s">
        <v>347</v>
      </c>
      <c r="H724" s="57" t="s">
        <v>365</v>
      </c>
      <c r="I724" s="57"/>
    </row>
    <row r="725" spans="1:9" ht="45" x14ac:dyDescent="0.25">
      <c r="A725" s="58"/>
      <c r="B725" s="57" t="s">
        <v>81</v>
      </c>
      <c r="C725" s="57">
        <v>5610</v>
      </c>
      <c r="D725" s="57" t="s">
        <v>41</v>
      </c>
      <c r="E725" s="57" t="s">
        <v>350</v>
      </c>
      <c r="F725" s="57">
        <v>44</v>
      </c>
      <c r="G725" s="57" t="s">
        <v>347</v>
      </c>
      <c r="H725" s="57" t="s">
        <v>363</v>
      </c>
      <c r="I725" s="57"/>
    </row>
    <row r="726" spans="1:9" ht="45" x14ac:dyDescent="0.25">
      <c r="A726" s="58"/>
      <c r="B726" s="57" t="s">
        <v>81</v>
      </c>
      <c r="C726" s="57">
        <v>5610</v>
      </c>
      <c r="D726" s="57" t="s">
        <v>43</v>
      </c>
      <c r="E726" s="57" t="s">
        <v>346</v>
      </c>
      <c r="F726" s="57">
        <v>44</v>
      </c>
      <c r="G726" s="57" t="s">
        <v>347</v>
      </c>
      <c r="H726" s="57" t="s">
        <v>364</v>
      </c>
      <c r="I726" s="57"/>
    </row>
    <row r="727" spans="1:9" ht="60" x14ac:dyDescent="0.25">
      <c r="A727" s="58"/>
      <c r="B727" s="57" t="s">
        <v>81</v>
      </c>
      <c r="C727" s="57">
        <v>5610</v>
      </c>
      <c r="D727" s="57" t="s">
        <v>44</v>
      </c>
      <c r="E727" s="57" t="s">
        <v>353</v>
      </c>
      <c r="F727" s="57">
        <v>44</v>
      </c>
      <c r="G727" s="57" t="s">
        <v>347</v>
      </c>
      <c r="H727" s="57" t="s">
        <v>365</v>
      </c>
      <c r="I727" s="57"/>
    </row>
    <row r="728" spans="1:9" ht="45" x14ac:dyDescent="0.25">
      <c r="A728" s="58"/>
      <c r="B728" s="57" t="s">
        <v>81</v>
      </c>
      <c r="C728" s="57">
        <v>5616</v>
      </c>
      <c r="D728" s="57" t="s">
        <v>41</v>
      </c>
      <c r="E728" s="57" t="s">
        <v>350</v>
      </c>
      <c r="F728" s="57">
        <v>42</v>
      </c>
      <c r="G728" s="57" t="s">
        <v>347</v>
      </c>
      <c r="H728" s="57" t="s">
        <v>363</v>
      </c>
      <c r="I728" s="57"/>
    </row>
    <row r="729" spans="1:9" ht="45" x14ac:dyDescent="0.25">
      <c r="A729" s="58"/>
      <c r="B729" s="57" t="s">
        <v>81</v>
      </c>
      <c r="C729" s="57">
        <v>5616</v>
      </c>
      <c r="D729" s="57" t="s">
        <v>43</v>
      </c>
      <c r="E729" s="57" t="s">
        <v>346</v>
      </c>
      <c r="F729" s="57">
        <v>42</v>
      </c>
      <c r="G729" s="57" t="s">
        <v>347</v>
      </c>
      <c r="H729" s="57" t="s">
        <v>364</v>
      </c>
      <c r="I729" s="57"/>
    </row>
    <row r="730" spans="1:9" ht="60" x14ac:dyDescent="0.25">
      <c r="A730" s="58"/>
      <c r="B730" s="57" t="s">
        <v>81</v>
      </c>
      <c r="C730" s="57">
        <v>5616</v>
      </c>
      <c r="D730" s="57" t="s">
        <v>44</v>
      </c>
      <c r="E730" s="57" t="s">
        <v>353</v>
      </c>
      <c r="F730" s="57">
        <v>42</v>
      </c>
      <c r="G730" s="57" t="s">
        <v>347</v>
      </c>
      <c r="H730" s="57" t="s">
        <v>365</v>
      </c>
      <c r="I730" s="57"/>
    </row>
    <row r="731" spans="1:9" ht="45" x14ac:dyDescent="0.25">
      <c r="A731" s="58"/>
      <c r="B731" s="57" t="s">
        <v>81</v>
      </c>
      <c r="C731" s="57">
        <v>5617</v>
      </c>
      <c r="D731" s="57" t="s">
        <v>41</v>
      </c>
      <c r="E731" s="57" t="s">
        <v>350</v>
      </c>
      <c r="F731" s="57">
        <v>42</v>
      </c>
      <c r="G731" s="57" t="s">
        <v>347</v>
      </c>
      <c r="H731" s="57" t="s">
        <v>363</v>
      </c>
      <c r="I731" s="57"/>
    </row>
    <row r="732" spans="1:9" ht="45" x14ac:dyDescent="0.25">
      <c r="A732" s="58"/>
      <c r="B732" s="57" t="s">
        <v>81</v>
      </c>
      <c r="C732" s="57">
        <v>5617</v>
      </c>
      <c r="D732" s="57" t="s">
        <v>43</v>
      </c>
      <c r="E732" s="57" t="s">
        <v>346</v>
      </c>
      <c r="F732" s="57">
        <v>42</v>
      </c>
      <c r="G732" s="57" t="s">
        <v>347</v>
      </c>
      <c r="H732" s="57" t="s">
        <v>364</v>
      </c>
      <c r="I732" s="57"/>
    </row>
    <row r="733" spans="1:9" ht="60" x14ac:dyDescent="0.25">
      <c r="A733" s="58"/>
      <c r="B733" s="57" t="s">
        <v>81</v>
      </c>
      <c r="C733" s="57">
        <v>5617</v>
      </c>
      <c r="D733" s="57" t="s">
        <v>44</v>
      </c>
      <c r="E733" s="57" t="s">
        <v>353</v>
      </c>
      <c r="F733" s="57">
        <v>42</v>
      </c>
      <c r="G733" s="57" t="s">
        <v>347</v>
      </c>
      <c r="H733" s="57" t="s">
        <v>365</v>
      </c>
      <c r="I733" s="57"/>
    </row>
    <row r="734" spans="1:9" ht="45" x14ac:dyDescent="0.25">
      <c r="A734" s="58"/>
      <c r="B734" s="57" t="s">
        <v>81</v>
      </c>
      <c r="C734" s="57">
        <v>5618</v>
      </c>
      <c r="D734" s="57" t="s">
        <v>41</v>
      </c>
      <c r="E734" s="57" t="s">
        <v>350</v>
      </c>
      <c r="F734" s="57">
        <v>42</v>
      </c>
      <c r="G734" s="57" t="s">
        <v>347</v>
      </c>
      <c r="H734" s="57" t="s">
        <v>363</v>
      </c>
      <c r="I734" s="57"/>
    </row>
    <row r="735" spans="1:9" ht="45" x14ac:dyDescent="0.25">
      <c r="A735" s="58"/>
      <c r="B735" s="57" t="s">
        <v>81</v>
      </c>
      <c r="C735" s="57">
        <v>5618</v>
      </c>
      <c r="D735" s="57" t="s">
        <v>43</v>
      </c>
      <c r="E735" s="57" t="s">
        <v>346</v>
      </c>
      <c r="F735" s="57">
        <v>42</v>
      </c>
      <c r="G735" s="57" t="s">
        <v>347</v>
      </c>
      <c r="H735" s="57" t="s">
        <v>364</v>
      </c>
      <c r="I735" s="57"/>
    </row>
    <row r="736" spans="1:9" ht="60" x14ac:dyDescent="0.25">
      <c r="A736" s="58"/>
      <c r="B736" s="57" t="s">
        <v>81</v>
      </c>
      <c r="C736" s="57">
        <v>5618</v>
      </c>
      <c r="D736" s="57" t="s">
        <v>44</v>
      </c>
      <c r="E736" s="57" t="s">
        <v>353</v>
      </c>
      <c r="F736" s="57">
        <v>42</v>
      </c>
      <c r="G736" s="57" t="s">
        <v>347</v>
      </c>
      <c r="H736" s="57" t="s">
        <v>365</v>
      </c>
      <c r="I736" s="57"/>
    </row>
    <row r="737" spans="1:9" ht="45" x14ac:dyDescent="0.25">
      <c r="A737" s="58"/>
      <c r="B737" s="57" t="s">
        <v>81</v>
      </c>
      <c r="C737" s="57">
        <v>5619</v>
      </c>
      <c r="D737" s="57" t="s">
        <v>41</v>
      </c>
      <c r="E737" s="57" t="s">
        <v>350</v>
      </c>
      <c r="F737" s="57">
        <v>42</v>
      </c>
      <c r="G737" s="57" t="s">
        <v>347</v>
      </c>
      <c r="H737" s="57" t="s">
        <v>363</v>
      </c>
      <c r="I737" s="57"/>
    </row>
    <row r="738" spans="1:9" ht="45" x14ac:dyDescent="0.25">
      <c r="A738" s="58"/>
      <c r="B738" s="57" t="s">
        <v>81</v>
      </c>
      <c r="C738" s="57">
        <v>5619</v>
      </c>
      <c r="D738" s="57" t="s">
        <v>43</v>
      </c>
      <c r="E738" s="57" t="s">
        <v>346</v>
      </c>
      <c r="F738" s="57">
        <v>42</v>
      </c>
      <c r="G738" s="57" t="s">
        <v>347</v>
      </c>
      <c r="H738" s="57" t="s">
        <v>364</v>
      </c>
      <c r="I738" s="57"/>
    </row>
    <row r="739" spans="1:9" ht="60" x14ac:dyDescent="0.25">
      <c r="A739" s="58"/>
      <c r="B739" s="57" t="s">
        <v>81</v>
      </c>
      <c r="C739" s="57">
        <v>5619</v>
      </c>
      <c r="D739" s="57" t="s">
        <v>44</v>
      </c>
      <c r="E739" s="57" t="s">
        <v>353</v>
      </c>
      <c r="F739" s="57">
        <v>42</v>
      </c>
      <c r="G739" s="57" t="s">
        <v>347</v>
      </c>
      <c r="H739" s="57" t="s">
        <v>365</v>
      </c>
      <c r="I739" s="57"/>
    </row>
    <row r="740" spans="1:9" ht="45" x14ac:dyDescent="0.25">
      <c r="A740" s="58"/>
      <c r="B740" s="57" t="s">
        <v>81</v>
      </c>
      <c r="C740" s="57">
        <v>5622</v>
      </c>
      <c r="D740" s="57" t="s">
        <v>41</v>
      </c>
      <c r="E740" s="57" t="s">
        <v>350</v>
      </c>
      <c r="F740" s="57">
        <v>34</v>
      </c>
      <c r="G740" s="57" t="s">
        <v>347</v>
      </c>
      <c r="H740" s="57" t="s">
        <v>363</v>
      </c>
      <c r="I740" s="57"/>
    </row>
    <row r="741" spans="1:9" ht="45" x14ac:dyDescent="0.25">
      <c r="A741" s="58"/>
      <c r="B741" s="57" t="s">
        <v>81</v>
      </c>
      <c r="C741" s="57">
        <v>5622</v>
      </c>
      <c r="D741" s="57" t="s">
        <v>43</v>
      </c>
      <c r="E741" s="57" t="s">
        <v>346</v>
      </c>
      <c r="F741" s="57">
        <v>34</v>
      </c>
      <c r="G741" s="57" t="s">
        <v>347</v>
      </c>
      <c r="H741" s="57" t="s">
        <v>364</v>
      </c>
      <c r="I741" s="57"/>
    </row>
    <row r="742" spans="1:9" ht="60" x14ac:dyDescent="0.25">
      <c r="A742" s="58"/>
      <c r="B742" s="57" t="s">
        <v>81</v>
      </c>
      <c r="C742" s="57">
        <v>5622</v>
      </c>
      <c r="D742" s="57" t="s">
        <v>44</v>
      </c>
      <c r="E742" s="57" t="s">
        <v>353</v>
      </c>
      <c r="F742" s="57">
        <v>34</v>
      </c>
      <c r="G742" s="57" t="s">
        <v>347</v>
      </c>
      <c r="H742" s="57" t="s">
        <v>365</v>
      </c>
      <c r="I742" s="57"/>
    </row>
    <row r="743" spans="1:9" ht="45" x14ac:dyDescent="0.25">
      <c r="A743" s="58"/>
      <c r="B743" s="57" t="s">
        <v>81</v>
      </c>
      <c r="C743" s="57">
        <v>5623</v>
      </c>
      <c r="D743" s="57" t="s">
        <v>41</v>
      </c>
      <c r="E743" s="57" t="s">
        <v>350</v>
      </c>
      <c r="F743" s="57">
        <v>33</v>
      </c>
      <c r="G743" s="57" t="s">
        <v>347</v>
      </c>
      <c r="H743" s="57" t="s">
        <v>363</v>
      </c>
      <c r="I743" s="57"/>
    </row>
    <row r="744" spans="1:9" ht="45" x14ac:dyDescent="0.25">
      <c r="A744" s="58"/>
      <c r="B744" s="57" t="s">
        <v>81</v>
      </c>
      <c r="C744" s="57">
        <v>5623</v>
      </c>
      <c r="D744" s="57" t="s">
        <v>43</v>
      </c>
      <c r="E744" s="57" t="s">
        <v>346</v>
      </c>
      <c r="F744" s="57">
        <v>33</v>
      </c>
      <c r="G744" s="57" t="s">
        <v>347</v>
      </c>
      <c r="H744" s="57" t="s">
        <v>364</v>
      </c>
      <c r="I744" s="57"/>
    </row>
    <row r="745" spans="1:9" ht="60" x14ac:dyDescent="0.25">
      <c r="A745" s="58"/>
      <c r="B745" s="57" t="s">
        <v>81</v>
      </c>
      <c r="C745" s="57">
        <v>5623</v>
      </c>
      <c r="D745" s="57" t="s">
        <v>44</v>
      </c>
      <c r="E745" s="57" t="s">
        <v>353</v>
      </c>
      <c r="F745" s="57">
        <v>33</v>
      </c>
      <c r="G745" s="57" t="s">
        <v>347</v>
      </c>
      <c r="H745" s="57" t="s">
        <v>365</v>
      </c>
      <c r="I745" s="57"/>
    </row>
    <row r="746" spans="1:9" ht="45" x14ac:dyDescent="0.25">
      <c r="A746" s="58"/>
      <c r="B746" s="57" t="s">
        <v>81</v>
      </c>
      <c r="C746" s="57">
        <v>5624</v>
      </c>
      <c r="D746" s="57" t="s">
        <v>41</v>
      </c>
      <c r="E746" s="57" t="s">
        <v>350</v>
      </c>
      <c r="F746" s="57">
        <v>28</v>
      </c>
      <c r="G746" s="57" t="s">
        <v>347</v>
      </c>
      <c r="H746" s="57" t="s">
        <v>363</v>
      </c>
      <c r="I746" s="57"/>
    </row>
    <row r="747" spans="1:9" ht="45" x14ac:dyDescent="0.25">
      <c r="A747" s="58"/>
      <c r="B747" s="57" t="s">
        <v>81</v>
      </c>
      <c r="C747" s="57">
        <v>5624</v>
      </c>
      <c r="D747" s="57" t="s">
        <v>43</v>
      </c>
      <c r="E747" s="57" t="s">
        <v>346</v>
      </c>
      <c r="F747" s="57">
        <v>28</v>
      </c>
      <c r="G747" s="57" t="s">
        <v>347</v>
      </c>
      <c r="H747" s="57" t="s">
        <v>364</v>
      </c>
      <c r="I747" s="57"/>
    </row>
    <row r="748" spans="1:9" ht="45" x14ac:dyDescent="0.25">
      <c r="A748" s="58"/>
      <c r="B748" s="57" t="s">
        <v>81</v>
      </c>
      <c r="C748" s="57">
        <v>5627</v>
      </c>
      <c r="D748" s="57" t="s">
        <v>41</v>
      </c>
      <c r="E748" s="57" t="s">
        <v>350</v>
      </c>
      <c r="F748" s="57">
        <v>26</v>
      </c>
      <c r="G748" s="57" t="s">
        <v>347</v>
      </c>
      <c r="H748" s="57" t="s">
        <v>363</v>
      </c>
      <c r="I748" s="57"/>
    </row>
    <row r="749" spans="1:9" ht="45" x14ac:dyDescent="0.25">
      <c r="A749" s="58"/>
      <c r="B749" s="57" t="s">
        <v>81</v>
      </c>
      <c r="C749" s="57">
        <v>5627</v>
      </c>
      <c r="D749" s="57" t="s">
        <v>43</v>
      </c>
      <c r="E749" s="57" t="s">
        <v>346</v>
      </c>
      <c r="F749" s="57">
        <v>26</v>
      </c>
      <c r="G749" s="57" t="s">
        <v>347</v>
      </c>
      <c r="H749" s="57" t="s">
        <v>364</v>
      </c>
      <c r="I749" s="57"/>
    </row>
    <row r="750" spans="1:9" ht="45" x14ac:dyDescent="0.25">
      <c r="A750" s="58"/>
      <c r="B750" s="57" t="s">
        <v>81</v>
      </c>
      <c r="C750" s="57">
        <v>5629</v>
      </c>
      <c r="D750" s="57" t="s">
        <v>41</v>
      </c>
      <c r="E750" s="57" t="s">
        <v>350</v>
      </c>
      <c r="F750" s="57">
        <v>23</v>
      </c>
      <c r="G750" s="57" t="s">
        <v>347</v>
      </c>
      <c r="H750" s="57" t="s">
        <v>363</v>
      </c>
      <c r="I750" s="57"/>
    </row>
    <row r="751" spans="1:9" ht="45" x14ac:dyDescent="0.25">
      <c r="A751" s="58"/>
      <c r="B751" s="57" t="s">
        <v>81</v>
      </c>
      <c r="C751" s="57">
        <v>5629</v>
      </c>
      <c r="D751" s="57" t="s">
        <v>43</v>
      </c>
      <c r="E751" s="57" t="s">
        <v>346</v>
      </c>
      <c r="F751" s="57">
        <v>23</v>
      </c>
      <c r="G751" s="57" t="s">
        <v>347</v>
      </c>
      <c r="H751" s="57" t="s">
        <v>364</v>
      </c>
      <c r="I751" s="57"/>
    </row>
    <row r="752" spans="1:9" ht="45" x14ac:dyDescent="0.25">
      <c r="A752" s="58"/>
      <c r="B752" s="57" t="s">
        <v>81</v>
      </c>
      <c r="C752" s="57">
        <v>5635</v>
      </c>
      <c r="D752" s="57" t="s">
        <v>41</v>
      </c>
      <c r="E752" s="57" t="s">
        <v>350</v>
      </c>
      <c r="F752" s="57">
        <v>14</v>
      </c>
      <c r="G752" s="57" t="s">
        <v>347</v>
      </c>
      <c r="H752" s="57" t="s">
        <v>363</v>
      </c>
      <c r="I752" s="57"/>
    </row>
    <row r="753" spans="1:9" ht="45" x14ac:dyDescent="0.25">
      <c r="A753" s="58"/>
      <c r="B753" s="57" t="s">
        <v>81</v>
      </c>
      <c r="C753" s="57">
        <v>5635</v>
      </c>
      <c r="D753" s="57" t="s">
        <v>43</v>
      </c>
      <c r="E753" s="57" t="s">
        <v>346</v>
      </c>
      <c r="F753" s="57">
        <v>14</v>
      </c>
      <c r="G753" s="57" t="s">
        <v>347</v>
      </c>
      <c r="H753" s="57" t="s">
        <v>364</v>
      </c>
      <c r="I753" s="57"/>
    </row>
    <row r="754" spans="1:9" ht="45" x14ac:dyDescent="0.25">
      <c r="A754" s="58"/>
      <c r="B754" s="57" t="s">
        <v>81</v>
      </c>
      <c r="C754" s="57">
        <v>5636</v>
      </c>
      <c r="D754" s="57" t="s">
        <v>41</v>
      </c>
      <c r="E754" s="57" t="s">
        <v>350</v>
      </c>
      <c r="F754" s="57">
        <v>13</v>
      </c>
      <c r="G754" s="57" t="s">
        <v>347</v>
      </c>
      <c r="H754" s="57" t="s">
        <v>363</v>
      </c>
      <c r="I754" s="57"/>
    </row>
    <row r="755" spans="1:9" ht="45" x14ac:dyDescent="0.25">
      <c r="A755" s="58"/>
      <c r="B755" s="57" t="s">
        <v>81</v>
      </c>
      <c r="C755" s="57">
        <v>5636</v>
      </c>
      <c r="D755" s="57" t="s">
        <v>43</v>
      </c>
      <c r="E755" s="57" t="s">
        <v>346</v>
      </c>
      <c r="F755" s="57">
        <v>13</v>
      </c>
      <c r="G755" s="57" t="s">
        <v>347</v>
      </c>
      <c r="H755" s="57" t="s">
        <v>364</v>
      </c>
      <c r="I755" s="57"/>
    </row>
    <row r="756" spans="1:9" ht="45" x14ac:dyDescent="0.25">
      <c r="A756" s="58"/>
      <c r="B756" s="57" t="s">
        <v>81</v>
      </c>
      <c r="C756" s="57">
        <v>5641</v>
      </c>
      <c r="D756" s="57" t="s">
        <v>41</v>
      </c>
      <c r="E756" s="57" t="s">
        <v>350</v>
      </c>
      <c r="F756" s="57">
        <v>13</v>
      </c>
      <c r="G756" s="57" t="s">
        <v>347</v>
      </c>
      <c r="H756" s="57" t="s">
        <v>363</v>
      </c>
      <c r="I756" s="57"/>
    </row>
    <row r="757" spans="1:9" ht="45" x14ac:dyDescent="0.25">
      <c r="A757" s="58"/>
      <c r="B757" s="57" t="s">
        <v>81</v>
      </c>
      <c r="C757" s="57">
        <v>5641</v>
      </c>
      <c r="D757" s="57" t="s">
        <v>43</v>
      </c>
      <c r="E757" s="57" t="s">
        <v>346</v>
      </c>
      <c r="F757" s="57">
        <v>13</v>
      </c>
      <c r="G757" s="57" t="s">
        <v>347</v>
      </c>
      <c r="H757" s="57" t="s">
        <v>364</v>
      </c>
      <c r="I757" s="57"/>
    </row>
    <row r="758" spans="1:9" ht="45" x14ac:dyDescent="0.25">
      <c r="A758" s="58"/>
      <c r="B758" s="57" t="s">
        <v>81</v>
      </c>
      <c r="C758" s="57">
        <v>5642</v>
      </c>
      <c r="D758" s="57" t="s">
        <v>41</v>
      </c>
      <c r="E758" s="57" t="s">
        <v>350</v>
      </c>
      <c r="F758" s="57">
        <v>13</v>
      </c>
      <c r="G758" s="57" t="s">
        <v>347</v>
      </c>
      <c r="H758" s="57" t="s">
        <v>363</v>
      </c>
      <c r="I758" s="57"/>
    </row>
    <row r="759" spans="1:9" ht="45" x14ac:dyDescent="0.25">
      <c r="A759" s="58"/>
      <c r="B759" s="57" t="s">
        <v>81</v>
      </c>
      <c r="C759" s="57">
        <v>5642</v>
      </c>
      <c r="D759" s="57" t="s">
        <v>43</v>
      </c>
      <c r="E759" s="57" t="s">
        <v>346</v>
      </c>
      <c r="F759" s="57">
        <v>13</v>
      </c>
      <c r="G759" s="57" t="s">
        <v>347</v>
      </c>
      <c r="H759" s="57" t="s">
        <v>364</v>
      </c>
      <c r="I759" s="57"/>
    </row>
    <row r="760" spans="1:9" ht="45" x14ac:dyDescent="0.25">
      <c r="A760" s="58"/>
      <c r="B760" s="57" t="s">
        <v>81</v>
      </c>
      <c r="C760" s="57">
        <v>5643</v>
      </c>
      <c r="D760" s="57" t="s">
        <v>41</v>
      </c>
      <c r="E760" s="57" t="s">
        <v>350</v>
      </c>
      <c r="F760" s="57">
        <v>9</v>
      </c>
      <c r="G760" s="57" t="s">
        <v>347</v>
      </c>
      <c r="H760" s="57" t="s">
        <v>363</v>
      </c>
      <c r="I760" s="57"/>
    </row>
    <row r="761" spans="1:9" ht="45" x14ac:dyDescent="0.25">
      <c r="A761" s="58"/>
      <c r="B761" s="57" t="s">
        <v>81</v>
      </c>
      <c r="C761" s="57">
        <v>5643</v>
      </c>
      <c r="D761" s="57" t="s">
        <v>43</v>
      </c>
      <c r="E761" s="57" t="s">
        <v>346</v>
      </c>
      <c r="F761" s="57">
        <v>9</v>
      </c>
      <c r="G761" s="57" t="s">
        <v>347</v>
      </c>
      <c r="H761" s="57" t="s">
        <v>364</v>
      </c>
      <c r="I761" s="57"/>
    </row>
    <row r="762" spans="1:9" ht="45" x14ac:dyDescent="0.25">
      <c r="A762" s="58"/>
      <c r="B762" s="57" t="s">
        <v>81</v>
      </c>
      <c r="C762" s="57">
        <v>5645</v>
      </c>
      <c r="D762" s="57" t="s">
        <v>41</v>
      </c>
      <c r="E762" s="57" t="s">
        <v>350</v>
      </c>
      <c r="F762" s="57">
        <v>9</v>
      </c>
      <c r="G762" s="57" t="s">
        <v>347</v>
      </c>
      <c r="H762" s="57" t="s">
        <v>363</v>
      </c>
      <c r="I762" s="57"/>
    </row>
    <row r="763" spans="1:9" ht="45" x14ac:dyDescent="0.25">
      <c r="A763" s="58"/>
      <c r="B763" s="57" t="s">
        <v>81</v>
      </c>
      <c r="C763" s="57">
        <v>5645</v>
      </c>
      <c r="D763" s="57" t="s">
        <v>43</v>
      </c>
      <c r="E763" s="57" t="s">
        <v>346</v>
      </c>
      <c r="F763" s="57">
        <v>9</v>
      </c>
      <c r="G763" s="57" t="s">
        <v>347</v>
      </c>
      <c r="H763" s="57" t="s">
        <v>364</v>
      </c>
      <c r="I763" s="57"/>
    </row>
    <row r="764" spans="1:9" ht="45" x14ac:dyDescent="0.25">
      <c r="A764" s="58"/>
      <c r="B764" s="57" t="s">
        <v>81</v>
      </c>
      <c r="C764" s="57">
        <v>5646</v>
      </c>
      <c r="D764" s="57" t="s">
        <v>41</v>
      </c>
      <c r="E764" s="57" t="s">
        <v>350</v>
      </c>
      <c r="F764" s="57">
        <v>9</v>
      </c>
      <c r="G764" s="57" t="s">
        <v>347</v>
      </c>
      <c r="H764" s="57" t="s">
        <v>363</v>
      </c>
      <c r="I764" s="57"/>
    </row>
    <row r="765" spans="1:9" ht="45" x14ac:dyDescent="0.25">
      <c r="A765" s="58"/>
      <c r="B765" s="57" t="s">
        <v>81</v>
      </c>
      <c r="C765" s="57">
        <v>5646</v>
      </c>
      <c r="D765" s="57" t="s">
        <v>43</v>
      </c>
      <c r="E765" s="57" t="s">
        <v>346</v>
      </c>
      <c r="F765" s="57">
        <v>9</v>
      </c>
      <c r="G765" s="57" t="s">
        <v>347</v>
      </c>
      <c r="H765" s="57" t="s">
        <v>364</v>
      </c>
      <c r="I765" s="57"/>
    </row>
    <row r="766" spans="1:9" ht="45" x14ac:dyDescent="0.25">
      <c r="A766" s="58"/>
      <c r="B766" s="57" t="s">
        <v>81</v>
      </c>
      <c r="C766" s="57">
        <v>5650</v>
      </c>
      <c r="D766" s="57" t="s">
        <v>41</v>
      </c>
      <c r="E766" s="57" t="s">
        <v>350</v>
      </c>
      <c r="F766" s="57">
        <v>8</v>
      </c>
      <c r="G766" s="57" t="s">
        <v>347</v>
      </c>
      <c r="H766" s="57" t="s">
        <v>363</v>
      </c>
      <c r="I766" s="57"/>
    </row>
    <row r="767" spans="1:9" ht="45" x14ac:dyDescent="0.25">
      <c r="A767" s="58"/>
      <c r="B767" s="57" t="s">
        <v>81</v>
      </c>
      <c r="C767" s="57">
        <v>5650</v>
      </c>
      <c r="D767" s="57" t="s">
        <v>43</v>
      </c>
      <c r="E767" s="57" t="s">
        <v>346</v>
      </c>
      <c r="F767" s="57">
        <v>8</v>
      </c>
      <c r="G767" s="57" t="s">
        <v>347</v>
      </c>
      <c r="H767" s="57" t="s">
        <v>364</v>
      </c>
      <c r="I767" s="57"/>
    </row>
    <row r="768" spans="1:9" ht="45" x14ac:dyDescent="0.25">
      <c r="A768" s="58"/>
      <c r="B768" s="57" t="s">
        <v>335</v>
      </c>
      <c r="C768" s="57">
        <v>5315</v>
      </c>
      <c r="D768" s="57" t="s">
        <v>41</v>
      </c>
      <c r="E768" s="57" t="s">
        <v>350</v>
      </c>
      <c r="F768" s="57">
        <v>258</v>
      </c>
      <c r="G768" s="57" t="s">
        <v>347</v>
      </c>
      <c r="H768" s="57" t="s">
        <v>363</v>
      </c>
      <c r="I768" s="57"/>
    </row>
    <row r="769" spans="1:9" ht="45" x14ac:dyDescent="0.25">
      <c r="A769" s="58"/>
      <c r="B769" s="57" t="s">
        <v>335</v>
      </c>
      <c r="C769" s="57">
        <v>5315</v>
      </c>
      <c r="D769" s="57" t="s">
        <v>43</v>
      </c>
      <c r="E769" s="57" t="s">
        <v>346</v>
      </c>
      <c r="F769" s="57">
        <v>258</v>
      </c>
      <c r="G769" s="57" t="s">
        <v>347</v>
      </c>
      <c r="H769" s="57" t="s">
        <v>364</v>
      </c>
      <c r="I769" s="57"/>
    </row>
    <row r="770" spans="1:9" ht="60" x14ac:dyDescent="0.25">
      <c r="A770" s="58"/>
      <c r="B770" s="57" t="s">
        <v>335</v>
      </c>
      <c r="C770" s="57">
        <v>5315</v>
      </c>
      <c r="D770" s="57" t="s">
        <v>44</v>
      </c>
      <c r="E770" s="57" t="s">
        <v>353</v>
      </c>
      <c r="F770" s="57">
        <v>258</v>
      </c>
      <c r="G770" s="57" t="s">
        <v>347</v>
      </c>
      <c r="H770" s="57" t="s">
        <v>365</v>
      </c>
      <c r="I770" s="57"/>
    </row>
    <row r="771" spans="1:9" ht="60" x14ac:dyDescent="0.25">
      <c r="A771" s="58"/>
      <c r="B771" s="57" t="s">
        <v>335</v>
      </c>
      <c r="C771" s="57">
        <v>5315</v>
      </c>
      <c r="D771" s="57" t="s">
        <v>366</v>
      </c>
      <c r="E771" s="57" t="s">
        <v>353</v>
      </c>
      <c r="F771" s="57">
        <v>258</v>
      </c>
      <c r="G771" s="57" t="s">
        <v>347</v>
      </c>
      <c r="H771" s="57" t="s">
        <v>367</v>
      </c>
      <c r="I771" s="57"/>
    </row>
  </sheetData>
  <autoFilter ref="A1:I771" xr:uid="{00000000-0009-0000-0000-000002000000}"/>
  <mergeCells count="2">
    <mergeCell ref="A2:H2"/>
    <mergeCell ref="A1:H1"/>
  </mergeCells>
  <conditionalFormatting sqref="E5:E500">
    <cfRule type="expression" dxfId="3" priority="1">
      <formula>E5="KRYTYCZNY"</formula>
    </cfRule>
  </conditionalFormatting>
  <conditionalFormatting sqref="F5:F500">
    <cfRule type="expression" dxfId="2" priority="2">
      <formula>F5="ZROBIONE"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_LISTY!$E$5:$E$8</xm:f>
          </x14:formula1>
          <xm:sqref>E5:E1200</xm:sqref>
        </x14:dataValidation>
        <x14:dataValidation type="list" allowBlank="1" xr:uid="{00000000-0002-0000-0200-000001000000}">
          <x14:formula1>
            <xm:f>_LISTY!$F$5:$F$7</xm:f>
          </x14:formula1>
          <xm:sqref>G5:G1200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A651"/>
  </sheetPr>
  <dimension ref="A1:B15"/>
  <sheetViews>
    <sheetView workbookViewId="0"/>
  </sheetViews>
  <sheetFormatPr defaultRowHeight="15" x14ac:dyDescent="0.25"/>
  <cols>
    <col min="1" max="1" width="23.5703125" bestFit="1" customWidth="1"/>
    <col min="2" max="2" width="25.28515625" bestFit="1" customWidth="1"/>
  </cols>
  <sheetData>
    <row r="1" spans="1:2" x14ac:dyDescent="0.25">
      <c r="A1" s="7" t="s">
        <v>368</v>
      </c>
      <c r="B1" s="7"/>
    </row>
    <row r="2" spans="1:2" x14ac:dyDescent="0.25">
      <c r="A2" t="s">
        <v>369</v>
      </c>
      <c r="B2" t="s">
        <v>370</v>
      </c>
    </row>
    <row r="3" spans="1:2" x14ac:dyDescent="0.25">
      <c r="A3" t="s">
        <v>371</v>
      </c>
      <c r="B3" t="s">
        <v>372</v>
      </c>
    </row>
    <row r="4" spans="1:2" x14ac:dyDescent="0.25">
      <c r="A4" t="s">
        <v>117</v>
      </c>
      <c r="B4" t="s">
        <v>373</v>
      </c>
    </row>
    <row r="5" spans="1:2" x14ac:dyDescent="0.25">
      <c r="A5" t="s">
        <v>5606</v>
      </c>
      <c r="B5" t="s">
        <v>5607</v>
      </c>
    </row>
    <row r="11" spans="1:2" x14ac:dyDescent="0.25">
      <c r="B11" s="22"/>
    </row>
    <row r="15" spans="1:2" x14ac:dyDescent="0.25">
      <c r="A15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A651"/>
  </sheetPr>
  <dimension ref="A1:I720"/>
  <sheetViews>
    <sheetView showGridLines="0" workbookViewId="0">
      <pane ySplit="4" topLeftCell="A5" activePane="bottomLeft" state="frozen"/>
      <selection pane="bottomLeft" sqref="A1:H1"/>
    </sheetView>
  </sheetViews>
  <sheetFormatPr defaultRowHeight="15" x14ac:dyDescent="0.25"/>
  <cols>
    <col min="1" max="3" width="12" bestFit="1" customWidth="1"/>
    <col min="4" max="4" width="13" bestFit="1" customWidth="1"/>
    <col min="5" max="5" width="12" bestFit="1" customWidth="1"/>
    <col min="6" max="6" width="17" bestFit="1" customWidth="1"/>
    <col min="7" max="7" width="12" bestFit="1" customWidth="1"/>
    <col min="8" max="8" width="15" bestFit="1" customWidth="1"/>
    <col min="9" max="9" width="12" bestFit="1" customWidth="1"/>
  </cols>
  <sheetData>
    <row r="1" spans="1:9" ht="32.1" customHeight="1" x14ac:dyDescent="0.35">
      <c r="A1" s="81" t="s">
        <v>374</v>
      </c>
      <c r="B1" s="66"/>
      <c r="C1" s="66"/>
      <c r="D1" s="66"/>
      <c r="E1" s="66"/>
      <c r="F1" s="66"/>
      <c r="G1" s="66"/>
      <c r="H1" s="67"/>
      <c r="I1" s="11"/>
    </row>
    <row r="2" spans="1:9" x14ac:dyDescent="0.25">
      <c r="A2" s="82" t="s">
        <v>338</v>
      </c>
      <c r="B2" s="66"/>
      <c r="C2" s="66"/>
      <c r="D2" s="66"/>
      <c r="E2" s="66"/>
      <c r="F2" s="66"/>
      <c r="G2" s="66"/>
      <c r="H2" s="67"/>
      <c r="I2" s="23"/>
    </row>
    <row r="3" spans="1:9" x14ac:dyDescent="0.25">
      <c r="A3" s="5"/>
      <c r="B3" s="5"/>
      <c r="C3" s="5"/>
      <c r="D3" s="5"/>
      <c r="E3" s="5"/>
      <c r="F3" s="5"/>
      <c r="G3" s="5"/>
    </row>
    <row r="4" spans="1:9" ht="21.95" customHeight="1" x14ac:dyDescent="0.25">
      <c r="A4" s="49" t="s">
        <v>339</v>
      </c>
      <c r="B4" s="49" t="s">
        <v>108</v>
      </c>
      <c r="C4" s="49" t="s">
        <v>111</v>
      </c>
      <c r="D4" s="49" t="s">
        <v>340</v>
      </c>
      <c r="E4" s="49" t="s">
        <v>341</v>
      </c>
      <c r="F4" s="49" t="s">
        <v>342</v>
      </c>
      <c r="G4" s="49" t="s">
        <v>117</v>
      </c>
      <c r="H4" s="49" t="s">
        <v>343</v>
      </c>
      <c r="I4" s="49" t="s">
        <v>344</v>
      </c>
    </row>
    <row r="5" spans="1:9" ht="20.100000000000001" customHeight="1" x14ac:dyDescent="0.25">
      <c r="A5" s="50">
        <v>46182</v>
      </c>
      <c r="B5" s="52" t="s">
        <v>81</v>
      </c>
      <c r="C5" s="52">
        <v>5453</v>
      </c>
      <c r="D5" s="52" t="s">
        <v>355</v>
      </c>
      <c r="E5" s="52" t="s">
        <v>346</v>
      </c>
      <c r="F5" s="52">
        <f t="shared" ref="F5:F68" ca="1" si="0">IF(A5="","",MAX(0,TODAY()-A5))</f>
        <v>4</v>
      </c>
      <c r="G5" s="55" t="s">
        <v>347</v>
      </c>
      <c r="H5" s="55" t="s">
        <v>356</v>
      </c>
      <c r="I5" s="52"/>
    </row>
    <row r="6" spans="1:9" ht="20.100000000000001" customHeight="1" x14ac:dyDescent="0.25">
      <c r="A6" s="50">
        <v>46182</v>
      </c>
      <c r="B6" s="52" t="s">
        <v>81</v>
      </c>
      <c r="C6" s="52">
        <v>5453</v>
      </c>
      <c r="D6" s="52" t="s">
        <v>345</v>
      </c>
      <c r="E6" s="52" t="s">
        <v>346</v>
      </c>
      <c r="F6" s="52">
        <f t="shared" ca="1" si="0"/>
        <v>4</v>
      </c>
      <c r="G6" s="55" t="s">
        <v>347</v>
      </c>
      <c r="H6" s="55" t="s">
        <v>348</v>
      </c>
      <c r="I6" s="52"/>
    </row>
    <row r="7" spans="1:9" ht="20.100000000000001" customHeight="1" x14ac:dyDescent="0.25">
      <c r="A7" s="50">
        <v>46182</v>
      </c>
      <c r="B7" s="52" t="s">
        <v>81</v>
      </c>
      <c r="C7" s="52">
        <v>5453</v>
      </c>
      <c r="D7" s="52" t="s">
        <v>349</v>
      </c>
      <c r="E7" s="52" t="s">
        <v>350</v>
      </c>
      <c r="F7" s="52">
        <f t="shared" ca="1" si="0"/>
        <v>4</v>
      </c>
      <c r="G7" s="55" t="s">
        <v>347</v>
      </c>
      <c r="H7" s="55" t="s">
        <v>351</v>
      </c>
      <c r="I7" s="52"/>
    </row>
    <row r="8" spans="1:9" ht="20.100000000000001" customHeight="1" x14ac:dyDescent="0.25">
      <c r="A8" s="50">
        <v>46182</v>
      </c>
      <c r="B8" s="52" t="s">
        <v>81</v>
      </c>
      <c r="C8" s="52">
        <v>5453</v>
      </c>
      <c r="D8" s="52" t="s">
        <v>352</v>
      </c>
      <c r="E8" s="52" t="s">
        <v>353</v>
      </c>
      <c r="F8" s="52">
        <f t="shared" ca="1" si="0"/>
        <v>4</v>
      </c>
      <c r="G8" s="55" t="s">
        <v>347</v>
      </c>
      <c r="H8" s="55" t="s">
        <v>354</v>
      </c>
      <c r="I8" s="52"/>
    </row>
    <row r="9" spans="1:9" ht="20.100000000000001" customHeight="1" x14ac:dyDescent="0.25">
      <c r="A9" s="50">
        <v>46182</v>
      </c>
      <c r="B9" s="52" t="s">
        <v>81</v>
      </c>
      <c r="C9" s="52">
        <v>5455</v>
      </c>
      <c r="D9" s="52" t="s">
        <v>345</v>
      </c>
      <c r="E9" s="52" t="s">
        <v>346</v>
      </c>
      <c r="F9" s="52">
        <f t="shared" ca="1" si="0"/>
        <v>4</v>
      </c>
      <c r="G9" s="55" t="s">
        <v>347</v>
      </c>
      <c r="H9" s="55" t="s">
        <v>348</v>
      </c>
      <c r="I9" s="52"/>
    </row>
    <row r="10" spans="1:9" ht="20.100000000000001" customHeight="1" x14ac:dyDescent="0.25">
      <c r="A10" s="50">
        <v>46182</v>
      </c>
      <c r="B10" s="52" t="s">
        <v>81</v>
      </c>
      <c r="C10" s="52">
        <v>5455</v>
      </c>
      <c r="D10" s="52" t="s">
        <v>349</v>
      </c>
      <c r="E10" s="52" t="s">
        <v>350</v>
      </c>
      <c r="F10" s="52">
        <f t="shared" ca="1" si="0"/>
        <v>4</v>
      </c>
      <c r="G10" s="55" t="s">
        <v>347</v>
      </c>
      <c r="H10" s="55" t="s">
        <v>351</v>
      </c>
      <c r="I10" s="52"/>
    </row>
    <row r="11" spans="1:9" ht="20.100000000000001" customHeight="1" x14ac:dyDescent="0.25">
      <c r="A11" s="50">
        <v>46182</v>
      </c>
      <c r="B11" s="52" t="s">
        <v>81</v>
      </c>
      <c r="C11" s="52">
        <v>5455</v>
      </c>
      <c r="D11" s="52" t="s">
        <v>352</v>
      </c>
      <c r="E11" s="52" t="s">
        <v>353</v>
      </c>
      <c r="F11" s="52">
        <f t="shared" ca="1" si="0"/>
        <v>4</v>
      </c>
      <c r="G11" s="55" t="s">
        <v>347</v>
      </c>
      <c r="H11" s="55" t="s">
        <v>354</v>
      </c>
      <c r="I11" s="52"/>
    </row>
    <row r="12" spans="1:9" ht="20.100000000000001" customHeight="1" x14ac:dyDescent="0.25">
      <c r="A12" s="50">
        <v>46182</v>
      </c>
      <c r="B12" s="52" t="s">
        <v>81</v>
      </c>
      <c r="C12" s="52">
        <v>5459</v>
      </c>
      <c r="D12" s="52" t="s">
        <v>345</v>
      </c>
      <c r="E12" s="52" t="s">
        <v>346</v>
      </c>
      <c r="F12" s="52">
        <f t="shared" ca="1" si="0"/>
        <v>4</v>
      </c>
      <c r="G12" s="55" t="s">
        <v>347</v>
      </c>
      <c r="H12" s="55" t="s">
        <v>348</v>
      </c>
      <c r="I12" s="52"/>
    </row>
    <row r="13" spans="1:9" ht="20.100000000000001" customHeight="1" x14ac:dyDescent="0.25">
      <c r="A13" s="50">
        <v>46182</v>
      </c>
      <c r="B13" s="52" t="s">
        <v>81</v>
      </c>
      <c r="C13" s="52">
        <v>5459</v>
      </c>
      <c r="D13" s="52" t="s">
        <v>349</v>
      </c>
      <c r="E13" s="52" t="s">
        <v>350</v>
      </c>
      <c r="F13" s="52">
        <f t="shared" ca="1" si="0"/>
        <v>4</v>
      </c>
      <c r="G13" s="55" t="s">
        <v>347</v>
      </c>
      <c r="H13" s="55" t="s">
        <v>351</v>
      </c>
      <c r="I13" s="52"/>
    </row>
    <row r="14" spans="1:9" ht="20.100000000000001" customHeight="1" x14ac:dyDescent="0.25">
      <c r="A14" s="50">
        <v>46182</v>
      </c>
      <c r="B14" s="52" t="s">
        <v>81</v>
      </c>
      <c r="C14" s="52">
        <v>5459</v>
      </c>
      <c r="D14" s="52" t="s">
        <v>352</v>
      </c>
      <c r="E14" s="52" t="s">
        <v>353</v>
      </c>
      <c r="F14" s="52">
        <f t="shared" ca="1" si="0"/>
        <v>4</v>
      </c>
      <c r="G14" s="55" t="s">
        <v>347</v>
      </c>
      <c r="H14" s="55" t="s">
        <v>354</v>
      </c>
      <c r="I14" s="52"/>
    </row>
    <row r="15" spans="1:9" ht="20.100000000000001" customHeight="1" x14ac:dyDescent="0.25">
      <c r="A15" s="50">
        <v>46182</v>
      </c>
      <c r="B15" s="52" t="s">
        <v>81</v>
      </c>
      <c r="C15" s="52">
        <v>5460</v>
      </c>
      <c r="D15" s="52" t="s">
        <v>345</v>
      </c>
      <c r="E15" s="52" t="s">
        <v>346</v>
      </c>
      <c r="F15" s="52">
        <f t="shared" ca="1" si="0"/>
        <v>4</v>
      </c>
      <c r="G15" s="55" t="s">
        <v>347</v>
      </c>
      <c r="H15" s="55" t="s">
        <v>348</v>
      </c>
      <c r="I15" s="52"/>
    </row>
    <row r="16" spans="1:9" ht="20.100000000000001" customHeight="1" x14ac:dyDescent="0.25">
      <c r="A16" s="50">
        <v>46182</v>
      </c>
      <c r="B16" s="52" t="s">
        <v>81</v>
      </c>
      <c r="C16" s="52">
        <v>5460</v>
      </c>
      <c r="D16" s="52" t="s">
        <v>349</v>
      </c>
      <c r="E16" s="52" t="s">
        <v>350</v>
      </c>
      <c r="F16" s="52">
        <f t="shared" ca="1" si="0"/>
        <v>4</v>
      </c>
      <c r="G16" s="55" t="s">
        <v>347</v>
      </c>
      <c r="H16" s="55" t="s">
        <v>351</v>
      </c>
      <c r="I16" s="52"/>
    </row>
    <row r="17" spans="1:9" ht="20.100000000000001" customHeight="1" x14ac:dyDescent="0.25">
      <c r="A17" s="50">
        <v>46182</v>
      </c>
      <c r="B17" s="52" t="s">
        <v>81</v>
      </c>
      <c r="C17" s="52">
        <v>5460</v>
      </c>
      <c r="D17" s="52" t="s">
        <v>352</v>
      </c>
      <c r="E17" s="52" t="s">
        <v>353</v>
      </c>
      <c r="F17" s="52">
        <f t="shared" ca="1" si="0"/>
        <v>4</v>
      </c>
      <c r="G17" s="55" t="s">
        <v>347</v>
      </c>
      <c r="H17" s="55" t="s">
        <v>354</v>
      </c>
      <c r="I17" s="52"/>
    </row>
    <row r="18" spans="1:9" ht="20.100000000000001" customHeight="1" x14ac:dyDescent="0.25">
      <c r="A18" s="50">
        <v>46182</v>
      </c>
      <c r="B18" s="52" t="s">
        <v>153</v>
      </c>
      <c r="C18" s="52">
        <v>5463</v>
      </c>
      <c r="D18" s="52" t="s">
        <v>345</v>
      </c>
      <c r="E18" s="52" t="s">
        <v>346</v>
      </c>
      <c r="F18" s="52">
        <f t="shared" ca="1" si="0"/>
        <v>4</v>
      </c>
      <c r="G18" s="55" t="s">
        <v>347</v>
      </c>
      <c r="H18" s="55" t="s">
        <v>348</v>
      </c>
      <c r="I18" s="52"/>
    </row>
    <row r="19" spans="1:9" ht="20.100000000000001" customHeight="1" x14ac:dyDescent="0.25">
      <c r="A19" s="50">
        <v>46182</v>
      </c>
      <c r="B19" s="52" t="s">
        <v>153</v>
      </c>
      <c r="C19" s="52">
        <v>5463</v>
      </c>
      <c r="D19" s="52" t="s">
        <v>349</v>
      </c>
      <c r="E19" s="52" t="s">
        <v>350</v>
      </c>
      <c r="F19" s="52">
        <f t="shared" ca="1" si="0"/>
        <v>4</v>
      </c>
      <c r="G19" s="55" t="s">
        <v>347</v>
      </c>
      <c r="H19" s="55" t="s">
        <v>351</v>
      </c>
      <c r="I19" s="52"/>
    </row>
    <row r="20" spans="1:9" ht="20.100000000000001" customHeight="1" x14ac:dyDescent="0.25">
      <c r="A20" s="50">
        <v>46182</v>
      </c>
      <c r="B20" s="52" t="s">
        <v>153</v>
      </c>
      <c r="C20" s="52">
        <v>5463</v>
      </c>
      <c r="D20" s="52" t="s">
        <v>352</v>
      </c>
      <c r="E20" s="52" t="s">
        <v>353</v>
      </c>
      <c r="F20" s="52">
        <f t="shared" ca="1" si="0"/>
        <v>4</v>
      </c>
      <c r="G20" s="55" t="s">
        <v>347</v>
      </c>
      <c r="H20" s="55" t="s">
        <v>354</v>
      </c>
      <c r="I20" s="52"/>
    </row>
    <row r="21" spans="1:9" ht="20.100000000000001" customHeight="1" x14ac:dyDescent="0.25">
      <c r="A21" s="50">
        <v>46182</v>
      </c>
      <c r="B21" s="52" t="s">
        <v>159</v>
      </c>
      <c r="C21" s="52">
        <v>5466</v>
      </c>
      <c r="D21" s="52" t="s">
        <v>345</v>
      </c>
      <c r="E21" s="52" t="s">
        <v>346</v>
      </c>
      <c r="F21" s="52">
        <f t="shared" ca="1" si="0"/>
        <v>4</v>
      </c>
      <c r="G21" s="55" t="s">
        <v>347</v>
      </c>
      <c r="H21" s="55" t="s">
        <v>348</v>
      </c>
      <c r="I21" s="52"/>
    </row>
    <row r="22" spans="1:9" ht="20.100000000000001" customHeight="1" x14ac:dyDescent="0.25">
      <c r="A22" s="50">
        <v>46182</v>
      </c>
      <c r="B22" s="52" t="s">
        <v>159</v>
      </c>
      <c r="C22" s="52">
        <v>5466</v>
      </c>
      <c r="D22" s="52" t="s">
        <v>349</v>
      </c>
      <c r="E22" s="52" t="s">
        <v>350</v>
      </c>
      <c r="F22" s="52">
        <f t="shared" ca="1" si="0"/>
        <v>4</v>
      </c>
      <c r="G22" s="55" t="s">
        <v>347</v>
      </c>
      <c r="H22" s="55" t="s">
        <v>351</v>
      </c>
      <c r="I22" s="52"/>
    </row>
    <row r="23" spans="1:9" ht="20.100000000000001" customHeight="1" x14ac:dyDescent="0.25">
      <c r="A23" s="50">
        <v>46182</v>
      </c>
      <c r="B23" s="52" t="s">
        <v>159</v>
      </c>
      <c r="C23" s="52">
        <v>5466</v>
      </c>
      <c r="D23" s="52" t="s">
        <v>352</v>
      </c>
      <c r="E23" s="52" t="s">
        <v>353</v>
      </c>
      <c r="F23" s="52">
        <f t="shared" ca="1" si="0"/>
        <v>4</v>
      </c>
      <c r="G23" s="55" t="s">
        <v>347</v>
      </c>
      <c r="H23" s="55" t="s">
        <v>354</v>
      </c>
      <c r="I23" s="52"/>
    </row>
    <row r="24" spans="1:9" ht="20.100000000000001" customHeight="1" x14ac:dyDescent="0.25">
      <c r="A24" s="50">
        <v>46182</v>
      </c>
      <c r="B24" s="52" t="s">
        <v>81</v>
      </c>
      <c r="C24" s="52">
        <v>5467</v>
      </c>
      <c r="D24" s="52" t="s">
        <v>345</v>
      </c>
      <c r="E24" s="52" t="s">
        <v>346</v>
      </c>
      <c r="F24" s="52">
        <f t="shared" ca="1" si="0"/>
        <v>4</v>
      </c>
      <c r="G24" s="55" t="s">
        <v>347</v>
      </c>
      <c r="H24" s="55" t="s">
        <v>348</v>
      </c>
      <c r="I24" s="52"/>
    </row>
    <row r="25" spans="1:9" ht="20.100000000000001" customHeight="1" x14ac:dyDescent="0.25">
      <c r="A25" s="50">
        <v>46182</v>
      </c>
      <c r="B25" s="52" t="s">
        <v>81</v>
      </c>
      <c r="C25" s="52">
        <v>5467</v>
      </c>
      <c r="D25" s="52" t="s">
        <v>349</v>
      </c>
      <c r="E25" s="52" t="s">
        <v>350</v>
      </c>
      <c r="F25" s="52">
        <f t="shared" ca="1" si="0"/>
        <v>4</v>
      </c>
      <c r="G25" s="55" t="s">
        <v>347</v>
      </c>
      <c r="H25" s="55" t="s">
        <v>351</v>
      </c>
      <c r="I25" s="52"/>
    </row>
    <row r="26" spans="1:9" ht="20.100000000000001" customHeight="1" x14ac:dyDescent="0.25">
      <c r="A26" s="50">
        <v>46182</v>
      </c>
      <c r="B26" s="52" t="s">
        <v>81</v>
      </c>
      <c r="C26" s="52">
        <v>5467</v>
      </c>
      <c r="D26" s="52" t="s">
        <v>352</v>
      </c>
      <c r="E26" s="52" t="s">
        <v>353</v>
      </c>
      <c r="F26" s="52">
        <f t="shared" ca="1" si="0"/>
        <v>4</v>
      </c>
      <c r="G26" s="55" t="s">
        <v>347</v>
      </c>
      <c r="H26" s="55" t="s">
        <v>354</v>
      </c>
      <c r="I26" s="52"/>
    </row>
    <row r="27" spans="1:9" ht="20.100000000000001" customHeight="1" x14ac:dyDescent="0.25">
      <c r="A27" s="50">
        <v>46182</v>
      </c>
      <c r="B27" s="52" t="s">
        <v>160</v>
      </c>
      <c r="C27" s="52">
        <v>5468</v>
      </c>
      <c r="D27" s="52" t="s">
        <v>345</v>
      </c>
      <c r="E27" s="52" t="s">
        <v>346</v>
      </c>
      <c r="F27" s="52">
        <f t="shared" ca="1" si="0"/>
        <v>4</v>
      </c>
      <c r="G27" s="55" t="s">
        <v>347</v>
      </c>
      <c r="H27" s="55" t="s">
        <v>348</v>
      </c>
      <c r="I27" s="52"/>
    </row>
    <row r="28" spans="1:9" ht="20.100000000000001" customHeight="1" x14ac:dyDescent="0.25">
      <c r="A28" s="50">
        <v>46182</v>
      </c>
      <c r="B28" s="52" t="s">
        <v>160</v>
      </c>
      <c r="C28" s="52">
        <v>5468</v>
      </c>
      <c r="D28" s="52" t="s">
        <v>349</v>
      </c>
      <c r="E28" s="52" t="s">
        <v>350</v>
      </c>
      <c r="F28" s="52">
        <f t="shared" ca="1" si="0"/>
        <v>4</v>
      </c>
      <c r="G28" s="55" t="s">
        <v>347</v>
      </c>
      <c r="H28" s="55" t="s">
        <v>351</v>
      </c>
      <c r="I28" s="52"/>
    </row>
    <row r="29" spans="1:9" ht="20.100000000000001" customHeight="1" x14ac:dyDescent="0.25">
      <c r="A29" s="50">
        <v>46182</v>
      </c>
      <c r="B29" s="52" t="s">
        <v>160</v>
      </c>
      <c r="C29" s="52">
        <v>5468</v>
      </c>
      <c r="D29" s="52" t="s">
        <v>352</v>
      </c>
      <c r="E29" s="52" t="s">
        <v>353</v>
      </c>
      <c r="F29" s="52">
        <f t="shared" ca="1" si="0"/>
        <v>4</v>
      </c>
      <c r="G29" s="55" t="s">
        <v>347</v>
      </c>
      <c r="H29" s="55" t="s">
        <v>354</v>
      </c>
      <c r="I29" s="52"/>
    </row>
    <row r="30" spans="1:9" ht="20.100000000000001" customHeight="1" x14ac:dyDescent="0.25">
      <c r="A30" s="50">
        <v>46182</v>
      </c>
      <c r="B30" s="52" t="s">
        <v>161</v>
      </c>
      <c r="C30" s="52">
        <v>5469</v>
      </c>
      <c r="D30" s="52" t="s">
        <v>345</v>
      </c>
      <c r="E30" s="52" t="s">
        <v>346</v>
      </c>
      <c r="F30" s="52">
        <f t="shared" ca="1" si="0"/>
        <v>4</v>
      </c>
      <c r="G30" s="55" t="s">
        <v>347</v>
      </c>
      <c r="H30" s="55" t="s">
        <v>348</v>
      </c>
      <c r="I30" s="52"/>
    </row>
    <row r="31" spans="1:9" ht="20.100000000000001" customHeight="1" x14ac:dyDescent="0.25">
      <c r="A31" s="50">
        <v>46182</v>
      </c>
      <c r="B31" s="52" t="s">
        <v>161</v>
      </c>
      <c r="C31" s="52">
        <v>5469</v>
      </c>
      <c r="D31" s="52" t="s">
        <v>349</v>
      </c>
      <c r="E31" s="52" t="s">
        <v>350</v>
      </c>
      <c r="F31" s="52">
        <f t="shared" ca="1" si="0"/>
        <v>4</v>
      </c>
      <c r="G31" s="55" t="s">
        <v>347</v>
      </c>
      <c r="H31" s="55" t="s">
        <v>351</v>
      </c>
      <c r="I31" s="52"/>
    </row>
    <row r="32" spans="1:9" ht="20.100000000000001" customHeight="1" x14ac:dyDescent="0.25">
      <c r="A32" s="50">
        <v>46182</v>
      </c>
      <c r="B32" s="52" t="s">
        <v>161</v>
      </c>
      <c r="C32" s="52">
        <v>5469</v>
      </c>
      <c r="D32" s="52" t="s">
        <v>352</v>
      </c>
      <c r="E32" s="52" t="s">
        <v>353</v>
      </c>
      <c r="F32" s="52">
        <f t="shared" ca="1" si="0"/>
        <v>4</v>
      </c>
      <c r="G32" s="55" t="s">
        <v>347</v>
      </c>
      <c r="H32" s="55" t="s">
        <v>354</v>
      </c>
      <c r="I32" s="52"/>
    </row>
    <row r="33" spans="1:9" ht="20.100000000000001" customHeight="1" x14ac:dyDescent="0.25">
      <c r="A33" s="50">
        <v>46182</v>
      </c>
      <c r="B33" s="52" t="s">
        <v>153</v>
      </c>
      <c r="C33" s="52">
        <v>5478</v>
      </c>
      <c r="D33" s="52" t="s">
        <v>345</v>
      </c>
      <c r="E33" s="52" t="s">
        <v>346</v>
      </c>
      <c r="F33" s="52">
        <f t="shared" ca="1" si="0"/>
        <v>4</v>
      </c>
      <c r="G33" s="55" t="s">
        <v>347</v>
      </c>
      <c r="H33" s="55" t="s">
        <v>348</v>
      </c>
      <c r="I33" s="52"/>
    </row>
    <row r="34" spans="1:9" ht="20.100000000000001" customHeight="1" x14ac:dyDescent="0.25">
      <c r="A34" s="50">
        <v>46182</v>
      </c>
      <c r="B34" s="52" t="s">
        <v>153</v>
      </c>
      <c r="C34" s="52">
        <v>5478</v>
      </c>
      <c r="D34" s="52" t="s">
        <v>349</v>
      </c>
      <c r="E34" s="52" t="s">
        <v>350</v>
      </c>
      <c r="F34" s="52">
        <f t="shared" ca="1" si="0"/>
        <v>4</v>
      </c>
      <c r="G34" s="55" t="s">
        <v>347</v>
      </c>
      <c r="H34" s="55" t="s">
        <v>351</v>
      </c>
      <c r="I34" s="52"/>
    </row>
    <row r="35" spans="1:9" ht="20.100000000000001" customHeight="1" x14ac:dyDescent="0.25">
      <c r="A35" s="50">
        <v>46182</v>
      </c>
      <c r="B35" s="52" t="s">
        <v>153</v>
      </c>
      <c r="C35" s="52">
        <v>5478</v>
      </c>
      <c r="D35" s="52" t="s">
        <v>352</v>
      </c>
      <c r="E35" s="52" t="s">
        <v>353</v>
      </c>
      <c r="F35" s="52">
        <f t="shared" ca="1" si="0"/>
        <v>4</v>
      </c>
      <c r="G35" s="55" t="s">
        <v>347</v>
      </c>
      <c r="H35" s="55" t="s">
        <v>354</v>
      </c>
      <c r="I35" s="52"/>
    </row>
    <row r="36" spans="1:9" ht="20.100000000000001" customHeight="1" x14ac:dyDescent="0.25">
      <c r="A36" s="50">
        <v>46182</v>
      </c>
      <c r="B36" s="52" t="s">
        <v>81</v>
      </c>
      <c r="C36" s="52">
        <v>5479</v>
      </c>
      <c r="D36" s="52" t="s">
        <v>345</v>
      </c>
      <c r="E36" s="52" t="s">
        <v>346</v>
      </c>
      <c r="F36" s="52">
        <f t="shared" ca="1" si="0"/>
        <v>4</v>
      </c>
      <c r="G36" s="55" t="s">
        <v>347</v>
      </c>
      <c r="H36" s="55" t="s">
        <v>348</v>
      </c>
      <c r="I36" s="52"/>
    </row>
    <row r="37" spans="1:9" ht="20.100000000000001" customHeight="1" x14ac:dyDescent="0.25">
      <c r="A37" s="50">
        <v>46182</v>
      </c>
      <c r="B37" s="52" t="s">
        <v>81</v>
      </c>
      <c r="C37" s="52">
        <v>5479</v>
      </c>
      <c r="D37" s="52" t="s">
        <v>349</v>
      </c>
      <c r="E37" s="52" t="s">
        <v>350</v>
      </c>
      <c r="F37" s="52">
        <f t="shared" ca="1" si="0"/>
        <v>4</v>
      </c>
      <c r="G37" s="55" t="s">
        <v>347</v>
      </c>
      <c r="H37" s="55" t="s">
        <v>351</v>
      </c>
      <c r="I37" s="52"/>
    </row>
    <row r="38" spans="1:9" ht="20.100000000000001" customHeight="1" x14ac:dyDescent="0.25">
      <c r="A38" s="50">
        <v>46182</v>
      </c>
      <c r="B38" s="52" t="s">
        <v>81</v>
      </c>
      <c r="C38" s="52">
        <v>5479</v>
      </c>
      <c r="D38" s="52" t="s">
        <v>352</v>
      </c>
      <c r="E38" s="52" t="s">
        <v>353</v>
      </c>
      <c r="F38" s="52">
        <f t="shared" ca="1" si="0"/>
        <v>4</v>
      </c>
      <c r="G38" s="55" t="s">
        <v>347</v>
      </c>
      <c r="H38" s="55" t="s">
        <v>354</v>
      </c>
      <c r="I38" s="52"/>
    </row>
    <row r="39" spans="1:9" ht="20.100000000000001" customHeight="1" x14ac:dyDescent="0.25">
      <c r="A39" s="50">
        <v>46182</v>
      </c>
      <c r="B39" s="52" t="s">
        <v>81</v>
      </c>
      <c r="C39" s="52">
        <v>5481</v>
      </c>
      <c r="D39" s="52" t="s">
        <v>355</v>
      </c>
      <c r="E39" s="52" t="s">
        <v>346</v>
      </c>
      <c r="F39" s="52">
        <f t="shared" ca="1" si="0"/>
        <v>4</v>
      </c>
      <c r="G39" s="55" t="s">
        <v>347</v>
      </c>
      <c r="H39" s="55" t="s">
        <v>356</v>
      </c>
      <c r="I39" s="52"/>
    </row>
    <row r="40" spans="1:9" ht="20.100000000000001" customHeight="1" x14ac:dyDescent="0.25">
      <c r="A40" s="50">
        <v>46182</v>
      </c>
      <c r="B40" s="52" t="s">
        <v>81</v>
      </c>
      <c r="C40" s="52">
        <v>5481</v>
      </c>
      <c r="D40" s="52" t="s">
        <v>345</v>
      </c>
      <c r="E40" s="52" t="s">
        <v>346</v>
      </c>
      <c r="F40" s="52">
        <f t="shared" ca="1" si="0"/>
        <v>4</v>
      </c>
      <c r="G40" s="55" t="s">
        <v>347</v>
      </c>
      <c r="H40" s="55" t="s">
        <v>348</v>
      </c>
      <c r="I40" s="52"/>
    </row>
    <row r="41" spans="1:9" ht="20.100000000000001" customHeight="1" x14ac:dyDescent="0.25">
      <c r="A41" s="50">
        <v>46182</v>
      </c>
      <c r="B41" s="52" t="s">
        <v>81</v>
      </c>
      <c r="C41" s="52">
        <v>5481</v>
      </c>
      <c r="D41" s="52" t="s">
        <v>349</v>
      </c>
      <c r="E41" s="52" t="s">
        <v>350</v>
      </c>
      <c r="F41" s="52">
        <f t="shared" ca="1" si="0"/>
        <v>4</v>
      </c>
      <c r="G41" s="55" t="s">
        <v>347</v>
      </c>
      <c r="H41" s="55" t="s">
        <v>351</v>
      </c>
      <c r="I41" s="52"/>
    </row>
    <row r="42" spans="1:9" ht="20.100000000000001" customHeight="1" x14ac:dyDescent="0.25">
      <c r="A42" s="50">
        <v>46182</v>
      </c>
      <c r="B42" s="52" t="s">
        <v>81</v>
      </c>
      <c r="C42" s="52">
        <v>5481</v>
      </c>
      <c r="D42" s="52" t="s">
        <v>352</v>
      </c>
      <c r="E42" s="52" t="s">
        <v>353</v>
      </c>
      <c r="F42" s="52">
        <f t="shared" ca="1" si="0"/>
        <v>4</v>
      </c>
      <c r="G42" s="55" t="s">
        <v>347</v>
      </c>
      <c r="H42" s="55" t="s">
        <v>354</v>
      </c>
      <c r="I42" s="52"/>
    </row>
    <row r="43" spans="1:9" ht="20.100000000000001" customHeight="1" x14ac:dyDescent="0.25">
      <c r="A43" s="50">
        <v>46182</v>
      </c>
      <c r="B43" s="52" t="s">
        <v>178</v>
      </c>
      <c r="C43" s="52">
        <v>5483</v>
      </c>
      <c r="D43" s="52" t="s">
        <v>345</v>
      </c>
      <c r="E43" s="52" t="s">
        <v>346</v>
      </c>
      <c r="F43" s="52">
        <f t="shared" ca="1" si="0"/>
        <v>4</v>
      </c>
      <c r="G43" s="55" t="s">
        <v>347</v>
      </c>
      <c r="H43" s="55" t="s">
        <v>348</v>
      </c>
      <c r="I43" s="52"/>
    </row>
    <row r="44" spans="1:9" ht="20.100000000000001" customHeight="1" x14ac:dyDescent="0.25">
      <c r="A44" s="50">
        <v>46182</v>
      </c>
      <c r="B44" s="52" t="s">
        <v>178</v>
      </c>
      <c r="C44" s="52">
        <v>5483</v>
      </c>
      <c r="D44" s="52" t="s">
        <v>349</v>
      </c>
      <c r="E44" s="52" t="s">
        <v>350</v>
      </c>
      <c r="F44" s="52">
        <f t="shared" ca="1" si="0"/>
        <v>4</v>
      </c>
      <c r="G44" s="55" t="s">
        <v>347</v>
      </c>
      <c r="H44" s="55" t="s">
        <v>351</v>
      </c>
      <c r="I44" s="52"/>
    </row>
    <row r="45" spans="1:9" ht="20.100000000000001" customHeight="1" x14ac:dyDescent="0.25">
      <c r="A45" s="50">
        <v>46182</v>
      </c>
      <c r="B45" s="52" t="s">
        <v>178</v>
      </c>
      <c r="C45" s="52">
        <v>5483</v>
      </c>
      <c r="D45" s="52" t="s">
        <v>352</v>
      </c>
      <c r="E45" s="52" t="s">
        <v>353</v>
      </c>
      <c r="F45" s="52">
        <f t="shared" ca="1" si="0"/>
        <v>4</v>
      </c>
      <c r="G45" s="55" t="s">
        <v>347</v>
      </c>
      <c r="H45" s="55" t="s">
        <v>354</v>
      </c>
      <c r="I45" s="52"/>
    </row>
    <row r="46" spans="1:9" ht="20.100000000000001" customHeight="1" x14ac:dyDescent="0.25">
      <c r="A46" s="50">
        <v>46182</v>
      </c>
      <c r="B46" s="52" t="s">
        <v>179</v>
      </c>
      <c r="C46" s="52">
        <v>5484</v>
      </c>
      <c r="D46" s="52" t="s">
        <v>345</v>
      </c>
      <c r="E46" s="52" t="s">
        <v>346</v>
      </c>
      <c r="F46" s="52">
        <f t="shared" ca="1" si="0"/>
        <v>4</v>
      </c>
      <c r="G46" s="55" t="s">
        <v>347</v>
      </c>
      <c r="H46" s="55" t="s">
        <v>348</v>
      </c>
      <c r="I46" s="52"/>
    </row>
    <row r="47" spans="1:9" ht="20.100000000000001" customHeight="1" x14ac:dyDescent="0.25">
      <c r="A47" s="50">
        <v>46182</v>
      </c>
      <c r="B47" s="52" t="s">
        <v>179</v>
      </c>
      <c r="C47" s="52">
        <v>5484</v>
      </c>
      <c r="D47" s="52" t="s">
        <v>349</v>
      </c>
      <c r="E47" s="52" t="s">
        <v>350</v>
      </c>
      <c r="F47" s="52">
        <f t="shared" ca="1" si="0"/>
        <v>4</v>
      </c>
      <c r="G47" s="55" t="s">
        <v>347</v>
      </c>
      <c r="H47" s="55" t="s">
        <v>351</v>
      </c>
      <c r="I47" s="52"/>
    </row>
    <row r="48" spans="1:9" ht="20.100000000000001" customHeight="1" x14ac:dyDescent="0.25">
      <c r="A48" s="50">
        <v>46182</v>
      </c>
      <c r="B48" s="52" t="s">
        <v>179</v>
      </c>
      <c r="C48" s="52">
        <v>5484</v>
      </c>
      <c r="D48" s="52" t="s">
        <v>352</v>
      </c>
      <c r="E48" s="52" t="s">
        <v>353</v>
      </c>
      <c r="F48" s="52">
        <f t="shared" ca="1" si="0"/>
        <v>4</v>
      </c>
      <c r="G48" s="55" t="s">
        <v>347</v>
      </c>
      <c r="H48" s="55" t="s">
        <v>354</v>
      </c>
      <c r="I48" s="52"/>
    </row>
    <row r="49" spans="1:9" ht="20.100000000000001" customHeight="1" x14ac:dyDescent="0.25">
      <c r="A49" s="50">
        <v>46182</v>
      </c>
      <c r="B49" s="52" t="s">
        <v>180</v>
      </c>
      <c r="C49" s="52">
        <v>5485</v>
      </c>
      <c r="D49" s="52" t="s">
        <v>345</v>
      </c>
      <c r="E49" s="52" t="s">
        <v>346</v>
      </c>
      <c r="F49" s="52">
        <f t="shared" ca="1" si="0"/>
        <v>4</v>
      </c>
      <c r="G49" s="55" t="s">
        <v>347</v>
      </c>
      <c r="H49" s="55" t="s">
        <v>348</v>
      </c>
      <c r="I49" s="52"/>
    </row>
    <row r="50" spans="1:9" ht="20.100000000000001" customHeight="1" x14ac:dyDescent="0.25">
      <c r="A50" s="50">
        <v>46182</v>
      </c>
      <c r="B50" s="52" t="s">
        <v>180</v>
      </c>
      <c r="C50" s="52">
        <v>5485</v>
      </c>
      <c r="D50" s="52" t="s">
        <v>349</v>
      </c>
      <c r="E50" s="52" t="s">
        <v>350</v>
      </c>
      <c r="F50" s="52">
        <f t="shared" ca="1" si="0"/>
        <v>4</v>
      </c>
      <c r="G50" s="55" t="s">
        <v>347</v>
      </c>
      <c r="H50" s="55" t="s">
        <v>351</v>
      </c>
      <c r="I50" s="52"/>
    </row>
    <row r="51" spans="1:9" ht="20.100000000000001" customHeight="1" x14ac:dyDescent="0.25">
      <c r="A51" s="50">
        <v>46182</v>
      </c>
      <c r="B51" s="52" t="s">
        <v>180</v>
      </c>
      <c r="C51" s="52">
        <v>5485</v>
      </c>
      <c r="D51" s="52" t="s">
        <v>352</v>
      </c>
      <c r="E51" s="52" t="s">
        <v>353</v>
      </c>
      <c r="F51" s="52">
        <f t="shared" ca="1" si="0"/>
        <v>4</v>
      </c>
      <c r="G51" s="55" t="s">
        <v>347</v>
      </c>
      <c r="H51" s="55" t="s">
        <v>354</v>
      </c>
      <c r="I51" s="52"/>
    </row>
    <row r="52" spans="1:9" ht="20.100000000000001" customHeight="1" x14ac:dyDescent="0.25">
      <c r="A52" s="50">
        <v>46182</v>
      </c>
      <c r="B52" s="52" t="s">
        <v>181</v>
      </c>
      <c r="C52" s="52">
        <v>5486</v>
      </c>
      <c r="D52" s="52" t="s">
        <v>345</v>
      </c>
      <c r="E52" s="52" t="s">
        <v>346</v>
      </c>
      <c r="F52" s="52">
        <f t="shared" ca="1" si="0"/>
        <v>4</v>
      </c>
      <c r="G52" s="55" t="s">
        <v>347</v>
      </c>
      <c r="H52" s="55" t="s">
        <v>348</v>
      </c>
      <c r="I52" s="52"/>
    </row>
    <row r="53" spans="1:9" ht="20.100000000000001" customHeight="1" x14ac:dyDescent="0.25">
      <c r="A53" s="50">
        <v>46182</v>
      </c>
      <c r="B53" s="52" t="s">
        <v>181</v>
      </c>
      <c r="C53" s="52">
        <v>5486</v>
      </c>
      <c r="D53" s="52" t="s">
        <v>349</v>
      </c>
      <c r="E53" s="52" t="s">
        <v>350</v>
      </c>
      <c r="F53" s="52">
        <f t="shared" ca="1" si="0"/>
        <v>4</v>
      </c>
      <c r="G53" s="55" t="s">
        <v>347</v>
      </c>
      <c r="H53" s="55" t="s">
        <v>351</v>
      </c>
      <c r="I53" s="52"/>
    </row>
    <row r="54" spans="1:9" ht="20.100000000000001" customHeight="1" x14ac:dyDescent="0.25">
      <c r="A54" s="50">
        <v>46182</v>
      </c>
      <c r="B54" s="52" t="s">
        <v>181</v>
      </c>
      <c r="C54" s="52">
        <v>5486</v>
      </c>
      <c r="D54" s="52" t="s">
        <v>352</v>
      </c>
      <c r="E54" s="52" t="s">
        <v>353</v>
      </c>
      <c r="F54" s="52">
        <f t="shared" ca="1" si="0"/>
        <v>4</v>
      </c>
      <c r="G54" s="55" t="s">
        <v>347</v>
      </c>
      <c r="H54" s="55" t="s">
        <v>354</v>
      </c>
      <c r="I54" s="52"/>
    </row>
    <row r="55" spans="1:9" ht="20.100000000000001" customHeight="1" x14ac:dyDescent="0.25">
      <c r="A55" s="50">
        <v>46182</v>
      </c>
      <c r="B55" s="52" t="s">
        <v>182</v>
      </c>
      <c r="C55" s="52">
        <v>5487</v>
      </c>
      <c r="D55" s="52" t="s">
        <v>345</v>
      </c>
      <c r="E55" s="52" t="s">
        <v>346</v>
      </c>
      <c r="F55" s="52">
        <f t="shared" ca="1" si="0"/>
        <v>4</v>
      </c>
      <c r="G55" s="55" t="s">
        <v>347</v>
      </c>
      <c r="H55" s="55" t="s">
        <v>348</v>
      </c>
      <c r="I55" s="52"/>
    </row>
    <row r="56" spans="1:9" ht="20.100000000000001" customHeight="1" x14ac:dyDescent="0.25">
      <c r="A56" s="50">
        <v>46182</v>
      </c>
      <c r="B56" s="52" t="s">
        <v>182</v>
      </c>
      <c r="C56" s="52">
        <v>5487</v>
      </c>
      <c r="D56" s="52" t="s">
        <v>349</v>
      </c>
      <c r="E56" s="52" t="s">
        <v>350</v>
      </c>
      <c r="F56" s="52">
        <f t="shared" ca="1" si="0"/>
        <v>4</v>
      </c>
      <c r="G56" s="55" t="s">
        <v>347</v>
      </c>
      <c r="H56" s="55" t="s">
        <v>351</v>
      </c>
      <c r="I56" s="52"/>
    </row>
    <row r="57" spans="1:9" ht="20.100000000000001" customHeight="1" x14ac:dyDescent="0.25">
      <c r="A57" s="50">
        <v>46182</v>
      </c>
      <c r="B57" s="52" t="s">
        <v>182</v>
      </c>
      <c r="C57" s="52">
        <v>5487</v>
      </c>
      <c r="D57" s="52" t="s">
        <v>352</v>
      </c>
      <c r="E57" s="52" t="s">
        <v>353</v>
      </c>
      <c r="F57" s="52">
        <f t="shared" ca="1" si="0"/>
        <v>4</v>
      </c>
      <c r="G57" s="55" t="s">
        <v>347</v>
      </c>
      <c r="H57" s="55" t="s">
        <v>354</v>
      </c>
      <c r="I57" s="52"/>
    </row>
    <row r="58" spans="1:9" ht="20.100000000000001" customHeight="1" x14ac:dyDescent="0.25">
      <c r="A58" s="50">
        <v>46182</v>
      </c>
      <c r="B58" s="52" t="s">
        <v>183</v>
      </c>
      <c r="C58" s="52">
        <v>5488</v>
      </c>
      <c r="D58" s="52" t="s">
        <v>345</v>
      </c>
      <c r="E58" s="52" t="s">
        <v>346</v>
      </c>
      <c r="F58" s="52">
        <f t="shared" ca="1" si="0"/>
        <v>4</v>
      </c>
      <c r="G58" s="55" t="s">
        <v>347</v>
      </c>
      <c r="H58" s="55" t="s">
        <v>348</v>
      </c>
      <c r="I58" s="52"/>
    </row>
    <row r="59" spans="1:9" ht="20.100000000000001" customHeight="1" x14ac:dyDescent="0.25">
      <c r="A59" s="50">
        <v>46182</v>
      </c>
      <c r="B59" s="52" t="s">
        <v>183</v>
      </c>
      <c r="C59" s="52">
        <v>5488</v>
      </c>
      <c r="D59" s="52" t="s">
        <v>349</v>
      </c>
      <c r="E59" s="52" t="s">
        <v>350</v>
      </c>
      <c r="F59" s="52">
        <f t="shared" ca="1" si="0"/>
        <v>4</v>
      </c>
      <c r="G59" s="55" t="s">
        <v>347</v>
      </c>
      <c r="H59" s="55" t="s">
        <v>351</v>
      </c>
      <c r="I59" s="52"/>
    </row>
    <row r="60" spans="1:9" ht="20.100000000000001" customHeight="1" x14ac:dyDescent="0.25">
      <c r="A60" s="50">
        <v>46182</v>
      </c>
      <c r="B60" s="52" t="s">
        <v>183</v>
      </c>
      <c r="C60" s="52">
        <v>5488</v>
      </c>
      <c r="D60" s="52" t="s">
        <v>352</v>
      </c>
      <c r="E60" s="52" t="s">
        <v>353</v>
      </c>
      <c r="F60" s="52">
        <f t="shared" ca="1" si="0"/>
        <v>4</v>
      </c>
      <c r="G60" s="55" t="s">
        <v>347</v>
      </c>
      <c r="H60" s="55" t="s">
        <v>354</v>
      </c>
      <c r="I60" s="52"/>
    </row>
    <row r="61" spans="1:9" ht="20.100000000000001" customHeight="1" x14ac:dyDescent="0.25">
      <c r="A61" s="50">
        <v>46182</v>
      </c>
      <c r="B61" s="52" t="s">
        <v>81</v>
      </c>
      <c r="C61" s="52">
        <v>5497</v>
      </c>
      <c r="D61" s="52" t="s">
        <v>345</v>
      </c>
      <c r="E61" s="52" t="s">
        <v>346</v>
      </c>
      <c r="F61" s="52">
        <f t="shared" ca="1" si="0"/>
        <v>4</v>
      </c>
      <c r="G61" s="55" t="s">
        <v>347</v>
      </c>
      <c r="H61" s="55" t="s">
        <v>348</v>
      </c>
      <c r="I61" s="52"/>
    </row>
    <row r="62" spans="1:9" ht="20.100000000000001" customHeight="1" x14ac:dyDescent="0.25">
      <c r="A62" s="50">
        <v>46182</v>
      </c>
      <c r="B62" s="52" t="s">
        <v>81</v>
      </c>
      <c r="C62" s="52">
        <v>5497</v>
      </c>
      <c r="D62" s="52" t="s">
        <v>349</v>
      </c>
      <c r="E62" s="52" t="s">
        <v>350</v>
      </c>
      <c r="F62" s="52">
        <f t="shared" ca="1" si="0"/>
        <v>4</v>
      </c>
      <c r="G62" s="55" t="s">
        <v>347</v>
      </c>
      <c r="H62" s="55" t="s">
        <v>351</v>
      </c>
      <c r="I62" s="52"/>
    </row>
    <row r="63" spans="1:9" ht="20.100000000000001" customHeight="1" x14ac:dyDescent="0.25">
      <c r="A63" s="50">
        <v>46182</v>
      </c>
      <c r="B63" s="52" t="s">
        <v>81</v>
      </c>
      <c r="C63" s="52">
        <v>5497</v>
      </c>
      <c r="D63" s="52" t="s">
        <v>352</v>
      </c>
      <c r="E63" s="52" t="s">
        <v>353</v>
      </c>
      <c r="F63" s="52">
        <f t="shared" ca="1" si="0"/>
        <v>4</v>
      </c>
      <c r="G63" s="55" t="s">
        <v>347</v>
      </c>
      <c r="H63" s="55" t="s">
        <v>354</v>
      </c>
      <c r="I63" s="52"/>
    </row>
    <row r="64" spans="1:9" ht="20.100000000000001" customHeight="1" x14ac:dyDescent="0.25">
      <c r="A64" s="50">
        <v>46182</v>
      </c>
      <c r="B64" s="52" t="s">
        <v>194</v>
      </c>
      <c r="C64" s="52">
        <v>5498</v>
      </c>
      <c r="D64" s="52" t="s">
        <v>345</v>
      </c>
      <c r="E64" s="52" t="s">
        <v>346</v>
      </c>
      <c r="F64" s="52">
        <f t="shared" ca="1" si="0"/>
        <v>4</v>
      </c>
      <c r="G64" s="55" t="s">
        <v>347</v>
      </c>
      <c r="H64" s="55" t="s">
        <v>348</v>
      </c>
      <c r="I64" s="52"/>
    </row>
    <row r="65" spans="1:9" ht="20.100000000000001" customHeight="1" x14ac:dyDescent="0.25">
      <c r="A65" s="50">
        <v>46182</v>
      </c>
      <c r="B65" s="52" t="s">
        <v>194</v>
      </c>
      <c r="C65" s="52">
        <v>5498</v>
      </c>
      <c r="D65" s="52" t="s">
        <v>349</v>
      </c>
      <c r="E65" s="52" t="s">
        <v>350</v>
      </c>
      <c r="F65" s="52">
        <f t="shared" ca="1" si="0"/>
        <v>4</v>
      </c>
      <c r="G65" s="55" t="s">
        <v>347</v>
      </c>
      <c r="H65" s="55" t="s">
        <v>351</v>
      </c>
      <c r="I65" s="52"/>
    </row>
    <row r="66" spans="1:9" ht="20.100000000000001" customHeight="1" x14ac:dyDescent="0.25">
      <c r="A66" s="50">
        <v>46182</v>
      </c>
      <c r="B66" s="52" t="s">
        <v>194</v>
      </c>
      <c r="C66" s="52">
        <v>5498</v>
      </c>
      <c r="D66" s="52" t="s">
        <v>352</v>
      </c>
      <c r="E66" s="52" t="s">
        <v>353</v>
      </c>
      <c r="F66" s="52">
        <f t="shared" ca="1" si="0"/>
        <v>4</v>
      </c>
      <c r="G66" s="55" t="s">
        <v>347</v>
      </c>
      <c r="H66" s="55" t="s">
        <v>354</v>
      </c>
      <c r="I66" s="52"/>
    </row>
    <row r="67" spans="1:9" ht="20.100000000000001" customHeight="1" x14ac:dyDescent="0.25">
      <c r="A67" s="50">
        <v>46182</v>
      </c>
      <c r="B67" s="52" t="s">
        <v>195</v>
      </c>
      <c r="C67" s="52">
        <v>5499</v>
      </c>
      <c r="D67" s="52" t="s">
        <v>345</v>
      </c>
      <c r="E67" s="52" t="s">
        <v>346</v>
      </c>
      <c r="F67" s="52">
        <f t="shared" ca="1" si="0"/>
        <v>4</v>
      </c>
      <c r="G67" s="55" t="s">
        <v>347</v>
      </c>
      <c r="H67" s="55" t="s">
        <v>348</v>
      </c>
      <c r="I67" s="52"/>
    </row>
    <row r="68" spans="1:9" ht="20.100000000000001" customHeight="1" x14ac:dyDescent="0.25">
      <c r="A68" s="50">
        <v>46182</v>
      </c>
      <c r="B68" s="52" t="s">
        <v>195</v>
      </c>
      <c r="C68" s="52">
        <v>5499</v>
      </c>
      <c r="D68" s="52" t="s">
        <v>349</v>
      </c>
      <c r="E68" s="52" t="s">
        <v>350</v>
      </c>
      <c r="F68" s="52">
        <f t="shared" ca="1" si="0"/>
        <v>4</v>
      </c>
      <c r="G68" s="55" t="s">
        <v>347</v>
      </c>
      <c r="H68" s="55" t="s">
        <v>351</v>
      </c>
      <c r="I68" s="52"/>
    </row>
    <row r="69" spans="1:9" ht="20.100000000000001" customHeight="1" x14ac:dyDescent="0.25">
      <c r="A69" s="50">
        <v>46182</v>
      </c>
      <c r="B69" s="52" t="s">
        <v>195</v>
      </c>
      <c r="C69" s="52">
        <v>5499</v>
      </c>
      <c r="D69" s="52" t="s">
        <v>352</v>
      </c>
      <c r="E69" s="52" t="s">
        <v>353</v>
      </c>
      <c r="F69" s="52">
        <f t="shared" ref="F69:F132" ca="1" si="1">IF(A69="","",MAX(0,TODAY()-A69))</f>
        <v>4</v>
      </c>
      <c r="G69" s="55" t="s">
        <v>347</v>
      </c>
      <c r="H69" s="55" t="s">
        <v>354</v>
      </c>
      <c r="I69" s="52"/>
    </row>
    <row r="70" spans="1:9" ht="20.100000000000001" customHeight="1" x14ac:dyDescent="0.25">
      <c r="A70" s="50">
        <v>46182</v>
      </c>
      <c r="B70" s="52" t="s">
        <v>196</v>
      </c>
      <c r="C70" s="52">
        <v>5500</v>
      </c>
      <c r="D70" s="52" t="s">
        <v>345</v>
      </c>
      <c r="E70" s="52" t="s">
        <v>346</v>
      </c>
      <c r="F70" s="52">
        <f t="shared" ca="1" si="1"/>
        <v>4</v>
      </c>
      <c r="G70" s="55" t="s">
        <v>347</v>
      </c>
      <c r="H70" s="55" t="s">
        <v>348</v>
      </c>
      <c r="I70" s="52"/>
    </row>
    <row r="71" spans="1:9" ht="20.100000000000001" customHeight="1" x14ac:dyDescent="0.25">
      <c r="A71" s="50">
        <v>46182</v>
      </c>
      <c r="B71" s="52" t="s">
        <v>196</v>
      </c>
      <c r="C71" s="52">
        <v>5500</v>
      </c>
      <c r="D71" s="52" t="s">
        <v>352</v>
      </c>
      <c r="E71" s="52" t="s">
        <v>353</v>
      </c>
      <c r="F71" s="52">
        <f t="shared" ca="1" si="1"/>
        <v>4</v>
      </c>
      <c r="G71" s="55" t="s">
        <v>347</v>
      </c>
      <c r="H71" s="55" t="s">
        <v>354</v>
      </c>
      <c r="I71" s="52"/>
    </row>
    <row r="72" spans="1:9" ht="20.100000000000001" customHeight="1" x14ac:dyDescent="0.25">
      <c r="A72" s="50">
        <v>46182</v>
      </c>
      <c r="B72" s="52" t="s">
        <v>204</v>
      </c>
      <c r="C72" s="52">
        <v>5506</v>
      </c>
      <c r="D72" s="52" t="s">
        <v>345</v>
      </c>
      <c r="E72" s="52" t="s">
        <v>346</v>
      </c>
      <c r="F72" s="52">
        <f t="shared" ca="1" si="1"/>
        <v>4</v>
      </c>
      <c r="G72" s="55" t="s">
        <v>347</v>
      </c>
      <c r="H72" s="55" t="s">
        <v>348</v>
      </c>
      <c r="I72" s="52"/>
    </row>
    <row r="73" spans="1:9" ht="20.100000000000001" customHeight="1" x14ac:dyDescent="0.25">
      <c r="A73" s="50">
        <v>46182</v>
      </c>
      <c r="B73" s="52" t="s">
        <v>204</v>
      </c>
      <c r="C73" s="52">
        <v>5506</v>
      </c>
      <c r="D73" s="52" t="s">
        <v>349</v>
      </c>
      <c r="E73" s="52" t="s">
        <v>350</v>
      </c>
      <c r="F73" s="52">
        <f t="shared" ca="1" si="1"/>
        <v>4</v>
      </c>
      <c r="G73" s="55" t="s">
        <v>347</v>
      </c>
      <c r="H73" s="55" t="s">
        <v>351</v>
      </c>
      <c r="I73" s="52"/>
    </row>
    <row r="74" spans="1:9" ht="20.100000000000001" customHeight="1" x14ac:dyDescent="0.25">
      <c r="A74" s="50">
        <v>46182</v>
      </c>
      <c r="B74" s="52" t="s">
        <v>204</v>
      </c>
      <c r="C74" s="52">
        <v>5506</v>
      </c>
      <c r="D74" s="52" t="s">
        <v>352</v>
      </c>
      <c r="E74" s="52" t="s">
        <v>353</v>
      </c>
      <c r="F74" s="52">
        <f t="shared" ca="1" si="1"/>
        <v>4</v>
      </c>
      <c r="G74" s="55" t="s">
        <v>347</v>
      </c>
      <c r="H74" s="55" t="s">
        <v>354</v>
      </c>
      <c r="I74" s="52"/>
    </row>
    <row r="75" spans="1:9" ht="20.100000000000001" customHeight="1" x14ac:dyDescent="0.25">
      <c r="A75" s="50">
        <v>46182</v>
      </c>
      <c r="B75" s="52" t="s">
        <v>81</v>
      </c>
      <c r="C75" s="52">
        <v>5511</v>
      </c>
      <c r="D75" s="52" t="s">
        <v>355</v>
      </c>
      <c r="E75" s="52" t="s">
        <v>346</v>
      </c>
      <c r="F75" s="52">
        <f t="shared" ca="1" si="1"/>
        <v>4</v>
      </c>
      <c r="G75" s="55" t="s">
        <v>347</v>
      </c>
      <c r="H75" s="55" t="s">
        <v>356</v>
      </c>
      <c r="I75" s="52"/>
    </row>
    <row r="76" spans="1:9" ht="20.100000000000001" customHeight="1" x14ac:dyDescent="0.25">
      <c r="A76" s="50">
        <v>46182</v>
      </c>
      <c r="B76" s="52" t="s">
        <v>81</v>
      </c>
      <c r="C76" s="52">
        <v>5511</v>
      </c>
      <c r="D76" s="52" t="s">
        <v>345</v>
      </c>
      <c r="E76" s="52" t="s">
        <v>346</v>
      </c>
      <c r="F76" s="52">
        <f t="shared" ca="1" si="1"/>
        <v>4</v>
      </c>
      <c r="G76" s="55" t="s">
        <v>347</v>
      </c>
      <c r="H76" s="55" t="s">
        <v>348</v>
      </c>
      <c r="I76" s="52"/>
    </row>
    <row r="77" spans="1:9" ht="20.100000000000001" customHeight="1" x14ac:dyDescent="0.25">
      <c r="A77" s="50">
        <v>46182</v>
      </c>
      <c r="B77" s="52" t="s">
        <v>81</v>
      </c>
      <c r="C77" s="52">
        <v>5511</v>
      </c>
      <c r="D77" s="52" t="s">
        <v>349</v>
      </c>
      <c r="E77" s="52" t="s">
        <v>350</v>
      </c>
      <c r="F77" s="52">
        <f t="shared" ca="1" si="1"/>
        <v>4</v>
      </c>
      <c r="G77" s="55" t="s">
        <v>347</v>
      </c>
      <c r="H77" s="55" t="s">
        <v>351</v>
      </c>
      <c r="I77" s="52"/>
    </row>
    <row r="78" spans="1:9" ht="20.100000000000001" customHeight="1" x14ac:dyDescent="0.25">
      <c r="A78" s="50">
        <v>46182</v>
      </c>
      <c r="B78" s="52" t="s">
        <v>81</v>
      </c>
      <c r="C78" s="52">
        <v>5511</v>
      </c>
      <c r="D78" s="52" t="s">
        <v>352</v>
      </c>
      <c r="E78" s="52" t="s">
        <v>353</v>
      </c>
      <c r="F78" s="52">
        <f t="shared" ca="1" si="1"/>
        <v>4</v>
      </c>
      <c r="G78" s="55" t="s">
        <v>347</v>
      </c>
      <c r="H78" s="55" t="s">
        <v>354</v>
      </c>
      <c r="I78" s="52"/>
    </row>
    <row r="79" spans="1:9" ht="20.100000000000001" customHeight="1" x14ac:dyDescent="0.25">
      <c r="A79" s="50">
        <v>46182</v>
      </c>
      <c r="B79" s="52" t="s">
        <v>216</v>
      </c>
      <c r="C79" s="52">
        <v>5519</v>
      </c>
      <c r="D79" s="52" t="s">
        <v>345</v>
      </c>
      <c r="E79" s="52" t="s">
        <v>346</v>
      </c>
      <c r="F79" s="52">
        <f t="shared" ca="1" si="1"/>
        <v>4</v>
      </c>
      <c r="G79" s="55" t="s">
        <v>347</v>
      </c>
      <c r="H79" s="55" t="s">
        <v>348</v>
      </c>
      <c r="I79" s="52"/>
    </row>
    <row r="80" spans="1:9" ht="20.100000000000001" customHeight="1" x14ac:dyDescent="0.25">
      <c r="A80" s="50">
        <v>46182</v>
      </c>
      <c r="B80" s="52" t="s">
        <v>216</v>
      </c>
      <c r="C80" s="52">
        <v>5519</v>
      </c>
      <c r="D80" s="52" t="s">
        <v>349</v>
      </c>
      <c r="E80" s="52" t="s">
        <v>350</v>
      </c>
      <c r="F80" s="52">
        <f t="shared" ca="1" si="1"/>
        <v>4</v>
      </c>
      <c r="G80" s="55" t="s">
        <v>347</v>
      </c>
      <c r="H80" s="55" t="s">
        <v>351</v>
      </c>
      <c r="I80" s="52"/>
    </row>
    <row r="81" spans="1:9" ht="20.100000000000001" customHeight="1" x14ac:dyDescent="0.25">
      <c r="A81" s="50">
        <v>46182</v>
      </c>
      <c r="B81" s="52" t="s">
        <v>216</v>
      </c>
      <c r="C81" s="52">
        <v>5519</v>
      </c>
      <c r="D81" s="52" t="s">
        <v>352</v>
      </c>
      <c r="E81" s="52" t="s">
        <v>353</v>
      </c>
      <c r="F81" s="52">
        <f t="shared" ca="1" si="1"/>
        <v>4</v>
      </c>
      <c r="G81" s="55" t="s">
        <v>347</v>
      </c>
      <c r="H81" s="55" t="s">
        <v>354</v>
      </c>
      <c r="I81" s="52"/>
    </row>
    <row r="82" spans="1:9" ht="20.100000000000001" customHeight="1" x14ac:dyDescent="0.25">
      <c r="A82" s="50">
        <v>46182</v>
      </c>
      <c r="B82" s="52" t="s">
        <v>81</v>
      </c>
      <c r="C82" s="52">
        <v>5521</v>
      </c>
      <c r="D82" s="52" t="s">
        <v>355</v>
      </c>
      <c r="E82" s="52" t="s">
        <v>346</v>
      </c>
      <c r="F82" s="52">
        <f t="shared" ca="1" si="1"/>
        <v>4</v>
      </c>
      <c r="G82" s="55" t="s">
        <v>347</v>
      </c>
      <c r="H82" s="55" t="s">
        <v>356</v>
      </c>
      <c r="I82" s="52"/>
    </row>
    <row r="83" spans="1:9" ht="20.100000000000001" customHeight="1" x14ac:dyDescent="0.25">
      <c r="A83" s="50">
        <v>46182</v>
      </c>
      <c r="B83" s="52" t="s">
        <v>81</v>
      </c>
      <c r="C83" s="52">
        <v>5521</v>
      </c>
      <c r="D83" s="52" t="s">
        <v>345</v>
      </c>
      <c r="E83" s="52" t="s">
        <v>346</v>
      </c>
      <c r="F83" s="52">
        <f t="shared" ca="1" si="1"/>
        <v>4</v>
      </c>
      <c r="G83" s="55" t="s">
        <v>347</v>
      </c>
      <c r="H83" s="55" t="s">
        <v>348</v>
      </c>
      <c r="I83" s="52"/>
    </row>
    <row r="84" spans="1:9" ht="20.100000000000001" customHeight="1" x14ac:dyDescent="0.25">
      <c r="A84" s="50">
        <v>46182</v>
      </c>
      <c r="B84" s="52" t="s">
        <v>81</v>
      </c>
      <c r="C84" s="52">
        <v>5521</v>
      </c>
      <c r="D84" s="52" t="s">
        <v>349</v>
      </c>
      <c r="E84" s="52" t="s">
        <v>350</v>
      </c>
      <c r="F84" s="52">
        <f t="shared" ca="1" si="1"/>
        <v>4</v>
      </c>
      <c r="G84" s="55" t="s">
        <v>347</v>
      </c>
      <c r="H84" s="55" t="s">
        <v>351</v>
      </c>
      <c r="I84" s="52"/>
    </row>
    <row r="85" spans="1:9" ht="20.100000000000001" customHeight="1" x14ac:dyDescent="0.25">
      <c r="A85" s="50">
        <v>46182</v>
      </c>
      <c r="B85" s="52" t="s">
        <v>81</v>
      </c>
      <c r="C85" s="52">
        <v>5521</v>
      </c>
      <c r="D85" s="52" t="s">
        <v>352</v>
      </c>
      <c r="E85" s="52" t="s">
        <v>353</v>
      </c>
      <c r="F85" s="52">
        <f t="shared" ca="1" si="1"/>
        <v>4</v>
      </c>
      <c r="G85" s="55" t="s">
        <v>347</v>
      </c>
      <c r="H85" s="55" t="s">
        <v>354</v>
      </c>
      <c r="I85" s="52"/>
    </row>
    <row r="86" spans="1:9" ht="20.100000000000001" customHeight="1" x14ac:dyDescent="0.25">
      <c r="A86" s="50">
        <v>46182</v>
      </c>
      <c r="B86" s="52" t="s">
        <v>222</v>
      </c>
      <c r="C86" s="52">
        <v>5525</v>
      </c>
      <c r="D86" s="52" t="s">
        <v>345</v>
      </c>
      <c r="E86" s="52" t="s">
        <v>346</v>
      </c>
      <c r="F86" s="52">
        <f t="shared" ca="1" si="1"/>
        <v>4</v>
      </c>
      <c r="G86" s="55" t="s">
        <v>347</v>
      </c>
      <c r="H86" s="55" t="s">
        <v>348</v>
      </c>
      <c r="I86" s="52"/>
    </row>
    <row r="87" spans="1:9" ht="20.100000000000001" customHeight="1" x14ac:dyDescent="0.25">
      <c r="A87" s="50">
        <v>46182</v>
      </c>
      <c r="B87" s="52" t="s">
        <v>222</v>
      </c>
      <c r="C87" s="52">
        <v>5525</v>
      </c>
      <c r="D87" s="52" t="s">
        <v>349</v>
      </c>
      <c r="E87" s="52" t="s">
        <v>350</v>
      </c>
      <c r="F87" s="52">
        <f t="shared" ca="1" si="1"/>
        <v>4</v>
      </c>
      <c r="G87" s="55" t="s">
        <v>347</v>
      </c>
      <c r="H87" s="55" t="s">
        <v>351</v>
      </c>
      <c r="I87" s="52"/>
    </row>
    <row r="88" spans="1:9" ht="20.100000000000001" customHeight="1" x14ac:dyDescent="0.25">
      <c r="A88" s="50">
        <v>46182</v>
      </c>
      <c r="B88" s="52" t="s">
        <v>222</v>
      </c>
      <c r="C88" s="52">
        <v>5525</v>
      </c>
      <c r="D88" s="52" t="s">
        <v>352</v>
      </c>
      <c r="E88" s="52" t="s">
        <v>353</v>
      </c>
      <c r="F88" s="52">
        <f t="shared" ca="1" si="1"/>
        <v>4</v>
      </c>
      <c r="G88" s="55" t="s">
        <v>347</v>
      </c>
      <c r="H88" s="55" t="s">
        <v>354</v>
      </c>
      <c r="I88" s="52"/>
    </row>
    <row r="89" spans="1:9" ht="20.100000000000001" customHeight="1" x14ac:dyDescent="0.25">
      <c r="A89" s="50">
        <v>46182</v>
      </c>
      <c r="B89" s="52" t="s">
        <v>225</v>
      </c>
      <c r="C89" s="52">
        <v>5526</v>
      </c>
      <c r="D89" s="52" t="s">
        <v>345</v>
      </c>
      <c r="E89" s="52" t="s">
        <v>346</v>
      </c>
      <c r="F89" s="52">
        <f t="shared" ca="1" si="1"/>
        <v>4</v>
      </c>
      <c r="G89" s="55" t="s">
        <v>347</v>
      </c>
      <c r="H89" s="55" t="s">
        <v>348</v>
      </c>
      <c r="I89" s="52"/>
    </row>
    <row r="90" spans="1:9" ht="20.100000000000001" customHeight="1" x14ac:dyDescent="0.25">
      <c r="A90" s="50">
        <v>46182</v>
      </c>
      <c r="B90" s="52" t="s">
        <v>225</v>
      </c>
      <c r="C90" s="52">
        <v>5526</v>
      </c>
      <c r="D90" s="52" t="s">
        <v>349</v>
      </c>
      <c r="E90" s="52" t="s">
        <v>350</v>
      </c>
      <c r="F90" s="52">
        <f t="shared" ca="1" si="1"/>
        <v>4</v>
      </c>
      <c r="G90" s="55" t="s">
        <v>347</v>
      </c>
      <c r="H90" s="55" t="s">
        <v>351</v>
      </c>
      <c r="I90" s="52"/>
    </row>
    <row r="91" spans="1:9" ht="20.100000000000001" customHeight="1" x14ac:dyDescent="0.25">
      <c r="A91" s="50">
        <v>46182</v>
      </c>
      <c r="B91" s="52" t="s">
        <v>225</v>
      </c>
      <c r="C91" s="52">
        <v>5526</v>
      </c>
      <c r="D91" s="52" t="s">
        <v>352</v>
      </c>
      <c r="E91" s="52" t="s">
        <v>353</v>
      </c>
      <c r="F91" s="52">
        <f t="shared" ca="1" si="1"/>
        <v>4</v>
      </c>
      <c r="G91" s="55" t="s">
        <v>347</v>
      </c>
      <c r="H91" s="55" t="s">
        <v>354</v>
      </c>
      <c r="I91" s="52"/>
    </row>
    <row r="92" spans="1:9" ht="20.100000000000001" customHeight="1" x14ac:dyDescent="0.25">
      <c r="A92" s="50">
        <v>46182</v>
      </c>
      <c r="B92" s="52" t="s">
        <v>81</v>
      </c>
      <c r="C92" s="52">
        <v>5534</v>
      </c>
      <c r="D92" s="52" t="s">
        <v>355</v>
      </c>
      <c r="E92" s="52" t="s">
        <v>346</v>
      </c>
      <c r="F92" s="52">
        <f t="shared" ca="1" si="1"/>
        <v>4</v>
      </c>
      <c r="G92" s="55" t="s">
        <v>347</v>
      </c>
      <c r="H92" s="55" t="s">
        <v>356</v>
      </c>
      <c r="I92" s="52"/>
    </row>
    <row r="93" spans="1:9" ht="20.100000000000001" customHeight="1" x14ac:dyDescent="0.25">
      <c r="A93" s="50">
        <v>46182</v>
      </c>
      <c r="B93" s="52" t="s">
        <v>81</v>
      </c>
      <c r="C93" s="52">
        <v>5534</v>
      </c>
      <c r="D93" s="52" t="s">
        <v>345</v>
      </c>
      <c r="E93" s="52" t="s">
        <v>346</v>
      </c>
      <c r="F93" s="52">
        <f t="shared" ca="1" si="1"/>
        <v>4</v>
      </c>
      <c r="G93" s="55" t="s">
        <v>347</v>
      </c>
      <c r="H93" s="55" t="s">
        <v>348</v>
      </c>
      <c r="I93" s="52"/>
    </row>
    <row r="94" spans="1:9" ht="20.100000000000001" customHeight="1" x14ac:dyDescent="0.25">
      <c r="A94" s="50">
        <v>46182</v>
      </c>
      <c r="B94" s="52" t="s">
        <v>81</v>
      </c>
      <c r="C94" s="52">
        <v>5534</v>
      </c>
      <c r="D94" s="52" t="s">
        <v>349</v>
      </c>
      <c r="E94" s="52" t="s">
        <v>350</v>
      </c>
      <c r="F94" s="52">
        <f t="shared" ca="1" si="1"/>
        <v>4</v>
      </c>
      <c r="G94" s="55" t="s">
        <v>347</v>
      </c>
      <c r="H94" s="55" t="s">
        <v>351</v>
      </c>
      <c r="I94" s="52"/>
    </row>
    <row r="95" spans="1:9" ht="20.100000000000001" customHeight="1" x14ac:dyDescent="0.25">
      <c r="A95" s="50">
        <v>46182</v>
      </c>
      <c r="B95" s="52" t="s">
        <v>81</v>
      </c>
      <c r="C95" s="52">
        <v>5534</v>
      </c>
      <c r="D95" s="52" t="s">
        <v>352</v>
      </c>
      <c r="E95" s="52" t="s">
        <v>353</v>
      </c>
      <c r="F95" s="52">
        <f t="shared" ca="1" si="1"/>
        <v>4</v>
      </c>
      <c r="G95" s="55" t="s">
        <v>347</v>
      </c>
      <c r="H95" s="55" t="s">
        <v>354</v>
      </c>
      <c r="I95" s="52"/>
    </row>
    <row r="96" spans="1:9" ht="20.100000000000001" customHeight="1" x14ac:dyDescent="0.25">
      <c r="A96" s="50">
        <v>46182</v>
      </c>
      <c r="B96" s="52" t="s">
        <v>181</v>
      </c>
      <c r="C96" s="52">
        <v>5543</v>
      </c>
      <c r="D96" s="52" t="s">
        <v>345</v>
      </c>
      <c r="E96" s="52" t="s">
        <v>346</v>
      </c>
      <c r="F96" s="52">
        <f t="shared" ca="1" si="1"/>
        <v>4</v>
      </c>
      <c r="G96" s="55" t="s">
        <v>347</v>
      </c>
      <c r="H96" s="55" t="s">
        <v>348</v>
      </c>
      <c r="I96" s="52"/>
    </row>
    <row r="97" spans="1:9" ht="20.100000000000001" customHeight="1" x14ac:dyDescent="0.25">
      <c r="A97" s="50">
        <v>46182</v>
      </c>
      <c r="B97" s="52" t="s">
        <v>181</v>
      </c>
      <c r="C97" s="52">
        <v>5543</v>
      </c>
      <c r="D97" s="52" t="s">
        <v>349</v>
      </c>
      <c r="E97" s="52" t="s">
        <v>350</v>
      </c>
      <c r="F97" s="52">
        <f t="shared" ca="1" si="1"/>
        <v>4</v>
      </c>
      <c r="G97" s="55" t="s">
        <v>347</v>
      </c>
      <c r="H97" s="55" t="s">
        <v>351</v>
      </c>
      <c r="I97" s="52"/>
    </row>
    <row r="98" spans="1:9" ht="20.100000000000001" customHeight="1" x14ac:dyDescent="0.25">
      <c r="A98" s="50">
        <v>46182</v>
      </c>
      <c r="B98" s="52" t="s">
        <v>181</v>
      </c>
      <c r="C98" s="52">
        <v>5543</v>
      </c>
      <c r="D98" s="52" t="s">
        <v>357</v>
      </c>
      <c r="E98" s="52" t="s">
        <v>346</v>
      </c>
      <c r="F98" s="52">
        <f t="shared" ca="1" si="1"/>
        <v>4</v>
      </c>
      <c r="G98" s="55" t="s">
        <v>347</v>
      </c>
      <c r="H98" s="55" t="s">
        <v>358</v>
      </c>
      <c r="I98" s="52"/>
    </row>
    <row r="99" spans="1:9" ht="20.100000000000001" customHeight="1" x14ac:dyDescent="0.25">
      <c r="A99" s="50">
        <v>46182</v>
      </c>
      <c r="B99" s="52" t="s">
        <v>240</v>
      </c>
      <c r="C99" s="52">
        <v>5544</v>
      </c>
      <c r="D99" s="52" t="s">
        <v>355</v>
      </c>
      <c r="E99" s="52" t="s">
        <v>346</v>
      </c>
      <c r="F99" s="52">
        <f t="shared" ca="1" si="1"/>
        <v>4</v>
      </c>
      <c r="G99" s="55" t="s">
        <v>347</v>
      </c>
      <c r="H99" s="55" t="s">
        <v>356</v>
      </c>
      <c r="I99" s="52"/>
    </row>
    <row r="100" spans="1:9" ht="20.100000000000001" customHeight="1" x14ac:dyDescent="0.25">
      <c r="A100" s="50">
        <v>46182</v>
      </c>
      <c r="B100" s="52" t="s">
        <v>240</v>
      </c>
      <c r="C100" s="52">
        <v>5544</v>
      </c>
      <c r="D100" s="52" t="s">
        <v>345</v>
      </c>
      <c r="E100" s="52" t="s">
        <v>346</v>
      </c>
      <c r="F100" s="52">
        <f t="shared" ca="1" si="1"/>
        <v>4</v>
      </c>
      <c r="G100" s="55" t="s">
        <v>347</v>
      </c>
      <c r="H100" s="55" t="s">
        <v>348</v>
      </c>
      <c r="I100" s="52"/>
    </row>
    <row r="101" spans="1:9" ht="20.100000000000001" customHeight="1" x14ac:dyDescent="0.25">
      <c r="A101" s="50">
        <v>46182</v>
      </c>
      <c r="B101" s="52" t="s">
        <v>240</v>
      </c>
      <c r="C101" s="52">
        <v>5544</v>
      </c>
      <c r="D101" s="52" t="s">
        <v>349</v>
      </c>
      <c r="E101" s="52" t="s">
        <v>350</v>
      </c>
      <c r="F101" s="52">
        <f t="shared" ca="1" si="1"/>
        <v>4</v>
      </c>
      <c r="G101" s="55" t="s">
        <v>347</v>
      </c>
      <c r="H101" s="55" t="s">
        <v>351</v>
      </c>
      <c r="I101" s="52"/>
    </row>
    <row r="102" spans="1:9" ht="20.100000000000001" customHeight="1" x14ac:dyDescent="0.25">
      <c r="A102" s="50">
        <v>46182</v>
      </c>
      <c r="B102" s="52" t="s">
        <v>240</v>
      </c>
      <c r="C102" s="52">
        <v>5544</v>
      </c>
      <c r="D102" s="52" t="s">
        <v>357</v>
      </c>
      <c r="E102" s="52" t="s">
        <v>346</v>
      </c>
      <c r="F102" s="52">
        <f t="shared" ca="1" si="1"/>
        <v>4</v>
      </c>
      <c r="G102" s="55" t="s">
        <v>347</v>
      </c>
      <c r="H102" s="55" t="s">
        <v>358</v>
      </c>
      <c r="I102" s="52"/>
    </row>
    <row r="103" spans="1:9" ht="20.100000000000001" customHeight="1" x14ac:dyDescent="0.25">
      <c r="A103" s="50">
        <v>46182</v>
      </c>
      <c r="B103" s="52" t="s">
        <v>81</v>
      </c>
      <c r="C103" s="52">
        <v>5550</v>
      </c>
      <c r="D103" s="52" t="s">
        <v>345</v>
      </c>
      <c r="E103" s="52" t="s">
        <v>346</v>
      </c>
      <c r="F103" s="52">
        <f t="shared" ca="1" si="1"/>
        <v>4</v>
      </c>
      <c r="G103" s="55" t="s">
        <v>347</v>
      </c>
      <c r="H103" s="55" t="s">
        <v>348</v>
      </c>
      <c r="I103" s="52"/>
    </row>
    <row r="104" spans="1:9" ht="20.100000000000001" customHeight="1" x14ac:dyDescent="0.25">
      <c r="A104" s="50">
        <v>46182</v>
      </c>
      <c r="B104" s="52" t="s">
        <v>81</v>
      </c>
      <c r="C104" s="52">
        <v>5550</v>
      </c>
      <c r="D104" s="52" t="s">
        <v>349</v>
      </c>
      <c r="E104" s="52" t="s">
        <v>350</v>
      </c>
      <c r="F104" s="52">
        <f t="shared" ca="1" si="1"/>
        <v>4</v>
      </c>
      <c r="G104" s="55" t="s">
        <v>347</v>
      </c>
      <c r="H104" s="55" t="s">
        <v>351</v>
      </c>
      <c r="I104" s="52"/>
    </row>
    <row r="105" spans="1:9" ht="20.100000000000001" customHeight="1" x14ac:dyDescent="0.25">
      <c r="A105" s="50">
        <v>46182</v>
      </c>
      <c r="B105" s="52" t="s">
        <v>81</v>
      </c>
      <c r="C105" s="52">
        <v>5550</v>
      </c>
      <c r="D105" s="52" t="s">
        <v>357</v>
      </c>
      <c r="E105" s="52" t="s">
        <v>346</v>
      </c>
      <c r="F105" s="52">
        <f t="shared" ca="1" si="1"/>
        <v>4</v>
      </c>
      <c r="G105" s="55" t="s">
        <v>347</v>
      </c>
      <c r="H105" s="55" t="s">
        <v>358</v>
      </c>
      <c r="I105" s="52"/>
    </row>
    <row r="106" spans="1:9" ht="20.100000000000001" customHeight="1" x14ac:dyDescent="0.25">
      <c r="A106" s="50">
        <v>46182</v>
      </c>
      <c r="B106" s="52" t="s">
        <v>250</v>
      </c>
      <c r="C106" s="52">
        <v>5555</v>
      </c>
      <c r="D106" s="52" t="s">
        <v>345</v>
      </c>
      <c r="E106" s="52" t="s">
        <v>346</v>
      </c>
      <c r="F106" s="52">
        <f t="shared" ca="1" si="1"/>
        <v>4</v>
      </c>
      <c r="G106" s="55" t="s">
        <v>347</v>
      </c>
      <c r="H106" s="55" t="s">
        <v>348</v>
      </c>
      <c r="I106" s="52"/>
    </row>
    <row r="107" spans="1:9" ht="20.100000000000001" customHeight="1" x14ac:dyDescent="0.25">
      <c r="A107" s="50">
        <v>46182</v>
      </c>
      <c r="B107" s="52" t="s">
        <v>250</v>
      </c>
      <c r="C107" s="52">
        <v>5555</v>
      </c>
      <c r="D107" s="52" t="s">
        <v>349</v>
      </c>
      <c r="E107" s="52" t="s">
        <v>350</v>
      </c>
      <c r="F107" s="52">
        <f t="shared" ca="1" si="1"/>
        <v>4</v>
      </c>
      <c r="G107" s="55" t="s">
        <v>347</v>
      </c>
      <c r="H107" s="55" t="s">
        <v>351</v>
      </c>
      <c r="I107" s="52"/>
    </row>
    <row r="108" spans="1:9" ht="20.100000000000001" customHeight="1" x14ac:dyDescent="0.25">
      <c r="A108" s="50">
        <v>46182</v>
      </c>
      <c r="B108" s="52" t="s">
        <v>250</v>
      </c>
      <c r="C108" s="52">
        <v>5555</v>
      </c>
      <c r="D108" s="52" t="s">
        <v>357</v>
      </c>
      <c r="E108" s="52" t="s">
        <v>346</v>
      </c>
      <c r="F108" s="52">
        <f t="shared" ca="1" si="1"/>
        <v>4</v>
      </c>
      <c r="G108" s="55" t="s">
        <v>347</v>
      </c>
      <c r="H108" s="55" t="s">
        <v>358</v>
      </c>
      <c r="I108" s="52"/>
    </row>
    <row r="109" spans="1:9" ht="20.100000000000001" customHeight="1" x14ac:dyDescent="0.25">
      <c r="A109" s="50">
        <v>46182</v>
      </c>
      <c r="B109" s="52" t="s">
        <v>81</v>
      </c>
      <c r="C109" s="52">
        <v>5556</v>
      </c>
      <c r="D109" s="52" t="s">
        <v>345</v>
      </c>
      <c r="E109" s="52" t="s">
        <v>346</v>
      </c>
      <c r="F109" s="52">
        <f t="shared" ca="1" si="1"/>
        <v>4</v>
      </c>
      <c r="G109" s="55" t="s">
        <v>347</v>
      </c>
      <c r="H109" s="55" t="s">
        <v>348</v>
      </c>
      <c r="I109" s="52"/>
    </row>
    <row r="110" spans="1:9" ht="20.100000000000001" customHeight="1" x14ac:dyDescent="0.25">
      <c r="A110" s="50">
        <v>46182</v>
      </c>
      <c r="B110" s="52" t="s">
        <v>81</v>
      </c>
      <c r="C110" s="52">
        <v>5556</v>
      </c>
      <c r="D110" s="52" t="s">
        <v>349</v>
      </c>
      <c r="E110" s="52" t="s">
        <v>350</v>
      </c>
      <c r="F110" s="52">
        <f t="shared" ca="1" si="1"/>
        <v>4</v>
      </c>
      <c r="G110" s="55" t="s">
        <v>347</v>
      </c>
      <c r="H110" s="55" t="s">
        <v>351</v>
      </c>
      <c r="I110" s="52"/>
    </row>
    <row r="111" spans="1:9" ht="20.100000000000001" customHeight="1" x14ac:dyDescent="0.25">
      <c r="A111" s="50">
        <v>46182</v>
      </c>
      <c r="B111" s="52" t="s">
        <v>81</v>
      </c>
      <c r="C111" s="52">
        <v>5556</v>
      </c>
      <c r="D111" s="52" t="s">
        <v>357</v>
      </c>
      <c r="E111" s="52" t="s">
        <v>346</v>
      </c>
      <c r="F111" s="52">
        <f t="shared" ca="1" si="1"/>
        <v>4</v>
      </c>
      <c r="G111" s="55" t="s">
        <v>347</v>
      </c>
      <c r="H111" s="55" t="s">
        <v>358</v>
      </c>
      <c r="I111" s="52"/>
    </row>
    <row r="112" spans="1:9" ht="20.100000000000001" customHeight="1" x14ac:dyDescent="0.25">
      <c r="A112" s="50">
        <v>46182</v>
      </c>
      <c r="B112" s="52" t="s">
        <v>81</v>
      </c>
      <c r="C112" s="52">
        <v>5564</v>
      </c>
      <c r="D112" s="52" t="s">
        <v>355</v>
      </c>
      <c r="E112" s="52" t="s">
        <v>346</v>
      </c>
      <c r="F112" s="52">
        <f t="shared" ca="1" si="1"/>
        <v>4</v>
      </c>
      <c r="G112" s="55" t="s">
        <v>347</v>
      </c>
      <c r="H112" s="55" t="s">
        <v>356</v>
      </c>
      <c r="I112" s="52"/>
    </row>
    <row r="113" spans="1:9" ht="20.100000000000001" customHeight="1" x14ac:dyDescent="0.25">
      <c r="A113" s="50">
        <v>46182</v>
      </c>
      <c r="B113" s="52" t="s">
        <v>81</v>
      </c>
      <c r="C113" s="52">
        <v>5564</v>
      </c>
      <c r="D113" s="52" t="s">
        <v>345</v>
      </c>
      <c r="E113" s="52" t="s">
        <v>346</v>
      </c>
      <c r="F113" s="52">
        <f t="shared" ca="1" si="1"/>
        <v>4</v>
      </c>
      <c r="G113" s="55" t="s">
        <v>347</v>
      </c>
      <c r="H113" s="55" t="s">
        <v>348</v>
      </c>
      <c r="I113" s="52"/>
    </row>
    <row r="114" spans="1:9" ht="20.100000000000001" customHeight="1" x14ac:dyDescent="0.25">
      <c r="A114" s="50">
        <v>46182</v>
      </c>
      <c r="B114" s="52" t="s">
        <v>81</v>
      </c>
      <c r="C114" s="52">
        <v>5564</v>
      </c>
      <c r="D114" s="52" t="s">
        <v>349</v>
      </c>
      <c r="E114" s="52" t="s">
        <v>350</v>
      </c>
      <c r="F114" s="52">
        <f t="shared" ca="1" si="1"/>
        <v>4</v>
      </c>
      <c r="G114" s="55" t="s">
        <v>347</v>
      </c>
      <c r="H114" s="55" t="s">
        <v>351</v>
      </c>
      <c r="I114" s="52"/>
    </row>
    <row r="115" spans="1:9" ht="20.100000000000001" customHeight="1" x14ac:dyDescent="0.25">
      <c r="A115" s="50">
        <v>46182</v>
      </c>
      <c r="B115" s="52" t="s">
        <v>81</v>
      </c>
      <c r="C115" s="52">
        <v>5564</v>
      </c>
      <c r="D115" s="52" t="s">
        <v>357</v>
      </c>
      <c r="E115" s="52" t="s">
        <v>346</v>
      </c>
      <c r="F115" s="52">
        <f t="shared" ca="1" si="1"/>
        <v>4</v>
      </c>
      <c r="G115" s="55" t="s">
        <v>347</v>
      </c>
      <c r="H115" s="55" t="s">
        <v>358</v>
      </c>
      <c r="I115" s="52"/>
    </row>
    <row r="116" spans="1:9" ht="20.100000000000001" customHeight="1" x14ac:dyDescent="0.25">
      <c r="A116" s="50">
        <v>46182</v>
      </c>
      <c r="B116" s="52" t="s">
        <v>258</v>
      </c>
      <c r="C116" s="52">
        <v>5565</v>
      </c>
      <c r="D116" s="52" t="s">
        <v>345</v>
      </c>
      <c r="E116" s="52" t="s">
        <v>346</v>
      </c>
      <c r="F116" s="52">
        <f t="shared" ca="1" si="1"/>
        <v>4</v>
      </c>
      <c r="G116" s="55" t="s">
        <v>347</v>
      </c>
      <c r="H116" s="55" t="s">
        <v>348</v>
      </c>
      <c r="I116" s="52"/>
    </row>
    <row r="117" spans="1:9" ht="20.100000000000001" customHeight="1" x14ac:dyDescent="0.25">
      <c r="A117" s="50">
        <v>46182</v>
      </c>
      <c r="B117" s="52" t="s">
        <v>258</v>
      </c>
      <c r="C117" s="52">
        <v>5565</v>
      </c>
      <c r="D117" s="52" t="s">
        <v>349</v>
      </c>
      <c r="E117" s="52" t="s">
        <v>350</v>
      </c>
      <c r="F117" s="52">
        <f t="shared" ca="1" si="1"/>
        <v>4</v>
      </c>
      <c r="G117" s="55" t="s">
        <v>347</v>
      </c>
      <c r="H117" s="55" t="s">
        <v>351</v>
      </c>
      <c r="I117" s="52"/>
    </row>
    <row r="118" spans="1:9" ht="20.100000000000001" customHeight="1" x14ac:dyDescent="0.25">
      <c r="A118" s="50">
        <v>46182</v>
      </c>
      <c r="B118" s="52" t="s">
        <v>258</v>
      </c>
      <c r="C118" s="52">
        <v>5565</v>
      </c>
      <c r="D118" s="52" t="s">
        <v>357</v>
      </c>
      <c r="E118" s="52" t="s">
        <v>346</v>
      </c>
      <c r="F118" s="52">
        <f t="shared" ca="1" si="1"/>
        <v>4</v>
      </c>
      <c r="G118" s="55" t="s">
        <v>347</v>
      </c>
      <c r="H118" s="55" t="s">
        <v>358</v>
      </c>
      <c r="I118" s="52"/>
    </row>
    <row r="119" spans="1:9" ht="20.100000000000001" customHeight="1" x14ac:dyDescent="0.25">
      <c r="A119" s="50">
        <v>46182</v>
      </c>
      <c r="B119" s="52" t="s">
        <v>81</v>
      </c>
      <c r="C119" s="52">
        <v>5571</v>
      </c>
      <c r="D119" s="52" t="s">
        <v>345</v>
      </c>
      <c r="E119" s="52" t="s">
        <v>346</v>
      </c>
      <c r="F119" s="52">
        <f t="shared" ca="1" si="1"/>
        <v>4</v>
      </c>
      <c r="G119" s="55" t="s">
        <v>347</v>
      </c>
      <c r="H119" s="55" t="s">
        <v>348</v>
      </c>
      <c r="I119" s="52"/>
    </row>
    <row r="120" spans="1:9" ht="20.100000000000001" customHeight="1" x14ac:dyDescent="0.25">
      <c r="A120" s="50">
        <v>46182</v>
      </c>
      <c r="B120" s="52" t="s">
        <v>81</v>
      </c>
      <c r="C120" s="52">
        <v>5571</v>
      </c>
      <c r="D120" s="52" t="s">
        <v>349</v>
      </c>
      <c r="E120" s="52" t="s">
        <v>350</v>
      </c>
      <c r="F120" s="52">
        <f t="shared" ca="1" si="1"/>
        <v>4</v>
      </c>
      <c r="G120" s="55" t="s">
        <v>347</v>
      </c>
      <c r="H120" s="55" t="s">
        <v>351</v>
      </c>
      <c r="I120" s="52"/>
    </row>
    <row r="121" spans="1:9" ht="20.100000000000001" customHeight="1" x14ac:dyDescent="0.25">
      <c r="A121" s="50">
        <v>46182</v>
      </c>
      <c r="B121" s="52" t="s">
        <v>81</v>
      </c>
      <c r="C121" s="52">
        <v>5571</v>
      </c>
      <c r="D121" s="52" t="s">
        <v>357</v>
      </c>
      <c r="E121" s="52" t="s">
        <v>346</v>
      </c>
      <c r="F121" s="52">
        <f t="shared" ca="1" si="1"/>
        <v>4</v>
      </c>
      <c r="G121" s="55" t="s">
        <v>347</v>
      </c>
      <c r="H121" s="55" t="s">
        <v>358</v>
      </c>
      <c r="I121" s="57"/>
    </row>
    <row r="122" spans="1:9" ht="20.100000000000001" customHeight="1" x14ac:dyDescent="0.25">
      <c r="A122" s="50">
        <v>46182</v>
      </c>
      <c r="B122" s="52" t="s">
        <v>265</v>
      </c>
      <c r="C122" s="52">
        <v>5572</v>
      </c>
      <c r="D122" s="52" t="s">
        <v>345</v>
      </c>
      <c r="E122" s="52" t="s">
        <v>346</v>
      </c>
      <c r="F122" s="52">
        <f t="shared" ca="1" si="1"/>
        <v>4</v>
      </c>
      <c r="G122" s="55" t="s">
        <v>347</v>
      </c>
      <c r="H122" s="55" t="s">
        <v>348</v>
      </c>
      <c r="I122" s="57"/>
    </row>
    <row r="123" spans="1:9" ht="20.100000000000001" customHeight="1" x14ac:dyDescent="0.25">
      <c r="A123" s="50">
        <v>46182</v>
      </c>
      <c r="B123" s="52" t="s">
        <v>265</v>
      </c>
      <c r="C123" s="52">
        <v>5572</v>
      </c>
      <c r="D123" s="52" t="s">
        <v>349</v>
      </c>
      <c r="E123" s="52" t="s">
        <v>350</v>
      </c>
      <c r="F123" s="52">
        <f t="shared" ca="1" si="1"/>
        <v>4</v>
      </c>
      <c r="G123" s="55" t="s">
        <v>347</v>
      </c>
      <c r="H123" s="55" t="s">
        <v>351</v>
      </c>
      <c r="I123" s="57"/>
    </row>
    <row r="124" spans="1:9" ht="20.100000000000001" customHeight="1" x14ac:dyDescent="0.25">
      <c r="A124" s="50">
        <v>46182</v>
      </c>
      <c r="B124" s="52" t="s">
        <v>265</v>
      </c>
      <c r="C124" s="52">
        <v>5572</v>
      </c>
      <c r="D124" s="52" t="s">
        <v>357</v>
      </c>
      <c r="E124" s="52" t="s">
        <v>346</v>
      </c>
      <c r="F124" s="52">
        <f t="shared" ca="1" si="1"/>
        <v>4</v>
      </c>
      <c r="G124" s="55" t="s">
        <v>347</v>
      </c>
      <c r="H124" s="55" t="s">
        <v>358</v>
      </c>
      <c r="I124" s="57"/>
    </row>
    <row r="125" spans="1:9" ht="20.100000000000001" customHeight="1" x14ac:dyDescent="0.25">
      <c r="A125" s="50">
        <v>46182</v>
      </c>
      <c r="B125" s="52" t="s">
        <v>81</v>
      </c>
      <c r="C125" s="52">
        <v>5574</v>
      </c>
      <c r="D125" s="52" t="s">
        <v>355</v>
      </c>
      <c r="E125" s="52" t="s">
        <v>346</v>
      </c>
      <c r="F125" s="52">
        <f t="shared" ca="1" si="1"/>
        <v>4</v>
      </c>
      <c r="G125" s="55" t="s">
        <v>347</v>
      </c>
      <c r="H125" s="55" t="s">
        <v>356</v>
      </c>
      <c r="I125" s="57"/>
    </row>
    <row r="126" spans="1:9" ht="20.100000000000001" customHeight="1" x14ac:dyDescent="0.25">
      <c r="A126" s="50">
        <v>46182</v>
      </c>
      <c r="B126" s="52" t="s">
        <v>81</v>
      </c>
      <c r="C126" s="52">
        <v>5574</v>
      </c>
      <c r="D126" s="52" t="s">
        <v>345</v>
      </c>
      <c r="E126" s="52" t="s">
        <v>346</v>
      </c>
      <c r="F126" s="52">
        <f t="shared" ca="1" si="1"/>
        <v>4</v>
      </c>
      <c r="G126" s="55" t="s">
        <v>347</v>
      </c>
      <c r="H126" s="55" t="s">
        <v>348</v>
      </c>
      <c r="I126" s="57"/>
    </row>
    <row r="127" spans="1:9" ht="20.100000000000001" customHeight="1" x14ac:dyDescent="0.25">
      <c r="A127" s="50">
        <v>46182</v>
      </c>
      <c r="B127" s="52" t="s">
        <v>81</v>
      </c>
      <c r="C127" s="52">
        <v>5574</v>
      </c>
      <c r="D127" s="52" t="s">
        <v>349</v>
      </c>
      <c r="E127" s="52" t="s">
        <v>350</v>
      </c>
      <c r="F127" s="52">
        <f t="shared" ca="1" si="1"/>
        <v>4</v>
      </c>
      <c r="G127" s="55" t="s">
        <v>347</v>
      </c>
      <c r="H127" s="55" t="s">
        <v>351</v>
      </c>
      <c r="I127" s="57"/>
    </row>
    <row r="128" spans="1:9" ht="20.100000000000001" customHeight="1" x14ac:dyDescent="0.25">
      <c r="A128" s="50">
        <v>46182</v>
      </c>
      <c r="B128" s="52" t="s">
        <v>81</v>
      </c>
      <c r="C128" s="52">
        <v>5574</v>
      </c>
      <c r="D128" s="52" t="s">
        <v>357</v>
      </c>
      <c r="E128" s="52" t="s">
        <v>346</v>
      </c>
      <c r="F128" s="52">
        <f t="shared" ca="1" si="1"/>
        <v>4</v>
      </c>
      <c r="G128" s="55" t="s">
        <v>347</v>
      </c>
      <c r="H128" s="55" t="s">
        <v>358</v>
      </c>
      <c r="I128" s="57"/>
    </row>
    <row r="129" spans="1:9" ht="20.100000000000001" customHeight="1" x14ac:dyDescent="0.25">
      <c r="A129" s="50">
        <v>46182</v>
      </c>
      <c r="B129" s="52" t="s">
        <v>266</v>
      </c>
      <c r="C129" s="52">
        <v>5575</v>
      </c>
      <c r="D129" s="52" t="s">
        <v>345</v>
      </c>
      <c r="E129" s="52" t="s">
        <v>346</v>
      </c>
      <c r="F129" s="52">
        <f t="shared" ca="1" si="1"/>
        <v>4</v>
      </c>
      <c r="G129" s="55" t="s">
        <v>347</v>
      </c>
      <c r="H129" s="55" t="s">
        <v>348</v>
      </c>
      <c r="I129" s="57"/>
    </row>
    <row r="130" spans="1:9" ht="20.100000000000001" customHeight="1" x14ac:dyDescent="0.25">
      <c r="A130" s="50">
        <v>46182</v>
      </c>
      <c r="B130" s="52" t="s">
        <v>266</v>
      </c>
      <c r="C130" s="52">
        <v>5575</v>
      </c>
      <c r="D130" s="52" t="s">
        <v>349</v>
      </c>
      <c r="E130" s="52" t="s">
        <v>350</v>
      </c>
      <c r="F130" s="52">
        <f t="shared" ca="1" si="1"/>
        <v>4</v>
      </c>
      <c r="G130" s="55" t="s">
        <v>347</v>
      </c>
      <c r="H130" s="55" t="s">
        <v>351</v>
      </c>
      <c r="I130" s="57"/>
    </row>
    <row r="131" spans="1:9" ht="20.100000000000001" customHeight="1" x14ac:dyDescent="0.25">
      <c r="A131" s="50">
        <v>46182</v>
      </c>
      <c r="B131" s="52" t="s">
        <v>266</v>
      </c>
      <c r="C131" s="52">
        <v>5575</v>
      </c>
      <c r="D131" s="52" t="s">
        <v>357</v>
      </c>
      <c r="E131" s="52" t="s">
        <v>346</v>
      </c>
      <c r="F131" s="52">
        <f t="shared" ca="1" si="1"/>
        <v>4</v>
      </c>
      <c r="G131" s="55" t="s">
        <v>347</v>
      </c>
      <c r="H131" s="55" t="s">
        <v>358</v>
      </c>
      <c r="I131" s="57"/>
    </row>
    <row r="132" spans="1:9" ht="20.100000000000001" customHeight="1" x14ac:dyDescent="0.25">
      <c r="A132" s="50">
        <v>46182</v>
      </c>
      <c r="B132" s="52" t="s">
        <v>268</v>
      </c>
      <c r="C132" s="52">
        <v>5577</v>
      </c>
      <c r="D132" s="52" t="s">
        <v>345</v>
      </c>
      <c r="E132" s="52" t="s">
        <v>346</v>
      </c>
      <c r="F132" s="52">
        <f t="shared" ca="1" si="1"/>
        <v>4</v>
      </c>
      <c r="G132" s="55" t="s">
        <v>347</v>
      </c>
      <c r="H132" s="55" t="s">
        <v>348</v>
      </c>
      <c r="I132" s="57"/>
    </row>
    <row r="133" spans="1:9" ht="20.100000000000001" customHeight="1" x14ac:dyDescent="0.25">
      <c r="A133" s="50">
        <v>46182</v>
      </c>
      <c r="B133" s="52" t="s">
        <v>268</v>
      </c>
      <c r="C133" s="52">
        <v>5577</v>
      </c>
      <c r="D133" s="52" t="s">
        <v>349</v>
      </c>
      <c r="E133" s="52" t="s">
        <v>350</v>
      </c>
      <c r="F133" s="52">
        <f t="shared" ref="F133:F196" ca="1" si="2">IF(A133="","",MAX(0,TODAY()-A133))</f>
        <v>4</v>
      </c>
      <c r="G133" s="55" t="s">
        <v>347</v>
      </c>
      <c r="H133" s="55" t="s">
        <v>351</v>
      </c>
      <c r="I133" s="57"/>
    </row>
    <row r="134" spans="1:9" ht="20.100000000000001" customHeight="1" x14ac:dyDescent="0.25">
      <c r="A134" s="50">
        <v>46182</v>
      </c>
      <c r="B134" s="52" t="s">
        <v>268</v>
      </c>
      <c r="C134" s="52">
        <v>5577</v>
      </c>
      <c r="D134" s="52" t="s">
        <v>357</v>
      </c>
      <c r="E134" s="52" t="s">
        <v>346</v>
      </c>
      <c r="F134" s="52">
        <f t="shared" ca="1" si="2"/>
        <v>4</v>
      </c>
      <c r="G134" s="55" t="s">
        <v>347</v>
      </c>
      <c r="H134" s="55" t="s">
        <v>358</v>
      </c>
      <c r="I134" s="57"/>
    </row>
    <row r="135" spans="1:9" ht="20.100000000000001" customHeight="1" x14ac:dyDescent="0.25">
      <c r="A135" s="50">
        <v>46182</v>
      </c>
      <c r="B135" s="52" t="s">
        <v>250</v>
      </c>
      <c r="C135" s="52">
        <v>5578</v>
      </c>
      <c r="D135" s="52" t="s">
        <v>345</v>
      </c>
      <c r="E135" s="52" t="s">
        <v>346</v>
      </c>
      <c r="F135" s="52">
        <f t="shared" ca="1" si="2"/>
        <v>4</v>
      </c>
      <c r="G135" s="55" t="s">
        <v>347</v>
      </c>
      <c r="H135" s="55" t="s">
        <v>348</v>
      </c>
      <c r="I135" s="57"/>
    </row>
    <row r="136" spans="1:9" ht="20.100000000000001" customHeight="1" x14ac:dyDescent="0.25">
      <c r="A136" s="50">
        <v>46182</v>
      </c>
      <c r="B136" s="52" t="s">
        <v>250</v>
      </c>
      <c r="C136" s="52">
        <v>5578</v>
      </c>
      <c r="D136" s="52" t="s">
        <v>349</v>
      </c>
      <c r="E136" s="52" t="s">
        <v>350</v>
      </c>
      <c r="F136" s="52">
        <f t="shared" ca="1" si="2"/>
        <v>4</v>
      </c>
      <c r="G136" s="55" t="s">
        <v>347</v>
      </c>
      <c r="H136" s="55" t="s">
        <v>351</v>
      </c>
      <c r="I136" s="57"/>
    </row>
    <row r="137" spans="1:9" ht="20.100000000000001" customHeight="1" x14ac:dyDescent="0.25">
      <c r="A137" s="50">
        <v>46182</v>
      </c>
      <c r="B137" s="52" t="s">
        <v>250</v>
      </c>
      <c r="C137" s="52">
        <v>5578</v>
      </c>
      <c r="D137" s="52" t="s">
        <v>357</v>
      </c>
      <c r="E137" s="52" t="s">
        <v>346</v>
      </c>
      <c r="F137" s="52">
        <f t="shared" ca="1" si="2"/>
        <v>4</v>
      </c>
      <c r="G137" s="55" t="s">
        <v>347</v>
      </c>
      <c r="H137" s="55" t="s">
        <v>358</v>
      </c>
      <c r="I137" s="57"/>
    </row>
    <row r="138" spans="1:9" ht="20.100000000000001" customHeight="1" x14ac:dyDescent="0.25">
      <c r="A138" s="50">
        <v>46182</v>
      </c>
      <c r="B138" s="52" t="s">
        <v>267</v>
      </c>
      <c r="C138" s="52">
        <v>5595</v>
      </c>
      <c r="D138" s="52" t="s">
        <v>345</v>
      </c>
      <c r="E138" s="52" t="s">
        <v>346</v>
      </c>
      <c r="F138" s="52">
        <f t="shared" ca="1" si="2"/>
        <v>4</v>
      </c>
      <c r="G138" s="55" t="s">
        <v>347</v>
      </c>
      <c r="H138" s="55" t="s">
        <v>348</v>
      </c>
      <c r="I138" s="57"/>
    </row>
    <row r="139" spans="1:9" ht="20.100000000000001" customHeight="1" x14ac:dyDescent="0.25">
      <c r="A139" s="50">
        <v>46182</v>
      </c>
      <c r="B139" s="52" t="s">
        <v>267</v>
      </c>
      <c r="C139" s="52">
        <v>5595</v>
      </c>
      <c r="D139" s="52" t="s">
        <v>349</v>
      </c>
      <c r="E139" s="52" t="s">
        <v>350</v>
      </c>
      <c r="F139" s="52">
        <f t="shared" ca="1" si="2"/>
        <v>4</v>
      </c>
      <c r="G139" s="55" t="s">
        <v>347</v>
      </c>
      <c r="H139" s="55" t="s">
        <v>351</v>
      </c>
      <c r="I139" s="57"/>
    </row>
    <row r="140" spans="1:9" ht="20.100000000000001" customHeight="1" x14ac:dyDescent="0.25">
      <c r="A140" s="50">
        <v>46182</v>
      </c>
      <c r="B140" s="52" t="s">
        <v>267</v>
      </c>
      <c r="C140" s="52">
        <v>5595</v>
      </c>
      <c r="D140" s="52" t="s">
        <v>357</v>
      </c>
      <c r="E140" s="52" t="s">
        <v>346</v>
      </c>
      <c r="F140" s="52">
        <f t="shared" ca="1" si="2"/>
        <v>4</v>
      </c>
      <c r="G140" s="55" t="s">
        <v>347</v>
      </c>
      <c r="H140" s="55" t="s">
        <v>358</v>
      </c>
      <c r="I140" s="57"/>
    </row>
    <row r="141" spans="1:9" ht="20.100000000000001" customHeight="1" x14ac:dyDescent="0.25">
      <c r="A141" s="50">
        <v>46182</v>
      </c>
      <c r="B141" s="52" t="s">
        <v>81</v>
      </c>
      <c r="C141" s="52">
        <v>5596</v>
      </c>
      <c r="D141" s="52" t="s">
        <v>355</v>
      </c>
      <c r="E141" s="52" t="s">
        <v>346</v>
      </c>
      <c r="F141" s="52">
        <f t="shared" ca="1" si="2"/>
        <v>4</v>
      </c>
      <c r="G141" s="55" t="s">
        <v>347</v>
      </c>
      <c r="H141" s="55" t="s">
        <v>356</v>
      </c>
      <c r="I141" s="57"/>
    </row>
    <row r="142" spans="1:9" ht="20.100000000000001" customHeight="1" x14ac:dyDescent="0.25">
      <c r="A142" s="50">
        <v>46182</v>
      </c>
      <c r="B142" s="52" t="s">
        <v>81</v>
      </c>
      <c r="C142" s="52">
        <v>5596</v>
      </c>
      <c r="D142" s="52" t="s">
        <v>345</v>
      </c>
      <c r="E142" s="52" t="s">
        <v>346</v>
      </c>
      <c r="F142" s="52">
        <f t="shared" ca="1" si="2"/>
        <v>4</v>
      </c>
      <c r="G142" s="55" t="s">
        <v>347</v>
      </c>
      <c r="H142" s="55" t="s">
        <v>348</v>
      </c>
      <c r="I142" s="57"/>
    </row>
    <row r="143" spans="1:9" ht="20.100000000000001" customHeight="1" x14ac:dyDescent="0.25">
      <c r="A143" s="50">
        <v>46182</v>
      </c>
      <c r="B143" s="52" t="s">
        <v>81</v>
      </c>
      <c r="C143" s="52">
        <v>5596</v>
      </c>
      <c r="D143" s="52" t="s">
        <v>349</v>
      </c>
      <c r="E143" s="52" t="s">
        <v>350</v>
      </c>
      <c r="F143" s="52">
        <f t="shared" ca="1" si="2"/>
        <v>4</v>
      </c>
      <c r="G143" s="55" t="s">
        <v>347</v>
      </c>
      <c r="H143" s="55" t="s">
        <v>351</v>
      </c>
      <c r="I143" s="57"/>
    </row>
    <row r="144" spans="1:9" ht="20.100000000000001" customHeight="1" x14ac:dyDescent="0.25">
      <c r="A144" s="50">
        <v>46182</v>
      </c>
      <c r="B144" s="52" t="s">
        <v>81</v>
      </c>
      <c r="C144" s="52">
        <v>5596</v>
      </c>
      <c r="D144" s="52" t="s">
        <v>357</v>
      </c>
      <c r="E144" s="52" t="s">
        <v>346</v>
      </c>
      <c r="F144" s="52">
        <f t="shared" ca="1" si="2"/>
        <v>4</v>
      </c>
      <c r="G144" s="55" t="s">
        <v>347</v>
      </c>
      <c r="H144" s="55" t="s">
        <v>358</v>
      </c>
      <c r="I144" s="57"/>
    </row>
    <row r="145" spans="1:9" ht="20.100000000000001" customHeight="1" x14ac:dyDescent="0.25">
      <c r="A145" s="50">
        <v>46182</v>
      </c>
      <c r="B145" s="52" t="s">
        <v>286</v>
      </c>
      <c r="C145" s="52">
        <v>5599</v>
      </c>
      <c r="D145" s="52" t="s">
        <v>345</v>
      </c>
      <c r="E145" s="52" t="s">
        <v>346</v>
      </c>
      <c r="F145" s="52">
        <f t="shared" ca="1" si="2"/>
        <v>4</v>
      </c>
      <c r="G145" s="55" t="s">
        <v>347</v>
      </c>
      <c r="H145" s="55" t="s">
        <v>348</v>
      </c>
      <c r="I145" s="57"/>
    </row>
    <row r="146" spans="1:9" ht="20.100000000000001" customHeight="1" x14ac:dyDescent="0.25">
      <c r="A146" s="50">
        <v>46182</v>
      </c>
      <c r="B146" s="52" t="s">
        <v>286</v>
      </c>
      <c r="C146" s="52">
        <v>5599</v>
      </c>
      <c r="D146" s="52" t="s">
        <v>349</v>
      </c>
      <c r="E146" s="52" t="s">
        <v>350</v>
      </c>
      <c r="F146" s="52">
        <f t="shared" ca="1" si="2"/>
        <v>4</v>
      </c>
      <c r="G146" s="55" t="s">
        <v>347</v>
      </c>
      <c r="H146" s="55" t="s">
        <v>351</v>
      </c>
      <c r="I146" s="57"/>
    </row>
    <row r="147" spans="1:9" ht="20.100000000000001" customHeight="1" x14ac:dyDescent="0.25">
      <c r="A147" s="50">
        <v>46182</v>
      </c>
      <c r="B147" s="52" t="s">
        <v>286</v>
      </c>
      <c r="C147" s="52">
        <v>5599</v>
      </c>
      <c r="D147" s="52" t="s">
        <v>357</v>
      </c>
      <c r="E147" s="52" t="s">
        <v>346</v>
      </c>
      <c r="F147" s="52">
        <f t="shared" ca="1" si="2"/>
        <v>4</v>
      </c>
      <c r="G147" s="55" t="s">
        <v>347</v>
      </c>
      <c r="H147" s="55" t="s">
        <v>358</v>
      </c>
      <c r="I147" s="57"/>
    </row>
    <row r="148" spans="1:9" ht="20.100000000000001" customHeight="1" x14ac:dyDescent="0.25">
      <c r="A148" s="50">
        <v>46182</v>
      </c>
      <c r="B148" s="52" t="s">
        <v>247</v>
      </c>
      <c r="C148" s="52">
        <v>5601</v>
      </c>
      <c r="D148" s="52" t="s">
        <v>345</v>
      </c>
      <c r="E148" s="52" t="s">
        <v>346</v>
      </c>
      <c r="F148" s="52">
        <f t="shared" ca="1" si="2"/>
        <v>4</v>
      </c>
      <c r="G148" s="55" t="s">
        <v>347</v>
      </c>
      <c r="H148" s="55" t="s">
        <v>348</v>
      </c>
      <c r="I148" s="57"/>
    </row>
    <row r="149" spans="1:9" ht="20.100000000000001" customHeight="1" x14ac:dyDescent="0.25">
      <c r="A149" s="50">
        <v>46182</v>
      </c>
      <c r="B149" s="52" t="s">
        <v>247</v>
      </c>
      <c r="C149" s="52">
        <v>5601</v>
      </c>
      <c r="D149" s="52" t="s">
        <v>349</v>
      </c>
      <c r="E149" s="52" t="s">
        <v>350</v>
      </c>
      <c r="F149" s="52">
        <f t="shared" ca="1" si="2"/>
        <v>4</v>
      </c>
      <c r="G149" s="55" t="s">
        <v>347</v>
      </c>
      <c r="H149" s="55" t="s">
        <v>351</v>
      </c>
      <c r="I149" s="57"/>
    </row>
    <row r="150" spans="1:9" ht="20.100000000000001" customHeight="1" x14ac:dyDescent="0.25">
      <c r="A150" s="50">
        <v>46182</v>
      </c>
      <c r="B150" s="52" t="s">
        <v>247</v>
      </c>
      <c r="C150" s="52">
        <v>5601</v>
      </c>
      <c r="D150" s="52" t="s">
        <v>357</v>
      </c>
      <c r="E150" s="52" t="s">
        <v>346</v>
      </c>
      <c r="F150" s="52">
        <f t="shared" ca="1" si="2"/>
        <v>4</v>
      </c>
      <c r="G150" s="55" t="s">
        <v>347</v>
      </c>
      <c r="H150" s="55" t="s">
        <v>358</v>
      </c>
      <c r="I150" s="57"/>
    </row>
    <row r="151" spans="1:9" ht="20.100000000000001" customHeight="1" x14ac:dyDescent="0.25">
      <c r="A151" s="50">
        <v>46182</v>
      </c>
      <c r="B151" s="52" t="s">
        <v>225</v>
      </c>
      <c r="C151" s="52">
        <v>5603</v>
      </c>
      <c r="D151" s="52" t="s">
        <v>345</v>
      </c>
      <c r="E151" s="52" t="s">
        <v>346</v>
      </c>
      <c r="F151" s="52">
        <f t="shared" ca="1" si="2"/>
        <v>4</v>
      </c>
      <c r="G151" s="55" t="s">
        <v>347</v>
      </c>
      <c r="H151" s="55" t="s">
        <v>348</v>
      </c>
      <c r="I151" s="57"/>
    </row>
    <row r="152" spans="1:9" ht="20.100000000000001" customHeight="1" x14ac:dyDescent="0.25">
      <c r="A152" s="50">
        <v>46182</v>
      </c>
      <c r="B152" s="52" t="s">
        <v>225</v>
      </c>
      <c r="C152" s="52">
        <v>5603</v>
      </c>
      <c r="D152" s="52" t="s">
        <v>349</v>
      </c>
      <c r="E152" s="52" t="s">
        <v>350</v>
      </c>
      <c r="F152" s="52">
        <f t="shared" ca="1" si="2"/>
        <v>4</v>
      </c>
      <c r="G152" s="55" t="s">
        <v>347</v>
      </c>
      <c r="H152" s="55" t="s">
        <v>351</v>
      </c>
      <c r="I152" s="57"/>
    </row>
    <row r="153" spans="1:9" ht="20.100000000000001" customHeight="1" x14ac:dyDescent="0.25">
      <c r="A153" s="50">
        <v>46182</v>
      </c>
      <c r="B153" s="52" t="s">
        <v>225</v>
      </c>
      <c r="C153" s="52">
        <v>5603</v>
      </c>
      <c r="D153" s="52" t="s">
        <v>357</v>
      </c>
      <c r="E153" s="52" t="s">
        <v>346</v>
      </c>
      <c r="F153" s="52">
        <f t="shared" ca="1" si="2"/>
        <v>4</v>
      </c>
      <c r="G153" s="55" t="s">
        <v>347</v>
      </c>
      <c r="H153" s="55" t="s">
        <v>358</v>
      </c>
      <c r="I153" s="57"/>
    </row>
    <row r="154" spans="1:9" ht="20.100000000000001" customHeight="1" x14ac:dyDescent="0.25">
      <c r="A154" s="50">
        <v>46182</v>
      </c>
      <c r="B154" s="52" t="s">
        <v>288</v>
      </c>
      <c r="C154" s="52">
        <v>5604</v>
      </c>
      <c r="D154" s="52" t="s">
        <v>345</v>
      </c>
      <c r="E154" s="52" t="s">
        <v>346</v>
      </c>
      <c r="F154" s="52">
        <f t="shared" ca="1" si="2"/>
        <v>4</v>
      </c>
      <c r="G154" s="55" t="s">
        <v>347</v>
      </c>
      <c r="H154" s="55" t="s">
        <v>348</v>
      </c>
      <c r="I154" s="57"/>
    </row>
    <row r="155" spans="1:9" ht="20.100000000000001" customHeight="1" x14ac:dyDescent="0.25">
      <c r="A155" s="50">
        <v>46182</v>
      </c>
      <c r="B155" s="52" t="s">
        <v>288</v>
      </c>
      <c r="C155" s="52">
        <v>5604</v>
      </c>
      <c r="D155" s="52" t="s">
        <v>349</v>
      </c>
      <c r="E155" s="52" t="s">
        <v>350</v>
      </c>
      <c r="F155" s="52">
        <f t="shared" ca="1" si="2"/>
        <v>4</v>
      </c>
      <c r="G155" s="55" t="s">
        <v>347</v>
      </c>
      <c r="H155" s="55" t="s">
        <v>351</v>
      </c>
      <c r="I155" s="57"/>
    </row>
    <row r="156" spans="1:9" ht="20.100000000000001" customHeight="1" x14ac:dyDescent="0.25">
      <c r="A156" s="50">
        <v>46182</v>
      </c>
      <c r="B156" s="52" t="s">
        <v>288</v>
      </c>
      <c r="C156" s="52">
        <v>5604</v>
      </c>
      <c r="D156" s="52" t="s">
        <v>357</v>
      </c>
      <c r="E156" s="52" t="s">
        <v>346</v>
      </c>
      <c r="F156" s="52">
        <f t="shared" ca="1" si="2"/>
        <v>4</v>
      </c>
      <c r="G156" s="55" t="s">
        <v>347</v>
      </c>
      <c r="H156" s="55" t="s">
        <v>358</v>
      </c>
      <c r="I156" s="57"/>
    </row>
    <row r="157" spans="1:9" ht="20.100000000000001" customHeight="1" x14ac:dyDescent="0.25">
      <c r="A157" s="50">
        <v>46182</v>
      </c>
      <c r="B157" s="52" t="s">
        <v>247</v>
      </c>
      <c r="C157" s="52">
        <v>5611</v>
      </c>
      <c r="D157" s="52" t="s">
        <v>345</v>
      </c>
      <c r="E157" s="52" t="s">
        <v>346</v>
      </c>
      <c r="F157" s="52">
        <f t="shared" ca="1" si="2"/>
        <v>4</v>
      </c>
      <c r="G157" s="55" t="s">
        <v>347</v>
      </c>
      <c r="H157" s="55" t="s">
        <v>348</v>
      </c>
      <c r="I157" s="57"/>
    </row>
    <row r="158" spans="1:9" ht="20.100000000000001" customHeight="1" x14ac:dyDescent="0.25">
      <c r="A158" s="50">
        <v>46182</v>
      </c>
      <c r="B158" s="52" t="s">
        <v>247</v>
      </c>
      <c r="C158" s="52">
        <v>5612</v>
      </c>
      <c r="D158" s="52" t="s">
        <v>345</v>
      </c>
      <c r="E158" s="52" t="s">
        <v>346</v>
      </c>
      <c r="F158" s="52">
        <f t="shared" ca="1" si="2"/>
        <v>4</v>
      </c>
      <c r="G158" s="55" t="s">
        <v>347</v>
      </c>
      <c r="H158" s="55" t="s">
        <v>348</v>
      </c>
      <c r="I158" s="57"/>
    </row>
    <row r="159" spans="1:9" ht="20.100000000000001" customHeight="1" x14ac:dyDescent="0.25">
      <c r="A159" s="50">
        <v>46182</v>
      </c>
      <c r="B159" s="52" t="s">
        <v>247</v>
      </c>
      <c r="C159" s="52">
        <v>5612</v>
      </c>
      <c r="D159" s="52" t="s">
        <v>349</v>
      </c>
      <c r="E159" s="52" t="s">
        <v>350</v>
      </c>
      <c r="F159" s="52">
        <f t="shared" ca="1" si="2"/>
        <v>4</v>
      </c>
      <c r="G159" s="55" t="s">
        <v>347</v>
      </c>
      <c r="H159" s="55" t="s">
        <v>351</v>
      </c>
      <c r="I159" s="57"/>
    </row>
    <row r="160" spans="1:9" ht="20.100000000000001" customHeight="1" x14ac:dyDescent="0.25">
      <c r="A160" s="50">
        <v>46182</v>
      </c>
      <c r="B160" s="52" t="s">
        <v>247</v>
      </c>
      <c r="C160" s="52">
        <v>5612</v>
      </c>
      <c r="D160" s="52" t="s">
        <v>357</v>
      </c>
      <c r="E160" s="52" t="s">
        <v>346</v>
      </c>
      <c r="F160" s="52">
        <f t="shared" ca="1" si="2"/>
        <v>4</v>
      </c>
      <c r="G160" s="55" t="s">
        <v>347</v>
      </c>
      <c r="H160" s="55" t="s">
        <v>358</v>
      </c>
      <c r="I160" s="57"/>
    </row>
    <row r="161" spans="1:9" ht="20.100000000000001" customHeight="1" x14ac:dyDescent="0.25">
      <c r="A161" s="50">
        <v>46182</v>
      </c>
      <c r="B161" s="52" t="s">
        <v>267</v>
      </c>
      <c r="C161" s="52">
        <v>5614</v>
      </c>
      <c r="D161" s="52" t="s">
        <v>345</v>
      </c>
      <c r="E161" s="52" t="s">
        <v>346</v>
      </c>
      <c r="F161" s="52">
        <f t="shared" ca="1" si="2"/>
        <v>4</v>
      </c>
      <c r="G161" s="55" t="s">
        <v>347</v>
      </c>
      <c r="H161" s="55" t="s">
        <v>348</v>
      </c>
      <c r="I161" s="57"/>
    </row>
    <row r="162" spans="1:9" ht="20.100000000000001" customHeight="1" x14ac:dyDescent="0.25">
      <c r="A162" s="50">
        <v>46182</v>
      </c>
      <c r="B162" s="52" t="s">
        <v>267</v>
      </c>
      <c r="C162" s="52">
        <v>5614</v>
      </c>
      <c r="D162" s="52" t="s">
        <v>357</v>
      </c>
      <c r="E162" s="52" t="s">
        <v>346</v>
      </c>
      <c r="F162" s="52">
        <f t="shared" ca="1" si="2"/>
        <v>4</v>
      </c>
      <c r="G162" s="55" t="s">
        <v>347</v>
      </c>
      <c r="H162" s="55" t="s">
        <v>358</v>
      </c>
      <c r="I162" s="57"/>
    </row>
    <row r="163" spans="1:9" ht="20.100000000000001" customHeight="1" x14ac:dyDescent="0.25">
      <c r="A163" s="50">
        <v>46182</v>
      </c>
      <c r="B163" s="52" t="s">
        <v>81</v>
      </c>
      <c r="C163" s="52">
        <v>5615</v>
      </c>
      <c r="D163" s="52" t="s">
        <v>355</v>
      </c>
      <c r="E163" s="52" t="s">
        <v>346</v>
      </c>
      <c r="F163" s="52">
        <f t="shared" ca="1" si="2"/>
        <v>4</v>
      </c>
      <c r="G163" s="55" t="s">
        <v>347</v>
      </c>
      <c r="H163" s="55" t="s">
        <v>356</v>
      </c>
      <c r="I163" s="57"/>
    </row>
    <row r="164" spans="1:9" ht="20.100000000000001" customHeight="1" x14ac:dyDescent="0.25">
      <c r="A164" s="50">
        <v>46182</v>
      </c>
      <c r="B164" s="52" t="s">
        <v>81</v>
      </c>
      <c r="C164" s="52">
        <v>5615</v>
      </c>
      <c r="D164" s="52" t="s">
        <v>345</v>
      </c>
      <c r="E164" s="52" t="s">
        <v>346</v>
      </c>
      <c r="F164" s="52">
        <f t="shared" ca="1" si="2"/>
        <v>4</v>
      </c>
      <c r="G164" s="55" t="s">
        <v>347</v>
      </c>
      <c r="H164" s="55" t="s">
        <v>348</v>
      </c>
      <c r="I164" s="57"/>
    </row>
    <row r="165" spans="1:9" ht="20.100000000000001" customHeight="1" x14ac:dyDescent="0.25">
      <c r="A165" s="50">
        <v>46182</v>
      </c>
      <c r="B165" s="52" t="s">
        <v>81</v>
      </c>
      <c r="C165" s="52">
        <v>5615</v>
      </c>
      <c r="D165" s="52" t="s">
        <v>349</v>
      </c>
      <c r="E165" s="52" t="s">
        <v>350</v>
      </c>
      <c r="F165" s="52">
        <f t="shared" ca="1" si="2"/>
        <v>4</v>
      </c>
      <c r="G165" s="55" t="s">
        <v>347</v>
      </c>
      <c r="H165" s="55" t="s">
        <v>351</v>
      </c>
      <c r="I165" s="57"/>
    </row>
    <row r="166" spans="1:9" ht="20.100000000000001" customHeight="1" x14ac:dyDescent="0.25">
      <c r="A166" s="50">
        <v>46182</v>
      </c>
      <c r="B166" s="52" t="s">
        <v>81</v>
      </c>
      <c r="C166" s="52">
        <v>5615</v>
      </c>
      <c r="D166" s="52" t="s">
        <v>357</v>
      </c>
      <c r="E166" s="52" t="s">
        <v>346</v>
      </c>
      <c r="F166" s="52">
        <f t="shared" ca="1" si="2"/>
        <v>4</v>
      </c>
      <c r="G166" s="55" t="s">
        <v>347</v>
      </c>
      <c r="H166" s="55" t="s">
        <v>358</v>
      </c>
      <c r="I166" s="57"/>
    </row>
    <row r="167" spans="1:9" ht="20.100000000000001" customHeight="1" x14ac:dyDescent="0.25">
      <c r="A167" s="50">
        <v>46182</v>
      </c>
      <c r="B167" s="52" t="s">
        <v>81</v>
      </c>
      <c r="C167" s="52">
        <v>5621</v>
      </c>
      <c r="D167" s="52" t="s">
        <v>345</v>
      </c>
      <c r="E167" s="52" t="s">
        <v>346</v>
      </c>
      <c r="F167" s="52">
        <f t="shared" ca="1" si="2"/>
        <v>4</v>
      </c>
      <c r="G167" s="55" t="s">
        <v>347</v>
      </c>
      <c r="H167" s="55" t="s">
        <v>348</v>
      </c>
      <c r="I167" s="57"/>
    </row>
    <row r="168" spans="1:9" ht="20.100000000000001" customHeight="1" x14ac:dyDescent="0.25">
      <c r="A168" s="50">
        <v>46182</v>
      </c>
      <c r="B168" s="52" t="s">
        <v>81</v>
      </c>
      <c r="C168" s="52">
        <v>5621</v>
      </c>
      <c r="D168" s="52" t="s">
        <v>357</v>
      </c>
      <c r="E168" s="52" t="s">
        <v>346</v>
      </c>
      <c r="F168" s="52">
        <f t="shared" ca="1" si="2"/>
        <v>4</v>
      </c>
      <c r="G168" s="55" t="s">
        <v>347</v>
      </c>
      <c r="H168" s="55" t="s">
        <v>358</v>
      </c>
      <c r="I168" s="57"/>
    </row>
    <row r="169" spans="1:9" ht="20.100000000000001" customHeight="1" x14ac:dyDescent="0.25">
      <c r="A169" s="50">
        <v>46182</v>
      </c>
      <c r="B169" s="52" t="s">
        <v>81</v>
      </c>
      <c r="C169" s="52">
        <v>5625</v>
      </c>
      <c r="D169" s="52" t="s">
        <v>355</v>
      </c>
      <c r="E169" s="52" t="s">
        <v>346</v>
      </c>
      <c r="F169" s="52">
        <f t="shared" ca="1" si="2"/>
        <v>4</v>
      </c>
      <c r="G169" s="55" t="s">
        <v>347</v>
      </c>
      <c r="H169" s="55" t="s">
        <v>356</v>
      </c>
      <c r="I169" s="57"/>
    </row>
    <row r="170" spans="1:9" ht="20.100000000000001" customHeight="1" x14ac:dyDescent="0.25">
      <c r="A170" s="50">
        <v>46182</v>
      </c>
      <c r="B170" s="52" t="s">
        <v>81</v>
      </c>
      <c r="C170" s="52">
        <v>5625</v>
      </c>
      <c r="D170" s="52" t="s">
        <v>345</v>
      </c>
      <c r="E170" s="52" t="s">
        <v>346</v>
      </c>
      <c r="F170" s="52">
        <f t="shared" ca="1" si="2"/>
        <v>4</v>
      </c>
      <c r="G170" s="55" t="s">
        <v>347</v>
      </c>
      <c r="H170" s="55" t="s">
        <v>348</v>
      </c>
      <c r="I170" s="57"/>
    </row>
    <row r="171" spans="1:9" ht="20.100000000000001" customHeight="1" x14ac:dyDescent="0.25">
      <c r="A171" s="50">
        <v>46182</v>
      </c>
      <c r="B171" s="52" t="s">
        <v>81</v>
      </c>
      <c r="C171" s="52">
        <v>5625</v>
      </c>
      <c r="D171" s="52" t="s">
        <v>359</v>
      </c>
      <c r="E171" s="52" t="s">
        <v>346</v>
      </c>
      <c r="F171" s="52">
        <f t="shared" ca="1" si="2"/>
        <v>4</v>
      </c>
      <c r="G171" s="55" t="s">
        <v>347</v>
      </c>
      <c r="H171" s="55" t="s">
        <v>360</v>
      </c>
      <c r="I171" s="57"/>
    </row>
    <row r="172" spans="1:9" ht="20.100000000000001" customHeight="1" x14ac:dyDescent="0.25">
      <c r="A172" s="50">
        <v>46182</v>
      </c>
      <c r="B172" s="52" t="s">
        <v>267</v>
      </c>
      <c r="C172" s="52">
        <v>5626</v>
      </c>
      <c r="D172" s="52" t="s">
        <v>345</v>
      </c>
      <c r="E172" s="52" t="s">
        <v>346</v>
      </c>
      <c r="F172" s="52">
        <f t="shared" ca="1" si="2"/>
        <v>4</v>
      </c>
      <c r="G172" s="55" t="s">
        <v>347</v>
      </c>
      <c r="H172" s="55" t="s">
        <v>348</v>
      </c>
      <c r="I172" s="57"/>
    </row>
    <row r="173" spans="1:9" ht="20.100000000000001" customHeight="1" x14ac:dyDescent="0.25">
      <c r="A173" s="50">
        <v>46182</v>
      </c>
      <c r="B173" s="52" t="s">
        <v>267</v>
      </c>
      <c r="C173" s="52">
        <v>5626</v>
      </c>
      <c r="D173" s="52" t="s">
        <v>349</v>
      </c>
      <c r="E173" s="52" t="s">
        <v>350</v>
      </c>
      <c r="F173" s="52">
        <f t="shared" ca="1" si="2"/>
        <v>4</v>
      </c>
      <c r="G173" s="55" t="s">
        <v>347</v>
      </c>
      <c r="H173" s="55" t="s">
        <v>351</v>
      </c>
      <c r="I173" s="57"/>
    </row>
    <row r="174" spans="1:9" ht="20.100000000000001" customHeight="1" x14ac:dyDescent="0.25">
      <c r="A174" s="50">
        <v>46182</v>
      </c>
      <c r="B174" s="52" t="s">
        <v>267</v>
      </c>
      <c r="C174" s="52">
        <v>5626</v>
      </c>
      <c r="D174" s="52" t="s">
        <v>357</v>
      </c>
      <c r="E174" s="52" t="s">
        <v>346</v>
      </c>
      <c r="F174" s="52">
        <f t="shared" ca="1" si="2"/>
        <v>4</v>
      </c>
      <c r="G174" s="55" t="s">
        <v>347</v>
      </c>
      <c r="H174" s="55" t="s">
        <v>358</v>
      </c>
      <c r="I174" s="57"/>
    </row>
    <row r="175" spans="1:9" ht="20.100000000000001" customHeight="1" x14ac:dyDescent="0.25">
      <c r="A175" s="50">
        <v>46182</v>
      </c>
      <c r="B175" s="52" t="s">
        <v>81</v>
      </c>
      <c r="C175" s="52">
        <v>5628</v>
      </c>
      <c r="D175" s="52" t="s">
        <v>345</v>
      </c>
      <c r="E175" s="52" t="s">
        <v>346</v>
      </c>
      <c r="F175" s="52">
        <f t="shared" ca="1" si="2"/>
        <v>4</v>
      </c>
      <c r="G175" s="55" t="s">
        <v>347</v>
      </c>
      <c r="H175" s="55" t="s">
        <v>348</v>
      </c>
      <c r="I175" s="57"/>
    </row>
    <row r="176" spans="1:9" ht="20.100000000000001" customHeight="1" x14ac:dyDescent="0.25">
      <c r="A176" s="50">
        <v>46182</v>
      </c>
      <c r="B176" s="52" t="s">
        <v>81</v>
      </c>
      <c r="C176" s="52">
        <v>5628</v>
      </c>
      <c r="D176" s="52" t="s">
        <v>359</v>
      </c>
      <c r="E176" s="52" t="s">
        <v>353</v>
      </c>
      <c r="F176" s="52">
        <f t="shared" ca="1" si="2"/>
        <v>4</v>
      </c>
      <c r="G176" s="55" t="s">
        <v>347</v>
      </c>
      <c r="H176" s="55" t="s">
        <v>360</v>
      </c>
      <c r="I176" s="57"/>
    </row>
    <row r="177" spans="1:9" ht="20.100000000000001" customHeight="1" x14ac:dyDescent="0.25">
      <c r="A177" s="50">
        <v>46182</v>
      </c>
      <c r="B177" s="52" t="s">
        <v>81</v>
      </c>
      <c r="C177" s="52">
        <v>5630</v>
      </c>
      <c r="D177" s="52" t="s">
        <v>355</v>
      </c>
      <c r="E177" s="52" t="s">
        <v>346</v>
      </c>
      <c r="F177" s="52">
        <f t="shared" ca="1" si="2"/>
        <v>4</v>
      </c>
      <c r="G177" s="55" t="s">
        <v>347</v>
      </c>
      <c r="H177" s="55" t="s">
        <v>356</v>
      </c>
      <c r="I177" s="57"/>
    </row>
    <row r="178" spans="1:9" ht="20.100000000000001" customHeight="1" x14ac:dyDescent="0.25">
      <c r="A178" s="50">
        <v>46182</v>
      </c>
      <c r="B178" s="52" t="s">
        <v>81</v>
      </c>
      <c r="C178" s="52">
        <v>5630</v>
      </c>
      <c r="D178" s="52" t="s">
        <v>345</v>
      </c>
      <c r="E178" s="52" t="s">
        <v>346</v>
      </c>
      <c r="F178" s="52">
        <f t="shared" ca="1" si="2"/>
        <v>4</v>
      </c>
      <c r="G178" s="55" t="s">
        <v>347</v>
      </c>
      <c r="H178" s="55" t="s">
        <v>348</v>
      </c>
      <c r="I178" s="57"/>
    </row>
    <row r="179" spans="1:9" ht="20.100000000000001" customHeight="1" x14ac:dyDescent="0.25">
      <c r="A179" s="50">
        <v>46182</v>
      </c>
      <c r="B179" s="52" t="s">
        <v>81</v>
      </c>
      <c r="C179" s="52">
        <v>5630</v>
      </c>
      <c r="D179" s="52" t="s">
        <v>349</v>
      </c>
      <c r="E179" s="52" t="s">
        <v>350</v>
      </c>
      <c r="F179" s="52">
        <f t="shared" ca="1" si="2"/>
        <v>4</v>
      </c>
      <c r="G179" s="55" t="s">
        <v>347</v>
      </c>
      <c r="H179" s="55" t="s">
        <v>351</v>
      </c>
      <c r="I179" s="57"/>
    </row>
    <row r="180" spans="1:9" ht="20.100000000000001" customHeight="1" x14ac:dyDescent="0.25">
      <c r="A180" s="50">
        <v>46182</v>
      </c>
      <c r="B180" s="52" t="s">
        <v>81</v>
      </c>
      <c r="C180" s="52">
        <v>5630</v>
      </c>
      <c r="D180" s="52" t="s">
        <v>359</v>
      </c>
      <c r="E180" s="52" t="s">
        <v>346</v>
      </c>
      <c r="F180" s="52">
        <f t="shared" ca="1" si="2"/>
        <v>4</v>
      </c>
      <c r="G180" s="55" t="s">
        <v>347</v>
      </c>
      <c r="H180" s="55" t="s">
        <v>360</v>
      </c>
      <c r="I180" s="57"/>
    </row>
    <row r="181" spans="1:9" ht="20.100000000000001" customHeight="1" x14ac:dyDescent="0.25">
      <c r="A181" s="50">
        <v>46182</v>
      </c>
      <c r="B181" s="52" t="s">
        <v>247</v>
      </c>
      <c r="C181" s="52">
        <v>5632</v>
      </c>
      <c r="D181" s="52" t="s">
        <v>345</v>
      </c>
      <c r="E181" s="52" t="s">
        <v>346</v>
      </c>
      <c r="F181" s="52">
        <f t="shared" ca="1" si="2"/>
        <v>4</v>
      </c>
      <c r="G181" s="55" t="s">
        <v>347</v>
      </c>
      <c r="H181" s="55" t="s">
        <v>348</v>
      </c>
      <c r="I181" s="57"/>
    </row>
    <row r="182" spans="1:9" ht="20.100000000000001" customHeight="1" x14ac:dyDescent="0.25">
      <c r="A182" s="50">
        <v>46182</v>
      </c>
      <c r="B182" s="52" t="s">
        <v>247</v>
      </c>
      <c r="C182" s="52">
        <v>5632</v>
      </c>
      <c r="D182" s="52" t="s">
        <v>359</v>
      </c>
      <c r="E182" s="52" t="s">
        <v>353</v>
      </c>
      <c r="F182" s="52">
        <f t="shared" ca="1" si="2"/>
        <v>4</v>
      </c>
      <c r="G182" s="55" t="s">
        <v>347</v>
      </c>
      <c r="H182" s="55" t="s">
        <v>360</v>
      </c>
      <c r="I182" s="57"/>
    </row>
    <row r="183" spans="1:9" ht="20.100000000000001" customHeight="1" x14ac:dyDescent="0.25">
      <c r="A183" s="50">
        <v>46182</v>
      </c>
      <c r="B183" s="52" t="s">
        <v>81</v>
      </c>
      <c r="C183" s="52">
        <v>5633</v>
      </c>
      <c r="D183" s="52" t="s">
        <v>345</v>
      </c>
      <c r="E183" s="52" t="s">
        <v>346</v>
      </c>
      <c r="F183" s="52">
        <f t="shared" ca="1" si="2"/>
        <v>4</v>
      </c>
      <c r="G183" s="55" t="s">
        <v>347</v>
      </c>
      <c r="H183" s="55" t="s">
        <v>348</v>
      </c>
      <c r="I183" s="57"/>
    </row>
    <row r="184" spans="1:9" ht="20.100000000000001" customHeight="1" x14ac:dyDescent="0.25">
      <c r="A184" s="50">
        <v>46182</v>
      </c>
      <c r="B184" s="52" t="s">
        <v>81</v>
      </c>
      <c r="C184" s="52">
        <v>5633</v>
      </c>
      <c r="D184" s="52" t="s">
        <v>359</v>
      </c>
      <c r="E184" s="52" t="s">
        <v>346</v>
      </c>
      <c r="F184" s="52">
        <f t="shared" ca="1" si="2"/>
        <v>4</v>
      </c>
      <c r="G184" s="55" t="s">
        <v>347</v>
      </c>
      <c r="H184" s="55" t="s">
        <v>360</v>
      </c>
      <c r="I184" s="57"/>
    </row>
    <row r="185" spans="1:9" ht="20.100000000000001" customHeight="1" x14ac:dyDescent="0.25">
      <c r="A185" s="50">
        <v>46182</v>
      </c>
      <c r="B185" s="52" t="s">
        <v>267</v>
      </c>
      <c r="C185" s="52">
        <v>5634</v>
      </c>
      <c r="D185" s="52" t="s">
        <v>345</v>
      </c>
      <c r="E185" s="52" t="s">
        <v>346</v>
      </c>
      <c r="F185" s="52">
        <f t="shared" ca="1" si="2"/>
        <v>4</v>
      </c>
      <c r="G185" s="55" t="s">
        <v>347</v>
      </c>
      <c r="H185" s="55" t="s">
        <v>348</v>
      </c>
      <c r="I185" s="57"/>
    </row>
    <row r="186" spans="1:9" ht="20.100000000000001" customHeight="1" x14ac:dyDescent="0.25">
      <c r="A186" s="50">
        <v>46182</v>
      </c>
      <c r="B186" s="52" t="s">
        <v>267</v>
      </c>
      <c r="C186" s="52">
        <v>5634</v>
      </c>
      <c r="D186" s="52" t="s">
        <v>359</v>
      </c>
      <c r="E186" s="52" t="s">
        <v>346</v>
      </c>
      <c r="F186" s="52">
        <f t="shared" ca="1" si="2"/>
        <v>4</v>
      </c>
      <c r="G186" s="55" t="s">
        <v>347</v>
      </c>
      <c r="H186" s="55" t="s">
        <v>360</v>
      </c>
      <c r="I186" s="57"/>
    </row>
    <row r="187" spans="1:9" ht="20.100000000000001" customHeight="1" x14ac:dyDescent="0.25">
      <c r="A187" s="50">
        <v>46182</v>
      </c>
      <c r="B187" s="52" t="s">
        <v>267</v>
      </c>
      <c r="C187" s="52">
        <v>5637</v>
      </c>
      <c r="D187" s="52" t="s">
        <v>345</v>
      </c>
      <c r="E187" s="52" t="s">
        <v>346</v>
      </c>
      <c r="F187" s="52">
        <f t="shared" ca="1" si="2"/>
        <v>4</v>
      </c>
      <c r="G187" s="55" t="s">
        <v>347</v>
      </c>
      <c r="H187" s="55" t="s">
        <v>348</v>
      </c>
      <c r="I187" s="57"/>
    </row>
    <row r="188" spans="1:9" ht="20.100000000000001" customHeight="1" x14ac:dyDescent="0.25">
      <c r="A188" s="50">
        <v>46182</v>
      </c>
      <c r="B188" s="52" t="s">
        <v>267</v>
      </c>
      <c r="C188" s="52">
        <v>5637</v>
      </c>
      <c r="D188" s="52" t="s">
        <v>359</v>
      </c>
      <c r="E188" s="52" t="s">
        <v>346</v>
      </c>
      <c r="F188" s="52">
        <f t="shared" ca="1" si="2"/>
        <v>4</v>
      </c>
      <c r="G188" s="55" t="s">
        <v>347</v>
      </c>
      <c r="H188" s="55" t="s">
        <v>360</v>
      </c>
      <c r="I188" s="57"/>
    </row>
    <row r="189" spans="1:9" ht="20.100000000000001" customHeight="1" x14ac:dyDescent="0.25">
      <c r="A189" s="50">
        <v>46182</v>
      </c>
      <c r="B189" s="52" t="s">
        <v>267</v>
      </c>
      <c r="C189" s="52">
        <v>5638</v>
      </c>
      <c r="D189" s="52" t="s">
        <v>345</v>
      </c>
      <c r="E189" s="52" t="s">
        <v>346</v>
      </c>
      <c r="F189" s="52">
        <f t="shared" ca="1" si="2"/>
        <v>4</v>
      </c>
      <c r="G189" s="55" t="s">
        <v>347</v>
      </c>
      <c r="H189" s="55" t="s">
        <v>348</v>
      </c>
      <c r="I189" s="57"/>
    </row>
    <row r="190" spans="1:9" ht="20.100000000000001" customHeight="1" x14ac:dyDescent="0.25">
      <c r="A190" s="50">
        <v>46182</v>
      </c>
      <c r="B190" s="52" t="s">
        <v>267</v>
      </c>
      <c r="C190" s="52">
        <v>5638</v>
      </c>
      <c r="D190" s="52" t="s">
        <v>359</v>
      </c>
      <c r="E190" s="52" t="s">
        <v>346</v>
      </c>
      <c r="F190" s="52">
        <f t="shared" ca="1" si="2"/>
        <v>4</v>
      </c>
      <c r="G190" s="55" t="s">
        <v>347</v>
      </c>
      <c r="H190" s="55" t="s">
        <v>360</v>
      </c>
      <c r="I190" s="57"/>
    </row>
    <row r="191" spans="1:9" ht="20.100000000000001" customHeight="1" x14ac:dyDescent="0.25">
      <c r="A191" s="50">
        <v>46182</v>
      </c>
      <c r="B191" s="52" t="s">
        <v>314</v>
      </c>
      <c r="C191" s="52">
        <v>5640</v>
      </c>
      <c r="D191" s="52" t="s">
        <v>345</v>
      </c>
      <c r="E191" s="52" t="s">
        <v>346</v>
      </c>
      <c r="F191" s="52">
        <f t="shared" ca="1" si="2"/>
        <v>4</v>
      </c>
      <c r="G191" s="55" t="s">
        <v>347</v>
      </c>
      <c r="H191" s="55" t="s">
        <v>348</v>
      </c>
      <c r="I191" s="57"/>
    </row>
    <row r="192" spans="1:9" ht="20.100000000000001" customHeight="1" x14ac:dyDescent="0.25">
      <c r="A192" s="50">
        <v>46182</v>
      </c>
      <c r="B192" s="52" t="s">
        <v>314</v>
      </c>
      <c r="C192" s="52">
        <v>5640</v>
      </c>
      <c r="D192" s="52" t="s">
        <v>359</v>
      </c>
      <c r="E192" s="52" t="s">
        <v>346</v>
      </c>
      <c r="F192" s="52">
        <f t="shared" ca="1" si="2"/>
        <v>4</v>
      </c>
      <c r="G192" s="55" t="s">
        <v>347</v>
      </c>
      <c r="H192" s="55" t="s">
        <v>360</v>
      </c>
      <c r="I192" s="57"/>
    </row>
    <row r="193" spans="1:9" ht="20.100000000000001" customHeight="1" x14ac:dyDescent="0.25">
      <c r="A193" s="50">
        <v>46182</v>
      </c>
      <c r="B193" s="52" t="s">
        <v>317</v>
      </c>
      <c r="C193" s="52">
        <v>5644</v>
      </c>
      <c r="D193" s="52" t="s">
        <v>345</v>
      </c>
      <c r="E193" s="52" t="s">
        <v>346</v>
      </c>
      <c r="F193" s="52">
        <f t="shared" ca="1" si="2"/>
        <v>4</v>
      </c>
      <c r="G193" s="55" t="s">
        <v>347</v>
      </c>
      <c r="H193" s="55" t="s">
        <v>348</v>
      </c>
      <c r="I193" s="57"/>
    </row>
    <row r="194" spans="1:9" ht="20.100000000000001" customHeight="1" x14ac:dyDescent="0.25">
      <c r="A194" s="50">
        <v>46182</v>
      </c>
      <c r="B194" s="52" t="s">
        <v>317</v>
      </c>
      <c r="C194" s="52">
        <v>5644</v>
      </c>
      <c r="D194" s="52" t="s">
        <v>349</v>
      </c>
      <c r="E194" s="52" t="s">
        <v>350</v>
      </c>
      <c r="F194" s="52">
        <f t="shared" ca="1" si="2"/>
        <v>4</v>
      </c>
      <c r="G194" s="55" t="s">
        <v>347</v>
      </c>
      <c r="H194" s="55" t="s">
        <v>351</v>
      </c>
      <c r="I194" s="57"/>
    </row>
    <row r="195" spans="1:9" ht="20.100000000000001" customHeight="1" x14ac:dyDescent="0.25">
      <c r="A195" s="50">
        <v>46182</v>
      </c>
      <c r="B195" s="52" t="s">
        <v>317</v>
      </c>
      <c r="C195" s="52">
        <v>5644</v>
      </c>
      <c r="D195" s="52" t="s">
        <v>359</v>
      </c>
      <c r="E195" s="52" t="s">
        <v>353</v>
      </c>
      <c r="F195" s="52">
        <f t="shared" ca="1" si="2"/>
        <v>4</v>
      </c>
      <c r="G195" s="55" t="s">
        <v>347</v>
      </c>
      <c r="H195" s="55" t="s">
        <v>360</v>
      </c>
      <c r="I195" s="57"/>
    </row>
    <row r="196" spans="1:9" ht="20.100000000000001" customHeight="1" x14ac:dyDescent="0.25">
      <c r="A196" s="50">
        <v>46182</v>
      </c>
      <c r="B196" s="52" t="s">
        <v>321</v>
      </c>
      <c r="C196" s="52">
        <v>5647</v>
      </c>
      <c r="D196" s="52" t="s">
        <v>345</v>
      </c>
      <c r="E196" s="52" t="s">
        <v>346</v>
      </c>
      <c r="F196" s="52">
        <f t="shared" ca="1" si="2"/>
        <v>4</v>
      </c>
      <c r="G196" s="55" t="s">
        <v>347</v>
      </c>
      <c r="H196" s="55" t="s">
        <v>348</v>
      </c>
      <c r="I196" s="57"/>
    </row>
    <row r="197" spans="1:9" ht="20.100000000000001" customHeight="1" x14ac:dyDescent="0.25">
      <c r="A197" s="50">
        <v>46182</v>
      </c>
      <c r="B197" s="52" t="s">
        <v>321</v>
      </c>
      <c r="C197" s="52">
        <v>5647</v>
      </c>
      <c r="D197" s="52" t="s">
        <v>359</v>
      </c>
      <c r="E197" s="52" t="s">
        <v>353</v>
      </c>
      <c r="F197" s="52">
        <f t="shared" ref="F197:F213" ca="1" si="3">IF(A197="","",MAX(0,TODAY()-A197))</f>
        <v>4</v>
      </c>
      <c r="G197" s="55" t="s">
        <v>347</v>
      </c>
      <c r="H197" s="55" t="s">
        <v>360</v>
      </c>
      <c r="I197" s="57"/>
    </row>
    <row r="198" spans="1:9" ht="20.100000000000001" customHeight="1" x14ac:dyDescent="0.25">
      <c r="A198" s="50">
        <v>46182</v>
      </c>
      <c r="B198" s="52" t="s">
        <v>322</v>
      </c>
      <c r="C198" s="52">
        <v>5648</v>
      </c>
      <c r="D198" s="52" t="s">
        <v>345</v>
      </c>
      <c r="E198" s="52" t="s">
        <v>346</v>
      </c>
      <c r="F198" s="52">
        <f t="shared" ca="1" si="3"/>
        <v>4</v>
      </c>
      <c r="G198" s="55" t="s">
        <v>347</v>
      </c>
      <c r="H198" s="55" t="s">
        <v>348</v>
      </c>
      <c r="I198" s="57"/>
    </row>
    <row r="199" spans="1:9" ht="20.100000000000001" customHeight="1" x14ac:dyDescent="0.25">
      <c r="A199" s="50">
        <v>46182</v>
      </c>
      <c r="B199" s="52" t="s">
        <v>322</v>
      </c>
      <c r="C199" s="52">
        <v>5648</v>
      </c>
      <c r="D199" s="52" t="s">
        <v>359</v>
      </c>
      <c r="E199" s="52" t="s">
        <v>346</v>
      </c>
      <c r="F199" s="52">
        <f t="shared" ca="1" si="3"/>
        <v>4</v>
      </c>
      <c r="G199" s="55" t="s">
        <v>347</v>
      </c>
      <c r="H199" s="55" t="s">
        <v>360</v>
      </c>
      <c r="I199" s="57"/>
    </row>
    <row r="200" spans="1:9" ht="20.100000000000001" customHeight="1" x14ac:dyDescent="0.25">
      <c r="A200" s="50">
        <v>46182</v>
      </c>
      <c r="B200" s="52" t="s">
        <v>324</v>
      </c>
      <c r="C200" s="52">
        <v>5651</v>
      </c>
      <c r="D200" s="52" t="s">
        <v>345</v>
      </c>
      <c r="E200" s="52" t="s">
        <v>346</v>
      </c>
      <c r="F200" s="52">
        <f t="shared" ca="1" si="3"/>
        <v>4</v>
      </c>
      <c r="G200" s="55" t="s">
        <v>347</v>
      </c>
      <c r="H200" s="55" t="s">
        <v>348</v>
      </c>
      <c r="I200" s="57"/>
    </row>
    <row r="201" spans="1:9" ht="20.100000000000001" customHeight="1" x14ac:dyDescent="0.25">
      <c r="A201" s="50">
        <v>46182</v>
      </c>
      <c r="B201" s="52" t="s">
        <v>324</v>
      </c>
      <c r="C201" s="52">
        <v>5651</v>
      </c>
      <c r="D201" s="52" t="s">
        <v>359</v>
      </c>
      <c r="E201" s="52" t="s">
        <v>353</v>
      </c>
      <c r="F201" s="52">
        <f t="shared" ca="1" si="3"/>
        <v>4</v>
      </c>
      <c r="G201" s="55" t="s">
        <v>347</v>
      </c>
      <c r="H201" s="55" t="s">
        <v>360</v>
      </c>
      <c r="I201" s="57"/>
    </row>
    <row r="202" spans="1:9" ht="20.100000000000001" customHeight="1" x14ac:dyDescent="0.25">
      <c r="A202" s="50">
        <v>46182</v>
      </c>
      <c r="B202" s="52" t="s">
        <v>325</v>
      </c>
      <c r="C202" s="52">
        <v>5652</v>
      </c>
      <c r="D202" s="52" t="s">
        <v>345</v>
      </c>
      <c r="E202" s="52" t="s">
        <v>346</v>
      </c>
      <c r="F202" s="52">
        <f t="shared" ca="1" si="3"/>
        <v>4</v>
      </c>
      <c r="G202" s="55" t="s">
        <v>347</v>
      </c>
      <c r="H202" s="55" t="s">
        <v>348</v>
      </c>
      <c r="I202" s="57"/>
    </row>
    <row r="203" spans="1:9" ht="20.100000000000001" customHeight="1" x14ac:dyDescent="0.25">
      <c r="A203" s="50">
        <v>46182</v>
      </c>
      <c r="B203" s="52" t="s">
        <v>325</v>
      </c>
      <c r="C203" s="52">
        <v>5652</v>
      </c>
      <c r="D203" s="52" t="s">
        <v>375</v>
      </c>
      <c r="E203" s="52" t="s">
        <v>350</v>
      </c>
      <c r="F203" s="52">
        <f t="shared" ca="1" si="3"/>
        <v>4</v>
      </c>
      <c r="G203" s="55" t="s">
        <v>347</v>
      </c>
      <c r="H203" s="55" t="s">
        <v>376</v>
      </c>
      <c r="I203" s="57"/>
    </row>
    <row r="204" spans="1:9" ht="20.100000000000001" customHeight="1" x14ac:dyDescent="0.25">
      <c r="A204" s="50">
        <v>46182</v>
      </c>
      <c r="B204" s="52" t="s">
        <v>328</v>
      </c>
      <c r="C204" s="52">
        <v>5654</v>
      </c>
      <c r="D204" s="52" t="s">
        <v>345</v>
      </c>
      <c r="E204" s="52" t="s">
        <v>346</v>
      </c>
      <c r="F204" s="52">
        <f t="shared" ca="1" si="3"/>
        <v>4</v>
      </c>
      <c r="G204" s="55" t="s">
        <v>347</v>
      </c>
      <c r="H204" s="55" t="s">
        <v>348</v>
      </c>
      <c r="I204" s="57"/>
    </row>
    <row r="205" spans="1:9" ht="20.100000000000001" customHeight="1" x14ac:dyDescent="0.25">
      <c r="A205" s="50">
        <v>46182</v>
      </c>
      <c r="B205" s="52" t="s">
        <v>328</v>
      </c>
      <c r="C205" s="52">
        <v>5654</v>
      </c>
      <c r="D205" s="52" t="s">
        <v>375</v>
      </c>
      <c r="E205" s="52" t="s">
        <v>350</v>
      </c>
      <c r="F205" s="52">
        <f t="shared" ca="1" si="3"/>
        <v>4</v>
      </c>
      <c r="G205" s="55" t="s">
        <v>347</v>
      </c>
      <c r="H205" s="55" t="s">
        <v>376</v>
      </c>
      <c r="I205" s="57"/>
    </row>
    <row r="206" spans="1:9" ht="20.100000000000001" customHeight="1" x14ac:dyDescent="0.25">
      <c r="A206" s="50">
        <v>46182</v>
      </c>
      <c r="B206" s="52" t="s">
        <v>330</v>
      </c>
      <c r="C206" s="52">
        <v>5656</v>
      </c>
      <c r="D206" s="52" t="s">
        <v>345</v>
      </c>
      <c r="E206" s="52" t="s">
        <v>346</v>
      </c>
      <c r="F206" s="52">
        <f t="shared" ca="1" si="3"/>
        <v>4</v>
      </c>
      <c r="G206" s="55" t="s">
        <v>347</v>
      </c>
      <c r="H206" s="55" t="s">
        <v>348</v>
      </c>
      <c r="I206" s="57"/>
    </row>
    <row r="207" spans="1:9" ht="20.100000000000001" customHeight="1" x14ac:dyDescent="0.25">
      <c r="A207" s="50">
        <v>46182</v>
      </c>
      <c r="B207" s="52" t="s">
        <v>331</v>
      </c>
      <c r="C207" s="52">
        <v>5657</v>
      </c>
      <c r="D207" s="52" t="s">
        <v>345</v>
      </c>
      <c r="E207" s="52" t="s">
        <v>346</v>
      </c>
      <c r="F207" s="52">
        <f t="shared" ca="1" si="3"/>
        <v>4</v>
      </c>
      <c r="G207" s="55" t="s">
        <v>347</v>
      </c>
      <c r="H207" s="55" t="s">
        <v>348</v>
      </c>
      <c r="I207" s="57"/>
    </row>
    <row r="208" spans="1:9" ht="20.100000000000001" customHeight="1" x14ac:dyDescent="0.25">
      <c r="A208" s="50">
        <v>46182</v>
      </c>
      <c r="B208" s="52" t="s">
        <v>332</v>
      </c>
      <c r="C208" s="52">
        <v>5658</v>
      </c>
      <c r="D208" s="52" t="s">
        <v>345</v>
      </c>
      <c r="E208" s="52" t="s">
        <v>346</v>
      </c>
      <c r="F208" s="52">
        <f t="shared" ca="1" si="3"/>
        <v>4</v>
      </c>
      <c r="G208" s="55" t="s">
        <v>347</v>
      </c>
      <c r="H208" s="55" t="s">
        <v>348</v>
      </c>
      <c r="I208" s="57"/>
    </row>
    <row r="209" spans="1:9" ht="20.100000000000001" customHeight="1" x14ac:dyDescent="0.25">
      <c r="A209" s="50">
        <v>46182</v>
      </c>
      <c r="B209" s="52" t="s">
        <v>332</v>
      </c>
      <c r="C209" s="52">
        <v>5658</v>
      </c>
      <c r="D209" s="52" t="s">
        <v>349</v>
      </c>
      <c r="E209" s="52" t="s">
        <v>350</v>
      </c>
      <c r="F209" s="52">
        <f t="shared" ca="1" si="3"/>
        <v>4</v>
      </c>
      <c r="G209" s="55" t="s">
        <v>347</v>
      </c>
      <c r="H209" s="55" t="s">
        <v>351</v>
      </c>
      <c r="I209" s="57"/>
    </row>
    <row r="210" spans="1:9" ht="20.100000000000001" customHeight="1" x14ac:dyDescent="0.25">
      <c r="A210" s="50">
        <v>46182</v>
      </c>
      <c r="B210" s="52" t="s">
        <v>333</v>
      </c>
      <c r="C210" s="52">
        <v>5314</v>
      </c>
      <c r="D210" s="52" t="s">
        <v>355</v>
      </c>
      <c r="E210" s="52" t="s">
        <v>346</v>
      </c>
      <c r="F210" s="52">
        <f t="shared" ca="1" si="3"/>
        <v>4</v>
      </c>
      <c r="G210" s="55" t="s">
        <v>347</v>
      </c>
      <c r="H210" s="55" t="s">
        <v>356</v>
      </c>
      <c r="I210" s="57"/>
    </row>
    <row r="211" spans="1:9" ht="20.100000000000001" customHeight="1" x14ac:dyDescent="0.25">
      <c r="A211" s="50">
        <v>46182</v>
      </c>
      <c r="B211" s="52" t="s">
        <v>333</v>
      </c>
      <c r="C211" s="52">
        <v>5314</v>
      </c>
      <c r="D211" s="52" t="s">
        <v>345</v>
      </c>
      <c r="E211" s="52" t="s">
        <v>346</v>
      </c>
      <c r="F211" s="52">
        <f t="shared" ca="1" si="3"/>
        <v>4</v>
      </c>
      <c r="G211" s="55" t="s">
        <v>347</v>
      </c>
      <c r="H211" s="55" t="s">
        <v>348</v>
      </c>
      <c r="I211" s="57"/>
    </row>
    <row r="212" spans="1:9" ht="20.100000000000001" customHeight="1" x14ac:dyDescent="0.25">
      <c r="A212" s="50">
        <v>46182</v>
      </c>
      <c r="B212" s="52" t="s">
        <v>333</v>
      </c>
      <c r="C212" s="52">
        <v>5314</v>
      </c>
      <c r="D212" s="52" t="s">
        <v>349</v>
      </c>
      <c r="E212" s="52" t="s">
        <v>350</v>
      </c>
      <c r="F212" s="52">
        <f t="shared" ca="1" si="3"/>
        <v>4</v>
      </c>
      <c r="G212" s="55" t="s">
        <v>347</v>
      </c>
      <c r="H212" s="55" t="s">
        <v>351</v>
      </c>
      <c r="I212" s="57"/>
    </row>
    <row r="213" spans="1:9" ht="20.100000000000001" customHeight="1" x14ac:dyDescent="0.25">
      <c r="A213" s="50">
        <v>46182</v>
      </c>
      <c r="B213" s="52" t="s">
        <v>333</v>
      </c>
      <c r="C213" s="52">
        <v>5314</v>
      </c>
      <c r="D213" s="52" t="s">
        <v>352</v>
      </c>
      <c r="E213" s="52" t="s">
        <v>353</v>
      </c>
      <c r="F213" s="52">
        <f t="shared" ca="1" si="3"/>
        <v>4</v>
      </c>
      <c r="G213" s="55" t="s">
        <v>347</v>
      </c>
      <c r="H213" s="55" t="s">
        <v>354</v>
      </c>
      <c r="I213" s="57"/>
    </row>
    <row r="214" spans="1:9" x14ac:dyDescent="0.25">
      <c r="A214" s="56"/>
      <c r="B214" s="57"/>
      <c r="C214" s="57"/>
      <c r="D214" s="57"/>
      <c r="E214" s="57"/>
      <c r="F214" s="57"/>
      <c r="G214" s="57"/>
      <c r="H214" s="57"/>
      <c r="I214" s="57"/>
    </row>
    <row r="215" spans="1:9" x14ac:dyDescent="0.25">
      <c r="A215" s="56"/>
      <c r="B215" s="57"/>
      <c r="C215" s="57"/>
      <c r="D215" s="57"/>
      <c r="E215" s="57"/>
      <c r="F215" s="57"/>
      <c r="G215" s="57"/>
      <c r="H215" s="57"/>
      <c r="I215" s="57"/>
    </row>
    <row r="216" spans="1:9" x14ac:dyDescent="0.25">
      <c r="A216" s="56"/>
      <c r="B216" s="57"/>
      <c r="C216" s="57"/>
      <c r="D216" s="57"/>
      <c r="E216" s="57"/>
      <c r="F216" s="57"/>
      <c r="G216" s="57"/>
      <c r="H216" s="57"/>
      <c r="I216" s="57"/>
    </row>
    <row r="217" spans="1:9" x14ac:dyDescent="0.25">
      <c r="A217" s="56"/>
      <c r="B217" s="57"/>
      <c r="C217" s="57"/>
      <c r="D217" s="57"/>
      <c r="E217" s="57"/>
      <c r="F217" s="57"/>
      <c r="G217" s="57"/>
      <c r="H217" s="57"/>
      <c r="I217" s="57"/>
    </row>
    <row r="218" spans="1:9" x14ac:dyDescent="0.25">
      <c r="A218" s="56"/>
      <c r="B218" s="57"/>
      <c r="C218" s="57"/>
      <c r="D218" s="57"/>
      <c r="E218" s="57"/>
      <c r="F218" s="57"/>
      <c r="G218" s="57"/>
      <c r="H218" s="57"/>
      <c r="I218" s="57"/>
    </row>
    <row r="219" spans="1:9" x14ac:dyDescent="0.25">
      <c r="A219" s="56"/>
      <c r="B219" s="57"/>
      <c r="C219" s="57"/>
      <c r="D219" s="57"/>
      <c r="E219" s="57"/>
      <c r="F219" s="57"/>
      <c r="G219" s="57"/>
      <c r="H219" s="57"/>
      <c r="I219" s="57"/>
    </row>
    <row r="220" spans="1:9" x14ac:dyDescent="0.25">
      <c r="A220" s="56"/>
      <c r="B220" s="57"/>
      <c r="C220" s="57"/>
      <c r="D220" s="57"/>
      <c r="E220" s="57"/>
      <c r="F220" s="57"/>
      <c r="G220" s="57"/>
      <c r="H220" s="57"/>
      <c r="I220" s="57"/>
    </row>
    <row r="221" spans="1:9" x14ac:dyDescent="0.25">
      <c r="A221" s="56"/>
      <c r="B221" s="57"/>
      <c r="C221" s="57"/>
      <c r="D221" s="57"/>
      <c r="E221" s="57"/>
      <c r="F221" s="57"/>
      <c r="G221" s="57"/>
      <c r="H221" s="57"/>
      <c r="I221" s="57"/>
    </row>
    <row r="222" spans="1:9" x14ac:dyDescent="0.25">
      <c r="A222" s="56"/>
      <c r="B222" s="57"/>
      <c r="C222" s="57"/>
      <c r="D222" s="57"/>
      <c r="E222" s="57"/>
      <c r="F222" s="57"/>
      <c r="G222" s="57"/>
      <c r="H222" s="57"/>
      <c r="I222" s="57"/>
    </row>
    <row r="223" spans="1:9" x14ac:dyDescent="0.25">
      <c r="A223" s="56"/>
      <c r="B223" s="57"/>
      <c r="C223" s="57"/>
      <c r="D223" s="57"/>
      <c r="E223" s="57"/>
      <c r="F223" s="57"/>
      <c r="G223" s="57"/>
      <c r="H223" s="57"/>
      <c r="I223" s="57"/>
    </row>
    <row r="224" spans="1:9" x14ac:dyDescent="0.25">
      <c r="A224" s="56"/>
      <c r="B224" s="57"/>
      <c r="C224" s="57"/>
      <c r="D224" s="57"/>
      <c r="E224" s="57"/>
      <c r="F224" s="57"/>
      <c r="G224" s="57"/>
      <c r="H224" s="57"/>
      <c r="I224" s="57"/>
    </row>
    <row r="225" spans="1:9" x14ac:dyDescent="0.25">
      <c r="A225" s="56"/>
      <c r="B225" s="57"/>
      <c r="C225" s="57"/>
      <c r="D225" s="57"/>
      <c r="E225" s="57"/>
      <c r="F225" s="57"/>
      <c r="G225" s="57"/>
      <c r="H225" s="57"/>
      <c r="I225" s="57"/>
    </row>
    <row r="226" spans="1:9" x14ac:dyDescent="0.25">
      <c r="A226" s="56"/>
      <c r="B226" s="57"/>
      <c r="C226" s="57"/>
      <c r="D226" s="57"/>
      <c r="E226" s="57"/>
      <c r="F226" s="57"/>
      <c r="G226" s="57"/>
      <c r="H226" s="57"/>
      <c r="I226" s="57"/>
    </row>
    <row r="227" spans="1:9" x14ac:dyDescent="0.25">
      <c r="A227" s="56"/>
      <c r="B227" s="57"/>
      <c r="C227" s="57"/>
      <c r="D227" s="57"/>
      <c r="E227" s="57"/>
      <c r="F227" s="57"/>
      <c r="G227" s="57"/>
      <c r="H227" s="57"/>
      <c r="I227" s="57"/>
    </row>
    <row r="228" spans="1:9" x14ac:dyDescent="0.25">
      <c r="A228" s="56"/>
      <c r="B228" s="57"/>
      <c r="C228" s="57"/>
      <c r="D228" s="57"/>
      <c r="E228" s="57"/>
      <c r="F228" s="57"/>
      <c r="G228" s="57"/>
      <c r="H228" s="57"/>
      <c r="I228" s="57"/>
    </row>
    <row r="229" spans="1:9" x14ac:dyDescent="0.25">
      <c r="A229" s="56"/>
      <c r="B229" s="57"/>
      <c r="C229" s="57"/>
      <c r="D229" s="57"/>
      <c r="E229" s="57"/>
      <c r="F229" s="57"/>
      <c r="G229" s="57"/>
      <c r="H229" s="57"/>
      <c r="I229" s="57"/>
    </row>
    <row r="230" spans="1:9" x14ac:dyDescent="0.25">
      <c r="A230" s="56"/>
      <c r="B230" s="57"/>
      <c r="C230" s="57"/>
      <c r="D230" s="57"/>
      <c r="E230" s="57"/>
      <c r="F230" s="57"/>
      <c r="G230" s="57"/>
      <c r="H230" s="57"/>
      <c r="I230" s="57"/>
    </row>
    <row r="231" spans="1:9" x14ac:dyDescent="0.25">
      <c r="A231" s="56"/>
      <c r="B231" s="57"/>
      <c r="C231" s="57"/>
      <c r="D231" s="57"/>
      <c r="E231" s="57"/>
      <c r="F231" s="57"/>
      <c r="G231" s="57"/>
      <c r="H231" s="57"/>
      <c r="I231" s="57"/>
    </row>
    <row r="232" spans="1:9" x14ac:dyDescent="0.25">
      <c r="A232" s="56"/>
      <c r="B232" s="57"/>
      <c r="C232" s="57"/>
      <c r="D232" s="57"/>
      <c r="E232" s="57"/>
      <c r="F232" s="57"/>
      <c r="G232" s="57"/>
      <c r="H232" s="57"/>
      <c r="I232" s="57"/>
    </row>
    <row r="233" spans="1:9" x14ac:dyDescent="0.25">
      <c r="A233" s="56"/>
      <c r="B233" s="57"/>
      <c r="C233" s="57"/>
      <c r="D233" s="57"/>
      <c r="E233" s="57"/>
      <c r="F233" s="57"/>
      <c r="G233" s="57"/>
      <c r="H233" s="57"/>
      <c r="I233" s="57"/>
    </row>
    <row r="234" spans="1:9" x14ac:dyDescent="0.25">
      <c r="A234" s="56"/>
      <c r="B234" s="57"/>
      <c r="C234" s="57"/>
      <c r="D234" s="57"/>
      <c r="E234" s="57"/>
      <c r="F234" s="57"/>
      <c r="G234" s="57"/>
      <c r="H234" s="57"/>
      <c r="I234" s="57"/>
    </row>
    <row r="235" spans="1:9" x14ac:dyDescent="0.25">
      <c r="A235" s="56"/>
      <c r="B235" s="57"/>
      <c r="C235" s="57"/>
      <c r="D235" s="57"/>
      <c r="E235" s="57"/>
      <c r="F235" s="57"/>
      <c r="G235" s="57"/>
      <c r="H235" s="57"/>
      <c r="I235" s="57"/>
    </row>
    <row r="236" spans="1:9" x14ac:dyDescent="0.25">
      <c r="A236" s="56"/>
      <c r="B236" s="57"/>
      <c r="C236" s="57"/>
      <c r="D236" s="57"/>
      <c r="E236" s="57"/>
      <c r="F236" s="57"/>
      <c r="G236" s="57"/>
      <c r="H236" s="57"/>
      <c r="I236" s="57"/>
    </row>
    <row r="237" spans="1:9" x14ac:dyDescent="0.25">
      <c r="A237" s="56"/>
      <c r="B237" s="57"/>
      <c r="C237" s="57"/>
      <c r="D237" s="57"/>
      <c r="E237" s="57"/>
      <c r="F237" s="57"/>
      <c r="G237" s="57"/>
      <c r="H237" s="57"/>
      <c r="I237" s="57"/>
    </row>
    <row r="238" spans="1:9" x14ac:dyDescent="0.25">
      <c r="A238" s="56"/>
      <c r="B238" s="57"/>
      <c r="C238" s="57"/>
      <c r="D238" s="57"/>
      <c r="E238" s="57"/>
      <c r="F238" s="57"/>
      <c r="G238" s="57"/>
      <c r="H238" s="57"/>
      <c r="I238" s="57"/>
    </row>
    <row r="239" spans="1:9" x14ac:dyDescent="0.25">
      <c r="A239" s="56"/>
      <c r="B239" s="57"/>
      <c r="C239" s="57"/>
      <c r="D239" s="57"/>
      <c r="E239" s="57"/>
      <c r="F239" s="57"/>
      <c r="G239" s="57"/>
      <c r="H239" s="57"/>
      <c r="I239" s="57"/>
    </row>
    <row r="240" spans="1:9" x14ac:dyDescent="0.25">
      <c r="A240" s="56"/>
      <c r="B240" s="57"/>
      <c r="C240" s="57"/>
      <c r="D240" s="57"/>
      <c r="E240" s="57"/>
      <c r="F240" s="57"/>
      <c r="G240" s="57"/>
      <c r="H240" s="57"/>
      <c r="I240" s="57"/>
    </row>
    <row r="241" spans="1:9" x14ac:dyDescent="0.25">
      <c r="A241" s="56"/>
      <c r="B241" s="57"/>
      <c r="C241" s="57"/>
      <c r="D241" s="57"/>
      <c r="E241" s="57"/>
      <c r="F241" s="57"/>
      <c r="G241" s="57"/>
      <c r="H241" s="57"/>
      <c r="I241" s="57"/>
    </row>
    <row r="242" spans="1:9" x14ac:dyDescent="0.25">
      <c r="A242" s="56"/>
      <c r="B242" s="57"/>
      <c r="C242" s="57"/>
      <c r="D242" s="57"/>
      <c r="E242" s="57"/>
      <c r="F242" s="57"/>
      <c r="G242" s="57"/>
      <c r="H242" s="57"/>
      <c r="I242" s="57"/>
    </row>
    <row r="243" spans="1:9" x14ac:dyDescent="0.25">
      <c r="A243" s="56"/>
      <c r="B243" s="57"/>
      <c r="C243" s="57"/>
      <c r="D243" s="57"/>
      <c r="E243" s="57"/>
      <c r="F243" s="57"/>
      <c r="G243" s="57"/>
      <c r="H243" s="57"/>
      <c r="I243" s="57"/>
    </row>
    <row r="244" spans="1:9" x14ac:dyDescent="0.25">
      <c r="A244" s="56"/>
      <c r="B244" s="57"/>
      <c r="C244" s="57"/>
      <c r="D244" s="57"/>
      <c r="E244" s="57"/>
      <c r="F244" s="57"/>
      <c r="G244" s="57"/>
      <c r="H244" s="57"/>
      <c r="I244" s="57"/>
    </row>
    <row r="245" spans="1:9" x14ac:dyDescent="0.25">
      <c r="A245" s="56"/>
      <c r="B245" s="57"/>
      <c r="C245" s="57"/>
      <c r="D245" s="57"/>
      <c r="E245" s="57"/>
      <c r="F245" s="57"/>
      <c r="G245" s="57"/>
      <c r="H245" s="57"/>
      <c r="I245" s="57"/>
    </row>
    <row r="246" spans="1:9" x14ac:dyDescent="0.25">
      <c r="A246" s="56"/>
      <c r="B246" s="57"/>
      <c r="C246" s="57"/>
      <c r="D246" s="57"/>
      <c r="E246" s="57"/>
      <c r="F246" s="57"/>
      <c r="G246" s="57"/>
      <c r="H246" s="57"/>
      <c r="I246" s="57"/>
    </row>
    <row r="247" spans="1:9" x14ac:dyDescent="0.25">
      <c r="A247" s="56"/>
      <c r="B247" s="57"/>
      <c r="C247" s="57"/>
      <c r="D247" s="57"/>
      <c r="E247" s="57"/>
      <c r="F247" s="57"/>
      <c r="G247" s="57"/>
      <c r="H247" s="57"/>
      <c r="I247" s="57"/>
    </row>
    <row r="248" spans="1:9" x14ac:dyDescent="0.25">
      <c r="A248" s="56"/>
      <c r="B248" s="57"/>
      <c r="C248" s="57"/>
      <c r="D248" s="57"/>
      <c r="E248" s="57"/>
      <c r="F248" s="57"/>
      <c r="G248" s="57"/>
      <c r="H248" s="57"/>
      <c r="I248" s="57"/>
    </row>
    <row r="249" spans="1:9" x14ac:dyDescent="0.25">
      <c r="A249" s="56"/>
      <c r="B249" s="57"/>
      <c r="C249" s="57"/>
      <c r="D249" s="57"/>
      <c r="E249" s="57"/>
      <c r="F249" s="57"/>
      <c r="G249" s="57"/>
      <c r="H249" s="57"/>
      <c r="I249" s="57"/>
    </row>
    <row r="250" spans="1:9" x14ac:dyDescent="0.25">
      <c r="A250" s="56"/>
      <c r="B250" s="57"/>
      <c r="C250" s="57"/>
      <c r="D250" s="57"/>
      <c r="E250" s="57"/>
      <c r="F250" s="57"/>
      <c r="G250" s="57"/>
      <c r="H250" s="57"/>
      <c r="I250" s="57"/>
    </row>
    <row r="251" spans="1:9" x14ac:dyDescent="0.25">
      <c r="A251" s="56"/>
      <c r="B251" s="57"/>
      <c r="C251" s="57"/>
      <c r="D251" s="57"/>
      <c r="E251" s="57"/>
      <c r="F251" s="57"/>
      <c r="G251" s="57"/>
      <c r="H251" s="57"/>
      <c r="I251" s="57"/>
    </row>
    <row r="252" spans="1:9" x14ac:dyDescent="0.25">
      <c r="A252" s="56"/>
      <c r="B252" s="57"/>
      <c r="C252" s="57"/>
      <c r="D252" s="57"/>
      <c r="E252" s="57"/>
      <c r="F252" s="57"/>
      <c r="G252" s="57"/>
      <c r="H252" s="57"/>
      <c r="I252" s="57"/>
    </row>
    <row r="253" spans="1:9" x14ac:dyDescent="0.25">
      <c r="A253" s="56"/>
      <c r="B253" s="57"/>
      <c r="C253" s="57"/>
      <c r="D253" s="57"/>
      <c r="E253" s="57"/>
      <c r="F253" s="57"/>
      <c r="G253" s="57"/>
      <c r="H253" s="57"/>
      <c r="I253" s="57"/>
    </row>
    <row r="254" spans="1:9" x14ac:dyDescent="0.25">
      <c r="A254" s="56"/>
      <c r="B254" s="57"/>
      <c r="C254" s="57"/>
      <c r="D254" s="57"/>
      <c r="E254" s="57"/>
      <c r="F254" s="57"/>
      <c r="G254" s="57"/>
      <c r="H254" s="57"/>
      <c r="I254" s="57"/>
    </row>
    <row r="255" spans="1:9" x14ac:dyDescent="0.25">
      <c r="A255" s="56"/>
      <c r="B255" s="57"/>
      <c r="C255" s="57"/>
      <c r="D255" s="57"/>
      <c r="E255" s="57"/>
      <c r="F255" s="57"/>
      <c r="G255" s="57"/>
      <c r="H255" s="57"/>
      <c r="I255" s="57"/>
    </row>
    <row r="256" spans="1:9" x14ac:dyDescent="0.25">
      <c r="A256" s="56"/>
      <c r="B256" s="57"/>
      <c r="C256" s="57"/>
      <c r="D256" s="57"/>
      <c r="E256" s="57"/>
      <c r="F256" s="57"/>
      <c r="G256" s="57"/>
      <c r="H256" s="57"/>
      <c r="I256" s="57"/>
    </row>
    <row r="257" spans="1:9" x14ac:dyDescent="0.25">
      <c r="A257" s="56"/>
      <c r="B257" s="57"/>
      <c r="C257" s="57"/>
      <c r="D257" s="57"/>
      <c r="E257" s="57"/>
      <c r="F257" s="57"/>
      <c r="G257" s="57"/>
      <c r="H257" s="57"/>
      <c r="I257" s="57"/>
    </row>
    <row r="258" spans="1:9" x14ac:dyDescent="0.25">
      <c r="A258" s="56"/>
      <c r="B258" s="57"/>
      <c r="C258" s="57"/>
      <c r="D258" s="57"/>
      <c r="E258" s="57"/>
      <c r="F258" s="57"/>
      <c r="G258" s="57"/>
      <c r="H258" s="57"/>
      <c r="I258" s="57"/>
    </row>
    <row r="259" spans="1:9" x14ac:dyDescent="0.25">
      <c r="A259" s="56"/>
      <c r="B259" s="57"/>
      <c r="C259" s="57"/>
      <c r="D259" s="57"/>
      <c r="E259" s="57"/>
      <c r="F259" s="57"/>
      <c r="G259" s="57"/>
      <c r="H259" s="57"/>
      <c r="I259" s="57"/>
    </row>
    <row r="260" spans="1:9" x14ac:dyDescent="0.25">
      <c r="A260" s="56"/>
      <c r="B260" s="57"/>
      <c r="C260" s="57"/>
      <c r="D260" s="57"/>
      <c r="E260" s="57"/>
      <c r="F260" s="57"/>
      <c r="G260" s="57"/>
      <c r="H260" s="57"/>
      <c r="I260" s="57"/>
    </row>
    <row r="261" spans="1:9" x14ac:dyDescent="0.25">
      <c r="A261" s="56"/>
      <c r="B261" s="57"/>
      <c r="C261" s="57"/>
      <c r="D261" s="57"/>
      <c r="E261" s="57"/>
      <c r="F261" s="57"/>
      <c r="G261" s="57"/>
      <c r="H261" s="57"/>
      <c r="I261" s="57"/>
    </row>
    <row r="262" spans="1:9" x14ac:dyDescent="0.25">
      <c r="A262" s="56"/>
      <c r="B262" s="57"/>
      <c r="C262" s="57"/>
      <c r="D262" s="57"/>
      <c r="E262" s="57"/>
      <c r="F262" s="57"/>
      <c r="G262" s="57"/>
      <c r="H262" s="57"/>
      <c r="I262" s="57"/>
    </row>
    <row r="263" spans="1:9" x14ac:dyDescent="0.25">
      <c r="A263" s="56"/>
      <c r="B263" s="57"/>
      <c r="C263" s="57"/>
      <c r="D263" s="57"/>
      <c r="E263" s="57"/>
      <c r="F263" s="57"/>
      <c r="G263" s="57"/>
      <c r="H263" s="57"/>
      <c r="I263" s="57"/>
    </row>
    <row r="264" spans="1:9" x14ac:dyDescent="0.25">
      <c r="A264" s="56"/>
      <c r="B264" s="57"/>
      <c r="C264" s="57"/>
      <c r="D264" s="57"/>
      <c r="E264" s="57"/>
      <c r="F264" s="57"/>
      <c r="G264" s="57"/>
      <c r="H264" s="57"/>
      <c r="I264" s="57"/>
    </row>
    <row r="265" spans="1:9" x14ac:dyDescent="0.25">
      <c r="A265" s="56"/>
      <c r="B265" s="57"/>
      <c r="C265" s="57"/>
      <c r="D265" s="57"/>
      <c r="E265" s="57"/>
      <c r="F265" s="57"/>
      <c r="G265" s="57"/>
      <c r="H265" s="57"/>
      <c r="I265" s="57"/>
    </row>
    <row r="266" spans="1:9" x14ac:dyDescent="0.25">
      <c r="A266" s="56"/>
      <c r="B266" s="57"/>
      <c r="C266" s="57"/>
      <c r="D266" s="57"/>
      <c r="E266" s="57"/>
      <c r="F266" s="57"/>
      <c r="G266" s="57"/>
      <c r="H266" s="57"/>
      <c r="I266" s="57"/>
    </row>
    <row r="267" spans="1:9" x14ac:dyDescent="0.25">
      <c r="A267" s="56"/>
      <c r="B267" s="57"/>
      <c r="C267" s="57"/>
      <c r="D267" s="57"/>
      <c r="E267" s="57"/>
      <c r="F267" s="57"/>
      <c r="G267" s="57"/>
      <c r="H267" s="57"/>
      <c r="I267" s="57"/>
    </row>
    <row r="268" spans="1:9" x14ac:dyDescent="0.25">
      <c r="A268" s="56"/>
      <c r="B268" s="57"/>
      <c r="C268" s="57"/>
      <c r="D268" s="57"/>
      <c r="E268" s="57"/>
      <c r="F268" s="57"/>
      <c r="G268" s="57"/>
      <c r="H268" s="57"/>
      <c r="I268" s="57"/>
    </row>
    <row r="269" spans="1:9" x14ac:dyDescent="0.25">
      <c r="A269" s="56"/>
      <c r="B269" s="57"/>
      <c r="C269" s="57"/>
      <c r="D269" s="57"/>
      <c r="E269" s="57"/>
      <c r="F269" s="57"/>
      <c r="G269" s="57"/>
      <c r="H269" s="57"/>
      <c r="I269" s="57"/>
    </row>
    <row r="270" spans="1:9" x14ac:dyDescent="0.25">
      <c r="A270" s="56"/>
      <c r="B270" s="57"/>
      <c r="C270" s="57"/>
      <c r="D270" s="57"/>
      <c r="E270" s="57"/>
      <c r="F270" s="57"/>
      <c r="G270" s="57"/>
      <c r="H270" s="57"/>
      <c r="I270" s="57"/>
    </row>
    <row r="271" spans="1:9" x14ac:dyDescent="0.25">
      <c r="A271" s="56"/>
      <c r="B271" s="57"/>
      <c r="C271" s="57"/>
      <c r="D271" s="57"/>
      <c r="E271" s="57"/>
      <c r="F271" s="57"/>
      <c r="G271" s="57"/>
      <c r="H271" s="57"/>
      <c r="I271" s="57"/>
    </row>
    <row r="272" spans="1:9" x14ac:dyDescent="0.25">
      <c r="A272" s="56"/>
      <c r="B272" s="57"/>
      <c r="C272" s="57"/>
      <c r="D272" s="57"/>
      <c r="E272" s="57"/>
      <c r="F272" s="57"/>
      <c r="G272" s="57"/>
      <c r="H272" s="57"/>
      <c r="I272" s="57"/>
    </row>
    <row r="273" spans="1:9" x14ac:dyDescent="0.25">
      <c r="A273" s="56"/>
      <c r="B273" s="57"/>
      <c r="C273" s="57"/>
      <c r="D273" s="57"/>
      <c r="E273" s="57"/>
      <c r="F273" s="57"/>
      <c r="G273" s="57"/>
      <c r="H273" s="57"/>
      <c r="I273" s="57"/>
    </row>
    <row r="274" spans="1:9" x14ac:dyDescent="0.25">
      <c r="A274" s="56"/>
      <c r="B274" s="57"/>
      <c r="C274" s="57"/>
      <c r="D274" s="57"/>
      <c r="E274" s="57"/>
      <c r="F274" s="57"/>
      <c r="G274" s="57"/>
      <c r="H274" s="57"/>
      <c r="I274" s="57"/>
    </row>
    <row r="275" spans="1:9" x14ac:dyDescent="0.25">
      <c r="A275" s="56"/>
      <c r="B275" s="57"/>
      <c r="C275" s="57"/>
      <c r="D275" s="57"/>
      <c r="E275" s="57"/>
      <c r="F275" s="57"/>
      <c r="G275" s="57"/>
      <c r="H275" s="57"/>
      <c r="I275" s="57"/>
    </row>
    <row r="276" spans="1:9" x14ac:dyDescent="0.25">
      <c r="A276" s="56"/>
      <c r="B276" s="57"/>
      <c r="C276" s="57"/>
      <c r="D276" s="57"/>
      <c r="E276" s="57"/>
      <c r="F276" s="57"/>
      <c r="G276" s="57"/>
      <c r="H276" s="57"/>
      <c r="I276" s="57"/>
    </row>
    <row r="277" spans="1:9" x14ac:dyDescent="0.25">
      <c r="A277" s="56"/>
      <c r="B277" s="57"/>
      <c r="C277" s="57"/>
      <c r="D277" s="57"/>
      <c r="E277" s="57"/>
      <c r="F277" s="57"/>
      <c r="G277" s="57"/>
      <c r="H277" s="57"/>
      <c r="I277" s="57"/>
    </row>
    <row r="278" spans="1:9" x14ac:dyDescent="0.25">
      <c r="A278" s="56"/>
      <c r="B278" s="57"/>
      <c r="C278" s="57"/>
      <c r="D278" s="57"/>
      <c r="E278" s="57"/>
      <c r="F278" s="57"/>
      <c r="G278" s="57"/>
      <c r="H278" s="57"/>
      <c r="I278" s="57"/>
    </row>
    <row r="279" spans="1:9" x14ac:dyDescent="0.25">
      <c r="A279" s="56"/>
      <c r="B279" s="57"/>
      <c r="C279" s="57"/>
      <c r="D279" s="57"/>
      <c r="E279" s="57"/>
      <c r="F279" s="57"/>
      <c r="G279" s="57"/>
      <c r="H279" s="57"/>
      <c r="I279" s="57"/>
    </row>
    <row r="280" spans="1:9" x14ac:dyDescent="0.25">
      <c r="A280" s="56"/>
      <c r="B280" s="57"/>
      <c r="C280" s="57"/>
      <c r="D280" s="57"/>
      <c r="E280" s="57"/>
      <c r="F280" s="57"/>
      <c r="G280" s="57"/>
      <c r="H280" s="57"/>
      <c r="I280" s="57"/>
    </row>
    <row r="281" spans="1:9" x14ac:dyDescent="0.25">
      <c r="A281" s="56"/>
      <c r="B281" s="57"/>
      <c r="C281" s="57"/>
      <c r="D281" s="57"/>
      <c r="E281" s="57"/>
      <c r="F281" s="57"/>
      <c r="G281" s="57"/>
      <c r="H281" s="57"/>
      <c r="I281" s="57"/>
    </row>
    <row r="282" spans="1:9" x14ac:dyDescent="0.25">
      <c r="A282" s="56"/>
      <c r="B282" s="57"/>
      <c r="C282" s="57"/>
      <c r="D282" s="57"/>
      <c r="E282" s="57"/>
      <c r="F282" s="57"/>
      <c r="G282" s="57"/>
      <c r="H282" s="57"/>
      <c r="I282" s="57"/>
    </row>
    <row r="283" spans="1:9" x14ac:dyDescent="0.25">
      <c r="A283" s="56"/>
      <c r="B283" s="57"/>
      <c r="C283" s="57"/>
      <c r="D283" s="57"/>
      <c r="E283" s="57"/>
      <c r="F283" s="57"/>
      <c r="G283" s="57"/>
      <c r="H283" s="57"/>
      <c r="I283" s="57"/>
    </row>
    <row r="284" spans="1:9" x14ac:dyDescent="0.25">
      <c r="A284" s="56"/>
      <c r="B284" s="57"/>
      <c r="C284" s="57"/>
      <c r="D284" s="57"/>
      <c r="E284" s="57"/>
      <c r="F284" s="57"/>
      <c r="G284" s="57"/>
      <c r="H284" s="57"/>
      <c r="I284" s="57"/>
    </row>
    <row r="285" spans="1:9" x14ac:dyDescent="0.25">
      <c r="A285" s="56"/>
      <c r="B285" s="57"/>
      <c r="C285" s="57"/>
      <c r="D285" s="57"/>
      <c r="E285" s="57"/>
      <c r="F285" s="57"/>
      <c r="G285" s="57"/>
      <c r="H285" s="57"/>
      <c r="I285" s="57"/>
    </row>
    <row r="286" spans="1:9" x14ac:dyDescent="0.25">
      <c r="A286" s="56"/>
      <c r="B286" s="57"/>
      <c r="C286" s="57"/>
      <c r="D286" s="57"/>
      <c r="E286" s="57"/>
      <c r="F286" s="57"/>
      <c r="G286" s="57"/>
      <c r="H286" s="57"/>
      <c r="I286" s="57"/>
    </row>
    <row r="287" spans="1:9" x14ac:dyDescent="0.25">
      <c r="A287" s="56"/>
      <c r="B287" s="57"/>
      <c r="C287" s="57"/>
      <c r="D287" s="57"/>
      <c r="E287" s="57"/>
      <c r="F287" s="57"/>
      <c r="G287" s="57"/>
      <c r="H287" s="57"/>
      <c r="I287" s="57"/>
    </row>
    <row r="288" spans="1:9" x14ac:dyDescent="0.25">
      <c r="A288" s="56"/>
      <c r="B288" s="57"/>
      <c r="C288" s="57"/>
      <c r="D288" s="57"/>
      <c r="E288" s="57"/>
      <c r="F288" s="57"/>
      <c r="G288" s="57"/>
      <c r="H288" s="57"/>
      <c r="I288" s="57"/>
    </row>
    <row r="289" spans="1:9" x14ac:dyDescent="0.25">
      <c r="A289" s="56"/>
      <c r="B289" s="57"/>
      <c r="C289" s="57"/>
      <c r="D289" s="57"/>
      <c r="E289" s="57"/>
      <c r="F289" s="57"/>
      <c r="G289" s="57"/>
      <c r="H289" s="57"/>
      <c r="I289" s="57"/>
    </row>
    <row r="290" spans="1:9" x14ac:dyDescent="0.25">
      <c r="A290" s="56"/>
      <c r="B290" s="57"/>
      <c r="C290" s="57"/>
      <c r="D290" s="57"/>
      <c r="E290" s="57"/>
      <c r="F290" s="57"/>
      <c r="G290" s="57"/>
      <c r="H290" s="57"/>
      <c r="I290" s="57"/>
    </row>
    <row r="291" spans="1:9" x14ac:dyDescent="0.25">
      <c r="A291" s="56"/>
      <c r="B291" s="57"/>
      <c r="C291" s="57"/>
      <c r="D291" s="57"/>
      <c r="E291" s="57"/>
      <c r="F291" s="57"/>
      <c r="G291" s="57"/>
      <c r="H291" s="57"/>
      <c r="I291" s="57"/>
    </row>
    <row r="292" spans="1:9" x14ac:dyDescent="0.25">
      <c r="A292" s="56"/>
      <c r="B292" s="57"/>
      <c r="C292" s="57"/>
      <c r="D292" s="57"/>
      <c r="E292" s="57"/>
      <c r="F292" s="57"/>
      <c r="G292" s="57"/>
      <c r="H292" s="57"/>
      <c r="I292" s="57"/>
    </row>
    <row r="293" spans="1:9" x14ac:dyDescent="0.25">
      <c r="A293" s="56"/>
      <c r="B293" s="57"/>
      <c r="C293" s="57"/>
      <c r="D293" s="57"/>
      <c r="E293" s="57"/>
      <c r="F293" s="57"/>
      <c r="G293" s="57"/>
      <c r="H293" s="57"/>
      <c r="I293" s="57"/>
    </row>
    <row r="294" spans="1:9" x14ac:dyDescent="0.25">
      <c r="A294" s="56"/>
      <c r="B294" s="57"/>
      <c r="C294" s="57"/>
      <c r="D294" s="57"/>
      <c r="E294" s="57"/>
      <c r="F294" s="57"/>
      <c r="G294" s="57"/>
      <c r="H294" s="57"/>
      <c r="I294" s="57"/>
    </row>
    <row r="295" spans="1:9" x14ac:dyDescent="0.25">
      <c r="A295" s="56"/>
      <c r="B295" s="57"/>
      <c r="C295" s="57"/>
      <c r="D295" s="57"/>
      <c r="E295" s="57"/>
      <c r="F295" s="57"/>
      <c r="G295" s="57"/>
      <c r="H295" s="57"/>
      <c r="I295" s="57"/>
    </row>
    <row r="296" spans="1:9" x14ac:dyDescent="0.25">
      <c r="A296" s="56"/>
      <c r="B296" s="57"/>
      <c r="C296" s="57"/>
      <c r="D296" s="57"/>
      <c r="E296" s="57"/>
      <c r="F296" s="57"/>
      <c r="G296" s="57"/>
      <c r="H296" s="57"/>
      <c r="I296" s="57"/>
    </row>
    <row r="297" spans="1:9" x14ac:dyDescent="0.25">
      <c r="A297" s="56"/>
      <c r="B297" s="57"/>
      <c r="C297" s="57"/>
      <c r="D297" s="57"/>
      <c r="E297" s="57"/>
      <c r="F297" s="57"/>
      <c r="G297" s="57"/>
      <c r="H297" s="57"/>
      <c r="I297" s="57"/>
    </row>
    <row r="298" spans="1:9" x14ac:dyDescent="0.25">
      <c r="A298" s="56"/>
      <c r="B298" s="57"/>
      <c r="C298" s="57"/>
      <c r="D298" s="57"/>
      <c r="E298" s="57"/>
      <c r="F298" s="57"/>
      <c r="G298" s="57"/>
      <c r="H298" s="57"/>
      <c r="I298" s="57"/>
    </row>
    <row r="299" spans="1:9" x14ac:dyDescent="0.25">
      <c r="A299" s="56"/>
      <c r="B299" s="57"/>
      <c r="C299" s="57"/>
      <c r="D299" s="57"/>
      <c r="E299" s="57"/>
      <c r="F299" s="57"/>
      <c r="G299" s="57"/>
      <c r="H299" s="57"/>
      <c r="I299" s="57"/>
    </row>
    <row r="300" spans="1:9" x14ac:dyDescent="0.25">
      <c r="A300" s="56"/>
      <c r="B300" s="57"/>
      <c r="C300" s="57"/>
      <c r="D300" s="57"/>
      <c r="E300" s="57"/>
      <c r="F300" s="57"/>
      <c r="G300" s="57"/>
      <c r="H300" s="57"/>
      <c r="I300" s="57"/>
    </row>
    <row r="301" spans="1:9" x14ac:dyDescent="0.25">
      <c r="A301" s="56"/>
      <c r="B301" s="57"/>
      <c r="C301" s="57"/>
      <c r="D301" s="57"/>
      <c r="E301" s="57"/>
      <c r="F301" s="57"/>
      <c r="G301" s="57"/>
      <c r="H301" s="57"/>
      <c r="I301" s="57"/>
    </row>
    <row r="302" spans="1:9" x14ac:dyDescent="0.25">
      <c r="A302" s="56"/>
      <c r="B302" s="57"/>
      <c r="C302" s="57"/>
      <c r="D302" s="57"/>
      <c r="E302" s="57"/>
      <c r="F302" s="57"/>
      <c r="G302" s="57"/>
      <c r="H302" s="57"/>
      <c r="I302" s="57"/>
    </row>
    <row r="303" spans="1:9" x14ac:dyDescent="0.25">
      <c r="A303" s="56"/>
      <c r="B303" s="57"/>
      <c r="C303" s="57"/>
      <c r="D303" s="57"/>
      <c r="E303" s="57"/>
      <c r="F303" s="57"/>
      <c r="G303" s="57"/>
      <c r="H303" s="57"/>
      <c r="I303" s="57"/>
    </row>
    <row r="304" spans="1:9" x14ac:dyDescent="0.25">
      <c r="A304" s="56"/>
      <c r="B304" s="57"/>
      <c r="C304" s="57"/>
      <c r="D304" s="57"/>
      <c r="E304" s="57"/>
      <c r="F304" s="57"/>
      <c r="G304" s="57"/>
      <c r="H304" s="57"/>
      <c r="I304" s="57"/>
    </row>
    <row r="305" spans="1:9" x14ac:dyDescent="0.25">
      <c r="A305" s="56"/>
      <c r="B305" s="57"/>
      <c r="C305" s="57"/>
      <c r="D305" s="57"/>
      <c r="E305" s="57"/>
      <c r="F305" s="57"/>
      <c r="G305" s="57"/>
      <c r="H305" s="57"/>
      <c r="I305" s="57"/>
    </row>
    <row r="306" spans="1:9" x14ac:dyDescent="0.25">
      <c r="A306" s="56"/>
      <c r="B306" s="57"/>
      <c r="C306" s="57"/>
      <c r="D306" s="57"/>
      <c r="E306" s="57"/>
      <c r="F306" s="57"/>
      <c r="G306" s="57"/>
      <c r="H306" s="57"/>
      <c r="I306" s="57"/>
    </row>
    <row r="307" spans="1:9" x14ac:dyDescent="0.25">
      <c r="A307" s="56"/>
      <c r="B307" s="57"/>
      <c r="C307" s="57"/>
      <c r="D307" s="57"/>
      <c r="E307" s="57"/>
      <c r="F307" s="57"/>
      <c r="G307" s="57"/>
      <c r="H307" s="57"/>
      <c r="I307" s="57"/>
    </row>
    <row r="308" spans="1:9" x14ac:dyDescent="0.25">
      <c r="A308" s="56"/>
      <c r="B308" s="57"/>
      <c r="C308" s="57"/>
      <c r="D308" s="57"/>
      <c r="E308" s="57"/>
      <c r="F308" s="57"/>
      <c r="G308" s="57"/>
      <c r="H308" s="57"/>
      <c r="I308" s="57"/>
    </row>
    <row r="309" spans="1:9" x14ac:dyDescent="0.25">
      <c r="A309" s="56"/>
      <c r="B309" s="57"/>
      <c r="C309" s="57"/>
      <c r="D309" s="57"/>
      <c r="E309" s="57"/>
      <c r="F309" s="57"/>
      <c r="G309" s="57"/>
      <c r="H309" s="57"/>
      <c r="I309" s="57"/>
    </row>
    <row r="310" spans="1:9" x14ac:dyDescent="0.25">
      <c r="A310" s="56"/>
      <c r="B310" s="57"/>
      <c r="C310" s="57"/>
      <c r="D310" s="57"/>
      <c r="E310" s="57"/>
      <c r="F310" s="57"/>
      <c r="G310" s="57"/>
      <c r="H310" s="57"/>
      <c r="I310" s="57"/>
    </row>
    <row r="311" spans="1:9" x14ac:dyDescent="0.25">
      <c r="A311" s="56"/>
      <c r="B311" s="57"/>
      <c r="C311" s="57"/>
      <c r="D311" s="57"/>
      <c r="E311" s="57"/>
      <c r="F311" s="57"/>
      <c r="G311" s="57"/>
      <c r="H311" s="57"/>
      <c r="I311" s="57"/>
    </row>
    <row r="312" spans="1:9" x14ac:dyDescent="0.25">
      <c r="A312" s="56"/>
      <c r="B312" s="57"/>
      <c r="C312" s="57"/>
      <c r="D312" s="57"/>
      <c r="E312" s="57"/>
      <c r="F312" s="57"/>
      <c r="G312" s="57"/>
      <c r="H312" s="57"/>
      <c r="I312" s="57"/>
    </row>
    <row r="313" spans="1:9" x14ac:dyDescent="0.25">
      <c r="A313" s="56"/>
      <c r="B313" s="57"/>
      <c r="C313" s="57"/>
      <c r="D313" s="57"/>
      <c r="E313" s="57"/>
      <c r="F313" s="57"/>
      <c r="G313" s="57"/>
      <c r="H313" s="57"/>
      <c r="I313" s="57"/>
    </row>
    <row r="314" spans="1:9" x14ac:dyDescent="0.25">
      <c r="A314" s="56"/>
      <c r="B314" s="57"/>
      <c r="C314" s="57"/>
      <c r="D314" s="57"/>
      <c r="E314" s="57"/>
      <c r="F314" s="57"/>
      <c r="G314" s="57"/>
      <c r="H314" s="57"/>
      <c r="I314" s="57"/>
    </row>
    <row r="315" spans="1:9" x14ac:dyDescent="0.25">
      <c r="A315" s="56"/>
      <c r="B315" s="57"/>
      <c r="C315" s="57"/>
      <c r="D315" s="57"/>
      <c r="E315" s="57"/>
      <c r="F315" s="57"/>
      <c r="G315" s="57"/>
      <c r="H315" s="57"/>
      <c r="I315" s="57"/>
    </row>
    <row r="316" spans="1:9" x14ac:dyDescent="0.25">
      <c r="A316" s="56"/>
      <c r="B316" s="57"/>
      <c r="C316" s="57"/>
      <c r="D316" s="57"/>
      <c r="E316" s="57"/>
      <c r="F316" s="57"/>
      <c r="G316" s="57"/>
      <c r="H316" s="57"/>
      <c r="I316" s="57"/>
    </row>
    <row r="317" spans="1:9" x14ac:dyDescent="0.25">
      <c r="A317" s="56"/>
      <c r="B317" s="57"/>
      <c r="C317" s="57"/>
      <c r="D317" s="57"/>
      <c r="E317" s="57"/>
      <c r="F317" s="57"/>
      <c r="G317" s="57"/>
      <c r="H317" s="57"/>
      <c r="I317" s="57"/>
    </row>
    <row r="318" spans="1:9" x14ac:dyDescent="0.25">
      <c r="A318" s="56"/>
      <c r="B318" s="57"/>
      <c r="C318" s="57"/>
      <c r="D318" s="57"/>
      <c r="E318" s="57"/>
      <c r="F318" s="57"/>
      <c r="G318" s="57"/>
      <c r="H318" s="57"/>
      <c r="I318" s="57"/>
    </row>
    <row r="319" spans="1:9" x14ac:dyDescent="0.25">
      <c r="A319" s="56"/>
      <c r="B319" s="57"/>
      <c r="C319" s="57"/>
      <c r="D319" s="57"/>
      <c r="E319" s="57"/>
      <c r="F319" s="57"/>
      <c r="G319" s="57"/>
      <c r="H319" s="57"/>
      <c r="I319" s="57"/>
    </row>
    <row r="320" spans="1:9" x14ac:dyDescent="0.25">
      <c r="A320" s="56"/>
      <c r="B320" s="57"/>
      <c r="C320" s="57"/>
      <c r="D320" s="57"/>
      <c r="E320" s="57"/>
      <c r="F320" s="57"/>
      <c r="G320" s="57"/>
      <c r="H320" s="57"/>
      <c r="I320" s="57"/>
    </row>
    <row r="321" spans="1:9" x14ac:dyDescent="0.25">
      <c r="A321" s="56"/>
      <c r="B321" s="57"/>
      <c r="C321" s="57"/>
      <c r="D321" s="57"/>
      <c r="E321" s="57"/>
      <c r="F321" s="57"/>
      <c r="G321" s="57"/>
      <c r="H321" s="57"/>
      <c r="I321" s="57"/>
    </row>
    <row r="322" spans="1:9" x14ac:dyDescent="0.25">
      <c r="A322" s="56"/>
      <c r="B322" s="57"/>
      <c r="C322" s="57"/>
      <c r="D322" s="57"/>
      <c r="E322" s="57"/>
      <c r="F322" s="57"/>
      <c r="G322" s="57"/>
      <c r="H322" s="57"/>
      <c r="I322" s="57"/>
    </row>
    <row r="323" spans="1:9" x14ac:dyDescent="0.25">
      <c r="A323" s="56"/>
      <c r="B323" s="57"/>
      <c r="C323" s="57"/>
      <c r="D323" s="57"/>
      <c r="E323" s="57"/>
      <c r="F323" s="57"/>
      <c r="G323" s="57"/>
      <c r="H323" s="57"/>
      <c r="I323" s="57"/>
    </row>
    <row r="324" spans="1:9" x14ac:dyDescent="0.25">
      <c r="A324" s="56"/>
      <c r="B324" s="57"/>
      <c r="C324" s="57"/>
      <c r="D324" s="57"/>
      <c r="E324" s="57"/>
      <c r="F324" s="57"/>
      <c r="G324" s="57"/>
      <c r="H324" s="57"/>
      <c r="I324" s="57"/>
    </row>
    <row r="325" spans="1:9" x14ac:dyDescent="0.25">
      <c r="A325" s="56"/>
      <c r="B325" s="57"/>
      <c r="C325" s="57"/>
      <c r="D325" s="57"/>
      <c r="E325" s="57"/>
      <c r="F325" s="57"/>
      <c r="G325" s="57"/>
      <c r="H325" s="57"/>
      <c r="I325" s="57"/>
    </row>
    <row r="326" spans="1:9" x14ac:dyDescent="0.25">
      <c r="A326" s="56"/>
      <c r="B326" s="57"/>
      <c r="C326" s="57"/>
      <c r="D326" s="57"/>
      <c r="E326" s="57"/>
      <c r="F326" s="57"/>
      <c r="G326" s="57"/>
      <c r="H326" s="57"/>
      <c r="I326" s="57"/>
    </row>
    <row r="327" spans="1:9" x14ac:dyDescent="0.25">
      <c r="A327" s="56"/>
      <c r="B327" s="57"/>
      <c r="C327" s="57"/>
      <c r="D327" s="57"/>
      <c r="E327" s="57"/>
      <c r="F327" s="57"/>
      <c r="G327" s="57"/>
      <c r="H327" s="57"/>
      <c r="I327" s="57"/>
    </row>
    <row r="328" spans="1:9" x14ac:dyDescent="0.25">
      <c r="A328" s="56"/>
      <c r="B328" s="57"/>
      <c r="C328" s="57"/>
      <c r="D328" s="57"/>
      <c r="E328" s="57"/>
      <c r="F328" s="57"/>
      <c r="G328" s="57"/>
      <c r="H328" s="57"/>
      <c r="I328" s="57"/>
    </row>
    <row r="329" spans="1:9" x14ac:dyDescent="0.25">
      <c r="A329" s="56"/>
      <c r="B329" s="57"/>
      <c r="C329" s="57"/>
      <c r="D329" s="57"/>
      <c r="E329" s="57"/>
      <c r="F329" s="57"/>
      <c r="G329" s="57"/>
      <c r="H329" s="57"/>
      <c r="I329" s="57"/>
    </row>
    <row r="330" spans="1:9" x14ac:dyDescent="0.25">
      <c r="A330" s="56"/>
      <c r="B330" s="57"/>
      <c r="C330" s="57"/>
      <c r="D330" s="57"/>
      <c r="E330" s="57"/>
      <c r="F330" s="57"/>
      <c r="G330" s="57"/>
      <c r="H330" s="57"/>
      <c r="I330" s="57"/>
    </row>
    <row r="331" spans="1:9" x14ac:dyDescent="0.25">
      <c r="A331" s="56"/>
      <c r="B331" s="57"/>
      <c r="C331" s="57"/>
      <c r="D331" s="57"/>
      <c r="E331" s="57"/>
      <c r="F331" s="57"/>
      <c r="G331" s="57"/>
      <c r="H331" s="57"/>
      <c r="I331" s="57"/>
    </row>
    <row r="332" spans="1:9" x14ac:dyDescent="0.25">
      <c r="A332" s="56"/>
      <c r="B332" s="57"/>
      <c r="C332" s="57"/>
      <c r="D332" s="57"/>
      <c r="E332" s="57"/>
      <c r="F332" s="57"/>
      <c r="G332" s="57"/>
      <c r="H332" s="57"/>
      <c r="I332" s="57"/>
    </row>
    <row r="333" spans="1:9" x14ac:dyDescent="0.25">
      <c r="A333" s="56"/>
      <c r="B333" s="57"/>
      <c r="C333" s="57"/>
      <c r="D333" s="57"/>
      <c r="E333" s="57"/>
      <c r="F333" s="57"/>
      <c r="G333" s="57"/>
      <c r="H333" s="57"/>
      <c r="I333" s="57"/>
    </row>
    <row r="334" spans="1:9" x14ac:dyDescent="0.25">
      <c r="A334" s="56"/>
      <c r="B334" s="57"/>
      <c r="C334" s="57"/>
      <c r="D334" s="57"/>
      <c r="E334" s="57"/>
      <c r="F334" s="57"/>
      <c r="G334" s="57"/>
      <c r="H334" s="57"/>
      <c r="I334" s="57"/>
    </row>
    <row r="335" spans="1:9" x14ac:dyDescent="0.25">
      <c r="A335" s="56"/>
      <c r="B335" s="57"/>
      <c r="C335" s="57"/>
      <c r="D335" s="57"/>
      <c r="E335" s="57"/>
      <c r="F335" s="57"/>
      <c r="G335" s="57"/>
      <c r="H335" s="57"/>
      <c r="I335" s="57"/>
    </row>
    <row r="336" spans="1:9" x14ac:dyDescent="0.25">
      <c r="A336" s="56"/>
      <c r="B336" s="57"/>
      <c r="C336" s="57"/>
      <c r="D336" s="57"/>
      <c r="E336" s="57"/>
      <c r="F336" s="57"/>
      <c r="G336" s="57"/>
      <c r="H336" s="57"/>
      <c r="I336" s="57"/>
    </row>
    <row r="337" spans="1:9" x14ac:dyDescent="0.25">
      <c r="A337" s="56"/>
      <c r="B337" s="57"/>
      <c r="C337" s="57"/>
      <c r="D337" s="57"/>
      <c r="E337" s="57"/>
      <c r="F337" s="57"/>
      <c r="G337" s="57"/>
      <c r="H337" s="57"/>
      <c r="I337" s="57"/>
    </row>
    <row r="338" spans="1:9" x14ac:dyDescent="0.25">
      <c r="A338" s="56"/>
      <c r="B338" s="57"/>
      <c r="C338" s="57"/>
      <c r="D338" s="57"/>
      <c r="E338" s="57"/>
      <c r="F338" s="57"/>
      <c r="G338" s="57"/>
      <c r="H338" s="57"/>
      <c r="I338" s="57"/>
    </row>
    <row r="339" spans="1:9" x14ac:dyDescent="0.25">
      <c r="A339" s="56"/>
      <c r="B339" s="57"/>
      <c r="C339" s="57"/>
      <c r="D339" s="57"/>
      <c r="E339" s="57"/>
      <c r="F339" s="57"/>
      <c r="G339" s="57"/>
      <c r="H339" s="57"/>
      <c r="I339" s="57"/>
    </row>
    <row r="340" spans="1:9" x14ac:dyDescent="0.25">
      <c r="A340" s="56"/>
      <c r="B340" s="57"/>
      <c r="C340" s="57"/>
      <c r="D340" s="57"/>
      <c r="E340" s="57"/>
      <c r="F340" s="57"/>
      <c r="G340" s="57"/>
      <c r="H340" s="57"/>
      <c r="I340" s="57"/>
    </row>
    <row r="341" spans="1:9" x14ac:dyDescent="0.25">
      <c r="A341" s="56"/>
      <c r="B341" s="57"/>
      <c r="C341" s="57"/>
      <c r="D341" s="57"/>
      <c r="E341" s="57"/>
      <c r="F341" s="57"/>
      <c r="G341" s="57"/>
      <c r="H341" s="57"/>
      <c r="I341" s="57"/>
    </row>
    <row r="342" spans="1:9" x14ac:dyDescent="0.25">
      <c r="A342" s="56"/>
      <c r="B342" s="57"/>
      <c r="C342" s="57"/>
      <c r="D342" s="57"/>
      <c r="E342" s="57"/>
      <c r="F342" s="57"/>
      <c r="G342" s="57"/>
      <c r="H342" s="57"/>
      <c r="I342" s="57"/>
    </row>
    <row r="343" spans="1:9" x14ac:dyDescent="0.25">
      <c r="A343" s="56"/>
      <c r="B343" s="57"/>
      <c r="C343" s="57"/>
      <c r="D343" s="57"/>
      <c r="E343" s="57"/>
      <c r="F343" s="57"/>
      <c r="G343" s="57"/>
      <c r="H343" s="57"/>
      <c r="I343" s="57"/>
    </row>
    <row r="344" spans="1:9" x14ac:dyDescent="0.25">
      <c r="A344" s="56"/>
      <c r="B344" s="57"/>
      <c r="C344" s="57"/>
      <c r="D344" s="57"/>
      <c r="E344" s="57"/>
      <c r="F344" s="57"/>
      <c r="G344" s="57"/>
      <c r="H344" s="57"/>
      <c r="I344" s="57"/>
    </row>
    <row r="345" spans="1:9" x14ac:dyDescent="0.25">
      <c r="A345" s="56"/>
      <c r="B345" s="57"/>
      <c r="C345" s="57"/>
      <c r="D345" s="57"/>
      <c r="E345" s="57"/>
      <c r="F345" s="57"/>
      <c r="G345" s="57"/>
      <c r="H345" s="57"/>
      <c r="I345" s="57"/>
    </row>
    <row r="346" spans="1:9" x14ac:dyDescent="0.25">
      <c r="A346" s="56"/>
      <c r="B346" s="57"/>
      <c r="C346" s="57"/>
      <c r="D346" s="57"/>
      <c r="E346" s="57"/>
      <c r="F346" s="57"/>
      <c r="G346" s="57"/>
      <c r="H346" s="57"/>
      <c r="I346" s="57"/>
    </row>
    <row r="347" spans="1:9" x14ac:dyDescent="0.25">
      <c r="A347" s="56"/>
      <c r="B347" s="57"/>
      <c r="C347" s="57"/>
      <c r="D347" s="57"/>
      <c r="E347" s="57"/>
      <c r="F347" s="57"/>
      <c r="G347" s="57"/>
      <c r="H347" s="57"/>
      <c r="I347" s="57"/>
    </row>
    <row r="348" spans="1:9" x14ac:dyDescent="0.25">
      <c r="A348" s="56"/>
      <c r="B348" s="57"/>
      <c r="C348" s="57"/>
      <c r="D348" s="57"/>
      <c r="E348" s="57"/>
      <c r="F348" s="57"/>
      <c r="G348" s="57"/>
      <c r="H348" s="57"/>
      <c r="I348" s="57"/>
    </row>
    <row r="349" spans="1:9" x14ac:dyDescent="0.25">
      <c r="A349" s="56"/>
      <c r="B349" s="57"/>
      <c r="C349" s="57"/>
      <c r="D349" s="57"/>
      <c r="E349" s="57"/>
      <c r="F349" s="57"/>
      <c r="G349" s="57"/>
      <c r="H349" s="57"/>
      <c r="I349" s="57"/>
    </row>
    <row r="350" spans="1:9" x14ac:dyDescent="0.25">
      <c r="A350" s="56"/>
      <c r="B350" s="57"/>
      <c r="C350" s="57"/>
      <c r="D350" s="57"/>
      <c r="E350" s="57"/>
      <c r="F350" s="57"/>
      <c r="G350" s="57"/>
      <c r="H350" s="57"/>
      <c r="I350" s="57"/>
    </row>
    <row r="351" spans="1:9" x14ac:dyDescent="0.25">
      <c r="A351" s="56"/>
      <c r="B351" s="57"/>
      <c r="C351" s="57"/>
      <c r="D351" s="57"/>
      <c r="E351" s="57"/>
      <c r="F351" s="57"/>
      <c r="G351" s="57"/>
      <c r="H351" s="57"/>
      <c r="I351" s="57"/>
    </row>
    <row r="352" spans="1:9" x14ac:dyDescent="0.25">
      <c r="A352" s="56"/>
      <c r="B352" s="57"/>
      <c r="C352" s="57"/>
      <c r="D352" s="57"/>
      <c r="E352" s="57"/>
      <c r="F352" s="57"/>
      <c r="G352" s="57"/>
      <c r="H352" s="57"/>
      <c r="I352" s="57"/>
    </row>
    <row r="353" spans="1:9" x14ac:dyDescent="0.25">
      <c r="A353" s="56"/>
      <c r="B353" s="57"/>
      <c r="C353" s="57"/>
      <c r="D353" s="57"/>
      <c r="E353" s="57"/>
      <c r="F353" s="57"/>
      <c r="G353" s="57"/>
      <c r="H353" s="57"/>
      <c r="I353" s="57"/>
    </row>
    <row r="354" spans="1:9" x14ac:dyDescent="0.25">
      <c r="A354" s="56"/>
      <c r="B354" s="57"/>
      <c r="C354" s="57"/>
      <c r="D354" s="57"/>
      <c r="E354" s="57"/>
      <c r="F354" s="57"/>
      <c r="G354" s="57"/>
      <c r="H354" s="57"/>
      <c r="I354" s="57"/>
    </row>
    <row r="355" spans="1:9" x14ac:dyDescent="0.25">
      <c r="A355" s="56"/>
      <c r="B355" s="57"/>
      <c r="C355" s="57"/>
      <c r="D355" s="57"/>
      <c r="E355" s="57"/>
      <c r="F355" s="57"/>
      <c r="G355" s="57"/>
      <c r="H355" s="57"/>
      <c r="I355" s="57"/>
    </row>
    <row r="356" spans="1:9" x14ac:dyDescent="0.25">
      <c r="A356" s="56"/>
      <c r="B356" s="57"/>
      <c r="C356" s="57"/>
      <c r="D356" s="57"/>
      <c r="E356" s="57"/>
      <c r="F356" s="57"/>
      <c r="G356" s="57"/>
      <c r="H356" s="57"/>
      <c r="I356" s="57"/>
    </row>
    <row r="357" spans="1:9" x14ac:dyDescent="0.25">
      <c r="A357" s="56"/>
      <c r="B357" s="57"/>
      <c r="C357" s="57"/>
      <c r="D357" s="57"/>
      <c r="E357" s="57"/>
      <c r="F357" s="57"/>
      <c r="G357" s="57"/>
      <c r="H357" s="57"/>
      <c r="I357" s="57"/>
    </row>
    <row r="358" spans="1:9" x14ac:dyDescent="0.25">
      <c r="A358" s="56"/>
      <c r="B358" s="57"/>
      <c r="C358" s="57"/>
      <c r="D358" s="57"/>
      <c r="E358" s="57"/>
      <c r="F358" s="57"/>
      <c r="G358" s="57"/>
      <c r="H358" s="57"/>
      <c r="I358" s="57"/>
    </row>
    <row r="359" spans="1:9" x14ac:dyDescent="0.25">
      <c r="A359" s="56"/>
      <c r="B359" s="57"/>
      <c r="C359" s="57"/>
      <c r="D359" s="57"/>
      <c r="E359" s="57"/>
      <c r="F359" s="57"/>
      <c r="G359" s="57"/>
      <c r="H359" s="57"/>
      <c r="I359" s="57"/>
    </row>
    <row r="360" spans="1:9" x14ac:dyDescent="0.25">
      <c r="A360" s="56"/>
      <c r="B360" s="57"/>
      <c r="C360" s="57"/>
      <c r="D360" s="57"/>
      <c r="E360" s="57"/>
      <c r="F360" s="57"/>
      <c r="G360" s="57"/>
      <c r="H360" s="57"/>
      <c r="I360" s="57"/>
    </row>
    <row r="361" spans="1:9" x14ac:dyDescent="0.25">
      <c r="A361" s="56"/>
      <c r="B361" s="57"/>
      <c r="C361" s="57"/>
      <c r="D361" s="57"/>
      <c r="E361" s="57"/>
      <c r="F361" s="57"/>
      <c r="G361" s="57"/>
      <c r="H361" s="57"/>
      <c r="I361" s="57"/>
    </row>
    <row r="362" spans="1:9" x14ac:dyDescent="0.25">
      <c r="A362" s="56"/>
      <c r="B362" s="57"/>
      <c r="C362" s="57"/>
      <c r="D362" s="57"/>
      <c r="E362" s="57"/>
      <c r="F362" s="57"/>
      <c r="G362" s="57"/>
      <c r="H362" s="57"/>
      <c r="I362" s="57"/>
    </row>
    <row r="363" spans="1:9" x14ac:dyDescent="0.25">
      <c r="A363" s="56"/>
      <c r="B363" s="57"/>
      <c r="C363" s="57"/>
      <c r="D363" s="57"/>
      <c r="E363" s="57"/>
      <c r="F363" s="57"/>
      <c r="G363" s="57"/>
      <c r="H363" s="57"/>
      <c r="I363" s="57"/>
    </row>
    <row r="364" spans="1:9" x14ac:dyDescent="0.25">
      <c r="A364" s="56"/>
      <c r="B364" s="57"/>
      <c r="C364" s="57"/>
      <c r="D364" s="57"/>
      <c r="E364" s="57"/>
      <c r="F364" s="57"/>
      <c r="G364" s="57"/>
      <c r="H364" s="57"/>
      <c r="I364" s="57"/>
    </row>
    <row r="365" spans="1:9" x14ac:dyDescent="0.25">
      <c r="A365" s="56"/>
      <c r="B365" s="57"/>
      <c r="C365" s="57"/>
      <c r="D365" s="57"/>
      <c r="E365" s="57"/>
      <c r="F365" s="57"/>
      <c r="G365" s="57"/>
      <c r="H365" s="57"/>
      <c r="I365" s="57"/>
    </row>
    <row r="366" spans="1:9" x14ac:dyDescent="0.25">
      <c r="A366" s="56"/>
      <c r="B366" s="57"/>
      <c r="C366" s="57"/>
      <c r="D366" s="57"/>
      <c r="E366" s="57"/>
      <c r="F366" s="57"/>
      <c r="G366" s="57"/>
      <c r="H366" s="57"/>
      <c r="I366" s="57"/>
    </row>
    <row r="367" spans="1:9" x14ac:dyDescent="0.25">
      <c r="A367" s="56"/>
      <c r="B367" s="57"/>
      <c r="C367" s="57"/>
      <c r="D367" s="57"/>
      <c r="E367" s="57"/>
      <c r="F367" s="57"/>
      <c r="G367" s="57"/>
      <c r="H367" s="57"/>
      <c r="I367" s="57"/>
    </row>
    <row r="368" spans="1:9" x14ac:dyDescent="0.25">
      <c r="A368" s="56"/>
      <c r="B368" s="57"/>
      <c r="C368" s="57"/>
      <c r="D368" s="57"/>
      <c r="E368" s="57"/>
      <c r="F368" s="57"/>
      <c r="G368" s="57"/>
      <c r="H368" s="57"/>
      <c r="I368" s="57"/>
    </row>
    <row r="369" spans="1:9" x14ac:dyDescent="0.25">
      <c r="A369" s="56"/>
      <c r="B369" s="57"/>
      <c r="C369" s="57"/>
      <c r="D369" s="57"/>
      <c r="E369" s="57"/>
      <c r="F369" s="57"/>
      <c r="G369" s="57"/>
      <c r="H369" s="57"/>
      <c r="I369" s="57"/>
    </row>
    <row r="370" spans="1:9" x14ac:dyDescent="0.25">
      <c r="A370" s="56"/>
      <c r="B370" s="57"/>
      <c r="C370" s="57"/>
      <c r="D370" s="57"/>
      <c r="E370" s="57"/>
      <c r="F370" s="57"/>
      <c r="G370" s="57"/>
      <c r="H370" s="57"/>
      <c r="I370" s="57"/>
    </row>
    <row r="371" spans="1:9" x14ac:dyDescent="0.25">
      <c r="A371" s="56"/>
      <c r="B371" s="57"/>
      <c r="C371" s="57"/>
      <c r="D371" s="57"/>
      <c r="E371" s="57"/>
      <c r="F371" s="57"/>
      <c r="G371" s="57"/>
      <c r="H371" s="57"/>
      <c r="I371" s="57"/>
    </row>
    <row r="372" spans="1:9" x14ac:dyDescent="0.25">
      <c r="A372" s="56"/>
      <c r="B372" s="57"/>
      <c r="C372" s="57"/>
      <c r="D372" s="57"/>
      <c r="E372" s="57"/>
      <c r="F372" s="57"/>
      <c r="G372" s="57"/>
      <c r="H372" s="57"/>
      <c r="I372" s="57"/>
    </row>
    <row r="373" spans="1:9" x14ac:dyDescent="0.25">
      <c r="A373" s="56"/>
      <c r="B373" s="57"/>
      <c r="C373" s="57"/>
      <c r="D373" s="57"/>
      <c r="E373" s="57"/>
      <c r="F373" s="57"/>
      <c r="G373" s="57"/>
      <c r="H373" s="57"/>
      <c r="I373" s="57"/>
    </row>
    <row r="374" spans="1:9" x14ac:dyDescent="0.25">
      <c r="A374" s="56"/>
      <c r="B374" s="57"/>
      <c r="C374" s="57"/>
      <c r="D374" s="57"/>
      <c r="E374" s="57"/>
      <c r="F374" s="57"/>
      <c r="G374" s="57"/>
      <c r="H374" s="57"/>
      <c r="I374" s="57"/>
    </row>
    <row r="375" spans="1:9" x14ac:dyDescent="0.25">
      <c r="A375" s="56"/>
      <c r="B375" s="57"/>
      <c r="C375" s="57"/>
      <c r="D375" s="57"/>
      <c r="E375" s="57"/>
      <c r="F375" s="57"/>
      <c r="G375" s="57"/>
      <c r="H375" s="57"/>
      <c r="I375" s="57"/>
    </row>
    <row r="376" spans="1:9" x14ac:dyDescent="0.25">
      <c r="A376" s="56"/>
      <c r="B376" s="57"/>
      <c r="C376" s="57"/>
      <c r="D376" s="57"/>
      <c r="E376" s="57"/>
      <c r="F376" s="57"/>
      <c r="G376" s="57"/>
      <c r="H376" s="57"/>
      <c r="I376" s="57"/>
    </row>
    <row r="377" spans="1:9" x14ac:dyDescent="0.25">
      <c r="A377" s="56"/>
      <c r="B377" s="57"/>
      <c r="C377" s="57"/>
      <c r="D377" s="57"/>
      <c r="E377" s="57"/>
      <c r="F377" s="57"/>
      <c r="G377" s="57"/>
      <c r="H377" s="57"/>
      <c r="I377" s="57"/>
    </row>
    <row r="378" spans="1:9" x14ac:dyDescent="0.25">
      <c r="A378" s="56"/>
      <c r="B378" s="57"/>
      <c r="C378" s="57"/>
      <c r="D378" s="57"/>
      <c r="E378" s="57"/>
      <c r="F378" s="57"/>
      <c r="G378" s="57"/>
      <c r="H378" s="57"/>
      <c r="I378" s="57"/>
    </row>
    <row r="379" spans="1:9" x14ac:dyDescent="0.25">
      <c r="A379" s="56"/>
      <c r="B379" s="57"/>
      <c r="C379" s="57"/>
      <c r="D379" s="57"/>
      <c r="E379" s="57"/>
      <c r="F379" s="57"/>
      <c r="G379" s="57"/>
      <c r="H379" s="57"/>
      <c r="I379" s="57"/>
    </row>
    <row r="380" spans="1:9" x14ac:dyDescent="0.25">
      <c r="A380" s="56"/>
      <c r="B380" s="57"/>
      <c r="C380" s="57"/>
      <c r="D380" s="57"/>
      <c r="E380" s="57"/>
      <c r="F380" s="57"/>
      <c r="G380" s="57"/>
      <c r="H380" s="57"/>
      <c r="I380" s="57"/>
    </row>
    <row r="381" spans="1:9" x14ac:dyDescent="0.25">
      <c r="A381" s="56"/>
      <c r="B381" s="57"/>
      <c r="C381" s="57"/>
      <c r="D381" s="57"/>
      <c r="E381" s="57"/>
      <c r="F381" s="57"/>
      <c r="G381" s="57"/>
      <c r="H381" s="57"/>
      <c r="I381" s="57"/>
    </row>
    <row r="382" spans="1:9" x14ac:dyDescent="0.25">
      <c r="A382" s="56"/>
      <c r="B382" s="57"/>
      <c r="C382" s="57"/>
      <c r="D382" s="57"/>
      <c r="E382" s="57"/>
      <c r="F382" s="57"/>
      <c r="G382" s="57"/>
      <c r="H382" s="57"/>
      <c r="I382" s="57"/>
    </row>
    <row r="383" spans="1:9" x14ac:dyDescent="0.25">
      <c r="A383" s="56"/>
      <c r="B383" s="57"/>
      <c r="C383" s="57"/>
      <c r="D383" s="57"/>
      <c r="E383" s="57"/>
      <c r="F383" s="57"/>
      <c r="G383" s="57"/>
      <c r="H383" s="57"/>
      <c r="I383" s="57"/>
    </row>
    <row r="384" spans="1:9" x14ac:dyDescent="0.25">
      <c r="A384" s="56"/>
      <c r="B384" s="57"/>
      <c r="C384" s="57"/>
      <c r="D384" s="57"/>
      <c r="E384" s="57"/>
      <c r="F384" s="57"/>
      <c r="G384" s="57"/>
      <c r="H384" s="57"/>
      <c r="I384" s="57"/>
    </row>
    <row r="385" spans="1:9" x14ac:dyDescent="0.25">
      <c r="A385" s="56"/>
      <c r="B385" s="57"/>
      <c r="C385" s="57"/>
      <c r="D385" s="57"/>
      <c r="E385" s="57"/>
      <c r="F385" s="57"/>
      <c r="G385" s="57"/>
      <c r="H385" s="57"/>
      <c r="I385" s="57"/>
    </row>
    <row r="386" spans="1:9" x14ac:dyDescent="0.25">
      <c r="A386" s="56"/>
      <c r="B386" s="57"/>
      <c r="C386" s="57"/>
      <c r="D386" s="57"/>
      <c r="E386" s="57"/>
      <c r="F386" s="57"/>
      <c r="G386" s="57"/>
      <c r="H386" s="57"/>
      <c r="I386" s="57"/>
    </row>
    <row r="387" spans="1:9" x14ac:dyDescent="0.25">
      <c r="A387" s="56"/>
      <c r="B387" s="57"/>
      <c r="C387" s="57"/>
      <c r="D387" s="57"/>
      <c r="E387" s="57"/>
      <c r="F387" s="57"/>
      <c r="G387" s="57"/>
      <c r="H387" s="57"/>
      <c r="I387" s="57"/>
    </row>
    <row r="388" spans="1:9" x14ac:dyDescent="0.25">
      <c r="A388" s="56"/>
      <c r="B388" s="57"/>
      <c r="C388" s="57"/>
      <c r="D388" s="57"/>
      <c r="E388" s="57"/>
      <c r="F388" s="57"/>
      <c r="G388" s="57"/>
      <c r="H388" s="57"/>
      <c r="I388" s="57"/>
    </row>
    <row r="389" spans="1:9" x14ac:dyDescent="0.25">
      <c r="A389" s="56"/>
      <c r="B389" s="57"/>
      <c r="C389" s="57"/>
      <c r="D389" s="57"/>
      <c r="E389" s="57"/>
      <c r="F389" s="57"/>
      <c r="G389" s="57"/>
      <c r="H389" s="57"/>
      <c r="I389" s="57"/>
    </row>
    <row r="390" spans="1:9" x14ac:dyDescent="0.25">
      <c r="A390" s="56"/>
      <c r="B390" s="57"/>
      <c r="C390" s="57"/>
      <c r="D390" s="57"/>
      <c r="E390" s="57"/>
      <c r="F390" s="57"/>
      <c r="G390" s="57"/>
      <c r="H390" s="57"/>
      <c r="I390" s="57"/>
    </row>
    <row r="391" spans="1:9" x14ac:dyDescent="0.25">
      <c r="A391" s="56"/>
      <c r="B391" s="57"/>
      <c r="C391" s="57"/>
      <c r="D391" s="57"/>
      <c r="E391" s="57"/>
      <c r="F391" s="57"/>
      <c r="G391" s="57"/>
      <c r="H391" s="57"/>
      <c r="I391" s="57"/>
    </row>
    <row r="392" spans="1:9" x14ac:dyDescent="0.25">
      <c r="A392" s="56"/>
      <c r="B392" s="57"/>
      <c r="C392" s="57"/>
      <c r="D392" s="57"/>
      <c r="E392" s="57"/>
      <c r="F392" s="57"/>
      <c r="G392" s="57"/>
      <c r="H392" s="57"/>
      <c r="I392" s="57"/>
    </row>
    <row r="393" spans="1:9" x14ac:dyDescent="0.25">
      <c r="A393" s="56"/>
      <c r="B393" s="57"/>
      <c r="C393" s="57"/>
      <c r="D393" s="57"/>
      <c r="E393" s="57"/>
      <c r="F393" s="57"/>
      <c r="G393" s="57"/>
      <c r="H393" s="57"/>
      <c r="I393" s="57"/>
    </row>
    <row r="394" spans="1:9" x14ac:dyDescent="0.25">
      <c r="A394" s="56"/>
      <c r="B394" s="57"/>
      <c r="C394" s="57"/>
      <c r="D394" s="57"/>
      <c r="E394" s="57"/>
      <c r="F394" s="57"/>
      <c r="G394" s="57"/>
      <c r="H394" s="57"/>
      <c r="I394" s="57"/>
    </row>
    <row r="395" spans="1:9" x14ac:dyDescent="0.25">
      <c r="A395" s="56"/>
      <c r="B395" s="57"/>
      <c r="C395" s="57"/>
      <c r="D395" s="57"/>
      <c r="E395" s="57"/>
      <c r="F395" s="57"/>
      <c r="G395" s="57"/>
      <c r="H395" s="57"/>
      <c r="I395" s="57"/>
    </row>
    <row r="396" spans="1:9" x14ac:dyDescent="0.25">
      <c r="A396" s="56"/>
      <c r="B396" s="57"/>
      <c r="C396" s="57"/>
      <c r="D396" s="57"/>
      <c r="E396" s="57"/>
      <c r="F396" s="57"/>
      <c r="G396" s="57"/>
      <c r="H396" s="57"/>
      <c r="I396" s="57"/>
    </row>
    <row r="397" spans="1:9" x14ac:dyDescent="0.25">
      <c r="A397" s="56"/>
      <c r="B397" s="57"/>
      <c r="C397" s="57"/>
      <c r="D397" s="57"/>
      <c r="E397" s="57"/>
      <c r="F397" s="57"/>
      <c r="G397" s="57"/>
      <c r="H397" s="57"/>
      <c r="I397" s="57"/>
    </row>
    <row r="398" spans="1:9" x14ac:dyDescent="0.25">
      <c r="A398" s="56"/>
      <c r="B398" s="57"/>
      <c r="C398" s="57"/>
      <c r="D398" s="57"/>
      <c r="E398" s="57"/>
      <c r="F398" s="57"/>
      <c r="G398" s="57"/>
      <c r="H398" s="57"/>
      <c r="I398" s="57"/>
    </row>
    <row r="399" spans="1:9" x14ac:dyDescent="0.25">
      <c r="A399" s="56"/>
      <c r="B399" s="57"/>
      <c r="C399" s="57"/>
      <c r="D399" s="57"/>
      <c r="E399" s="57"/>
      <c r="F399" s="57"/>
      <c r="G399" s="57"/>
      <c r="H399" s="57"/>
      <c r="I399" s="57"/>
    </row>
    <row r="400" spans="1:9" x14ac:dyDescent="0.25">
      <c r="A400" s="56"/>
      <c r="B400" s="57"/>
      <c r="C400" s="57"/>
      <c r="D400" s="57"/>
      <c r="E400" s="57"/>
      <c r="F400" s="57"/>
      <c r="G400" s="57"/>
      <c r="H400" s="57"/>
      <c r="I400" s="57"/>
    </row>
    <row r="401" spans="1:9" x14ac:dyDescent="0.25">
      <c r="A401" s="56"/>
      <c r="B401" s="57"/>
      <c r="C401" s="57"/>
      <c r="D401" s="57"/>
      <c r="E401" s="57"/>
      <c r="F401" s="57"/>
      <c r="G401" s="57"/>
      <c r="H401" s="57"/>
      <c r="I401" s="57"/>
    </row>
    <row r="402" spans="1:9" x14ac:dyDescent="0.25">
      <c r="A402" s="56"/>
      <c r="B402" s="57"/>
      <c r="C402" s="57"/>
      <c r="D402" s="57"/>
      <c r="E402" s="57"/>
      <c r="F402" s="57"/>
      <c r="G402" s="57"/>
      <c r="H402" s="57"/>
      <c r="I402" s="57"/>
    </row>
    <row r="403" spans="1:9" x14ac:dyDescent="0.25">
      <c r="A403" s="56"/>
      <c r="B403" s="57"/>
      <c r="C403" s="57"/>
      <c r="D403" s="57"/>
      <c r="E403" s="57"/>
      <c r="F403" s="57"/>
      <c r="G403" s="57"/>
      <c r="H403" s="57"/>
      <c r="I403" s="57"/>
    </row>
    <row r="404" spans="1:9" x14ac:dyDescent="0.25">
      <c r="A404" s="56"/>
      <c r="B404" s="57"/>
      <c r="C404" s="57"/>
      <c r="D404" s="57"/>
      <c r="E404" s="57"/>
      <c r="F404" s="57"/>
      <c r="G404" s="57"/>
      <c r="H404" s="57"/>
      <c r="I404" s="57"/>
    </row>
    <row r="405" spans="1:9" x14ac:dyDescent="0.25">
      <c r="A405" s="56"/>
      <c r="B405" s="57"/>
      <c r="C405" s="57"/>
      <c r="D405" s="57"/>
      <c r="E405" s="57"/>
      <c r="F405" s="57"/>
      <c r="G405" s="57"/>
      <c r="H405" s="57"/>
      <c r="I405" s="57"/>
    </row>
    <row r="406" spans="1:9" x14ac:dyDescent="0.25">
      <c r="A406" s="56"/>
      <c r="B406" s="57"/>
      <c r="C406" s="57"/>
      <c r="D406" s="57"/>
      <c r="E406" s="57"/>
      <c r="F406" s="57"/>
      <c r="G406" s="57"/>
      <c r="H406" s="57"/>
      <c r="I406" s="57"/>
    </row>
    <row r="407" spans="1:9" x14ac:dyDescent="0.25">
      <c r="A407" s="56"/>
      <c r="B407" s="57"/>
      <c r="C407" s="57"/>
      <c r="D407" s="57"/>
      <c r="E407" s="57"/>
      <c r="F407" s="57"/>
      <c r="G407" s="57"/>
      <c r="H407" s="57"/>
      <c r="I407" s="57"/>
    </row>
    <row r="408" spans="1:9" x14ac:dyDescent="0.25">
      <c r="A408" s="56"/>
      <c r="B408" s="57"/>
      <c r="C408" s="57"/>
      <c r="D408" s="57"/>
      <c r="E408" s="57"/>
      <c r="F408" s="57"/>
      <c r="G408" s="57"/>
      <c r="H408" s="57"/>
      <c r="I408" s="57"/>
    </row>
    <row r="409" spans="1:9" x14ac:dyDescent="0.25">
      <c r="A409" s="56"/>
      <c r="B409" s="57"/>
      <c r="C409" s="57"/>
      <c r="D409" s="57"/>
      <c r="E409" s="57"/>
      <c r="F409" s="57"/>
      <c r="G409" s="57"/>
      <c r="H409" s="57"/>
      <c r="I409" s="57"/>
    </row>
    <row r="410" spans="1:9" x14ac:dyDescent="0.25">
      <c r="A410" s="56"/>
      <c r="B410" s="57"/>
      <c r="C410" s="57"/>
      <c r="D410" s="57"/>
      <c r="E410" s="57"/>
      <c r="F410" s="57"/>
      <c r="G410" s="57"/>
      <c r="H410" s="57"/>
      <c r="I410" s="57"/>
    </row>
    <row r="411" spans="1:9" x14ac:dyDescent="0.25">
      <c r="A411" s="56"/>
      <c r="B411" s="57"/>
      <c r="C411" s="57"/>
      <c r="D411" s="57"/>
      <c r="E411" s="57"/>
      <c r="F411" s="57"/>
      <c r="G411" s="57"/>
      <c r="H411" s="57"/>
      <c r="I411" s="57"/>
    </row>
    <row r="412" spans="1:9" x14ac:dyDescent="0.25">
      <c r="A412" s="56"/>
      <c r="B412" s="57"/>
      <c r="C412" s="57"/>
      <c r="D412" s="57"/>
      <c r="E412" s="57"/>
      <c r="F412" s="57"/>
      <c r="G412" s="57"/>
      <c r="H412" s="57"/>
      <c r="I412" s="57"/>
    </row>
    <row r="413" spans="1:9" x14ac:dyDescent="0.25">
      <c r="A413" s="56"/>
      <c r="B413" s="57"/>
      <c r="C413" s="57"/>
      <c r="D413" s="57"/>
      <c r="E413" s="57"/>
      <c r="F413" s="57"/>
      <c r="G413" s="57"/>
      <c r="H413" s="57"/>
      <c r="I413" s="57"/>
    </row>
    <row r="414" spans="1:9" x14ac:dyDescent="0.25">
      <c r="A414" s="56"/>
      <c r="B414" s="57"/>
      <c r="C414" s="57"/>
      <c r="D414" s="57"/>
      <c r="E414" s="57"/>
      <c r="F414" s="57"/>
      <c r="G414" s="57"/>
      <c r="H414" s="57"/>
      <c r="I414" s="57"/>
    </row>
    <row r="415" spans="1:9" x14ac:dyDescent="0.25">
      <c r="A415" s="56"/>
      <c r="B415" s="57"/>
      <c r="C415" s="57"/>
      <c r="D415" s="57"/>
      <c r="E415" s="57"/>
      <c r="F415" s="57"/>
      <c r="G415" s="57"/>
      <c r="H415" s="57"/>
      <c r="I415" s="57"/>
    </row>
    <row r="416" spans="1:9" x14ac:dyDescent="0.25">
      <c r="A416" s="56"/>
      <c r="B416" s="57"/>
      <c r="C416" s="57"/>
      <c r="D416" s="57"/>
      <c r="E416" s="57"/>
      <c r="F416" s="57"/>
      <c r="G416" s="57"/>
      <c r="H416" s="57"/>
      <c r="I416" s="57"/>
    </row>
    <row r="417" spans="1:9" x14ac:dyDescent="0.25">
      <c r="A417" s="56"/>
      <c r="B417" s="57"/>
      <c r="C417" s="57"/>
      <c r="D417" s="57"/>
      <c r="E417" s="57"/>
      <c r="F417" s="57"/>
      <c r="G417" s="57"/>
      <c r="H417" s="57"/>
      <c r="I417" s="57"/>
    </row>
    <row r="418" spans="1:9" x14ac:dyDescent="0.25">
      <c r="A418" s="56"/>
      <c r="B418" s="57"/>
      <c r="C418" s="57"/>
      <c r="D418" s="57"/>
      <c r="E418" s="57"/>
      <c r="F418" s="57"/>
      <c r="G418" s="57"/>
      <c r="H418" s="57"/>
      <c r="I418" s="57"/>
    </row>
    <row r="419" spans="1:9" x14ac:dyDescent="0.25">
      <c r="A419" s="56"/>
      <c r="B419" s="57"/>
      <c r="C419" s="57"/>
      <c r="D419" s="57"/>
      <c r="E419" s="57"/>
      <c r="F419" s="57"/>
      <c r="G419" s="57"/>
      <c r="H419" s="57"/>
      <c r="I419" s="57"/>
    </row>
    <row r="420" spans="1:9" x14ac:dyDescent="0.25">
      <c r="A420" s="56"/>
      <c r="B420" s="57"/>
      <c r="C420" s="57"/>
      <c r="D420" s="57"/>
      <c r="E420" s="57"/>
      <c r="F420" s="57"/>
      <c r="G420" s="57"/>
      <c r="H420" s="57"/>
      <c r="I420" s="57"/>
    </row>
    <row r="421" spans="1:9" x14ac:dyDescent="0.25">
      <c r="A421" s="56"/>
      <c r="B421" s="57"/>
      <c r="C421" s="57"/>
      <c r="D421" s="57"/>
      <c r="E421" s="57"/>
      <c r="F421" s="57"/>
      <c r="G421" s="57"/>
      <c r="H421" s="57"/>
      <c r="I421" s="57"/>
    </row>
    <row r="422" spans="1:9" x14ac:dyDescent="0.25">
      <c r="A422" s="56"/>
      <c r="B422" s="57"/>
      <c r="C422" s="57"/>
      <c r="D422" s="57"/>
      <c r="E422" s="57"/>
      <c r="F422" s="57"/>
      <c r="G422" s="57"/>
      <c r="H422" s="57"/>
      <c r="I422" s="57"/>
    </row>
    <row r="423" spans="1:9" x14ac:dyDescent="0.25">
      <c r="A423" s="56"/>
      <c r="B423" s="57"/>
      <c r="C423" s="57"/>
      <c r="D423" s="57"/>
      <c r="E423" s="57"/>
      <c r="F423" s="57"/>
      <c r="G423" s="57"/>
      <c r="H423" s="57"/>
      <c r="I423" s="57"/>
    </row>
    <row r="424" spans="1:9" x14ac:dyDescent="0.25">
      <c r="A424" s="56"/>
      <c r="B424" s="57"/>
      <c r="C424" s="57"/>
      <c r="D424" s="57"/>
      <c r="E424" s="57"/>
      <c r="F424" s="57"/>
      <c r="G424" s="57"/>
      <c r="H424" s="57"/>
      <c r="I424" s="57"/>
    </row>
    <row r="425" spans="1:9" x14ac:dyDescent="0.25">
      <c r="A425" s="56"/>
      <c r="B425" s="57"/>
      <c r="C425" s="57"/>
      <c r="D425" s="57"/>
      <c r="E425" s="57"/>
      <c r="F425" s="57"/>
      <c r="G425" s="57"/>
      <c r="H425" s="57"/>
      <c r="I425" s="57"/>
    </row>
    <row r="426" spans="1:9" x14ac:dyDescent="0.25">
      <c r="A426" s="56"/>
      <c r="B426" s="57"/>
      <c r="C426" s="57"/>
      <c r="D426" s="57"/>
      <c r="E426" s="57"/>
      <c r="F426" s="57"/>
      <c r="G426" s="57"/>
      <c r="H426" s="57"/>
      <c r="I426" s="57"/>
    </row>
    <row r="427" spans="1:9" x14ac:dyDescent="0.25">
      <c r="A427" s="56"/>
      <c r="B427" s="57"/>
      <c r="C427" s="57"/>
      <c r="D427" s="57"/>
      <c r="E427" s="57"/>
      <c r="F427" s="57"/>
      <c r="G427" s="57"/>
      <c r="H427" s="57"/>
      <c r="I427" s="57"/>
    </row>
    <row r="428" spans="1:9" x14ac:dyDescent="0.25">
      <c r="A428" s="56"/>
      <c r="B428" s="57"/>
      <c r="C428" s="57"/>
      <c r="D428" s="57"/>
      <c r="E428" s="57"/>
      <c r="F428" s="57"/>
      <c r="G428" s="57"/>
      <c r="H428" s="57"/>
      <c r="I428" s="57"/>
    </row>
    <row r="429" spans="1:9" x14ac:dyDescent="0.25">
      <c r="A429" s="56"/>
      <c r="B429" s="57"/>
      <c r="C429" s="57"/>
      <c r="D429" s="57"/>
      <c r="E429" s="57"/>
      <c r="F429" s="57"/>
      <c r="G429" s="57"/>
      <c r="H429" s="57"/>
      <c r="I429" s="57"/>
    </row>
    <row r="430" spans="1:9" x14ac:dyDescent="0.25">
      <c r="A430" s="56"/>
      <c r="B430" s="57"/>
      <c r="C430" s="57"/>
      <c r="D430" s="57"/>
      <c r="E430" s="57"/>
      <c r="F430" s="57"/>
      <c r="G430" s="57"/>
      <c r="H430" s="57"/>
      <c r="I430" s="57"/>
    </row>
    <row r="431" spans="1:9" x14ac:dyDescent="0.25">
      <c r="A431" s="56"/>
      <c r="B431" s="57"/>
      <c r="C431" s="57"/>
      <c r="D431" s="57"/>
      <c r="E431" s="57"/>
      <c r="F431" s="57"/>
      <c r="G431" s="57"/>
      <c r="H431" s="57"/>
      <c r="I431" s="57"/>
    </row>
    <row r="432" spans="1:9" x14ac:dyDescent="0.25">
      <c r="A432" s="56"/>
      <c r="B432" s="57"/>
      <c r="C432" s="57"/>
      <c r="D432" s="57"/>
      <c r="E432" s="57"/>
      <c r="F432" s="57"/>
      <c r="G432" s="57"/>
      <c r="H432" s="57"/>
      <c r="I432" s="57"/>
    </row>
    <row r="433" spans="1:9" x14ac:dyDescent="0.25">
      <c r="A433" s="56"/>
      <c r="B433" s="57"/>
      <c r="C433" s="57"/>
      <c r="D433" s="57"/>
      <c r="E433" s="57"/>
      <c r="F433" s="57"/>
      <c r="G433" s="57"/>
      <c r="H433" s="57"/>
      <c r="I433" s="57"/>
    </row>
    <row r="434" spans="1:9" x14ac:dyDescent="0.25">
      <c r="A434" s="56"/>
      <c r="B434" s="57"/>
      <c r="C434" s="57"/>
      <c r="D434" s="57"/>
      <c r="E434" s="57"/>
      <c r="F434" s="57"/>
      <c r="G434" s="57"/>
      <c r="H434" s="57"/>
      <c r="I434" s="57"/>
    </row>
    <row r="435" spans="1:9" x14ac:dyDescent="0.25">
      <c r="A435" s="56"/>
      <c r="B435" s="57"/>
      <c r="C435" s="57"/>
      <c r="D435" s="57"/>
      <c r="E435" s="57"/>
      <c r="F435" s="57"/>
      <c r="G435" s="57"/>
      <c r="H435" s="57"/>
      <c r="I435" s="57"/>
    </row>
    <row r="436" spans="1:9" x14ac:dyDescent="0.25">
      <c r="A436" s="56"/>
      <c r="B436" s="57"/>
      <c r="C436" s="57"/>
      <c r="D436" s="57"/>
      <c r="E436" s="57"/>
      <c r="F436" s="57"/>
      <c r="G436" s="57"/>
      <c r="H436" s="57"/>
      <c r="I436" s="57"/>
    </row>
    <row r="437" spans="1:9" x14ac:dyDescent="0.25">
      <c r="A437" s="56"/>
      <c r="B437" s="57"/>
      <c r="C437" s="57"/>
      <c r="D437" s="57"/>
      <c r="E437" s="57"/>
      <c r="F437" s="57"/>
      <c r="G437" s="57"/>
      <c r="H437" s="57"/>
      <c r="I437" s="57"/>
    </row>
    <row r="438" spans="1:9" x14ac:dyDescent="0.25">
      <c r="A438" s="56"/>
      <c r="B438" s="57"/>
      <c r="C438" s="57"/>
      <c r="D438" s="57"/>
      <c r="E438" s="57"/>
      <c r="F438" s="57"/>
      <c r="G438" s="57"/>
      <c r="H438" s="57"/>
      <c r="I438" s="57"/>
    </row>
    <row r="439" spans="1:9" x14ac:dyDescent="0.25">
      <c r="A439" s="56"/>
      <c r="B439" s="57"/>
      <c r="C439" s="57"/>
      <c r="D439" s="57"/>
      <c r="E439" s="57"/>
      <c r="F439" s="57"/>
      <c r="G439" s="57"/>
      <c r="H439" s="57"/>
      <c r="I439" s="57"/>
    </row>
    <row r="440" spans="1:9" x14ac:dyDescent="0.25">
      <c r="A440" s="56"/>
      <c r="B440" s="57"/>
      <c r="C440" s="57"/>
      <c r="D440" s="57"/>
      <c r="E440" s="57"/>
      <c r="F440" s="57"/>
      <c r="G440" s="57"/>
      <c r="H440" s="57"/>
      <c r="I440" s="57"/>
    </row>
    <row r="441" spans="1:9" x14ac:dyDescent="0.25">
      <c r="A441" s="56"/>
      <c r="B441" s="57"/>
      <c r="C441" s="57"/>
      <c r="D441" s="57"/>
      <c r="E441" s="57"/>
      <c r="F441" s="57"/>
      <c r="G441" s="57"/>
      <c r="H441" s="57"/>
      <c r="I441" s="57"/>
    </row>
    <row r="442" spans="1:9" x14ac:dyDescent="0.25">
      <c r="A442" s="56"/>
      <c r="B442" s="57"/>
      <c r="C442" s="57"/>
      <c r="D442" s="57"/>
      <c r="E442" s="57"/>
      <c r="F442" s="57"/>
      <c r="G442" s="57"/>
      <c r="H442" s="57"/>
      <c r="I442" s="57"/>
    </row>
    <row r="443" spans="1:9" x14ac:dyDescent="0.25">
      <c r="A443" s="56"/>
      <c r="B443" s="57"/>
      <c r="C443" s="57"/>
      <c r="D443" s="57"/>
      <c r="E443" s="57"/>
      <c r="F443" s="57"/>
      <c r="G443" s="57"/>
      <c r="H443" s="57"/>
      <c r="I443" s="57"/>
    </row>
    <row r="444" spans="1:9" x14ac:dyDescent="0.25">
      <c r="A444" s="56"/>
      <c r="B444" s="57"/>
      <c r="C444" s="57"/>
      <c r="D444" s="57"/>
      <c r="E444" s="57"/>
      <c r="F444" s="57"/>
      <c r="G444" s="57"/>
      <c r="H444" s="57"/>
      <c r="I444" s="57"/>
    </row>
    <row r="445" spans="1:9" x14ac:dyDescent="0.25">
      <c r="A445" s="56"/>
      <c r="B445" s="57"/>
      <c r="C445" s="57"/>
      <c r="D445" s="57"/>
      <c r="E445" s="57"/>
      <c r="F445" s="57"/>
      <c r="G445" s="57"/>
      <c r="H445" s="57"/>
      <c r="I445" s="57"/>
    </row>
    <row r="446" spans="1:9" x14ac:dyDescent="0.25">
      <c r="A446" s="56"/>
      <c r="B446" s="57"/>
      <c r="C446" s="57"/>
      <c r="D446" s="57"/>
      <c r="E446" s="57"/>
      <c r="F446" s="57"/>
      <c r="G446" s="57"/>
      <c r="H446" s="57"/>
      <c r="I446" s="57"/>
    </row>
    <row r="447" spans="1:9" x14ac:dyDescent="0.25">
      <c r="A447" s="56"/>
      <c r="B447" s="57"/>
      <c r="C447" s="57"/>
      <c r="D447" s="57"/>
      <c r="E447" s="57"/>
      <c r="F447" s="57"/>
      <c r="G447" s="57"/>
      <c r="H447" s="57"/>
      <c r="I447" s="57"/>
    </row>
    <row r="448" spans="1:9" x14ac:dyDescent="0.25">
      <c r="A448" s="56"/>
      <c r="B448" s="57"/>
      <c r="C448" s="57"/>
      <c r="D448" s="57"/>
      <c r="E448" s="57"/>
      <c r="F448" s="57"/>
      <c r="G448" s="57"/>
      <c r="H448" s="57"/>
      <c r="I448" s="57"/>
    </row>
    <row r="449" spans="1:9" x14ac:dyDescent="0.25">
      <c r="A449" s="56"/>
      <c r="B449" s="57"/>
      <c r="C449" s="57"/>
      <c r="D449" s="57"/>
      <c r="E449" s="57"/>
      <c r="F449" s="57"/>
      <c r="G449" s="57"/>
      <c r="H449" s="57"/>
      <c r="I449" s="57"/>
    </row>
    <row r="450" spans="1:9" x14ac:dyDescent="0.25">
      <c r="A450" s="56"/>
      <c r="B450" s="57"/>
      <c r="C450" s="57"/>
      <c r="D450" s="57"/>
      <c r="E450" s="57"/>
      <c r="F450" s="57"/>
      <c r="G450" s="57"/>
      <c r="H450" s="57"/>
      <c r="I450" s="57"/>
    </row>
    <row r="451" spans="1:9" x14ac:dyDescent="0.25">
      <c r="A451" s="56"/>
      <c r="B451" s="57"/>
      <c r="C451" s="57"/>
      <c r="D451" s="57"/>
      <c r="E451" s="57"/>
      <c r="F451" s="57"/>
      <c r="G451" s="57"/>
      <c r="H451" s="57"/>
      <c r="I451" s="57"/>
    </row>
    <row r="452" spans="1:9" x14ac:dyDescent="0.25">
      <c r="A452" s="56"/>
      <c r="B452" s="57"/>
      <c r="C452" s="57"/>
      <c r="D452" s="57"/>
      <c r="E452" s="57"/>
      <c r="F452" s="57"/>
      <c r="G452" s="57"/>
      <c r="H452" s="57"/>
      <c r="I452" s="57"/>
    </row>
    <row r="453" spans="1:9" x14ac:dyDescent="0.25">
      <c r="A453" s="56"/>
      <c r="B453" s="57"/>
      <c r="C453" s="57"/>
      <c r="D453" s="57"/>
      <c r="E453" s="57"/>
      <c r="F453" s="57"/>
      <c r="G453" s="57"/>
      <c r="H453" s="57"/>
      <c r="I453" s="57"/>
    </row>
    <row r="454" spans="1:9" x14ac:dyDescent="0.25">
      <c r="A454" s="56"/>
      <c r="B454" s="57"/>
      <c r="C454" s="57"/>
      <c r="D454" s="57"/>
      <c r="E454" s="57"/>
      <c r="F454" s="57"/>
      <c r="G454" s="57"/>
      <c r="H454" s="57"/>
      <c r="I454" s="57"/>
    </row>
    <row r="455" spans="1:9" x14ac:dyDescent="0.25">
      <c r="A455" s="56"/>
      <c r="B455" s="57"/>
      <c r="C455" s="57"/>
      <c r="D455" s="57"/>
      <c r="E455" s="57"/>
      <c r="F455" s="57"/>
      <c r="G455" s="57"/>
      <c r="H455" s="57"/>
      <c r="I455" s="57"/>
    </row>
    <row r="456" spans="1:9" x14ac:dyDescent="0.25">
      <c r="A456" s="56"/>
      <c r="B456" s="57"/>
      <c r="C456" s="57"/>
      <c r="D456" s="57"/>
      <c r="E456" s="57"/>
      <c r="F456" s="57"/>
      <c r="G456" s="57"/>
      <c r="H456" s="57"/>
      <c r="I456" s="57"/>
    </row>
    <row r="457" spans="1:9" x14ac:dyDescent="0.25">
      <c r="A457" s="56"/>
      <c r="B457" s="57"/>
      <c r="C457" s="57"/>
      <c r="D457" s="57"/>
      <c r="E457" s="57"/>
      <c r="F457" s="57"/>
      <c r="G457" s="57"/>
      <c r="H457" s="57"/>
      <c r="I457" s="57"/>
    </row>
    <row r="458" spans="1:9" x14ac:dyDescent="0.25">
      <c r="A458" s="56"/>
      <c r="B458" s="57"/>
      <c r="C458" s="57"/>
      <c r="D458" s="57"/>
      <c r="E458" s="57"/>
      <c r="F458" s="57"/>
      <c r="G458" s="57"/>
      <c r="H458" s="57"/>
      <c r="I458" s="57"/>
    </row>
    <row r="459" spans="1:9" x14ac:dyDescent="0.25">
      <c r="A459" s="56"/>
      <c r="B459" s="57"/>
      <c r="C459" s="57"/>
      <c r="D459" s="57"/>
      <c r="E459" s="57"/>
      <c r="F459" s="57"/>
      <c r="G459" s="57"/>
      <c r="H459" s="57"/>
      <c r="I459" s="57"/>
    </row>
    <row r="460" spans="1:9" x14ac:dyDescent="0.25">
      <c r="A460" s="56"/>
      <c r="B460" s="57"/>
      <c r="C460" s="57"/>
      <c r="D460" s="57"/>
      <c r="E460" s="57"/>
      <c r="F460" s="57"/>
      <c r="G460" s="57"/>
      <c r="H460" s="57"/>
      <c r="I460" s="57"/>
    </row>
    <row r="461" spans="1:9" x14ac:dyDescent="0.25">
      <c r="A461" s="56"/>
      <c r="B461" s="57"/>
      <c r="C461" s="57"/>
      <c r="D461" s="57"/>
      <c r="E461" s="57"/>
      <c r="F461" s="57"/>
      <c r="G461" s="57"/>
      <c r="H461" s="57"/>
      <c r="I461" s="57"/>
    </row>
    <row r="462" spans="1:9" x14ac:dyDescent="0.25">
      <c r="A462" s="56"/>
      <c r="B462" s="57"/>
      <c r="C462" s="57"/>
      <c r="D462" s="57"/>
      <c r="E462" s="57"/>
      <c r="F462" s="57"/>
      <c r="G462" s="57"/>
      <c r="H462" s="57"/>
      <c r="I462" s="57"/>
    </row>
    <row r="463" spans="1:9" x14ac:dyDescent="0.25">
      <c r="A463" s="56"/>
      <c r="B463" s="57"/>
      <c r="C463" s="57"/>
      <c r="D463" s="57"/>
      <c r="E463" s="57"/>
      <c r="F463" s="57"/>
      <c r="G463" s="57"/>
      <c r="H463" s="57"/>
      <c r="I463" s="57"/>
    </row>
    <row r="464" spans="1:9" x14ac:dyDescent="0.25">
      <c r="A464" s="56"/>
      <c r="B464" s="57"/>
      <c r="C464" s="57"/>
      <c r="D464" s="57"/>
      <c r="E464" s="57"/>
      <c r="F464" s="57"/>
      <c r="G464" s="57"/>
      <c r="H464" s="57"/>
      <c r="I464" s="57"/>
    </row>
    <row r="465" spans="1:9" x14ac:dyDescent="0.25">
      <c r="A465" s="56"/>
      <c r="B465" s="57"/>
      <c r="C465" s="57"/>
      <c r="D465" s="57"/>
      <c r="E465" s="57"/>
      <c r="F465" s="57"/>
      <c r="G465" s="57"/>
      <c r="H465" s="57"/>
      <c r="I465" s="57"/>
    </row>
    <row r="466" spans="1:9" x14ac:dyDescent="0.25">
      <c r="A466" s="56"/>
      <c r="B466" s="57"/>
      <c r="C466" s="57"/>
      <c r="D466" s="57"/>
      <c r="E466" s="57"/>
      <c r="F466" s="57"/>
      <c r="G466" s="57"/>
      <c r="H466" s="57"/>
      <c r="I466" s="57"/>
    </row>
    <row r="467" spans="1:9" x14ac:dyDescent="0.25">
      <c r="A467" s="56"/>
      <c r="B467" s="57"/>
      <c r="C467" s="57"/>
      <c r="D467" s="57"/>
      <c r="E467" s="57"/>
      <c r="F467" s="57"/>
      <c r="G467" s="57"/>
      <c r="H467" s="57"/>
      <c r="I467" s="57"/>
    </row>
    <row r="468" spans="1:9" x14ac:dyDescent="0.25">
      <c r="A468" s="56"/>
      <c r="B468" s="57"/>
      <c r="C468" s="57"/>
      <c r="D468" s="57"/>
      <c r="E468" s="57"/>
      <c r="F468" s="57"/>
      <c r="G468" s="57"/>
      <c r="H468" s="57"/>
      <c r="I468" s="57"/>
    </row>
    <row r="469" spans="1:9" x14ac:dyDescent="0.25">
      <c r="A469" s="56"/>
      <c r="B469" s="57"/>
      <c r="C469" s="57"/>
      <c r="D469" s="57"/>
      <c r="E469" s="57"/>
      <c r="F469" s="57"/>
      <c r="G469" s="57"/>
      <c r="H469" s="57"/>
      <c r="I469" s="57"/>
    </row>
    <row r="470" spans="1:9" x14ac:dyDescent="0.25">
      <c r="A470" s="56"/>
      <c r="B470" s="57"/>
      <c r="C470" s="57"/>
      <c r="D470" s="57"/>
      <c r="E470" s="57"/>
      <c r="F470" s="57"/>
      <c r="G470" s="57"/>
      <c r="H470" s="57"/>
      <c r="I470" s="57"/>
    </row>
    <row r="471" spans="1:9" x14ac:dyDescent="0.25">
      <c r="A471" s="56"/>
      <c r="B471" s="57"/>
      <c r="C471" s="57"/>
      <c r="D471" s="57"/>
      <c r="E471" s="57"/>
      <c r="F471" s="57"/>
      <c r="G471" s="57"/>
      <c r="H471" s="57"/>
      <c r="I471" s="57"/>
    </row>
    <row r="472" spans="1:9" x14ac:dyDescent="0.25">
      <c r="A472" s="56"/>
      <c r="B472" s="57"/>
      <c r="C472" s="57"/>
      <c r="D472" s="57"/>
      <c r="E472" s="57"/>
      <c r="F472" s="57"/>
      <c r="G472" s="57"/>
      <c r="H472" s="57"/>
      <c r="I472" s="57"/>
    </row>
    <row r="473" spans="1:9" x14ac:dyDescent="0.25">
      <c r="A473" s="56"/>
      <c r="B473" s="57"/>
      <c r="C473" s="57"/>
      <c r="D473" s="57"/>
      <c r="E473" s="57"/>
      <c r="F473" s="57"/>
      <c r="G473" s="57"/>
      <c r="H473" s="57"/>
      <c r="I473" s="57"/>
    </row>
    <row r="474" spans="1:9" x14ac:dyDescent="0.25">
      <c r="A474" s="56"/>
      <c r="B474" s="57"/>
      <c r="C474" s="57"/>
      <c r="D474" s="57"/>
      <c r="E474" s="57"/>
      <c r="F474" s="57"/>
      <c r="G474" s="57"/>
      <c r="H474" s="57"/>
      <c r="I474" s="57"/>
    </row>
    <row r="475" spans="1:9" x14ac:dyDescent="0.25">
      <c r="A475" s="56"/>
      <c r="B475" s="57"/>
      <c r="C475" s="57"/>
      <c r="D475" s="57"/>
      <c r="E475" s="57"/>
      <c r="F475" s="57"/>
      <c r="G475" s="57"/>
      <c r="H475" s="57"/>
      <c r="I475" s="57"/>
    </row>
    <row r="476" spans="1:9" x14ac:dyDescent="0.25">
      <c r="A476" s="56"/>
      <c r="B476" s="57"/>
      <c r="C476" s="57"/>
      <c r="D476" s="57"/>
      <c r="E476" s="57"/>
      <c r="F476" s="57"/>
      <c r="G476" s="57"/>
      <c r="H476" s="57"/>
      <c r="I476" s="57"/>
    </row>
    <row r="477" spans="1:9" x14ac:dyDescent="0.25">
      <c r="A477" s="56"/>
      <c r="B477" s="57"/>
      <c r="C477" s="57"/>
      <c r="D477" s="57"/>
      <c r="E477" s="57"/>
      <c r="F477" s="57"/>
      <c r="G477" s="57"/>
      <c r="H477" s="57"/>
      <c r="I477" s="57"/>
    </row>
    <row r="478" spans="1:9" x14ac:dyDescent="0.25">
      <c r="A478" s="56"/>
      <c r="B478" s="57"/>
      <c r="C478" s="57"/>
      <c r="D478" s="57"/>
      <c r="E478" s="57"/>
      <c r="F478" s="57"/>
      <c r="G478" s="57"/>
      <c r="H478" s="57"/>
      <c r="I478" s="57"/>
    </row>
    <row r="479" spans="1:9" x14ac:dyDescent="0.25">
      <c r="A479" s="56"/>
      <c r="B479" s="57"/>
      <c r="C479" s="57"/>
      <c r="D479" s="57"/>
      <c r="E479" s="57"/>
      <c r="F479" s="57"/>
      <c r="G479" s="57"/>
      <c r="H479" s="57"/>
      <c r="I479" s="57"/>
    </row>
    <row r="480" spans="1:9" x14ac:dyDescent="0.25">
      <c r="A480" s="56"/>
      <c r="B480" s="57"/>
      <c r="C480" s="57"/>
      <c r="D480" s="57"/>
      <c r="E480" s="57"/>
      <c r="F480" s="57"/>
      <c r="G480" s="57"/>
      <c r="H480" s="57"/>
      <c r="I480" s="57"/>
    </row>
    <row r="481" spans="1:9" x14ac:dyDescent="0.25">
      <c r="A481" s="56"/>
      <c r="B481" s="57"/>
      <c r="C481" s="57"/>
      <c r="D481" s="57"/>
      <c r="E481" s="57"/>
      <c r="F481" s="57"/>
      <c r="G481" s="57"/>
      <c r="H481" s="57"/>
      <c r="I481" s="57"/>
    </row>
    <row r="482" spans="1:9" x14ac:dyDescent="0.25">
      <c r="A482" s="56"/>
      <c r="B482" s="57"/>
      <c r="C482" s="57"/>
      <c r="D482" s="57"/>
      <c r="E482" s="57"/>
      <c r="F482" s="57"/>
      <c r="G482" s="57"/>
      <c r="H482" s="57"/>
      <c r="I482" s="57"/>
    </row>
    <row r="483" spans="1:9" x14ac:dyDescent="0.25">
      <c r="A483" s="56"/>
      <c r="B483" s="57"/>
      <c r="C483" s="57"/>
      <c r="D483" s="57"/>
      <c r="E483" s="57"/>
      <c r="F483" s="57"/>
      <c r="G483" s="57"/>
      <c r="H483" s="57"/>
      <c r="I483" s="57"/>
    </row>
    <row r="484" spans="1:9" x14ac:dyDescent="0.25">
      <c r="A484" s="56"/>
      <c r="B484" s="57"/>
      <c r="C484" s="57"/>
      <c r="D484" s="57"/>
      <c r="E484" s="57"/>
      <c r="F484" s="57"/>
      <c r="G484" s="57"/>
      <c r="H484" s="57"/>
      <c r="I484" s="57"/>
    </row>
    <row r="485" spans="1:9" x14ac:dyDescent="0.25">
      <c r="A485" s="56"/>
      <c r="B485" s="57"/>
      <c r="C485" s="57"/>
      <c r="D485" s="57"/>
      <c r="E485" s="57"/>
      <c r="F485" s="57"/>
      <c r="G485" s="57"/>
      <c r="H485" s="57"/>
      <c r="I485" s="57"/>
    </row>
    <row r="486" spans="1:9" x14ac:dyDescent="0.25">
      <c r="A486" s="56"/>
      <c r="B486" s="57"/>
      <c r="C486" s="57"/>
      <c r="D486" s="57"/>
      <c r="E486" s="57"/>
      <c r="F486" s="57"/>
      <c r="G486" s="57"/>
      <c r="H486" s="57"/>
      <c r="I486" s="57"/>
    </row>
    <row r="487" spans="1:9" x14ac:dyDescent="0.25">
      <c r="A487" s="56"/>
      <c r="B487" s="57"/>
      <c r="C487" s="57"/>
      <c r="D487" s="57"/>
      <c r="E487" s="57"/>
      <c r="F487" s="57"/>
      <c r="G487" s="57"/>
      <c r="H487" s="57"/>
      <c r="I487" s="57"/>
    </row>
    <row r="488" spans="1:9" x14ac:dyDescent="0.25">
      <c r="A488" s="56"/>
      <c r="B488" s="57"/>
      <c r="C488" s="57"/>
      <c r="D488" s="57"/>
      <c r="E488" s="57"/>
      <c r="F488" s="57"/>
      <c r="G488" s="57"/>
      <c r="H488" s="57"/>
      <c r="I488" s="57"/>
    </row>
    <row r="489" spans="1:9" x14ac:dyDescent="0.25">
      <c r="A489" s="56"/>
      <c r="B489" s="57"/>
      <c r="C489" s="57"/>
      <c r="D489" s="57"/>
      <c r="E489" s="57"/>
      <c r="F489" s="57"/>
      <c r="G489" s="57"/>
      <c r="H489" s="57"/>
      <c r="I489" s="57"/>
    </row>
    <row r="490" spans="1:9" x14ac:dyDescent="0.25">
      <c r="A490" s="56"/>
      <c r="B490" s="57"/>
      <c r="C490" s="57"/>
      <c r="D490" s="57"/>
      <c r="E490" s="57"/>
      <c r="F490" s="57"/>
      <c r="G490" s="57"/>
      <c r="H490" s="57"/>
      <c r="I490" s="57"/>
    </row>
    <row r="491" spans="1:9" x14ac:dyDescent="0.25">
      <c r="A491" s="56"/>
      <c r="B491" s="57"/>
      <c r="C491" s="57"/>
      <c r="D491" s="57"/>
      <c r="E491" s="57"/>
      <c r="F491" s="57"/>
      <c r="G491" s="57"/>
      <c r="H491" s="57"/>
      <c r="I491" s="57"/>
    </row>
    <row r="492" spans="1:9" x14ac:dyDescent="0.25">
      <c r="A492" s="56"/>
      <c r="B492" s="57"/>
      <c r="C492" s="57"/>
      <c r="D492" s="57"/>
      <c r="E492" s="57"/>
      <c r="F492" s="57"/>
      <c r="G492" s="57"/>
      <c r="H492" s="57"/>
      <c r="I492" s="57"/>
    </row>
    <row r="493" spans="1:9" x14ac:dyDescent="0.25">
      <c r="A493" s="56"/>
      <c r="B493" s="57"/>
      <c r="C493" s="57"/>
      <c r="D493" s="57"/>
      <c r="E493" s="57"/>
      <c r="F493" s="57"/>
      <c r="G493" s="57"/>
      <c r="H493" s="57"/>
      <c r="I493" s="57"/>
    </row>
    <row r="494" spans="1:9" x14ac:dyDescent="0.25">
      <c r="A494" s="56"/>
      <c r="B494" s="57"/>
      <c r="C494" s="57"/>
      <c r="D494" s="57"/>
      <c r="E494" s="57"/>
      <c r="F494" s="57"/>
      <c r="G494" s="57"/>
      <c r="H494" s="57"/>
      <c r="I494" s="57"/>
    </row>
    <row r="495" spans="1:9" x14ac:dyDescent="0.25">
      <c r="A495" s="56"/>
      <c r="B495" s="57"/>
      <c r="C495" s="57"/>
      <c r="D495" s="57"/>
      <c r="E495" s="57"/>
      <c r="F495" s="57"/>
      <c r="G495" s="57"/>
      <c r="H495" s="57"/>
      <c r="I495" s="57"/>
    </row>
    <row r="496" spans="1:9" x14ac:dyDescent="0.25">
      <c r="A496" s="56"/>
      <c r="B496" s="57"/>
      <c r="C496" s="57"/>
      <c r="D496" s="57"/>
      <c r="E496" s="57"/>
      <c r="F496" s="57"/>
      <c r="G496" s="57"/>
      <c r="H496" s="57"/>
      <c r="I496" s="57"/>
    </row>
    <row r="497" spans="1:9" x14ac:dyDescent="0.25">
      <c r="A497" s="56"/>
      <c r="B497" s="57"/>
      <c r="C497" s="57"/>
      <c r="D497" s="57"/>
      <c r="E497" s="57"/>
      <c r="F497" s="57"/>
      <c r="G497" s="57"/>
      <c r="H497" s="57"/>
      <c r="I497" s="57"/>
    </row>
    <row r="498" spans="1:9" x14ac:dyDescent="0.25">
      <c r="A498" s="56"/>
      <c r="B498" s="57"/>
      <c r="C498" s="57"/>
      <c r="D498" s="57"/>
      <c r="E498" s="57"/>
      <c r="F498" s="57"/>
      <c r="G498" s="57"/>
      <c r="H498" s="57"/>
      <c r="I498" s="57"/>
    </row>
    <row r="499" spans="1:9" x14ac:dyDescent="0.25">
      <c r="A499" s="56"/>
      <c r="B499" s="57"/>
      <c r="C499" s="57"/>
      <c r="D499" s="57"/>
      <c r="E499" s="57"/>
      <c r="F499" s="57"/>
      <c r="G499" s="57"/>
      <c r="H499" s="57"/>
      <c r="I499" s="57"/>
    </row>
    <row r="500" spans="1:9" ht="45" x14ac:dyDescent="0.25">
      <c r="A500" s="58"/>
      <c r="B500" s="57" t="s">
        <v>81</v>
      </c>
      <c r="C500" s="57">
        <v>5453</v>
      </c>
      <c r="D500" s="57" t="s">
        <v>41</v>
      </c>
      <c r="E500" s="57" t="s">
        <v>350</v>
      </c>
      <c r="F500" s="57">
        <v>152</v>
      </c>
      <c r="G500" s="57" t="s">
        <v>347</v>
      </c>
      <c r="H500" s="57" t="s">
        <v>363</v>
      </c>
      <c r="I500" s="57"/>
    </row>
    <row r="501" spans="1:9" ht="45" x14ac:dyDescent="0.25">
      <c r="A501" s="58"/>
      <c r="B501" s="57" t="s">
        <v>81</v>
      </c>
      <c r="C501" s="57">
        <v>5453</v>
      </c>
      <c r="D501" s="57" t="s">
        <v>43</v>
      </c>
      <c r="E501" s="57" t="s">
        <v>346</v>
      </c>
      <c r="F501" s="57">
        <v>152</v>
      </c>
      <c r="G501" s="57" t="s">
        <v>347</v>
      </c>
      <c r="H501" s="57" t="s">
        <v>364</v>
      </c>
      <c r="I501" s="57"/>
    </row>
    <row r="502" spans="1:9" ht="60" x14ac:dyDescent="0.25">
      <c r="A502" s="58"/>
      <c r="B502" s="57" t="s">
        <v>81</v>
      </c>
      <c r="C502" s="57">
        <v>5453</v>
      </c>
      <c r="D502" s="57" t="s">
        <v>44</v>
      </c>
      <c r="E502" s="57" t="s">
        <v>353</v>
      </c>
      <c r="F502" s="57">
        <v>152</v>
      </c>
      <c r="G502" s="57" t="s">
        <v>347</v>
      </c>
      <c r="H502" s="57" t="s">
        <v>365</v>
      </c>
      <c r="I502" s="57"/>
    </row>
    <row r="503" spans="1:9" ht="60" x14ac:dyDescent="0.25">
      <c r="A503" s="58"/>
      <c r="B503" s="57" t="s">
        <v>81</v>
      </c>
      <c r="C503" s="57">
        <v>5453</v>
      </c>
      <c r="D503" s="57" t="s">
        <v>366</v>
      </c>
      <c r="E503" s="57" t="s">
        <v>353</v>
      </c>
      <c r="F503" s="57">
        <v>152</v>
      </c>
      <c r="G503" s="57" t="s">
        <v>347</v>
      </c>
      <c r="H503" s="57" t="s">
        <v>367</v>
      </c>
      <c r="I503" s="57"/>
    </row>
    <row r="504" spans="1:9" ht="45" x14ac:dyDescent="0.25">
      <c r="A504" s="58"/>
      <c r="B504" s="57" t="s">
        <v>81</v>
      </c>
      <c r="C504" s="57">
        <v>5455</v>
      </c>
      <c r="D504" s="57" t="s">
        <v>41</v>
      </c>
      <c r="E504" s="57" t="s">
        <v>350</v>
      </c>
      <c r="F504" s="57">
        <v>149</v>
      </c>
      <c r="G504" s="57" t="s">
        <v>347</v>
      </c>
      <c r="H504" s="57" t="s">
        <v>363</v>
      </c>
      <c r="I504" s="57"/>
    </row>
    <row r="505" spans="1:9" ht="45" x14ac:dyDescent="0.25">
      <c r="A505" s="58"/>
      <c r="B505" s="57" t="s">
        <v>81</v>
      </c>
      <c r="C505" s="57">
        <v>5455</v>
      </c>
      <c r="D505" s="57" t="s">
        <v>43</v>
      </c>
      <c r="E505" s="57" t="s">
        <v>346</v>
      </c>
      <c r="F505" s="57">
        <v>149</v>
      </c>
      <c r="G505" s="57" t="s">
        <v>347</v>
      </c>
      <c r="H505" s="57" t="s">
        <v>364</v>
      </c>
      <c r="I505" s="57"/>
    </row>
    <row r="506" spans="1:9" ht="60" x14ac:dyDescent="0.25">
      <c r="A506" s="58"/>
      <c r="B506" s="57" t="s">
        <v>81</v>
      </c>
      <c r="C506" s="57">
        <v>5455</v>
      </c>
      <c r="D506" s="57" t="s">
        <v>44</v>
      </c>
      <c r="E506" s="57" t="s">
        <v>353</v>
      </c>
      <c r="F506" s="57">
        <v>149</v>
      </c>
      <c r="G506" s="57" t="s">
        <v>347</v>
      </c>
      <c r="H506" s="57" t="s">
        <v>365</v>
      </c>
      <c r="I506" s="57"/>
    </row>
    <row r="507" spans="1:9" ht="60" x14ac:dyDescent="0.25">
      <c r="A507" s="58"/>
      <c r="B507" s="57" t="s">
        <v>81</v>
      </c>
      <c r="C507" s="57">
        <v>5455</v>
      </c>
      <c r="D507" s="57" t="s">
        <v>366</v>
      </c>
      <c r="E507" s="57" t="s">
        <v>353</v>
      </c>
      <c r="F507" s="57">
        <v>149</v>
      </c>
      <c r="G507" s="57" t="s">
        <v>347</v>
      </c>
      <c r="H507" s="57" t="s">
        <v>367</v>
      </c>
      <c r="I507" s="57"/>
    </row>
    <row r="508" spans="1:9" ht="45" x14ac:dyDescent="0.25">
      <c r="A508" s="58"/>
      <c r="B508" s="57" t="s">
        <v>81</v>
      </c>
      <c r="C508" s="57">
        <v>5459</v>
      </c>
      <c r="D508" s="57" t="s">
        <v>41</v>
      </c>
      <c r="E508" s="57" t="s">
        <v>350</v>
      </c>
      <c r="F508" s="57">
        <v>147</v>
      </c>
      <c r="G508" s="57" t="s">
        <v>347</v>
      </c>
      <c r="H508" s="57" t="s">
        <v>363</v>
      </c>
      <c r="I508" s="57"/>
    </row>
    <row r="509" spans="1:9" ht="45" x14ac:dyDescent="0.25">
      <c r="A509" s="58"/>
      <c r="B509" s="57" t="s">
        <v>81</v>
      </c>
      <c r="C509" s="57">
        <v>5459</v>
      </c>
      <c r="D509" s="57" t="s">
        <v>43</v>
      </c>
      <c r="E509" s="57" t="s">
        <v>346</v>
      </c>
      <c r="F509" s="57">
        <v>147</v>
      </c>
      <c r="G509" s="57" t="s">
        <v>347</v>
      </c>
      <c r="H509" s="57" t="s">
        <v>364</v>
      </c>
      <c r="I509" s="57"/>
    </row>
    <row r="510" spans="1:9" ht="60" x14ac:dyDescent="0.25">
      <c r="A510" s="58"/>
      <c r="B510" s="57" t="s">
        <v>81</v>
      </c>
      <c r="C510" s="57">
        <v>5459</v>
      </c>
      <c r="D510" s="57" t="s">
        <v>44</v>
      </c>
      <c r="E510" s="57" t="s">
        <v>353</v>
      </c>
      <c r="F510" s="57">
        <v>147</v>
      </c>
      <c r="G510" s="57" t="s">
        <v>347</v>
      </c>
      <c r="H510" s="57" t="s">
        <v>365</v>
      </c>
      <c r="I510" s="57"/>
    </row>
    <row r="511" spans="1:9" ht="60" x14ac:dyDescent="0.25">
      <c r="A511" s="58"/>
      <c r="B511" s="57" t="s">
        <v>81</v>
      </c>
      <c r="C511" s="57">
        <v>5459</v>
      </c>
      <c r="D511" s="57" t="s">
        <v>366</v>
      </c>
      <c r="E511" s="57" t="s">
        <v>353</v>
      </c>
      <c r="F511" s="57">
        <v>147</v>
      </c>
      <c r="G511" s="57" t="s">
        <v>347</v>
      </c>
      <c r="H511" s="57" t="s">
        <v>367</v>
      </c>
      <c r="I511" s="57"/>
    </row>
    <row r="512" spans="1:9" ht="45" x14ac:dyDescent="0.25">
      <c r="A512" s="58"/>
      <c r="B512" s="57" t="s">
        <v>81</v>
      </c>
      <c r="C512" s="57">
        <v>5460</v>
      </c>
      <c r="D512" s="57" t="s">
        <v>41</v>
      </c>
      <c r="E512" s="57" t="s">
        <v>350</v>
      </c>
      <c r="F512" s="57">
        <v>147</v>
      </c>
      <c r="G512" s="57" t="s">
        <v>347</v>
      </c>
      <c r="H512" s="57" t="s">
        <v>363</v>
      </c>
      <c r="I512" s="57"/>
    </row>
    <row r="513" spans="1:9" ht="45" x14ac:dyDescent="0.25">
      <c r="A513" s="58"/>
      <c r="B513" s="57" t="s">
        <v>81</v>
      </c>
      <c r="C513" s="57">
        <v>5460</v>
      </c>
      <c r="D513" s="57" t="s">
        <v>43</v>
      </c>
      <c r="E513" s="57" t="s">
        <v>346</v>
      </c>
      <c r="F513" s="57">
        <v>147</v>
      </c>
      <c r="G513" s="57" t="s">
        <v>347</v>
      </c>
      <c r="H513" s="57" t="s">
        <v>364</v>
      </c>
      <c r="I513" s="57"/>
    </row>
    <row r="514" spans="1:9" ht="60" x14ac:dyDescent="0.25">
      <c r="A514" s="58"/>
      <c r="B514" s="57" t="s">
        <v>81</v>
      </c>
      <c r="C514" s="57">
        <v>5460</v>
      </c>
      <c r="D514" s="57" t="s">
        <v>44</v>
      </c>
      <c r="E514" s="57" t="s">
        <v>353</v>
      </c>
      <c r="F514" s="57">
        <v>147</v>
      </c>
      <c r="G514" s="57" t="s">
        <v>347</v>
      </c>
      <c r="H514" s="57" t="s">
        <v>365</v>
      </c>
      <c r="I514" s="57"/>
    </row>
    <row r="515" spans="1:9" ht="60" x14ac:dyDescent="0.25">
      <c r="A515" s="58"/>
      <c r="B515" s="57" t="s">
        <v>81</v>
      </c>
      <c r="C515" s="57">
        <v>5460</v>
      </c>
      <c r="D515" s="57" t="s">
        <v>366</v>
      </c>
      <c r="E515" s="57" t="s">
        <v>353</v>
      </c>
      <c r="F515" s="57">
        <v>147</v>
      </c>
      <c r="G515" s="57" t="s">
        <v>347</v>
      </c>
      <c r="H515" s="57" t="s">
        <v>367</v>
      </c>
      <c r="I515" s="57"/>
    </row>
    <row r="516" spans="1:9" ht="45" x14ac:dyDescent="0.25">
      <c r="A516" s="58"/>
      <c r="B516" s="57" t="s">
        <v>81</v>
      </c>
      <c r="C516" s="57">
        <v>5463</v>
      </c>
      <c r="D516" s="57" t="s">
        <v>41</v>
      </c>
      <c r="E516" s="57" t="s">
        <v>350</v>
      </c>
      <c r="F516" s="57">
        <v>145</v>
      </c>
      <c r="G516" s="57" t="s">
        <v>347</v>
      </c>
      <c r="H516" s="57" t="s">
        <v>363</v>
      </c>
      <c r="I516" s="57"/>
    </row>
    <row r="517" spans="1:9" ht="45" x14ac:dyDescent="0.25">
      <c r="A517" s="58"/>
      <c r="B517" s="57" t="s">
        <v>81</v>
      </c>
      <c r="C517" s="57">
        <v>5463</v>
      </c>
      <c r="D517" s="57" t="s">
        <v>43</v>
      </c>
      <c r="E517" s="57" t="s">
        <v>346</v>
      </c>
      <c r="F517" s="57">
        <v>145</v>
      </c>
      <c r="G517" s="57" t="s">
        <v>347</v>
      </c>
      <c r="H517" s="57" t="s">
        <v>364</v>
      </c>
      <c r="I517" s="57"/>
    </row>
    <row r="518" spans="1:9" ht="60" x14ac:dyDescent="0.25">
      <c r="A518" s="58"/>
      <c r="B518" s="57" t="s">
        <v>81</v>
      </c>
      <c r="C518" s="57">
        <v>5463</v>
      </c>
      <c r="D518" s="57" t="s">
        <v>44</v>
      </c>
      <c r="E518" s="57" t="s">
        <v>353</v>
      </c>
      <c r="F518" s="57">
        <v>145</v>
      </c>
      <c r="G518" s="57" t="s">
        <v>347</v>
      </c>
      <c r="H518" s="57" t="s">
        <v>365</v>
      </c>
      <c r="I518" s="57"/>
    </row>
    <row r="519" spans="1:9" ht="60" x14ac:dyDescent="0.25">
      <c r="A519" s="58"/>
      <c r="B519" s="57" t="s">
        <v>81</v>
      </c>
      <c r="C519" s="57">
        <v>5463</v>
      </c>
      <c r="D519" s="57" t="s">
        <v>366</v>
      </c>
      <c r="E519" s="57" t="s">
        <v>353</v>
      </c>
      <c r="F519" s="57">
        <v>145</v>
      </c>
      <c r="G519" s="57" t="s">
        <v>347</v>
      </c>
      <c r="H519" s="57" t="s">
        <v>367</v>
      </c>
      <c r="I519" s="57"/>
    </row>
    <row r="520" spans="1:9" ht="45" x14ac:dyDescent="0.25">
      <c r="A520" s="58"/>
      <c r="B520" s="57" t="s">
        <v>81</v>
      </c>
      <c r="C520" s="57">
        <v>5466</v>
      </c>
      <c r="D520" s="57" t="s">
        <v>41</v>
      </c>
      <c r="E520" s="57" t="s">
        <v>350</v>
      </c>
      <c r="F520" s="57">
        <v>145</v>
      </c>
      <c r="G520" s="57" t="s">
        <v>347</v>
      </c>
      <c r="H520" s="57" t="s">
        <v>363</v>
      </c>
      <c r="I520" s="57"/>
    </row>
    <row r="521" spans="1:9" ht="45" x14ac:dyDescent="0.25">
      <c r="A521" s="58"/>
      <c r="B521" s="57" t="s">
        <v>81</v>
      </c>
      <c r="C521" s="57">
        <v>5466</v>
      </c>
      <c r="D521" s="57" t="s">
        <v>43</v>
      </c>
      <c r="E521" s="57" t="s">
        <v>346</v>
      </c>
      <c r="F521" s="57">
        <v>145</v>
      </c>
      <c r="G521" s="57" t="s">
        <v>347</v>
      </c>
      <c r="H521" s="57" t="s">
        <v>364</v>
      </c>
      <c r="I521" s="57"/>
    </row>
    <row r="522" spans="1:9" ht="60" x14ac:dyDescent="0.25">
      <c r="A522" s="58"/>
      <c r="B522" s="57" t="s">
        <v>81</v>
      </c>
      <c r="C522" s="57">
        <v>5466</v>
      </c>
      <c r="D522" s="57" t="s">
        <v>44</v>
      </c>
      <c r="E522" s="57" t="s">
        <v>353</v>
      </c>
      <c r="F522" s="57">
        <v>145</v>
      </c>
      <c r="G522" s="57" t="s">
        <v>347</v>
      </c>
      <c r="H522" s="57" t="s">
        <v>365</v>
      </c>
      <c r="I522" s="57"/>
    </row>
    <row r="523" spans="1:9" ht="60" x14ac:dyDescent="0.25">
      <c r="A523" s="58"/>
      <c r="B523" s="57" t="s">
        <v>81</v>
      </c>
      <c r="C523" s="57">
        <v>5466</v>
      </c>
      <c r="D523" s="57" t="s">
        <v>366</v>
      </c>
      <c r="E523" s="57" t="s">
        <v>353</v>
      </c>
      <c r="F523" s="57">
        <v>145</v>
      </c>
      <c r="G523" s="57" t="s">
        <v>347</v>
      </c>
      <c r="H523" s="57" t="s">
        <v>367</v>
      </c>
      <c r="I523" s="57"/>
    </row>
    <row r="524" spans="1:9" ht="45" x14ac:dyDescent="0.25">
      <c r="A524" s="58"/>
      <c r="B524" s="57" t="s">
        <v>81</v>
      </c>
      <c r="C524" s="57">
        <v>5467</v>
      </c>
      <c r="D524" s="57" t="s">
        <v>41</v>
      </c>
      <c r="E524" s="57" t="s">
        <v>350</v>
      </c>
      <c r="F524" s="57">
        <v>145</v>
      </c>
      <c r="G524" s="57" t="s">
        <v>347</v>
      </c>
      <c r="H524" s="57" t="s">
        <v>363</v>
      </c>
      <c r="I524" s="57"/>
    </row>
    <row r="525" spans="1:9" ht="45" x14ac:dyDescent="0.25">
      <c r="A525" s="58"/>
      <c r="B525" s="57" t="s">
        <v>81</v>
      </c>
      <c r="C525" s="57">
        <v>5467</v>
      </c>
      <c r="D525" s="57" t="s">
        <v>43</v>
      </c>
      <c r="E525" s="57" t="s">
        <v>346</v>
      </c>
      <c r="F525" s="57">
        <v>145</v>
      </c>
      <c r="G525" s="57" t="s">
        <v>347</v>
      </c>
      <c r="H525" s="57" t="s">
        <v>364</v>
      </c>
      <c r="I525" s="57"/>
    </row>
    <row r="526" spans="1:9" ht="60" x14ac:dyDescent="0.25">
      <c r="A526" s="58"/>
      <c r="B526" s="57" t="s">
        <v>81</v>
      </c>
      <c r="C526" s="57">
        <v>5467</v>
      </c>
      <c r="D526" s="57" t="s">
        <v>44</v>
      </c>
      <c r="E526" s="57" t="s">
        <v>353</v>
      </c>
      <c r="F526" s="57">
        <v>145</v>
      </c>
      <c r="G526" s="57" t="s">
        <v>347</v>
      </c>
      <c r="H526" s="57" t="s">
        <v>365</v>
      </c>
      <c r="I526" s="57"/>
    </row>
    <row r="527" spans="1:9" ht="60" x14ac:dyDescent="0.25">
      <c r="A527" s="58"/>
      <c r="B527" s="57" t="s">
        <v>81</v>
      </c>
      <c r="C527" s="57">
        <v>5467</v>
      </c>
      <c r="D527" s="57" t="s">
        <v>366</v>
      </c>
      <c r="E527" s="57" t="s">
        <v>353</v>
      </c>
      <c r="F527" s="57">
        <v>145</v>
      </c>
      <c r="G527" s="57" t="s">
        <v>347</v>
      </c>
      <c r="H527" s="57" t="s">
        <v>367</v>
      </c>
      <c r="I527" s="57"/>
    </row>
    <row r="528" spans="1:9" ht="45" x14ac:dyDescent="0.25">
      <c r="A528" s="58"/>
      <c r="B528" s="57" t="s">
        <v>81</v>
      </c>
      <c r="C528" s="57">
        <v>5468</v>
      </c>
      <c r="D528" s="57" t="s">
        <v>41</v>
      </c>
      <c r="E528" s="57" t="s">
        <v>350</v>
      </c>
      <c r="F528" s="57">
        <v>142</v>
      </c>
      <c r="G528" s="57" t="s">
        <v>347</v>
      </c>
      <c r="H528" s="57" t="s">
        <v>363</v>
      </c>
      <c r="I528" s="57"/>
    </row>
    <row r="529" spans="1:9" ht="45" x14ac:dyDescent="0.25">
      <c r="A529" s="58"/>
      <c r="B529" s="57" t="s">
        <v>81</v>
      </c>
      <c r="C529" s="57">
        <v>5468</v>
      </c>
      <c r="D529" s="57" t="s">
        <v>43</v>
      </c>
      <c r="E529" s="57" t="s">
        <v>346</v>
      </c>
      <c r="F529" s="57">
        <v>142</v>
      </c>
      <c r="G529" s="57" t="s">
        <v>347</v>
      </c>
      <c r="H529" s="57" t="s">
        <v>364</v>
      </c>
      <c r="I529" s="57"/>
    </row>
    <row r="530" spans="1:9" ht="60" x14ac:dyDescent="0.25">
      <c r="A530" s="58"/>
      <c r="B530" s="57" t="s">
        <v>81</v>
      </c>
      <c r="C530" s="57">
        <v>5468</v>
      </c>
      <c r="D530" s="57" t="s">
        <v>44</v>
      </c>
      <c r="E530" s="57" t="s">
        <v>353</v>
      </c>
      <c r="F530" s="57">
        <v>142</v>
      </c>
      <c r="G530" s="57" t="s">
        <v>347</v>
      </c>
      <c r="H530" s="57" t="s">
        <v>365</v>
      </c>
      <c r="I530" s="57"/>
    </row>
    <row r="531" spans="1:9" ht="60" x14ac:dyDescent="0.25">
      <c r="A531" s="58"/>
      <c r="B531" s="57" t="s">
        <v>81</v>
      </c>
      <c r="C531" s="57">
        <v>5468</v>
      </c>
      <c r="D531" s="57" t="s">
        <v>366</v>
      </c>
      <c r="E531" s="57" t="s">
        <v>353</v>
      </c>
      <c r="F531" s="57">
        <v>142</v>
      </c>
      <c r="G531" s="57" t="s">
        <v>347</v>
      </c>
      <c r="H531" s="57" t="s">
        <v>367</v>
      </c>
      <c r="I531" s="57"/>
    </row>
    <row r="532" spans="1:9" ht="45" x14ac:dyDescent="0.25">
      <c r="A532" s="58"/>
      <c r="B532" s="57" t="s">
        <v>81</v>
      </c>
      <c r="C532" s="57">
        <v>5469</v>
      </c>
      <c r="D532" s="57" t="s">
        <v>41</v>
      </c>
      <c r="E532" s="57" t="s">
        <v>350</v>
      </c>
      <c r="F532" s="57">
        <v>142</v>
      </c>
      <c r="G532" s="57" t="s">
        <v>347</v>
      </c>
      <c r="H532" s="57" t="s">
        <v>363</v>
      </c>
      <c r="I532" s="57"/>
    </row>
    <row r="533" spans="1:9" ht="45" x14ac:dyDescent="0.25">
      <c r="A533" s="58"/>
      <c r="B533" s="57" t="s">
        <v>81</v>
      </c>
      <c r="C533" s="57">
        <v>5469</v>
      </c>
      <c r="D533" s="57" t="s">
        <v>43</v>
      </c>
      <c r="E533" s="57" t="s">
        <v>346</v>
      </c>
      <c r="F533" s="57">
        <v>142</v>
      </c>
      <c r="G533" s="57" t="s">
        <v>347</v>
      </c>
      <c r="H533" s="57" t="s">
        <v>364</v>
      </c>
      <c r="I533" s="57"/>
    </row>
    <row r="534" spans="1:9" ht="60" x14ac:dyDescent="0.25">
      <c r="A534" s="58"/>
      <c r="B534" s="57" t="s">
        <v>81</v>
      </c>
      <c r="C534" s="57">
        <v>5469</v>
      </c>
      <c r="D534" s="57" t="s">
        <v>44</v>
      </c>
      <c r="E534" s="57" t="s">
        <v>353</v>
      </c>
      <c r="F534" s="57">
        <v>142</v>
      </c>
      <c r="G534" s="57" t="s">
        <v>347</v>
      </c>
      <c r="H534" s="57" t="s">
        <v>365</v>
      </c>
      <c r="I534" s="57"/>
    </row>
    <row r="535" spans="1:9" ht="60" x14ac:dyDescent="0.25">
      <c r="A535" s="58"/>
      <c r="B535" s="57" t="s">
        <v>81</v>
      </c>
      <c r="C535" s="57">
        <v>5469</v>
      </c>
      <c r="D535" s="57" t="s">
        <v>366</v>
      </c>
      <c r="E535" s="57" t="s">
        <v>353</v>
      </c>
      <c r="F535" s="57">
        <v>142</v>
      </c>
      <c r="G535" s="57" t="s">
        <v>347</v>
      </c>
      <c r="H535" s="57" t="s">
        <v>367</v>
      </c>
      <c r="I535" s="57"/>
    </row>
    <row r="536" spans="1:9" ht="45" x14ac:dyDescent="0.25">
      <c r="A536" s="58"/>
      <c r="B536" s="57" t="s">
        <v>81</v>
      </c>
      <c r="C536" s="57">
        <v>5478</v>
      </c>
      <c r="D536" s="57" t="s">
        <v>41</v>
      </c>
      <c r="E536" s="57" t="s">
        <v>350</v>
      </c>
      <c r="F536" s="57">
        <v>503</v>
      </c>
      <c r="G536" s="57" t="s">
        <v>347</v>
      </c>
      <c r="H536" s="57" t="s">
        <v>363</v>
      </c>
      <c r="I536" s="57"/>
    </row>
    <row r="537" spans="1:9" ht="45" x14ac:dyDescent="0.25">
      <c r="A537" s="58"/>
      <c r="B537" s="57" t="s">
        <v>81</v>
      </c>
      <c r="C537" s="57">
        <v>5478</v>
      </c>
      <c r="D537" s="57" t="s">
        <v>43</v>
      </c>
      <c r="E537" s="57" t="s">
        <v>346</v>
      </c>
      <c r="F537" s="57">
        <v>503</v>
      </c>
      <c r="G537" s="57" t="s">
        <v>347</v>
      </c>
      <c r="H537" s="57" t="s">
        <v>364</v>
      </c>
      <c r="I537" s="57"/>
    </row>
    <row r="538" spans="1:9" ht="60" x14ac:dyDescent="0.25">
      <c r="A538" s="58"/>
      <c r="B538" s="57" t="s">
        <v>81</v>
      </c>
      <c r="C538" s="57">
        <v>5478</v>
      </c>
      <c r="D538" s="57" t="s">
        <v>44</v>
      </c>
      <c r="E538" s="57" t="s">
        <v>353</v>
      </c>
      <c r="F538" s="57">
        <v>503</v>
      </c>
      <c r="G538" s="57" t="s">
        <v>347</v>
      </c>
      <c r="H538" s="57" t="s">
        <v>365</v>
      </c>
      <c r="I538" s="57"/>
    </row>
    <row r="539" spans="1:9" ht="60" x14ac:dyDescent="0.25">
      <c r="A539" s="58"/>
      <c r="B539" s="57" t="s">
        <v>81</v>
      </c>
      <c r="C539" s="57">
        <v>5478</v>
      </c>
      <c r="D539" s="57" t="s">
        <v>366</v>
      </c>
      <c r="E539" s="57" t="s">
        <v>353</v>
      </c>
      <c r="F539" s="57">
        <v>503</v>
      </c>
      <c r="G539" s="57" t="s">
        <v>347</v>
      </c>
      <c r="H539" s="57" t="s">
        <v>367</v>
      </c>
      <c r="I539" s="57"/>
    </row>
    <row r="540" spans="1:9" ht="45" x14ac:dyDescent="0.25">
      <c r="A540" s="58"/>
      <c r="B540" s="57" t="s">
        <v>81</v>
      </c>
      <c r="C540" s="57">
        <v>5479</v>
      </c>
      <c r="D540" s="57" t="s">
        <v>41</v>
      </c>
      <c r="E540" s="57" t="s">
        <v>350</v>
      </c>
      <c r="F540" s="57">
        <v>135</v>
      </c>
      <c r="G540" s="57" t="s">
        <v>347</v>
      </c>
      <c r="H540" s="57" t="s">
        <v>363</v>
      </c>
      <c r="I540" s="57"/>
    </row>
    <row r="541" spans="1:9" ht="45" x14ac:dyDescent="0.25">
      <c r="A541" s="58"/>
      <c r="B541" s="57" t="s">
        <v>81</v>
      </c>
      <c r="C541" s="57">
        <v>5479</v>
      </c>
      <c r="D541" s="57" t="s">
        <v>43</v>
      </c>
      <c r="E541" s="57" t="s">
        <v>346</v>
      </c>
      <c r="F541" s="57">
        <v>135</v>
      </c>
      <c r="G541" s="57" t="s">
        <v>347</v>
      </c>
      <c r="H541" s="57" t="s">
        <v>364</v>
      </c>
      <c r="I541" s="57"/>
    </row>
    <row r="542" spans="1:9" ht="60" x14ac:dyDescent="0.25">
      <c r="A542" s="58"/>
      <c r="B542" s="57" t="s">
        <v>81</v>
      </c>
      <c r="C542" s="57">
        <v>5479</v>
      </c>
      <c r="D542" s="57" t="s">
        <v>44</v>
      </c>
      <c r="E542" s="57" t="s">
        <v>353</v>
      </c>
      <c r="F542" s="57">
        <v>135</v>
      </c>
      <c r="G542" s="57" t="s">
        <v>347</v>
      </c>
      <c r="H542" s="57" t="s">
        <v>365</v>
      </c>
      <c r="I542" s="57"/>
    </row>
    <row r="543" spans="1:9" ht="60" x14ac:dyDescent="0.25">
      <c r="A543" s="58"/>
      <c r="B543" s="57" t="s">
        <v>81</v>
      </c>
      <c r="C543" s="57">
        <v>5479</v>
      </c>
      <c r="D543" s="57" t="s">
        <v>366</v>
      </c>
      <c r="E543" s="57" t="s">
        <v>353</v>
      </c>
      <c r="F543" s="57">
        <v>135</v>
      </c>
      <c r="G543" s="57" t="s">
        <v>347</v>
      </c>
      <c r="H543" s="57" t="s">
        <v>367</v>
      </c>
      <c r="I543" s="57"/>
    </row>
    <row r="544" spans="1:9" ht="45" x14ac:dyDescent="0.25">
      <c r="A544" s="58"/>
      <c r="B544" s="57" t="s">
        <v>81</v>
      </c>
      <c r="C544" s="57">
        <v>5481</v>
      </c>
      <c r="D544" s="57" t="s">
        <v>41</v>
      </c>
      <c r="E544" s="57" t="s">
        <v>350</v>
      </c>
      <c r="F544" s="57">
        <v>134</v>
      </c>
      <c r="G544" s="57" t="s">
        <v>347</v>
      </c>
      <c r="H544" s="57" t="s">
        <v>363</v>
      </c>
      <c r="I544" s="57"/>
    </row>
    <row r="545" spans="1:9" ht="45" x14ac:dyDescent="0.25">
      <c r="A545" s="58"/>
      <c r="B545" s="57" t="s">
        <v>81</v>
      </c>
      <c r="C545" s="57">
        <v>5481</v>
      </c>
      <c r="D545" s="57" t="s">
        <v>43</v>
      </c>
      <c r="E545" s="57" t="s">
        <v>346</v>
      </c>
      <c r="F545" s="57">
        <v>134</v>
      </c>
      <c r="G545" s="57" t="s">
        <v>347</v>
      </c>
      <c r="H545" s="57" t="s">
        <v>364</v>
      </c>
      <c r="I545" s="57"/>
    </row>
    <row r="546" spans="1:9" ht="60" x14ac:dyDescent="0.25">
      <c r="A546" s="58"/>
      <c r="B546" s="57" t="s">
        <v>81</v>
      </c>
      <c r="C546" s="57">
        <v>5481</v>
      </c>
      <c r="D546" s="57" t="s">
        <v>44</v>
      </c>
      <c r="E546" s="57" t="s">
        <v>353</v>
      </c>
      <c r="F546" s="57">
        <v>134</v>
      </c>
      <c r="G546" s="57" t="s">
        <v>347</v>
      </c>
      <c r="H546" s="57" t="s">
        <v>365</v>
      </c>
      <c r="I546" s="57"/>
    </row>
    <row r="547" spans="1:9" ht="60" x14ac:dyDescent="0.25">
      <c r="A547" s="58"/>
      <c r="B547" s="57" t="s">
        <v>81</v>
      </c>
      <c r="C547" s="57">
        <v>5481</v>
      </c>
      <c r="D547" s="57" t="s">
        <v>366</v>
      </c>
      <c r="E547" s="57" t="s">
        <v>353</v>
      </c>
      <c r="F547" s="57">
        <v>134</v>
      </c>
      <c r="G547" s="57" t="s">
        <v>347</v>
      </c>
      <c r="H547" s="57" t="s">
        <v>367</v>
      </c>
      <c r="I547" s="57"/>
    </row>
    <row r="548" spans="1:9" ht="45" x14ac:dyDescent="0.25">
      <c r="A548" s="58"/>
      <c r="B548" s="57" t="s">
        <v>81</v>
      </c>
      <c r="C548" s="57">
        <v>5483</v>
      </c>
      <c r="D548" s="57" t="s">
        <v>41</v>
      </c>
      <c r="E548" s="57" t="s">
        <v>350</v>
      </c>
      <c r="F548" s="57">
        <v>134</v>
      </c>
      <c r="G548" s="57" t="s">
        <v>347</v>
      </c>
      <c r="H548" s="57" t="s">
        <v>363</v>
      </c>
      <c r="I548" s="57"/>
    </row>
    <row r="549" spans="1:9" ht="45" x14ac:dyDescent="0.25">
      <c r="A549" s="58"/>
      <c r="B549" s="57" t="s">
        <v>81</v>
      </c>
      <c r="C549" s="57">
        <v>5483</v>
      </c>
      <c r="D549" s="57" t="s">
        <v>43</v>
      </c>
      <c r="E549" s="57" t="s">
        <v>346</v>
      </c>
      <c r="F549" s="57">
        <v>134</v>
      </c>
      <c r="G549" s="57" t="s">
        <v>347</v>
      </c>
      <c r="H549" s="57" t="s">
        <v>364</v>
      </c>
      <c r="I549" s="57"/>
    </row>
    <row r="550" spans="1:9" ht="60" x14ac:dyDescent="0.25">
      <c r="A550" s="58"/>
      <c r="B550" s="57" t="s">
        <v>81</v>
      </c>
      <c r="C550" s="57">
        <v>5483</v>
      </c>
      <c r="D550" s="57" t="s">
        <v>44</v>
      </c>
      <c r="E550" s="57" t="s">
        <v>353</v>
      </c>
      <c r="F550" s="57">
        <v>134</v>
      </c>
      <c r="G550" s="57" t="s">
        <v>347</v>
      </c>
      <c r="H550" s="57" t="s">
        <v>365</v>
      </c>
      <c r="I550" s="57"/>
    </row>
    <row r="551" spans="1:9" ht="60" x14ac:dyDescent="0.25">
      <c r="A551" s="58"/>
      <c r="B551" s="57" t="s">
        <v>81</v>
      </c>
      <c r="C551" s="57">
        <v>5483</v>
      </c>
      <c r="D551" s="57" t="s">
        <v>366</v>
      </c>
      <c r="E551" s="57" t="s">
        <v>353</v>
      </c>
      <c r="F551" s="57">
        <v>134</v>
      </c>
      <c r="G551" s="57" t="s">
        <v>347</v>
      </c>
      <c r="H551" s="57" t="s">
        <v>367</v>
      </c>
      <c r="I551" s="57"/>
    </row>
    <row r="552" spans="1:9" ht="45" x14ac:dyDescent="0.25">
      <c r="A552" s="58"/>
      <c r="B552" s="57" t="s">
        <v>81</v>
      </c>
      <c r="C552" s="57">
        <v>5484</v>
      </c>
      <c r="D552" s="57" t="s">
        <v>41</v>
      </c>
      <c r="E552" s="57" t="s">
        <v>350</v>
      </c>
      <c r="F552" s="57">
        <v>132</v>
      </c>
      <c r="G552" s="57" t="s">
        <v>347</v>
      </c>
      <c r="H552" s="57" t="s">
        <v>363</v>
      </c>
      <c r="I552" s="57"/>
    </row>
    <row r="553" spans="1:9" ht="45" x14ac:dyDescent="0.25">
      <c r="A553" s="58"/>
      <c r="B553" s="57" t="s">
        <v>81</v>
      </c>
      <c r="C553" s="57">
        <v>5484</v>
      </c>
      <c r="D553" s="57" t="s">
        <v>43</v>
      </c>
      <c r="E553" s="57" t="s">
        <v>346</v>
      </c>
      <c r="F553" s="57">
        <v>132</v>
      </c>
      <c r="G553" s="57" t="s">
        <v>347</v>
      </c>
      <c r="H553" s="57" t="s">
        <v>364</v>
      </c>
      <c r="I553" s="57"/>
    </row>
    <row r="554" spans="1:9" ht="60" x14ac:dyDescent="0.25">
      <c r="A554" s="58"/>
      <c r="B554" s="57" t="s">
        <v>81</v>
      </c>
      <c r="C554" s="57">
        <v>5484</v>
      </c>
      <c r="D554" s="57" t="s">
        <v>44</v>
      </c>
      <c r="E554" s="57" t="s">
        <v>353</v>
      </c>
      <c r="F554" s="57">
        <v>132</v>
      </c>
      <c r="G554" s="57" t="s">
        <v>347</v>
      </c>
      <c r="H554" s="57" t="s">
        <v>365</v>
      </c>
      <c r="I554" s="57"/>
    </row>
    <row r="555" spans="1:9" ht="60" x14ac:dyDescent="0.25">
      <c r="A555" s="58"/>
      <c r="B555" s="57" t="s">
        <v>81</v>
      </c>
      <c r="C555" s="57">
        <v>5484</v>
      </c>
      <c r="D555" s="57" t="s">
        <v>366</v>
      </c>
      <c r="E555" s="57" t="s">
        <v>353</v>
      </c>
      <c r="F555" s="57">
        <v>132</v>
      </c>
      <c r="G555" s="57" t="s">
        <v>347</v>
      </c>
      <c r="H555" s="57" t="s">
        <v>367</v>
      </c>
      <c r="I555" s="57"/>
    </row>
    <row r="556" spans="1:9" ht="45" x14ac:dyDescent="0.25">
      <c r="A556" s="58"/>
      <c r="B556" s="57" t="s">
        <v>81</v>
      </c>
      <c r="C556" s="57">
        <v>5485</v>
      </c>
      <c r="D556" s="57" t="s">
        <v>41</v>
      </c>
      <c r="E556" s="57" t="s">
        <v>350</v>
      </c>
      <c r="F556" s="57">
        <v>128</v>
      </c>
      <c r="G556" s="57" t="s">
        <v>347</v>
      </c>
      <c r="H556" s="57" t="s">
        <v>363</v>
      </c>
      <c r="I556" s="57"/>
    </row>
    <row r="557" spans="1:9" ht="45" x14ac:dyDescent="0.25">
      <c r="A557" s="58"/>
      <c r="B557" s="57" t="s">
        <v>81</v>
      </c>
      <c r="C557" s="57">
        <v>5485</v>
      </c>
      <c r="D557" s="57" t="s">
        <v>43</v>
      </c>
      <c r="E557" s="57" t="s">
        <v>346</v>
      </c>
      <c r="F557" s="57">
        <v>128</v>
      </c>
      <c r="G557" s="57" t="s">
        <v>347</v>
      </c>
      <c r="H557" s="57" t="s">
        <v>364</v>
      </c>
      <c r="I557" s="57"/>
    </row>
    <row r="558" spans="1:9" ht="60" x14ac:dyDescent="0.25">
      <c r="A558" s="58"/>
      <c r="B558" s="57" t="s">
        <v>81</v>
      </c>
      <c r="C558" s="57">
        <v>5485</v>
      </c>
      <c r="D558" s="57" t="s">
        <v>44</v>
      </c>
      <c r="E558" s="57" t="s">
        <v>353</v>
      </c>
      <c r="F558" s="57">
        <v>128</v>
      </c>
      <c r="G558" s="57" t="s">
        <v>347</v>
      </c>
      <c r="H558" s="57" t="s">
        <v>365</v>
      </c>
      <c r="I558" s="57"/>
    </row>
    <row r="559" spans="1:9" ht="60" x14ac:dyDescent="0.25">
      <c r="A559" s="58"/>
      <c r="B559" s="57" t="s">
        <v>81</v>
      </c>
      <c r="C559" s="57">
        <v>5485</v>
      </c>
      <c r="D559" s="57" t="s">
        <v>366</v>
      </c>
      <c r="E559" s="57" t="s">
        <v>353</v>
      </c>
      <c r="F559" s="57">
        <v>128</v>
      </c>
      <c r="G559" s="57" t="s">
        <v>347</v>
      </c>
      <c r="H559" s="57" t="s">
        <v>367</v>
      </c>
      <c r="I559" s="57"/>
    </row>
    <row r="560" spans="1:9" ht="45" x14ac:dyDescent="0.25">
      <c r="A560" s="58"/>
      <c r="B560" s="57" t="s">
        <v>81</v>
      </c>
      <c r="C560" s="57">
        <v>5486</v>
      </c>
      <c r="D560" s="57" t="s">
        <v>41</v>
      </c>
      <c r="E560" s="57" t="s">
        <v>350</v>
      </c>
      <c r="F560" s="57">
        <v>128</v>
      </c>
      <c r="G560" s="57" t="s">
        <v>347</v>
      </c>
      <c r="H560" s="57" t="s">
        <v>363</v>
      </c>
      <c r="I560" s="57"/>
    </row>
    <row r="561" spans="1:9" ht="45" x14ac:dyDescent="0.25">
      <c r="A561" s="58"/>
      <c r="B561" s="57" t="s">
        <v>81</v>
      </c>
      <c r="C561" s="57">
        <v>5486</v>
      </c>
      <c r="D561" s="57" t="s">
        <v>43</v>
      </c>
      <c r="E561" s="57" t="s">
        <v>346</v>
      </c>
      <c r="F561" s="57">
        <v>128</v>
      </c>
      <c r="G561" s="57" t="s">
        <v>347</v>
      </c>
      <c r="H561" s="57" t="s">
        <v>364</v>
      </c>
      <c r="I561" s="57"/>
    </row>
    <row r="562" spans="1:9" ht="60" x14ac:dyDescent="0.25">
      <c r="A562" s="58"/>
      <c r="B562" s="57" t="s">
        <v>81</v>
      </c>
      <c r="C562" s="57">
        <v>5486</v>
      </c>
      <c r="D562" s="57" t="s">
        <v>44</v>
      </c>
      <c r="E562" s="57" t="s">
        <v>353</v>
      </c>
      <c r="F562" s="57">
        <v>128</v>
      </c>
      <c r="G562" s="57" t="s">
        <v>347</v>
      </c>
      <c r="H562" s="57" t="s">
        <v>365</v>
      </c>
      <c r="I562" s="57"/>
    </row>
    <row r="563" spans="1:9" ht="60" x14ac:dyDescent="0.25">
      <c r="A563" s="58"/>
      <c r="B563" s="57" t="s">
        <v>81</v>
      </c>
      <c r="C563" s="57">
        <v>5486</v>
      </c>
      <c r="D563" s="57" t="s">
        <v>366</v>
      </c>
      <c r="E563" s="57" t="s">
        <v>353</v>
      </c>
      <c r="F563" s="57">
        <v>128</v>
      </c>
      <c r="G563" s="57" t="s">
        <v>347</v>
      </c>
      <c r="H563" s="57" t="s">
        <v>367</v>
      </c>
      <c r="I563" s="57"/>
    </row>
    <row r="564" spans="1:9" ht="45" x14ac:dyDescent="0.25">
      <c r="A564" s="58"/>
      <c r="B564" s="57" t="s">
        <v>81</v>
      </c>
      <c r="C564" s="57">
        <v>5487</v>
      </c>
      <c r="D564" s="57" t="s">
        <v>41</v>
      </c>
      <c r="E564" s="57" t="s">
        <v>350</v>
      </c>
      <c r="F564" s="57">
        <v>128</v>
      </c>
      <c r="G564" s="57" t="s">
        <v>347</v>
      </c>
      <c r="H564" s="57" t="s">
        <v>363</v>
      </c>
      <c r="I564" s="57"/>
    </row>
    <row r="565" spans="1:9" ht="45" x14ac:dyDescent="0.25">
      <c r="A565" s="58"/>
      <c r="B565" s="57" t="s">
        <v>81</v>
      </c>
      <c r="C565" s="57">
        <v>5487</v>
      </c>
      <c r="D565" s="57" t="s">
        <v>43</v>
      </c>
      <c r="E565" s="57" t="s">
        <v>346</v>
      </c>
      <c r="F565" s="57">
        <v>128</v>
      </c>
      <c r="G565" s="57" t="s">
        <v>347</v>
      </c>
      <c r="H565" s="57" t="s">
        <v>364</v>
      </c>
      <c r="I565" s="57"/>
    </row>
    <row r="566" spans="1:9" ht="60" x14ac:dyDescent="0.25">
      <c r="A566" s="58"/>
      <c r="B566" s="57" t="s">
        <v>81</v>
      </c>
      <c r="C566" s="57">
        <v>5487</v>
      </c>
      <c r="D566" s="57" t="s">
        <v>44</v>
      </c>
      <c r="E566" s="57" t="s">
        <v>353</v>
      </c>
      <c r="F566" s="57">
        <v>128</v>
      </c>
      <c r="G566" s="57" t="s">
        <v>347</v>
      </c>
      <c r="H566" s="57" t="s">
        <v>365</v>
      </c>
      <c r="I566" s="57"/>
    </row>
    <row r="567" spans="1:9" ht="60" x14ac:dyDescent="0.25">
      <c r="A567" s="58"/>
      <c r="B567" s="57" t="s">
        <v>81</v>
      </c>
      <c r="C567" s="57">
        <v>5487</v>
      </c>
      <c r="D567" s="57" t="s">
        <v>366</v>
      </c>
      <c r="E567" s="57" t="s">
        <v>353</v>
      </c>
      <c r="F567" s="57">
        <v>128</v>
      </c>
      <c r="G567" s="57" t="s">
        <v>347</v>
      </c>
      <c r="H567" s="57" t="s">
        <v>367</v>
      </c>
      <c r="I567" s="57"/>
    </row>
    <row r="568" spans="1:9" ht="45" x14ac:dyDescent="0.25">
      <c r="A568" s="58"/>
      <c r="B568" s="57" t="s">
        <v>81</v>
      </c>
      <c r="C568" s="57">
        <v>5488</v>
      </c>
      <c r="D568" s="57" t="s">
        <v>41</v>
      </c>
      <c r="E568" s="57" t="s">
        <v>350</v>
      </c>
      <c r="F568" s="57">
        <v>127</v>
      </c>
      <c r="G568" s="57" t="s">
        <v>347</v>
      </c>
      <c r="H568" s="57" t="s">
        <v>363</v>
      </c>
      <c r="I568" s="57"/>
    </row>
    <row r="569" spans="1:9" ht="45" x14ac:dyDescent="0.25">
      <c r="A569" s="58"/>
      <c r="B569" s="57" t="s">
        <v>81</v>
      </c>
      <c r="C569" s="57">
        <v>5488</v>
      </c>
      <c r="D569" s="57" t="s">
        <v>43</v>
      </c>
      <c r="E569" s="57" t="s">
        <v>346</v>
      </c>
      <c r="F569" s="57">
        <v>127</v>
      </c>
      <c r="G569" s="57" t="s">
        <v>347</v>
      </c>
      <c r="H569" s="57" t="s">
        <v>364</v>
      </c>
      <c r="I569" s="57"/>
    </row>
    <row r="570" spans="1:9" ht="60" x14ac:dyDescent="0.25">
      <c r="A570" s="58"/>
      <c r="B570" s="57" t="s">
        <v>81</v>
      </c>
      <c r="C570" s="57">
        <v>5488</v>
      </c>
      <c r="D570" s="57" t="s">
        <v>44</v>
      </c>
      <c r="E570" s="57" t="s">
        <v>353</v>
      </c>
      <c r="F570" s="57">
        <v>127</v>
      </c>
      <c r="G570" s="57" t="s">
        <v>347</v>
      </c>
      <c r="H570" s="57" t="s">
        <v>365</v>
      </c>
      <c r="I570" s="57"/>
    </row>
    <row r="571" spans="1:9" ht="60" x14ac:dyDescent="0.25">
      <c r="A571" s="58"/>
      <c r="B571" s="57" t="s">
        <v>81</v>
      </c>
      <c r="C571" s="57">
        <v>5488</v>
      </c>
      <c r="D571" s="57" t="s">
        <v>366</v>
      </c>
      <c r="E571" s="57" t="s">
        <v>353</v>
      </c>
      <c r="F571" s="57">
        <v>127</v>
      </c>
      <c r="G571" s="57" t="s">
        <v>347</v>
      </c>
      <c r="H571" s="57" t="s">
        <v>367</v>
      </c>
      <c r="I571" s="57"/>
    </row>
    <row r="572" spans="1:9" ht="45" x14ac:dyDescent="0.25">
      <c r="A572" s="58"/>
      <c r="B572" s="57" t="s">
        <v>81</v>
      </c>
      <c r="C572" s="57">
        <v>5497</v>
      </c>
      <c r="D572" s="57" t="s">
        <v>41</v>
      </c>
      <c r="E572" s="57" t="s">
        <v>350</v>
      </c>
      <c r="F572" s="57">
        <v>121</v>
      </c>
      <c r="G572" s="57" t="s">
        <v>347</v>
      </c>
      <c r="H572" s="57" t="s">
        <v>363</v>
      </c>
      <c r="I572" s="57"/>
    </row>
    <row r="573" spans="1:9" ht="45" x14ac:dyDescent="0.25">
      <c r="A573" s="58"/>
      <c r="B573" s="57" t="s">
        <v>81</v>
      </c>
      <c r="C573" s="57">
        <v>5497</v>
      </c>
      <c r="D573" s="57" t="s">
        <v>43</v>
      </c>
      <c r="E573" s="57" t="s">
        <v>346</v>
      </c>
      <c r="F573" s="57">
        <v>121</v>
      </c>
      <c r="G573" s="57" t="s">
        <v>347</v>
      </c>
      <c r="H573" s="57" t="s">
        <v>364</v>
      </c>
      <c r="I573" s="57"/>
    </row>
    <row r="574" spans="1:9" ht="60" x14ac:dyDescent="0.25">
      <c r="A574" s="58"/>
      <c r="B574" s="57" t="s">
        <v>81</v>
      </c>
      <c r="C574" s="57">
        <v>5497</v>
      </c>
      <c r="D574" s="57" t="s">
        <v>44</v>
      </c>
      <c r="E574" s="57" t="s">
        <v>353</v>
      </c>
      <c r="F574" s="57">
        <v>121</v>
      </c>
      <c r="G574" s="57" t="s">
        <v>347</v>
      </c>
      <c r="H574" s="57" t="s">
        <v>365</v>
      </c>
      <c r="I574" s="57"/>
    </row>
    <row r="575" spans="1:9" ht="60" x14ac:dyDescent="0.25">
      <c r="A575" s="58"/>
      <c r="B575" s="57" t="s">
        <v>81</v>
      </c>
      <c r="C575" s="57">
        <v>5497</v>
      </c>
      <c r="D575" s="57" t="s">
        <v>366</v>
      </c>
      <c r="E575" s="57" t="s">
        <v>353</v>
      </c>
      <c r="F575" s="57">
        <v>121</v>
      </c>
      <c r="G575" s="57" t="s">
        <v>347</v>
      </c>
      <c r="H575" s="57" t="s">
        <v>367</v>
      </c>
      <c r="I575" s="57"/>
    </row>
    <row r="576" spans="1:9" ht="45" x14ac:dyDescent="0.25">
      <c r="A576" s="58"/>
      <c r="B576" s="57" t="s">
        <v>81</v>
      </c>
      <c r="C576" s="57">
        <v>5498</v>
      </c>
      <c r="D576" s="57" t="s">
        <v>41</v>
      </c>
      <c r="E576" s="57" t="s">
        <v>350</v>
      </c>
      <c r="F576" s="57">
        <v>486</v>
      </c>
      <c r="G576" s="57" t="s">
        <v>347</v>
      </c>
      <c r="H576" s="57" t="s">
        <v>363</v>
      </c>
      <c r="I576" s="57"/>
    </row>
    <row r="577" spans="1:9" ht="45" x14ac:dyDescent="0.25">
      <c r="A577" s="58"/>
      <c r="B577" s="57" t="s">
        <v>81</v>
      </c>
      <c r="C577" s="57">
        <v>5498</v>
      </c>
      <c r="D577" s="57" t="s">
        <v>43</v>
      </c>
      <c r="E577" s="57" t="s">
        <v>346</v>
      </c>
      <c r="F577" s="57">
        <v>486</v>
      </c>
      <c r="G577" s="57" t="s">
        <v>347</v>
      </c>
      <c r="H577" s="57" t="s">
        <v>364</v>
      </c>
      <c r="I577" s="57"/>
    </row>
    <row r="578" spans="1:9" ht="60" x14ac:dyDescent="0.25">
      <c r="A578" s="58"/>
      <c r="B578" s="57" t="s">
        <v>81</v>
      </c>
      <c r="C578" s="57">
        <v>5498</v>
      </c>
      <c r="D578" s="57" t="s">
        <v>44</v>
      </c>
      <c r="E578" s="57" t="s">
        <v>353</v>
      </c>
      <c r="F578" s="57">
        <v>486</v>
      </c>
      <c r="G578" s="57" t="s">
        <v>347</v>
      </c>
      <c r="H578" s="57" t="s">
        <v>365</v>
      </c>
      <c r="I578" s="57"/>
    </row>
    <row r="579" spans="1:9" ht="60" x14ac:dyDescent="0.25">
      <c r="A579" s="58"/>
      <c r="B579" s="57" t="s">
        <v>81</v>
      </c>
      <c r="C579" s="57">
        <v>5498</v>
      </c>
      <c r="D579" s="57" t="s">
        <v>366</v>
      </c>
      <c r="E579" s="57" t="s">
        <v>353</v>
      </c>
      <c r="F579" s="57">
        <v>486</v>
      </c>
      <c r="G579" s="57" t="s">
        <v>347</v>
      </c>
      <c r="H579" s="57" t="s">
        <v>367</v>
      </c>
      <c r="I579" s="57"/>
    </row>
    <row r="580" spans="1:9" ht="45" x14ac:dyDescent="0.25">
      <c r="A580" s="58"/>
      <c r="B580" s="57" t="s">
        <v>81</v>
      </c>
      <c r="C580" s="57">
        <v>5499</v>
      </c>
      <c r="D580" s="57" t="s">
        <v>41</v>
      </c>
      <c r="E580" s="57" t="s">
        <v>350</v>
      </c>
      <c r="F580" s="57">
        <v>120</v>
      </c>
      <c r="G580" s="57" t="s">
        <v>347</v>
      </c>
      <c r="H580" s="57" t="s">
        <v>363</v>
      </c>
      <c r="I580" s="57"/>
    </row>
    <row r="581" spans="1:9" ht="45" x14ac:dyDescent="0.25">
      <c r="A581" s="58"/>
      <c r="B581" s="57" t="s">
        <v>81</v>
      </c>
      <c r="C581" s="57">
        <v>5499</v>
      </c>
      <c r="D581" s="57" t="s">
        <v>43</v>
      </c>
      <c r="E581" s="57" t="s">
        <v>346</v>
      </c>
      <c r="F581" s="57">
        <v>120</v>
      </c>
      <c r="G581" s="57" t="s">
        <v>347</v>
      </c>
      <c r="H581" s="57" t="s">
        <v>364</v>
      </c>
      <c r="I581" s="57"/>
    </row>
    <row r="582" spans="1:9" ht="60" x14ac:dyDescent="0.25">
      <c r="A582" s="58"/>
      <c r="B582" s="57" t="s">
        <v>81</v>
      </c>
      <c r="C582" s="57">
        <v>5499</v>
      </c>
      <c r="D582" s="57" t="s">
        <v>44</v>
      </c>
      <c r="E582" s="57" t="s">
        <v>353</v>
      </c>
      <c r="F582" s="57">
        <v>120</v>
      </c>
      <c r="G582" s="57" t="s">
        <v>347</v>
      </c>
      <c r="H582" s="57" t="s">
        <v>365</v>
      </c>
      <c r="I582" s="57"/>
    </row>
    <row r="583" spans="1:9" ht="60" x14ac:dyDescent="0.25">
      <c r="A583" s="58"/>
      <c r="B583" s="57" t="s">
        <v>81</v>
      </c>
      <c r="C583" s="57">
        <v>5499</v>
      </c>
      <c r="D583" s="57" t="s">
        <v>366</v>
      </c>
      <c r="E583" s="57" t="s">
        <v>353</v>
      </c>
      <c r="F583" s="57">
        <v>120</v>
      </c>
      <c r="G583" s="57" t="s">
        <v>347</v>
      </c>
      <c r="H583" s="57" t="s">
        <v>367</v>
      </c>
      <c r="I583" s="57"/>
    </row>
    <row r="584" spans="1:9" ht="45" x14ac:dyDescent="0.25">
      <c r="A584" s="58"/>
      <c r="B584" s="57" t="s">
        <v>81</v>
      </c>
      <c r="C584" s="57">
        <v>5500</v>
      </c>
      <c r="D584" s="57" t="s">
        <v>41</v>
      </c>
      <c r="E584" s="57" t="s">
        <v>350</v>
      </c>
      <c r="F584" s="57">
        <v>119</v>
      </c>
      <c r="G584" s="57" t="s">
        <v>347</v>
      </c>
      <c r="H584" s="57" t="s">
        <v>363</v>
      </c>
      <c r="I584" s="57"/>
    </row>
    <row r="585" spans="1:9" ht="45" x14ac:dyDescent="0.25">
      <c r="A585" s="58"/>
      <c r="B585" s="57" t="s">
        <v>81</v>
      </c>
      <c r="C585" s="57">
        <v>5500</v>
      </c>
      <c r="D585" s="57" t="s">
        <v>43</v>
      </c>
      <c r="E585" s="57" t="s">
        <v>346</v>
      </c>
      <c r="F585" s="57">
        <v>119</v>
      </c>
      <c r="G585" s="57" t="s">
        <v>347</v>
      </c>
      <c r="H585" s="57" t="s">
        <v>364</v>
      </c>
      <c r="I585" s="57"/>
    </row>
    <row r="586" spans="1:9" ht="60" x14ac:dyDescent="0.25">
      <c r="A586" s="58"/>
      <c r="B586" s="57" t="s">
        <v>81</v>
      </c>
      <c r="C586" s="57">
        <v>5500</v>
      </c>
      <c r="D586" s="57" t="s">
        <v>44</v>
      </c>
      <c r="E586" s="57" t="s">
        <v>353</v>
      </c>
      <c r="F586" s="57">
        <v>119</v>
      </c>
      <c r="G586" s="57" t="s">
        <v>347</v>
      </c>
      <c r="H586" s="57" t="s">
        <v>365</v>
      </c>
      <c r="I586" s="57"/>
    </row>
    <row r="587" spans="1:9" ht="60" x14ac:dyDescent="0.25">
      <c r="A587" s="58"/>
      <c r="B587" s="57" t="s">
        <v>81</v>
      </c>
      <c r="C587" s="57">
        <v>5500</v>
      </c>
      <c r="D587" s="57" t="s">
        <v>366</v>
      </c>
      <c r="E587" s="57" t="s">
        <v>353</v>
      </c>
      <c r="F587" s="57">
        <v>119</v>
      </c>
      <c r="G587" s="57" t="s">
        <v>347</v>
      </c>
      <c r="H587" s="57" t="s">
        <v>367</v>
      </c>
      <c r="I587" s="57"/>
    </row>
    <row r="588" spans="1:9" ht="45" x14ac:dyDescent="0.25">
      <c r="A588" s="58"/>
      <c r="B588" s="57" t="s">
        <v>81</v>
      </c>
      <c r="C588" s="57">
        <v>5506</v>
      </c>
      <c r="D588" s="57" t="s">
        <v>41</v>
      </c>
      <c r="E588" s="57" t="s">
        <v>350</v>
      </c>
      <c r="F588" s="57">
        <v>117</v>
      </c>
      <c r="G588" s="57" t="s">
        <v>347</v>
      </c>
      <c r="H588" s="57" t="s">
        <v>363</v>
      </c>
      <c r="I588" s="57"/>
    </row>
    <row r="589" spans="1:9" ht="45" x14ac:dyDescent="0.25">
      <c r="A589" s="58"/>
      <c r="B589" s="57" t="s">
        <v>81</v>
      </c>
      <c r="C589" s="57">
        <v>5506</v>
      </c>
      <c r="D589" s="57" t="s">
        <v>43</v>
      </c>
      <c r="E589" s="57" t="s">
        <v>346</v>
      </c>
      <c r="F589" s="57">
        <v>117</v>
      </c>
      <c r="G589" s="57" t="s">
        <v>347</v>
      </c>
      <c r="H589" s="57" t="s">
        <v>364</v>
      </c>
      <c r="I589" s="57"/>
    </row>
    <row r="590" spans="1:9" ht="60" x14ac:dyDescent="0.25">
      <c r="A590" s="58"/>
      <c r="B590" s="57" t="s">
        <v>81</v>
      </c>
      <c r="C590" s="57">
        <v>5506</v>
      </c>
      <c r="D590" s="57" t="s">
        <v>44</v>
      </c>
      <c r="E590" s="57" t="s">
        <v>353</v>
      </c>
      <c r="F590" s="57">
        <v>117</v>
      </c>
      <c r="G590" s="57" t="s">
        <v>347</v>
      </c>
      <c r="H590" s="57" t="s">
        <v>365</v>
      </c>
      <c r="I590" s="57"/>
    </row>
    <row r="591" spans="1:9" ht="60" x14ac:dyDescent="0.25">
      <c r="A591" s="58"/>
      <c r="B591" s="57" t="s">
        <v>81</v>
      </c>
      <c r="C591" s="57">
        <v>5506</v>
      </c>
      <c r="D591" s="57" t="s">
        <v>366</v>
      </c>
      <c r="E591" s="57" t="s">
        <v>353</v>
      </c>
      <c r="F591" s="57">
        <v>117</v>
      </c>
      <c r="G591" s="57" t="s">
        <v>347</v>
      </c>
      <c r="H591" s="57" t="s">
        <v>367</v>
      </c>
      <c r="I591" s="57"/>
    </row>
    <row r="592" spans="1:9" ht="45" x14ac:dyDescent="0.25">
      <c r="A592" s="58"/>
      <c r="B592" s="57" t="s">
        <v>81</v>
      </c>
      <c r="C592" s="57">
        <v>5511</v>
      </c>
      <c r="D592" s="57" t="s">
        <v>41</v>
      </c>
      <c r="E592" s="57" t="s">
        <v>350</v>
      </c>
      <c r="F592" s="57">
        <v>114</v>
      </c>
      <c r="G592" s="57" t="s">
        <v>347</v>
      </c>
      <c r="H592" s="57" t="s">
        <v>363</v>
      </c>
      <c r="I592" s="57"/>
    </row>
    <row r="593" spans="1:9" ht="45" x14ac:dyDescent="0.25">
      <c r="A593" s="58"/>
      <c r="B593" s="57" t="s">
        <v>81</v>
      </c>
      <c r="C593" s="57">
        <v>5511</v>
      </c>
      <c r="D593" s="57" t="s">
        <v>43</v>
      </c>
      <c r="E593" s="57" t="s">
        <v>346</v>
      </c>
      <c r="F593" s="57">
        <v>114</v>
      </c>
      <c r="G593" s="57" t="s">
        <v>347</v>
      </c>
      <c r="H593" s="57" t="s">
        <v>364</v>
      </c>
      <c r="I593" s="57"/>
    </row>
    <row r="594" spans="1:9" ht="60" x14ac:dyDescent="0.25">
      <c r="A594" s="58"/>
      <c r="B594" s="57" t="s">
        <v>81</v>
      </c>
      <c r="C594" s="57">
        <v>5511</v>
      </c>
      <c r="D594" s="57" t="s">
        <v>44</v>
      </c>
      <c r="E594" s="57" t="s">
        <v>353</v>
      </c>
      <c r="F594" s="57">
        <v>114</v>
      </c>
      <c r="G594" s="57" t="s">
        <v>347</v>
      </c>
      <c r="H594" s="57" t="s">
        <v>365</v>
      </c>
      <c r="I594" s="57"/>
    </row>
    <row r="595" spans="1:9" ht="60" x14ac:dyDescent="0.25">
      <c r="A595" s="58"/>
      <c r="B595" s="57" t="s">
        <v>81</v>
      </c>
      <c r="C595" s="57">
        <v>5511</v>
      </c>
      <c r="D595" s="57" t="s">
        <v>366</v>
      </c>
      <c r="E595" s="57" t="s">
        <v>353</v>
      </c>
      <c r="F595" s="57">
        <v>114</v>
      </c>
      <c r="G595" s="57" t="s">
        <v>347</v>
      </c>
      <c r="H595" s="57" t="s">
        <v>367</v>
      </c>
      <c r="I595" s="57"/>
    </row>
    <row r="596" spans="1:9" ht="45" x14ac:dyDescent="0.25">
      <c r="A596" s="58"/>
      <c r="B596" s="57" t="s">
        <v>81</v>
      </c>
      <c r="C596" s="57">
        <v>5519</v>
      </c>
      <c r="D596" s="57" t="s">
        <v>41</v>
      </c>
      <c r="E596" s="57" t="s">
        <v>350</v>
      </c>
      <c r="F596" s="57">
        <v>107</v>
      </c>
      <c r="G596" s="57" t="s">
        <v>347</v>
      </c>
      <c r="H596" s="57" t="s">
        <v>363</v>
      </c>
      <c r="I596" s="57"/>
    </row>
    <row r="597" spans="1:9" ht="45" x14ac:dyDescent="0.25">
      <c r="A597" s="58"/>
      <c r="B597" s="57" t="s">
        <v>81</v>
      </c>
      <c r="C597" s="57">
        <v>5519</v>
      </c>
      <c r="D597" s="57" t="s">
        <v>43</v>
      </c>
      <c r="E597" s="57" t="s">
        <v>346</v>
      </c>
      <c r="F597" s="57">
        <v>107</v>
      </c>
      <c r="G597" s="57" t="s">
        <v>347</v>
      </c>
      <c r="H597" s="57" t="s">
        <v>364</v>
      </c>
      <c r="I597" s="57"/>
    </row>
    <row r="598" spans="1:9" ht="60" x14ac:dyDescent="0.25">
      <c r="A598" s="58"/>
      <c r="B598" s="57" t="s">
        <v>81</v>
      </c>
      <c r="C598" s="57">
        <v>5519</v>
      </c>
      <c r="D598" s="57" t="s">
        <v>44</v>
      </c>
      <c r="E598" s="57" t="s">
        <v>353</v>
      </c>
      <c r="F598" s="57">
        <v>107</v>
      </c>
      <c r="G598" s="57" t="s">
        <v>347</v>
      </c>
      <c r="H598" s="57" t="s">
        <v>365</v>
      </c>
      <c r="I598" s="57"/>
    </row>
    <row r="599" spans="1:9" ht="60" x14ac:dyDescent="0.25">
      <c r="A599" s="58"/>
      <c r="B599" s="57" t="s">
        <v>81</v>
      </c>
      <c r="C599" s="57">
        <v>5519</v>
      </c>
      <c r="D599" s="57" t="s">
        <v>366</v>
      </c>
      <c r="E599" s="57" t="s">
        <v>353</v>
      </c>
      <c r="F599" s="57">
        <v>107</v>
      </c>
      <c r="G599" s="57" t="s">
        <v>347</v>
      </c>
      <c r="H599" s="57" t="s">
        <v>367</v>
      </c>
      <c r="I599" s="57"/>
    </row>
    <row r="600" spans="1:9" ht="45" x14ac:dyDescent="0.25">
      <c r="A600" s="58"/>
      <c r="B600" s="57" t="s">
        <v>81</v>
      </c>
      <c r="C600" s="57">
        <v>5521</v>
      </c>
      <c r="D600" s="57" t="s">
        <v>41</v>
      </c>
      <c r="E600" s="57" t="s">
        <v>350</v>
      </c>
      <c r="F600" s="57">
        <v>105</v>
      </c>
      <c r="G600" s="57" t="s">
        <v>347</v>
      </c>
      <c r="H600" s="57" t="s">
        <v>363</v>
      </c>
      <c r="I600" s="57"/>
    </row>
    <row r="601" spans="1:9" ht="45" x14ac:dyDescent="0.25">
      <c r="A601" s="58"/>
      <c r="B601" s="57" t="s">
        <v>81</v>
      </c>
      <c r="C601" s="57">
        <v>5521</v>
      </c>
      <c r="D601" s="57" t="s">
        <v>43</v>
      </c>
      <c r="E601" s="57" t="s">
        <v>346</v>
      </c>
      <c r="F601" s="57">
        <v>105</v>
      </c>
      <c r="G601" s="57" t="s">
        <v>347</v>
      </c>
      <c r="H601" s="57" t="s">
        <v>364</v>
      </c>
      <c r="I601" s="57"/>
    </row>
    <row r="602" spans="1:9" ht="60" x14ac:dyDescent="0.25">
      <c r="A602" s="58"/>
      <c r="B602" s="57" t="s">
        <v>81</v>
      </c>
      <c r="C602" s="57">
        <v>5521</v>
      </c>
      <c r="D602" s="57" t="s">
        <v>44</v>
      </c>
      <c r="E602" s="57" t="s">
        <v>353</v>
      </c>
      <c r="F602" s="57">
        <v>105</v>
      </c>
      <c r="G602" s="57" t="s">
        <v>347</v>
      </c>
      <c r="H602" s="57" t="s">
        <v>365</v>
      </c>
      <c r="I602" s="57"/>
    </row>
    <row r="603" spans="1:9" ht="60" x14ac:dyDescent="0.25">
      <c r="A603" s="58"/>
      <c r="B603" s="57" t="s">
        <v>81</v>
      </c>
      <c r="C603" s="57">
        <v>5521</v>
      </c>
      <c r="D603" s="57" t="s">
        <v>366</v>
      </c>
      <c r="E603" s="57" t="s">
        <v>353</v>
      </c>
      <c r="F603" s="57">
        <v>105</v>
      </c>
      <c r="G603" s="57" t="s">
        <v>347</v>
      </c>
      <c r="H603" s="57" t="s">
        <v>367</v>
      </c>
      <c r="I603" s="57"/>
    </row>
    <row r="604" spans="1:9" ht="45" x14ac:dyDescent="0.25">
      <c r="A604" s="58"/>
      <c r="B604" s="57" t="s">
        <v>81</v>
      </c>
      <c r="C604" s="57">
        <v>5525</v>
      </c>
      <c r="D604" s="57" t="s">
        <v>41</v>
      </c>
      <c r="E604" s="57" t="s">
        <v>350</v>
      </c>
      <c r="F604" s="57">
        <v>105</v>
      </c>
      <c r="G604" s="57" t="s">
        <v>347</v>
      </c>
      <c r="H604" s="57" t="s">
        <v>363</v>
      </c>
      <c r="I604" s="57"/>
    </row>
    <row r="605" spans="1:9" ht="45" x14ac:dyDescent="0.25">
      <c r="A605" s="58"/>
      <c r="B605" s="57" t="s">
        <v>81</v>
      </c>
      <c r="C605" s="57">
        <v>5525</v>
      </c>
      <c r="D605" s="57" t="s">
        <v>43</v>
      </c>
      <c r="E605" s="57" t="s">
        <v>346</v>
      </c>
      <c r="F605" s="57">
        <v>105</v>
      </c>
      <c r="G605" s="57" t="s">
        <v>347</v>
      </c>
      <c r="H605" s="57" t="s">
        <v>364</v>
      </c>
      <c r="I605" s="57"/>
    </row>
    <row r="606" spans="1:9" ht="60" x14ac:dyDescent="0.25">
      <c r="A606" s="58"/>
      <c r="B606" s="57" t="s">
        <v>81</v>
      </c>
      <c r="C606" s="57">
        <v>5525</v>
      </c>
      <c r="D606" s="57" t="s">
        <v>44</v>
      </c>
      <c r="E606" s="57" t="s">
        <v>353</v>
      </c>
      <c r="F606" s="57">
        <v>105</v>
      </c>
      <c r="G606" s="57" t="s">
        <v>347</v>
      </c>
      <c r="H606" s="57" t="s">
        <v>365</v>
      </c>
      <c r="I606" s="57"/>
    </row>
    <row r="607" spans="1:9" ht="60" x14ac:dyDescent="0.25">
      <c r="A607" s="58"/>
      <c r="B607" s="57" t="s">
        <v>81</v>
      </c>
      <c r="C607" s="57">
        <v>5525</v>
      </c>
      <c r="D607" s="57" t="s">
        <v>366</v>
      </c>
      <c r="E607" s="57" t="s">
        <v>353</v>
      </c>
      <c r="F607" s="57">
        <v>105</v>
      </c>
      <c r="G607" s="57" t="s">
        <v>347</v>
      </c>
      <c r="H607" s="57" t="s">
        <v>367</v>
      </c>
      <c r="I607" s="57"/>
    </row>
    <row r="608" spans="1:9" ht="45" x14ac:dyDescent="0.25">
      <c r="A608" s="58"/>
      <c r="B608" s="57" t="s">
        <v>81</v>
      </c>
      <c r="C608" s="57">
        <v>5526</v>
      </c>
      <c r="D608" s="57" t="s">
        <v>41</v>
      </c>
      <c r="E608" s="57" t="s">
        <v>350</v>
      </c>
      <c r="F608" s="57">
        <v>105</v>
      </c>
      <c r="G608" s="57" t="s">
        <v>347</v>
      </c>
      <c r="H608" s="57" t="s">
        <v>363</v>
      </c>
      <c r="I608" s="57"/>
    </row>
    <row r="609" spans="1:9" ht="45" x14ac:dyDescent="0.25">
      <c r="A609" s="58"/>
      <c r="B609" s="57" t="s">
        <v>81</v>
      </c>
      <c r="C609" s="57">
        <v>5526</v>
      </c>
      <c r="D609" s="57" t="s">
        <v>43</v>
      </c>
      <c r="E609" s="57" t="s">
        <v>346</v>
      </c>
      <c r="F609" s="57">
        <v>105</v>
      </c>
      <c r="G609" s="57" t="s">
        <v>347</v>
      </c>
      <c r="H609" s="57" t="s">
        <v>364</v>
      </c>
      <c r="I609" s="57"/>
    </row>
    <row r="610" spans="1:9" ht="60" x14ac:dyDescent="0.25">
      <c r="A610" s="58"/>
      <c r="B610" s="57" t="s">
        <v>81</v>
      </c>
      <c r="C610" s="57">
        <v>5526</v>
      </c>
      <c r="D610" s="57" t="s">
        <v>44</v>
      </c>
      <c r="E610" s="57" t="s">
        <v>353</v>
      </c>
      <c r="F610" s="57">
        <v>105</v>
      </c>
      <c r="G610" s="57" t="s">
        <v>347</v>
      </c>
      <c r="H610" s="57" t="s">
        <v>365</v>
      </c>
      <c r="I610" s="57"/>
    </row>
    <row r="611" spans="1:9" ht="60" x14ac:dyDescent="0.25">
      <c r="A611" s="58"/>
      <c r="B611" s="57" t="s">
        <v>81</v>
      </c>
      <c r="C611" s="57">
        <v>5526</v>
      </c>
      <c r="D611" s="57" t="s">
        <v>366</v>
      </c>
      <c r="E611" s="57" t="s">
        <v>353</v>
      </c>
      <c r="F611" s="57">
        <v>105</v>
      </c>
      <c r="G611" s="57" t="s">
        <v>347</v>
      </c>
      <c r="H611" s="57" t="s">
        <v>367</v>
      </c>
      <c r="I611" s="57"/>
    </row>
    <row r="612" spans="1:9" ht="45" x14ac:dyDescent="0.25">
      <c r="A612" s="58"/>
      <c r="B612" s="57" t="s">
        <v>81</v>
      </c>
      <c r="C612" s="57">
        <v>5534</v>
      </c>
      <c r="D612" s="57" t="s">
        <v>41</v>
      </c>
      <c r="E612" s="57" t="s">
        <v>350</v>
      </c>
      <c r="F612" s="57">
        <v>104</v>
      </c>
      <c r="G612" s="57" t="s">
        <v>347</v>
      </c>
      <c r="H612" s="57" t="s">
        <v>363</v>
      </c>
      <c r="I612" s="57"/>
    </row>
    <row r="613" spans="1:9" ht="45" x14ac:dyDescent="0.25">
      <c r="A613" s="58"/>
      <c r="B613" s="57" t="s">
        <v>81</v>
      </c>
      <c r="C613" s="57">
        <v>5534</v>
      </c>
      <c r="D613" s="57" t="s">
        <v>43</v>
      </c>
      <c r="E613" s="57" t="s">
        <v>346</v>
      </c>
      <c r="F613" s="57">
        <v>104</v>
      </c>
      <c r="G613" s="57" t="s">
        <v>347</v>
      </c>
      <c r="H613" s="57" t="s">
        <v>364</v>
      </c>
      <c r="I613" s="57"/>
    </row>
    <row r="614" spans="1:9" ht="60" x14ac:dyDescent="0.25">
      <c r="A614" s="58"/>
      <c r="B614" s="57" t="s">
        <v>81</v>
      </c>
      <c r="C614" s="57">
        <v>5534</v>
      </c>
      <c r="D614" s="57" t="s">
        <v>44</v>
      </c>
      <c r="E614" s="57" t="s">
        <v>353</v>
      </c>
      <c r="F614" s="57">
        <v>104</v>
      </c>
      <c r="G614" s="57" t="s">
        <v>347</v>
      </c>
      <c r="H614" s="57" t="s">
        <v>365</v>
      </c>
      <c r="I614" s="57"/>
    </row>
    <row r="615" spans="1:9" ht="60" x14ac:dyDescent="0.25">
      <c r="A615" s="58"/>
      <c r="B615" s="57" t="s">
        <v>81</v>
      </c>
      <c r="C615" s="57">
        <v>5534</v>
      </c>
      <c r="D615" s="57" t="s">
        <v>366</v>
      </c>
      <c r="E615" s="57" t="s">
        <v>353</v>
      </c>
      <c r="F615" s="57">
        <v>104</v>
      </c>
      <c r="G615" s="57" t="s">
        <v>347</v>
      </c>
      <c r="H615" s="57" t="s">
        <v>367</v>
      </c>
      <c r="I615" s="57"/>
    </row>
    <row r="616" spans="1:9" ht="45" x14ac:dyDescent="0.25">
      <c r="A616" s="58"/>
      <c r="B616" s="57" t="s">
        <v>81</v>
      </c>
      <c r="C616" s="57">
        <v>5543</v>
      </c>
      <c r="D616" s="57" t="s">
        <v>41</v>
      </c>
      <c r="E616" s="57" t="s">
        <v>350</v>
      </c>
      <c r="F616" s="57">
        <v>85</v>
      </c>
      <c r="G616" s="57" t="s">
        <v>347</v>
      </c>
      <c r="H616" s="57" t="s">
        <v>363</v>
      </c>
      <c r="I616" s="57"/>
    </row>
    <row r="617" spans="1:9" ht="45" x14ac:dyDescent="0.25">
      <c r="A617" s="58"/>
      <c r="B617" s="57" t="s">
        <v>81</v>
      </c>
      <c r="C617" s="57">
        <v>5543</v>
      </c>
      <c r="D617" s="57" t="s">
        <v>43</v>
      </c>
      <c r="E617" s="57" t="s">
        <v>346</v>
      </c>
      <c r="F617" s="57">
        <v>85</v>
      </c>
      <c r="G617" s="57" t="s">
        <v>347</v>
      </c>
      <c r="H617" s="57" t="s">
        <v>364</v>
      </c>
      <c r="I617" s="57"/>
    </row>
    <row r="618" spans="1:9" ht="60" x14ac:dyDescent="0.25">
      <c r="A618" s="58"/>
      <c r="B618" s="57" t="s">
        <v>81</v>
      </c>
      <c r="C618" s="57">
        <v>5543</v>
      </c>
      <c r="D618" s="57" t="s">
        <v>44</v>
      </c>
      <c r="E618" s="57" t="s">
        <v>353</v>
      </c>
      <c r="F618" s="57">
        <v>85</v>
      </c>
      <c r="G618" s="57" t="s">
        <v>347</v>
      </c>
      <c r="H618" s="57" t="s">
        <v>365</v>
      </c>
      <c r="I618" s="57"/>
    </row>
    <row r="619" spans="1:9" ht="45" x14ac:dyDescent="0.25">
      <c r="A619" s="58"/>
      <c r="B619" s="57" t="s">
        <v>81</v>
      </c>
      <c r="C619" s="57">
        <v>5544</v>
      </c>
      <c r="D619" s="57" t="s">
        <v>41</v>
      </c>
      <c r="E619" s="57" t="s">
        <v>350</v>
      </c>
      <c r="F619" s="57">
        <v>85</v>
      </c>
      <c r="G619" s="57" t="s">
        <v>347</v>
      </c>
      <c r="H619" s="57" t="s">
        <v>363</v>
      </c>
      <c r="I619" s="57"/>
    </row>
    <row r="620" spans="1:9" ht="45" x14ac:dyDescent="0.25">
      <c r="A620" s="58"/>
      <c r="B620" s="57" t="s">
        <v>81</v>
      </c>
      <c r="C620" s="57">
        <v>5544</v>
      </c>
      <c r="D620" s="57" t="s">
        <v>43</v>
      </c>
      <c r="E620" s="57" t="s">
        <v>346</v>
      </c>
      <c r="F620" s="57">
        <v>85</v>
      </c>
      <c r="G620" s="57" t="s">
        <v>347</v>
      </c>
      <c r="H620" s="57" t="s">
        <v>364</v>
      </c>
      <c r="I620" s="57"/>
    </row>
    <row r="621" spans="1:9" ht="60" x14ac:dyDescent="0.25">
      <c r="A621" s="58"/>
      <c r="B621" s="57" t="s">
        <v>81</v>
      </c>
      <c r="C621" s="57">
        <v>5544</v>
      </c>
      <c r="D621" s="57" t="s">
        <v>44</v>
      </c>
      <c r="E621" s="57" t="s">
        <v>353</v>
      </c>
      <c r="F621" s="57">
        <v>85</v>
      </c>
      <c r="G621" s="57" t="s">
        <v>347</v>
      </c>
      <c r="H621" s="57" t="s">
        <v>365</v>
      </c>
      <c r="I621" s="57"/>
    </row>
    <row r="622" spans="1:9" ht="45" x14ac:dyDescent="0.25">
      <c r="A622" s="58"/>
      <c r="B622" s="57" t="s">
        <v>81</v>
      </c>
      <c r="C622" s="57">
        <v>5550</v>
      </c>
      <c r="D622" s="57" t="s">
        <v>41</v>
      </c>
      <c r="E622" s="57" t="s">
        <v>350</v>
      </c>
      <c r="F622" s="57">
        <v>82</v>
      </c>
      <c r="G622" s="57" t="s">
        <v>347</v>
      </c>
      <c r="H622" s="57" t="s">
        <v>363</v>
      </c>
      <c r="I622" s="57"/>
    </row>
    <row r="623" spans="1:9" ht="45" x14ac:dyDescent="0.25">
      <c r="A623" s="58"/>
      <c r="B623" s="57" t="s">
        <v>81</v>
      </c>
      <c r="C623" s="57">
        <v>5550</v>
      </c>
      <c r="D623" s="57" t="s">
        <v>43</v>
      </c>
      <c r="E623" s="57" t="s">
        <v>346</v>
      </c>
      <c r="F623" s="57">
        <v>82</v>
      </c>
      <c r="G623" s="57" t="s">
        <v>347</v>
      </c>
      <c r="H623" s="57" t="s">
        <v>364</v>
      </c>
      <c r="I623" s="57"/>
    </row>
    <row r="624" spans="1:9" ht="60" x14ac:dyDescent="0.25">
      <c r="A624" s="58"/>
      <c r="B624" s="57" t="s">
        <v>81</v>
      </c>
      <c r="C624" s="57">
        <v>5550</v>
      </c>
      <c r="D624" s="57" t="s">
        <v>44</v>
      </c>
      <c r="E624" s="57" t="s">
        <v>353</v>
      </c>
      <c r="F624" s="57">
        <v>82</v>
      </c>
      <c r="G624" s="57" t="s">
        <v>347</v>
      </c>
      <c r="H624" s="57" t="s">
        <v>365</v>
      </c>
      <c r="I624" s="57"/>
    </row>
    <row r="625" spans="1:9" ht="45" x14ac:dyDescent="0.25">
      <c r="A625" s="58"/>
      <c r="B625" s="57" t="s">
        <v>81</v>
      </c>
      <c r="C625" s="57">
        <v>5555</v>
      </c>
      <c r="D625" s="57" t="s">
        <v>41</v>
      </c>
      <c r="E625" s="57" t="s">
        <v>350</v>
      </c>
      <c r="F625" s="57">
        <v>79</v>
      </c>
      <c r="G625" s="57" t="s">
        <v>347</v>
      </c>
      <c r="H625" s="57" t="s">
        <v>363</v>
      </c>
      <c r="I625" s="57"/>
    </row>
    <row r="626" spans="1:9" ht="45" x14ac:dyDescent="0.25">
      <c r="A626" s="58"/>
      <c r="B626" s="57" t="s">
        <v>81</v>
      </c>
      <c r="C626" s="57">
        <v>5555</v>
      </c>
      <c r="D626" s="57" t="s">
        <v>43</v>
      </c>
      <c r="E626" s="57" t="s">
        <v>346</v>
      </c>
      <c r="F626" s="57">
        <v>79</v>
      </c>
      <c r="G626" s="57" t="s">
        <v>347</v>
      </c>
      <c r="H626" s="57" t="s">
        <v>364</v>
      </c>
      <c r="I626" s="57"/>
    </row>
    <row r="627" spans="1:9" ht="60" x14ac:dyDescent="0.25">
      <c r="A627" s="58"/>
      <c r="B627" s="57" t="s">
        <v>81</v>
      </c>
      <c r="C627" s="57">
        <v>5555</v>
      </c>
      <c r="D627" s="57" t="s">
        <v>44</v>
      </c>
      <c r="E627" s="57" t="s">
        <v>353</v>
      </c>
      <c r="F627" s="57">
        <v>79</v>
      </c>
      <c r="G627" s="57" t="s">
        <v>347</v>
      </c>
      <c r="H627" s="57" t="s">
        <v>365</v>
      </c>
      <c r="I627" s="57"/>
    </row>
    <row r="628" spans="1:9" ht="45" x14ac:dyDescent="0.25">
      <c r="A628" s="58"/>
      <c r="B628" s="57" t="s">
        <v>81</v>
      </c>
      <c r="C628" s="57">
        <v>5556</v>
      </c>
      <c r="D628" s="57" t="s">
        <v>41</v>
      </c>
      <c r="E628" s="57" t="s">
        <v>350</v>
      </c>
      <c r="F628" s="57">
        <v>77</v>
      </c>
      <c r="G628" s="57" t="s">
        <v>347</v>
      </c>
      <c r="H628" s="57" t="s">
        <v>363</v>
      </c>
      <c r="I628" s="57"/>
    </row>
    <row r="629" spans="1:9" ht="45" x14ac:dyDescent="0.25">
      <c r="A629" s="58"/>
      <c r="B629" s="57" t="s">
        <v>81</v>
      </c>
      <c r="C629" s="57">
        <v>5556</v>
      </c>
      <c r="D629" s="57" t="s">
        <v>43</v>
      </c>
      <c r="E629" s="57" t="s">
        <v>346</v>
      </c>
      <c r="F629" s="57">
        <v>77</v>
      </c>
      <c r="G629" s="57" t="s">
        <v>347</v>
      </c>
      <c r="H629" s="57" t="s">
        <v>364</v>
      </c>
      <c r="I629" s="57"/>
    </row>
    <row r="630" spans="1:9" ht="60" x14ac:dyDescent="0.25">
      <c r="A630" s="58"/>
      <c r="B630" s="57" t="s">
        <v>81</v>
      </c>
      <c r="C630" s="57">
        <v>5556</v>
      </c>
      <c r="D630" s="57" t="s">
        <v>44</v>
      </c>
      <c r="E630" s="57" t="s">
        <v>353</v>
      </c>
      <c r="F630" s="57">
        <v>77</v>
      </c>
      <c r="G630" s="57" t="s">
        <v>347</v>
      </c>
      <c r="H630" s="57" t="s">
        <v>365</v>
      </c>
      <c r="I630" s="57"/>
    </row>
    <row r="631" spans="1:9" ht="45" x14ac:dyDescent="0.25">
      <c r="A631" s="58"/>
      <c r="B631" s="57" t="s">
        <v>81</v>
      </c>
      <c r="C631" s="57">
        <v>5564</v>
      </c>
      <c r="D631" s="57" t="s">
        <v>41</v>
      </c>
      <c r="E631" s="57" t="s">
        <v>350</v>
      </c>
      <c r="F631" s="57">
        <v>72</v>
      </c>
      <c r="G631" s="57" t="s">
        <v>347</v>
      </c>
      <c r="H631" s="57" t="s">
        <v>363</v>
      </c>
      <c r="I631" s="57"/>
    </row>
    <row r="632" spans="1:9" ht="45" x14ac:dyDescent="0.25">
      <c r="A632" s="58"/>
      <c r="B632" s="57" t="s">
        <v>81</v>
      </c>
      <c r="C632" s="57">
        <v>5564</v>
      </c>
      <c r="D632" s="57" t="s">
        <v>43</v>
      </c>
      <c r="E632" s="57" t="s">
        <v>346</v>
      </c>
      <c r="F632" s="57">
        <v>72</v>
      </c>
      <c r="G632" s="57" t="s">
        <v>347</v>
      </c>
      <c r="H632" s="57" t="s">
        <v>364</v>
      </c>
      <c r="I632" s="57"/>
    </row>
    <row r="633" spans="1:9" ht="60" x14ac:dyDescent="0.25">
      <c r="A633" s="58"/>
      <c r="B633" s="57" t="s">
        <v>81</v>
      </c>
      <c r="C633" s="57">
        <v>5564</v>
      </c>
      <c r="D633" s="57" t="s">
        <v>44</v>
      </c>
      <c r="E633" s="57" t="s">
        <v>353</v>
      </c>
      <c r="F633" s="57">
        <v>72</v>
      </c>
      <c r="G633" s="57" t="s">
        <v>347</v>
      </c>
      <c r="H633" s="57" t="s">
        <v>365</v>
      </c>
      <c r="I633" s="57"/>
    </row>
    <row r="634" spans="1:9" ht="45" x14ac:dyDescent="0.25">
      <c r="A634" s="58"/>
      <c r="B634" s="57" t="s">
        <v>81</v>
      </c>
      <c r="C634" s="57">
        <v>5565</v>
      </c>
      <c r="D634" s="57" t="s">
        <v>41</v>
      </c>
      <c r="E634" s="57" t="s">
        <v>350</v>
      </c>
      <c r="F634" s="57">
        <v>71</v>
      </c>
      <c r="G634" s="57" t="s">
        <v>347</v>
      </c>
      <c r="H634" s="57" t="s">
        <v>363</v>
      </c>
      <c r="I634" s="57"/>
    </row>
    <row r="635" spans="1:9" ht="45" x14ac:dyDescent="0.25">
      <c r="A635" s="58"/>
      <c r="B635" s="57" t="s">
        <v>81</v>
      </c>
      <c r="C635" s="57">
        <v>5565</v>
      </c>
      <c r="D635" s="57" t="s">
        <v>43</v>
      </c>
      <c r="E635" s="57" t="s">
        <v>346</v>
      </c>
      <c r="F635" s="57">
        <v>71</v>
      </c>
      <c r="G635" s="57" t="s">
        <v>347</v>
      </c>
      <c r="H635" s="57" t="s">
        <v>364</v>
      </c>
      <c r="I635" s="57"/>
    </row>
    <row r="636" spans="1:9" ht="60" x14ac:dyDescent="0.25">
      <c r="A636" s="58"/>
      <c r="B636" s="57" t="s">
        <v>81</v>
      </c>
      <c r="C636" s="57">
        <v>5565</v>
      </c>
      <c r="D636" s="57" t="s">
        <v>44</v>
      </c>
      <c r="E636" s="57" t="s">
        <v>353</v>
      </c>
      <c r="F636" s="57">
        <v>71</v>
      </c>
      <c r="G636" s="57" t="s">
        <v>347</v>
      </c>
      <c r="H636" s="57" t="s">
        <v>365</v>
      </c>
      <c r="I636" s="57"/>
    </row>
    <row r="637" spans="1:9" ht="45" x14ac:dyDescent="0.25">
      <c r="A637" s="58"/>
      <c r="B637" s="57" t="s">
        <v>81</v>
      </c>
      <c r="C637" s="57">
        <v>5571</v>
      </c>
      <c r="D637" s="57" t="s">
        <v>41</v>
      </c>
      <c r="E637" s="57" t="s">
        <v>350</v>
      </c>
      <c r="F637" s="57">
        <v>70</v>
      </c>
      <c r="G637" s="57" t="s">
        <v>347</v>
      </c>
      <c r="H637" s="57" t="s">
        <v>363</v>
      </c>
      <c r="I637" s="57"/>
    </row>
    <row r="638" spans="1:9" ht="45" x14ac:dyDescent="0.25">
      <c r="A638" s="58"/>
      <c r="B638" s="57" t="s">
        <v>81</v>
      </c>
      <c r="C638" s="57">
        <v>5571</v>
      </c>
      <c r="D638" s="57" t="s">
        <v>43</v>
      </c>
      <c r="E638" s="57" t="s">
        <v>346</v>
      </c>
      <c r="F638" s="57">
        <v>70</v>
      </c>
      <c r="G638" s="57" t="s">
        <v>347</v>
      </c>
      <c r="H638" s="57" t="s">
        <v>364</v>
      </c>
      <c r="I638" s="57"/>
    </row>
    <row r="639" spans="1:9" ht="60" x14ac:dyDescent="0.25">
      <c r="A639" s="58"/>
      <c r="B639" s="57" t="s">
        <v>81</v>
      </c>
      <c r="C639" s="57">
        <v>5571</v>
      </c>
      <c r="D639" s="57" t="s">
        <v>44</v>
      </c>
      <c r="E639" s="57" t="s">
        <v>353</v>
      </c>
      <c r="F639" s="57">
        <v>70</v>
      </c>
      <c r="G639" s="57" t="s">
        <v>347</v>
      </c>
      <c r="H639" s="57" t="s">
        <v>365</v>
      </c>
      <c r="I639" s="57"/>
    </row>
    <row r="640" spans="1:9" ht="45" x14ac:dyDescent="0.25">
      <c r="A640" s="58"/>
      <c r="B640" s="57" t="s">
        <v>81</v>
      </c>
      <c r="C640" s="57">
        <v>5572</v>
      </c>
      <c r="D640" s="57" t="s">
        <v>41</v>
      </c>
      <c r="E640" s="57" t="s">
        <v>350</v>
      </c>
      <c r="F640" s="57">
        <v>70</v>
      </c>
      <c r="G640" s="57" t="s">
        <v>347</v>
      </c>
      <c r="H640" s="57" t="s">
        <v>363</v>
      </c>
      <c r="I640" s="57"/>
    </row>
    <row r="641" spans="1:9" ht="45" x14ac:dyDescent="0.25">
      <c r="A641" s="58"/>
      <c r="B641" s="57" t="s">
        <v>81</v>
      </c>
      <c r="C641" s="57">
        <v>5572</v>
      </c>
      <c r="D641" s="57" t="s">
        <v>43</v>
      </c>
      <c r="E641" s="57" t="s">
        <v>346</v>
      </c>
      <c r="F641" s="57">
        <v>70</v>
      </c>
      <c r="G641" s="57" t="s">
        <v>347</v>
      </c>
      <c r="H641" s="57" t="s">
        <v>364</v>
      </c>
      <c r="I641" s="57"/>
    </row>
    <row r="642" spans="1:9" ht="60" x14ac:dyDescent="0.25">
      <c r="A642" s="58"/>
      <c r="B642" s="57" t="s">
        <v>81</v>
      </c>
      <c r="C642" s="57">
        <v>5572</v>
      </c>
      <c r="D642" s="57" t="s">
        <v>44</v>
      </c>
      <c r="E642" s="57" t="s">
        <v>353</v>
      </c>
      <c r="F642" s="57">
        <v>70</v>
      </c>
      <c r="G642" s="57" t="s">
        <v>347</v>
      </c>
      <c r="H642" s="57" t="s">
        <v>365</v>
      </c>
      <c r="I642" s="57"/>
    </row>
    <row r="643" spans="1:9" ht="45" x14ac:dyDescent="0.25">
      <c r="A643" s="58"/>
      <c r="B643" s="57" t="s">
        <v>81</v>
      </c>
      <c r="C643" s="57">
        <v>5574</v>
      </c>
      <c r="D643" s="57" t="s">
        <v>41</v>
      </c>
      <c r="E643" s="57" t="s">
        <v>350</v>
      </c>
      <c r="F643" s="57">
        <v>64</v>
      </c>
      <c r="G643" s="57" t="s">
        <v>347</v>
      </c>
      <c r="H643" s="57" t="s">
        <v>363</v>
      </c>
      <c r="I643" s="57"/>
    </row>
    <row r="644" spans="1:9" ht="45" x14ac:dyDescent="0.25">
      <c r="A644" s="58"/>
      <c r="B644" s="57" t="s">
        <v>81</v>
      </c>
      <c r="C644" s="57">
        <v>5574</v>
      </c>
      <c r="D644" s="57" t="s">
        <v>43</v>
      </c>
      <c r="E644" s="57" t="s">
        <v>346</v>
      </c>
      <c r="F644" s="57">
        <v>64</v>
      </c>
      <c r="G644" s="57" t="s">
        <v>347</v>
      </c>
      <c r="H644" s="57" t="s">
        <v>364</v>
      </c>
      <c r="I644" s="57"/>
    </row>
    <row r="645" spans="1:9" ht="60" x14ac:dyDescent="0.25">
      <c r="A645" s="58"/>
      <c r="B645" s="57" t="s">
        <v>81</v>
      </c>
      <c r="C645" s="57">
        <v>5574</v>
      </c>
      <c r="D645" s="57" t="s">
        <v>44</v>
      </c>
      <c r="E645" s="57" t="s">
        <v>353</v>
      </c>
      <c r="F645" s="57">
        <v>64</v>
      </c>
      <c r="G645" s="57" t="s">
        <v>347</v>
      </c>
      <c r="H645" s="57" t="s">
        <v>365</v>
      </c>
      <c r="I645" s="57"/>
    </row>
    <row r="646" spans="1:9" ht="45" x14ac:dyDescent="0.25">
      <c r="A646" s="58"/>
      <c r="B646" s="57" t="s">
        <v>81</v>
      </c>
      <c r="C646" s="57">
        <v>5575</v>
      </c>
      <c r="D646" s="57" t="s">
        <v>41</v>
      </c>
      <c r="E646" s="57" t="s">
        <v>350</v>
      </c>
      <c r="F646" s="57">
        <v>64</v>
      </c>
      <c r="G646" s="57" t="s">
        <v>347</v>
      </c>
      <c r="H646" s="57" t="s">
        <v>363</v>
      </c>
      <c r="I646" s="57"/>
    </row>
    <row r="647" spans="1:9" ht="45" x14ac:dyDescent="0.25">
      <c r="A647" s="58"/>
      <c r="B647" s="57" t="s">
        <v>81</v>
      </c>
      <c r="C647" s="57">
        <v>5575</v>
      </c>
      <c r="D647" s="57" t="s">
        <v>43</v>
      </c>
      <c r="E647" s="57" t="s">
        <v>346</v>
      </c>
      <c r="F647" s="57">
        <v>64</v>
      </c>
      <c r="G647" s="57" t="s">
        <v>347</v>
      </c>
      <c r="H647" s="57" t="s">
        <v>364</v>
      </c>
      <c r="I647" s="57"/>
    </row>
    <row r="648" spans="1:9" ht="60" x14ac:dyDescent="0.25">
      <c r="A648" s="58"/>
      <c r="B648" s="57" t="s">
        <v>81</v>
      </c>
      <c r="C648" s="57">
        <v>5575</v>
      </c>
      <c r="D648" s="57" t="s">
        <v>44</v>
      </c>
      <c r="E648" s="57" t="s">
        <v>353</v>
      </c>
      <c r="F648" s="57">
        <v>64</v>
      </c>
      <c r="G648" s="57" t="s">
        <v>347</v>
      </c>
      <c r="H648" s="57" t="s">
        <v>365</v>
      </c>
      <c r="I648" s="57"/>
    </row>
    <row r="649" spans="1:9" ht="45" x14ac:dyDescent="0.25">
      <c r="A649" s="58"/>
      <c r="B649" s="57" t="s">
        <v>81</v>
      </c>
      <c r="C649" s="57">
        <v>5577</v>
      </c>
      <c r="D649" s="57" t="s">
        <v>41</v>
      </c>
      <c r="E649" s="57" t="s">
        <v>350</v>
      </c>
      <c r="F649" s="57">
        <v>63</v>
      </c>
      <c r="G649" s="57" t="s">
        <v>347</v>
      </c>
      <c r="H649" s="57" t="s">
        <v>363</v>
      </c>
      <c r="I649" s="57"/>
    </row>
    <row r="650" spans="1:9" ht="45" x14ac:dyDescent="0.25">
      <c r="A650" s="58"/>
      <c r="B650" s="57" t="s">
        <v>81</v>
      </c>
      <c r="C650" s="57">
        <v>5577</v>
      </c>
      <c r="D650" s="57" t="s">
        <v>43</v>
      </c>
      <c r="E650" s="57" t="s">
        <v>346</v>
      </c>
      <c r="F650" s="57">
        <v>63</v>
      </c>
      <c r="G650" s="57" t="s">
        <v>347</v>
      </c>
      <c r="H650" s="57" t="s">
        <v>364</v>
      </c>
      <c r="I650" s="57"/>
    </row>
    <row r="651" spans="1:9" ht="60" x14ac:dyDescent="0.25">
      <c r="A651" s="58"/>
      <c r="B651" s="57" t="s">
        <v>81</v>
      </c>
      <c r="C651" s="57">
        <v>5577</v>
      </c>
      <c r="D651" s="57" t="s">
        <v>44</v>
      </c>
      <c r="E651" s="57" t="s">
        <v>353</v>
      </c>
      <c r="F651" s="57">
        <v>63</v>
      </c>
      <c r="G651" s="57" t="s">
        <v>347</v>
      </c>
      <c r="H651" s="57" t="s">
        <v>365</v>
      </c>
      <c r="I651" s="57"/>
    </row>
    <row r="652" spans="1:9" ht="45" x14ac:dyDescent="0.25">
      <c r="A652" s="58"/>
      <c r="B652" s="57" t="s">
        <v>81</v>
      </c>
      <c r="C652" s="57">
        <v>5578</v>
      </c>
      <c r="D652" s="57" t="s">
        <v>41</v>
      </c>
      <c r="E652" s="57" t="s">
        <v>350</v>
      </c>
      <c r="F652" s="57">
        <v>63</v>
      </c>
      <c r="G652" s="57" t="s">
        <v>347</v>
      </c>
      <c r="H652" s="57" t="s">
        <v>363</v>
      </c>
      <c r="I652" s="57"/>
    </row>
    <row r="653" spans="1:9" ht="45" x14ac:dyDescent="0.25">
      <c r="A653" s="58"/>
      <c r="B653" s="57" t="s">
        <v>81</v>
      </c>
      <c r="C653" s="57">
        <v>5578</v>
      </c>
      <c r="D653" s="57" t="s">
        <v>43</v>
      </c>
      <c r="E653" s="57" t="s">
        <v>346</v>
      </c>
      <c r="F653" s="57">
        <v>63</v>
      </c>
      <c r="G653" s="57" t="s">
        <v>347</v>
      </c>
      <c r="H653" s="57" t="s">
        <v>364</v>
      </c>
      <c r="I653" s="57"/>
    </row>
    <row r="654" spans="1:9" ht="60" x14ac:dyDescent="0.25">
      <c r="A654" s="58"/>
      <c r="B654" s="57" t="s">
        <v>81</v>
      </c>
      <c r="C654" s="57">
        <v>5578</v>
      </c>
      <c r="D654" s="57" t="s">
        <v>44</v>
      </c>
      <c r="E654" s="57" t="s">
        <v>353</v>
      </c>
      <c r="F654" s="57">
        <v>63</v>
      </c>
      <c r="G654" s="57" t="s">
        <v>347</v>
      </c>
      <c r="H654" s="57" t="s">
        <v>365</v>
      </c>
      <c r="I654" s="57"/>
    </row>
    <row r="655" spans="1:9" ht="45" x14ac:dyDescent="0.25">
      <c r="A655" s="58"/>
      <c r="B655" s="57" t="s">
        <v>81</v>
      </c>
      <c r="C655" s="57">
        <v>5595</v>
      </c>
      <c r="D655" s="57" t="s">
        <v>41</v>
      </c>
      <c r="E655" s="57" t="s">
        <v>350</v>
      </c>
      <c r="F655" s="57">
        <v>56</v>
      </c>
      <c r="G655" s="57" t="s">
        <v>347</v>
      </c>
      <c r="H655" s="57" t="s">
        <v>363</v>
      </c>
      <c r="I655" s="57"/>
    </row>
    <row r="656" spans="1:9" ht="45" x14ac:dyDescent="0.25">
      <c r="A656" s="58"/>
      <c r="B656" s="57" t="s">
        <v>81</v>
      </c>
      <c r="C656" s="57">
        <v>5595</v>
      </c>
      <c r="D656" s="57" t="s">
        <v>43</v>
      </c>
      <c r="E656" s="57" t="s">
        <v>346</v>
      </c>
      <c r="F656" s="57">
        <v>56</v>
      </c>
      <c r="G656" s="57" t="s">
        <v>347</v>
      </c>
      <c r="H656" s="57" t="s">
        <v>364</v>
      </c>
      <c r="I656" s="57"/>
    </row>
    <row r="657" spans="1:9" ht="60" x14ac:dyDescent="0.25">
      <c r="A657" s="58"/>
      <c r="B657" s="57" t="s">
        <v>81</v>
      </c>
      <c r="C657" s="57">
        <v>5595</v>
      </c>
      <c r="D657" s="57" t="s">
        <v>44</v>
      </c>
      <c r="E657" s="57" t="s">
        <v>353</v>
      </c>
      <c r="F657" s="57">
        <v>56</v>
      </c>
      <c r="G657" s="57" t="s">
        <v>347</v>
      </c>
      <c r="H657" s="57" t="s">
        <v>365</v>
      </c>
      <c r="I657" s="57"/>
    </row>
    <row r="658" spans="1:9" ht="45" x14ac:dyDescent="0.25">
      <c r="A658" s="58"/>
      <c r="B658" s="57" t="s">
        <v>81</v>
      </c>
      <c r="C658" s="57">
        <v>5596</v>
      </c>
      <c r="D658" s="57" t="s">
        <v>41</v>
      </c>
      <c r="E658" s="57" t="s">
        <v>350</v>
      </c>
      <c r="F658" s="57">
        <v>55</v>
      </c>
      <c r="G658" s="57" t="s">
        <v>347</v>
      </c>
      <c r="H658" s="57" t="s">
        <v>363</v>
      </c>
      <c r="I658" s="57"/>
    </row>
    <row r="659" spans="1:9" ht="45" x14ac:dyDescent="0.25">
      <c r="A659" s="58"/>
      <c r="B659" s="57" t="s">
        <v>81</v>
      </c>
      <c r="C659" s="57">
        <v>5596</v>
      </c>
      <c r="D659" s="57" t="s">
        <v>43</v>
      </c>
      <c r="E659" s="57" t="s">
        <v>346</v>
      </c>
      <c r="F659" s="57">
        <v>55</v>
      </c>
      <c r="G659" s="57" t="s">
        <v>347</v>
      </c>
      <c r="H659" s="57" t="s">
        <v>364</v>
      </c>
      <c r="I659" s="57"/>
    </row>
    <row r="660" spans="1:9" ht="60" x14ac:dyDescent="0.25">
      <c r="A660" s="58"/>
      <c r="B660" s="57" t="s">
        <v>81</v>
      </c>
      <c r="C660" s="57">
        <v>5596</v>
      </c>
      <c r="D660" s="57" t="s">
        <v>44</v>
      </c>
      <c r="E660" s="57" t="s">
        <v>353</v>
      </c>
      <c r="F660" s="57">
        <v>55</v>
      </c>
      <c r="G660" s="57" t="s">
        <v>347</v>
      </c>
      <c r="H660" s="57" t="s">
        <v>365</v>
      </c>
      <c r="I660" s="57"/>
    </row>
    <row r="661" spans="1:9" ht="45" x14ac:dyDescent="0.25">
      <c r="A661" s="58"/>
      <c r="B661" s="57" t="s">
        <v>81</v>
      </c>
      <c r="C661" s="57">
        <v>5599</v>
      </c>
      <c r="D661" s="57" t="s">
        <v>41</v>
      </c>
      <c r="E661" s="57" t="s">
        <v>350</v>
      </c>
      <c r="F661" s="57">
        <v>51</v>
      </c>
      <c r="G661" s="57" t="s">
        <v>347</v>
      </c>
      <c r="H661" s="57" t="s">
        <v>363</v>
      </c>
      <c r="I661" s="57"/>
    </row>
    <row r="662" spans="1:9" ht="45" x14ac:dyDescent="0.25">
      <c r="A662" s="58"/>
      <c r="B662" s="57" t="s">
        <v>81</v>
      </c>
      <c r="C662" s="57">
        <v>5599</v>
      </c>
      <c r="D662" s="57" t="s">
        <v>43</v>
      </c>
      <c r="E662" s="57" t="s">
        <v>346</v>
      </c>
      <c r="F662" s="57">
        <v>51</v>
      </c>
      <c r="G662" s="57" t="s">
        <v>347</v>
      </c>
      <c r="H662" s="57" t="s">
        <v>364</v>
      </c>
      <c r="I662" s="57"/>
    </row>
    <row r="663" spans="1:9" ht="60" x14ac:dyDescent="0.25">
      <c r="A663" s="58"/>
      <c r="B663" s="57" t="s">
        <v>81</v>
      </c>
      <c r="C663" s="57">
        <v>5599</v>
      </c>
      <c r="D663" s="57" t="s">
        <v>44</v>
      </c>
      <c r="E663" s="57" t="s">
        <v>353</v>
      </c>
      <c r="F663" s="57">
        <v>51</v>
      </c>
      <c r="G663" s="57" t="s">
        <v>347</v>
      </c>
      <c r="H663" s="57" t="s">
        <v>365</v>
      </c>
      <c r="I663" s="57"/>
    </row>
    <row r="664" spans="1:9" ht="45" x14ac:dyDescent="0.25">
      <c r="A664" s="58"/>
      <c r="B664" s="57" t="s">
        <v>81</v>
      </c>
      <c r="C664" s="57">
        <v>5601</v>
      </c>
      <c r="D664" s="57" t="s">
        <v>41</v>
      </c>
      <c r="E664" s="57" t="s">
        <v>350</v>
      </c>
      <c r="F664" s="57">
        <v>50</v>
      </c>
      <c r="G664" s="57" t="s">
        <v>347</v>
      </c>
      <c r="H664" s="57" t="s">
        <v>363</v>
      </c>
      <c r="I664" s="57"/>
    </row>
    <row r="665" spans="1:9" ht="45" x14ac:dyDescent="0.25">
      <c r="A665" s="58"/>
      <c r="B665" s="57" t="s">
        <v>81</v>
      </c>
      <c r="C665" s="57">
        <v>5601</v>
      </c>
      <c r="D665" s="57" t="s">
        <v>43</v>
      </c>
      <c r="E665" s="57" t="s">
        <v>346</v>
      </c>
      <c r="F665" s="57">
        <v>50</v>
      </c>
      <c r="G665" s="57" t="s">
        <v>347</v>
      </c>
      <c r="H665" s="57" t="s">
        <v>364</v>
      </c>
      <c r="I665" s="57"/>
    </row>
    <row r="666" spans="1:9" ht="60" x14ac:dyDescent="0.25">
      <c r="A666" s="58"/>
      <c r="B666" s="57" t="s">
        <v>81</v>
      </c>
      <c r="C666" s="57">
        <v>5601</v>
      </c>
      <c r="D666" s="57" t="s">
        <v>44</v>
      </c>
      <c r="E666" s="57" t="s">
        <v>353</v>
      </c>
      <c r="F666" s="57">
        <v>50</v>
      </c>
      <c r="G666" s="57" t="s">
        <v>347</v>
      </c>
      <c r="H666" s="57" t="s">
        <v>365</v>
      </c>
      <c r="I666" s="57"/>
    </row>
    <row r="667" spans="1:9" ht="45" x14ac:dyDescent="0.25">
      <c r="A667" s="58"/>
      <c r="B667" s="57" t="s">
        <v>81</v>
      </c>
      <c r="C667" s="57">
        <v>5603</v>
      </c>
      <c r="D667" s="57" t="s">
        <v>41</v>
      </c>
      <c r="E667" s="57" t="s">
        <v>350</v>
      </c>
      <c r="F667" s="57">
        <v>49</v>
      </c>
      <c r="G667" s="57" t="s">
        <v>347</v>
      </c>
      <c r="H667" s="57" t="s">
        <v>363</v>
      </c>
      <c r="I667" s="57"/>
    </row>
    <row r="668" spans="1:9" ht="45" x14ac:dyDescent="0.25">
      <c r="A668" s="58"/>
      <c r="B668" s="57" t="s">
        <v>81</v>
      </c>
      <c r="C668" s="57">
        <v>5603</v>
      </c>
      <c r="D668" s="57" t="s">
        <v>43</v>
      </c>
      <c r="E668" s="57" t="s">
        <v>346</v>
      </c>
      <c r="F668" s="57">
        <v>49</v>
      </c>
      <c r="G668" s="57" t="s">
        <v>347</v>
      </c>
      <c r="H668" s="57" t="s">
        <v>364</v>
      </c>
      <c r="I668" s="57"/>
    </row>
    <row r="669" spans="1:9" ht="60" x14ac:dyDescent="0.25">
      <c r="A669" s="58"/>
      <c r="B669" s="57" t="s">
        <v>81</v>
      </c>
      <c r="C669" s="57">
        <v>5603</v>
      </c>
      <c r="D669" s="57" t="s">
        <v>44</v>
      </c>
      <c r="E669" s="57" t="s">
        <v>353</v>
      </c>
      <c r="F669" s="57">
        <v>49</v>
      </c>
      <c r="G669" s="57" t="s">
        <v>347</v>
      </c>
      <c r="H669" s="57" t="s">
        <v>365</v>
      </c>
      <c r="I669" s="57"/>
    </row>
    <row r="670" spans="1:9" ht="45" x14ac:dyDescent="0.25">
      <c r="A670" s="58"/>
      <c r="B670" s="57" t="s">
        <v>81</v>
      </c>
      <c r="C670" s="57">
        <v>5604</v>
      </c>
      <c r="D670" s="57" t="s">
        <v>41</v>
      </c>
      <c r="E670" s="57" t="s">
        <v>350</v>
      </c>
      <c r="F670" s="57">
        <v>49</v>
      </c>
      <c r="G670" s="57" t="s">
        <v>347</v>
      </c>
      <c r="H670" s="57" t="s">
        <v>363</v>
      </c>
      <c r="I670" s="57"/>
    </row>
    <row r="671" spans="1:9" ht="45" x14ac:dyDescent="0.25">
      <c r="A671" s="58"/>
      <c r="B671" s="57" t="s">
        <v>81</v>
      </c>
      <c r="C671" s="57">
        <v>5604</v>
      </c>
      <c r="D671" s="57" t="s">
        <v>43</v>
      </c>
      <c r="E671" s="57" t="s">
        <v>346</v>
      </c>
      <c r="F671" s="57">
        <v>49</v>
      </c>
      <c r="G671" s="57" t="s">
        <v>347</v>
      </c>
      <c r="H671" s="57" t="s">
        <v>364</v>
      </c>
      <c r="I671" s="57"/>
    </row>
    <row r="672" spans="1:9" ht="60" x14ac:dyDescent="0.25">
      <c r="A672" s="58"/>
      <c r="B672" s="57" t="s">
        <v>81</v>
      </c>
      <c r="C672" s="57">
        <v>5604</v>
      </c>
      <c r="D672" s="57" t="s">
        <v>44</v>
      </c>
      <c r="E672" s="57" t="s">
        <v>353</v>
      </c>
      <c r="F672" s="57">
        <v>49</v>
      </c>
      <c r="G672" s="57" t="s">
        <v>347</v>
      </c>
      <c r="H672" s="57" t="s">
        <v>365</v>
      </c>
      <c r="I672" s="57"/>
    </row>
    <row r="673" spans="1:9" ht="45" x14ac:dyDescent="0.25">
      <c r="A673" s="58"/>
      <c r="B673" s="57" t="s">
        <v>81</v>
      </c>
      <c r="C673" s="57">
        <v>5612</v>
      </c>
      <c r="D673" s="57" t="s">
        <v>41</v>
      </c>
      <c r="E673" s="57" t="s">
        <v>350</v>
      </c>
      <c r="F673" s="57">
        <v>43</v>
      </c>
      <c r="G673" s="57" t="s">
        <v>347</v>
      </c>
      <c r="H673" s="57" t="s">
        <v>363</v>
      </c>
      <c r="I673" s="57"/>
    </row>
    <row r="674" spans="1:9" ht="45" x14ac:dyDescent="0.25">
      <c r="A674" s="58"/>
      <c r="B674" s="57" t="s">
        <v>81</v>
      </c>
      <c r="C674" s="57">
        <v>5612</v>
      </c>
      <c r="D674" s="57" t="s">
        <v>43</v>
      </c>
      <c r="E674" s="57" t="s">
        <v>346</v>
      </c>
      <c r="F674" s="57">
        <v>43</v>
      </c>
      <c r="G674" s="57" t="s">
        <v>347</v>
      </c>
      <c r="H674" s="57" t="s">
        <v>364</v>
      </c>
      <c r="I674" s="57"/>
    </row>
    <row r="675" spans="1:9" ht="60" x14ac:dyDescent="0.25">
      <c r="A675" s="58"/>
      <c r="B675" s="57" t="s">
        <v>81</v>
      </c>
      <c r="C675" s="57">
        <v>5612</v>
      </c>
      <c r="D675" s="57" t="s">
        <v>44</v>
      </c>
      <c r="E675" s="57" t="s">
        <v>353</v>
      </c>
      <c r="F675" s="57">
        <v>43</v>
      </c>
      <c r="G675" s="57" t="s">
        <v>347</v>
      </c>
      <c r="H675" s="57" t="s">
        <v>365</v>
      </c>
      <c r="I675" s="57"/>
    </row>
    <row r="676" spans="1:9" ht="45" x14ac:dyDescent="0.25">
      <c r="A676" s="58"/>
      <c r="B676" s="57" t="s">
        <v>81</v>
      </c>
      <c r="C676" s="57">
        <v>5614</v>
      </c>
      <c r="D676" s="57" t="s">
        <v>41</v>
      </c>
      <c r="E676" s="57" t="s">
        <v>350</v>
      </c>
      <c r="F676" s="57">
        <v>42</v>
      </c>
      <c r="G676" s="57" t="s">
        <v>347</v>
      </c>
      <c r="H676" s="57" t="s">
        <v>363</v>
      </c>
      <c r="I676" s="57"/>
    </row>
    <row r="677" spans="1:9" ht="45" x14ac:dyDescent="0.25">
      <c r="A677" s="58"/>
      <c r="B677" s="57" t="s">
        <v>81</v>
      </c>
      <c r="C677" s="57">
        <v>5614</v>
      </c>
      <c r="D677" s="57" t="s">
        <v>43</v>
      </c>
      <c r="E677" s="57" t="s">
        <v>346</v>
      </c>
      <c r="F677" s="57">
        <v>42</v>
      </c>
      <c r="G677" s="57" t="s">
        <v>347</v>
      </c>
      <c r="H677" s="57" t="s">
        <v>364</v>
      </c>
      <c r="I677" s="57"/>
    </row>
    <row r="678" spans="1:9" ht="60" x14ac:dyDescent="0.25">
      <c r="A678" s="58"/>
      <c r="B678" s="57" t="s">
        <v>81</v>
      </c>
      <c r="C678" s="57">
        <v>5614</v>
      </c>
      <c r="D678" s="57" t="s">
        <v>44</v>
      </c>
      <c r="E678" s="57" t="s">
        <v>353</v>
      </c>
      <c r="F678" s="57">
        <v>42</v>
      </c>
      <c r="G678" s="57" t="s">
        <v>347</v>
      </c>
      <c r="H678" s="57" t="s">
        <v>365</v>
      </c>
      <c r="I678" s="57"/>
    </row>
    <row r="679" spans="1:9" ht="45" x14ac:dyDescent="0.25">
      <c r="A679" s="58"/>
      <c r="B679" s="57" t="s">
        <v>81</v>
      </c>
      <c r="C679" s="57">
        <v>5615</v>
      </c>
      <c r="D679" s="57" t="s">
        <v>41</v>
      </c>
      <c r="E679" s="57" t="s">
        <v>350</v>
      </c>
      <c r="F679" s="57">
        <v>42</v>
      </c>
      <c r="G679" s="57" t="s">
        <v>347</v>
      </c>
      <c r="H679" s="57" t="s">
        <v>363</v>
      </c>
      <c r="I679" s="57"/>
    </row>
    <row r="680" spans="1:9" ht="45" x14ac:dyDescent="0.25">
      <c r="A680" s="58"/>
      <c r="B680" s="57" t="s">
        <v>81</v>
      </c>
      <c r="C680" s="57">
        <v>5615</v>
      </c>
      <c r="D680" s="57" t="s">
        <v>43</v>
      </c>
      <c r="E680" s="57" t="s">
        <v>346</v>
      </c>
      <c r="F680" s="57">
        <v>42</v>
      </c>
      <c r="G680" s="57" t="s">
        <v>347</v>
      </c>
      <c r="H680" s="57" t="s">
        <v>364</v>
      </c>
      <c r="I680" s="57"/>
    </row>
    <row r="681" spans="1:9" ht="60" x14ac:dyDescent="0.25">
      <c r="A681" s="58"/>
      <c r="B681" s="57" t="s">
        <v>81</v>
      </c>
      <c r="C681" s="57">
        <v>5615</v>
      </c>
      <c r="D681" s="57" t="s">
        <v>44</v>
      </c>
      <c r="E681" s="57" t="s">
        <v>353</v>
      </c>
      <c r="F681" s="57">
        <v>42</v>
      </c>
      <c r="G681" s="57" t="s">
        <v>347</v>
      </c>
      <c r="H681" s="57" t="s">
        <v>365</v>
      </c>
      <c r="I681" s="57"/>
    </row>
    <row r="682" spans="1:9" ht="45" x14ac:dyDescent="0.25">
      <c r="A682" s="58"/>
      <c r="B682" s="57" t="s">
        <v>81</v>
      </c>
      <c r="C682" s="57">
        <v>5621</v>
      </c>
      <c r="D682" s="57" t="s">
        <v>41</v>
      </c>
      <c r="E682" s="57" t="s">
        <v>350</v>
      </c>
      <c r="F682" s="57">
        <v>34</v>
      </c>
      <c r="G682" s="57" t="s">
        <v>347</v>
      </c>
      <c r="H682" s="57" t="s">
        <v>363</v>
      </c>
      <c r="I682" s="57"/>
    </row>
    <row r="683" spans="1:9" ht="45" x14ac:dyDescent="0.25">
      <c r="A683" s="58"/>
      <c r="B683" s="57" t="s">
        <v>81</v>
      </c>
      <c r="C683" s="57">
        <v>5621</v>
      </c>
      <c r="D683" s="57" t="s">
        <v>43</v>
      </c>
      <c r="E683" s="57" t="s">
        <v>346</v>
      </c>
      <c r="F683" s="57">
        <v>34</v>
      </c>
      <c r="G683" s="57" t="s">
        <v>347</v>
      </c>
      <c r="H683" s="57" t="s">
        <v>364</v>
      </c>
      <c r="I683" s="57"/>
    </row>
    <row r="684" spans="1:9" ht="60" x14ac:dyDescent="0.25">
      <c r="A684" s="58"/>
      <c r="B684" s="57" t="s">
        <v>81</v>
      </c>
      <c r="C684" s="57">
        <v>5621</v>
      </c>
      <c r="D684" s="57" t="s">
        <v>44</v>
      </c>
      <c r="E684" s="57" t="s">
        <v>353</v>
      </c>
      <c r="F684" s="57">
        <v>34</v>
      </c>
      <c r="G684" s="57" t="s">
        <v>347</v>
      </c>
      <c r="H684" s="57" t="s">
        <v>365</v>
      </c>
      <c r="I684" s="57"/>
    </row>
    <row r="685" spans="1:9" ht="45" x14ac:dyDescent="0.25">
      <c r="A685" s="58"/>
      <c r="B685" s="57" t="s">
        <v>81</v>
      </c>
      <c r="C685" s="57">
        <v>5625</v>
      </c>
      <c r="D685" s="57" t="s">
        <v>41</v>
      </c>
      <c r="E685" s="57" t="s">
        <v>350</v>
      </c>
      <c r="F685" s="57">
        <v>30</v>
      </c>
      <c r="G685" s="57" t="s">
        <v>347</v>
      </c>
      <c r="H685" s="57" t="s">
        <v>363</v>
      </c>
      <c r="I685" s="57"/>
    </row>
    <row r="686" spans="1:9" ht="45" x14ac:dyDescent="0.25">
      <c r="A686" s="58"/>
      <c r="B686" s="57" t="s">
        <v>81</v>
      </c>
      <c r="C686" s="57">
        <v>5625</v>
      </c>
      <c r="D686" s="57" t="s">
        <v>43</v>
      </c>
      <c r="E686" s="57" t="s">
        <v>346</v>
      </c>
      <c r="F686" s="57">
        <v>30</v>
      </c>
      <c r="G686" s="57" t="s">
        <v>347</v>
      </c>
      <c r="H686" s="57" t="s">
        <v>364</v>
      </c>
      <c r="I686" s="57"/>
    </row>
    <row r="687" spans="1:9" ht="60" x14ac:dyDescent="0.25">
      <c r="A687" s="58"/>
      <c r="B687" s="57" t="s">
        <v>81</v>
      </c>
      <c r="C687" s="57">
        <v>5625</v>
      </c>
      <c r="D687" s="57" t="s">
        <v>44</v>
      </c>
      <c r="E687" s="57" t="s">
        <v>353</v>
      </c>
      <c r="F687" s="57">
        <v>30</v>
      </c>
      <c r="G687" s="57" t="s">
        <v>347</v>
      </c>
      <c r="H687" s="57" t="s">
        <v>365</v>
      </c>
      <c r="I687" s="57"/>
    </row>
    <row r="688" spans="1:9" ht="45" x14ac:dyDescent="0.25">
      <c r="A688" s="58"/>
      <c r="B688" s="57" t="s">
        <v>81</v>
      </c>
      <c r="C688" s="57">
        <v>5626</v>
      </c>
      <c r="D688" s="57" t="s">
        <v>41</v>
      </c>
      <c r="E688" s="57" t="s">
        <v>350</v>
      </c>
      <c r="F688" s="57">
        <v>32</v>
      </c>
      <c r="G688" s="57" t="s">
        <v>347</v>
      </c>
      <c r="H688" s="57" t="s">
        <v>363</v>
      </c>
      <c r="I688" s="57"/>
    </row>
    <row r="689" spans="1:9" ht="45" x14ac:dyDescent="0.25">
      <c r="A689" s="58"/>
      <c r="B689" s="57" t="s">
        <v>81</v>
      </c>
      <c r="C689" s="57">
        <v>5626</v>
      </c>
      <c r="D689" s="57" t="s">
        <v>43</v>
      </c>
      <c r="E689" s="57" t="s">
        <v>346</v>
      </c>
      <c r="F689" s="57">
        <v>32</v>
      </c>
      <c r="G689" s="57" t="s">
        <v>347</v>
      </c>
      <c r="H689" s="57" t="s">
        <v>364</v>
      </c>
      <c r="I689" s="57"/>
    </row>
    <row r="690" spans="1:9" ht="60" x14ac:dyDescent="0.25">
      <c r="A690" s="58"/>
      <c r="B690" s="57" t="s">
        <v>81</v>
      </c>
      <c r="C690" s="57">
        <v>5626</v>
      </c>
      <c r="D690" s="57" t="s">
        <v>44</v>
      </c>
      <c r="E690" s="57" t="s">
        <v>353</v>
      </c>
      <c r="F690" s="57">
        <v>32</v>
      </c>
      <c r="G690" s="57" t="s">
        <v>347</v>
      </c>
      <c r="H690" s="57" t="s">
        <v>365</v>
      </c>
      <c r="I690" s="57"/>
    </row>
    <row r="691" spans="1:9" ht="45" x14ac:dyDescent="0.25">
      <c r="A691" s="58"/>
      <c r="B691" s="57" t="s">
        <v>81</v>
      </c>
      <c r="C691" s="57">
        <v>5628</v>
      </c>
      <c r="D691" s="57" t="s">
        <v>41</v>
      </c>
      <c r="E691" s="57" t="s">
        <v>350</v>
      </c>
      <c r="F691" s="57">
        <v>23</v>
      </c>
      <c r="G691" s="57" t="s">
        <v>347</v>
      </c>
      <c r="H691" s="57" t="s">
        <v>363</v>
      </c>
      <c r="I691" s="57"/>
    </row>
    <row r="692" spans="1:9" ht="45" x14ac:dyDescent="0.25">
      <c r="A692" s="58"/>
      <c r="B692" s="57" t="s">
        <v>81</v>
      </c>
      <c r="C692" s="57">
        <v>5628</v>
      </c>
      <c r="D692" s="57" t="s">
        <v>43</v>
      </c>
      <c r="E692" s="57" t="s">
        <v>346</v>
      </c>
      <c r="F692" s="57">
        <v>23</v>
      </c>
      <c r="G692" s="57" t="s">
        <v>347</v>
      </c>
      <c r="H692" s="57" t="s">
        <v>364</v>
      </c>
      <c r="I692" s="57"/>
    </row>
    <row r="693" spans="1:9" ht="45" x14ac:dyDescent="0.25">
      <c r="A693" s="58"/>
      <c r="B693" s="57" t="s">
        <v>81</v>
      </c>
      <c r="C693" s="57">
        <v>5630</v>
      </c>
      <c r="D693" s="57" t="s">
        <v>41</v>
      </c>
      <c r="E693" s="57" t="s">
        <v>350</v>
      </c>
      <c r="F693" s="57">
        <v>22</v>
      </c>
      <c r="G693" s="57" t="s">
        <v>347</v>
      </c>
      <c r="H693" s="57" t="s">
        <v>363</v>
      </c>
      <c r="I693" s="57"/>
    </row>
    <row r="694" spans="1:9" ht="45" x14ac:dyDescent="0.25">
      <c r="A694" s="58"/>
      <c r="B694" s="57" t="s">
        <v>81</v>
      </c>
      <c r="C694" s="57">
        <v>5630</v>
      </c>
      <c r="D694" s="57" t="s">
        <v>43</v>
      </c>
      <c r="E694" s="57" t="s">
        <v>346</v>
      </c>
      <c r="F694" s="57">
        <v>22</v>
      </c>
      <c r="G694" s="57" t="s">
        <v>347</v>
      </c>
      <c r="H694" s="57" t="s">
        <v>364</v>
      </c>
      <c r="I694" s="57"/>
    </row>
    <row r="695" spans="1:9" ht="45" x14ac:dyDescent="0.25">
      <c r="A695" s="58"/>
      <c r="B695" s="57" t="s">
        <v>81</v>
      </c>
      <c r="C695" s="57">
        <v>5632</v>
      </c>
      <c r="D695" s="57" t="s">
        <v>41</v>
      </c>
      <c r="E695" s="57" t="s">
        <v>350</v>
      </c>
      <c r="F695" s="57">
        <v>20</v>
      </c>
      <c r="G695" s="57" t="s">
        <v>347</v>
      </c>
      <c r="H695" s="57" t="s">
        <v>363</v>
      </c>
      <c r="I695" s="57"/>
    </row>
    <row r="696" spans="1:9" ht="45" x14ac:dyDescent="0.25">
      <c r="A696" s="58"/>
      <c r="B696" s="57" t="s">
        <v>81</v>
      </c>
      <c r="C696" s="57">
        <v>5632</v>
      </c>
      <c r="D696" s="57" t="s">
        <v>43</v>
      </c>
      <c r="E696" s="57" t="s">
        <v>346</v>
      </c>
      <c r="F696" s="57">
        <v>20</v>
      </c>
      <c r="G696" s="57" t="s">
        <v>347</v>
      </c>
      <c r="H696" s="57" t="s">
        <v>364</v>
      </c>
      <c r="I696" s="57"/>
    </row>
    <row r="697" spans="1:9" ht="45" x14ac:dyDescent="0.25">
      <c r="A697" s="58"/>
      <c r="B697" s="57" t="s">
        <v>81</v>
      </c>
      <c r="C697" s="57">
        <v>5633</v>
      </c>
      <c r="D697" s="57" t="s">
        <v>41</v>
      </c>
      <c r="E697" s="57" t="s">
        <v>350</v>
      </c>
      <c r="F697" s="57">
        <v>19</v>
      </c>
      <c r="G697" s="57" t="s">
        <v>347</v>
      </c>
      <c r="H697" s="57" t="s">
        <v>363</v>
      </c>
      <c r="I697" s="57"/>
    </row>
    <row r="698" spans="1:9" ht="45" x14ac:dyDescent="0.25">
      <c r="A698" s="58"/>
      <c r="B698" s="57" t="s">
        <v>81</v>
      </c>
      <c r="C698" s="57">
        <v>5633</v>
      </c>
      <c r="D698" s="57" t="s">
        <v>43</v>
      </c>
      <c r="E698" s="57" t="s">
        <v>346</v>
      </c>
      <c r="F698" s="57">
        <v>19</v>
      </c>
      <c r="G698" s="57" t="s">
        <v>347</v>
      </c>
      <c r="H698" s="57" t="s">
        <v>364</v>
      </c>
      <c r="I698" s="57"/>
    </row>
    <row r="699" spans="1:9" ht="45" x14ac:dyDescent="0.25">
      <c r="A699" s="58"/>
      <c r="B699" s="57" t="s">
        <v>81</v>
      </c>
      <c r="C699" s="57">
        <v>5634</v>
      </c>
      <c r="D699" s="57" t="s">
        <v>41</v>
      </c>
      <c r="E699" s="57" t="s">
        <v>350</v>
      </c>
      <c r="F699" s="57">
        <v>16</v>
      </c>
      <c r="G699" s="57" t="s">
        <v>347</v>
      </c>
      <c r="H699" s="57" t="s">
        <v>363</v>
      </c>
      <c r="I699" s="57"/>
    </row>
    <row r="700" spans="1:9" ht="45" x14ac:dyDescent="0.25">
      <c r="A700" s="58"/>
      <c r="B700" s="57" t="s">
        <v>81</v>
      </c>
      <c r="C700" s="57">
        <v>5634</v>
      </c>
      <c r="D700" s="57" t="s">
        <v>43</v>
      </c>
      <c r="E700" s="57" t="s">
        <v>346</v>
      </c>
      <c r="F700" s="57">
        <v>16</v>
      </c>
      <c r="G700" s="57" t="s">
        <v>347</v>
      </c>
      <c r="H700" s="57" t="s">
        <v>364</v>
      </c>
      <c r="I700" s="57"/>
    </row>
    <row r="701" spans="1:9" ht="45" x14ac:dyDescent="0.25">
      <c r="A701" s="58"/>
      <c r="B701" s="57" t="s">
        <v>81</v>
      </c>
      <c r="C701" s="57">
        <v>5637</v>
      </c>
      <c r="D701" s="57" t="s">
        <v>41</v>
      </c>
      <c r="E701" s="57" t="s">
        <v>350</v>
      </c>
      <c r="F701" s="57">
        <v>13</v>
      </c>
      <c r="G701" s="57" t="s">
        <v>347</v>
      </c>
      <c r="H701" s="57" t="s">
        <v>363</v>
      </c>
      <c r="I701" s="57"/>
    </row>
    <row r="702" spans="1:9" ht="45" x14ac:dyDescent="0.25">
      <c r="A702" s="58"/>
      <c r="B702" s="57" t="s">
        <v>81</v>
      </c>
      <c r="C702" s="57">
        <v>5637</v>
      </c>
      <c r="D702" s="57" t="s">
        <v>43</v>
      </c>
      <c r="E702" s="57" t="s">
        <v>346</v>
      </c>
      <c r="F702" s="57">
        <v>13</v>
      </c>
      <c r="G702" s="57" t="s">
        <v>347</v>
      </c>
      <c r="H702" s="57" t="s">
        <v>364</v>
      </c>
      <c r="I702" s="57"/>
    </row>
    <row r="703" spans="1:9" ht="45" x14ac:dyDescent="0.25">
      <c r="A703" s="58"/>
      <c r="B703" s="57" t="s">
        <v>81</v>
      </c>
      <c r="C703" s="57">
        <v>5638</v>
      </c>
      <c r="D703" s="57" t="s">
        <v>41</v>
      </c>
      <c r="E703" s="57" t="s">
        <v>350</v>
      </c>
      <c r="F703" s="57">
        <v>13</v>
      </c>
      <c r="G703" s="57" t="s">
        <v>347</v>
      </c>
      <c r="H703" s="57" t="s">
        <v>363</v>
      </c>
      <c r="I703" s="57"/>
    </row>
    <row r="704" spans="1:9" ht="45" x14ac:dyDescent="0.25">
      <c r="A704" s="58"/>
      <c r="B704" s="57" t="s">
        <v>81</v>
      </c>
      <c r="C704" s="57">
        <v>5638</v>
      </c>
      <c r="D704" s="57" t="s">
        <v>43</v>
      </c>
      <c r="E704" s="57" t="s">
        <v>346</v>
      </c>
      <c r="F704" s="57">
        <v>13</v>
      </c>
      <c r="G704" s="57" t="s">
        <v>347</v>
      </c>
      <c r="H704" s="57" t="s">
        <v>364</v>
      </c>
      <c r="I704" s="57"/>
    </row>
    <row r="705" spans="1:9" ht="45" x14ac:dyDescent="0.25">
      <c r="A705" s="58"/>
      <c r="B705" s="57" t="s">
        <v>81</v>
      </c>
      <c r="C705" s="57">
        <v>5640</v>
      </c>
      <c r="D705" s="57" t="s">
        <v>41</v>
      </c>
      <c r="E705" s="57" t="s">
        <v>350</v>
      </c>
      <c r="F705" s="57">
        <v>13</v>
      </c>
      <c r="G705" s="57" t="s">
        <v>347</v>
      </c>
      <c r="H705" s="57" t="s">
        <v>363</v>
      </c>
      <c r="I705" s="57"/>
    </row>
    <row r="706" spans="1:9" ht="45" x14ac:dyDescent="0.25">
      <c r="A706" s="58"/>
      <c r="B706" s="57" t="s">
        <v>81</v>
      </c>
      <c r="C706" s="57">
        <v>5640</v>
      </c>
      <c r="D706" s="57" t="s">
        <v>43</v>
      </c>
      <c r="E706" s="57" t="s">
        <v>346</v>
      </c>
      <c r="F706" s="57">
        <v>13</v>
      </c>
      <c r="G706" s="57" t="s">
        <v>347</v>
      </c>
      <c r="H706" s="57" t="s">
        <v>364</v>
      </c>
      <c r="I706" s="57"/>
    </row>
    <row r="707" spans="1:9" ht="45" x14ac:dyDescent="0.25">
      <c r="A707" s="58"/>
      <c r="B707" s="57" t="s">
        <v>81</v>
      </c>
      <c r="C707" s="57">
        <v>5644</v>
      </c>
      <c r="D707" s="57" t="s">
        <v>41</v>
      </c>
      <c r="E707" s="57" t="s">
        <v>350</v>
      </c>
      <c r="F707" s="57">
        <v>9</v>
      </c>
      <c r="G707" s="57" t="s">
        <v>347</v>
      </c>
      <c r="H707" s="57" t="s">
        <v>363</v>
      </c>
      <c r="I707" s="57"/>
    </row>
    <row r="708" spans="1:9" ht="45" x14ac:dyDescent="0.25">
      <c r="A708" s="58"/>
      <c r="B708" s="57" t="s">
        <v>81</v>
      </c>
      <c r="C708" s="57">
        <v>5644</v>
      </c>
      <c r="D708" s="57" t="s">
        <v>43</v>
      </c>
      <c r="E708" s="57" t="s">
        <v>346</v>
      </c>
      <c r="F708" s="57">
        <v>9</v>
      </c>
      <c r="G708" s="57" t="s">
        <v>347</v>
      </c>
      <c r="H708" s="57" t="s">
        <v>364</v>
      </c>
      <c r="I708" s="57"/>
    </row>
    <row r="709" spans="1:9" ht="45" x14ac:dyDescent="0.25">
      <c r="A709" s="58"/>
      <c r="B709" s="57" t="s">
        <v>81</v>
      </c>
      <c r="C709" s="57">
        <v>5647</v>
      </c>
      <c r="D709" s="57" t="s">
        <v>41</v>
      </c>
      <c r="E709" s="57" t="s">
        <v>350</v>
      </c>
      <c r="F709" s="57">
        <v>9</v>
      </c>
      <c r="G709" s="57" t="s">
        <v>347</v>
      </c>
      <c r="H709" s="57" t="s">
        <v>363</v>
      </c>
      <c r="I709" s="57"/>
    </row>
    <row r="710" spans="1:9" ht="45" x14ac:dyDescent="0.25">
      <c r="A710" s="58"/>
      <c r="B710" s="57" t="s">
        <v>81</v>
      </c>
      <c r="C710" s="57">
        <v>5647</v>
      </c>
      <c r="D710" s="57" t="s">
        <v>43</v>
      </c>
      <c r="E710" s="57" t="s">
        <v>346</v>
      </c>
      <c r="F710" s="57">
        <v>9</v>
      </c>
      <c r="G710" s="57" t="s">
        <v>347</v>
      </c>
      <c r="H710" s="57" t="s">
        <v>364</v>
      </c>
      <c r="I710" s="57"/>
    </row>
    <row r="711" spans="1:9" ht="45" x14ac:dyDescent="0.25">
      <c r="A711" s="58"/>
      <c r="B711" s="57" t="s">
        <v>81</v>
      </c>
      <c r="C711" s="57">
        <v>5648</v>
      </c>
      <c r="D711" s="57" t="s">
        <v>41</v>
      </c>
      <c r="E711" s="57" t="s">
        <v>350</v>
      </c>
      <c r="F711" s="57">
        <v>8</v>
      </c>
      <c r="G711" s="57" t="s">
        <v>347</v>
      </c>
      <c r="H711" s="57" t="s">
        <v>363</v>
      </c>
      <c r="I711" s="57"/>
    </row>
    <row r="712" spans="1:9" ht="45" x14ac:dyDescent="0.25">
      <c r="A712" s="58"/>
      <c r="B712" s="57" t="s">
        <v>81</v>
      </c>
      <c r="C712" s="57">
        <v>5648</v>
      </c>
      <c r="D712" s="57" t="s">
        <v>43</v>
      </c>
      <c r="E712" s="57" t="s">
        <v>346</v>
      </c>
      <c r="F712" s="57">
        <v>8</v>
      </c>
      <c r="G712" s="57" t="s">
        <v>347</v>
      </c>
      <c r="H712" s="57" t="s">
        <v>364</v>
      </c>
      <c r="I712" s="57"/>
    </row>
    <row r="713" spans="1:9" ht="45" x14ac:dyDescent="0.25">
      <c r="A713" s="58"/>
      <c r="B713" s="57" t="s">
        <v>81</v>
      </c>
      <c r="C713" s="57">
        <v>5651</v>
      </c>
      <c r="D713" s="57" t="s">
        <v>41</v>
      </c>
      <c r="E713" s="57" t="s">
        <v>350</v>
      </c>
      <c r="F713" s="57">
        <v>8</v>
      </c>
      <c r="G713" s="57" t="s">
        <v>347</v>
      </c>
      <c r="H713" s="57" t="s">
        <v>363</v>
      </c>
      <c r="I713" s="57"/>
    </row>
    <row r="714" spans="1:9" ht="45" x14ac:dyDescent="0.25">
      <c r="A714" s="58"/>
      <c r="B714" s="57" t="s">
        <v>81</v>
      </c>
      <c r="C714" s="57">
        <v>5651</v>
      </c>
      <c r="D714" s="57" t="s">
        <v>43</v>
      </c>
      <c r="E714" s="57" t="s">
        <v>346</v>
      </c>
      <c r="F714" s="57">
        <v>8</v>
      </c>
      <c r="G714" s="57" t="s">
        <v>347</v>
      </c>
      <c r="H714" s="57" t="s">
        <v>364</v>
      </c>
      <c r="I714" s="57"/>
    </row>
    <row r="715" spans="1:9" ht="45" x14ac:dyDescent="0.25">
      <c r="A715" s="58"/>
      <c r="B715" s="57" t="s">
        <v>81</v>
      </c>
      <c r="C715" s="57">
        <v>5652</v>
      </c>
      <c r="D715" s="57" t="s">
        <v>41</v>
      </c>
      <c r="E715" s="57" t="s">
        <v>350</v>
      </c>
      <c r="F715" s="57">
        <v>5</v>
      </c>
      <c r="G715" s="57" t="s">
        <v>347</v>
      </c>
      <c r="H715" s="57" t="s">
        <v>363</v>
      </c>
      <c r="I715" s="57"/>
    </row>
    <row r="716" spans="1:9" ht="45" x14ac:dyDescent="0.25">
      <c r="A716" s="58"/>
      <c r="B716" s="57" t="s">
        <v>81</v>
      </c>
      <c r="C716" s="57">
        <v>5654</v>
      </c>
      <c r="D716" s="57" t="s">
        <v>41</v>
      </c>
      <c r="E716" s="57" t="s">
        <v>350</v>
      </c>
      <c r="F716" s="57">
        <v>5</v>
      </c>
      <c r="G716" s="57" t="s">
        <v>347</v>
      </c>
      <c r="H716" s="57" t="s">
        <v>363</v>
      </c>
      <c r="I716" s="57"/>
    </row>
    <row r="717" spans="1:9" ht="45" x14ac:dyDescent="0.25">
      <c r="A717" s="58"/>
      <c r="B717" s="57" t="s">
        <v>333</v>
      </c>
      <c r="C717" s="57">
        <v>5314</v>
      </c>
      <c r="D717" s="57" t="s">
        <v>41</v>
      </c>
      <c r="E717" s="57" t="s">
        <v>350</v>
      </c>
      <c r="F717" s="57">
        <v>258</v>
      </c>
      <c r="G717" s="57" t="s">
        <v>347</v>
      </c>
      <c r="H717" s="57" t="s">
        <v>363</v>
      </c>
      <c r="I717" s="57"/>
    </row>
    <row r="718" spans="1:9" ht="45" x14ac:dyDescent="0.25">
      <c r="A718" s="58"/>
      <c r="B718" s="57" t="s">
        <v>333</v>
      </c>
      <c r="C718" s="57">
        <v>5314</v>
      </c>
      <c r="D718" s="57" t="s">
        <v>43</v>
      </c>
      <c r="E718" s="57" t="s">
        <v>346</v>
      </c>
      <c r="F718" s="57">
        <v>258</v>
      </c>
      <c r="G718" s="57" t="s">
        <v>347</v>
      </c>
      <c r="H718" s="57" t="s">
        <v>364</v>
      </c>
      <c r="I718" s="57"/>
    </row>
    <row r="719" spans="1:9" ht="60" x14ac:dyDescent="0.25">
      <c r="A719" s="58"/>
      <c r="B719" s="57" t="s">
        <v>333</v>
      </c>
      <c r="C719" s="57">
        <v>5314</v>
      </c>
      <c r="D719" s="57" t="s">
        <v>44</v>
      </c>
      <c r="E719" s="57" t="s">
        <v>353</v>
      </c>
      <c r="F719" s="57">
        <v>258</v>
      </c>
      <c r="G719" s="57" t="s">
        <v>347</v>
      </c>
      <c r="H719" s="57" t="s">
        <v>365</v>
      </c>
      <c r="I719" s="57"/>
    </row>
    <row r="720" spans="1:9" ht="60" x14ac:dyDescent="0.25">
      <c r="A720" s="58"/>
      <c r="B720" s="57" t="s">
        <v>333</v>
      </c>
      <c r="C720" s="57">
        <v>5314</v>
      </c>
      <c r="D720" s="57" t="s">
        <v>366</v>
      </c>
      <c r="E720" s="57" t="s">
        <v>353</v>
      </c>
      <c r="F720" s="57">
        <v>258</v>
      </c>
      <c r="G720" s="57" t="s">
        <v>347</v>
      </c>
      <c r="H720" s="57" t="s">
        <v>367</v>
      </c>
      <c r="I720" s="57"/>
    </row>
  </sheetData>
  <autoFilter ref="A1:I720" xr:uid="{00000000-0009-0000-0000-000004000000}"/>
  <mergeCells count="2">
    <mergeCell ref="A2:H2"/>
    <mergeCell ref="A1:H1"/>
  </mergeCells>
  <conditionalFormatting sqref="E5:E500">
    <cfRule type="expression" dxfId="1" priority="1">
      <formula>E5="KRYTYCZNY"</formula>
    </cfRule>
  </conditionalFormatting>
  <conditionalFormatting sqref="F5:F500">
    <cfRule type="expression" dxfId="0" priority="2">
      <formula>F5="ZROBIONE"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400-000000000000}">
          <x14:formula1>
            <xm:f>_LISTY!$E$5:$E$8</xm:f>
          </x14:formula1>
          <xm:sqref>E5:E1200</xm:sqref>
        </x14:dataValidation>
        <x14:dataValidation type="list" allowBlank="1" xr:uid="{00000000-0002-0000-0400-000001000000}">
          <x14:formula1>
            <xm:f>_LISTY!$F$5:$F$7</xm:f>
          </x14:formula1>
          <xm:sqref>G5:G1200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EA699-7F63-4AF9-8821-D1E022983D0A}">
  <dimension ref="A1:G4169"/>
  <sheetViews>
    <sheetView tabSelected="1" workbookViewId="0"/>
  </sheetViews>
  <sheetFormatPr defaultRowHeight="15" x14ac:dyDescent="0.25"/>
  <cols>
    <col min="1" max="1" width="10.7109375" bestFit="1" customWidth="1"/>
    <col min="2" max="2" width="9.5703125" bestFit="1" customWidth="1"/>
    <col min="3" max="3" width="19.7109375" bestFit="1" customWidth="1"/>
    <col min="4" max="4" width="8.7109375" bestFit="1" customWidth="1"/>
    <col min="5" max="5" width="11.7109375" bestFit="1" customWidth="1"/>
    <col min="6" max="6" width="15.28515625" bestFit="1" customWidth="1"/>
    <col min="7" max="7" width="16.28515625" bestFit="1" customWidth="1"/>
  </cols>
  <sheetData>
    <row r="1" spans="1:7" x14ac:dyDescent="0.25">
      <c r="A1" s="7" t="s">
        <v>111</v>
      </c>
      <c r="B1" s="7" t="s">
        <v>5601</v>
      </c>
      <c r="C1" s="7" t="s">
        <v>108</v>
      </c>
      <c r="D1" s="7" t="s">
        <v>110</v>
      </c>
      <c r="E1" s="7" t="s">
        <v>117</v>
      </c>
      <c r="F1" s="7" t="s">
        <v>5602</v>
      </c>
      <c r="G1" s="7" t="s">
        <v>344</v>
      </c>
    </row>
    <row r="2" spans="1:7" x14ac:dyDescent="0.25">
      <c r="A2">
        <v>5443</v>
      </c>
      <c r="B2" t="s">
        <v>21</v>
      </c>
      <c r="F2" t="s">
        <v>5603</v>
      </c>
      <c r="G2" t="s">
        <v>5604</v>
      </c>
    </row>
    <row r="3" spans="1:7" x14ac:dyDescent="0.25">
      <c r="A3">
        <v>5443</v>
      </c>
      <c r="B3" t="s">
        <v>21</v>
      </c>
      <c r="F3" t="s">
        <v>53</v>
      </c>
      <c r="G3" t="s">
        <v>5604</v>
      </c>
    </row>
    <row r="4" spans="1:7" x14ac:dyDescent="0.25">
      <c r="A4">
        <v>5443</v>
      </c>
      <c r="B4" t="s">
        <v>21</v>
      </c>
      <c r="F4" t="s">
        <v>55</v>
      </c>
      <c r="G4" t="s">
        <v>5604</v>
      </c>
    </row>
    <row r="5" spans="1:7" x14ac:dyDescent="0.25">
      <c r="A5">
        <v>5443</v>
      </c>
      <c r="B5" t="s">
        <v>21</v>
      </c>
      <c r="F5" t="s">
        <v>5605</v>
      </c>
      <c r="G5" t="s">
        <v>5604</v>
      </c>
    </row>
    <row r="6" spans="1:7" x14ac:dyDescent="0.25">
      <c r="A6">
        <v>5444</v>
      </c>
      <c r="B6" t="s">
        <v>21</v>
      </c>
      <c r="E6" t="s">
        <v>130</v>
      </c>
      <c r="F6" t="s">
        <v>5603</v>
      </c>
      <c r="G6" t="s">
        <v>5604</v>
      </c>
    </row>
    <row r="7" spans="1:7" x14ac:dyDescent="0.25">
      <c r="A7">
        <v>5444</v>
      </c>
      <c r="B7" t="s">
        <v>21</v>
      </c>
      <c r="E7" t="s">
        <v>130</v>
      </c>
      <c r="F7" t="s">
        <v>53</v>
      </c>
      <c r="G7" t="s">
        <v>5604</v>
      </c>
    </row>
    <row r="8" spans="1:7" x14ac:dyDescent="0.25">
      <c r="A8">
        <v>5445</v>
      </c>
      <c r="B8" t="s">
        <v>21</v>
      </c>
      <c r="E8" t="s">
        <v>134</v>
      </c>
      <c r="F8" t="s">
        <v>5603</v>
      </c>
      <c r="G8" t="s">
        <v>5604</v>
      </c>
    </row>
    <row r="9" spans="1:7" x14ac:dyDescent="0.25">
      <c r="A9">
        <v>5445</v>
      </c>
      <c r="B9" t="s">
        <v>21</v>
      </c>
      <c r="E9" t="s">
        <v>134</v>
      </c>
      <c r="F9" t="s">
        <v>53</v>
      </c>
      <c r="G9" t="s">
        <v>5604</v>
      </c>
    </row>
    <row r="10" spans="1:7" x14ac:dyDescent="0.25">
      <c r="A10">
        <v>5445</v>
      </c>
      <c r="B10" t="s">
        <v>21</v>
      </c>
      <c r="E10" t="s">
        <v>134</v>
      </c>
      <c r="F10" t="s">
        <v>5605</v>
      </c>
      <c r="G10" t="s">
        <v>5604</v>
      </c>
    </row>
    <row r="11" spans="1:7" x14ac:dyDescent="0.25">
      <c r="A11">
        <v>5446</v>
      </c>
      <c r="B11" t="s">
        <v>21</v>
      </c>
      <c r="E11" t="s">
        <v>134</v>
      </c>
      <c r="F11" t="s">
        <v>5603</v>
      </c>
      <c r="G11" t="s">
        <v>5604</v>
      </c>
    </row>
    <row r="12" spans="1:7" x14ac:dyDescent="0.25">
      <c r="A12">
        <v>5446</v>
      </c>
      <c r="B12" t="s">
        <v>21</v>
      </c>
      <c r="E12" t="s">
        <v>134</v>
      </c>
      <c r="F12" t="s">
        <v>53</v>
      </c>
      <c r="G12" t="s">
        <v>5604</v>
      </c>
    </row>
    <row r="13" spans="1:7" x14ac:dyDescent="0.25">
      <c r="A13">
        <v>5446</v>
      </c>
      <c r="B13" t="s">
        <v>21</v>
      </c>
      <c r="E13" t="s">
        <v>134</v>
      </c>
      <c r="F13" t="s">
        <v>5605</v>
      </c>
      <c r="G13" t="s">
        <v>5604</v>
      </c>
    </row>
    <row r="14" spans="1:7" x14ac:dyDescent="0.25">
      <c r="A14">
        <v>5447</v>
      </c>
      <c r="B14" t="s">
        <v>21</v>
      </c>
      <c r="E14" t="s">
        <v>134</v>
      </c>
      <c r="F14" t="s">
        <v>5603</v>
      </c>
      <c r="G14" t="s">
        <v>5604</v>
      </c>
    </row>
    <row r="15" spans="1:7" x14ac:dyDescent="0.25">
      <c r="A15">
        <v>5447</v>
      </c>
      <c r="B15" t="s">
        <v>21</v>
      </c>
      <c r="E15" t="s">
        <v>134</v>
      </c>
      <c r="F15" t="s">
        <v>53</v>
      </c>
      <c r="G15" t="s">
        <v>5604</v>
      </c>
    </row>
    <row r="16" spans="1:7" x14ac:dyDescent="0.25">
      <c r="A16">
        <v>5447</v>
      </c>
      <c r="B16" t="s">
        <v>21</v>
      </c>
      <c r="E16" t="s">
        <v>134</v>
      </c>
      <c r="F16" t="s">
        <v>5605</v>
      </c>
      <c r="G16" t="s">
        <v>5604</v>
      </c>
    </row>
    <row r="17" spans="1:7" x14ac:dyDescent="0.25">
      <c r="A17">
        <v>5448</v>
      </c>
      <c r="B17" t="s">
        <v>21</v>
      </c>
      <c r="E17" t="s">
        <v>134</v>
      </c>
      <c r="F17" t="s">
        <v>5603</v>
      </c>
      <c r="G17" t="s">
        <v>5604</v>
      </c>
    </row>
    <row r="18" spans="1:7" x14ac:dyDescent="0.25">
      <c r="A18">
        <v>5448</v>
      </c>
      <c r="B18" t="s">
        <v>21</v>
      </c>
      <c r="E18" t="s">
        <v>134</v>
      </c>
      <c r="F18" t="s">
        <v>53</v>
      </c>
      <c r="G18" t="s">
        <v>5604</v>
      </c>
    </row>
    <row r="19" spans="1:7" x14ac:dyDescent="0.25">
      <c r="A19">
        <v>5448</v>
      </c>
      <c r="B19" t="s">
        <v>21</v>
      </c>
      <c r="E19" t="s">
        <v>134</v>
      </c>
      <c r="F19" t="s">
        <v>5605</v>
      </c>
      <c r="G19" t="s">
        <v>5604</v>
      </c>
    </row>
    <row r="20" spans="1:7" x14ac:dyDescent="0.25">
      <c r="A20">
        <v>5449</v>
      </c>
      <c r="B20" t="s">
        <v>21</v>
      </c>
      <c r="E20" t="s">
        <v>134</v>
      </c>
      <c r="F20" t="s">
        <v>5603</v>
      </c>
      <c r="G20" t="s">
        <v>5604</v>
      </c>
    </row>
    <row r="21" spans="1:7" x14ac:dyDescent="0.25">
      <c r="A21">
        <v>5449</v>
      </c>
      <c r="B21" t="s">
        <v>21</v>
      </c>
      <c r="E21" t="s">
        <v>134</v>
      </c>
      <c r="F21" t="s">
        <v>53</v>
      </c>
      <c r="G21" t="s">
        <v>5604</v>
      </c>
    </row>
    <row r="22" spans="1:7" x14ac:dyDescent="0.25">
      <c r="A22">
        <v>5449</v>
      </c>
      <c r="B22" t="s">
        <v>21</v>
      </c>
      <c r="E22" t="s">
        <v>134</v>
      </c>
      <c r="F22" t="s">
        <v>5605</v>
      </c>
      <c r="G22" t="s">
        <v>5604</v>
      </c>
    </row>
    <row r="23" spans="1:7" x14ac:dyDescent="0.25">
      <c r="A23">
        <v>5450</v>
      </c>
      <c r="B23" t="s">
        <v>21</v>
      </c>
      <c r="E23" t="s">
        <v>134</v>
      </c>
      <c r="F23" t="s">
        <v>5603</v>
      </c>
      <c r="G23" t="s">
        <v>5604</v>
      </c>
    </row>
    <row r="24" spans="1:7" x14ac:dyDescent="0.25">
      <c r="A24">
        <v>5450</v>
      </c>
      <c r="B24" t="s">
        <v>21</v>
      </c>
      <c r="E24" t="s">
        <v>134</v>
      </c>
      <c r="F24" t="s">
        <v>53</v>
      </c>
      <c r="G24" t="s">
        <v>5604</v>
      </c>
    </row>
    <row r="25" spans="1:7" x14ac:dyDescent="0.25">
      <c r="A25">
        <v>5450</v>
      </c>
      <c r="B25" t="s">
        <v>21</v>
      </c>
      <c r="E25" t="s">
        <v>134</v>
      </c>
      <c r="F25" t="s">
        <v>5605</v>
      </c>
      <c r="G25" t="s">
        <v>5604</v>
      </c>
    </row>
    <row r="26" spans="1:7" x14ac:dyDescent="0.25">
      <c r="A26">
        <v>5451</v>
      </c>
      <c r="B26" t="s">
        <v>21</v>
      </c>
      <c r="E26" t="s">
        <v>134</v>
      </c>
      <c r="F26" t="s">
        <v>5603</v>
      </c>
      <c r="G26" t="s">
        <v>5604</v>
      </c>
    </row>
    <row r="27" spans="1:7" x14ac:dyDescent="0.25">
      <c r="A27">
        <v>5451</v>
      </c>
      <c r="B27" t="s">
        <v>21</v>
      </c>
      <c r="E27" t="s">
        <v>134</v>
      </c>
      <c r="F27" t="s">
        <v>53</v>
      </c>
      <c r="G27" t="s">
        <v>5604</v>
      </c>
    </row>
    <row r="28" spans="1:7" x14ac:dyDescent="0.25">
      <c r="A28">
        <v>5451</v>
      </c>
      <c r="B28" t="s">
        <v>21</v>
      </c>
      <c r="E28" t="s">
        <v>134</v>
      </c>
      <c r="F28" t="s">
        <v>5605</v>
      </c>
      <c r="G28" t="s">
        <v>5604</v>
      </c>
    </row>
    <row r="29" spans="1:7" x14ac:dyDescent="0.25">
      <c r="A29">
        <v>5452</v>
      </c>
      <c r="B29" t="s">
        <v>21</v>
      </c>
      <c r="E29" t="s">
        <v>134</v>
      </c>
      <c r="F29" t="s">
        <v>5603</v>
      </c>
      <c r="G29" t="s">
        <v>5604</v>
      </c>
    </row>
    <row r="30" spans="1:7" x14ac:dyDescent="0.25">
      <c r="A30">
        <v>5452</v>
      </c>
      <c r="B30" t="s">
        <v>21</v>
      </c>
      <c r="E30" t="s">
        <v>134</v>
      </c>
      <c r="F30" t="s">
        <v>53</v>
      </c>
      <c r="G30" t="s">
        <v>5604</v>
      </c>
    </row>
    <row r="31" spans="1:7" x14ac:dyDescent="0.25">
      <c r="A31">
        <v>5452</v>
      </c>
      <c r="B31" t="s">
        <v>21</v>
      </c>
      <c r="E31" t="s">
        <v>134</v>
      </c>
      <c r="F31" t="s">
        <v>5605</v>
      </c>
      <c r="G31" t="s">
        <v>5604</v>
      </c>
    </row>
    <row r="32" spans="1:7" x14ac:dyDescent="0.25">
      <c r="A32">
        <v>5453</v>
      </c>
      <c r="B32" t="s">
        <v>22</v>
      </c>
      <c r="F32" t="s">
        <v>5603</v>
      </c>
      <c r="G32" t="s">
        <v>5604</v>
      </c>
    </row>
    <row r="33" spans="1:7" x14ac:dyDescent="0.25">
      <c r="A33">
        <v>5453</v>
      </c>
      <c r="B33" t="s">
        <v>22</v>
      </c>
      <c r="F33" t="s">
        <v>53</v>
      </c>
      <c r="G33" t="s">
        <v>5604</v>
      </c>
    </row>
    <row r="34" spans="1:7" x14ac:dyDescent="0.25">
      <c r="A34">
        <v>5453</v>
      </c>
      <c r="B34" t="s">
        <v>22</v>
      </c>
      <c r="F34" t="s">
        <v>55</v>
      </c>
      <c r="G34" t="s">
        <v>5604</v>
      </c>
    </row>
    <row r="35" spans="1:7" x14ac:dyDescent="0.25">
      <c r="A35">
        <v>5453</v>
      </c>
      <c r="B35" t="s">
        <v>22</v>
      </c>
      <c r="F35" t="s">
        <v>5605</v>
      </c>
      <c r="G35" t="s">
        <v>5604</v>
      </c>
    </row>
    <row r="36" spans="1:7" x14ac:dyDescent="0.25">
      <c r="A36">
        <v>5454</v>
      </c>
      <c r="B36" t="s">
        <v>21</v>
      </c>
      <c r="E36" t="s">
        <v>134</v>
      </c>
      <c r="F36" t="s">
        <v>5603</v>
      </c>
      <c r="G36" t="s">
        <v>5604</v>
      </c>
    </row>
    <row r="37" spans="1:7" x14ac:dyDescent="0.25">
      <c r="A37">
        <v>5454</v>
      </c>
      <c r="B37" t="s">
        <v>21</v>
      </c>
      <c r="E37" t="s">
        <v>134</v>
      </c>
      <c r="F37" t="s">
        <v>53</v>
      </c>
      <c r="G37" t="s">
        <v>5604</v>
      </c>
    </row>
    <row r="38" spans="1:7" x14ac:dyDescent="0.25">
      <c r="A38">
        <v>5454</v>
      </c>
      <c r="B38" t="s">
        <v>21</v>
      </c>
      <c r="E38" t="s">
        <v>134</v>
      </c>
      <c r="F38" t="s">
        <v>5605</v>
      </c>
      <c r="G38" t="s">
        <v>5604</v>
      </c>
    </row>
    <row r="39" spans="1:7" x14ac:dyDescent="0.25">
      <c r="A39">
        <v>5455</v>
      </c>
      <c r="B39" t="s">
        <v>22</v>
      </c>
      <c r="F39" t="s">
        <v>5603</v>
      </c>
      <c r="G39" t="s">
        <v>5604</v>
      </c>
    </row>
    <row r="40" spans="1:7" x14ac:dyDescent="0.25">
      <c r="A40">
        <v>5455</v>
      </c>
      <c r="B40" t="s">
        <v>22</v>
      </c>
      <c r="F40" t="s">
        <v>53</v>
      </c>
      <c r="G40" t="s">
        <v>5604</v>
      </c>
    </row>
    <row r="41" spans="1:7" x14ac:dyDescent="0.25">
      <c r="A41">
        <v>5455</v>
      </c>
      <c r="B41" t="s">
        <v>22</v>
      </c>
      <c r="F41" t="s">
        <v>55</v>
      </c>
      <c r="G41" t="s">
        <v>5604</v>
      </c>
    </row>
    <row r="42" spans="1:7" x14ac:dyDescent="0.25">
      <c r="A42">
        <v>5455</v>
      </c>
      <c r="B42" t="s">
        <v>22</v>
      </c>
      <c r="F42" t="s">
        <v>5605</v>
      </c>
      <c r="G42" t="s">
        <v>5604</v>
      </c>
    </row>
    <row r="43" spans="1:7" x14ac:dyDescent="0.25">
      <c r="A43">
        <v>5456</v>
      </c>
      <c r="B43" t="s">
        <v>21</v>
      </c>
      <c r="E43" t="s">
        <v>130</v>
      </c>
      <c r="F43" t="s">
        <v>5603</v>
      </c>
      <c r="G43" t="s">
        <v>5604</v>
      </c>
    </row>
    <row r="44" spans="1:7" x14ac:dyDescent="0.25">
      <c r="A44">
        <v>5456</v>
      </c>
      <c r="B44" t="s">
        <v>21</v>
      </c>
      <c r="E44" t="s">
        <v>130</v>
      </c>
      <c r="F44" t="s">
        <v>53</v>
      </c>
      <c r="G44" t="s">
        <v>5604</v>
      </c>
    </row>
    <row r="45" spans="1:7" x14ac:dyDescent="0.25">
      <c r="A45">
        <v>5457</v>
      </c>
      <c r="B45" t="s">
        <v>21</v>
      </c>
      <c r="F45" t="s">
        <v>5603</v>
      </c>
      <c r="G45" t="s">
        <v>5604</v>
      </c>
    </row>
    <row r="46" spans="1:7" x14ac:dyDescent="0.25">
      <c r="A46">
        <v>5457</v>
      </c>
      <c r="B46" t="s">
        <v>21</v>
      </c>
      <c r="F46" t="s">
        <v>53</v>
      </c>
      <c r="G46" t="s">
        <v>5604</v>
      </c>
    </row>
    <row r="47" spans="1:7" x14ac:dyDescent="0.25">
      <c r="A47">
        <v>5457</v>
      </c>
      <c r="B47" t="s">
        <v>21</v>
      </c>
      <c r="F47" t="s">
        <v>55</v>
      </c>
      <c r="G47" t="s">
        <v>5604</v>
      </c>
    </row>
    <row r="48" spans="1:7" x14ac:dyDescent="0.25">
      <c r="A48">
        <v>5457</v>
      </c>
      <c r="B48" t="s">
        <v>21</v>
      </c>
      <c r="F48" t="s">
        <v>5605</v>
      </c>
      <c r="G48" t="s">
        <v>5604</v>
      </c>
    </row>
    <row r="49" spans="1:7" x14ac:dyDescent="0.25">
      <c r="A49">
        <v>5458</v>
      </c>
      <c r="B49" t="s">
        <v>22</v>
      </c>
      <c r="E49" t="s">
        <v>130</v>
      </c>
      <c r="F49" t="s">
        <v>5603</v>
      </c>
      <c r="G49" t="s">
        <v>5604</v>
      </c>
    </row>
    <row r="50" spans="1:7" x14ac:dyDescent="0.25">
      <c r="A50">
        <v>5458</v>
      </c>
      <c r="B50" t="s">
        <v>22</v>
      </c>
      <c r="E50" t="s">
        <v>130</v>
      </c>
      <c r="F50" t="s">
        <v>53</v>
      </c>
      <c r="G50" t="s">
        <v>5604</v>
      </c>
    </row>
    <row r="51" spans="1:7" x14ac:dyDescent="0.25">
      <c r="A51">
        <v>5459</v>
      </c>
      <c r="B51" t="s">
        <v>22</v>
      </c>
      <c r="F51" t="s">
        <v>5603</v>
      </c>
      <c r="G51" t="s">
        <v>5604</v>
      </c>
    </row>
    <row r="52" spans="1:7" x14ac:dyDescent="0.25">
      <c r="A52">
        <v>5459</v>
      </c>
      <c r="B52" t="s">
        <v>22</v>
      </c>
      <c r="F52" t="s">
        <v>53</v>
      </c>
      <c r="G52" t="s">
        <v>5604</v>
      </c>
    </row>
    <row r="53" spans="1:7" x14ac:dyDescent="0.25">
      <c r="A53">
        <v>5459</v>
      </c>
      <c r="B53" t="s">
        <v>22</v>
      </c>
      <c r="F53" t="s">
        <v>55</v>
      </c>
      <c r="G53" t="s">
        <v>5604</v>
      </c>
    </row>
    <row r="54" spans="1:7" x14ac:dyDescent="0.25">
      <c r="A54">
        <v>5459</v>
      </c>
      <c r="B54" t="s">
        <v>22</v>
      </c>
      <c r="F54" t="s">
        <v>5605</v>
      </c>
      <c r="G54" t="s">
        <v>5604</v>
      </c>
    </row>
    <row r="55" spans="1:7" x14ac:dyDescent="0.25">
      <c r="A55">
        <v>5460</v>
      </c>
      <c r="B55" t="s">
        <v>22</v>
      </c>
      <c r="F55" t="s">
        <v>5603</v>
      </c>
      <c r="G55" t="s">
        <v>5604</v>
      </c>
    </row>
    <row r="56" spans="1:7" x14ac:dyDescent="0.25">
      <c r="A56">
        <v>5460</v>
      </c>
      <c r="B56" t="s">
        <v>22</v>
      </c>
      <c r="F56" t="s">
        <v>53</v>
      </c>
      <c r="G56" t="s">
        <v>5604</v>
      </c>
    </row>
    <row r="57" spans="1:7" x14ac:dyDescent="0.25">
      <c r="A57">
        <v>5460</v>
      </c>
      <c r="B57" t="s">
        <v>22</v>
      </c>
      <c r="F57" t="s">
        <v>55</v>
      </c>
      <c r="G57" t="s">
        <v>5604</v>
      </c>
    </row>
    <row r="58" spans="1:7" x14ac:dyDescent="0.25">
      <c r="A58">
        <v>5460</v>
      </c>
      <c r="B58" t="s">
        <v>22</v>
      </c>
      <c r="F58" t="s">
        <v>5605</v>
      </c>
      <c r="G58" t="s">
        <v>5604</v>
      </c>
    </row>
    <row r="59" spans="1:7" x14ac:dyDescent="0.25">
      <c r="A59">
        <v>5461</v>
      </c>
      <c r="B59" t="s">
        <v>21</v>
      </c>
      <c r="E59" t="s">
        <v>134</v>
      </c>
      <c r="F59" t="s">
        <v>5603</v>
      </c>
      <c r="G59" t="s">
        <v>5604</v>
      </c>
    </row>
    <row r="60" spans="1:7" x14ac:dyDescent="0.25">
      <c r="A60">
        <v>5461</v>
      </c>
      <c r="B60" t="s">
        <v>21</v>
      </c>
      <c r="E60" t="s">
        <v>134</v>
      </c>
      <c r="F60" t="s">
        <v>53</v>
      </c>
      <c r="G60" t="s">
        <v>5604</v>
      </c>
    </row>
    <row r="61" spans="1:7" x14ac:dyDescent="0.25">
      <c r="A61">
        <v>5461</v>
      </c>
      <c r="B61" t="s">
        <v>21</v>
      </c>
      <c r="E61" t="s">
        <v>134</v>
      </c>
      <c r="F61" t="s">
        <v>5605</v>
      </c>
      <c r="G61" t="s">
        <v>5604</v>
      </c>
    </row>
    <row r="62" spans="1:7" x14ac:dyDescent="0.25">
      <c r="A62">
        <v>5462</v>
      </c>
      <c r="B62" t="s">
        <v>21</v>
      </c>
      <c r="E62" t="s">
        <v>134</v>
      </c>
      <c r="F62" t="s">
        <v>5603</v>
      </c>
      <c r="G62" t="s">
        <v>5604</v>
      </c>
    </row>
    <row r="63" spans="1:7" x14ac:dyDescent="0.25">
      <c r="A63">
        <v>5462</v>
      </c>
      <c r="B63" t="s">
        <v>21</v>
      </c>
      <c r="E63" t="s">
        <v>134</v>
      </c>
      <c r="F63" t="s">
        <v>53</v>
      </c>
      <c r="G63" t="s">
        <v>5604</v>
      </c>
    </row>
    <row r="64" spans="1:7" x14ac:dyDescent="0.25">
      <c r="A64">
        <v>5462</v>
      </c>
      <c r="B64" t="s">
        <v>21</v>
      </c>
      <c r="E64" t="s">
        <v>134</v>
      </c>
      <c r="F64" t="s">
        <v>5605</v>
      </c>
      <c r="G64" t="s">
        <v>5604</v>
      </c>
    </row>
    <row r="65" spans="1:7" x14ac:dyDescent="0.25">
      <c r="A65">
        <v>5463</v>
      </c>
      <c r="B65" t="s">
        <v>22</v>
      </c>
      <c r="F65" t="s">
        <v>5603</v>
      </c>
      <c r="G65" t="s">
        <v>5604</v>
      </c>
    </row>
    <row r="66" spans="1:7" x14ac:dyDescent="0.25">
      <c r="A66">
        <v>5463</v>
      </c>
      <c r="B66" t="s">
        <v>22</v>
      </c>
      <c r="F66" t="s">
        <v>53</v>
      </c>
      <c r="G66" t="s">
        <v>5604</v>
      </c>
    </row>
    <row r="67" spans="1:7" x14ac:dyDescent="0.25">
      <c r="A67">
        <v>5463</v>
      </c>
      <c r="B67" t="s">
        <v>22</v>
      </c>
      <c r="F67" t="s">
        <v>55</v>
      </c>
      <c r="G67" t="s">
        <v>5604</v>
      </c>
    </row>
    <row r="68" spans="1:7" x14ac:dyDescent="0.25">
      <c r="A68">
        <v>5463</v>
      </c>
      <c r="B68" t="s">
        <v>22</v>
      </c>
      <c r="F68" t="s">
        <v>5605</v>
      </c>
      <c r="G68" t="s">
        <v>5604</v>
      </c>
    </row>
    <row r="69" spans="1:7" x14ac:dyDescent="0.25">
      <c r="A69">
        <v>5464</v>
      </c>
      <c r="B69" t="s">
        <v>21</v>
      </c>
      <c r="E69" t="s">
        <v>134</v>
      </c>
      <c r="F69" t="s">
        <v>5603</v>
      </c>
      <c r="G69" t="s">
        <v>5604</v>
      </c>
    </row>
    <row r="70" spans="1:7" x14ac:dyDescent="0.25">
      <c r="A70">
        <v>5464</v>
      </c>
      <c r="B70" t="s">
        <v>21</v>
      </c>
      <c r="E70" t="s">
        <v>134</v>
      </c>
      <c r="F70" t="s">
        <v>53</v>
      </c>
      <c r="G70" t="s">
        <v>5604</v>
      </c>
    </row>
    <row r="71" spans="1:7" x14ac:dyDescent="0.25">
      <c r="A71">
        <v>5464</v>
      </c>
      <c r="B71" t="s">
        <v>21</v>
      </c>
      <c r="E71" t="s">
        <v>134</v>
      </c>
      <c r="F71" t="s">
        <v>5605</v>
      </c>
      <c r="G71" t="s">
        <v>5604</v>
      </c>
    </row>
    <row r="72" spans="1:7" x14ac:dyDescent="0.25">
      <c r="A72">
        <v>5465</v>
      </c>
      <c r="B72" t="s">
        <v>21</v>
      </c>
      <c r="E72" t="s">
        <v>130</v>
      </c>
      <c r="F72" t="s">
        <v>5603</v>
      </c>
      <c r="G72" t="s">
        <v>5604</v>
      </c>
    </row>
    <row r="73" spans="1:7" x14ac:dyDescent="0.25">
      <c r="A73">
        <v>5465</v>
      </c>
      <c r="B73" t="s">
        <v>21</v>
      </c>
      <c r="E73" t="s">
        <v>130</v>
      </c>
      <c r="F73" t="s">
        <v>53</v>
      </c>
      <c r="G73" t="s">
        <v>5604</v>
      </c>
    </row>
    <row r="74" spans="1:7" x14ac:dyDescent="0.25">
      <c r="A74">
        <v>5466</v>
      </c>
      <c r="B74" t="s">
        <v>22</v>
      </c>
      <c r="F74" t="s">
        <v>5603</v>
      </c>
      <c r="G74" t="s">
        <v>5604</v>
      </c>
    </row>
    <row r="75" spans="1:7" x14ac:dyDescent="0.25">
      <c r="A75">
        <v>5466</v>
      </c>
      <c r="B75" t="s">
        <v>22</v>
      </c>
      <c r="F75" t="s">
        <v>53</v>
      </c>
      <c r="G75" t="s">
        <v>5604</v>
      </c>
    </row>
    <row r="76" spans="1:7" x14ac:dyDescent="0.25">
      <c r="A76">
        <v>5466</v>
      </c>
      <c r="B76" t="s">
        <v>22</v>
      </c>
      <c r="F76" t="s">
        <v>55</v>
      </c>
      <c r="G76" t="s">
        <v>5604</v>
      </c>
    </row>
    <row r="77" spans="1:7" x14ac:dyDescent="0.25">
      <c r="A77">
        <v>5466</v>
      </c>
      <c r="B77" t="s">
        <v>22</v>
      </c>
      <c r="F77" t="s">
        <v>5605</v>
      </c>
      <c r="G77" t="s">
        <v>5604</v>
      </c>
    </row>
    <row r="78" spans="1:7" x14ac:dyDescent="0.25">
      <c r="A78">
        <v>5467</v>
      </c>
      <c r="B78" t="s">
        <v>22</v>
      </c>
      <c r="F78" t="s">
        <v>5603</v>
      </c>
      <c r="G78" t="s">
        <v>5604</v>
      </c>
    </row>
    <row r="79" spans="1:7" x14ac:dyDescent="0.25">
      <c r="A79">
        <v>5467</v>
      </c>
      <c r="B79" t="s">
        <v>22</v>
      </c>
      <c r="F79" t="s">
        <v>53</v>
      </c>
      <c r="G79" t="s">
        <v>5604</v>
      </c>
    </row>
    <row r="80" spans="1:7" x14ac:dyDescent="0.25">
      <c r="A80">
        <v>5467</v>
      </c>
      <c r="B80" t="s">
        <v>22</v>
      </c>
      <c r="F80" t="s">
        <v>55</v>
      </c>
      <c r="G80" t="s">
        <v>5604</v>
      </c>
    </row>
    <row r="81" spans="1:7" x14ac:dyDescent="0.25">
      <c r="A81">
        <v>5467</v>
      </c>
      <c r="B81" t="s">
        <v>22</v>
      </c>
      <c r="F81" t="s">
        <v>5605</v>
      </c>
      <c r="G81" t="s">
        <v>5604</v>
      </c>
    </row>
    <row r="82" spans="1:7" x14ac:dyDescent="0.25">
      <c r="A82">
        <v>5468</v>
      </c>
      <c r="B82" t="s">
        <v>22</v>
      </c>
      <c r="F82" t="s">
        <v>5603</v>
      </c>
      <c r="G82" t="s">
        <v>5604</v>
      </c>
    </row>
    <row r="83" spans="1:7" x14ac:dyDescent="0.25">
      <c r="A83">
        <v>5468</v>
      </c>
      <c r="B83" t="s">
        <v>22</v>
      </c>
      <c r="F83" t="s">
        <v>53</v>
      </c>
      <c r="G83" t="s">
        <v>5604</v>
      </c>
    </row>
    <row r="84" spans="1:7" x14ac:dyDescent="0.25">
      <c r="A84">
        <v>5468</v>
      </c>
      <c r="B84" t="s">
        <v>22</v>
      </c>
      <c r="F84" t="s">
        <v>55</v>
      </c>
      <c r="G84" t="s">
        <v>5604</v>
      </c>
    </row>
    <row r="85" spans="1:7" x14ac:dyDescent="0.25">
      <c r="A85">
        <v>5468</v>
      </c>
      <c r="B85" t="s">
        <v>22</v>
      </c>
      <c r="F85" t="s">
        <v>5605</v>
      </c>
      <c r="G85" t="s">
        <v>5604</v>
      </c>
    </row>
    <row r="86" spans="1:7" x14ac:dyDescent="0.25">
      <c r="A86">
        <v>5469</v>
      </c>
      <c r="B86" t="s">
        <v>22</v>
      </c>
      <c r="F86" t="s">
        <v>5603</v>
      </c>
      <c r="G86" t="s">
        <v>5604</v>
      </c>
    </row>
    <row r="87" spans="1:7" x14ac:dyDescent="0.25">
      <c r="A87">
        <v>5469</v>
      </c>
      <c r="B87" t="s">
        <v>22</v>
      </c>
      <c r="F87" t="s">
        <v>53</v>
      </c>
      <c r="G87" t="s">
        <v>5604</v>
      </c>
    </row>
    <row r="88" spans="1:7" x14ac:dyDescent="0.25">
      <c r="A88">
        <v>5469</v>
      </c>
      <c r="B88" t="s">
        <v>22</v>
      </c>
      <c r="F88" t="s">
        <v>55</v>
      </c>
      <c r="G88" t="s">
        <v>5604</v>
      </c>
    </row>
    <row r="89" spans="1:7" x14ac:dyDescent="0.25">
      <c r="A89">
        <v>5469</v>
      </c>
      <c r="B89" t="s">
        <v>22</v>
      </c>
      <c r="F89" t="s">
        <v>5605</v>
      </c>
      <c r="G89" t="s">
        <v>5604</v>
      </c>
    </row>
    <row r="90" spans="1:7" x14ac:dyDescent="0.25">
      <c r="A90">
        <v>5470</v>
      </c>
      <c r="B90" t="s">
        <v>22</v>
      </c>
      <c r="E90" t="s">
        <v>130</v>
      </c>
      <c r="F90" t="s">
        <v>5603</v>
      </c>
      <c r="G90" t="s">
        <v>5604</v>
      </c>
    </row>
    <row r="91" spans="1:7" x14ac:dyDescent="0.25">
      <c r="A91">
        <v>5470</v>
      </c>
      <c r="B91" t="s">
        <v>22</v>
      </c>
      <c r="E91" t="s">
        <v>130</v>
      </c>
      <c r="F91" t="s">
        <v>53</v>
      </c>
      <c r="G91" t="s">
        <v>5604</v>
      </c>
    </row>
    <row r="92" spans="1:7" x14ac:dyDescent="0.25">
      <c r="A92">
        <v>5471</v>
      </c>
      <c r="B92" t="s">
        <v>21</v>
      </c>
      <c r="E92" t="s">
        <v>134</v>
      </c>
      <c r="F92" t="s">
        <v>5603</v>
      </c>
      <c r="G92" t="s">
        <v>5604</v>
      </c>
    </row>
    <row r="93" spans="1:7" x14ac:dyDescent="0.25">
      <c r="A93">
        <v>5471</v>
      </c>
      <c r="B93" t="s">
        <v>21</v>
      </c>
      <c r="E93" t="s">
        <v>134</v>
      </c>
      <c r="F93" t="s">
        <v>53</v>
      </c>
      <c r="G93" t="s">
        <v>5604</v>
      </c>
    </row>
    <row r="94" spans="1:7" x14ac:dyDescent="0.25">
      <c r="A94">
        <v>5471</v>
      </c>
      <c r="B94" t="s">
        <v>21</v>
      </c>
      <c r="E94" t="s">
        <v>134</v>
      </c>
      <c r="F94" t="s">
        <v>5605</v>
      </c>
      <c r="G94" t="s">
        <v>5604</v>
      </c>
    </row>
    <row r="95" spans="1:7" x14ac:dyDescent="0.25">
      <c r="A95">
        <v>5472</v>
      </c>
      <c r="B95" t="s">
        <v>21</v>
      </c>
      <c r="E95" t="s">
        <v>134</v>
      </c>
      <c r="F95" t="s">
        <v>5603</v>
      </c>
      <c r="G95" t="s">
        <v>5604</v>
      </c>
    </row>
    <row r="96" spans="1:7" x14ac:dyDescent="0.25">
      <c r="A96">
        <v>5472</v>
      </c>
      <c r="B96" t="s">
        <v>21</v>
      </c>
      <c r="E96" t="s">
        <v>134</v>
      </c>
      <c r="F96" t="s">
        <v>53</v>
      </c>
      <c r="G96" t="s">
        <v>5604</v>
      </c>
    </row>
    <row r="97" spans="1:7" x14ac:dyDescent="0.25">
      <c r="A97">
        <v>5472</v>
      </c>
      <c r="B97" t="s">
        <v>21</v>
      </c>
      <c r="E97" t="s">
        <v>134</v>
      </c>
      <c r="F97" t="s">
        <v>5605</v>
      </c>
      <c r="G97" t="s">
        <v>5604</v>
      </c>
    </row>
    <row r="98" spans="1:7" x14ac:dyDescent="0.25">
      <c r="A98">
        <v>5473</v>
      </c>
      <c r="B98" t="s">
        <v>21</v>
      </c>
      <c r="E98" t="s">
        <v>134</v>
      </c>
      <c r="F98" t="s">
        <v>5603</v>
      </c>
      <c r="G98" t="s">
        <v>5604</v>
      </c>
    </row>
    <row r="99" spans="1:7" x14ac:dyDescent="0.25">
      <c r="A99">
        <v>5473</v>
      </c>
      <c r="B99" t="s">
        <v>21</v>
      </c>
      <c r="E99" t="s">
        <v>134</v>
      </c>
      <c r="F99" t="s">
        <v>53</v>
      </c>
      <c r="G99" t="s">
        <v>5604</v>
      </c>
    </row>
    <row r="100" spans="1:7" x14ac:dyDescent="0.25">
      <c r="A100">
        <v>5473</v>
      </c>
      <c r="B100" t="s">
        <v>21</v>
      </c>
      <c r="E100" t="s">
        <v>134</v>
      </c>
      <c r="F100" t="s">
        <v>5605</v>
      </c>
      <c r="G100" t="s">
        <v>5604</v>
      </c>
    </row>
    <row r="101" spans="1:7" x14ac:dyDescent="0.25">
      <c r="A101">
        <v>5474</v>
      </c>
      <c r="B101" t="s">
        <v>21</v>
      </c>
      <c r="E101" t="s">
        <v>134</v>
      </c>
      <c r="F101" t="s">
        <v>5603</v>
      </c>
      <c r="G101" t="s">
        <v>5604</v>
      </c>
    </row>
    <row r="102" spans="1:7" x14ac:dyDescent="0.25">
      <c r="A102">
        <v>5474</v>
      </c>
      <c r="B102" t="s">
        <v>21</v>
      </c>
      <c r="E102" t="s">
        <v>134</v>
      </c>
      <c r="F102" t="s">
        <v>53</v>
      </c>
      <c r="G102" t="s">
        <v>5604</v>
      </c>
    </row>
    <row r="103" spans="1:7" x14ac:dyDescent="0.25">
      <c r="A103">
        <v>5474</v>
      </c>
      <c r="B103" t="s">
        <v>21</v>
      </c>
      <c r="E103" t="s">
        <v>134</v>
      </c>
      <c r="F103" t="s">
        <v>5605</v>
      </c>
      <c r="G103" t="s">
        <v>5604</v>
      </c>
    </row>
    <row r="104" spans="1:7" x14ac:dyDescent="0.25">
      <c r="A104">
        <v>5475</v>
      </c>
      <c r="B104" t="s">
        <v>21</v>
      </c>
      <c r="E104" t="s">
        <v>134</v>
      </c>
      <c r="F104" t="s">
        <v>5603</v>
      </c>
      <c r="G104" t="s">
        <v>5604</v>
      </c>
    </row>
    <row r="105" spans="1:7" x14ac:dyDescent="0.25">
      <c r="A105">
        <v>5475</v>
      </c>
      <c r="B105" t="s">
        <v>21</v>
      </c>
      <c r="E105" t="s">
        <v>134</v>
      </c>
      <c r="F105" t="s">
        <v>53</v>
      </c>
      <c r="G105" t="s">
        <v>5604</v>
      </c>
    </row>
    <row r="106" spans="1:7" x14ac:dyDescent="0.25">
      <c r="A106">
        <v>5475</v>
      </c>
      <c r="B106" t="s">
        <v>21</v>
      </c>
      <c r="E106" t="s">
        <v>134</v>
      </c>
      <c r="F106" t="s">
        <v>5605</v>
      </c>
      <c r="G106" t="s">
        <v>5604</v>
      </c>
    </row>
    <row r="107" spans="1:7" x14ac:dyDescent="0.25">
      <c r="A107">
        <v>5476</v>
      </c>
      <c r="B107" t="s">
        <v>21</v>
      </c>
      <c r="E107" t="s">
        <v>134</v>
      </c>
      <c r="F107" t="s">
        <v>5603</v>
      </c>
      <c r="G107" t="s">
        <v>5604</v>
      </c>
    </row>
    <row r="108" spans="1:7" x14ac:dyDescent="0.25">
      <c r="A108">
        <v>5476</v>
      </c>
      <c r="B108" t="s">
        <v>21</v>
      </c>
      <c r="E108" t="s">
        <v>134</v>
      </c>
      <c r="F108" t="s">
        <v>53</v>
      </c>
      <c r="G108" t="s">
        <v>5604</v>
      </c>
    </row>
    <row r="109" spans="1:7" x14ac:dyDescent="0.25">
      <c r="A109">
        <v>5476</v>
      </c>
      <c r="B109" t="s">
        <v>21</v>
      </c>
      <c r="E109" t="s">
        <v>134</v>
      </c>
      <c r="F109" t="s">
        <v>5605</v>
      </c>
      <c r="G109" t="s">
        <v>5604</v>
      </c>
    </row>
    <row r="110" spans="1:7" x14ac:dyDescent="0.25">
      <c r="A110">
        <v>5477</v>
      </c>
      <c r="B110" t="s">
        <v>21</v>
      </c>
      <c r="E110" t="s">
        <v>134</v>
      </c>
      <c r="F110" t="s">
        <v>5603</v>
      </c>
      <c r="G110" t="s">
        <v>5604</v>
      </c>
    </row>
    <row r="111" spans="1:7" x14ac:dyDescent="0.25">
      <c r="A111">
        <v>5477</v>
      </c>
      <c r="B111" t="s">
        <v>21</v>
      </c>
      <c r="E111" t="s">
        <v>134</v>
      </c>
      <c r="F111" t="s">
        <v>53</v>
      </c>
      <c r="G111" t="s">
        <v>5604</v>
      </c>
    </row>
    <row r="112" spans="1:7" x14ac:dyDescent="0.25">
      <c r="A112">
        <v>5477</v>
      </c>
      <c r="B112" t="s">
        <v>21</v>
      </c>
      <c r="E112" t="s">
        <v>134</v>
      </c>
      <c r="F112" t="s">
        <v>5605</v>
      </c>
      <c r="G112" t="s">
        <v>5604</v>
      </c>
    </row>
    <row r="113" spans="1:7" x14ac:dyDescent="0.25">
      <c r="A113">
        <v>5478</v>
      </c>
      <c r="B113" t="s">
        <v>22</v>
      </c>
      <c r="F113" t="s">
        <v>5603</v>
      </c>
      <c r="G113" t="s">
        <v>5604</v>
      </c>
    </row>
    <row r="114" spans="1:7" x14ac:dyDescent="0.25">
      <c r="A114">
        <v>5478</v>
      </c>
      <c r="B114" t="s">
        <v>22</v>
      </c>
      <c r="F114" t="s">
        <v>53</v>
      </c>
      <c r="G114" t="s">
        <v>5604</v>
      </c>
    </row>
    <row r="115" spans="1:7" x14ac:dyDescent="0.25">
      <c r="A115">
        <v>5478</v>
      </c>
      <c r="B115" t="s">
        <v>22</v>
      </c>
      <c r="F115" t="s">
        <v>55</v>
      </c>
      <c r="G115" t="s">
        <v>5604</v>
      </c>
    </row>
    <row r="116" spans="1:7" x14ac:dyDescent="0.25">
      <c r="A116">
        <v>5478</v>
      </c>
      <c r="B116" t="s">
        <v>22</v>
      </c>
      <c r="F116" t="s">
        <v>5605</v>
      </c>
      <c r="G116" t="s">
        <v>5604</v>
      </c>
    </row>
    <row r="117" spans="1:7" x14ac:dyDescent="0.25">
      <c r="A117">
        <v>5479</v>
      </c>
      <c r="B117" t="s">
        <v>22</v>
      </c>
      <c r="F117" t="s">
        <v>5603</v>
      </c>
      <c r="G117" t="s">
        <v>5604</v>
      </c>
    </row>
    <row r="118" spans="1:7" x14ac:dyDescent="0.25">
      <c r="A118">
        <v>5479</v>
      </c>
      <c r="B118" t="s">
        <v>22</v>
      </c>
      <c r="F118" t="s">
        <v>53</v>
      </c>
      <c r="G118" t="s">
        <v>5604</v>
      </c>
    </row>
    <row r="119" spans="1:7" x14ac:dyDescent="0.25">
      <c r="A119">
        <v>5479</v>
      </c>
      <c r="B119" t="s">
        <v>22</v>
      </c>
      <c r="F119" t="s">
        <v>55</v>
      </c>
      <c r="G119" t="s">
        <v>5604</v>
      </c>
    </row>
    <row r="120" spans="1:7" x14ac:dyDescent="0.25">
      <c r="A120">
        <v>5479</v>
      </c>
      <c r="B120" t="s">
        <v>22</v>
      </c>
      <c r="F120" t="s">
        <v>5605</v>
      </c>
      <c r="G120" t="s">
        <v>5604</v>
      </c>
    </row>
    <row r="121" spans="1:7" x14ac:dyDescent="0.25">
      <c r="A121">
        <v>5480</v>
      </c>
      <c r="B121" t="s">
        <v>21</v>
      </c>
      <c r="F121" t="s">
        <v>5603</v>
      </c>
      <c r="G121" t="s">
        <v>5604</v>
      </c>
    </row>
    <row r="122" spans="1:7" x14ac:dyDescent="0.25">
      <c r="A122">
        <v>5480</v>
      </c>
      <c r="B122" t="s">
        <v>21</v>
      </c>
      <c r="F122" t="s">
        <v>53</v>
      </c>
      <c r="G122" t="s">
        <v>5604</v>
      </c>
    </row>
    <row r="123" spans="1:7" x14ac:dyDescent="0.25">
      <c r="A123">
        <v>5480</v>
      </c>
      <c r="B123" t="s">
        <v>21</v>
      </c>
      <c r="F123" t="s">
        <v>55</v>
      </c>
      <c r="G123" t="s">
        <v>5604</v>
      </c>
    </row>
    <row r="124" spans="1:7" x14ac:dyDescent="0.25">
      <c r="A124">
        <v>5480</v>
      </c>
      <c r="B124" t="s">
        <v>21</v>
      </c>
      <c r="F124" t="s">
        <v>5605</v>
      </c>
      <c r="G124" t="s">
        <v>5604</v>
      </c>
    </row>
    <row r="125" spans="1:7" x14ac:dyDescent="0.25">
      <c r="A125">
        <v>5481</v>
      </c>
      <c r="B125" t="s">
        <v>22</v>
      </c>
      <c r="F125" t="s">
        <v>5603</v>
      </c>
      <c r="G125" t="s">
        <v>5604</v>
      </c>
    </row>
    <row r="126" spans="1:7" x14ac:dyDescent="0.25">
      <c r="A126">
        <v>5481</v>
      </c>
      <c r="B126" t="s">
        <v>22</v>
      </c>
      <c r="F126" t="s">
        <v>53</v>
      </c>
      <c r="G126" t="s">
        <v>5604</v>
      </c>
    </row>
    <row r="127" spans="1:7" x14ac:dyDescent="0.25">
      <c r="A127">
        <v>5481</v>
      </c>
      <c r="B127" t="s">
        <v>22</v>
      </c>
      <c r="F127" t="s">
        <v>55</v>
      </c>
      <c r="G127" t="s">
        <v>5604</v>
      </c>
    </row>
    <row r="128" spans="1:7" x14ac:dyDescent="0.25">
      <c r="A128">
        <v>5481</v>
      </c>
      <c r="B128" t="s">
        <v>22</v>
      </c>
      <c r="F128" t="s">
        <v>5605</v>
      </c>
      <c r="G128" t="s">
        <v>5604</v>
      </c>
    </row>
    <row r="129" spans="1:7" x14ac:dyDescent="0.25">
      <c r="A129">
        <v>5482</v>
      </c>
      <c r="B129" t="s">
        <v>21</v>
      </c>
      <c r="E129" t="s">
        <v>130</v>
      </c>
      <c r="F129" t="s">
        <v>5603</v>
      </c>
      <c r="G129" t="s">
        <v>5604</v>
      </c>
    </row>
    <row r="130" spans="1:7" x14ac:dyDescent="0.25">
      <c r="A130">
        <v>5482</v>
      </c>
      <c r="B130" t="s">
        <v>21</v>
      </c>
      <c r="E130" t="s">
        <v>130</v>
      </c>
      <c r="F130" t="s">
        <v>53</v>
      </c>
      <c r="G130" t="s">
        <v>5604</v>
      </c>
    </row>
    <row r="131" spans="1:7" x14ac:dyDescent="0.25">
      <c r="A131">
        <v>5483</v>
      </c>
      <c r="B131" t="s">
        <v>22</v>
      </c>
      <c r="F131" t="s">
        <v>5603</v>
      </c>
      <c r="G131" t="s">
        <v>5604</v>
      </c>
    </row>
    <row r="132" spans="1:7" x14ac:dyDescent="0.25">
      <c r="A132">
        <v>5483</v>
      </c>
      <c r="B132" t="s">
        <v>22</v>
      </c>
      <c r="F132" t="s">
        <v>53</v>
      </c>
      <c r="G132" t="s">
        <v>5604</v>
      </c>
    </row>
    <row r="133" spans="1:7" x14ac:dyDescent="0.25">
      <c r="A133">
        <v>5483</v>
      </c>
      <c r="B133" t="s">
        <v>22</v>
      </c>
      <c r="F133" t="s">
        <v>55</v>
      </c>
      <c r="G133" t="s">
        <v>5604</v>
      </c>
    </row>
    <row r="134" spans="1:7" x14ac:dyDescent="0.25">
      <c r="A134">
        <v>5483</v>
      </c>
      <c r="B134" t="s">
        <v>22</v>
      </c>
      <c r="F134" t="s">
        <v>5605</v>
      </c>
      <c r="G134" t="s">
        <v>5604</v>
      </c>
    </row>
    <row r="135" spans="1:7" x14ac:dyDescent="0.25">
      <c r="A135">
        <v>5484</v>
      </c>
      <c r="B135" t="s">
        <v>22</v>
      </c>
      <c r="F135" t="s">
        <v>5603</v>
      </c>
      <c r="G135" t="s">
        <v>5604</v>
      </c>
    </row>
    <row r="136" spans="1:7" x14ac:dyDescent="0.25">
      <c r="A136">
        <v>5484</v>
      </c>
      <c r="B136" t="s">
        <v>22</v>
      </c>
      <c r="F136" t="s">
        <v>53</v>
      </c>
      <c r="G136" t="s">
        <v>5604</v>
      </c>
    </row>
    <row r="137" spans="1:7" x14ac:dyDescent="0.25">
      <c r="A137">
        <v>5484</v>
      </c>
      <c r="B137" t="s">
        <v>22</v>
      </c>
      <c r="F137" t="s">
        <v>55</v>
      </c>
      <c r="G137" t="s">
        <v>5604</v>
      </c>
    </row>
    <row r="138" spans="1:7" x14ac:dyDescent="0.25">
      <c r="A138">
        <v>5484</v>
      </c>
      <c r="B138" t="s">
        <v>22</v>
      </c>
      <c r="F138" t="s">
        <v>5605</v>
      </c>
      <c r="G138" t="s">
        <v>5604</v>
      </c>
    </row>
    <row r="139" spans="1:7" x14ac:dyDescent="0.25">
      <c r="A139">
        <v>5485</v>
      </c>
      <c r="B139" t="s">
        <v>22</v>
      </c>
      <c r="F139" t="s">
        <v>5603</v>
      </c>
      <c r="G139" t="s">
        <v>5604</v>
      </c>
    </row>
    <row r="140" spans="1:7" x14ac:dyDescent="0.25">
      <c r="A140">
        <v>5485</v>
      </c>
      <c r="B140" t="s">
        <v>22</v>
      </c>
      <c r="F140" t="s">
        <v>53</v>
      </c>
      <c r="G140" t="s">
        <v>5604</v>
      </c>
    </row>
    <row r="141" spans="1:7" x14ac:dyDescent="0.25">
      <c r="A141">
        <v>5485</v>
      </c>
      <c r="B141" t="s">
        <v>22</v>
      </c>
      <c r="F141" t="s">
        <v>55</v>
      </c>
      <c r="G141" t="s">
        <v>5604</v>
      </c>
    </row>
    <row r="142" spans="1:7" x14ac:dyDescent="0.25">
      <c r="A142">
        <v>5485</v>
      </c>
      <c r="B142" t="s">
        <v>22</v>
      </c>
      <c r="F142" t="s">
        <v>5605</v>
      </c>
      <c r="G142" t="s">
        <v>5604</v>
      </c>
    </row>
    <row r="143" spans="1:7" x14ac:dyDescent="0.25">
      <c r="A143">
        <v>5486</v>
      </c>
      <c r="B143" t="s">
        <v>22</v>
      </c>
      <c r="F143" t="s">
        <v>5603</v>
      </c>
      <c r="G143" t="s">
        <v>5604</v>
      </c>
    </row>
    <row r="144" spans="1:7" x14ac:dyDescent="0.25">
      <c r="A144">
        <v>5486</v>
      </c>
      <c r="B144" t="s">
        <v>22</v>
      </c>
      <c r="F144" t="s">
        <v>53</v>
      </c>
      <c r="G144" t="s">
        <v>5604</v>
      </c>
    </row>
    <row r="145" spans="1:7" x14ac:dyDescent="0.25">
      <c r="A145">
        <v>5486</v>
      </c>
      <c r="B145" t="s">
        <v>22</v>
      </c>
      <c r="F145" t="s">
        <v>55</v>
      </c>
      <c r="G145" t="s">
        <v>5604</v>
      </c>
    </row>
    <row r="146" spans="1:7" x14ac:dyDescent="0.25">
      <c r="A146">
        <v>5486</v>
      </c>
      <c r="B146" t="s">
        <v>22</v>
      </c>
      <c r="F146" t="s">
        <v>5605</v>
      </c>
      <c r="G146" t="s">
        <v>5604</v>
      </c>
    </row>
    <row r="147" spans="1:7" x14ac:dyDescent="0.25">
      <c r="A147">
        <v>5487</v>
      </c>
      <c r="B147" t="s">
        <v>22</v>
      </c>
      <c r="F147" t="s">
        <v>5603</v>
      </c>
      <c r="G147" t="s">
        <v>5604</v>
      </c>
    </row>
    <row r="148" spans="1:7" x14ac:dyDescent="0.25">
      <c r="A148">
        <v>5487</v>
      </c>
      <c r="B148" t="s">
        <v>22</v>
      </c>
      <c r="F148" t="s">
        <v>53</v>
      </c>
      <c r="G148" t="s">
        <v>5604</v>
      </c>
    </row>
    <row r="149" spans="1:7" x14ac:dyDescent="0.25">
      <c r="A149">
        <v>5487</v>
      </c>
      <c r="B149" t="s">
        <v>22</v>
      </c>
      <c r="F149" t="s">
        <v>55</v>
      </c>
      <c r="G149" t="s">
        <v>5604</v>
      </c>
    </row>
    <row r="150" spans="1:7" x14ac:dyDescent="0.25">
      <c r="A150">
        <v>5487</v>
      </c>
      <c r="B150" t="s">
        <v>22</v>
      </c>
      <c r="F150" t="s">
        <v>5605</v>
      </c>
      <c r="G150" t="s">
        <v>5604</v>
      </c>
    </row>
    <row r="151" spans="1:7" x14ac:dyDescent="0.25">
      <c r="A151">
        <v>5488</v>
      </c>
      <c r="B151" t="s">
        <v>22</v>
      </c>
      <c r="F151" t="s">
        <v>5603</v>
      </c>
      <c r="G151" t="s">
        <v>5604</v>
      </c>
    </row>
    <row r="152" spans="1:7" x14ac:dyDescent="0.25">
      <c r="A152">
        <v>5488</v>
      </c>
      <c r="B152" t="s">
        <v>22</v>
      </c>
      <c r="F152" t="s">
        <v>53</v>
      </c>
      <c r="G152" t="s">
        <v>5604</v>
      </c>
    </row>
    <row r="153" spans="1:7" x14ac:dyDescent="0.25">
      <c r="A153">
        <v>5488</v>
      </c>
      <c r="B153" t="s">
        <v>22</v>
      </c>
      <c r="F153" t="s">
        <v>55</v>
      </c>
      <c r="G153" t="s">
        <v>5604</v>
      </c>
    </row>
    <row r="154" spans="1:7" x14ac:dyDescent="0.25">
      <c r="A154">
        <v>5488</v>
      </c>
      <c r="B154" t="s">
        <v>22</v>
      </c>
      <c r="F154" t="s">
        <v>5605</v>
      </c>
      <c r="G154" t="s">
        <v>5604</v>
      </c>
    </row>
    <row r="155" spans="1:7" x14ac:dyDescent="0.25">
      <c r="A155">
        <v>5489</v>
      </c>
      <c r="B155" t="s">
        <v>21</v>
      </c>
      <c r="E155" t="s">
        <v>134</v>
      </c>
      <c r="F155" t="s">
        <v>5603</v>
      </c>
      <c r="G155" t="s">
        <v>5604</v>
      </c>
    </row>
    <row r="156" spans="1:7" x14ac:dyDescent="0.25">
      <c r="A156">
        <v>5489</v>
      </c>
      <c r="B156" t="s">
        <v>21</v>
      </c>
      <c r="E156" t="s">
        <v>134</v>
      </c>
      <c r="F156" t="s">
        <v>53</v>
      </c>
      <c r="G156" t="s">
        <v>5604</v>
      </c>
    </row>
    <row r="157" spans="1:7" x14ac:dyDescent="0.25">
      <c r="A157">
        <v>5489</v>
      </c>
      <c r="B157" t="s">
        <v>21</v>
      </c>
      <c r="E157" t="s">
        <v>134</v>
      </c>
      <c r="F157" t="s">
        <v>5605</v>
      </c>
      <c r="G157" t="s">
        <v>5604</v>
      </c>
    </row>
    <row r="158" spans="1:7" x14ac:dyDescent="0.25">
      <c r="A158">
        <v>5490</v>
      </c>
      <c r="B158" t="s">
        <v>21</v>
      </c>
      <c r="E158" t="s">
        <v>134</v>
      </c>
      <c r="F158" t="s">
        <v>5603</v>
      </c>
      <c r="G158" t="s">
        <v>5604</v>
      </c>
    </row>
    <row r="159" spans="1:7" x14ac:dyDescent="0.25">
      <c r="A159">
        <v>5490</v>
      </c>
      <c r="B159" t="s">
        <v>21</v>
      </c>
      <c r="E159" t="s">
        <v>134</v>
      </c>
      <c r="F159" t="s">
        <v>53</v>
      </c>
      <c r="G159" t="s">
        <v>5604</v>
      </c>
    </row>
    <row r="160" spans="1:7" x14ac:dyDescent="0.25">
      <c r="A160">
        <v>5490</v>
      </c>
      <c r="B160" t="s">
        <v>21</v>
      </c>
      <c r="E160" t="s">
        <v>134</v>
      </c>
      <c r="F160" t="s">
        <v>5605</v>
      </c>
      <c r="G160" t="s">
        <v>5604</v>
      </c>
    </row>
    <row r="161" spans="1:7" x14ac:dyDescent="0.25">
      <c r="A161">
        <v>5491</v>
      </c>
      <c r="B161" t="s">
        <v>21</v>
      </c>
      <c r="E161" t="s">
        <v>134</v>
      </c>
      <c r="F161" t="s">
        <v>5603</v>
      </c>
      <c r="G161" t="s">
        <v>5604</v>
      </c>
    </row>
    <row r="162" spans="1:7" x14ac:dyDescent="0.25">
      <c r="A162">
        <v>5491</v>
      </c>
      <c r="B162" t="s">
        <v>21</v>
      </c>
      <c r="E162" t="s">
        <v>134</v>
      </c>
      <c r="F162" t="s">
        <v>53</v>
      </c>
      <c r="G162" t="s">
        <v>5604</v>
      </c>
    </row>
    <row r="163" spans="1:7" x14ac:dyDescent="0.25">
      <c r="A163">
        <v>5491</v>
      </c>
      <c r="B163" t="s">
        <v>21</v>
      </c>
      <c r="E163" t="s">
        <v>134</v>
      </c>
      <c r="F163" t="s">
        <v>5605</v>
      </c>
      <c r="G163" t="s">
        <v>5604</v>
      </c>
    </row>
    <row r="164" spans="1:7" x14ac:dyDescent="0.25">
      <c r="A164">
        <v>5492</v>
      </c>
      <c r="B164" t="s">
        <v>22</v>
      </c>
      <c r="E164" t="s">
        <v>130</v>
      </c>
      <c r="F164" t="s">
        <v>5603</v>
      </c>
      <c r="G164" t="s">
        <v>5604</v>
      </c>
    </row>
    <row r="165" spans="1:7" x14ac:dyDescent="0.25">
      <c r="A165">
        <v>5492</v>
      </c>
      <c r="B165" t="s">
        <v>22</v>
      </c>
      <c r="E165" t="s">
        <v>130</v>
      </c>
      <c r="F165" t="s">
        <v>53</v>
      </c>
      <c r="G165" t="s">
        <v>5604</v>
      </c>
    </row>
    <row r="166" spans="1:7" x14ac:dyDescent="0.25">
      <c r="A166">
        <v>5493</v>
      </c>
      <c r="B166" t="s">
        <v>22</v>
      </c>
      <c r="E166" t="s">
        <v>130</v>
      </c>
      <c r="F166" t="s">
        <v>5603</v>
      </c>
      <c r="G166" t="s">
        <v>5604</v>
      </c>
    </row>
    <row r="167" spans="1:7" x14ac:dyDescent="0.25">
      <c r="A167">
        <v>5493</v>
      </c>
      <c r="B167" t="s">
        <v>22</v>
      </c>
      <c r="E167" t="s">
        <v>130</v>
      </c>
      <c r="F167" t="s">
        <v>53</v>
      </c>
      <c r="G167" t="s">
        <v>5604</v>
      </c>
    </row>
    <row r="168" spans="1:7" x14ac:dyDescent="0.25">
      <c r="A168">
        <v>5494</v>
      </c>
      <c r="B168" t="s">
        <v>21</v>
      </c>
      <c r="F168" t="s">
        <v>5603</v>
      </c>
      <c r="G168" t="s">
        <v>5604</v>
      </c>
    </row>
    <row r="169" spans="1:7" x14ac:dyDescent="0.25">
      <c r="A169">
        <v>5494</v>
      </c>
      <c r="B169" t="s">
        <v>21</v>
      </c>
      <c r="F169" t="s">
        <v>53</v>
      </c>
      <c r="G169" t="s">
        <v>5604</v>
      </c>
    </row>
    <row r="170" spans="1:7" x14ac:dyDescent="0.25">
      <c r="A170">
        <v>5494</v>
      </c>
      <c r="B170" t="s">
        <v>21</v>
      </c>
      <c r="F170" t="s">
        <v>55</v>
      </c>
      <c r="G170" t="s">
        <v>5604</v>
      </c>
    </row>
    <row r="171" spans="1:7" x14ac:dyDescent="0.25">
      <c r="A171">
        <v>5494</v>
      </c>
      <c r="B171" t="s">
        <v>21</v>
      </c>
      <c r="F171" t="s">
        <v>5605</v>
      </c>
      <c r="G171" t="s">
        <v>5604</v>
      </c>
    </row>
    <row r="172" spans="1:7" x14ac:dyDescent="0.25">
      <c r="A172">
        <v>5495</v>
      </c>
      <c r="B172" t="s">
        <v>21</v>
      </c>
      <c r="F172" t="s">
        <v>5603</v>
      </c>
      <c r="G172" t="s">
        <v>5604</v>
      </c>
    </row>
    <row r="173" spans="1:7" x14ac:dyDescent="0.25">
      <c r="A173">
        <v>5495</v>
      </c>
      <c r="B173" t="s">
        <v>21</v>
      </c>
      <c r="F173" t="s">
        <v>53</v>
      </c>
      <c r="G173" t="s">
        <v>5604</v>
      </c>
    </row>
    <row r="174" spans="1:7" x14ac:dyDescent="0.25">
      <c r="A174">
        <v>5495</v>
      </c>
      <c r="B174" t="s">
        <v>21</v>
      </c>
      <c r="F174" t="s">
        <v>55</v>
      </c>
      <c r="G174" t="s">
        <v>5604</v>
      </c>
    </row>
    <row r="175" spans="1:7" x14ac:dyDescent="0.25">
      <c r="A175">
        <v>5495</v>
      </c>
      <c r="B175" t="s">
        <v>21</v>
      </c>
      <c r="F175" t="s">
        <v>5605</v>
      </c>
      <c r="G175" t="s">
        <v>5604</v>
      </c>
    </row>
    <row r="176" spans="1:7" x14ac:dyDescent="0.25">
      <c r="A176">
        <v>5496</v>
      </c>
      <c r="B176" t="s">
        <v>21</v>
      </c>
      <c r="E176" t="s">
        <v>134</v>
      </c>
      <c r="F176" t="s">
        <v>5603</v>
      </c>
      <c r="G176" t="s">
        <v>5604</v>
      </c>
    </row>
    <row r="177" spans="1:7" x14ac:dyDescent="0.25">
      <c r="A177">
        <v>5496</v>
      </c>
      <c r="B177" t="s">
        <v>21</v>
      </c>
      <c r="E177" t="s">
        <v>134</v>
      </c>
      <c r="F177" t="s">
        <v>53</v>
      </c>
      <c r="G177" t="s">
        <v>5604</v>
      </c>
    </row>
    <row r="178" spans="1:7" x14ac:dyDescent="0.25">
      <c r="A178">
        <v>5496</v>
      </c>
      <c r="B178" t="s">
        <v>21</v>
      </c>
      <c r="E178" t="s">
        <v>134</v>
      </c>
      <c r="F178" t="s">
        <v>5605</v>
      </c>
      <c r="G178" t="s">
        <v>5604</v>
      </c>
    </row>
    <row r="179" spans="1:7" x14ac:dyDescent="0.25">
      <c r="A179">
        <v>5497</v>
      </c>
      <c r="B179" t="s">
        <v>22</v>
      </c>
      <c r="F179" t="s">
        <v>5603</v>
      </c>
      <c r="G179" t="s">
        <v>5604</v>
      </c>
    </row>
    <row r="180" spans="1:7" x14ac:dyDescent="0.25">
      <c r="A180">
        <v>5497</v>
      </c>
      <c r="B180" t="s">
        <v>22</v>
      </c>
      <c r="F180" t="s">
        <v>53</v>
      </c>
      <c r="G180" t="s">
        <v>5604</v>
      </c>
    </row>
    <row r="181" spans="1:7" x14ac:dyDescent="0.25">
      <c r="A181">
        <v>5497</v>
      </c>
      <c r="B181" t="s">
        <v>22</v>
      </c>
      <c r="F181" t="s">
        <v>55</v>
      </c>
      <c r="G181" t="s">
        <v>5604</v>
      </c>
    </row>
    <row r="182" spans="1:7" x14ac:dyDescent="0.25">
      <c r="A182">
        <v>5497</v>
      </c>
      <c r="B182" t="s">
        <v>22</v>
      </c>
      <c r="F182" t="s">
        <v>5605</v>
      </c>
      <c r="G182" t="s">
        <v>5604</v>
      </c>
    </row>
    <row r="183" spans="1:7" x14ac:dyDescent="0.25">
      <c r="A183">
        <v>5498</v>
      </c>
      <c r="B183" t="s">
        <v>22</v>
      </c>
      <c r="F183" t="s">
        <v>5603</v>
      </c>
      <c r="G183" t="s">
        <v>5604</v>
      </c>
    </row>
    <row r="184" spans="1:7" x14ac:dyDescent="0.25">
      <c r="A184">
        <v>5498</v>
      </c>
      <c r="B184" t="s">
        <v>22</v>
      </c>
      <c r="F184" t="s">
        <v>53</v>
      </c>
      <c r="G184" t="s">
        <v>5604</v>
      </c>
    </row>
    <row r="185" spans="1:7" x14ac:dyDescent="0.25">
      <c r="A185">
        <v>5498</v>
      </c>
      <c r="B185" t="s">
        <v>22</v>
      </c>
      <c r="F185" t="s">
        <v>55</v>
      </c>
      <c r="G185" t="s">
        <v>5604</v>
      </c>
    </row>
    <row r="186" spans="1:7" x14ac:dyDescent="0.25">
      <c r="A186">
        <v>5498</v>
      </c>
      <c r="B186" t="s">
        <v>22</v>
      </c>
      <c r="F186" t="s">
        <v>5605</v>
      </c>
      <c r="G186" t="s">
        <v>5604</v>
      </c>
    </row>
    <row r="187" spans="1:7" x14ac:dyDescent="0.25">
      <c r="A187">
        <v>5499</v>
      </c>
      <c r="B187" t="s">
        <v>22</v>
      </c>
      <c r="F187" t="s">
        <v>5603</v>
      </c>
      <c r="G187" t="s">
        <v>5604</v>
      </c>
    </row>
    <row r="188" spans="1:7" x14ac:dyDescent="0.25">
      <c r="A188">
        <v>5499</v>
      </c>
      <c r="B188" t="s">
        <v>22</v>
      </c>
      <c r="F188" t="s">
        <v>53</v>
      </c>
      <c r="G188" t="s">
        <v>5604</v>
      </c>
    </row>
    <row r="189" spans="1:7" x14ac:dyDescent="0.25">
      <c r="A189">
        <v>5499</v>
      </c>
      <c r="B189" t="s">
        <v>22</v>
      </c>
      <c r="F189" t="s">
        <v>55</v>
      </c>
      <c r="G189" t="s">
        <v>5604</v>
      </c>
    </row>
    <row r="190" spans="1:7" x14ac:dyDescent="0.25">
      <c r="A190">
        <v>5499</v>
      </c>
      <c r="B190" t="s">
        <v>22</v>
      </c>
      <c r="F190" t="s">
        <v>5605</v>
      </c>
      <c r="G190" t="s">
        <v>5604</v>
      </c>
    </row>
    <row r="191" spans="1:7" x14ac:dyDescent="0.25">
      <c r="A191">
        <v>5500</v>
      </c>
      <c r="B191" t="s">
        <v>22</v>
      </c>
      <c r="F191" t="s">
        <v>5603</v>
      </c>
      <c r="G191" t="s">
        <v>5604</v>
      </c>
    </row>
    <row r="192" spans="1:7" x14ac:dyDescent="0.25">
      <c r="A192">
        <v>5500</v>
      </c>
      <c r="B192" t="s">
        <v>22</v>
      </c>
      <c r="F192" t="s">
        <v>53</v>
      </c>
      <c r="G192" t="s">
        <v>5604</v>
      </c>
    </row>
    <row r="193" spans="1:7" x14ac:dyDescent="0.25">
      <c r="A193">
        <v>5500</v>
      </c>
      <c r="B193" t="s">
        <v>22</v>
      </c>
      <c r="F193" t="s">
        <v>55</v>
      </c>
      <c r="G193" t="s">
        <v>5604</v>
      </c>
    </row>
    <row r="194" spans="1:7" x14ac:dyDescent="0.25">
      <c r="A194">
        <v>5501</v>
      </c>
      <c r="B194" t="s">
        <v>21</v>
      </c>
      <c r="E194" t="s">
        <v>134</v>
      </c>
      <c r="F194" t="s">
        <v>5603</v>
      </c>
      <c r="G194" t="s">
        <v>5604</v>
      </c>
    </row>
    <row r="195" spans="1:7" x14ac:dyDescent="0.25">
      <c r="A195">
        <v>5501</v>
      </c>
      <c r="B195" t="s">
        <v>21</v>
      </c>
      <c r="E195" t="s">
        <v>134</v>
      </c>
      <c r="F195" t="s">
        <v>53</v>
      </c>
      <c r="G195" t="s">
        <v>5604</v>
      </c>
    </row>
    <row r="196" spans="1:7" x14ac:dyDescent="0.25">
      <c r="A196">
        <v>5501</v>
      </c>
      <c r="B196" t="s">
        <v>21</v>
      </c>
      <c r="E196" t="s">
        <v>134</v>
      </c>
      <c r="F196" t="s">
        <v>5605</v>
      </c>
      <c r="G196" t="s">
        <v>5604</v>
      </c>
    </row>
    <row r="197" spans="1:7" x14ac:dyDescent="0.25">
      <c r="A197">
        <v>5502</v>
      </c>
      <c r="F197" t="s">
        <v>5603</v>
      </c>
      <c r="G197" t="s">
        <v>5604</v>
      </c>
    </row>
    <row r="198" spans="1:7" x14ac:dyDescent="0.25">
      <c r="A198">
        <v>5502</v>
      </c>
      <c r="F198" t="s">
        <v>53</v>
      </c>
      <c r="G198" t="s">
        <v>5604</v>
      </c>
    </row>
    <row r="199" spans="1:7" x14ac:dyDescent="0.25">
      <c r="A199">
        <v>5502</v>
      </c>
      <c r="F199" t="s">
        <v>55</v>
      </c>
      <c r="G199" t="s">
        <v>5604</v>
      </c>
    </row>
    <row r="200" spans="1:7" x14ac:dyDescent="0.25">
      <c r="A200">
        <v>5502</v>
      </c>
      <c r="F200" t="s">
        <v>5605</v>
      </c>
      <c r="G200" t="s">
        <v>5604</v>
      </c>
    </row>
    <row r="201" spans="1:7" x14ac:dyDescent="0.25">
      <c r="A201">
        <v>5503</v>
      </c>
      <c r="B201" t="s">
        <v>21</v>
      </c>
      <c r="E201" t="s">
        <v>134</v>
      </c>
      <c r="F201" t="s">
        <v>5603</v>
      </c>
      <c r="G201" t="s">
        <v>5604</v>
      </c>
    </row>
    <row r="202" spans="1:7" x14ac:dyDescent="0.25">
      <c r="A202">
        <v>5503</v>
      </c>
      <c r="B202" t="s">
        <v>21</v>
      </c>
      <c r="E202" t="s">
        <v>134</v>
      </c>
      <c r="F202" t="s">
        <v>53</v>
      </c>
      <c r="G202" t="s">
        <v>5604</v>
      </c>
    </row>
    <row r="203" spans="1:7" x14ac:dyDescent="0.25">
      <c r="A203">
        <v>5503</v>
      </c>
      <c r="B203" t="s">
        <v>21</v>
      </c>
      <c r="E203" t="s">
        <v>134</v>
      </c>
      <c r="F203" t="s">
        <v>5605</v>
      </c>
      <c r="G203" t="s">
        <v>5604</v>
      </c>
    </row>
    <row r="204" spans="1:7" x14ac:dyDescent="0.25">
      <c r="A204">
        <v>5504</v>
      </c>
      <c r="B204" t="s">
        <v>21</v>
      </c>
      <c r="E204" t="s">
        <v>130</v>
      </c>
      <c r="F204" t="s">
        <v>5603</v>
      </c>
      <c r="G204" t="s">
        <v>5604</v>
      </c>
    </row>
    <row r="205" spans="1:7" x14ac:dyDescent="0.25">
      <c r="A205">
        <v>5504</v>
      </c>
      <c r="B205" t="s">
        <v>21</v>
      </c>
      <c r="E205" t="s">
        <v>130</v>
      </c>
      <c r="F205" t="s">
        <v>53</v>
      </c>
      <c r="G205" t="s">
        <v>5604</v>
      </c>
    </row>
    <row r="206" spans="1:7" x14ac:dyDescent="0.25">
      <c r="A206">
        <v>5505</v>
      </c>
      <c r="B206" t="s">
        <v>21</v>
      </c>
      <c r="F206" t="s">
        <v>5603</v>
      </c>
      <c r="G206" t="s">
        <v>5604</v>
      </c>
    </row>
    <row r="207" spans="1:7" x14ac:dyDescent="0.25">
      <c r="A207">
        <v>5505</v>
      </c>
      <c r="B207" t="s">
        <v>21</v>
      </c>
      <c r="F207" t="s">
        <v>53</v>
      </c>
      <c r="G207" t="s">
        <v>5604</v>
      </c>
    </row>
    <row r="208" spans="1:7" x14ac:dyDescent="0.25">
      <c r="A208">
        <v>5505</v>
      </c>
      <c r="B208" t="s">
        <v>21</v>
      </c>
      <c r="F208" t="s">
        <v>55</v>
      </c>
      <c r="G208" t="s">
        <v>5604</v>
      </c>
    </row>
    <row r="209" spans="1:7" x14ac:dyDescent="0.25">
      <c r="A209">
        <v>5505</v>
      </c>
      <c r="B209" t="s">
        <v>21</v>
      </c>
      <c r="F209" t="s">
        <v>5605</v>
      </c>
      <c r="G209" t="s">
        <v>5604</v>
      </c>
    </row>
    <row r="210" spans="1:7" x14ac:dyDescent="0.25">
      <c r="A210">
        <v>5506</v>
      </c>
      <c r="B210" t="s">
        <v>22</v>
      </c>
      <c r="F210" t="s">
        <v>5603</v>
      </c>
      <c r="G210" t="s">
        <v>5604</v>
      </c>
    </row>
    <row r="211" spans="1:7" x14ac:dyDescent="0.25">
      <c r="A211">
        <v>5506</v>
      </c>
      <c r="B211" t="s">
        <v>22</v>
      </c>
      <c r="F211" t="s">
        <v>53</v>
      </c>
      <c r="G211" t="s">
        <v>5604</v>
      </c>
    </row>
    <row r="212" spans="1:7" x14ac:dyDescent="0.25">
      <c r="A212">
        <v>5506</v>
      </c>
      <c r="B212" t="s">
        <v>22</v>
      </c>
      <c r="F212" t="s">
        <v>55</v>
      </c>
      <c r="G212" t="s">
        <v>5604</v>
      </c>
    </row>
    <row r="213" spans="1:7" x14ac:dyDescent="0.25">
      <c r="A213">
        <v>5506</v>
      </c>
      <c r="B213" t="s">
        <v>22</v>
      </c>
      <c r="F213" t="s">
        <v>5605</v>
      </c>
      <c r="G213" t="s">
        <v>5604</v>
      </c>
    </row>
    <row r="214" spans="1:7" x14ac:dyDescent="0.25">
      <c r="A214">
        <v>5507</v>
      </c>
      <c r="B214" t="s">
        <v>21</v>
      </c>
      <c r="F214" t="s">
        <v>5603</v>
      </c>
      <c r="G214" t="s">
        <v>5604</v>
      </c>
    </row>
    <row r="215" spans="1:7" x14ac:dyDescent="0.25">
      <c r="A215">
        <v>5507</v>
      </c>
      <c r="B215" t="s">
        <v>21</v>
      </c>
      <c r="F215" t="s">
        <v>53</v>
      </c>
      <c r="G215" t="s">
        <v>5604</v>
      </c>
    </row>
    <row r="216" spans="1:7" x14ac:dyDescent="0.25">
      <c r="A216">
        <v>5507</v>
      </c>
      <c r="B216" t="s">
        <v>21</v>
      </c>
      <c r="F216" t="s">
        <v>55</v>
      </c>
      <c r="G216" t="s">
        <v>5604</v>
      </c>
    </row>
    <row r="217" spans="1:7" x14ac:dyDescent="0.25">
      <c r="A217">
        <v>5507</v>
      </c>
      <c r="B217" t="s">
        <v>21</v>
      </c>
      <c r="F217" t="s">
        <v>5605</v>
      </c>
      <c r="G217" t="s">
        <v>5604</v>
      </c>
    </row>
    <row r="218" spans="1:7" x14ac:dyDescent="0.25">
      <c r="A218">
        <v>5508</v>
      </c>
      <c r="B218" t="s">
        <v>21</v>
      </c>
      <c r="E218" t="s">
        <v>134</v>
      </c>
      <c r="F218" t="s">
        <v>5603</v>
      </c>
      <c r="G218" t="s">
        <v>5604</v>
      </c>
    </row>
    <row r="219" spans="1:7" x14ac:dyDescent="0.25">
      <c r="A219">
        <v>5508</v>
      </c>
      <c r="B219" t="s">
        <v>21</v>
      </c>
      <c r="E219" t="s">
        <v>134</v>
      </c>
      <c r="F219" t="s">
        <v>53</v>
      </c>
      <c r="G219" t="s">
        <v>5604</v>
      </c>
    </row>
    <row r="220" spans="1:7" x14ac:dyDescent="0.25">
      <c r="A220">
        <v>5509</v>
      </c>
      <c r="B220" t="s">
        <v>21</v>
      </c>
      <c r="F220" t="s">
        <v>5603</v>
      </c>
      <c r="G220" t="s">
        <v>5604</v>
      </c>
    </row>
    <row r="221" spans="1:7" x14ac:dyDescent="0.25">
      <c r="A221">
        <v>5509</v>
      </c>
      <c r="B221" t="s">
        <v>21</v>
      </c>
      <c r="F221" t="s">
        <v>53</v>
      </c>
      <c r="G221" t="s">
        <v>5604</v>
      </c>
    </row>
    <row r="222" spans="1:7" x14ac:dyDescent="0.25">
      <c r="A222">
        <v>5509</v>
      </c>
      <c r="B222" t="s">
        <v>21</v>
      </c>
      <c r="F222" t="s">
        <v>55</v>
      </c>
      <c r="G222" t="s">
        <v>5604</v>
      </c>
    </row>
    <row r="223" spans="1:7" x14ac:dyDescent="0.25">
      <c r="A223">
        <v>5509</v>
      </c>
      <c r="B223" t="s">
        <v>21</v>
      </c>
      <c r="F223" t="s">
        <v>5605</v>
      </c>
      <c r="G223" t="s">
        <v>5604</v>
      </c>
    </row>
    <row r="224" spans="1:7" x14ac:dyDescent="0.25">
      <c r="A224">
        <v>5510</v>
      </c>
      <c r="B224" t="s">
        <v>21</v>
      </c>
      <c r="E224" t="s">
        <v>134</v>
      </c>
      <c r="F224" t="s">
        <v>5603</v>
      </c>
      <c r="G224" t="s">
        <v>5604</v>
      </c>
    </row>
    <row r="225" spans="1:7" x14ac:dyDescent="0.25">
      <c r="A225">
        <v>5510</v>
      </c>
      <c r="B225" t="s">
        <v>21</v>
      </c>
      <c r="E225" t="s">
        <v>134</v>
      </c>
      <c r="F225" t="s">
        <v>53</v>
      </c>
      <c r="G225" t="s">
        <v>5604</v>
      </c>
    </row>
    <row r="226" spans="1:7" x14ac:dyDescent="0.25">
      <c r="A226">
        <v>5510</v>
      </c>
      <c r="B226" t="s">
        <v>21</v>
      </c>
      <c r="E226" t="s">
        <v>134</v>
      </c>
      <c r="F226" t="s">
        <v>5605</v>
      </c>
      <c r="G226" t="s">
        <v>5604</v>
      </c>
    </row>
    <row r="227" spans="1:7" x14ac:dyDescent="0.25">
      <c r="A227">
        <v>5511</v>
      </c>
      <c r="B227" t="s">
        <v>22</v>
      </c>
      <c r="F227" t="s">
        <v>5603</v>
      </c>
      <c r="G227" t="s">
        <v>5604</v>
      </c>
    </row>
    <row r="228" spans="1:7" x14ac:dyDescent="0.25">
      <c r="A228">
        <v>5511</v>
      </c>
      <c r="B228" t="s">
        <v>22</v>
      </c>
      <c r="F228" t="s">
        <v>53</v>
      </c>
      <c r="G228" t="s">
        <v>5604</v>
      </c>
    </row>
    <row r="229" spans="1:7" x14ac:dyDescent="0.25">
      <c r="A229">
        <v>5511</v>
      </c>
      <c r="B229" t="s">
        <v>22</v>
      </c>
      <c r="F229" t="s">
        <v>55</v>
      </c>
      <c r="G229" t="s">
        <v>5604</v>
      </c>
    </row>
    <row r="230" spans="1:7" x14ac:dyDescent="0.25">
      <c r="A230">
        <v>5511</v>
      </c>
      <c r="B230" t="s">
        <v>22</v>
      </c>
      <c r="F230" t="s">
        <v>5605</v>
      </c>
      <c r="G230" t="s">
        <v>5604</v>
      </c>
    </row>
    <row r="231" spans="1:7" x14ac:dyDescent="0.25">
      <c r="A231">
        <v>5512</v>
      </c>
      <c r="B231" t="s">
        <v>21</v>
      </c>
      <c r="F231" t="s">
        <v>5603</v>
      </c>
      <c r="G231" t="s">
        <v>5604</v>
      </c>
    </row>
    <row r="232" spans="1:7" x14ac:dyDescent="0.25">
      <c r="A232">
        <v>5512</v>
      </c>
      <c r="B232" t="s">
        <v>21</v>
      </c>
      <c r="F232" t="s">
        <v>53</v>
      </c>
      <c r="G232" t="s">
        <v>5604</v>
      </c>
    </row>
    <row r="233" spans="1:7" x14ac:dyDescent="0.25">
      <c r="A233">
        <v>5512</v>
      </c>
      <c r="B233" t="s">
        <v>21</v>
      </c>
      <c r="F233" t="s">
        <v>55</v>
      </c>
      <c r="G233" t="s">
        <v>5604</v>
      </c>
    </row>
    <row r="234" spans="1:7" x14ac:dyDescent="0.25">
      <c r="A234">
        <v>5512</v>
      </c>
      <c r="B234" t="s">
        <v>21</v>
      </c>
      <c r="F234" t="s">
        <v>5605</v>
      </c>
      <c r="G234" t="s">
        <v>5604</v>
      </c>
    </row>
    <row r="235" spans="1:7" x14ac:dyDescent="0.25">
      <c r="A235">
        <v>5513</v>
      </c>
      <c r="B235" t="s">
        <v>21</v>
      </c>
      <c r="F235" t="s">
        <v>5603</v>
      </c>
      <c r="G235" t="s">
        <v>5604</v>
      </c>
    </row>
    <row r="236" spans="1:7" x14ac:dyDescent="0.25">
      <c r="A236">
        <v>5513</v>
      </c>
      <c r="B236" t="s">
        <v>21</v>
      </c>
      <c r="F236" t="s">
        <v>53</v>
      </c>
      <c r="G236" t="s">
        <v>5604</v>
      </c>
    </row>
    <row r="237" spans="1:7" x14ac:dyDescent="0.25">
      <c r="A237">
        <v>5513</v>
      </c>
      <c r="B237" t="s">
        <v>21</v>
      </c>
      <c r="F237" t="s">
        <v>55</v>
      </c>
      <c r="G237" t="s">
        <v>5604</v>
      </c>
    </row>
    <row r="238" spans="1:7" x14ac:dyDescent="0.25">
      <c r="A238">
        <v>5513</v>
      </c>
      <c r="B238" t="s">
        <v>21</v>
      </c>
      <c r="F238" t="s">
        <v>5605</v>
      </c>
      <c r="G238" t="s">
        <v>5604</v>
      </c>
    </row>
    <row r="239" spans="1:7" x14ac:dyDescent="0.25">
      <c r="A239">
        <v>5514</v>
      </c>
      <c r="B239" t="s">
        <v>21</v>
      </c>
      <c r="F239" t="s">
        <v>5603</v>
      </c>
      <c r="G239" t="s">
        <v>5604</v>
      </c>
    </row>
    <row r="240" spans="1:7" x14ac:dyDescent="0.25">
      <c r="A240">
        <v>5514</v>
      </c>
      <c r="B240" t="s">
        <v>21</v>
      </c>
      <c r="F240" t="s">
        <v>53</v>
      </c>
      <c r="G240" t="s">
        <v>5604</v>
      </c>
    </row>
    <row r="241" spans="1:7" x14ac:dyDescent="0.25">
      <c r="A241">
        <v>5514</v>
      </c>
      <c r="B241" t="s">
        <v>21</v>
      </c>
      <c r="F241" t="s">
        <v>55</v>
      </c>
      <c r="G241" t="s">
        <v>5604</v>
      </c>
    </row>
    <row r="242" spans="1:7" x14ac:dyDescent="0.25">
      <c r="A242">
        <v>5514</v>
      </c>
      <c r="B242" t="s">
        <v>21</v>
      </c>
      <c r="F242" t="s">
        <v>5605</v>
      </c>
      <c r="G242" t="s">
        <v>5604</v>
      </c>
    </row>
    <row r="243" spans="1:7" x14ac:dyDescent="0.25">
      <c r="A243">
        <v>5515</v>
      </c>
      <c r="B243" t="s">
        <v>21</v>
      </c>
      <c r="E243" t="s">
        <v>134</v>
      </c>
      <c r="F243" t="s">
        <v>5603</v>
      </c>
      <c r="G243" t="s">
        <v>5604</v>
      </c>
    </row>
    <row r="244" spans="1:7" x14ac:dyDescent="0.25">
      <c r="A244">
        <v>5515</v>
      </c>
      <c r="B244" t="s">
        <v>21</v>
      </c>
      <c r="E244" t="s">
        <v>134</v>
      </c>
      <c r="F244" t="s">
        <v>53</v>
      </c>
      <c r="G244" t="s">
        <v>5604</v>
      </c>
    </row>
    <row r="245" spans="1:7" x14ac:dyDescent="0.25">
      <c r="A245">
        <v>5515</v>
      </c>
      <c r="B245" t="s">
        <v>21</v>
      </c>
      <c r="E245" t="s">
        <v>134</v>
      </c>
      <c r="F245" t="s">
        <v>5605</v>
      </c>
      <c r="G245" t="s">
        <v>5604</v>
      </c>
    </row>
    <row r="246" spans="1:7" x14ac:dyDescent="0.25">
      <c r="A246">
        <v>5516</v>
      </c>
      <c r="B246" t="s">
        <v>21</v>
      </c>
      <c r="F246" t="s">
        <v>5603</v>
      </c>
      <c r="G246" t="s">
        <v>5604</v>
      </c>
    </row>
    <row r="247" spans="1:7" x14ac:dyDescent="0.25">
      <c r="A247">
        <v>5516</v>
      </c>
      <c r="B247" t="s">
        <v>21</v>
      </c>
      <c r="F247" t="s">
        <v>53</v>
      </c>
      <c r="G247" t="s">
        <v>5604</v>
      </c>
    </row>
    <row r="248" spans="1:7" x14ac:dyDescent="0.25">
      <c r="A248">
        <v>5516</v>
      </c>
      <c r="B248" t="s">
        <v>21</v>
      </c>
      <c r="F248" t="s">
        <v>55</v>
      </c>
      <c r="G248" t="s">
        <v>5604</v>
      </c>
    </row>
    <row r="249" spans="1:7" x14ac:dyDescent="0.25">
      <c r="A249">
        <v>5516</v>
      </c>
      <c r="B249" t="s">
        <v>21</v>
      </c>
      <c r="F249" t="s">
        <v>5605</v>
      </c>
      <c r="G249" t="s">
        <v>5604</v>
      </c>
    </row>
    <row r="250" spans="1:7" x14ac:dyDescent="0.25">
      <c r="A250">
        <v>5517</v>
      </c>
      <c r="B250" t="s">
        <v>22</v>
      </c>
      <c r="E250" t="s">
        <v>130</v>
      </c>
      <c r="F250" t="s">
        <v>5603</v>
      </c>
      <c r="G250" t="s">
        <v>5604</v>
      </c>
    </row>
    <row r="251" spans="1:7" x14ac:dyDescent="0.25">
      <c r="A251">
        <v>5517</v>
      </c>
      <c r="B251" t="s">
        <v>22</v>
      </c>
      <c r="E251" t="s">
        <v>130</v>
      </c>
      <c r="F251" t="s">
        <v>53</v>
      </c>
      <c r="G251" t="s">
        <v>5604</v>
      </c>
    </row>
    <row r="252" spans="1:7" x14ac:dyDescent="0.25">
      <c r="A252">
        <v>5518</v>
      </c>
      <c r="B252" t="s">
        <v>22</v>
      </c>
      <c r="E252" t="s">
        <v>130</v>
      </c>
      <c r="F252" t="s">
        <v>5603</v>
      </c>
      <c r="G252" t="s">
        <v>5604</v>
      </c>
    </row>
    <row r="253" spans="1:7" x14ac:dyDescent="0.25">
      <c r="A253">
        <v>5518</v>
      </c>
      <c r="B253" t="s">
        <v>22</v>
      </c>
      <c r="E253" t="s">
        <v>130</v>
      </c>
      <c r="F253" t="s">
        <v>53</v>
      </c>
      <c r="G253" t="s">
        <v>5604</v>
      </c>
    </row>
    <row r="254" spans="1:7" x14ac:dyDescent="0.25">
      <c r="A254">
        <v>5519</v>
      </c>
      <c r="B254" t="s">
        <v>22</v>
      </c>
      <c r="F254" t="s">
        <v>5603</v>
      </c>
      <c r="G254" t="s">
        <v>5604</v>
      </c>
    </row>
    <row r="255" spans="1:7" x14ac:dyDescent="0.25">
      <c r="A255">
        <v>5519</v>
      </c>
      <c r="B255" t="s">
        <v>22</v>
      </c>
      <c r="F255" t="s">
        <v>53</v>
      </c>
      <c r="G255" t="s">
        <v>5604</v>
      </c>
    </row>
    <row r="256" spans="1:7" x14ac:dyDescent="0.25">
      <c r="A256">
        <v>5519</v>
      </c>
      <c r="B256" t="s">
        <v>22</v>
      </c>
      <c r="F256" t="s">
        <v>55</v>
      </c>
      <c r="G256" t="s">
        <v>5604</v>
      </c>
    </row>
    <row r="257" spans="1:7" x14ac:dyDescent="0.25">
      <c r="A257">
        <v>5519</v>
      </c>
      <c r="B257" t="s">
        <v>22</v>
      </c>
      <c r="F257" t="s">
        <v>5605</v>
      </c>
      <c r="G257" t="s">
        <v>5604</v>
      </c>
    </row>
    <row r="258" spans="1:7" x14ac:dyDescent="0.25">
      <c r="A258">
        <v>5520</v>
      </c>
      <c r="B258" t="s">
        <v>21</v>
      </c>
      <c r="F258" t="s">
        <v>5603</v>
      </c>
      <c r="G258" t="s">
        <v>5604</v>
      </c>
    </row>
    <row r="259" spans="1:7" x14ac:dyDescent="0.25">
      <c r="A259">
        <v>5520</v>
      </c>
      <c r="B259" t="s">
        <v>21</v>
      </c>
      <c r="F259" t="s">
        <v>53</v>
      </c>
      <c r="G259" t="s">
        <v>5604</v>
      </c>
    </row>
    <row r="260" spans="1:7" x14ac:dyDescent="0.25">
      <c r="A260">
        <v>5520</v>
      </c>
      <c r="B260" t="s">
        <v>21</v>
      </c>
      <c r="F260" t="s">
        <v>55</v>
      </c>
      <c r="G260" t="s">
        <v>5604</v>
      </c>
    </row>
    <row r="261" spans="1:7" x14ac:dyDescent="0.25">
      <c r="A261">
        <v>5520</v>
      </c>
      <c r="B261" t="s">
        <v>21</v>
      </c>
      <c r="F261" t="s">
        <v>5605</v>
      </c>
      <c r="G261" t="s">
        <v>5604</v>
      </c>
    </row>
    <row r="262" spans="1:7" x14ac:dyDescent="0.25">
      <c r="A262">
        <v>5521</v>
      </c>
      <c r="B262" t="s">
        <v>22</v>
      </c>
      <c r="F262" t="s">
        <v>5603</v>
      </c>
      <c r="G262" t="s">
        <v>5604</v>
      </c>
    </row>
    <row r="263" spans="1:7" x14ac:dyDescent="0.25">
      <c r="A263">
        <v>5521</v>
      </c>
      <c r="B263" t="s">
        <v>22</v>
      </c>
      <c r="F263" t="s">
        <v>53</v>
      </c>
      <c r="G263" t="s">
        <v>5604</v>
      </c>
    </row>
    <row r="264" spans="1:7" x14ac:dyDescent="0.25">
      <c r="A264">
        <v>5521</v>
      </c>
      <c r="B264" t="s">
        <v>22</v>
      </c>
      <c r="F264" t="s">
        <v>55</v>
      </c>
      <c r="G264" t="s">
        <v>5604</v>
      </c>
    </row>
    <row r="265" spans="1:7" x14ac:dyDescent="0.25">
      <c r="A265">
        <v>5521</v>
      </c>
      <c r="B265" t="s">
        <v>22</v>
      </c>
      <c r="F265" t="s">
        <v>5605</v>
      </c>
      <c r="G265" t="s">
        <v>5604</v>
      </c>
    </row>
    <row r="266" spans="1:7" x14ac:dyDescent="0.25">
      <c r="A266">
        <v>5522</v>
      </c>
      <c r="B266" t="s">
        <v>21</v>
      </c>
      <c r="F266" t="s">
        <v>5603</v>
      </c>
      <c r="G266" t="s">
        <v>5604</v>
      </c>
    </row>
    <row r="267" spans="1:7" x14ac:dyDescent="0.25">
      <c r="A267">
        <v>5522</v>
      </c>
      <c r="B267" t="s">
        <v>21</v>
      </c>
      <c r="F267" t="s">
        <v>53</v>
      </c>
      <c r="G267" t="s">
        <v>5604</v>
      </c>
    </row>
    <row r="268" spans="1:7" x14ac:dyDescent="0.25">
      <c r="A268">
        <v>5522</v>
      </c>
      <c r="B268" t="s">
        <v>21</v>
      </c>
      <c r="F268" t="s">
        <v>55</v>
      </c>
      <c r="G268" t="s">
        <v>5604</v>
      </c>
    </row>
    <row r="269" spans="1:7" x14ac:dyDescent="0.25">
      <c r="A269">
        <v>5522</v>
      </c>
      <c r="B269" t="s">
        <v>21</v>
      </c>
      <c r="F269" t="s">
        <v>5605</v>
      </c>
      <c r="G269" t="s">
        <v>5604</v>
      </c>
    </row>
    <row r="270" spans="1:7" x14ac:dyDescent="0.25">
      <c r="A270">
        <v>5523</v>
      </c>
      <c r="B270" t="s">
        <v>22</v>
      </c>
      <c r="E270" t="s">
        <v>130</v>
      </c>
      <c r="F270" t="s">
        <v>5603</v>
      </c>
      <c r="G270" t="s">
        <v>5604</v>
      </c>
    </row>
    <row r="271" spans="1:7" x14ac:dyDescent="0.25">
      <c r="A271">
        <v>5523</v>
      </c>
      <c r="B271" t="s">
        <v>22</v>
      </c>
      <c r="E271" t="s">
        <v>130</v>
      </c>
      <c r="F271" t="s">
        <v>53</v>
      </c>
      <c r="G271" t="s">
        <v>5604</v>
      </c>
    </row>
    <row r="272" spans="1:7" x14ac:dyDescent="0.25">
      <c r="A272">
        <v>5524</v>
      </c>
      <c r="B272" t="s">
        <v>21</v>
      </c>
      <c r="F272" t="s">
        <v>5603</v>
      </c>
      <c r="G272" t="s">
        <v>5604</v>
      </c>
    </row>
    <row r="273" spans="1:7" x14ac:dyDescent="0.25">
      <c r="A273">
        <v>5524</v>
      </c>
      <c r="B273" t="s">
        <v>21</v>
      </c>
      <c r="F273" t="s">
        <v>53</v>
      </c>
      <c r="G273" t="s">
        <v>5604</v>
      </c>
    </row>
    <row r="274" spans="1:7" x14ac:dyDescent="0.25">
      <c r="A274">
        <v>5524</v>
      </c>
      <c r="B274" t="s">
        <v>21</v>
      </c>
      <c r="F274" t="s">
        <v>55</v>
      </c>
      <c r="G274" t="s">
        <v>5604</v>
      </c>
    </row>
    <row r="275" spans="1:7" x14ac:dyDescent="0.25">
      <c r="A275">
        <v>5524</v>
      </c>
      <c r="B275" t="s">
        <v>21</v>
      </c>
      <c r="F275" t="s">
        <v>5605</v>
      </c>
      <c r="G275" t="s">
        <v>5604</v>
      </c>
    </row>
    <row r="276" spans="1:7" x14ac:dyDescent="0.25">
      <c r="A276">
        <v>5525</v>
      </c>
      <c r="B276" t="s">
        <v>22</v>
      </c>
      <c r="F276" t="s">
        <v>5603</v>
      </c>
      <c r="G276" t="s">
        <v>5604</v>
      </c>
    </row>
    <row r="277" spans="1:7" x14ac:dyDescent="0.25">
      <c r="A277">
        <v>5525</v>
      </c>
      <c r="B277" t="s">
        <v>22</v>
      </c>
      <c r="F277" t="s">
        <v>53</v>
      </c>
      <c r="G277" t="s">
        <v>5604</v>
      </c>
    </row>
    <row r="278" spans="1:7" x14ac:dyDescent="0.25">
      <c r="A278">
        <v>5525</v>
      </c>
      <c r="B278" t="s">
        <v>22</v>
      </c>
      <c r="F278" t="s">
        <v>55</v>
      </c>
      <c r="G278" t="s">
        <v>5604</v>
      </c>
    </row>
    <row r="279" spans="1:7" x14ac:dyDescent="0.25">
      <c r="A279">
        <v>5525</v>
      </c>
      <c r="B279" t="s">
        <v>22</v>
      </c>
      <c r="F279" t="s">
        <v>5605</v>
      </c>
      <c r="G279" t="s">
        <v>5604</v>
      </c>
    </row>
    <row r="280" spans="1:7" x14ac:dyDescent="0.25">
      <c r="A280">
        <v>5526</v>
      </c>
      <c r="B280" t="s">
        <v>22</v>
      </c>
      <c r="F280" t="s">
        <v>5603</v>
      </c>
      <c r="G280" t="s">
        <v>5604</v>
      </c>
    </row>
    <row r="281" spans="1:7" x14ac:dyDescent="0.25">
      <c r="A281">
        <v>5526</v>
      </c>
      <c r="B281" t="s">
        <v>22</v>
      </c>
      <c r="F281" t="s">
        <v>53</v>
      </c>
      <c r="G281" t="s">
        <v>5604</v>
      </c>
    </row>
    <row r="282" spans="1:7" x14ac:dyDescent="0.25">
      <c r="A282">
        <v>5526</v>
      </c>
      <c r="B282" t="s">
        <v>22</v>
      </c>
      <c r="F282" t="s">
        <v>55</v>
      </c>
      <c r="G282" t="s">
        <v>5604</v>
      </c>
    </row>
    <row r="283" spans="1:7" x14ac:dyDescent="0.25">
      <c r="A283">
        <v>5526</v>
      </c>
      <c r="B283" t="s">
        <v>22</v>
      </c>
      <c r="F283" t="s">
        <v>5605</v>
      </c>
      <c r="G283" t="s">
        <v>5604</v>
      </c>
    </row>
    <row r="284" spans="1:7" x14ac:dyDescent="0.25">
      <c r="A284">
        <v>5527</v>
      </c>
      <c r="B284" t="s">
        <v>21</v>
      </c>
      <c r="E284" t="s">
        <v>134</v>
      </c>
      <c r="F284" t="s">
        <v>5603</v>
      </c>
      <c r="G284" t="s">
        <v>5604</v>
      </c>
    </row>
    <row r="285" spans="1:7" x14ac:dyDescent="0.25">
      <c r="A285">
        <v>5527</v>
      </c>
      <c r="B285" t="s">
        <v>21</v>
      </c>
      <c r="E285" t="s">
        <v>134</v>
      </c>
      <c r="F285" t="s">
        <v>53</v>
      </c>
      <c r="G285" t="s">
        <v>5604</v>
      </c>
    </row>
    <row r="286" spans="1:7" x14ac:dyDescent="0.25">
      <c r="A286">
        <v>5527</v>
      </c>
      <c r="B286" t="s">
        <v>21</v>
      </c>
      <c r="E286" t="s">
        <v>134</v>
      </c>
      <c r="F286" t="s">
        <v>5605</v>
      </c>
      <c r="G286" t="s">
        <v>5604</v>
      </c>
    </row>
    <row r="287" spans="1:7" x14ac:dyDescent="0.25">
      <c r="A287">
        <v>5528</v>
      </c>
      <c r="B287" t="s">
        <v>21</v>
      </c>
      <c r="F287" t="s">
        <v>5603</v>
      </c>
      <c r="G287" t="s">
        <v>5604</v>
      </c>
    </row>
    <row r="288" spans="1:7" x14ac:dyDescent="0.25">
      <c r="A288">
        <v>5528</v>
      </c>
      <c r="B288" t="s">
        <v>21</v>
      </c>
      <c r="F288" t="s">
        <v>53</v>
      </c>
      <c r="G288" t="s">
        <v>5604</v>
      </c>
    </row>
    <row r="289" spans="1:7" x14ac:dyDescent="0.25">
      <c r="A289">
        <v>5528</v>
      </c>
      <c r="B289" t="s">
        <v>21</v>
      </c>
      <c r="F289" t="s">
        <v>55</v>
      </c>
      <c r="G289" t="s">
        <v>5604</v>
      </c>
    </row>
    <row r="290" spans="1:7" x14ac:dyDescent="0.25">
      <c r="A290">
        <v>5528</v>
      </c>
      <c r="B290" t="s">
        <v>21</v>
      </c>
      <c r="F290" t="s">
        <v>5605</v>
      </c>
      <c r="G290" t="s">
        <v>5604</v>
      </c>
    </row>
    <row r="291" spans="1:7" x14ac:dyDescent="0.25">
      <c r="A291">
        <v>5529</v>
      </c>
      <c r="B291" t="s">
        <v>21</v>
      </c>
      <c r="F291" t="s">
        <v>5603</v>
      </c>
      <c r="G291" t="s">
        <v>5604</v>
      </c>
    </row>
    <row r="292" spans="1:7" x14ac:dyDescent="0.25">
      <c r="A292">
        <v>5529</v>
      </c>
      <c r="B292" t="s">
        <v>21</v>
      </c>
      <c r="F292" t="s">
        <v>53</v>
      </c>
      <c r="G292" t="s">
        <v>5604</v>
      </c>
    </row>
    <row r="293" spans="1:7" x14ac:dyDescent="0.25">
      <c r="A293">
        <v>5529</v>
      </c>
      <c r="B293" t="s">
        <v>21</v>
      </c>
      <c r="F293" t="s">
        <v>55</v>
      </c>
      <c r="G293" t="s">
        <v>5604</v>
      </c>
    </row>
    <row r="294" spans="1:7" x14ac:dyDescent="0.25">
      <c r="A294">
        <v>5529</v>
      </c>
      <c r="B294" t="s">
        <v>21</v>
      </c>
      <c r="F294" t="s">
        <v>5605</v>
      </c>
      <c r="G294" t="s">
        <v>5604</v>
      </c>
    </row>
    <row r="295" spans="1:7" x14ac:dyDescent="0.25">
      <c r="A295">
        <v>5530</v>
      </c>
      <c r="B295" t="s">
        <v>21</v>
      </c>
      <c r="F295" t="s">
        <v>5603</v>
      </c>
      <c r="G295" t="s">
        <v>5604</v>
      </c>
    </row>
    <row r="296" spans="1:7" x14ac:dyDescent="0.25">
      <c r="A296">
        <v>5530</v>
      </c>
      <c r="B296" t="s">
        <v>21</v>
      </c>
      <c r="F296" t="s">
        <v>53</v>
      </c>
      <c r="G296" t="s">
        <v>5604</v>
      </c>
    </row>
    <row r="297" spans="1:7" x14ac:dyDescent="0.25">
      <c r="A297">
        <v>5530</v>
      </c>
      <c r="B297" t="s">
        <v>21</v>
      </c>
      <c r="F297" t="s">
        <v>55</v>
      </c>
      <c r="G297" t="s">
        <v>5604</v>
      </c>
    </row>
    <row r="298" spans="1:7" x14ac:dyDescent="0.25">
      <c r="A298">
        <v>5530</v>
      </c>
      <c r="B298" t="s">
        <v>21</v>
      </c>
      <c r="F298" t="s">
        <v>5605</v>
      </c>
      <c r="G298" t="s">
        <v>5604</v>
      </c>
    </row>
    <row r="299" spans="1:7" x14ac:dyDescent="0.25">
      <c r="A299">
        <v>5531</v>
      </c>
      <c r="B299" t="s">
        <v>21</v>
      </c>
      <c r="F299" t="s">
        <v>5603</v>
      </c>
      <c r="G299" t="s">
        <v>5604</v>
      </c>
    </row>
    <row r="300" spans="1:7" x14ac:dyDescent="0.25">
      <c r="A300">
        <v>5531</v>
      </c>
      <c r="B300" t="s">
        <v>21</v>
      </c>
      <c r="F300" t="s">
        <v>53</v>
      </c>
      <c r="G300" t="s">
        <v>5604</v>
      </c>
    </row>
    <row r="301" spans="1:7" x14ac:dyDescent="0.25">
      <c r="A301">
        <v>5531</v>
      </c>
      <c r="B301" t="s">
        <v>21</v>
      </c>
      <c r="F301" t="s">
        <v>55</v>
      </c>
      <c r="G301" t="s">
        <v>5604</v>
      </c>
    </row>
    <row r="302" spans="1:7" x14ac:dyDescent="0.25">
      <c r="A302">
        <v>5531</v>
      </c>
      <c r="B302" t="s">
        <v>21</v>
      </c>
      <c r="F302" t="s">
        <v>5605</v>
      </c>
      <c r="G302" t="s">
        <v>5604</v>
      </c>
    </row>
    <row r="303" spans="1:7" x14ac:dyDescent="0.25">
      <c r="A303">
        <v>5532</v>
      </c>
      <c r="B303" t="s">
        <v>21</v>
      </c>
      <c r="F303" t="s">
        <v>5603</v>
      </c>
      <c r="G303" t="s">
        <v>5604</v>
      </c>
    </row>
    <row r="304" spans="1:7" x14ac:dyDescent="0.25">
      <c r="A304">
        <v>5532</v>
      </c>
      <c r="B304" t="s">
        <v>21</v>
      </c>
      <c r="F304" t="s">
        <v>53</v>
      </c>
      <c r="G304" t="s">
        <v>5604</v>
      </c>
    </row>
    <row r="305" spans="1:7" x14ac:dyDescent="0.25">
      <c r="A305">
        <v>5532</v>
      </c>
      <c r="B305" t="s">
        <v>21</v>
      </c>
      <c r="F305" t="s">
        <v>55</v>
      </c>
      <c r="G305" t="s">
        <v>5604</v>
      </c>
    </row>
    <row r="306" spans="1:7" x14ac:dyDescent="0.25">
      <c r="A306">
        <v>5532</v>
      </c>
      <c r="B306" t="s">
        <v>21</v>
      </c>
      <c r="F306" t="s">
        <v>5605</v>
      </c>
      <c r="G306" t="s">
        <v>5604</v>
      </c>
    </row>
    <row r="307" spans="1:7" x14ac:dyDescent="0.25">
      <c r="A307">
        <v>5533</v>
      </c>
      <c r="B307" t="s">
        <v>21</v>
      </c>
      <c r="E307" t="s">
        <v>130</v>
      </c>
      <c r="F307" t="s">
        <v>5603</v>
      </c>
      <c r="G307" t="s">
        <v>5604</v>
      </c>
    </row>
    <row r="308" spans="1:7" x14ac:dyDescent="0.25">
      <c r="A308">
        <v>5533</v>
      </c>
      <c r="B308" t="s">
        <v>21</v>
      </c>
      <c r="E308" t="s">
        <v>130</v>
      </c>
      <c r="F308" t="s">
        <v>53</v>
      </c>
      <c r="G308" t="s">
        <v>5604</v>
      </c>
    </row>
    <row r="309" spans="1:7" x14ac:dyDescent="0.25">
      <c r="A309">
        <v>5534</v>
      </c>
      <c r="B309" t="s">
        <v>22</v>
      </c>
      <c r="F309" t="s">
        <v>5603</v>
      </c>
      <c r="G309" t="s">
        <v>5604</v>
      </c>
    </row>
    <row r="310" spans="1:7" x14ac:dyDescent="0.25">
      <c r="A310">
        <v>5534</v>
      </c>
      <c r="B310" t="s">
        <v>22</v>
      </c>
      <c r="F310" t="s">
        <v>53</v>
      </c>
      <c r="G310" t="s">
        <v>5604</v>
      </c>
    </row>
    <row r="311" spans="1:7" x14ac:dyDescent="0.25">
      <c r="A311">
        <v>5534</v>
      </c>
      <c r="B311" t="s">
        <v>22</v>
      </c>
      <c r="F311" t="s">
        <v>55</v>
      </c>
      <c r="G311" t="s">
        <v>5604</v>
      </c>
    </row>
    <row r="312" spans="1:7" x14ac:dyDescent="0.25">
      <c r="A312">
        <v>5534</v>
      </c>
      <c r="B312" t="s">
        <v>22</v>
      </c>
      <c r="F312" t="s">
        <v>5605</v>
      </c>
      <c r="G312" t="s">
        <v>5604</v>
      </c>
    </row>
    <row r="313" spans="1:7" x14ac:dyDescent="0.25">
      <c r="A313">
        <v>5535</v>
      </c>
      <c r="B313" t="s">
        <v>21</v>
      </c>
      <c r="F313" t="s">
        <v>5603</v>
      </c>
      <c r="G313" t="s">
        <v>5604</v>
      </c>
    </row>
    <row r="314" spans="1:7" x14ac:dyDescent="0.25">
      <c r="A314">
        <v>5535</v>
      </c>
      <c r="B314" t="s">
        <v>21</v>
      </c>
      <c r="F314" t="s">
        <v>53</v>
      </c>
      <c r="G314" t="s">
        <v>5604</v>
      </c>
    </row>
    <row r="315" spans="1:7" x14ac:dyDescent="0.25">
      <c r="A315">
        <v>5535</v>
      </c>
      <c r="B315" t="s">
        <v>21</v>
      </c>
      <c r="F315" t="s">
        <v>55</v>
      </c>
      <c r="G315" t="s">
        <v>5604</v>
      </c>
    </row>
    <row r="316" spans="1:7" x14ac:dyDescent="0.25">
      <c r="A316">
        <v>5535</v>
      </c>
      <c r="B316" t="s">
        <v>21</v>
      </c>
      <c r="F316" t="s">
        <v>5605</v>
      </c>
      <c r="G316" t="s">
        <v>5604</v>
      </c>
    </row>
    <row r="317" spans="1:7" x14ac:dyDescent="0.25">
      <c r="A317">
        <v>5536</v>
      </c>
      <c r="B317" t="s">
        <v>21</v>
      </c>
      <c r="F317" t="s">
        <v>5603</v>
      </c>
      <c r="G317" t="s">
        <v>5604</v>
      </c>
    </row>
    <row r="318" spans="1:7" x14ac:dyDescent="0.25">
      <c r="A318">
        <v>5536</v>
      </c>
      <c r="B318" t="s">
        <v>21</v>
      </c>
      <c r="F318" t="s">
        <v>53</v>
      </c>
      <c r="G318" t="s">
        <v>5604</v>
      </c>
    </row>
    <row r="319" spans="1:7" x14ac:dyDescent="0.25">
      <c r="A319">
        <v>5536</v>
      </c>
      <c r="B319" t="s">
        <v>21</v>
      </c>
      <c r="F319" t="s">
        <v>55</v>
      </c>
      <c r="G319" t="s">
        <v>5604</v>
      </c>
    </row>
    <row r="320" spans="1:7" x14ac:dyDescent="0.25">
      <c r="A320">
        <v>5536</v>
      </c>
      <c r="B320" t="s">
        <v>21</v>
      </c>
      <c r="F320" t="s">
        <v>5605</v>
      </c>
      <c r="G320" t="s">
        <v>5604</v>
      </c>
    </row>
    <row r="321" spans="1:7" x14ac:dyDescent="0.25">
      <c r="A321">
        <v>5537</v>
      </c>
      <c r="B321" t="s">
        <v>21</v>
      </c>
      <c r="F321" t="s">
        <v>5603</v>
      </c>
      <c r="G321" t="s">
        <v>5604</v>
      </c>
    </row>
    <row r="322" spans="1:7" x14ac:dyDescent="0.25">
      <c r="A322">
        <v>5537</v>
      </c>
      <c r="B322" t="s">
        <v>21</v>
      </c>
      <c r="F322" t="s">
        <v>53</v>
      </c>
      <c r="G322" t="s">
        <v>5604</v>
      </c>
    </row>
    <row r="323" spans="1:7" x14ac:dyDescent="0.25">
      <c r="A323">
        <v>5537</v>
      </c>
      <c r="B323" t="s">
        <v>21</v>
      </c>
      <c r="F323" t="s">
        <v>55</v>
      </c>
      <c r="G323" t="s">
        <v>5604</v>
      </c>
    </row>
    <row r="324" spans="1:7" x14ac:dyDescent="0.25">
      <c r="A324">
        <v>5537</v>
      </c>
      <c r="B324" t="s">
        <v>21</v>
      </c>
      <c r="F324" t="s">
        <v>5605</v>
      </c>
      <c r="G324" t="s">
        <v>5604</v>
      </c>
    </row>
    <row r="325" spans="1:7" x14ac:dyDescent="0.25">
      <c r="A325">
        <v>5538</v>
      </c>
      <c r="B325" t="s">
        <v>21</v>
      </c>
      <c r="F325" t="s">
        <v>5603</v>
      </c>
      <c r="G325" t="s">
        <v>5604</v>
      </c>
    </row>
    <row r="326" spans="1:7" x14ac:dyDescent="0.25">
      <c r="A326">
        <v>5538</v>
      </c>
      <c r="B326" t="s">
        <v>21</v>
      </c>
      <c r="F326" t="s">
        <v>53</v>
      </c>
      <c r="G326" t="s">
        <v>5604</v>
      </c>
    </row>
    <row r="327" spans="1:7" x14ac:dyDescent="0.25">
      <c r="A327">
        <v>5538</v>
      </c>
      <c r="B327" t="s">
        <v>21</v>
      </c>
      <c r="F327" t="s">
        <v>55</v>
      </c>
      <c r="G327" t="s">
        <v>5604</v>
      </c>
    </row>
    <row r="328" spans="1:7" x14ac:dyDescent="0.25">
      <c r="A328">
        <v>5538</v>
      </c>
      <c r="B328" t="s">
        <v>21</v>
      </c>
      <c r="F328" t="s">
        <v>5605</v>
      </c>
      <c r="G328" t="s">
        <v>5604</v>
      </c>
    </row>
    <row r="329" spans="1:7" x14ac:dyDescent="0.25">
      <c r="A329">
        <v>5539</v>
      </c>
      <c r="B329" t="s">
        <v>21</v>
      </c>
      <c r="F329" t="s">
        <v>5603</v>
      </c>
      <c r="G329" t="s">
        <v>5604</v>
      </c>
    </row>
    <row r="330" spans="1:7" x14ac:dyDescent="0.25">
      <c r="A330">
        <v>5539</v>
      </c>
      <c r="B330" t="s">
        <v>21</v>
      </c>
      <c r="F330" t="s">
        <v>53</v>
      </c>
      <c r="G330" t="s">
        <v>5604</v>
      </c>
    </row>
    <row r="331" spans="1:7" x14ac:dyDescent="0.25">
      <c r="A331">
        <v>5539</v>
      </c>
      <c r="B331" t="s">
        <v>21</v>
      </c>
      <c r="F331" t="s">
        <v>55</v>
      </c>
      <c r="G331" t="s">
        <v>5604</v>
      </c>
    </row>
    <row r="332" spans="1:7" x14ac:dyDescent="0.25">
      <c r="A332">
        <v>5539</v>
      </c>
      <c r="B332" t="s">
        <v>21</v>
      </c>
      <c r="F332" t="s">
        <v>5605</v>
      </c>
      <c r="G332" t="s">
        <v>5604</v>
      </c>
    </row>
    <row r="333" spans="1:7" x14ac:dyDescent="0.25">
      <c r="A333">
        <v>5540</v>
      </c>
      <c r="B333" t="s">
        <v>21</v>
      </c>
      <c r="F333" t="s">
        <v>5603</v>
      </c>
      <c r="G333" t="s">
        <v>5604</v>
      </c>
    </row>
    <row r="334" spans="1:7" x14ac:dyDescent="0.25">
      <c r="A334">
        <v>5540</v>
      </c>
      <c r="B334" t="s">
        <v>21</v>
      </c>
      <c r="F334" t="s">
        <v>53</v>
      </c>
      <c r="G334" t="s">
        <v>5604</v>
      </c>
    </row>
    <row r="335" spans="1:7" x14ac:dyDescent="0.25">
      <c r="A335">
        <v>5540</v>
      </c>
      <c r="B335" t="s">
        <v>21</v>
      </c>
      <c r="F335" t="s">
        <v>55</v>
      </c>
      <c r="G335" t="s">
        <v>5604</v>
      </c>
    </row>
    <row r="336" spans="1:7" x14ac:dyDescent="0.25">
      <c r="A336">
        <v>5540</v>
      </c>
      <c r="B336" t="s">
        <v>21</v>
      </c>
      <c r="F336" t="s">
        <v>5605</v>
      </c>
      <c r="G336" t="s">
        <v>5604</v>
      </c>
    </row>
    <row r="337" spans="1:7" x14ac:dyDescent="0.25">
      <c r="A337">
        <v>5541</v>
      </c>
      <c r="B337" t="s">
        <v>21</v>
      </c>
      <c r="F337" t="s">
        <v>5603</v>
      </c>
      <c r="G337" t="s">
        <v>5604</v>
      </c>
    </row>
    <row r="338" spans="1:7" x14ac:dyDescent="0.25">
      <c r="A338">
        <v>5541</v>
      </c>
      <c r="B338" t="s">
        <v>21</v>
      </c>
      <c r="F338" t="s">
        <v>53</v>
      </c>
      <c r="G338" t="s">
        <v>5604</v>
      </c>
    </row>
    <row r="339" spans="1:7" x14ac:dyDescent="0.25">
      <c r="A339">
        <v>5541</v>
      </c>
      <c r="B339" t="s">
        <v>21</v>
      </c>
      <c r="F339" t="s">
        <v>55</v>
      </c>
      <c r="G339" t="s">
        <v>5604</v>
      </c>
    </row>
    <row r="340" spans="1:7" x14ac:dyDescent="0.25">
      <c r="A340">
        <v>5541</v>
      </c>
      <c r="B340" t="s">
        <v>21</v>
      </c>
      <c r="F340" t="s">
        <v>5605</v>
      </c>
      <c r="G340" t="s">
        <v>5604</v>
      </c>
    </row>
    <row r="341" spans="1:7" x14ac:dyDescent="0.25">
      <c r="A341">
        <v>5543</v>
      </c>
      <c r="B341" t="s">
        <v>22</v>
      </c>
      <c r="F341" t="s">
        <v>5603</v>
      </c>
      <c r="G341" t="s">
        <v>5604</v>
      </c>
    </row>
    <row r="342" spans="1:7" x14ac:dyDescent="0.25">
      <c r="A342">
        <v>5543</v>
      </c>
      <c r="B342" t="s">
        <v>22</v>
      </c>
      <c r="F342" t="s">
        <v>53</v>
      </c>
      <c r="G342" t="s">
        <v>5604</v>
      </c>
    </row>
    <row r="343" spans="1:7" x14ac:dyDescent="0.25">
      <c r="A343">
        <v>5543</v>
      </c>
      <c r="B343" t="s">
        <v>22</v>
      </c>
      <c r="F343" t="s">
        <v>55</v>
      </c>
      <c r="G343" t="s">
        <v>5604</v>
      </c>
    </row>
    <row r="344" spans="1:7" x14ac:dyDescent="0.25">
      <c r="A344">
        <v>5543</v>
      </c>
      <c r="B344" t="s">
        <v>22</v>
      </c>
      <c r="F344" t="s">
        <v>5605</v>
      </c>
      <c r="G344" t="s">
        <v>5604</v>
      </c>
    </row>
    <row r="345" spans="1:7" x14ac:dyDescent="0.25">
      <c r="A345">
        <v>5544</v>
      </c>
      <c r="B345" t="s">
        <v>22</v>
      </c>
      <c r="F345" t="s">
        <v>5603</v>
      </c>
      <c r="G345" t="s">
        <v>5604</v>
      </c>
    </row>
    <row r="346" spans="1:7" x14ac:dyDescent="0.25">
      <c r="A346">
        <v>5544</v>
      </c>
      <c r="B346" t="s">
        <v>22</v>
      </c>
      <c r="F346" t="s">
        <v>53</v>
      </c>
      <c r="G346" t="s">
        <v>5604</v>
      </c>
    </row>
    <row r="347" spans="1:7" x14ac:dyDescent="0.25">
      <c r="A347">
        <v>5544</v>
      </c>
      <c r="B347" t="s">
        <v>22</v>
      </c>
      <c r="F347" t="s">
        <v>55</v>
      </c>
      <c r="G347" t="s">
        <v>5604</v>
      </c>
    </row>
    <row r="348" spans="1:7" x14ac:dyDescent="0.25">
      <c r="A348">
        <v>5544</v>
      </c>
      <c r="B348" t="s">
        <v>22</v>
      </c>
      <c r="F348" t="s">
        <v>5605</v>
      </c>
      <c r="G348" t="s">
        <v>5604</v>
      </c>
    </row>
    <row r="349" spans="1:7" x14ac:dyDescent="0.25">
      <c r="A349">
        <v>5545</v>
      </c>
      <c r="B349" t="s">
        <v>21</v>
      </c>
      <c r="F349" t="s">
        <v>5603</v>
      </c>
      <c r="G349" t="s">
        <v>5604</v>
      </c>
    </row>
    <row r="350" spans="1:7" x14ac:dyDescent="0.25">
      <c r="A350">
        <v>5545</v>
      </c>
      <c r="B350" t="s">
        <v>21</v>
      </c>
      <c r="F350" t="s">
        <v>53</v>
      </c>
      <c r="G350" t="s">
        <v>5604</v>
      </c>
    </row>
    <row r="351" spans="1:7" x14ac:dyDescent="0.25">
      <c r="A351">
        <v>5545</v>
      </c>
      <c r="B351" t="s">
        <v>21</v>
      </c>
      <c r="F351" t="s">
        <v>55</v>
      </c>
      <c r="G351" t="s">
        <v>5604</v>
      </c>
    </row>
    <row r="352" spans="1:7" x14ac:dyDescent="0.25">
      <c r="A352">
        <v>5545</v>
      </c>
      <c r="B352" t="s">
        <v>21</v>
      </c>
      <c r="F352" t="s">
        <v>5605</v>
      </c>
      <c r="G352" t="s">
        <v>5604</v>
      </c>
    </row>
    <row r="353" spans="1:7" x14ac:dyDescent="0.25">
      <c r="A353">
        <v>5546</v>
      </c>
      <c r="B353" t="s">
        <v>22</v>
      </c>
      <c r="E353" t="s">
        <v>130</v>
      </c>
      <c r="F353" t="s">
        <v>5603</v>
      </c>
      <c r="G353" t="s">
        <v>5604</v>
      </c>
    </row>
    <row r="354" spans="1:7" x14ac:dyDescent="0.25">
      <c r="A354">
        <v>5546</v>
      </c>
      <c r="B354" t="s">
        <v>22</v>
      </c>
      <c r="E354" t="s">
        <v>130</v>
      </c>
      <c r="F354" t="s">
        <v>53</v>
      </c>
      <c r="G354" t="s">
        <v>5604</v>
      </c>
    </row>
    <row r="355" spans="1:7" x14ac:dyDescent="0.25">
      <c r="A355">
        <v>5547</v>
      </c>
      <c r="B355" t="s">
        <v>21</v>
      </c>
      <c r="F355" t="s">
        <v>5603</v>
      </c>
      <c r="G355" t="s">
        <v>5604</v>
      </c>
    </row>
    <row r="356" spans="1:7" x14ac:dyDescent="0.25">
      <c r="A356">
        <v>5547</v>
      </c>
      <c r="B356" t="s">
        <v>21</v>
      </c>
      <c r="F356" t="s">
        <v>53</v>
      </c>
      <c r="G356" t="s">
        <v>5604</v>
      </c>
    </row>
    <row r="357" spans="1:7" x14ac:dyDescent="0.25">
      <c r="A357">
        <v>5547</v>
      </c>
      <c r="B357" t="s">
        <v>21</v>
      </c>
      <c r="F357" t="s">
        <v>55</v>
      </c>
      <c r="G357" t="s">
        <v>5604</v>
      </c>
    </row>
    <row r="358" spans="1:7" x14ac:dyDescent="0.25">
      <c r="A358">
        <v>5547</v>
      </c>
      <c r="B358" t="s">
        <v>21</v>
      </c>
      <c r="F358" t="s">
        <v>5605</v>
      </c>
      <c r="G358" t="s">
        <v>5604</v>
      </c>
    </row>
    <row r="359" spans="1:7" x14ac:dyDescent="0.25">
      <c r="A359">
        <v>5548</v>
      </c>
      <c r="B359" t="s">
        <v>21</v>
      </c>
      <c r="F359" t="s">
        <v>5603</v>
      </c>
      <c r="G359" t="s">
        <v>5604</v>
      </c>
    </row>
    <row r="360" spans="1:7" x14ac:dyDescent="0.25">
      <c r="A360">
        <v>5548</v>
      </c>
      <c r="B360" t="s">
        <v>21</v>
      </c>
      <c r="F360" t="s">
        <v>53</v>
      </c>
      <c r="G360" t="s">
        <v>5604</v>
      </c>
    </row>
    <row r="361" spans="1:7" x14ac:dyDescent="0.25">
      <c r="A361">
        <v>5548</v>
      </c>
      <c r="B361" t="s">
        <v>21</v>
      </c>
      <c r="F361" t="s">
        <v>55</v>
      </c>
      <c r="G361" t="s">
        <v>5604</v>
      </c>
    </row>
    <row r="362" spans="1:7" x14ac:dyDescent="0.25">
      <c r="A362">
        <v>5548</v>
      </c>
      <c r="B362" t="s">
        <v>21</v>
      </c>
      <c r="F362" t="s">
        <v>5605</v>
      </c>
      <c r="G362" t="s">
        <v>5604</v>
      </c>
    </row>
    <row r="363" spans="1:7" x14ac:dyDescent="0.25">
      <c r="A363">
        <v>5549</v>
      </c>
      <c r="B363" t="s">
        <v>21</v>
      </c>
      <c r="F363" t="s">
        <v>5603</v>
      </c>
      <c r="G363" t="s">
        <v>5604</v>
      </c>
    </row>
    <row r="364" spans="1:7" x14ac:dyDescent="0.25">
      <c r="A364">
        <v>5549</v>
      </c>
      <c r="B364" t="s">
        <v>21</v>
      </c>
      <c r="F364" t="s">
        <v>53</v>
      </c>
      <c r="G364" t="s">
        <v>5604</v>
      </c>
    </row>
    <row r="365" spans="1:7" x14ac:dyDescent="0.25">
      <c r="A365">
        <v>5549</v>
      </c>
      <c r="B365" t="s">
        <v>21</v>
      </c>
      <c r="F365" t="s">
        <v>55</v>
      </c>
      <c r="G365" t="s">
        <v>5604</v>
      </c>
    </row>
    <row r="366" spans="1:7" x14ac:dyDescent="0.25">
      <c r="A366">
        <v>5549</v>
      </c>
      <c r="B366" t="s">
        <v>21</v>
      </c>
      <c r="F366" t="s">
        <v>5605</v>
      </c>
      <c r="G366" t="s">
        <v>5604</v>
      </c>
    </row>
    <row r="367" spans="1:7" x14ac:dyDescent="0.25">
      <c r="A367">
        <v>5550</v>
      </c>
      <c r="B367" t="s">
        <v>22</v>
      </c>
      <c r="F367" t="s">
        <v>5603</v>
      </c>
      <c r="G367" t="s">
        <v>5604</v>
      </c>
    </row>
    <row r="368" spans="1:7" x14ac:dyDescent="0.25">
      <c r="A368">
        <v>5550</v>
      </c>
      <c r="B368" t="s">
        <v>22</v>
      </c>
      <c r="F368" t="s">
        <v>53</v>
      </c>
      <c r="G368" t="s">
        <v>5604</v>
      </c>
    </row>
    <row r="369" spans="1:7" x14ac:dyDescent="0.25">
      <c r="A369">
        <v>5550</v>
      </c>
      <c r="B369" t="s">
        <v>22</v>
      </c>
      <c r="F369" t="s">
        <v>55</v>
      </c>
      <c r="G369" t="s">
        <v>5604</v>
      </c>
    </row>
    <row r="370" spans="1:7" x14ac:dyDescent="0.25">
      <c r="A370">
        <v>5550</v>
      </c>
      <c r="B370" t="s">
        <v>22</v>
      </c>
      <c r="F370" t="s">
        <v>5605</v>
      </c>
      <c r="G370" t="s">
        <v>5604</v>
      </c>
    </row>
    <row r="371" spans="1:7" x14ac:dyDescent="0.25">
      <c r="A371">
        <v>5551</v>
      </c>
      <c r="B371" t="s">
        <v>21</v>
      </c>
      <c r="F371" t="s">
        <v>5603</v>
      </c>
      <c r="G371" t="s">
        <v>5604</v>
      </c>
    </row>
    <row r="372" spans="1:7" x14ac:dyDescent="0.25">
      <c r="A372">
        <v>5551</v>
      </c>
      <c r="B372" t="s">
        <v>21</v>
      </c>
      <c r="F372" t="s">
        <v>53</v>
      </c>
      <c r="G372" t="s">
        <v>5604</v>
      </c>
    </row>
    <row r="373" spans="1:7" x14ac:dyDescent="0.25">
      <c r="A373">
        <v>5551</v>
      </c>
      <c r="B373" t="s">
        <v>21</v>
      </c>
      <c r="F373" t="s">
        <v>55</v>
      </c>
      <c r="G373" t="s">
        <v>5604</v>
      </c>
    </row>
    <row r="374" spans="1:7" x14ac:dyDescent="0.25">
      <c r="A374">
        <v>5551</v>
      </c>
      <c r="B374" t="s">
        <v>21</v>
      </c>
      <c r="F374" t="s">
        <v>5605</v>
      </c>
      <c r="G374" t="s">
        <v>5604</v>
      </c>
    </row>
    <row r="375" spans="1:7" x14ac:dyDescent="0.25">
      <c r="A375">
        <v>5552</v>
      </c>
      <c r="B375" t="s">
        <v>21</v>
      </c>
      <c r="F375" t="s">
        <v>5603</v>
      </c>
      <c r="G375" t="s">
        <v>5604</v>
      </c>
    </row>
    <row r="376" spans="1:7" x14ac:dyDescent="0.25">
      <c r="A376">
        <v>5552</v>
      </c>
      <c r="B376" t="s">
        <v>21</v>
      </c>
      <c r="F376" t="s">
        <v>53</v>
      </c>
      <c r="G376" t="s">
        <v>5604</v>
      </c>
    </row>
    <row r="377" spans="1:7" x14ac:dyDescent="0.25">
      <c r="A377">
        <v>5552</v>
      </c>
      <c r="B377" t="s">
        <v>21</v>
      </c>
      <c r="F377" t="s">
        <v>55</v>
      </c>
      <c r="G377" t="s">
        <v>5604</v>
      </c>
    </row>
    <row r="378" spans="1:7" x14ac:dyDescent="0.25">
      <c r="A378">
        <v>5552</v>
      </c>
      <c r="B378" t="s">
        <v>21</v>
      </c>
      <c r="F378" t="s">
        <v>5605</v>
      </c>
      <c r="G378" t="s">
        <v>5604</v>
      </c>
    </row>
    <row r="379" spans="1:7" x14ac:dyDescent="0.25">
      <c r="A379">
        <v>5553</v>
      </c>
      <c r="B379" t="s">
        <v>21</v>
      </c>
      <c r="F379" t="s">
        <v>5603</v>
      </c>
      <c r="G379" t="s">
        <v>5604</v>
      </c>
    </row>
    <row r="380" spans="1:7" x14ac:dyDescent="0.25">
      <c r="A380">
        <v>5553</v>
      </c>
      <c r="B380" t="s">
        <v>21</v>
      </c>
      <c r="F380" t="s">
        <v>53</v>
      </c>
      <c r="G380" t="s">
        <v>5604</v>
      </c>
    </row>
    <row r="381" spans="1:7" x14ac:dyDescent="0.25">
      <c r="A381">
        <v>5553</v>
      </c>
      <c r="B381" t="s">
        <v>21</v>
      </c>
      <c r="F381" t="s">
        <v>55</v>
      </c>
      <c r="G381" t="s">
        <v>5604</v>
      </c>
    </row>
    <row r="382" spans="1:7" x14ac:dyDescent="0.25">
      <c r="A382">
        <v>5553</v>
      </c>
      <c r="B382" t="s">
        <v>21</v>
      </c>
      <c r="F382" t="s">
        <v>5605</v>
      </c>
      <c r="G382" t="s">
        <v>5604</v>
      </c>
    </row>
    <row r="383" spans="1:7" x14ac:dyDescent="0.25">
      <c r="A383">
        <v>5554</v>
      </c>
      <c r="B383" t="s">
        <v>21</v>
      </c>
      <c r="F383" t="s">
        <v>5603</v>
      </c>
      <c r="G383" t="s">
        <v>5604</v>
      </c>
    </row>
    <row r="384" spans="1:7" x14ac:dyDescent="0.25">
      <c r="A384">
        <v>5554</v>
      </c>
      <c r="B384" t="s">
        <v>21</v>
      </c>
      <c r="F384" t="s">
        <v>53</v>
      </c>
      <c r="G384" t="s">
        <v>5604</v>
      </c>
    </row>
    <row r="385" spans="1:7" x14ac:dyDescent="0.25">
      <c r="A385">
        <v>5554</v>
      </c>
      <c r="B385" t="s">
        <v>21</v>
      </c>
      <c r="F385" t="s">
        <v>55</v>
      </c>
      <c r="G385" t="s">
        <v>5604</v>
      </c>
    </row>
    <row r="386" spans="1:7" x14ac:dyDescent="0.25">
      <c r="A386">
        <v>5554</v>
      </c>
      <c r="B386" t="s">
        <v>21</v>
      </c>
      <c r="F386" t="s">
        <v>5605</v>
      </c>
      <c r="G386" t="s">
        <v>5604</v>
      </c>
    </row>
    <row r="387" spans="1:7" x14ac:dyDescent="0.25">
      <c r="A387">
        <v>5555</v>
      </c>
      <c r="B387" t="s">
        <v>22</v>
      </c>
      <c r="F387" t="s">
        <v>5603</v>
      </c>
      <c r="G387" t="s">
        <v>5604</v>
      </c>
    </row>
    <row r="388" spans="1:7" x14ac:dyDescent="0.25">
      <c r="A388">
        <v>5555</v>
      </c>
      <c r="B388" t="s">
        <v>22</v>
      </c>
      <c r="F388" t="s">
        <v>53</v>
      </c>
      <c r="G388" t="s">
        <v>5604</v>
      </c>
    </row>
    <row r="389" spans="1:7" x14ac:dyDescent="0.25">
      <c r="A389">
        <v>5555</v>
      </c>
      <c r="B389" t="s">
        <v>22</v>
      </c>
      <c r="F389" t="s">
        <v>55</v>
      </c>
      <c r="G389" t="s">
        <v>5604</v>
      </c>
    </row>
    <row r="390" spans="1:7" x14ac:dyDescent="0.25">
      <c r="A390">
        <v>5555</v>
      </c>
      <c r="B390" t="s">
        <v>22</v>
      </c>
      <c r="F390" t="s">
        <v>5605</v>
      </c>
      <c r="G390" t="s">
        <v>5604</v>
      </c>
    </row>
    <row r="391" spans="1:7" x14ac:dyDescent="0.25">
      <c r="A391">
        <v>5556</v>
      </c>
      <c r="B391" t="s">
        <v>22</v>
      </c>
      <c r="F391" t="s">
        <v>5603</v>
      </c>
      <c r="G391" t="s">
        <v>5604</v>
      </c>
    </row>
    <row r="392" spans="1:7" x14ac:dyDescent="0.25">
      <c r="A392">
        <v>5556</v>
      </c>
      <c r="B392" t="s">
        <v>22</v>
      </c>
      <c r="F392" t="s">
        <v>53</v>
      </c>
      <c r="G392" t="s">
        <v>5604</v>
      </c>
    </row>
    <row r="393" spans="1:7" x14ac:dyDescent="0.25">
      <c r="A393">
        <v>5556</v>
      </c>
      <c r="B393" t="s">
        <v>22</v>
      </c>
      <c r="F393" t="s">
        <v>55</v>
      </c>
      <c r="G393" t="s">
        <v>5604</v>
      </c>
    </row>
    <row r="394" spans="1:7" x14ac:dyDescent="0.25">
      <c r="A394">
        <v>5556</v>
      </c>
      <c r="B394" t="s">
        <v>22</v>
      </c>
      <c r="F394" t="s">
        <v>5605</v>
      </c>
      <c r="G394" t="s">
        <v>5604</v>
      </c>
    </row>
    <row r="395" spans="1:7" x14ac:dyDescent="0.25">
      <c r="A395">
        <v>5557</v>
      </c>
      <c r="B395" t="s">
        <v>21</v>
      </c>
      <c r="F395" t="s">
        <v>5603</v>
      </c>
      <c r="G395" t="s">
        <v>5604</v>
      </c>
    </row>
    <row r="396" spans="1:7" x14ac:dyDescent="0.25">
      <c r="A396">
        <v>5557</v>
      </c>
      <c r="B396" t="s">
        <v>21</v>
      </c>
      <c r="F396" t="s">
        <v>53</v>
      </c>
      <c r="G396" t="s">
        <v>5604</v>
      </c>
    </row>
    <row r="397" spans="1:7" x14ac:dyDescent="0.25">
      <c r="A397">
        <v>5557</v>
      </c>
      <c r="B397" t="s">
        <v>21</v>
      </c>
      <c r="F397" t="s">
        <v>55</v>
      </c>
      <c r="G397" t="s">
        <v>5604</v>
      </c>
    </row>
    <row r="398" spans="1:7" x14ac:dyDescent="0.25">
      <c r="A398">
        <v>5557</v>
      </c>
      <c r="B398" t="s">
        <v>21</v>
      </c>
      <c r="F398" t="s">
        <v>5605</v>
      </c>
      <c r="G398" t="s">
        <v>5604</v>
      </c>
    </row>
    <row r="399" spans="1:7" x14ac:dyDescent="0.25">
      <c r="A399">
        <v>5558</v>
      </c>
      <c r="B399" t="s">
        <v>21</v>
      </c>
      <c r="F399" t="s">
        <v>5603</v>
      </c>
      <c r="G399" t="s">
        <v>5604</v>
      </c>
    </row>
    <row r="400" spans="1:7" x14ac:dyDescent="0.25">
      <c r="A400">
        <v>5558</v>
      </c>
      <c r="B400" t="s">
        <v>21</v>
      </c>
      <c r="F400" t="s">
        <v>53</v>
      </c>
      <c r="G400" t="s">
        <v>5604</v>
      </c>
    </row>
    <row r="401" spans="1:7" x14ac:dyDescent="0.25">
      <c r="A401">
        <v>5558</v>
      </c>
      <c r="B401" t="s">
        <v>21</v>
      </c>
      <c r="F401" t="s">
        <v>55</v>
      </c>
      <c r="G401" t="s">
        <v>5604</v>
      </c>
    </row>
    <row r="402" spans="1:7" x14ac:dyDescent="0.25">
      <c r="A402">
        <v>5558</v>
      </c>
      <c r="B402" t="s">
        <v>21</v>
      </c>
      <c r="F402" t="s">
        <v>5605</v>
      </c>
      <c r="G402" t="s">
        <v>5604</v>
      </c>
    </row>
    <row r="403" spans="1:7" x14ac:dyDescent="0.25">
      <c r="A403">
        <v>5559</v>
      </c>
      <c r="B403" t="s">
        <v>21</v>
      </c>
      <c r="F403" t="s">
        <v>5603</v>
      </c>
      <c r="G403" t="s">
        <v>5604</v>
      </c>
    </row>
    <row r="404" spans="1:7" x14ac:dyDescent="0.25">
      <c r="A404">
        <v>5559</v>
      </c>
      <c r="B404" t="s">
        <v>21</v>
      </c>
      <c r="F404" t="s">
        <v>53</v>
      </c>
      <c r="G404" t="s">
        <v>5604</v>
      </c>
    </row>
    <row r="405" spans="1:7" x14ac:dyDescent="0.25">
      <c r="A405">
        <v>5559</v>
      </c>
      <c r="B405" t="s">
        <v>21</v>
      </c>
      <c r="F405" t="s">
        <v>55</v>
      </c>
      <c r="G405" t="s">
        <v>5604</v>
      </c>
    </row>
    <row r="406" spans="1:7" x14ac:dyDescent="0.25">
      <c r="A406">
        <v>5559</v>
      </c>
      <c r="B406" t="s">
        <v>21</v>
      </c>
      <c r="F406" t="s">
        <v>5605</v>
      </c>
      <c r="G406" t="s">
        <v>5604</v>
      </c>
    </row>
    <row r="407" spans="1:7" x14ac:dyDescent="0.25">
      <c r="A407">
        <v>5560</v>
      </c>
      <c r="B407" t="s">
        <v>21</v>
      </c>
      <c r="F407" t="s">
        <v>5603</v>
      </c>
      <c r="G407" t="s">
        <v>5604</v>
      </c>
    </row>
    <row r="408" spans="1:7" x14ac:dyDescent="0.25">
      <c r="A408">
        <v>5560</v>
      </c>
      <c r="B408" t="s">
        <v>21</v>
      </c>
      <c r="F408" t="s">
        <v>53</v>
      </c>
      <c r="G408" t="s">
        <v>5604</v>
      </c>
    </row>
    <row r="409" spans="1:7" x14ac:dyDescent="0.25">
      <c r="A409">
        <v>5560</v>
      </c>
      <c r="B409" t="s">
        <v>21</v>
      </c>
      <c r="F409" t="s">
        <v>55</v>
      </c>
      <c r="G409" t="s">
        <v>5604</v>
      </c>
    </row>
    <row r="410" spans="1:7" x14ac:dyDescent="0.25">
      <c r="A410">
        <v>5560</v>
      </c>
      <c r="B410" t="s">
        <v>21</v>
      </c>
      <c r="F410" t="s">
        <v>5605</v>
      </c>
      <c r="G410" t="s">
        <v>5604</v>
      </c>
    </row>
    <row r="411" spans="1:7" x14ac:dyDescent="0.25">
      <c r="A411">
        <v>5561</v>
      </c>
      <c r="B411" t="s">
        <v>21</v>
      </c>
      <c r="F411" t="s">
        <v>5603</v>
      </c>
      <c r="G411" t="s">
        <v>5604</v>
      </c>
    </row>
    <row r="412" spans="1:7" x14ac:dyDescent="0.25">
      <c r="A412">
        <v>5561</v>
      </c>
      <c r="B412" t="s">
        <v>21</v>
      </c>
      <c r="F412" t="s">
        <v>53</v>
      </c>
      <c r="G412" t="s">
        <v>5604</v>
      </c>
    </row>
    <row r="413" spans="1:7" x14ac:dyDescent="0.25">
      <c r="A413">
        <v>5561</v>
      </c>
      <c r="B413" t="s">
        <v>21</v>
      </c>
      <c r="F413" t="s">
        <v>55</v>
      </c>
      <c r="G413" t="s">
        <v>5604</v>
      </c>
    </row>
    <row r="414" spans="1:7" x14ac:dyDescent="0.25">
      <c r="A414">
        <v>5561</v>
      </c>
      <c r="B414" t="s">
        <v>21</v>
      </c>
      <c r="F414" t="s">
        <v>5605</v>
      </c>
      <c r="G414" t="s">
        <v>5604</v>
      </c>
    </row>
    <row r="415" spans="1:7" x14ac:dyDescent="0.25">
      <c r="A415">
        <v>5562</v>
      </c>
      <c r="B415" t="s">
        <v>21</v>
      </c>
      <c r="E415" t="s">
        <v>130</v>
      </c>
      <c r="F415" t="s">
        <v>5603</v>
      </c>
      <c r="G415" t="s">
        <v>5604</v>
      </c>
    </row>
    <row r="416" spans="1:7" x14ac:dyDescent="0.25">
      <c r="A416">
        <v>5562</v>
      </c>
      <c r="B416" t="s">
        <v>21</v>
      </c>
      <c r="E416" t="s">
        <v>130</v>
      </c>
      <c r="F416" t="s">
        <v>53</v>
      </c>
      <c r="G416" t="s">
        <v>5604</v>
      </c>
    </row>
    <row r="417" spans="1:7" x14ac:dyDescent="0.25">
      <c r="A417">
        <v>5563</v>
      </c>
      <c r="B417" t="s">
        <v>21</v>
      </c>
      <c r="F417" t="s">
        <v>5603</v>
      </c>
      <c r="G417" t="s">
        <v>5604</v>
      </c>
    </row>
    <row r="418" spans="1:7" x14ac:dyDescent="0.25">
      <c r="A418">
        <v>5563</v>
      </c>
      <c r="B418" t="s">
        <v>21</v>
      </c>
      <c r="F418" t="s">
        <v>53</v>
      </c>
      <c r="G418" t="s">
        <v>5604</v>
      </c>
    </row>
    <row r="419" spans="1:7" x14ac:dyDescent="0.25">
      <c r="A419">
        <v>5563</v>
      </c>
      <c r="B419" t="s">
        <v>21</v>
      </c>
      <c r="F419" t="s">
        <v>55</v>
      </c>
      <c r="G419" t="s">
        <v>5604</v>
      </c>
    </row>
    <row r="420" spans="1:7" x14ac:dyDescent="0.25">
      <c r="A420">
        <v>5563</v>
      </c>
      <c r="B420" t="s">
        <v>21</v>
      </c>
      <c r="F420" t="s">
        <v>5605</v>
      </c>
      <c r="G420" t="s">
        <v>5604</v>
      </c>
    </row>
    <row r="421" spans="1:7" x14ac:dyDescent="0.25">
      <c r="A421">
        <v>5564</v>
      </c>
      <c r="B421" t="s">
        <v>22</v>
      </c>
      <c r="F421" t="s">
        <v>5603</v>
      </c>
      <c r="G421" t="s">
        <v>5604</v>
      </c>
    </row>
    <row r="422" spans="1:7" x14ac:dyDescent="0.25">
      <c r="A422">
        <v>5564</v>
      </c>
      <c r="B422" t="s">
        <v>22</v>
      </c>
      <c r="F422" t="s">
        <v>53</v>
      </c>
      <c r="G422" t="s">
        <v>5604</v>
      </c>
    </row>
    <row r="423" spans="1:7" x14ac:dyDescent="0.25">
      <c r="A423">
        <v>5564</v>
      </c>
      <c r="B423" t="s">
        <v>22</v>
      </c>
      <c r="F423" t="s">
        <v>55</v>
      </c>
      <c r="G423" t="s">
        <v>5604</v>
      </c>
    </row>
    <row r="424" spans="1:7" x14ac:dyDescent="0.25">
      <c r="A424">
        <v>5564</v>
      </c>
      <c r="B424" t="s">
        <v>22</v>
      </c>
      <c r="F424" t="s">
        <v>5605</v>
      </c>
      <c r="G424" t="s">
        <v>5604</v>
      </c>
    </row>
    <row r="425" spans="1:7" x14ac:dyDescent="0.25">
      <c r="A425">
        <v>5565</v>
      </c>
      <c r="B425" t="s">
        <v>22</v>
      </c>
      <c r="F425" t="s">
        <v>5603</v>
      </c>
      <c r="G425" t="s">
        <v>5604</v>
      </c>
    </row>
    <row r="426" spans="1:7" x14ac:dyDescent="0.25">
      <c r="A426">
        <v>5565</v>
      </c>
      <c r="B426" t="s">
        <v>22</v>
      </c>
      <c r="F426" t="s">
        <v>53</v>
      </c>
      <c r="G426" t="s">
        <v>5604</v>
      </c>
    </row>
    <row r="427" spans="1:7" x14ac:dyDescent="0.25">
      <c r="A427">
        <v>5565</v>
      </c>
      <c r="B427" t="s">
        <v>22</v>
      </c>
      <c r="F427" t="s">
        <v>55</v>
      </c>
      <c r="G427" t="s">
        <v>5604</v>
      </c>
    </row>
    <row r="428" spans="1:7" x14ac:dyDescent="0.25">
      <c r="A428">
        <v>5565</v>
      </c>
      <c r="B428" t="s">
        <v>22</v>
      </c>
      <c r="F428" t="s">
        <v>5605</v>
      </c>
      <c r="G428" t="s">
        <v>5604</v>
      </c>
    </row>
    <row r="429" spans="1:7" x14ac:dyDescent="0.25">
      <c r="A429">
        <v>5566</v>
      </c>
      <c r="B429" t="s">
        <v>21</v>
      </c>
      <c r="F429" t="s">
        <v>5603</v>
      </c>
      <c r="G429" t="s">
        <v>5604</v>
      </c>
    </row>
    <row r="430" spans="1:7" x14ac:dyDescent="0.25">
      <c r="A430">
        <v>5566</v>
      </c>
      <c r="B430" t="s">
        <v>21</v>
      </c>
      <c r="F430" t="s">
        <v>53</v>
      </c>
      <c r="G430" t="s">
        <v>5604</v>
      </c>
    </row>
    <row r="431" spans="1:7" x14ac:dyDescent="0.25">
      <c r="A431">
        <v>5566</v>
      </c>
      <c r="B431" t="s">
        <v>21</v>
      </c>
      <c r="F431" t="s">
        <v>55</v>
      </c>
      <c r="G431" t="s">
        <v>5604</v>
      </c>
    </row>
    <row r="432" spans="1:7" x14ac:dyDescent="0.25">
      <c r="A432">
        <v>5566</v>
      </c>
      <c r="B432" t="s">
        <v>21</v>
      </c>
      <c r="F432" t="s">
        <v>5605</v>
      </c>
      <c r="G432" t="s">
        <v>5604</v>
      </c>
    </row>
    <row r="433" spans="1:7" x14ac:dyDescent="0.25">
      <c r="A433">
        <v>5567</v>
      </c>
      <c r="B433" t="s">
        <v>21</v>
      </c>
      <c r="F433" t="s">
        <v>5603</v>
      </c>
      <c r="G433" t="s">
        <v>5604</v>
      </c>
    </row>
    <row r="434" spans="1:7" x14ac:dyDescent="0.25">
      <c r="A434">
        <v>5567</v>
      </c>
      <c r="B434" t="s">
        <v>21</v>
      </c>
      <c r="F434" t="s">
        <v>53</v>
      </c>
      <c r="G434" t="s">
        <v>5604</v>
      </c>
    </row>
    <row r="435" spans="1:7" x14ac:dyDescent="0.25">
      <c r="A435">
        <v>5567</v>
      </c>
      <c r="B435" t="s">
        <v>21</v>
      </c>
      <c r="F435" t="s">
        <v>55</v>
      </c>
      <c r="G435" t="s">
        <v>5604</v>
      </c>
    </row>
    <row r="436" spans="1:7" x14ac:dyDescent="0.25">
      <c r="A436">
        <v>5567</v>
      </c>
      <c r="B436" t="s">
        <v>21</v>
      </c>
      <c r="F436" t="s">
        <v>5605</v>
      </c>
      <c r="G436" t="s">
        <v>5604</v>
      </c>
    </row>
    <row r="437" spans="1:7" x14ac:dyDescent="0.25">
      <c r="A437">
        <v>5568</v>
      </c>
      <c r="B437" t="s">
        <v>21</v>
      </c>
      <c r="F437" t="s">
        <v>5603</v>
      </c>
      <c r="G437" t="s">
        <v>5604</v>
      </c>
    </row>
    <row r="438" spans="1:7" x14ac:dyDescent="0.25">
      <c r="A438">
        <v>5568</v>
      </c>
      <c r="B438" t="s">
        <v>21</v>
      </c>
      <c r="F438" t="s">
        <v>53</v>
      </c>
      <c r="G438" t="s">
        <v>5604</v>
      </c>
    </row>
    <row r="439" spans="1:7" x14ac:dyDescent="0.25">
      <c r="A439">
        <v>5568</v>
      </c>
      <c r="B439" t="s">
        <v>21</v>
      </c>
      <c r="F439" t="s">
        <v>55</v>
      </c>
      <c r="G439" t="s">
        <v>5604</v>
      </c>
    </row>
    <row r="440" spans="1:7" x14ac:dyDescent="0.25">
      <c r="A440">
        <v>5568</v>
      </c>
      <c r="B440" t="s">
        <v>21</v>
      </c>
      <c r="F440" t="s">
        <v>5605</v>
      </c>
      <c r="G440" t="s">
        <v>5604</v>
      </c>
    </row>
    <row r="441" spans="1:7" x14ac:dyDescent="0.25">
      <c r="A441">
        <v>5569</v>
      </c>
      <c r="B441" t="s">
        <v>21</v>
      </c>
      <c r="F441" t="s">
        <v>5603</v>
      </c>
      <c r="G441" t="s">
        <v>5604</v>
      </c>
    </row>
    <row r="442" spans="1:7" x14ac:dyDescent="0.25">
      <c r="A442">
        <v>5569</v>
      </c>
      <c r="B442" t="s">
        <v>21</v>
      </c>
      <c r="F442" t="s">
        <v>53</v>
      </c>
      <c r="G442" t="s">
        <v>5604</v>
      </c>
    </row>
    <row r="443" spans="1:7" x14ac:dyDescent="0.25">
      <c r="A443">
        <v>5569</v>
      </c>
      <c r="B443" t="s">
        <v>21</v>
      </c>
      <c r="F443" t="s">
        <v>55</v>
      </c>
      <c r="G443" t="s">
        <v>5604</v>
      </c>
    </row>
    <row r="444" spans="1:7" x14ac:dyDescent="0.25">
      <c r="A444">
        <v>5569</v>
      </c>
      <c r="B444" t="s">
        <v>21</v>
      </c>
      <c r="F444" t="s">
        <v>5605</v>
      </c>
      <c r="G444" t="s">
        <v>5604</v>
      </c>
    </row>
    <row r="445" spans="1:7" x14ac:dyDescent="0.25">
      <c r="A445">
        <v>5570</v>
      </c>
      <c r="B445" t="s">
        <v>21</v>
      </c>
      <c r="E445" t="s">
        <v>130</v>
      </c>
      <c r="F445" t="s">
        <v>5603</v>
      </c>
      <c r="G445" t="s">
        <v>5604</v>
      </c>
    </row>
    <row r="446" spans="1:7" x14ac:dyDescent="0.25">
      <c r="A446">
        <v>5570</v>
      </c>
      <c r="B446" t="s">
        <v>21</v>
      </c>
      <c r="E446" t="s">
        <v>130</v>
      </c>
      <c r="F446" t="s">
        <v>53</v>
      </c>
      <c r="G446" t="s">
        <v>5604</v>
      </c>
    </row>
    <row r="447" spans="1:7" x14ac:dyDescent="0.25">
      <c r="A447">
        <v>5571</v>
      </c>
      <c r="B447" t="s">
        <v>22</v>
      </c>
      <c r="F447" t="s">
        <v>5603</v>
      </c>
      <c r="G447" t="s">
        <v>5604</v>
      </c>
    </row>
    <row r="448" spans="1:7" x14ac:dyDescent="0.25">
      <c r="A448">
        <v>5571</v>
      </c>
      <c r="B448" t="s">
        <v>22</v>
      </c>
      <c r="F448" t="s">
        <v>53</v>
      </c>
      <c r="G448" t="s">
        <v>5604</v>
      </c>
    </row>
    <row r="449" spans="1:7" x14ac:dyDescent="0.25">
      <c r="A449">
        <v>5571</v>
      </c>
      <c r="B449" t="s">
        <v>22</v>
      </c>
      <c r="F449" t="s">
        <v>55</v>
      </c>
      <c r="G449" t="s">
        <v>5604</v>
      </c>
    </row>
    <row r="450" spans="1:7" x14ac:dyDescent="0.25">
      <c r="A450">
        <v>5571</v>
      </c>
      <c r="B450" t="s">
        <v>22</v>
      </c>
      <c r="F450" t="s">
        <v>5605</v>
      </c>
      <c r="G450" t="s">
        <v>5604</v>
      </c>
    </row>
    <row r="451" spans="1:7" x14ac:dyDescent="0.25">
      <c r="A451">
        <v>5572</v>
      </c>
      <c r="B451" t="s">
        <v>22</v>
      </c>
      <c r="F451" t="s">
        <v>5603</v>
      </c>
      <c r="G451" t="s">
        <v>5604</v>
      </c>
    </row>
    <row r="452" spans="1:7" x14ac:dyDescent="0.25">
      <c r="A452">
        <v>5572</v>
      </c>
      <c r="B452" t="s">
        <v>22</v>
      </c>
      <c r="F452" t="s">
        <v>53</v>
      </c>
      <c r="G452" t="s">
        <v>5604</v>
      </c>
    </row>
    <row r="453" spans="1:7" x14ac:dyDescent="0.25">
      <c r="A453">
        <v>5572</v>
      </c>
      <c r="B453" t="s">
        <v>22</v>
      </c>
      <c r="F453" t="s">
        <v>55</v>
      </c>
      <c r="G453" t="s">
        <v>5604</v>
      </c>
    </row>
    <row r="454" spans="1:7" x14ac:dyDescent="0.25">
      <c r="A454">
        <v>5572</v>
      </c>
      <c r="B454" t="s">
        <v>22</v>
      </c>
      <c r="F454" t="s">
        <v>5605</v>
      </c>
      <c r="G454" t="s">
        <v>5604</v>
      </c>
    </row>
    <row r="455" spans="1:7" x14ac:dyDescent="0.25">
      <c r="A455">
        <v>5573</v>
      </c>
      <c r="B455" t="s">
        <v>21</v>
      </c>
      <c r="F455" t="s">
        <v>5603</v>
      </c>
      <c r="G455" t="s">
        <v>5604</v>
      </c>
    </row>
    <row r="456" spans="1:7" x14ac:dyDescent="0.25">
      <c r="A456">
        <v>5573</v>
      </c>
      <c r="B456" t="s">
        <v>21</v>
      </c>
      <c r="F456" t="s">
        <v>53</v>
      </c>
      <c r="G456" t="s">
        <v>5604</v>
      </c>
    </row>
    <row r="457" spans="1:7" x14ac:dyDescent="0.25">
      <c r="A457">
        <v>5573</v>
      </c>
      <c r="B457" t="s">
        <v>21</v>
      </c>
      <c r="F457" t="s">
        <v>55</v>
      </c>
      <c r="G457" t="s">
        <v>5604</v>
      </c>
    </row>
    <row r="458" spans="1:7" x14ac:dyDescent="0.25">
      <c r="A458">
        <v>5573</v>
      </c>
      <c r="B458" t="s">
        <v>21</v>
      </c>
      <c r="F458" t="s">
        <v>5605</v>
      </c>
      <c r="G458" t="s">
        <v>5604</v>
      </c>
    </row>
    <row r="459" spans="1:7" x14ac:dyDescent="0.25">
      <c r="A459">
        <v>5574</v>
      </c>
      <c r="B459" t="s">
        <v>22</v>
      </c>
      <c r="F459" t="s">
        <v>5603</v>
      </c>
      <c r="G459" t="s">
        <v>5604</v>
      </c>
    </row>
    <row r="460" spans="1:7" x14ac:dyDescent="0.25">
      <c r="A460">
        <v>5574</v>
      </c>
      <c r="B460" t="s">
        <v>22</v>
      </c>
      <c r="F460" t="s">
        <v>53</v>
      </c>
      <c r="G460" t="s">
        <v>5604</v>
      </c>
    </row>
    <row r="461" spans="1:7" x14ac:dyDescent="0.25">
      <c r="A461">
        <v>5574</v>
      </c>
      <c r="B461" t="s">
        <v>22</v>
      </c>
      <c r="F461" t="s">
        <v>55</v>
      </c>
      <c r="G461" t="s">
        <v>5604</v>
      </c>
    </row>
    <row r="462" spans="1:7" x14ac:dyDescent="0.25">
      <c r="A462">
        <v>5574</v>
      </c>
      <c r="B462" t="s">
        <v>22</v>
      </c>
      <c r="F462" t="s">
        <v>5605</v>
      </c>
      <c r="G462" t="s">
        <v>5604</v>
      </c>
    </row>
    <row r="463" spans="1:7" x14ac:dyDescent="0.25">
      <c r="A463">
        <v>5575</v>
      </c>
      <c r="B463" t="s">
        <v>22</v>
      </c>
      <c r="F463" t="s">
        <v>5603</v>
      </c>
      <c r="G463" t="s">
        <v>5604</v>
      </c>
    </row>
    <row r="464" spans="1:7" x14ac:dyDescent="0.25">
      <c r="A464">
        <v>5575</v>
      </c>
      <c r="B464" t="s">
        <v>22</v>
      </c>
      <c r="F464" t="s">
        <v>53</v>
      </c>
      <c r="G464" t="s">
        <v>5604</v>
      </c>
    </row>
    <row r="465" spans="1:7" x14ac:dyDescent="0.25">
      <c r="A465">
        <v>5575</v>
      </c>
      <c r="B465" t="s">
        <v>22</v>
      </c>
      <c r="F465" t="s">
        <v>55</v>
      </c>
      <c r="G465" t="s">
        <v>5604</v>
      </c>
    </row>
    <row r="466" spans="1:7" x14ac:dyDescent="0.25">
      <c r="A466">
        <v>5575</v>
      </c>
      <c r="B466" t="s">
        <v>22</v>
      </c>
      <c r="F466" t="s">
        <v>5605</v>
      </c>
      <c r="G466" t="s">
        <v>5604</v>
      </c>
    </row>
    <row r="467" spans="1:7" x14ac:dyDescent="0.25">
      <c r="A467">
        <v>5576</v>
      </c>
      <c r="B467" t="s">
        <v>22</v>
      </c>
      <c r="E467" t="s">
        <v>130</v>
      </c>
      <c r="F467" t="s">
        <v>5603</v>
      </c>
      <c r="G467" t="s">
        <v>5604</v>
      </c>
    </row>
    <row r="468" spans="1:7" x14ac:dyDescent="0.25">
      <c r="A468">
        <v>5576</v>
      </c>
      <c r="B468" t="s">
        <v>22</v>
      </c>
      <c r="E468" t="s">
        <v>130</v>
      </c>
      <c r="F468" t="s">
        <v>53</v>
      </c>
      <c r="G468" t="s">
        <v>5604</v>
      </c>
    </row>
    <row r="469" spans="1:7" x14ac:dyDescent="0.25">
      <c r="A469">
        <v>5577</v>
      </c>
      <c r="B469" t="s">
        <v>22</v>
      </c>
      <c r="F469" t="s">
        <v>5603</v>
      </c>
      <c r="G469" t="s">
        <v>5604</v>
      </c>
    </row>
    <row r="470" spans="1:7" x14ac:dyDescent="0.25">
      <c r="A470">
        <v>5577</v>
      </c>
      <c r="B470" t="s">
        <v>22</v>
      </c>
      <c r="F470" t="s">
        <v>53</v>
      </c>
      <c r="G470" t="s">
        <v>5604</v>
      </c>
    </row>
    <row r="471" spans="1:7" x14ac:dyDescent="0.25">
      <c r="A471">
        <v>5577</v>
      </c>
      <c r="B471" t="s">
        <v>22</v>
      </c>
      <c r="F471" t="s">
        <v>55</v>
      </c>
      <c r="G471" t="s">
        <v>5604</v>
      </c>
    </row>
    <row r="472" spans="1:7" x14ac:dyDescent="0.25">
      <c r="A472">
        <v>5577</v>
      </c>
      <c r="B472" t="s">
        <v>22</v>
      </c>
      <c r="F472" t="s">
        <v>5605</v>
      </c>
      <c r="G472" t="s">
        <v>5604</v>
      </c>
    </row>
    <row r="473" spans="1:7" x14ac:dyDescent="0.25">
      <c r="A473">
        <v>5578</v>
      </c>
      <c r="B473" t="s">
        <v>22</v>
      </c>
      <c r="F473" t="s">
        <v>5603</v>
      </c>
      <c r="G473" t="s">
        <v>5604</v>
      </c>
    </row>
    <row r="474" spans="1:7" x14ac:dyDescent="0.25">
      <c r="A474">
        <v>5578</v>
      </c>
      <c r="B474" t="s">
        <v>22</v>
      </c>
      <c r="F474" t="s">
        <v>53</v>
      </c>
      <c r="G474" t="s">
        <v>5604</v>
      </c>
    </row>
    <row r="475" spans="1:7" x14ac:dyDescent="0.25">
      <c r="A475">
        <v>5578</v>
      </c>
      <c r="B475" t="s">
        <v>22</v>
      </c>
      <c r="F475" t="s">
        <v>55</v>
      </c>
      <c r="G475" t="s">
        <v>5604</v>
      </c>
    </row>
    <row r="476" spans="1:7" x14ac:dyDescent="0.25">
      <c r="A476">
        <v>5578</v>
      </c>
      <c r="B476" t="s">
        <v>22</v>
      </c>
      <c r="F476" t="s">
        <v>5605</v>
      </c>
      <c r="G476" t="s">
        <v>5604</v>
      </c>
    </row>
    <row r="477" spans="1:7" x14ac:dyDescent="0.25">
      <c r="A477">
        <v>5580</v>
      </c>
      <c r="B477" t="s">
        <v>21</v>
      </c>
      <c r="F477" t="s">
        <v>5603</v>
      </c>
      <c r="G477" t="s">
        <v>5604</v>
      </c>
    </row>
    <row r="478" spans="1:7" x14ac:dyDescent="0.25">
      <c r="A478">
        <v>5580</v>
      </c>
      <c r="B478" t="s">
        <v>21</v>
      </c>
      <c r="F478" t="s">
        <v>53</v>
      </c>
      <c r="G478" t="s">
        <v>5604</v>
      </c>
    </row>
    <row r="479" spans="1:7" x14ac:dyDescent="0.25">
      <c r="A479">
        <v>5580</v>
      </c>
      <c r="B479" t="s">
        <v>21</v>
      </c>
      <c r="F479" t="s">
        <v>55</v>
      </c>
      <c r="G479" t="s">
        <v>5604</v>
      </c>
    </row>
    <row r="480" spans="1:7" x14ac:dyDescent="0.25">
      <c r="A480">
        <v>5580</v>
      </c>
      <c r="B480" t="s">
        <v>21</v>
      </c>
      <c r="F480" t="s">
        <v>5605</v>
      </c>
      <c r="G480" t="s">
        <v>5604</v>
      </c>
    </row>
    <row r="481" spans="1:7" x14ac:dyDescent="0.25">
      <c r="A481">
        <v>5581</v>
      </c>
      <c r="B481" t="s">
        <v>21</v>
      </c>
      <c r="F481" t="s">
        <v>5603</v>
      </c>
      <c r="G481" t="s">
        <v>5604</v>
      </c>
    </row>
    <row r="482" spans="1:7" x14ac:dyDescent="0.25">
      <c r="A482">
        <v>5581</v>
      </c>
      <c r="B482" t="s">
        <v>21</v>
      </c>
      <c r="F482" t="s">
        <v>53</v>
      </c>
      <c r="G482" t="s">
        <v>5604</v>
      </c>
    </row>
    <row r="483" spans="1:7" x14ac:dyDescent="0.25">
      <c r="A483">
        <v>5581</v>
      </c>
      <c r="B483" t="s">
        <v>21</v>
      </c>
      <c r="F483" t="s">
        <v>55</v>
      </c>
      <c r="G483" t="s">
        <v>5604</v>
      </c>
    </row>
    <row r="484" spans="1:7" x14ac:dyDescent="0.25">
      <c r="A484">
        <v>5581</v>
      </c>
      <c r="B484" t="s">
        <v>21</v>
      </c>
      <c r="F484" t="s">
        <v>5605</v>
      </c>
      <c r="G484" t="s">
        <v>5604</v>
      </c>
    </row>
    <row r="485" spans="1:7" x14ac:dyDescent="0.25">
      <c r="A485">
        <v>5582</v>
      </c>
      <c r="B485" t="s">
        <v>21</v>
      </c>
      <c r="E485" t="s">
        <v>130</v>
      </c>
      <c r="F485" t="s">
        <v>5603</v>
      </c>
      <c r="G485" t="s">
        <v>5604</v>
      </c>
    </row>
    <row r="486" spans="1:7" x14ac:dyDescent="0.25">
      <c r="A486">
        <v>5582</v>
      </c>
      <c r="B486" t="s">
        <v>21</v>
      </c>
      <c r="E486" t="s">
        <v>130</v>
      </c>
      <c r="F486" t="s">
        <v>53</v>
      </c>
      <c r="G486" t="s">
        <v>5604</v>
      </c>
    </row>
    <row r="487" spans="1:7" x14ac:dyDescent="0.25">
      <c r="A487">
        <v>5583</v>
      </c>
      <c r="B487" t="s">
        <v>21</v>
      </c>
      <c r="F487" t="s">
        <v>5603</v>
      </c>
      <c r="G487" t="s">
        <v>5604</v>
      </c>
    </row>
    <row r="488" spans="1:7" x14ac:dyDescent="0.25">
      <c r="A488">
        <v>5583</v>
      </c>
      <c r="B488" t="s">
        <v>21</v>
      </c>
      <c r="F488" t="s">
        <v>53</v>
      </c>
      <c r="G488" t="s">
        <v>5604</v>
      </c>
    </row>
    <row r="489" spans="1:7" x14ac:dyDescent="0.25">
      <c r="A489">
        <v>5583</v>
      </c>
      <c r="B489" t="s">
        <v>21</v>
      </c>
      <c r="F489" t="s">
        <v>55</v>
      </c>
      <c r="G489" t="s">
        <v>5604</v>
      </c>
    </row>
    <row r="490" spans="1:7" x14ac:dyDescent="0.25">
      <c r="A490">
        <v>5583</v>
      </c>
      <c r="B490" t="s">
        <v>21</v>
      </c>
      <c r="F490" t="s">
        <v>5605</v>
      </c>
      <c r="G490" t="s">
        <v>5604</v>
      </c>
    </row>
    <row r="491" spans="1:7" x14ac:dyDescent="0.25">
      <c r="A491">
        <v>5584</v>
      </c>
      <c r="B491" t="s">
        <v>22</v>
      </c>
      <c r="E491" t="s">
        <v>130</v>
      </c>
      <c r="F491" t="s">
        <v>5603</v>
      </c>
      <c r="G491" t="s">
        <v>5604</v>
      </c>
    </row>
    <row r="492" spans="1:7" x14ac:dyDescent="0.25">
      <c r="A492">
        <v>5584</v>
      </c>
      <c r="B492" t="s">
        <v>22</v>
      </c>
      <c r="E492" t="s">
        <v>130</v>
      </c>
      <c r="F492" t="s">
        <v>53</v>
      </c>
      <c r="G492" t="s">
        <v>5604</v>
      </c>
    </row>
    <row r="493" spans="1:7" x14ac:dyDescent="0.25">
      <c r="A493">
        <v>5585</v>
      </c>
      <c r="B493" t="s">
        <v>21</v>
      </c>
      <c r="F493" t="s">
        <v>5603</v>
      </c>
      <c r="G493" t="s">
        <v>5604</v>
      </c>
    </row>
    <row r="494" spans="1:7" x14ac:dyDescent="0.25">
      <c r="A494">
        <v>5585</v>
      </c>
      <c r="B494" t="s">
        <v>21</v>
      </c>
      <c r="F494" t="s">
        <v>53</v>
      </c>
      <c r="G494" t="s">
        <v>5604</v>
      </c>
    </row>
    <row r="495" spans="1:7" x14ac:dyDescent="0.25">
      <c r="A495">
        <v>5585</v>
      </c>
      <c r="B495" t="s">
        <v>21</v>
      </c>
      <c r="F495" t="s">
        <v>55</v>
      </c>
      <c r="G495" t="s">
        <v>5604</v>
      </c>
    </row>
    <row r="496" spans="1:7" x14ac:dyDescent="0.25">
      <c r="A496">
        <v>5585</v>
      </c>
      <c r="B496" t="s">
        <v>21</v>
      </c>
      <c r="F496" t="s">
        <v>5605</v>
      </c>
      <c r="G496" t="s">
        <v>5604</v>
      </c>
    </row>
    <row r="497" spans="1:7" x14ac:dyDescent="0.25">
      <c r="A497">
        <v>5586</v>
      </c>
      <c r="B497" t="s">
        <v>21</v>
      </c>
      <c r="F497" t="s">
        <v>5603</v>
      </c>
      <c r="G497" t="s">
        <v>5604</v>
      </c>
    </row>
    <row r="498" spans="1:7" x14ac:dyDescent="0.25">
      <c r="A498">
        <v>5586</v>
      </c>
      <c r="B498" t="s">
        <v>21</v>
      </c>
      <c r="F498" t="s">
        <v>53</v>
      </c>
      <c r="G498" t="s">
        <v>5604</v>
      </c>
    </row>
    <row r="499" spans="1:7" x14ac:dyDescent="0.25">
      <c r="A499">
        <v>5586</v>
      </c>
      <c r="B499" t="s">
        <v>21</v>
      </c>
      <c r="F499" t="s">
        <v>55</v>
      </c>
      <c r="G499" t="s">
        <v>5604</v>
      </c>
    </row>
    <row r="500" spans="1:7" x14ac:dyDescent="0.25">
      <c r="A500">
        <v>5586</v>
      </c>
      <c r="B500" t="s">
        <v>21</v>
      </c>
      <c r="F500" t="s">
        <v>5605</v>
      </c>
      <c r="G500" t="s">
        <v>5604</v>
      </c>
    </row>
    <row r="501" spans="1:7" x14ac:dyDescent="0.25">
      <c r="A501">
        <v>5587</v>
      </c>
      <c r="B501" t="s">
        <v>21</v>
      </c>
      <c r="F501" t="s">
        <v>5603</v>
      </c>
      <c r="G501" t="s">
        <v>5604</v>
      </c>
    </row>
    <row r="502" spans="1:7" x14ac:dyDescent="0.25">
      <c r="A502">
        <v>5587</v>
      </c>
      <c r="B502" t="s">
        <v>21</v>
      </c>
      <c r="F502" t="s">
        <v>53</v>
      </c>
      <c r="G502" t="s">
        <v>5604</v>
      </c>
    </row>
    <row r="503" spans="1:7" x14ac:dyDescent="0.25">
      <c r="A503">
        <v>5587</v>
      </c>
      <c r="B503" t="s">
        <v>21</v>
      </c>
      <c r="F503" t="s">
        <v>55</v>
      </c>
      <c r="G503" t="s">
        <v>5604</v>
      </c>
    </row>
    <row r="504" spans="1:7" x14ac:dyDescent="0.25">
      <c r="A504">
        <v>5587</v>
      </c>
      <c r="B504" t="s">
        <v>21</v>
      </c>
      <c r="F504" t="s">
        <v>5605</v>
      </c>
      <c r="G504" t="s">
        <v>5604</v>
      </c>
    </row>
    <row r="505" spans="1:7" x14ac:dyDescent="0.25">
      <c r="A505">
        <v>5588</v>
      </c>
      <c r="B505" t="s">
        <v>21</v>
      </c>
      <c r="F505" t="s">
        <v>5603</v>
      </c>
      <c r="G505" t="s">
        <v>5604</v>
      </c>
    </row>
    <row r="506" spans="1:7" x14ac:dyDescent="0.25">
      <c r="A506">
        <v>5588</v>
      </c>
      <c r="B506" t="s">
        <v>21</v>
      </c>
      <c r="F506" t="s">
        <v>53</v>
      </c>
      <c r="G506" t="s">
        <v>5604</v>
      </c>
    </row>
    <row r="507" spans="1:7" x14ac:dyDescent="0.25">
      <c r="A507">
        <v>5588</v>
      </c>
      <c r="B507" t="s">
        <v>21</v>
      </c>
      <c r="F507" t="s">
        <v>55</v>
      </c>
      <c r="G507" t="s">
        <v>5604</v>
      </c>
    </row>
    <row r="508" spans="1:7" x14ac:dyDescent="0.25">
      <c r="A508">
        <v>5588</v>
      </c>
      <c r="B508" t="s">
        <v>21</v>
      </c>
      <c r="F508" t="s">
        <v>5605</v>
      </c>
      <c r="G508" t="s">
        <v>5604</v>
      </c>
    </row>
    <row r="509" spans="1:7" x14ac:dyDescent="0.25">
      <c r="A509">
        <v>5593</v>
      </c>
      <c r="B509" t="s">
        <v>21</v>
      </c>
      <c r="F509" t="s">
        <v>5603</v>
      </c>
      <c r="G509" t="s">
        <v>5604</v>
      </c>
    </row>
    <row r="510" spans="1:7" x14ac:dyDescent="0.25">
      <c r="A510">
        <v>5593</v>
      </c>
      <c r="B510" t="s">
        <v>21</v>
      </c>
      <c r="F510" t="s">
        <v>53</v>
      </c>
      <c r="G510" t="s">
        <v>5604</v>
      </c>
    </row>
    <row r="511" spans="1:7" x14ac:dyDescent="0.25">
      <c r="A511">
        <v>5593</v>
      </c>
      <c r="B511" t="s">
        <v>21</v>
      </c>
      <c r="F511" t="s">
        <v>55</v>
      </c>
      <c r="G511" t="s">
        <v>5604</v>
      </c>
    </row>
    <row r="512" spans="1:7" x14ac:dyDescent="0.25">
      <c r="A512">
        <v>5593</v>
      </c>
      <c r="B512" t="s">
        <v>21</v>
      </c>
      <c r="F512" t="s">
        <v>5605</v>
      </c>
      <c r="G512" t="s">
        <v>5604</v>
      </c>
    </row>
    <row r="513" spans="1:7" x14ac:dyDescent="0.25">
      <c r="A513">
        <v>5590</v>
      </c>
      <c r="B513" t="s">
        <v>21</v>
      </c>
      <c r="F513" t="s">
        <v>5603</v>
      </c>
      <c r="G513" t="s">
        <v>5604</v>
      </c>
    </row>
    <row r="514" spans="1:7" x14ac:dyDescent="0.25">
      <c r="A514">
        <v>5590</v>
      </c>
      <c r="B514" t="s">
        <v>21</v>
      </c>
      <c r="F514" t="s">
        <v>53</v>
      </c>
      <c r="G514" t="s">
        <v>5604</v>
      </c>
    </row>
    <row r="515" spans="1:7" x14ac:dyDescent="0.25">
      <c r="A515">
        <v>5590</v>
      </c>
      <c r="B515" t="s">
        <v>21</v>
      </c>
      <c r="F515" t="s">
        <v>55</v>
      </c>
      <c r="G515" t="s">
        <v>5604</v>
      </c>
    </row>
    <row r="516" spans="1:7" x14ac:dyDescent="0.25">
      <c r="A516">
        <v>5590</v>
      </c>
      <c r="B516" t="s">
        <v>21</v>
      </c>
      <c r="F516" t="s">
        <v>5605</v>
      </c>
      <c r="G516" t="s">
        <v>5604</v>
      </c>
    </row>
    <row r="517" spans="1:7" x14ac:dyDescent="0.25">
      <c r="A517">
        <v>5591</v>
      </c>
      <c r="B517" t="s">
        <v>21</v>
      </c>
      <c r="F517" t="s">
        <v>5603</v>
      </c>
      <c r="G517" t="s">
        <v>5604</v>
      </c>
    </row>
    <row r="518" spans="1:7" x14ac:dyDescent="0.25">
      <c r="A518">
        <v>5591</v>
      </c>
      <c r="B518" t="s">
        <v>21</v>
      </c>
      <c r="F518" t="s">
        <v>53</v>
      </c>
      <c r="G518" t="s">
        <v>5604</v>
      </c>
    </row>
    <row r="519" spans="1:7" x14ac:dyDescent="0.25">
      <c r="A519">
        <v>5591</v>
      </c>
      <c r="B519" t="s">
        <v>21</v>
      </c>
      <c r="F519" t="s">
        <v>55</v>
      </c>
      <c r="G519" t="s">
        <v>5604</v>
      </c>
    </row>
    <row r="520" spans="1:7" x14ac:dyDescent="0.25">
      <c r="A520">
        <v>5591</v>
      </c>
      <c r="B520" t="s">
        <v>21</v>
      </c>
      <c r="F520" t="s">
        <v>5605</v>
      </c>
      <c r="G520" t="s">
        <v>5604</v>
      </c>
    </row>
    <row r="521" spans="1:7" x14ac:dyDescent="0.25">
      <c r="A521">
        <v>5592</v>
      </c>
      <c r="B521" t="s">
        <v>21</v>
      </c>
      <c r="F521" t="s">
        <v>5603</v>
      </c>
      <c r="G521" t="s">
        <v>5604</v>
      </c>
    </row>
    <row r="522" spans="1:7" x14ac:dyDescent="0.25">
      <c r="A522">
        <v>5592</v>
      </c>
      <c r="B522" t="s">
        <v>21</v>
      </c>
      <c r="F522" t="s">
        <v>53</v>
      </c>
      <c r="G522" t="s">
        <v>5604</v>
      </c>
    </row>
    <row r="523" spans="1:7" x14ac:dyDescent="0.25">
      <c r="A523">
        <v>5592</v>
      </c>
      <c r="B523" t="s">
        <v>21</v>
      </c>
      <c r="F523" t="s">
        <v>55</v>
      </c>
      <c r="G523" t="s">
        <v>5604</v>
      </c>
    </row>
    <row r="524" spans="1:7" x14ac:dyDescent="0.25">
      <c r="A524">
        <v>5592</v>
      </c>
      <c r="B524" t="s">
        <v>21</v>
      </c>
      <c r="F524" t="s">
        <v>5605</v>
      </c>
      <c r="G524" t="s">
        <v>5604</v>
      </c>
    </row>
    <row r="525" spans="1:7" x14ac:dyDescent="0.25">
      <c r="A525">
        <v>5593</v>
      </c>
      <c r="B525" t="s">
        <v>21</v>
      </c>
      <c r="F525" t="s">
        <v>5603</v>
      </c>
      <c r="G525" t="s">
        <v>5604</v>
      </c>
    </row>
    <row r="526" spans="1:7" x14ac:dyDescent="0.25">
      <c r="A526">
        <v>5593</v>
      </c>
      <c r="B526" t="s">
        <v>21</v>
      </c>
      <c r="F526" t="s">
        <v>53</v>
      </c>
      <c r="G526" t="s">
        <v>5604</v>
      </c>
    </row>
    <row r="527" spans="1:7" x14ac:dyDescent="0.25">
      <c r="A527">
        <v>5593</v>
      </c>
      <c r="B527" t="s">
        <v>21</v>
      </c>
      <c r="F527" t="s">
        <v>55</v>
      </c>
      <c r="G527" t="s">
        <v>5604</v>
      </c>
    </row>
    <row r="528" spans="1:7" x14ac:dyDescent="0.25">
      <c r="A528">
        <v>5593</v>
      </c>
      <c r="B528" t="s">
        <v>21</v>
      </c>
      <c r="F528" t="s">
        <v>5605</v>
      </c>
      <c r="G528" t="s">
        <v>5604</v>
      </c>
    </row>
    <row r="529" spans="1:7" x14ac:dyDescent="0.25">
      <c r="A529">
        <v>5594</v>
      </c>
      <c r="B529" t="s">
        <v>21</v>
      </c>
      <c r="F529" t="s">
        <v>5603</v>
      </c>
      <c r="G529" t="s">
        <v>5604</v>
      </c>
    </row>
    <row r="530" spans="1:7" x14ac:dyDescent="0.25">
      <c r="A530">
        <v>5594</v>
      </c>
      <c r="B530" t="s">
        <v>21</v>
      </c>
      <c r="F530" t="s">
        <v>53</v>
      </c>
      <c r="G530" t="s">
        <v>5604</v>
      </c>
    </row>
    <row r="531" spans="1:7" x14ac:dyDescent="0.25">
      <c r="A531">
        <v>5594</v>
      </c>
      <c r="B531" t="s">
        <v>21</v>
      </c>
      <c r="F531" t="s">
        <v>55</v>
      </c>
      <c r="G531" t="s">
        <v>5604</v>
      </c>
    </row>
    <row r="532" spans="1:7" x14ac:dyDescent="0.25">
      <c r="A532">
        <v>5594</v>
      </c>
      <c r="B532" t="s">
        <v>21</v>
      </c>
      <c r="F532" t="s">
        <v>5605</v>
      </c>
      <c r="G532" t="s">
        <v>5604</v>
      </c>
    </row>
    <row r="533" spans="1:7" x14ac:dyDescent="0.25">
      <c r="A533">
        <v>5595</v>
      </c>
      <c r="B533" t="s">
        <v>22</v>
      </c>
      <c r="F533" t="s">
        <v>5603</v>
      </c>
      <c r="G533" t="s">
        <v>5604</v>
      </c>
    </row>
    <row r="534" spans="1:7" x14ac:dyDescent="0.25">
      <c r="A534">
        <v>5595</v>
      </c>
      <c r="B534" t="s">
        <v>22</v>
      </c>
      <c r="F534" t="s">
        <v>53</v>
      </c>
      <c r="G534" t="s">
        <v>5604</v>
      </c>
    </row>
    <row r="535" spans="1:7" x14ac:dyDescent="0.25">
      <c r="A535">
        <v>5595</v>
      </c>
      <c r="B535" t="s">
        <v>22</v>
      </c>
      <c r="F535" t="s">
        <v>55</v>
      </c>
      <c r="G535" t="s">
        <v>5604</v>
      </c>
    </row>
    <row r="536" spans="1:7" x14ac:dyDescent="0.25">
      <c r="A536">
        <v>5595</v>
      </c>
      <c r="B536" t="s">
        <v>22</v>
      </c>
      <c r="F536" t="s">
        <v>5605</v>
      </c>
      <c r="G536" t="s">
        <v>5604</v>
      </c>
    </row>
    <row r="537" spans="1:7" x14ac:dyDescent="0.25">
      <c r="A537">
        <v>5596</v>
      </c>
      <c r="B537" t="s">
        <v>22</v>
      </c>
      <c r="F537" t="s">
        <v>5603</v>
      </c>
      <c r="G537" t="s">
        <v>5604</v>
      </c>
    </row>
    <row r="538" spans="1:7" x14ac:dyDescent="0.25">
      <c r="A538">
        <v>5596</v>
      </c>
      <c r="B538" t="s">
        <v>22</v>
      </c>
      <c r="F538" t="s">
        <v>53</v>
      </c>
      <c r="G538" t="s">
        <v>5604</v>
      </c>
    </row>
    <row r="539" spans="1:7" x14ac:dyDescent="0.25">
      <c r="A539">
        <v>5596</v>
      </c>
      <c r="B539" t="s">
        <v>22</v>
      </c>
      <c r="F539" t="s">
        <v>55</v>
      </c>
      <c r="G539" t="s">
        <v>5604</v>
      </c>
    </row>
    <row r="540" spans="1:7" x14ac:dyDescent="0.25">
      <c r="A540">
        <v>5596</v>
      </c>
      <c r="B540" t="s">
        <v>22</v>
      </c>
      <c r="F540" t="s">
        <v>5605</v>
      </c>
      <c r="G540" t="s">
        <v>5604</v>
      </c>
    </row>
    <row r="541" spans="1:7" x14ac:dyDescent="0.25">
      <c r="A541">
        <v>5597</v>
      </c>
      <c r="B541" t="s">
        <v>21</v>
      </c>
      <c r="F541" t="s">
        <v>5603</v>
      </c>
      <c r="G541" t="s">
        <v>5604</v>
      </c>
    </row>
    <row r="542" spans="1:7" x14ac:dyDescent="0.25">
      <c r="A542">
        <v>5597</v>
      </c>
      <c r="B542" t="s">
        <v>21</v>
      </c>
      <c r="F542" t="s">
        <v>53</v>
      </c>
      <c r="G542" t="s">
        <v>5604</v>
      </c>
    </row>
    <row r="543" spans="1:7" x14ac:dyDescent="0.25">
      <c r="A543">
        <v>5597</v>
      </c>
      <c r="B543" t="s">
        <v>21</v>
      </c>
      <c r="F543" t="s">
        <v>55</v>
      </c>
      <c r="G543" t="s">
        <v>5604</v>
      </c>
    </row>
    <row r="544" spans="1:7" x14ac:dyDescent="0.25">
      <c r="A544">
        <v>5597</v>
      </c>
      <c r="B544" t="s">
        <v>21</v>
      </c>
      <c r="F544" t="s">
        <v>5605</v>
      </c>
      <c r="G544" t="s">
        <v>5604</v>
      </c>
    </row>
    <row r="545" spans="1:7" x14ac:dyDescent="0.25">
      <c r="A545">
        <v>5598</v>
      </c>
      <c r="B545" t="s">
        <v>21</v>
      </c>
      <c r="F545" t="s">
        <v>5603</v>
      </c>
      <c r="G545" t="s">
        <v>5604</v>
      </c>
    </row>
    <row r="546" spans="1:7" x14ac:dyDescent="0.25">
      <c r="A546">
        <v>5598</v>
      </c>
      <c r="B546" t="s">
        <v>21</v>
      </c>
      <c r="F546" t="s">
        <v>53</v>
      </c>
      <c r="G546" t="s">
        <v>5604</v>
      </c>
    </row>
    <row r="547" spans="1:7" x14ac:dyDescent="0.25">
      <c r="A547">
        <v>5598</v>
      </c>
      <c r="B547" t="s">
        <v>21</v>
      </c>
      <c r="F547" t="s">
        <v>55</v>
      </c>
      <c r="G547" t="s">
        <v>5604</v>
      </c>
    </row>
    <row r="548" spans="1:7" x14ac:dyDescent="0.25">
      <c r="A548">
        <v>5598</v>
      </c>
      <c r="B548" t="s">
        <v>21</v>
      </c>
      <c r="F548" t="s">
        <v>5605</v>
      </c>
      <c r="G548" t="s">
        <v>5604</v>
      </c>
    </row>
    <row r="549" spans="1:7" x14ac:dyDescent="0.25">
      <c r="A549">
        <v>5599</v>
      </c>
      <c r="B549" t="s">
        <v>22</v>
      </c>
      <c r="F549" t="s">
        <v>5603</v>
      </c>
      <c r="G549" t="s">
        <v>5604</v>
      </c>
    </row>
    <row r="550" spans="1:7" x14ac:dyDescent="0.25">
      <c r="A550">
        <v>5599</v>
      </c>
      <c r="B550" t="s">
        <v>22</v>
      </c>
      <c r="F550" t="s">
        <v>53</v>
      </c>
      <c r="G550" t="s">
        <v>5604</v>
      </c>
    </row>
    <row r="551" spans="1:7" x14ac:dyDescent="0.25">
      <c r="A551">
        <v>5599</v>
      </c>
      <c r="B551" t="s">
        <v>22</v>
      </c>
      <c r="F551" t="s">
        <v>55</v>
      </c>
      <c r="G551" t="s">
        <v>5604</v>
      </c>
    </row>
    <row r="552" spans="1:7" x14ac:dyDescent="0.25">
      <c r="A552">
        <v>5599</v>
      </c>
      <c r="B552" t="s">
        <v>22</v>
      </c>
      <c r="F552" t="s">
        <v>5605</v>
      </c>
      <c r="G552" t="s">
        <v>5604</v>
      </c>
    </row>
    <row r="553" spans="1:7" x14ac:dyDescent="0.25">
      <c r="A553">
        <v>5600</v>
      </c>
      <c r="B553" t="s">
        <v>21</v>
      </c>
      <c r="F553" t="s">
        <v>5603</v>
      </c>
      <c r="G553" t="s">
        <v>5604</v>
      </c>
    </row>
    <row r="554" spans="1:7" x14ac:dyDescent="0.25">
      <c r="A554">
        <v>5600</v>
      </c>
      <c r="B554" t="s">
        <v>21</v>
      </c>
      <c r="F554" t="s">
        <v>53</v>
      </c>
      <c r="G554" t="s">
        <v>5604</v>
      </c>
    </row>
    <row r="555" spans="1:7" x14ac:dyDescent="0.25">
      <c r="A555">
        <v>5600</v>
      </c>
      <c r="B555" t="s">
        <v>21</v>
      </c>
      <c r="F555" t="s">
        <v>55</v>
      </c>
      <c r="G555" t="s">
        <v>5604</v>
      </c>
    </row>
    <row r="556" spans="1:7" x14ac:dyDescent="0.25">
      <c r="A556">
        <v>5600</v>
      </c>
      <c r="B556" t="s">
        <v>21</v>
      </c>
      <c r="F556" t="s">
        <v>5605</v>
      </c>
      <c r="G556" t="s">
        <v>5604</v>
      </c>
    </row>
    <row r="557" spans="1:7" x14ac:dyDescent="0.25">
      <c r="A557">
        <v>5601</v>
      </c>
      <c r="B557" t="s">
        <v>22</v>
      </c>
      <c r="F557" t="s">
        <v>5603</v>
      </c>
      <c r="G557" t="s">
        <v>5604</v>
      </c>
    </row>
    <row r="558" spans="1:7" x14ac:dyDescent="0.25">
      <c r="A558">
        <v>5601</v>
      </c>
      <c r="B558" t="s">
        <v>22</v>
      </c>
      <c r="F558" t="s">
        <v>53</v>
      </c>
      <c r="G558" t="s">
        <v>5604</v>
      </c>
    </row>
    <row r="559" spans="1:7" x14ac:dyDescent="0.25">
      <c r="A559">
        <v>5601</v>
      </c>
      <c r="B559" t="s">
        <v>22</v>
      </c>
      <c r="F559" t="s">
        <v>55</v>
      </c>
      <c r="G559" t="s">
        <v>5604</v>
      </c>
    </row>
    <row r="560" spans="1:7" x14ac:dyDescent="0.25">
      <c r="A560">
        <v>5601</v>
      </c>
      <c r="B560" t="s">
        <v>22</v>
      </c>
      <c r="F560" t="s">
        <v>5605</v>
      </c>
      <c r="G560" t="s">
        <v>5604</v>
      </c>
    </row>
    <row r="561" spans="1:7" x14ac:dyDescent="0.25">
      <c r="A561">
        <v>5602</v>
      </c>
      <c r="B561" t="s">
        <v>21</v>
      </c>
      <c r="F561" t="s">
        <v>5603</v>
      </c>
      <c r="G561" t="s">
        <v>5604</v>
      </c>
    </row>
    <row r="562" spans="1:7" x14ac:dyDescent="0.25">
      <c r="A562">
        <v>5602</v>
      </c>
      <c r="B562" t="s">
        <v>21</v>
      </c>
      <c r="F562" t="s">
        <v>53</v>
      </c>
      <c r="G562" t="s">
        <v>5604</v>
      </c>
    </row>
    <row r="563" spans="1:7" x14ac:dyDescent="0.25">
      <c r="A563">
        <v>5602</v>
      </c>
      <c r="B563" t="s">
        <v>21</v>
      </c>
      <c r="F563" t="s">
        <v>55</v>
      </c>
      <c r="G563" t="s">
        <v>5604</v>
      </c>
    </row>
    <row r="564" spans="1:7" x14ac:dyDescent="0.25">
      <c r="A564">
        <v>5602</v>
      </c>
      <c r="B564" t="s">
        <v>21</v>
      </c>
      <c r="F564" t="s">
        <v>5605</v>
      </c>
      <c r="G564" t="s">
        <v>5604</v>
      </c>
    </row>
    <row r="565" spans="1:7" x14ac:dyDescent="0.25">
      <c r="A565">
        <v>5603</v>
      </c>
      <c r="B565" t="s">
        <v>22</v>
      </c>
      <c r="F565" t="s">
        <v>5603</v>
      </c>
      <c r="G565" t="s">
        <v>5604</v>
      </c>
    </row>
    <row r="566" spans="1:7" x14ac:dyDescent="0.25">
      <c r="A566">
        <v>5603</v>
      </c>
      <c r="B566" t="s">
        <v>22</v>
      </c>
      <c r="F566" t="s">
        <v>53</v>
      </c>
      <c r="G566" t="s">
        <v>5604</v>
      </c>
    </row>
    <row r="567" spans="1:7" x14ac:dyDescent="0.25">
      <c r="A567">
        <v>5603</v>
      </c>
      <c r="B567" t="s">
        <v>22</v>
      </c>
      <c r="F567" t="s">
        <v>55</v>
      </c>
      <c r="G567" t="s">
        <v>5604</v>
      </c>
    </row>
    <row r="568" spans="1:7" x14ac:dyDescent="0.25">
      <c r="A568">
        <v>5603</v>
      </c>
      <c r="B568" t="s">
        <v>22</v>
      </c>
      <c r="F568" t="s">
        <v>5605</v>
      </c>
      <c r="G568" t="s">
        <v>5604</v>
      </c>
    </row>
    <row r="569" spans="1:7" x14ac:dyDescent="0.25">
      <c r="A569">
        <v>5604</v>
      </c>
      <c r="B569" t="s">
        <v>22</v>
      </c>
      <c r="F569" t="s">
        <v>5603</v>
      </c>
      <c r="G569" t="s">
        <v>5604</v>
      </c>
    </row>
    <row r="570" spans="1:7" x14ac:dyDescent="0.25">
      <c r="A570">
        <v>5604</v>
      </c>
      <c r="B570" t="s">
        <v>22</v>
      </c>
      <c r="F570" t="s">
        <v>53</v>
      </c>
      <c r="G570" t="s">
        <v>5604</v>
      </c>
    </row>
    <row r="571" spans="1:7" x14ac:dyDescent="0.25">
      <c r="A571">
        <v>5604</v>
      </c>
      <c r="B571" t="s">
        <v>22</v>
      </c>
      <c r="F571" t="s">
        <v>55</v>
      </c>
      <c r="G571" t="s">
        <v>5604</v>
      </c>
    </row>
    <row r="572" spans="1:7" x14ac:dyDescent="0.25">
      <c r="A572">
        <v>5604</v>
      </c>
      <c r="B572" t="s">
        <v>22</v>
      </c>
      <c r="F572" t="s">
        <v>5605</v>
      </c>
      <c r="G572" t="s">
        <v>5604</v>
      </c>
    </row>
    <row r="573" spans="1:7" x14ac:dyDescent="0.25">
      <c r="A573">
        <v>5605</v>
      </c>
      <c r="B573" t="s">
        <v>22</v>
      </c>
      <c r="E573" t="s">
        <v>130</v>
      </c>
      <c r="F573" t="s">
        <v>5603</v>
      </c>
      <c r="G573" t="s">
        <v>5604</v>
      </c>
    </row>
    <row r="574" spans="1:7" x14ac:dyDescent="0.25">
      <c r="A574">
        <v>5605</v>
      </c>
      <c r="B574" t="s">
        <v>22</v>
      </c>
      <c r="E574" t="s">
        <v>130</v>
      </c>
      <c r="F574" t="s">
        <v>53</v>
      </c>
      <c r="G574" t="s">
        <v>5604</v>
      </c>
    </row>
    <row r="575" spans="1:7" x14ac:dyDescent="0.25">
      <c r="A575">
        <v>5606</v>
      </c>
      <c r="B575" t="s">
        <v>21</v>
      </c>
      <c r="F575" t="s">
        <v>5603</v>
      </c>
      <c r="G575" t="s">
        <v>5604</v>
      </c>
    </row>
    <row r="576" spans="1:7" x14ac:dyDescent="0.25">
      <c r="A576">
        <v>5606</v>
      </c>
      <c r="B576" t="s">
        <v>21</v>
      </c>
      <c r="F576" t="s">
        <v>53</v>
      </c>
      <c r="G576" t="s">
        <v>5604</v>
      </c>
    </row>
    <row r="577" spans="1:7" x14ac:dyDescent="0.25">
      <c r="A577">
        <v>5606</v>
      </c>
      <c r="B577" t="s">
        <v>21</v>
      </c>
      <c r="F577" t="s">
        <v>55</v>
      </c>
      <c r="G577" t="s">
        <v>5604</v>
      </c>
    </row>
    <row r="578" spans="1:7" x14ac:dyDescent="0.25">
      <c r="A578">
        <v>5606</v>
      </c>
      <c r="B578" t="s">
        <v>21</v>
      </c>
      <c r="F578" t="s">
        <v>5605</v>
      </c>
      <c r="G578" t="s">
        <v>5604</v>
      </c>
    </row>
    <row r="579" spans="1:7" x14ac:dyDescent="0.25">
      <c r="A579">
        <v>5607</v>
      </c>
      <c r="B579" t="s">
        <v>21</v>
      </c>
      <c r="F579" t="s">
        <v>5603</v>
      </c>
      <c r="G579" t="s">
        <v>5604</v>
      </c>
    </row>
    <row r="580" spans="1:7" x14ac:dyDescent="0.25">
      <c r="A580">
        <v>5607</v>
      </c>
      <c r="B580" t="s">
        <v>21</v>
      </c>
      <c r="F580" t="s">
        <v>53</v>
      </c>
      <c r="G580" t="s">
        <v>5604</v>
      </c>
    </row>
    <row r="581" spans="1:7" x14ac:dyDescent="0.25">
      <c r="A581">
        <v>5607</v>
      </c>
      <c r="B581" t="s">
        <v>21</v>
      </c>
      <c r="F581" t="s">
        <v>55</v>
      </c>
      <c r="G581" t="s">
        <v>5604</v>
      </c>
    </row>
    <row r="582" spans="1:7" x14ac:dyDescent="0.25">
      <c r="A582">
        <v>5607</v>
      </c>
      <c r="B582" t="s">
        <v>21</v>
      </c>
      <c r="F582" t="s">
        <v>5605</v>
      </c>
      <c r="G582" t="s">
        <v>5604</v>
      </c>
    </row>
    <row r="583" spans="1:7" x14ac:dyDescent="0.25">
      <c r="A583">
        <v>5608</v>
      </c>
      <c r="B583" t="s">
        <v>21</v>
      </c>
      <c r="F583" t="s">
        <v>5603</v>
      </c>
      <c r="G583" t="s">
        <v>5604</v>
      </c>
    </row>
    <row r="584" spans="1:7" x14ac:dyDescent="0.25">
      <c r="A584">
        <v>5608</v>
      </c>
      <c r="B584" t="s">
        <v>21</v>
      </c>
      <c r="F584" t="s">
        <v>53</v>
      </c>
      <c r="G584" t="s">
        <v>5604</v>
      </c>
    </row>
    <row r="585" spans="1:7" x14ac:dyDescent="0.25">
      <c r="A585">
        <v>5608</v>
      </c>
      <c r="B585" t="s">
        <v>21</v>
      </c>
      <c r="F585" t="s">
        <v>55</v>
      </c>
      <c r="G585" t="s">
        <v>5604</v>
      </c>
    </row>
    <row r="586" spans="1:7" x14ac:dyDescent="0.25">
      <c r="A586">
        <v>5608</v>
      </c>
      <c r="B586" t="s">
        <v>21</v>
      </c>
      <c r="F586" t="s">
        <v>5605</v>
      </c>
      <c r="G586" t="s">
        <v>5604</v>
      </c>
    </row>
    <row r="587" spans="1:7" x14ac:dyDescent="0.25">
      <c r="A587">
        <v>5609</v>
      </c>
      <c r="B587" t="s">
        <v>21</v>
      </c>
      <c r="F587" t="s">
        <v>5603</v>
      </c>
      <c r="G587" t="s">
        <v>5604</v>
      </c>
    </row>
    <row r="588" spans="1:7" x14ac:dyDescent="0.25">
      <c r="A588">
        <v>5609</v>
      </c>
      <c r="B588" t="s">
        <v>21</v>
      </c>
      <c r="F588" t="s">
        <v>53</v>
      </c>
      <c r="G588" t="s">
        <v>5604</v>
      </c>
    </row>
    <row r="589" spans="1:7" x14ac:dyDescent="0.25">
      <c r="A589">
        <v>5609</v>
      </c>
      <c r="B589" t="s">
        <v>21</v>
      </c>
      <c r="F589" t="s">
        <v>55</v>
      </c>
      <c r="G589" t="s">
        <v>5604</v>
      </c>
    </row>
    <row r="590" spans="1:7" x14ac:dyDescent="0.25">
      <c r="A590">
        <v>5609</v>
      </c>
      <c r="B590" t="s">
        <v>21</v>
      </c>
      <c r="F590" t="s">
        <v>5605</v>
      </c>
      <c r="G590" t="s">
        <v>5604</v>
      </c>
    </row>
    <row r="591" spans="1:7" x14ac:dyDescent="0.25">
      <c r="A591">
        <v>5610</v>
      </c>
      <c r="B591" t="s">
        <v>21</v>
      </c>
      <c r="F591" t="s">
        <v>5603</v>
      </c>
      <c r="G591" t="s">
        <v>5604</v>
      </c>
    </row>
    <row r="592" spans="1:7" x14ac:dyDescent="0.25">
      <c r="A592">
        <v>5610</v>
      </c>
      <c r="B592" t="s">
        <v>21</v>
      </c>
      <c r="F592" t="s">
        <v>53</v>
      </c>
      <c r="G592" t="s">
        <v>5604</v>
      </c>
    </row>
    <row r="593" spans="1:7" x14ac:dyDescent="0.25">
      <c r="A593">
        <v>5610</v>
      </c>
      <c r="B593" t="s">
        <v>21</v>
      </c>
      <c r="F593" t="s">
        <v>55</v>
      </c>
      <c r="G593" t="s">
        <v>5604</v>
      </c>
    </row>
    <row r="594" spans="1:7" x14ac:dyDescent="0.25">
      <c r="A594">
        <v>5610</v>
      </c>
      <c r="B594" t="s">
        <v>21</v>
      </c>
      <c r="F594" t="s">
        <v>5605</v>
      </c>
      <c r="G594" t="s">
        <v>5604</v>
      </c>
    </row>
    <row r="595" spans="1:7" x14ac:dyDescent="0.25">
      <c r="A595">
        <v>5611</v>
      </c>
      <c r="B595" t="s">
        <v>22</v>
      </c>
      <c r="F595" t="s">
        <v>5603</v>
      </c>
      <c r="G595" t="s">
        <v>5604</v>
      </c>
    </row>
    <row r="596" spans="1:7" x14ac:dyDescent="0.25">
      <c r="A596">
        <v>5611</v>
      </c>
      <c r="B596" t="s">
        <v>22</v>
      </c>
      <c r="F596" t="s">
        <v>53</v>
      </c>
      <c r="G596" t="s">
        <v>5604</v>
      </c>
    </row>
    <row r="597" spans="1:7" x14ac:dyDescent="0.25">
      <c r="A597">
        <v>5611</v>
      </c>
      <c r="B597" t="s">
        <v>22</v>
      </c>
      <c r="F597" t="s">
        <v>55</v>
      </c>
      <c r="G597" t="s">
        <v>5604</v>
      </c>
    </row>
    <row r="598" spans="1:7" x14ac:dyDescent="0.25">
      <c r="A598">
        <v>5612</v>
      </c>
      <c r="B598" t="s">
        <v>22</v>
      </c>
      <c r="F598" t="s">
        <v>5603</v>
      </c>
      <c r="G598" t="s">
        <v>5604</v>
      </c>
    </row>
    <row r="599" spans="1:7" x14ac:dyDescent="0.25">
      <c r="A599">
        <v>5612</v>
      </c>
      <c r="B599" t="s">
        <v>22</v>
      </c>
      <c r="F599" t="s">
        <v>53</v>
      </c>
      <c r="G599" t="s">
        <v>5604</v>
      </c>
    </row>
    <row r="600" spans="1:7" x14ac:dyDescent="0.25">
      <c r="A600">
        <v>5612</v>
      </c>
      <c r="B600" t="s">
        <v>22</v>
      </c>
      <c r="F600" t="s">
        <v>55</v>
      </c>
      <c r="G600" t="s">
        <v>5604</v>
      </c>
    </row>
    <row r="601" spans="1:7" x14ac:dyDescent="0.25">
      <c r="A601">
        <v>5612</v>
      </c>
      <c r="B601" t="s">
        <v>22</v>
      </c>
      <c r="F601" t="s">
        <v>5605</v>
      </c>
      <c r="G601" t="s">
        <v>5604</v>
      </c>
    </row>
    <row r="602" spans="1:7" x14ac:dyDescent="0.25">
      <c r="A602">
        <v>5613</v>
      </c>
      <c r="B602" t="s">
        <v>21</v>
      </c>
      <c r="E602" t="s">
        <v>130</v>
      </c>
      <c r="F602" t="s">
        <v>5603</v>
      </c>
      <c r="G602" t="s">
        <v>5604</v>
      </c>
    </row>
    <row r="603" spans="1:7" x14ac:dyDescent="0.25">
      <c r="A603">
        <v>5613</v>
      </c>
      <c r="B603" t="s">
        <v>21</v>
      </c>
      <c r="E603" t="s">
        <v>130</v>
      </c>
      <c r="F603" t="s">
        <v>53</v>
      </c>
      <c r="G603" t="s">
        <v>5604</v>
      </c>
    </row>
    <row r="604" spans="1:7" x14ac:dyDescent="0.25">
      <c r="A604">
        <v>5614</v>
      </c>
      <c r="B604" t="s">
        <v>22</v>
      </c>
      <c r="F604" t="s">
        <v>5603</v>
      </c>
      <c r="G604" t="s">
        <v>5604</v>
      </c>
    </row>
    <row r="605" spans="1:7" x14ac:dyDescent="0.25">
      <c r="A605">
        <v>5614</v>
      </c>
      <c r="B605" t="s">
        <v>22</v>
      </c>
      <c r="F605" t="s">
        <v>53</v>
      </c>
      <c r="G605" t="s">
        <v>5604</v>
      </c>
    </row>
    <row r="606" spans="1:7" x14ac:dyDescent="0.25">
      <c r="A606">
        <v>5614</v>
      </c>
      <c r="B606" t="s">
        <v>22</v>
      </c>
      <c r="F606" t="s">
        <v>55</v>
      </c>
      <c r="G606" t="s">
        <v>5604</v>
      </c>
    </row>
    <row r="607" spans="1:7" x14ac:dyDescent="0.25">
      <c r="A607">
        <v>5615</v>
      </c>
      <c r="B607" t="s">
        <v>22</v>
      </c>
      <c r="F607" t="s">
        <v>5603</v>
      </c>
      <c r="G607" t="s">
        <v>5604</v>
      </c>
    </row>
    <row r="608" spans="1:7" x14ac:dyDescent="0.25">
      <c r="A608">
        <v>5615</v>
      </c>
      <c r="B608" t="s">
        <v>22</v>
      </c>
      <c r="F608" t="s">
        <v>53</v>
      </c>
      <c r="G608" t="s">
        <v>5604</v>
      </c>
    </row>
    <row r="609" spans="1:7" x14ac:dyDescent="0.25">
      <c r="A609">
        <v>5615</v>
      </c>
      <c r="B609" t="s">
        <v>22</v>
      </c>
      <c r="F609" t="s">
        <v>55</v>
      </c>
      <c r="G609" t="s">
        <v>5604</v>
      </c>
    </row>
    <row r="610" spans="1:7" x14ac:dyDescent="0.25">
      <c r="A610">
        <v>5615</v>
      </c>
      <c r="B610" t="s">
        <v>22</v>
      </c>
      <c r="F610" t="s">
        <v>5605</v>
      </c>
      <c r="G610" t="s">
        <v>5604</v>
      </c>
    </row>
    <row r="611" spans="1:7" x14ac:dyDescent="0.25">
      <c r="A611">
        <v>5616</v>
      </c>
      <c r="B611" t="s">
        <v>21</v>
      </c>
      <c r="F611" t="s">
        <v>5603</v>
      </c>
      <c r="G611" t="s">
        <v>5604</v>
      </c>
    </row>
    <row r="612" spans="1:7" x14ac:dyDescent="0.25">
      <c r="A612">
        <v>5616</v>
      </c>
      <c r="B612" t="s">
        <v>21</v>
      </c>
      <c r="F612" t="s">
        <v>53</v>
      </c>
      <c r="G612" t="s">
        <v>5604</v>
      </c>
    </row>
    <row r="613" spans="1:7" x14ac:dyDescent="0.25">
      <c r="A613">
        <v>5616</v>
      </c>
      <c r="B613" t="s">
        <v>21</v>
      </c>
      <c r="F613" t="s">
        <v>55</v>
      </c>
      <c r="G613" t="s">
        <v>5604</v>
      </c>
    </row>
    <row r="614" spans="1:7" x14ac:dyDescent="0.25">
      <c r="A614">
        <v>5616</v>
      </c>
      <c r="B614" t="s">
        <v>21</v>
      </c>
      <c r="F614" t="s">
        <v>5605</v>
      </c>
      <c r="G614" t="s">
        <v>5604</v>
      </c>
    </row>
    <row r="615" spans="1:7" x14ac:dyDescent="0.25">
      <c r="A615">
        <v>5617</v>
      </c>
      <c r="B615" t="s">
        <v>21</v>
      </c>
      <c r="F615" t="s">
        <v>5603</v>
      </c>
      <c r="G615" t="s">
        <v>5604</v>
      </c>
    </row>
    <row r="616" spans="1:7" x14ac:dyDescent="0.25">
      <c r="A616">
        <v>5617</v>
      </c>
      <c r="B616" t="s">
        <v>21</v>
      </c>
      <c r="F616" t="s">
        <v>53</v>
      </c>
      <c r="G616" t="s">
        <v>5604</v>
      </c>
    </row>
    <row r="617" spans="1:7" x14ac:dyDescent="0.25">
      <c r="A617">
        <v>5617</v>
      </c>
      <c r="B617" t="s">
        <v>21</v>
      </c>
      <c r="F617" t="s">
        <v>55</v>
      </c>
      <c r="G617" t="s">
        <v>5604</v>
      </c>
    </row>
    <row r="618" spans="1:7" x14ac:dyDescent="0.25">
      <c r="A618">
        <v>5617</v>
      </c>
      <c r="B618" t="s">
        <v>21</v>
      </c>
      <c r="F618" t="s">
        <v>5605</v>
      </c>
      <c r="G618" t="s">
        <v>5604</v>
      </c>
    </row>
    <row r="619" spans="1:7" x14ac:dyDescent="0.25">
      <c r="A619">
        <v>5618</v>
      </c>
      <c r="B619" t="s">
        <v>21</v>
      </c>
      <c r="F619" t="s">
        <v>5603</v>
      </c>
      <c r="G619" t="s">
        <v>5604</v>
      </c>
    </row>
    <row r="620" spans="1:7" x14ac:dyDescent="0.25">
      <c r="A620">
        <v>5618</v>
      </c>
      <c r="B620" t="s">
        <v>21</v>
      </c>
      <c r="F620" t="s">
        <v>53</v>
      </c>
      <c r="G620" t="s">
        <v>5604</v>
      </c>
    </row>
    <row r="621" spans="1:7" x14ac:dyDescent="0.25">
      <c r="A621">
        <v>5618</v>
      </c>
      <c r="B621" t="s">
        <v>21</v>
      </c>
      <c r="F621" t="s">
        <v>55</v>
      </c>
      <c r="G621" t="s">
        <v>5604</v>
      </c>
    </row>
    <row r="622" spans="1:7" x14ac:dyDescent="0.25">
      <c r="A622">
        <v>5618</v>
      </c>
      <c r="B622" t="s">
        <v>21</v>
      </c>
      <c r="F622" t="s">
        <v>5605</v>
      </c>
      <c r="G622" t="s">
        <v>5604</v>
      </c>
    </row>
    <row r="623" spans="1:7" x14ac:dyDescent="0.25">
      <c r="A623">
        <v>5619</v>
      </c>
      <c r="B623" t="s">
        <v>21</v>
      </c>
      <c r="F623" t="s">
        <v>5603</v>
      </c>
      <c r="G623" t="s">
        <v>5604</v>
      </c>
    </row>
    <row r="624" spans="1:7" x14ac:dyDescent="0.25">
      <c r="A624">
        <v>5619</v>
      </c>
      <c r="B624" t="s">
        <v>21</v>
      </c>
      <c r="F624" t="s">
        <v>53</v>
      </c>
      <c r="G624" t="s">
        <v>5604</v>
      </c>
    </row>
    <row r="625" spans="1:7" x14ac:dyDescent="0.25">
      <c r="A625">
        <v>5619</v>
      </c>
      <c r="B625" t="s">
        <v>21</v>
      </c>
      <c r="F625" t="s">
        <v>55</v>
      </c>
      <c r="G625" t="s">
        <v>5604</v>
      </c>
    </row>
    <row r="626" spans="1:7" x14ac:dyDescent="0.25">
      <c r="A626">
        <v>5619</v>
      </c>
      <c r="B626" t="s">
        <v>21</v>
      </c>
      <c r="F626" t="s">
        <v>5605</v>
      </c>
      <c r="G626" t="s">
        <v>5604</v>
      </c>
    </row>
    <row r="627" spans="1:7" x14ac:dyDescent="0.25">
      <c r="A627">
        <v>5620</v>
      </c>
      <c r="B627" t="s">
        <v>22</v>
      </c>
      <c r="E627" t="s">
        <v>130</v>
      </c>
      <c r="F627" t="s">
        <v>5603</v>
      </c>
      <c r="G627" t="s">
        <v>5604</v>
      </c>
    </row>
    <row r="628" spans="1:7" x14ac:dyDescent="0.25">
      <c r="A628">
        <v>5620</v>
      </c>
      <c r="B628" t="s">
        <v>22</v>
      </c>
      <c r="E628" t="s">
        <v>130</v>
      </c>
      <c r="F628" t="s">
        <v>53</v>
      </c>
      <c r="G628" t="s">
        <v>5604</v>
      </c>
    </row>
    <row r="629" spans="1:7" x14ac:dyDescent="0.25">
      <c r="A629">
        <v>5621</v>
      </c>
      <c r="B629" t="s">
        <v>22</v>
      </c>
      <c r="F629" t="s">
        <v>5603</v>
      </c>
      <c r="G629" t="s">
        <v>5604</v>
      </c>
    </row>
    <row r="630" spans="1:7" x14ac:dyDescent="0.25">
      <c r="A630">
        <v>5621</v>
      </c>
      <c r="B630" t="s">
        <v>22</v>
      </c>
      <c r="F630" t="s">
        <v>53</v>
      </c>
      <c r="G630" t="s">
        <v>5604</v>
      </c>
    </row>
    <row r="631" spans="1:7" x14ac:dyDescent="0.25">
      <c r="A631">
        <v>5621</v>
      </c>
      <c r="B631" t="s">
        <v>22</v>
      </c>
      <c r="F631" t="s">
        <v>55</v>
      </c>
      <c r="G631" t="s">
        <v>5604</v>
      </c>
    </row>
    <row r="632" spans="1:7" x14ac:dyDescent="0.25">
      <c r="A632">
        <v>5622</v>
      </c>
      <c r="B632" t="s">
        <v>21</v>
      </c>
      <c r="F632" t="s">
        <v>5603</v>
      </c>
      <c r="G632" t="s">
        <v>5604</v>
      </c>
    </row>
    <row r="633" spans="1:7" x14ac:dyDescent="0.25">
      <c r="A633">
        <v>5622</v>
      </c>
      <c r="B633" t="s">
        <v>21</v>
      </c>
      <c r="F633" t="s">
        <v>53</v>
      </c>
      <c r="G633" t="s">
        <v>5604</v>
      </c>
    </row>
    <row r="634" spans="1:7" x14ac:dyDescent="0.25">
      <c r="A634">
        <v>5622</v>
      </c>
      <c r="B634" t="s">
        <v>21</v>
      </c>
      <c r="F634" t="s">
        <v>55</v>
      </c>
      <c r="G634" t="s">
        <v>5604</v>
      </c>
    </row>
    <row r="635" spans="1:7" x14ac:dyDescent="0.25">
      <c r="A635">
        <v>5622</v>
      </c>
      <c r="B635" t="s">
        <v>21</v>
      </c>
      <c r="F635" t="s">
        <v>5605</v>
      </c>
      <c r="G635" t="s">
        <v>5604</v>
      </c>
    </row>
    <row r="636" spans="1:7" x14ac:dyDescent="0.25">
      <c r="A636">
        <v>5623</v>
      </c>
      <c r="B636" t="s">
        <v>21</v>
      </c>
      <c r="F636" t="s">
        <v>5603</v>
      </c>
      <c r="G636" t="s">
        <v>5604</v>
      </c>
    </row>
    <row r="637" spans="1:7" x14ac:dyDescent="0.25">
      <c r="A637">
        <v>5623</v>
      </c>
      <c r="B637" t="s">
        <v>21</v>
      </c>
      <c r="F637" t="s">
        <v>53</v>
      </c>
      <c r="G637" t="s">
        <v>5604</v>
      </c>
    </row>
    <row r="638" spans="1:7" x14ac:dyDescent="0.25">
      <c r="A638">
        <v>5623</v>
      </c>
      <c r="B638" t="s">
        <v>21</v>
      </c>
      <c r="F638" t="s">
        <v>55</v>
      </c>
      <c r="G638" t="s">
        <v>5604</v>
      </c>
    </row>
    <row r="639" spans="1:7" x14ac:dyDescent="0.25">
      <c r="A639">
        <v>5623</v>
      </c>
      <c r="B639" t="s">
        <v>21</v>
      </c>
      <c r="F639" t="s">
        <v>5605</v>
      </c>
      <c r="G639" t="s">
        <v>5604</v>
      </c>
    </row>
    <row r="640" spans="1:7" x14ac:dyDescent="0.25">
      <c r="A640">
        <v>5624</v>
      </c>
      <c r="B640" t="s">
        <v>21</v>
      </c>
      <c r="F640" t="s">
        <v>5603</v>
      </c>
      <c r="G640" t="s">
        <v>5604</v>
      </c>
    </row>
    <row r="641" spans="1:7" x14ac:dyDescent="0.25">
      <c r="A641">
        <v>5624</v>
      </c>
      <c r="B641" t="s">
        <v>21</v>
      </c>
      <c r="F641" t="s">
        <v>53</v>
      </c>
      <c r="G641" t="s">
        <v>5604</v>
      </c>
    </row>
    <row r="642" spans="1:7" x14ac:dyDescent="0.25">
      <c r="A642">
        <v>5624</v>
      </c>
      <c r="B642" t="s">
        <v>21</v>
      </c>
      <c r="F642" t="s">
        <v>55</v>
      </c>
      <c r="G642" t="s">
        <v>5604</v>
      </c>
    </row>
    <row r="643" spans="1:7" x14ac:dyDescent="0.25">
      <c r="A643">
        <v>5625</v>
      </c>
      <c r="B643" t="s">
        <v>22</v>
      </c>
      <c r="F643" t="s">
        <v>5603</v>
      </c>
      <c r="G643" t="s">
        <v>5604</v>
      </c>
    </row>
    <row r="644" spans="1:7" x14ac:dyDescent="0.25">
      <c r="A644">
        <v>5625</v>
      </c>
      <c r="B644" t="s">
        <v>22</v>
      </c>
      <c r="F644" t="s">
        <v>53</v>
      </c>
      <c r="G644" t="s">
        <v>5604</v>
      </c>
    </row>
    <row r="645" spans="1:7" x14ac:dyDescent="0.25">
      <c r="A645">
        <v>5625</v>
      </c>
      <c r="B645" t="s">
        <v>22</v>
      </c>
      <c r="F645" t="s">
        <v>55</v>
      </c>
      <c r="G645" t="s">
        <v>5604</v>
      </c>
    </row>
    <row r="646" spans="1:7" x14ac:dyDescent="0.25">
      <c r="A646">
        <v>5626</v>
      </c>
      <c r="B646" t="s">
        <v>22</v>
      </c>
      <c r="F646" t="s">
        <v>5603</v>
      </c>
      <c r="G646" t="s">
        <v>5604</v>
      </c>
    </row>
    <row r="647" spans="1:7" x14ac:dyDescent="0.25">
      <c r="A647">
        <v>5626</v>
      </c>
      <c r="B647" t="s">
        <v>22</v>
      </c>
      <c r="F647" t="s">
        <v>53</v>
      </c>
      <c r="G647" t="s">
        <v>5604</v>
      </c>
    </row>
    <row r="648" spans="1:7" x14ac:dyDescent="0.25">
      <c r="A648">
        <v>5626</v>
      </c>
      <c r="B648" t="s">
        <v>22</v>
      </c>
      <c r="F648" t="s">
        <v>55</v>
      </c>
      <c r="G648" t="s">
        <v>5604</v>
      </c>
    </row>
    <row r="649" spans="1:7" x14ac:dyDescent="0.25">
      <c r="A649">
        <v>5626</v>
      </c>
      <c r="B649" t="s">
        <v>22</v>
      </c>
      <c r="F649" t="s">
        <v>5605</v>
      </c>
      <c r="G649" t="s">
        <v>5604</v>
      </c>
    </row>
    <row r="650" spans="1:7" x14ac:dyDescent="0.25">
      <c r="A650">
        <v>5627</v>
      </c>
      <c r="B650" t="s">
        <v>21</v>
      </c>
      <c r="F650" t="s">
        <v>5603</v>
      </c>
      <c r="G650" t="s">
        <v>5604</v>
      </c>
    </row>
    <row r="651" spans="1:7" x14ac:dyDescent="0.25">
      <c r="A651">
        <v>5627</v>
      </c>
      <c r="B651" t="s">
        <v>21</v>
      </c>
      <c r="F651" t="s">
        <v>53</v>
      </c>
      <c r="G651" t="s">
        <v>5604</v>
      </c>
    </row>
    <row r="652" spans="1:7" x14ac:dyDescent="0.25">
      <c r="A652">
        <v>5627</v>
      </c>
      <c r="B652" t="s">
        <v>21</v>
      </c>
      <c r="F652" t="s">
        <v>55</v>
      </c>
      <c r="G652" t="s">
        <v>5604</v>
      </c>
    </row>
    <row r="653" spans="1:7" x14ac:dyDescent="0.25">
      <c r="A653">
        <v>5627</v>
      </c>
      <c r="B653" t="s">
        <v>21</v>
      </c>
      <c r="F653" t="s">
        <v>5605</v>
      </c>
      <c r="G653" t="s">
        <v>5604</v>
      </c>
    </row>
    <row r="654" spans="1:7" x14ac:dyDescent="0.25">
      <c r="A654">
        <v>5628</v>
      </c>
      <c r="B654" t="s">
        <v>22</v>
      </c>
      <c r="F654" t="s">
        <v>5603</v>
      </c>
      <c r="G654" t="s">
        <v>5604</v>
      </c>
    </row>
    <row r="655" spans="1:7" x14ac:dyDescent="0.25">
      <c r="A655">
        <v>5628</v>
      </c>
      <c r="B655" t="s">
        <v>22</v>
      </c>
      <c r="F655" t="s">
        <v>53</v>
      </c>
      <c r="G655" t="s">
        <v>5604</v>
      </c>
    </row>
    <row r="656" spans="1:7" x14ac:dyDescent="0.25">
      <c r="A656">
        <v>5628</v>
      </c>
      <c r="B656" t="s">
        <v>22</v>
      </c>
      <c r="F656" t="s">
        <v>55</v>
      </c>
      <c r="G656" t="s">
        <v>5604</v>
      </c>
    </row>
    <row r="657" spans="1:7" x14ac:dyDescent="0.25">
      <c r="A657">
        <v>5629</v>
      </c>
      <c r="B657" t="s">
        <v>21</v>
      </c>
      <c r="F657" t="s">
        <v>5603</v>
      </c>
      <c r="G657" t="s">
        <v>5604</v>
      </c>
    </row>
    <row r="658" spans="1:7" x14ac:dyDescent="0.25">
      <c r="A658">
        <v>5629</v>
      </c>
      <c r="B658" t="s">
        <v>21</v>
      </c>
      <c r="F658" t="s">
        <v>53</v>
      </c>
      <c r="G658" t="s">
        <v>5604</v>
      </c>
    </row>
    <row r="659" spans="1:7" x14ac:dyDescent="0.25">
      <c r="A659">
        <v>5629</v>
      </c>
      <c r="B659" t="s">
        <v>21</v>
      </c>
      <c r="F659" t="s">
        <v>55</v>
      </c>
      <c r="G659" t="s">
        <v>5604</v>
      </c>
    </row>
    <row r="660" spans="1:7" x14ac:dyDescent="0.25">
      <c r="A660">
        <v>5629</v>
      </c>
      <c r="B660" t="s">
        <v>21</v>
      </c>
      <c r="F660" t="s">
        <v>5605</v>
      </c>
      <c r="G660" t="s">
        <v>5604</v>
      </c>
    </row>
    <row r="661" spans="1:7" x14ac:dyDescent="0.25">
      <c r="A661">
        <v>5630</v>
      </c>
      <c r="B661" t="s">
        <v>22</v>
      </c>
      <c r="F661" t="s">
        <v>5603</v>
      </c>
      <c r="G661" t="s">
        <v>5604</v>
      </c>
    </row>
    <row r="662" spans="1:7" x14ac:dyDescent="0.25">
      <c r="A662">
        <v>5630</v>
      </c>
      <c r="B662" t="s">
        <v>22</v>
      </c>
      <c r="F662" t="s">
        <v>53</v>
      </c>
      <c r="G662" t="s">
        <v>5604</v>
      </c>
    </row>
    <row r="663" spans="1:7" x14ac:dyDescent="0.25">
      <c r="A663">
        <v>5630</v>
      </c>
      <c r="B663" t="s">
        <v>22</v>
      </c>
      <c r="F663" t="s">
        <v>55</v>
      </c>
      <c r="G663" t="s">
        <v>5604</v>
      </c>
    </row>
    <row r="664" spans="1:7" x14ac:dyDescent="0.25">
      <c r="A664">
        <v>5630</v>
      </c>
      <c r="B664" t="s">
        <v>22</v>
      </c>
      <c r="F664" t="s">
        <v>5605</v>
      </c>
      <c r="G664" t="s">
        <v>5604</v>
      </c>
    </row>
    <row r="665" spans="1:7" x14ac:dyDescent="0.25">
      <c r="A665">
        <v>5630</v>
      </c>
      <c r="B665" t="s">
        <v>21</v>
      </c>
      <c r="E665" t="s">
        <v>130</v>
      </c>
      <c r="F665" t="s">
        <v>5603</v>
      </c>
      <c r="G665" t="s">
        <v>5604</v>
      </c>
    </row>
    <row r="666" spans="1:7" x14ac:dyDescent="0.25">
      <c r="A666">
        <v>5630</v>
      </c>
      <c r="B666" t="s">
        <v>21</v>
      </c>
      <c r="E666" t="s">
        <v>130</v>
      </c>
      <c r="F666" t="s">
        <v>53</v>
      </c>
      <c r="G666" t="s">
        <v>5604</v>
      </c>
    </row>
    <row r="667" spans="1:7" x14ac:dyDescent="0.25">
      <c r="A667">
        <v>5632</v>
      </c>
      <c r="B667" t="s">
        <v>22</v>
      </c>
      <c r="F667" t="s">
        <v>5603</v>
      </c>
      <c r="G667" t="s">
        <v>5604</v>
      </c>
    </row>
    <row r="668" spans="1:7" x14ac:dyDescent="0.25">
      <c r="A668">
        <v>5632</v>
      </c>
      <c r="B668" t="s">
        <v>22</v>
      </c>
      <c r="F668" t="s">
        <v>53</v>
      </c>
      <c r="G668" t="s">
        <v>5604</v>
      </c>
    </row>
    <row r="669" spans="1:7" x14ac:dyDescent="0.25">
      <c r="A669">
        <v>5632</v>
      </c>
      <c r="B669" t="s">
        <v>22</v>
      </c>
      <c r="F669" t="s">
        <v>55</v>
      </c>
      <c r="G669" t="s">
        <v>5604</v>
      </c>
    </row>
    <row r="670" spans="1:7" x14ac:dyDescent="0.25">
      <c r="A670">
        <v>5633</v>
      </c>
      <c r="B670" t="s">
        <v>22</v>
      </c>
      <c r="F670" t="s">
        <v>5603</v>
      </c>
      <c r="G670" t="s">
        <v>5604</v>
      </c>
    </row>
    <row r="671" spans="1:7" x14ac:dyDescent="0.25">
      <c r="A671">
        <v>5633</v>
      </c>
      <c r="B671" t="s">
        <v>22</v>
      </c>
      <c r="F671" t="s">
        <v>53</v>
      </c>
      <c r="G671" t="s">
        <v>5604</v>
      </c>
    </row>
    <row r="672" spans="1:7" x14ac:dyDescent="0.25">
      <c r="A672">
        <v>5633</v>
      </c>
      <c r="B672" t="s">
        <v>22</v>
      </c>
      <c r="F672" t="s">
        <v>55</v>
      </c>
      <c r="G672" t="s">
        <v>5604</v>
      </c>
    </row>
    <row r="673" spans="1:7" x14ac:dyDescent="0.25">
      <c r="A673">
        <v>5634</v>
      </c>
      <c r="B673" t="s">
        <v>22</v>
      </c>
      <c r="F673" t="s">
        <v>5603</v>
      </c>
      <c r="G673" t="s">
        <v>5604</v>
      </c>
    </row>
    <row r="674" spans="1:7" x14ac:dyDescent="0.25">
      <c r="A674">
        <v>5634</v>
      </c>
      <c r="B674" t="s">
        <v>22</v>
      </c>
      <c r="F674" t="s">
        <v>53</v>
      </c>
      <c r="G674" t="s">
        <v>5604</v>
      </c>
    </row>
    <row r="675" spans="1:7" x14ac:dyDescent="0.25">
      <c r="A675">
        <v>5634</v>
      </c>
      <c r="B675" t="s">
        <v>22</v>
      </c>
      <c r="F675" t="s">
        <v>55</v>
      </c>
      <c r="G675" t="s">
        <v>5604</v>
      </c>
    </row>
    <row r="676" spans="1:7" x14ac:dyDescent="0.25">
      <c r="A676">
        <v>5635</v>
      </c>
      <c r="B676" t="s">
        <v>21</v>
      </c>
      <c r="F676" t="s">
        <v>5603</v>
      </c>
      <c r="G676" t="s">
        <v>5604</v>
      </c>
    </row>
    <row r="677" spans="1:7" x14ac:dyDescent="0.25">
      <c r="A677">
        <v>5635</v>
      </c>
      <c r="B677" t="s">
        <v>21</v>
      </c>
      <c r="F677" t="s">
        <v>53</v>
      </c>
      <c r="G677" t="s">
        <v>5604</v>
      </c>
    </row>
    <row r="678" spans="1:7" x14ac:dyDescent="0.25">
      <c r="A678">
        <v>5635</v>
      </c>
      <c r="B678" t="s">
        <v>21</v>
      </c>
      <c r="F678" t="s">
        <v>55</v>
      </c>
      <c r="G678" t="s">
        <v>5604</v>
      </c>
    </row>
    <row r="679" spans="1:7" x14ac:dyDescent="0.25">
      <c r="A679">
        <v>5635</v>
      </c>
      <c r="B679" t="s">
        <v>21</v>
      </c>
      <c r="F679" t="s">
        <v>5605</v>
      </c>
      <c r="G679" t="s">
        <v>5604</v>
      </c>
    </row>
    <row r="680" spans="1:7" x14ac:dyDescent="0.25">
      <c r="A680">
        <v>5636</v>
      </c>
      <c r="B680" t="s">
        <v>21</v>
      </c>
      <c r="F680" t="s">
        <v>5603</v>
      </c>
      <c r="G680" t="s">
        <v>5604</v>
      </c>
    </row>
    <row r="681" spans="1:7" x14ac:dyDescent="0.25">
      <c r="A681">
        <v>5636</v>
      </c>
      <c r="B681" t="s">
        <v>21</v>
      </c>
      <c r="F681" t="s">
        <v>53</v>
      </c>
      <c r="G681" t="s">
        <v>5604</v>
      </c>
    </row>
    <row r="682" spans="1:7" x14ac:dyDescent="0.25">
      <c r="A682">
        <v>5636</v>
      </c>
      <c r="B682" t="s">
        <v>21</v>
      </c>
      <c r="F682" t="s">
        <v>55</v>
      </c>
      <c r="G682" t="s">
        <v>5604</v>
      </c>
    </row>
    <row r="683" spans="1:7" x14ac:dyDescent="0.25">
      <c r="A683">
        <v>5636</v>
      </c>
      <c r="B683" t="s">
        <v>21</v>
      </c>
      <c r="F683" t="s">
        <v>5605</v>
      </c>
      <c r="G683" t="s">
        <v>5604</v>
      </c>
    </row>
    <row r="684" spans="1:7" x14ac:dyDescent="0.25">
      <c r="A684">
        <v>5637</v>
      </c>
      <c r="B684" t="s">
        <v>22</v>
      </c>
      <c r="F684" t="s">
        <v>5603</v>
      </c>
      <c r="G684" t="s">
        <v>5604</v>
      </c>
    </row>
    <row r="685" spans="1:7" x14ac:dyDescent="0.25">
      <c r="A685">
        <v>5637</v>
      </c>
      <c r="B685" t="s">
        <v>22</v>
      </c>
      <c r="F685" t="s">
        <v>53</v>
      </c>
      <c r="G685" t="s">
        <v>5604</v>
      </c>
    </row>
    <row r="686" spans="1:7" x14ac:dyDescent="0.25">
      <c r="A686">
        <v>5637</v>
      </c>
      <c r="B686" t="s">
        <v>22</v>
      </c>
      <c r="F686" t="s">
        <v>55</v>
      </c>
      <c r="G686" t="s">
        <v>5604</v>
      </c>
    </row>
    <row r="687" spans="1:7" x14ac:dyDescent="0.25">
      <c r="A687">
        <v>5638</v>
      </c>
      <c r="B687" t="s">
        <v>22</v>
      </c>
      <c r="F687" t="s">
        <v>5603</v>
      </c>
      <c r="G687" t="s">
        <v>5604</v>
      </c>
    </row>
    <row r="688" spans="1:7" x14ac:dyDescent="0.25">
      <c r="A688">
        <v>5638</v>
      </c>
      <c r="B688" t="s">
        <v>22</v>
      </c>
      <c r="F688" t="s">
        <v>53</v>
      </c>
      <c r="G688" t="s">
        <v>5604</v>
      </c>
    </row>
    <row r="689" spans="1:7" x14ac:dyDescent="0.25">
      <c r="A689">
        <v>5638</v>
      </c>
      <c r="B689" t="s">
        <v>22</v>
      </c>
      <c r="F689" t="s">
        <v>55</v>
      </c>
      <c r="G689" t="s">
        <v>5604</v>
      </c>
    </row>
    <row r="690" spans="1:7" x14ac:dyDescent="0.25">
      <c r="A690">
        <v>5639</v>
      </c>
      <c r="B690" t="s">
        <v>21</v>
      </c>
      <c r="E690" t="s">
        <v>134</v>
      </c>
      <c r="F690" t="s">
        <v>5603</v>
      </c>
      <c r="G690" t="s">
        <v>5604</v>
      </c>
    </row>
    <row r="691" spans="1:7" x14ac:dyDescent="0.25">
      <c r="A691">
        <v>5639</v>
      </c>
      <c r="B691" t="s">
        <v>21</v>
      </c>
      <c r="E691" t="s">
        <v>134</v>
      </c>
      <c r="F691" t="s">
        <v>53</v>
      </c>
      <c r="G691" t="s">
        <v>5604</v>
      </c>
    </row>
    <row r="692" spans="1:7" x14ac:dyDescent="0.25">
      <c r="A692">
        <v>5639</v>
      </c>
      <c r="B692" t="s">
        <v>21</v>
      </c>
      <c r="E692" t="s">
        <v>134</v>
      </c>
      <c r="F692" t="s">
        <v>5605</v>
      </c>
      <c r="G692" t="s">
        <v>5604</v>
      </c>
    </row>
    <row r="693" spans="1:7" x14ac:dyDescent="0.25">
      <c r="A693">
        <v>5640</v>
      </c>
      <c r="B693" t="s">
        <v>22</v>
      </c>
      <c r="F693" t="s">
        <v>5603</v>
      </c>
      <c r="G693" t="s">
        <v>5604</v>
      </c>
    </row>
    <row r="694" spans="1:7" x14ac:dyDescent="0.25">
      <c r="A694">
        <v>5640</v>
      </c>
      <c r="B694" t="s">
        <v>22</v>
      </c>
      <c r="F694" t="s">
        <v>53</v>
      </c>
      <c r="G694" t="s">
        <v>5604</v>
      </c>
    </row>
    <row r="695" spans="1:7" x14ac:dyDescent="0.25">
      <c r="A695">
        <v>5640</v>
      </c>
      <c r="B695" t="s">
        <v>22</v>
      </c>
      <c r="F695" t="s">
        <v>55</v>
      </c>
      <c r="G695" t="s">
        <v>5604</v>
      </c>
    </row>
    <row r="696" spans="1:7" x14ac:dyDescent="0.25">
      <c r="A696">
        <v>5641</v>
      </c>
      <c r="B696" t="s">
        <v>21</v>
      </c>
      <c r="F696" t="s">
        <v>5603</v>
      </c>
      <c r="G696" t="s">
        <v>5604</v>
      </c>
    </row>
    <row r="697" spans="1:7" x14ac:dyDescent="0.25">
      <c r="A697">
        <v>5641</v>
      </c>
      <c r="B697" t="s">
        <v>21</v>
      </c>
      <c r="F697" t="s">
        <v>53</v>
      </c>
      <c r="G697" t="s">
        <v>5604</v>
      </c>
    </row>
    <row r="698" spans="1:7" x14ac:dyDescent="0.25">
      <c r="A698">
        <v>5641</v>
      </c>
      <c r="B698" t="s">
        <v>21</v>
      </c>
      <c r="F698" t="s">
        <v>55</v>
      </c>
      <c r="G698" t="s">
        <v>5604</v>
      </c>
    </row>
    <row r="699" spans="1:7" x14ac:dyDescent="0.25">
      <c r="A699">
        <v>5641</v>
      </c>
      <c r="B699" t="s">
        <v>21</v>
      </c>
      <c r="F699" t="s">
        <v>5605</v>
      </c>
      <c r="G699" t="s">
        <v>5604</v>
      </c>
    </row>
    <row r="700" spans="1:7" x14ac:dyDescent="0.25">
      <c r="A700">
        <v>5642</v>
      </c>
      <c r="B700" t="s">
        <v>21</v>
      </c>
      <c r="F700" t="s">
        <v>5603</v>
      </c>
      <c r="G700" t="s">
        <v>5604</v>
      </c>
    </row>
    <row r="701" spans="1:7" x14ac:dyDescent="0.25">
      <c r="A701">
        <v>5642</v>
      </c>
      <c r="B701" t="s">
        <v>21</v>
      </c>
      <c r="F701" t="s">
        <v>53</v>
      </c>
      <c r="G701" t="s">
        <v>5604</v>
      </c>
    </row>
    <row r="702" spans="1:7" x14ac:dyDescent="0.25">
      <c r="A702">
        <v>5642</v>
      </c>
      <c r="B702" t="s">
        <v>21</v>
      </c>
      <c r="F702" t="s">
        <v>55</v>
      </c>
      <c r="G702" t="s">
        <v>5604</v>
      </c>
    </row>
    <row r="703" spans="1:7" x14ac:dyDescent="0.25">
      <c r="A703">
        <v>5642</v>
      </c>
      <c r="B703" t="s">
        <v>21</v>
      </c>
      <c r="F703" t="s">
        <v>5605</v>
      </c>
      <c r="G703" t="s">
        <v>5604</v>
      </c>
    </row>
    <row r="704" spans="1:7" x14ac:dyDescent="0.25">
      <c r="A704">
        <v>5643</v>
      </c>
      <c r="B704" t="s">
        <v>21</v>
      </c>
      <c r="F704" t="s">
        <v>5603</v>
      </c>
      <c r="G704" t="s">
        <v>5604</v>
      </c>
    </row>
    <row r="705" spans="1:7" x14ac:dyDescent="0.25">
      <c r="A705">
        <v>5643</v>
      </c>
      <c r="B705" t="s">
        <v>21</v>
      </c>
      <c r="F705" t="s">
        <v>53</v>
      </c>
      <c r="G705" t="s">
        <v>5604</v>
      </c>
    </row>
    <row r="706" spans="1:7" x14ac:dyDescent="0.25">
      <c r="A706">
        <v>5643</v>
      </c>
      <c r="B706" t="s">
        <v>21</v>
      </c>
      <c r="F706" t="s">
        <v>55</v>
      </c>
      <c r="G706" t="s">
        <v>5604</v>
      </c>
    </row>
    <row r="707" spans="1:7" x14ac:dyDescent="0.25">
      <c r="A707">
        <v>5643</v>
      </c>
      <c r="B707" t="s">
        <v>21</v>
      </c>
      <c r="F707" t="s">
        <v>5605</v>
      </c>
      <c r="G707" t="s">
        <v>5604</v>
      </c>
    </row>
    <row r="708" spans="1:7" x14ac:dyDescent="0.25">
      <c r="A708">
        <v>5644</v>
      </c>
      <c r="B708" t="s">
        <v>22</v>
      </c>
      <c r="F708" t="s">
        <v>5603</v>
      </c>
      <c r="G708" t="s">
        <v>5604</v>
      </c>
    </row>
    <row r="709" spans="1:7" x14ac:dyDescent="0.25">
      <c r="A709">
        <v>5644</v>
      </c>
      <c r="B709" t="s">
        <v>22</v>
      </c>
      <c r="F709" t="s">
        <v>53</v>
      </c>
      <c r="G709" t="s">
        <v>5604</v>
      </c>
    </row>
    <row r="710" spans="1:7" x14ac:dyDescent="0.25">
      <c r="A710">
        <v>5644</v>
      </c>
      <c r="B710" t="s">
        <v>22</v>
      </c>
      <c r="F710" t="s">
        <v>55</v>
      </c>
      <c r="G710" t="s">
        <v>5604</v>
      </c>
    </row>
    <row r="711" spans="1:7" x14ac:dyDescent="0.25">
      <c r="A711">
        <v>5644</v>
      </c>
      <c r="B711" t="s">
        <v>22</v>
      </c>
      <c r="F711" t="s">
        <v>5605</v>
      </c>
      <c r="G711" t="s">
        <v>5604</v>
      </c>
    </row>
    <row r="712" spans="1:7" x14ac:dyDescent="0.25">
      <c r="A712">
        <v>5645</v>
      </c>
      <c r="B712" t="s">
        <v>21</v>
      </c>
      <c r="F712" t="s">
        <v>5603</v>
      </c>
      <c r="G712" t="s">
        <v>5604</v>
      </c>
    </row>
    <row r="713" spans="1:7" x14ac:dyDescent="0.25">
      <c r="A713">
        <v>5645</v>
      </c>
      <c r="B713" t="s">
        <v>21</v>
      </c>
      <c r="F713" t="s">
        <v>53</v>
      </c>
      <c r="G713" t="s">
        <v>5604</v>
      </c>
    </row>
    <row r="714" spans="1:7" x14ac:dyDescent="0.25">
      <c r="A714">
        <v>5645</v>
      </c>
      <c r="B714" t="s">
        <v>21</v>
      </c>
      <c r="F714" t="s">
        <v>55</v>
      </c>
      <c r="G714" t="s">
        <v>5604</v>
      </c>
    </row>
    <row r="715" spans="1:7" x14ac:dyDescent="0.25">
      <c r="A715">
        <v>5645</v>
      </c>
      <c r="B715" t="s">
        <v>21</v>
      </c>
      <c r="F715" t="s">
        <v>5605</v>
      </c>
      <c r="G715" t="s">
        <v>5604</v>
      </c>
    </row>
    <row r="716" spans="1:7" x14ac:dyDescent="0.25">
      <c r="A716">
        <v>5646</v>
      </c>
      <c r="B716" t="s">
        <v>21</v>
      </c>
      <c r="F716" t="s">
        <v>5603</v>
      </c>
      <c r="G716" t="s">
        <v>5604</v>
      </c>
    </row>
    <row r="717" spans="1:7" x14ac:dyDescent="0.25">
      <c r="A717">
        <v>5646</v>
      </c>
      <c r="B717" t="s">
        <v>21</v>
      </c>
      <c r="F717" t="s">
        <v>53</v>
      </c>
      <c r="G717" t="s">
        <v>5604</v>
      </c>
    </row>
    <row r="718" spans="1:7" x14ac:dyDescent="0.25">
      <c r="A718">
        <v>5646</v>
      </c>
      <c r="B718" t="s">
        <v>21</v>
      </c>
      <c r="F718" t="s">
        <v>55</v>
      </c>
      <c r="G718" t="s">
        <v>5604</v>
      </c>
    </row>
    <row r="719" spans="1:7" x14ac:dyDescent="0.25">
      <c r="A719">
        <v>5646</v>
      </c>
      <c r="B719" t="s">
        <v>21</v>
      </c>
      <c r="F719" t="s">
        <v>5605</v>
      </c>
      <c r="G719" t="s">
        <v>5604</v>
      </c>
    </row>
    <row r="720" spans="1:7" x14ac:dyDescent="0.25">
      <c r="A720">
        <v>5647</v>
      </c>
      <c r="B720" t="s">
        <v>22</v>
      </c>
      <c r="F720" t="s">
        <v>5603</v>
      </c>
      <c r="G720" t="s">
        <v>5604</v>
      </c>
    </row>
    <row r="721" spans="1:7" x14ac:dyDescent="0.25">
      <c r="A721">
        <v>5647</v>
      </c>
      <c r="B721" t="s">
        <v>22</v>
      </c>
      <c r="F721" t="s">
        <v>53</v>
      </c>
      <c r="G721" t="s">
        <v>5604</v>
      </c>
    </row>
    <row r="722" spans="1:7" x14ac:dyDescent="0.25">
      <c r="A722">
        <v>5647</v>
      </c>
      <c r="B722" t="s">
        <v>22</v>
      </c>
      <c r="F722" t="s">
        <v>55</v>
      </c>
      <c r="G722" t="s">
        <v>5604</v>
      </c>
    </row>
    <row r="723" spans="1:7" x14ac:dyDescent="0.25">
      <c r="A723">
        <v>5648</v>
      </c>
      <c r="B723" t="s">
        <v>22</v>
      </c>
      <c r="F723" t="s">
        <v>5603</v>
      </c>
      <c r="G723" t="s">
        <v>5604</v>
      </c>
    </row>
    <row r="724" spans="1:7" x14ac:dyDescent="0.25">
      <c r="A724">
        <v>5648</v>
      </c>
      <c r="B724" t="s">
        <v>22</v>
      </c>
      <c r="F724" t="s">
        <v>53</v>
      </c>
      <c r="G724" t="s">
        <v>5604</v>
      </c>
    </row>
    <row r="725" spans="1:7" x14ac:dyDescent="0.25">
      <c r="A725">
        <v>5648</v>
      </c>
      <c r="B725" t="s">
        <v>22</v>
      </c>
      <c r="F725" t="s">
        <v>55</v>
      </c>
      <c r="G725" t="s">
        <v>5604</v>
      </c>
    </row>
    <row r="726" spans="1:7" x14ac:dyDescent="0.25">
      <c r="A726">
        <v>5650</v>
      </c>
      <c r="B726" t="s">
        <v>21</v>
      </c>
      <c r="F726" t="s">
        <v>5603</v>
      </c>
      <c r="G726" t="s">
        <v>5604</v>
      </c>
    </row>
    <row r="727" spans="1:7" x14ac:dyDescent="0.25">
      <c r="A727">
        <v>5650</v>
      </c>
      <c r="B727" t="s">
        <v>21</v>
      </c>
      <c r="F727" t="s">
        <v>53</v>
      </c>
      <c r="G727" t="s">
        <v>5604</v>
      </c>
    </row>
    <row r="728" spans="1:7" x14ac:dyDescent="0.25">
      <c r="A728">
        <v>5650</v>
      </c>
      <c r="B728" t="s">
        <v>21</v>
      </c>
      <c r="F728" t="s">
        <v>55</v>
      </c>
      <c r="G728" t="s">
        <v>5604</v>
      </c>
    </row>
    <row r="729" spans="1:7" x14ac:dyDescent="0.25">
      <c r="A729">
        <v>5650</v>
      </c>
      <c r="B729" t="s">
        <v>21</v>
      </c>
      <c r="F729" t="s">
        <v>5605</v>
      </c>
      <c r="G729" t="s">
        <v>5604</v>
      </c>
    </row>
    <row r="730" spans="1:7" x14ac:dyDescent="0.25">
      <c r="A730">
        <v>5651</v>
      </c>
      <c r="B730" t="s">
        <v>22</v>
      </c>
      <c r="F730" t="s">
        <v>5603</v>
      </c>
      <c r="G730" t="s">
        <v>5604</v>
      </c>
    </row>
    <row r="731" spans="1:7" x14ac:dyDescent="0.25">
      <c r="A731">
        <v>5651</v>
      </c>
      <c r="B731" t="s">
        <v>22</v>
      </c>
      <c r="F731" t="s">
        <v>53</v>
      </c>
      <c r="G731" t="s">
        <v>5604</v>
      </c>
    </row>
    <row r="732" spans="1:7" x14ac:dyDescent="0.25">
      <c r="A732">
        <v>5651</v>
      </c>
      <c r="B732" t="s">
        <v>22</v>
      </c>
      <c r="F732" t="s">
        <v>55</v>
      </c>
      <c r="G732" t="s">
        <v>5604</v>
      </c>
    </row>
    <row r="733" spans="1:7" x14ac:dyDescent="0.25">
      <c r="A733">
        <v>5652</v>
      </c>
      <c r="B733" t="s">
        <v>22</v>
      </c>
      <c r="F733" t="s">
        <v>5603</v>
      </c>
      <c r="G733" t="s">
        <v>5604</v>
      </c>
    </row>
    <row r="734" spans="1:7" x14ac:dyDescent="0.25">
      <c r="A734">
        <v>5652</v>
      </c>
      <c r="B734" t="s">
        <v>22</v>
      </c>
      <c r="F734" t="s">
        <v>53</v>
      </c>
      <c r="G734" t="s">
        <v>5604</v>
      </c>
    </row>
    <row r="735" spans="1:7" x14ac:dyDescent="0.25">
      <c r="A735">
        <v>5652</v>
      </c>
      <c r="B735" t="s">
        <v>22</v>
      </c>
      <c r="F735" t="s">
        <v>55</v>
      </c>
      <c r="G735" t="s">
        <v>5604</v>
      </c>
    </row>
    <row r="736" spans="1:7" x14ac:dyDescent="0.25">
      <c r="A736">
        <v>5653</v>
      </c>
      <c r="B736" t="s">
        <v>21</v>
      </c>
      <c r="E736" t="s">
        <v>134</v>
      </c>
      <c r="F736" t="s">
        <v>5603</v>
      </c>
      <c r="G736" t="s">
        <v>5604</v>
      </c>
    </row>
    <row r="737" spans="1:7" x14ac:dyDescent="0.25">
      <c r="A737">
        <v>5653</v>
      </c>
      <c r="B737" t="s">
        <v>21</v>
      </c>
      <c r="E737" t="s">
        <v>134</v>
      </c>
      <c r="F737" t="s">
        <v>53</v>
      </c>
      <c r="G737" t="s">
        <v>5604</v>
      </c>
    </row>
    <row r="738" spans="1:7" x14ac:dyDescent="0.25">
      <c r="A738">
        <v>5653</v>
      </c>
      <c r="B738" t="s">
        <v>21</v>
      </c>
      <c r="E738" t="s">
        <v>134</v>
      </c>
      <c r="F738" t="s">
        <v>5605</v>
      </c>
      <c r="G738" t="s">
        <v>5604</v>
      </c>
    </row>
    <row r="739" spans="1:7" x14ac:dyDescent="0.25">
      <c r="A739">
        <v>5654</v>
      </c>
      <c r="B739" t="s">
        <v>22</v>
      </c>
      <c r="F739" t="s">
        <v>5603</v>
      </c>
      <c r="G739" t="s">
        <v>5604</v>
      </c>
    </row>
    <row r="740" spans="1:7" x14ac:dyDescent="0.25">
      <c r="A740">
        <v>5654</v>
      </c>
      <c r="B740" t="s">
        <v>22</v>
      </c>
      <c r="F740" t="s">
        <v>53</v>
      </c>
      <c r="G740" t="s">
        <v>5604</v>
      </c>
    </row>
    <row r="741" spans="1:7" x14ac:dyDescent="0.25">
      <c r="A741">
        <v>5654</v>
      </c>
      <c r="B741" t="s">
        <v>22</v>
      </c>
      <c r="F741" t="s">
        <v>55</v>
      </c>
      <c r="G741" t="s">
        <v>5604</v>
      </c>
    </row>
    <row r="742" spans="1:7" x14ac:dyDescent="0.25">
      <c r="A742">
        <v>5655</v>
      </c>
      <c r="B742" t="s">
        <v>21</v>
      </c>
      <c r="F742" t="s">
        <v>5603</v>
      </c>
      <c r="G742" t="s">
        <v>5604</v>
      </c>
    </row>
    <row r="743" spans="1:7" x14ac:dyDescent="0.25">
      <c r="A743">
        <v>5655</v>
      </c>
      <c r="B743" t="s">
        <v>21</v>
      </c>
      <c r="F743" t="s">
        <v>53</v>
      </c>
      <c r="G743" t="s">
        <v>5604</v>
      </c>
    </row>
    <row r="744" spans="1:7" x14ac:dyDescent="0.25">
      <c r="A744">
        <v>5655</v>
      </c>
      <c r="B744" t="s">
        <v>21</v>
      </c>
      <c r="F744" t="s">
        <v>55</v>
      </c>
      <c r="G744" t="s">
        <v>5604</v>
      </c>
    </row>
    <row r="745" spans="1:7" x14ac:dyDescent="0.25">
      <c r="A745">
        <v>5655</v>
      </c>
      <c r="B745" t="s">
        <v>21</v>
      </c>
      <c r="F745" t="s">
        <v>5605</v>
      </c>
      <c r="G745" t="s">
        <v>5604</v>
      </c>
    </row>
    <row r="746" spans="1:7" x14ac:dyDescent="0.25">
      <c r="A746">
        <v>5656</v>
      </c>
      <c r="B746" t="s">
        <v>22</v>
      </c>
      <c r="F746" t="s">
        <v>5603</v>
      </c>
      <c r="G746" t="s">
        <v>5604</v>
      </c>
    </row>
    <row r="747" spans="1:7" x14ac:dyDescent="0.25">
      <c r="A747">
        <v>5656</v>
      </c>
      <c r="B747" t="s">
        <v>22</v>
      </c>
      <c r="F747" t="s">
        <v>53</v>
      </c>
      <c r="G747" t="s">
        <v>5604</v>
      </c>
    </row>
    <row r="748" spans="1:7" x14ac:dyDescent="0.25">
      <c r="A748">
        <v>5656</v>
      </c>
      <c r="B748" t="s">
        <v>22</v>
      </c>
      <c r="F748" t="s">
        <v>55</v>
      </c>
      <c r="G748" t="s">
        <v>5604</v>
      </c>
    </row>
    <row r="749" spans="1:7" x14ac:dyDescent="0.25">
      <c r="A749">
        <v>5657</v>
      </c>
      <c r="B749" t="s">
        <v>22</v>
      </c>
      <c r="F749" t="s">
        <v>5603</v>
      </c>
      <c r="G749" t="s">
        <v>5604</v>
      </c>
    </row>
    <row r="750" spans="1:7" x14ac:dyDescent="0.25">
      <c r="A750">
        <v>5657</v>
      </c>
      <c r="B750" t="s">
        <v>22</v>
      </c>
      <c r="F750" t="s">
        <v>53</v>
      </c>
      <c r="G750" t="s">
        <v>5604</v>
      </c>
    </row>
    <row r="751" spans="1:7" x14ac:dyDescent="0.25">
      <c r="A751">
        <v>5657</v>
      </c>
      <c r="B751" t="s">
        <v>22</v>
      </c>
      <c r="F751" t="s">
        <v>55</v>
      </c>
      <c r="G751" t="s">
        <v>5604</v>
      </c>
    </row>
    <row r="752" spans="1:7" x14ac:dyDescent="0.25">
      <c r="A752">
        <v>5658</v>
      </c>
      <c r="B752" t="s">
        <v>22</v>
      </c>
      <c r="F752" t="s">
        <v>5603</v>
      </c>
      <c r="G752" t="s">
        <v>5604</v>
      </c>
    </row>
    <row r="753" spans="1:7" x14ac:dyDescent="0.25">
      <c r="A753">
        <v>5658</v>
      </c>
      <c r="B753" t="s">
        <v>22</v>
      </c>
      <c r="F753" t="s">
        <v>53</v>
      </c>
      <c r="G753" t="s">
        <v>5604</v>
      </c>
    </row>
    <row r="754" spans="1:7" x14ac:dyDescent="0.25">
      <c r="A754">
        <v>5658</v>
      </c>
      <c r="B754" t="s">
        <v>22</v>
      </c>
      <c r="F754" t="s">
        <v>55</v>
      </c>
      <c r="G754" t="s">
        <v>5604</v>
      </c>
    </row>
    <row r="755" spans="1:7" x14ac:dyDescent="0.25">
      <c r="A755">
        <v>5658</v>
      </c>
      <c r="B755" t="s">
        <v>22</v>
      </c>
      <c r="F755" t="s">
        <v>5605</v>
      </c>
      <c r="G755" t="s">
        <v>5604</v>
      </c>
    </row>
    <row r="756" spans="1:7" x14ac:dyDescent="0.25">
      <c r="A756">
        <v>5659</v>
      </c>
      <c r="F756" t="s">
        <v>5603</v>
      </c>
      <c r="G756" t="s">
        <v>5604</v>
      </c>
    </row>
    <row r="757" spans="1:7" x14ac:dyDescent="0.25">
      <c r="A757">
        <v>5659</v>
      </c>
      <c r="F757" t="s">
        <v>53</v>
      </c>
      <c r="G757" t="s">
        <v>5604</v>
      </c>
    </row>
    <row r="758" spans="1:7" x14ac:dyDescent="0.25">
      <c r="A758">
        <v>5659</v>
      </c>
      <c r="F758" t="s">
        <v>55</v>
      </c>
      <c r="G758" t="s">
        <v>5604</v>
      </c>
    </row>
    <row r="759" spans="1:7" x14ac:dyDescent="0.25">
      <c r="A759">
        <v>5659</v>
      </c>
      <c r="F759" t="s">
        <v>5605</v>
      </c>
      <c r="G759" t="s">
        <v>5604</v>
      </c>
    </row>
    <row r="760" spans="1:7" x14ac:dyDescent="0.25">
      <c r="A760">
        <v>5660</v>
      </c>
      <c r="F760" t="s">
        <v>5603</v>
      </c>
      <c r="G760" t="s">
        <v>5604</v>
      </c>
    </row>
    <row r="761" spans="1:7" x14ac:dyDescent="0.25">
      <c r="A761">
        <v>5660</v>
      </c>
      <c r="F761" t="s">
        <v>53</v>
      </c>
      <c r="G761" t="s">
        <v>5604</v>
      </c>
    </row>
    <row r="762" spans="1:7" x14ac:dyDescent="0.25">
      <c r="A762">
        <v>5660</v>
      </c>
      <c r="F762" t="s">
        <v>55</v>
      </c>
      <c r="G762" t="s">
        <v>5604</v>
      </c>
    </row>
    <row r="763" spans="1:7" x14ac:dyDescent="0.25">
      <c r="A763">
        <v>5660</v>
      </c>
      <c r="F763" t="s">
        <v>5605</v>
      </c>
      <c r="G763" t="s">
        <v>5604</v>
      </c>
    </row>
    <row r="764" spans="1:7" x14ac:dyDescent="0.25">
      <c r="A764">
        <v>5661</v>
      </c>
      <c r="F764" t="s">
        <v>5603</v>
      </c>
      <c r="G764" t="s">
        <v>5604</v>
      </c>
    </row>
    <row r="765" spans="1:7" x14ac:dyDescent="0.25">
      <c r="A765">
        <v>5661</v>
      </c>
      <c r="F765" t="s">
        <v>53</v>
      </c>
      <c r="G765" t="s">
        <v>5604</v>
      </c>
    </row>
    <row r="766" spans="1:7" x14ac:dyDescent="0.25">
      <c r="A766">
        <v>5661</v>
      </c>
      <c r="F766" t="s">
        <v>55</v>
      </c>
      <c r="G766" t="s">
        <v>5604</v>
      </c>
    </row>
    <row r="767" spans="1:7" x14ac:dyDescent="0.25">
      <c r="A767">
        <v>5661</v>
      </c>
      <c r="F767" t="s">
        <v>5605</v>
      </c>
      <c r="G767" t="s">
        <v>5604</v>
      </c>
    </row>
    <row r="768" spans="1:7" x14ac:dyDescent="0.25">
      <c r="A768">
        <v>5662</v>
      </c>
      <c r="F768" t="s">
        <v>5603</v>
      </c>
      <c r="G768" t="s">
        <v>5604</v>
      </c>
    </row>
    <row r="769" spans="1:7" x14ac:dyDescent="0.25">
      <c r="A769">
        <v>5662</v>
      </c>
      <c r="F769" t="s">
        <v>53</v>
      </c>
      <c r="G769" t="s">
        <v>5604</v>
      </c>
    </row>
    <row r="770" spans="1:7" x14ac:dyDescent="0.25">
      <c r="A770">
        <v>5662</v>
      </c>
      <c r="F770" t="s">
        <v>55</v>
      </c>
      <c r="G770" t="s">
        <v>5604</v>
      </c>
    </row>
    <row r="771" spans="1:7" x14ac:dyDescent="0.25">
      <c r="A771">
        <v>5662</v>
      </c>
      <c r="F771" t="s">
        <v>5605</v>
      </c>
      <c r="G771" t="s">
        <v>5604</v>
      </c>
    </row>
    <row r="772" spans="1:7" x14ac:dyDescent="0.25">
      <c r="A772">
        <v>5663</v>
      </c>
      <c r="F772" t="s">
        <v>5603</v>
      </c>
      <c r="G772" t="s">
        <v>5604</v>
      </c>
    </row>
    <row r="773" spans="1:7" x14ac:dyDescent="0.25">
      <c r="A773">
        <v>5663</v>
      </c>
      <c r="F773" t="s">
        <v>53</v>
      </c>
      <c r="G773" t="s">
        <v>5604</v>
      </c>
    </row>
    <row r="774" spans="1:7" x14ac:dyDescent="0.25">
      <c r="A774">
        <v>5663</v>
      </c>
      <c r="F774" t="s">
        <v>55</v>
      </c>
      <c r="G774" t="s">
        <v>5604</v>
      </c>
    </row>
    <row r="775" spans="1:7" x14ac:dyDescent="0.25">
      <c r="A775">
        <v>5663</v>
      </c>
      <c r="F775" t="s">
        <v>5605</v>
      </c>
      <c r="G775" t="s">
        <v>5604</v>
      </c>
    </row>
    <row r="776" spans="1:7" x14ac:dyDescent="0.25">
      <c r="A776">
        <v>5664</v>
      </c>
      <c r="F776" t="s">
        <v>5603</v>
      </c>
      <c r="G776" t="s">
        <v>5604</v>
      </c>
    </row>
    <row r="777" spans="1:7" x14ac:dyDescent="0.25">
      <c r="A777">
        <v>5664</v>
      </c>
      <c r="F777" t="s">
        <v>53</v>
      </c>
      <c r="G777" t="s">
        <v>5604</v>
      </c>
    </row>
    <row r="778" spans="1:7" x14ac:dyDescent="0.25">
      <c r="A778">
        <v>5664</v>
      </c>
      <c r="F778" t="s">
        <v>55</v>
      </c>
      <c r="G778" t="s">
        <v>5604</v>
      </c>
    </row>
    <row r="779" spans="1:7" x14ac:dyDescent="0.25">
      <c r="A779">
        <v>5664</v>
      </c>
      <c r="F779" t="s">
        <v>5605</v>
      </c>
      <c r="G779" t="s">
        <v>5604</v>
      </c>
    </row>
    <row r="780" spans="1:7" x14ac:dyDescent="0.25">
      <c r="A780">
        <v>5665</v>
      </c>
      <c r="F780" t="s">
        <v>5603</v>
      </c>
      <c r="G780" t="s">
        <v>5604</v>
      </c>
    </row>
    <row r="781" spans="1:7" x14ac:dyDescent="0.25">
      <c r="A781">
        <v>5665</v>
      </c>
      <c r="F781" t="s">
        <v>53</v>
      </c>
      <c r="G781" t="s">
        <v>5604</v>
      </c>
    </row>
    <row r="782" spans="1:7" x14ac:dyDescent="0.25">
      <c r="A782">
        <v>5665</v>
      </c>
      <c r="F782" t="s">
        <v>55</v>
      </c>
      <c r="G782" t="s">
        <v>5604</v>
      </c>
    </row>
    <row r="783" spans="1:7" x14ac:dyDescent="0.25">
      <c r="A783">
        <v>5665</v>
      </c>
      <c r="F783" t="s">
        <v>5605</v>
      </c>
      <c r="G783" t="s">
        <v>5604</v>
      </c>
    </row>
    <row r="784" spans="1:7" x14ac:dyDescent="0.25">
      <c r="A784">
        <v>5666</v>
      </c>
      <c r="F784" t="s">
        <v>5603</v>
      </c>
      <c r="G784" t="s">
        <v>5604</v>
      </c>
    </row>
    <row r="785" spans="1:7" x14ac:dyDescent="0.25">
      <c r="A785">
        <v>5666</v>
      </c>
      <c r="F785" t="s">
        <v>53</v>
      </c>
      <c r="G785" t="s">
        <v>5604</v>
      </c>
    </row>
    <row r="786" spans="1:7" x14ac:dyDescent="0.25">
      <c r="A786">
        <v>5666</v>
      </c>
      <c r="F786" t="s">
        <v>55</v>
      </c>
      <c r="G786" t="s">
        <v>5604</v>
      </c>
    </row>
    <row r="787" spans="1:7" x14ac:dyDescent="0.25">
      <c r="A787">
        <v>5666</v>
      </c>
      <c r="F787" t="s">
        <v>5605</v>
      </c>
      <c r="G787" t="s">
        <v>5604</v>
      </c>
    </row>
    <row r="788" spans="1:7" x14ac:dyDescent="0.25">
      <c r="A788">
        <v>5667</v>
      </c>
      <c r="F788" t="s">
        <v>5603</v>
      </c>
      <c r="G788" t="s">
        <v>5604</v>
      </c>
    </row>
    <row r="789" spans="1:7" x14ac:dyDescent="0.25">
      <c r="A789">
        <v>5667</v>
      </c>
      <c r="F789" t="s">
        <v>53</v>
      </c>
      <c r="G789" t="s">
        <v>5604</v>
      </c>
    </row>
    <row r="790" spans="1:7" x14ac:dyDescent="0.25">
      <c r="A790">
        <v>5667</v>
      </c>
      <c r="F790" t="s">
        <v>55</v>
      </c>
      <c r="G790" t="s">
        <v>5604</v>
      </c>
    </row>
    <row r="791" spans="1:7" x14ac:dyDescent="0.25">
      <c r="A791">
        <v>5667</v>
      </c>
      <c r="F791" t="s">
        <v>5605</v>
      </c>
      <c r="G791" t="s">
        <v>5604</v>
      </c>
    </row>
    <row r="792" spans="1:7" x14ac:dyDescent="0.25">
      <c r="A792">
        <v>5668</v>
      </c>
      <c r="F792" t="s">
        <v>5603</v>
      </c>
      <c r="G792" t="s">
        <v>5604</v>
      </c>
    </row>
    <row r="793" spans="1:7" x14ac:dyDescent="0.25">
      <c r="A793">
        <v>5668</v>
      </c>
      <c r="F793" t="s">
        <v>53</v>
      </c>
      <c r="G793" t="s">
        <v>5604</v>
      </c>
    </row>
    <row r="794" spans="1:7" x14ac:dyDescent="0.25">
      <c r="A794">
        <v>5668</v>
      </c>
      <c r="F794" t="s">
        <v>55</v>
      </c>
      <c r="G794" t="s">
        <v>5604</v>
      </c>
    </row>
    <row r="795" spans="1:7" x14ac:dyDescent="0.25">
      <c r="A795">
        <v>5668</v>
      </c>
      <c r="F795" t="s">
        <v>5605</v>
      </c>
      <c r="G795" t="s">
        <v>5604</v>
      </c>
    </row>
    <row r="796" spans="1:7" x14ac:dyDescent="0.25">
      <c r="A796">
        <v>5669</v>
      </c>
      <c r="F796" t="s">
        <v>5603</v>
      </c>
      <c r="G796" t="s">
        <v>5604</v>
      </c>
    </row>
    <row r="797" spans="1:7" x14ac:dyDescent="0.25">
      <c r="A797">
        <v>5669</v>
      </c>
      <c r="F797" t="s">
        <v>53</v>
      </c>
      <c r="G797" t="s">
        <v>5604</v>
      </c>
    </row>
    <row r="798" spans="1:7" x14ac:dyDescent="0.25">
      <c r="A798">
        <v>5669</v>
      </c>
      <c r="F798" t="s">
        <v>55</v>
      </c>
      <c r="G798" t="s">
        <v>5604</v>
      </c>
    </row>
    <row r="799" spans="1:7" x14ac:dyDescent="0.25">
      <c r="A799">
        <v>5669</v>
      </c>
      <c r="F799" t="s">
        <v>5605</v>
      </c>
      <c r="G799" t="s">
        <v>5604</v>
      </c>
    </row>
    <row r="800" spans="1:7" x14ac:dyDescent="0.25">
      <c r="A800">
        <v>5670</v>
      </c>
      <c r="F800" t="s">
        <v>5603</v>
      </c>
      <c r="G800" t="s">
        <v>5604</v>
      </c>
    </row>
    <row r="801" spans="1:7" x14ac:dyDescent="0.25">
      <c r="A801">
        <v>5670</v>
      </c>
      <c r="F801" t="s">
        <v>53</v>
      </c>
      <c r="G801" t="s">
        <v>5604</v>
      </c>
    </row>
    <row r="802" spans="1:7" x14ac:dyDescent="0.25">
      <c r="A802">
        <v>5670</v>
      </c>
      <c r="F802" t="s">
        <v>55</v>
      </c>
      <c r="G802" t="s">
        <v>5604</v>
      </c>
    </row>
    <row r="803" spans="1:7" x14ac:dyDescent="0.25">
      <c r="A803">
        <v>5670</v>
      </c>
      <c r="F803" t="s">
        <v>5605</v>
      </c>
      <c r="G803" t="s">
        <v>5604</v>
      </c>
    </row>
    <row r="804" spans="1:7" x14ac:dyDescent="0.25">
      <c r="A804">
        <v>5671</v>
      </c>
      <c r="F804" t="s">
        <v>5603</v>
      </c>
      <c r="G804" t="s">
        <v>5604</v>
      </c>
    </row>
    <row r="805" spans="1:7" x14ac:dyDescent="0.25">
      <c r="A805">
        <v>5671</v>
      </c>
      <c r="F805" t="s">
        <v>53</v>
      </c>
      <c r="G805" t="s">
        <v>5604</v>
      </c>
    </row>
    <row r="806" spans="1:7" x14ac:dyDescent="0.25">
      <c r="A806">
        <v>5671</v>
      </c>
      <c r="F806" t="s">
        <v>55</v>
      </c>
      <c r="G806" t="s">
        <v>5604</v>
      </c>
    </row>
    <row r="807" spans="1:7" x14ac:dyDescent="0.25">
      <c r="A807">
        <v>5671</v>
      </c>
      <c r="F807" t="s">
        <v>5605</v>
      </c>
      <c r="G807" t="s">
        <v>5604</v>
      </c>
    </row>
    <row r="808" spans="1:7" x14ac:dyDescent="0.25">
      <c r="A808">
        <v>5672</v>
      </c>
      <c r="F808" t="s">
        <v>5603</v>
      </c>
      <c r="G808" t="s">
        <v>5604</v>
      </c>
    </row>
    <row r="809" spans="1:7" x14ac:dyDescent="0.25">
      <c r="A809">
        <v>5672</v>
      </c>
      <c r="F809" t="s">
        <v>53</v>
      </c>
      <c r="G809" t="s">
        <v>5604</v>
      </c>
    </row>
    <row r="810" spans="1:7" x14ac:dyDescent="0.25">
      <c r="A810">
        <v>5672</v>
      </c>
      <c r="F810" t="s">
        <v>55</v>
      </c>
      <c r="G810" t="s">
        <v>5604</v>
      </c>
    </row>
    <row r="811" spans="1:7" x14ac:dyDescent="0.25">
      <c r="A811">
        <v>5672</v>
      </c>
      <c r="F811" t="s">
        <v>5605</v>
      </c>
      <c r="G811" t="s">
        <v>5604</v>
      </c>
    </row>
    <row r="812" spans="1:7" x14ac:dyDescent="0.25">
      <c r="A812">
        <v>5673</v>
      </c>
      <c r="F812" t="s">
        <v>5603</v>
      </c>
      <c r="G812" t="s">
        <v>5604</v>
      </c>
    </row>
    <row r="813" spans="1:7" x14ac:dyDescent="0.25">
      <c r="A813">
        <v>5673</v>
      </c>
      <c r="F813" t="s">
        <v>53</v>
      </c>
      <c r="G813" t="s">
        <v>5604</v>
      </c>
    </row>
    <row r="814" spans="1:7" x14ac:dyDescent="0.25">
      <c r="A814">
        <v>5673</v>
      </c>
      <c r="F814" t="s">
        <v>55</v>
      </c>
      <c r="G814" t="s">
        <v>5604</v>
      </c>
    </row>
    <row r="815" spans="1:7" x14ac:dyDescent="0.25">
      <c r="A815">
        <v>5673</v>
      </c>
      <c r="F815" t="s">
        <v>5605</v>
      </c>
      <c r="G815" t="s">
        <v>5604</v>
      </c>
    </row>
    <row r="816" spans="1:7" x14ac:dyDescent="0.25">
      <c r="A816">
        <v>5674</v>
      </c>
      <c r="F816" t="s">
        <v>5603</v>
      </c>
      <c r="G816" t="s">
        <v>5604</v>
      </c>
    </row>
    <row r="817" spans="1:7" x14ac:dyDescent="0.25">
      <c r="A817">
        <v>5674</v>
      </c>
      <c r="F817" t="s">
        <v>53</v>
      </c>
      <c r="G817" t="s">
        <v>5604</v>
      </c>
    </row>
    <row r="818" spans="1:7" x14ac:dyDescent="0.25">
      <c r="A818">
        <v>5674</v>
      </c>
      <c r="F818" t="s">
        <v>55</v>
      </c>
      <c r="G818" t="s">
        <v>5604</v>
      </c>
    </row>
    <row r="819" spans="1:7" x14ac:dyDescent="0.25">
      <c r="A819">
        <v>5674</v>
      </c>
      <c r="F819" t="s">
        <v>5605</v>
      </c>
      <c r="G819" t="s">
        <v>5604</v>
      </c>
    </row>
    <row r="820" spans="1:7" x14ac:dyDescent="0.25">
      <c r="A820">
        <v>5675</v>
      </c>
      <c r="F820" t="s">
        <v>5603</v>
      </c>
      <c r="G820" t="s">
        <v>5604</v>
      </c>
    </row>
    <row r="821" spans="1:7" x14ac:dyDescent="0.25">
      <c r="A821">
        <v>5675</v>
      </c>
      <c r="F821" t="s">
        <v>53</v>
      </c>
      <c r="G821" t="s">
        <v>5604</v>
      </c>
    </row>
    <row r="822" spans="1:7" x14ac:dyDescent="0.25">
      <c r="A822">
        <v>5675</v>
      </c>
      <c r="F822" t="s">
        <v>55</v>
      </c>
      <c r="G822" t="s">
        <v>5604</v>
      </c>
    </row>
    <row r="823" spans="1:7" x14ac:dyDescent="0.25">
      <c r="A823">
        <v>5675</v>
      </c>
      <c r="F823" t="s">
        <v>5605</v>
      </c>
      <c r="G823" t="s">
        <v>5604</v>
      </c>
    </row>
    <row r="824" spans="1:7" x14ac:dyDescent="0.25">
      <c r="A824">
        <v>5676</v>
      </c>
      <c r="F824" t="s">
        <v>5603</v>
      </c>
      <c r="G824" t="s">
        <v>5604</v>
      </c>
    </row>
    <row r="825" spans="1:7" x14ac:dyDescent="0.25">
      <c r="A825">
        <v>5676</v>
      </c>
      <c r="F825" t="s">
        <v>53</v>
      </c>
      <c r="G825" t="s">
        <v>5604</v>
      </c>
    </row>
    <row r="826" spans="1:7" x14ac:dyDescent="0.25">
      <c r="A826">
        <v>5676</v>
      </c>
      <c r="F826" t="s">
        <v>55</v>
      </c>
      <c r="G826" t="s">
        <v>5604</v>
      </c>
    </row>
    <row r="827" spans="1:7" x14ac:dyDescent="0.25">
      <c r="A827">
        <v>5676</v>
      </c>
      <c r="F827" t="s">
        <v>5605</v>
      </c>
      <c r="G827" t="s">
        <v>5604</v>
      </c>
    </row>
    <row r="828" spans="1:7" x14ac:dyDescent="0.25">
      <c r="A828">
        <v>5677</v>
      </c>
      <c r="F828" t="s">
        <v>5603</v>
      </c>
      <c r="G828" t="s">
        <v>5604</v>
      </c>
    </row>
    <row r="829" spans="1:7" x14ac:dyDescent="0.25">
      <c r="A829">
        <v>5677</v>
      </c>
      <c r="F829" t="s">
        <v>53</v>
      </c>
      <c r="G829" t="s">
        <v>5604</v>
      </c>
    </row>
    <row r="830" spans="1:7" x14ac:dyDescent="0.25">
      <c r="A830">
        <v>5677</v>
      </c>
      <c r="F830" t="s">
        <v>55</v>
      </c>
      <c r="G830" t="s">
        <v>5604</v>
      </c>
    </row>
    <row r="831" spans="1:7" x14ac:dyDescent="0.25">
      <c r="A831">
        <v>5677</v>
      </c>
      <c r="F831" t="s">
        <v>5605</v>
      </c>
      <c r="G831" t="s">
        <v>5604</v>
      </c>
    </row>
    <row r="832" spans="1:7" x14ac:dyDescent="0.25">
      <c r="A832">
        <v>5678</v>
      </c>
      <c r="F832" t="s">
        <v>5603</v>
      </c>
      <c r="G832" t="s">
        <v>5604</v>
      </c>
    </row>
    <row r="833" spans="1:7" x14ac:dyDescent="0.25">
      <c r="A833">
        <v>5678</v>
      </c>
      <c r="F833" t="s">
        <v>53</v>
      </c>
      <c r="G833" t="s">
        <v>5604</v>
      </c>
    </row>
    <row r="834" spans="1:7" x14ac:dyDescent="0.25">
      <c r="A834">
        <v>5678</v>
      </c>
      <c r="F834" t="s">
        <v>55</v>
      </c>
      <c r="G834" t="s">
        <v>5604</v>
      </c>
    </row>
    <row r="835" spans="1:7" x14ac:dyDescent="0.25">
      <c r="A835">
        <v>5678</v>
      </c>
      <c r="F835" t="s">
        <v>5605</v>
      </c>
      <c r="G835" t="s">
        <v>5604</v>
      </c>
    </row>
    <row r="836" spans="1:7" x14ac:dyDescent="0.25">
      <c r="A836">
        <v>5679</v>
      </c>
      <c r="F836" t="s">
        <v>5603</v>
      </c>
      <c r="G836" t="s">
        <v>5604</v>
      </c>
    </row>
    <row r="837" spans="1:7" x14ac:dyDescent="0.25">
      <c r="A837">
        <v>5679</v>
      </c>
      <c r="F837" t="s">
        <v>53</v>
      </c>
      <c r="G837" t="s">
        <v>5604</v>
      </c>
    </row>
    <row r="838" spans="1:7" x14ac:dyDescent="0.25">
      <c r="A838">
        <v>5679</v>
      </c>
      <c r="F838" t="s">
        <v>55</v>
      </c>
      <c r="G838" t="s">
        <v>5604</v>
      </c>
    </row>
    <row r="839" spans="1:7" x14ac:dyDescent="0.25">
      <c r="A839">
        <v>5679</v>
      </c>
      <c r="F839" t="s">
        <v>5605</v>
      </c>
      <c r="G839" t="s">
        <v>5604</v>
      </c>
    </row>
    <row r="840" spans="1:7" x14ac:dyDescent="0.25">
      <c r="A840">
        <v>5680</v>
      </c>
      <c r="F840" t="s">
        <v>5603</v>
      </c>
      <c r="G840" t="s">
        <v>5604</v>
      </c>
    </row>
    <row r="841" spans="1:7" x14ac:dyDescent="0.25">
      <c r="A841">
        <v>5680</v>
      </c>
      <c r="F841" t="s">
        <v>53</v>
      </c>
      <c r="G841" t="s">
        <v>5604</v>
      </c>
    </row>
    <row r="842" spans="1:7" x14ac:dyDescent="0.25">
      <c r="A842">
        <v>5680</v>
      </c>
      <c r="F842" t="s">
        <v>55</v>
      </c>
      <c r="G842" t="s">
        <v>5604</v>
      </c>
    </row>
    <row r="843" spans="1:7" x14ac:dyDescent="0.25">
      <c r="A843">
        <v>5680</v>
      </c>
      <c r="F843" t="s">
        <v>5605</v>
      </c>
      <c r="G843" t="s">
        <v>5604</v>
      </c>
    </row>
    <row r="844" spans="1:7" x14ac:dyDescent="0.25">
      <c r="A844">
        <v>5681</v>
      </c>
      <c r="F844" t="s">
        <v>5603</v>
      </c>
      <c r="G844" t="s">
        <v>5604</v>
      </c>
    </row>
    <row r="845" spans="1:7" x14ac:dyDescent="0.25">
      <c r="A845">
        <v>5681</v>
      </c>
      <c r="F845" t="s">
        <v>53</v>
      </c>
      <c r="G845" t="s">
        <v>5604</v>
      </c>
    </row>
    <row r="846" spans="1:7" x14ac:dyDescent="0.25">
      <c r="A846">
        <v>5681</v>
      </c>
      <c r="F846" t="s">
        <v>55</v>
      </c>
      <c r="G846" t="s">
        <v>5604</v>
      </c>
    </row>
    <row r="847" spans="1:7" x14ac:dyDescent="0.25">
      <c r="A847">
        <v>5681</v>
      </c>
      <c r="F847" t="s">
        <v>5605</v>
      </c>
      <c r="G847" t="s">
        <v>5604</v>
      </c>
    </row>
    <row r="848" spans="1:7" x14ac:dyDescent="0.25">
      <c r="A848">
        <v>5682</v>
      </c>
      <c r="F848" t="s">
        <v>5603</v>
      </c>
      <c r="G848" t="s">
        <v>5604</v>
      </c>
    </row>
    <row r="849" spans="1:7" x14ac:dyDescent="0.25">
      <c r="A849">
        <v>5682</v>
      </c>
      <c r="F849" t="s">
        <v>53</v>
      </c>
      <c r="G849" t="s">
        <v>5604</v>
      </c>
    </row>
    <row r="850" spans="1:7" x14ac:dyDescent="0.25">
      <c r="A850">
        <v>5682</v>
      </c>
      <c r="F850" t="s">
        <v>55</v>
      </c>
      <c r="G850" t="s">
        <v>5604</v>
      </c>
    </row>
    <row r="851" spans="1:7" x14ac:dyDescent="0.25">
      <c r="A851">
        <v>5682</v>
      </c>
      <c r="F851" t="s">
        <v>5605</v>
      </c>
      <c r="G851" t="s">
        <v>5604</v>
      </c>
    </row>
    <row r="852" spans="1:7" x14ac:dyDescent="0.25">
      <c r="A852">
        <v>5683</v>
      </c>
      <c r="F852" t="s">
        <v>5603</v>
      </c>
      <c r="G852" t="s">
        <v>5604</v>
      </c>
    </row>
    <row r="853" spans="1:7" x14ac:dyDescent="0.25">
      <c r="A853">
        <v>5683</v>
      </c>
      <c r="F853" t="s">
        <v>53</v>
      </c>
      <c r="G853" t="s">
        <v>5604</v>
      </c>
    </row>
    <row r="854" spans="1:7" x14ac:dyDescent="0.25">
      <c r="A854">
        <v>5683</v>
      </c>
      <c r="F854" t="s">
        <v>55</v>
      </c>
      <c r="G854" t="s">
        <v>5604</v>
      </c>
    </row>
    <row r="855" spans="1:7" x14ac:dyDescent="0.25">
      <c r="A855">
        <v>5683</v>
      </c>
      <c r="F855" t="s">
        <v>5605</v>
      </c>
      <c r="G855" t="s">
        <v>5604</v>
      </c>
    </row>
    <row r="856" spans="1:7" x14ac:dyDescent="0.25">
      <c r="A856">
        <v>5684</v>
      </c>
      <c r="F856" t="s">
        <v>5603</v>
      </c>
      <c r="G856" t="s">
        <v>5604</v>
      </c>
    </row>
    <row r="857" spans="1:7" x14ac:dyDescent="0.25">
      <c r="A857">
        <v>5684</v>
      </c>
      <c r="F857" t="s">
        <v>53</v>
      </c>
      <c r="G857" t="s">
        <v>5604</v>
      </c>
    </row>
    <row r="858" spans="1:7" x14ac:dyDescent="0.25">
      <c r="A858">
        <v>5684</v>
      </c>
      <c r="F858" t="s">
        <v>55</v>
      </c>
      <c r="G858" t="s">
        <v>5604</v>
      </c>
    </row>
    <row r="859" spans="1:7" x14ac:dyDescent="0.25">
      <c r="A859">
        <v>5684</v>
      </c>
      <c r="F859" t="s">
        <v>5605</v>
      </c>
      <c r="G859" t="s">
        <v>5604</v>
      </c>
    </row>
    <row r="860" spans="1:7" x14ac:dyDescent="0.25">
      <c r="A860">
        <v>5685</v>
      </c>
      <c r="F860" t="s">
        <v>5603</v>
      </c>
      <c r="G860" t="s">
        <v>5604</v>
      </c>
    </row>
    <row r="861" spans="1:7" x14ac:dyDescent="0.25">
      <c r="A861">
        <v>5685</v>
      </c>
      <c r="F861" t="s">
        <v>53</v>
      </c>
      <c r="G861" t="s">
        <v>5604</v>
      </c>
    </row>
    <row r="862" spans="1:7" x14ac:dyDescent="0.25">
      <c r="A862">
        <v>5685</v>
      </c>
      <c r="F862" t="s">
        <v>55</v>
      </c>
      <c r="G862" t="s">
        <v>5604</v>
      </c>
    </row>
    <row r="863" spans="1:7" x14ac:dyDescent="0.25">
      <c r="A863">
        <v>5685</v>
      </c>
      <c r="F863" t="s">
        <v>5605</v>
      </c>
      <c r="G863" t="s">
        <v>5604</v>
      </c>
    </row>
    <row r="864" spans="1:7" x14ac:dyDescent="0.25">
      <c r="A864">
        <v>5686</v>
      </c>
      <c r="F864" t="s">
        <v>5603</v>
      </c>
      <c r="G864" t="s">
        <v>5604</v>
      </c>
    </row>
    <row r="865" spans="1:7" x14ac:dyDescent="0.25">
      <c r="A865">
        <v>5686</v>
      </c>
      <c r="F865" t="s">
        <v>53</v>
      </c>
      <c r="G865" t="s">
        <v>5604</v>
      </c>
    </row>
    <row r="866" spans="1:7" x14ac:dyDescent="0.25">
      <c r="A866">
        <v>5686</v>
      </c>
      <c r="F866" t="s">
        <v>55</v>
      </c>
      <c r="G866" t="s">
        <v>5604</v>
      </c>
    </row>
    <row r="867" spans="1:7" x14ac:dyDescent="0.25">
      <c r="A867">
        <v>5686</v>
      </c>
      <c r="F867" t="s">
        <v>5605</v>
      </c>
      <c r="G867" t="s">
        <v>5604</v>
      </c>
    </row>
    <row r="868" spans="1:7" x14ac:dyDescent="0.25">
      <c r="A868">
        <v>5687</v>
      </c>
      <c r="F868" t="s">
        <v>5603</v>
      </c>
      <c r="G868" t="s">
        <v>5604</v>
      </c>
    </row>
    <row r="869" spans="1:7" x14ac:dyDescent="0.25">
      <c r="A869">
        <v>5687</v>
      </c>
      <c r="F869" t="s">
        <v>53</v>
      </c>
      <c r="G869" t="s">
        <v>5604</v>
      </c>
    </row>
    <row r="870" spans="1:7" x14ac:dyDescent="0.25">
      <c r="A870">
        <v>5687</v>
      </c>
      <c r="F870" t="s">
        <v>55</v>
      </c>
      <c r="G870" t="s">
        <v>5604</v>
      </c>
    </row>
    <row r="871" spans="1:7" x14ac:dyDescent="0.25">
      <c r="A871">
        <v>5687</v>
      </c>
      <c r="F871" t="s">
        <v>5605</v>
      </c>
      <c r="G871" t="s">
        <v>5604</v>
      </c>
    </row>
    <row r="872" spans="1:7" x14ac:dyDescent="0.25">
      <c r="A872">
        <v>5688</v>
      </c>
      <c r="F872" t="s">
        <v>5603</v>
      </c>
      <c r="G872" t="s">
        <v>5604</v>
      </c>
    </row>
    <row r="873" spans="1:7" x14ac:dyDescent="0.25">
      <c r="A873">
        <v>5688</v>
      </c>
      <c r="F873" t="s">
        <v>53</v>
      </c>
      <c r="G873" t="s">
        <v>5604</v>
      </c>
    </row>
    <row r="874" spans="1:7" x14ac:dyDescent="0.25">
      <c r="A874">
        <v>5688</v>
      </c>
      <c r="F874" t="s">
        <v>55</v>
      </c>
      <c r="G874" t="s">
        <v>5604</v>
      </c>
    </row>
    <row r="875" spans="1:7" x14ac:dyDescent="0.25">
      <c r="A875">
        <v>5688</v>
      </c>
      <c r="F875" t="s">
        <v>5605</v>
      </c>
      <c r="G875" t="s">
        <v>5604</v>
      </c>
    </row>
    <row r="876" spans="1:7" x14ac:dyDescent="0.25">
      <c r="A876">
        <v>5689</v>
      </c>
      <c r="F876" t="s">
        <v>5603</v>
      </c>
      <c r="G876" t="s">
        <v>5604</v>
      </c>
    </row>
    <row r="877" spans="1:7" x14ac:dyDescent="0.25">
      <c r="A877">
        <v>5689</v>
      </c>
      <c r="F877" t="s">
        <v>53</v>
      </c>
      <c r="G877" t="s">
        <v>5604</v>
      </c>
    </row>
    <row r="878" spans="1:7" x14ac:dyDescent="0.25">
      <c r="A878">
        <v>5689</v>
      </c>
      <c r="F878" t="s">
        <v>55</v>
      </c>
      <c r="G878" t="s">
        <v>5604</v>
      </c>
    </row>
    <row r="879" spans="1:7" x14ac:dyDescent="0.25">
      <c r="A879">
        <v>5689</v>
      </c>
      <c r="F879" t="s">
        <v>5605</v>
      </c>
      <c r="G879" t="s">
        <v>5604</v>
      </c>
    </row>
    <row r="880" spans="1:7" x14ac:dyDescent="0.25">
      <c r="A880">
        <v>5690</v>
      </c>
      <c r="F880" t="s">
        <v>5603</v>
      </c>
      <c r="G880" t="s">
        <v>5604</v>
      </c>
    </row>
    <row r="881" spans="1:7" x14ac:dyDescent="0.25">
      <c r="A881">
        <v>5690</v>
      </c>
      <c r="F881" t="s">
        <v>53</v>
      </c>
      <c r="G881" t="s">
        <v>5604</v>
      </c>
    </row>
    <row r="882" spans="1:7" x14ac:dyDescent="0.25">
      <c r="A882">
        <v>5690</v>
      </c>
      <c r="F882" t="s">
        <v>55</v>
      </c>
      <c r="G882" t="s">
        <v>5604</v>
      </c>
    </row>
    <row r="883" spans="1:7" x14ac:dyDescent="0.25">
      <c r="A883">
        <v>5690</v>
      </c>
      <c r="F883" t="s">
        <v>5605</v>
      </c>
      <c r="G883" t="s">
        <v>5604</v>
      </c>
    </row>
    <row r="884" spans="1:7" x14ac:dyDescent="0.25">
      <c r="A884">
        <v>5691</v>
      </c>
      <c r="F884" t="s">
        <v>5603</v>
      </c>
      <c r="G884" t="s">
        <v>5604</v>
      </c>
    </row>
    <row r="885" spans="1:7" x14ac:dyDescent="0.25">
      <c r="A885">
        <v>5691</v>
      </c>
      <c r="F885" t="s">
        <v>53</v>
      </c>
      <c r="G885" t="s">
        <v>5604</v>
      </c>
    </row>
    <row r="886" spans="1:7" x14ac:dyDescent="0.25">
      <c r="A886">
        <v>5691</v>
      </c>
      <c r="F886" t="s">
        <v>55</v>
      </c>
      <c r="G886" t="s">
        <v>5604</v>
      </c>
    </row>
    <row r="887" spans="1:7" x14ac:dyDescent="0.25">
      <c r="A887">
        <v>5691</v>
      </c>
      <c r="F887" t="s">
        <v>5605</v>
      </c>
      <c r="G887" t="s">
        <v>5604</v>
      </c>
    </row>
    <row r="888" spans="1:7" x14ac:dyDescent="0.25">
      <c r="A888">
        <v>5692</v>
      </c>
      <c r="F888" t="s">
        <v>5603</v>
      </c>
      <c r="G888" t="s">
        <v>5604</v>
      </c>
    </row>
    <row r="889" spans="1:7" x14ac:dyDescent="0.25">
      <c r="A889">
        <v>5692</v>
      </c>
      <c r="F889" t="s">
        <v>53</v>
      </c>
      <c r="G889" t="s">
        <v>5604</v>
      </c>
    </row>
    <row r="890" spans="1:7" x14ac:dyDescent="0.25">
      <c r="A890">
        <v>5692</v>
      </c>
      <c r="F890" t="s">
        <v>55</v>
      </c>
      <c r="G890" t="s">
        <v>5604</v>
      </c>
    </row>
    <row r="891" spans="1:7" x14ac:dyDescent="0.25">
      <c r="A891">
        <v>5692</v>
      </c>
      <c r="F891" t="s">
        <v>5605</v>
      </c>
      <c r="G891" t="s">
        <v>5604</v>
      </c>
    </row>
    <row r="892" spans="1:7" x14ac:dyDescent="0.25">
      <c r="A892">
        <v>5693</v>
      </c>
      <c r="F892" t="s">
        <v>5603</v>
      </c>
      <c r="G892" t="s">
        <v>5604</v>
      </c>
    </row>
    <row r="893" spans="1:7" x14ac:dyDescent="0.25">
      <c r="A893">
        <v>5693</v>
      </c>
      <c r="F893" t="s">
        <v>53</v>
      </c>
      <c r="G893" t="s">
        <v>5604</v>
      </c>
    </row>
    <row r="894" spans="1:7" x14ac:dyDescent="0.25">
      <c r="A894">
        <v>5693</v>
      </c>
      <c r="F894" t="s">
        <v>55</v>
      </c>
      <c r="G894" t="s">
        <v>5604</v>
      </c>
    </row>
    <row r="895" spans="1:7" x14ac:dyDescent="0.25">
      <c r="A895">
        <v>5693</v>
      </c>
      <c r="F895" t="s">
        <v>5605</v>
      </c>
      <c r="G895" t="s">
        <v>5604</v>
      </c>
    </row>
    <row r="896" spans="1:7" x14ac:dyDescent="0.25">
      <c r="A896">
        <v>5694</v>
      </c>
      <c r="F896" t="s">
        <v>5603</v>
      </c>
      <c r="G896" t="s">
        <v>5604</v>
      </c>
    </row>
    <row r="897" spans="1:7" x14ac:dyDescent="0.25">
      <c r="A897">
        <v>5694</v>
      </c>
      <c r="F897" t="s">
        <v>53</v>
      </c>
      <c r="G897" t="s">
        <v>5604</v>
      </c>
    </row>
    <row r="898" spans="1:7" x14ac:dyDescent="0.25">
      <c r="A898">
        <v>5694</v>
      </c>
      <c r="F898" t="s">
        <v>55</v>
      </c>
      <c r="G898" t="s">
        <v>5604</v>
      </c>
    </row>
    <row r="899" spans="1:7" x14ac:dyDescent="0.25">
      <c r="A899">
        <v>5694</v>
      </c>
      <c r="F899" t="s">
        <v>5605</v>
      </c>
      <c r="G899" t="s">
        <v>5604</v>
      </c>
    </row>
    <row r="900" spans="1:7" x14ac:dyDescent="0.25">
      <c r="A900">
        <v>5695</v>
      </c>
      <c r="F900" t="s">
        <v>5603</v>
      </c>
      <c r="G900" t="s">
        <v>5604</v>
      </c>
    </row>
    <row r="901" spans="1:7" x14ac:dyDescent="0.25">
      <c r="A901">
        <v>5695</v>
      </c>
      <c r="F901" t="s">
        <v>53</v>
      </c>
      <c r="G901" t="s">
        <v>5604</v>
      </c>
    </row>
    <row r="902" spans="1:7" x14ac:dyDescent="0.25">
      <c r="A902">
        <v>5695</v>
      </c>
      <c r="F902" t="s">
        <v>55</v>
      </c>
      <c r="G902" t="s">
        <v>5604</v>
      </c>
    </row>
    <row r="903" spans="1:7" x14ac:dyDescent="0.25">
      <c r="A903">
        <v>5695</v>
      </c>
      <c r="F903" t="s">
        <v>5605</v>
      </c>
      <c r="G903" t="s">
        <v>5604</v>
      </c>
    </row>
    <row r="904" spans="1:7" x14ac:dyDescent="0.25">
      <c r="A904">
        <v>5696</v>
      </c>
      <c r="F904" t="s">
        <v>5603</v>
      </c>
      <c r="G904" t="s">
        <v>5604</v>
      </c>
    </row>
    <row r="905" spans="1:7" x14ac:dyDescent="0.25">
      <c r="A905">
        <v>5696</v>
      </c>
      <c r="F905" t="s">
        <v>53</v>
      </c>
      <c r="G905" t="s">
        <v>5604</v>
      </c>
    </row>
    <row r="906" spans="1:7" x14ac:dyDescent="0.25">
      <c r="A906">
        <v>5696</v>
      </c>
      <c r="F906" t="s">
        <v>55</v>
      </c>
      <c r="G906" t="s">
        <v>5604</v>
      </c>
    </row>
    <row r="907" spans="1:7" x14ac:dyDescent="0.25">
      <c r="A907">
        <v>5696</v>
      </c>
      <c r="F907" t="s">
        <v>5605</v>
      </c>
      <c r="G907" t="s">
        <v>5604</v>
      </c>
    </row>
    <row r="908" spans="1:7" x14ac:dyDescent="0.25">
      <c r="A908">
        <v>5697</v>
      </c>
      <c r="F908" t="s">
        <v>5603</v>
      </c>
      <c r="G908" t="s">
        <v>5604</v>
      </c>
    </row>
    <row r="909" spans="1:7" x14ac:dyDescent="0.25">
      <c r="A909">
        <v>5697</v>
      </c>
      <c r="F909" t="s">
        <v>53</v>
      </c>
      <c r="G909" t="s">
        <v>5604</v>
      </c>
    </row>
    <row r="910" spans="1:7" x14ac:dyDescent="0.25">
      <c r="A910">
        <v>5697</v>
      </c>
      <c r="F910" t="s">
        <v>55</v>
      </c>
      <c r="G910" t="s">
        <v>5604</v>
      </c>
    </row>
    <row r="911" spans="1:7" x14ac:dyDescent="0.25">
      <c r="A911">
        <v>5697</v>
      </c>
      <c r="F911" t="s">
        <v>5605</v>
      </c>
      <c r="G911" t="s">
        <v>5604</v>
      </c>
    </row>
    <row r="912" spans="1:7" x14ac:dyDescent="0.25">
      <c r="A912">
        <v>5698</v>
      </c>
      <c r="F912" t="s">
        <v>5603</v>
      </c>
      <c r="G912" t="s">
        <v>5604</v>
      </c>
    </row>
    <row r="913" spans="1:7" x14ac:dyDescent="0.25">
      <c r="A913">
        <v>5698</v>
      </c>
      <c r="F913" t="s">
        <v>53</v>
      </c>
      <c r="G913" t="s">
        <v>5604</v>
      </c>
    </row>
    <row r="914" spans="1:7" x14ac:dyDescent="0.25">
      <c r="A914">
        <v>5698</v>
      </c>
      <c r="F914" t="s">
        <v>55</v>
      </c>
      <c r="G914" t="s">
        <v>5604</v>
      </c>
    </row>
    <row r="915" spans="1:7" x14ac:dyDescent="0.25">
      <c r="A915">
        <v>5698</v>
      </c>
      <c r="F915" t="s">
        <v>5605</v>
      </c>
      <c r="G915" t="s">
        <v>5604</v>
      </c>
    </row>
    <row r="916" spans="1:7" x14ac:dyDescent="0.25">
      <c r="A916">
        <v>5699</v>
      </c>
      <c r="F916" t="s">
        <v>5603</v>
      </c>
      <c r="G916" t="s">
        <v>5604</v>
      </c>
    </row>
    <row r="917" spans="1:7" x14ac:dyDescent="0.25">
      <c r="A917">
        <v>5699</v>
      </c>
      <c r="F917" t="s">
        <v>53</v>
      </c>
      <c r="G917" t="s">
        <v>5604</v>
      </c>
    </row>
    <row r="918" spans="1:7" x14ac:dyDescent="0.25">
      <c r="A918">
        <v>5699</v>
      </c>
      <c r="F918" t="s">
        <v>55</v>
      </c>
      <c r="G918" t="s">
        <v>5604</v>
      </c>
    </row>
    <row r="919" spans="1:7" x14ac:dyDescent="0.25">
      <c r="A919">
        <v>5699</v>
      </c>
      <c r="F919" t="s">
        <v>5605</v>
      </c>
      <c r="G919" t="s">
        <v>5604</v>
      </c>
    </row>
    <row r="920" spans="1:7" x14ac:dyDescent="0.25">
      <c r="A920">
        <v>5700</v>
      </c>
      <c r="F920" t="s">
        <v>5603</v>
      </c>
      <c r="G920" t="s">
        <v>5604</v>
      </c>
    </row>
    <row r="921" spans="1:7" x14ac:dyDescent="0.25">
      <c r="A921">
        <v>5700</v>
      </c>
      <c r="F921" t="s">
        <v>53</v>
      </c>
      <c r="G921" t="s">
        <v>5604</v>
      </c>
    </row>
    <row r="922" spans="1:7" x14ac:dyDescent="0.25">
      <c r="A922">
        <v>5700</v>
      </c>
      <c r="F922" t="s">
        <v>55</v>
      </c>
      <c r="G922" t="s">
        <v>5604</v>
      </c>
    </row>
    <row r="923" spans="1:7" x14ac:dyDescent="0.25">
      <c r="A923">
        <v>5700</v>
      </c>
      <c r="F923" t="s">
        <v>5605</v>
      </c>
      <c r="G923" t="s">
        <v>5604</v>
      </c>
    </row>
    <row r="924" spans="1:7" x14ac:dyDescent="0.25">
      <c r="A924">
        <v>5701</v>
      </c>
      <c r="F924" t="s">
        <v>5603</v>
      </c>
      <c r="G924" t="s">
        <v>5604</v>
      </c>
    </row>
    <row r="925" spans="1:7" x14ac:dyDescent="0.25">
      <c r="A925">
        <v>5701</v>
      </c>
      <c r="F925" t="s">
        <v>53</v>
      </c>
      <c r="G925" t="s">
        <v>5604</v>
      </c>
    </row>
    <row r="926" spans="1:7" x14ac:dyDescent="0.25">
      <c r="A926">
        <v>5701</v>
      </c>
      <c r="F926" t="s">
        <v>55</v>
      </c>
      <c r="G926" t="s">
        <v>5604</v>
      </c>
    </row>
    <row r="927" spans="1:7" x14ac:dyDescent="0.25">
      <c r="A927">
        <v>5701</v>
      </c>
      <c r="F927" t="s">
        <v>5605</v>
      </c>
      <c r="G927" t="s">
        <v>5604</v>
      </c>
    </row>
    <row r="928" spans="1:7" x14ac:dyDescent="0.25">
      <c r="A928">
        <v>5702</v>
      </c>
      <c r="F928" t="s">
        <v>5603</v>
      </c>
      <c r="G928" t="s">
        <v>5604</v>
      </c>
    </row>
    <row r="929" spans="1:7" x14ac:dyDescent="0.25">
      <c r="A929">
        <v>5702</v>
      </c>
      <c r="F929" t="s">
        <v>53</v>
      </c>
      <c r="G929" t="s">
        <v>5604</v>
      </c>
    </row>
    <row r="930" spans="1:7" x14ac:dyDescent="0.25">
      <c r="A930">
        <v>5702</v>
      </c>
      <c r="F930" t="s">
        <v>55</v>
      </c>
      <c r="G930" t="s">
        <v>5604</v>
      </c>
    </row>
    <row r="931" spans="1:7" x14ac:dyDescent="0.25">
      <c r="A931">
        <v>5702</v>
      </c>
      <c r="F931" t="s">
        <v>5605</v>
      </c>
      <c r="G931" t="s">
        <v>5604</v>
      </c>
    </row>
    <row r="932" spans="1:7" x14ac:dyDescent="0.25">
      <c r="A932">
        <v>5703</v>
      </c>
      <c r="F932" t="s">
        <v>5603</v>
      </c>
      <c r="G932" t="s">
        <v>5604</v>
      </c>
    </row>
    <row r="933" spans="1:7" x14ac:dyDescent="0.25">
      <c r="A933">
        <v>5703</v>
      </c>
      <c r="F933" t="s">
        <v>53</v>
      </c>
      <c r="G933" t="s">
        <v>5604</v>
      </c>
    </row>
    <row r="934" spans="1:7" x14ac:dyDescent="0.25">
      <c r="A934">
        <v>5703</v>
      </c>
      <c r="F934" t="s">
        <v>55</v>
      </c>
      <c r="G934" t="s">
        <v>5604</v>
      </c>
    </row>
    <row r="935" spans="1:7" x14ac:dyDescent="0.25">
      <c r="A935">
        <v>5703</v>
      </c>
      <c r="F935" t="s">
        <v>5605</v>
      </c>
      <c r="G935" t="s">
        <v>5604</v>
      </c>
    </row>
    <row r="936" spans="1:7" x14ac:dyDescent="0.25">
      <c r="A936">
        <v>5704</v>
      </c>
      <c r="F936" t="s">
        <v>5603</v>
      </c>
      <c r="G936" t="s">
        <v>5604</v>
      </c>
    </row>
    <row r="937" spans="1:7" x14ac:dyDescent="0.25">
      <c r="A937">
        <v>5704</v>
      </c>
      <c r="F937" t="s">
        <v>53</v>
      </c>
      <c r="G937" t="s">
        <v>5604</v>
      </c>
    </row>
    <row r="938" spans="1:7" x14ac:dyDescent="0.25">
      <c r="A938">
        <v>5704</v>
      </c>
      <c r="F938" t="s">
        <v>55</v>
      </c>
      <c r="G938" t="s">
        <v>5604</v>
      </c>
    </row>
    <row r="939" spans="1:7" x14ac:dyDescent="0.25">
      <c r="A939">
        <v>5704</v>
      </c>
      <c r="F939" t="s">
        <v>5605</v>
      </c>
      <c r="G939" t="s">
        <v>5604</v>
      </c>
    </row>
    <row r="940" spans="1:7" x14ac:dyDescent="0.25">
      <c r="A940">
        <v>5705</v>
      </c>
      <c r="F940" t="s">
        <v>5603</v>
      </c>
      <c r="G940" t="s">
        <v>5604</v>
      </c>
    </row>
    <row r="941" spans="1:7" x14ac:dyDescent="0.25">
      <c r="A941">
        <v>5705</v>
      </c>
      <c r="F941" t="s">
        <v>53</v>
      </c>
      <c r="G941" t="s">
        <v>5604</v>
      </c>
    </row>
    <row r="942" spans="1:7" x14ac:dyDescent="0.25">
      <c r="A942">
        <v>5705</v>
      </c>
      <c r="F942" t="s">
        <v>55</v>
      </c>
      <c r="G942" t="s">
        <v>5604</v>
      </c>
    </row>
    <row r="943" spans="1:7" x14ac:dyDescent="0.25">
      <c r="A943">
        <v>5705</v>
      </c>
      <c r="F943" t="s">
        <v>5605</v>
      </c>
      <c r="G943" t="s">
        <v>5604</v>
      </c>
    </row>
    <row r="944" spans="1:7" x14ac:dyDescent="0.25">
      <c r="A944">
        <v>5706</v>
      </c>
      <c r="F944" t="s">
        <v>5603</v>
      </c>
      <c r="G944" t="s">
        <v>5604</v>
      </c>
    </row>
    <row r="945" spans="1:7" x14ac:dyDescent="0.25">
      <c r="A945">
        <v>5706</v>
      </c>
      <c r="F945" t="s">
        <v>53</v>
      </c>
      <c r="G945" t="s">
        <v>5604</v>
      </c>
    </row>
    <row r="946" spans="1:7" x14ac:dyDescent="0.25">
      <c r="A946">
        <v>5706</v>
      </c>
      <c r="F946" t="s">
        <v>55</v>
      </c>
      <c r="G946" t="s">
        <v>5604</v>
      </c>
    </row>
    <row r="947" spans="1:7" x14ac:dyDescent="0.25">
      <c r="A947">
        <v>5706</v>
      </c>
      <c r="F947" t="s">
        <v>5605</v>
      </c>
      <c r="G947" t="s">
        <v>5604</v>
      </c>
    </row>
    <row r="948" spans="1:7" x14ac:dyDescent="0.25">
      <c r="A948">
        <v>5707</v>
      </c>
      <c r="F948" t="s">
        <v>5603</v>
      </c>
      <c r="G948" t="s">
        <v>5604</v>
      </c>
    </row>
    <row r="949" spans="1:7" x14ac:dyDescent="0.25">
      <c r="A949">
        <v>5707</v>
      </c>
      <c r="F949" t="s">
        <v>53</v>
      </c>
      <c r="G949" t="s">
        <v>5604</v>
      </c>
    </row>
    <row r="950" spans="1:7" x14ac:dyDescent="0.25">
      <c r="A950">
        <v>5707</v>
      </c>
      <c r="F950" t="s">
        <v>55</v>
      </c>
      <c r="G950" t="s">
        <v>5604</v>
      </c>
    </row>
    <row r="951" spans="1:7" x14ac:dyDescent="0.25">
      <c r="A951">
        <v>5707</v>
      </c>
      <c r="F951" t="s">
        <v>5605</v>
      </c>
      <c r="G951" t="s">
        <v>5604</v>
      </c>
    </row>
    <row r="952" spans="1:7" x14ac:dyDescent="0.25">
      <c r="A952">
        <v>5708</v>
      </c>
      <c r="F952" t="s">
        <v>5603</v>
      </c>
      <c r="G952" t="s">
        <v>5604</v>
      </c>
    </row>
    <row r="953" spans="1:7" x14ac:dyDescent="0.25">
      <c r="A953">
        <v>5708</v>
      </c>
      <c r="F953" t="s">
        <v>53</v>
      </c>
      <c r="G953" t="s">
        <v>5604</v>
      </c>
    </row>
    <row r="954" spans="1:7" x14ac:dyDescent="0.25">
      <c r="A954">
        <v>5708</v>
      </c>
      <c r="F954" t="s">
        <v>55</v>
      </c>
      <c r="G954" t="s">
        <v>5604</v>
      </c>
    </row>
    <row r="955" spans="1:7" x14ac:dyDescent="0.25">
      <c r="A955">
        <v>5708</v>
      </c>
      <c r="F955" t="s">
        <v>5605</v>
      </c>
      <c r="G955" t="s">
        <v>5604</v>
      </c>
    </row>
    <row r="956" spans="1:7" x14ac:dyDescent="0.25">
      <c r="A956">
        <v>5709</v>
      </c>
      <c r="F956" t="s">
        <v>5603</v>
      </c>
      <c r="G956" t="s">
        <v>5604</v>
      </c>
    </row>
    <row r="957" spans="1:7" x14ac:dyDescent="0.25">
      <c r="A957">
        <v>5709</v>
      </c>
      <c r="F957" t="s">
        <v>53</v>
      </c>
      <c r="G957" t="s">
        <v>5604</v>
      </c>
    </row>
    <row r="958" spans="1:7" x14ac:dyDescent="0.25">
      <c r="A958">
        <v>5709</v>
      </c>
      <c r="F958" t="s">
        <v>55</v>
      </c>
      <c r="G958" t="s">
        <v>5604</v>
      </c>
    </row>
    <row r="959" spans="1:7" x14ac:dyDescent="0.25">
      <c r="A959">
        <v>5709</v>
      </c>
      <c r="F959" t="s">
        <v>5605</v>
      </c>
      <c r="G959" t="s">
        <v>5604</v>
      </c>
    </row>
    <row r="960" spans="1:7" x14ac:dyDescent="0.25">
      <c r="A960">
        <v>5710</v>
      </c>
      <c r="F960" t="s">
        <v>5603</v>
      </c>
      <c r="G960" t="s">
        <v>5604</v>
      </c>
    </row>
    <row r="961" spans="1:7" x14ac:dyDescent="0.25">
      <c r="A961">
        <v>5710</v>
      </c>
      <c r="F961" t="s">
        <v>53</v>
      </c>
      <c r="G961" t="s">
        <v>5604</v>
      </c>
    </row>
    <row r="962" spans="1:7" x14ac:dyDescent="0.25">
      <c r="A962">
        <v>5710</v>
      </c>
      <c r="F962" t="s">
        <v>55</v>
      </c>
      <c r="G962" t="s">
        <v>5604</v>
      </c>
    </row>
    <row r="963" spans="1:7" x14ac:dyDescent="0.25">
      <c r="A963">
        <v>5710</v>
      </c>
      <c r="F963" t="s">
        <v>5605</v>
      </c>
      <c r="G963" t="s">
        <v>5604</v>
      </c>
    </row>
    <row r="964" spans="1:7" x14ac:dyDescent="0.25">
      <c r="A964">
        <v>5711</v>
      </c>
      <c r="F964" t="s">
        <v>5603</v>
      </c>
      <c r="G964" t="s">
        <v>5604</v>
      </c>
    </row>
    <row r="965" spans="1:7" x14ac:dyDescent="0.25">
      <c r="A965">
        <v>5711</v>
      </c>
      <c r="F965" t="s">
        <v>53</v>
      </c>
      <c r="G965" t="s">
        <v>5604</v>
      </c>
    </row>
    <row r="966" spans="1:7" x14ac:dyDescent="0.25">
      <c r="A966">
        <v>5711</v>
      </c>
      <c r="F966" t="s">
        <v>55</v>
      </c>
      <c r="G966" t="s">
        <v>5604</v>
      </c>
    </row>
    <row r="967" spans="1:7" x14ac:dyDescent="0.25">
      <c r="A967">
        <v>5711</v>
      </c>
      <c r="F967" t="s">
        <v>5605</v>
      </c>
      <c r="G967" t="s">
        <v>5604</v>
      </c>
    </row>
    <row r="968" spans="1:7" x14ac:dyDescent="0.25">
      <c r="A968">
        <v>5712</v>
      </c>
      <c r="F968" t="s">
        <v>5603</v>
      </c>
      <c r="G968" t="s">
        <v>5604</v>
      </c>
    </row>
    <row r="969" spans="1:7" x14ac:dyDescent="0.25">
      <c r="A969">
        <v>5712</v>
      </c>
      <c r="F969" t="s">
        <v>53</v>
      </c>
      <c r="G969" t="s">
        <v>5604</v>
      </c>
    </row>
    <row r="970" spans="1:7" x14ac:dyDescent="0.25">
      <c r="A970">
        <v>5712</v>
      </c>
      <c r="F970" t="s">
        <v>55</v>
      </c>
      <c r="G970" t="s">
        <v>5604</v>
      </c>
    </row>
    <row r="971" spans="1:7" x14ac:dyDescent="0.25">
      <c r="A971">
        <v>5712</v>
      </c>
      <c r="F971" t="s">
        <v>5605</v>
      </c>
      <c r="G971" t="s">
        <v>5604</v>
      </c>
    </row>
    <row r="972" spans="1:7" x14ac:dyDescent="0.25">
      <c r="A972">
        <v>5713</v>
      </c>
      <c r="F972" t="s">
        <v>5603</v>
      </c>
      <c r="G972" t="s">
        <v>5604</v>
      </c>
    </row>
    <row r="973" spans="1:7" x14ac:dyDescent="0.25">
      <c r="A973">
        <v>5713</v>
      </c>
      <c r="F973" t="s">
        <v>53</v>
      </c>
      <c r="G973" t="s">
        <v>5604</v>
      </c>
    </row>
    <row r="974" spans="1:7" x14ac:dyDescent="0.25">
      <c r="A974">
        <v>5713</v>
      </c>
      <c r="F974" t="s">
        <v>55</v>
      </c>
      <c r="G974" t="s">
        <v>5604</v>
      </c>
    </row>
    <row r="975" spans="1:7" x14ac:dyDescent="0.25">
      <c r="A975">
        <v>5713</v>
      </c>
      <c r="F975" t="s">
        <v>5605</v>
      </c>
      <c r="G975" t="s">
        <v>5604</v>
      </c>
    </row>
    <row r="976" spans="1:7" x14ac:dyDescent="0.25">
      <c r="A976">
        <v>5714</v>
      </c>
      <c r="F976" t="s">
        <v>5603</v>
      </c>
      <c r="G976" t="s">
        <v>5604</v>
      </c>
    </row>
    <row r="977" spans="1:7" x14ac:dyDescent="0.25">
      <c r="A977">
        <v>5714</v>
      </c>
      <c r="F977" t="s">
        <v>53</v>
      </c>
      <c r="G977" t="s">
        <v>5604</v>
      </c>
    </row>
    <row r="978" spans="1:7" x14ac:dyDescent="0.25">
      <c r="A978">
        <v>5714</v>
      </c>
      <c r="F978" t="s">
        <v>55</v>
      </c>
      <c r="G978" t="s">
        <v>5604</v>
      </c>
    </row>
    <row r="979" spans="1:7" x14ac:dyDescent="0.25">
      <c r="A979">
        <v>5714</v>
      </c>
      <c r="F979" t="s">
        <v>5605</v>
      </c>
      <c r="G979" t="s">
        <v>5604</v>
      </c>
    </row>
    <row r="980" spans="1:7" x14ac:dyDescent="0.25">
      <c r="A980">
        <v>5715</v>
      </c>
      <c r="F980" t="s">
        <v>5603</v>
      </c>
      <c r="G980" t="s">
        <v>5604</v>
      </c>
    </row>
    <row r="981" spans="1:7" x14ac:dyDescent="0.25">
      <c r="A981">
        <v>5715</v>
      </c>
      <c r="F981" t="s">
        <v>53</v>
      </c>
      <c r="G981" t="s">
        <v>5604</v>
      </c>
    </row>
    <row r="982" spans="1:7" x14ac:dyDescent="0.25">
      <c r="A982">
        <v>5715</v>
      </c>
      <c r="F982" t="s">
        <v>55</v>
      </c>
      <c r="G982" t="s">
        <v>5604</v>
      </c>
    </row>
    <row r="983" spans="1:7" x14ac:dyDescent="0.25">
      <c r="A983">
        <v>5715</v>
      </c>
      <c r="F983" t="s">
        <v>5605</v>
      </c>
      <c r="G983" t="s">
        <v>5604</v>
      </c>
    </row>
    <row r="984" spans="1:7" x14ac:dyDescent="0.25">
      <c r="A984">
        <v>5716</v>
      </c>
      <c r="F984" t="s">
        <v>5603</v>
      </c>
      <c r="G984" t="s">
        <v>5604</v>
      </c>
    </row>
    <row r="985" spans="1:7" x14ac:dyDescent="0.25">
      <c r="A985">
        <v>5716</v>
      </c>
      <c r="F985" t="s">
        <v>53</v>
      </c>
      <c r="G985" t="s">
        <v>5604</v>
      </c>
    </row>
    <row r="986" spans="1:7" x14ac:dyDescent="0.25">
      <c r="A986">
        <v>5716</v>
      </c>
      <c r="F986" t="s">
        <v>55</v>
      </c>
      <c r="G986" t="s">
        <v>5604</v>
      </c>
    </row>
    <row r="987" spans="1:7" x14ac:dyDescent="0.25">
      <c r="A987">
        <v>5716</v>
      </c>
      <c r="F987" t="s">
        <v>5605</v>
      </c>
      <c r="G987" t="s">
        <v>5604</v>
      </c>
    </row>
    <row r="988" spans="1:7" x14ac:dyDescent="0.25">
      <c r="A988">
        <v>5717</v>
      </c>
      <c r="F988" t="s">
        <v>5603</v>
      </c>
      <c r="G988" t="s">
        <v>5604</v>
      </c>
    </row>
    <row r="989" spans="1:7" x14ac:dyDescent="0.25">
      <c r="A989">
        <v>5717</v>
      </c>
      <c r="F989" t="s">
        <v>53</v>
      </c>
      <c r="G989" t="s">
        <v>5604</v>
      </c>
    </row>
    <row r="990" spans="1:7" x14ac:dyDescent="0.25">
      <c r="A990">
        <v>5717</v>
      </c>
      <c r="F990" t="s">
        <v>55</v>
      </c>
      <c r="G990" t="s">
        <v>5604</v>
      </c>
    </row>
    <row r="991" spans="1:7" x14ac:dyDescent="0.25">
      <c r="A991">
        <v>5717</v>
      </c>
      <c r="F991" t="s">
        <v>5605</v>
      </c>
      <c r="G991" t="s">
        <v>5604</v>
      </c>
    </row>
    <row r="992" spans="1:7" x14ac:dyDescent="0.25">
      <c r="A992">
        <v>5718</v>
      </c>
      <c r="F992" t="s">
        <v>5603</v>
      </c>
      <c r="G992" t="s">
        <v>5604</v>
      </c>
    </row>
    <row r="993" spans="1:7" x14ac:dyDescent="0.25">
      <c r="A993">
        <v>5718</v>
      </c>
      <c r="F993" t="s">
        <v>53</v>
      </c>
      <c r="G993" t="s">
        <v>5604</v>
      </c>
    </row>
    <row r="994" spans="1:7" x14ac:dyDescent="0.25">
      <c r="A994">
        <v>5718</v>
      </c>
      <c r="F994" t="s">
        <v>55</v>
      </c>
      <c r="G994" t="s">
        <v>5604</v>
      </c>
    </row>
    <row r="995" spans="1:7" x14ac:dyDescent="0.25">
      <c r="A995">
        <v>5718</v>
      </c>
      <c r="F995" t="s">
        <v>5605</v>
      </c>
      <c r="G995" t="s">
        <v>5604</v>
      </c>
    </row>
    <row r="996" spans="1:7" x14ac:dyDescent="0.25">
      <c r="A996">
        <v>5719</v>
      </c>
      <c r="F996" t="s">
        <v>5603</v>
      </c>
      <c r="G996" t="s">
        <v>5604</v>
      </c>
    </row>
    <row r="997" spans="1:7" x14ac:dyDescent="0.25">
      <c r="A997">
        <v>5719</v>
      </c>
      <c r="F997" t="s">
        <v>53</v>
      </c>
      <c r="G997" t="s">
        <v>5604</v>
      </c>
    </row>
    <row r="998" spans="1:7" x14ac:dyDescent="0.25">
      <c r="A998">
        <v>5719</v>
      </c>
      <c r="F998" t="s">
        <v>55</v>
      </c>
      <c r="G998" t="s">
        <v>5604</v>
      </c>
    </row>
    <row r="999" spans="1:7" x14ac:dyDescent="0.25">
      <c r="A999">
        <v>5719</v>
      </c>
      <c r="F999" t="s">
        <v>5605</v>
      </c>
      <c r="G999" t="s">
        <v>5604</v>
      </c>
    </row>
    <row r="1000" spans="1:7" x14ac:dyDescent="0.25">
      <c r="A1000">
        <v>5720</v>
      </c>
      <c r="F1000" t="s">
        <v>5603</v>
      </c>
      <c r="G1000" t="s">
        <v>5604</v>
      </c>
    </row>
    <row r="1001" spans="1:7" x14ac:dyDescent="0.25">
      <c r="A1001">
        <v>5720</v>
      </c>
      <c r="F1001" t="s">
        <v>53</v>
      </c>
      <c r="G1001" t="s">
        <v>5604</v>
      </c>
    </row>
    <row r="1002" spans="1:7" x14ac:dyDescent="0.25">
      <c r="A1002">
        <v>5720</v>
      </c>
      <c r="F1002" t="s">
        <v>55</v>
      </c>
      <c r="G1002" t="s">
        <v>5604</v>
      </c>
    </row>
    <row r="1003" spans="1:7" x14ac:dyDescent="0.25">
      <c r="A1003">
        <v>5720</v>
      </c>
      <c r="F1003" t="s">
        <v>5605</v>
      </c>
      <c r="G1003" t="s">
        <v>5604</v>
      </c>
    </row>
    <row r="1004" spans="1:7" x14ac:dyDescent="0.25">
      <c r="A1004">
        <v>5721</v>
      </c>
      <c r="F1004" t="s">
        <v>5603</v>
      </c>
      <c r="G1004" t="s">
        <v>5604</v>
      </c>
    </row>
    <row r="1005" spans="1:7" x14ac:dyDescent="0.25">
      <c r="A1005">
        <v>5721</v>
      </c>
      <c r="F1005" t="s">
        <v>53</v>
      </c>
      <c r="G1005" t="s">
        <v>5604</v>
      </c>
    </row>
    <row r="1006" spans="1:7" x14ac:dyDescent="0.25">
      <c r="A1006">
        <v>5721</v>
      </c>
      <c r="F1006" t="s">
        <v>55</v>
      </c>
      <c r="G1006" t="s">
        <v>5604</v>
      </c>
    </row>
    <row r="1007" spans="1:7" x14ac:dyDescent="0.25">
      <c r="A1007">
        <v>5721</v>
      </c>
      <c r="F1007" t="s">
        <v>5605</v>
      </c>
      <c r="G1007" t="s">
        <v>5604</v>
      </c>
    </row>
    <row r="1008" spans="1:7" x14ac:dyDescent="0.25">
      <c r="A1008">
        <v>5722</v>
      </c>
      <c r="F1008" t="s">
        <v>5603</v>
      </c>
      <c r="G1008" t="s">
        <v>5604</v>
      </c>
    </row>
    <row r="1009" spans="1:7" x14ac:dyDescent="0.25">
      <c r="A1009">
        <v>5722</v>
      </c>
      <c r="F1009" t="s">
        <v>53</v>
      </c>
      <c r="G1009" t="s">
        <v>5604</v>
      </c>
    </row>
    <row r="1010" spans="1:7" x14ac:dyDescent="0.25">
      <c r="A1010">
        <v>5722</v>
      </c>
      <c r="F1010" t="s">
        <v>55</v>
      </c>
      <c r="G1010" t="s">
        <v>5604</v>
      </c>
    </row>
    <row r="1011" spans="1:7" x14ac:dyDescent="0.25">
      <c r="A1011">
        <v>5722</v>
      </c>
      <c r="F1011" t="s">
        <v>5605</v>
      </c>
      <c r="G1011" t="s">
        <v>5604</v>
      </c>
    </row>
    <row r="1012" spans="1:7" x14ac:dyDescent="0.25">
      <c r="A1012">
        <v>5723</v>
      </c>
      <c r="F1012" t="s">
        <v>5603</v>
      </c>
      <c r="G1012" t="s">
        <v>5604</v>
      </c>
    </row>
    <row r="1013" spans="1:7" x14ac:dyDescent="0.25">
      <c r="A1013">
        <v>5723</v>
      </c>
      <c r="F1013" t="s">
        <v>53</v>
      </c>
      <c r="G1013" t="s">
        <v>5604</v>
      </c>
    </row>
    <row r="1014" spans="1:7" x14ac:dyDescent="0.25">
      <c r="A1014">
        <v>5723</v>
      </c>
      <c r="F1014" t="s">
        <v>55</v>
      </c>
      <c r="G1014" t="s">
        <v>5604</v>
      </c>
    </row>
    <row r="1015" spans="1:7" x14ac:dyDescent="0.25">
      <c r="A1015">
        <v>5723</v>
      </c>
      <c r="F1015" t="s">
        <v>5605</v>
      </c>
      <c r="G1015" t="s">
        <v>5604</v>
      </c>
    </row>
    <row r="1016" spans="1:7" x14ac:dyDescent="0.25">
      <c r="A1016">
        <v>5724</v>
      </c>
      <c r="F1016" t="s">
        <v>5603</v>
      </c>
      <c r="G1016" t="s">
        <v>5604</v>
      </c>
    </row>
    <row r="1017" spans="1:7" x14ac:dyDescent="0.25">
      <c r="A1017">
        <v>5724</v>
      </c>
      <c r="F1017" t="s">
        <v>53</v>
      </c>
      <c r="G1017" t="s">
        <v>5604</v>
      </c>
    </row>
    <row r="1018" spans="1:7" x14ac:dyDescent="0.25">
      <c r="A1018">
        <v>5724</v>
      </c>
      <c r="F1018" t="s">
        <v>55</v>
      </c>
      <c r="G1018" t="s">
        <v>5604</v>
      </c>
    </row>
    <row r="1019" spans="1:7" x14ac:dyDescent="0.25">
      <c r="A1019">
        <v>5724</v>
      </c>
      <c r="F1019" t="s">
        <v>5605</v>
      </c>
      <c r="G1019" t="s">
        <v>5604</v>
      </c>
    </row>
    <row r="1020" spans="1:7" x14ac:dyDescent="0.25">
      <c r="A1020">
        <v>5725</v>
      </c>
      <c r="F1020" t="s">
        <v>5603</v>
      </c>
      <c r="G1020" t="s">
        <v>5604</v>
      </c>
    </row>
    <row r="1021" spans="1:7" x14ac:dyDescent="0.25">
      <c r="A1021">
        <v>5725</v>
      </c>
      <c r="F1021" t="s">
        <v>53</v>
      </c>
      <c r="G1021" t="s">
        <v>5604</v>
      </c>
    </row>
    <row r="1022" spans="1:7" x14ac:dyDescent="0.25">
      <c r="A1022">
        <v>5725</v>
      </c>
      <c r="F1022" t="s">
        <v>55</v>
      </c>
      <c r="G1022" t="s">
        <v>5604</v>
      </c>
    </row>
    <row r="1023" spans="1:7" x14ac:dyDescent="0.25">
      <c r="A1023">
        <v>5725</v>
      </c>
      <c r="F1023" t="s">
        <v>5605</v>
      </c>
      <c r="G1023" t="s">
        <v>5604</v>
      </c>
    </row>
    <row r="1024" spans="1:7" x14ac:dyDescent="0.25">
      <c r="A1024">
        <v>5726</v>
      </c>
      <c r="F1024" t="s">
        <v>5603</v>
      </c>
      <c r="G1024" t="s">
        <v>5604</v>
      </c>
    </row>
    <row r="1025" spans="1:7" x14ac:dyDescent="0.25">
      <c r="A1025">
        <v>5726</v>
      </c>
      <c r="F1025" t="s">
        <v>53</v>
      </c>
      <c r="G1025" t="s">
        <v>5604</v>
      </c>
    </row>
    <row r="1026" spans="1:7" x14ac:dyDescent="0.25">
      <c r="A1026">
        <v>5726</v>
      </c>
      <c r="F1026" t="s">
        <v>55</v>
      </c>
      <c r="G1026" t="s">
        <v>5604</v>
      </c>
    </row>
    <row r="1027" spans="1:7" x14ac:dyDescent="0.25">
      <c r="A1027">
        <v>5726</v>
      </c>
      <c r="F1027" t="s">
        <v>5605</v>
      </c>
      <c r="G1027" t="s">
        <v>5604</v>
      </c>
    </row>
    <row r="1028" spans="1:7" x14ac:dyDescent="0.25">
      <c r="A1028">
        <v>5727</v>
      </c>
      <c r="F1028" t="s">
        <v>5603</v>
      </c>
      <c r="G1028" t="s">
        <v>5604</v>
      </c>
    </row>
    <row r="1029" spans="1:7" x14ac:dyDescent="0.25">
      <c r="A1029">
        <v>5727</v>
      </c>
      <c r="F1029" t="s">
        <v>53</v>
      </c>
      <c r="G1029" t="s">
        <v>5604</v>
      </c>
    </row>
    <row r="1030" spans="1:7" x14ac:dyDescent="0.25">
      <c r="A1030">
        <v>5727</v>
      </c>
      <c r="F1030" t="s">
        <v>55</v>
      </c>
      <c r="G1030" t="s">
        <v>5604</v>
      </c>
    </row>
    <row r="1031" spans="1:7" x14ac:dyDescent="0.25">
      <c r="A1031">
        <v>5727</v>
      </c>
      <c r="F1031" t="s">
        <v>5605</v>
      </c>
      <c r="G1031" t="s">
        <v>5604</v>
      </c>
    </row>
    <row r="1032" spans="1:7" x14ac:dyDescent="0.25">
      <c r="A1032">
        <v>5728</v>
      </c>
      <c r="F1032" t="s">
        <v>5603</v>
      </c>
      <c r="G1032" t="s">
        <v>5604</v>
      </c>
    </row>
    <row r="1033" spans="1:7" x14ac:dyDescent="0.25">
      <c r="A1033">
        <v>5728</v>
      </c>
      <c r="F1033" t="s">
        <v>53</v>
      </c>
      <c r="G1033" t="s">
        <v>5604</v>
      </c>
    </row>
    <row r="1034" spans="1:7" x14ac:dyDescent="0.25">
      <c r="A1034">
        <v>5728</v>
      </c>
      <c r="F1034" t="s">
        <v>55</v>
      </c>
      <c r="G1034" t="s">
        <v>5604</v>
      </c>
    </row>
    <row r="1035" spans="1:7" x14ac:dyDescent="0.25">
      <c r="A1035">
        <v>5728</v>
      </c>
      <c r="F1035" t="s">
        <v>5605</v>
      </c>
      <c r="G1035" t="s">
        <v>5604</v>
      </c>
    </row>
    <row r="1036" spans="1:7" x14ac:dyDescent="0.25">
      <c r="A1036">
        <v>5729</v>
      </c>
      <c r="F1036" t="s">
        <v>5603</v>
      </c>
      <c r="G1036" t="s">
        <v>5604</v>
      </c>
    </row>
    <row r="1037" spans="1:7" x14ac:dyDescent="0.25">
      <c r="A1037">
        <v>5729</v>
      </c>
      <c r="F1037" t="s">
        <v>53</v>
      </c>
      <c r="G1037" t="s">
        <v>5604</v>
      </c>
    </row>
    <row r="1038" spans="1:7" x14ac:dyDescent="0.25">
      <c r="A1038">
        <v>5729</v>
      </c>
      <c r="F1038" t="s">
        <v>55</v>
      </c>
      <c r="G1038" t="s">
        <v>5604</v>
      </c>
    </row>
    <row r="1039" spans="1:7" x14ac:dyDescent="0.25">
      <c r="A1039">
        <v>5729</v>
      </c>
      <c r="F1039" t="s">
        <v>5605</v>
      </c>
      <c r="G1039" t="s">
        <v>5604</v>
      </c>
    </row>
    <row r="1040" spans="1:7" x14ac:dyDescent="0.25">
      <c r="A1040">
        <v>5730</v>
      </c>
      <c r="F1040" t="s">
        <v>5603</v>
      </c>
      <c r="G1040" t="s">
        <v>5604</v>
      </c>
    </row>
    <row r="1041" spans="1:7" x14ac:dyDescent="0.25">
      <c r="A1041">
        <v>5730</v>
      </c>
      <c r="F1041" t="s">
        <v>53</v>
      </c>
      <c r="G1041" t="s">
        <v>5604</v>
      </c>
    </row>
    <row r="1042" spans="1:7" x14ac:dyDescent="0.25">
      <c r="A1042">
        <v>5730</v>
      </c>
      <c r="F1042" t="s">
        <v>55</v>
      </c>
      <c r="G1042" t="s">
        <v>5604</v>
      </c>
    </row>
    <row r="1043" spans="1:7" x14ac:dyDescent="0.25">
      <c r="A1043">
        <v>5730</v>
      </c>
      <c r="F1043" t="s">
        <v>5605</v>
      </c>
      <c r="G1043" t="s">
        <v>5604</v>
      </c>
    </row>
    <row r="1044" spans="1:7" x14ac:dyDescent="0.25">
      <c r="A1044">
        <v>5731</v>
      </c>
      <c r="F1044" t="s">
        <v>5603</v>
      </c>
      <c r="G1044" t="s">
        <v>5604</v>
      </c>
    </row>
    <row r="1045" spans="1:7" x14ac:dyDescent="0.25">
      <c r="A1045">
        <v>5731</v>
      </c>
      <c r="F1045" t="s">
        <v>53</v>
      </c>
      <c r="G1045" t="s">
        <v>5604</v>
      </c>
    </row>
    <row r="1046" spans="1:7" x14ac:dyDescent="0.25">
      <c r="A1046">
        <v>5731</v>
      </c>
      <c r="F1046" t="s">
        <v>55</v>
      </c>
      <c r="G1046" t="s">
        <v>5604</v>
      </c>
    </row>
    <row r="1047" spans="1:7" x14ac:dyDescent="0.25">
      <c r="A1047">
        <v>5731</v>
      </c>
      <c r="F1047" t="s">
        <v>5605</v>
      </c>
      <c r="G1047" t="s">
        <v>5604</v>
      </c>
    </row>
    <row r="1048" spans="1:7" x14ac:dyDescent="0.25">
      <c r="A1048">
        <v>5732</v>
      </c>
      <c r="F1048" t="s">
        <v>5603</v>
      </c>
      <c r="G1048" t="s">
        <v>5604</v>
      </c>
    </row>
    <row r="1049" spans="1:7" x14ac:dyDescent="0.25">
      <c r="A1049">
        <v>5732</v>
      </c>
      <c r="F1049" t="s">
        <v>53</v>
      </c>
      <c r="G1049" t="s">
        <v>5604</v>
      </c>
    </row>
    <row r="1050" spans="1:7" x14ac:dyDescent="0.25">
      <c r="A1050">
        <v>5732</v>
      </c>
      <c r="F1050" t="s">
        <v>55</v>
      </c>
      <c r="G1050" t="s">
        <v>5604</v>
      </c>
    </row>
    <row r="1051" spans="1:7" x14ac:dyDescent="0.25">
      <c r="A1051">
        <v>5732</v>
      </c>
      <c r="F1051" t="s">
        <v>5605</v>
      </c>
      <c r="G1051" t="s">
        <v>5604</v>
      </c>
    </row>
    <row r="1052" spans="1:7" x14ac:dyDescent="0.25">
      <c r="A1052">
        <v>5733</v>
      </c>
      <c r="F1052" t="s">
        <v>5603</v>
      </c>
      <c r="G1052" t="s">
        <v>5604</v>
      </c>
    </row>
    <row r="1053" spans="1:7" x14ac:dyDescent="0.25">
      <c r="A1053">
        <v>5733</v>
      </c>
      <c r="F1053" t="s">
        <v>53</v>
      </c>
      <c r="G1053" t="s">
        <v>5604</v>
      </c>
    </row>
    <row r="1054" spans="1:7" x14ac:dyDescent="0.25">
      <c r="A1054">
        <v>5733</v>
      </c>
      <c r="F1054" t="s">
        <v>55</v>
      </c>
      <c r="G1054" t="s">
        <v>5604</v>
      </c>
    </row>
    <row r="1055" spans="1:7" x14ac:dyDescent="0.25">
      <c r="A1055">
        <v>5733</v>
      </c>
      <c r="F1055" t="s">
        <v>5605</v>
      </c>
      <c r="G1055" t="s">
        <v>5604</v>
      </c>
    </row>
    <row r="1056" spans="1:7" x14ac:dyDescent="0.25">
      <c r="A1056">
        <v>5734</v>
      </c>
      <c r="F1056" t="s">
        <v>5603</v>
      </c>
      <c r="G1056" t="s">
        <v>5604</v>
      </c>
    </row>
    <row r="1057" spans="1:7" x14ac:dyDescent="0.25">
      <c r="A1057">
        <v>5734</v>
      </c>
      <c r="F1057" t="s">
        <v>53</v>
      </c>
      <c r="G1057" t="s">
        <v>5604</v>
      </c>
    </row>
    <row r="1058" spans="1:7" x14ac:dyDescent="0.25">
      <c r="A1058">
        <v>5734</v>
      </c>
      <c r="F1058" t="s">
        <v>55</v>
      </c>
      <c r="G1058" t="s">
        <v>5604</v>
      </c>
    </row>
    <row r="1059" spans="1:7" x14ac:dyDescent="0.25">
      <c r="A1059">
        <v>5734</v>
      </c>
      <c r="F1059" t="s">
        <v>5605</v>
      </c>
      <c r="G1059" t="s">
        <v>5604</v>
      </c>
    </row>
    <row r="1060" spans="1:7" x14ac:dyDescent="0.25">
      <c r="A1060">
        <v>5735</v>
      </c>
      <c r="F1060" t="s">
        <v>5603</v>
      </c>
      <c r="G1060" t="s">
        <v>5604</v>
      </c>
    </row>
    <row r="1061" spans="1:7" x14ac:dyDescent="0.25">
      <c r="A1061">
        <v>5735</v>
      </c>
      <c r="F1061" t="s">
        <v>53</v>
      </c>
      <c r="G1061" t="s">
        <v>5604</v>
      </c>
    </row>
    <row r="1062" spans="1:7" x14ac:dyDescent="0.25">
      <c r="A1062">
        <v>5735</v>
      </c>
      <c r="F1062" t="s">
        <v>55</v>
      </c>
      <c r="G1062" t="s">
        <v>5604</v>
      </c>
    </row>
    <row r="1063" spans="1:7" x14ac:dyDescent="0.25">
      <c r="A1063">
        <v>5735</v>
      </c>
      <c r="F1063" t="s">
        <v>5605</v>
      </c>
      <c r="G1063" t="s">
        <v>5604</v>
      </c>
    </row>
    <row r="1064" spans="1:7" x14ac:dyDescent="0.25">
      <c r="A1064">
        <v>5736</v>
      </c>
      <c r="F1064" t="s">
        <v>5603</v>
      </c>
      <c r="G1064" t="s">
        <v>5604</v>
      </c>
    </row>
    <row r="1065" spans="1:7" x14ac:dyDescent="0.25">
      <c r="A1065">
        <v>5736</v>
      </c>
      <c r="F1065" t="s">
        <v>53</v>
      </c>
      <c r="G1065" t="s">
        <v>5604</v>
      </c>
    </row>
    <row r="1066" spans="1:7" x14ac:dyDescent="0.25">
      <c r="A1066">
        <v>5736</v>
      </c>
      <c r="F1066" t="s">
        <v>55</v>
      </c>
      <c r="G1066" t="s">
        <v>5604</v>
      </c>
    </row>
    <row r="1067" spans="1:7" x14ac:dyDescent="0.25">
      <c r="A1067">
        <v>5736</v>
      </c>
      <c r="F1067" t="s">
        <v>5605</v>
      </c>
      <c r="G1067" t="s">
        <v>5604</v>
      </c>
    </row>
    <row r="1068" spans="1:7" x14ac:dyDescent="0.25">
      <c r="A1068">
        <v>5737</v>
      </c>
      <c r="F1068" t="s">
        <v>5603</v>
      </c>
      <c r="G1068" t="s">
        <v>5604</v>
      </c>
    </row>
    <row r="1069" spans="1:7" x14ac:dyDescent="0.25">
      <c r="A1069">
        <v>5737</v>
      </c>
      <c r="F1069" t="s">
        <v>53</v>
      </c>
      <c r="G1069" t="s">
        <v>5604</v>
      </c>
    </row>
    <row r="1070" spans="1:7" x14ac:dyDescent="0.25">
      <c r="A1070">
        <v>5737</v>
      </c>
      <c r="F1070" t="s">
        <v>55</v>
      </c>
      <c r="G1070" t="s">
        <v>5604</v>
      </c>
    </row>
    <row r="1071" spans="1:7" x14ac:dyDescent="0.25">
      <c r="A1071">
        <v>5737</v>
      </c>
      <c r="F1071" t="s">
        <v>5605</v>
      </c>
      <c r="G1071" t="s">
        <v>5604</v>
      </c>
    </row>
    <row r="1072" spans="1:7" x14ac:dyDescent="0.25">
      <c r="A1072">
        <v>5738</v>
      </c>
      <c r="F1072" t="s">
        <v>5603</v>
      </c>
      <c r="G1072" t="s">
        <v>5604</v>
      </c>
    </row>
    <row r="1073" spans="1:7" x14ac:dyDescent="0.25">
      <c r="A1073">
        <v>5738</v>
      </c>
      <c r="F1073" t="s">
        <v>53</v>
      </c>
      <c r="G1073" t="s">
        <v>5604</v>
      </c>
    </row>
    <row r="1074" spans="1:7" x14ac:dyDescent="0.25">
      <c r="A1074">
        <v>5738</v>
      </c>
      <c r="F1074" t="s">
        <v>55</v>
      </c>
      <c r="G1074" t="s">
        <v>5604</v>
      </c>
    </row>
    <row r="1075" spans="1:7" x14ac:dyDescent="0.25">
      <c r="A1075">
        <v>5738</v>
      </c>
      <c r="F1075" t="s">
        <v>5605</v>
      </c>
      <c r="G1075" t="s">
        <v>5604</v>
      </c>
    </row>
    <row r="1076" spans="1:7" x14ac:dyDescent="0.25">
      <c r="A1076">
        <v>5739</v>
      </c>
      <c r="F1076" t="s">
        <v>5603</v>
      </c>
      <c r="G1076" t="s">
        <v>5604</v>
      </c>
    </row>
    <row r="1077" spans="1:7" x14ac:dyDescent="0.25">
      <c r="A1077">
        <v>5739</v>
      </c>
      <c r="F1077" t="s">
        <v>53</v>
      </c>
      <c r="G1077" t="s">
        <v>5604</v>
      </c>
    </row>
    <row r="1078" spans="1:7" x14ac:dyDescent="0.25">
      <c r="A1078">
        <v>5739</v>
      </c>
      <c r="F1078" t="s">
        <v>55</v>
      </c>
      <c r="G1078" t="s">
        <v>5604</v>
      </c>
    </row>
    <row r="1079" spans="1:7" x14ac:dyDescent="0.25">
      <c r="A1079">
        <v>5739</v>
      </c>
      <c r="F1079" t="s">
        <v>5605</v>
      </c>
      <c r="G1079" t="s">
        <v>5604</v>
      </c>
    </row>
    <row r="1080" spans="1:7" x14ac:dyDescent="0.25">
      <c r="A1080">
        <v>5740</v>
      </c>
      <c r="F1080" t="s">
        <v>5603</v>
      </c>
      <c r="G1080" t="s">
        <v>5604</v>
      </c>
    </row>
    <row r="1081" spans="1:7" x14ac:dyDescent="0.25">
      <c r="A1081">
        <v>5740</v>
      </c>
      <c r="F1081" t="s">
        <v>53</v>
      </c>
      <c r="G1081" t="s">
        <v>5604</v>
      </c>
    </row>
    <row r="1082" spans="1:7" x14ac:dyDescent="0.25">
      <c r="A1082">
        <v>5740</v>
      </c>
      <c r="F1082" t="s">
        <v>55</v>
      </c>
      <c r="G1082" t="s">
        <v>5604</v>
      </c>
    </row>
    <row r="1083" spans="1:7" x14ac:dyDescent="0.25">
      <c r="A1083">
        <v>5740</v>
      </c>
      <c r="F1083" t="s">
        <v>5605</v>
      </c>
      <c r="G1083" t="s">
        <v>5604</v>
      </c>
    </row>
    <row r="1084" spans="1:7" x14ac:dyDescent="0.25">
      <c r="A1084">
        <v>5741</v>
      </c>
      <c r="F1084" t="s">
        <v>5603</v>
      </c>
      <c r="G1084" t="s">
        <v>5604</v>
      </c>
    </row>
    <row r="1085" spans="1:7" x14ac:dyDescent="0.25">
      <c r="A1085">
        <v>5741</v>
      </c>
      <c r="F1085" t="s">
        <v>53</v>
      </c>
      <c r="G1085" t="s">
        <v>5604</v>
      </c>
    </row>
    <row r="1086" spans="1:7" x14ac:dyDescent="0.25">
      <c r="A1086">
        <v>5741</v>
      </c>
      <c r="F1086" t="s">
        <v>55</v>
      </c>
      <c r="G1086" t="s">
        <v>5604</v>
      </c>
    </row>
    <row r="1087" spans="1:7" x14ac:dyDescent="0.25">
      <c r="A1087">
        <v>5741</v>
      </c>
      <c r="F1087" t="s">
        <v>5605</v>
      </c>
      <c r="G1087" t="s">
        <v>5604</v>
      </c>
    </row>
    <row r="1088" spans="1:7" x14ac:dyDescent="0.25">
      <c r="A1088">
        <v>5742</v>
      </c>
      <c r="F1088" t="s">
        <v>5603</v>
      </c>
      <c r="G1088" t="s">
        <v>5604</v>
      </c>
    </row>
    <row r="1089" spans="1:7" x14ac:dyDescent="0.25">
      <c r="A1089">
        <v>5742</v>
      </c>
      <c r="F1089" t="s">
        <v>53</v>
      </c>
      <c r="G1089" t="s">
        <v>5604</v>
      </c>
    </row>
    <row r="1090" spans="1:7" x14ac:dyDescent="0.25">
      <c r="A1090">
        <v>5742</v>
      </c>
      <c r="F1090" t="s">
        <v>55</v>
      </c>
      <c r="G1090" t="s">
        <v>5604</v>
      </c>
    </row>
    <row r="1091" spans="1:7" x14ac:dyDescent="0.25">
      <c r="A1091">
        <v>5742</v>
      </c>
      <c r="F1091" t="s">
        <v>5605</v>
      </c>
      <c r="G1091" t="s">
        <v>5604</v>
      </c>
    </row>
    <row r="1092" spans="1:7" x14ac:dyDescent="0.25">
      <c r="A1092">
        <v>5743</v>
      </c>
      <c r="F1092" t="s">
        <v>5603</v>
      </c>
      <c r="G1092" t="s">
        <v>5604</v>
      </c>
    </row>
    <row r="1093" spans="1:7" x14ac:dyDescent="0.25">
      <c r="A1093">
        <v>5743</v>
      </c>
      <c r="F1093" t="s">
        <v>53</v>
      </c>
      <c r="G1093" t="s">
        <v>5604</v>
      </c>
    </row>
    <row r="1094" spans="1:7" x14ac:dyDescent="0.25">
      <c r="A1094">
        <v>5743</v>
      </c>
      <c r="F1094" t="s">
        <v>55</v>
      </c>
      <c r="G1094" t="s">
        <v>5604</v>
      </c>
    </row>
    <row r="1095" spans="1:7" x14ac:dyDescent="0.25">
      <c r="A1095">
        <v>5743</v>
      </c>
      <c r="F1095" t="s">
        <v>5605</v>
      </c>
      <c r="G1095" t="s">
        <v>5604</v>
      </c>
    </row>
    <row r="1096" spans="1:7" x14ac:dyDescent="0.25">
      <c r="A1096">
        <v>5744</v>
      </c>
      <c r="F1096" t="s">
        <v>5603</v>
      </c>
      <c r="G1096" t="s">
        <v>5604</v>
      </c>
    </row>
    <row r="1097" spans="1:7" x14ac:dyDescent="0.25">
      <c r="A1097">
        <v>5744</v>
      </c>
      <c r="F1097" t="s">
        <v>53</v>
      </c>
      <c r="G1097" t="s">
        <v>5604</v>
      </c>
    </row>
    <row r="1098" spans="1:7" x14ac:dyDescent="0.25">
      <c r="A1098">
        <v>5744</v>
      </c>
      <c r="F1098" t="s">
        <v>55</v>
      </c>
      <c r="G1098" t="s">
        <v>5604</v>
      </c>
    </row>
    <row r="1099" spans="1:7" x14ac:dyDescent="0.25">
      <c r="A1099">
        <v>5744</v>
      </c>
      <c r="F1099" t="s">
        <v>5605</v>
      </c>
      <c r="G1099" t="s">
        <v>5604</v>
      </c>
    </row>
    <row r="1100" spans="1:7" x14ac:dyDescent="0.25">
      <c r="A1100">
        <v>5745</v>
      </c>
      <c r="F1100" t="s">
        <v>5603</v>
      </c>
      <c r="G1100" t="s">
        <v>5604</v>
      </c>
    </row>
    <row r="1101" spans="1:7" x14ac:dyDescent="0.25">
      <c r="A1101">
        <v>5745</v>
      </c>
      <c r="F1101" t="s">
        <v>53</v>
      </c>
      <c r="G1101" t="s">
        <v>5604</v>
      </c>
    </row>
    <row r="1102" spans="1:7" x14ac:dyDescent="0.25">
      <c r="A1102">
        <v>5745</v>
      </c>
      <c r="F1102" t="s">
        <v>55</v>
      </c>
      <c r="G1102" t="s">
        <v>5604</v>
      </c>
    </row>
    <row r="1103" spans="1:7" x14ac:dyDescent="0.25">
      <c r="A1103">
        <v>5745</v>
      </c>
      <c r="F1103" t="s">
        <v>5605</v>
      </c>
      <c r="G1103" t="s">
        <v>5604</v>
      </c>
    </row>
    <row r="1104" spans="1:7" x14ac:dyDescent="0.25">
      <c r="A1104">
        <v>5746</v>
      </c>
      <c r="F1104" t="s">
        <v>5603</v>
      </c>
      <c r="G1104" t="s">
        <v>5604</v>
      </c>
    </row>
    <row r="1105" spans="1:7" x14ac:dyDescent="0.25">
      <c r="A1105">
        <v>5746</v>
      </c>
      <c r="F1105" t="s">
        <v>53</v>
      </c>
      <c r="G1105" t="s">
        <v>5604</v>
      </c>
    </row>
    <row r="1106" spans="1:7" x14ac:dyDescent="0.25">
      <c r="A1106">
        <v>5746</v>
      </c>
      <c r="F1106" t="s">
        <v>55</v>
      </c>
      <c r="G1106" t="s">
        <v>5604</v>
      </c>
    </row>
    <row r="1107" spans="1:7" x14ac:dyDescent="0.25">
      <c r="A1107">
        <v>5746</v>
      </c>
      <c r="F1107" t="s">
        <v>5605</v>
      </c>
      <c r="G1107" t="s">
        <v>5604</v>
      </c>
    </row>
    <row r="1108" spans="1:7" x14ac:dyDescent="0.25">
      <c r="A1108">
        <v>5747</v>
      </c>
      <c r="F1108" t="s">
        <v>5603</v>
      </c>
      <c r="G1108" t="s">
        <v>5604</v>
      </c>
    </row>
    <row r="1109" spans="1:7" x14ac:dyDescent="0.25">
      <c r="A1109">
        <v>5747</v>
      </c>
      <c r="F1109" t="s">
        <v>53</v>
      </c>
      <c r="G1109" t="s">
        <v>5604</v>
      </c>
    </row>
    <row r="1110" spans="1:7" x14ac:dyDescent="0.25">
      <c r="A1110">
        <v>5747</v>
      </c>
      <c r="F1110" t="s">
        <v>55</v>
      </c>
      <c r="G1110" t="s">
        <v>5604</v>
      </c>
    </row>
    <row r="1111" spans="1:7" x14ac:dyDescent="0.25">
      <c r="A1111">
        <v>5747</v>
      </c>
      <c r="F1111" t="s">
        <v>5605</v>
      </c>
      <c r="G1111" t="s">
        <v>5604</v>
      </c>
    </row>
    <row r="1112" spans="1:7" x14ac:dyDescent="0.25">
      <c r="A1112">
        <v>5748</v>
      </c>
      <c r="F1112" t="s">
        <v>5603</v>
      </c>
      <c r="G1112" t="s">
        <v>5604</v>
      </c>
    </row>
    <row r="1113" spans="1:7" x14ac:dyDescent="0.25">
      <c r="A1113">
        <v>5748</v>
      </c>
      <c r="F1113" t="s">
        <v>53</v>
      </c>
      <c r="G1113" t="s">
        <v>5604</v>
      </c>
    </row>
    <row r="1114" spans="1:7" x14ac:dyDescent="0.25">
      <c r="A1114">
        <v>5748</v>
      </c>
      <c r="F1114" t="s">
        <v>55</v>
      </c>
      <c r="G1114" t="s">
        <v>5604</v>
      </c>
    </row>
    <row r="1115" spans="1:7" x14ac:dyDescent="0.25">
      <c r="A1115">
        <v>5748</v>
      </c>
      <c r="F1115" t="s">
        <v>5605</v>
      </c>
      <c r="G1115" t="s">
        <v>5604</v>
      </c>
    </row>
    <row r="1116" spans="1:7" x14ac:dyDescent="0.25">
      <c r="A1116">
        <v>5749</v>
      </c>
      <c r="F1116" t="s">
        <v>5603</v>
      </c>
      <c r="G1116" t="s">
        <v>5604</v>
      </c>
    </row>
    <row r="1117" spans="1:7" x14ac:dyDescent="0.25">
      <c r="A1117">
        <v>5749</v>
      </c>
      <c r="F1117" t="s">
        <v>53</v>
      </c>
      <c r="G1117" t="s">
        <v>5604</v>
      </c>
    </row>
    <row r="1118" spans="1:7" x14ac:dyDescent="0.25">
      <c r="A1118">
        <v>5749</v>
      </c>
      <c r="F1118" t="s">
        <v>55</v>
      </c>
      <c r="G1118" t="s">
        <v>5604</v>
      </c>
    </row>
    <row r="1119" spans="1:7" x14ac:dyDescent="0.25">
      <c r="A1119">
        <v>5749</v>
      </c>
      <c r="F1119" t="s">
        <v>5605</v>
      </c>
      <c r="G1119" t="s">
        <v>5604</v>
      </c>
    </row>
    <row r="1120" spans="1:7" x14ac:dyDescent="0.25">
      <c r="A1120">
        <v>5750</v>
      </c>
      <c r="F1120" t="s">
        <v>5603</v>
      </c>
      <c r="G1120" t="s">
        <v>5604</v>
      </c>
    </row>
    <row r="1121" spans="1:7" x14ac:dyDescent="0.25">
      <c r="A1121">
        <v>5750</v>
      </c>
      <c r="F1121" t="s">
        <v>53</v>
      </c>
      <c r="G1121" t="s">
        <v>5604</v>
      </c>
    </row>
    <row r="1122" spans="1:7" x14ac:dyDescent="0.25">
      <c r="A1122">
        <v>5750</v>
      </c>
      <c r="F1122" t="s">
        <v>55</v>
      </c>
      <c r="G1122" t="s">
        <v>5604</v>
      </c>
    </row>
    <row r="1123" spans="1:7" x14ac:dyDescent="0.25">
      <c r="A1123">
        <v>5750</v>
      </c>
      <c r="F1123" t="s">
        <v>5605</v>
      </c>
      <c r="G1123" t="s">
        <v>5604</v>
      </c>
    </row>
    <row r="1124" spans="1:7" x14ac:dyDescent="0.25">
      <c r="A1124">
        <v>5751</v>
      </c>
      <c r="F1124" t="s">
        <v>5603</v>
      </c>
      <c r="G1124" t="s">
        <v>5604</v>
      </c>
    </row>
    <row r="1125" spans="1:7" x14ac:dyDescent="0.25">
      <c r="A1125">
        <v>5751</v>
      </c>
      <c r="F1125" t="s">
        <v>53</v>
      </c>
      <c r="G1125" t="s">
        <v>5604</v>
      </c>
    </row>
    <row r="1126" spans="1:7" x14ac:dyDescent="0.25">
      <c r="A1126">
        <v>5751</v>
      </c>
      <c r="F1126" t="s">
        <v>55</v>
      </c>
      <c r="G1126" t="s">
        <v>5604</v>
      </c>
    </row>
    <row r="1127" spans="1:7" x14ac:dyDescent="0.25">
      <c r="A1127">
        <v>5751</v>
      </c>
      <c r="F1127" t="s">
        <v>5605</v>
      </c>
      <c r="G1127" t="s">
        <v>5604</v>
      </c>
    </row>
    <row r="1128" spans="1:7" x14ac:dyDescent="0.25">
      <c r="A1128">
        <v>5752</v>
      </c>
      <c r="F1128" t="s">
        <v>5603</v>
      </c>
      <c r="G1128" t="s">
        <v>5604</v>
      </c>
    </row>
    <row r="1129" spans="1:7" x14ac:dyDescent="0.25">
      <c r="A1129">
        <v>5752</v>
      </c>
      <c r="F1129" t="s">
        <v>53</v>
      </c>
      <c r="G1129" t="s">
        <v>5604</v>
      </c>
    </row>
    <row r="1130" spans="1:7" x14ac:dyDescent="0.25">
      <c r="A1130">
        <v>5752</v>
      </c>
      <c r="F1130" t="s">
        <v>55</v>
      </c>
      <c r="G1130" t="s">
        <v>5604</v>
      </c>
    </row>
    <row r="1131" spans="1:7" x14ac:dyDescent="0.25">
      <c r="A1131">
        <v>5752</v>
      </c>
      <c r="F1131" t="s">
        <v>5605</v>
      </c>
      <c r="G1131" t="s">
        <v>5604</v>
      </c>
    </row>
    <row r="1132" spans="1:7" x14ac:dyDescent="0.25">
      <c r="A1132">
        <v>5753</v>
      </c>
      <c r="F1132" t="s">
        <v>5603</v>
      </c>
      <c r="G1132" t="s">
        <v>5604</v>
      </c>
    </row>
    <row r="1133" spans="1:7" x14ac:dyDescent="0.25">
      <c r="A1133">
        <v>5753</v>
      </c>
      <c r="F1133" t="s">
        <v>53</v>
      </c>
      <c r="G1133" t="s">
        <v>5604</v>
      </c>
    </row>
    <row r="1134" spans="1:7" x14ac:dyDescent="0.25">
      <c r="A1134">
        <v>5753</v>
      </c>
      <c r="F1134" t="s">
        <v>55</v>
      </c>
      <c r="G1134" t="s">
        <v>5604</v>
      </c>
    </row>
    <row r="1135" spans="1:7" x14ac:dyDescent="0.25">
      <c r="A1135">
        <v>5753</v>
      </c>
      <c r="F1135" t="s">
        <v>5605</v>
      </c>
      <c r="G1135" t="s">
        <v>5604</v>
      </c>
    </row>
    <row r="1136" spans="1:7" x14ac:dyDescent="0.25">
      <c r="A1136">
        <v>5754</v>
      </c>
      <c r="F1136" t="s">
        <v>5603</v>
      </c>
      <c r="G1136" t="s">
        <v>5604</v>
      </c>
    </row>
    <row r="1137" spans="1:7" x14ac:dyDescent="0.25">
      <c r="A1137">
        <v>5754</v>
      </c>
      <c r="F1137" t="s">
        <v>53</v>
      </c>
      <c r="G1137" t="s">
        <v>5604</v>
      </c>
    </row>
    <row r="1138" spans="1:7" x14ac:dyDescent="0.25">
      <c r="A1138">
        <v>5754</v>
      </c>
      <c r="F1138" t="s">
        <v>55</v>
      </c>
      <c r="G1138" t="s">
        <v>5604</v>
      </c>
    </row>
    <row r="1139" spans="1:7" x14ac:dyDescent="0.25">
      <c r="A1139">
        <v>5754</v>
      </c>
      <c r="F1139" t="s">
        <v>5605</v>
      </c>
      <c r="G1139" t="s">
        <v>5604</v>
      </c>
    </row>
    <row r="1140" spans="1:7" x14ac:dyDescent="0.25">
      <c r="A1140">
        <v>5755</v>
      </c>
      <c r="F1140" t="s">
        <v>5603</v>
      </c>
      <c r="G1140" t="s">
        <v>5604</v>
      </c>
    </row>
    <row r="1141" spans="1:7" x14ac:dyDescent="0.25">
      <c r="A1141">
        <v>5755</v>
      </c>
      <c r="F1141" t="s">
        <v>53</v>
      </c>
      <c r="G1141" t="s">
        <v>5604</v>
      </c>
    </row>
    <row r="1142" spans="1:7" x14ac:dyDescent="0.25">
      <c r="A1142">
        <v>5755</v>
      </c>
      <c r="F1142" t="s">
        <v>55</v>
      </c>
      <c r="G1142" t="s">
        <v>5604</v>
      </c>
    </row>
    <row r="1143" spans="1:7" x14ac:dyDescent="0.25">
      <c r="A1143">
        <v>5755</v>
      </c>
      <c r="F1143" t="s">
        <v>5605</v>
      </c>
      <c r="G1143" t="s">
        <v>5604</v>
      </c>
    </row>
    <row r="1144" spans="1:7" x14ac:dyDescent="0.25">
      <c r="A1144">
        <v>5756</v>
      </c>
      <c r="F1144" t="s">
        <v>5603</v>
      </c>
      <c r="G1144" t="s">
        <v>5604</v>
      </c>
    </row>
    <row r="1145" spans="1:7" x14ac:dyDescent="0.25">
      <c r="A1145">
        <v>5756</v>
      </c>
      <c r="F1145" t="s">
        <v>53</v>
      </c>
      <c r="G1145" t="s">
        <v>5604</v>
      </c>
    </row>
    <row r="1146" spans="1:7" x14ac:dyDescent="0.25">
      <c r="A1146">
        <v>5756</v>
      </c>
      <c r="F1146" t="s">
        <v>55</v>
      </c>
      <c r="G1146" t="s">
        <v>5604</v>
      </c>
    </row>
    <row r="1147" spans="1:7" x14ac:dyDescent="0.25">
      <c r="A1147">
        <v>5756</v>
      </c>
      <c r="F1147" t="s">
        <v>5605</v>
      </c>
      <c r="G1147" t="s">
        <v>5604</v>
      </c>
    </row>
    <row r="1148" spans="1:7" x14ac:dyDescent="0.25">
      <c r="A1148">
        <v>5757</v>
      </c>
      <c r="F1148" t="s">
        <v>5603</v>
      </c>
      <c r="G1148" t="s">
        <v>5604</v>
      </c>
    </row>
    <row r="1149" spans="1:7" x14ac:dyDescent="0.25">
      <c r="A1149">
        <v>5757</v>
      </c>
      <c r="F1149" t="s">
        <v>53</v>
      </c>
      <c r="G1149" t="s">
        <v>5604</v>
      </c>
    </row>
    <row r="1150" spans="1:7" x14ac:dyDescent="0.25">
      <c r="A1150">
        <v>5757</v>
      </c>
      <c r="F1150" t="s">
        <v>55</v>
      </c>
      <c r="G1150" t="s">
        <v>5604</v>
      </c>
    </row>
    <row r="1151" spans="1:7" x14ac:dyDescent="0.25">
      <c r="A1151">
        <v>5757</v>
      </c>
      <c r="F1151" t="s">
        <v>5605</v>
      </c>
      <c r="G1151" t="s">
        <v>5604</v>
      </c>
    </row>
    <row r="1152" spans="1:7" x14ac:dyDescent="0.25">
      <c r="A1152">
        <v>5758</v>
      </c>
      <c r="F1152" t="s">
        <v>5603</v>
      </c>
      <c r="G1152" t="s">
        <v>5604</v>
      </c>
    </row>
    <row r="1153" spans="1:7" x14ac:dyDescent="0.25">
      <c r="A1153">
        <v>5758</v>
      </c>
      <c r="F1153" t="s">
        <v>53</v>
      </c>
      <c r="G1153" t="s">
        <v>5604</v>
      </c>
    </row>
    <row r="1154" spans="1:7" x14ac:dyDescent="0.25">
      <c r="A1154">
        <v>5758</v>
      </c>
      <c r="F1154" t="s">
        <v>55</v>
      </c>
      <c r="G1154" t="s">
        <v>5604</v>
      </c>
    </row>
    <row r="1155" spans="1:7" x14ac:dyDescent="0.25">
      <c r="A1155">
        <v>5758</v>
      </c>
      <c r="F1155" t="s">
        <v>5605</v>
      </c>
      <c r="G1155" t="s">
        <v>5604</v>
      </c>
    </row>
    <row r="1156" spans="1:7" x14ac:dyDescent="0.25">
      <c r="A1156">
        <v>5759</v>
      </c>
      <c r="F1156" t="s">
        <v>5603</v>
      </c>
      <c r="G1156" t="s">
        <v>5604</v>
      </c>
    </row>
    <row r="1157" spans="1:7" x14ac:dyDescent="0.25">
      <c r="A1157">
        <v>5759</v>
      </c>
      <c r="F1157" t="s">
        <v>53</v>
      </c>
      <c r="G1157" t="s">
        <v>5604</v>
      </c>
    </row>
    <row r="1158" spans="1:7" x14ac:dyDescent="0.25">
      <c r="A1158">
        <v>5759</v>
      </c>
      <c r="F1158" t="s">
        <v>55</v>
      </c>
      <c r="G1158" t="s">
        <v>5604</v>
      </c>
    </row>
    <row r="1159" spans="1:7" x14ac:dyDescent="0.25">
      <c r="A1159">
        <v>5759</v>
      </c>
      <c r="F1159" t="s">
        <v>5605</v>
      </c>
      <c r="G1159" t="s">
        <v>5604</v>
      </c>
    </row>
    <row r="1160" spans="1:7" x14ac:dyDescent="0.25">
      <c r="A1160">
        <v>5760</v>
      </c>
      <c r="F1160" t="s">
        <v>5603</v>
      </c>
      <c r="G1160" t="s">
        <v>5604</v>
      </c>
    </row>
    <row r="1161" spans="1:7" x14ac:dyDescent="0.25">
      <c r="A1161">
        <v>5760</v>
      </c>
      <c r="F1161" t="s">
        <v>53</v>
      </c>
      <c r="G1161" t="s">
        <v>5604</v>
      </c>
    </row>
    <row r="1162" spans="1:7" x14ac:dyDescent="0.25">
      <c r="A1162">
        <v>5760</v>
      </c>
      <c r="F1162" t="s">
        <v>55</v>
      </c>
      <c r="G1162" t="s">
        <v>5604</v>
      </c>
    </row>
    <row r="1163" spans="1:7" x14ac:dyDescent="0.25">
      <c r="A1163">
        <v>5760</v>
      </c>
      <c r="F1163" t="s">
        <v>5605</v>
      </c>
      <c r="G1163" t="s">
        <v>5604</v>
      </c>
    </row>
    <row r="1164" spans="1:7" x14ac:dyDescent="0.25">
      <c r="A1164">
        <v>5761</v>
      </c>
      <c r="F1164" t="s">
        <v>5603</v>
      </c>
      <c r="G1164" t="s">
        <v>5604</v>
      </c>
    </row>
    <row r="1165" spans="1:7" x14ac:dyDescent="0.25">
      <c r="A1165">
        <v>5761</v>
      </c>
      <c r="F1165" t="s">
        <v>53</v>
      </c>
      <c r="G1165" t="s">
        <v>5604</v>
      </c>
    </row>
    <row r="1166" spans="1:7" x14ac:dyDescent="0.25">
      <c r="A1166">
        <v>5761</v>
      </c>
      <c r="F1166" t="s">
        <v>55</v>
      </c>
      <c r="G1166" t="s">
        <v>5604</v>
      </c>
    </row>
    <row r="1167" spans="1:7" x14ac:dyDescent="0.25">
      <c r="A1167">
        <v>5761</v>
      </c>
      <c r="F1167" t="s">
        <v>5605</v>
      </c>
      <c r="G1167" t="s">
        <v>5604</v>
      </c>
    </row>
    <row r="1168" spans="1:7" x14ac:dyDescent="0.25">
      <c r="A1168">
        <v>5762</v>
      </c>
      <c r="F1168" t="s">
        <v>5603</v>
      </c>
      <c r="G1168" t="s">
        <v>5604</v>
      </c>
    </row>
    <row r="1169" spans="1:7" x14ac:dyDescent="0.25">
      <c r="A1169">
        <v>5762</v>
      </c>
      <c r="F1169" t="s">
        <v>53</v>
      </c>
      <c r="G1169" t="s">
        <v>5604</v>
      </c>
    </row>
    <row r="1170" spans="1:7" x14ac:dyDescent="0.25">
      <c r="A1170">
        <v>5762</v>
      </c>
      <c r="F1170" t="s">
        <v>55</v>
      </c>
      <c r="G1170" t="s">
        <v>5604</v>
      </c>
    </row>
    <row r="1171" spans="1:7" x14ac:dyDescent="0.25">
      <c r="A1171">
        <v>5762</v>
      </c>
      <c r="F1171" t="s">
        <v>5605</v>
      </c>
      <c r="G1171" t="s">
        <v>5604</v>
      </c>
    </row>
    <row r="1172" spans="1:7" x14ac:dyDescent="0.25">
      <c r="A1172">
        <v>5763</v>
      </c>
      <c r="F1172" t="s">
        <v>5603</v>
      </c>
      <c r="G1172" t="s">
        <v>5604</v>
      </c>
    </row>
    <row r="1173" spans="1:7" x14ac:dyDescent="0.25">
      <c r="A1173">
        <v>5763</v>
      </c>
      <c r="F1173" t="s">
        <v>53</v>
      </c>
      <c r="G1173" t="s">
        <v>5604</v>
      </c>
    </row>
    <row r="1174" spans="1:7" x14ac:dyDescent="0.25">
      <c r="A1174">
        <v>5763</v>
      </c>
      <c r="F1174" t="s">
        <v>55</v>
      </c>
      <c r="G1174" t="s">
        <v>5604</v>
      </c>
    </row>
    <row r="1175" spans="1:7" x14ac:dyDescent="0.25">
      <c r="A1175">
        <v>5763</v>
      </c>
      <c r="F1175" t="s">
        <v>5605</v>
      </c>
      <c r="G1175" t="s">
        <v>5604</v>
      </c>
    </row>
    <row r="1176" spans="1:7" x14ac:dyDescent="0.25">
      <c r="A1176">
        <v>5764</v>
      </c>
      <c r="F1176" t="s">
        <v>5603</v>
      </c>
      <c r="G1176" t="s">
        <v>5604</v>
      </c>
    </row>
    <row r="1177" spans="1:7" x14ac:dyDescent="0.25">
      <c r="A1177">
        <v>5764</v>
      </c>
      <c r="F1177" t="s">
        <v>53</v>
      </c>
      <c r="G1177" t="s">
        <v>5604</v>
      </c>
    </row>
    <row r="1178" spans="1:7" x14ac:dyDescent="0.25">
      <c r="A1178">
        <v>5764</v>
      </c>
      <c r="F1178" t="s">
        <v>55</v>
      </c>
      <c r="G1178" t="s">
        <v>5604</v>
      </c>
    </row>
    <row r="1179" spans="1:7" x14ac:dyDescent="0.25">
      <c r="A1179">
        <v>5764</v>
      </c>
      <c r="F1179" t="s">
        <v>5605</v>
      </c>
      <c r="G1179" t="s">
        <v>5604</v>
      </c>
    </row>
    <row r="1180" spans="1:7" x14ac:dyDescent="0.25">
      <c r="A1180">
        <v>5765</v>
      </c>
      <c r="F1180" t="s">
        <v>5603</v>
      </c>
      <c r="G1180" t="s">
        <v>5604</v>
      </c>
    </row>
    <row r="1181" spans="1:7" x14ac:dyDescent="0.25">
      <c r="A1181">
        <v>5765</v>
      </c>
      <c r="F1181" t="s">
        <v>53</v>
      </c>
      <c r="G1181" t="s">
        <v>5604</v>
      </c>
    </row>
    <row r="1182" spans="1:7" x14ac:dyDescent="0.25">
      <c r="A1182">
        <v>5765</v>
      </c>
      <c r="F1182" t="s">
        <v>55</v>
      </c>
      <c r="G1182" t="s">
        <v>5604</v>
      </c>
    </row>
    <row r="1183" spans="1:7" x14ac:dyDescent="0.25">
      <c r="A1183">
        <v>5765</v>
      </c>
      <c r="F1183" t="s">
        <v>5605</v>
      </c>
      <c r="G1183" t="s">
        <v>5604</v>
      </c>
    </row>
    <row r="1184" spans="1:7" x14ac:dyDescent="0.25">
      <c r="A1184">
        <v>5766</v>
      </c>
      <c r="F1184" t="s">
        <v>5603</v>
      </c>
      <c r="G1184" t="s">
        <v>5604</v>
      </c>
    </row>
    <row r="1185" spans="1:7" x14ac:dyDescent="0.25">
      <c r="A1185">
        <v>5766</v>
      </c>
      <c r="F1185" t="s">
        <v>53</v>
      </c>
      <c r="G1185" t="s">
        <v>5604</v>
      </c>
    </row>
    <row r="1186" spans="1:7" x14ac:dyDescent="0.25">
      <c r="A1186">
        <v>5766</v>
      </c>
      <c r="F1186" t="s">
        <v>55</v>
      </c>
      <c r="G1186" t="s">
        <v>5604</v>
      </c>
    </row>
    <row r="1187" spans="1:7" x14ac:dyDescent="0.25">
      <c r="A1187">
        <v>5766</v>
      </c>
      <c r="F1187" t="s">
        <v>5605</v>
      </c>
      <c r="G1187" t="s">
        <v>5604</v>
      </c>
    </row>
    <row r="1188" spans="1:7" x14ac:dyDescent="0.25">
      <c r="A1188">
        <v>5767</v>
      </c>
      <c r="F1188" t="s">
        <v>5603</v>
      </c>
      <c r="G1188" t="s">
        <v>5604</v>
      </c>
    </row>
    <row r="1189" spans="1:7" x14ac:dyDescent="0.25">
      <c r="A1189">
        <v>5767</v>
      </c>
      <c r="F1189" t="s">
        <v>53</v>
      </c>
      <c r="G1189" t="s">
        <v>5604</v>
      </c>
    </row>
    <row r="1190" spans="1:7" x14ac:dyDescent="0.25">
      <c r="A1190">
        <v>5767</v>
      </c>
      <c r="F1190" t="s">
        <v>55</v>
      </c>
      <c r="G1190" t="s">
        <v>5604</v>
      </c>
    </row>
    <row r="1191" spans="1:7" x14ac:dyDescent="0.25">
      <c r="A1191">
        <v>5767</v>
      </c>
      <c r="F1191" t="s">
        <v>5605</v>
      </c>
      <c r="G1191" t="s">
        <v>5604</v>
      </c>
    </row>
    <row r="1192" spans="1:7" x14ac:dyDescent="0.25">
      <c r="A1192">
        <v>5768</v>
      </c>
      <c r="F1192" t="s">
        <v>5603</v>
      </c>
      <c r="G1192" t="s">
        <v>5604</v>
      </c>
    </row>
    <row r="1193" spans="1:7" x14ac:dyDescent="0.25">
      <c r="A1193">
        <v>5768</v>
      </c>
      <c r="F1193" t="s">
        <v>53</v>
      </c>
      <c r="G1193" t="s">
        <v>5604</v>
      </c>
    </row>
    <row r="1194" spans="1:7" x14ac:dyDescent="0.25">
      <c r="A1194">
        <v>5768</v>
      </c>
      <c r="F1194" t="s">
        <v>55</v>
      </c>
      <c r="G1194" t="s">
        <v>5604</v>
      </c>
    </row>
    <row r="1195" spans="1:7" x14ac:dyDescent="0.25">
      <c r="A1195">
        <v>5768</v>
      </c>
      <c r="F1195" t="s">
        <v>5605</v>
      </c>
      <c r="G1195" t="s">
        <v>5604</v>
      </c>
    </row>
    <row r="1196" spans="1:7" x14ac:dyDescent="0.25">
      <c r="A1196">
        <v>5769</v>
      </c>
      <c r="F1196" t="s">
        <v>5603</v>
      </c>
      <c r="G1196" t="s">
        <v>5604</v>
      </c>
    </row>
    <row r="1197" spans="1:7" x14ac:dyDescent="0.25">
      <c r="A1197">
        <v>5769</v>
      </c>
      <c r="F1197" t="s">
        <v>53</v>
      </c>
      <c r="G1197" t="s">
        <v>5604</v>
      </c>
    </row>
    <row r="1198" spans="1:7" x14ac:dyDescent="0.25">
      <c r="A1198">
        <v>5769</v>
      </c>
      <c r="F1198" t="s">
        <v>55</v>
      </c>
      <c r="G1198" t="s">
        <v>5604</v>
      </c>
    </row>
    <row r="1199" spans="1:7" x14ac:dyDescent="0.25">
      <c r="A1199">
        <v>5769</v>
      </c>
      <c r="F1199" t="s">
        <v>5605</v>
      </c>
      <c r="G1199" t="s">
        <v>5604</v>
      </c>
    </row>
    <row r="1200" spans="1:7" x14ac:dyDescent="0.25">
      <c r="A1200">
        <v>5770</v>
      </c>
      <c r="F1200" t="s">
        <v>5603</v>
      </c>
      <c r="G1200" t="s">
        <v>5604</v>
      </c>
    </row>
    <row r="1201" spans="1:7" x14ac:dyDescent="0.25">
      <c r="A1201">
        <v>5770</v>
      </c>
      <c r="F1201" t="s">
        <v>53</v>
      </c>
      <c r="G1201" t="s">
        <v>5604</v>
      </c>
    </row>
    <row r="1202" spans="1:7" x14ac:dyDescent="0.25">
      <c r="A1202">
        <v>5770</v>
      </c>
      <c r="F1202" t="s">
        <v>55</v>
      </c>
      <c r="G1202" t="s">
        <v>5604</v>
      </c>
    </row>
    <row r="1203" spans="1:7" x14ac:dyDescent="0.25">
      <c r="A1203">
        <v>5770</v>
      </c>
      <c r="F1203" t="s">
        <v>5605</v>
      </c>
      <c r="G1203" t="s">
        <v>5604</v>
      </c>
    </row>
    <row r="1204" spans="1:7" x14ac:dyDescent="0.25">
      <c r="A1204">
        <v>5771</v>
      </c>
      <c r="F1204" t="s">
        <v>5603</v>
      </c>
      <c r="G1204" t="s">
        <v>5604</v>
      </c>
    </row>
    <row r="1205" spans="1:7" x14ac:dyDescent="0.25">
      <c r="A1205">
        <v>5771</v>
      </c>
      <c r="F1205" t="s">
        <v>53</v>
      </c>
      <c r="G1205" t="s">
        <v>5604</v>
      </c>
    </row>
    <row r="1206" spans="1:7" x14ac:dyDescent="0.25">
      <c r="A1206">
        <v>5771</v>
      </c>
      <c r="F1206" t="s">
        <v>55</v>
      </c>
      <c r="G1206" t="s">
        <v>5604</v>
      </c>
    </row>
    <row r="1207" spans="1:7" x14ac:dyDescent="0.25">
      <c r="A1207">
        <v>5771</v>
      </c>
      <c r="F1207" t="s">
        <v>5605</v>
      </c>
      <c r="G1207" t="s">
        <v>5604</v>
      </c>
    </row>
    <row r="1208" spans="1:7" x14ac:dyDescent="0.25">
      <c r="A1208">
        <v>5772</v>
      </c>
      <c r="F1208" t="s">
        <v>5603</v>
      </c>
      <c r="G1208" t="s">
        <v>5604</v>
      </c>
    </row>
    <row r="1209" spans="1:7" x14ac:dyDescent="0.25">
      <c r="A1209">
        <v>5772</v>
      </c>
      <c r="F1209" t="s">
        <v>53</v>
      </c>
      <c r="G1209" t="s">
        <v>5604</v>
      </c>
    </row>
    <row r="1210" spans="1:7" x14ac:dyDescent="0.25">
      <c r="A1210">
        <v>5772</v>
      </c>
      <c r="F1210" t="s">
        <v>55</v>
      </c>
      <c r="G1210" t="s">
        <v>5604</v>
      </c>
    </row>
    <row r="1211" spans="1:7" x14ac:dyDescent="0.25">
      <c r="A1211">
        <v>5772</v>
      </c>
      <c r="F1211" t="s">
        <v>5605</v>
      </c>
      <c r="G1211" t="s">
        <v>5604</v>
      </c>
    </row>
    <row r="1212" spans="1:7" x14ac:dyDescent="0.25">
      <c r="A1212">
        <v>5773</v>
      </c>
      <c r="F1212" t="s">
        <v>5603</v>
      </c>
      <c r="G1212" t="s">
        <v>5604</v>
      </c>
    </row>
    <row r="1213" spans="1:7" x14ac:dyDescent="0.25">
      <c r="A1213">
        <v>5773</v>
      </c>
      <c r="F1213" t="s">
        <v>53</v>
      </c>
      <c r="G1213" t="s">
        <v>5604</v>
      </c>
    </row>
    <row r="1214" spans="1:7" x14ac:dyDescent="0.25">
      <c r="A1214">
        <v>5773</v>
      </c>
      <c r="F1214" t="s">
        <v>55</v>
      </c>
      <c r="G1214" t="s">
        <v>5604</v>
      </c>
    </row>
    <row r="1215" spans="1:7" x14ac:dyDescent="0.25">
      <c r="A1215">
        <v>5773</v>
      </c>
      <c r="F1215" t="s">
        <v>5605</v>
      </c>
      <c r="G1215" t="s">
        <v>5604</v>
      </c>
    </row>
    <row r="1216" spans="1:7" x14ac:dyDescent="0.25">
      <c r="A1216">
        <v>5774</v>
      </c>
      <c r="F1216" t="s">
        <v>5603</v>
      </c>
      <c r="G1216" t="s">
        <v>5604</v>
      </c>
    </row>
    <row r="1217" spans="1:7" x14ac:dyDescent="0.25">
      <c r="A1217">
        <v>5774</v>
      </c>
      <c r="F1217" t="s">
        <v>53</v>
      </c>
      <c r="G1217" t="s">
        <v>5604</v>
      </c>
    </row>
    <row r="1218" spans="1:7" x14ac:dyDescent="0.25">
      <c r="A1218">
        <v>5774</v>
      </c>
      <c r="F1218" t="s">
        <v>55</v>
      </c>
      <c r="G1218" t="s">
        <v>5604</v>
      </c>
    </row>
    <row r="1219" spans="1:7" x14ac:dyDescent="0.25">
      <c r="A1219">
        <v>5774</v>
      </c>
      <c r="F1219" t="s">
        <v>5605</v>
      </c>
      <c r="G1219" t="s">
        <v>5604</v>
      </c>
    </row>
    <row r="1220" spans="1:7" x14ac:dyDescent="0.25">
      <c r="A1220">
        <v>5775</v>
      </c>
      <c r="F1220" t="s">
        <v>5603</v>
      </c>
      <c r="G1220" t="s">
        <v>5604</v>
      </c>
    </row>
    <row r="1221" spans="1:7" x14ac:dyDescent="0.25">
      <c r="A1221">
        <v>5775</v>
      </c>
      <c r="F1221" t="s">
        <v>53</v>
      </c>
      <c r="G1221" t="s">
        <v>5604</v>
      </c>
    </row>
    <row r="1222" spans="1:7" x14ac:dyDescent="0.25">
      <c r="A1222">
        <v>5775</v>
      </c>
      <c r="F1222" t="s">
        <v>55</v>
      </c>
      <c r="G1222" t="s">
        <v>5604</v>
      </c>
    </row>
    <row r="1223" spans="1:7" x14ac:dyDescent="0.25">
      <c r="A1223">
        <v>5775</v>
      </c>
      <c r="F1223" t="s">
        <v>5605</v>
      </c>
      <c r="G1223" t="s">
        <v>5604</v>
      </c>
    </row>
    <row r="1224" spans="1:7" x14ac:dyDescent="0.25">
      <c r="A1224">
        <v>5776</v>
      </c>
      <c r="F1224" t="s">
        <v>5603</v>
      </c>
      <c r="G1224" t="s">
        <v>5604</v>
      </c>
    </row>
    <row r="1225" spans="1:7" x14ac:dyDescent="0.25">
      <c r="A1225">
        <v>5776</v>
      </c>
      <c r="F1225" t="s">
        <v>53</v>
      </c>
      <c r="G1225" t="s">
        <v>5604</v>
      </c>
    </row>
    <row r="1226" spans="1:7" x14ac:dyDescent="0.25">
      <c r="A1226">
        <v>5776</v>
      </c>
      <c r="F1226" t="s">
        <v>55</v>
      </c>
      <c r="G1226" t="s">
        <v>5604</v>
      </c>
    </row>
    <row r="1227" spans="1:7" x14ac:dyDescent="0.25">
      <c r="A1227">
        <v>5776</v>
      </c>
      <c r="F1227" t="s">
        <v>5605</v>
      </c>
      <c r="G1227" t="s">
        <v>5604</v>
      </c>
    </row>
    <row r="1228" spans="1:7" x14ac:dyDescent="0.25">
      <c r="A1228">
        <v>5777</v>
      </c>
      <c r="F1228" t="s">
        <v>5603</v>
      </c>
      <c r="G1228" t="s">
        <v>5604</v>
      </c>
    </row>
    <row r="1229" spans="1:7" x14ac:dyDescent="0.25">
      <c r="A1229">
        <v>5777</v>
      </c>
      <c r="F1229" t="s">
        <v>53</v>
      </c>
      <c r="G1229" t="s">
        <v>5604</v>
      </c>
    </row>
    <row r="1230" spans="1:7" x14ac:dyDescent="0.25">
      <c r="A1230">
        <v>5777</v>
      </c>
      <c r="F1230" t="s">
        <v>55</v>
      </c>
      <c r="G1230" t="s">
        <v>5604</v>
      </c>
    </row>
    <row r="1231" spans="1:7" x14ac:dyDescent="0.25">
      <c r="A1231">
        <v>5777</v>
      </c>
      <c r="F1231" t="s">
        <v>5605</v>
      </c>
      <c r="G1231" t="s">
        <v>5604</v>
      </c>
    </row>
    <row r="1232" spans="1:7" x14ac:dyDescent="0.25">
      <c r="A1232">
        <v>5778</v>
      </c>
      <c r="F1232" t="s">
        <v>5603</v>
      </c>
      <c r="G1232" t="s">
        <v>5604</v>
      </c>
    </row>
    <row r="1233" spans="1:7" x14ac:dyDescent="0.25">
      <c r="A1233">
        <v>5778</v>
      </c>
      <c r="F1233" t="s">
        <v>53</v>
      </c>
      <c r="G1233" t="s">
        <v>5604</v>
      </c>
    </row>
    <row r="1234" spans="1:7" x14ac:dyDescent="0.25">
      <c r="A1234">
        <v>5778</v>
      </c>
      <c r="F1234" t="s">
        <v>55</v>
      </c>
      <c r="G1234" t="s">
        <v>5604</v>
      </c>
    </row>
    <row r="1235" spans="1:7" x14ac:dyDescent="0.25">
      <c r="A1235">
        <v>5778</v>
      </c>
      <c r="F1235" t="s">
        <v>5605</v>
      </c>
      <c r="G1235" t="s">
        <v>5604</v>
      </c>
    </row>
    <row r="1236" spans="1:7" x14ac:dyDescent="0.25">
      <c r="A1236">
        <v>5779</v>
      </c>
      <c r="F1236" t="s">
        <v>5603</v>
      </c>
      <c r="G1236" t="s">
        <v>5604</v>
      </c>
    </row>
    <row r="1237" spans="1:7" x14ac:dyDescent="0.25">
      <c r="A1237">
        <v>5779</v>
      </c>
      <c r="F1237" t="s">
        <v>53</v>
      </c>
      <c r="G1237" t="s">
        <v>5604</v>
      </c>
    </row>
    <row r="1238" spans="1:7" x14ac:dyDescent="0.25">
      <c r="A1238">
        <v>5779</v>
      </c>
      <c r="F1238" t="s">
        <v>55</v>
      </c>
      <c r="G1238" t="s">
        <v>5604</v>
      </c>
    </row>
    <row r="1239" spans="1:7" x14ac:dyDescent="0.25">
      <c r="A1239">
        <v>5779</v>
      </c>
      <c r="F1239" t="s">
        <v>5605</v>
      </c>
      <c r="G1239" t="s">
        <v>5604</v>
      </c>
    </row>
    <row r="1240" spans="1:7" x14ac:dyDescent="0.25">
      <c r="A1240">
        <v>5780</v>
      </c>
      <c r="F1240" t="s">
        <v>5603</v>
      </c>
      <c r="G1240" t="s">
        <v>5604</v>
      </c>
    </row>
    <row r="1241" spans="1:7" x14ac:dyDescent="0.25">
      <c r="A1241">
        <v>5780</v>
      </c>
      <c r="F1241" t="s">
        <v>53</v>
      </c>
      <c r="G1241" t="s">
        <v>5604</v>
      </c>
    </row>
    <row r="1242" spans="1:7" x14ac:dyDescent="0.25">
      <c r="A1242">
        <v>5780</v>
      </c>
      <c r="F1242" t="s">
        <v>55</v>
      </c>
      <c r="G1242" t="s">
        <v>5604</v>
      </c>
    </row>
    <row r="1243" spans="1:7" x14ac:dyDescent="0.25">
      <c r="A1243">
        <v>5780</v>
      </c>
      <c r="F1243" t="s">
        <v>5605</v>
      </c>
      <c r="G1243" t="s">
        <v>5604</v>
      </c>
    </row>
    <row r="1244" spans="1:7" x14ac:dyDescent="0.25">
      <c r="A1244">
        <v>5781</v>
      </c>
      <c r="F1244" t="s">
        <v>5603</v>
      </c>
      <c r="G1244" t="s">
        <v>5604</v>
      </c>
    </row>
    <row r="1245" spans="1:7" x14ac:dyDescent="0.25">
      <c r="A1245">
        <v>5781</v>
      </c>
      <c r="F1245" t="s">
        <v>53</v>
      </c>
      <c r="G1245" t="s">
        <v>5604</v>
      </c>
    </row>
    <row r="1246" spans="1:7" x14ac:dyDescent="0.25">
      <c r="A1246">
        <v>5781</v>
      </c>
      <c r="F1246" t="s">
        <v>55</v>
      </c>
      <c r="G1246" t="s">
        <v>5604</v>
      </c>
    </row>
    <row r="1247" spans="1:7" x14ac:dyDescent="0.25">
      <c r="A1247">
        <v>5781</v>
      </c>
      <c r="F1247" t="s">
        <v>5605</v>
      </c>
      <c r="G1247" t="s">
        <v>5604</v>
      </c>
    </row>
    <row r="1248" spans="1:7" x14ac:dyDescent="0.25">
      <c r="A1248">
        <v>5782</v>
      </c>
      <c r="F1248" t="s">
        <v>5603</v>
      </c>
      <c r="G1248" t="s">
        <v>5604</v>
      </c>
    </row>
    <row r="1249" spans="1:7" x14ac:dyDescent="0.25">
      <c r="A1249">
        <v>5782</v>
      </c>
      <c r="F1249" t="s">
        <v>53</v>
      </c>
      <c r="G1249" t="s">
        <v>5604</v>
      </c>
    </row>
    <row r="1250" spans="1:7" x14ac:dyDescent="0.25">
      <c r="A1250">
        <v>5782</v>
      </c>
      <c r="F1250" t="s">
        <v>55</v>
      </c>
      <c r="G1250" t="s">
        <v>5604</v>
      </c>
    </row>
    <row r="1251" spans="1:7" x14ac:dyDescent="0.25">
      <c r="A1251">
        <v>5782</v>
      </c>
      <c r="F1251" t="s">
        <v>5605</v>
      </c>
      <c r="G1251" t="s">
        <v>5604</v>
      </c>
    </row>
    <row r="1252" spans="1:7" x14ac:dyDescent="0.25">
      <c r="A1252">
        <v>5783</v>
      </c>
      <c r="F1252" t="s">
        <v>5603</v>
      </c>
      <c r="G1252" t="s">
        <v>5604</v>
      </c>
    </row>
    <row r="1253" spans="1:7" x14ac:dyDescent="0.25">
      <c r="A1253">
        <v>5783</v>
      </c>
      <c r="F1253" t="s">
        <v>53</v>
      </c>
      <c r="G1253" t="s">
        <v>5604</v>
      </c>
    </row>
    <row r="1254" spans="1:7" x14ac:dyDescent="0.25">
      <c r="A1254">
        <v>5783</v>
      </c>
      <c r="F1254" t="s">
        <v>55</v>
      </c>
      <c r="G1254" t="s">
        <v>5604</v>
      </c>
    </row>
    <row r="1255" spans="1:7" x14ac:dyDescent="0.25">
      <c r="A1255">
        <v>5783</v>
      </c>
      <c r="F1255" t="s">
        <v>5605</v>
      </c>
      <c r="G1255" t="s">
        <v>5604</v>
      </c>
    </row>
    <row r="1256" spans="1:7" x14ac:dyDescent="0.25">
      <c r="A1256">
        <v>5784</v>
      </c>
      <c r="F1256" t="s">
        <v>5603</v>
      </c>
      <c r="G1256" t="s">
        <v>5604</v>
      </c>
    </row>
    <row r="1257" spans="1:7" x14ac:dyDescent="0.25">
      <c r="A1257">
        <v>5784</v>
      </c>
      <c r="F1257" t="s">
        <v>53</v>
      </c>
      <c r="G1257" t="s">
        <v>5604</v>
      </c>
    </row>
    <row r="1258" spans="1:7" x14ac:dyDescent="0.25">
      <c r="A1258">
        <v>5784</v>
      </c>
      <c r="F1258" t="s">
        <v>55</v>
      </c>
      <c r="G1258" t="s">
        <v>5604</v>
      </c>
    </row>
    <row r="1259" spans="1:7" x14ac:dyDescent="0.25">
      <c r="A1259">
        <v>5784</v>
      </c>
      <c r="F1259" t="s">
        <v>5605</v>
      </c>
      <c r="G1259" t="s">
        <v>5604</v>
      </c>
    </row>
    <row r="1260" spans="1:7" x14ac:dyDescent="0.25">
      <c r="A1260">
        <v>5785</v>
      </c>
      <c r="F1260" t="s">
        <v>5603</v>
      </c>
      <c r="G1260" t="s">
        <v>5604</v>
      </c>
    </row>
    <row r="1261" spans="1:7" x14ac:dyDescent="0.25">
      <c r="A1261">
        <v>5785</v>
      </c>
      <c r="F1261" t="s">
        <v>53</v>
      </c>
      <c r="G1261" t="s">
        <v>5604</v>
      </c>
    </row>
    <row r="1262" spans="1:7" x14ac:dyDescent="0.25">
      <c r="A1262">
        <v>5785</v>
      </c>
      <c r="F1262" t="s">
        <v>55</v>
      </c>
      <c r="G1262" t="s">
        <v>5604</v>
      </c>
    </row>
    <row r="1263" spans="1:7" x14ac:dyDescent="0.25">
      <c r="A1263">
        <v>5785</v>
      </c>
      <c r="F1263" t="s">
        <v>5605</v>
      </c>
      <c r="G1263" t="s">
        <v>5604</v>
      </c>
    </row>
    <row r="1264" spans="1:7" x14ac:dyDescent="0.25">
      <c r="A1264">
        <v>5786</v>
      </c>
      <c r="F1264" t="s">
        <v>5603</v>
      </c>
      <c r="G1264" t="s">
        <v>5604</v>
      </c>
    </row>
    <row r="1265" spans="1:7" x14ac:dyDescent="0.25">
      <c r="A1265">
        <v>5786</v>
      </c>
      <c r="F1265" t="s">
        <v>53</v>
      </c>
      <c r="G1265" t="s">
        <v>5604</v>
      </c>
    </row>
    <row r="1266" spans="1:7" x14ac:dyDescent="0.25">
      <c r="A1266">
        <v>5786</v>
      </c>
      <c r="F1266" t="s">
        <v>55</v>
      </c>
      <c r="G1266" t="s">
        <v>5604</v>
      </c>
    </row>
    <row r="1267" spans="1:7" x14ac:dyDescent="0.25">
      <c r="A1267">
        <v>5786</v>
      </c>
      <c r="F1267" t="s">
        <v>5605</v>
      </c>
      <c r="G1267" t="s">
        <v>5604</v>
      </c>
    </row>
    <row r="1268" spans="1:7" x14ac:dyDescent="0.25">
      <c r="A1268">
        <v>5787</v>
      </c>
      <c r="F1268" t="s">
        <v>5603</v>
      </c>
      <c r="G1268" t="s">
        <v>5604</v>
      </c>
    </row>
    <row r="1269" spans="1:7" x14ac:dyDescent="0.25">
      <c r="A1269">
        <v>5787</v>
      </c>
      <c r="F1269" t="s">
        <v>53</v>
      </c>
      <c r="G1269" t="s">
        <v>5604</v>
      </c>
    </row>
    <row r="1270" spans="1:7" x14ac:dyDescent="0.25">
      <c r="A1270">
        <v>5787</v>
      </c>
      <c r="F1270" t="s">
        <v>55</v>
      </c>
      <c r="G1270" t="s">
        <v>5604</v>
      </c>
    </row>
    <row r="1271" spans="1:7" x14ac:dyDescent="0.25">
      <c r="A1271">
        <v>5787</v>
      </c>
      <c r="F1271" t="s">
        <v>5605</v>
      </c>
      <c r="G1271" t="s">
        <v>5604</v>
      </c>
    </row>
    <row r="1272" spans="1:7" x14ac:dyDescent="0.25">
      <c r="A1272">
        <v>5788</v>
      </c>
      <c r="F1272" t="s">
        <v>5603</v>
      </c>
      <c r="G1272" t="s">
        <v>5604</v>
      </c>
    </row>
    <row r="1273" spans="1:7" x14ac:dyDescent="0.25">
      <c r="A1273">
        <v>5788</v>
      </c>
      <c r="F1273" t="s">
        <v>53</v>
      </c>
      <c r="G1273" t="s">
        <v>5604</v>
      </c>
    </row>
    <row r="1274" spans="1:7" x14ac:dyDescent="0.25">
      <c r="A1274">
        <v>5788</v>
      </c>
      <c r="F1274" t="s">
        <v>55</v>
      </c>
      <c r="G1274" t="s">
        <v>5604</v>
      </c>
    </row>
    <row r="1275" spans="1:7" x14ac:dyDescent="0.25">
      <c r="A1275">
        <v>5788</v>
      </c>
      <c r="F1275" t="s">
        <v>5605</v>
      </c>
      <c r="G1275" t="s">
        <v>5604</v>
      </c>
    </row>
    <row r="1276" spans="1:7" x14ac:dyDescent="0.25">
      <c r="A1276">
        <v>5789</v>
      </c>
      <c r="F1276" t="s">
        <v>5603</v>
      </c>
      <c r="G1276" t="s">
        <v>5604</v>
      </c>
    </row>
    <row r="1277" spans="1:7" x14ac:dyDescent="0.25">
      <c r="A1277">
        <v>5789</v>
      </c>
      <c r="F1277" t="s">
        <v>53</v>
      </c>
      <c r="G1277" t="s">
        <v>5604</v>
      </c>
    </row>
    <row r="1278" spans="1:7" x14ac:dyDescent="0.25">
      <c r="A1278">
        <v>5789</v>
      </c>
      <c r="F1278" t="s">
        <v>55</v>
      </c>
      <c r="G1278" t="s">
        <v>5604</v>
      </c>
    </row>
    <row r="1279" spans="1:7" x14ac:dyDescent="0.25">
      <c r="A1279">
        <v>5789</v>
      </c>
      <c r="F1279" t="s">
        <v>5605</v>
      </c>
      <c r="G1279" t="s">
        <v>5604</v>
      </c>
    </row>
    <row r="1280" spans="1:7" x14ac:dyDescent="0.25">
      <c r="A1280">
        <v>5790</v>
      </c>
      <c r="F1280" t="s">
        <v>5603</v>
      </c>
      <c r="G1280" t="s">
        <v>5604</v>
      </c>
    </row>
    <row r="1281" spans="1:7" x14ac:dyDescent="0.25">
      <c r="A1281">
        <v>5790</v>
      </c>
      <c r="F1281" t="s">
        <v>53</v>
      </c>
      <c r="G1281" t="s">
        <v>5604</v>
      </c>
    </row>
    <row r="1282" spans="1:7" x14ac:dyDescent="0.25">
      <c r="A1282">
        <v>5790</v>
      </c>
      <c r="F1282" t="s">
        <v>55</v>
      </c>
      <c r="G1282" t="s">
        <v>5604</v>
      </c>
    </row>
    <row r="1283" spans="1:7" x14ac:dyDescent="0.25">
      <c r="A1283">
        <v>5790</v>
      </c>
      <c r="F1283" t="s">
        <v>5605</v>
      </c>
      <c r="G1283" t="s">
        <v>5604</v>
      </c>
    </row>
    <row r="1284" spans="1:7" x14ac:dyDescent="0.25">
      <c r="A1284">
        <v>5791</v>
      </c>
      <c r="F1284" t="s">
        <v>5603</v>
      </c>
      <c r="G1284" t="s">
        <v>5604</v>
      </c>
    </row>
    <row r="1285" spans="1:7" x14ac:dyDescent="0.25">
      <c r="A1285">
        <v>5791</v>
      </c>
      <c r="F1285" t="s">
        <v>53</v>
      </c>
      <c r="G1285" t="s">
        <v>5604</v>
      </c>
    </row>
    <row r="1286" spans="1:7" x14ac:dyDescent="0.25">
      <c r="A1286">
        <v>5791</v>
      </c>
      <c r="F1286" t="s">
        <v>55</v>
      </c>
      <c r="G1286" t="s">
        <v>5604</v>
      </c>
    </row>
    <row r="1287" spans="1:7" x14ac:dyDescent="0.25">
      <c r="A1287">
        <v>5791</v>
      </c>
      <c r="F1287" t="s">
        <v>5605</v>
      </c>
      <c r="G1287" t="s">
        <v>5604</v>
      </c>
    </row>
    <row r="1288" spans="1:7" x14ac:dyDescent="0.25">
      <c r="A1288">
        <v>5792</v>
      </c>
      <c r="F1288" t="s">
        <v>5603</v>
      </c>
      <c r="G1288" t="s">
        <v>5604</v>
      </c>
    </row>
    <row r="1289" spans="1:7" x14ac:dyDescent="0.25">
      <c r="A1289">
        <v>5792</v>
      </c>
      <c r="F1289" t="s">
        <v>53</v>
      </c>
      <c r="G1289" t="s">
        <v>5604</v>
      </c>
    </row>
    <row r="1290" spans="1:7" x14ac:dyDescent="0.25">
      <c r="A1290">
        <v>5792</v>
      </c>
      <c r="F1290" t="s">
        <v>55</v>
      </c>
      <c r="G1290" t="s">
        <v>5604</v>
      </c>
    </row>
    <row r="1291" spans="1:7" x14ac:dyDescent="0.25">
      <c r="A1291">
        <v>5792</v>
      </c>
      <c r="F1291" t="s">
        <v>5605</v>
      </c>
      <c r="G1291" t="s">
        <v>5604</v>
      </c>
    </row>
    <row r="1292" spans="1:7" x14ac:dyDescent="0.25">
      <c r="A1292">
        <v>5793</v>
      </c>
      <c r="F1292" t="s">
        <v>5603</v>
      </c>
      <c r="G1292" t="s">
        <v>5604</v>
      </c>
    </row>
    <row r="1293" spans="1:7" x14ac:dyDescent="0.25">
      <c r="A1293">
        <v>5793</v>
      </c>
      <c r="F1293" t="s">
        <v>53</v>
      </c>
      <c r="G1293" t="s">
        <v>5604</v>
      </c>
    </row>
    <row r="1294" spans="1:7" x14ac:dyDescent="0.25">
      <c r="A1294">
        <v>5793</v>
      </c>
      <c r="F1294" t="s">
        <v>55</v>
      </c>
      <c r="G1294" t="s">
        <v>5604</v>
      </c>
    </row>
    <row r="1295" spans="1:7" x14ac:dyDescent="0.25">
      <c r="A1295">
        <v>5793</v>
      </c>
      <c r="F1295" t="s">
        <v>5605</v>
      </c>
      <c r="G1295" t="s">
        <v>5604</v>
      </c>
    </row>
    <row r="1296" spans="1:7" x14ac:dyDescent="0.25">
      <c r="A1296">
        <v>5794</v>
      </c>
      <c r="F1296" t="s">
        <v>5603</v>
      </c>
      <c r="G1296" t="s">
        <v>5604</v>
      </c>
    </row>
    <row r="1297" spans="1:7" x14ac:dyDescent="0.25">
      <c r="A1297">
        <v>5794</v>
      </c>
      <c r="F1297" t="s">
        <v>53</v>
      </c>
      <c r="G1297" t="s">
        <v>5604</v>
      </c>
    </row>
    <row r="1298" spans="1:7" x14ac:dyDescent="0.25">
      <c r="A1298">
        <v>5794</v>
      </c>
      <c r="F1298" t="s">
        <v>55</v>
      </c>
      <c r="G1298" t="s">
        <v>5604</v>
      </c>
    </row>
    <row r="1299" spans="1:7" x14ac:dyDescent="0.25">
      <c r="A1299">
        <v>5794</v>
      </c>
      <c r="F1299" t="s">
        <v>5605</v>
      </c>
      <c r="G1299" t="s">
        <v>5604</v>
      </c>
    </row>
    <row r="1300" spans="1:7" x14ac:dyDescent="0.25">
      <c r="A1300">
        <v>5795</v>
      </c>
      <c r="F1300" t="s">
        <v>5603</v>
      </c>
      <c r="G1300" t="s">
        <v>5604</v>
      </c>
    </row>
    <row r="1301" spans="1:7" x14ac:dyDescent="0.25">
      <c r="A1301">
        <v>5795</v>
      </c>
      <c r="F1301" t="s">
        <v>53</v>
      </c>
      <c r="G1301" t="s">
        <v>5604</v>
      </c>
    </row>
    <row r="1302" spans="1:7" x14ac:dyDescent="0.25">
      <c r="A1302">
        <v>5795</v>
      </c>
      <c r="F1302" t="s">
        <v>55</v>
      </c>
      <c r="G1302" t="s">
        <v>5604</v>
      </c>
    </row>
    <row r="1303" spans="1:7" x14ac:dyDescent="0.25">
      <c r="A1303">
        <v>5795</v>
      </c>
      <c r="F1303" t="s">
        <v>5605</v>
      </c>
      <c r="G1303" t="s">
        <v>5604</v>
      </c>
    </row>
    <row r="1304" spans="1:7" x14ac:dyDescent="0.25">
      <c r="A1304">
        <v>5796</v>
      </c>
      <c r="F1304" t="s">
        <v>5603</v>
      </c>
      <c r="G1304" t="s">
        <v>5604</v>
      </c>
    </row>
    <row r="1305" spans="1:7" x14ac:dyDescent="0.25">
      <c r="A1305">
        <v>5796</v>
      </c>
      <c r="F1305" t="s">
        <v>53</v>
      </c>
      <c r="G1305" t="s">
        <v>5604</v>
      </c>
    </row>
    <row r="1306" spans="1:7" x14ac:dyDescent="0.25">
      <c r="A1306">
        <v>5796</v>
      </c>
      <c r="F1306" t="s">
        <v>55</v>
      </c>
      <c r="G1306" t="s">
        <v>5604</v>
      </c>
    </row>
    <row r="1307" spans="1:7" x14ac:dyDescent="0.25">
      <c r="A1307">
        <v>5796</v>
      </c>
      <c r="F1307" t="s">
        <v>5605</v>
      </c>
      <c r="G1307" t="s">
        <v>5604</v>
      </c>
    </row>
    <row r="1308" spans="1:7" x14ac:dyDescent="0.25">
      <c r="A1308">
        <v>5797</v>
      </c>
      <c r="F1308" t="s">
        <v>5603</v>
      </c>
      <c r="G1308" t="s">
        <v>5604</v>
      </c>
    </row>
    <row r="1309" spans="1:7" x14ac:dyDescent="0.25">
      <c r="A1309">
        <v>5797</v>
      </c>
      <c r="F1309" t="s">
        <v>53</v>
      </c>
      <c r="G1309" t="s">
        <v>5604</v>
      </c>
    </row>
    <row r="1310" spans="1:7" x14ac:dyDescent="0.25">
      <c r="A1310">
        <v>5797</v>
      </c>
      <c r="F1310" t="s">
        <v>55</v>
      </c>
      <c r="G1310" t="s">
        <v>5604</v>
      </c>
    </row>
    <row r="1311" spans="1:7" x14ac:dyDescent="0.25">
      <c r="A1311">
        <v>5797</v>
      </c>
      <c r="F1311" t="s">
        <v>5605</v>
      </c>
      <c r="G1311" t="s">
        <v>5604</v>
      </c>
    </row>
    <row r="1312" spans="1:7" x14ac:dyDescent="0.25">
      <c r="A1312">
        <v>5798</v>
      </c>
      <c r="F1312" t="s">
        <v>5603</v>
      </c>
      <c r="G1312" t="s">
        <v>5604</v>
      </c>
    </row>
    <row r="1313" spans="1:7" x14ac:dyDescent="0.25">
      <c r="A1313">
        <v>5798</v>
      </c>
      <c r="F1313" t="s">
        <v>53</v>
      </c>
      <c r="G1313" t="s">
        <v>5604</v>
      </c>
    </row>
    <row r="1314" spans="1:7" x14ac:dyDescent="0.25">
      <c r="A1314">
        <v>5798</v>
      </c>
      <c r="F1314" t="s">
        <v>55</v>
      </c>
      <c r="G1314" t="s">
        <v>5604</v>
      </c>
    </row>
    <row r="1315" spans="1:7" x14ac:dyDescent="0.25">
      <c r="A1315">
        <v>5798</v>
      </c>
      <c r="F1315" t="s">
        <v>5605</v>
      </c>
      <c r="G1315" t="s">
        <v>5604</v>
      </c>
    </row>
    <row r="1316" spans="1:7" x14ac:dyDescent="0.25">
      <c r="A1316">
        <v>5799</v>
      </c>
      <c r="F1316" t="s">
        <v>5603</v>
      </c>
      <c r="G1316" t="s">
        <v>5604</v>
      </c>
    </row>
    <row r="1317" spans="1:7" x14ac:dyDescent="0.25">
      <c r="A1317">
        <v>5799</v>
      </c>
      <c r="F1317" t="s">
        <v>53</v>
      </c>
      <c r="G1317" t="s">
        <v>5604</v>
      </c>
    </row>
    <row r="1318" spans="1:7" x14ac:dyDescent="0.25">
      <c r="A1318">
        <v>5799</v>
      </c>
      <c r="F1318" t="s">
        <v>55</v>
      </c>
      <c r="G1318" t="s">
        <v>5604</v>
      </c>
    </row>
    <row r="1319" spans="1:7" x14ac:dyDescent="0.25">
      <c r="A1319">
        <v>5799</v>
      </c>
      <c r="F1319" t="s">
        <v>5605</v>
      </c>
      <c r="G1319" t="s">
        <v>5604</v>
      </c>
    </row>
    <row r="1320" spans="1:7" x14ac:dyDescent="0.25">
      <c r="A1320">
        <v>5800</v>
      </c>
      <c r="F1320" t="s">
        <v>5603</v>
      </c>
      <c r="G1320" t="s">
        <v>5604</v>
      </c>
    </row>
    <row r="1321" spans="1:7" x14ac:dyDescent="0.25">
      <c r="A1321">
        <v>5800</v>
      </c>
      <c r="F1321" t="s">
        <v>53</v>
      </c>
      <c r="G1321" t="s">
        <v>5604</v>
      </c>
    </row>
    <row r="1322" spans="1:7" x14ac:dyDescent="0.25">
      <c r="A1322">
        <v>5800</v>
      </c>
      <c r="F1322" t="s">
        <v>55</v>
      </c>
      <c r="G1322" t="s">
        <v>5604</v>
      </c>
    </row>
    <row r="1323" spans="1:7" x14ac:dyDescent="0.25">
      <c r="A1323">
        <v>5800</v>
      </c>
      <c r="F1323" t="s">
        <v>5605</v>
      </c>
      <c r="G1323" t="s">
        <v>5604</v>
      </c>
    </row>
    <row r="1324" spans="1:7" x14ac:dyDescent="0.25">
      <c r="A1324">
        <v>5801</v>
      </c>
      <c r="F1324" t="s">
        <v>5603</v>
      </c>
      <c r="G1324" t="s">
        <v>5604</v>
      </c>
    </row>
    <row r="1325" spans="1:7" x14ac:dyDescent="0.25">
      <c r="A1325">
        <v>5801</v>
      </c>
      <c r="F1325" t="s">
        <v>53</v>
      </c>
      <c r="G1325" t="s">
        <v>5604</v>
      </c>
    </row>
    <row r="1326" spans="1:7" x14ac:dyDescent="0.25">
      <c r="A1326">
        <v>5801</v>
      </c>
      <c r="F1326" t="s">
        <v>55</v>
      </c>
      <c r="G1326" t="s">
        <v>5604</v>
      </c>
    </row>
    <row r="1327" spans="1:7" x14ac:dyDescent="0.25">
      <c r="A1327">
        <v>5801</v>
      </c>
      <c r="F1327" t="s">
        <v>5605</v>
      </c>
      <c r="G1327" t="s">
        <v>5604</v>
      </c>
    </row>
    <row r="1328" spans="1:7" x14ac:dyDescent="0.25">
      <c r="A1328">
        <v>5802</v>
      </c>
      <c r="F1328" t="s">
        <v>5603</v>
      </c>
      <c r="G1328" t="s">
        <v>5604</v>
      </c>
    </row>
    <row r="1329" spans="1:7" x14ac:dyDescent="0.25">
      <c r="A1329">
        <v>5802</v>
      </c>
      <c r="F1329" t="s">
        <v>53</v>
      </c>
      <c r="G1329" t="s">
        <v>5604</v>
      </c>
    </row>
    <row r="1330" spans="1:7" x14ac:dyDescent="0.25">
      <c r="A1330">
        <v>5802</v>
      </c>
      <c r="F1330" t="s">
        <v>55</v>
      </c>
      <c r="G1330" t="s">
        <v>5604</v>
      </c>
    </row>
    <row r="1331" spans="1:7" x14ac:dyDescent="0.25">
      <c r="A1331">
        <v>5802</v>
      </c>
      <c r="F1331" t="s">
        <v>5605</v>
      </c>
      <c r="G1331" t="s">
        <v>5604</v>
      </c>
    </row>
    <row r="1332" spans="1:7" x14ac:dyDescent="0.25">
      <c r="A1332">
        <v>5803</v>
      </c>
      <c r="F1332" t="s">
        <v>5603</v>
      </c>
      <c r="G1332" t="s">
        <v>5604</v>
      </c>
    </row>
    <row r="1333" spans="1:7" x14ac:dyDescent="0.25">
      <c r="A1333">
        <v>5803</v>
      </c>
      <c r="F1333" t="s">
        <v>53</v>
      </c>
      <c r="G1333" t="s">
        <v>5604</v>
      </c>
    </row>
    <row r="1334" spans="1:7" x14ac:dyDescent="0.25">
      <c r="A1334">
        <v>5803</v>
      </c>
      <c r="F1334" t="s">
        <v>55</v>
      </c>
      <c r="G1334" t="s">
        <v>5604</v>
      </c>
    </row>
    <row r="1335" spans="1:7" x14ac:dyDescent="0.25">
      <c r="A1335">
        <v>5803</v>
      </c>
      <c r="F1335" t="s">
        <v>5605</v>
      </c>
      <c r="G1335" t="s">
        <v>5604</v>
      </c>
    </row>
    <row r="1336" spans="1:7" x14ac:dyDescent="0.25">
      <c r="A1336">
        <v>5804</v>
      </c>
      <c r="F1336" t="s">
        <v>5603</v>
      </c>
      <c r="G1336" t="s">
        <v>5604</v>
      </c>
    </row>
    <row r="1337" spans="1:7" x14ac:dyDescent="0.25">
      <c r="A1337">
        <v>5804</v>
      </c>
      <c r="F1337" t="s">
        <v>53</v>
      </c>
      <c r="G1337" t="s">
        <v>5604</v>
      </c>
    </row>
    <row r="1338" spans="1:7" x14ac:dyDescent="0.25">
      <c r="A1338">
        <v>5804</v>
      </c>
      <c r="F1338" t="s">
        <v>55</v>
      </c>
      <c r="G1338" t="s">
        <v>5604</v>
      </c>
    </row>
    <row r="1339" spans="1:7" x14ac:dyDescent="0.25">
      <c r="A1339">
        <v>5804</v>
      </c>
      <c r="F1339" t="s">
        <v>5605</v>
      </c>
      <c r="G1339" t="s">
        <v>5604</v>
      </c>
    </row>
    <row r="1340" spans="1:7" x14ac:dyDescent="0.25">
      <c r="A1340">
        <v>5805</v>
      </c>
      <c r="F1340" t="s">
        <v>5603</v>
      </c>
      <c r="G1340" t="s">
        <v>5604</v>
      </c>
    </row>
    <row r="1341" spans="1:7" x14ac:dyDescent="0.25">
      <c r="A1341">
        <v>5805</v>
      </c>
      <c r="F1341" t="s">
        <v>53</v>
      </c>
      <c r="G1341" t="s">
        <v>5604</v>
      </c>
    </row>
    <row r="1342" spans="1:7" x14ac:dyDescent="0.25">
      <c r="A1342">
        <v>5805</v>
      </c>
      <c r="F1342" t="s">
        <v>55</v>
      </c>
      <c r="G1342" t="s">
        <v>5604</v>
      </c>
    </row>
    <row r="1343" spans="1:7" x14ac:dyDescent="0.25">
      <c r="A1343">
        <v>5805</v>
      </c>
      <c r="F1343" t="s">
        <v>5605</v>
      </c>
      <c r="G1343" t="s">
        <v>5604</v>
      </c>
    </row>
    <row r="1344" spans="1:7" x14ac:dyDescent="0.25">
      <c r="A1344">
        <v>5806</v>
      </c>
      <c r="F1344" t="s">
        <v>5603</v>
      </c>
      <c r="G1344" t="s">
        <v>5604</v>
      </c>
    </row>
    <row r="1345" spans="1:7" x14ac:dyDescent="0.25">
      <c r="A1345">
        <v>5806</v>
      </c>
      <c r="F1345" t="s">
        <v>53</v>
      </c>
      <c r="G1345" t="s">
        <v>5604</v>
      </c>
    </row>
    <row r="1346" spans="1:7" x14ac:dyDescent="0.25">
      <c r="A1346">
        <v>5806</v>
      </c>
      <c r="F1346" t="s">
        <v>55</v>
      </c>
      <c r="G1346" t="s">
        <v>5604</v>
      </c>
    </row>
    <row r="1347" spans="1:7" x14ac:dyDescent="0.25">
      <c r="A1347">
        <v>5806</v>
      </c>
      <c r="F1347" t="s">
        <v>5605</v>
      </c>
      <c r="G1347" t="s">
        <v>5604</v>
      </c>
    </row>
    <row r="1348" spans="1:7" x14ac:dyDescent="0.25">
      <c r="A1348">
        <v>5807</v>
      </c>
      <c r="F1348" t="s">
        <v>5603</v>
      </c>
      <c r="G1348" t="s">
        <v>5604</v>
      </c>
    </row>
    <row r="1349" spans="1:7" x14ac:dyDescent="0.25">
      <c r="A1349">
        <v>5807</v>
      </c>
      <c r="F1349" t="s">
        <v>53</v>
      </c>
      <c r="G1349" t="s">
        <v>5604</v>
      </c>
    </row>
    <row r="1350" spans="1:7" x14ac:dyDescent="0.25">
      <c r="A1350">
        <v>5807</v>
      </c>
      <c r="F1350" t="s">
        <v>55</v>
      </c>
      <c r="G1350" t="s">
        <v>5604</v>
      </c>
    </row>
    <row r="1351" spans="1:7" x14ac:dyDescent="0.25">
      <c r="A1351">
        <v>5807</v>
      </c>
      <c r="F1351" t="s">
        <v>5605</v>
      </c>
      <c r="G1351" t="s">
        <v>5604</v>
      </c>
    </row>
    <row r="1352" spans="1:7" x14ac:dyDescent="0.25">
      <c r="A1352">
        <v>5808</v>
      </c>
      <c r="F1352" t="s">
        <v>5603</v>
      </c>
      <c r="G1352" t="s">
        <v>5604</v>
      </c>
    </row>
    <row r="1353" spans="1:7" x14ac:dyDescent="0.25">
      <c r="A1353">
        <v>5808</v>
      </c>
      <c r="F1353" t="s">
        <v>53</v>
      </c>
      <c r="G1353" t="s">
        <v>5604</v>
      </c>
    </row>
    <row r="1354" spans="1:7" x14ac:dyDescent="0.25">
      <c r="A1354">
        <v>5808</v>
      </c>
      <c r="F1354" t="s">
        <v>55</v>
      </c>
      <c r="G1354" t="s">
        <v>5604</v>
      </c>
    </row>
    <row r="1355" spans="1:7" x14ac:dyDescent="0.25">
      <c r="A1355">
        <v>5808</v>
      </c>
      <c r="F1355" t="s">
        <v>5605</v>
      </c>
      <c r="G1355" t="s">
        <v>5604</v>
      </c>
    </row>
    <row r="1356" spans="1:7" x14ac:dyDescent="0.25">
      <c r="A1356">
        <v>5809</v>
      </c>
      <c r="F1356" t="s">
        <v>5603</v>
      </c>
      <c r="G1356" t="s">
        <v>5604</v>
      </c>
    </row>
    <row r="1357" spans="1:7" x14ac:dyDescent="0.25">
      <c r="A1357">
        <v>5809</v>
      </c>
      <c r="F1357" t="s">
        <v>53</v>
      </c>
      <c r="G1357" t="s">
        <v>5604</v>
      </c>
    </row>
    <row r="1358" spans="1:7" x14ac:dyDescent="0.25">
      <c r="A1358">
        <v>5809</v>
      </c>
      <c r="F1358" t="s">
        <v>55</v>
      </c>
      <c r="G1358" t="s">
        <v>5604</v>
      </c>
    </row>
    <row r="1359" spans="1:7" x14ac:dyDescent="0.25">
      <c r="A1359">
        <v>5809</v>
      </c>
      <c r="F1359" t="s">
        <v>5605</v>
      </c>
      <c r="G1359" t="s">
        <v>5604</v>
      </c>
    </row>
    <row r="1360" spans="1:7" x14ac:dyDescent="0.25">
      <c r="A1360">
        <v>5810</v>
      </c>
      <c r="F1360" t="s">
        <v>5603</v>
      </c>
      <c r="G1360" t="s">
        <v>5604</v>
      </c>
    </row>
    <row r="1361" spans="1:7" x14ac:dyDescent="0.25">
      <c r="A1361">
        <v>5810</v>
      </c>
      <c r="F1361" t="s">
        <v>53</v>
      </c>
      <c r="G1361" t="s">
        <v>5604</v>
      </c>
    </row>
    <row r="1362" spans="1:7" x14ac:dyDescent="0.25">
      <c r="A1362">
        <v>5810</v>
      </c>
      <c r="F1362" t="s">
        <v>55</v>
      </c>
      <c r="G1362" t="s">
        <v>5604</v>
      </c>
    </row>
    <row r="1363" spans="1:7" x14ac:dyDescent="0.25">
      <c r="A1363">
        <v>5810</v>
      </c>
      <c r="F1363" t="s">
        <v>5605</v>
      </c>
      <c r="G1363" t="s">
        <v>5604</v>
      </c>
    </row>
    <row r="1364" spans="1:7" x14ac:dyDescent="0.25">
      <c r="A1364">
        <v>5811</v>
      </c>
      <c r="F1364" t="s">
        <v>5603</v>
      </c>
      <c r="G1364" t="s">
        <v>5604</v>
      </c>
    </row>
    <row r="1365" spans="1:7" x14ac:dyDescent="0.25">
      <c r="A1365">
        <v>5811</v>
      </c>
      <c r="F1365" t="s">
        <v>53</v>
      </c>
      <c r="G1365" t="s">
        <v>5604</v>
      </c>
    </row>
    <row r="1366" spans="1:7" x14ac:dyDescent="0.25">
      <c r="A1366">
        <v>5811</v>
      </c>
      <c r="F1366" t="s">
        <v>55</v>
      </c>
      <c r="G1366" t="s">
        <v>5604</v>
      </c>
    </row>
    <row r="1367" spans="1:7" x14ac:dyDescent="0.25">
      <c r="A1367">
        <v>5811</v>
      </c>
      <c r="F1367" t="s">
        <v>5605</v>
      </c>
      <c r="G1367" t="s">
        <v>5604</v>
      </c>
    </row>
    <row r="1368" spans="1:7" x14ac:dyDescent="0.25">
      <c r="A1368">
        <v>5812</v>
      </c>
      <c r="F1368" t="s">
        <v>5603</v>
      </c>
      <c r="G1368" t="s">
        <v>5604</v>
      </c>
    </row>
    <row r="1369" spans="1:7" x14ac:dyDescent="0.25">
      <c r="A1369">
        <v>5812</v>
      </c>
      <c r="F1369" t="s">
        <v>53</v>
      </c>
      <c r="G1369" t="s">
        <v>5604</v>
      </c>
    </row>
    <row r="1370" spans="1:7" x14ac:dyDescent="0.25">
      <c r="A1370">
        <v>5812</v>
      </c>
      <c r="F1370" t="s">
        <v>55</v>
      </c>
      <c r="G1370" t="s">
        <v>5604</v>
      </c>
    </row>
    <row r="1371" spans="1:7" x14ac:dyDescent="0.25">
      <c r="A1371">
        <v>5812</v>
      </c>
      <c r="F1371" t="s">
        <v>5605</v>
      </c>
      <c r="G1371" t="s">
        <v>5604</v>
      </c>
    </row>
    <row r="1372" spans="1:7" x14ac:dyDescent="0.25">
      <c r="A1372">
        <v>5813</v>
      </c>
      <c r="F1372" t="s">
        <v>5603</v>
      </c>
      <c r="G1372" t="s">
        <v>5604</v>
      </c>
    </row>
    <row r="1373" spans="1:7" x14ac:dyDescent="0.25">
      <c r="A1373">
        <v>5813</v>
      </c>
      <c r="F1373" t="s">
        <v>53</v>
      </c>
      <c r="G1373" t="s">
        <v>5604</v>
      </c>
    </row>
    <row r="1374" spans="1:7" x14ac:dyDescent="0.25">
      <c r="A1374">
        <v>5813</v>
      </c>
      <c r="F1374" t="s">
        <v>55</v>
      </c>
      <c r="G1374" t="s">
        <v>5604</v>
      </c>
    </row>
    <row r="1375" spans="1:7" x14ac:dyDescent="0.25">
      <c r="A1375">
        <v>5813</v>
      </c>
      <c r="F1375" t="s">
        <v>5605</v>
      </c>
      <c r="G1375" t="s">
        <v>5604</v>
      </c>
    </row>
    <row r="1376" spans="1:7" x14ac:dyDescent="0.25">
      <c r="A1376">
        <v>5814</v>
      </c>
      <c r="F1376" t="s">
        <v>5603</v>
      </c>
      <c r="G1376" t="s">
        <v>5604</v>
      </c>
    </row>
    <row r="1377" spans="1:7" x14ac:dyDescent="0.25">
      <c r="A1377">
        <v>5814</v>
      </c>
      <c r="F1377" t="s">
        <v>53</v>
      </c>
      <c r="G1377" t="s">
        <v>5604</v>
      </c>
    </row>
    <row r="1378" spans="1:7" x14ac:dyDescent="0.25">
      <c r="A1378">
        <v>5814</v>
      </c>
      <c r="F1378" t="s">
        <v>55</v>
      </c>
      <c r="G1378" t="s">
        <v>5604</v>
      </c>
    </row>
    <row r="1379" spans="1:7" x14ac:dyDescent="0.25">
      <c r="A1379">
        <v>5814</v>
      </c>
      <c r="F1379" t="s">
        <v>5605</v>
      </c>
      <c r="G1379" t="s">
        <v>5604</v>
      </c>
    </row>
    <row r="1380" spans="1:7" x14ac:dyDescent="0.25">
      <c r="A1380">
        <v>5815</v>
      </c>
      <c r="F1380" t="s">
        <v>5603</v>
      </c>
      <c r="G1380" t="s">
        <v>5604</v>
      </c>
    </row>
    <row r="1381" spans="1:7" x14ac:dyDescent="0.25">
      <c r="A1381">
        <v>5815</v>
      </c>
      <c r="F1381" t="s">
        <v>53</v>
      </c>
      <c r="G1381" t="s">
        <v>5604</v>
      </c>
    </row>
    <row r="1382" spans="1:7" x14ac:dyDescent="0.25">
      <c r="A1382">
        <v>5815</v>
      </c>
      <c r="F1382" t="s">
        <v>55</v>
      </c>
      <c r="G1382" t="s">
        <v>5604</v>
      </c>
    </row>
    <row r="1383" spans="1:7" x14ac:dyDescent="0.25">
      <c r="A1383">
        <v>5815</v>
      </c>
      <c r="F1383" t="s">
        <v>5605</v>
      </c>
      <c r="G1383" t="s">
        <v>5604</v>
      </c>
    </row>
    <row r="1384" spans="1:7" x14ac:dyDescent="0.25">
      <c r="A1384">
        <v>5816</v>
      </c>
      <c r="F1384" t="s">
        <v>5603</v>
      </c>
      <c r="G1384" t="s">
        <v>5604</v>
      </c>
    </row>
    <row r="1385" spans="1:7" x14ac:dyDescent="0.25">
      <c r="A1385">
        <v>5816</v>
      </c>
      <c r="F1385" t="s">
        <v>53</v>
      </c>
      <c r="G1385" t="s">
        <v>5604</v>
      </c>
    </row>
    <row r="1386" spans="1:7" x14ac:dyDescent="0.25">
      <c r="A1386">
        <v>5816</v>
      </c>
      <c r="F1386" t="s">
        <v>55</v>
      </c>
      <c r="G1386" t="s">
        <v>5604</v>
      </c>
    </row>
    <row r="1387" spans="1:7" x14ac:dyDescent="0.25">
      <c r="A1387">
        <v>5816</v>
      </c>
      <c r="F1387" t="s">
        <v>5605</v>
      </c>
      <c r="G1387" t="s">
        <v>5604</v>
      </c>
    </row>
    <row r="1388" spans="1:7" x14ac:dyDescent="0.25">
      <c r="A1388">
        <v>5817</v>
      </c>
      <c r="F1388" t="s">
        <v>5603</v>
      </c>
      <c r="G1388" t="s">
        <v>5604</v>
      </c>
    </row>
    <row r="1389" spans="1:7" x14ac:dyDescent="0.25">
      <c r="A1389">
        <v>5817</v>
      </c>
      <c r="F1389" t="s">
        <v>53</v>
      </c>
      <c r="G1389" t="s">
        <v>5604</v>
      </c>
    </row>
    <row r="1390" spans="1:7" x14ac:dyDescent="0.25">
      <c r="A1390">
        <v>5817</v>
      </c>
      <c r="F1390" t="s">
        <v>55</v>
      </c>
      <c r="G1390" t="s">
        <v>5604</v>
      </c>
    </row>
    <row r="1391" spans="1:7" x14ac:dyDescent="0.25">
      <c r="A1391">
        <v>5817</v>
      </c>
      <c r="F1391" t="s">
        <v>5605</v>
      </c>
      <c r="G1391" t="s">
        <v>5604</v>
      </c>
    </row>
    <row r="1392" spans="1:7" x14ac:dyDescent="0.25">
      <c r="A1392">
        <v>5818</v>
      </c>
      <c r="F1392" t="s">
        <v>5603</v>
      </c>
      <c r="G1392" t="s">
        <v>5604</v>
      </c>
    </row>
    <row r="1393" spans="1:7" x14ac:dyDescent="0.25">
      <c r="A1393">
        <v>5818</v>
      </c>
      <c r="F1393" t="s">
        <v>53</v>
      </c>
      <c r="G1393" t="s">
        <v>5604</v>
      </c>
    </row>
    <row r="1394" spans="1:7" x14ac:dyDescent="0.25">
      <c r="A1394">
        <v>5818</v>
      </c>
      <c r="F1394" t="s">
        <v>55</v>
      </c>
      <c r="G1394" t="s">
        <v>5604</v>
      </c>
    </row>
    <row r="1395" spans="1:7" x14ac:dyDescent="0.25">
      <c r="A1395">
        <v>5818</v>
      </c>
      <c r="F1395" t="s">
        <v>5605</v>
      </c>
      <c r="G1395" t="s">
        <v>5604</v>
      </c>
    </row>
    <row r="1396" spans="1:7" x14ac:dyDescent="0.25">
      <c r="A1396">
        <v>5819</v>
      </c>
      <c r="F1396" t="s">
        <v>5603</v>
      </c>
      <c r="G1396" t="s">
        <v>5604</v>
      </c>
    </row>
    <row r="1397" spans="1:7" x14ac:dyDescent="0.25">
      <c r="A1397">
        <v>5819</v>
      </c>
      <c r="F1397" t="s">
        <v>53</v>
      </c>
      <c r="G1397" t="s">
        <v>5604</v>
      </c>
    </row>
    <row r="1398" spans="1:7" x14ac:dyDescent="0.25">
      <c r="A1398">
        <v>5819</v>
      </c>
      <c r="F1398" t="s">
        <v>55</v>
      </c>
      <c r="G1398" t="s">
        <v>5604</v>
      </c>
    </row>
    <row r="1399" spans="1:7" x14ac:dyDescent="0.25">
      <c r="A1399">
        <v>5819</v>
      </c>
      <c r="F1399" t="s">
        <v>5605</v>
      </c>
      <c r="G1399" t="s">
        <v>5604</v>
      </c>
    </row>
    <row r="1400" spans="1:7" x14ac:dyDescent="0.25">
      <c r="A1400">
        <v>5820</v>
      </c>
      <c r="F1400" t="s">
        <v>5603</v>
      </c>
      <c r="G1400" t="s">
        <v>5604</v>
      </c>
    </row>
    <row r="1401" spans="1:7" x14ac:dyDescent="0.25">
      <c r="A1401">
        <v>5820</v>
      </c>
      <c r="F1401" t="s">
        <v>53</v>
      </c>
      <c r="G1401" t="s">
        <v>5604</v>
      </c>
    </row>
    <row r="1402" spans="1:7" x14ac:dyDescent="0.25">
      <c r="A1402">
        <v>5820</v>
      </c>
      <c r="F1402" t="s">
        <v>55</v>
      </c>
      <c r="G1402" t="s">
        <v>5604</v>
      </c>
    </row>
    <row r="1403" spans="1:7" x14ac:dyDescent="0.25">
      <c r="A1403">
        <v>5820</v>
      </c>
      <c r="F1403" t="s">
        <v>5605</v>
      </c>
      <c r="G1403" t="s">
        <v>5604</v>
      </c>
    </row>
    <row r="1404" spans="1:7" x14ac:dyDescent="0.25">
      <c r="A1404">
        <v>5821</v>
      </c>
      <c r="F1404" t="s">
        <v>5603</v>
      </c>
      <c r="G1404" t="s">
        <v>5604</v>
      </c>
    </row>
    <row r="1405" spans="1:7" x14ac:dyDescent="0.25">
      <c r="A1405">
        <v>5821</v>
      </c>
      <c r="F1405" t="s">
        <v>53</v>
      </c>
      <c r="G1405" t="s">
        <v>5604</v>
      </c>
    </row>
    <row r="1406" spans="1:7" x14ac:dyDescent="0.25">
      <c r="A1406">
        <v>5821</v>
      </c>
      <c r="F1406" t="s">
        <v>55</v>
      </c>
      <c r="G1406" t="s">
        <v>5604</v>
      </c>
    </row>
    <row r="1407" spans="1:7" x14ac:dyDescent="0.25">
      <c r="A1407">
        <v>5821</v>
      </c>
      <c r="F1407" t="s">
        <v>5605</v>
      </c>
      <c r="G1407" t="s">
        <v>5604</v>
      </c>
    </row>
    <row r="1408" spans="1:7" x14ac:dyDescent="0.25">
      <c r="A1408">
        <v>5822</v>
      </c>
      <c r="F1408" t="s">
        <v>5603</v>
      </c>
      <c r="G1408" t="s">
        <v>5604</v>
      </c>
    </row>
    <row r="1409" spans="1:7" x14ac:dyDescent="0.25">
      <c r="A1409">
        <v>5822</v>
      </c>
      <c r="F1409" t="s">
        <v>53</v>
      </c>
      <c r="G1409" t="s">
        <v>5604</v>
      </c>
    </row>
    <row r="1410" spans="1:7" x14ac:dyDescent="0.25">
      <c r="A1410">
        <v>5822</v>
      </c>
      <c r="F1410" t="s">
        <v>55</v>
      </c>
      <c r="G1410" t="s">
        <v>5604</v>
      </c>
    </row>
    <row r="1411" spans="1:7" x14ac:dyDescent="0.25">
      <c r="A1411">
        <v>5822</v>
      </c>
      <c r="F1411" t="s">
        <v>5605</v>
      </c>
      <c r="G1411" t="s">
        <v>5604</v>
      </c>
    </row>
    <row r="1412" spans="1:7" x14ac:dyDescent="0.25">
      <c r="A1412">
        <v>5823</v>
      </c>
      <c r="F1412" t="s">
        <v>5603</v>
      </c>
      <c r="G1412" t="s">
        <v>5604</v>
      </c>
    </row>
    <row r="1413" spans="1:7" x14ac:dyDescent="0.25">
      <c r="A1413">
        <v>5823</v>
      </c>
      <c r="F1413" t="s">
        <v>53</v>
      </c>
      <c r="G1413" t="s">
        <v>5604</v>
      </c>
    </row>
    <row r="1414" spans="1:7" x14ac:dyDescent="0.25">
      <c r="A1414">
        <v>5823</v>
      </c>
      <c r="F1414" t="s">
        <v>55</v>
      </c>
      <c r="G1414" t="s">
        <v>5604</v>
      </c>
    </row>
    <row r="1415" spans="1:7" x14ac:dyDescent="0.25">
      <c r="A1415">
        <v>5823</v>
      </c>
      <c r="F1415" t="s">
        <v>5605</v>
      </c>
      <c r="G1415" t="s">
        <v>5604</v>
      </c>
    </row>
    <row r="1416" spans="1:7" x14ac:dyDescent="0.25">
      <c r="A1416">
        <v>5824</v>
      </c>
      <c r="F1416" t="s">
        <v>5603</v>
      </c>
      <c r="G1416" t="s">
        <v>5604</v>
      </c>
    </row>
    <row r="1417" spans="1:7" x14ac:dyDescent="0.25">
      <c r="A1417">
        <v>5824</v>
      </c>
      <c r="F1417" t="s">
        <v>53</v>
      </c>
      <c r="G1417" t="s">
        <v>5604</v>
      </c>
    </row>
    <row r="1418" spans="1:7" x14ac:dyDescent="0.25">
      <c r="A1418">
        <v>5824</v>
      </c>
      <c r="F1418" t="s">
        <v>55</v>
      </c>
      <c r="G1418" t="s">
        <v>5604</v>
      </c>
    </row>
    <row r="1419" spans="1:7" x14ac:dyDescent="0.25">
      <c r="A1419">
        <v>5824</v>
      </c>
      <c r="F1419" t="s">
        <v>5605</v>
      </c>
      <c r="G1419" t="s">
        <v>5604</v>
      </c>
    </row>
    <row r="1420" spans="1:7" x14ac:dyDescent="0.25">
      <c r="A1420">
        <v>5825</v>
      </c>
      <c r="F1420" t="s">
        <v>5603</v>
      </c>
      <c r="G1420" t="s">
        <v>5604</v>
      </c>
    </row>
    <row r="1421" spans="1:7" x14ac:dyDescent="0.25">
      <c r="A1421">
        <v>5825</v>
      </c>
      <c r="F1421" t="s">
        <v>53</v>
      </c>
      <c r="G1421" t="s">
        <v>5604</v>
      </c>
    </row>
    <row r="1422" spans="1:7" x14ac:dyDescent="0.25">
      <c r="A1422">
        <v>5825</v>
      </c>
      <c r="F1422" t="s">
        <v>55</v>
      </c>
      <c r="G1422" t="s">
        <v>5604</v>
      </c>
    </row>
    <row r="1423" spans="1:7" x14ac:dyDescent="0.25">
      <c r="A1423">
        <v>5825</v>
      </c>
      <c r="F1423" t="s">
        <v>5605</v>
      </c>
      <c r="G1423" t="s">
        <v>5604</v>
      </c>
    </row>
    <row r="1424" spans="1:7" x14ac:dyDescent="0.25">
      <c r="A1424">
        <v>5826</v>
      </c>
      <c r="F1424" t="s">
        <v>5603</v>
      </c>
      <c r="G1424" t="s">
        <v>5604</v>
      </c>
    </row>
    <row r="1425" spans="1:7" x14ac:dyDescent="0.25">
      <c r="A1425">
        <v>5826</v>
      </c>
      <c r="F1425" t="s">
        <v>53</v>
      </c>
      <c r="G1425" t="s">
        <v>5604</v>
      </c>
    </row>
    <row r="1426" spans="1:7" x14ac:dyDescent="0.25">
      <c r="A1426">
        <v>5826</v>
      </c>
      <c r="F1426" t="s">
        <v>55</v>
      </c>
      <c r="G1426" t="s">
        <v>5604</v>
      </c>
    </row>
    <row r="1427" spans="1:7" x14ac:dyDescent="0.25">
      <c r="A1427">
        <v>5826</v>
      </c>
      <c r="F1427" t="s">
        <v>5605</v>
      </c>
      <c r="G1427" t="s">
        <v>5604</v>
      </c>
    </row>
    <row r="1428" spans="1:7" x14ac:dyDescent="0.25">
      <c r="A1428">
        <v>5827</v>
      </c>
      <c r="F1428" t="s">
        <v>5603</v>
      </c>
      <c r="G1428" t="s">
        <v>5604</v>
      </c>
    </row>
    <row r="1429" spans="1:7" x14ac:dyDescent="0.25">
      <c r="A1429">
        <v>5827</v>
      </c>
      <c r="F1429" t="s">
        <v>53</v>
      </c>
      <c r="G1429" t="s">
        <v>5604</v>
      </c>
    </row>
    <row r="1430" spans="1:7" x14ac:dyDescent="0.25">
      <c r="A1430">
        <v>5827</v>
      </c>
      <c r="F1430" t="s">
        <v>55</v>
      </c>
      <c r="G1430" t="s">
        <v>5604</v>
      </c>
    </row>
    <row r="1431" spans="1:7" x14ac:dyDescent="0.25">
      <c r="A1431">
        <v>5827</v>
      </c>
      <c r="F1431" t="s">
        <v>5605</v>
      </c>
      <c r="G1431" t="s">
        <v>5604</v>
      </c>
    </row>
    <row r="1432" spans="1:7" x14ac:dyDescent="0.25">
      <c r="A1432">
        <v>5828</v>
      </c>
      <c r="F1432" t="s">
        <v>5603</v>
      </c>
      <c r="G1432" t="s">
        <v>5604</v>
      </c>
    </row>
    <row r="1433" spans="1:7" x14ac:dyDescent="0.25">
      <c r="A1433">
        <v>5828</v>
      </c>
      <c r="F1433" t="s">
        <v>53</v>
      </c>
      <c r="G1433" t="s">
        <v>5604</v>
      </c>
    </row>
    <row r="1434" spans="1:7" x14ac:dyDescent="0.25">
      <c r="A1434">
        <v>5828</v>
      </c>
      <c r="F1434" t="s">
        <v>55</v>
      </c>
      <c r="G1434" t="s">
        <v>5604</v>
      </c>
    </row>
    <row r="1435" spans="1:7" x14ac:dyDescent="0.25">
      <c r="A1435">
        <v>5828</v>
      </c>
      <c r="F1435" t="s">
        <v>5605</v>
      </c>
      <c r="G1435" t="s">
        <v>5604</v>
      </c>
    </row>
    <row r="1436" spans="1:7" x14ac:dyDescent="0.25">
      <c r="A1436">
        <v>5829</v>
      </c>
      <c r="F1436" t="s">
        <v>5603</v>
      </c>
      <c r="G1436" t="s">
        <v>5604</v>
      </c>
    </row>
    <row r="1437" spans="1:7" x14ac:dyDescent="0.25">
      <c r="A1437">
        <v>5829</v>
      </c>
      <c r="F1437" t="s">
        <v>53</v>
      </c>
      <c r="G1437" t="s">
        <v>5604</v>
      </c>
    </row>
    <row r="1438" spans="1:7" x14ac:dyDescent="0.25">
      <c r="A1438">
        <v>5829</v>
      </c>
      <c r="F1438" t="s">
        <v>55</v>
      </c>
      <c r="G1438" t="s">
        <v>5604</v>
      </c>
    </row>
    <row r="1439" spans="1:7" x14ac:dyDescent="0.25">
      <c r="A1439">
        <v>5829</v>
      </c>
      <c r="F1439" t="s">
        <v>5605</v>
      </c>
      <c r="G1439" t="s">
        <v>5604</v>
      </c>
    </row>
    <row r="1440" spans="1:7" x14ac:dyDescent="0.25">
      <c r="A1440">
        <v>5830</v>
      </c>
      <c r="F1440" t="s">
        <v>5603</v>
      </c>
      <c r="G1440" t="s">
        <v>5604</v>
      </c>
    </row>
    <row r="1441" spans="1:7" x14ac:dyDescent="0.25">
      <c r="A1441">
        <v>5830</v>
      </c>
      <c r="F1441" t="s">
        <v>53</v>
      </c>
      <c r="G1441" t="s">
        <v>5604</v>
      </c>
    </row>
    <row r="1442" spans="1:7" x14ac:dyDescent="0.25">
      <c r="A1442">
        <v>5830</v>
      </c>
      <c r="F1442" t="s">
        <v>55</v>
      </c>
      <c r="G1442" t="s">
        <v>5604</v>
      </c>
    </row>
    <row r="1443" spans="1:7" x14ac:dyDescent="0.25">
      <c r="A1443">
        <v>5830</v>
      </c>
      <c r="F1443" t="s">
        <v>5605</v>
      </c>
      <c r="G1443" t="s">
        <v>5604</v>
      </c>
    </row>
    <row r="1444" spans="1:7" x14ac:dyDescent="0.25">
      <c r="A1444">
        <v>5831</v>
      </c>
      <c r="F1444" t="s">
        <v>5603</v>
      </c>
      <c r="G1444" t="s">
        <v>5604</v>
      </c>
    </row>
    <row r="1445" spans="1:7" x14ac:dyDescent="0.25">
      <c r="A1445">
        <v>5831</v>
      </c>
      <c r="F1445" t="s">
        <v>53</v>
      </c>
      <c r="G1445" t="s">
        <v>5604</v>
      </c>
    </row>
    <row r="1446" spans="1:7" x14ac:dyDescent="0.25">
      <c r="A1446">
        <v>5831</v>
      </c>
      <c r="F1446" t="s">
        <v>55</v>
      </c>
      <c r="G1446" t="s">
        <v>5604</v>
      </c>
    </row>
    <row r="1447" spans="1:7" x14ac:dyDescent="0.25">
      <c r="A1447">
        <v>5831</v>
      </c>
      <c r="F1447" t="s">
        <v>5605</v>
      </c>
      <c r="G1447" t="s">
        <v>5604</v>
      </c>
    </row>
    <row r="1448" spans="1:7" x14ac:dyDescent="0.25">
      <c r="A1448">
        <v>5832</v>
      </c>
      <c r="F1448" t="s">
        <v>5603</v>
      </c>
      <c r="G1448" t="s">
        <v>5604</v>
      </c>
    </row>
    <row r="1449" spans="1:7" x14ac:dyDescent="0.25">
      <c r="A1449">
        <v>5832</v>
      </c>
      <c r="F1449" t="s">
        <v>53</v>
      </c>
      <c r="G1449" t="s">
        <v>5604</v>
      </c>
    </row>
    <row r="1450" spans="1:7" x14ac:dyDescent="0.25">
      <c r="A1450">
        <v>5832</v>
      </c>
      <c r="F1450" t="s">
        <v>55</v>
      </c>
      <c r="G1450" t="s">
        <v>5604</v>
      </c>
    </row>
    <row r="1451" spans="1:7" x14ac:dyDescent="0.25">
      <c r="A1451">
        <v>5832</v>
      </c>
      <c r="F1451" t="s">
        <v>5605</v>
      </c>
      <c r="G1451" t="s">
        <v>5604</v>
      </c>
    </row>
    <row r="1452" spans="1:7" x14ac:dyDescent="0.25">
      <c r="A1452">
        <v>5833</v>
      </c>
      <c r="F1452" t="s">
        <v>5603</v>
      </c>
      <c r="G1452" t="s">
        <v>5604</v>
      </c>
    </row>
    <row r="1453" spans="1:7" x14ac:dyDescent="0.25">
      <c r="A1453">
        <v>5833</v>
      </c>
      <c r="F1453" t="s">
        <v>53</v>
      </c>
      <c r="G1453" t="s">
        <v>5604</v>
      </c>
    </row>
    <row r="1454" spans="1:7" x14ac:dyDescent="0.25">
      <c r="A1454">
        <v>5833</v>
      </c>
      <c r="F1454" t="s">
        <v>55</v>
      </c>
      <c r="G1454" t="s">
        <v>5604</v>
      </c>
    </row>
    <row r="1455" spans="1:7" x14ac:dyDescent="0.25">
      <c r="A1455">
        <v>5833</v>
      </c>
      <c r="F1455" t="s">
        <v>5605</v>
      </c>
      <c r="G1455" t="s">
        <v>5604</v>
      </c>
    </row>
    <row r="1456" spans="1:7" x14ac:dyDescent="0.25">
      <c r="A1456">
        <v>5834</v>
      </c>
      <c r="F1456" t="s">
        <v>5603</v>
      </c>
      <c r="G1456" t="s">
        <v>5604</v>
      </c>
    </row>
    <row r="1457" spans="1:7" x14ac:dyDescent="0.25">
      <c r="A1457">
        <v>5834</v>
      </c>
      <c r="F1457" t="s">
        <v>53</v>
      </c>
      <c r="G1457" t="s">
        <v>5604</v>
      </c>
    </row>
    <row r="1458" spans="1:7" x14ac:dyDescent="0.25">
      <c r="A1458">
        <v>5834</v>
      </c>
      <c r="F1458" t="s">
        <v>55</v>
      </c>
      <c r="G1458" t="s">
        <v>5604</v>
      </c>
    </row>
    <row r="1459" spans="1:7" x14ac:dyDescent="0.25">
      <c r="A1459">
        <v>5834</v>
      </c>
      <c r="F1459" t="s">
        <v>5605</v>
      </c>
      <c r="G1459" t="s">
        <v>5604</v>
      </c>
    </row>
    <row r="1460" spans="1:7" x14ac:dyDescent="0.25">
      <c r="A1460">
        <v>5835</v>
      </c>
      <c r="F1460" t="s">
        <v>5603</v>
      </c>
      <c r="G1460" t="s">
        <v>5604</v>
      </c>
    </row>
    <row r="1461" spans="1:7" x14ac:dyDescent="0.25">
      <c r="A1461">
        <v>5835</v>
      </c>
      <c r="F1461" t="s">
        <v>53</v>
      </c>
      <c r="G1461" t="s">
        <v>5604</v>
      </c>
    </row>
    <row r="1462" spans="1:7" x14ac:dyDescent="0.25">
      <c r="A1462">
        <v>5835</v>
      </c>
      <c r="F1462" t="s">
        <v>55</v>
      </c>
      <c r="G1462" t="s">
        <v>5604</v>
      </c>
    </row>
    <row r="1463" spans="1:7" x14ac:dyDescent="0.25">
      <c r="A1463">
        <v>5835</v>
      </c>
      <c r="F1463" t="s">
        <v>5605</v>
      </c>
      <c r="G1463" t="s">
        <v>5604</v>
      </c>
    </row>
    <row r="1464" spans="1:7" x14ac:dyDescent="0.25">
      <c r="A1464">
        <v>5836</v>
      </c>
      <c r="F1464" t="s">
        <v>5603</v>
      </c>
      <c r="G1464" t="s">
        <v>5604</v>
      </c>
    </row>
    <row r="1465" spans="1:7" x14ac:dyDescent="0.25">
      <c r="A1465">
        <v>5836</v>
      </c>
      <c r="F1465" t="s">
        <v>53</v>
      </c>
      <c r="G1465" t="s">
        <v>5604</v>
      </c>
    </row>
    <row r="1466" spans="1:7" x14ac:dyDescent="0.25">
      <c r="A1466">
        <v>5836</v>
      </c>
      <c r="F1466" t="s">
        <v>55</v>
      </c>
      <c r="G1466" t="s">
        <v>5604</v>
      </c>
    </row>
    <row r="1467" spans="1:7" x14ac:dyDescent="0.25">
      <c r="A1467">
        <v>5836</v>
      </c>
      <c r="F1467" t="s">
        <v>5605</v>
      </c>
      <c r="G1467" t="s">
        <v>5604</v>
      </c>
    </row>
    <row r="1468" spans="1:7" x14ac:dyDescent="0.25">
      <c r="A1468">
        <v>5837</v>
      </c>
      <c r="F1468" t="s">
        <v>5603</v>
      </c>
      <c r="G1468" t="s">
        <v>5604</v>
      </c>
    </row>
    <row r="1469" spans="1:7" x14ac:dyDescent="0.25">
      <c r="A1469">
        <v>5837</v>
      </c>
      <c r="F1469" t="s">
        <v>53</v>
      </c>
      <c r="G1469" t="s">
        <v>5604</v>
      </c>
    </row>
    <row r="1470" spans="1:7" x14ac:dyDescent="0.25">
      <c r="A1470">
        <v>5837</v>
      </c>
      <c r="F1470" t="s">
        <v>55</v>
      </c>
      <c r="G1470" t="s">
        <v>5604</v>
      </c>
    </row>
    <row r="1471" spans="1:7" x14ac:dyDescent="0.25">
      <c r="A1471">
        <v>5837</v>
      </c>
      <c r="F1471" t="s">
        <v>5605</v>
      </c>
      <c r="G1471" t="s">
        <v>5604</v>
      </c>
    </row>
    <row r="1472" spans="1:7" x14ac:dyDescent="0.25">
      <c r="A1472">
        <v>5838</v>
      </c>
      <c r="F1472" t="s">
        <v>5603</v>
      </c>
      <c r="G1472" t="s">
        <v>5604</v>
      </c>
    </row>
    <row r="1473" spans="1:7" x14ac:dyDescent="0.25">
      <c r="A1473">
        <v>5838</v>
      </c>
      <c r="F1473" t="s">
        <v>53</v>
      </c>
      <c r="G1473" t="s">
        <v>5604</v>
      </c>
    </row>
    <row r="1474" spans="1:7" x14ac:dyDescent="0.25">
      <c r="A1474">
        <v>5838</v>
      </c>
      <c r="F1474" t="s">
        <v>55</v>
      </c>
      <c r="G1474" t="s">
        <v>5604</v>
      </c>
    </row>
    <row r="1475" spans="1:7" x14ac:dyDescent="0.25">
      <c r="A1475">
        <v>5838</v>
      </c>
      <c r="F1475" t="s">
        <v>5605</v>
      </c>
      <c r="G1475" t="s">
        <v>5604</v>
      </c>
    </row>
    <row r="1476" spans="1:7" x14ac:dyDescent="0.25">
      <c r="A1476">
        <v>5839</v>
      </c>
      <c r="F1476" t="s">
        <v>5603</v>
      </c>
      <c r="G1476" t="s">
        <v>5604</v>
      </c>
    </row>
    <row r="1477" spans="1:7" x14ac:dyDescent="0.25">
      <c r="A1477">
        <v>5839</v>
      </c>
      <c r="F1477" t="s">
        <v>53</v>
      </c>
      <c r="G1477" t="s">
        <v>5604</v>
      </c>
    </row>
    <row r="1478" spans="1:7" x14ac:dyDescent="0.25">
      <c r="A1478">
        <v>5839</v>
      </c>
      <c r="F1478" t="s">
        <v>55</v>
      </c>
      <c r="G1478" t="s">
        <v>5604</v>
      </c>
    </row>
    <row r="1479" spans="1:7" x14ac:dyDescent="0.25">
      <c r="A1479">
        <v>5839</v>
      </c>
      <c r="F1479" t="s">
        <v>5605</v>
      </c>
      <c r="G1479" t="s">
        <v>5604</v>
      </c>
    </row>
    <row r="1480" spans="1:7" x14ac:dyDescent="0.25">
      <c r="A1480">
        <v>5840</v>
      </c>
      <c r="F1480" t="s">
        <v>5603</v>
      </c>
      <c r="G1480" t="s">
        <v>5604</v>
      </c>
    </row>
    <row r="1481" spans="1:7" x14ac:dyDescent="0.25">
      <c r="A1481">
        <v>5840</v>
      </c>
      <c r="F1481" t="s">
        <v>53</v>
      </c>
      <c r="G1481" t="s">
        <v>5604</v>
      </c>
    </row>
    <row r="1482" spans="1:7" x14ac:dyDescent="0.25">
      <c r="A1482">
        <v>5840</v>
      </c>
      <c r="F1482" t="s">
        <v>55</v>
      </c>
      <c r="G1482" t="s">
        <v>5604</v>
      </c>
    </row>
    <row r="1483" spans="1:7" x14ac:dyDescent="0.25">
      <c r="A1483">
        <v>5840</v>
      </c>
      <c r="F1483" t="s">
        <v>5605</v>
      </c>
      <c r="G1483" t="s">
        <v>5604</v>
      </c>
    </row>
    <row r="1484" spans="1:7" x14ac:dyDescent="0.25">
      <c r="A1484">
        <v>5841</v>
      </c>
      <c r="F1484" t="s">
        <v>5603</v>
      </c>
      <c r="G1484" t="s">
        <v>5604</v>
      </c>
    </row>
    <row r="1485" spans="1:7" x14ac:dyDescent="0.25">
      <c r="A1485">
        <v>5841</v>
      </c>
      <c r="F1485" t="s">
        <v>53</v>
      </c>
      <c r="G1485" t="s">
        <v>5604</v>
      </c>
    </row>
    <row r="1486" spans="1:7" x14ac:dyDescent="0.25">
      <c r="A1486">
        <v>5841</v>
      </c>
      <c r="F1486" t="s">
        <v>55</v>
      </c>
      <c r="G1486" t="s">
        <v>5604</v>
      </c>
    </row>
    <row r="1487" spans="1:7" x14ac:dyDescent="0.25">
      <c r="A1487">
        <v>5841</v>
      </c>
      <c r="F1487" t="s">
        <v>5605</v>
      </c>
      <c r="G1487" t="s">
        <v>5604</v>
      </c>
    </row>
    <row r="1488" spans="1:7" x14ac:dyDescent="0.25">
      <c r="A1488">
        <v>5842</v>
      </c>
      <c r="F1488" t="s">
        <v>5603</v>
      </c>
      <c r="G1488" t="s">
        <v>5604</v>
      </c>
    </row>
    <row r="1489" spans="1:7" x14ac:dyDescent="0.25">
      <c r="A1489">
        <v>5842</v>
      </c>
      <c r="F1489" t="s">
        <v>53</v>
      </c>
      <c r="G1489" t="s">
        <v>5604</v>
      </c>
    </row>
    <row r="1490" spans="1:7" x14ac:dyDescent="0.25">
      <c r="A1490">
        <v>5842</v>
      </c>
      <c r="F1490" t="s">
        <v>55</v>
      </c>
      <c r="G1490" t="s">
        <v>5604</v>
      </c>
    </row>
    <row r="1491" spans="1:7" x14ac:dyDescent="0.25">
      <c r="A1491">
        <v>5842</v>
      </c>
      <c r="F1491" t="s">
        <v>5605</v>
      </c>
      <c r="G1491" t="s">
        <v>5604</v>
      </c>
    </row>
    <row r="1492" spans="1:7" x14ac:dyDescent="0.25">
      <c r="A1492">
        <v>5843</v>
      </c>
      <c r="F1492" t="s">
        <v>5603</v>
      </c>
      <c r="G1492" t="s">
        <v>5604</v>
      </c>
    </row>
    <row r="1493" spans="1:7" x14ac:dyDescent="0.25">
      <c r="A1493">
        <v>5843</v>
      </c>
      <c r="F1493" t="s">
        <v>53</v>
      </c>
      <c r="G1493" t="s">
        <v>5604</v>
      </c>
    </row>
    <row r="1494" spans="1:7" x14ac:dyDescent="0.25">
      <c r="A1494">
        <v>5843</v>
      </c>
      <c r="F1494" t="s">
        <v>55</v>
      </c>
      <c r="G1494" t="s">
        <v>5604</v>
      </c>
    </row>
    <row r="1495" spans="1:7" x14ac:dyDescent="0.25">
      <c r="A1495">
        <v>5843</v>
      </c>
      <c r="F1495" t="s">
        <v>5605</v>
      </c>
      <c r="G1495" t="s">
        <v>5604</v>
      </c>
    </row>
    <row r="1496" spans="1:7" x14ac:dyDescent="0.25">
      <c r="A1496">
        <v>5844</v>
      </c>
      <c r="F1496" t="s">
        <v>5603</v>
      </c>
      <c r="G1496" t="s">
        <v>5604</v>
      </c>
    </row>
    <row r="1497" spans="1:7" x14ac:dyDescent="0.25">
      <c r="A1497">
        <v>5844</v>
      </c>
      <c r="F1497" t="s">
        <v>53</v>
      </c>
      <c r="G1497" t="s">
        <v>5604</v>
      </c>
    </row>
    <row r="1498" spans="1:7" x14ac:dyDescent="0.25">
      <c r="A1498">
        <v>5844</v>
      </c>
      <c r="F1498" t="s">
        <v>55</v>
      </c>
      <c r="G1498" t="s">
        <v>5604</v>
      </c>
    </row>
    <row r="1499" spans="1:7" x14ac:dyDescent="0.25">
      <c r="A1499">
        <v>5844</v>
      </c>
      <c r="F1499" t="s">
        <v>5605</v>
      </c>
      <c r="G1499" t="s">
        <v>5604</v>
      </c>
    </row>
    <row r="1500" spans="1:7" x14ac:dyDescent="0.25">
      <c r="A1500">
        <v>5845</v>
      </c>
      <c r="F1500" t="s">
        <v>5603</v>
      </c>
      <c r="G1500" t="s">
        <v>5604</v>
      </c>
    </row>
    <row r="1501" spans="1:7" x14ac:dyDescent="0.25">
      <c r="A1501">
        <v>5845</v>
      </c>
      <c r="F1501" t="s">
        <v>53</v>
      </c>
      <c r="G1501" t="s">
        <v>5604</v>
      </c>
    </row>
    <row r="1502" spans="1:7" x14ac:dyDescent="0.25">
      <c r="A1502">
        <v>5845</v>
      </c>
      <c r="F1502" t="s">
        <v>55</v>
      </c>
      <c r="G1502" t="s">
        <v>5604</v>
      </c>
    </row>
    <row r="1503" spans="1:7" x14ac:dyDescent="0.25">
      <c r="A1503">
        <v>5845</v>
      </c>
      <c r="F1503" t="s">
        <v>5605</v>
      </c>
      <c r="G1503" t="s">
        <v>5604</v>
      </c>
    </row>
    <row r="1504" spans="1:7" x14ac:dyDescent="0.25">
      <c r="A1504">
        <v>5846</v>
      </c>
      <c r="F1504" t="s">
        <v>5603</v>
      </c>
      <c r="G1504" t="s">
        <v>5604</v>
      </c>
    </row>
    <row r="1505" spans="1:7" x14ac:dyDescent="0.25">
      <c r="A1505">
        <v>5846</v>
      </c>
      <c r="F1505" t="s">
        <v>53</v>
      </c>
      <c r="G1505" t="s">
        <v>5604</v>
      </c>
    </row>
    <row r="1506" spans="1:7" x14ac:dyDescent="0.25">
      <c r="A1506">
        <v>5846</v>
      </c>
      <c r="F1506" t="s">
        <v>55</v>
      </c>
      <c r="G1506" t="s">
        <v>5604</v>
      </c>
    </row>
    <row r="1507" spans="1:7" x14ac:dyDescent="0.25">
      <c r="A1507">
        <v>5846</v>
      </c>
      <c r="F1507" t="s">
        <v>5605</v>
      </c>
      <c r="G1507" t="s">
        <v>5604</v>
      </c>
    </row>
    <row r="1508" spans="1:7" x14ac:dyDescent="0.25">
      <c r="A1508">
        <v>5847</v>
      </c>
      <c r="F1508" t="s">
        <v>5603</v>
      </c>
      <c r="G1508" t="s">
        <v>5604</v>
      </c>
    </row>
    <row r="1509" spans="1:7" x14ac:dyDescent="0.25">
      <c r="A1509">
        <v>5847</v>
      </c>
      <c r="F1509" t="s">
        <v>53</v>
      </c>
      <c r="G1509" t="s">
        <v>5604</v>
      </c>
    </row>
    <row r="1510" spans="1:7" x14ac:dyDescent="0.25">
      <c r="A1510">
        <v>5847</v>
      </c>
      <c r="F1510" t="s">
        <v>55</v>
      </c>
      <c r="G1510" t="s">
        <v>5604</v>
      </c>
    </row>
    <row r="1511" spans="1:7" x14ac:dyDescent="0.25">
      <c r="A1511">
        <v>5847</v>
      </c>
      <c r="F1511" t="s">
        <v>5605</v>
      </c>
      <c r="G1511" t="s">
        <v>5604</v>
      </c>
    </row>
    <row r="1512" spans="1:7" x14ac:dyDescent="0.25">
      <c r="A1512">
        <v>5848</v>
      </c>
      <c r="F1512" t="s">
        <v>5603</v>
      </c>
      <c r="G1512" t="s">
        <v>5604</v>
      </c>
    </row>
    <row r="1513" spans="1:7" x14ac:dyDescent="0.25">
      <c r="A1513">
        <v>5848</v>
      </c>
      <c r="F1513" t="s">
        <v>53</v>
      </c>
      <c r="G1513" t="s">
        <v>5604</v>
      </c>
    </row>
    <row r="1514" spans="1:7" x14ac:dyDescent="0.25">
      <c r="A1514">
        <v>5848</v>
      </c>
      <c r="F1514" t="s">
        <v>55</v>
      </c>
      <c r="G1514" t="s">
        <v>5604</v>
      </c>
    </row>
    <row r="1515" spans="1:7" x14ac:dyDescent="0.25">
      <c r="A1515">
        <v>5848</v>
      </c>
      <c r="F1515" t="s">
        <v>5605</v>
      </c>
      <c r="G1515" t="s">
        <v>5604</v>
      </c>
    </row>
    <row r="1516" spans="1:7" x14ac:dyDescent="0.25">
      <c r="A1516">
        <v>5849</v>
      </c>
      <c r="F1516" t="s">
        <v>5603</v>
      </c>
      <c r="G1516" t="s">
        <v>5604</v>
      </c>
    </row>
    <row r="1517" spans="1:7" x14ac:dyDescent="0.25">
      <c r="A1517">
        <v>5849</v>
      </c>
      <c r="F1517" t="s">
        <v>53</v>
      </c>
      <c r="G1517" t="s">
        <v>5604</v>
      </c>
    </row>
    <row r="1518" spans="1:7" x14ac:dyDescent="0.25">
      <c r="A1518">
        <v>5849</v>
      </c>
      <c r="F1518" t="s">
        <v>55</v>
      </c>
      <c r="G1518" t="s">
        <v>5604</v>
      </c>
    </row>
    <row r="1519" spans="1:7" x14ac:dyDescent="0.25">
      <c r="A1519">
        <v>5849</v>
      </c>
      <c r="F1519" t="s">
        <v>5605</v>
      </c>
      <c r="G1519" t="s">
        <v>5604</v>
      </c>
    </row>
    <row r="1520" spans="1:7" x14ac:dyDescent="0.25">
      <c r="A1520">
        <v>5850</v>
      </c>
      <c r="F1520" t="s">
        <v>5603</v>
      </c>
      <c r="G1520" t="s">
        <v>5604</v>
      </c>
    </row>
    <row r="1521" spans="1:7" x14ac:dyDescent="0.25">
      <c r="A1521">
        <v>5850</v>
      </c>
      <c r="F1521" t="s">
        <v>53</v>
      </c>
      <c r="G1521" t="s">
        <v>5604</v>
      </c>
    </row>
    <row r="1522" spans="1:7" x14ac:dyDescent="0.25">
      <c r="A1522">
        <v>5850</v>
      </c>
      <c r="F1522" t="s">
        <v>55</v>
      </c>
      <c r="G1522" t="s">
        <v>5604</v>
      </c>
    </row>
    <row r="1523" spans="1:7" x14ac:dyDescent="0.25">
      <c r="A1523">
        <v>5850</v>
      </c>
      <c r="F1523" t="s">
        <v>5605</v>
      </c>
      <c r="G1523" t="s">
        <v>5604</v>
      </c>
    </row>
    <row r="1524" spans="1:7" x14ac:dyDescent="0.25">
      <c r="A1524">
        <v>5851</v>
      </c>
      <c r="F1524" t="s">
        <v>5603</v>
      </c>
      <c r="G1524" t="s">
        <v>5604</v>
      </c>
    </row>
    <row r="1525" spans="1:7" x14ac:dyDescent="0.25">
      <c r="A1525">
        <v>5851</v>
      </c>
      <c r="F1525" t="s">
        <v>53</v>
      </c>
      <c r="G1525" t="s">
        <v>5604</v>
      </c>
    </row>
    <row r="1526" spans="1:7" x14ac:dyDescent="0.25">
      <c r="A1526">
        <v>5851</v>
      </c>
      <c r="F1526" t="s">
        <v>55</v>
      </c>
      <c r="G1526" t="s">
        <v>5604</v>
      </c>
    </row>
    <row r="1527" spans="1:7" x14ac:dyDescent="0.25">
      <c r="A1527">
        <v>5851</v>
      </c>
      <c r="F1527" t="s">
        <v>5605</v>
      </c>
      <c r="G1527" t="s">
        <v>5604</v>
      </c>
    </row>
    <row r="1528" spans="1:7" x14ac:dyDescent="0.25">
      <c r="A1528">
        <v>5852</v>
      </c>
      <c r="F1528" t="s">
        <v>5603</v>
      </c>
      <c r="G1528" t="s">
        <v>5604</v>
      </c>
    </row>
    <row r="1529" spans="1:7" x14ac:dyDescent="0.25">
      <c r="A1529">
        <v>5852</v>
      </c>
      <c r="F1529" t="s">
        <v>53</v>
      </c>
      <c r="G1529" t="s">
        <v>5604</v>
      </c>
    </row>
    <row r="1530" spans="1:7" x14ac:dyDescent="0.25">
      <c r="A1530">
        <v>5852</v>
      </c>
      <c r="F1530" t="s">
        <v>55</v>
      </c>
      <c r="G1530" t="s">
        <v>5604</v>
      </c>
    </row>
    <row r="1531" spans="1:7" x14ac:dyDescent="0.25">
      <c r="A1531">
        <v>5852</v>
      </c>
      <c r="F1531" t="s">
        <v>5605</v>
      </c>
      <c r="G1531" t="s">
        <v>5604</v>
      </c>
    </row>
    <row r="1532" spans="1:7" x14ac:dyDescent="0.25">
      <c r="A1532">
        <v>5853</v>
      </c>
      <c r="F1532" t="s">
        <v>5603</v>
      </c>
      <c r="G1532" t="s">
        <v>5604</v>
      </c>
    </row>
    <row r="1533" spans="1:7" x14ac:dyDescent="0.25">
      <c r="A1533">
        <v>5853</v>
      </c>
      <c r="F1533" t="s">
        <v>53</v>
      </c>
      <c r="G1533" t="s">
        <v>5604</v>
      </c>
    </row>
    <row r="1534" spans="1:7" x14ac:dyDescent="0.25">
      <c r="A1534">
        <v>5853</v>
      </c>
      <c r="F1534" t="s">
        <v>55</v>
      </c>
      <c r="G1534" t="s">
        <v>5604</v>
      </c>
    </row>
    <row r="1535" spans="1:7" x14ac:dyDescent="0.25">
      <c r="A1535">
        <v>5853</v>
      </c>
      <c r="F1535" t="s">
        <v>5605</v>
      </c>
      <c r="G1535" t="s">
        <v>5604</v>
      </c>
    </row>
    <row r="1536" spans="1:7" x14ac:dyDescent="0.25">
      <c r="A1536">
        <v>5854</v>
      </c>
      <c r="F1536" t="s">
        <v>5603</v>
      </c>
      <c r="G1536" t="s">
        <v>5604</v>
      </c>
    </row>
    <row r="1537" spans="1:7" x14ac:dyDescent="0.25">
      <c r="A1537">
        <v>5854</v>
      </c>
      <c r="F1537" t="s">
        <v>53</v>
      </c>
      <c r="G1537" t="s">
        <v>5604</v>
      </c>
    </row>
    <row r="1538" spans="1:7" x14ac:dyDescent="0.25">
      <c r="A1538">
        <v>5854</v>
      </c>
      <c r="F1538" t="s">
        <v>55</v>
      </c>
      <c r="G1538" t="s">
        <v>5604</v>
      </c>
    </row>
    <row r="1539" spans="1:7" x14ac:dyDescent="0.25">
      <c r="A1539">
        <v>5854</v>
      </c>
      <c r="F1539" t="s">
        <v>5605</v>
      </c>
      <c r="G1539" t="s">
        <v>5604</v>
      </c>
    </row>
    <row r="1540" spans="1:7" x14ac:dyDescent="0.25">
      <c r="A1540">
        <v>5855</v>
      </c>
      <c r="F1540" t="s">
        <v>5603</v>
      </c>
      <c r="G1540" t="s">
        <v>5604</v>
      </c>
    </row>
    <row r="1541" spans="1:7" x14ac:dyDescent="0.25">
      <c r="A1541">
        <v>5855</v>
      </c>
      <c r="F1541" t="s">
        <v>53</v>
      </c>
      <c r="G1541" t="s">
        <v>5604</v>
      </c>
    </row>
    <row r="1542" spans="1:7" x14ac:dyDescent="0.25">
      <c r="A1542">
        <v>5855</v>
      </c>
      <c r="F1542" t="s">
        <v>55</v>
      </c>
      <c r="G1542" t="s">
        <v>5604</v>
      </c>
    </row>
    <row r="1543" spans="1:7" x14ac:dyDescent="0.25">
      <c r="A1543">
        <v>5855</v>
      </c>
      <c r="F1543" t="s">
        <v>5605</v>
      </c>
      <c r="G1543" t="s">
        <v>5604</v>
      </c>
    </row>
    <row r="1544" spans="1:7" x14ac:dyDescent="0.25">
      <c r="A1544">
        <v>5856</v>
      </c>
      <c r="F1544" t="s">
        <v>5603</v>
      </c>
      <c r="G1544" t="s">
        <v>5604</v>
      </c>
    </row>
    <row r="1545" spans="1:7" x14ac:dyDescent="0.25">
      <c r="A1545">
        <v>5856</v>
      </c>
      <c r="F1545" t="s">
        <v>53</v>
      </c>
      <c r="G1545" t="s">
        <v>5604</v>
      </c>
    </row>
    <row r="1546" spans="1:7" x14ac:dyDescent="0.25">
      <c r="A1546">
        <v>5856</v>
      </c>
      <c r="F1546" t="s">
        <v>55</v>
      </c>
      <c r="G1546" t="s">
        <v>5604</v>
      </c>
    </row>
    <row r="1547" spans="1:7" x14ac:dyDescent="0.25">
      <c r="A1547">
        <v>5856</v>
      </c>
      <c r="F1547" t="s">
        <v>5605</v>
      </c>
      <c r="G1547" t="s">
        <v>5604</v>
      </c>
    </row>
    <row r="1548" spans="1:7" x14ac:dyDescent="0.25">
      <c r="A1548">
        <v>5857</v>
      </c>
      <c r="F1548" t="s">
        <v>5603</v>
      </c>
      <c r="G1548" t="s">
        <v>5604</v>
      </c>
    </row>
    <row r="1549" spans="1:7" x14ac:dyDescent="0.25">
      <c r="A1549">
        <v>5857</v>
      </c>
      <c r="F1549" t="s">
        <v>53</v>
      </c>
      <c r="G1549" t="s">
        <v>5604</v>
      </c>
    </row>
    <row r="1550" spans="1:7" x14ac:dyDescent="0.25">
      <c r="A1550">
        <v>5857</v>
      </c>
      <c r="F1550" t="s">
        <v>55</v>
      </c>
      <c r="G1550" t="s">
        <v>5604</v>
      </c>
    </row>
    <row r="1551" spans="1:7" x14ac:dyDescent="0.25">
      <c r="A1551">
        <v>5857</v>
      </c>
      <c r="F1551" t="s">
        <v>5605</v>
      </c>
      <c r="G1551" t="s">
        <v>5604</v>
      </c>
    </row>
    <row r="1552" spans="1:7" x14ac:dyDescent="0.25">
      <c r="A1552">
        <v>5858</v>
      </c>
      <c r="F1552" t="s">
        <v>5603</v>
      </c>
      <c r="G1552" t="s">
        <v>5604</v>
      </c>
    </row>
    <row r="1553" spans="1:7" x14ac:dyDescent="0.25">
      <c r="A1553">
        <v>5858</v>
      </c>
      <c r="F1553" t="s">
        <v>53</v>
      </c>
      <c r="G1553" t="s">
        <v>5604</v>
      </c>
    </row>
    <row r="1554" spans="1:7" x14ac:dyDescent="0.25">
      <c r="A1554">
        <v>5858</v>
      </c>
      <c r="F1554" t="s">
        <v>55</v>
      </c>
      <c r="G1554" t="s">
        <v>5604</v>
      </c>
    </row>
    <row r="1555" spans="1:7" x14ac:dyDescent="0.25">
      <c r="A1555">
        <v>5858</v>
      </c>
      <c r="F1555" t="s">
        <v>5605</v>
      </c>
      <c r="G1555" t="s">
        <v>5604</v>
      </c>
    </row>
    <row r="1556" spans="1:7" x14ac:dyDescent="0.25">
      <c r="A1556">
        <v>5859</v>
      </c>
      <c r="F1556" t="s">
        <v>5603</v>
      </c>
      <c r="G1556" t="s">
        <v>5604</v>
      </c>
    </row>
    <row r="1557" spans="1:7" x14ac:dyDescent="0.25">
      <c r="A1557">
        <v>5859</v>
      </c>
      <c r="F1557" t="s">
        <v>53</v>
      </c>
      <c r="G1557" t="s">
        <v>5604</v>
      </c>
    </row>
    <row r="1558" spans="1:7" x14ac:dyDescent="0.25">
      <c r="A1558">
        <v>5859</v>
      </c>
      <c r="F1558" t="s">
        <v>55</v>
      </c>
      <c r="G1558" t="s">
        <v>5604</v>
      </c>
    </row>
    <row r="1559" spans="1:7" x14ac:dyDescent="0.25">
      <c r="A1559">
        <v>5859</v>
      </c>
      <c r="F1559" t="s">
        <v>5605</v>
      </c>
      <c r="G1559" t="s">
        <v>5604</v>
      </c>
    </row>
    <row r="1560" spans="1:7" x14ac:dyDescent="0.25">
      <c r="A1560">
        <v>5860</v>
      </c>
      <c r="F1560" t="s">
        <v>5603</v>
      </c>
      <c r="G1560" t="s">
        <v>5604</v>
      </c>
    </row>
    <row r="1561" spans="1:7" x14ac:dyDescent="0.25">
      <c r="A1561">
        <v>5860</v>
      </c>
      <c r="F1561" t="s">
        <v>53</v>
      </c>
      <c r="G1561" t="s">
        <v>5604</v>
      </c>
    </row>
    <row r="1562" spans="1:7" x14ac:dyDescent="0.25">
      <c r="A1562">
        <v>5860</v>
      </c>
      <c r="F1562" t="s">
        <v>55</v>
      </c>
      <c r="G1562" t="s">
        <v>5604</v>
      </c>
    </row>
    <row r="1563" spans="1:7" x14ac:dyDescent="0.25">
      <c r="A1563">
        <v>5860</v>
      </c>
      <c r="F1563" t="s">
        <v>5605</v>
      </c>
      <c r="G1563" t="s">
        <v>5604</v>
      </c>
    </row>
    <row r="1564" spans="1:7" x14ac:dyDescent="0.25">
      <c r="A1564">
        <v>5861</v>
      </c>
      <c r="F1564" t="s">
        <v>5603</v>
      </c>
      <c r="G1564" t="s">
        <v>5604</v>
      </c>
    </row>
    <row r="1565" spans="1:7" x14ac:dyDescent="0.25">
      <c r="A1565">
        <v>5861</v>
      </c>
      <c r="F1565" t="s">
        <v>53</v>
      </c>
      <c r="G1565" t="s">
        <v>5604</v>
      </c>
    </row>
    <row r="1566" spans="1:7" x14ac:dyDescent="0.25">
      <c r="A1566">
        <v>5861</v>
      </c>
      <c r="F1566" t="s">
        <v>55</v>
      </c>
      <c r="G1566" t="s">
        <v>5604</v>
      </c>
    </row>
    <row r="1567" spans="1:7" x14ac:dyDescent="0.25">
      <c r="A1567">
        <v>5861</v>
      </c>
      <c r="F1567" t="s">
        <v>5605</v>
      </c>
      <c r="G1567" t="s">
        <v>5604</v>
      </c>
    </row>
    <row r="1568" spans="1:7" x14ac:dyDescent="0.25">
      <c r="A1568">
        <v>5862</v>
      </c>
      <c r="F1568" t="s">
        <v>5603</v>
      </c>
      <c r="G1568" t="s">
        <v>5604</v>
      </c>
    </row>
    <row r="1569" spans="1:7" x14ac:dyDescent="0.25">
      <c r="A1569">
        <v>5862</v>
      </c>
      <c r="F1569" t="s">
        <v>53</v>
      </c>
      <c r="G1569" t="s">
        <v>5604</v>
      </c>
    </row>
    <row r="1570" spans="1:7" x14ac:dyDescent="0.25">
      <c r="A1570">
        <v>5862</v>
      </c>
      <c r="F1570" t="s">
        <v>55</v>
      </c>
      <c r="G1570" t="s">
        <v>5604</v>
      </c>
    </row>
    <row r="1571" spans="1:7" x14ac:dyDescent="0.25">
      <c r="A1571">
        <v>5862</v>
      </c>
      <c r="F1571" t="s">
        <v>5605</v>
      </c>
      <c r="G1571" t="s">
        <v>5604</v>
      </c>
    </row>
    <row r="1572" spans="1:7" x14ac:dyDescent="0.25">
      <c r="A1572">
        <v>5863</v>
      </c>
      <c r="F1572" t="s">
        <v>5603</v>
      </c>
      <c r="G1572" t="s">
        <v>5604</v>
      </c>
    </row>
    <row r="1573" spans="1:7" x14ac:dyDescent="0.25">
      <c r="A1573">
        <v>5863</v>
      </c>
      <c r="F1573" t="s">
        <v>53</v>
      </c>
      <c r="G1573" t="s">
        <v>5604</v>
      </c>
    </row>
    <row r="1574" spans="1:7" x14ac:dyDescent="0.25">
      <c r="A1574">
        <v>5863</v>
      </c>
      <c r="F1574" t="s">
        <v>55</v>
      </c>
      <c r="G1574" t="s">
        <v>5604</v>
      </c>
    </row>
    <row r="1575" spans="1:7" x14ac:dyDescent="0.25">
      <c r="A1575">
        <v>5863</v>
      </c>
      <c r="F1575" t="s">
        <v>5605</v>
      </c>
      <c r="G1575" t="s">
        <v>5604</v>
      </c>
    </row>
    <row r="1576" spans="1:7" x14ac:dyDescent="0.25">
      <c r="A1576">
        <v>5864</v>
      </c>
      <c r="F1576" t="s">
        <v>5603</v>
      </c>
      <c r="G1576" t="s">
        <v>5604</v>
      </c>
    </row>
    <row r="1577" spans="1:7" x14ac:dyDescent="0.25">
      <c r="A1577">
        <v>5864</v>
      </c>
      <c r="F1577" t="s">
        <v>53</v>
      </c>
      <c r="G1577" t="s">
        <v>5604</v>
      </c>
    </row>
    <row r="1578" spans="1:7" x14ac:dyDescent="0.25">
      <c r="A1578">
        <v>5864</v>
      </c>
      <c r="F1578" t="s">
        <v>55</v>
      </c>
      <c r="G1578" t="s">
        <v>5604</v>
      </c>
    </row>
    <row r="1579" spans="1:7" x14ac:dyDescent="0.25">
      <c r="A1579">
        <v>5864</v>
      </c>
      <c r="F1579" t="s">
        <v>5605</v>
      </c>
      <c r="G1579" t="s">
        <v>5604</v>
      </c>
    </row>
    <row r="1580" spans="1:7" x14ac:dyDescent="0.25">
      <c r="A1580">
        <v>5865</v>
      </c>
      <c r="F1580" t="s">
        <v>5603</v>
      </c>
      <c r="G1580" t="s">
        <v>5604</v>
      </c>
    </row>
    <row r="1581" spans="1:7" x14ac:dyDescent="0.25">
      <c r="A1581">
        <v>5865</v>
      </c>
      <c r="F1581" t="s">
        <v>53</v>
      </c>
      <c r="G1581" t="s">
        <v>5604</v>
      </c>
    </row>
    <row r="1582" spans="1:7" x14ac:dyDescent="0.25">
      <c r="A1582">
        <v>5865</v>
      </c>
      <c r="F1582" t="s">
        <v>55</v>
      </c>
      <c r="G1582" t="s">
        <v>5604</v>
      </c>
    </row>
    <row r="1583" spans="1:7" x14ac:dyDescent="0.25">
      <c r="A1583">
        <v>5865</v>
      </c>
      <c r="F1583" t="s">
        <v>5605</v>
      </c>
      <c r="G1583" t="s">
        <v>5604</v>
      </c>
    </row>
    <row r="1584" spans="1:7" x14ac:dyDescent="0.25">
      <c r="A1584">
        <v>5866</v>
      </c>
      <c r="F1584" t="s">
        <v>5603</v>
      </c>
      <c r="G1584" t="s">
        <v>5604</v>
      </c>
    </row>
    <row r="1585" spans="1:7" x14ac:dyDescent="0.25">
      <c r="A1585">
        <v>5866</v>
      </c>
      <c r="F1585" t="s">
        <v>53</v>
      </c>
      <c r="G1585" t="s">
        <v>5604</v>
      </c>
    </row>
    <row r="1586" spans="1:7" x14ac:dyDescent="0.25">
      <c r="A1586">
        <v>5866</v>
      </c>
      <c r="F1586" t="s">
        <v>55</v>
      </c>
      <c r="G1586" t="s">
        <v>5604</v>
      </c>
    </row>
    <row r="1587" spans="1:7" x14ac:dyDescent="0.25">
      <c r="A1587">
        <v>5866</v>
      </c>
      <c r="F1587" t="s">
        <v>5605</v>
      </c>
      <c r="G1587" t="s">
        <v>5604</v>
      </c>
    </row>
    <row r="1588" spans="1:7" x14ac:dyDescent="0.25">
      <c r="A1588">
        <v>5867</v>
      </c>
      <c r="F1588" t="s">
        <v>5603</v>
      </c>
      <c r="G1588" t="s">
        <v>5604</v>
      </c>
    </row>
    <row r="1589" spans="1:7" x14ac:dyDescent="0.25">
      <c r="A1589">
        <v>5867</v>
      </c>
      <c r="F1589" t="s">
        <v>53</v>
      </c>
      <c r="G1589" t="s">
        <v>5604</v>
      </c>
    </row>
    <row r="1590" spans="1:7" x14ac:dyDescent="0.25">
      <c r="A1590">
        <v>5867</v>
      </c>
      <c r="F1590" t="s">
        <v>55</v>
      </c>
      <c r="G1590" t="s">
        <v>5604</v>
      </c>
    </row>
    <row r="1591" spans="1:7" x14ac:dyDescent="0.25">
      <c r="A1591">
        <v>5867</v>
      </c>
      <c r="F1591" t="s">
        <v>5605</v>
      </c>
      <c r="G1591" t="s">
        <v>5604</v>
      </c>
    </row>
    <row r="1592" spans="1:7" x14ac:dyDescent="0.25">
      <c r="A1592">
        <v>5868</v>
      </c>
      <c r="F1592" t="s">
        <v>5603</v>
      </c>
      <c r="G1592" t="s">
        <v>5604</v>
      </c>
    </row>
    <row r="1593" spans="1:7" x14ac:dyDescent="0.25">
      <c r="A1593">
        <v>5868</v>
      </c>
      <c r="F1593" t="s">
        <v>53</v>
      </c>
      <c r="G1593" t="s">
        <v>5604</v>
      </c>
    </row>
    <row r="1594" spans="1:7" x14ac:dyDescent="0.25">
      <c r="A1594">
        <v>5868</v>
      </c>
      <c r="F1594" t="s">
        <v>55</v>
      </c>
      <c r="G1594" t="s">
        <v>5604</v>
      </c>
    </row>
    <row r="1595" spans="1:7" x14ac:dyDescent="0.25">
      <c r="A1595">
        <v>5868</v>
      </c>
      <c r="F1595" t="s">
        <v>5605</v>
      </c>
      <c r="G1595" t="s">
        <v>5604</v>
      </c>
    </row>
    <row r="1596" spans="1:7" x14ac:dyDescent="0.25">
      <c r="A1596">
        <v>5869</v>
      </c>
      <c r="F1596" t="s">
        <v>5603</v>
      </c>
      <c r="G1596" t="s">
        <v>5604</v>
      </c>
    </row>
    <row r="1597" spans="1:7" x14ac:dyDescent="0.25">
      <c r="A1597">
        <v>5869</v>
      </c>
      <c r="F1597" t="s">
        <v>53</v>
      </c>
      <c r="G1597" t="s">
        <v>5604</v>
      </c>
    </row>
    <row r="1598" spans="1:7" x14ac:dyDescent="0.25">
      <c r="A1598">
        <v>5869</v>
      </c>
      <c r="F1598" t="s">
        <v>55</v>
      </c>
      <c r="G1598" t="s">
        <v>5604</v>
      </c>
    </row>
    <row r="1599" spans="1:7" x14ac:dyDescent="0.25">
      <c r="A1599">
        <v>5869</v>
      </c>
      <c r="F1599" t="s">
        <v>5605</v>
      </c>
      <c r="G1599" t="s">
        <v>5604</v>
      </c>
    </row>
    <row r="1600" spans="1:7" x14ac:dyDescent="0.25">
      <c r="A1600">
        <v>5870</v>
      </c>
      <c r="F1600" t="s">
        <v>5603</v>
      </c>
      <c r="G1600" t="s">
        <v>5604</v>
      </c>
    </row>
    <row r="1601" spans="1:7" x14ac:dyDescent="0.25">
      <c r="A1601">
        <v>5870</v>
      </c>
      <c r="F1601" t="s">
        <v>53</v>
      </c>
      <c r="G1601" t="s">
        <v>5604</v>
      </c>
    </row>
    <row r="1602" spans="1:7" x14ac:dyDescent="0.25">
      <c r="A1602">
        <v>5870</v>
      </c>
      <c r="F1602" t="s">
        <v>55</v>
      </c>
      <c r="G1602" t="s">
        <v>5604</v>
      </c>
    </row>
    <row r="1603" spans="1:7" x14ac:dyDescent="0.25">
      <c r="A1603">
        <v>5870</v>
      </c>
      <c r="F1603" t="s">
        <v>5605</v>
      </c>
      <c r="G1603" t="s">
        <v>5604</v>
      </c>
    </row>
    <row r="1604" spans="1:7" x14ac:dyDescent="0.25">
      <c r="A1604">
        <v>5871</v>
      </c>
      <c r="F1604" t="s">
        <v>5603</v>
      </c>
      <c r="G1604" t="s">
        <v>5604</v>
      </c>
    </row>
    <row r="1605" spans="1:7" x14ac:dyDescent="0.25">
      <c r="A1605">
        <v>5871</v>
      </c>
      <c r="F1605" t="s">
        <v>53</v>
      </c>
      <c r="G1605" t="s">
        <v>5604</v>
      </c>
    </row>
    <row r="1606" spans="1:7" x14ac:dyDescent="0.25">
      <c r="A1606">
        <v>5871</v>
      </c>
      <c r="F1606" t="s">
        <v>55</v>
      </c>
      <c r="G1606" t="s">
        <v>5604</v>
      </c>
    </row>
    <row r="1607" spans="1:7" x14ac:dyDescent="0.25">
      <c r="A1607">
        <v>5871</v>
      </c>
      <c r="F1607" t="s">
        <v>5605</v>
      </c>
      <c r="G1607" t="s">
        <v>5604</v>
      </c>
    </row>
    <row r="1608" spans="1:7" x14ac:dyDescent="0.25">
      <c r="A1608">
        <v>5872</v>
      </c>
      <c r="F1608" t="s">
        <v>5603</v>
      </c>
      <c r="G1608" t="s">
        <v>5604</v>
      </c>
    </row>
    <row r="1609" spans="1:7" x14ac:dyDescent="0.25">
      <c r="A1609">
        <v>5872</v>
      </c>
      <c r="F1609" t="s">
        <v>53</v>
      </c>
      <c r="G1609" t="s">
        <v>5604</v>
      </c>
    </row>
    <row r="1610" spans="1:7" x14ac:dyDescent="0.25">
      <c r="A1610">
        <v>5872</v>
      </c>
      <c r="F1610" t="s">
        <v>55</v>
      </c>
      <c r="G1610" t="s">
        <v>5604</v>
      </c>
    </row>
    <row r="1611" spans="1:7" x14ac:dyDescent="0.25">
      <c r="A1611">
        <v>5872</v>
      </c>
      <c r="F1611" t="s">
        <v>5605</v>
      </c>
      <c r="G1611" t="s">
        <v>5604</v>
      </c>
    </row>
    <row r="1612" spans="1:7" x14ac:dyDescent="0.25">
      <c r="A1612">
        <v>5873</v>
      </c>
      <c r="F1612" t="s">
        <v>5603</v>
      </c>
      <c r="G1612" t="s">
        <v>5604</v>
      </c>
    </row>
    <row r="1613" spans="1:7" x14ac:dyDescent="0.25">
      <c r="A1613">
        <v>5873</v>
      </c>
      <c r="F1613" t="s">
        <v>53</v>
      </c>
      <c r="G1613" t="s">
        <v>5604</v>
      </c>
    </row>
    <row r="1614" spans="1:7" x14ac:dyDescent="0.25">
      <c r="A1614">
        <v>5873</v>
      </c>
      <c r="F1614" t="s">
        <v>55</v>
      </c>
      <c r="G1614" t="s">
        <v>5604</v>
      </c>
    </row>
    <row r="1615" spans="1:7" x14ac:dyDescent="0.25">
      <c r="A1615">
        <v>5873</v>
      </c>
      <c r="F1615" t="s">
        <v>5605</v>
      </c>
      <c r="G1615" t="s">
        <v>5604</v>
      </c>
    </row>
    <row r="1616" spans="1:7" x14ac:dyDescent="0.25">
      <c r="A1616">
        <v>5874</v>
      </c>
      <c r="F1616" t="s">
        <v>5603</v>
      </c>
      <c r="G1616" t="s">
        <v>5604</v>
      </c>
    </row>
    <row r="1617" spans="1:7" x14ac:dyDescent="0.25">
      <c r="A1617">
        <v>5874</v>
      </c>
      <c r="F1617" t="s">
        <v>53</v>
      </c>
      <c r="G1617" t="s">
        <v>5604</v>
      </c>
    </row>
    <row r="1618" spans="1:7" x14ac:dyDescent="0.25">
      <c r="A1618">
        <v>5874</v>
      </c>
      <c r="F1618" t="s">
        <v>55</v>
      </c>
      <c r="G1618" t="s">
        <v>5604</v>
      </c>
    </row>
    <row r="1619" spans="1:7" x14ac:dyDescent="0.25">
      <c r="A1619">
        <v>5874</v>
      </c>
      <c r="F1619" t="s">
        <v>5605</v>
      </c>
      <c r="G1619" t="s">
        <v>5604</v>
      </c>
    </row>
    <row r="1620" spans="1:7" x14ac:dyDescent="0.25">
      <c r="A1620">
        <v>5875</v>
      </c>
      <c r="F1620" t="s">
        <v>5603</v>
      </c>
      <c r="G1620" t="s">
        <v>5604</v>
      </c>
    </row>
    <row r="1621" spans="1:7" x14ac:dyDescent="0.25">
      <c r="A1621">
        <v>5875</v>
      </c>
      <c r="F1621" t="s">
        <v>53</v>
      </c>
      <c r="G1621" t="s">
        <v>5604</v>
      </c>
    </row>
    <row r="1622" spans="1:7" x14ac:dyDescent="0.25">
      <c r="A1622">
        <v>5875</v>
      </c>
      <c r="F1622" t="s">
        <v>55</v>
      </c>
      <c r="G1622" t="s">
        <v>5604</v>
      </c>
    </row>
    <row r="1623" spans="1:7" x14ac:dyDescent="0.25">
      <c r="A1623">
        <v>5875</v>
      </c>
      <c r="F1623" t="s">
        <v>5605</v>
      </c>
      <c r="G1623" t="s">
        <v>5604</v>
      </c>
    </row>
    <row r="1624" spans="1:7" x14ac:dyDescent="0.25">
      <c r="A1624">
        <v>5876</v>
      </c>
      <c r="F1624" t="s">
        <v>5603</v>
      </c>
      <c r="G1624" t="s">
        <v>5604</v>
      </c>
    </row>
    <row r="1625" spans="1:7" x14ac:dyDescent="0.25">
      <c r="A1625">
        <v>5876</v>
      </c>
      <c r="F1625" t="s">
        <v>53</v>
      </c>
      <c r="G1625" t="s">
        <v>5604</v>
      </c>
    </row>
    <row r="1626" spans="1:7" x14ac:dyDescent="0.25">
      <c r="A1626">
        <v>5876</v>
      </c>
      <c r="F1626" t="s">
        <v>55</v>
      </c>
      <c r="G1626" t="s">
        <v>5604</v>
      </c>
    </row>
    <row r="1627" spans="1:7" x14ac:dyDescent="0.25">
      <c r="A1627">
        <v>5876</v>
      </c>
      <c r="F1627" t="s">
        <v>5605</v>
      </c>
      <c r="G1627" t="s">
        <v>5604</v>
      </c>
    </row>
    <row r="1628" spans="1:7" x14ac:dyDescent="0.25">
      <c r="A1628">
        <v>5877</v>
      </c>
      <c r="F1628" t="s">
        <v>5603</v>
      </c>
      <c r="G1628" t="s">
        <v>5604</v>
      </c>
    </row>
    <row r="1629" spans="1:7" x14ac:dyDescent="0.25">
      <c r="A1629">
        <v>5877</v>
      </c>
      <c r="F1629" t="s">
        <v>53</v>
      </c>
      <c r="G1629" t="s">
        <v>5604</v>
      </c>
    </row>
    <row r="1630" spans="1:7" x14ac:dyDescent="0.25">
      <c r="A1630">
        <v>5877</v>
      </c>
      <c r="F1630" t="s">
        <v>55</v>
      </c>
      <c r="G1630" t="s">
        <v>5604</v>
      </c>
    </row>
    <row r="1631" spans="1:7" x14ac:dyDescent="0.25">
      <c r="A1631">
        <v>5877</v>
      </c>
      <c r="F1631" t="s">
        <v>5605</v>
      </c>
      <c r="G1631" t="s">
        <v>5604</v>
      </c>
    </row>
    <row r="1632" spans="1:7" x14ac:dyDescent="0.25">
      <c r="A1632">
        <v>5878</v>
      </c>
      <c r="F1632" t="s">
        <v>5603</v>
      </c>
      <c r="G1632" t="s">
        <v>5604</v>
      </c>
    </row>
    <row r="1633" spans="1:7" x14ac:dyDescent="0.25">
      <c r="A1633">
        <v>5878</v>
      </c>
      <c r="F1633" t="s">
        <v>53</v>
      </c>
      <c r="G1633" t="s">
        <v>5604</v>
      </c>
    </row>
    <row r="1634" spans="1:7" x14ac:dyDescent="0.25">
      <c r="A1634">
        <v>5878</v>
      </c>
      <c r="F1634" t="s">
        <v>55</v>
      </c>
      <c r="G1634" t="s">
        <v>5604</v>
      </c>
    </row>
    <row r="1635" spans="1:7" x14ac:dyDescent="0.25">
      <c r="A1635">
        <v>5878</v>
      </c>
      <c r="F1635" t="s">
        <v>5605</v>
      </c>
      <c r="G1635" t="s">
        <v>5604</v>
      </c>
    </row>
    <row r="1636" spans="1:7" x14ac:dyDescent="0.25">
      <c r="A1636">
        <v>5879</v>
      </c>
      <c r="F1636" t="s">
        <v>5603</v>
      </c>
      <c r="G1636" t="s">
        <v>5604</v>
      </c>
    </row>
    <row r="1637" spans="1:7" x14ac:dyDescent="0.25">
      <c r="A1637">
        <v>5879</v>
      </c>
      <c r="F1637" t="s">
        <v>53</v>
      </c>
      <c r="G1637" t="s">
        <v>5604</v>
      </c>
    </row>
    <row r="1638" spans="1:7" x14ac:dyDescent="0.25">
      <c r="A1638">
        <v>5879</v>
      </c>
      <c r="F1638" t="s">
        <v>55</v>
      </c>
      <c r="G1638" t="s">
        <v>5604</v>
      </c>
    </row>
    <row r="1639" spans="1:7" x14ac:dyDescent="0.25">
      <c r="A1639">
        <v>5879</v>
      </c>
      <c r="F1639" t="s">
        <v>5605</v>
      </c>
      <c r="G1639" t="s">
        <v>5604</v>
      </c>
    </row>
    <row r="1640" spans="1:7" x14ac:dyDescent="0.25">
      <c r="A1640">
        <v>5880</v>
      </c>
      <c r="F1640" t="s">
        <v>5603</v>
      </c>
      <c r="G1640" t="s">
        <v>5604</v>
      </c>
    </row>
    <row r="1641" spans="1:7" x14ac:dyDescent="0.25">
      <c r="A1641">
        <v>5880</v>
      </c>
      <c r="F1641" t="s">
        <v>53</v>
      </c>
      <c r="G1641" t="s">
        <v>5604</v>
      </c>
    </row>
    <row r="1642" spans="1:7" x14ac:dyDescent="0.25">
      <c r="A1642">
        <v>5880</v>
      </c>
      <c r="F1642" t="s">
        <v>55</v>
      </c>
      <c r="G1642" t="s">
        <v>5604</v>
      </c>
    </row>
    <row r="1643" spans="1:7" x14ac:dyDescent="0.25">
      <c r="A1643">
        <v>5880</v>
      </c>
      <c r="F1643" t="s">
        <v>5605</v>
      </c>
      <c r="G1643" t="s">
        <v>5604</v>
      </c>
    </row>
    <row r="1644" spans="1:7" x14ac:dyDescent="0.25">
      <c r="A1644">
        <v>5881</v>
      </c>
      <c r="F1644" t="s">
        <v>5603</v>
      </c>
      <c r="G1644" t="s">
        <v>5604</v>
      </c>
    </row>
    <row r="1645" spans="1:7" x14ac:dyDescent="0.25">
      <c r="A1645">
        <v>5881</v>
      </c>
      <c r="F1645" t="s">
        <v>53</v>
      </c>
      <c r="G1645" t="s">
        <v>5604</v>
      </c>
    </row>
    <row r="1646" spans="1:7" x14ac:dyDescent="0.25">
      <c r="A1646">
        <v>5881</v>
      </c>
      <c r="F1646" t="s">
        <v>55</v>
      </c>
      <c r="G1646" t="s">
        <v>5604</v>
      </c>
    </row>
    <row r="1647" spans="1:7" x14ac:dyDescent="0.25">
      <c r="A1647">
        <v>5881</v>
      </c>
      <c r="F1647" t="s">
        <v>5605</v>
      </c>
      <c r="G1647" t="s">
        <v>5604</v>
      </c>
    </row>
    <row r="1648" spans="1:7" x14ac:dyDescent="0.25">
      <c r="A1648">
        <v>5882</v>
      </c>
      <c r="F1648" t="s">
        <v>5603</v>
      </c>
      <c r="G1648" t="s">
        <v>5604</v>
      </c>
    </row>
    <row r="1649" spans="1:7" x14ac:dyDescent="0.25">
      <c r="A1649">
        <v>5882</v>
      </c>
      <c r="F1649" t="s">
        <v>53</v>
      </c>
      <c r="G1649" t="s">
        <v>5604</v>
      </c>
    </row>
    <row r="1650" spans="1:7" x14ac:dyDescent="0.25">
      <c r="A1650">
        <v>5882</v>
      </c>
      <c r="F1650" t="s">
        <v>55</v>
      </c>
      <c r="G1650" t="s">
        <v>5604</v>
      </c>
    </row>
    <row r="1651" spans="1:7" x14ac:dyDescent="0.25">
      <c r="A1651">
        <v>5882</v>
      </c>
      <c r="F1651" t="s">
        <v>5605</v>
      </c>
      <c r="G1651" t="s">
        <v>5604</v>
      </c>
    </row>
    <row r="1652" spans="1:7" x14ac:dyDescent="0.25">
      <c r="A1652">
        <v>5883</v>
      </c>
      <c r="F1652" t="s">
        <v>5603</v>
      </c>
      <c r="G1652" t="s">
        <v>5604</v>
      </c>
    </row>
    <row r="1653" spans="1:7" x14ac:dyDescent="0.25">
      <c r="A1653">
        <v>5883</v>
      </c>
      <c r="F1653" t="s">
        <v>53</v>
      </c>
      <c r="G1653" t="s">
        <v>5604</v>
      </c>
    </row>
    <row r="1654" spans="1:7" x14ac:dyDescent="0.25">
      <c r="A1654">
        <v>5883</v>
      </c>
      <c r="F1654" t="s">
        <v>55</v>
      </c>
      <c r="G1654" t="s">
        <v>5604</v>
      </c>
    </row>
    <row r="1655" spans="1:7" x14ac:dyDescent="0.25">
      <c r="A1655">
        <v>5883</v>
      </c>
      <c r="F1655" t="s">
        <v>5605</v>
      </c>
      <c r="G1655" t="s">
        <v>5604</v>
      </c>
    </row>
    <row r="1656" spans="1:7" x14ac:dyDescent="0.25">
      <c r="A1656">
        <v>5884</v>
      </c>
      <c r="F1656" t="s">
        <v>5603</v>
      </c>
      <c r="G1656" t="s">
        <v>5604</v>
      </c>
    </row>
    <row r="1657" spans="1:7" x14ac:dyDescent="0.25">
      <c r="A1657">
        <v>5884</v>
      </c>
      <c r="F1657" t="s">
        <v>53</v>
      </c>
      <c r="G1657" t="s">
        <v>5604</v>
      </c>
    </row>
    <row r="1658" spans="1:7" x14ac:dyDescent="0.25">
      <c r="A1658">
        <v>5884</v>
      </c>
      <c r="F1658" t="s">
        <v>55</v>
      </c>
      <c r="G1658" t="s">
        <v>5604</v>
      </c>
    </row>
    <row r="1659" spans="1:7" x14ac:dyDescent="0.25">
      <c r="A1659">
        <v>5884</v>
      </c>
      <c r="F1659" t="s">
        <v>5605</v>
      </c>
      <c r="G1659" t="s">
        <v>5604</v>
      </c>
    </row>
    <row r="1660" spans="1:7" x14ac:dyDescent="0.25">
      <c r="A1660">
        <v>5885</v>
      </c>
      <c r="F1660" t="s">
        <v>5603</v>
      </c>
      <c r="G1660" t="s">
        <v>5604</v>
      </c>
    </row>
    <row r="1661" spans="1:7" x14ac:dyDescent="0.25">
      <c r="A1661">
        <v>5885</v>
      </c>
      <c r="F1661" t="s">
        <v>53</v>
      </c>
      <c r="G1661" t="s">
        <v>5604</v>
      </c>
    </row>
    <row r="1662" spans="1:7" x14ac:dyDescent="0.25">
      <c r="A1662">
        <v>5885</v>
      </c>
      <c r="F1662" t="s">
        <v>55</v>
      </c>
      <c r="G1662" t="s">
        <v>5604</v>
      </c>
    </row>
    <row r="1663" spans="1:7" x14ac:dyDescent="0.25">
      <c r="A1663">
        <v>5885</v>
      </c>
      <c r="F1663" t="s">
        <v>5605</v>
      </c>
      <c r="G1663" t="s">
        <v>5604</v>
      </c>
    </row>
    <row r="1664" spans="1:7" x14ac:dyDescent="0.25">
      <c r="A1664">
        <v>5886</v>
      </c>
      <c r="F1664" t="s">
        <v>5603</v>
      </c>
      <c r="G1664" t="s">
        <v>5604</v>
      </c>
    </row>
    <row r="1665" spans="1:7" x14ac:dyDescent="0.25">
      <c r="A1665">
        <v>5886</v>
      </c>
      <c r="F1665" t="s">
        <v>53</v>
      </c>
      <c r="G1665" t="s">
        <v>5604</v>
      </c>
    </row>
    <row r="1666" spans="1:7" x14ac:dyDescent="0.25">
      <c r="A1666">
        <v>5886</v>
      </c>
      <c r="F1666" t="s">
        <v>55</v>
      </c>
      <c r="G1666" t="s">
        <v>5604</v>
      </c>
    </row>
    <row r="1667" spans="1:7" x14ac:dyDescent="0.25">
      <c r="A1667">
        <v>5886</v>
      </c>
      <c r="F1667" t="s">
        <v>5605</v>
      </c>
      <c r="G1667" t="s">
        <v>5604</v>
      </c>
    </row>
    <row r="1668" spans="1:7" x14ac:dyDescent="0.25">
      <c r="A1668">
        <v>5887</v>
      </c>
      <c r="F1668" t="s">
        <v>5603</v>
      </c>
      <c r="G1668" t="s">
        <v>5604</v>
      </c>
    </row>
    <row r="1669" spans="1:7" x14ac:dyDescent="0.25">
      <c r="A1669">
        <v>5887</v>
      </c>
      <c r="F1669" t="s">
        <v>53</v>
      </c>
      <c r="G1669" t="s">
        <v>5604</v>
      </c>
    </row>
    <row r="1670" spans="1:7" x14ac:dyDescent="0.25">
      <c r="A1670">
        <v>5887</v>
      </c>
      <c r="F1670" t="s">
        <v>55</v>
      </c>
      <c r="G1670" t="s">
        <v>5604</v>
      </c>
    </row>
    <row r="1671" spans="1:7" x14ac:dyDescent="0.25">
      <c r="A1671">
        <v>5887</v>
      </c>
      <c r="F1671" t="s">
        <v>5605</v>
      </c>
      <c r="G1671" t="s">
        <v>5604</v>
      </c>
    </row>
    <row r="1672" spans="1:7" x14ac:dyDescent="0.25">
      <c r="A1672">
        <v>5888</v>
      </c>
      <c r="F1672" t="s">
        <v>5603</v>
      </c>
      <c r="G1672" t="s">
        <v>5604</v>
      </c>
    </row>
    <row r="1673" spans="1:7" x14ac:dyDescent="0.25">
      <c r="A1673">
        <v>5888</v>
      </c>
      <c r="F1673" t="s">
        <v>53</v>
      </c>
      <c r="G1673" t="s">
        <v>5604</v>
      </c>
    </row>
    <row r="1674" spans="1:7" x14ac:dyDescent="0.25">
      <c r="A1674">
        <v>5888</v>
      </c>
      <c r="F1674" t="s">
        <v>55</v>
      </c>
      <c r="G1674" t="s">
        <v>5604</v>
      </c>
    </row>
    <row r="1675" spans="1:7" x14ac:dyDescent="0.25">
      <c r="A1675">
        <v>5888</v>
      </c>
      <c r="F1675" t="s">
        <v>5605</v>
      </c>
      <c r="G1675" t="s">
        <v>5604</v>
      </c>
    </row>
    <row r="1676" spans="1:7" x14ac:dyDescent="0.25">
      <c r="A1676">
        <v>5889</v>
      </c>
      <c r="F1676" t="s">
        <v>5603</v>
      </c>
      <c r="G1676" t="s">
        <v>5604</v>
      </c>
    </row>
    <row r="1677" spans="1:7" x14ac:dyDescent="0.25">
      <c r="A1677">
        <v>5889</v>
      </c>
      <c r="F1677" t="s">
        <v>53</v>
      </c>
      <c r="G1677" t="s">
        <v>5604</v>
      </c>
    </row>
    <row r="1678" spans="1:7" x14ac:dyDescent="0.25">
      <c r="A1678">
        <v>5889</v>
      </c>
      <c r="F1678" t="s">
        <v>55</v>
      </c>
      <c r="G1678" t="s">
        <v>5604</v>
      </c>
    </row>
    <row r="1679" spans="1:7" x14ac:dyDescent="0.25">
      <c r="A1679">
        <v>5889</v>
      </c>
      <c r="F1679" t="s">
        <v>5605</v>
      </c>
      <c r="G1679" t="s">
        <v>5604</v>
      </c>
    </row>
    <row r="1680" spans="1:7" x14ac:dyDescent="0.25">
      <c r="A1680">
        <v>5890</v>
      </c>
      <c r="F1680" t="s">
        <v>5603</v>
      </c>
      <c r="G1680" t="s">
        <v>5604</v>
      </c>
    </row>
    <row r="1681" spans="1:7" x14ac:dyDescent="0.25">
      <c r="A1681">
        <v>5890</v>
      </c>
      <c r="F1681" t="s">
        <v>53</v>
      </c>
      <c r="G1681" t="s">
        <v>5604</v>
      </c>
    </row>
    <row r="1682" spans="1:7" x14ac:dyDescent="0.25">
      <c r="A1682">
        <v>5890</v>
      </c>
      <c r="F1682" t="s">
        <v>55</v>
      </c>
      <c r="G1682" t="s">
        <v>5604</v>
      </c>
    </row>
    <row r="1683" spans="1:7" x14ac:dyDescent="0.25">
      <c r="A1683">
        <v>5890</v>
      </c>
      <c r="F1683" t="s">
        <v>5605</v>
      </c>
      <c r="G1683" t="s">
        <v>5604</v>
      </c>
    </row>
    <row r="1684" spans="1:7" x14ac:dyDescent="0.25">
      <c r="A1684">
        <v>5891</v>
      </c>
      <c r="F1684" t="s">
        <v>5603</v>
      </c>
      <c r="G1684" t="s">
        <v>5604</v>
      </c>
    </row>
    <row r="1685" spans="1:7" x14ac:dyDescent="0.25">
      <c r="A1685">
        <v>5891</v>
      </c>
      <c r="F1685" t="s">
        <v>53</v>
      </c>
      <c r="G1685" t="s">
        <v>5604</v>
      </c>
    </row>
    <row r="1686" spans="1:7" x14ac:dyDescent="0.25">
      <c r="A1686">
        <v>5891</v>
      </c>
      <c r="F1686" t="s">
        <v>55</v>
      </c>
      <c r="G1686" t="s">
        <v>5604</v>
      </c>
    </row>
    <row r="1687" spans="1:7" x14ac:dyDescent="0.25">
      <c r="A1687">
        <v>5891</v>
      </c>
      <c r="F1687" t="s">
        <v>5605</v>
      </c>
      <c r="G1687" t="s">
        <v>5604</v>
      </c>
    </row>
    <row r="1688" spans="1:7" x14ac:dyDescent="0.25">
      <c r="A1688">
        <v>5892</v>
      </c>
      <c r="F1688" t="s">
        <v>5603</v>
      </c>
      <c r="G1688" t="s">
        <v>5604</v>
      </c>
    </row>
    <row r="1689" spans="1:7" x14ac:dyDescent="0.25">
      <c r="A1689">
        <v>5892</v>
      </c>
      <c r="F1689" t="s">
        <v>53</v>
      </c>
      <c r="G1689" t="s">
        <v>5604</v>
      </c>
    </row>
    <row r="1690" spans="1:7" x14ac:dyDescent="0.25">
      <c r="A1690">
        <v>5892</v>
      </c>
      <c r="F1690" t="s">
        <v>55</v>
      </c>
      <c r="G1690" t="s">
        <v>5604</v>
      </c>
    </row>
    <row r="1691" spans="1:7" x14ac:dyDescent="0.25">
      <c r="A1691">
        <v>5892</v>
      </c>
      <c r="F1691" t="s">
        <v>5605</v>
      </c>
      <c r="G1691" t="s">
        <v>5604</v>
      </c>
    </row>
    <row r="1692" spans="1:7" x14ac:dyDescent="0.25">
      <c r="A1692">
        <v>5893</v>
      </c>
      <c r="F1692" t="s">
        <v>5603</v>
      </c>
      <c r="G1692" t="s">
        <v>5604</v>
      </c>
    </row>
    <row r="1693" spans="1:7" x14ac:dyDescent="0.25">
      <c r="A1693">
        <v>5893</v>
      </c>
      <c r="F1693" t="s">
        <v>53</v>
      </c>
      <c r="G1693" t="s">
        <v>5604</v>
      </c>
    </row>
    <row r="1694" spans="1:7" x14ac:dyDescent="0.25">
      <c r="A1694">
        <v>5893</v>
      </c>
      <c r="F1694" t="s">
        <v>55</v>
      </c>
      <c r="G1694" t="s">
        <v>5604</v>
      </c>
    </row>
    <row r="1695" spans="1:7" x14ac:dyDescent="0.25">
      <c r="A1695">
        <v>5893</v>
      </c>
      <c r="F1695" t="s">
        <v>5605</v>
      </c>
      <c r="G1695" t="s">
        <v>5604</v>
      </c>
    </row>
    <row r="1696" spans="1:7" x14ac:dyDescent="0.25">
      <c r="A1696">
        <v>5894</v>
      </c>
      <c r="F1696" t="s">
        <v>5603</v>
      </c>
      <c r="G1696" t="s">
        <v>5604</v>
      </c>
    </row>
    <row r="1697" spans="1:7" x14ac:dyDescent="0.25">
      <c r="A1697">
        <v>5894</v>
      </c>
      <c r="F1697" t="s">
        <v>53</v>
      </c>
      <c r="G1697" t="s">
        <v>5604</v>
      </c>
    </row>
    <row r="1698" spans="1:7" x14ac:dyDescent="0.25">
      <c r="A1698">
        <v>5894</v>
      </c>
      <c r="F1698" t="s">
        <v>55</v>
      </c>
      <c r="G1698" t="s">
        <v>5604</v>
      </c>
    </row>
    <row r="1699" spans="1:7" x14ac:dyDescent="0.25">
      <c r="A1699">
        <v>5894</v>
      </c>
      <c r="F1699" t="s">
        <v>5605</v>
      </c>
      <c r="G1699" t="s">
        <v>5604</v>
      </c>
    </row>
    <row r="1700" spans="1:7" x14ac:dyDescent="0.25">
      <c r="A1700">
        <v>5895</v>
      </c>
      <c r="F1700" t="s">
        <v>5603</v>
      </c>
      <c r="G1700" t="s">
        <v>5604</v>
      </c>
    </row>
    <row r="1701" spans="1:7" x14ac:dyDescent="0.25">
      <c r="A1701">
        <v>5895</v>
      </c>
      <c r="F1701" t="s">
        <v>53</v>
      </c>
      <c r="G1701" t="s">
        <v>5604</v>
      </c>
    </row>
    <row r="1702" spans="1:7" x14ac:dyDescent="0.25">
      <c r="A1702">
        <v>5895</v>
      </c>
      <c r="F1702" t="s">
        <v>55</v>
      </c>
      <c r="G1702" t="s">
        <v>5604</v>
      </c>
    </row>
    <row r="1703" spans="1:7" x14ac:dyDescent="0.25">
      <c r="A1703">
        <v>5895</v>
      </c>
      <c r="F1703" t="s">
        <v>5605</v>
      </c>
      <c r="G1703" t="s">
        <v>5604</v>
      </c>
    </row>
    <row r="1704" spans="1:7" x14ac:dyDescent="0.25">
      <c r="A1704">
        <v>5896</v>
      </c>
      <c r="F1704" t="s">
        <v>5603</v>
      </c>
      <c r="G1704" t="s">
        <v>5604</v>
      </c>
    </row>
    <row r="1705" spans="1:7" x14ac:dyDescent="0.25">
      <c r="A1705">
        <v>5896</v>
      </c>
      <c r="F1705" t="s">
        <v>53</v>
      </c>
      <c r="G1705" t="s">
        <v>5604</v>
      </c>
    </row>
    <row r="1706" spans="1:7" x14ac:dyDescent="0.25">
      <c r="A1706">
        <v>5896</v>
      </c>
      <c r="F1706" t="s">
        <v>55</v>
      </c>
      <c r="G1706" t="s">
        <v>5604</v>
      </c>
    </row>
    <row r="1707" spans="1:7" x14ac:dyDescent="0.25">
      <c r="A1707">
        <v>5896</v>
      </c>
      <c r="F1707" t="s">
        <v>5605</v>
      </c>
      <c r="G1707" t="s">
        <v>5604</v>
      </c>
    </row>
    <row r="1708" spans="1:7" x14ac:dyDescent="0.25">
      <c r="A1708">
        <v>5897</v>
      </c>
      <c r="F1708" t="s">
        <v>5603</v>
      </c>
      <c r="G1708" t="s">
        <v>5604</v>
      </c>
    </row>
    <row r="1709" spans="1:7" x14ac:dyDescent="0.25">
      <c r="A1709">
        <v>5897</v>
      </c>
      <c r="F1709" t="s">
        <v>53</v>
      </c>
      <c r="G1709" t="s">
        <v>5604</v>
      </c>
    </row>
    <row r="1710" spans="1:7" x14ac:dyDescent="0.25">
      <c r="A1710">
        <v>5897</v>
      </c>
      <c r="F1710" t="s">
        <v>55</v>
      </c>
      <c r="G1710" t="s">
        <v>5604</v>
      </c>
    </row>
    <row r="1711" spans="1:7" x14ac:dyDescent="0.25">
      <c r="A1711">
        <v>5897</v>
      </c>
      <c r="F1711" t="s">
        <v>5605</v>
      </c>
      <c r="G1711" t="s">
        <v>5604</v>
      </c>
    </row>
    <row r="1712" spans="1:7" x14ac:dyDescent="0.25">
      <c r="A1712">
        <v>5898</v>
      </c>
      <c r="F1712" t="s">
        <v>5603</v>
      </c>
      <c r="G1712" t="s">
        <v>5604</v>
      </c>
    </row>
    <row r="1713" spans="1:7" x14ac:dyDescent="0.25">
      <c r="A1713">
        <v>5898</v>
      </c>
      <c r="F1713" t="s">
        <v>53</v>
      </c>
      <c r="G1713" t="s">
        <v>5604</v>
      </c>
    </row>
    <row r="1714" spans="1:7" x14ac:dyDescent="0.25">
      <c r="A1714">
        <v>5898</v>
      </c>
      <c r="F1714" t="s">
        <v>55</v>
      </c>
      <c r="G1714" t="s">
        <v>5604</v>
      </c>
    </row>
    <row r="1715" spans="1:7" x14ac:dyDescent="0.25">
      <c r="A1715">
        <v>5898</v>
      </c>
      <c r="F1715" t="s">
        <v>5605</v>
      </c>
      <c r="G1715" t="s">
        <v>5604</v>
      </c>
    </row>
    <row r="1716" spans="1:7" x14ac:dyDescent="0.25">
      <c r="A1716">
        <v>5899</v>
      </c>
      <c r="F1716" t="s">
        <v>5603</v>
      </c>
      <c r="G1716" t="s">
        <v>5604</v>
      </c>
    </row>
    <row r="1717" spans="1:7" x14ac:dyDescent="0.25">
      <c r="A1717">
        <v>5899</v>
      </c>
      <c r="F1717" t="s">
        <v>53</v>
      </c>
      <c r="G1717" t="s">
        <v>5604</v>
      </c>
    </row>
    <row r="1718" spans="1:7" x14ac:dyDescent="0.25">
      <c r="A1718">
        <v>5899</v>
      </c>
      <c r="F1718" t="s">
        <v>55</v>
      </c>
      <c r="G1718" t="s">
        <v>5604</v>
      </c>
    </row>
    <row r="1719" spans="1:7" x14ac:dyDescent="0.25">
      <c r="A1719">
        <v>5899</v>
      </c>
      <c r="F1719" t="s">
        <v>5605</v>
      </c>
      <c r="G1719" t="s">
        <v>5604</v>
      </c>
    </row>
    <row r="1720" spans="1:7" x14ac:dyDescent="0.25">
      <c r="A1720">
        <v>5900</v>
      </c>
      <c r="F1720" t="s">
        <v>5603</v>
      </c>
      <c r="G1720" t="s">
        <v>5604</v>
      </c>
    </row>
    <row r="1721" spans="1:7" x14ac:dyDescent="0.25">
      <c r="A1721">
        <v>5900</v>
      </c>
      <c r="F1721" t="s">
        <v>53</v>
      </c>
      <c r="G1721" t="s">
        <v>5604</v>
      </c>
    </row>
    <row r="1722" spans="1:7" x14ac:dyDescent="0.25">
      <c r="A1722">
        <v>5900</v>
      </c>
      <c r="F1722" t="s">
        <v>55</v>
      </c>
      <c r="G1722" t="s">
        <v>5604</v>
      </c>
    </row>
    <row r="1723" spans="1:7" x14ac:dyDescent="0.25">
      <c r="A1723">
        <v>5900</v>
      </c>
      <c r="F1723" t="s">
        <v>5605</v>
      </c>
      <c r="G1723" t="s">
        <v>5604</v>
      </c>
    </row>
    <row r="1724" spans="1:7" x14ac:dyDescent="0.25">
      <c r="A1724">
        <v>5901</v>
      </c>
      <c r="F1724" t="s">
        <v>5603</v>
      </c>
      <c r="G1724" t="s">
        <v>5604</v>
      </c>
    </row>
    <row r="1725" spans="1:7" x14ac:dyDescent="0.25">
      <c r="A1725">
        <v>5901</v>
      </c>
      <c r="F1725" t="s">
        <v>53</v>
      </c>
      <c r="G1725" t="s">
        <v>5604</v>
      </c>
    </row>
    <row r="1726" spans="1:7" x14ac:dyDescent="0.25">
      <c r="A1726">
        <v>5901</v>
      </c>
      <c r="F1726" t="s">
        <v>55</v>
      </c>
      <c r="G1726" t="s">
        <v>5604</v>
      </c>
    </row>
    <row r="1727" spans="1:7" x14ac:dyDescent="0.25">
      <c r="A1727">
        <v>5901</v>
      </c>
      <c r="F1727" t="s">
        <v>5605</v>
      </c>
      <c r="G1727" t="s">
        <v>5604</v>
      </c>
    </row>
    <row r="1728" spans="1:7" x14ac:dyDescent="0.25">
      <c r="A1728">
        <v>5902</v>
      </c>
      <c r="F1728" t="s">
        <v>5603</v>
      </c>
      <c r="G1728" t="s">
        <v>5604</v>
      </c>
    </row>
    <row r="1729" spans="1:7" x14ac:dyDescent="0.25">
      <c r="A1729">
        <v>5902</v>
      </c>
      <c r="F1729" t="s">
        <v>53</v>
      </c>
      <c r="G1729" t="s">
        <v>5604</v>
      </c>
    </row>
    <row r="1730" spans="1:7" x14ac:dyDescent="0.25">
      <c r="A1730">
        <v>5902</v>
      </c>
      <c r="F1730" t="s">
        <v>55</v>
      </c>
      <c r="G1730" t="s">
        <v>5604</v>
      </c>
    </row>
    <row r="1731" spans="1:7" x14ac:dyDescent="0.25">
      <c r="A1731">
        <v>5902</v>
      </c>
      <c r="F1731" t="s">
        <v>5605</v>
      </c>
      <c r="G1731" t="s">
        <v>5604</v>
      </c>
    </row>
    <row r="1732" spans="1:7" x14ac:dyDescent="0.25">
      <c r="A1732">
        <v>5903</v>
      </c>
      <c r="F1732" t="s">
        <v>5603</v>
      </c>
      <c r="G1732" t="s">
        <v>5604</v>
      </c>
    </row>
    <row r="1733" spans="1:7" x14ac:dyDescent="0.25">
      <c r="A1733">
        <v>5903</v>
      </c>
      <c r="F1733" t="s">
        <v>53</v>
      </c>
      <c r="G1733" t="s">
        <v>5604</v>
      </c>
    </row>
    <row r="1734" spans="1:7" x14ac:dyDescent="0.25">
      <c r="A1734">
        <v>5903</v>
      </c>
      <c r="F1734" t="s">
        <v>55</v>
      </c>
      <c r="G1734" t="s">
        <v>5604</v>
      </c>
    </row>
    <row r="1735" spans="1:7" x14ac:dyDescent="0.25">
      <c r="A1735">
        <v>5903</v>
      </c>
      <c r="F1735" t="s">
        <v>5605</v>
      </c>
      <c r="G1735" t="s">
        <v>5604</v>
      </c>
    </row>
    <row r="1736" spans="1:7" x14ac:dyDescent="0.25">
      <c r="A1736">
        <v>5904</v>
      </c>
      <c r="F1736" t="s">
        <v>5603</v>
      </c>
      <c r="G1736" t="s">
        <v>5604</v>
      </c>
    </row>
    <row r="1737" spans="1:7" x14ac:dyDescent="0.25">
      <c r="A1737">
        <v>5904</v>
      </c>
      <c r="F1737" t="s">
        <v>53</v>
      </c>
      <c r="G1737" t="s">
        <v>5604</v>
      </c>
    </row>
    <row r="1738" spans="1:7" x14ac:dyDescent="0.25">
      <c r="A1738">
        <v>5904</v>
      </c>
      <c r="F1738" t="s">
        <v>55</v>
      </c>
      <c r="G1738" t="s">
        <v>5604</v>
      </c>
    </row>
    <row r="1739" spans="1:7" x14ac:dyDescent="0.25">
      <c r="A1739">
        <v>5904</v>
      </c>
      <c r="F1739" t="s">
        <v>5605</v>
      </c>
      <c r="G1739" t="s">
        <v>5604</v>
      </c>
    </row>
    <row r="1740" spans="1:7" x14ac:dyDescent="0.25">
      <c r="A1740">
        <v>5905</v>
      </c>
      <c r="F1740" t="s">
        <v>5603</v>
      </c>
      <c r="G1740" t="s">
        <v>5604</v>
      </c>
    </row>
    <row r="1741" spans="1:7" x14ac:dyDescent="0.25">
      <c r="A1741">
        <v>5905</v>
      </c>
      <c r="F1741" t="s">
        <v>53</v>
      </c>
      <c r="G1741" t="s">
        <v>5604</v>
      </c>
    </row>
    <row r="1742" spans="1:7" x14ac:dyDescent="0.25">
      <c r="A1742">
        <v>5905</v>
      </c>
      <c r="F1742" t="s">
        <v>55</v>
      </c>
      <c r="G1742" t="s">
        <v>5604</v>
      </c>
    </row>
    <row r="1743" spans="1:7" x14ac:dyDescent="0.25">
      <c r="A1743">
        <v>5905</v>
      </c>
      <c r="F1743" t="s">
        <v>5605</v>
      </c>
      <c r="G1743" t="s">
        <v>5604</v>
      </c>
    </row>
    <row r="1744" spans="1:7" x14ac:dyDescent="0.25">
      <c r="A1744">
        <v>5906</v>
      </c>
      <c r="F1744" t="s">
        <v>5603</v>
      </c>
      <c r="G1744" t="s">
        <v>5604</v>
      </c>
    </row>
    <row r="1745" spans="1:7" x14ac:dyDescent="0.25">
      <c r="A1745">
        <v>5906</v>
      </c>
      <c r="F1745" t="s">
        <v>53</v>
      </c>
      <c r="G1745" t="s">
        <v>5604</v>
      </c>
    </row>
    <row r="1746" spans="1:7" x14ac:dyDescent="0.25">
      <c r="A1746">
        <v>5906</v>
      </c>
      <c r="F1746" t="s">
        <v>55</v>
      </c>
      <c r="G1746" t="s">
        <v>5604</v>
      </c>
    </row>
    <row r="1747" spans="1:7" x14ac:dyDescent="0.25">
      <c r="A1747">
        <v>5906</v>
      </c>
      <c r="F1747" t="s">
        <v>5605</v>
      </c>
      <c r="G1747" t="s">
        <v>5604</v>
      </c>
    </row>
    <row r="1748" spans="1:7" x14ac:dyDescent="0.25">
      <c r="A1748">
        <v>5907</v>
      </c>
      <c r="F1748" t="s">
        <v>5603</v>
      </c>
      <c r="G1748" t="s">
        <v>5604</v>
      </c>
    </row>
    <row r="1749" spans="1:7" x14ac:dyDescent="0.25">
      <c r="A1749">
        <v>5907</v>
      </c>
      <c r="F1749" t="s">
        <v>53</v>
      </c>
      <c r="G1749" t="s">
        <v>5604</v>
      </c>
    </row>
    <row r="1750" spans="1:7" x14ac:dyDescent="0.25">
      <c r="A1750">
        <v>5907</v>
      </c>
      <c r="F1750" t="s">
        <v>55</v>
      </c>
      <c r="G1750" t="s">
        <v>5604</v>
      </c>
    </row>
    <row r="1751" spans="1:7" x14ac:dyDescent="0.25">
      <c r="A1751">
        <v>5907</v>
      </c>
      <c r="F1751" t="s">
        <v>5605</v>
      </c>
      <c r="G1751" t="s">
        <v>5604</v>
      </c>
    </row>
    <row r="1752" spans="1:7" x14ac:dyDescent="0.25">
      <c r="A1752">
        <v>5908</v>
      </c>
      <c r="F1752" t="s">
        <v>5603</v>
      </c>
      <c r="G1752" t="s">
        <v>5604</v>
      </c>
    </row>
    <row r="1753" spans="1:7" x14ac:dyDescent="0.25">
      <c r="A1753">
        <v>5908</v>
      </c>
      <c r="F1753" t="s">
        <v>53</v>
      </c>
      <c r="G1753" t="s">
        <v>5604</v>
      </c>
    </row>
    <row r="1754" spans="1:7" x14ac:dyDescent="0.25">
      <c r="A1754">
        <v>5908</v>
      </c>
      <c r="F1754" t="s">
        <v>55</v>
      </c>
      <c r="G1754" t="s">
        <v>5604</v>
      </c>
    </row>
    <row r="1755" spans="1:7" x14ac:dyDescent="0.25">
      <c r="A1755">
        <v>5908</v>
      </c>
      <c r="F1755" t="s">
        <v>5605</v>
      </c>
      <c r="G1755" t="s">
        <v>5604</v>
      </c>
    </row>
    <row r="1756" spans="1:7" x14ac:dyDescent="0.25">
      <c r="A1756">
        <v>5909</v>
      </c>
      <c r="F1756" t="s">
        <v>5603</v>
      </c>
      <c r="G1756" t="s">
        <v>5604</v>
      </c>
    </row>
    <row r="1757" spans="1:7" x14ac:dyDescent="0.25">
      <c r="A1757">
        <v>5909</v>
      </c>
      <c r="F1757" t="s">
        <v>53</v>
      </c>
      <c r="G1757" t="s">
        <v>5604</v>
      </c>
    </row>
    <row r="1758" spans="1:7" x14ac:dyDescent="0.25">
      <c r="A1758">
        <v>5909</v>
      </c>
      <c r="F1758" t="s">
        <v>55</v>
      </c>
      <c r="G1758" t="s">
        <v>5604</v>
      </c>
    </row>
    <row r="1759" spans="1:7" x14ac:dyDescent="0.25">
      <c r="A1759">
        <v>5909</v>
      </c>
      <c r="F1759" t="s">
        <v>5605</v>
      </c>
      <c r="G1759" t="s">
        <v>5604</v>
      </c>
    </row>
    <row r="1760" spans="1:7" x14ac:dyDescent="0.25">
      <c r="A1760">
        <v>5910</v>
      </c>
      <c r="F1760" t="s">
        <v>5603</v>
      </c>
      <c r="G1760" t="s">
        <v>5604</v>
      </c>
    </row>
    <row r="1761" spans="1:7" x14ac:dyDescent="0.25">
      <c r="A1761">
        <v>5910</v>
      </c>
      <c r="F1761" t="s">
        <v>53</v>
      </c>
      <c r="G1761" t="s">
        <v>5604</v>
      </c>
    </row>
    <row r="1762" spans="1:7" x14ac:dyDescent="0.25">
      <c r="A1762">
        <v>5910</v>
      </c>
      <c r="F1762" t="s">
        <v>55</v>
      </c>
      <c r="G1762" t="s">
        <v>5604</v>
      </c>
    </row>
    <row r="1763" spans="1:7" x14ac:dyDescent="0.25">
      <c r="A1763">
        <v>5910</v>
      </c>
      <c r="F1763" t="s">
        <v>5605</v>
      </c>
      <c r="G1763" t="s">
        <v>5604</v>
      </c>
    </row>
    <row r="1764" spans="1:7" x14ac:dyDescent="0.25">
      <c r="A1764">
        <v>5911</v>
      </c>
      <c r="F1764" t="s">
        <v>5603</v>
      </c>
      <c r="G1764" t="s">
        <v>5604</v>
      </c>
    </row>
    <row r="1765" spans="1:7" x14ac:dyDescent="0.25">
      <c r="A1765">
        <v>5911</v>
      </c>
      <c r="F1765" t="s">
        <v>53</v>
      </c>
      <c r="G1765" t="s">
        <v>5604</v>
      </c>
    </row>
    <row r="1766" spans="1:7" x14ac:dyDescent="0.25">
      <c r="A1766">
        <v>5911</v>
      </c>
      <c r="F1766" t="s">
        <v>55</v>
      </c>
      <c r="G1766" t="s">
        <v>5604</v>
      </c>
    </row>
    <row r="1767" spans="1:7" x14ac:dyDescent="0.25">
      <c r="A1767">
        <v>5911</v>
      </c>
      <c r="F1767" t="s">
        <v>5605</v>
      </c>
      <c r="G1767" t="s">
        <v>5604</v>
      </c>
    </row>
    <row r="1768" spans="1:7" x14ac:dyDescent="0.25">
      <c r="A1768">
        <v>5912</v>
      </c>
      <c r="F1768" t="s">
        <v>5603</v>
      </c>
      <c r="G1768" t="s">
        <v>5604</v>
      </c>
    </row>
    <row r="1769" spans="1:7" x14ac:dyDescent="0.25">
      <c r="A1769">
        <v>5912</v>
      </c>
      <c r="F1769" t="s">
        <v>53</v>
      </c>
      <c r="G1769" t="s">
        <v>5604</v>
      </c>
    </row>
    <row r="1770" spans="1:7" x14ac:dyDescent="0.25">
      <c r="A1770">
        <v>5912</v>
      </c>
      <c r="F1770" t="s">
        <v>55</v>
      </c>
      <c r="G1770" t="s">
        <v>5604</v>
      </c>
    </row>
    <row r="1771" spans="1:7" x14ac:dyDescent="0.25">
      <c r="A1771">
        <v>5912</v>
      </c>
      <c r="F1771" t="s">
        <v>5605</v>
      </c>
      <c r="G1771" t="s">
        <v>5604</v>
      </c>
    </row>
    <row r="1772" spans="1:7" x14ac:dyDescent="0.25">
      <c r="A1772">
        <v>5913</v>
      </c>
      <c r="F1772" t="s">
        <v>5603</v>
      </c>
      <c r="G1772" t="s">
        <v>5604</v>
      </c>
    </row>
    <row r="1773" spans="1:7" x14ac:dyDescent="0.25">
      <c r="A1773">
        <v>5913</v>
      </c>
      <c r="F1773" t="s">
        <v>53</v>
      </c>
      <c r="G1773" t="s">
        <v>5604</v>
      </c>
    </row>
    <row r="1774" spans="1:7" x14ac:dyDescent="0.25">
      <c r="A1774">
        <v>5913</v>
      </c>
      <c r="F1774" t="s">
        <v>55</v>
      </c>
      <c r="G1774" t="s">
        <v>5604</v>
      </c>
    </row>
    <row r="1775" spans="1:7" x14ac:dyDescent="0.25">
      <c r="A1775">
        <v>5913</v>
      </c>
      <c r="F1775" t="s">
        <v>5605</v>
      </c>
      <c r="G1775" t="s">
        <v>5604</v>
      </c>
    </row>
    <row r="1776" spans="1:7" x14ac:dyDescent="0.25">
      <c r="A1776">
        <v>5914</v>
      </c>
      <c r="F1776" t="s">
        <v>5603</v>
      </c>
      <c r="G1776" t="s">
        <v>5604</v>
      </c>
    </row>
    <row r="1777" spans="1:7" x14ac:dyDescent="0.25">
      <c r="A1777">
        <v>5914</v>
      </c>
      <c r="F1777" t="s">
        <v>53</v>
      </c>
      <c r="G1777" t="s">
        <v>5604</v>
      </c>
    </row>
    <row r="1778" spans="1:7" x14ac:dyDescent="0.25">
      <c r="A1778">
        <v>5914</v>
      </c>
      <c r="F1778" t="s">
        <v>55</v>
      </c>
      <c r="G1778" t="s">
        <v>5604</v>
      </c>
    </row>
    <row r="1779" spans="1:7" x14ac:dyDescent="0.25">
      <c r="A1779">
        <v>5914</v>
      </c>
      <c r="F1779" t="s">
        <v>5605</v>
      </c>
      <c r="G1779" t="s">
        <v>5604</v>
      </c>
    </row>
    <row r="1780" spans="1:7" x14ac:dyDescent="0.25">
      <c r="A1780">
        <v>5915</v>
      </c>
      <c r="F1780" t="s">
        <v>5603</v>
      </c>
      <c r="G1780" t="s">
        <v>5604</v>
      </c>
    </row>
    <row r="1781" spans="1:7" x14ac:dyDescent="0.25">
      <c r="A1781">
        <v>5915</v>
      </c>
      <c r="F1781" t="s">
        <v>53</v>
      </c>
      <c r="G1781" t="s">
        <v>5604</v>
      </c>
    </row>
    <row r="1782" spans="1:7" x14ac:dyDescent="0.25">
      <c r="A1782">
        <v>5915</v>
      </c>
      <c r="F1782" t="s">
        <v>55</v>
      </c>
      <c r="G1782" t="s">
        <v>5604</v>
      </c>
    </row>
    <row r="1783" spans="1:7" x14ac:dyDescent="0.25">
      <c r="A1783">
        <v>5915</v>
      </c>
      <c r="F1783" t="s">
        <v>5605</v>
      </c>
      <c r="G1783" t="s">
        <v>5604</v>
      </c>
    </row>
    <row r="1784" spans="1:7" x14ac:dyDescent="0.25">
      <c r="A1784">
        <v>5916</v>
      </c>
      <c r="F1784" t="s">
        <v>5603</v>
      </c>
      <c r="G1784" t="s">
        <v>5604</v>
      </c>
    </row>
    <row r="1785" spans="1:7" x14ac:dyDescent="0.25">
      <c r="A1785">
        <v>5916</v>
      </c>
      <c r="F1785" t="s">
        <v>53</v>
      </c>
      <c r="G1785" t="s">
        <v>5604</v>
      </c>
    </row>
    <row r="1786" spans="1:7" x14ac:dyDescent="0.25">
      <c r="A1786">
        <v>5916</v>
      </c>
      <c r="F1786" t="s">
        <v>55</v>
      </c>
      <c r="G1786" t="s">
        <v>5604</v>
      </c>
    </row>
    <row r="1787" spans="1:7" x14ac:dyDescent="0.25">
      <c r="A1787">
        <v>5916</v>
      </c>
      <c r="F1787" t="s">
        <v>5605</v>
      </c>
      <c r="G1787" t="s">
        <v>5604</v>
      </c>
    </row>
    <row r="1788" spans="1:7" x14ac:dyDescent="0.25">
      <c r="A1788">
        <v>5917</v>
      </c>
      <c r="F1788" t="s">
        <v>5603</v>
      </c>
      <c r="G1788" t="s">
        <v>5604</v>
      </c>
    </row>
    <row r="1789" spans="1:7" x14ac:dyDescent="0.25">
      <c r="A1789">
        <v>5917</v>
      </c>
      <c r="F1789" t="s">
        <v>53</v>
      </c>
      <c r="G1789" t="s">
        <v>5604</v>
      </c>
    </row>
    <row r="1790" spans="1:7" x14ac:dyDescent="0.25">
      <c r="A1790">
        <v>5917</v>
      </c>
      <c r="F1790" t="s">
        <v>55</v>
      </c>
      <c r="G1790" t="s">
        <v>5604</v>
      </c>
    </row>
    <row r="1791" spans="1:7" x14ac:dyDescent="0.25">
      <c r="A1791">
        <v>5917</v>
      </c>
      <c r="F1791" t="s">
        <v>5605</v>
      </c>
      <c r="G1791" t="s">
        <v>5604</v>
      </c>
    </row>
    <row r="1792" spans="1:7" x14ac:dyDescent="0.25">
      <c r="A1792">
        <v>5918</v>
      </c>
      <c r="F1792" t="s">
        <v>5603</v>
      </c>
      <c r="G1792" t="s">
        <v>5604</v>
      </c>
    </row>
    <row r="1793" spans="1:7" x14ac:dyDescent="0.25">
      <c r="A1793">
        <v>5918</v>
      </c>
      <c r="F1793" t="s">
        <v>53</v>
      </c>
      <c r="G1793" t="s">
        <v>5604</v>
      </c>
    </row>
    <row r="1794" spans="1:7" x14ac:dyDescent="0.25">
      <c r="A1794">
        <v>5918</v>
      </c>
      <c r="F1794" t="s">
        <v>55</v>
      </c>
      <c r="G1794" t="s">
        <v>5604</v>
      </c>
    </row>
    <row r="1795" spans="1:7" x14ac:dyDescent="0.25">
      <c r="A1795">
        <v>5918</v>
      </c>
      <c r="F1795" t="s">
        <v>5605</v>
      </c>
      <c r="G1795" t="s">
        <v>5604</v>
      </c>
    </row>
    <row r="1796" spans="1:7" x14ac:dyDescent="0.25">
      <c r="A1796">
        <v>5919</v>
      </c>
      <c r="F1796" t="s">
        <v>5603</v>
      </c>
      <c r="G1796" t="s">
        <v>5604</v>
      </c>
    </row>
    <row r="1797" spans="1:7" x14ac:dyDescent="0.25">
      <c r="A1797">
        <v>5919</v>
      </c>
      <c r="F1797" t="s">
        <v>53</v>
      </c>
      <c r="G1797" t="s">
        <v>5604</v>
      </c>
    </row>
    <row r="1798" spans="1:7" x14ac:dyDescent="0.25">
      <c r="A1798">
        <v>5919</v>
      </c>
      <c r="F1798" t="s">
        <v>55</v>
      </c>
      <c r="G1798" t="s">
        <v>5604</v>
      </c>
    </row>
    <row r="1799" spans="1:7" x14ac:dyDescent="0.25">
      <c r="A1799">
        <v>5919</v>
      </c>
      <c r="F1799" t="s">
        <v>5605</v>
      </c>
      <c r="G1799" t="s">
        <v>5604</v>
      </c>
    </row>
    <row r="1800" spans="1:7" x14ac:dyDescent="0.25">
      <c r="A1800">
        <v>5920</v>
      </c>
      <c r="F1800" t="s">
        <v>5603</v>
      </c>
      <c r="G1800" t="s">
        <v>5604</v>
      </c>
    </row>
    <row r="1801" spans="1:7" x14ac:dyDescent="0.25">
      <c r="A1801">
        <v>5920</v>
      </c>
      <c r="F1801" t="s">
        <v>53</v>
      </c>
      <c r="G1801" t="s">
        <v>5604</v>
      </c>
    </row>
    <row r="1802" spans="1:7" x14ac:dyDescent="0.25">
      <c r="A1802">
        <v>5920</v>
      </c>
      <c r="F1802" t="s">
        <v>55</v>
      </c>
      <c r="G1802" t="s">
        <v>5604</v>
      </c>
    </row>
    <row r="1803" spans="1:7" x14ac:dyDescent="0.25">
      <c r="A1803">
        <v>5920</v>
      </c>
      <c r="F1803" t="s">
        <v>5605</v>
      </c>
      <c r="G1803" t="s">
        <v>5604</v>
      </c>
    </row>
    <row r="1804" spans="1:7" x14ac:dyDescent="0.25">
      <c r="A1804">
        <v>5921</v>
      </c>
      <c r="F1804" t="s">
        <v>5603</v>
      </c>
      <c r="G1804" t="s">
        <v>5604</v>
      </c>
    </row>
    <row r="1805" spans="1:7" x14ac:dyDescent="0.25">
      <c r="A1805">
        <v>5921</v>
      </c>
      <c r="F1805" t="s">
        <v>53</v>
      </c>
      <c r="G1805" t="s">
        <v>5604</v>
      </c>
    </row>
    <row r="1806" spans="1:7" x14ac:dyDescent="0.25">
      <c r="A1806">
        <v>5921</v>
      </c>
      <c r="F1806" t="s">
        <v>55</v>
      </c>
      <c r="G1806" t="s">
        <v>5604</v>
      </c>
    </row>
    <row r="1807" spans="1:7" x14ac:dyDescent="0.25">
      <c r="A1807">
        <v>5921</v>
      </c>
      <c r="F1807" t="s">
        <v>5605</v>
      </c>
      <c r="G1807" t="s">
        <v>5604</v>
      </c>
    </row>
    <row r="1808" spans="1:7" x14ac:dyDescent="0.25">
      <c r="A1808">
        <v>5922</v>
      </c>
      <c r="F1808" t="s">
        <v>5603</v>
      </c>
      <c r="G1808" t="s">
        <v>5604</v>
      </c>
    </row>
    <row r="1809" spans="1:7" x14ac:dyDescent="0.25">
      <c r="A1809">
        <v>5922</v>
      </c>
      <c r="F1809" t="s">
        <v>53</v>
      </c>
      <c r="G1809" t="s">
        <v>5604</v>
      </c>
    </row>
    <row r="1810" spans="1:7" x14ac:dyDescent="0.25">
      <c r="A1810">
        <v>5922</v>
      </c>
      <c r="F1810" t="s">
        <v>55</v>
      </c>
      <c r="G1810" t="s">
        <v>5604</v>
      </c>
    </row>
    <row r="1811" spans="1:7" x14ac:dyDescent="0.25">
      <c r="A1811">
        <v>5922</v>
      </c>
      <c r="F1811" t="s">
        <v>5605</v>
      </c>
      <c r="G1811" t="s">
        <v>5604</v>
      </c>
    </row>
    <row r="1812" spans="1:7" x14ac:dyDescent="0.25">
      <c r="A1812">
        <v>5923</v>
      </c>
      <c r="F1812" t="s">
        <v>5603</v>
      </c>
      <c r="G1812" t="s">
        <v>5604</v>
      </c>
    </row>
    <row r="1813" spans="1:7" x14ac:dyDescent="0.25">
      <c r="A1813">
        <v>5923</v>
      </c>
      <c r="F1813" t="s">
        <v>53</v>
      </c>
      <c r="G1813" t="s">
        <v>5604</v>
      </c>
    </row>
    <row r="1814" spans="1:7" x14ac:dyDescent="0.25">
      <c r="A1814">
        <v>5923</v>
      </c>
      <c r="F1814" t="s">
        <v>55</v>
      </c>
      <c r="G1814" t="s">
        <v>5604</v>
      </c>
    </row>
    <row r="1815" spans="1:7" x14ac:dyDescent="0.25">
      <c r="A1815">
        <v>5923</v>
      </c>
      <c r="F1815" t="s">
        <v>5605</v>
      </c>
      <c r="G1815" t="s">
        <v>5604</v>
      </c>
    </row>
    <row r="1816" spans="1:7" x14ac:dyDescent="0.25">
      <c r="A1816">
        <v>5924</v>
      </c>
      <c r="F1816" t="s">
        <v>5603</v>
      </c>
      <c r="G1816" t="s">
        <v>5604</v>
      </c>
    </row>
    <row r="1817" spans="1:7" x14ac:dyDescent="0.25">
      <c r="A1817">
        <v>5924</v>
      </c>
      <c r="F1817" t="s">
        <v>53</v>
      </c>
      <c r="G1817" t="s">
        <v>5604</v>
      </c>
    </row>
    <row r="1818" spans="1:7" x14ac:dyDescent="0.25">
      <c r="A1818">
        <v>5924</v>
      </c>
      <c r="F1818" t="s">
        <v>55</v>
      </c>
      <c r="G1818" t="s">
        <v>5604</v>
      </c>
    </row>
    <row r="1819" spans="1:7" x14ac:dyDescent="0.25">
      <c r="A1819">
        <v>5924</v>
      </c>
      <c r="F1819" t="s">
        <v>5605</v>
      </c>
      <c r="G1819" t="s">
        <v>5604</v>
      </c>
    </row>
    <row r="1820" spans="1:7" x14ac:dyDescent="0.25">
      <c r="A1820">
        <v>5925</v>
      </c>
      <c r="F1820" t="s">
        <v>5603</v>
      </c>
      <c r="G1820" t="s">
        <v>5604</v>
      </c>
    </row>
    <row r="1821" spans="1:7" x14ac:dyDescent="0.25">
      <c r="A1821">
        <v>5925</v>
      </c>
      <c r="F1821" t="s">
        <v>53</v>
      </c>
      <c r="G1821" t="s">
        <v>5604</v>
      </c>
    </row>
    <row r="1822" spans="1:7" x14ac:dyDescent="0.25">
      <c r="A1822">
        <v>5925</v>
      </c>
      <c r="F1822" t="s">
        <v>55</v>
      </c>
      <c r="G1822" t="s">
        <v>5604</v>
      </c>
    </row>
    <row r="1823" spans="1:7" x14ac:dyDescent="0.25">
      <c r="A1823">
        <v>5925</v>
      </c>
      <c r="F1823" t="s">
        <v>5605</v>
      </c>
      <c r="G1823" t="s">
        <v>5604</v>
      </c>
    </row>
    <row r="1824" spans="1:7" x14ac:dyDescent="0.25">
      <c r="A1824">
        <v>5926</v>
      </c>
      <c r="F1824" t="s">
        <v>5603</v>
      </c>
      <c r="G1824" t="s">
        <v>5604</v>
      </c>
    </row>
    <row r="1825" spans="1:7" x14ac:dyDescent="0.25">
      <c r="A1825">
        <v>5926</v>
      </c>
      <c r="F1825" t="s">
        <v>53</v>
      </c>
      <c r="G1825" t="s">
        <v>5604</v>
      </c>
    </row>
    <row r="1826" spans="1:7" x14ac:dyDescent="0.25">
      <c r="A1826">
        <v>5926</v>
      </c>
      <c r="F1826" t="s">
        <v>55</v>
      </c>
      <c r="G1826" t="s">
        <v>5604</v>
      </c>
    </row>
    <row r="1827" spans="1:7" x14ac:dyDescent="0.25">
      <c r="A1827">
        <v>5926</v>
      </c>
      <c r="F1827" t="s">
        <v>5605</v>
      </c>
      <c r="G1827" t="s">
        <v>5604</v>
      </c>
    </row>
    <row r="1828" spans="1:7" x14ac:dyDescent="0.25">
      <c r="A1828">
        <v>5927</v>
      </c>
      <c r="F1828" t="s">
        <v>5603</v>
      </c>
      <c r="G1828" t="s">
        <v>5604</v>
      </c>
    </row>
    <row r="1829" spans="1:7" x14ac:dyDescent="0.25">
      <c r="A1829">
        <v>5927</v>
      </c>
      <c r="F1829" t="s">
        <v>53</v>
      </c>
      <c r="G1829" t="s">
        <v>5604</v>
      </c>
    </row>
    <row r="1830" spans="1:7" x14ac:dyDescent="0.25">
      <c r="A1830">
        <v>5927</v>
      </c>
      <c r="F1830" t="s">
        <v>55</v>
      </c>
      <c r="G1830" t="s">
        <v>5604</v>
      </c>
    </row>
    <row r="1831" spans="1:7" x14ac:dyDescent="0.25">
      <c r="A1831">
        <v>5927</v>
      </c>
      <c r="F1831" t="s">
        <v>5605</v>
      </c>
      <c r="G1831" t="s">
        <v>5604</v>
      </c>
    </row>
    <row r="1832" spans="1:7" x14ac:dyDescent="0.25">
      <c r="A1832">
        <v>5928</v>
      </c>
      <c r="F1832" t="s">
        <v>5603</v>
      </c>
      <c r="G1832" t="s">
        <v>5604</v>
      </c>
    </row>
    <row r="1833" spans="1:7" x14ac:dyDescent="0.25">
      <c r="A1833">
        <v>5928</v>
      </c>
      <c r="F1833" t="s">
        <v>53</v>
      </c>
      <c r="G1833" t="s">
        <v>5604</v>
      </c>
    </row>
    <row r="1834" spans="1:7" x14ac:dyDescent="0.25">
      <c r="A1834">
        <v>5928</v>
      </c>
      <c r="F1834" t="s">
        <v>55</v>
      </c>
      <c r="G1834" t="s">
        <v>5604</v>
      </c>
    </row>
    <row r="1835" spans="1:7" x14ac:dyDescent="0.25">
      <c r="A1835">
        <v>5928</v>
      </c>
      <c r="F1835" t="s">
        <v>5605</v>
      </c>
      <c r="G1835" t="s">
        <v>5604</v>
      </c>
    </row>
    <row r="1836" spans="1:7" x14ac:dyDescent="0.25">
      <c r="A1836">
        <v>5929</v>
      </c>
      <c r="F1836" t="s">
        <v>5603</v>
      </c>
      <c r="G1836" t="s">
        <v>5604</v>
      </c>
    </row>
    <row r="1837" spans="1:7" x14ac:dyDescent="0.25">
      <c r="A1837">
        <v>5929</v>
      </c>
      <c r="F1837" t="s">
        <v>53</v>
      </c>
      <c r="G1837" t="s">
        <v>5604</v>
      </c>
    </row>
    <row r="1838" spans="1:7" x14ac:dyDescent="0.25">
      <c r="A1838">
        <v>5929</v>
      </c>
      <c r="F1838" t="s">
        <v>55</v>
      </c>
      <c r="G1838" t="s">
        <v>5604</v>
      </c>
    </row>
    <row r="1839" spans="1:7" x14ac:dyDescent="0.25">
      <c r="A1839">
        <v>5929</v>
      </c>
      <c r="F1839" t="s">
        <v>5605</v>
      </c>
      <c r="G1839" t="s">
        <v>5604</v>
      </c>
    </row>
    <row r="1840" spans="1:7" x14ac:dyDescent="0.25">
      <c r="A1840">
        <v>5930</v>
      </c>
      <c r="F1840" t="s">
        <v>5603</v>
      </c>
      <c r="G1840" t="s">
        <v>5604</v>
      </c>
    </row>
    <row r="1841" spans="1:7" x14ac:dyDescent="0.25">
      <c r="A1841">
        <v>5930</v>
      </c>
      <c r="F1841" t="s">
        <v>53</v>
      </c>
      <c r="G1841" t="s">
        <v>5604</v>
      </c>
    </row>
    <row r="1842" spans="1:7" x14ac:dyDescent="0.25">
      <c r="A1842">
        <v>5930</v>
      </c>
      <c r="F1842" t="s">
        <v>55</v>
      </c>
      <c r="G1842" t="s">
        <v>5604</v>
      </c>
    </row>
    <row r="1843" spans="1:7" x14ac:dyDescent="0.25">
      <c r="A1843">
        <v>5930</v>
      </c>
      <c r="F1843" t="s">
        <v>5605</v>
      </c>
      <c r="G1843" t="s">
        <v>5604</v>
      </c>
    </row>
    <row r="1844" spans="1:7" x14ac:dyDescent="0.25">
      <c r="A1844">
        <v>5931</v>
      </c>
      <c r="F1844" t="s">
        <v>5603</v>
      </c>
      <c r="G1844" t="s">
        <v>5604</v>
      </c>
    </row>
    <row r="1845" spans="1:7" x14ac:dyDescent="0.25">
      <c r="A1845">
        <v>5931</v>
      </c>
      <c r="F1845" t="s">
        <v>53</v>
      </c>
      <c r="G1845" t="s">
        <v>5604</v>
      </c>
    </row>
    <row r="1846" spans="1:7" x14ac:dyDescent="0.25">
      <c r="A1846">
        <v>5931</v>
      </c>
      <c r="F1846" t="s">
        <v>55</v>
      </c>
      <c r="G1846" t="s">
        <v>5604</v>
      </c>
    </row>
    <row r="1847" spans="1:7" x14ac:dyDescent="0.25">
      <c r="A1847">
        <v>5931</v>
      </c>
      <c r="F1847" t="s">
        <v>5605</v>
      </c>
      <c r="G1847" t="s">
        <v>5604</v>
      </c>
    </row>
    <row r="1848" spans="1:7" x14ac:dyDescent="0.25">
      <c r="A1848">
        <v>5932</v>
      </c>
      <c r="F1848" t="s">
        <v>5603</v>
      </c>
      <c r="G1848" t="s">
        <v>5604</v>
      </c>
    </row>
    <row r="1849" spans="1:7" x14ac:dyDescent="0.25">
      <c r="A1849">
        <v>5932</v>
      </c>
      <c r="F1849" t="s">
        <v>53</v>
      </c>
      <c r="G1849" t="s">
        <v>5604</v>
      </c>
    </row>
    <row r="1850" spans="1:7" x14ac:dyDescent="0.25">
      <c r="A1850">
        <v>5932</v>
      </c>
      <c r="F1850" t="s">
        <v>55</v>
      </c>
      <c r="G1850" t="s">
        <v>5604</v>
      </c>
    </row>
    <row r="1851" spans="1:7" x14ac:dyDescent="0.25">
      <c r="A1851">
        <v>5932</v>
      </c>
      <c r="F1851" t="s">
        <v>5605</v>
      </c>
      <c r="G1851" t="s">
        <v>5604</v>
      </c>
    </row>
    <row r="1852" spans="1:7" x14ac:dyDescent="0.25">
      <c r="A1852">
        <v>5933</v>
      </c>
      <c r="F1852" t="s">
        <v>5603</v>
      </c>
      <c r="G1852" t="s">
        <v>5604</v>
      </c>
    </row>
    <row r="1853" spans="1:7" x14ac:dyDescent="0.25">
      <c r="A1853">
        <v>5933</v>
      </c>
      <c r="F1853" t="s">
        <v>53</v>
      </c>
      <c r="G1853" t="s">
        <v>5604</v>
      </c>
    </row>
    <row r="1854" spans="1:7" x14ac:dyDescent="0.25">
      <c r="A1854">
        <v>5933</v>
      </c>
      <c r="F1854" t="s">
        <v>55</v>
      </c>
      <c r="G1854" t="s">
        <v>5604</v>
      </c>
    </row>
    <row r="1855" spans="1:7" x14ac:dyDescent="0.25">
      <c r="A1855">
        <v>5933</v>
      </c>
      <c r="F1855" t="s">
        <v>5605</v>
      </c>
      <c r="G1855" t="s">
        <v>5604</v>
      </c>
    </row>
    <row r="1856" spans="1:7" x14ac:dyDescent="0.25">
      <c r="A1856">
        <v>5934</v>
      </c>
      <c r="F1856" t="s">
        <v>5603</v>
      </c>
      <c r="G1856" t="s">
        <v>5604</v>
      </c>
    </row>
    <row r="1857" spans="1:7" x14ac:dyDescent="0.25">
      <c r="A1857">
        <v>5934</v>
      </c>
      <c r="F1857" t="s">
        <v>53</v>
      </c>
      <c r="G1857" t="s">
        <v>5604</v>
      </c>
    </row>
    <row r="1858" spans="1:7" x14ac:dyDescent="0.25">
      <c r="A1858">
        <v>5934</v>
      </c>
      <c r="F1858" t="s">
        <v>55</v>
      </c>
      <c r="G1858" t="s">
        <v>5604</v>
      </c>
    </row>
    <row r="1859" spans="1:7" x14ac:dyDescent="0.25">
      <c r="A1859">
        <v>5934</v>
      </c>
      <c r="F1859" t="s">
        <v>5605</v>
      </c>
      <c r="G1859" t="s">
        <v>5604</v>
      </c>
    </row>
    <row r="1860" spans="1:7" x14ac:dyDescent="0.25">
      <c r="A1860">
        <v>5935</v>
      </c>
      <c r="F1860" t="s">
        <v>5603</v>
      </c>
      <c r="G1860" t="s">
        <v>5604</v>
      </c>
    </row>
    <row r="1861" spans="1:7" x14ac:dyDescent="0.25">
      <c r="A1861">
        <v>5935</v>
      </c>
      <c r="F1861" t="s">
        <v>53</v>
      </c>
      <c r="G1861" t="s">
        <v>5604</v>
      </c>
    </row>
    <row r="1862" spans="1:7" x14ac:dyDescent="0.25">
      <c r="A1862">
        <v>5935</v>
      </c>
      <c r="F1862" t="s">
        <v>55</v>
      </c>
      <c r="G1862" t="s">
        <v>5604</v>
      </c>
    </row>
    <row r="1863" spans="1:7" x14ac:dyDescent="0.25">
      <c r="A1863">
        <v>5935</v>
      </c>
      <c r="F1863" t="s">
        <v>5605</v>
      </c>
      <c r="G1863" t="s">
        <v>5604</v>
      </c>
    </row>
    <row r="1864" spans="1:7" x14ac:dyDescent="0.25">
      <c r="A1864">
        <v>5936</v>
      </c>
      <c r="F1864" t="s">
        <v>5603</v>
      </c>
      <c r="G1864" t="s">
        <v>5604</v>
      </c>
    </row>
    <row r="1865" spans="1:7" x14ac:dyDescent="0.25">
      <c r="A1865">
        <v>5936</v>
      </c>
      <c r="F1865" t="s">
        <v>53</v>
      </c>
      <c r="G1865" t="s">
        <v>5604</v>
      </c>
    </row>
    <row r="1866" spans="1:7" x14ac:dyDescent="0.25">
      <c r="A1866">
        <v>5936</v>
      </c>
      <c r="F1866" t="s">
        <v>55</v>
      </c>
      <c r="G1866" t="s">
        <v>5604</v>
      </c>
    </row>
    <row r="1867" spans="1:7" x14ac:dyDescent="0.25">
      <c r="A1867">
        <v>5936</v>
      </c>
      <c r="F1867" t="s">
        <v>5605</v>
      </c>
      <c r="G1867" t="s">
        <v>5604</v>
      </c>
    </row>
    <row r="1868" spans="1:7" x14ac:dyDescent="0.25">
      <c r="A1868">
        <v>5937</v>
      </c>
      <c r="F1868" t="s">
        <v>5603</v>
      </c>
      <c r="G1868" t="s">
        <v>5604</v>
      </c>
    </row>
    <row r="1869" spans="1:7" x14ac:dyDescent="0.25">
      <c r="A1869">
        <v>5937</v>
      </c>
      <c r="F1869" t="s">
        <v>53</v>
      </c>
      <c r="G1869" t="s">
        <v>5604</v>
      </c>
    </row>
    <row r="1870" spans="1:7" x14ac:dyDescent="0.25">
      <c r="A1870">
        <v>5937</v>
      </c>
      <c r="F1870" t="s">
        <v>55</v>
      </c>
      <c r="G1870" t="s">
        <v>5604</v>
      </c>
    </row>
    <row r="1871" spans="1:7" x14ac:dyDescent="0.25">
      <c r="A1871">
        <v>5937</v>
      </c>
      <c r="F1871" t="s">
        <v>5605</v>
      </c>
      <c r="G1871" t="s">
        <v>5604</v>
      </c>
    </row>
    <row r="1872" spans="1:7" x14ac:dyDescent="0.25">
      <c r="A1872">
        <v>5938</v>
      </c>
      <c r="F1872" t="s">
        <v>5603</v>
      </c>
      <c r="G1872" t="s">
        <v>5604</v>
      </c>
    </row>
    <row r="1873" spans="1:7" x14ac:dyDescent="0.25">
      <c r="A1873">
        <v>5938</v>
      </c>
      <c r="F1873" t="s">
        <v>53</v>
      </c>
      <c r="G1873" t="s">
        <v>5604</v>
      </c>
    </row>
    <row r="1874" spans="1:7" x14ac:dyDescent="0.25">
      <c r="A1874">
        <v>5938</v>
      </c>
      <c r="F1874" t="s">
        <v>55</v>
      </c>
      <c r="G1874" t="s">
        <v>5604</v>
      </c>
    </row>
    <row r="1875" spans="1:7" x14ac:dyDescent="0.25">
      <c r="A1875">
        <v>5938</v>
      </c>
      <c r="F1875" t="s">
        <v>5605</v>
      </c>
      <c r="G1875" t="s">
        <v>5604</v>
      </c>
    </row>
    <row r="1876" spans="1:7" x14ac:dyDescent="0.25">
      <c r="A1876">
        <v>5939</v>
      </c>
      <c r="F1876" t="s">
        <v>5603</v>
      </c>
      <c r="G1876" t="s">
        <v>5604</v>
      </c>
    </row>
    <row r="1877" spans="1:7" x14ac:dyDescent="0.25">
      <c r="A1877">
        <v>5939</v>
      </c>
      <c r="F1877" t="s">
        <v>53</v>
      </c>
      <c r="G1877" t="s">
        <v>5604</v>
      </c>
    </row>
    <row r="1878" spans="1:7" x14ac:dyDescent="0.25">
      <c r="A1878">
        <v>5939</v>
      </c>
      <c r="F1878" t="s">
        <v>55</v>
      </c>
      <c r="G1878" t="s">
        <v>5604</v>
      </c>
    </row>
    <row r="1879" spans="1:7" x14ac:dyDescent="0.25">
      <c r="A1879">
        <v>5939</v>
      </c>
      <c r="F1879" t="s">
        <v>5605</v>
      </c>
      <c r="G1879" t="s">
        <v>5604</v>
      </c>
    </row>
    <row r="1880" spans="1:7" x14ac:dyDescent="0.25">
      <c r="A1880">
        <v>5940</v>
      </c>
      <c r="F1880" t="s">
        <v>5603</v>
      </c>
      <c r="G1880" t="s">
        <v>5604</v>
      </c>
    </row>
    <row r="1881" spans="1:7" x14ac:dyDescent="0.25">
      <c r="A1881">
        <v>5940</v>
      </c>
      <c r="F1881" t="s">
        <v>53</v>
      </c>
      <c r="G1881" t="s">
        <v>5604</v>
      </c>
    </row>
    <row r="1882" spans="1:7" x14ac:dyDescent="0.25">
      <c r="A1882">
        <v>5940</v>
      </c>
      <c r="F1882" t="s">
        <v>55</v>
      </c>
      <c r="G1882" t="s">
        <v>5604</v>
      </c>
    </row>
    <row r="1883" spans="1:7" x14ac:dyDescent="0.25">
      <c r="A1883">
        <v>5940</v>
      </c>
      <c r="F1883" t="s">
        <v>5605</v>
      </c>
      <c r="G1883" t="s">
        <v>5604</v>
      </c>
    </row>
    <row r="1884" spans="1:7" x14ac:dyDescent="0.25">
      <c r="A1884">
        <v>5941</v>
      </c>
      <c r="F1884" t="s">
        <v>5603</v>
      </c>
      <c r="G1884" t="s">
        <v>5604</v>
      </c>
    </row>
    <row r="1885" spans="1:7" x14ac:dyDescent="0.25">
      <c r="A1885">
        <v>5941</v>
      </c>
      <c r="F1885" t="s">
        <v>53</v>
      </c>
      <c r="G1885" t="s">
        <v>5604</v>
      </c>
    </row>
    <row r="1886" spans="1:7" x14ac:dyDescent="0.25">
      <c r="A1886">
        <v>5941</v>
      </c>
      <c r="F1886" t="s">
        <v>55</v>
      </c>
      <c r="G1886" t="s">
        <v>5604</v>
      </c>
    </row>
    <row r="1887" spans="1:7" x14ac:dyDescent="0.25">
      <c r="A1887">
        <v>5941</v>
      </c>
      <c r="F1887" t="s">
        <v>5605</v>
      </c>
      <c r="G1887" t="s">
        <v>5604</v>
      </c>
    </row>
    <row r="1888" spans="1:7" x14ac:dyDescent="0.25">
      <c r="A1888">
        <v>5942</v>
      </c>
      <c r="F1888" t="s">
        <v>5603</v>
      </c>
      <c r="G1888" t="s">
        <v>5604</v>
      </c>
    </row>
    <row r="1889" spans="1:7" x14ac:dyDescent="0.25">
      <c r="A1889">
        <v>5942</v>
      </c>
      <c r="F1889" t="s">
        <v>53</v>
      </c>
      <c r="G1889" t="s">
        <v>5604</v>
      </c>
    </row>
    <row r="1890" spans="1:7" x14ac:dyDescent="0.25">
      <c r="A1890">
        <v>5942</v>
      </c>
      <c r="F1890" t="s">
        <v>55</v>
      </c>
      <c r="G1890" t="s">
        <v>5604</v>
      </c>
    </row>
    <row r="1891" spans="1:7" x14ac:dyDescent="0.25">
      <c r="A1891">
        <v>5942</v>
      </c>
      <c r="F1891" t="s">
        <v>5605</v>
      </c>
      <c r="G1891" t="s">
        <v>5604</v>
      </c>
    </row>
    <row r="1892" spans="1:7" x14ac:dyDescent="0.25">
      <c r="A1892">
        <v>5943</v>
      </c>
      <c r="F1892" t="s">
        <v>5603</v>
      </c>
      <c r="G1892" t="s">
        <v>5604</v>
      </c>
    </row>
    <row r="1893" spans="1:7" x14ac:dyDescent="0.25">
      <c r="A1893">
        <v>5943</v>
      </c>
      <c r="F1893" t="s">
        <v>53</v>
      </c>
      <c r="G1893" t="s">
        <v>5604</v>
      </c>
    </row>
    <row r="1894" spans="1:7" x14ac:dyDescent="0.25">
      <c r="A1894">
        <v>5943</v>
      </c>
      <c r="F1894" t="s">
        <v>55</v>
      </c>
      <c r="G1894" t="s">
        <v>5604</v>
      </c>
    </row>
    <row r="1895" spans="1:7" x14ac:dyDescent="0.25">
      <c r="A1895">
        <v>5943</v>
      </c>
      <c r="F1895" t="s">
        <v>5605</v>
      </c>
      <c r="G1895" t="s">
        <v>5604</v>
      </c>
    </row>
    <row r="1896" spans="1:7" x14ac:dyDescent="0.25">
      <c r="A1896">
        <v>5944</v>
      </c>
      <c r="F1896" t="s">
        <v>5603</v>
      </c>
      <c r="G1896" t="s">
        <v>5604</v>
      </c>
    </row>
    <row r="1897" spans="1:7" x14ac:dyDescent="0.25">
      <c r="A1897">
        <v>5944</v>
      </c>
      <c r="F1897" t="s">
        <v>53</v>
      </c>
      <c r="G1897" t="s">
        <v>5604</v>
      </c>
    </row>
    <row r="1898" spans="1:7" x14ac:dyDescent="0.25">
      <c r="A1898">
        <v>5944</v>
      </c>
      <c r="F1898" t="s">
        <v>55</v>
      </c>
      <c r="G1898" t="s">
        <v>5604</v>
      </c>
    </row>
    <row r="1899" spans="1:7" x14ac:dyDescent="0.25">
      <c r="A1899">
        <v>5944</v>
      </c>
      <c r="F1899" t="s">
        <v>5605</v>
      </c>
      <c r="G1899" t="s">
        <v>5604</v>
      </c>
    </row>
    <row r="1900" spans="1:7" x14ac:dyDescent="0.25">
      <c r="A1900">
        <v>5945</v>
      </c>
      <c r="F1900" t="s">
        <v>5603</v>
      </c>
      <c r="G1900" t="s">
        <v>5604</v>
      </c>
    </row>
    <row r="1901" spans="1:7" x14ac:dyDescent="0.25">
      <c r="A1901">
        <v>5945</v>
      </c>
      <c r="F1901" t="s">
        <v>53</v>
      </c>
      <c r="G1901" t="s">
        <v>5604</v>
      </c>
    </row>
    <row r="1902" spans="1:7" x14ac:dyDescent="0.25">
      <c r="A1902">
        <v>5945</v>
      </c>
      <c r="F1902" t="s">
        <v>55</v>
      </c>
      <c r="G1902" t="s">
        <v>5604</v>
      </c>
    </row>
    <row r="1903" spans="1:7" x14ac:dyDescent="0.25">
      <c r="A1903">
        <v>5945</v>
      </c>
      <c r="F1903" t="s">
        <v>5605</v>
      </c>
      <c r="G1903" t="s">
        <v>5604</v>
      </c>
    </row>
    <row r="1904" spans="1:7" x14ac:dyDescent="0.25">
      <c r="A1904">
        <v>5946</v>
      </c>
      <c r="F1904" t="s">
        <v>5603</v>
      </c>
      <c r="G1904" t="s">
        <v>5604</v>
      </c>
    </row>
    <row r="1905" spans="1:7" x14ac:dyDescent="0.25">
      <c r="A1905">
        <v>5946</v>
      </c>
      <c r="F1905" t="s">
        <v>53</v>
      </c>
      <c r="G1905" t="s">
        <v>5604</v>
      </c>
    </row>
    <row r="1906" spans="1:7" x14ac:dyDescent="0.25">
      <c r="A1906">
        <v>5946</v>
      </c>
      <c r="F1906" t="s">
        <v>55</v>
      </c>
      <c r="G1906" t="s">
        <v>5604</v>
      </c>
    </row>
    <row r="1907" spans="1:7" x14ac:dyDescent="0.25">
      <c r="A1907">
        <v>5946</v>
      </c>
      <c r="F1907" t="s">
        <v>5605</v>
      </c>
      <c r="G1907" t="s">
        <v>5604</v>
      </c>
    </row>
    <row r="1908" spans="1:7" x14ac:dyDescent="0.25">
      <c r="A1908">
        <v>5947</v>
      </c>
      <c r="F1908" t="s">
        <v>5603</v>
      </c>
      <c r="G1908" t="s">
        <v>5604</v>
      </c>
    </row>
    <row r="1909" spans="1:7" x14ac:dyDescent="0.25">
      <c r="A1909">
        <v>5947</v>
      </c>
      <c r="F1909" t="s">
        <v>53</v>
      </c>
      <c r="G1909" t="s">
        <v>5604</v>
      </c>
    </row>
    <row r="1910" spans="1:7" x14ac:dyDescent="0.25">
      <c r="A1910">
        <v>5947</v>
      </c>
      <c r="F1910" t="s">
        <v>55</v>
      </c>
      <c r="G1910" t="s">
        <v>5604</v>
      </c>
    </row>
    <row r="1911" spans="1:7" x14ac:dyDescent="0.25">
      <c r="A1911">
        <v>5947</v>
      </c>
      <c r="F1911" t="s">
        <v>5605</v>
      </c>
      <c r="G1911" t="s">
        <v>5604</v>
      </c>
    </row>
    <row r="1912" spans="1:7" x14ac:dyDescent="0.25">
      <c r="A1912">
        <v>5948</v>
      </c>
      <c r="F1912" t="s">
        <v>5603</v>
      </c>
      <c r="G1912" t="s">
        <v>5604</v>
      </c>
    </row>
    <row r="1913" spans="1:7" x14ac:dyDescent="0.25">
      <c r="A1913">
        <v>5948</v>
      </c>
      <c r="F1913" t="s">
        <v>53</v>
      </c>
      <c r="G1913" t="s">
        <v>5604</v>
      </c>
    </row>
    <row r="1914" spans="1:7" x14ac:dyDescent="0.25">
      <c r="A1914">
        <v>5948</v>
      </c>
      <c r="F1914" t="s">
        <v>55</v>
      </c>
      <c r="G1914" t="s">
        <v>5604</v>
      </c>
    </row>
    <row r="1915" spans="1:7" x14ac:dyDescent="0.25">
      <c r="A1915">
        <v>5948</v>
      </c>
      <c r="F1915" t="s">
        <v>5605</v>
      </c>
      <c r="G1915" t="s">
        <v>5604</v>
      </c>
    </row>
    <row r="1916" spans="1:7" x14ac:dyDescent="0.25">
      <c r="A1916">
        <v>5949</v>
      </c>
      <c r="F1916" t="s">
        <v>5603</v>
      </c>
      <c r="G1916" t="s">
        <v>5604</v>
      </c>
    </row>
    <row r="1917" spans="1:7" x14ac:dyDescent="0.25">
      <c r="A1917">
        <v>5949</v>
      </c>
      <c r="F1917" t="s">
        <v>53</v>
      </c>
      <c r="G1917" t="s">
        <v>5604</v>
      </c>
    </row>
    <row r="1918" spans="1:7" x14ac:dyDescent="0.25">
      <c r="A1918">
        <v>5949</v>
      </c>
      <c r="F1918" t="s">
        <v>55</v>
      </c>
      <c r="G1918" t="s">
        <v>5604</v>
      </c>
    </row>
    <row r="1919" spans="1:7" x14ac:dyDescent="0.25">
      <c r="A1919">
        <v>5949</v>
      </c>
      <c r="F1919" t="s">
        <v>5605</v>
      </c>
      <c r="G1919" t="s">
        <v>5604</v>
      </c>
    </row>
    <row r="1920" spans="1:7" x14ac:dyDescent="0.25">
      <c r="A1920">
        <v>5950</v>
      </c>
      <c r="F1920" t="s">
        <v>5603</v>
      </c>
      <c r="G1920" t="s">
        <v>5604</v>
      </c>
    </row>
    <row r="1921" spans="1:7" x14ac:dyDescent="0.25">
      <c r="A1921">
        <v>5950</v>
      </c>
      <c r="F1921" t="s">
        <v>53</v>
      </c>
      <c r="G1921" t="s">
        <v>5604</v>
      </c>
    </row>
    <row r="1922" spans="1:7" x14ac:dyDescent="0.25">
      <c r="A1922">
        <v>5950</v>
      </c>
      <c r="F1922" t="s">
        <v>55</v>
      </c>
      <c r="G1922" t="s">
        <v>5604</v>
      </c>
    </row>
    <row r="1923" spans="1:7" x14ac:dyDescent="0.25">
      <c r="A1923">
        <v>5950</v>
      </c>
      <c r="F1923" t="s">
        <v>5605</v>
      </c>
      <c r="G1923" t="s">
        <v>5604</v>
      </c>
    </row>
    <row r="1924" spans="1:7" x14ac:dyDescent="0.25">
      <c r="A1924">
        <v>5951</v>
      </c>
      <c r="F1924" t="s">
        <v>5603</v>
      </c>
      <c r="G1924" t="s">
        <v>5604</v>
      </c>
    </row>
    <row r="1925" spans="1:7" x14ac:dyDescent="0.25">
      <c r="A1925">
        <v>5951</v>
      </c>
      <c r="F1925" t="s">
        <v>53</v>
      </c>
      <c r="G1925" t="s">
        <v>5604</v>
      </c>
    </row>
    <row r="1926" spans="1:7" x14ac:dyDescent="0.25">
      <c r="A1926">
        <v>5951</v>
      </c>
      <c r="F1926" t="s">
        <v>55</v>
      </c>
      <c r="G1926" t="s">
        <v>5604</v>
      </c>
    </row>
    <row r="1927" spans="1:7" x14ac:dyDescent="0.25">
      <c r="A1927">
        <v>5951</v>
      </c>
      <c r="F1927" t="s">
        <v>5605</v>
      </c>
      <c r="G1927" t="s">
        <v>5604</v>
      </c>
    </row>
    <row r="1928" spans="1:7" x14ac:dyDescent="0.25">
      <c r="A1928">
        <v>5952</v>
      </c>
      <c r="F1928" t="s">
        <v>5603</v>
      </c>
      <c r="G1928" t="s">
        <v>5604</v>
      </c>
    </row>
    <row r="1929" spans="1:7" x14ac:dyDescent="0.25">
      <c r="A1929">
        <v>5952</v>
      </c>
      <c r="F1929" t="s">
        <v>53</v>
      </c>
      <c r="G1929" t="s">
        <v>5604</v>
      </c>
    </row>
    <row r="1930" spans="1:7" x14ac:dyDescent="0.25">
      <c r="A1930">
        <v>5952</v>
      </c>
      <c r="F1930" t="s">
        <v>55</v>
      </c>
      <c r="G1930" t="s">
        <v>5604</v>
      </c>
    </row>
    <row r="1931" spans="1:7" x14ac:dyDescent="0.25">
      <c r="A1931">
        <v>5952</v>
      </c>
      <c r="F1931" t="s">
        <v>5605</v>
      </c>
      <c r="G1931" t="s">
        <v>5604</v>
      </c>
    </row>
    <row r="1932" spans="1:7" x14ac:dyDescent="0.25">
      <c r="A1932">
        <v>5953</v>
      </c>
      <c r="F1932" t="s">
        <v>5603</v>
      </c>
      <c r="G1932" t="s">
        <v>5604</v>
      </c>
    </row>
    <row r="1933" spans="1:7" x14ac:dyDescent="0.25">
      <c r="A1933">
        <v>5953</v>
      </c>
      <c r="F1933" t="s">
        <v>53</v>
      </c>
      <c r="G1933" t="s">
        <v>5604</v>
      </c>
    </row>
    <row r="1934" spans="1:7" x14ac:dyDescent="0.25">
      <c r="A1934">
        <v>5953</v>
      </c>
      <c r="F1934" t="s">
        <v>55</v>
      </c>
      <c r="G1934" t="s">
        <v>5604</v>
      </c>
    </row>
    <row r="1935" spans="1:7" x14ac:dyDescent="0.25">
      <c r="A1935">
        <v>5953</v>
      </c>
      <c r="F1935" t="s">
        <v>5605</v>
      </c>
      <c r="G1935" t="s">
        <v>5604</v>
      </c>
    </row>
    <row r="1936" spans="1:7" x14ac:dyDescent="0.25">
      <c r="A1936">
        <v>5954</v>
      </c>
      <c r="F1936" t="s">
        <v>5603</v>
      </c>
      <c r="G1936" t="s">
        <v>5604</v>
      </c>
    </row>
    <row r="1937" spans="1:7" x14ac:dyDescent="0.25">
      <c r="A1937">
        <v>5954</v>
      </c>
      <c r="F1937" t="s">
        <v>53</v>
      </c>
      <c r="G1937" t="s">
        <v>5604</v>
      </c>
    </row>
    <row r="1938" spans="1:7" x14ac:dyDescent="0.25">
      <c r="A1938">
        <v>5954</v>
      </c>
      <c r="F1938" t="s">
        <v>55</v>
      </c>
      <c r="G1938" t="s">
        <v>5604</v>
      </c>
    </row>
    <row r="1939" spans="1:7" x14ac:dyDescent="0.25">
      <c r="A1939">
        <v>5954</v>
      </c>
      <c r="F1939" t="s">
        <v>5605</v>
      </c>
      <c r="G1939" t="s">
        <v>5604</v>
      </c>
    </row>
    <row r="1940" spans="1:7" x14ac:dyDescent="0.25">
      <c r="A1940">
        <v>5955</v>
      </c>
      <c r="F1940" t="s">
        <v>5603</v>
      </c>
      <c r="G1940" t="s">
        <v>5604</v>
      </c>
    </row>
    <row r="1941" spans="1:7" x14ac:dyDescent="0.25">
      <c r="A1941">
        <v>5955</v>
      </c>
      <c r="F1941" t="s">
        <v>53</v>
      </c>
      <c r="G1941" t="s">
        <v>5604</v>
      </c>
    </row>
    <row r="1942" spans="1:7" x14ac:dyDescent="0.25">
      <c r="A1942">
        <v>5955</v>
      </c>
      <c r="F1942" t="s">
        <v>55</v>
      </c>
      <c r="G1942" t="s">
        <v>5604</v>
      </c>
    </row>
    <row r="1943" spans="1:7" x14ac:dyDescent="0.25">
      <c r="A1943">
        <v>5955</v>
      </c>
      <c r="F1943" t="s">
        <v>5605</v>
      </c>
      <c r="G1943" t="s">
        <v>5604</v>
      </c>
    </row>
    <row r="1944" spans="1:7" x14ac:dyDescent="0.25">
      <c r="A1944">
        <v>5956</v>
      </c>
      <c r="F1944" t="s">
        <v>5603</v>
      </c>
      <c r="G1944" t="s">
        <v>5604</v>
      </c>
    </row>
    <row r="1945" spans="1:7" x14ac:dyDescent="0.25">
      <c r="A1945">
        <v>5956</v>
      </c>
      <c r="F1945" t="s">
        <v>53</v>
      </c>
      <c r="G1945" t="s">
        <v>5604</v>
      </c>
    </row>
    <row r="1946" spans="1:7" x14ac:dyDescent="0.25">
      <c r="A1946">
        <v>5956</v>
      </c>
      <c r="F1946" t="s">
        <v>55</v>
      </c>
      <c r="G1946" t="s">
        <v>5604</v>
      </c>
    </row>
    <row r="1947" spans="1:7" x14ac:dyDescent="0.25">
      <c r="A1947">
        <v>5956</v>
      </c>
      <c r="F1947" t="s">
        <v>5605</v>
      </c>
      <c r="G1947" t="s">
        <v>5604</v>
      </c>
    </row>
    <row r="1948" spans="1:7" x14ac:dyDescent="0.25">
      <c r="A1948">
        <v>5957</v>
      </c>
      <c r="F1948" t="s">
        <v>5603</v>
      </c>
      <c r="G1948" t="s">
        <v>5604</v>
      </c>
    </row>
    <row r="1949" spans="1:7" x14ac:dyDescent="0.25">
      <c r="A1949">
        <v>5957</v>
      </c>
      <c r="F1949" t="s">
        <v>53</v>
      </c>
      <c r="G1949" t="s">
        <v>5604</v>
      </c>
    </row>
    <row r="1950" spans="1:7" x14ac:dyDescent="0.25">
      <c r="A1950">
        <v>5957</v>
      </c>
      <c r="F1950" t="s">
        <v>55</v>
      </c>
      <c r="G1950" t="s">
        <v>5604</v>
      </c>
    </row>
    <row r="1951" spans="1:7" x14ac:dyDescent="0.25">
      <c r="A1951">
        <v>5957</v>
      </c>
      <c r="F1951" t="s">
        <v>5605</v>
      </c>
      <c r="G1951" t="s">
        <v>5604</v>
      </c>
    </row>
    <row r="1952" spans="1:7" x14ac:dyDescent="0.25">
      <c r="A1952">
        <v>5958</v>
      </c>
      <c r="F1952" t="s">
        <v>5603</v>
      </c>
      <c r="G1952" t="s">
        <v>5604</v>
      </c>
    </row>
    <row r="1953" spans="1:7" x14ac:dyDescent="0.25">
      <c r="A1953">
        <v>5958</v>
      </c>
      <c r="F1953" t="s">
        <v>53</v>
      </c>
      <c r="G1953" t="s">
        <v>5604</v>
      </c>
    </row>
    <row r="1954" spans="1:7" x14ac:dyDescent="0.25">
      <c r="A1954">
        <v>5958</v>
      </c>
      <c r="F1954" t="s">
        <v>55</v>
      </c>
      <c r="G1954" t="s">
        <v>5604</v>
      </c>
    </row>
    <row r="1955" spans="1:7" x14ac:dyDescent="0.25">
      <c r="A1955">
        <v>5958</v>
      </c>
      <c r="F1955" t="s">
        <v>5605</v>
      </c>
      <c r="G1955" t="s">
        <v>5604</v>
      </c>
    </row>
    <row r="1956" spans="1:7" x14ac:dyDescent="0.25">
      <c r="A1956">
        <v>5959</v>
      </c>
      <c r="F1956" t="s">
        <v>5603</v>
      </c>
      <c r="G1956" t="s">
        <v>5604</v>
      </c>
    </row>
    <row r="1957" spans="1:7" x14ac:dyDescent="0.25">
      <c r="A1957">
        <v>5959</v>
      </c>
      <c r="F1957" t="s">
        <v>53</v>
      </c>
      <c r="G1957" t="s">
        <v>5604</v>
      </c>
    </row>
    <row r="1958" spans="1:7" x14ac:dyDescent="0.25">
      <c r="A1958">
        <v>5959</v>
      </c>
      <c r="F1958" t="s">
        <v>55</v>
      </c>
      <c r="G1958" t="s">
        <v>5604</v>
      </c>
    </row>
    <row r="1959" spans="1:7" x14ac:dyDescent="0.25">
      <c r="A1959">
        <v>5959</v>
      </c>
      <c r="F1959" t="s">
        <v>5605</v>
      </c>
      <c r="G1959" t="s">
        <v>5604</v>
      </c>
    </row>
    <row r="1960" spans="1:7" x14ac:dyDescent="0.25">
      <c r="A1960">
        <v>5960</v>
      </c>
      <c r="F1960" t="s">
        <v>5603</v>
      </c>
      <c r="G1960" t="s">
        <v>5604</v>
      </c>
    </row>
    <row r="1961" spans="1:7" x14ac:dyDescent="0.25">
      <c r="A1961">
        <v>5960</v>
      </c>
      <c r="F1961" t="s">
        <v>53</v>
      </c>
      <c r="G1961" t="s">
        <v>5604</v>
      </c>
    </row>
    <row r="1962" spans="1:7" x14ac:dyDescent="0.25">
      <c r="A1962">
        <v>5960</v>
      </c>
      <c r="F1962" t="s">
        <v>55</v>
      </c>
      <c r="G1962" t="s">
        <v>5604</v>
      </c>
    </row>
    <row r="1963" spans="1:7" x14ac:dyDescent="0.25">
      <c r="A1963">
        <v>5960</v>
      </c>
      <c r="F1963" t="s">
        <v>5605</v>
      </c>
      <c r="G1963" t="s">
        <v>5604</v>
      </c>
    </row>
    <row r="1964" spans="1:7" x14ac:dyDescent="0.25">
      <c r="A1964">
        <v>5961</v>
      </c>
      <c r="F1964" t="s">
        <v>5603</v>
      </c>
      <c r="G1964" t="s">
        <v>5604</v>
      </c>
    </row>
    <row r="1965" spans="1:7" x14ac:dyDescent="0.25">
      <c r="A1965">
        <v>5961</v>
      </c>
      <c r="F1965" t="s">
        <v>53</v>
      </c>
      <c r="G1965" t="s">
        <v>5604</v>
      </c>
    </row>
    <row r="1966" spans="1:7" x14ac:dyDescent="0.25">
      <c r="A1966">
        <v>5961</v>
      </c>
      <c r="F1966" t="s">
        <v>55</v>
      </c>
      <c r="G1966" t="s">
        <v>5604</v>
      </c>
    </row>
    <row r="1967" spans="1:7" x14ac:dyDescent="0.25">
      <c r="A1967">
        <v>5961</v>
      </c>
      <c r="F1967" t="s">
        <v>5605</v>
      </c>
      <c r="G1967" t="s">
        <v>5604</v>
      </c>
    </row>
    <row r="1968" spans="1:7" x14ac:dyDescent="0.25">
      <c r="A1968">
        <v>5962</v>
      </c>
      <c r="F1968" t="s">
        <v>5603</v>
      </c>
      <c r="G1968" t="s">
        <v>5604</v>
      </c>
    </row>
    <row r="1969" spans="1:7" x14ac:dyDescent="0.25">
      <c r="A1969">
        <v>5962</v>
      </c>
      <c r="F1969" t="s">
        <v>53</v>
      </c>
      <c r="G1969" t="s">
        <v>5604</v>
      </c>
    </row>
    <row r="1970" spans="1:7" x14ac:dyDescent="0.25">
      <c r="A1970">
        <v>5962</v>
      </c>
      <c r="F1970" t="s">
        <v>55</v>
      </c>
      <c r="G1970" t="s">
        <v>5604</v>
      </c>
    </row>
    <row r="1971" spans="1:7" x14ac:dyDescent="0.25">
      <c r="A1971">
        <v>5962</v>
      </c>
      <c r="F1971" t="s">
        <v>5605</v>
      </c>
      <c r="G1971" t="s">
        <v>5604</v>
      </c>
    </row>
    <row r="1972" spans="1:7" x14ac:dyDescent="0.25">
      <c r="A1972">
        <v>5963</v>
      </c>
      <c r="F1972" t="s">
        <v>5603</v>
      </c>
      <c r="G1972" t="s">
        <v>5604</v>
      </c>
    </row>
    <row r="1973" spans="1:7" x14ac:dyDescent="0.25">
      <c r="A1973">
        <v>5963</v>
      </c>
      <c r="F1973" t="s">
        <v>53</v>
      </c>
      <c r="G1973" t="s">
        <v>5604</v>
      </c>
    </row>
    <row r="1974" spans="1:7" x14ac:dyDescent="0.25">
      <c r="A1974">
        <v>5963</v>
      </c>
      <c r="F1974" t="s">
        <v>55</v>
      </c>
      <c r="G1974" t="s">
        <v>5604</v>
      </c>
    </row>
    <row r="1975" spans="1:7" x14ac:dyDescent="0.25">
      <c r="A1975">
        <v>5963</v>
      </c>
      <c r="F1975" t="s">
        <v>5605</v>
      </c>
      <c r="G1975" t="s">
        <v>5604</v>
      </c>
    </row>
    <row r="1976" spans="1:7" x14ac:dyDescent="0.25">
      <c r="A1976">
        <v>5964</v>
      </c>
      <c r="F1976" t="s">
        <v>5603</v>
      </c>
      <c r="G1976" t="s">
        <v>5604</v>
      </c>
    </row>
    <row r="1977" spans="1:7" x14ac:dyDescent="0.25">
      <c r="A1977">
        <v>5964</v>
      </c>
      <c r="F1977" t="s">
        <v>53</v>
      </c>
      <c r="G1977" t="s">
        <v>5604</v>
      </c>
    </row>
    <row r="1978" spans="1:7" x14ac:dyDescent="0.25">
      <c r="A1978">
        <v>5964</v>
      </c>
      <c r="F1978" t="s">
        <v>55</v>
      </c>
      <c r="G1978" t="s">
        <v>5604</v>
      </c>
    </row>
    <row r="1979" spans="1:7" x14ac:dyDescent="0.25">
      <c r="A1979">
        <v>5964</v>
      </c>
      <c r="F1979" t="s">
        <v>5605</v>
      </c>
      <c r="G1979" t="s">
        <v>5604</v>
      </c>
    </row>
    <row r="1980" spans="1:7" x14ac:dyDescent="0.25">
      <c r="A1980">
        <v>5965</v>
      </c>
      <c r="F1980" t="s">
        <v>5603</v>
      </c>
      <c r="G1980" t="s">
        <v>5604</v>
      </c>
    </row>
    <row r="1981" spans="1:7" x14ac:dyDescent="0.25">
      <c r="A1981">
        <v>5965</v>
      </c>
      <c r="F1981" t="s">
        <v>53</v>
      </c>
      <c r="G1981" t="s">
        <v>5604</v>
      </c>
    </row>
    <row r="1982" spans="1:7" x14ac:dyDescent="0.25">
      <c r="A1982">
        <v>5965</v>
      </c>
      <c r="F1982" t="s">
        <v>55</v>
      </c>
      <c r="G1982" t="s">
        <v>5604</v>
      </c>
    </row>
    <row r="1983" spans="1:7" x14ac:dyDescent="0.25">
      <c r="A1983">
        <v>5965</v>
      </c>
      <c r="F1983" t="s">
        <v>5605</v>
      </c>
      <c r="G1983" t="s">
        <v>5604</v>
      </c>
    </row>
    <row r="1984" spans="1:7" x14ac:dyDescent="0.25">
      <c r="A1984">
        <v>5966</v>
      </c>
      <c r="F1984" t="s">
        <v>5603</v>
      </c>
      <c r="G1984" t="s">
        <v>5604</v>
      </c>
    </row>
    <row r="1985" spans="1:7" x14ac:dyDescent="0.25">
      <c r="A1985">
        <v>5966</v>
      </c>
      <c r="F1985" t="s">
        <v>53</v>
      </c>
      <c r="G1985" t="s">
        <v>5604</v>
      </c>
    </row>
    <row r="1986" spans="1:7" x14ac:dyDescent="0.25">
      <c r="A1986">
        <v>5966</v>
      </c>
      <c r="F1986" t="s">
        <v>55</v>
      </c>
      <c r="G1986" t="s">
        <v>5604</v>
      </c>
    </row>
    <row r="1987" spans="1:7" x14ac:dyDescent="0.25">
      <c r="A1987">
        <v>5966</v>
      </c>
      <c r="F1987" t="s">
        <v>5605</v>
      </c>
      <c r="G1987" t="s">
        <v>5604</v>
      </c>
    </row>
    <row r="1988" spans="1:7" x14ac:dyDescent="0.25">
      <c r="A1988">
        <v>5967</v>
      </c>
      <c r="F1988" t="s">
        <v>5603</v>
      </c>
      <c r="G1988" t="s">
        <v>5604</v>
      </c>
    </row>
    <row r="1989" spans="1:7" x14ac:dyDescent="0.25">
      <c r="A1989">
        <v>5967</v>
      </c>
      <c r="F1989" t="s">
        <v>53</v>
      </c>
      <c r="G1989" t="s">
        <v>5604</v>
      </c>
    </row>
    <row r="1990" spans="1:7" x14ac:dyDescent="0.25">
      <c r="A1990">
        <v>5967</v>
      </c>
      <c r="F1990" t="s">
        <v>55</v>
      </c>
      <c r="G1990" t="s">
        <v>5604</v>
      </c>
    </row>
    <row r="1991" spans="1:7" x14ac:dyDescent="0.25">
      <c r="A1991">
        <v>5967</v>
      </c>
      <c r="F1991" t="s">
        <v>5605</v>
      </c>
      <c r="G1991" t="s">
        <v>5604</v>
      </c>
    </row>
    <row r="1992" spans="1:7" x14ac:dyDescent="0.25">
      <c r="A1992">
        <v>5968</v>
      </c>
      <c r="F1992" t="s">
        <v>5603</v>
      </c>
      <c r="G1992" t="s">
        <v>5604</v>
      </c>
    </row>
    <row r="1993" spans="1:7" x14ac:dyDescent="0.25">
      <c r="A1993">
        <v>5968</v>
      </c>
      <c r="F1993" t="s">
        <v>53</v>
      </c>
      <c r="G1993" t="s">
        <v>5604</v>
      </c>
    </row>
    <row r="1994" spans="1:7" x14ac:dyDescent="0.25">
      <c r="A1994">
        <v>5968</v>
      </c>
      <c r="F1994" t="s">
        <v>55</v>
      </c>
      <c r="G1994" t="s">
        <v>5604</v>
      </c>
    </row>
    <row r="1995" spans="1:7" x14ac:dyDescent="0.25">
      <c r="A1995">
        <v>5968</v>
      </c>
      <c r="F1995" t="s">
        <v>5605</v>
      </c>
      <c r="G1995" t="s">
        <v>5604</v>
      </c>
    </row>
    <row r="1996" spans="1:7" x14ac:dyDescent="0.25">
      <c r="A1996">
        <v>5969</v>
      </c>
      <c r="F1996" t="s">
        <v>5603</v>
      </c>
      <c r="G1996" t="s">
        <v>5604</v>
      </c>
    </row>
    <row r="1997" spans="1:7" x14ac:dyDescent="0.25">
      <c r="A1997">
        <v>5969</v>
      </c>
      <c r="F1997" t="s">
        <v>53</v>
      </c>
      <c r="G1997" t="s">
        <v>5604</v>
      </c>
    </row>
    <row r="1998" spans="1:7" x14ac:dyDescent="0.25">
      <c r="A1998">
        <v>5969</v>
      </c>
      <c r="F1998" t="s">
        <v>55</v>
      </c>
      <c r="G1998" t="s">
        <v>5604</v>
      </c>
    </row>
    <row r="1999" spans="1:7" x14ac:dyDescent="0.25">
      <c r="A1999">
        <v>5969</v>
      </c>
      <c r="F1999" t="s">
        <v>5605</v>
      </c>
      <c r="G1999" t="s">
        <v>5604</v>
      </c>
    </row>
    <row r="2000" spans="1:7" x14ac:dyDescent="0.25">
      <c r="A2000">
        <v>5970</v>
      </c>
      <c r="F2000" t="s">
        <v>5603</v>
      </c>
      <c r="G2000" t="s">
        <v>5604</v>
      </c>
    </row>
    <row r="2001" spans="1:7" x14ac:dyDescent="0.25">
      <c r="A2001">
        <v>5970</v>
      </c>
      <c r="F2001" t="s">
        <v>53</v>
      </c>
      <c r="G2001" t="s">
        <v>5604</v>
      </c>
    </row>
    <row r="2002" spans="1:7" x14ac:dyDescent="0.25">
      <c r="A2002">
        <v>5970</v>
      </c>
      <c r="F2002" t="s">
        <v>55</v>
      </c>
      <c r="G2002" t="s">
        <v>5604</v>
      </c>
    </row>
    <row r="2003" spans="1:7" x14ac:dyDescent="0.25">
      <c r="A2003">
        <v>5970</v>
      </c>
      <c r="F2003" t="s">
        <v>5605</v>
      </c>
      <c r="G2003" t="s">
        <v>5604</v>
      </c>
    </row>
    <row r="2004" spans="1:7" x14ac:dyDescent="0.25">
      <c r="A2004">
        <v>5971</v>
      </c>
      <c r="F2004" t="s">
        <v>5603</v>
      </c>
      <c r="G2004" t="s">
        <v>5604</v>
      </c>
    </row>
    <row r="2005" spans="1:7" x14ac:dyDescent="0.25">
      <c r="A2005">
        <v>5971</v>
      </c>
      <c r="F2005" t="s">
        <v>53</v>
      </c>
      <c r="G2005" t="s">
        <v>5604</v>
      </c>
    </row>
    <row r="2006" spans="1:7" x14ac:dyDescent="0.25">
      <c r="A2006">
        <v>5971</v>
      </c>
      <c r="F2006" t="s">
        <v>55</v>
      </c>
      <c r="G2006" t="s">
        <v>5604</v>
      </c>
    </row>
    <row r="2007" spans="1:7" x14ac:dyDescent="0.25">
      <c r="A2007">
        <v>5971</v>
      </c>
      <c r="F2007" t="s">
        <v>5605</v>
      </c>
      <c r="G2007" t="s">
        <v>5604</v>
      </c>
    </row>
    <row r="2008" spans="1:7" x14ac:dyDescent="0.25">
      <c r="A2008">
        <v>5972</v>
      </c>
      <c r="F2008" t="s">
        <v>5603</v>
      </c>
      <c r="G2008" t="s">
        <v>5604</v>
      </c>
    </row>
    <row r="2009" spans="1:7" x14ac:dyDescent="0.25">
      <c r="A2009">
        <v>5972</v>
      </c>
      <c r="F2009" t="s">
        <v>53</v>
      </c>
      <c r="G2009" t="s">
        <v>5604</v>
      </c>
    </row>
    <row r="2010" spans="1:7" x14ac:dyDescent="0.25">
      <c r="A2010">
        <v>5972</v>
      </c>
      <c r="F2010" t="s">
        <v>55</v>
      </c>
      <c r="G2010" t="s">
        <v>5604</v>
      </c>
    </row>
    <row r="2011" spans="1:7" x14ac:dyDescent="0.25">
      <c r="A2011">
        <v>5972</v>
      </c>
      <c r="F2011" t="s">
        <v>5605</v>
      </c>
      <c r="G2011" t="s">
        <v>5604</v>
      </c>
    </row>
    <row r="2012" spans="1:7" x14ac:dyDescent="0.25">
      <c r="A2012">
        <v>5973</v>
      </c>
      <c r="F2012" t="s">
        <v>5603</v>
      </c>
      <c r="G2012" t="s">
        <v>5604</v>
      </c>
    </row>
    <row r="2013" spans="1:7" x14ac:dyDescent="0.25">
      <c r="A2013">
        <v>5973</v>
      </c>
      <c r="F2013" t="s">
        <v>53</v>
      </c>
      <c r="G2013" t="s">
        <v>5604</v>
      </c>
    </row>
    <row r="2014" spans="1:7" x14ac:dyDescent="0.25">
      <c r="A2014">
        <v>5973</v>
      </c>
      <c r="F2014" t="s">
        <v>55</v>
      </c>
      <c r="G2014" t="s">
        <v>5604</v>
      </c>
    </row>
    <row r="2015" spans="1:7" x14ac:dyDescent="0.25">
      <c r="A2015">
        <v>5973</v>
      </c>
      <c r="F2015" t="s">
        <v>5605</v>
      </c>
      <c r="G2015" t="s">
        <v>5604</v>
      </c>
    </row>
    <row r="2016" spans="1:7" x14ac:dyDescent="0.25">
      <c r="A2016">
        <v>5974</v>
      </c>
      <c r="F2016" t="s">
        <v>5603</v>
      </c>
      <c r="G2016" t="s">
        <v>5604</v>
      </c>
    </row>
    <row r="2017" spans="1:7" x14ac:dyDescent="0.25">
      <c r="A2017">
        <v>5974</v>
      </c>
      <c r="F2017" t="s">
        <v>53</v>
      </c>
      <c r="G2017" t="s">
        <v>5604</v>
      </c>
    </row>
    <row r="2018" spans="1:7" x14ac:dyDescent="0.25">
      <c r="A2018">
        <v>5974</v>
      </c>
      <c r="F2018" t="s">
        <v>55</v>
      </c>
      <c r="G2018" t="s">
        <v>5604</v>
      </c>
    </row>
    <row r="2019" spans="1:7" x14ac:dyDescent="0.25">
      <c r="A2019">
        <v>5974</v>
      </c>
      <c r="F2019" t="s">
        <v>5605</v>
      </c>
      <c r="G2019" t="s">
        <v>5604</v>
      </c>
    </row>
    <row r="2020" spans="1:7" x14ac:dyDescent="0.25">
      <c r="A2020">
        <v>5975</v>
      </c>
      <c r="F2020" t="s">
        <v>5603</v>
      </c>
      <c r="G2020" t="s">
        <v>5604</v>
      </c>
    </row>
    <row r="2021" spans="1:7" x14ac:dyDescent="0.25">
      <c r="A2021">
        <v>5975</v>
      </c>
      <c r="F2021" t="s">
        <v>53</v>
      </c>
      <c r="G2021" t="s">
        <v>5604</v>
      </c>
    </row>
    <row r="2022" spans="1:7" x14ac:dyDescent="0.25">
      <c r="A2022">
        <v>5975</v>
      </c>
      <c r="F2022" t="s">
        <v>55</v>
      </c>
      <c r="G2022" t="s">
        <v>5604</v>
      </c>
    </row>
    <row r="2023" spans="1:7" x14ac:dyDescent="0.25">
      <c r="A2023">
        <v>5975</v>
      </c>
      <c r="F2023" t="s">
        <v>5605</v>
      </c>
      <c r="G2023" t="s">
        <v>5604</v>
      </c>
    </row>
    <row r="2024" spans="1:7" x14ac:dyDescent="0.25">
      <c r="A2024">
        <v>5976</v>
      </c>
      <c r="F2024" t="s">
        <v>5603</v>
      </c>
      <c r="G2024" t="s">
        <v>5604</v>
      </c>
    </row>
    <row r="2025" spans="1:7" x14ac:dyDescent="0.25">
      <c r="A2025">
        <v>5976</v>
      </c>
      <c r="F2025" t="s">
        <v>53</v>
      </c>
      <c r="G2025" t="s">
        <v>5604</v>
      </c>
    </row>
    <row r="2026" spans="1:7" x14ac:dyDescent="0.25">
      <c r="A2026">
        <v>5976</v>
      </c>
      <c r="F2026" t="s">
        <v>55</v>
      </c>
      <c r="G2026" t="s">
        <v>5604</v>
      </c>
    </row>
    <row r="2027" spans="1:7" x14ac:dyDescent="0.25">
      <c r="A2027">
        <v>5976</v>
      </c>
      <c r="F2027" t="s">
        <v>5605</v>
      </c>
      <c r="G2027" t="s">
        <v>5604</v>
      </c>
    </row>
    <row r="2028" spans="1:7" x14ac:dyDescent="0.25">
      <c r="A2028">
        <v>5977</v>
      </c>
      <c r="F2028" t="s">
        <v>5603</v>
      </c>
      <c r="G2028" t="s">
        <v>5604</v>
      </c>
    </row>
    <row r="2029" spans="1:7" x14ac:dyDescent="0.25">
      <c r="A2029">
        <v>5977</v>
      </c>
      <c r="F2029" t="s">
        <v>53</v>
      </c>
      <c r="G2029" t="s">
        <v>5604</v>
      </c>
    </row>
    <row r="2030" spans="1:7" x14ac:dyDescent="0.25">
      <c r="A2030">
        <v>5977</v>
      </c>
      <c r="F2030" t="s">
        <v>55</v>
      </c>
      <c r="G2030" t="s">
        <v>5604</v>
      </c>
    </row>
    <row r="2031" spans="1:7" x14ac:dyDescent="0.25">
      <c r="A2031">
        <v>5977</v>
      </c>
      <c r="F2031" t="s">
        <v>5605</v>
      </c>
      <c r="G2031" t="s">
        <v>5604</v>
      </c>
    </row>
    <row r="2032" spans="1:7" x14ac:dyDescent="0.25">
      <c r="A2032">
        <v>5978</v>
      </c>
      <c r="F2032" t="s">
        <v>5603</v>
      </c>
      <c r="G2032" t="s">
        <v>5604</v>
      </c>
    </row>
    <row r="2033" spans="1:7" x14ac:dyDescent="0.25">
      <c r="A2033">
        <v>5978</v>
      </c>
      <c r="F2033" t="s">
        <v>53</v>
      </c>
      <c r="G2033" t="s">
        <v>5604</v>
      </c>
    </row>
    <row r="2034" spans="1:7" x14ac:dyDescent="0.25">
      <c r="A2034">
        <v>5978</v>
      </c>
      <c r="F2034" t="s">
        <v>55</v>
      </c>
      <c r="G2034" t="s">
        <v>5604</v>
      </c>
    </row>
    <row r="2035" spans="1:7" x14ac:dyDescent="0.25">
      <c r="A2035">
        <v>5978</v>
      </c>
      <c r="F2035" t="s">
        <v>5605</v>
      </c>
      <c r="G2035" t="s">
        <v>5604</v>
      </c>
    </row>
    <row r="2036" spans="1:7" x14ac:dyDescent="0.25">
      <c r="A2036">
        <v>5979</v>
      </c>
      <c r="F2036" t="s">
        <v>5603</v>
      </c>
      <c r="G2036" t="s">
        <v>5604</v>
      </c>
    </row>
    <row r="2037" spans="1:7" x14ac:dyDescent="0.25">
      <c r="A2037">
        <v>5979</v>
      </c>
      <c r="F2037" t="s">
        <v>53</v>
      </c>
      <c r="G2037" t="s">
        <v>5604</v>
      </c>
    </row>
    <row r="2038" spans="1:7" x14ac:dyDescent="0.25">
      <c r="A2038">
        <v>5979</v>
      </c>
      <c r="F2038" t="s">
        <v>55</v>
      </c>
      <c r="G2038" t="s">
        <v>5604</v>
      </c>
    </row>
    <row r="2039" spans="1:7" x14ac:dyDescent="0.25">
      <c r="A2039">
        <v>5979</v>
      </c>
      <c r="F2039" t="s">
        <v>5605</v>
      </c>
      <c r="G2039" t="s">
        <v>5604</v>
      </c>
    </row>
    <row r="2040" spans="1:7" x14ac:dyDescent="0.25">
      <c r="A2040">
        <v>5980</v>
      </c>
      <c r="F2040" t="s">
        <v>5603</v>
      </c>
      <c r="G2040" t="s">
        <v>5604</v>
      </c>
    </row>
    <row r="2041" spans="1:7" x14ac:dyDescent="0.25">
      <c r="A2041">
        <v>5980</v>
      </c>
      <c r="F2041" t="s">
        <v>53</v>
      </c>
      <c r="G2041" t="s">
        <v>5604</v>
      </c>
    </row>
    <row r="2042" spans="1:7" x14ac:dyDescent="0.25">
      <c r="A2042">
        <v>5980</v>
      </c>
      <c r="F2042" t="s">
        <v>55</v>
      </c>
      <c r="G2042" t="s">
        <v>5604</v>
      </c>
    </row>
    <row r="2043" spans="1:7" x14ac:dyDescent="0.25">
      <c r="A2043">
        <v>5980</v>
      </c>
      <c r="F2043" t="s">
        <v>5605</v>
      </c>
      <c r="G2043" t="s">
        <v>5604</v>
      </c>
    </row>
    <row r="2044" spans="1:7" x14ac:dyDescent="0.25">
      <c r="A2044">
        <v>5981</v>
      </c>
      <c r="F2044" t="s">
        <v>5603</v>
      </c>
      <c r="G2044" t="s">
        <v>5604</v>
      </c>
    </row>
    <row r="2045" spans="1:7" x14ac:dyDescent="0.25">
      <c r="A2045">
        <v>5981</v>
      </c>
      <c r="F2045" t="s">
        <v>53</v>
      </c>
      <c r="G2045" t="s">
        <v>5604</v>
      </c>
    </row>
    <row r="2046" spans="1:7" x14ac:dyDescent="0.25">
      <c r="A2046">
        <v>5981</v>
      </c>
      <c r="F2046" t="s">
        <v>55</v>
      </c>
      <c r="G2046" t="s">
        <v>5604</v>
      </c>
    </row>
    <row r="2047" spans="1:7" x14ac:dyDescent="0.25">
      <c r="A2047">
        <v>5981</v>
      </c>
      <c r="F2047" t="s">
        <v>5605</v>
      </c>
      <c r="G2047" t="s">
        <v>5604</v>
      </c>
    </row>
    <row r="2048" spans="1:7" x14ac:dyDescent="0.25">
      <c r="A2048">
        <v>5982</v>
      </c>
      <c r="F2048" t="s">
        <v>5603</v>
      </c>
      <c r="G2048" t="s">
        <v>5604</v>
      </c>
    </row>
    <row r="2049" spans="1:7" x14ac:dyDescent="0.25">
      <c r="A2049">
        <v>5982</v>
      </c>
      <c r="F2049" t="s">
        <v>53</v>
      </c>
      <c r="G2049" t="s">
        <v>5604</v>
      </c>
    </row>
    <row r="2050" spans="1:7" x14ac:dyDescent="0.25">
      <c r="A2050">
        <v>5982</v>
      </c>
      <c r="F2050" t="s">
        <v>55</v>
      </c>
      <c r="G2050" t="s">
        <v>5604</v>
      </c>
    </row>
    <row r="2051" spans="1:7" x14ac:dyDescent="0.25">
      <c r="A2051">
        <v>5982</v>
      </c>
      <c r="F2051" t="s">
        <v>5605</v>
      </c>
      <c r="G2051" t="s">
        <v>5604</v>
      </c>
    </row>
    <row r="2052" spans="1:7" x14ac:dyDescent="0.25">
      <c r="A2052">
        <v>5983</v>
      </c>
      <c r="F2052" t="s">
        <v>5603</v>
      </c>
      <c r="G2052" t="s">
        <v>5604</v>
      </c>
    </row>
    <row r="2053" spans="1:7" x14ac:dyDescent="0.25">
      <c r="A2053">
        <v>5983</v>
      </c>
      <c r="F2053" t="s">
        <v>53</v>
      </c>
      <c r="G2053" t="s">
        <v>5604</v>
      </c>
    </row>
    <row r="2054" spans="1:7" x14ac:dyDescent="0.25">
      <c r="A2054">
        <v>5983</v>
      </c>
      <c r="F2054" t="s">
        <v>55</v>
      </c>
      <c r="G2054" t="s">
        <v>5604</v>
      </c>
    </row>
    <row r="2055" spans="1:7" x14ac:dyDescent="0.25">
      <c r="A2055">
        <v>5983</v>
      </c>
      <c r="F2055" t="s">
        <v>5605</v>
      </c>
      <c r="G2055" t="s">
        <v>5604</v>
      </c>
    </row>
    <row r="2056" spans="1:7" x14ac:dyDescent="0.25">
      <c r="A2056">
        <v>5984</v>
      </c>
      <c r="F2056" t="s">
        <v>5603</v>
      </c>
      <c r="G2056" t="s">
        <v>5604</v>
      </c>
    </row>
    <row r="2057" spans="1:7" x14ac:dyDescent="0.25">
      <c r="A2057">
        <v>5984</v>
      </c>
      <c r="F2057" t="s">
        <v>53</v>
      </c>
      <c r="G2057" t="s">
        <v>5604</v>
      </c>
    </row>
    <row r="2058" spans="1:7" x14ac:dyDescent="0.25">
      <c r="A2058">
        <v>5984</v>
      </c>
      <c r="F2058" t="s">
        <v>55</v>
      </c>
      <c r="G2058" t="s">
        <v>5604</v>
      </c>
    </row>
    <row r="2059" spans="1:7" x14ac:dyDescent="0.25">
      <c r="A2059">
        <v>5984</v>
      </c>
      <c r="F2059" t="s">
        <v>5605</v>
      </c>
      <c r="G2059" t="s">
        <v>5604</v>
      </c>
    </row>
    <row r="2060" spans="1:7" x14ac:dyDescent="0.25">
      <c r="A2060">
        <v>5985</v>
      </c>
      <c r="F2060" t="s">
        <v>5603</v>
      </c>
      <c r="G2060" t="s">
        <v>5604</v>
      </c>
    </row>
    <row r="2061" spans="1:7" x14ac:dyDescent="0.25">
      <c r="A2061">
        <v>5985</v>
      </c>
      <c r="F2061" t="s">
        <v>53</v>
      </c>
      <c r="G2061" t="s">
        <v>5604</v>
      </c>
    </row>
    <row r="2062" spans="1:7" x14ac:dyDescent="0.25">
      <c r="A2062">
        <v>5985</v>
      </c>
      <c r="F2062" t="s">
        <v>55</v>
      </c>
      <c r="G2062" t="s">
        <v>5604</v>
      </c>
    </row>
    <row r="2063" spans="1:7" x14ac:dyDescent="0.25">
      <c r="A2063">
        <v>5985</v>
      </c>
      <c r="F2063" t="s">
        <v>5605</v>
      </c>
      <c r="G2063" t="s">
        <v>5604</v>
      </c>
    </row>
    <row r="2064" spans="1:7" x14ac:dyDescent="0.25">
      <c r="A2064">
        <v>5986</v>
      </c>
      <c r="F2064" t="s">
        <v>5603</v>
      </c>
      <c r="G2064" t="s">
        <v>5604</v>
      </c>
    </row>
    <row r="2065" spans="1:7" x14ac:dyDescent="0.25">
      <c r="A2065">
        <v>5986</v>
      </c>
      <c r="F2065" t="s">
        <v>53</v>
      </c>
      <c r="G2065" t="s">
        <v>5604</v>
      </c>
    </row>
    <row r="2066" spans="1:7" x14ac:dyDescent="0.25">
      <c r="A2066">
        <v>5986</v>
      </c>
      <c r="F2066" t="s">
        <v>55</v>
      </c>
      <c r="G2066" t="s">
        <v>5604</v>
      </c>
    </row>
    <row r="2067" spans="1:7" x14ac:dyDescent="0.25">
      <c r="A2067">
        <v>5986</v>
      </c>
      <c r="F2067" t="s">
        <v>5605</v>
      </c>
      <c r="G2067" t="s">
        <v>5604</v>
      </c>
    </row>
    <row r="2068" spans="1:7" x14ac:dyDescent="0.25">
      <c r="A2068">
        <v>5987</v>
      </c>
      <c r="F2068" t="s">
        <v>5603</v>
      </c>
      <c r="G2068" t="s">
        <v>5604</v>
      </c>
    </row>
    <row r="2069" spans="1:7" x14ac:dyDescent="0.25">
      <c r="A2069">
        <v>5987</v>
      </c>
      <c r="F2069" t="s">
        <v>53</v>
      </c>
      <c r="G2069" t="s">
        <v>5604</v>
      </c>
    </row>
    <row r="2070" spans="1:7" x14ac:dyDescent="0.25">
      <c r="A2070">
        <v>5987</v>
      </c>
      <c r="F2070" t="s">
        <v>55</v>
      </c>
      <c r="G2070" t="s">
        <v>5604</v>
      </c>
    </row>
    <row r="2071" spans="1:7" x14ac:dyDescent="0.25">
      <c r="A2071">
        <v>5987</v>
      </c>
      <c r="F2071" t="s">
        <v>5605</v>
      </c>
      <c r="G2071" t="s">
        <v>5604</v>
      </c>
    </row>
    <row r="2072" spans="1:7" x14ac:dyDescent="0.25">
      <c r="A2072">
        <v>5988</v>
      </c>
      <c r="F2072" t="s">
        <v>5603</v>
      </c>
      <c r="G2072" t="s">
        <v>5604</v>
      </c>
    </row>
    <row r="2073" spans="1:7" x14ac:dyDescent="0.25">
      <c r="A2073">
        <v>5988</v>
      </c>
      <c r="F2073" t="s">
        <v>53</v>
      </c>
      <c r="G2073" t="s">
        <v>5604</v>
      </c>
    </row>
    <row r="2074" spans="1:7" x14ac:dyDescent="0.25">
      <c r="A2074">
        <v>5988</v>
      </c>
      <c r="F2074" t="s">
        <v>55</v>
      </c>
      <c r="G2074" t="s">
        <v>5604</v>
      </c>
    </row>
    <row r="2075" spans="1:7" x14ac:dyDescent="0.25">
      <c r="A2075">
        <v>5988</v>
      </c>
      <c r="F2075" t="s">
        <v>5605</v>
      </c>
      <c r="G2075" t="s">
        <v>5604</v>
      </c>
    </row>
    <row r="2076" spans="1:7" x14ac:dyDescent="0.25">
      <c r="A2076">
        <v>5989</v>
      </c>
      <c r="F2076" t="s">
        <v>5603</v>
      </c>
      <c r="G2076" t="s">
        <v>5604</v>
      </c>
    </row>
    <row r="2077" spans="1:7" x14ac:dyDescent="0.25">
      <c r="A2077">
        <v>5989</v>
      </c>
      <c r="F2077" t="s">
        <v>53</v>
      </c>
      <c r="G2077" t="s">
        <v>5604</v>
      </c>
    </row>
    <row r="2078" spans="1:7" x14ac:dyDescent="0.25">
      <c r="A2078">
        <v>5989</v>
      </c>
      <c r="F2078" t="s">
        <v>55</v>
      </c>
      <c r="G2078" t="s">
        <v>5604</v>
      </c>
    </row>
    <row r="2079" spans="1:7" x14ac:dyDescent="0.25">
      <c r="A2079">
        <v>5989</v>
      </c>
      <c r="F2079" t="s">
        <v>5605</v>
      </c>
      <c r="G2079" t="s">
        <v>5604</v>
      </c>
    </row>
    <row r="2080" spans="1:7" x14ac:dyDescent="0.25">
      <c r="A2080">
        <v>5990</v>
      </c>
      <c r="F2080" t="s">
        <v>5603</v>
      </c>
      <c r="G2080" t="s">
        <v>5604</v>
      </c>
    </row>
    <row r="2081" spans="1:7" x14ac:dyDescent="0.25">
      <c r="A2081">
        <v>5990</v>
      </c>
      <c r="F2081" t="s">
        <v>53</v>
      </c>
      <c r="G2081" t="s">
        <v>5604</v>
      </c>
    </row>
    <row r="2082" spans="1:7" x14ac:dyDescent="0.25">
      <c r="A2082">
        <v>5990</v>
      </c>
      <c r="F2082" t="s">
        <v>55</v>
      </c>
      <c r="G2082" t="s">
        <v>5604</v>
      </c>
    </row>
    <row r="2083" spans="1:7" x14ac:dyDescent="0.25">
      <c r="A2083">
        <v>5990</v>
      </c>
      <c r="F2083" t="s">
        <v>5605</v>
      </c>
      <c r="G2083" t="s">
        <v>5604</v>
      </c>
    </row>
    <row r="2084" spans="1:7" x14ac:dyDescent="0.25">
      <c r="A2084">
        <v>5991</v>
      </c>
      <c r="F2084" t="s">
        <v>5603</v>
      </c>
      <c r="G2084" t="s">
        <v>5604</v>
      </c>
    </row>
    <row r="2085" spans="1:7" x14ac:dyDescent="0.25">
      <c r="A2085">
        <v>5991</v>
      </c>
      <c r="F2085" t="s">
        <v>53</v>
      </c>
      <c r="G2085" t="s">
        <v>5604</v>
      </c>
    </row>
    <row r="2086" spans="1:7" x14ac:dyDescent="0.25">
      <c r="A2086">
        <v>5991</v>
      </c>
      <c r="F2086" t="s">
        <v>55</v>
      </c>
      <c r="G2086" t="s">
        <v>5604</v>
      </c>
    </row>
    <row r="2087" spans="1:7" x14ac:dyDescent="0.25">
      <c r="A2087">
        <v>5991</v>
      </c>
      <c r="F2087" t="s">
        <v>5605</v>
      </c>
      <c r="G2087" t="s">
        <v>5604</v>
      </c>
    </row>
    <row r="2088" spans="1:7" x14ac:dyDescent="0.25">
      <c r="A2088">
        <v>5992</v>
      </c>
      <c r="F2088" t="s">
        <v>5603</v>
      </c>
      <c r="G2088" t="s">
        <v>5604</v>
      </c>
    </row>
    <row r="2089" spans="1:7" x14ac:dyDescent="0.25">
      <c r="A2089">
        <v>5992</v>
      </c>
      <c r="F2089" t="s">
        <v>53</v>
      </c>
      <c r="G2089" t="s">
        <v>5604</v>
      </c>
    </row>
    <row r="2090" spans="1:7" x14ac:dyDescent="0.25">
      <c r="A2090">
        <v>5992</v>
      </c>
      <c r="F2090" t="s">
        <v>55</v>
      </c>
      <c r="G2090" t="s">
        <v>5604</v>
      </c>
    </row>
    <row r="2091" spans="1:7" x14ac:dyDescent="0.25">
      <c r="A2091">
        <v>5992</v>
      </c>
      <c r="F2091" t="s">
        <v>5605</v>
      </c>
      <c r="G2091" t="s">
        <v>5604</v>
      </c>
    </row>
    <row r="2092" spans="1:7" x14ac:dyDescent="0.25">
      <c r="A2092">
        <v>5993</v>
      </c>
      <c r="F2092" t="s">
        <v>5603</v>
      </c>
      <c r="G2092" t="s">
        <v>5604</v>
      </c>
    </row>
    <row r="2093" spans="1:7" x14ac:dyDescent="0.25">
      <c r="A2093">
        <v>5993</v>
      </c>
      <c r="F2093" t="s">
        <v>53</v>
      </c>
      <c r="G2093" t="s">
        <v>5604</v>
      </c>
    </row>
    <row r="2094" spans="1:7" x14ac:dyDescent="0.25">
      <c r="A2094">
        <v>5993</v>
      </c>
      <c r="F2094" t="s">
        <v>55</v>
      </c>
      <c r="G2094" t="s">
        <v>5604</v>
      </c>
    </row>
    <row r="2095" spans="1:7" x14ac:dyDescent="0.25">
      <c r="A2095">
        <v>5993</v>
      </c>
      <c r="F2095" t="s">
        <v>5605</v>
      </c>
      <c r="G2095" t="s">
        <v>5604</v>
      </c>
    </row>
    <row r="2096" spans="1:7" x14ac:dyDescent="0.25">
      <c r="A2096">
        <v>5994</v>
      </c>
      <c r="F2096" t="s">
        <v>5603</v>
      </c>
      <c r="G2096" t="s">
        <v>5604</v>
      </c>
    </row>
    <row r="2097" spans="1:7" x14ac:dyDescent="0.25">
      <c r="A2097">
        <v>5994</v>
      </c>
      <c r="F2097" t="s">
        <v>53</v>
      </c>
      <c r="G2097" t="s">
        <v>5604</v>
      </c>
    </row>
    <row r="2098" spans="1:7" x14ac:dyDescent="0.25">
      <c r="A2098">
        <v>5994</v>
      </c>
      <c r="F2098" t="s">
        <v>55</v>
      </c>
      <c r="G2098" t="s">
        <v>5604</v>
      </c>
    </row>
    <row r="2099" spans="1:7" x14ac:dyDescent="0.25">
      <c r="A2099">
        <v>5994</v>
      </c>
      <c r="F2099" t="s">
        <v>5605</v>
      </c>
      <c r="G2099" t="s">
        <v>5604</v>
      </c>
    </row>
    <row r="2100" spans="1:7" x14ac:dyDescent="0.25">
      <c r="A2100">
        <v>5995</v>
      </c>
      <c r="F2100" t="s">
        <v>5603</v>
      </c>
      <c r="G2100" t="s">
        <v>5604</v>
      </c>
    </row>
    <row r="2101" spans="1:7" x14ac:dyDescent="0.25">
      <c r="A2101">
        <v>5995</v>
      </c>
      <c r="F2101" t="s">
        <v>53</v>
      </c>
      <c r="G2101" t="s">
        <v>5604</v>
      </c>
    </row>
    <row r="2102" spans="1:7" x14ac:dyDescent="0.25">
      <c r="A2102">
        <v>5995</v>
      </c>
      <c r="F2102" t="s">
        <v>55</v>
      </c>
      <c r="G2102" t="s">
        <v>5604</v>
      </c>
    </row>
    <row r="2103" spans="1:7" x14ac:dyDescent="0.25">
      <c r="A2103">
        <v>5995</v>
      </c>
      <c r="F2103" t="s">
        <v>5605</v>
      </c>
      <c r="G2103" t="s">
        <v>5604</v>
      </c>
    </row>
    <row r="2104" spans="1:7" x14ac:dyDescent="0.25">
      <c r="A2104">
        <v>5996</v>
      </c>
      <c r="F2104" t="s">
        <v>5603</v>
      </c>
      <c r="G2104" t="s">
        <v>5604</v>
      </c>
    </row>
    <row r="2105" spans="1:7" x14ac:dyDescent="0.25">
      <c r="A2105">
        <v>5996</v>
      </c>
      <c r="F2105" t="s">
        <v>53</v>
      </c>
      <c r="G2105" t="s">
        <v>5604</v>
      </c>
    </row>
    <row r="2106" spans="1:7" x14ac:dyDescent="0.25">
      <c r="A2106">
        <v>5996</v>
      </c>
      <c r="F2106" t="s">
        <v>55</v>
      </c>
      <c r="G2106" t="s">
        <v>5604</v>
      </c>
    </row>
    <row r="2107" spans="1:7" x14ac:dyDescent="0.25">
      <c r="A2107">
        <v>5996</v>
      </c>
      <c r="F2107" t="s">
        <v>5605</v>
      </c>
      <c r="G2107" t="s">
        <v>5604</v>
      </c>
    </row>
    <row r="2108" spans="1:7" x14ac:dyDescent="0.25">
      <c r="A2108">
        <v>5997</v>
      </c>
      <c r="F2108" t="s">
        <v>5603</v>
      </c>
      <c r="G2108" t="s">
        <v>5604</v>
      </c>
    </row>
    <row r="2109" spans="1:7" x14ac:dyDescent="0.25">
      <c r="A2109">
        <v>5997</v>
      </c>
      <c r="F2109" t="s">
        <v>53</v>
      </c>
      <c r="G2109" t="s">
        <v>5604</v>
      </c>
    </row>
    <row r="2110" spans="1:7" x14ac:dyDescent="0.25">
      <c r="A2110">
        <v>5997</v>
      </c>
      <c r="F2110" t="s">
        <v>55</v>
      </c>
      <c r="G2110" t="s">
        <v>5604</v>
      </c>
    </row>
    <row r="2111" spans="1:7" x14ac:dyDescent="0.25">
      <c r="A2111">
        <v>5997</v>
      </c>
      <c r="F2111" t="s">
        <v>5605</v>
      </c>
      <c r="G2111" t="s">
        <v>5604</v>
      </c>
    </row>
    <row r="2112" spans="1:7" x14ac:dyDescent="0.25">
      <c r="A2112">
        <v>5998</v>
      </c>
      <c r="F2112" t="s">
        <v>5603</v>
      </c>
      <c r="G2112" t="s">
        <v>5604</v>
      </c>
    </row>
    <row r="2113" spans="1:7" x14ac:dyDescent="0.25">
      <c r="A2113">
        <v>5998</v>
      </c>
      <c r="F2113" t="s">
        <v>53</v>
      </c>
      <c r="G2113" t="s">
        <v>5604</v>
      </c>
    </row>
    <row r="2114" spans="1:7" x14ac:dyDescent="0.25">
      <c r="A2114">
        <v>5998</v>
      </c>
      <c r="F2114" t="s">
        <v>55</v>
      </c>
      <c r="G2114" t="s">
        <v>5604</v>
      </c>
    </row>
    <row r="2115" spans="1:7" x14ac:dyDescent="0.25">
      <c r="A2115">
        <v>5998</v>
      </c>
      <c r="F2115" t="s">
        <v>5605</v>
      </c>
      <c r="G2115" t="s">
        <v>5604</v>
      </c>
    </row>
    <row r="2116" spans="1:7" x14ac:dyDescent="0.25">
      <c r="A2116">
        <v>5999</v>
      </c>
      <c r="F2116" t="s">
        <v>5603</v>
      </c>
      <c r="G2116" t="s">
        <v>5604</v>
      </c>
    </row>
    <row r="2117" spans="1:7" x14ac:dyDescent="0.25">
      <c r="A2117">
        <v>5999</v>
      </c>
      <c r="F2117" t="s">
        <v>53</v>
      </c>
      <c r="G2117" t="s">
        <v>5604</v>
      </c>
    </row>
    <row r="2118" spans="1:7" x14ac:dyDescent="0.25">
      <c r="A2118">
        <v>5999</v>
      </c>
      <c r="F2118" t="s">
        <v>55</v>
      </c>
      <c r="G2118" t="s">
        <v>5604</v>
      </c>
    </row>
    <row r="2119" spans="1:7" x14ac:dyDescent="0.25">
      <c r="A2119">
        <v>5999</v>
      </c>
      <c r="F2119" t="s">
        <v>5605</v>
      </c>
      <c r="G2119" t="s">
        <v>5604</v>
      </c>
    </row>
    <row r="2120" spans="1:7" x14ac:dyDescent="0.25">
      <c r="A2120">
        <v>6000</v>
      </c>
      <c r="F2120" t="s">
        <v>5603</v>
      </c>
      <c r="G2120" t="s">
        <v>5604</v>
      </c>
    </row>
    <row r="2121" spans="1:7" x14ac:dyDescent="0.25">
      <c r="A2121">
        <v>6000</v>
      </c>
      <c r="F2121" t="s">
        <v>53</v>
      </c>
      <c r="G2121" t="s">
        <v>5604</v>
      </c>
    </row>
    <row r="2122" spans="1:7" x14ac:dyDescent="0.25">
      <c r="A2122">
        <v>6000</v>
      </c>
      <c r="F2122" t="s">
        <v>55</v>
      </c>
      <c r="G2122" t="s">
        <v>5604</v>
      </c>
    </row>
    <row r="2123" spans="1:7" x14ac:dyDescent="0.25">
      <c r="A2123">
        <v>6000</v>
      </c>
      <c r="F2123" t="s">
        <v>5605</v>
      </c>
      <c r="G2123" t="s">
        <v>5604</v>
      </c>
    </row>
    <row r="2124" spans="1:7" x14ac:dyDescent="0.25">
      <c r="A2124">
        <v>6001</v>
      </c>
      <c r="F2124" t="s">
        <v>5603</v>
      </c>
      <c r="G2124" t="s">
        <v>5604</v>
      </c>
    </row>
    <row r="2125" spans="1:7" x14ac:dyDescent="0.25">
      <c r="A2125">
        <v>6001</v>
      </c>
      <c r="F2125" t="s">
        <v>53</v>
      </c>
      <c r="G2125" t="s">
        <v>5604</v>
      </c>
    </row>
    <row r="2126" spans="1:7" x14ac:dyDescent="0.25">
      <c r="A2126">
        <v>6001</v>
      </c>
      <c r="F2126" t="s">
        <v>55</v>
      </c>
      <c r="G2126" t="s">
        <v>5604</v>
      </c>
    </row>
    <row r="2127" spans="1:7" x14ac:dyDescent="0.25">
      <c r="A2127">
        <v>6001</v>
      </c>
      <c r="F2127" t="s">
        <v>5605</v>
      </c>
      <c r="G2127" t="s">
        <v>5604</v>
      </c>
    </row>
    <row r="2128" spans="1:7" x14ac:dyDescent="0.25">
      <c r="A2128">
        <v>6002</v>
      </c>
      <c r="F2128" t="s">
        <v>5603</v>
      </c>
      <c r="G2128" t="s">
        <v>5604</v>
      </c>
    </row>
    <row r="2129" spans="1:7" x14ac:dyDescent="0.25">
      <c r="A2129">
        <v>6002</v>
      </c>
      <c r="F2129" t="s">
        <v>53</v>
      </c>
      <c r="G2129" t="s">
        <v>5604</v>
      </c>
    </row>
    <row r="2130" spans="1:7" x14ac:dyDescent="0.25">
      <c r="A2130">
        <v>6002</v>
      </c>
      <c r="F2130" t="s">
        <v>55</v>
      </c>
      <c r="G2130" t="s">
        <v>5604</v>
      </c>
    </row>
    <row r="2131" spans="1:7" x14ac:dyDescent="0.25">
      <c r="A2131">
        <v>6002</v>
      </c>
      <c r="F2131" t="s">
        <v>5605</v>
      </c>
      <c r="G2131" t="s">
        <v>5604</v>
      </c>
    </row>
    <row r="2132" spans="1:7" x14ac:dyDescent="0.25">
      <c r="A2132">
        <v>6003</v>
      </c>
      <c r="F2132" t="s">
        <v>5603</v>
      </c>
      <c r="G2132" t="s">
        <v>5604</v>
      </c>
    </row>
    <row r="2133" spans="1:7" x14ac:dyDescent="0.25">
      <c r="A2133">
        <v>6003</v>
      </c>
      <c r="F2133" t="s">
        <v>53</v>
      </c>
      <c r="G2133" t="s">
        <v>5604</v>
      </c>
    </row>
    <row r="2134" spans="1:7" x14ac:dyDescent="0.25">
      <c r="A2134">
        <v>6003</v>
      </c>
      <c r="F2134" t="s">
        <v>55</v>
      </c>
      <c r="G2134" t="s">
        <v>5604</v>
      </c>
    </row>
    <row r="2135" spans="1:7" x14ac:dyDescent="0.25">
      <c r="A2135">
        <v>6003</v>
      </c>
      <c r="F2135" t="s">
        <v>5605</v>
      </c>
      <c r="G2135" t="s">
        <v>5604</v>
      </c>
    </row>
    <row r="2136" spans="1:7" x14ac:dyDescent="0.25">
      <c r="A2136">
        <v>6004</v>
      </c>
      <c r="F2136" t="s">
        <v>5603</v>
      </c>
      <c r="G2136" t="s">
        <v>5604</v>
      </c>
    </row>
    <row r="2137" spans="1:7" x14ac:dyDescent="0.25">
      <c r="A2137">
        <v>6004</v>
      </c>
      <c r="F2137" t="s">
        <v>53</v>
      </c>
      <c r="G2137" t="s">
        <v>5604</v>
      </c>
    </row>
    <row r="2138" spans="1:7" x14ac:dyDescent="0.25">
      <c r="A2138">
        <v>6004</v>
      </c>
      <c r="F2138" t="s">
        <v>55</v>
      </c>
      <c r="G2138" t="s">
        <v>5604</v>
      </c>
    </row>
    <row r="2139" spans="1:7" x14ac:dyDescent="0.25">
      <c r="A2139">
        <v>6004</v>
      </c>
      <c r="F2139" t="s">
        <v>5605</v>
      </c>
      <c r="G2139" t="s">
        <v>5604</v>
      </c>
    </row>
    <row r="2140" spans="1:7" x14ac:dyDescent="0.25">
      <c r="A2140">
        <v>6005</v>
      </c>
      <c r="F2140" t="s">
        <v>5603</v>
      </c>
      <c r="G2140" t="s">
        <v>5604</v>
      </c>
    </row>
    <row r="2141" spans="1:7" x14ac:dyDescent="0.25">
      <c r="A2141">
        <v>6005</v>
      </c>
      <c r="F2141" t="s">
        <v>53</v>
      </c>
      <c r="G2141" t="s">
        <v>5604</v>
      </c>
    </row>
    <row r="2142" spans="1:7" x14ac:dyDescent="0.25">
      <c r="A2142">
        <v>6005</v>
      </c>
      <c r="F2142" t="s">
        <v>55</v>
      </c>
      <c r="G2142" t="s">
        <v>5604</v>
      </c>
    </row>
    <row r="2143" spans="1:7" x14ac:dyDescent="0.25">
      <c r="A2143">
        <v>6005</v>
      </c>
      <c r="F2143" t="s">
        <v>5605</v>
      </c>
      <c r="G2143" t="s">
        <v>5604</v>
      </c>
    </row>
    <row r="2144" spans="1:7" x14ac:dyDescent="0.25">
      <c r="A2144">
        <v>6006</v>
      </c>
      <c r="F2144" t="s">
        <v>5603</v>
      </c>
      <c r="G2144" t="s">
        <v>5604</v>
      </c>
    </row>
    <row r="2145" spans="1:7" x14ac:dyDescent="0.25">
      <c r="A2145">
        <v>6006</v>
      </c>
      <c r="F2145" t="s">
        <v>53</v>
      </c>
      <c r="G2145" t="s">
        <v>5604</v>
      </c>
    </row>
    <row r="2146" spans="1:7" x14ac:dyDescent="0.25">
      <c r="A2146">
        <v>6006</v>
      </c>
      <c r="F2146" t="s">
        <v>55</v>
      </c>
      <c r="G2146" t="s">
        <v>5604</v>
      </c>
    </row>
    <row r="2147" spans="1:7" x14ac:dyDescent="0.25">
      <c r="A2147">
        <v>6006</v>
      </c>
      <c r="F2147" t="s">
        <v>5605</v>
      </c>
      <c r="G2147" t="s">
        <v>5604</v>
      </c>
    </row>
    <row r="2148" spans="1:7" x14ac:dyDescent="0.25">
      <c r="A2148">
        <v>6007</v>
      </c>
      <c r="F2148" t="s">
        <v>5603</v>
      </c>
      <c r="G2148" t="s">
        <v>5604</v>
      </c>
    </row>
    <row r="2149" spans="1:7" x14ac:dyDescent="0.25">
      <c r="A2149">
        <v>6007</v>
      </c>
      <c r="F2149" t="s">
        <v>53</v>
      </c>
      <c r="G2149" t="s">
        <v>5604</v>
      </c>
    </row>
    <row r="2150" spans="1:7" x14ac:dyDescent="0.25">
      <c r="A2150">
        <v>6007</v>
      </c>
      <c r="F2150" t="s">
        <v>55</v>
      </c>
      <c r="G2150" t="s">
        <v>5604</v>
      </c>
    </row>
    <row r="2151" spans="1:7" x14ac:dyDescent="0.25">
      <c r="A2151">
        <v>6007</v>
      </c>
      <c r="F2151" t="s">
        <v>5605</v>
      </c>
      <c r="G2151" t="s">
        <v>5604</v>
      </c>
    </row>
    <row r="2152" spans="1:7" x14ac:dyDescent="0.25">
      <c r="A2152">
        <v>6008</v>
      </c>
      <c r="F2152" t="s">
        <v>5603</v>
      </c>
      <c r="G2152" t="s">
        <v>5604</v>
      </c>
    </row>
    <row r="2153" spans="1:7" x14ac:dyDescent="0.25">
      <c r="A2153">
        <v>6008</v>
      </c>
      <c r="F2153" t="s">
        <v>53</v>
      </c>
      <c r="G2153" t="s">
        <v>5604</v>
      </c>
    </row>
    <row r="2154" spans="1:7" x14ac:dyDescent="0.25">
      <c r="A2154">
        <v>6008</v>
      </c>
      <c r="F2154" t="s">
        <v>55</v>
      </c>
      <c r="G2154" t="s">
        <v>5604</v>
      </c>
    </row>
    <row r="2155" spans="1:7" x14ac:dyDescent="0.25">
      <c r="A2155">
        <v>6008</v>
      </c>
      <c r="F2155" t="s">
        <v>5605</v>
      </c>
      <c r="G2155" t="s">
        <v>5604</v>
      </c>
    </row>
    <row r="2156" spans="1:7" x14ac:dyDescent="0.25">
      <c r="A2156">
        <v>6009</v>
      </c>
      <c r="F2156" t="s">
        <v>5603</v>
      </c>
      <c r="G2156" t="s">
        <v>5604</v>
      </c>
    </row>
    <row r="2157" spans="1:7" x14ac:dyDescent="0.25">
      <c r="A2157">
        <v>6009</v>
      </c>
      <c r="F2157" t="s">
        <v>53</v>
      </c>
      <c r="G2157" t="s">
        <v>5604</v>
      </c>
    </row>
    <row r="2158" spans="1:7" x14ac:dyDescent="0.25">
      <c r="A2158">
        <v>6009</v>
      </c>
      <c r="F2158" t="s">
        <v>55</v>
      </c>
      <c r="G2158" t="s">
        <v>5604</v>
      </c>
    </row>
    <row r="2159" spans="1:7" x14ac:dyDescent="0.25">
      <c r="A2159">
        <v>6009</v>
      </c>
      <c r="F2159" t="s">
        <v>5605</v>
      </c>
      <c r="G2159" t="s">
        <v>5604</v>
      </c>
    </row>
    <row r="2160" spans="1:7" x14ac:dyDescent="0.25">
      <c r="A2160">
        <v>6010</v>
      </c>
      <c r="F2160" t="s">
        <v>5603</v>
      </c>
      <c r="G2160" t="s">
        <v>5604</v>
      </c>
    </row>
    <row r="2161" spans="1:7" x14ac:dyDescent="0.25">
      <c r="A2161">
        <v>6010</v>
      </c>
      <c r="F2161" t="s">
        <v>53</v>
      </c>
      <c r="G2161" t="s">
        <v>5604</v>
      </c>
    </row>
    <row r="2162" spans="1:7" x14ac:dyDescent="0.25">
      <c r="A2162">
        <v>6010</v>
      </c>
      <c r="F2162" t="s">
        <v>55</v>
      </c>
      <c r="G2162" t="s">
        <v>5604</v>
      </c>
    </row>
    <row r="2163" spans="1:7" x14ac:dyDescent="0.25">
      <c r="A2163">
        <v>6010</v>
      </c>
      <c r="F2163" t="s">
        <v>5605</v>
      </c>
      <c r="G2163" t="s">
        <v>5604</v>
      </c>
    </row>
    <row r="2164" spans="1:7" x14ac:dyDescent="0.25">
      <c r="A2164">
        <v>6011</v>
      </c>
      <c r="F2164" t="s">
        <v>5603</v>
      </c>
      <c r="G2164" t="s">
        <v>5604</v>
      </c>
    </row>
    <row r="2165" spans="1:7" x14ac:dyDescent="0.25">
      <c r="A2165">
        <v>6011</v>
      </c>
      <c r="F2165" t="s">
        <v>53</v>
      </c>
      <c r="G2165" t="s">
        <v>5604</v>
      </c>
    </row>
    <row r="2166" spans="1:7" x14ac:dyDescent="0.25">
      <c r="A2166">
        <v>6011</v>
      </c>
      <c r="F2166" t="s">
        <v>55</v>
      </c>
      <c r="G2166" t="s">
        <v>5604</v>
      </c>
    </row>
    <row r="2167" spans="1:7" x14ac:dyDescent="0.25">
      <c r="A2167">
        <v>6011</v>
      </c>
      <c r="F2167" t="s">
        <v>5605</v>
      </c>
      <c r="G2167" t="s">
        <v>5604</v>
      </c>
    </row>
    <row r="2168" spans="1:7" x14ac:dyDescent="0.25">
      <c r="A2168">
        <v>6012</v>
      </c>
      <c r="F2168" t="s">
        <v>5603</v>
      </c>
      <c r="G2168" t="s">
        <v>5604</v>
      </c>
    </row>
    <row r="2169" spans="1:7" x14ac:dyDescent="0.25">
      <c r="A2169">
        <v>6012</v>
      </c>
      <c r="F2169" t="s">
        <v>53</v>
      </c>
      <c r="G2169" t="s">
        <v>5604</v>
      </c>
    </row>
    <row r="2170" spans="1:7" x14ac:dyDescent="0.25">
      <c r="A2170">
        <v>6012</v>
      </c>
      <c r="F2170" t="s">
        <v>55</v>
      </c>
      <c r="G2170" t="s">
        <v>5604</v>
      </c>
    </row>
    <row r="2171" spans="1:7" x14ac:dyDescent="0.25">
      <c r="A2171">
        <v>6012</v>
      </c>
      <c r="F2171" t="s">
        <v>5605</v>
      </c>
      <c r="G2171" t="s">
        <v>5604</v>
      </c>
    </row>
    <row r="2172" spans="1:7" x14ac:dyDescent="0.25">
      <c r="A2172">
        <v>6013</v>
      </c>
      <c r="F2172" t="s">
        <v>5603</v>
      </c>
      <c r="G2172" t="s">
        <v>5604</v>
      </c>
    </row>
    <row r="2173" spans="1:7" x14ac:dyDescent="0.25">
      <c r="A2173">
        <v>6013</v>
      </c>
      <c r="F2173" t="s">
        <v>53</v>
      </c>
      <c r="G2173" t="s">
        <v>5604</v>
      </c>
    </row>
    <row r="2174" spans="1:7" x14ac:dyDescent="0.25">
      <c r="A2174">
        <v>6013</v>
      </c>
      <c r="F2174" t="s">
        <v>55</v>
      </c>
      <c r="G2174" t="s">
        <v>5604</v>
      </c>
    </row>
    <row r="2175" spans="1:7" x14ac:dyDescent="0.25">
      <c r="A2175">
        <v>6013</v>
      </c>
      <c r="F2175" t="s">
        <v>5605</v>
      </c>
      <c r="G2175" t="s">
        <v>5604</v>
      </c>
    </row>
    <row r="2176" spans="1:7" x14ac:dyDescent="0.25">
      <c r="A2176">
        <v>6014</v>
      </c>
      <c r="F2176" t="s">
        <v>5603</v>
      </c>
      <c r="G2176" t="s">
        <v>5604</v>
      </c>
    </row>
    <row r="2177" spans="1:7" x14ac:dyDescent="0.25">
      <c r="A2177">
        <v>6014</v>
      </c>
      <c r="F2177" t="s">
        <v>53</v>
      </c>
      <c r="G2177" t="s">
        <v>5604</v>
      </c>
    </row>
    <row r="2178" spans="1:7" x14ac:dyDescent="0.25">
      <c r="A2178">
        <v>6014</v>
      </c>
      <c r="F2178" t="s">
        <v>55</v>
      </c>
      <c r="G2178" t="s">
        <v>5604</v>
      </c>
    </row>
    <row r="2179" spans="1:7" x14ac:dyDescent="0.25">
      <c r="A2179">
        <v>6014</v>
      </c>
      <c r="F2179" t="s">
        <v>5605</v>
      </c>
      <c r="G2179" t="s">
        <v>5604</v>
      </c>
    </row>
    <row r="2180" spans="1:7" x14ac:dyDescent="0.25">
      <c r="A2180">
        <v>6015</v>
      </c>
      <c r="F2180" t="s">
        <v>5603</v>
      </c>
      <c r="G2180" t="s">
        <v>5604</v>
      </c>
    </row>
    <row r="2181" spans="1:7" x14ac:dyDescent="0.25">
      <c r="A2181">
        <v>6015</v>
      </c>
      <c r="F2181" t="s">
        <v>53</v>
      </c>
      <c r="G2181" t="s">
        <v>5604</v>
      </c>
    </row>
    <row r="2182" spans="1:7" x14ac:dyDescent="0.25">
      <c r="A2182">
        <v>6015</v>
      </c>
      <c r="F2182" t="s">
        <v>55</v>
      </c>
      <c r="G2182" t="s">
        <v>5604</v>
      </c>
    </row>
    <row r="2183" spans="1:7" x14ac:dyDescent="0.25">
      <c r="A2183">
        <v>6015</v>
      </c>
      <c r="F2183" t="s">
        <v>5605</v>
      </c>
      <c r="G2183" t="s">
        <v>5604</v>
      </c>
    </row>
    <row r="2184" spans="1:7" x14ac:dyDescent="0.25">
      <c r="A2184">
        <v>6016</v>
      </c>
      <c r="F2184" t="s">
        <v>5603</v>
      </c>
      <c r="G2184" t="s">
        <v>5604</v>
      </c>
    </row>
    <row r="2185" spans="1:7" x14ac:dyDescent="0.25">
      <c r="A2185">
        <v>6016</v>
      </c>
      <c r="F2185" t="s">
        <v>53</v>
      </c>
      <c r="G2185" t="s">
        <v>5604</v>
      </c>
    </row>
    <row r="2186" spans="1:7" x14ac:dyDescent="0.25">
      <c r="A2186">
        <v>6016</v>
      </c>
      <c r="F2186" t="s">
        <v>55</v>
      </c>
      <c r="G2186" t="s">
        <v>5604</v>
      </c>
    </row>
    <row r="2187" spans="1:7" x14ac:dyDescent="0.25">
      <c r="A2187">
        <v>6016</v>
      </c>
      <c r="F2187" t="s">
        <v>5605</v>
      </c>
      <c r="G2187" t="s">
        <v>5604</v>
      </c>
    </row>
    <row r="2188" spans="1:7" x14ac:dyDescent="0.25">
      <c r="A2188">
        <v>6017</v>
      </c>
      <c r="F2188" t="s">
        <v>5603</v>
      </c>
      <c r="G2188" t="s">
        <v>5604</v>
      </c>
    </row>
    <row r="2189" spans="1:7" x14ac:dyDescent="0.25">
      <c r="A2189">
        <v>6017</v>
      </c>
      <c r="F2189" t="s">
        <v>53</v>
      </c>
      <c r="G2189" t="s">
        <v>5604</v>
      </c>
    </row>
    <row r="2190" spans="1:7" x14ac:dyDescent="0.25">
      <c r="A2190">
        <v>6017</v>
      </c>
      <c r="F2190" t="s">
        <v>55</v>
      </c>
      <c r="G2190" t="s">
        <v>5604</v>
      </c>
    </row>
    <row r="2191" spans="1:7" x14ac:dyDescent="0.25">
      <c r="A2191">
        <v>6017</v>
      </c>
      <c r="F2191" t="s">
        <v>5605</v>
      </c>
      <c r="G2191" t="s">
        <v>5604</v>
      </c>
    </row>
    <row r="2192" spans="1:7" x14ac:dyDescent="0.25">
      <c r="A2192">
        <v>6018</v>
      </c>
      <c r="F2192" t="s">
        <v>5603</v>
      </c>
      <c r="G2192" t="s">
        <v>5604</v>
      </c>
    </row>
    <row r="2193" spans="1:7" x14ac:dyDescent="0.25">
      <c r="A2193">
        <v>6018</v>
      </c>
      <c r="F2193" t="s">
        <v>53</v>
      </c>
      <c r="G2193" t="s">
        <v>5604</v>
      </c>
    </row>
    <row r="2194" spans="1:7" x14ac:dyDescent="0.25">
      <c r="A2194">
        <v>6018</v>
      </c>
      <c r="F2194" t="s">
        <v>55</v>
      </c>
      <c r="G2194" t="s">
        <v>5604</v>
      </c>
    </row>
    <row r="2195" spans="1:7" x14ac:dyDescent="0.25">
      <c r="A2195">
        <v>6018</v>
      </c>
      <c r="F2195" t="s">
        <v>5605</v>
      </c>
      <c r="G2195" t="s">
        <v>5604</v>
      </c>
    </row>
    <row r="2196" spans="1:7" x14ac:dyDescent="0.25">
      <c r="A2196">
        <v>6019</v>
      </c>
      <c r="F2196" t="s">
        <v>5603</v>
      </c>
      <c r="G2196" t="s">
        <v>5604</v>
      </c>
    </row>
    <row r="2197" spans="1:7" x14ac:dyDescent="0.25">
      <c r="A2197">
        <v>6019</v>
      </c>
      <c r="F2197" t="s">
        <v>53</v>
      </c>
      <c r="G2197" t="s">
        <v>5604</v>
      </c>
    </row>
    <row r="2198" spans="1:7" x14ac:dyDescent="0.25">
      <c r="A2198">
        <v>6019</v>
      </c>
      <c r="F2198" t="s">
        <v>55</v>
      </c>
      <c r="G2198" t="s">
        <v>5604</v>
      </c>
    </row>
    <row r="2199" spans="1:7" x14ac:dyDescent="0.25">
      <c r="A2199">
        <v>6019</v>
      </c>
      <c r="F2199" t="s">
        <v>5605</v>
      </c>
      <c r="G2199" t="s">
        <v>5604</v>
      </c>
    </row>
    <row r="2200" spans="1:7" x14ac:dyDescent="0.25">
      <c r="A2200">
        <v>6020</v>
      </c>
      <c r="F2200" t="s">
        <v>5603</v>
      </c>
      <c r="G2200" t="s">
        <v>5604</v>
      </c>
    </row>
    <row r="2201" spans="1:7" x14ac:dyDescent="0.25">
      <c r="A2201">
        <v>6020</v>
      </c>
      <c r="F2201" t="s">
        <v>53</v>
      </c>
      <c r="G2201" t="s">
        <v>5604</v>
      </c>
    </row>
    <row r="2202" spans="1:7" x14ac:dyDescent="0.25">
      <c r="A2202">
        <v>6020</v>
      </c>
      <c r="F2202" t="s">
        <v>55</v>
      </c>
      <c r="G2202" t="s">
        <v>5604</v>
      </c>
    </row>
    <row r="2203" spans="1:7" x14ac:dyDescent="0.25">
      <c r="A2203">
        <v>6020</v>
      </c>
      <c r="F2203" t="s">
        <v>5605</v>
      </c>
      <c r="G2203" t="s">
        <v>5604</v>
      </c>
    </row>
    <row r="2204" spans="1:7" x14ac:dyDescent="0.25">
      <c r="A2204">
        <v>6021</v>
      </c>
      <c r="F2204" t="s">
        <v>5603</v>
      </c>
      <c r="G2204" t="s">
        <v>5604</v>
      </c>
    </row>
    <row r="2205" spans="1:7" x14ac:dyDescent="0.25">
      <c r="A2205">
        <v>6021</v>
      </c>
      <c r="F2205" t="s">
        <v>53</v>
      </c>
      <c r="G2205" t="s">
        <v>5604</v>
      </c>
    </row>
    <row r="2206" spans="1:7" x14ac:dyDescent="0.25">
      <c r="A2206">
        <v>6021</v>
      </c>
      <c r="F2206" t="s">
        <v>55</v>
      </c>
      <c r="G2206" t="s">
        <v>5604</v>
      </c>
    </row>
    <row r="2207" spans="1:7" x14ac:dyDescent="0.25">
      <c r="A2207">
        <v>6021</v>
      </c>
      <c r="F2207" t="s">
        <v>5605</v>
      </c>
      <c r="G2207" t="s">
        <v>5604</v>
      </c>
    </row>
    <row r="2208" spans="1:7" x14ac:dyDescent="0.25">
      <c r="A2208">
        <v>6022</v>
      </c>
      <c r="F2208" t="s">
        <v>5603</v>
      </c>
      <c r="G2208" t="s">
        <v>5604</v>
      </c>
    </row>
    <row r="2209" spans="1:7" x14ac:dyDescent="0.25">
      <c r="A2209">
        <v>6022</v>
      </c>
      <c r="F2209" t="s">
        <v>53</v>
      </c>
      <c r="G2209" t="s">
        <v>5604</v>
      </c>
    </row>
    <row r="2210" spans="1:7" x14ac:dyDescent="0.25">
      <c r="A2210">
        <v>6022</v>
      </c>
      <c r="F2210" t="s">
        <v>55</v>
      </c>
      <c r="G2210" t="s">
        <v>5604</v>
      </c>
    </row>
    <row r="2211" spans="1:7" x14ac:dyDescent="0.25">
      <c r="A2211">
        <v>6022</v>
      </c>
      <c r="F2211" t="s">
        <v>5605</v>
      </c>
      <c r="G2211" t="s">
        <v>5604</v>
      </c>
    </row>
    <row r="2212" spans="1:7" x14ac:dyDescent="0.25">
      <c r="A2212">
        <v>6023</v>
      </c>
      <c r="F2212" t="s">
        <v>5603</v>
      </c>
      <c r="G2212" t="s">
        <v>5604</v>
      </c>
    </row>
    <row r="2213" spans="1:7" x14ac:dyDescent="0.25">
      <c r="A2213">
        <v>6023</v>
      </c>
      <c r="F2213" t="s">
        <v>53</v>
      </c>
      <c r="G2213" t="s">
        <v>5604</v>
      </c>
    </row>
    <row r="2214" spans="1:7" x14ac:dyDescent="0.25">
      <c r="A2214">
        <v>6023</v>
      </c>
      <c r="F2214" t="s">
        <v>55</v>
      </c>
      <c r="G2214" t="s">
        <v>5604</v>
      </c>
    </row>
    <row r="2215" spans="1:7" x14ac:dyDescent="0.25">
      <c r="A2215">
        <v>6023</v>
      </c>
      <c r="F2215" t="s">
        <v>5605</v>
      </c>
      <c r="G2215" t="s">
        <v>5604</v>
      </c>
    </row>
    <row r="2216" spans="1:7" x14ac:dyDescent="0.25">
      <c r="A2216">
        <v>6024</v>
      </c>
      <c r="F2216" t="s">
        <v>5603</v>
      </c>
      <c r="G2216" t="s">
        <v>5604</v>
      </c>
    </row>
    <row r="2217" spans="1:7" x14ac:dyDescent="0.25">
      <c r="A2217">
        <v>6024</v>
      </c>
      <c r="F2217" t="s">
        <v>53</v>
      </c>
      <c r="G2217" t="s">
        <v>5604</v>
      </c>
    </row>
    <row r="2218" spans="1:7" x14ac:dyDescent="0.25">
      <c r="A2218">
        <v>6024</v>
      </c>
      <c r="F2218" t="s">
        <v>55</v>
      </c>
      <c r="G2218" t="s">
        <v>5604</v>
      </c>
    </row>
    <row r="2219" spans="1:7" x14ac:dyDescent="0.25">
      <c r="A2219">
        <v>6024</v>
      </c>
      <c r="F2219" t="s">
        <v>5605</v>
      </c>
      <c r="G2219" t="s">
        <v>5604</v>
      </c>
    </row>
    <row r="2220" spans="1:7" x14ac:dyDescent="0.25">
      <c r="A2220">
        <v>6025</v>
      </c>
      <c r="F2220" t="s">
        <v>5603</v>
      </c>
      <c r="G2220" t="s">
        <v>5604</v>
      </c>
    </row>
    <row r="2221" spans="1:7" x14ac:dyDescent="0.25">
      <c r="A2221">
        <v>6025</v>
      </c>
      <c r="F2221" t="s">
        <v>53</v>
      </c>
      <c r="G2221" t="s">
        <v>5604</v>
      </c>
    </row>
    <row r="2222" spans="1:7" x14ac:dyDescent="0.25">
      <c r="A2222">
        <v>6025</v>
      </c>
      <c r="F2222" t="s">
        <v>55</v>
      </c>
      <c r="G2222" t="s">
        <v>5604</v>
      </c>
    </row>
    <row r="2223" spans="1:7" x14ac:dyDescent="0.25">
      <c r="A2223">
        <v>6025</v>
      </c>
      <c r="F2223" t="s">
        <v>5605</v>
      </c>
      <c r="G2223" t="s">
        <v>5604</v>
      </c>
    </row>
    <row r="2224" spans="1:7" x14ac:dyDescent="0.25">
      <c r="A2224">
        <v>6026</v>
      </c>
      <c r="F2224" t="s">
        <v>5603</v>
      </c>
      <c r="G2224" t="s">
        <v>5604</v>
      </c>
    </row>
    <row r="2225" spans="1:7" x14ac:dyDescent="0.25">
      <c r="A2225">
        <v>6026</v>
      </c>
      <c r="F2225" t="s">
        <v>53</v>
      </c>
      <c r="G2225" t="s">
        <v>5604</v>
      </c>
    </row>
    <row r="2226" spans="1:7" x14ac:dyDescent="0.25">
      <c r="A2226">
        <v>6026</v>
      </c>
      <c r="F2226" t="s">
        <v>55</v>
      </c>
      <c r="G2226" t="s">
        <v>5604</v>
      </c>
    </row>
    <row r="2227" spans="1:7" x14ac:dyDescent="0.25">
      <c r="A2227">
        <v>6026</v>
      </c>
      <c r="F2227" t="s">
        <v>5605</v>
      </c>
      <c r="G2227" t="s">
        <v>5604</v>
      </c>
    </row>
    <row r="2228" spans="1:7" x14ac:dyDescent="0.25">
      <c r="A2228">
        <v>6027</v>
      </c>
      <c r="F2228" t="s">
        <v>5603</v>
      </c>
      <c r="G2228" t="s">
        <v>5604</v>
      </c>
    </row>
    <row r="2229" spans="1:7" x14ac:dyDescent="0.25">
      <c r="A2229">
        <v>6027</v>
      </c>
      <c r="F2229" t="s">
        <v>53</v>
      </c>
      <c r="G2229" t="s">
        <v>5604</v>
      </c>
    </row>
    <row r="2230" spans="1:7" x14ac:dyDescent="0.25">
      <c r="A2230">
        <v>6027</v>
      </c>
      <c r="F2230" t="s">
        <v>55</v>
      </c>
      <c r="G2230" t="s">
        <v>5604</v>
      </c>
    </row>
    <row r="2231" spans="1:7" x14ac:dyDescent="0.25">
      <c r="A2231">
        <v>6027</v>
      </c>
      <c r="F2231" t="s">
        <v>5605</v>
      </c>
      <c r="G2231" t="s">
        <v>5604</v>
      </c>
    </row>
    <row r="2232" spans="1:7" x14ac:dyDescent="0.25">
      <c r="A2232">
        <v>6028</v>
      </c>
      <c r="F2232" t="s">
        <v>5603</v>
      </c>
      <c r="G2232" t="s">
        <v>5604</v>
      </c>
    </row>
    <row r="2233" spans="1:7" x14ac:dyDescent="0.25">
      <c r="A2233">
        <v>6028</v>
      </c>
      <c r="F2233" t="s">
        <v>53</v>
      </c>
      <c r="G2233" t="s">
        <v>5604</v>
      </c>
    </row>
    <row r="2234" spans="1:7" x14ac:dyDescent="0.25">
      <c r="A2234">
        <v>6028</v>
      </c>
      <c r="F2234" t="s">
        <v>55</v>
      </c>
      <c r="G2234" t="s">
        <v>5604</v>
      </c>
    </row>
    <row r="2235" spans="1:7" x14ac:dyDescent="0.25">
      <c r="A2235">
        <v>6028</v>
      </c>
      <c r="F2235" t="s">
        <v>5605</v>
      </c>
      <c r="G2235" t="s">
        <v>5604</v>
      </c>
    </row>
    <row r="2236" spans="1:7" x14ac:dyDescent="0.25">
      <c r="A2236">
        <v>6029</v>
      </c>
      <c r="F2236" t="s">
        <v>5603</v>
      </c>
      <c r="G2236" t="s">
        <v>5604</v>
      </c>
    </row>
    <row r="2237" spans="1:7" x14ac:dyDescent="0.25">
      <c r="A2237">
        <v>6029</v>
      </c>
      <c r="F2237" t="s">
        <v>53</v>
      </c>
      <c r="G2237" t="s">
        <v>5604</v>
      </c>
    </row>
    <row r="2238" spans="1:7" x14ac:dyDescent="0.25">
      <c r="A2238">
        <v>6029</v>
      </c>
      <c r="F2238" t="s">
        <v>55</v>
      </c>
      <c r="G2238" t="s">
        <v>5604</v>
      </c>
    </row>
    <row r="2239" spans="1:7" x14ac:dyDescent="0.25">
      <c r="A2239">
        <v>6029</v>
      </c>
      <c r="F2239" t="s">
        <v>5605</v>
      </c>
      <c r="G2239" t="s">
        <v>5604</v>
      </c>
    </row>
    <row r="2240" spans="1:7" x14ac:dyDescent="0.25">
      <c r="A2240">
        <v>6030</v>
      </c>
      <c r="F2240" t="s">
        <v>5603</v>
      </c>
      <c r="G2240" t="s">
        <v>5604</v>
      </c>
    </row>
    <row r="2241" spans="1:7" x14ac:dyDescent="0.25">
      <c r="A2241">
        <v>6030</v>
      </c>
      <c r="F2241" t="s">
        <v>53</v>
      </c>
      <c r="G2241" t="s">
        <v>5604</v>
      </c>
    </row>
    <row r="2242" spans="1:7" x14ac:dyDescent="0.25">
      <c r="A2242">
        <v>6030</v>
      </c>
      <c r="F2242" t="s">
        <v>55</v>
      </c>
      <c r="G2242" t="s">
        <v>5604</v>
      </c>
    </row>
    <row r="2243" spans="1:7" x14ac:dyDescent="0.25">
      <c r="A2243">
        <v>6030</v>
      </c>
      <c r="F2243" t="s">
        <v>5605</v>
      </c>
      <c r="G2243" t="s">
        <v>5604</v>
      </c>
    </row>
    <row r="2244" spans="1:7" x14ac:dyDescent="0.25">
      <c r="A2244">
        <v>6031</v>
      </c>
      <c r="F2244" t="s">
        <v>5603</v>
      </c>
      <c r="G2244" t="s">
        <v>5604</v>
      </c>
    </row>
    <row r="2245" spans="1:7" x14ac:dyDescent="0.25">
      <c r="A2245">
        <v>6031</v>
      </c>
      <c r="F2245" t="s">
        <v>53</v>
      </c>
      <c r="G2245" t="s">
        <v>5604</v>
      </c>
    </row>
    <row r="2246" spans="1:7" x14ac:dyDescent="0.25">
      <c r="A2246">
        <v>6031</v>
      </c>
      <c r="F2246" t="s">
        <v>55</v>
      </c>
      <c r="G2246" t="s">
        <v>5604</v>
      </c>
    </row>
    <row r="2247" spans="1:7" x14ac:dyDescent="0.25">
      <c r="A2247">
        <v>6031</v>
      </c>
      <c r="F2247" t="s">
        <v>5605</v>
      </c>
      <c r="G2247" t="s">
        <v>5604</v>
      </c>
    </row>
    <row r="2248" spans="1:7" x14ac:dyDescent="0.25">
      <c r="A2248">
        <v>6032</v>
      </c>
      <c r="F2248" t="s">
        <v>5603</v>
      </c>
      <c r="G2248" t="s">
        <v>5604</v>
      </c>
    </row>
    <row r="2249" spans="1:7" x14ac:dyDescent="0.25">
      <c r="A2249">
        <v>6032</v>
      </c>
      <c r="F2249" t="s">
        <v>53</v>
      </c>
      <c r="G2249" t="s">
        <v>5604</v>
      </c>
    </row>
    <row r="2250" spans="1:7" x14ac:dyDescent="0.25">
      <c r="A2250">
        <v>6032</v>
      </c>
      <c r="F2250" t="s">
        <v>55</v>
      </c>
      <c r="G2250" t="s">
        <v>5604</v>
      </c>
    </row>
    <row r="2251" spans="1:7" x14ac:dyDescent="0.25">
      <c r="A2251">
        <v>6032</v>
      </c>
      <c r="F2251" t="s">
        <v>5605</v>
      </c>
      <c r="G2251" t="s">
        <v>5604</v>
      </c>
    </row>
    <row r="2252" spans="1:7" x14ac:dyDescent="0.25">
      <c r="A2252">
        <v>6033</v>
      </c>
      <c r="F2252" t="s">
        <v>5603</v>
      </c>
      <c r="G2252" t="s">
        <v>5604</v>
      </c>
    </row>
    <row r="2253" spans="1:7" x14ac:dyDescent="0.25">
      <c r="A2253">
        <v>6033</v>
      </c>
      <c r="F2253" t="s">
        <v>53</v>
      </c>
      <c r="G2253" t="s">
        <v>5604</v>
      </c>
    </row>
    <row r="2254" spans="1:7" x14ac:dyDescent="0.25">
      <c r="A2254">
        <v>6033</v>
      </c>
      <c r="F2254" t="s">
        <v>55</v>
      </c>
      <c r="G2254" t="s">
        <v>5604</v>
      </c>
    </row>
    <row r="2255" spans="1:7" x14ac:dyDescent="0.25">
      <c r="A2255">
        <v>6033</v>
      </c>
      <c r="F2255" t="s">
        <v>5605</v>
      </c>
      <c r="G2255" t="s">
        <v>5604</v>
      </c>
    </row>
    <row r="2256" spans="1:7" x14ac:dyDescent="0.25">
      <c r="A2256">
        <v>6034</v>
      </c>
      <c r="F2256" t="s">
        <v>5603</v>
      </c>
      <c r="G2256" t="s">
        <v>5604</v>
      </c>
    </row>
    <row r="2257" spans="1:7" x14ac:dyDescent="0.25">
      <c r="A2257">
        <v>6034</v>
      </c>
      <c r="F2257" t="s">
        <v>53</v>
      </c>
      <c r="G2257" t="s">
        <v>5604</v>
      </c>
    </row>
    <row r="2258" spans="1:7" x14ac:dyDescent="0.25">
      <c r="A2258">
        <v>6034</v>
      </c>
      <c r="F2258" t="s">
        <v>55</v>
      </c>
      <c r="G2258" t="s">
        <v>5604</v>
      </c>
    </row>
    <row r="2259" spans="1:7" x14ac:dyDescent="0.25">
      <c r="A2259">
        <v>6034</v>
      </c>
      <c r="F2259" t="s">
        <v>5605</v>
      </c>
      <c r="G2259" t="s">
        <v>5604</v>
      </c>
    </row>
    <row r="2260" spans="1:7" x14ac:dyDescent="0.25">
      <c r="A2260">
        <v>6035</v>
      </c>
      <c r="F2260" t="s">
        <v>5603</v>
      </c>
      <c r="G2260" t="s">
        <v>5604</v>
      </c>
    </row>
    <row r="2261" spans="1:7" x14ac:dyDescent="0.25">
      <c r="A2261">
        <v>6035</v>
      </c>
      <c r="F2261" t="s">
        <v>53</v>
      </c>
      <c r="G2261" t="s">
        <v>5604</v>
      </c>
    </row>
    <row r="2262" spans="1:7" x14ac:dyDescent="0.25">
      <c r="A2262">
        <v>6035</v>
      </c>
      <c r="F2262" t="s">
        <v>55</v>
      </c>
      <c r="G2262" t="s">
        <v>5604</v>
      </c>
    </row>
    <row r="2263" spans="1:7" x14ac:dyDescent="0.25">
      <c r="A2263">
        <v>6035</v>
      </c>
      <c r="F2263" t="s">
        <v>5605</v>
      </c>
      <c r="G2263" t="s">
        <v>5604</v>
      </c>
    </row>
    <row r="2264" spans="1:7" x14ac:dyDescent="0.25">
      <c r="A2264">
        <v>6036</v>
      </c>
      <c r="F2264" t="s">
        <v>5603</v>
      </c>
      <c r="G2264" t="s">
        <v>5604</v>
      </c>
    </row>
    <row r="2265" spans="1:7" x14ac:dyDescent="0.25">
      <c r="A2265">
        <v>6036</v>
      </c>
      <c r="F2265" t="s">
        <v>53</v>
      </c>
      <c r="G2265" t="s">
        <v>5604</v>
      </c>
    </row>
    <row r="2266" spans="1:7" x14ac:dyDescent="0.25">
      <c r="A2266">
        <v>6036</v>
      </c>
      <c r="F2266" t="s">
        <v>55</v>
      </c>
      <c r="G2266" t="s">
        <v>5604</v>
      </c>
    </row>
    <row r="2267" spans="1:7" x14ac:dyDescent="0.25">
      <c r="A2267">
        <v>6036</v>
      </c>
      <c r="F2267" t="s">
        <v>5605</v>
      </c>
      <c r="G2267" t="s">
        <v>5604</v>
      </c>
    </row>
    <row r="2268" spans="1:7" x14ac:dyDescent="0.25">
      <c r="A2268">
        <v>6037</v>
      </c>
      <c r="F2268" t="s">
        <v>5603</v>
      </c>
      <c r="G2268" t="s">
        <v>5604</v>
      </c>
    </row>
    <row r="2269" spans="1:7" x14ac:dyDescent="0.25">
      <c r="A2269">
        <v>6037</v>
      </c>
      <c r="F2269" t="s">
        <v>53</v>
      </c>
      <c r="G2269" t="s">
        <v>5604</v>
      </c>
    </row>
    <row r="2270" spans="1:7" x14ac:dyDescent="0.25">
      <c r="A2270">
        <v>6037</v>
      </c>
      <c r="F2270" t="s">
        <v>55</v>
      </c>
      <c r="G2270" t="s">
        <v>5604</v>
      </c>
    </row>
    <row r="2271" spans="1:7" x14ac:dyDescent="0.25">
      <c r="A2271">
        <v>6037</v>
      </c>
      <c r="F2271" t="s">
        <v>5605</v>
      </c>
      <c r="G2271" t="s">
        <v>5604</v>
      </c>
    </row>
    <row r="2272" spans="1:7" x14ac:dyDescent="0.25">
      <c r="A2272">
        <v>6038</v>
      </c>
      <c r="F2272" t="s">
        <v>5603</v>
      </c>
      <c r="G2272" t="s">
        <v>5604</v>
      </c>
    </row>
    <row r="2273" spans="1:7" x14ac:dyDescent="0.25">
      <c r="A2273">
        <v>6038</v>
      </c>
      <c r="F2273" t="s">
        <v>53</v>
      </c>
      <c r="G2273" t="s">
        <v>5604</v>
      </c>
    </row>
    <row r="2274" spans="1:7" x14ac:dyDescent="0.25">
      <c r="A2274">
        <v>6038</v>
      </c>
      <c r="F2274" t="s">
        <v>55</v>
      </c>
      <c r="G2274" t="s">
        <v>5604</v>
      </c>
    </row>
    <row r="2275" spans="1:7" x14ac:dyDescent="0.25">
      <c r="A2275">
        <v>6038</v>
      </c>
      <c r="F2275" t="s">
        <v>5605</v>
      </c>
      <c r="G2275" t="s">
        <v>5604</v>
      </c>
    </row>
    <row r="2276" spans="1:7" x14ac:dyDescent="0.25">
      <c r="A2276">
        <v>6039</v>
      </c>
      <c r="F2276" t="s">
        <v>5603</v>
      </c>
      <c r="G2276" t="s">
        <v>5604</v>
      </c>
    </row>
    <row r="2277" spans="1:7" x14ac:dyDescent="0.25">
      <c r="A2277">
        <v>6039</v>
      </c>
      <c r="F2277" t="s">
        <v>53</v>
      </c>
      <c r="G2277" t="s">
        <v>5604</v>
      </c>
    </row>
    <row r="2278" spans="1:7" x14ac:dyDescent="0.25">
      <c r="A2278">
        <v>6039</v>
      </c>
      <c r="F2278" t="s">
        <v>55</v>
      </c>
      <c r="G2278" t="s">
        <v>5604</v>
      </c>
    </row>
    <row r="2279" spans="1:7" x14ac:dyDescent="0.25">
      <c r="A2279">
        <v>6039</v>
      </c>
      <c r="F2279" t="s">
        <v>5605</v>
      </c>
      <c r="G2279" t="s">
        <v>5604</v>
      </c>
    </row>
    <row r="2280" spans="1:7" x14ac:dyDescent="0.25">
      <c r="A2280">
        <v>6040</v>
      </c>
      <c r="F2280" t="s">
        <v>5603</v>
      </c>
      <c r="G2280" t="s">
        <v>5604</v>
      </c>
    </row>
    <row r="2281" spans="1:7" x14ac:dyDescent="0.25">
      <c r="A2281">
        <v>6040</v>
      </c>
      <c r="F2281" t="s">
        <v>53</v>
      </c>
      <c r="G2281" t="s">
        <v>5604</v>
      </c>
    </row>
    <row r="2282" spans="1:7" x14ac:dyDescent="0.25">
      <c r="A2282">
        <v>6040</v>
      </c>
      <c r="F2282" t="s">
        <v>55</v>
      </c>
      <c r="G2282" t="s">
        <v>5604</v>
      </c>
    </row>
    <row r="2283" spans="1:7" x14ac:dyDescent="0.25">
      <c r="A2283">
        <v>6040</v>
      </c>
      <c r="F2283" t="s">
        <v>5605</v>
      </c>
      <c r="G2283" t="s">
        <v>5604</v>
      </c>
    </row>
    <row r="2284" spans="1:7" x14ac:dyDescent="0.25">
      <c r="A2284">
        <v>6041</v>
      </c>
      <c r="F2284" t="s">
        <v>5603</v>
      </c>
      <c r="G2284" t="s">
        <v>5604</v>
      </c>
    </row>
    <row r="2285" spans="1:7" x14ac:dyDescent="0.25">
      <c r="A2285">
        <v>6041</v>
      </c>
      <c r="F2285" t="s">
        <v>53</v>
      </c>
      <c r="G2285" t="s">
        <v>5604</v>
      </c>
    </row>
    <row r="2286" spans="1:7" x14ac:dyDescent="0.25">
      <c r="A2286">
        <v>6041</v>
      </c>
      <c r="F2286" t="s">
        <v>55</v>
      </c>
      <c r="G2286" t="s">
        <v>5604</v>
      </c>
    </row>
    <row r="2287" spans="1:7" x14ac:dyDescent="0.25">
      <c r="A2287">
        <v>6041</v>
      </c>
      <c r="F2287" t="s">
        <v>5605</v>
      </c>
      <c r="G2287" t="s">
        <v>5604</v>
      </c>
    </row>
    <row r="2288" spans="1:7" x14ac:dyDescent="0.25">
      <c r="A2288">
        <v>6042</v>
      </c>
      <c r="F2288" t="s">
        <v>5603</v>
      </c>
      <c r="G2288" t="s">
        <v>5604</v>
      </c>
    </row>
    <row r="2289" spans="1:7" x14ac:dyDescent="0.25">
      <c r="A2289">
        <v>6042</v>
      </c>
      <c r="F2289" t="s">
        <v>53</v>
      </c>
      <c r="G2289" t="s">
        <v>5604</v>
      </c>
    </row>
    <row r="2290" spans="1:7" x14ac:dyDescent="0.25">
      <c r="A2290">
        <v>6042</v>
      </c>
      <c r="F2290" t="s">
        <v>55</v>
      </c>
      <c r="G2290" t="s">
        <v>5604</v>
      </c>
    </row>
    <row r="2291" spans="1:7" x14ac:dyDescent="0.25">
      <c r="A2291">
        <v>6042</v>
      </c>
      <c r="F2291" t="s">
        <v>5605</v>
      </c>
      <c r="G2291" t="s">
        <v>5604</v>
      </c>
    </row>
    <row r="2292" spans="1:7" x14ac:dyDescent="0.25">
      <c r="A2292">
        <v>6043</v>
      </c>
      <c r="F2292" t="s">
        <v>5603</v>
      </c>
      <c r="G2292" t="s">
        <v>5604</v>
      </c>
    </row>
    <row r="2293" spans="1:7" x14ac:dyDescent="0.25">
      <c r="A2293">
        <v>6043</v>
      </c>
      <c r="F2293" t="s">
        <v>53</v>
      </c>
      <c r="G2293" t="s">
        <v>5604</v>
      </c>
    </row>
    <row r="2294" spans="1:7" x14ac:dyDescent="0.25">
      <c r="A2294">
        <v>6043</v>
      </c>
      <c r="F2294" t="s">
        <v>55</v>
      </c>
      <c r="G2294" t="s">
        <v>5604</v>
      </c>
    </row>
    <row r="2295" spans="1:7" x14ac:dyDescent="0.25">
      <c r="A2295">
        <v>6043</v>
      </c>
      <c r="F2295" t="s">
        <v>5605</v>
      </c>
      <c r="G2295" t="s">
        <v>5604</v>
      </c>
    </row>
    <row r="2296" spans="1:7" x14ac:dyDescent="0.25">
      <c r="A2296">
        <v>6044</v>
      </c>
      <c r="F2296" t="s">
        <v>5603</v>
      </c>
      <c r="G2296" t="s">
        <v>5604</v>
      </c>
    </row>
    <row r="2297" spans="1:7" x14ac:dyDescent="0.25">
      <c r="A2297">
        <v>6044</v>
      </c>
      <c r="F2297" t="s">
        <v>53</v>
      </c>
      <c r="G2297" t="s">
        <v>5604</v>
      </c>
    </row>
    <row r="2298" spans="1:7" x14ac:dyDescent="0.25">
      <c r="A2298">
        <v>6044</v>
      </c>
      <c r="F2298" t="s">
        <v>55</v>
      </c>
      <c r="G2298" t="s">
        <v>5604</v>
      </c>
    </row>
    <row r="2299" spans="1:7" x14ac:dyDescent="0.25">
      <c r="A2299">
        <v>6044</v>
      </c>
      <c r="F2299" t="s">
        <v>5605</v>
      </c>
      <c r="G2299" t="s">
        <v>5604</v>
      </c>
    </row>
    <row r="2300" spans="1:7" x14ac:dyDescent="0.25">
      <c r="A2300">
        <v>6045</v>
      </c>
      <c r="F2300" t="s">
        <v>5603</v>
      </c>
      <c r="G2300" t="s">
        <v>5604</v>
      </c>
    </row>
    <row r="2301" spans="1:7" x14ac:dyDescent="0.25">
      <c r="A2301">
        <v>6045</v>
      </c>
      <c r="F2301" t="s">
        <v>53</v>
      </c>
      <c r="G2301" t="s">
        <v>5604</v>
      </c>
    </row>
    <row r="2302" spans="1:7" x14ac:dyDescent="0.25">
      <c r="A2302">
        <v>6045</v>
      </c>
      <c r="F2302" t="s">
        <v>55</v>
      </c>
      <c r="G2302" t="s">
        <v>5604</v>
      </c>
    </row>
    <row r="2303" spans="1:7" x14ac:dyDescent="0.25">
      <c r="A2303">
        <v>6045</v>
      </c>
      <c r="F2303" t="s">
        <v>5605</v>
      </c>
      <c r="G2303" t="s">
        <v>5604</v>
      </c>
    </row>
    <row r="2304" spans="1:7" x14ac:dyDescent="0.25">
      <c r="A2304">
        <v>6046</v>
      </c>
      <c r="F2304" t="s">
        <v>5603</v>
      </c>
      <c r="G2304" t="s">
        <v>5604</v>
      </c>
    </row>
    <row r="2305" spans="1:7" x14ac:dyDescent="0.25">
      <c r="A2305">
        <v>6046</v>
      </c>
      <c r="F2305" t="s">
        <v>53</v>
      </c>
      <c r="G2305" t="s">
        <v>5604</v>
      </c>
    </row>
    <row r="2306" spans="1:7" x14ac:dyDescent="0.25">
      <c r="A2306">
        <v>6046</v>
      </c>
      <c r="F2306" t="s">
        <v>55</v>
      </c>
      <c r="G2306" t="s">
        <v>5604</v>
      </c>
    </row>
    <row r="2307" spans="1:7" x14ac:dyDescent="0.25">
      <c r="A2307">
        <v>6046</v>
      </c>
      <c r="F2307" t="s">
        <v>5605</v>
      </c>
      <c r="G2307" t="s">
        <v>5604</v>
      </c>
    </row>
    <row r="2308" spans="1:7" x14ac:dyDescent="0.25">
      <c r="A2308">
        <v>6047</v>
      </c>
      <c r="F2308" t="s">
        <v>5603</v>
      </c>
      <c r="G2308" t="s">
        <v>5604</v>
      </c>
    </row>
    <row r="2309" spans="1:7" x14ac:dyDescent="0.25">
      <c r="A2309">
        <v>6047</v>
      </c>
      <c r="F2309" t="s">
        <v>53</v>
      </c>
      <c r="G2309" t="s">
        <v>5604</v>
      </c>
    </row>
    <row r="2310" spans="1:7" x14ac:dyDescent="0.25">
      <c r="A2310">
        <v>6047</v>
      </c>
      <c r="F2310" t="s">
        <v>55</v>
      </c>
      <c r="G2310" t="s">
        <v>5604</v>
      </c>
    </row>
    <row r="2311" spans="1:7" x14ac:dyDescent="0.25">
      <c r="A2311">
        <v>6047</v>
      </c>
      <c r="F2311" t="s">
        <v>5605</v>
      </c>
      <c r="G2311" t="s">
        <v>5604</v>
      </c>
    </row>
    <row r="2312" spans="1:7" x14ac:dyDescent="0.25">
      <c r="A2312">
        <v>6048</v>
      </c>
      <c r="F2312" t="s">
        <v>5603</v>
      </c>
      <c r="G2312" t="s">
        <v>5604</v>
      </c>
    </row>
    <row r="2313" spans="1:7" x14ac:dyDescent="0.25">
      <c r="A2313">
        <v>6048</v>
      </c>
      <c r="F2313" t="s">
        <v>53</v>
      </c>
      <c r="G2313" t="s">
        <v>5604</v>
      </c>
    </row>
    <row r="2314" spans="1:7" x14ac:dyDescent="0.25">
      <c r="A2314">
        <v>6048</v>
      </c>
      <c r="F2314" t="s">
        <v>55</v>
      </c>
      <c r="G2314" t="s">
        <v>5604</v>
      </c>
    </row>
    <row r="2315" spans="1:7" x14ac:dyDescent="0.25">
      <c r="A2315">
        <v>6048</v>
      </c>
      <c r="F2315" t="s">
        <v>5605</v>
      </c>
      <c r="G2315" t="s">
        <v>5604</v>
      </c>
    </row>
    <row r="2316" spans="1:7" x14ac:dyDescent="0.25">
      <c r="A2316">
        <v>6049</v>
      </c>
      <c r="F2316" t="s">
        <v>5603</v>
      </c>
      <c r="G2316" t="s">
        <v>5604</v>
      </c>
    </row>
    <row r="2317" spans="1:7" x14ac:dyDescent="0.25">
      <c r="A2317">
        <v>6049</v>
      </c>
      <c r="F2317" t="s">
        <v>53</v>
      </c>
      <c r="G2317" t="s">
        <v>5604</v>
      </c>
    </row>
    <row r="2318" spans="1:7" x14ac:dyDescent="0.25">
      <c r="A2318">
        <v>6049</v>
      </c>
      <c r="F2318" t="s">
        <v>55</v>
      </c>
      <c r="G2318" t="s">
        <v>5604</v>
      </c>
    </row>
    <row r="2319" spans="1:7" x14ac:dyDescent="0.25">
      <c r="A2319">
        <v>6049</v>
      </c>
      <c r="F2319" t="s">
        <v>5605</v>
      </c>
      <c r="G2319" t="s">
        <v>5604</v>
      </c>
    </row>
    <row r="2320" spans="1:7" x14ac:dyDescent="0.25">
      <c r="A2320">
        <v>6050</v>
      </c>
      <c r="F2320" t="s">
        <v>5603</v>
      </c>
      <c r="G2320" t="s">
        <v>5604</v>
      </c>
    </row>
    <row r="2321" spans="1:7" x14ac:dyDescent="0.25">
      <c r="A2321">
        <v>6050</v>
      </c>
      <c r="F2321" t="s">
        <v>53</v>
      </c>
      <c r="G2321" t="s">
        <v>5604</v>
      </c>
    </row>
    <row r="2322" spans="1:7" x14ac:dyDescent="0.25">
      <c r="A2322">
        <v>6050</v>
      </c>
      <c r="F2322" t="s">
        <v>55</v>
      </c>
      <c r="G2322" t="s">
        <v>5604</v>
      </c>
    </row>
    <row r="2323" spans="1:7" x14ac:dyDescent="0.25">
      <c r="A2323">
        <v>6050</v>
      </c>
      <c r="F2323" t="s">
        <v>5605</v>
      </c>
      <c r="G2323" t="s">
        <v>5604</v>
      </c>
    </row>
    <row r="2324" spans="1:7" x14ac:dyDescent="0.25">
      <c r="A2324">
        <v>6051</v>
      </c>
      <c r="F2324" t="s">
        <v>5603</v>
      </c>
      <c r="G2324" t="s">
        <v>5604</v>
      </c>
    </row>
    <row r="2325" spans="1:7" x14ac:dyDescent="0.25">
      <c r="A2325">
        <v>6051</v>
      </c>
      <c r="F2325" t="s">
        <v>53</v>
      </c>
      <c r="G2325" t="s">
        <v>5604</v>
      </c>
    </row>
    <row r="2326" spans="1:7" x14ac:dyDescent="0.25">
      <c r="A2326">
        <v>6051</v>
      </c>
      <c r="F2326" t="s">
        <v>55</v>
      </c>
      <c r="G2326" t="s">
        <v>5604</v>
      </c>
    </row>
    <row r="2327" spans="1:7" x14ac:dyDescent="0.25">
      <c r="A2327">
        <v>6051</v>
      </c>
      <c r="F2327" t="s">
        <v>5605</v>
      </c>
      <c r="G2327" t="s">
        <v>5604</v>
      </c>
    </row>
    <row r="2328" spans="1:7" x14ac:dyDescent="0.25">
      <c r="A2328">
        <v>6052</v>
      </c>
      <c r="F2328" t="s">
        <v>5603</v>
      </c>
      <c r="G2328" t="s">
        <v>5604</v>
      </c>
    </row>
    <row r="2329" spans="1:7" x14ac:dyDescent="0.25">
      <c r="A2329">
        <v>6052</v>
      </c>
      <c r="F2329" t="s">
        <v>53</v>
      </c>
      <c r="G2329" t="s">
        <v>5604</v>
      </c>
    </row>
    <row r="2330" spans="1:7" x14ac:dyDescent="0.25">
      <c r="A2330">
        <v>6052</v>
      </c>
      <c r="F2330" t="s">
        <v>55</v>
      </c>
      <c r="G2330" t="s">
        <v>5604</v>
      </c>
    </row>
    <row r="2331" spans="1:7" x14ac:dyDescent="0.25">
      <c r="A2331">
        <v>6052</v>
      </c>
      <c r="F2331" t="s">
        <v>5605</v>
      </c>
      <c r="G2331" t="s">
        <v>5604</v>
      </c>
    </row>
    <row r="2332" spans="1:7" x14ac:dyDescent="0.25">
      <c r="A2332">
        <v>6053</v>
      </c>
      <c r="F2332" t="s">
        <v>5603</v>
      </c>
      <c r="G2332" t="s">
        <v>5604</v>
      </c>
    </row>
    <row r="2333" spans="1:7" x14ac:dyDescent="0.25">
      <c r="A2333">
        <v>6053</v>
      </c>
      <c r="F2333" t="s">
        <v>53</v>
      </c>
      <c r="G2333" t="s">
        <v>5604</v>
      </c>
    </row>
    <row r="2334" spans="1:7" x14ac:dyDescent="0.25">
      <c r="A2334">
        <v>6053</v>
      </c>
      <c r="F2334" t="s">
        <v>55</v>
      </c>
      <c r="G2334" t="s">
        <v>5604</v>
      </c>
    </row>
    <row r="2335" spans="1:7" x14ac:dyDescent="0.25">
      <c r="A2335">
        <v>6053</v>
      </c>
      <c r="F2335" t="s">
        <v>5605</v>
      </c>
      <c r="G2335" t="s">
        <v>5604</v>
      </c>
    </row>
    <row r="2336" spans="1:7" x14ac:dyDescent="0.25">
      <c r="A2336">
        <v>6054</v>
      </c>
      <c r="F2336" t="s">
        <v>5603</v>
      </c>
      <c r="G2336" t="s">
        <v>5604</v>
      </c>
    </row>
    <row r="2337" spans="1:7" x14ac:dyDescent="0.25">
      <c r="A2337">
        <v>6054</v>
      </c>
      <c r="F2337" t="s">
        <v>53</v>
      </c>
      <c r="G2337" t="s">
        <v>5604</v>
      </c>
    </row>
    <row r="2338" spans="1:7" x14ac:dyDescent="0.25">
      <c r="A2338">
        <v>6054</v>
      </c>
      <c r="F2338" t="s">
        <v>55</v>
      </c>
      <c r="G2338" t="s">
        <v>5604</v>
      </c>
    </row>
    <row r="2339" spans="1:7" x14ac:dyDescent="0.25">
      <c r="A2339">
        <v>6054</v>
      </c>
      <c r="F2339" t="s">
        <v>5605</v>
      </c>
      <c r="G2339" t="s">
        <v>5604</v>
      </c>
    </row>
    <row r="2340" spans="1:7" x14ac:dyDescent="0.25">
      <c r="A2340">
        <v>6055</v>
      </c>
      <c r="F2340" t="s">
        <v>5603</v>
      </c>
      <c r="G2340" t="s">
        <v>5604</v>
      </c>
    </row>
    <row r="2341" spans="1:7" x14ac:dyDescent="0.25">
      <c r="A2341">
        <v>6055</v>
      </c>
      <c r="F2341" t="s">
        <v>53</v>
      </c>
      <c r="G2341" t="s">
        <v>5604</v>
      </c>
    </row>
    <row r="2342" spans="1:7" x14ac:dyDescent="0.25">
      <c r="A2342">
        <v>6055</v>
      </c>
      <c r="F2342" t="s">
        <v>55</v>
      </c>
      <c r="G2342" t="s">
        <v>5604</v>
      </c>
    </row>
    <row r="2343" spans="1:7" x14ac:dyDescent="0.25">
      <c r="A2343">
        <v>6055</v>
      </c>
      <c r="F2343" t="s">
        <v>5605</v>
      </c>
      <c r="G2343" t="s">
        <v>5604</v>
      </c>
    </row>
    <row r="2344" spans="1:7" x14ac:dyDescent="0.25">
      <c r="A2344">
        <v>6056</v>
      </c>
      <c r="F2344" t="s">
        <v>5603</v>
      </c>
      <c r="G2344" t="s">
        <v>5604</v>
      </c>
    </row>
    <row r="2345" spans="1:7" x14ac:dyDescent="0.25">
      <c r="A2345">
        <v>6056</v>
      </c>
      <c r="F2345" t="s">
        <v>53</v>
      </c>
      <c r="G2345" t="s">
        <v>5604</v>
      </c>
    </row>
    <row r="2346" spans="1:7" x14ac:dyDescent="0.25">
      <c r="A2346">
        <v>6056</v>
      </c>
      <c r="F2346" t="s">
        <v>55</v>
      </c>
      <c r="G2346" t="s">
        <v>5604</v>
      </c>
    </row>
    <row r="2347" spans="1:7" x14ac:dyDescent="0.25">
      <c r="A2347">
        <v>6056</v>
      </c>
      <c r="F2347" t="s">
        <v>5605</v>
      </c>
      <c r="G2347" t="s">
        <v>5604</v>
      </c>
    </row>
    <row r="2348" spans="1:7" x14ac:dyDescent="0.25">
      <c r="A2348">
        <v>6057</v>
      </c>
      <c r="F2348" t="s">
        <v>5603</v>
      </c>
      <c r="G2348" t="s">
        <v>5604</v>
      </c>
    </row>
    <row r="2349" spans="1:7" x14ac:dyDescent="0.25">
      <c r="A2349">
        <v>6057</v>
      </c>
      <c r="F2349" t="s">
        <v>53</v>
      </c>
      <c r="G2349" t="s">
        <v>5604</v>
      </c>
    </row>
    <row r="2350" spans="1:7" x14ac:dyDescent="0.25">
      <c r="A2350">
        <v>6057</v>
      </c>
      <c r="F2350" t="s">
        <v>55</v>
      </c>
      <c r="G2350" t="s">
        <v>5604</v>
      </c>
    </row>
    <row r="2351" spans="1:7" x14ac:dyDescent="0.25">
      <c r="A2351">
        <v>6057</v>
      </c>
      <c r="F2351" t="s">
        <v>5605</v>
      </c>
      <c r="G2351" t="s">
        <v>5604</v>
      </c>
    </row>
    <row r="2352" spans="1:7" x14ac:dyDescent="0.25">
      <c r="A2352">
        <v>6058</v>
      </c>
      <c r="F2352" t="s">
        <v>5603</v>
      </c>
      <c r="G2352" t="s">
        <v>5604</v>
      </c>
    </row>
    <row r="2353" spans="1:7" x14ac:dyDescent="0.25">
      <c r="A2353">
        <v>6058</v>
      </c>
      <c r="F2353" t="s">
        <v>53</v>
      </c>
      <c r="G2353" t="s">
        <v>5604</v>
      </c>
    </row>
    <row r="2354" spans="1:7" x14ac:dyDescent="0.25">
      <c r="A2354">
        <v>6058</v>
      </c>
      <c r="F2354" t="s">
        <v>55</v>
      </c>
      <c r="G2354" t="s">
        <v>5604</v>
      </c>
    </row>
    <row r="2355" spans="1:7" x14ac:dyDescent="0.25">
      <c r="A2355">
        <v>6058</v>
      </c>
      <c r="F2355" t="s">
        <v>5605</v>
      </c>
      <c r="G2355" t="s">
        <v>5604</v>
      </c>
    </row>
    <row r="2356" spans="1:7" x14ac:dyDescent="0.25">
      <c r="A2356">
        <v>6059</v>
      </c>
      <c r="F2356" t="s">
        <v>5603</v>
      </c>
      <c r="G2356" t="s">
        <v>5604</v>
      </c>
    </row>
    <row r="2357" spans="1:7" x14ac:dyDescent="0.25">
      <c r="A2357">
        <v>6059</v>
      </c>
      <c r="F2357" t="s">
        <v>53</v>
      </c>
      <c r="G2357" t="s">
        <v>5604</v>
      </c>
    </row>
    <row r="2358" spans="1:7" x14ac:dyDescent="0.25">
      <c r="A2358">
        <v>6059</v>
      </c>
      <c r="F2358" t="s">
        <v>55</v>
      </c>
      <c r="G2358" t="s">
        <v>5604</v>
      </c>
    </row>
    <row r="2359" spans="1:7" x14ac:dyDescent="0.25">
      <c r="A2359">
        <v>6059</v>
      </c>
      <c r="F2359" t="s">
        <v>5605</v>
      </c>
      <c r="G2359" t="s">
        <v>5604</v>
      </c>
    </row>
    <row r="2360" spans="1:7" x14ac:dyDescent="0.25">
      <c r="A2360">
        <v>6060</v>
      </c>
      <c r="F2360" t="s">
        <v>5603</v>
      </c>
      <c r="G2360" t="s">
        <v>5604</v>
      </c>
    </row>
    <row r="2361" spans="1:7" x14ac:dyDescent="0.25">
      <c r="A2361">
        <v>6060</v>
      </c>
      <c r="F2361" t="s">
        <v>53</v>
      </c>
      <c r="G2361" t="s">
        <v>5604</v>
      </c>
    </row>
    <row r="2362" spans="1:7" x14ac:dyDescent="0.25">
      <c r="A2362">
        <v>6060</v>
      </c>
      <c r="F2362" t="s">
        <v>55</v>
      </c>
      <c r="G2362" t="s">
        <v>5604</v>
      </c>
    </row>
    <row r="2363" spans="1:7" x14ac:dyDescent="0.25">
      <c r="A2363">
        <v>6060</v>
      </c>
      <c r="F2363" t="s">
        <v>5605</v>
      </c>
      <c r="G2363" t="s">
        <v>5604</v>
      </c>
    </row>
    <row r="2364" spans="1:7" x14ac:dyDescent="0.25">
      <c r="A2364">
        <v>6061</v>
      </c>
      <c r="F2364" t="s">
        <v>5603</v>
      </c>
      <c r="G2364" t="s">
        <v>5604</v>
      </c>
    </row>
    <row r="2365" spans="1:7" x14ac:dyDescent="0.25">
      <c r="A2365">
        <v>6061</v>
      </c>
      <c r="F2365" t="s">
        <v>53</v>
      </c>
      <c r="G2365" t="s">
        <v>5604</v>
      </c>
    </row>
    <row r="2366" spans="1:7" x14ac:dyDescent="0.25">
      <c r="A2366">
        <v>6061</v>
      </c>
      <c r="F2366" t="s">
        <v>55</v>
      </c>
      <c r="G2366" t="s">
        <v>5604</v>
      </c>
    </row>
    <row r="2367" spans="1:7" x14ac:dyDescent="0.25">
      <c r="A2367">
        <v>6061</v>
      </c>
      <c r="F2367" t="s">
        <v>5605</v>
      </c>
      <c r="G2367" t="s">
        <v>5604</v>
      </c>
    </row>
    <row r="2368" spans="1:7" x14ac:dyDescent="0.25">
      <c r="A2368">
        <v>6062</v>
      </c>
      <c r="F2368" t="s">
        <v>5603</v>
      </c>
      <c r="G2368" t="s">
        <v>5604</v>
      </c>
    </row>
    <row r="2369" spans="1:7" x14ac:dyDescent="0.25">
      <c r="A2369">
        <v>6062</v>
      </c>
      <c r="F2369" t="s">
        <v>53</v>
      </c>
      <c r="G2369" t="s">
        <v>5604</v>
      </c>
    </row>
    <row r="2370" spans="1:7" x14ac:dyDescent="0.25">
      <c r="A2370">
        <v>6062</v>
      </c>
      <c r="F2370" t="s">
        <v>55</v>
      </c>
      <c r="G2370" t="s">
        <v>5604</v>
      </c>
    </row>
    <row r="2371" spans="1:7" x14ac:dyDescent="0.25">
      <c r="A2371">
        <v>6062</v>
      </c>
      <c r="F2371" t="s">
        <v>5605</v>
      </c>
      <c r="G2371" t="s">
        <v>5604</v>
      </c>
    </row>
    <row r="2372" spans="1:7" x14ac:dyDescent="0.25">
      <c r="A2372">
        <v>6063</v>
      </c>
      <c r="F2372" t="s">
        <v>5603</v>
      </c>
      <c r="G2372" t="s">
        <v>5604</v>
      </c>
    </row>
    <row r="2373" spans="1:7" x14ac:dyDescent="0.25">
      <c r="A2373">
        <v>6063</v>
      </c>
      <c r="F2373" t="s">
        <v>53</v>
      </c>
      <c r="G2373" t="s">
        <v>5604</v>
      </c>
    </row>
    <row r="2374" spans="1:7" x14ac:dyDescent="0.25">
      <c r="A2374">
        <v>6063</v>
      </c>
      <c r="F2374" t="s">
        <v>55</v>
      </c>
      <c r="G2374" t="s">
        <v>5604</v>
      </c>
    </row>
    <row r="2375" spans="1:7" x14ac:dyDescent="0.25">
      <c r="A2375">
        <v>6063</v>
      </c>
      <c r="F2375" t="s">
        <v>5605</v>
      </c>
      <c r="G2375" t="s">
        <v>5604</v>
      </c>
    </row>
    <row r="2376" spans="1:7" x14ac:dyDescent="0.25">
      <c r="A2376">
        <v>6064</v>
      </c>
      <c r="F2376" t="s">
        <v>5603</v>
      </c>
      <c r="G2376" t="s">
        <v>5604</v>
      </c>
    </row>
    <row r="2377" spans="1:7" x14ac:dyDescent="0.25">
      <c r="A2377">
        <v>6064</v>
      </c>
      <c r="F2377" t="s">
        <v>53</v>
      </c>
      <c r="G2377" t="s">
        <v>5604</v>
      </c>
    </row>
    <row r="2378" spans="1:7" x14ac:dyDescent="0.25">
      <c r="A2378">
        <v>6064</v>
      </c>
      <c r="F2378" t="s">
        <v>55</v>
      </c>
      <c r="G2378" t="s">
        <v>5604</v>
      </c>
    </row>
    <row r="2379" spans="1:7" x14ac:dyDescent="0.25">
      <c r="A2379">
        <v>6064</v>
      </c>
      <c r="F2379" t="s">
        <v>5605</v>
      </c>
      <c r="G2379" t="s">
        <v>5604</v>
      </c>
    </row>
    <row r="2380" spans="1:7" x14ac:dyDescent="0.25">
      <c r="A2380">
        <v>6065</v>
      </c>
      <c r="F2380" t="s">
        <v>5603</v>
      </c>
      <c r="G2380" t="s">
        <v>5604</v>
      </c>
    </row>
    <row r="2381" spans="1:7" x14ac:dyDescent="0.25">
      <c r="A2381">
        <v>6065</v>
      </c>
      <c r="F2381" t="s">
        <v>53</v>
      </c>
      <c r="G2381" t="s">
        <v>5604</v>
      </c>
    </row>
    <row r="2382" spans="1:7" x14ac:dyDescent="0.25">
      <c r="A2382">
        <v>6065</v>
      </c>
      <c r="F2382" t="s">
        <v>55</v>
      </c>
      <c r="G2382" t="s">
        <v>5604</v>
      </c>
    </row>
    <row r="2383" spans="1:7" x14ac:dyDescent="0.25">
      <c r="A2383">
        <v>6065</v>
      </c>
      <c r="F2383" t="s">
        <v>5605</v>
      </c>
      <c r="G2383" t="s">
        <v>5604</v>
      </c>
    </row>
    <row r="2384" spans="1:7" x14ac:dyDescent="0.25">
      <c r="A2384">
        <v>6066</v>
      </c>
      <c r="F2384" t="s">
        <v>5603</v>
      </c>
      <c r="G2384" t="s">
        <v>5604</v>
      </c>
    </row>
    <row r="2385" spans="1:7" x14ac:dyDescent="0.25">
      <c r="A2385">
        <v>6066</v>
      </c>
      <c r="F2385" t="s">
        <v>53</v>
      </c>
      <c r="G2385" t="s">
        <v>5604</v>
      </c>
    </row>
    <row r="2386" spans="1:7" x14ac:dyDescent="0.25">
      <c r="A2386">
        <v>6066</v>
      </c>
      <c r="F2386" t="s">
        <v>55</v>
      </c>
      <c r="G2386" t="s">
        <v>5604</v>
      </c>
    </row>
    <row r="2387" spans="1:7" x14ac:dyDescent="0.25">
      <c r="A2387">
        <v>6066</v>
      </c>
      <c r="F2387" t="s">
        <v>5605</v>
      </c>
      <c r="G2387" t="s">
        <v>5604</v>
      </c>
    </row>
    <row r="2388" spans="1:7" x14ac:dyDescent="0.25">
      <c r="A2388">
        <v>6067</v>
      </c>
      <c r="F2388" t="s">
        <v>5603</v>
      </c>
      <c r="G2388" t="s">
        <v>5604</v>
      </c>
    </row>
    <row r="2389" spans="1:7" x14ac:dyDescent="0.25">
      <c r="A2389">
        <v>6067</v>
      </c>
      <c r="F2389" t="s">
        <v>53</v>
      </c>
      <c r="G2389" t="s">
        <v>5604</v>
      </c>
    </row>
    <row r="2390" spans="1:7" x14ac:dyDescent="0.25">
      <c r="A2390">
        <v>6067</v>
      </c>
      <c r="F2390" t="s">
        <v>55</v>
      </c>
      <c r="G2390" t="s">
        <v>5604</v>
      </c>
    </row>
    <row r="2391" spans="1:7" x14ac:dyDescent="0.25">
      <c r="A2391">
        <v>6067</v>
      </c>
      <c r="F2391" t="s">
        <v>5605</v>
      </c>
      <c r="G2391" t="s">
        <v>5604</v>
      </c>
    </row>
    <row r="2392" spans="1:7" x14ac:dyDescent="0.25">
      <c r="A2392">
        <v>6068</v>
      </c>
      <c r="F2392" t="s">
        <v>5603</v>
      </c>
      <c r="G2392" t="s">
        <v>5604</v>
      </c>
    </row>
    <row r="2393" spans="1:7" x14ac:dyDescent="0.25">
      <c r="A2393">
        <v>6068</v>
      </c>
      <c r="F2393" t="s">
        <v>53</v>
      </c>
      <c r="G2393" t="s">
        <v>5604</v>
      </c>
    </row>
    <row r="2394" spans="1:7" x14ac:dyDescent="0.25">
      <c r="A2394">
        <v>6068</v>
      </c>
      <c r="F2394" t="s">
        <v>55</v>
      </c>
      <c r="G2394" t="s">
        <v>5604</v>
      </c>
    </row>
    <row r="2395" spans="1:7" x14ac:dyDescent="0.25">
      <c r="A2395">
        <v>6068</v>
      </c>
      <c r="F2395" t="s">
        <v>5605</v>
      </c>
      <c r="G2395" t="s">
        <v>5604</v>
      </c>
    </row>
    <row r="2396" spans="1:7" x14ac:dyDescent="0.25">
      <c r="A2396">
        <v>6069</v>
      </c>
      <c r="F2396" t="s">
        <v>5603</v>
      </c>
      <c r="G2396" t="s">
        <v>5604</v>
      </c>
    </row>
    <row r="2397" spans="1:7" x14ac:dyDescent="0.25">
      <c r="A2397">
        <v>6069</v>
      </c>
      <c r="F2397" t="s">
        <v>53</v>
      </c>
      <c r="G2397" t="s">
        <v>5604</v>
      </c>
    </row>
    <row r="2398" spans="1:7" x14ac:dyDescent="0.25">
      <c r="A2398">
        <v>6069</v>
      </c>
      <c r="F2398" t="s">
        <v>55</v>
      </c>
      <c r="G2398" t="s">
        <v>5604</v>
      </c>
    </row>
    <row r="2399" spans="1:7" x14ac:dyDescent="0.25">
      <c r="A2399">
        <v>6069</v>
      </c>
      <c r="F2399" t="s">
        <v>5605</v>
      </c>
      <c r="G2399" t="s">
        <v>5604</v>
      </c>
    </row>
    <row r="2400" spans="1:7" x14ac:dyDescent="0.25">
      <c r="A2400">
        <v>6070</v>
      </c>
      <c r="F2400" t="s">
        <v>5603</v>
      </c>
      <c r="G2400" t="s">
        <v>5604</v>
      </c>
    </row>
    <row r="2401" spans="1:7" x14ac:dyDescent="0.25">
      <c r="A2401">
        <v>6070</v>
      </c>
      <c r="F2401" t="s">
        <v>53</v>
      </c>
      <c r="G2401" t="s">
        <v>5604</v>
      </c>
    </row>
    <row r="2402" spans="1:7" x14ac:dyDescent="0.25">
      <c r="A2402">
        <v>6070</v>
      </c>
      <c r="F2402" t="s">
        <v>55</v>
      </c>
      <c r="G2402" t="s">
        <v>5604</v>
      </c>
    </row>
    <row r="2403" spans="1:7" x14ac:dyDescent="0.25">
      <c r="A2403">
        <v>6070</v>
      </c>
      <c r="F2403" t="s">
        <v>5605</v>
      </c>
      <c r="G2403" t="s">
        <v>5604</v>
      </c>
    </row>
    <row r="2404" spans="1:7" x14ac:dyDescent="0.25">
      <c r="A2404">
        <v>6071</v>
      </c>
      <c r="F2404" t="s">
        <v>5603</v>
      </c>
      <c r="G2404" t="s">
        <v>5604</v>
      </c>
    </row>
    <row r="2405" spans="1:7" x14ac:dyDescent="0.25">
      <c r="A2405">
        <v>6071</v>
      </c>
      <c r="F2405" t="s">
        <v>53</v>
      </c>
      <c r="G2405" t="s">
        <v>5604</v>
      </c>
    </row>
    <row r="2406" spans="1:7" x14ac:dyDescent="0.25">
      <c r="A2406">
        <v>6071</v>
      </c>
      <c r="F2406" t="s">
        <v>55</v>
      </c>
      <c r="G2406" t="s">
        <v>5604</v>
      </c>
    </row>
    <row r="2407" spans="1:7" x14ac:dyDescent="0.25">
      <c r="A2407">
        <v>6071</v>
      </c>
      <c r="F2407" t="s">
        <v>5605</v>
      </c>
      <c r="G2407" t="s">
        <v>5604</v>
      </c>
    </row>
    <row r="2408" spans="1:7" x14ac:dyDescent="0.25">
      <c r="A2408">
        <v>6072</v>
      </c>
      <c r="F2408" t="s">
        <v>5603</v>
      </c>
      <c r="G2408" t="s">
        <v>5604</v>
      </c>
    </row>
    <row r="2409" spans="1:7" x14ac:dyDescent="0.25">
      <c r="A2409">
        <v>6072</v>
      </c>
      <c r="F2409" t="s">
        <v>53</v>
      </c>
      <c r="G2409" t="s">
        <v>5604</v>
      </c>
    </row>
    <row r="2410" spans="1:7" x14ac:dyDescent="0.25">
      <c r="A2410">
        <v>6072</v>
      </c>
      <c r="F2410" t="s">
        <v>55</v>
      </c>
      <c r="G2410" t="s">
        <v>5604</v>
      </c>
    </row>
    <row r="2411" spans="1:7" x14ac:dyDescent="0.25">
      <c r="A2411">
        <v>6072</v>
      </c>
      <c r="F2411" t="s">
        <v>5605</v>
      </c>
      <c r="G2411" t="s">
        <v>5604</v>
      </c>
    </row>
    <row r="2412" spans="1:7" x14ac:dyDescent="0.25">
      <c r="A2412">
        <v>6073</v>
      </c>
      <c r="F2412" t="s">
        <v>5603</v>
      </c>
      <c r="G2412" t="s">
        <v>5604</v>
      </c>
    </row>
    <row r="2413" spans="1:7" x14ac:dyDescent="0.25">
      <c r="A2413">
        <v>6073</v>
      </c>
      <c r="F2413" t="s">
        <v>53</v>
      </c>
      <c r="G2413" t="s">
        <v>5604</v>
      </c>
    </row>
    <row r="2414" spans="1:7" x14ac:dyDescent="0.25">
      <c r="A2414">
        <v>6073</v>
      </c>
      <c r="F2414" t="s">
        <v>55</v>
      </c>
      <c r="G2414" t="s">
        <v>5604</v>
      </c>
    </row>
    <row r="2415" spans="1:7" x14ac:dyDescent="0.25">
      <c r="A2415">
        <v>6073</v>
      </c>
      <c r="F2415" t="s">
        <v>5605</v>
      </c>
      <c r="G2415" t="s">
        <v>5604</v>
      </c>
    </row>
    <row r="2416" spans="1:7" x14ac:dyDescent="0.25">
      <c r="A2416">
        <v>6074</v>
      </c>
      <c r="F2416" t="s">
        <v>5603</v>
      </c>
      <c r="G2416" t="s">
        <v>5604</v>
      </c>
    </row>
    <row r="2417" spans="1:7" x14ac:dyDescent="0.25">
      <c r="A2417">
        <v>6074</v>
      </c>
      <c r="F2417" t="s">
        <v>53</v>
      </c>
      <c r="G2417" t="s">
        <v>5604</v>
      </c>
    </row>
    <row r="2418" spans="1:7" x14ac:dyDescent="0.25">
      <c r="A2418">
        <v>6074</v>
      </c>
      <c r="F2418" t="s">
        <v>55</v>
      </c>
      <c r="G2418" t="s">
        <v>5604</v>
      </c>
    </row>
    <row r="2419" spans="1:7" x14ac:dyDescent="0.25">
      <c r="A2419">
        <v>6074</v>
      </c>
      <c r="F2419" t="s">
        <v>5605</v>
      </c>
      <c r="G2419" t="s">
        <v>5604</v>
      </c>
    </row>
    <row r="2420" spans="1:7" x14ac:dyDescent="0.25">
      <c r="A2420">
        <v>6075</v>
      </c>
      <c r="F2420" t="s">
        <v>5603</v>
      </c>
      <c r="G2420" t="s">
        <v>5604</v>
      </c>
    </row>
    <row r="2421" spans="1:7" x14ac:dyDescent="0.25">
      <c r="A2421">
        <v>6075</v>
      </c>
      <c r="F2421" t="s">
        <v>53</v>
      </c>
      <c r="G2421" t="s">
        <v>5604</v>
      </c>
    </row>
    <row r="2422" spans="1:7" x14ac:dyDescent="0.25">
      <c r="A2422">
        <v>6075</v>
      </c>
      <c r="F2422" t="s">
        <v>55</v>
      </c>
      <c r="G2422" t="s">
        <v>5604</v>
      </c>
    </row>
    <row r="2423" spans="1:7" x14ac:dyDescent="0.25">
      <c r="A2423">
        <v>6075</v>
      </c>
      <c r="F2423" t="s">
        <v>5605</v>
      </c>
      <c r="G2423" t="s">
        <v>5604</v>
      </c>
    </row>
    <row r="2424" spans="1:7" x14ac:dyDescent="0.25">
      <c r="A2424">
        <v>6076</v>
      </c>
      <c r="F2424" t="s">
        <v>5603</v>
      </c>
      <c r="G2424" t="s">
        <v>5604</v>
      </c>
    </row>
    <row r="2425" spans="1:7" x14ac:dyDescent="0.25">
      <c r="A2425">
        <v>6076</v>
      </c>
      <c r="F2425" t="s">
        <v>53</v>
      </c>
      <c r="G2425" t="s">
        <v>5604</v>
      </c>
    </row>
    <row r="2426" spans="1:7" x14ac:dyDescent="0.25">
      <c r="A2426">
        <v>6076</v>
      </c>
      <c r="F2426" t="s">
        <v>55</v>
      </c>
      <c r="G2426" t="s">
        <v>5604</v>
      </c>
    </row>
    <row r="2427" spans="1:7" x14ac:dyDescent="0.25">
      <c r="A2427">
        <v>6076</v>
      </c>
      <c r="F2427" t="s">
        <v>5605</v>
      </c>
      <c r="G2427" t="s">
        <v>5604</v>
      </c>
    </row>
    <row r="2428" spans="1:7" x14ac:dyDescent="0.25">
      <c r="A2428">
        <v>6077</v>
      </c>
      <c r="F2428" t="s">
        <v>5603</v>
      </c>
      <c r="G2428" t="s">
        <v>5604</v>
      </c>
    </row>
    <row r="2429" spans="1:7" x14ac:dyDescent="0.25">
      <c r="A2429">
        <v>6077</v>
      </c>
      <c r="F2429" t="s">
        <v>53</v>
      </c>
      <c r="G2429" t="s">
        <v>5604</v>
      </c>
    </row>
    <row r="2430" spans="1:7" x14ac:dyDescent="0.25">
      <c r="A2430">
        <v>6077</v>
      </c>
      <c r="F2430" t="s">
        <v>55</v>
      </c>
      <c r="G2430" t="s">
        <v>5604</v>
      </c>
    </row>
    <row r="2431" spans="1:7" x14ac:dyDescent="0.25">
      <c r="A2431">
        <v>6077</v>
      </c>
      <c r="F2431" t="s">
        <v>5605</v>
      </c>
      <c r="G2431" t="s">
        <v>5604</v>
      </c>
    </row>
    <row r="2432" spans="1:7" x14ac:dyDescent="0.25">
      <c r="A2432">
        <v>6078</v>
      </c>
      <c r="F2432" t="s">
        <v>5603</v>
      </c>
      <c r="G2432" t="s">
        <v>5604</v>
      </c>
    </row>
    <row r="2433" spans="1:7" x14ac:dyDescent="0.25">
      <c r="A2433">
        <v>6078</v>
      </c>
      <c r="F2433" t="s">
        <v>53</v>
      </c>
      <c r="G2433" t="s">
        <v>5604</v>
      </c>
    </row>
    <row r="2434" spans="1:7" x14ac:dyDescent="0.25">
      <c r="A2434">
        <v>6078</v>
      </c>
      <c r="F2434" t="s">
        <v>55</v>
      </c>
      <c r="G2434" t="s">
        <v>5604</v>
      </c>
    </row>
    <row r="2435" spans="1:7" x14ac:dyDescent="0.25">
      <c r="A2435">
        <v>6078</v>
      </c>
      <c r="F2435" t="s">
        <v>5605</v>
      </c>
      <c r="G2435" t="s">
        <v>5604</v>
      </c>
    </row>
    <row r="2436" spans="1:7" x14ac:dyDescent="0.25">
      <c r="A2436">
        <v>6079</v>
      </c>
      <c r="F2436" t="s">
        <v>5603</v>
      </c>
      <c r="G2436" t="s">
        <v>5604</v>
      </c>
    </row>
    <row r="2437" spans="1:7" x14ac:dyDescent="0.25">
      <c r="A2437">
        <v>6079</v>
      </c>
      <c r="F2437" t="s">
        <v>53</v>
      </c>
      <c r="G2437" t="s">
        <v>5604</v>
      </c>
    </row>
    <row r="2438" spans="1:7" x14ac:dyDescent="0.25">
      <c r="A2438">
        <v>6079</v>
      </c>
      <c r="F2438" t="s">
        <v>55</v>
      </c>
      <c r="G2438" t="s">
        <v>5604</v>
      </c>
    </row>
    <row r="2439" spans="1:7" x14ac:dyDescent="0.25">
      <c r="A2439">
        <v>6079</v>
      </c>
      <c r="F2439" t="s">
        <v>5605</v>
      </c>
      <c r="G2439" t="s">
        <v>5604</v>
      </c>
    </row>
    <row r="2440" spans="1:7" x14ac:dyDescent="0.25">
      <c r="A2440">
        <v>6080</v>
      </c>
      <c r="F2440" t="s">
        <v>5603</v>
      </c>
      <c r="G2440" t="s">
        <v>5604</v>
      </c>
    </row>
    <row r="2441" spans="1:7" x14ac:dyDescent="0.25">
      <c r="A2441">
        <v>6080</v>
      </c>
      <c r="F2441" t="s">
        <v>53</v>
      </c>
      <c r="G2441" t="s">
        <v>5604</v>
      </c>
    </row>
    <row r="2442" spans="1:7" x14ac:dyDescent="0.25">
      <c r="A2442">
        <v>6080</v>
      </c>
      <c r="F2442" t="s">
        <v>55</v>
      </c>
      <c r="G2442" t="s">
        <v>5604</v>
      </c>
    </row>
    <row r="2443" spans="1:7" x14ac:dyDescent="0.25">
      <c r="A2443">
        <v>6080</v>
      </c>
      <c r="F2443" t="s">
        <v>5605</v>
      </c>
      <c r="G2443" t="s">
        <v>5604</v>
      </c>
    </row>
    <row r="2444" spans="1:7" x14ac:dyDescent="0.25">
      <c r="A2444">
        <v>6081</v>
      </c>
      <c r="F2444" t="s">
        <v>5603</v>
      </c>
      <c r="G2444" t="s">
        <v>5604</v>
      </c>
    </row>
    <row r="2445" spans="1:7" x14ac:dyDescent="0.25">
      <c r="A2445">
        <v>6081</v>
      </c>
      <c r="F2445" t="s">
        <v>53</v>
      </c>
      <c r="G2445" t="s">
        <v>5604</v>
      </c>
    </row>
    <row r="2446" spans="1:7" x14ac:dyDescent="0.25">
      <c r="A2446">
        <v>6081</v>
      </c>
      <c r="F2446" t="s">
        <v>55</v>
      </c>
      <c r="G2446" t="s">
        <v>5604</v>
      </c>
    </row>
    <row r="2447" spans="1:7" x14ac:dyDescent="0.25">
      <c r="A2447">
        <v>6081</v>
      </c>
      <c r="F2447" t="s">
        <v>5605</v>
      </c>
      <c r="G2447" t="s">
        <v>5604</v>
      </c>
    </row>
    <row r="2448" spans="1:7" x14ac:dyDescent="0.25">
      <c r="A2448">
        <v>6082</v>
      </c>
      <c r="F2448" t="s">
        <v>5603</v>
      </c>
      <c r="G2448" t="s">
        <v>5604</v>
      </c>
    </row>
    <row r="2449" spans="1:7" x14ac:dyDescent="0.25">
      <c r="A2449">
        <v>6082</v>
      </c>
      <c r="F2449" t="s">
        <v>53</v>
      </c>
      <c r="G2449" t="s">
        <v>5604</v>
      </c>
    </row>
    <row r="2450" spans="1:7" x14ac:dyDescent="0.25">
      <c r="A2450">
        <v>6082</v>
      </c>
      <c r="F2450" t="s">
        <v>55</v>
      </c>
      <c r="G2450" t="s">
        <v>5604</v>
      </c>
    </row>
    <row r="2451" spans="1:7" x14ac:dyDescent="0.25">
      <c r="A2451">
        <v>6082</v>
      </c>
      <c r="F2451" t="s">
        <v>5605</v>
      </c>
      <c r="G2451" t="s">
        <v>5604</v>
      </c>
    </row>
    <row r="2452" spans="1:7" x14ac:dyDescent="0.25">
      <c r="A2452">
        <v>6083</v>
      </c>
      <c r="F2452" t="s">
        <v>5603</v>
      </c>
      <c r="G2452" t="s">
        <v>5604</v>
      </c>
    </row>
    <row r="2453" spans="1:7" x14ac:dyDescent="0.25">
      <c r="A2453">
        <v>6083</v>
      </c>
      <c r="F2453" t="s">
        <v>53</v>
      </c>
      <c r="G2453" t="s">
        <v>5604</v>
      </c>
    </row>
    <row r="2454" spans="1:7" x14ac:dyDescent="0.25">
      <c r="A2454">
        <v>6083</v>
      </c>
      <c r="F2454" t="s">
        <v>55</v>
      </c>
      <c r="G2454" t="s">
        <v>5604</v>
      </c>
    </row>
    <row r="2455" spans="1:7" x14ac:dyDescent="0.25">
      <c r="A2455">
        <v>6083</v>
      </c>
      <c r="F2455" t="s">
        <v>5605</v>
      </c>
      <c r="G2455" t="s">
        <v>5604</v>
      </c>
    </row>
    <row r="2456" spans="1:7" x14ac:dyDescent="0.25">
      <c r="A2456">
        <v>6084</v>
      </c>
      <c r="F2456" t="s">
        <v>5603</v>
      </c>
      <c r="G2456" t="s">
        <v>5604</v>
      </c>
    </row>
    <row r="2457" spans="1:7" x14ac:dyDescent="0.25">
      <c r="A2457">
        <v>6084</v>
      </c>
      <c r="F2457" t="s">
        <v>53</v>
      </c>
      <c r="G2457" t="s">
        <v>5604</v>
      </c>
    </row>
    <row r="2458" spans="1:7" x14ac:dyDescent="0.25">
      <c r="A2458">
        <v>6084</v>
      </c>
      <c r="F2458" t="s">
        <v>55</v>
      </c>
      <c r="G2458" t="s">
        <v>5604</v>
      </c>
    </row>
    <row r="2459" spans="1:7" x14ac:dyDescent="0.25">
      <c r="A2459">
        <v>6084</v>
      </c>
      <c r="F2459" t="s">
        <v>5605</v>
      </c>
      <c r="G2459" t="s">
        <v>5604</v>
      </c>
    </row>
    <row r="2460" spans="1:7" x14ac:dyDescent="0.25">
      <c r="A2460">
        <v>6085</v>
      </c>
      <c r="F2460" t="s">
        <v>5603</v>
      </c>
      <c r="G2460" t="s">
        <v>5604</v>
      </c>
    </row>
    <row r="2461" spans="1:7" x14ac:dyDescent="0.25">
      <c r="A2461">
        <v>6085</v>
      </c>
      <c r="F2461" t="s">
        <v>53</v>
      </c>
      <c r="G2461" t="s">
        <v>5604</v>
      </c>
    </row>
    <row r="2462" spans="1:7" x14ac:dyDescent="0.25">
      <c r="A2462">
        <v>6085</v>
      </c>
      <c r="F2462" t="s">
        <v>55</v>
      </c>
      <c r="G2462" t="s">
        <v>5604</v>
      </c>
    </row>
    <row r="2463" spans="1:7" x14ac:dyDescent="0.25">
      <c r="A2463">
        <v>6085</v>
      </c>
      <c r="F2463" t="s">
        <v>5605</v>
      </c>
      <c r="G2463" t="s">
        <v>5604</v>
      </c>
    </row>
    <row r="2464" spans="1:7" x14ac:dyDescent="0.25">
      <c r="A2464">
        <v>6086</v>
      </c>
      <c r="F2464" t="s">
        <v>5603</v>
      </c>
      <c r="G2464" t="s">
        <v>5604</v>
      </c>
    </row>
    <row r="2465" spans="1:7" x14ac:dyDescent="0.25">
      <c r="A2465">
        <v>6086</v>
      </c>
      <c r="F2465" t="s">
        <v>53</v>
      </c>
      <c r="G2465" t="s">
        <v>5604</v>
      </c>
    </row>
    <row r="2466" spans="1:7" x14ac:dyDescent="0.25">
      <c r="A2466">
        <v>6086</v>
      </c>
      <c r="F2466" t="s">
        <v>55</v>
      </c>
      <c r="G2466" t="s">
        <v>5604</v>
      </c>
    </row>
    <row r="2467" spans="1:7" x14ac:dyDescent="0.25">
      <c r="A2467">
        <v>6086</v>
      </c>
      <c r="F2467" t="s">
        <v>5605</v>
      </c>
      <c r="G2467" t="s">
        <v>5604</v>
      </c>
    </row>
    <row r="2468" spans="1:7" x14ac:dyDescent="0.25">
      <c r="A2468">
        <v>6087</v>
      </c>
      <c r="F2468" t="s">
        <v>5603</v>
      </c>
      <c r="G2468" t="s">
        <v>5604</v>
      </c>
    </row>
    <row r="2469" spans="1:7" x14ac:dyDescent="0.25">
      <c r="A2469">
        <v>6087</v>
      </c>
      <c r="F2469" t="s">
        <v>53</v>
      </c>
      <c r="G2469" t="s">
        <v>5604</v>
      </c>
    </row>
    <row r="2470" spans="1:7" x14ac:dyDescent="0.25">
      <c r="A2470">
        <v>6087</v>
      </c>
      <c r="F2470" t="s">
        <v>55</v>
      </c>
      <c r="G2470" t="s">
        <v>5604</v>
      </c>
    </row>
    <row r="2471" spans="1:7" x14ac:dyDescent="0.25">
      <c r="A2471">
        <v>6087</v>
      </c>
      <c r="F2471" t="s">
        <v>5605</v>
      </c>
      <c r="G2471" t="s">
        <v>5604</v>
      </c>
    </row>
    <row r="2472" spans="1:7" x14ac:dyDescent="0.25">
      <c r="A2472">
        <v>6088</v>
      </c>
      <c r="F2472" t="s">
        <v>5603</v>
      </c>
      <c r="G2472" t="s">
        <v>5604</v>
      </c>
    </row>
    <row r="2473" spans="1:7" x14ac:dyDescent="0.25">
      <c r="A2473">
        <v>6088</v>
      </c>
      <c r="F2473" t="s">
        <v>53</v>
      </c>
      <c r="G2473" t="s">
        <v>5604</v>
      </c>
    </row>
    <row r="2474" spans="1:7" x14ac:dyDescent="0.25">
      <c r="A2474">
        <v>6088</v>
      </c>
      <c r="F2474" t="s">
        <v>55</v>
      </c>
      <c r="G2474" t="s">
        <v>5604</v>
      </c>
    </row>
    <row r="2475" spans="1:7" x14ac:dyDescent="0.25">
      <c r="A2475">
        <v>6088</v>
      </c>
      <c r="F2475" t="s">
        <v>5605</v>
      </c>
      <c r="G2475" t="s">
        <v>5604</v>
      </c>
    </row>
    <row r="2476" spans="1:7" x14ac:dyDescent="0.25">
      <c r="A2476">
        <v>6084</v>
      </c>
      <c r="F2476" t="s">
        <v>5603</v>
      </c>
      <c r="G2476" t="s">
        <v>5604</v>
      </c>
    </row>
    <row r="2477" spans="1:7" x14ac:dyDescent="0.25">
      <c r="A2477">
        <v>6084</v>
      </c>
      <c r="F2477" t="s">
        <v>53</v>
      </c>
      <c r="G2477" t="s">
        <v>5604</v>
      </c>
    </row>
    <row r="2478" spans="1:7" x14ac:dyDescent="0.25">
      <c r="A2478">
        <v>6084</v>
      </c>
      <c r="F2478" t="s">
        <v>55</v>
      </c>
      <c r="G2478" t="s">
        <v>5604</v>
      </c>
    </row>
    <row r="2479" spans="1:7" x14ac:dyDescent="0.25">
      <c r="A2479">
        <v>6084</v>
      </c>
      <c r="F2479" t="s">
        <v>5605</v>
      </c>
      <c r="G2479" t="s">
        <v>5604</v>
      </c>
    </row>
    <row r="2480" spans="1:7" x14ac:dyDescent="0.25">
      <c r="A2480">
        <v>6085</v>
      </c>
      <c r="F2480" t="s">
        <v>5603</v>
      </c>
      <c r="G2480" t="s">
        <v>5604</v>
      </c>
    </row>
    <row r="2481" spans="1:7" x14ac:dyDescent="0.25">
      <c r="A2481">
        <v>6085</v>
      </c>
      <c r="F2481" t="s">
        <v>53</v>
      </c>
      <c r="G2481" t="s">
        <v>5604</v>
      </c>
    </row>
    <row r="2482" spans="1:7" x14ac:dyDescent="0.25">
      <c r="A2482">
        <v>6085</v>
      </c>
      <c r="F2482" t="s">
        <v>55</v>
      </c>
      <c r="G2482" t="s">
        <v>5604</v>
      </c>
    </row>
    <row r="2483" spans="1:7" x14ac:dyDescent="0.25">
      <c r="A2483">
        <v>6085</v>
      </c>
      <c r="F2483" t="s">
        <v>5605</v>
      </c>
      <c r="G2483" t="s">
        <v>5604</v>
      </c>
    </row>
    <row r="2484" spans="1:7" x14ac:dyDescent="0.25">
      <c r="A2484">
        <v>6086</v>
      </c>
      <c r="F2484" t="s">
        <v>5603</v>
      </c>
      <c r="G2484" t="s">
        <v>5604</v>
      </c>
    </row>
    <row r="2485" spans="1:7" x14ac:dyDescent="0.25">
      <c r="A2485">
        <v>6086</v>
      </c>
      <c r="F2485" t="s">
        <v>53</v>
      </c>
      <c r="G2485" t="s">
        <v>5604</v>
      </c>
    </row>
    <row r="2486" spans="1:7" x14ac:dyDescent="0.25">
      <c r="A2486">
        <v>6086</v>
      </c>
      <c r="F2486" t="s">
        <v>55</v>
      </c>
      <c r="G2486" t="s">
        <v>5604</v>
      </c>
    </row>
    <row r="2487" spans="1:7" x14ac:dyDescent="0.25">
      <c r="A2487">
        <v>6086</v>
      </c>
      <c r="F2487" t="s">
        <v>5605</v>
      </c>
      <c r="G2487" t="s">
        <v>5604</v>
      </c>
    </row>
    <row r="2488" spans="1:7" x14ac:dyDescent="0.25">
      <c r="A2488">
        <v>6087</v>
      </c>
      <c r="F2488" t="s">
        <v>5603</v>
      </c>
      <c r="G2488" t="s">
        <v>5604</v>
      </c>
    </row>
    <row r="2489" spans="1:7" x14ac:dyDescent="0.25">
      <c r="A2489">
        <v>6087</v>
      </c>
      <c r="F2489" t="s">
        <v>53</v>
      </c>
      <c r="G2489" t="s">
        <v>5604</v>
      </c>
    </row>
    <row r="2490" spans="1:7" x14ac:dyDescent="0.25">
      <c r="A2490">
        <v>6087</v>
      </c>
      <c r="F2490" t="s">
        <v>55</v>
      </c>
      <c r="G2490" t="s">
        <v>5604</v>
      </c>
    </row>
    <row r="2491" spans="1:7" x14ac:dyDescent="0.25">
      <c r="A2491">
        <v>6087</v>
      </c>
      <c r="F2491" t="s">
        <v>5605</v>
      </c>
      <c r="G2491" t="s">
        <v>5604</v>
      </c>
    </row>
    <row r="2492" spans="1:7" x14ac:dyDescent="0.25">
      <c r="A2492">
        <v>6088</v>
      </c>
      <c r="F2492" t="s">
        <v>5603</v>
      </c>
      <c r="G2492" t="s">
        <v>5604</v>
      </c>
    </row>
    <row r="2493" spans="1:7" x14ac:dyDescent="0.25">
      <c r="A2493">
        <v>6088</v>
      </c>
      <c r="F2493" t="s">
        <v>53</v>
      </c>
      <c r="G2493" t="s">
        <v>5604</v>
      </c>
    </row>
    <row r="2494" spans="1:7" x14ac:dyDescent="0.25">
      <c r="A2494">
        <v>6088</v>
      </c>
      <c r="F2494" t="s">
        <v>55</v>
      </c>
      <c r="G2494" t="s">
        <v>5604</v>
      </c>
    </row>
    <row r="2495" spans="1:7" x14ac:dyDescent="0.25">
      <c r="A2495">
        <v>6088</v>
      </c>
      <c r="F2495" t="s">
        <v>5605</v>
      </c>
      <c r="G2495" t="s">
        <v>5604</v>
      </c>
    </row>
    <row r="2496" spans="1:7" x14ac:dyDescent="0.25">
      <c r="A2496">
        <v>6089</v>
      </c>
      <c r="F2496" t="s">
        <v>5603</v>
      </c>
      <c r="G2496" t="s">
        <v>5604</v>
      </c>
    </row>
    <row r="2497" spans="1:7" x14ac:dyDescent="0.25">
      <c r="A2497">
        <v>6089</v>
      </c>
      <c r="F2497" t="s">
        <v>53</v>
      </c>
      <c r="G2497" t="s">
        <v>5604</v>
      </c>
    </row>
    <row r="2498" spans="1:7" x14ac:dyDescent="0.25">
      <c r="A2498">
        <v>6089</v>
      </c>
      <c r="F2498" t="s">
        <v>55</v>
      </c>
      <c r="G2498" t="s">
        <v>5604</v>
      </c>
    </row>
    <row r="2499" spans="1:7" x14ac:dyDescent="0.25">
      <c r="A2499">
        <v>6089</v>
      </c>
      <c r="F2499" t="s">
        <v>5605</v>
      </c>
      <c r="G2499" t="s">
        <v>5604</v>
      </c>
    </row>
    <row r="2500" spans="1:7" x14ac:dyDescent="0.25">
      <c r="A2500">
        <v>6090</v>
      </c>
      <c r="F2500" t="s">
        <v>5603</v>
      </c>
      <c r="G2500" t="s">
        <v>5604</v>
      </c>
    </row>
    <row r="2501" spans="1:7" x14ac:dyDescent="0.25">
      <c r="A2501">
        <v>6090</v>
      </c>
      <c r="F2501" t="s">
        <v>53</v>
      </c>
      <c r="G2501" t="s">
        <v>5604</v>
      </c>
    </row>
    <row r="2502" spans="1:7" x14ac:dyDescent="0.25">
      <c r="A2502">
        <v>6090</v>
      </c>
      <c r="F2502" t="s">
        <v>55</v>
      </c>
      <c r="G2502" t="s">
        <v>5604</v>
      </c>
    </row>
    <row r="2503" spans="1:7" x14ac:dyDescent="0.25">
      <c r="A2503">
        <v>6090</v>
      </c>
      <c r="F2503" t="s">
        <v>5605</v>
      </c>
      <c r="G2503" t="s">
        <v>5604</v>
      </c>
    </row>
    <row r="2504" spans="1:7" x14ac:dyDescent="0.25">
      <c r="A2504">
        <v>6091</v>
      </c>
      <c r="F2504" t="s">
        <v>5603</v>
      </c>
      <c r="G2504" t="s">
        <v>5604</v>
      </c>
    </row>
    <row r="2505" spans="1:7" x14ac:dyDescent="0.25">
      <c r="A2505">
        <v>6091</v>
      </c>
      <c r="F2505" t="s">
        <v>53</v>
      </c>
      <c r="G2505" t="s">
        <v>5604</v>
      </c>
    </row>
    <row r="2506" spans="1:7" x14ac:dyDescent="0.25">
      <c r="A2506">
        <v>6091</v>
      </c>
      <c r="F2506" t="s">
        <v>55</v>
      </c>
      <c r="G2506" t="s">
        <v>5604</v>
      </c>
    </row>
    <row r="2507" spans="1:7" x14ac:dyDescent="0.25">
      <c r="A2507">
        <v>6091</v>
      </c>
      <c r="F2507" t="s">
        <v>5605</v>
      </c>
      <c r="G2507" t="s">
        <v>5604</v>
      </c>
    </row>
    <row r="2508" spans="1:7" x14ac:dyDescent="0.25">
      <c r="A2508">
        <v>6092</v>
      </c>
      <c r="F2508" t="s">
        <v>5603</v>
      </c>
      <c r="G2508" t="s">
        <v>5604</v>
      </c>
    </row>
    <row r="2509" spans="1:7" x14ac:dyDescent="0.25">
      <c r="A2509">
        <v>6092</v>
      </c>
      <c r="F2509" t="s">
        <v>53</v>
      </c>
      <c r="G2509" t="s">
        <v>5604</v>
      </c>
    </row>
    <row r="2510" spans="1:7" x14ac:dyDescent="0.25">
      <c r="A2510">
        <v>6092</v>
      </c>
      <c r="F2510" t="s">
        <v>55</v>
      </c>
      <c r="G2510" t="s">
        <v>5604</v>
      </c>
    </row>
    <row r="2511" spans="1:7" x14ac:dyDescent="0.25">
      <c r="A2511">
        <v>6092</v>
      </c>
      <c r="F2511" t="s">
        <v>5605</v>
      </c>
      <c r="G2511" t="s">
        <v>5604</v>
      </c>
    </row>
    <row r="2512" spans="1:7" x14ac:dyDescent="0.25">
      <c r="A2512">
        <v>6093</v>
      </c>
      <c r="F2512" t="s">
        <v>5603</v>
      </c>
      <c r="G2512" t="s">
        <v>5604</v>
      </c>
    </row>
    <row r="2513" spans="1:7" x14ac:dyDescent="0.25">
      <c r="A2513">
        <v>6093</v>
      </c>
      <c r="F2513" t="s">
        <v>53</v>
      </c>
      <c r="G2513" t="s">
        <v>5604</v>
      </c>
    </row>
    <row r="2514" spans="1:7" x14ac:dyDescent="0.25">
      <c r="A2514">
        <v>6093</v>
      </c>
      <c r="F2514" t="s">
        <v>55</v>
      </c>
      <c r="G2514" t="s">
        <v>5604</v>
      </c>
    </row>
    <row r="2515" spans="1:7" x14ac:dyDescent="0.25">
      <c r="A2515">
        <v>6093</v>
      </c>
      <c r="F2515" t="s">
        <v>5605</v>
      </c>
      <c r="G2515" t="s">
        <v>5604</v>
      </c>
    </row>
    <row r="2516" spans="1:7" x14ac:dyDescent="0.25">
      <c r="A2516">
        <v>6094</v>
      </c>
      <c r="F2516" t="s">
        <v>5603</v>
      </c>
      <c r="G2516" t="s">
        <v>5604</v>
      </c>
    </row>
    <row r="2517" spans="1:7" x14ac:dyDescent="0.25">
      <c r="A2517">
        <v>6094</v>
      </c>
      <c r="F2517" t="s">
        <v>53</v>
      </c>
      <c r="G2517" t="s">
        <v>5604</v>
      </c>
    </row>
    <row r="2518" spans="1:7" x14ac:dyDescent="0.25">
      <c r="A2518">
        <v>6094</v>
      </c>
      <c r="F2518" t="s">
        <v>55</v>
      </c>
      <c r="G2518" t="s">
        <v>5604</v>
      </c>
    </row>
    <row r="2519" spans="1:7" x14ac:dyDescent="0.25">
      <c r="A2519">
        <v>6094</v>
      </c>
      <c r="F2519" t="s">
        <v>5605</v>
      </c>
      <c r="G2519" t="s">
        <v>5604</v>
      </c>
    </row>
    <row r="2520" spans="1:7" x14ac:dyDescent="0.25">
      <c r="A2520">
        <v>6095</v>
      </c>
      <c r="F2520" t="s">
        <v>5603</v>
      </c>
      <c r="G2520" t="s">
        <v>5604</v>
      </c>
    </row>
    <row r="2521" spans="1:7" x14ac:dyDescent="0.25">
      <c r="A2521">
        <v>6095</v>
      </c>
      <c r="F2521" t="s">
        <v>53</v>
      </c>
      <c r="G2521" t="s">
        <v>5604</v>
      </c>
    </row>
    <row r="2522" spans="1:7" x14ac:dyDescent="0.25">
      <c r="A2522">
        <v>6095</v>
      </c>
      <c r="F2522" t="s">
        <v>55</v>
      </c>
      <c r="G2522" t="s">
        <v>5604</v>
      </c>
    </row>
    <row r="2523" spans="1:7" x14ac:dyDescent="0.25">
      <c r="A2523">
        <v>6095</v>
      </c>
      <c r="F2523" t="s">
        <v>5605</v>
      </c>
      <c r="G2523" t="s">
        <v>5604</v>
      </c>
    </row>
    <row r="2524" spans="1:7" x14ac:dyDescent="0.25">
      <c r="A2524">
        <v>6096</v>
      </c>
      <c r="F2524" t="s">
        <v>5603</v>
      </c>
      <c r="G2524" t="s">
        <v>5604</v>
      </c>
    </row>
    <row r="2525" spans="1:7" x14ac:dyDescent="0.25">
      <c r="A2525">
        <v>6096</v>
      </c>
      <c r="F2525" t="s">
        <v>53</v>
      </c>
      <c r="G2525" t="s">
        <v>5604</v>
      </c>
    </row>
    <row r="2526" spans="1:7" x14ac:dyDescent="0.25">
      <c r="A2526">
        <v>6096</v>
      </c>
      <c r="F2526" t="s">
        <v>55</v>
      </c>
      <c r="G2526" t="s">
        <v>5604</v>
      </c>
    </row>
    <row r="2527" spans="1:7" x14ac:dyDescent="0.25">
      <c r="A2527">
        <v>6096</v>
      </c>
      <c r="F2527" t="s">
        <v>5605</v>
      </c>
      <c r="G2527" t="s">
        <v>5604</v>
      </c>
    </row>
    <row r="2528" spans="1:7" x14ac:dyDescent="0.25">
      <c r="A2528">
        <v>6097</v>
      </c>
      <c r="F2528" t="s">
        <v>5603</v>
      </c>
      <c r="G2528" t="s">
        <v>5604</v>
      </c>
    </row>
    <row r="2529" spans="1:7" x14ac:dyDescent="0.25">
      <c r="A2529">
        <v>6097</v>
      </c>
      <c r="F2529" t="s">
        <v>53</v>
      </c>
      <c r="G2529" t="s">
        <v>5604</v>
      </c>
    </row>
    <row r="2530" spans="1:7" x14ac:dyDescent="0.25">
      <c r="A2530">
        <v>6097</v>
      </c>
      <c r="F2530" t="s">
        <v>55</v>
      </c>
      <c r="G2530" t="s">
        <v>5604</v>
      </c>
    </row>
    <row r="2531" spans="1:7" x14ac:dyDescent="0.25">
      <c r="A2531">
        <v>6097</v>
      </c>
      <c r="F2531" t="s">
        <v>5605</v>
      </c>
      <c r="G2531" t="s">
        <v>5604</v>
      </c>
    </row>
    <row r="2532" spans="1:7" x14ac:dyDescent="0.25">
      <c r="A2532">
        <v>6098</v>
      </c>
      <c r="F2532" t="s">
        <v>5603</v>
      </c>
      <c r="G2532" t="s">
        <v>5604</v>
      </c>
    </row>
    <row r="2533" spans="1:7" x14ac:dyDescent="0.25">
      <c r="A2533">
        <v>6098</v>
      </c>
      <c r="F2533" t="s">
        <v>53</v>
      </c>
      <c r="G2533" t="s">
        <v>5604</v>
      </c>
    </row>
    <row r="2534" spans="1:7" x14ac:dyDescent="0.25">
      <c r="A2534">
        <v>6098</v>
      </c>
      <c r="F2534" t="s">
        <v>55</v>
      </c>
      <c r="G2534" t="s">
        <v>5604</v>
      </c>
    </row>
    <row r="2535" spans="1:7" x14ac:dyDescent="0.25">
      <c r="A2535">
        <v>6098</v>
      </c>
      <c r="F2535" t="s">
        <v>5605</v>
      </c>
      <c r="G2535" t="s">
        <v>5604</v>
      </c>
    </row>
    <row r="2536" spans="1:7" x14ac:dyDescent="0.25">
      <c r="A2536">
        <v>6099</v>
      </c>
      <c r="F2536" t="s">
        <v>5603</v>
      </c>
      <c r="G2536" t="s">
        <v>5604</v>
      </c>
    </row>
    <row r="2537" spans="1:7" x14ac:dyDescent="0.25">
      <c r="A2537">
        <v>6099</v>
      </c>
      <c r="F2537" t="s">
        <v>53</v>
      </c>
      <c r="G2537" t="s">
        <v>5604</v>
      </c>
    </row>
    <row r="2538" spans="1:7" x14ac:dyDescent="0.25">
      <c r="A2538">
        <v>6099</v>
      </c>
      <c r="F2538" t="s">
        <v>55</v>
      </c>
      <c r="G2538" t="s">
        <v>5604</v>
      </c>
    </row>
    <row r="2539" spans="1:7" x14ac:dyDescent="0.25">
      <c r="A2539">
        <v>6099</v>
      </c>
      <c r="F2539" t="s">
        <v>5605</v>
      </c>
      <c r="G2539" t="s">
        <v>5604</v>
      </c>
    </row>
    <row r="2540" spans="1:7" x14ac:dyDescent="0.25">
      <c r="A2540">
        <v>6100</v>
      </c>
      <c r="F2540" t="s">
        <v>5603</v>
      </c>
      <c r="G2540" t="s">
        <v>5604</v>
      </c>
    </row>
    <row r="2541" spans="1:7" x14ac:dyDescent="0.25">
      <c r="A2541">
        <v>6100</v>
      </c>
      <c r="F2541" t="s">
        <v>53</v>
      </c>
      <c r="G2541" t="s">
        <v>5604</v>
      </c>
    </row>
    <row r="2542" spans="1:7" x14ac:dyDescent="0.25">
      <c r="A2542">
        <v>6100</v>
      </c>
      <c r="F2542" t="s">
        <v>55</v>
      </c>
      <c r="G2542" t="s">
        <v>5604</v>
      </c>
    </row>
    <row r="2543" spans="1:7" x14ac:dyDescent="0.25">
      <c r="A2543">
        <v>6100</v>
      </c>
      <c r="F2543" t="s">
        <v>5605</v>
      </c>
      <c r="G2543" t="s">
        <v>5604</v>
      </c>
    </row>
    <row r="2544" spans="1:7" x14ac:dyDescent="0.25">
      <c r="A2544">
        <v>6101</v>
      </c>
      <c r="F2544" t="s">
        <v>5603</v>
      </c>
      <c r="G2544" t="s">
        <v>5604</v>
      </c>
    </row>
    <row r="2545" spans="1:7" x14ac:dyDescent="0.25">
      <c r="A2545">
        <v>6101</v>
      </c>
      <c r="F2545" t="s">
        <v>53</v>
      </c>
      <c r="G2545" t="s">
        <v>5604</v>
      </c>
    </row>
    <row r="2546" spans="1:7" x14ac:dyDescent="0.25">
      <c r="A2546">
        <v>6101</v>
      </c>
      <c r="F2546" t="s">
        <v>55</v>
      </c>
      <c r="G2546" t="s">
        <v>5604</v>
      </c>
    </row>
    <row r="2547" spans="1:7" x14ac:dyDescent="0.25">
      <c r="A2547">
        <v>6101</v>
      </c>
      <c r="F2547" t="s">
        <v>5605</v>
      </c>
      <c r="G2547" t="s">
        <v>5604</v>
      </c>
    </row>
    <row r="2548" spans="1:7" x14ac:dyDescent="0.25">
      <c r="A2548">
        <v>6102</v>
      </c>
      <c r="F2548" t="s">
        <v>5603</v>
      </c>
      <c r="G2548" t="s">
        <v>5604</v>
      </c>
    </row>
    <row r="2549" spans="1:7" x14ac:dyDescent="0.25">
      <c r="A2549">
        <v>6102</v>
      </c>
      <c r="F2549" t="s">
        <v>53</v>
      </c>
      <c r="G2549" t="s">
        <v>5604</v>
      </c>
    </row>
    <row r="2550" spans="1:7" x14ac:dyDescent="0.25">
      <c r="A2550">
        <v>6102</v>
      </c>
      <c r="F2550" t="s">
        <v>55</v>
      </c>
      <c r="G2550" t="s">
        <v>5604</v>
      </c>
    </row>
    <row r="2551" spans="1:7" x14ac:dyDescent="0.25">
      <c r="A2551">
        <v>6102</v>
      </c>
      <c r="F2551" t="s">
        <v>5605</v>
      </c>
      <c r="G2551" t="s">
        <v>5604</v>
      </c>
    </row>
    <row r="2552" spans="1:7" x14ac:dyDescent="0.25">
      <c r="A2552">
        <v>6103</v>
      </c>
      <c r="F2552" t="s">
        <v>5603</v>
      </c>
      <c r="G2552" t="s">
        <v>5604</v>
      </c>
    </row>
    <row r="2553" spans="1:7" x14ac:dyDescent="0.25">
      <c r="A2553">
        <v>6103</v>
      </c>
      <c r="F2553" t="s">
        <v>53</v>
      </c>
      <c r="G2553" t="s">
        <v>5604</v>
      </c>
    </row>
    <row r="2554" spans="1:7" x14ac:dyDescent="0.25">
      <c r="A2554">
        <v>6103</v>
      </c>
      <c r="F2554" t="s">
        <v>55</v>
      </c>
      <c r="G2554" t="s">
        <v>5604</v>
      </c>
    </row>
    <row r="2555" spans="1:7" x14ac:dyDescent="0.25">
      <c r="A2555">
        <v>6103</v>
      </c>
      <c r="F2555" t="s">
        <v>5605</v>
      </c>
      <c r="G2555" t="s">
        <v>5604</v>
      </c>
    </row>
    <row r="2556" spans="1:7" x14ac:dyDescent="0.25">
      <c r="A2556">
        <v>6104</v>
      </c>
      <c r="F2556" t="s">
        <v>5603</v>
      </c>
      <c r="G2556" t="s">
        <v>5604</v>
      </c>
    </row>
    <row r="2557" spans="1:7" x14ac:dyDescent="0.25">
      <c r="A2557">
        <v>6104</v>
      </c>
      <c r="F2557" t="s">
        <v>53</v>
      </c>
      <c r="G2557" t="s">
        <v>5604</v>
      </c>
    </row>
    <row r="2558" spans="1:7" x14ac:dyDescent="0.25">
      <c r="A2558">
        <v>6104</v>
      </c>
      <c r="F2558" t="s">
        <v>55</v>
      </c>
      <c r="G2558" t="s">
        <v>5604</v>
      </c>
    </row>
    <row r="2559" spans="1:7" x14ac:dyDescent="0.25">
      <c r="A2559">
        <v>6104</v>
      </c>
      <c r="F2559" t="s">
        <v>5605</v>
      </c>
      <c r="G2559" t="s">
        <v>5604</v>
      </c>
    </row>
    <row r="2560" spans="1:7" x14ac:dyDescent="0.25">
      <c r="A2560">
        <v>6105</v>
      </c>
      <c r="F2560" t="s">
        <v>5603</v>
      </c>
      <c r="G2560" t="s">
        <v>5604</v>
      </c>
    </row>
    <row r="2561" spans="1:7" x14ac:dyDescent="0.25">
      <c r="A2561">
        <v>6105</v>
      </c>
      <c r="F2561" t="s">
        <v>53</v>
      </c>
      <c r="G2561" t="s">
        <v>5604</v>
      </c>
    </row>
    <row r="2562" spans="1:7" x14ac:dyDescent="0.25">
      <c r="A2562">
        <v>6105</v>
      </c>
      <c r="F2562" t="s">
        <v>55</v>
      </c>
      <c r="G2562" t="s">
        <v>5604</v>
      </c>
    </row>
    <row r="2563" spans="1:7" x14ac:dyDescent="0.25">
      <c r="A2563">
        <v>6105</v>
      </c>
      <c r="F2563" t="s">
        <v>5605</v>
      </c>
      <c r="G2563" t="s">
        <v>5604</v>
      </c>
    </row>
    <row r="2564" spans="1:7" x14ac:dyDescent="0.25">
      <c r="A2564">
        <v>6106</v>
      </c>
      <c r="F2564" t="s">
        <v>5603</v>
      </c>
      <c r="G2564" t="s">
        <v>5604</v>
      </c>
    </row>
    <row r="2565" spans="1:7" x14ac:dyDescent="0.25">
      <c r="A2565">
        <v>6106</v>
      </c>
      <c r="F2565" t="s">
        <v>53</v>
      </c>
      <c r="G2565" t="s">
        <v>5604</v>
      </c>
    </row>
    <row r="2566" spans="1:7" x14ac:dyDescent="0.25">
      <c r="A2566">
        <v>6106</v>
      </c>
      <c r="F2566" t="s">
        <v>55</v>
      </c>
      <c r="G2566" t="s">
        <v>5604</v>
      </c>
    </row>
    <row r="2567" spans="1:7" x14ac:dyDescent="0.25">
      <c r="A2567">
        <v>6106</v>
      </c>
      <c r="F2567" t="s">
        <v>5605</v>
      </c>
      <c r="G2567" t="s">
        <v>5604</v>
      </c>
    </row>
    <row r="2568" spans="1:7" x14ac:dyDescent="0.25">
      <c r="A2568">
        <v>6107</v>
      </c>
      <c r="F2568" t="s">
        <v>5603</v>
      </c>
      <c r="G2568" t="s">
        <v>5604</v>
      </c>
    </row>
    <row r="2569" spans="1:7" x14ac:dyDescent="0.25">
      <c r="A2569">
        <v>6107</v>
      </c>
      <c r="F2569" t="s">
        <v>53</v>
      </c>
      <c r="G2569" t="s">
        <v>5604</v>
      </c>
    </row>
    <row r="2570" spans="1:7" x14ac:dyDescent="0.25">
      <c r="A2570">
        <v>6107</v>
      </c>
      <c r="F2570" t="s">
        <v>55</v>
      </c>
      <c r="G2570" t="s">
        <v>5604</v>
      </c>
    </row>
    <row r="2571" spans="1:7" x14ac:dyDescent="0.25">
      <c r="A2571">
        <v>6107</v>
      </c>
      <c r="F2571" t="s">
        <v>5605</v>
      </c>
      <c r="G2571" t="s">
        <v>5604</v>
      </c>
    </row>
    <row r="2572" spans="1:7" x14ac:dyDescent="0.25">
      <c r="A2572">
        <v>6108</v>
      </c>
      <c r="F2572" t="s">
        <v>5603</v>
      </c>
      <c r="G2572" t="s">
        <v>5604</v>
      </c>
    </row>
    <row r="2573" spans="1:7" x14ac:dyDescent="0.25">
      <c r="A2573">
        <v>6108</v>
      </c>
      <c r="F2573" t="s">
        <v>53</v>
      </c>
      <c r="G2573" t="s">
        <v>5604</v>
      </c>
    </row>
    <row r="2574" spans="1:7" x14ac:dyDescent="0.25">
      <c r="A2574">
        <v>6108</v>
      </c>
      <c r="F2574" t="s">
        <v>55</v>
      </c>
      <c r="G2574" t="s">
        <v>5604</v>
      </c>
    </row>
    <row r="2575" spans="1:7" x14ac:dyDescent="0.25">
      <c r="A2575">
        <v>6108</v>
      </c>
      <c r="F2575" t="s">
        <v>5605</v>
      </c>
      <c r="G2575" t="s">
        <v>5604</v>
      </c>
    </row>
    <row r="2576" spans="1:7" x14ac:dyDescent="0.25">
      <c r="A2576">
        <v>6109</v>
      </c>
      <c r="F2576" t="s">
        <v>5603</v>
      </c>
      <c r="G2576" t="s">
        <v>5604</v>
      </c>
    </row>
    <row r="2577" spans="1:7" x14ac:dyDescent="0.25">
      <c r="A2577">
        <v>6109</v>
      </c>
      <c r="F2577" t="s">
        <v>53</v>
      </c>
      <c r="G2577" t="s">
        <v>5604</v>
      </c>
    </row>
    <row r="2578" spans="1:7" x14ac:dyDescent="0.25">
      <c r="A2578">
        <v>6109</v>
      </c>
      <c r="F2578" t="s">
        <v>55</v>
      </c>
      <c r="G2578" t="s">
        <v>5604</v>
      </c>
    </row>
    <row r="2579" spans="1:7" x14ac:dyDescent="0.25">
      <c r="A2579">
        <v>6109</v>
      </c>
      <c r="F2579" t="s">
        <v>5605</v>
      </c>
      <c r="G2579" t="s">
        <v>5604</v>
      </c>
    </row>
    <row r="2580" spans="1:7" x14ac:dyDescent="0.25">
      <c r="A2580">
        <v>6110</v>
      </c>
      <c r="F2580" t="s">
        <v>5603</v>
      </c>
      <c r="G2580" t="s">
        <v>5604</v>
      </c>
    </row>
    <row r="2581" spans="1:7" x14ac:dyDescent="0.25">
      <c r="A2581">
        <v>6110</v>
      </c>
      <c r="F2581" t="s">
        <v>53</v>
      </c>
      <c r="G2581" t="s">
        <v>5604</v>
      </c>
    </row>
    <row r="2582" spans="1:7" x14ac:dyDescent="0.25">
      <c r="A2582">
        <v>6110</v>
      </c>
      <c r="F2582" t="s">
        <v>55</v>
      </c>
      <c r="G2582" t="s">
        <v>5604</v>
      </c>
    </row>
    <row r="2583" spans="1:7" x14ac:dyDescent="0.25">
      <c r="A2583">
        <v>6110</v>
      </c>
      <c r="F2583" t="s">
        <v>5605</v>
      </c>
      <c r="G2583" t="s">
        <v>5604</v>
      </c>
    </row>
    <row r="2584" spans="1:7" x14ac:dyDescent="0.25">
      <c r="A2584">
        <v>6111</v>
      </c>
      <c r="F2584" t="s">
        <v>5603</v>
      </c>
      <c r="G2584" t="s">
        <v>5604</v>
      </c>
    </row>
    <row r="2585" spans="1:7" x14ac:dyDescent="0.25">
      <c r="A2585">
        <v>6111</v>
      </c>
      <c r="F2585" t="s">
        <v>53</v>
      </c>
      <c r="G2585" t="s">
        <v>5604</v>
      </c>
    </row>
    <row r="2586" spans="1:7" x14ac:dyDescent="0.25">
      <c r="A2586">
        <v>6111</v>
      </c>
      <c r="F2586" t="s">
        <v>55</v>
      </c>
      <c r="G2586" t="s">
        <v>5604</v>
      </c>
    </row>
    <row r="2587" spans="1:7" x14ac:dyDescent="0.25">
      <c r="A2587">
        <v>6111</v>
      </c>
      <c r="F2587" t="s">
        <v>5605</v>
      </c>
      <c r="G2587" t="s">
        <v>5604</v>
      </c>
    </row>
    <row r="2588" spans="1:7" x14ac:dyDescent="0.25">
      <c r="A2588">
        <v>6112</v>
      </c>
      <c r="F2588" t="s">
        <v>5603</v>
      </c>
      <c r="G2588" t="s">
        <v>5604</v>
      </c>
    </row>
    <row r="2589" spans="1:7" x14ac:dyDescent="0.25">
      <c r="A2589">
        <v>6112</v>
      </c>
      <c r="F2589" t="s">
        <v>53</v>
      </c>
      <c r="G2589" t="s">
        <v>5604</v>
      </c>
    </row>
    <row r="2590" spans="1:7" x14ac:dyDescent="0.25">
      <c r="A2590">
        <v>6112</v>
      </c>
      <c r="F2590" t="s">
        <v>55</v>
      </c>
      <c r="G2590" t="s">
        <v>5604</v>
      </c>
    </row>
    <row r="2591" spans="1:7" x14ac:dyDescent="0.25">
      <c r="A2591">
        <v>6112</v>
      </c>
      <c r="F2591" t="s">
        <v>5605</v>
      </c>
      <c r="G2591" t="s">
        <v>5604</v>
      </c>
    </row>
    <row r="2592" spans="1:7" x14ac:dyDescent="0.25">
      <c r="A2592">
        <v>6113</v>
      </c>
      <c r="F2592" t="s">
        <v>5603</v>
      </c>
      <c r="G2592" t="s">
        <v>5604</v>
      </c>
    </row>
    <row r="2593" spans="1:7" x14ac:dyDescent="0.25">
      <c r="A2593">
        <v>6113</v>
      </c>
      <c r="F2593" t="s">
        <v>53</v>
      </c>
      <c r="G2593" t="s">
        <v>5604</v>
      </c>
    </row>
    <row r="2594" spans="1:7" x14ac:dyDescent="0.25">
      <c r="A2594">
        <v>6113</v>
      </c>
      <c r="F2594" t="s">
        <v>55</v>
      </c>
      <c r="G2594" t="s">
        <v>5604</v>
      </c>
    </row>
    <row r="2595" spans="1:7" x14ac:dyDescent="0.25">
      <c r="A2595">
        <v>6113</v>
      </c>
      <c r="F2595" t="s">
        <v>5605</v>
      </c>
      <c r="G2595" t="s">
        <v>5604</v>
      </c>
    </row>
    <row r="2596" spans="1:7" x14ac:dyDescent="0.25">
      <c r="A2596">
        <v>6114</v>
      </c>
      <c r="F2596" t="s">
        <v>5603</v>
      </c>
      <c r="G2596" t="s">
        <v>5604</v>
      </c>
    </row>
    <row r="2597" spans="1:7" x14ac:dyDescent="0.25">
      <c r="A2597">
        <v>6114</v>
      </c>
      <c r="F2597" t="s">
        <v>53</v>
      </c>
      <c r="G2597" t="s">
        <v>5604</v>
      </c>
    </row>
    <row r="2598" spans="1:7" x14ac:dyDescent="0.25">
      <c r="A2598">
        <v>6114</v>
      </c>
      <c r="F2598" t="s">
        <v>55</v>
      </c>
      <c r="G2598" t="s">
        <v>5604</v>
      </c>
    </row>
    <row r="2599" spans="1:7" x14ac:dyDescent="0.25">
      <c r="A2599">
        <v>6114</v>
      </c>
      <c r="F2599" t="s">
        <v>5605</v>
      </c>
      <c r="G2599" t="s">
        <v>5604</v>
      </c>
    </row>
    <row r="2600" spans="1:7" x14ac:dyDescent="0.25">
      <c r="A2600">
        <v>6115</v>
      </c>
      <c r="F2600" t="s">
        <v>5603</v>
      </c>
      <c r="G2600" t="s">
        <v>5604</v>
      </c>
    </row>
    <row r="2601" spans="1:7" x14ac:dyDescent="0.25">
      <c r="A2601">
        <v>6115</v>
      </c>
      <c r="F2601" t="s">
        <v>53</v>
      </c>
      <c r="G2601" t="s">
        <v>5604</v>
      </c>
    </row>
    <row r="2602" spans="1:7" x14ac:dyDescent="0.25">
      <c r="A2602">
        <v>6115</v>
      </c>
      <c r="F2602" t="s">
        <v>55</v>
      </c>
      <c r="G2602" t="s">
        <v>5604</v>
      </c>
    </row>
    <row r="2603" spans="1:7" x14ac:dyDescent="0.25">
      <c r="A2603">
        <v>6115</v>
      </c>
      <c r="F2603" t="s">
        <v>5605</v>
      </c>
      <c r="G2603" t="s">
        <v>5604</v>
      </c>
    </row>
    <row r="2604" spans="1:7" x14ac:dyDescent="0.25">
      <c r="A2604">
        <v>6116</v>
      </c>
      <c r="F2604" t="s">
        <v>5603</v>
      </c>
      <c r="G2604" t="s">
        <v>5604</v>
      </c>
    </row>
    <row r="2605" spans="1:7" x14ac:dyDescent="0.25">
      <c r="A2605">
        <v>6116</v>
      </c>
      <c r="F2605" t="s">
        <v>53</v>
      </c>
      <c r="G2605" t="s">
        <v>5604</v>
      </c>
    </row>
    <row r="2606" spans="1:7" x14ac:dyDescent="0.25">
      <c r="A2606">
        <v>6116</v>
      </c>
      <c r="F2606" t="s">
        <v>55</v>
      </c>
      <c r="G2606" t="s">
        <v>5604</v>
      </c>
    </row>
    <row r="2607" spans="1:7" x14ac:dyDescent="0.25">
      <c r="A2607">
        <v>6116</v>
      </c>
      <c r="F2607" t="s">
        <v>5605</v>
      </c>
      <c r="G2607" t="s">
        <v>5604</v>
      </c>
    </row>
    <row r="2608" spans="1:7" x14ac:dyDescent="0.25">
      <c r="A2608">
        <v>6117</v>
      </c>
      <c r="F2608" t="s">
        <v>5603</v>
      </c>
      <c r="G2608" t="s">
        <v>5604</v>
      </c>
    </row>
    <row r="2609" spans="1:7" x14ac:dyDescent="0.25">
      <c r="A2609">
        <v>6117</v>
      </c>
      <c r="F2609" t="s">
        <v>53</v>
      </c>
      <c r="G2609" t="s">
        <v>5604</v>
      </c>
    </row>
    <row r="2610" spans="1:7" x14ac:dyDescent="0.25">
      <c r="A2610">
        <v>6117</v>
      </c>
      <c r="F2610" t="s">
        <v>55</v>
      </c>
      <c r="G2610" t="s">
        <v>5604</v>
      </c>
    </row>
    <row r="2611" spans="1:7" x14ac:dyDescent="0.25">
      <c r="A2611">
        <v>6117</v>
      </c>
      <c r="F2611" t="s">
        <v>5605</v>
      </c>
      <c r="G2611" t="s">
        <v>5604</v>
      </c>
    </row>
    <row r="2612" spans="1:7" x14ac:dyDescent="0.25">
      <c r="A2612">
        <v>6118</v>
      </c>
      <c r="F2612" t="s">
        <v>5603</v>
      </c>
      <c r="G2612" t="s">
        <v>5604</v>
      </c>
    </row>
    <row r="2613" spans="1:7" x14ac:dyDescent="0.25">
      <c r="A2613">
        <v>6118</v>
      </c>
      <c r="F2613" t="s">
        <v>53</v>
      </c>
      <c r="G2613" t="s">
        <v>5604</v>
      </c>
    </row>
    <row r="2614" spans="1:7" x14ac:dyDescent="0.25">
      <c r="A2614">
        <v>6118</v>
      </c>
      <c r="F2614" t="s">
        <v>55</v>
      </c>
      <c r="G2614" t="s">
        <v>5604</v>
      </c>
    </row>
    <row r="2615" spans="1:7" x14ac:dyDescent="0.25">
      <c r="A2615">
        <v>6118</v>
      </c>
      <c r="F2615" t="s">
        <v>5605</v>
      </c>
      <c r="G2615" t="s">
        <v>5604</v>
      </c>
    </row>
    <row r="2616" spans="1:7" x14ac:dyDescent="0.25">
      <c r="A2616">
        <v>6119</v>
      </c>
      <c r="F2616" t="s">
        <v>5603</v>
      </c>
      <c r="G2616" t="s">
        <v>5604</v>
      </c>
    </row>
    <row r="2617" spans="1:7" x14ac:dyDescent="0.25">
      <c r="A2617">
        <v>6119</v>
      </c>
      <c r="F2617" t="s">
        <v>53</v>
      </c>
      <c r="G2617" t="s">
        <v>5604</v>
      </c>
    </row>
    <row r="2618" spans="1:7" x14ac:dyDescent="0.25">
      <c r="A2618">
        <v>6119</v>
      </c>
      <c r="F2618" t="s">
        <v>55</v>
      </c>
      <c r="G2618" t="s">
        <v>5604</v>
      </c>
    </row>
    <row r="2619" spans="1:7" x14ac:dyDescent="0.25">
      <c r="A2619">
        <v>6119</v>
      </c>
      <c r="F2619" t="s">
        <v>5605</v>
      </c>
      <c r="G2619" t="s">
        <v>5604</v>
      </c>
    </row>
    <row r="2620" spans="1:7" x14ac:dyDescent="0.25">
      <c r="A2620">
        <v>6120</v>
      </c>
      <c r="F2620" t="s">
        <v>5603</v>
      </c>
      <c r="G2620" t="s">
        <v>5604</v>
      </c>
    </row>
    <row r="2621" spans="1:7" x14ac:dyDescent="0.25">
      <c r="A2621">
        <v>6120</v>
      </c>
      <c r="F2621" t="s">
        <v>53</v>
      </c>
      <c r="G2621" t="s">
        <v>5604</v>
      </c>
    </row>
    <row r="2622" spans="1:7" x14ac:dyDescent="0.25">
      <c r="A2622">
        <v>6120</v>
      </c>
      <c r="F2622" t="s">
        <v>55</v>
      </c>
      <c r="G2622" t="s">
        <v>5604</v>
      </c>
    </row>
    <row r="2623" spans="1:7" x14ac:dyDescent="0.25">
      <c r="A2623">
        <v>6120</v>
      </c>
      <c r="F2623" t="s">
        <v>5605</v>
      </c>
      <c r="G2623" t="s">
        <v>5604</v>
      </c>
    </row>
    <row r="2624" spans="1:7" x14ac:dyDescent="0.25">
      <c r="A2624">
        <v>6121</v>
      </c>
      <c r="F2624" t="s">
        <v>5603</v>
      </c>
      <c r="G2624" t="s">
        <v>5604</v>
      </c>
    </row>
    <row r="2625" spans="1:7" x14ac:dyDescent="0.25">
      <c r="A2625">
        <v>6121</v>
      </c>
      <c r="F2625" t="s">
        <v>53</v>
      </c>
      <c r="G2625" t="s">
        <v>5604</v>
      </c>
    </row>
    <row r="2626" spans="1:7" x14ac:dyDescent="0.25">
      <c r="A2626">
        <v>6121</v>
      </c>
      <c r="F2626" t="s">
        <v>55</v>
      </c>
      <c r="G2626" t="s">
        <v>5604</v>
      </c>
    </row>
    <row r="2627" spans="1:7" x14ac:dyDescent="0.25">
      <c r="A2627">
        <v>6121</v>
      </c>
      <c r="F2627" t="s">
        <v>5605</v>
      </c>
      <c r="G2627" t="s">
        <v>5604</v>
      </c>
    </row>
    <row r="2628" spans="1:7" x14ac:dyDescent="0.25">
      <c r="A2628">
        <v>6122</v>
      </c>
      <c r="F2628" t="s">
        <v>5603</v>
      </c>
      <c r="G2628" t="s">
        <v>5604</v>
      </c>
    </row>
    <row r="2629" spans="1:7" x14ac:dyDescent="0.25">
      <c r="A2629">
        <v>6122</v>
      </c>
      <c r="F2629" t="s">
        <v>53</v>
      </c>
      <c r="G2629" t="s">
        <v>5604</v>
      </c>
    </row>
    <row r="2630" spans="1:7" x14ac:dyDescent="0.25">
      <c r="A2630">
        <v>6122</v>
      </c>
      <c r="F2630" t="s">
        <v>55</v>
      </c>
      <c r="G2630" t="s">
        <v>5604</v>
      </c>
    </row>
    <row r="2631" spans="1:7" x14ac:dyDescent="0.25">
      <c r="A2631">
        <v>6122</v>
      </c>
      <c r="F2631" t="s">
        <v>5605</v>
      </c>
      <c r="G2631" t="s">
        <v>5604</v>
      </c>
    </row>
    <row r="2632" spans="1:7" x14ac:dyDescent="0.25">
      <c r="A2632">
        <v>6123</v>
      </c>
      <c r="F2632" t="s">
        <v>5603</v>
      </c>
      <c r="G2632" t="s">
        <v>5604</v>
      </c>
    </row>
    <row r="2633" spans="1:7" x14ac:dyDescent="0.25">
      <c r="A2633">
        <v>6123</v>
      </c>
      <c r="F2633" t="s">
        <v>53</v>
      </c>
      <c r="G2633" t="s">
        <v>5604</v>
      </c>
    </row>
    <row r="2634" spans="1:7" x14ac:dyDescent="0.25">
      <c r="A2634">
        <v>6123</v>
      </c>
      <c r="F2634" t="s">
        <v>55</v>
      </c>
      <c r="G2634" t="s">
        <v>5604</v>
      </c>
    </row>
    <row r="2635" spans="1:7" x14ac:dyDescent="0.25">
      <c r="A2635">
        <v>6123</v>
      </c>
      <c r="F2635" t="s">
        <v>5605</v>
      </c>
      <c r="G2635" t="s">
        <v>5604</v>
      </c>
    </row>
    <row r="2636" spans="1:7" x14ac:dyDescent="0.25">
      <c r="A2636">
        <v>6124</v>
      </c>
      <c r="F2636" t="s">
        <v>5603</v>
      </c>
      <c r="G2636" t="s">
        <v>5604</v>
      </c>
    </row>
    <row r="2637" spans="1:7" x14ac:dyDescent="0.25">
      <c r="A2637">
        <v>6124</v>
      </c>
      <c r="F2637" t="s">
        <v>53</v>
      </c>
      <c r="G2637" t="s">
        <v>5604</v>
      </c>
    </row>
    <row r="2638" spans="1:7" x14ac:dyDescent="0.25">
      <c r="A2638">
        <v>6124</v>
      </c>
      <c r="F2638" t="s">
        <v>55</v>
      </c>
      <c r="G2638" t="s">
        <v>5604</v>
      </c>
    </row>
    <row r="2639" spans="1:7" x14ac:dyDescent="0.25">
      <c r="A2639">
        <v>6124</v>
      </c>
      <c r="F2639" t="s">
        <v>5605</v>
      </c>
      <c r="G2639" t="s">
        <v>5604</v>
      </c>
    </row>
    <row r="2640" spans="1:7" x14ac:dyDescent="0.25">
      <c r="A2640">
        <v>6125</v>
      </c>
      <c r="F2640" t="s">
        <v>5603</v>
      </c>
      <c r="G2640" t="s">
        <v>5604</v>
      </c>
    </row>
    <row r="2641" spans="1:7" x14ac:dyDescent="0.25">
      <c r="A2641">
        <v>6125</v>
      </c>
      <c r="F2641" t="s">
        <v>53</v>
      </c>
      <c r="G2641" t="s">
        <v>5604</v>
      </c>
    </row>
    <row r="2642" spans="1:7" x14ac:dyDescent="0.25">
      <c r="A2642">
        <v>6125</v>
      </c>
      <c r="F2642" t="s">
        <v>55</v>
      </c>
      <c r="G2642" t="s">
        <v>5604</v>
      </c>
    </row>
    <row r="2643" spans="1:7" x14ac:dyDescent="0.25">
      <c r="A2643">
        <v>6125</v>
      </c>
      <c r="F2643" t="s">
        <v>5605</v>
      </c>
      <c r="G2643" t="s">
        <v>5604</v>
      </c>
    </row>
    <row r="2644" spans="1:7" x14ac:dyDescent="0.25">
      <c r="A2644">
        <v>6126</v>
      </c>
      <c r="F2644" t="s">
        <v>5603</v>
      </c>
      <c r="G2644" t="s">
        <v>5604</v>
      </c>
    </row>
    <row r="2645" spans="1:7" x14ac:dyDescent="0.25">
      <c r="A2645">
        <v>6126</v>
      </c>
      <c r="F2645" t="s">
        <v>53</v>
      </c>
      <c r="G2645" t="s">
        <v>5604</v>
      </c>
    </row>
    <row r="2646" spans="1:7" x14ac:dyDescent="0.25">
      <c r="A2646">
        <v>6126</v>
      </c>
      <c r="F2646" t="s">
        <v>55</v>
      </c>
      <c r="G2646" t="s">
        <v>5604</v>
      </c>
    </row>
    <row r="2647" spans="1:7" x14ac:dyDescent="0.25">
      <c r="A2647">
        <v>6126</v>
      </c>
      <c r="F2647" t="s">
        <v>5605</v>
      </c>
      <c r="G2647" t="s">
        <v>5604</v>
      </c>
    </row>
    <row r="2648" spans="1:7" x14ac:dyDescent="0.25">
      <c r="A2648">
        <v>6127</v>
      </c>
      <c r="F2648" t="s">
        <v>5603</v>
      </c>
      <c r="G2648" t="s">
        <v>5604</v>
      </c>
    </row>
    <row r="2649" spans="1:7" x14ac:dyDescent="0.25">
      <c r="A2649">
        <v>6127</v>
      </c>
      <c r="F2649" t="s">
        <v>53</v>
      </c>
      <c r="G2649" t="s">
        <v>5604</v>
      </c>
    </row>
    <row r="2650" spans="1:7" x14ac:dyDescent="0.25">
      <c r="A2650">
        <v>6127</v>
      </c>
      <c r="F2650" t="s">
        <v>55</v>
      </c>
      <c r="G2650" t="s">
        <v>5604</v>
      </c>
    </row>
    <row r="2651" spans="1:7" x14ac:dyDescent="0.25">
      <c r="A2651">
        <v>6127</v>
      </c>
      <c r="F2651" t="s">
        <v>5605</v>
      </c>
      <c r="G2651" t="s">
        <v>5604</v>
      </c>
    </row>
    <row r="2652" spans="1:7" x14ac:dyDescent="0.25">
      <c r="A2652">
        <v>6128</v>
      </c>
      <c r="F2652" t="s">
        <v>5603</v>
      </c>
      <c r="G2652" t="s">
        <v>5604</v>
      </c>
    </row>
    <row r="2653" spans="1:7" x14ac:dyDescent="0.25">
      <c r="A2653">
        <v>6128</v>
      </c>
      <c r="F2653" t="s">
        <v>53</v>
      </c>
      <c r="G2653" t="s">
        <v>5604</v>
      </c>
    </row>
    <row r="2654" spans="1:7" x14ac:dyDescent="0.25">
      <c r="A2654">
        <v>6128</v>
      </c>
      <c r="F2654" t="s">
        <v>55</v>
      </c>
      <c r="G2654" t="s">
        <v>5604</v>
      </c>
    </row>
    <row r="2655" spans="1:7" x14ac:dyDescent="0.25">
      <c r="A2655">
        <v>6128</v>
      </c>
      <c r="F2655" t="s">
        <v>5605</v>
      </c>
      <c r="G2655" t="s">
        <v>5604</v>
      </c>
    </row>
    <row r="2656" spans="1:7" x14ac:dyDescent="0.25">
      <c r="A2656">
        <v>6129</v>
      </c>
      <c r="F2656" t="s">
        <v>5603</v>
      </c>
      <c r="G2656" t="s">
        <v>5604</v>
      </c>
    </row>
    <row r="2657" spans="1:7" x14ac:dyDescent="0.25">
      <c r="A2657">
        <v>6129</v>
      </c>
      <c r="F2657" t="s">
        <v>53</v>
      </c>
      <c r="G2657" t="s">
        <v>5604</v>
      </c>
    </row>
    <row r="2658" spans="1:7" x14ac:dyDescent="0.25">
      <c r="A2658">
        <v>6129</v>
      </c>
      <c r="F2658" t="s">
        <v>55</v>
      </c>
      <c r="G2658" t="s">
        <v>5604</v>
      </c>
    </row>
    <row r="2659" spans="1:7" x14ac:dyDescent="0.25">
      <c r="A2659">
        <v>6129</v>
      </c>
      <c r="F2659" t="s">
        <v>5605</v>
      </c>
      <c r="G2659" t="s">
        <v>5604</v>
      </c>
    </row>
    <row r="2660" spans="1:7" x14ac:dyDescent="0.25">
      <c r="A2660">
        <v>6130</v>
      </c>
      <c r="F2660" t="s">
        <v>5603</v>
      </c>
      <c r="G2660" t="s">
        <v>5604</v>
      </c>
    </row>
    <row r="2661" spans="1:7" x14ac:dyDescent="0.25">
      <c r="A2661">
        <v>6130</v>
      </c>
      <c r="F2661" t="s">
        <v>53</v>
      </c>
      <c r="G2661" t="s">
        <v>5604</v>
      </c>
    </row>
    <row r="2662" spans="1:7" x14ac:dyDescent="0.25">
      <c r="A2662">
        <v>6130</v>
      </c>
      <c r="F2662" t="s">
        <v>55</v>
      </c>
      <c r="G2662" t="s">
        <v>5604</v>
      </c>
    </row>
    <row r="2663" spans="1:7" x14ac:dyDescent="0.25">
      <c r="A2663">
        <v>6130</v>
      </c>
      <c r="F2663" t="s">
        <v>5605</v>
      </c>
      <c r="G2663" t="s">
        <v>5604</v>
      </c>
    </row>
    <row r="2664" spans="1:7" x14ac:dyDescent="0.25">
      <c r="A2664">
        <v>6131</v>
      </c>
      <c r="F2664" t="s">
        <v>5603</v>
      </c>
      <c r="G2664" t="s">
        <v>5604</v>
      </c>
    </row>
    <row r="2665" spans="1:7" x14ac:dyDescent="0.25">
      <c r="A2665">
        <v>6131</v>
      </c>
      <c r="F2665" t="s">
        <v>53</v>
      </c>
      <c r="G2665" t="s">
        <v>5604</v>
      </c>
    </row>
    <row r="2666" spans="1:7" x14ac:dyDescent="0.25">
      <c r="A2666">
        <v>6131</v>
      </c>
      <c r="F2666" t="s">
        <v>55</v>
      </c>
      <c r="G2666" t="s">
        <v>5604</v>
      </c>
    </row>
    <row r="2667" spans="1:7" x14ac:dyDescent="0.25">
      <c r="A2667">
        <v>6131</v>
      </c>
      <c r="F2667" t="s">
        <v>5605</v>
      </c>
      <c r="G2667" t="s">
        <v>5604</v>
      </c>
    </row>
    <row r="2668" spans="1:7" x14ac:dyDescent="0.25">
      <c r="A2668">
        <v>6132</v>
      </c>
      <c r="F2668" t="s">
        <v>5603</v>
      </c>
      <c r="G2668" t="s">
        <v>5604</v>
      </c>
    </row>
    <row r="2669" spans="1:7" x14ac:dyDescent="0.25">
      <c r="A2669">
        <v>6132</v>
      </c>
      <c r="F2669" t="s">
        <v>53</v>
      </c>
      <c r="G2669" t="s">
        <v>5604</v>
      </c>
    </row>
    <row r="2670" spans="1:7" x14ac:dyDescent="0.25">
      <c r="A2670">
        <v>6132</v>
      </c>
      <c r="F2670" t="s">
        <v>55</v>
      </c>
      <c r="G2670" t="s">
        <v>5604</v>
      </c>
    </row>
    <row r="2671" spans="1:7" x14ac:dyDescent="0.25">
      <c r="A2671">
        <v>6132</v>
      </c>
      <c r="F2671" t="s">
        <v>5605</v>
      </c>
      <c r="G2671" t="s">
        <v>5604</v>
      </c>
    </row>
    <row r="2672" spans="1:7" x14ac:dyDescent="0.25">
      <c r="A2672">
        <v>6133</v>
      </c>
      <c r="F2672" t="s">
        <v>5603</v>
      </c>
      <c r="G2672" t="s">
        <v>5604</v>
      </c>
    </row>
    <row r="2673" spans="1:7" x14ac:dyDescent="0.25">
      <c r="A2673">
        <v>6133</v>
      </c>
      <c r="F2673" t="s">
        <v>53</v>
      </c>
      <c r="G2673" t="s">
        <v>5604</v>
      </c>
    </row>
    <row r="2674" spans="1:7" x14ac:dyDescent="0.25">
      <c r="A2674">
        <v>6133</v>
      </c>
      <c r="F2674" t="s">
        <v>55</v>
      </c>
      <c r="G2674" t="s">
        <v>5604</v>
      </c>
    </row>
    <row r="2675" spans="1:7" x14ac:dyDescent="0.25">
      <c r="A2675">
        <v>6133</v>
      </c>
      <c r="F2675" t="s">
        <v>5605</v>
      </c>
      <c r="G2675" t="s">
        <v>5604</v>
      </c>
    </row>
    <row r="2676" spans="1:7" x14ac:dyDescent="0.25">
      <c r="A2676">
        <v>6134</v>
      </c>
      <c r="F2676" t="s">
        <v>5603</v>
      </c>
      <c r="G2676" t="s">
        <v>5604</v>
      </c>
    </row>
    <row r="2677" spans="1:7" x14ac:dyDescent="0.25">
      <c r="A2677">
        <v>6134</v>
      </c>
      <c r="F2677" t="s">
        <v>53</v>
      </c>
      <c r="G2677" t="s">
        <v>5604</v>
      </c>
    </row>
    <row r="2678" spans="1:7" x14ac:dyDescent="0.25">
      <c r="A2678">
        <v>6134</v>
      </c>
      <c r="F2678" t="s">
        <v>55</v>
      </c>
      <c r="G2678" t="s">
        <v>5604</v>
      </c>
    </row>
    <row r="2679" spans="1:7" x14ac:dyDescent="0.25">
      <c r="A2679">
        <v>6134</v>
      </c>
      <c r="F2679" t="s">
        <v>5605</v>
      </c>
      <c r="G2679" t="s">
        <v>5604</v>
      </c>
    </row>
    <row r="2680" spans="1:7" x14ac:dyDescent="0.25">
      <c r="A2680">
        <v>6135</v>
      </c>
      <c r="F2680" t="s">
        <v>5603</v>
      </c>
      <c r="G2680" t="s">
        <v>5604</v>
      </c>
    </row>
    <row r="2681" spans="1:7" x14ac:dyDescent="0.25">
      <c r="A2681">
        <v>6135</v>
      </c>
      <c r="F2681" t="s">
        <v>53</v>
      </c>
      <c r="G2681" t="s">
        <v>5604</v>
      </c>
    </row>
    <row r="2682" spans="1:7" x14ac:dyDescent="0.25">
      <c r="A2682">
        <v>6135</v>
      </c>
      <c r="F2682" t="s">
        <v>55</v>
      </c>
      <c r="G2682" t="s">
        <v>5604</v>
      </c>
    </row>
    <row r="2683" spans="1:7" x14ac:dyDescent="0.25">
      <c r="A2683">
        <v>6135</v>
      </c>
      <c r="F2683" t="s">
        <v>5605</v>
      </c>
      <c r="G2683" t="s">
        <v>5604</v>
      </c>
    </row>
    <row r="2684" spans="1:7" x14ac:dyDescent="0.25">
      <c r="A2684">
        <v>6136</v>
      </c>
      <c r="F2684" t="s">
        <v>5603</v>
      </c>
      <c r="G2684" t="s">
        <v>5604</v>
      </c>
    </row>
    <row r="2685" spans="1:7" x14ac:dyDescent="0.25">
      <c r="A2685">
        <v>6136</v>
      </c>
      <c r="F2685" t="s">
        <v>53</v>
      </c>
      <c r="G2685" t="s">
        <v>5604</v>
      </c>
    </row>
    <row r="2686" spans="1:7" x14ac:dyDescent="0.25">
      <c r="A2686">
        <v>6136</v>
      </c>
      <c r="F2686" t="s">
        <v>55</v>
      </c>
      <c r="G2686" t="s">
        <v>5604</v>
      </c>
    </row>
    <row r="2687" spans="1:7" x14ac:dyDescent="0.25">
      <c r="A2687">
        <v>6136</v>
      </c>
      <c r="F2687" t="s">
        <v>5605</v>
      </c>
      <c r="G2687" t="s">
        <v>5604</v>
      </c>
    </row>
    <row r="2688" spans="1:7" x14ac:dyDescent="0.25">
      <c r="A2688">
        <v>6137</v>
      </c>
      <c r="F2688" t="s">
        <v>5603</v>
      </c>
      <c r="G2688" t="s">
        <v>5604</v>
      </c>
    </row>
    <row r="2689" spans="1:7" x14ac:dyDescent="0.25">
      <c r="A2689">
        <v>6137</v>
      </c>
      <c r="F2689" t="s">
        <v>53</v>
      </c>
      <c r="G2689" t="s">
        <v>5604</v>
      </c>
    </row>
    <row r="2690" spans="1:7" x14ac:dyDescent="0.25">
      <c r="A2690">
        <v>6137</v>
      </c>
      <c r="F2690" t="s">
        <v>55</v>
      </c>
      <c r="G2690" t="s">
        <v>5604</v>
      </c>
    </row>
    <row r="2691" spans="1:7" x14ac:dyDescent="0.25">
      <c r="A2691">
        <v>6137</v>
      </c>
      <c r="F2691" t="s">
        <v>5605</v>
      </c>
      <c r="G2691" t="s">
        <v>5604</v>
      </c>
    </row>
    <row r="2692" spans="1:7" x14ac:dyDescent="0.25">
      <c r="A2692">
        <v>6138</v>
      </c>
      <c r="F2692" t="s">
        <v>5603</v>
      </c>
      <c r="G2692" t="s">
        <v>5604</v>
      </c>
    </row>
    <row r="2693" spans="1:7" x14ac:dyDescent="0.25">
      <c r="A2693">
        <v>6138</v>
      </c>
      <c r="F2693" t="s">
        <v>53</v>
      </c>
      <c r="G2693" t="s">
        <v>5604</v>
      </c>
    </row>
    <row r="2694" spans="1:7" x14ac:dyDescent="0.25">
      <c r="A2694">
        <v>6138</v>
      </c>
      <c r="F2694" t="s">
        <v>55</v>
      </c>
      <c r="G2694" t="s">
        <v>5604</v>
      </c>
    </row>
    <row r="2695" spans="1:7" x14ac:dyDescent="0.25">
      <c r="A2695">
        <v>6138</v>
      </c>
      <c r="F2695" t="s">
        <v>5605</v>
      </c>
      <c r="G2695" t="s">
        <v>5604</v>
      </c>
    </row>
    <row r="2696" spans="1:7" x14ac:dyDescent="0.25">
      <c r="A2696">
        <v>6139</v>
      </c>
      <c r="F2696" t="s">
        <v>5603</v>
      </c>
      <c r="G2696" t="s">
        <v>5604</v>
      </c>
    </row>
    <row r="2697" spans="1:7" x14ac:dyDescent="0.25">
      <c r="A2697">
        <v>6139</v>
      </c>
      <c r="F2697" t="s">
        <v>53</v>
      </c>
      <c r="G2697" t="s">
        <v>5604</v>
      </c>
    </row>
    <row r="2698" spans="1:7" x14ac:dyDescent="0.25">
      <c r="A2698">
        <v>6139</v>
      </c>
      <c r="F2698" t="s">
        <v>55</v>
      </c>
      <c r="G2698" t="s">
        <v>5604</v>
      </c>
    </row>
    <row r="2699" spans="1:7" x14ac:dyDescent="0.25">
      <c r="A2699">
        <v>6139</v>
      </c>
      <c r="F2699" t="s">
        <v>5605</v>
      </c>
      <c r="G2699" t="s">
        <v>5604</v>
      </c>
    </row>
    <row r="2700" spans="1:7" x14ac:dyDescent="0.25">
      <c r="A2700">
        <v>6140</v>
      </c>
      <c r="F2700" t="s">
        <v>5603</v>
      </c>
      <c r="G2700" t="s">
        <v>5604</v>
      </c>
    </row>
    <row r="2701" spans="1:7" x14ac:dyDescent="0.25">
      <c r="A2701">
        <v>6140</v>
      </c>
      <c r="F2701" t="s">
        <v>53</v>
      </c>
      <c r="G2701" t="s">
        <v>5604</v>
      </c>
    </row>
    <row r="2702" spans="1:7" x14ac:dyDescent="0.25">
      <c r="A2702">
        <v>6140</v>
      </c>
      <c r="F2702" t="s">
        <v>55</v>
      </c>
      <c r="G2702" t="s">
        <v>5604</v>
      </c>
    </row>
    <row r="2703" spans="1:7" x14ac:dyDescent="0.25">
      <c r="A2703">
        <v>6140</v>
      </c>
      <c r="F2703" t="s">
        <v>5605</v>
      </c>
      <c r="G2703" t="s">
        <v>5604</v>
      </c>
    </row>
    <row r="2704" spans="1:7" x14ac:dyDescent="0.25">
      <c r="A2704">
        <v>6141</v>
      </c>
      <c r="F2704" t="s">
        <v>5603</v>
      </c>
      <c r="G2704" t="s">
        <v>5604</v>
      </c>
    </row>
    <row r="2705" spans="1:7" x14ac:dyDescent="0.25">
      <c r="A2705">
        <v>6141</v>
      </c>
      <c r="F2705" t="s">
        <v>53</v>
      </c>
      <c r="G2705" t="s">
        <v>5604</v>
      </c>
    </row>
    <row r="2706" spans="1:7" x14ac:dyDescent="0.25">
      <c r="A2706">
        <v>6141</v>
      </c>
      <c r="F2706" t="s">
        <v>55</v>
      </c>
      <c r="G2706" t="s">
        <v>5604</v>
      </c>
    </row>
    <row r="2707" spans="1:7" x14ac:dyDescent="0.25">
      <c r="A2707">
        <v>6141</v>
      </c>
      <c r="F2707" t="s">
        <v>5605</v>
      </c>
      <c r="G2707" t="s">
        <v>5604</v>
      </c>
    </row>
    <row r="2708" spans="1:7" x14ac:dyDescent="0.25">
      <c r="A2708">
        <v>6142</v>
      </c>
      <c r="F2708" t="s">
        <v>5603</v>
      </c>
      <c r="G2708" t="s">
        <v>5604</v>
      </c>
    </row>
    <row r="2709" spans="1:7" x14ac:dyDescent="0.25">
      <c r="A2709">
        <v>6142</v>
      </c>
      <c r="F2709" t="s">
        <v>53</v>
      </c>
      <c r="G2709" t="s">
        <v>5604</v>
      </c>
    </row>
    <row r="2710" spans="1:7" x14ac:dyDescent="0.25">
      <c r="A2710">
        <v>6142</v>
      </c>
      <c r="F2710" t="s">
        <v>55</v>
      </c>
      <c r="G2710" t="s">
        <v>5604</v>
      </c>
    </row>
    <row r="2711" spans="1:7" x14ac:dyDescent="0.25">
      <c r="A2711">
        <v>6142</v>
      </c>
      <c r="F2711" t="s">
        <v>5605</v>
      </c>
      <c r="G2711" t="s">
        <v>5604</v>
      </c>
    </row>
    <row r="2712" spans="1:7" x14ac:dyDescent="0.25">
      <c r="A2712">
        <v>6143</v>
      </c>
      <c r="F2712" t="s">
        <v>5603</v>
      </c>
      <c r="G2712" t="s">
        <v>5604</v>
      </c>
    </row>
    <row r="2713" spans="1:7" x14ac:dyDescent="0.25">
      <c r="A2713">
        <v>6143</v>
      </c>
      <c r="F2713" t="s">
        <v>53</v>
      </c>
      <c r="G2713" t="s">
        <v>5604</v>
      </c>
    </row>
    <row r="2714" spans="1:7" x14ac:dyDescent="0.25">
      <c r="A2714">
        <v>6143</v>
      </c>
      <c r="F2714" t="s">
        <v>55</v>
      </c>
      <c r="G2714" t="s">
        <v>5604</v>
      </c>
    </row>
    <row r="2715" spans="1:7" x14ac:dyDescent="0.25">
      <c r="A2715">
        <v>6143</v>
      </c>
      <c r="F2715" t="s">
        <v>5605</v>
      </c>
      <c r="G2715" t="s">
        <v>5604</v>
      </c>
    </row>
    <row r="2716" spans="1:7" x14ac:dyDescent="0.25">
      <c r="A2716">
        <v>6144</v>
      </c>
      <c r="F2716" t="s">
        <v>5603</v>
      </c>
      <c r="G2716" t="s">
        <v>5604</v>
      </c>
    </row>
    <row r="2717" spans="1:7" x14ac:dyDescent="0.25">
      <c r="A2717">
        <v>6144</v>
      </c>
      <c r="F2717" t="s">
        <v>53</v>
      </c>
      <c r="G2717" t="s">
        <v>5604</v>
      </c>
    </row>
    <row r="2718" spans="1:7" x14ac:dyDescent="0.25">
      <c r="A2718">
        <v>6144</v>
      </c>
      <c r="F2718" t="s">
        <v>55</v>
      </c>
      <c r="G2718" t="s">
        <v>5604</v>
      </c>
    </row>
    <row r="2719" spans="1:7" x14ac:dyDescent="0.25">
      <c r="A2719">
        <v>6144</v>
      </c>
      <c r="F2719" t="s">
        <v>5605</v>
      </c>
      <c r="G2719" t="s">
        <v>5604</v>
      </c>
    </row>
    <row r="2720" spans="1:7" x14ac:dyDescent="0.25">
      <c r="A2720">
        <v>6145</v>
      </c>
      <c r="F2720" t="s">
        <v>5603</v>
      </c>
      <c r="G2720" t="s">
        <v>5604</v>
      </c>
    </row>
    <row r="2721" spans="1:7" x14ac:dyDescent="0.25">
      <c r="A2721">
        <v>6145</v>
      </c>
      <c r="F2721" t="s">
        <v>53</v>
      </c>
      <c r="G2721" t="s">
        <v>5604</v>
      </c>
    </row>
    <row r="2722" spans="1:7" x14ac:dyDescent="0.25">
      <c r="A2722">
        <v>6145</v>
      </c>
      <c r="F2722" t="s">
        <v>55</v>
      </c>
      <c r="G2722" t="s">
        <v>5604</v>
      </c>
    </row>
    <row r="2723" spans="1:7" x14ac:dyDescent="0.25">
      <c r="A2723">
        <v>6145</v>
      </c>
      <c r="F2723" t="s">
        <v>5605</v>
      </c>
      <c r="G2723" t="s">
        <v>5604</v>
      </c>
    </row>
    <row r="2724" spans="1:7" x14ac:dyDescent="0.25">
      <c r="A2724">
        <v>6146</v>
      </c>
      <c r="F2724" t="s">
        <v>5603</v>
      </c>
      <c r="G2724" t="s">
        <v>5604</v>
      </c>
    </row>
    <row r="2725" spans="1:7" x14ac:dyDescent="0.25">
      <c r="A2725">
        <v>6146</v>
      </c>
      <c r="F2725" t="s">
        <v>53</v>
      </c>
      <c r="G2725" t="s">
        <v>5604</v>
      </c>
    </row>
    <row r="2726" spans="1:7" x14ac:dyDescent="0.25">
      <c r="A2726">
        <v>6146</v>
      </c>
      <c r="F2726" t="s">
        <v>55</v>
      </c>
      <c r="G2726" t="s">
        <v>5604</v>
      </c>
    </row>
    <row r="2727" spans="1:7" x14ac:dyDescent="0.25">
      <c r="A2727">
        <v>6146</v>
      </c>
      <c r="F2727" t="s">
        <v>5605</v>
      </c>
      <c r="G2727" t="s">
        <v>5604</v>
      </c>
    </row>
    <row r="2728" spans="1:7" x14ac:dyDescent="0.25">
      <c r="A2728">
        <v>6147</v>
      </c>
      <c r="F2728" t="s">
        <v>5603</v>
      </c>
      <c r="G2728" t="s">
        <v>5604</v>
      </c>
    </row>
    <row r="2729" spans="1:7" x14ac:dyDescent="0.25">
      <c r="A2729">
        <v>6147</v>
      </c>
      <c r="F2729" t="s">
        <v>53</v>
      </c>
      <c r="G2729" t="s">
        <v>5604</v>
      </c>
    </row>
    <row r="2730" spans="1:7" x14ac:dyDescent="0.25">
      <c r="A2730">
        <v>6147</v>
      </c>
      <c r="F2730" t="s">
        <v>55</v>
      </c>
      <c r="G2730" t="s">
        <v>5604</v>
      </c>
    </row>
    <row r="2731" spans="1:7" x14ac:dyDescent="0.25">
      <c r="A2731">
        <v>6147</v>
      </c>
      <c r="F2731" t="s">
        <v>5605</v>
      </c>
      <c r="G2731" t="s">
        <v>5604</v>
      </c>
    </row>
    <row r="2732" spans="1:7" x14ac:dyDescent="0.25">
      <c r="A2732">
        <v>6148</v>
      </c>
      <c r="F2732" t="s">
        <v>5603</v>
      </c>
      <c r="G2732" t="s">
        <v>5604</v>
      </c>
    </row>
    <row r="2733" spans="1:7" x14ac:dyDescent="0.25">
      <c r="A2733">
        <v>6148</v>
      </c>
      <c r="F2733" t="s">
        <v>53</v>
      </c>
      <c r="G2733" t="s">
        <v>5604</v>
      </c>
    </row>
    <row r="2734" spans="1:7" x14ac:dyDescent="0.25">
      <c r="A2734">
        <v>6148</v>
      </c>
      <c r="F2734" t="s">
        <v>55</v>
      </c>
      <c r="G2734" t="s">
        <v>5604</v>
      </c>
    </row>
    <row r="2735" spans="1:7" x14ac:dyDescent="0.25">
      <c r="A2735">
        <v>6148</v>
      </c>
      <c r="F2735" t="s">
        <v>5605</v>
      </c>
      <c r="G2735" t="s">
        <v>5604</v>
      </c>
    </row>
    <row r="2736" spans="1:7" x14ac:dyDescent="0.25">
      <c r="A2736">
        <v>6149</v>
      </c>
      <c r="F2736" t="s">
        <v>5603</v>
      </c>
      <c r="G2736" t="s">
        <v>5604</v>
      </c>
    </row>
    <row r="2737" spans="1:7" x14ac:dyDescent="0.25">
      <c r="A2737">
        <v>6149</v>
      </c>
      <c r="F2737" t="s">
        <v>53</v>
      </c>
      <c r="G2737" t="s">
        <v>5604</v>
      </c>
    </row>
    <row r="2738" spans="1:7" x14ac:dyDescent="0.25">
      <c r="A2738">
        <v>6149</v>
      </c>
      <c r="F2738" t="s">
        <v>55</v>
      </c>
      <c r="G2738" t="s">
        <v>5604</v>
      </c>
    </row>
    <row r="2739" spans="1:7" x14ac:dyDescent="0.25">
      <c r="A2739">
        <v>6149</v>
      </c>
      <c r="F2739" t="s">
        <v>5605</v>
      </c>
      <c r="G2739" t="s">
        <v>5604</v>
      </c>
    </row>
    <row r="2740" spans="1:7" x14ac:dyDescent="0.25">
      <c r="A2740">
        <v>6150</v>
      </c>
      <c r="F2740" t="s">
        <v>5603</v>
      </c>
      <c r="G2740" t="s">
        <v>5604</v>
      </c>
    </row>
    <row r="2741" spans="1:7" x14ac:dyDescent="0.25">
      <c r="A2741">
        <v>6150</v>
      </c>
      <c r="F2741" t="s">
        <v>53</v>
      </c>
      <c r="G2741" t="s">
        <v>5604</v>
      </c>
    </row>
    <row r="2742" spans="1:7" x14ac:dyDescent="0.25">
      <c r="A2742">
        <v>6150</v>
      </c>
      <c r="F2742" t="s">
        <v>55</v>
      </c>
      <c r="G2742" t="s">
        <v>5604</v>
      </c>
    </row>
    <row r="2743" spans="1:7" x14ac:dyDescent="0.25">
      <c r="A2743">
        <v>6150</v>
      </c>
      <c r="F2743" t="s">
        <v>5605</v>
      </c>
      <c r="G2743" t="s">
        <v>5604</v>
      </c>
    </row>
    <row r="2744" spans="1:7" x14ac:dyDescent="0.25">
      <c r="A2744">
        <v>6151</v>
      </c>
      <c r="F2744" t="s">
        <v>5603</v>
      </c>
      <c r="G2744" t="s">
        <v>5604</v>
      </c>
    </row>
    <row r="2745" spans="1:7" x14ac:dyDescent="0.25">
      <c r="A2745">
        <v>6151</v>
      </c>
      <c r="F2745" t="s">
        <v>53</v>
      </c>
      <c r="G2745" t="s">
        <v>5604</v>
      </c>
    </row>
    <row r="2746" spans="1:7" x14ac:dyDescent="0.25">
      <c r="A2746">
        <v>6151</v>
      </c>
      <c r="F2746" t="s">
        <v>55</v>
      </c>
      <c r="G2746" t="s">
        <v>5604</v>
      </c>
    </row>
    <row r="2747" spans="1:7" x14ac:dyDescent="0.25">
      <c r="A2747">
        <v>6151</v>
      </c>
      <c r="F2747" t="s">
        <v>5605</v>
      </c>
      <c r="G2747" t="s">
        <v>5604</v>
      </c>
    </row>
    <row r="2748" spans="1:7" x14ac:dyDescent="0.25">
      <c r="A2748">
        <v>6152</v>
      </c>
      <c r="F2748" t="s">
        <v>5603</v>
      </c>
      <c r="G2748" t="s">
        <v>5604</v>
      </c>
    </row>
    <row r="2749" spans="1:7" x14ac:dyDescent="0.25">
      <c r="A2749">
        <v>6152</v>
      </c>
      <c r="F2749" t="s">
        <v>53</v>
      </c>
      <c r="G2749" t="s">
        <v>5604</v>
      </c>
    </row>
    <row r="2750" spans="1:7" x14ac:dyDescent="0.25">
      <c r="A2750">
        <v>6152</v>
      </c>
      <c r="F2750" t="s">
        <v>55</v>
      </c>
      <c r="G2750" t="s">
        <v>5604</v>
      </c>
    </row>
    <row r="2751" spans="1:7" x14ac:dyDescent="0.25">
      <c r="A2751">
        <v>6152</v>
      </c>
      <c r="F2751" t="s">
        <v>5605</v>
      </c>
      <c r="G2751" t="s">
        <v>5604</v>
      </c>
    </row>
    <row r="2752" spans="1:7" x14ac:dyDescent="0.25">
      <c r="A2752">
        <v>6153</v>
      </c>
      <c r="F2752" t="s">
        <v>5603</v>
      </c>
      <c r="G2752" t="s">
        <v>5604</v>
      </c>
    </row>
    <row r="2753" spans="1:7" x14ac:dyDescent="0.25">
      <c r="A2753">
        <v>6153</v>
      </c>
      <c r="F2753" t="s">
        <v>53</v>
      </c>
      <c r="G2753" t="s">
        <v>5604</v>
      </c>
    </row>
    <row r="2754" spans="1:7" x14ac:dyDescent="0.25">
      <c r="A2754">
        <v>6153</v>
      </c>
      <c r="F2754" t="s">
        <v>55</v>
      </c>
      <c r="G2754" t="s">
        <v>5604</v>
      </c>
    </row>
    <row r="2755" spans="1:7" x14ac:dyDescent="0.25">
      <c r="A2755">
        <v>6153</v>
      </c>
      <c r="F2755" t="s">
        <v>5605</v>
      </c>
      <c r="G2755" t="s">
        <v>5604</v>
      </c>
    </row>
    <row r="2756" spans="1:7" x14ac:dyDescent="0.25">
      <c r="A2756">
        <v>6154</v>
      </c>
      <c r="F2756" t="s">
        <v>5603</v>
      </c>
      <c r="G2756" t="s">
        <v>5604</v>
      </c>
    </row>
    <row r="2757" spans="1:7" x14ac:dyDescent="0.25">
      <c r="A2757">
        <v>6154</v>
      </c>
      <c r="F2757" t="s">
        <v>53</v>
      </c>
      <c r="G2757" t="s">
        <v>5604</v>
      </c>
    </row>
    <row r="2758" spans="1:7" x14ac:dyDescent="0.25">
      <c r="A2758">
        <v>6154</v>
      </c>
      <c r="F2758" t="s">
        <v>55</v>
      </c>
      <c r="G2758" t="s">
        <v>5604</v>
      </c>
    </row>
    <row r="2759" spans="1:7" x14ac:dyDescent="0.25">
      <c r="A2759">
        <v>6154</v>
      </c>
      <c r="F2759" t="s">
        <v>5605</v>
      </c>
      <c r="G2759" t="s">
        <v>5604</v>
      </c>
    </row>
    <row r="2760" spans="1:7" x14ac:dyDescent="0.25">
      <c r="A2760">
        <v>6155</v>
      </c>
      <c r="F2760" t="s">
        <v>5603</v>
      </c>
      <c r="G2760" t="s">
        <v>5604</v>
      </c>
    </row>
    <row r="2761" spans="1:7" x14ac:dyDescent="0.25">
      <c r="A2761">
        <v>6155</v>
      </c>
      <c r="F2761" t="s">
        <v>53</v>
      </c>
      <c r="G2761" t="s">
        <v>5604</v>
      </c>
    </row>
    <row r="2762" spans="1:7" x14ac:dyDescent="0.25">
      <c r="A2762">
        <v>6155</v>
      </c>
      <c r="F2762" t="s">
        <v>55</v>
      </c>
      <c r="G2762" t="s">
        <v>5604</v>
      </c>
    </row>
    <row r="2763" spans="1:7" x14ac:dyDescent="0.25">
      <c r="A2763">
        <v>6155</v>
      </c>
      <c r="F2763" t="s">
        <v>5605</v>
      </c>
      <c r="G2763" t="s">
        <v>5604</v>
      </c>
    </row>
    <row r="2764" spans="1:7" x14ac:dyDescent="0.25">
      <c r="A2764">
        <v>6156</v>
      </c>
      <c r="F2764" t="s">
        <v>5603</v>
      </c>
      <c r="G2764" t="s">
        <v>5604</v>
      </c>
    </row>
    <row r="2765" spans="1:7" x14ac:dyDescent="0.25">
      <c r="A2765">
        <v>6156</v>
      </c>
      <c r="F2765" t="s">
        <v>53</v>
      </c>
      <c r="G2765" t="s">
        <v>5604</v>
      </c>
    </row>
    <row r="2766" spans="1:7" x14ac:dyDescent="0.25">
      <c r="A2766">
        <v>6156</v>
      </c>
      <c r="F2766" t="s">
        <v>55</v>
      </c>
      <c r="G2766" t="s">
        <v>5604</v>
      </c>
    </row>
    <row r="2767" spans="1:7" x14ac:dyDescent="0.25">
      <c r="A2767">
        <v>6156</v>
      </c>
      <c r="F2767" t="s">
        <v>5605</v>
      </c>
      <c r="G2767" t="s">
        <v>5604</v>
      </c>
    </row>
    <row r="2768" spans="1:7" x14ac:dyDescent="0.25">
      <c r="A2768">
        <v>6157</v>
      </c>
      <c r="F2768" t="s">
        <v>5603</v>
      </c>
      <c r="G2768" t="s">
        <v>5604</v>
      </c>
    </row>
    <row r="2769" spans="1:7" x14ac:dyDescent="0.25">
      <c r="A2769">
        <v>6157</v>
      </c>
      <c r="F2769" t="s">
        <v>53</v>
      </c>
      <c r="G2769" t="s">
        <v>5604</v>
      </c>
    </row>
    <row r="2770" spans="1:7" x14ac:dyDescent="0.25">
      <c r="A2770">
        <v>6157</v>
      </c>
      <c r="F2770" t="s">
        <v>55</v>
      </c>
      <c r="G2770" t="s">
        <v>5604</v>
      </c>
    </row>
    <row r="2771" spans="1:7" x14ac:dyDescent="0.25">
      <c r="A2771">
        <v>6157</v>
      </c>
      <c r="F2771" t="s">
        <v>5605</v>
      </c>
      <c r="G2771" t="s">
        <v>5604</v>
      </c>
    </row>
    <row r="2772" spans="1:7" x14ac:dyDescent="0.25">
      <c r="A2772">
        <v>6158</v>
      </c>
      <c r="F2772" t="s">
        <v>5603</v>
      </c>
      <c r="G2772" t="s">
        <v>5604</v>
      </c>
    </row>
    <row r="2773" spans="1:7" x14ac:dyDescent="0.25">
      <c r="A2773">
        <v>6158</v>
      </c>
      <c r="F2773" t="s">
        <v>53</v>
      </c>
      <c r="G2773" t="s">
        <v>5604</v>
      </c>
    </row>
    <row r="2774" spans="1:7" x14ac:dyDescent="0.25">
      <c r="A2774">
        <v>6158</v>
      </c>
      <c r="F2774" t="s">
        <v>55</v>
      </c>
      <c r="G2774" t="s">
        <v>5604</v>
      </c>
    </row>
    <row r="2775" spans="1:7" x14ac:dyDescent="0.25">
      <c r="A2775">
        <v>6158</v>
      </c>
      <c r="F2775" t="s">
        <v>5605</v>
      </c>
      <c r="G2775" t="s">
        <v>5604</v>
      </c>
    </row>
    <row r="2776" spans="1:7" x14ac:dyDescent="0.25">
      <c r="A2776">
        <v>6159</v>
      </c>
      <c r="F2776" t="s">
        <v>5603</v>
      </c>
      <c r="G2776" t="s">
        <v>5604</v>
      </c>
    </row>
    <row r="2777" spans="1:7" x14ac:dyDescent="0.25">
      <c r="A2777">
        <v>6159</v>
      </c>
      <c r="F2777" t="s">
        <v>53</v>
      </c>
      <c r="G2777" t="s">
        <v>5604</v>
      </c>
    </row>
    <row r="2778" spans="1:7" x14ac:dyDescent="0.25">
      <c r="A2778">
        <v>6159</v>
      </c>
      <c r="F2778" t="s">
        <v>55</v>
      </c>
      <c r="G2778" t="s">
        <v>5604</v>
      </c>
    </row>
    <row r="2779" spans="1:7" x14ac:dyDescent="0.25">
      <c r="A2779">
        <v>6159</v>
      </c>
      <c r="F2779" t="s">
        <v>5605</v>
      </c>
      <c r="G2779" t="s">
        <v>5604</v>
      </c>
    </row>
    <row r="2780" spans="1:7" x14ac:dyDescent="0.25">
      <c r="A2780">
        <v>6160</v>
      </c>
      <c r="F2780" t="s">
        <v>5603</v>
      </c>
      <c r="G2780" t="s">
        <v>5604</v>
      </c>
    </row>
    <row r="2781" spans="1:7" x14ac:dyDescent="0.25">
      <c r="A2781">
        <v>6160</v>
      </c>
      <c r="F2781" t="s">
        <v>53</v>
      </c>
      <c r="G2781" t="s">
        <v>5604</v>
      </c>
    </row>
    <row r="2782" spans="1:7" x14ac:dyDescent="0.25">
      <c r="A2782">
        <v>6160</v>
      </c>
      <c r="F2782" t="s">
        <v>55</v>
      </c>
      <c r="G2782" t="s">
        <v>5604</v>
      </c>
    </row>
    <row r="2783" spans="1:7" x14ac:dyDescent="0.25">
      <c r="A2783">
        <v>6160</v>
      </c>
      <c r="F2783" t="s">
        <v>5605</v>
      </c>
      <c r="G2783" t="s">
        <v>5604</v>
      </c>
    </row>
    <row r="2784" spans="1:7" x14ac:dyDescent="0.25">
      <c r="A2784">
        <v>6161</v>
      </c>
      <c r="F2784" t="s">
        <v>5603</v>
      </c>
      <c r="G2784" t="s">
        <v>5604</v>
      </c>
    </row>
    <row r="2785" spans="1:7" x14ac:dyDescent="0.25">
      <c r="A2785">
        <v>6161</v>
      </c>
      <c r="F2785" t="s">
        <v>53</v>
      </c>
      <c r="G2785" t="s">
        <v>5604</v>
      </c>
    </row>
    <row r="2786" spans="1:7" x14ac:dyDescent="0.25">
      <c r="A2786">
        <v>6161</v>
      </c>
      <c r="F2786" t="s">
        <v>55</v>
      </c>
      <c r="G2786" t="s">
        <v>5604</v>
      </c>
    </row>
    <row r="2787" spans="1:7" x14ac:dyDescent="0.25">
      <c r="A2787">
        <v>6161</v>
      </c>
      <c r="F2787" t="s">
        <v>5605</v>
      </c>
      <c r="G2787" t="s">
        <v>5604</v>
      </c>
    </row>
    <row r="2788" spans="1:7" x14ac:dyDescent="0.25">
      <c r="A2788">
        <v>6162</v>
      </c>
      <c r="F2788" t="s">
        <v>5603</v>
      </c>
      <c r="G2788" t="s">
        <v>5604</v>
      </c>
    </row>
    <row r="2789" spans="1:7" x14ac:dyDescent="0.25">
      <c r="A2789">
        <v>6162</v>
      </c>
      <c r="F2789" t="s">
        <v>53</v>
      </c>
      <c r="G2789" t="s">
        <v>5604</v>
      </c>
    </row>
    <row r="2790" spans="1:7" x14ac:dyDescent="0.25">
      <c r="A2790">
        <v>6162</v>
      </c>
      <c r="F2790" t="s">
        <v>55</v>
      </c>
      <c r="G2790" t="s">
        <v>5604</v>
      </c>
    </row>
    <row r="2791" spans="1:7" x14ac:dyDescent="0.25">
      <c r="A2791">
        <v>6162</v>
      </c>
      <c r="F2791" t="s">
        <v>5605</v>
      </c>
      <c r="G2791" t="s">
        <v>5604</v>
      </c>
    </row>
    <row r="2792" spans="1:7" x14ac:dyDescent="0.25">
      <c r="A2792">
        <v>6163</v>
      </c>
      <c r="F2792" t="s">
        <v>5603</v>
      </c>
      <c r="G2792" t="s">
        <v>5604</v>
      </c>
    </row>
    <row r="2793" spans="1:7" x14ac:dyDescent="0.25">
      <c r="A2793">
        <v>6163</v>
      </c>
      <c r="F2793" t="s">
        <v>53</v>
      </c>
      <c r="G2793" t="s">
        <v>5604</v>
      </c>
    </row>
    <row r="2794" spans="1:7" x14ac:dyDescent="0.25">
      <c r="A2794">
        <v>6163</v>
      </c>
      <c r="F2794" t="s">
        <v>55</v>
      </c>
      <c r="G2794" t="s">
        <v>5604</v>
      </c>
    </row>
    <row r="2795" spans="1:7" x14ac:dyDescent="0.25">
      <c r="A2795">
        <v>6163</v>
      </c>
      <c r="F2795" t="s">
        <v>5605</v>
      </c>
      <c r="G2795" t="s">
        <v>5604</v>
      </c>
    </row>
    <row r="2796" spans="1:7" x14ac:dyDescent="0.25">
      <c r="A2796">
        <v>6164</v>
      </c>
      <c r="F2796" t="s">
        <v>5603</v>
      </c>
      <c r="G2796" t="s">
        <v>5604</v>
      </c>
    </row>
    <row r="2797" spans="1:7" x14ac:dyDescent="0.25">
      <c r="A2797">
        <v>6164</v>
      </c>
      <c r="F2797" t="s">
        <v>53</v>
      </c>
      <c r="G2797" t="s">
        <v>5604</v>
      </c>
    </row>
    <row r="2798" spans="1:7" x14ac:dyDescent="0.25">
      <c r="A2798">
        <v>6164</v>
      </c>
      <c r="F2798" t="s">
        <v>55</v>
      </c>
      <c r="G2798" t="s">
        <v>5604</v>
      </c>
    </row>
    <row r="2799" spans="1:7" x14ac:dyDescent="0.25">
      <c r="A2799">
        <v>6164</v>
      </c>
      <c r="F2799" t="s">
        <v>5605</v>
      </c>
      <c r="G2799" t="s">
        <v>5604</v>
      </c>
    </row>
    <row r="2800" spans="1:7" x14ac:dyDescent="0.25">
      <c r="A2800">
        <v>6165</v>
      </c>
      <c r="F2800" t="s">
        <v>5603</v>
      </c>
      <c r="G2800" t="s">
        <v>5604</v>
      </c>
    </row>
    <row r="2801" spans="1:7" x14ac:dyDescent="0.25">
      <c r="A2801">
        <v>6165</v>
      </c>
      <c r="F2801" t="s">
        <v>53</v>
      </c>
      <c r="G2801" t="s">
        <v>5604</v>
      </c>
    </row>
    <row r="2802" spans="1:7" x14ac:dyDescent="0.25">
      <c r="A2802">
        <v>6165</v>
      </c>
      <c r="F2802" t="s">
        <v>55</v>
      </c>
      <c r="G2802" t="s">
        <v>5604</v>
      </c>
    </row>
    <row r="2803" spans="1:7" x14ac:dyDescent="0.25">
      <c r="A2803">
        <v>6165</v>
      </c>
      <c r="F2803" t="s">
        <v>5605</v>
      </c>
      <c r="G2803" t="s">
        <v>5604</v>
      </c>
    </row>
    <row r="2804" spans="1:7" x14ac:dyDescent="0.25">
      <c r="A2804">
        <v>6166</v>
      </c>
      <c r="F2804" t="s">
        <v>5603</v>
      </c>
      <c r="G2804" t="s">
        <v>5604</v>
      </c>
    </row>
    <row r="2805" spans="1:7" x14ac:dyDescent="0.25">
      <c r="A2805">
        <v>6166</v>
      </c>
      <c r="F2805" t="s">
        <v>53</v>
      </c>
      <c r="G2805" t="s">
        <v>5604</v>
      </c>
    </row>
    <row r="2806" spans="1:7" x14ac:dyDescent="0.25">
      <c r="A2806">
        <v>6166</v>
      </c>
      <c r="F2806" t="s">
        <v>55</v>
      </c>
      <c r="G2806" t="s">
        <v>5604</v>
      </c>
    </row>
    <row r="2807" spans="1:7" x14ac:dyDescent="0.25">
      <c r="A2807">
        <v>6166</v>
      </c>
      <c r="F2807" t="s">
        <v>5605</v>
      </c>
      <c r="G2807" t="s">
        <v>5604</v>
      </c>
    </row>
    <row r="2808" spans="1:7" x14ac:dyDescent="0.25">
      <c r="A2808">
        <v>6167</v>
      </c>
      <c r="F2808" t="s">
        <v>5603</v>
      </c>
      <c r="G2808" t="s">
        <v>5604</v>
      </c>
    </row>
    <row r="2809" spans="1:7" x14ac:dyDescent="0.25">
      <c r="A2809">
        <v>6167</v>
      </c>
      <c r="F2809" t="s">
        <v>53</v>
      </c>
      <c r="G2809" t="s">
        <v>5604</v>
      </c>
    </row>
    <row r="2810" spans="1:7" x14ac:dyDescent="0.25">
      <c r="A2810">
        <v>6167</v>
      </c>
      <c r="F2810" t="s">
        <v>55</v>
      </c>
      <c r="G2810" t="s">
        <v>5604</v>
      </c>
    </row>
    <row r="2811" spans="1:7" x14ac:dyDescent="0.25">
      <c r="A2811">
        <v>6167</v>
      </c>
      <c r="F2811" t="s">
        <v>5605</v>
      </c>
      <c r="G2811" t="s">
        <v>5604</v>
      </c>
    </row>
    <row r="2812" spans="1:7" x14ac:dyDescent="0.25">
      <c r="A2812">
        <v>6168</v>
      </c>
      <c r="F2812" t="s">
        <v>5603</v>
      </c>
      <c r="G2812" t="s">
        <v>5604</v>
      </c>
    </row>
    <row r="2813" spans="1:7" x14ac:dyDescent="0.25">
      <c r="A2813">
        <v>6168</v>
      </c>
      <c r="F2813" t="s">
        <v>53</v>
      </c>
      <c r="G2813" t="s">
        <v>5604</v>
      </c>
    </row>
    <row r="2814" spans="1:7" x14ac:dyDescent="0.25">
      <c r="A2814">
        <v>6168</v>
      </c>
      <c r="F2814" t="s">
        <v>55</v>
      </c>
      <c r="G2814" t="s">
        <v>5604</v>
      </c>
    </row>
    <row r="2815" spans="1:7" x14ac:dyDescent="0.25">
      <c r="A2815">
        <v>6168</v>
      </c>
      <c r="F2815" t="s">
        <v>5605</v>
      </c>
      <c r="G2815" t="s">
        <v>5604</v>
      </c>
    </row>
    <row r="2816" spans="1:7" x14ac:dyDescent="0.25">
      <c r="A2816">
        <v>6169</v>
      </c>
      <c r="F2816" t="s">
        <v>5603</v>
      </c>
      <c r="G2816" t="s">
        <v>5604</v>
      </c>
    </row>
    <row r="2817" spans="1:7" x14ac:dyDescent="0.25">
      <c r="A2817">
        <v>6169</v>
      </c>
      <c r="F2817" t="s">
        <v>53</v>
      </c>
      <c r="G2817" t="s">
        <v>5604</v>
      </c>
    </row>
    <row r="2818" spans="1:7" x14ac:dyDescent="0.25">
      <c r="A2818">
        <v>6169</v>
      </c>
      <c r="F2818" t="s">
        <v>55</v>
      </c>
      <c r="G2818" t="s">
        <v>5604</v>
      </c>
    </row>
    <row r="2819" spans="1:7" x14ac:dyDescent="0.25">
      <c r="A2819">
        <v>6169</v>
      </c>
      <c r="F2819" t="s">
        <v>5605</v>
      </c>
      <c r="G2819" t="s">
        <v>5604</v>
      </c>
    </row>
    <row r="2820" spans="1:7" x14ac:dyDescent="0.25">
      <c r="A2820">
        <v>6170</v>
      </c>
      <c r="F2820" t="s">
        <v>5603</v>
      </c>
      <c r="G2820" t="s">
        <v>5604</v>
      </c>
    </row>
    <row r="2821" spans="1:7" x14ac:dyDescent="0.25">
      <c r="A2821">
        <v>6170</v>
      </c>
      <c r="F2821" t="s">
        <v>53</v>
      </c>
      <c r="G2821" t="s">
        <v>5604</v>
      </c>
    </row>
    <row r="2822" spans="1:7" x14ac:dyDescent="0.25">
      <c r="A2822">
        <v>6170</v>
      </c>
      <c r="F2822" t="s">
        <v>55</v>
      </c>
      <c r="G2822" t="s">
        <v>5604</v>
      </c>
    </row>
    <row r="2823" spans="1:7" x14ac:dyDescent="0.25">
      <c r="A2823">
        <v>6170</v>
      </c>
      <c r="F2823" t="s">
        <v>5605</v>
      </c>
      <c r="G2823" t="s">
        <v>5604</v>
      </c>
    </row>
    <row r="2824" spans="1:7" x14ac:dyDescent="0.25">
      <c r="A2824">
        <v>6171</v>
      </c>
      <c r="F2824" t="s">
        <v>5603</v>
      </c>
      <c r="G2824" t="s">
        <v>5604</v>
      </c>
    </row>
    <row r="2825" spans="1:7" x14ac:dyDescent="0.25">
      <c r="A2825">
        <v>6171</v>
      </c>
      <c r="F2825" t="s">
        <v>53</v>
      </c>
      <c r="G2825" t="s">
        <v>5604</v>
      </c>
    </row>
    <row r="2826" spans="1:7" x14ac:dyDescent="0.25">
      <c r="A2826">
        <v>6171</v>
      </c>
      <c r="F2826" t="s">
        <v>55</v>
      </c>
      <c r="G2826" t="s">
        <v>5604</v>
      </c>
    </row>
    <row r="2827" spans="1:7" x14ac:dyDescent="0.25">
      <c r="A2827">
        <v>6171</v>
      </c>
      <c r="F2827" t="s">
        <v>5605</v>
      </c>
      <c r="G2827" t="s">
        <v>5604</v>
      </c>
    </row>
    <row r="2828" spans="1:7" x14ac:dyDescent="0.25">
      <c r="A2828">
        <v>6172</v>
      </c>
      <c r="F2828" t="s">
        <v>5603</v>
      </c>
      <c r="G2828" t="s">
        <v>5604</v>
      </c>
    </row>
    <row r="2829" spans="1:7" x14ac:dyDescent="0.25">
      <c r="A2829">
        <v>6172</v>
      </c>
      <c r="F2829" t="s">
        <v>53</v>
      </c>
      <c r="G2829" t="s">
        <v>5604</v>
      </c>
    </row>
    <row r="2830" spans="1:7" x14ac:dyDescent="0.25">
      <c r="A2830">
        <v>6172</v>
      </c>
      <c r="F2830" t="s">
        <v>55</v>
      </c>
      <c r="G2830" t="s">
        <v>5604</v>
      </c>
    </row>
    <row r="2831" spans="1:7" x14ac:dyDescent="0.25">
      <c r="A2831">
        <v>6172</v>
      </c>
      <c r="F2831" t="s">
        <v>5605</v>
      </c>
      <c r="G2831" t="s">
        <v>5604</v>
      </c>
    </row>
    <row r="2832" spans="1:7" x14ac:dyDescent="0.25">
      <c r="A2832">
        <v>6173</v>
      </c>
      <c r="F2832" t="s">
        <v>5603</v>
      </c>
      <c r="G2832" t="s">
        <v>5604</v>
      </c>
    </row>
    <row r="2833" spans="1:7" x14ac:dyDescent="0.25">
      <c r="A2833">
        <v>6173</v>
      </c>
      <c r="F2833" t="s">
        <v>53</v>
      </c>
      <c r="G2833" t="s">
        <v>5604</v>
      </c>
    </row>
    <row r="2834" spans="1:7" x14ac:dyDescent="0.25">
      <c r="A2834">
        <v>6173</v>
      </c>
      <c r="F2834" t="s">
        <v>55</v>
      </c>
      <c r="G2834" t="s">
        <v>5604</v>
      </c>
    </row>
    <row r="2835" spans="1:7" x14ac:dyDescent="0.25">
      <c r="A2835">
        <v>6173</v>
      </c>
      <c r="F2835" t="s">
        <v>5605</v>
      </c>
      <c r="G2835" t="s">
        <v>5604</v>
      </c>
    </row>
    <row r="2836" spans="1:7" x14ac:dyDescent="0.25">
      <c r="A2836">
        <v>6174</v>
      </c>
      <c r="F2836" t="s">
        <v>5603</v>
      </c>
      <c r="G2836" t="s">
        <v>5604</v>
      </c>
    </row>
    <row r="2837" spans="1:7" x14ac:dyDescent="0.25">
      <c r="A2837">
        <v>6174</v>
      </c>
      <c r="F2837" t="s">
        <v>53</v>
      </c>
      <c r="G2837" t="s">
        <v>5604</v>
      </c>
    </row>
    <row r="2838" spans="1:7" x14ac:dyDescent="0.25">
      <c r="A2838">
        <v>6174</v>
      </c>
      <c r="F2838" t="s">
        <v>55</v>
      </c>
      <c r="G2838" t="s">
        <v>5604</v>
      </c>
    </row>
    <row r="2839" spans="1:7" x14ac:dyDescent="0.25">
      <c r="A2839">
        <v>6174</v>
      </c>
      <c r="F2839" t="s">
        <v>5605</v>
      </c>
      <c r="G2839" t="s">
        <v>5604</v>
      </c>
    </row>
    <row r="2840" spans="1:7" x14ac:dyDescent="0.25">
      <c r="A2840">
        <v>6175</v>
      </c>
      <c r="F2840" t="s">
        <v>5603</v>
      </c>
      <c r="G2840" t="s">
        <v>5604</v>
      </c>
    </row>
    <row r="2841" spans="1:7" x14ac:dyDescent="0.25">
      <c r="A2841">
        <v>6175</v>
      </c>
      <c r="F2841" t="s">
        <v>53</v>
      </c>
      <c r="G2841" t="s">
        <v>5604</v>
      </c>
    </row>
    <row r="2842" spans="1:7" x14ac:dyDescent="0.25">
      <c r="A2842">
        <v>6175</v>
      </c>
      <c r="F2842" t="s">
        <v>55</v>
      </c>
      <c r="G2842" t="s">
        <v>5604</v>
      </c>
    </row>
    <row r="2843" spans="1:7" x14ac:dyDescent="0.25">
      <c r="A2843">
        <v>6175</v>
      </c>
      <c r="F2843" t="s">
        <v>5605</v>
      </c>
      <c r="G2843" t="s">
        <v>5604</v>
      </c>
    </row>
    <row r="2844" spans="1:7" x14ac:dyDescent="0.25">
      <c r="A2844">
        <v>6176</v>
      </c>
      <c r="F2844" t="s">
        <v>5603</v>
      </c>
      <c r="G2844" t="s">
        <v>5604</v>
      </c>
    </row>
    <row r="2845" spans="1:7" x14ac:dyDescent="0.25">
      <c r="A2845">
        <v>6176</v>
      </c>
      <c r="F2845" t="s">
        <v>53</v>
      </c>
      <c r="G2845" t="s">
        <v>5604</v>
      </c>
    </row>
    <row r="2846" spans="1:7" x14ac:dyDescent="0.25">
      <c r="A2846">
        <v>6176</v>
      </c>
      <c r="F2846" t="s">
        <v>55</v>
      </c>
      <c r="G2846" t="s">
        <v>5604</v>
      </c>
    </row>
    <row r="2847" spans="1:7" x14ac:dyDescent="0.25">
      <c r="A2847">
        <v>6176</v>
      </c>
      <c r="F2847" t="s">
        <v>5605</v>
      </c>
      <c r="G2847" t="s">
        <v>5604</v>
      </c>
    </row>
    <row r="2848" spans="1:7" x14ac:dyDescent="0.25">
      <c r="A2848">
        <v>6177</v>
      </c>
      <c r="F2848" t="s">
        <v>5603</v>
      </c>
      <c r="G2848" t="s">
        <v>5604</v>
      </c>
    </row>
    <row r="2849" spans="1:7" x14ac:dyDescent="0.25">
      <c r="A2849">
        <v>6177</v>
      </c>
      <c r="F2849" t="s">
        <v>53</v>
      </c>
      <c r="G2849" t="s">
        <v>5604</v>
      </c>
    </row>
    <row r="2850" spans="1:7" x14ac:dyDescent="0.25">
      <c r="A2850">
        <v>6177</v>
      </c>
      <c r="F2850" t="s">
        <v>55</v>
      </c>
      <c r="G2850" t="s">
        <v>5604</v>
      </c>
    </row>
    <row r="2851" spans="1:7" x14ac:dyDescent="0.25">
      <c r="A2851">
        <v>6177</v>
      </c>
      <c r="F2851" t="s">
        <v>5605</v>
      </c>
      <c r="G2851" t="s">
        <v>5604</v>
      </c>
    </row>
    <row r="2852" spans="1:7" x14ac:dyDescent="0.25">
      <c r="A2852">
        <v>6178</v>
      </c>
      <c r="F2852" t="s">
        <v>5603</v>
      </c>
      <c r="G2852" t="s">
        <v>5604</v>
      </c>
    </row>
    <row r="2853" spans="1:7" x14ac:dyDescent="0.25">
      <c r="A2853">
        <v>6178</v>
      </c>
      <c r="F2853" t="s">
        <v>53</v>
      </c>
      <c r="G2853" t="s">
        <v>5604</v>
      </c>
    </row>
    <row r="2854" spans="1:7" x14ac:dyDescent="0.25">
      <c r="A2854">
        <v>6178</v>
      </c>
      <c r="F2854" t="s">
        <v>55</v>
      </c>
      <c r="G2854" t="s">
        <v>5604</v>
      </c>
    </row>
    <row r="2855" spans="1:7" x14ac:dyDescent="0.25">
      <c r="A2855">
        <v>6178</v>
      </c>
      <c r="F2855" t="s">
        <v>5605</v>
      </c>
      <c r="G2855" t="s">
        <v>5604</v>
      </c>
    </row>
    <row r="2856" spans="1:7" x14ac:dyDescent="0.25">
      <c r="A2856">
        <v>6179</v>
      </c>
      <c r="F2856" t="s">
        <v>5603</v>
      </c>
      <c r="G2856" t="s">
        <v>5604</v>
      </c>
    </row>
    <row r="2857" spans="1:7" x14ac:dyDescent="0.25">
      <c r="A2857">
        <v>6179</v>
      </c>
      <c r="F2857" t="s">
        <v>53</v>
      </c>
      <c r="G2857" t="s">
        <v>5604</v>
      </c>
    </row>
    <row r="2858" spans="1:7" x14ac:dyDescent="0.25">
      <c r="A2858">
        <v>6179</v>
      </c>
      <c r="F2858" t="s">
        <v>55</v>
      </c>
      <c r="G2858" t="s">
        <v>5604</v>
      </c>
    </row>
    <row r="2859" spans="1:7" x14ac:dyDescent="0.25">
      <c r="A2859">
        <v>6179</v>
      </c>
      <c r="F2859" t="s">
        <v>5605</v>
      </c>
      <c r="G2859" t="s">
        <v>5604</v>
      </c>
    </row>
    <row r="2860" spans="1:7" x14ac:dyDescent="0.25">
      <c r="A2860">
        <v>6180</v>
      </c>
      <c r="F2860" t="s">
        <v>5603</v>
      </c>
      <c r="G2860" t="s">
        <v>5604</v>
      </c>
    </row>
    <row r="2861" spans="1:7" x14ac:dyDescent="0.25">
      <c r="A2861">
        <v>6180</v>
      </c>
      <c r="F2861" t="s">
        <v>53</v>
      </c>
      <c r="G2861" t="s">
        <v>5604</v>
      </c>
    </row>
    <row r="2862" spans="1:7" x14ac:dyDescent="0.25">
      <c r="A2862">
        <v>6180</v>
      </c>
      <c r="F2862" t="s">
        <v>55</v>
      </c>
      <c r="G2862" t="s">
        <v>5604</v>
      </c>
    </row>
    <row r="2863" spans="1:7" x14ac:dyDescent="0.25">
      <c r="A2863">
        <v>6180</v>
      </c>
      <c r="F2863" t="s">
        <v>5605</v>
      </c>
      <c r="G2863" t="s">
        <v>5604</v>
      </c>
    </row>
    <row r="2864" spans="1:7" x14ac:dyDescent="0.25">
      <c r="A2864">
        <v>6181</v>
      </c>
      <c r="F2864" t="s">
        <v>5603</v>
      </c>
      <c r="G2864" t="s">
        <v>5604</v>
      </c>
    </row>
    <row r="2865" spans="1:7" x14ac:dyDescent="0.25">
      <c r="A2865">
        <v>6181</v>
      </c>
      <c r="F2865" t="s">
        <v>53</v>
      </c>
      <c r="G2865" t="s">
        <v>5604</v>
      </c>
    </row>
    <row r="2866" spans="1:7" x14ac:dyDescent="0.25">
      <c r="A2866">
        <v>6181</v>
      </c>
      <c r="F2866" t="s">
        <v>55</v>
      </c>
      <c r="G2866" t="s">
        <v>5604</v>
      </c>
    </row>
    <row r="2867" spans="1:7" x14ac:dyDescent="0.25">
      <c r="A2867">
        <v>6181</v>
      </c>
      <c r="F2867" t="s">
        <v>5605</v>
      </c>
      <c r="G2867" t="s">
        <v>5604</v>
      </c>
    </row>
    <row r="2868" spans="1:7" x14ac:dyDescent="0.25">
      <c r="A2868">
        <v>6182</v>
      </c>
      <c r="F2868" t="s">
        <v>5603</v>
      </c>
      <c r="G2868" t="s">
        <v>5604</v>
      </c>
    </row>
    <row r="2869" spans="1:7" x14ac:dyDescent="0.25">
      <c r="A2869">
        <v>6182</v>
      </c>
      <c r="F2869" t="s">
        <v>53</v>
      </c>
      <c r="G2869" t="s">
        <v>5604</v>
      </c>
    </row>
    <row r="2870" spans="1:7" x14ac:dyDescent="0.25">
      <c r="A2870">
        <v>6182</v>
      </c>
      <c r="F2870" t="s">
        <v>55</v>
      </c>
      <c r="G2870" t="s">
        <v>5604</v>
      </c>
    </row>
    <row r="2871" spans="1:7" x14ac:dyDescent="0.25">
      <c r="A2871">
        <v>6182</v>
      </c>
      <c r="F2871" t="s">
        <v>5605</v>
      </c>
      <c r="G2871" t="s">
        <v>5604</v>
      </c>
    </row>
    <row r="2872" spans="1:7" x14ac:dyDescent="0.25">
      <c r="A2872">
        <v>6183</v>
      </c>
      <c r="F2872" t="s">
        <v>5603</v>
      </c>
      <c r="G2872" t="s">
        <v>5604</v>
      </c>
    </row>
    <row r="2873" spans="1:7" x14ac:dyDescent="0.25">
      <c r="A2873">
        <v>6183</v>
      </c>
      <c r="F2873" t="s">
        <v>53</v>
      </c>
      <c r="G2873" t="s">
        <v>5604</v>
      </c>
    </row>
    <row r="2874" spans="1:7" x14ac:dyDescent="0.25">
      <c r="A2874">
        <v>6183</v>
      </c>
      <c r="F2874" t="s">
        <v>55</v>
      </c>
      <c r="G2874" t="s">
        <v>5604</v>
      </c>
    </row>
    <row r="2875" spans="1:7" x14ac:dyDescent="0.25">
      <c r="A2875">
        <v>6183</v>
      </c>
      <c r="F2875" t="s">
        <v>5605</v>
      </c>
      <c r="G2875" t="s">
        <v>5604</v>
      </c>
    </row>
    <row r="2876" spans="1:7" x14ac:dyDescent="0.25">
      <c r="A2876">
        <v>6184</v>
      </c>
      <c r="F2876" t="s">
        <v>5603</v>
      </c>
      <c r="G2876" t="s">
        <v>5604</v>
      </c>
    </row>
    <row r="2877" spans="1:7" x14ac:dyDescent="0.25">
      <c r="A2877">
        <v>6184</v>
      </c>
      <c r="F2877" t="s">
        <v>53</v>
      </c>
      <c r="G2877" t="s">
        <v>5604</v>
      </c>
    </row>
    <row r="2878" spans="1:7" x14ac:dyDescent="0.25">
      <c r="A2878">
        <v>6184</v>
      </c>
      <c r="F2878" t="s">
        <v>55</v>
      </c>
      <c r="G2878" t="s">
        <v>5604</v>
      </c>
    </row>
    <row r="2879" spans="1:7" x14ac:dyDescent="0.25">
      <c r="A2879">
        <v>6184</v>
      </c>
      <c r="F2879" t="s">
        <v>5605</v>
      </c>
      <c r="G2879" t="s">
        <v>5604</v>
      </c>
    </row>
    <row r="2880" spans="1:7" x14ac:dyDescent="0.25">
      <c r="A2880">
        <v>6185</v>
      </c>
      <c r="F2880" t="s">
        <v>5603</v>
      </c>
      <c r="G2880" t="s">
        <v>5604</v>
      </c>
    </row>
    <row r="2881" spans="1:7" x14ac:dyDescent="0.25">
      <c r="A2881">
        <v>6185</v>
      </c>
      <c r="F2881" t="s">
        <v>53</v>
      </c>
      <c r="G2881" t="s">
        <v>5604</v>
      </c>
    </row>
    <row r="2882" spans="1:7" x14ac:dyDescent="0.25">
      <c r="A2882">
        <v>6185</v>
      </c>
      <c r="F2882" t="s">
        <v>55</v>
      </c>
      <c r="G2882" t="s">
        <v>5604</v>
      </c>
    </row>
    <row r="2883" spans="1:7" x14ac:dyDescent="0.25">
      <c r="A2883">
        <v>6185</v>
      </c>
      <c r="F2883" t="s">
        <v>5605</v>
      </c>
      <c r="G2883" t="s">
        <v>5604</v>
      </c>
    </row>
    <row r="2884" spans="1:7" x14ac:dyDescent="0.25">
      <c r="A2884">
        <v>6186</v>
      </c>
      <c r="F2884" t="s">
        <v>5603</v>
      </c>
      <c r="G2884" t="s">
        <v>5604</v>
      </c>
    </row>
    <row r="2885" spans="1:7" x14ac:dyDescent="0.25">
      <c r="A2885">
        <v>6186</v>
      </c>
      <c r="F2885" t="s">
        <v>53</v>
      </c>
      <c r="G2885" t="s">
        <v>5604</v>
      </c>
    </row>
    <row r="2886" spans="1:7" x14ac:dyDescent="0.25">
      <c r="A2886">
        <v>6186</v>
      </c>
      <c r="F2886" t="s">
        <v>55</v>
      </c>
      <c r="G2886" t="s">
        <v>5604</v>
      </c>
    </row>
    <row r="2887" spans="1:7" x14ac:dyDescent="0.25">
      <c r="A2887">
        <v>6186</v>
      </c>
      <c r="F2887" t="s">
        <v>5605</v>
      </c>
      <c r="G2887" t="s">
        <v>5604</v>
      </c>
    </row>
    <row r="2888" spans="1:7" x14ac:dyDescent="0.25">
      <c r="A2888">
        <v>6187</v>
      </c>
      <c r="F2888" t="s">
        <v>5603</v>
      </c>
      <c r="G2888" t="s">
        <v>5604</v>
      </c>
    </row>
    <row r="2889" spans="1:7" x14ac:dyDescent="0.25">
      <c r="A2889">
        <v>6187</v>
      </c>
      <c r="F2889" t="s">
        <v>53</v>
      </c>
      <c r="G2889" t="s">
        <v>5604</v>
      </c>
    </row>
    <row r="2890" spans="1:7" x14ac:dyDescent="0.25">
      <c r="A2890">
        <v>6187</v>
      </c>
      <c r="F2890" t="s">
        <v>55</v>
      </c>
      <c r="G2890" t="s">
        <v>5604</v>
      </c>
    </row>
    <row r="2891" spans="1:7" x14ac:dyDescent="0.25">
      <c r="A2891">
        <v>6187</v>
      </c>
      <c r="F2891" t="s">
        <v>5605</v>
      </c>
      <c r="G2891" t="s">
        <v>5604</v>
      </c>
    </row>
    <row r="2892" spans="1:7" x14ac:dyDescent="0.25">
      <c r="A2892">
        <v>6188</v>
      </c>
      <c r="F2892" t="s">
        <v>5603</v>
      </c>
      <c r="G2892" t="s">
        <v>5604</v>
      </c>
    </row>
    <row r="2893" spans="1:7" x14ac:dyDescent="0.25">
      <c r="A2893">
        <v>6188</v>
      </c>
      <c r="F2893" t="s">
        <v>53</v>
      </c>
      <c r="G2893" t="s">
        <v>5604</v>
      </c>
    </row>
    <row r="2894" spans="1:7" x14ac:dyDescent="0.25">
      <c r="A2894">
        <v>6188</v>
      </c>
      <c r="F2894" t="s">
        <v>55</v>
      </c>
      <c r="G2894" t="s">
        <v>5604</v>
      </c>
    </row>
    <row r="2895" spans="1:7" x14ac:dyDescent="0.25">
      <c r="A2895">
        <v>6188</v>
      </c>
      <c r="F2895" t="s">
        <v>5605</v>
      </c>
      <c r="G2895" t="s">
        <v>5604</v>
      </c>
    </row>
    <row r="2896" spans="1:7" x14ac:dyDescent="0.25">
      <c r="A2896">
        <v>6189</v>
      </c>
      <c r="F2896" t="s">
        <v>5603</v>
      </c>
      <c r="G2896" t="s">
        <v>5604</v>
      </c>
    </row>
    <row r="2897" spans="1:7" x14ac:dyDescent="0.25">
      <c r="A2897">
        <v>6189</v>
      </c>
      <c r="F2897" t="s">
        <v>53</v>
      </c>
      <c r="G2897" t="s">
        <v>5604</v>
      </c>
    </row>
    <row r="2898" spans="1:7" x14ac:dyDescent="0.25">
      <c r="A2898">
        <v>6189</v>
      </c>
      <c r="F2898" t="s">
        <v>55</v>
      </c>
      <c r="G2898" t="s">
        <v>5604</v>
      </c>
    </row>
    <row r="2899" spans="1:7" x14ac:dyDescent="0.25">
      <c r="A2899">
        <v>6189</v>
      </c>
      <c r="F2899" t="s">
        <v>5605</v>
      </c>
      <c r="G2899" t="s">
        <v>5604</v>
      </c>
    </row>
    <row r="2900" spans="1:7" x14ac:dyDescent="0.25">
      <c r="A2900">
        <v>6190</v>
      </c>
      <c r="F2900" t="s">
        <v>5603</v>
      </c>
      <c r="G2900" t="s">
        <v>5604</v>
      </c>
    </row>
    <row r="2901" spans="1:7" x14ac:dyDescent="0.25">
      <c r="A2901">
        <v>6190</v>
      </c>
      <c r="F2901" t="s">
        <v>53</v>
      </c>
      <c r="G2901" t="s">
        <v>5604</v>
      </c>
    </row>
    <row r="2902" spans="1:7" x14ac:dyDescent="0.25">
      <c r="A2902">
        <v>6190</v>
      </c>
      <c r="F2902" t="s">
        <v>55</v>
      </c>
      <c r="G2902" t="s">
        <v>5604</v>
      </c>
    </row>
    <row r="2903" spans="1:7" x14ac:dyDescent="0.25">
      <c r="A2903">
        <v>6190</v>
      </c>
      <c r="F2903" t="s">
        <v>5605</v>
      </c>
      <c r="G2903" t="s">
        <v>5604</v>
      </c>
    </row>
    <row r="2904" spans="1:7" x14ac:dyDescent="0.25">
      <c r="A2904">
        <v>6191</v>
      </c>
      <c r="F2904" t="s">
        <v>5603</v>
      </c>
      <c r="G2904" t="s">
        <v>5604</v>
      </c>
    </row>
    <row r="2905" spans="1:7" x14ac:dyDescent="0.25">
      <c r="A2905">
        <v>6191</v>
      </c>
      <c r="F2905" t="s">
        <v>53</v>
      </c>
      <c r="G2905" t="s">
        <v>5604</v>
      </c>
    </row>
    <row r="2906" spans="1:7" x14ac:dyDescent="0.25">
      <c r="A2906">
        <v>6191</v>
      </c>
      <c r="F2906" t="s">
        <v>55</v>
      </c>
      <c r="G2906" t="s">
        <v>5604</v>
      </c>
    </row>
    <row r="2907" spans="1:7" x14ac:dyDescent="0.25">
      <c r="A2907">
        <v>6191</v>
      </c>
      <c r="F2907" t="s">
        <v>5605</v>
      </c>
      <c r="G2907" t="s">
        <v>5604</v>
      </c>
    </row>
    <row r="2908" spans="1:7" x14ac:dyDescent="0.25">
      <c r="A2908">
        <v>6192</v>
      </c>
      <c r="F2908" t="s">
        <v>5603</v>
      </c>
      <c r="G2908" t="s">
        <v>5604</v>
      </c>
    </row>
    <row r="2909" spans="1:7" x14ac:dyDescent="0.25">
      <c r="A2909">
        <v>6192</v>
      </c>
      <c r="F2909" t="s">
        <v>53</v>
      </c>
      <c r="G2909" t="s">
        <v>5604</v>
      </c>
    </row>
    <row r="2910" spans="1:7" x14ac:dyDescent="0.25">
      <c r="A2910">
        <v>6192</v>
      </c>
      <c r="F2910" t="s">
        <v>55</v>
      </c>
      <c r="G2910" t="s">
        <v>5604</v>
      </c>
    </row>
    <row r="2911" spans="1:7" x14ac:dyDescent="0.25">
      <c r="A2911">
        <v>6192</v>
      </c>
      <c r="F2911" t="s">
        <v>5605</v>
      </c>
      <c r="G2911" t="s">
        <v>5604</v>
      </c>
    </row>
    <row r="2912" spans="1:7" x14ac:dyDescent="0.25">
      <c r="A2912">
        <v>6193</v>
      </c>
      <c r="F2912" t="s">
        <v>5603</v>
      </c>
      <c r="G2912" t="s">
        <v>5604</v>
      </c>
    </row>
    <row r="2913" spans="1:7" x14ac:dyDescent="0.25">
      <c r="A2913">
        <v>6193</v>
      </c>
      <c r="F2913" t="s">
        <v>53</v>
      </c>
      <c r="G2913" t="s">
        <v>5604</v>
      </c>
    </row>
    <row r="2914" spans="1:7" x14ac:dyDescent="0.25">
      <c r="A2914">
        <v>6193</v>
      </c>
      <c r="F2914" t="s">
        <v>55</v>
      </c>
      <c r="G2914" t="s">
        <v>5604</v>
      </c>
    </row>
    <row r="2915" spans="1:7" x14ac:dyDescent="0.25">
      <c r="A2915">
        <v>6193</v>
      </c>
      <c r="F2915" t="s">
        <v>5605</v>
      </c>
      <c r="G2915" t="s">
        <v>5604</v>
      </c>
    </row>
    <row r="2916" spans="1:7" x14ac:dyDescent="0.25">
      <c r="A2916">
        <v>6194</v>
      </c>
      <c r="F2916" t="s">
        <v>5603</v>
      </c>
      <c r="G2916" t="s">
        <v>5604</v>
      </c>
    </row>
    <row r="2917" spans="1:7" x14ac:dyDescent="0.25">
      <c r="A2917">
        <v>6194</v>
      </c>
      <c r="F2917" t="s">
        <v>53</v>
      </c>
      <c r="G2917" t="s">
        <v>5604</v>
      </c>
    </row>
    <row r="2918" spans="1:7" x14ac:dyDescent="0.25">
      <c r="A2918">
        <v>6194</v>
      </c>
      <c r="F2918" t="s">
        <v>55</v>
      </c>
      <c r="G2918" t="s">
        <v>5604</v>
      </c>
    </row>
    <row r="2919" spans="1:7" x14ac:dyDescent="0.25">
      <c r="A2919">
        <v>6194</v>
      </c>
      <c r="F2919" t="s">
        <v>5605</v>
      </c>
      <c r="G2919" t="s">
        <v>5604</v>
      </c>
    </row>
    <row r="2920" spans="1:7" x14ac:dyDescent="0.25">
      <c r="A2920">
        <v>6195</v>
      </c>
      <c r="F2920" t="s">
        <v>5603</v>
      </c>
      <c r="G2920" t="s">
        <v>5604</v>
      </c>
    </row>
    <row r="2921" spans="1:7" x14ac:dyDescent="0.25">
      <c r="A2921">
        <v>6195</v>
      </c>
      <c r="F2921" t="s">
        <v>53</v>
      </c>
      <c r="G2921" t="s">
        <v>5604</v>
      </c>
    </row>
    <row r="2922" spans="1:7" x14ac:dyDescent="0.25">
      <c r="A2922">
        <v>6195</v>
      </c>
      <c r="F2922" t="s">
        <v>55</v>
      </c>
      <c r="G2922" t="s">
        <v>5604</v>
      </c>
    </row>
    <row r="2923" spans="1:7" x14ac:dyDescent="0.25">
      <c r="A2923">
        <v>6195</v>
      </c>
      <c r="F2923" t="s">
        <v>5605</v>
      </c>
      <c r="G2923" t="s">
        <v>5604</v>
      </c>
    </row>
    <row r="2924" spans="1:7" x14ac:dyDescent="0.25">
      <c r="A2924">
        <v>6196</v>
      </c>
      <c r="F2924" t="s">
        <v>5603</v>
      </c>
      <c r="G2924" t="s">
        <v>5604</v>
      </c>
    </row>
    <row r="2925" spans="1:7" x14ac:dyDescent="0.25">
      <c r="A2925">
        <v>6196</v>
      </c>
      <c r="F2925" t="s">
        <v>53</v>
      </c>
      <c r="G2925" t="s">
        <v>5604</v>
      </c>
    </row>
    <row r="2926" spans="1:7" x14ac:dyDescent="0.25">
      <c r="A2926">
        <v>6196</v>
      </c>
      <c r="F2926" t="s">
        <v>55</v>
      </c>
      <c r="G2926" t="s">
        <v>5604</v>
      </c>
    </row>
    <row r="2927" spans="1:7" x14ac:dyDescent="0.25">
      <c r="A2927">
        <v>6196</v>
      </c>
      <c r="F2927" t="s">
        <v>5605</v>
      </c>
      <c r="G2927" t="s">
        <v>5604</v>
      </c>
    </row>
    <row r="2928" spans="1:7" x14ac:dyDescent="0.25">
      <c r="A2928">
        <v>6197</v>
      </c>
      <c r="F2928" t="s">
        <v>5603</v>
      </c>
      <c r="G2928" t="s">
        <v>5604</v>
      </c>
    </row>
    <row r="2929" spans="1:7" x14ac:dyDescent="0.25">
      <c r="A2929">
        <v>6197</v>
      </c>
      <c r="F2929" t="s">
        <v>53</v>
      </c>
      <c r="G2929" t="s">
        <v>5604</v>
      </c>
    </row>
    <row r="2930" spans="1:7" x14ac:dyDescent="0.25">
      <c r="A2930">
        <v>6197</v>
      </c>
      <c r="F2930" t="s">
        <v>55</v>
      </c>
      <c r="G2930" t="s">
        <v>5604</v>
      </c>
    </row>
    <row r="2931" spans="1:7" x14ac:dyDescent="0.25">
      <c r="A2931">
        <v>6197</v>
      </c>
      <c r="F2931" t="s">
        <v>5605</v>
      </c>
      <c r="G2931" t="s">
        <v>5604</v>
      </c>
    </row>
    <row r="2932" spans="1:7" x14ac:dyDescent="0.25">
      <c r="A2932">
        <v>6198</v>
      </c>
      <c r="F2932" t="s">
        <v>5603</v>
      </c>
      <c r="G2932" t="s">
        <v>5604</v>
      </c>
    </row>
    <row r="2933" spans="1:7" x14ac:dyDescent="0.25">
      <c r="A2933">
        <v>6198</v>
      </c>
      <c r="F2933" t="s">
        <v>53</v>
      </c>
      <c r="G2933" t="s">
        <v>5604</v>
      </c>
    </row>
    <row r="2934" spans="1:7" x14ac:dyDescent="0.25">
      <c r="A2934">
        <v>6198</v>
      </c>
      <c r="F2934" t="s">
        <v>55</v>
      </c>
      <c r="G2934" t="s">
        <v>5604</v>
      </c>
    </row>
    <row r="2935" spans="1:7" x14ac:dyDescent="0.25">
      <c r="A2935">
        <v>6198</v>
      </c>
      <c r="F2935" t="s">
        <v>5605</v>
      </c>
      <c r="G2935" t="s">
        <v>5604</v>
      </c>
    </row>
    <row r="2936" spans="1:7" x14ac:dyDescent="0.25">
      <c r="A2936">
        <v>6199</v>
      </c>
      <c r="F2936" t="s">
        <v>5603</v>
      </c>
      <c r="G2936" t="s">
        <v>5604</v>
      </c>
    </row>
    <row r="2937" spans="1:7" x14ac:dyDescent="0.25">
      <c r="A2937">
        <v>6199</v>
      </c>
      <c r="F2937" t="s">
        <v>53</v>
      </c>
      <c r="G2937" t="s">
        <v>5604</v>
      </c>
    </row>
    <row r="2938" spans="1:7" x14ac:dyDescent="0.25">
      <c r="A2938">
        <v>6199</v>
      </c>
      <c r="F2938" t="s">
        <v>55</v>
      </c>
      <c r="G2938" t="s">
        <v>5604</v>
      </c>
    </row>
    <row r="2939" spans="1:7" x14ac:dyDescent="0.25">
      <c r="A2939">
        <v>6199</v>
      </c>
      <c r="F2939" t="s">
        <v>5605</v>
      </c>
      <c r="G2939" t="s">
        <v>5604</v>
      </c>
    </row>
    <row r="2940" spans="1:7" x14ac:dyDescent="0.25">
      <c r="A2940">
        <v>6200</v>
      </c>
      <c r="F2940" t="s">
        <v>5603</v>
      </c>
      <c r="G2940" t="s">
        <v>5604</v>
      </c>
    </row>
    <row r="2941" spans="1:7" x14ac:dyDescent="0.25">
      <c r="A2941">
        <v>6200</v>
      </c>
      <c r="F2941" t="s">
        <v>53</v>
      </c>
      <c r="G2941" t="s">
        <v>5604</v>
      </c>
    </row>
    <row r="2942" spans="1:7" x14ac:dyDescent="0.25">
      <c r="A2942">
        <v>6200</v>
      </c>
      <c r="F2942" t="s">
        <v>55</v>
      </c>
      <c r="G2942" t="s">
        <v>5604</v>
      </c>
    </row>
    <row r="2943" spans="1:7" x14ac:dyDescent="0.25">
      <c r="A2943">
        <v>6200</v>
      </c>
      <c r="F2943" t="s">
        <v>5605</v>
      </c>
      <c r="G2943" t="s">
        <v>5604</v>
      </c>
    </row>
    <row r="2944" spans="1:7" x14ac:dyDescent="0.25">
      <c r="A2944">
        <v>6201</v>
      </c>
      <c r="F2944" t="s">
        <v>5603</v>
      </c>
      <c r="G2944" t="s">
        <v>5604</v>
      </c>
    </row>
    <row r="2945" spans="1:7" x14ac:dyDescent="0.25">
      <c r="A2945">
        <v>6201</v>
      </c>
      <c r="F2945" t="s">
        <v>53</v>
      </c>
      <c r="G2945" t="s">
        <v>5604</v>
      </c>
    </row>
    <row r="2946" spans="1:7" x14ac:dyDescent="0.25">
      <c r="A2946">
        <v>6201</v>
      </c>
      <c r="F2946" t="s">
        <v>55</v>
      </c>
      <c r="G2946" t="s">
        <v>5604</v>
      </c>
    </row>
    <row r="2947" spans="1:7" x14ac:dyDescent="0.25">
      <c r="A2947">
        <v>6201</v>
      </c>
      <c r="F2947" t="s">
        <v>5605</v>
      </c>
      <c r="G2947" t="s">
        <v>5604</v>
      </c>
    </row>
    <row r="2948" spans="1:7" x14ac:dyDescent="0.25">
      <c r="A2948">
        <v>6202</v>
      </c>
      <c r="F2948" t="s">
        <v>5603</v>
      </c>
      <c r="G2948" t="s">
        <v>5604</v>
      </c>
    </row>
    <row r="2949" spans="1:7" x14ac:dyDescent="0.25">
      <c r="A2949">
        <v>6202</v>
      </c>
      <c r="F2949" t="s">
        <v>53</v>
      </c>
      <c r="G2949" t="s">
        <v>5604</v>
      </c>
    </row>
    <row r="2950" spans="1:7" x14ac:dyDescent="0.25">
      <c r="A2950">
        <v>6202</v>
      </c>
      <c r="F2950" t="s">
        <v>55</v>
      </c>
      <c r="G2950" t="s">
        <v>5604</v>
      </c>
    </row>
    <row r="2951" spans="1:7" x14ac:dyDescent="0.25">
      <c r="A2951">
        <v>6202</v>
      </c>
      <c r="F2951" t="s">
        <v>5605</v>
      </c>
      <c r="G2951" t="s">
        <v>5604</v>
      </c>
    </row>
    <row r="2952" spans="1:7" x14ac:dyDescent="0.25">
      <c r="A2952">
        <v>6203</v>
      </c>
      <c r="F2952" t="s">
        <v>5603</v>
      </c>
      <c r="G2952" t="s">
        <v>5604</v>
      </c>
    </row>
    <row r="2953" spans="1:7" x14ac:dyDescent="0.25">
      <c r="A2953">
        <v>6203</v>
      </c>
      <c r="F2953" t="s">
        <v>53</v>
      </c>
      <c r="G2953" t="s">
        <v>5604</v>
      </c>
    </row>
    <row r="2954" spans="1:7" x14ac:dyDescent="0.25">
      <c r="A2954">
        <v>6203</v>
      </c>
      <c r="F2954" t="s">
        <v>55</v>
      </c>
      <c r="G2954" t="s">
        <v>5604</v>
      </c>
    </row>
    <row r="2955" spans="1:7" x14ac:dyDescent="0.25">
      <c r="A2955">
        <v>6203</v>
      </c>
      <c r="F2955" t="s">
        <v>5605</v>
      </c>
      <c r="G2955" t="s">
        <v>5604</v>
      </c>
    </row>
    <row r="2956" spans="1:7" x14ac:dyDescent="0.25">
      <c r="A2956">
        <v>6204</v>
      </c>
      <c r="F2956" t="s">
        <v>5603</v>
      </c>
      <c r="G2956" t="s">
        <v>5604</v>
      </c>
    </row>
    <row r="2957" spans="1:7" x14ac:dyDescent="0.25">
      <c r="A2957">
        <v>6204</v>
      </c>
      <c r="F2957" t="s">
        <v>53</v>
      </c>
      <c r="G2957" t="s">
        <v>5604</v>
      </c>
    </row>
    <row r="2958" spans="1:7" x14ac:dyDescent="0.25">
      <c r="A2958">
        <v>6204</v>
      </c>
      <c r="F2958" t="s">
        <v>55</v>
      </c>
      <c r="G2958" t="s">
        <v>5604</v>
      </c>
    </row>
    <row r="2959" spans="1:7" x14ac:dyDescent="0.25">
      <c r="A2959">
        <v>6204</v>
      </c>
      <c r="F2959" t="s">
        <v>5605</v>
      </c>
      <c r="G2959" t="s">
        <v>5604</v>
      </c>
    </row>
    <row r="2960" spans="1:7" x14ac:dyDescent="0.25">
      <c r="A2960">
        <v>6205</v>
      </c>
      <c r="F2960" t="s">
        <v>5603</v>
      </c>
      <c r="G2960" t="s">
        <v>5604</v>
      </c>
    </row>
    <row r="2961" spans="1:7" x14ac:dyDescent="0.25">
      <c r="A2961">
        <v>6205</v>
      </c>
      <c r="F2961" t="s">
        <v>53</v>
      </c>
      <c r="G2961" t="s">
        <v>5604</v>
      </c>
    </row>
    <row r="2962" spans="1:7" x14ac:dyDescent="0.25">
      <c r="A2962">
        <v>6205</v>
      </c>
      <c r="F2962" t="s">
        <v>55</v>
      </c>
      <c r="G2962" t="s">
        <v>5604</v>
      </c>
    </row>
    <row r="2963" spans="1:7" x14ac:dyDescent="0.25">
      <c r="A2963">
        <v>6205</v>
      </c>
      <c r="F2963" t="s">
        <v>5605</v>
      </c>
      <c r="G2963" t="s">
        <v>5604</v>
      </c>
    </row>
    <row r="2964" spans="1:7" x14ac:dyDescent="0.25">
      <c r="A2964">
        <v>6206</v>
      </c>
      <c r="F2964" t="s">
        <v>5603</v>
      </c>
      <c r="G2964" t="s">
        <v>5604</v>
      </c>
    </row>
    <row r="2965" spans="1:7" x14ac:dyDescent="0.25">
      <c r="A2965">
        <v>6206</v>
      </c>
      <c r="F2965" t="s">
        <v>53</v>
      </c>
      <c r="G2965" t="s">
        <v>5604</v>
      </c>
    </row>
    <row r="2966" spans="1:7" x14ac:dyDescent="0.25">
      <c r="A2966">
        <v>6206</v>
      </c>
      <c r="F2966" t="s">
        <v>55</v>
      </c>
      <c r="G2966" t="s">
        <v>5604</v>
      </c>
    </row>
    <row r="2967" spans="1:7" x14ac:dyDescent="0.25">
      <c r="A2967">
        <v>6206</v>
      </c>
      <c r="F2967" t="s">
        <v>5605</v>
      </c>
      <c r="G2967" t="s">
        <v>5604</v>
      </c>
    </row>
    <row r="2968" spans="1:7" x14ac:dyDescent="0.25">
      <c r="A2968">
        <v>6207</v>
      </c>
      <c r="F2968" t="s">
        <v>5603</v>
      </c>
      <c r="G2968" t="s">
        <v>5604</v>
      </c>
    </row>
    <row r="2969" spans="1:7" x14ac:dyDescent="0.25">
      <c r="A2969">
        <v>6207</v>
      </c>
      <c r="F2969" t="s">
        <v>53</v>
      </c>
      <c r="G2969" t="s">
        <v>5604</v>
      </c>
    </row>
    <row r="2970" spans="1:7" x14ac:dyDescent="0.25">
      <c r="A2970">
        <v>6207</v>
      </c>
      <c r="F2970" t="s">
        <v>55</v>
      </c>
      <c r="G2970" t="s">
        <v>5604</v>
      </c>
    </row>
    <row r="2971" spans="1:7" x14ac:dyDescent="0.25">
      <c r="A2971">
        <v>6207</v>
      </c>
      <c r="F2971" t="s">
        <v>5605</v>
      </c>
      <c r="G2971" t="s">
        <v>5604</v>
      </c>
    </row>
    <row r="2972" spans="1:7" x14ac:dyDescent="0.25">
      <c r="A2972">
        <v>6208</v>
      </c>
      <c r="F2972" t="s">
        <v>5603</v>
      </c>
      <c r="G2972" t="s">
        <v>5604</v>
      </c>
    </row>
    <row r="2973" spans="1:7" x14ac:dyDescent="0.25">
      <c r="A2973">
        <v>6208</v>
      </c>
      <c r="F2973" t="s">
        <v>53</v>
      </c>
      <c r="G2973" t="s">
        <v>5604</v>
      </c>
    </row>
    <row r="2974" spans="1:7" x14ac:dyDescent="0.25">
      <c r="A2974">
        <v>6208</v>
      </c>
      <c r="F2974" t="s">
        <v>55</v>
      </c>
      <c r="G2974" t="s">
        <v>5604</v>
      </c>
    </row>
    <row r="2975" spans="1:7" x14ac:dyDescent="0.25">
      <c r="A2975">
        <v>6208</v>
      </c>
      <c r="F2975" t="s">
        <v>5605</v>
      </c>
      <c r="G2975" t="s">
        <v>5604</v>
      </c>
    </row>
    <row r="2976" spans="1:7" x14ac:dyDescent="0.25">
      <c r="A2976">
        <v>6209</v>
      </c>
      <c r="F2976" t="s">
        <v>5603</v>
      </c>
      <c r="G2976" t="s">
        <v>5604</v>
      </c>
    </row>
    <row r="2977" spans="1:7" x14ac:dyDescent="0.25">
      <c r="A2977">
        <v>6209</v>
      </c>
      <c r="F2977" t="s">
        <v>53</v>
      </c>
      <c r="G2977" t="s">
        <v>5604</v>
      </c>
    </row>
    <row r="2978" spans="1:7" x14ac:dyDescent="0.25">
      <c r="A2978">
        <v>6209</v>
      </c>
      <c r="F2978" t="s">
        <v>55</v>
      </c>
      <c r="G2978" t="s">
        <v>5604</v>
      </c>
    </row>
    <row r="2979" spans="1:7" x14ac:dyDescent="0.25">
      <c r="A2979">
        <v>6209</v>
      </c>
      <c r="F2979" t="s">
        <v>5605</v>
      </c>
      <c r="G2979" t="s">
        <v>5604</v>
      </c>
    </row>
    <row r="2980" spans="1:7" x14ac:dyDescent="0.25">
      <c r="A2980">
        <v>6210</v>
      </c>
      <c r="F2980" t="s">
        <v>5603</v>
      </c>
      <c r="G2980" t="s">
        <v>5604</v>
      </c>
    </row>
    <row r="2981" spans="1:7" x14ac:dyDescent="0.25">
      <c r="A2981">
        <v>6210</v>
      </c>
      <c r="F2981" t="s">
        <v>53</v>
      </c>
      <c r="G2981" t="s">
        <v>5604</v>
      </c>
    </row>
    <row r="2982" spans="1:7" x14ac:dyDescent="0.25">
      <c r="A2982">
        <v>6210</v>
      </c>
      <c r="F2982" t="s">
        <v>55</v>
      </c>
      <c r="G2982" t="s">
        <v>5604</v>
      </c>
    </row>
    <row r="2983" spans="1:7" x14ac:dyDescent="0.25">
      <c r="A2983">
        <v>6210</v>
      </c>
      <c r="F2983" t="s">
        <v>5605</v>
      </c>
      <c r="G2983" t="s">
        <v>5604</v>
      </c>
    </row>
    <row r="2984" spans="1:7" x14ac:dyDescent="0.25">
      <c r="A2984">
        <v>6211</v>
      </c>
      <c r="F2984" t="s">
        <v>5603</v>
      </c>
      <c r="G2984" t="s">
        <v>5604</v>
      </c>
    </row>
    <row r="2985" spans="1:7" x14ac:dyDescent="0.25">
      <c r="A2985">
        <v>6211</v>
      </c>
      <c r="F2985" t="s">
        <v>53</v>
      </c>
      <c r="G2985" t="s">
        <v>5604</v>
      </c>
    </row>
    <row r="2986" spans="1:7" x14ac:dyDescent="0.25">
      <c r="A2986">
        <v>6211</v>
      </c>
      <c r="F2986" t="s">
        <v>55</v>
      </c>
      <c r="G2986" t="s">
        <v>5604</v>
      </c>
    </row>
    <row r="2987" spans="1:7" x14ac:dyDescent="0.25">
      <c r="A2987">
        <v>6211</v>
      </c>
      <c r="F2987" t="s">
        <v>5605</v>
      </c>
      <c r="G2987" t="s">
        <v>5604</v>
      </c>
    </row>
    <row r="2988" spans="1:7" x14ac:dyDescent="0.25">
      <c r="A2988">
        <v>6212</v>
      </c>
      <c r="F2988" t="s">
        <v>5603</v>
      </c>
      <c r="G2988" t="s">
        <v>5604</v>
      </c>
    </row>
    <row r="2989" spans="1:7" x14ac:dyDescent="0.25">
      <c r="A2989">
        <v>6212</v>
      </c>
      <c r="F2989" t="s">
        <v>53</v>
      </c>
      <c r="G2989" t="s">
        <v>5604</v>
      </c>
    </row>
    <row r="2990" spans="1:7" x14ac:dyDescent="0.25">
      <c r="A2990">
        <v>6212</v>
      </c>
      <c r="F2990" t="s">
        <v>55</v>
      </c>
      <c r="G2990" t="s">
        <v>5604</v>
      </c>
    </row>
    <row r="2991" spans="1:7" x14ac:dyDescent="0.25">
      <c r="A2991">
        <v>6212</v>
      </c>
      <c r="F2991" t="s">
        <v>5605</v>
      </c>
      <c r="G2991" t="s">
        <v>5604</v>
      </c>
    </row>
    <row r="2992" spans="1:7" x14ac:dyDescent="0.25">
      <c r="A2992">
        <v>6213</v>
      </c>
      <c r="F2992" t="s">
        <v>5603</v>
      </c>
      <c r="G2992" t="s">
        <v>5604</v>
      </c>
    </row>
    <row r="2993" spans="1:7" x14ac:dyDescent="0.25">
      <c r="A2993">
        <v>6213</v>
      </c>
      <c r="F2993" t="s">
        <v>53</v>
      </c>
      <c r="G2993" t="s">
        <v>5604</v>
      </c>
    </row>
    <row r="2994" spans="1:7" x14ac:dyDescent="0.25">
      <c r="A2994">
        <v>6213</v>
      </c>
      <c r="F2994" t="s">
        <v>55</v>
      </c>
      <c r="G2994" t="s">
        <v>5604</v>
      </c>
    </row>
    <row r="2995" spans="1:7" x14ac:dyDescent="0.25">
      <c r="A2995">
        <v>6213</v>
      </c>
      <c r="F2995" t="s">
        <v>5605</v>
      </c>
      <c r="G2995" t="s">
        <v>5604</v>
      </c>
    </row>
    <row r="2996" spans="1:7" x14ac:dyDescent="0.25">
      <c r="A2996">
        <v>6214</v>
      </c>
      <c r="F2996" t="s">
        <v>5603</v>
      </c>
      <c r="G2996" t="s">
        <v>5604</v>
      </c>
    </row>
    <row r="2997" spans="1:7" x14ac:dyDescent="0.25">
      <c r="A2997">
        <v>6214</v>
      </c>
      <c r="F2997" t="s">
        <v>53</v>
      </c>
      <c r="G2997" t="s">
        <v>5604</v>
      </c>
    </row>
    <row r="2998" spans="1:7" x14ac:dyDescent="0.25">
      <c r="A2998">
        <v>6214</v>
      </c>
      <c r="F2998" t="s">
        <v>55</v>
      </c>
      <c r="G2998" t="s">
        <v>5604</v>
      </c>
    </row>
    <row r="2999" spans="1:7" x14ac:dyDescent="0.25">
      <c r="A2999">
        <v>6214</v>
      </c>
      <c r="F2999" t="s">
        <v>5605</v>
      </c>
      <c r="G2999" t="s">
        <v>5604</v>
      </c>
    </row>
    <row r="3000" spans="1:7" x14ac:dyDescent="0.25">
      <c r="A3000">
        <v>6215</v>
      </c>
      <c r="F3000" t="s">
        <v>5603</v>
      </c>
      <c r="G3000" t="s">
        <v>5604</v>
      </c>
    </row>
    <row r="3001" spans="1:7" x14ac:dyDescent="0.25">
      <c r="A3001">
        <v>6215</v>
      </c>
      <c r="F3001" t="s">
        <v>53</v>
      </c>
      <c r="G3001" t="s">
        <v>5604</v>
      </c>
    </row>
    <row r="3002" spans="1:7" x14ac:dyDescent="0.25">
      <c r="A3002">
        <v>6215</v>
      </c>
      <c r="F3002" t="s">
        <v>55</v>
      </c>
      <c r="G3002" t="s">
        <v>5604</v>
      </c>
    </row>
    <row r="3003" spans="1:7" x14ac:dyDescent="0.25">
      <c r="A3003">
        <v>6215</v>
      </c>
      <c r="F3003" t="s">
        <v>5605</v>
      </c>
      <c r="G3003" t="s">
        <v>5604</v>
      </c>
    </row>
    <row r="3004" spans="1:7" x14ac:dyDescent="0.25">
      <c r="A3004">
        <v>6216</v>
      </c>
      <c r="F3004" t="s">
        <v>5603</v>
      </c>
      <c r="G3004" t="s">
        <v>5604</v>
      </c>
    </row>
    <row r="3005" spans="1:7" x14ac:dyDescent="0.25">
      <c r="A3005">
        <v>6216</v>
      </c>
      <c r="F3005" t="s">
        <v>53</v>
      </c>
      <c r="G3005" t="s">
        <v>5604</v>
      </c>
    </row>
    <row r="3006" spans="1:7" x14ac:dyDescent="0.25">
      <c r="A3006">
        <v>6216</v>
      </c>
      <c r="F3006" t="s">
        <v>55</v>
      </c>
      <c r="G3006" t="s">
        <v>5604</v>
      </c>
    </row>
    <row r="3007" spans="1:7" x14ac:dyDescent="0.25">
      <c r="A3007">
        <v>6216</v>
      </c>
      <c r="F3007" t="s">
        <v>5605</v>
      </c>
      <c r="G3007" t="s">
        <v>5604</v>
      </c>
    </row>
    <row r="3008" spans="1:7" x14ac:dyDescent="0.25">
      <c r="A3008">
        <v>6217</v>
      </c>
      <c r="F3008" t="s">
        <v>5603</v>
      </c>
      <c r="G3008" t="s">
        <v>5604</v>
      </c>
    </row>
    <row r="3009" spans="1:7" x14ac:dyDescent="0.25">
      <c r="A3009">
        <v>6217</v>
      </c>
      <c r="F3009" t="s">
        <v>53</v>
      </c>
      <c r="G3009" t="s">
        <v>5604</v>
      </c>
    </row>
    <row r="3010" spans="1:7" x14ac:dyDescent="0.25">
      <c r="A3010">
        <v>6217</v>
      </c>
      <c r="F3010" t="s">
        <v>55</v>
      </c>
      <c r="G3010" t="s">
        <v>5604</v>
      </c>
    </row>
    <row r="3011" spans="1:7" x14ac:dyDescent="0.25">
      <c r="A3011">
        <v>6217</v>
      </c>
      <c r="F3011" t="s">
        <v>5605</v>
      </c>
      <c r="G3011" t="s">
        <v>5604</v>
      </c>
    </row>
    <row r="3012" spans="1:7" x14ac:dyDescent="0.25">
      <c r="A3012">
        <v>6218</v>
      </c>
      <c r="F3012" t="s">
        <v>5603</v>
      </c>
      <c r="G3012" t="s">
        <v>5604</v>
      </c>
    </row>
    <row r="3013" spans="1:7" x14ac:dyDescent="0.25">
      <c r="A3013">
        <v>6218</v>
      </c>
      <c r="F3013" t="s">
        <v>53</v>
      </c>
      <c r="G3013" t="s">
        <v>5604</v>
      </c>
    </row>
    <row r="3014" spans="1:7" x14ac:dyDescent="0.25">
      <c r="A3014">
        <v>6218</v>
      </c>
      <c r="F3014" t="s">
        <v>55</v>
      </c>
      <c r="G3014" t="s">
        <v>5604</v>
      </c>
    </row>
    <row r="3015" spans="1:7" x14ac:dyDescent="0.25">
      <c r="A3015">
        <v>6218</v>
      </c>
      <c r="F3015" t="s">
        <v>5605</v>
      </c>
      <c r="G3015" t="s">
        <v>5604</v>
      </c>
    </row>
    <row r="3016" spans="1:7" x14ac:dyDescent="0.25">
      <c r="A3016">
        <v>6219</v>
      </c>
      <c r="F3016" t="s">
        <v>5603</v>
      </c>
      <c r="G3016" t="s">
        <v>5604</v>
      </c>
    </row>
    <row r="3017" spans="1:7" x14ac:dyDescent="0.25">
      <c r="A3017">
        <v>6219</v>
      </c>
      <c r="F3017" t="s">
        <v>53</v>
      </c>
      <c r="G3017" t="s">
        <v>5604</v>
      </c>
    </row>
    <row r="3018" spans="1:7" x14ac:dyDescent="0.25">
      <c r="A3018">
        <v>6219</v>
      </c>
      <c r="F3018" t="s">
        <v>55</v>
      </c>
      <c r="G3018" t="s">
        <v>5604</v>
      </c>
    </row>
    <row r="3019" spans="1:7" x14ac:dyDescent="0.25">
      <c r="A3019">
        <v>6219</v>
      </c>
      <c r="F3019" t="s">
        <v>5605</v>
      </c>
      <c r="G3019" t="s">
        <v>5604</v>
      </c>
    </row>
    <row r="3020" spans="1:7" x14ac:dyDescent="0.25">
      <c r="A3020">
        <v>6220</v>
      </c>
      <c r="F3020" t="s">
        <v>5603</v>
      </c>
      <c r="G3020" t="s">
        <v>5604</v>
      </c>
    </row>
    <row r="3021" spans="1:7" x14ac:dyDescent="0.25">
      <c r="A3021">
        <v>6220</v>
      </c>
      <c r="F3021" t="s">
        <v>53</v>
      </c>
      <c r="G3021" t="s">
        <v>5604</v>
      </c>
    </row>
    <row r="3022" spans="1:7" x14ac:dyDescent="0.25">
      <c r="A3022">
        <v>6220</v>
      </c>
      <c r="F3022" t="s">
        <v>55</v>
      </c>
      <c r="G3022" t="s">
        <v>5604</v>
      </c>
    </row>
    <row r="3023" spans="1:7" x14ac:dyDescent="0.25">
      <c r="A3023">
        <v>6220</v>
      </c>
      <c r="F3023" t="s">
        <v>5605</v>
      </c>
      <c r="G3023" t="s">
        <v>5604</v>
      </c>
    </row>
    <row r="3024" spans="1:7" x14ac:dyDescent="0.25">
      <c r="A3024">
        <v>6221</v>
      </c>
      <c r="F3024" t="s">
        <v>5603</v>
      </c>
      <c r="G3024" t="s">
        <v>5604</v>
      </c>
    </row>
    <row r="3025" spans="1:7" x14ac:dyDescent="0.25">
      <c r="A3025">
        <v>6221</v>
      </c>
      <c r="F3025" t="s">
        <v>53</v>
      </c>
      <c r="G3025" t="s">
        <v>5604</v>
      </c>
    </row>
    <row r="3026" spans="1:7" x14ac:dyDescent="0.25">
      <c r="A3026">
        <v>6221</v>
      </c>
      <c r="F3026" t="s">
        <v>55</v>
      </c>
      <c r="G3026" t="s">
        <v>5604</v>
      </c>
    </row>
    <row r="3027" spans="1:7" x14ac:dyDescent="0.25">
      <c r="A3027">
        <v>6221</v>
      </c>
      <c r="F3027" t="s">
        <v>5605</v>
      </c>
      <c r="G3027" t="s">
        <v>5604</v>
      </c>
    </row>
    <row r="3028" spans="1:7" x14ac:dyDescent="0.25">
      <c r="A3028">
        <v>6222</v>
      </c>
      <c r="F3028" t="s">
        <v>5603</v>
      </c>
      <c r="G3028" t="s">
        <v>5604</v>
      </c>
    </row>
    <row r="3029" spans="1:7" x14ac:dyDescent="0.25">
      <c r="A3029">
        <v>6222</v>
      </c>
      <c r="F3029" t="s">
        <v>53</v>
      </c>
      <c r="G3029" t="s">
        <v>5604</v>
      </c>
    </row>
    <row r="3030" spans="1:7" x14ac:dyDescent="0.25">
      <c r="A3030">
        <v>6222</v>
      </c>
      <c r="F3030" t="s">
        <v>55</v>
      </c>
      <c r="G3030" t="s">
        <v>5604</v>
      </c>
    </row>
    <row r="3031" spans="1:7" x14ac:dyDescent="0.25">
      <c r="A3031">
        <v>6222</v>
      </c>
      <c r="F3031" t="s">
        <v>5605</v>
      </c>
      <c r="G3031" t="s">
        <v>5604</v>
      </c>
    </row>
    <row r="3032" spans="1:7" x14ac:dyDescent="0.25">
      <c r="A3032">
        <v>6223</v>
      </c>
      <c r="F3032" t="s">
        <v>5603</v>
      </c>
      <c r="G3032" t="s">
        <v>5604</v>
      </c>
    </row>
    <row r="3033" spans="1:7" x14ac:dyDescent="0.25">
      <c r="A3033">
        <v>6223</v>
      </c>
      <c r="F3033" t="s">
        <v>53</v>
      </c>
      <c r="G3033" t="s">
        <v>5604</v>
      </c>
    </row>
    <row r="3034" spans="1:7" x14ac:dyDescent="0.25">
      <c r="A3034">
        <v>6223</v>
      </c>
      <c r="F3034" t="s">
        <v>55</v>
      </c>
      <c r="G3034" t="s">
        <v>5604</v>
      </c>
    </row>
    <row r="3035" spans="1:7" x14ac:dyDescent="0.25">
      <c r="A3035">
        <v>6223</v>
      </c>
      <c r="F3035" t="s">
        <v>5605</v>
      </c>
      <c r="G3035" t="s">
        <v>5604</v>
      </c>
    </row>
    <row r="3036" spans="1:7" x14ac:dyDescent="0.25">
      <c r="A3036">
        <v>6224</v>
      </c>
      <c r="F3036" t="s">
        <v>5603</v>
      </c>
      <c r="G3036" t="s">
        <v>5604</v>
      </c>
    </row>
    <row r="3037" spans="1:7" x14ac:dyDescent="0.25">
      <c r="A3037">
        <v>6224</v>
      </c>
      <c r="F3037" t="s">
        <v>53</v>
      </c>
      <c r="G3037" t="s">
        <v>5604</v>
      </c>
    </row>
    <row r="3038" spans="1:7" x14ac:dyDescent="0.25">
      <c r="A3038">
        <v>6224</v>
      </c>
      <c r="F3038" t="s">
        <v>55</v>
      </c>
      <c r="G3038" t="s">
        <v>5604</v>
      </c>
    </row>
    <row r="3039" spans="1:7" x14ac:dyDescent="0.25">
      <c r="A3039">
        <v>6224</v>
      </c>
      <c r="F3039" t="s">
        <v>5605</v>
      </c>
      <c r="G3039" t="s">
        <v>5604</v>
      </c>
    </row>
    <row r="3040" spans="1:7" x14ac:dyDescent="0.25">
      <c r="A3040">
        <v>6225</v>
      </c>
      <c r="F3040" t="s">
        <v>5603</v>
      </c>
      <c r="G3040" t="s">
        <v>5604</v>
      </c>
    </row>
    <row r="3041" spans="1:7" x14ac:dyDescent="0.25">
      <c r="A3041">
        <v>6225</v>
      </c>
      <c r="F3041" t="s">
        <v>53</v>
      </c>
      <c r="G3041" t="s">
        <v>5604</v>
      </c>
    </row>
    <row r="3042" spans="1:7" x14ac:dyDescent="0.25">
      <c r="A3042">
        <v>6225</v>
      </c>
      <c r="F3042" t="s">
        <v>55</v>
      </c>
      <c r="G3042" t="s">
        <v>5604</v>
      </c>
    </row>
    <row r="3043" spans="1:7" x14ac:dyDescent="0.25">
      <c r="A3043">
        <v>6225</v>
      </c>
      <c r="F3043" t="s">
        <v>5605</v>
      </c>
      <c r="G3043" t="s">
        <v>5604</v>
      </c>
    </row>
    <row r="3044" spans="1:7" x14ac:dyDescent="0.25">
      <c r="A3044">
        <v>6226</v>
      </c>
      <c r="F3044" t="s">
        <v>5603</v>
      </c>
      <c r="G3044" t="s">
        <v>5604</v>
      </c>
    </row>
    <row r="3045" spans="1:7" x14ac:dyDescent="0.25">
      <c r="A3045">
        <v>6226</v>
      </c>
      <c r="F3045" t="s">
        <v>53</v>
      </c>
      <c r="G3045" t="s">
        <v>5604</v>
      </c>
    </row>
    <row r="3046" spans="1:7" x14ac:dyDescent="0.25">
      <c r="A3046">
        <v>6226</v>
      </c>
      <c r="F3046" t="s">
        <v>55</v>
      </c>
      <c r="G3046" t="s">
        <v>5604</v>
      </c>
    </row>
    <row r="3047" spans="1:7" x14ac:dyDescent="0.25">
      <c r="A3047">
        <v>6226</v>
      </c>
      <c r="F3047" t="s">
        <v>5605</v>
      </c>
      <c r="G3047" t="s">
        <v>5604</v>
      </c>
    </row>
    <row r="3048" spans="1:7" x14ac:dyDescent="0.25">
      <c r="A3048">
        <v>6227</v>
      </c>
      <c r="F3048" t="s">
        <v>5603</v>
      </c>
      <c r="G3048" t="s">
        <v>5604</v>
      </c>
    </row>
    <row r="3049" spans="1:7" x14ac:dyDescent="0.25">
      <c r="A3049">
        <v>6227</v>
      </c>
      <c r="F3049" t="s">
        <v>53</v>
      </c>
      <c r="G3049" t="s">
        <v>5604</v>
      </c>
    </row>
    <row r="3050" spans="1:7" x14ac:dyDescent="0.25">
      <c r="A3050">
        <v>6227</v>
      </c>
      <c r="F3050" t="s">
        <v>55</v>
      </c>
      <c r="G3050" t="s">
        <v>5604</v>
      </c>
    </row>
    <row r="3051" spans="1:7" x14ac:dyDescent="0.25">
      <c r="A3051">
        <v>6227</v>
      </c>
      <c r="F3051" t="s">
        <v>5605</v>
      </c>
      <c r="G3051" t="s">
        <v>5604</v>
      </c>
    </row>
    <row r="3052" spans="1:7" x14ac:dyDescent="0.25">
      <c r="A3052">
        <v>6228</v>
      </c>
      <c r="F3052" t="s">
        <v>5603</v>
      </c>
      <c r="G3052" t="s">
        <v>5604</v>
      </c>
    </row>
    <row r="3053" spans="1:7" x14ac:dyDescent="0.25">
      <c r="A3053">
        <v>6228</v>
      </c>
      <c r="F3053" t="s">
        <v>53</v>
      </c>
      <c r="G3053" t="s">
        <v>5604</v>
      </c>
    </row>
    <row r="3054" spans="1:7" x14ac:dyDescent="0.25">
      <c r="A3054">
        <v>6228</v>
      </c>
      <c r="F3054" t="s">
        <v>55</v>
      </c>
      <c r="G3054" t="s">
        <v>5604</v>
      </c>
    </row>
    <row r="3055" spans="1:7" x14ac:dyDescent="0.25">
      <c r="A3055">
        <v>6228</v>
      </c>
      <c r="F3055" t="s">
        <v>5605</v>
      </c>
      <c r="G3055" t="s">
        <v>5604</v>
      </c>
    </row>
    <row r="3056" spans="1:7" x14ac:dyDescent="0.25">
      <c r="A3056">
        <v>6229</v>
      </c>
      <c r="F3056" t="s">
        <v>5603</v>
      </c>
      <c r="G3056" t="s">
        <v>5604</v>
      </c>
    </row>
    <row r="3057" spans="1:7" x14ac:dyDescent="0.25">
      <c r="A3057">
        <v>6229</v>
      </c>
      <c r="F3057" t="s">
        <v>53</v>
      </c>
      <c r="G3057" t="s">
        <v>5604</v>
      </c>
    </row>
    <row r="3058" spans="1:7" x14ac:dyDescent="0.25">
      <c r="A3058">
        <v>6229</v>
      </c>
      <c r="F3058" t="s">
        <v>55</v>
      </c>
      <c r="G3058" t="s">
        <v>5604</v>
      </c>
    </row>
    <row r="3059" spans="1:7" x14ac:dyDescent="0.25">
      <c r="A3059">
        <v>6229</v>
      </c>
      <c r="F3059" t="s">
        <v>5605</v>
      </c>
      <c r="G3059" t="s">
        <v>5604</v>
      </c>
    </row>
    <row r="3060" spans="1:7" x14ac:dyDescent="0.25">
      <c r="A3060">
        <v>6230</v>
      </c>
      <c r="F3060" t="s">
        <v>5603</v>
      </c>
      <c r="G3060" t="s">
        <v>5604</v>
      </c>
    </row>
    <row r="3061" spans="1:7" x14ac:dyDescent="0.25">
      <c r="A3061">
        <v>6230</v>
      </c>
      <c r="F3061" t="s">
        <v>53</v>
      </c>
      <c r="G3061" t="s">
        <v>5604</v>
      </c>
    </row>
    <row r="3062" spans="1:7" x14ac:dyDescent="0.25">
      <c r="A3062">
        <v>6230</v>
      </c>
      <c r="F3062" t="s">
        <v>55</v>
      </c>
      <c r="G3062" t="s">
        <v>5604</v>
      </c>
    </row>
    <row r="3063" spans="1:7" x14ac:dyDescent="0.25">
      <c r="A3063">
        <v>6230</v>
      </c>
      <c r="F3063" t="s">
        <v>5605</v>
      </c>
      <c r="G3063" t="s">
        <v>5604</v>
      </c>
    </row>
    <row r="3064" spans="1:7" x14ac:dyDescent="0.25">
      <c r="A3064">
        <v>6231</v>
      </c>
      <c r="F3064" t="s">
        <v>5603</v>
      </c>
      <c r="G3064" t="s">
        <v>5604</v>
      </c>
    </row>
    <row r="3065" spans="1:7" x14ac:dyDescent="0.25">
      <c r="A3065">
        <v>6231</v>
      </c>
      <c r="F3065" t="s">
        <v>53</v>
      </c>
      <c r="G3065" t="s">
        <v>5604</v>
      </c>
    </row>
    <row r="3066" spans="1:7" x14ac:dyDescent="0.25">
      <c r="A3066">
        <v>6231</v>
      </c>
      <c r="F3066" t="s">
        <v>55</v>
      </c>
      <c r="G3066" t="s">
        <v>5604</v>
      </c>
    </row>
    <row r="3067" spans="1:7" x14ac:dyDescent="0.25">
      <c r="A3067">
        <v>6231</v>
      </c>
      <c r="F3067" t="s">
        <v>5605</v>
      </c>
      <c r="G3067" t="s">
        <v>5604</v>
      </c>
    </row>
    <row r="3068" spans="1:7" x14ac:dyDescent="0.25">
      <c r="A3068">
        <v>6232</v>
      </c>
      <c r="F3068" t="s">
        <v>5603</v>
      </c>
      <c r="G3068" t="s">
        <v>5604</v>
      </c>
    </row>
    <row r="3069" spans="1:7" x14ac:dyDescent="0.25">
      <c r="A3069">
        <v>6232</v>
      </c>
      <c r="F3069" t="s">
        <v>53</v>
      </c>
      <c r="G3069" t="s">
        <v>5604</v>
      </c>
    </row>
    <row r="3070" spans="1:7" x14ac:dyDescent="0.25">
      <c r="A3070">
        <v>6232</v>
      </c>
      <c r="F3070" t="s">
        <v>55</v>
      </c>
      <c r="G3070" t="s">
        <v>5604</v>
      </c>
    </row>
    <row r="3071" spans="1:7" x14ac:dyDescent="0.25">
      <c r="A3071">
        <v>6232</v>
      </c>
      <c r="F3071" t="s">
        <v>5605</v>
      </c>
      <c r="G3071" t="s">
        <v>5604</v>
      </c>
    </row>
    <row r="3072" spans="1:7" x14ac:dyDescent="0.25">
      <c r="A3072">
        <v>6233</v>
      </c>
      <c r="F3072" t="s">
        <v>5603</v>
      </c>
      <c r="G3072" t="s">
        <v>5604</v>
      </c>
    </row>
    <row r="3073" spans="1:7" x14ac:dyDescent="0.25">
      <c r="A3073">
        <v>6233</v>
      </c>
      <c r="F3073" t="s">
        <v>53</v>
      </c>
      <c r="G3073" t="s">
        <v>5604</v>
      </c>
    </row>
    <row r="3074" spans="1:7" x14ac:dyDescent="0.25">
      <c r="A3074">
        <v>6233</v>
      </c>
      <c r="F3074" t="s">
        <v>55</v>
      </c>
      <c r="G3074" t="s">
        <v>5604</v>
      </c>
    </row>
    <row r="3075" spans="1:7" x14ac:dyDescent="0.25">
      <c r="A3075">
        <v>6233</v>
      </c>
      <c r="F3075" t="s">
        <v>5605</v>
      </c>
      <c r="G3075" t="s">
        <v>5604</v>
      </c>
    </row>
    <row r="3076" spans="1:7" x14ac:dyDescent="0.25">
      <c r="A3076">
        <v>6234</v>
      </c>
      <c r="F3076" t="s">
        <v>5603</v>
      </c>
      <c r="G3076" t="s">
        <v>5604</v>
      </c>
    </row>
    <row r="3077" spans="1:7" x14ac:dyDescent="0.25">
      <c r="A3077">
        <v>6234</v>
      </c>
      <c r="F3077" t="s">
        <v>53</v>
      </c>
      <c r="G3077" t="s">
        <v>5604</v>
      </c>
    </row>
    <row r="3078" spans="1:7" x14ac:dyDescent="0.25">
      <c r="A3078">
        <v>6234</v>
      </c>
      <c r="F3078" t="s">
        <v>55</v>
      </c>
      <c r="G3078" t="s">
        <v>5604</v>
      </c>
    </row>
    <row r="3079" spans="1:7" x14ac:dyDescent="0.25">
      <c r="A3079">
        <v>6234</v>
      </c>
      <c r="F3079" t="s">
        <v>5605</v>
      </c>
      <c r="G3079" t="s">
        <v>5604</v>
      </c>
    </row>
    <row r="3080" spans="1:7" x14ac:dyDescent="0.25">
      <c r="A3080">
        <v>6235</v>
      </c>
      <c r="F3080" t="s">
        <v>5603</v>
      </c>
      <c r="G3080" t="s">
        <v>5604</v>
      </c>
    </row>
    <row r="3081" spans="1:7" x14ac:dyDescent="0.25">
      <c r="A3081">
        <v>6235</v>
      </c>
      <c r="F3081" t="s">
        <v>53</v>
      </c>
      <c r="G3081" t="s">
        <v>5604</v>
      </c>
    </row>
    <row r="3082" spans="1:7" x14ac:dyDescent="0.25">
      <c r="A3082">
        <v>6235</v>
      </c>
      <c r="F3082" t="s">
        <v>55</v>
      </c>
      <c r="G3082" t="s">
        <v>5604</v>
      </c>
    </row>
    <row r="3083" spans="1:7" x14ac:dyDescent="0.25">
      <c r="A3083">
        <v>6235</v>
      </c>
      <c r="F3083" t="s">
        <v>5605</v>
      </c>
      <c r="G3083" t="s">
        <v>5604</v>
      </c>
    </row>
    <row r="3084" spans="1:7" x14ac:dyDescent="0.25">
      <c r="A3084">
        <v>6236</v>
      </c>
      <c r="F3084" t="s">
        <v>5603</v>
      </c>
      <c r="G3084" t="s">
        <v>5604</v>
      </c>
    </row>
    <row r="3085" spans="1:7" x14ac:dyDescent="0.25">
      <c r="A3085">
        <v>6236</v>
      </c>
      <c r="F3085" t="s">
        <v>53</v>
      </c>
      <c r="G3085" t="s">
        <v>5604</v>
      </c>
    </row>
    <row r="3086" spans="1:7" x14ac:dyDescent="0.25">
      <c r="A3086">
        <v>6236</v>
      </c>
      <c r="F3086" t="s">
        <v>55</v>
      </c>
      <c r="G3086" t="s">
        <v>5604</v>
      </c>
    </row>
    <row r="3087" spans="1:7" x14ac:dyDescent="0.25">
      <c r="A3087">
        <v>6236</v>
      </c>
      <c r="F3087" t="s">
        <v>5605</v>
      </c>
      <c r="G3087" t="s">
        <v>5604</v>
      </c>
    </row>
    <row r="3088" spans="1:7" x14ac:dyDescent="0.25">
      <c r="A3088">
        <v>6237</v>
      </c>
      <c r="F3088" t="s">
        <v>5603</v>
      </c>
      <c r="G3088" t="s">
        <v>5604</v>
      </c>
    </row>
    <row r="3089" spans="1:7" x14ac:dyDescent="0.25">
      <c r="A3089">
        <v>6237</v>
      </c>
      <c r="F3089" t="s">
        <v>53</v>
      </c>
      <c r="G3089" t="s">
        <v>5604</v>
      </c>
    </row>
    <row r="3090" spans="1:7" x14ac:dyDescent="0.25">
      <c r="A3090">
        <v>6237</v>
      </c>
      <c r="F3090" t="s">
        <v>55</v>
      </c>
      <c r="G3090" t="s">
        <v>5604</v>
      </c>
    </row>
    <row r="3091" spans="1:7" x14ac:dyDescent="0.25">
      <c r="A3091">
        <v>6237</v>
      </c>
      <c r="F3091" t="s">
        <v>5605</v>
      </c>
      <c r="G3091" t="s">
        <v>5604</v>
      </c>
    </row>
    <row r="3092" spans="1:7" x14ac:dyDescent="0.25">
      <c r="A3092">
        <v>6238</v>
      </c>
      <c r="F3092" t="s">
        <v>5603</v>
      </c>
      <c r="G3092" t="s">
        <v>5604</v>
      </c>
    </row>
    <row r="3093" spans="1:7" x14ac:dyDescent="0.25">
      <c r="A3093">
        <v>6238</v>
      </c>
      <c r="F3093" t="s">
        <v>53</v>
      </c>
      <c r="G3093" t="s">
        <v>5604</v>
      </c>
    </row>
    <row r="3094" spans="1:7" x14ac:dyDescent="0.25">
      <c r="A3094">
        <v>6238</v>
      </c>
      <c r="F3094" t="s">
        <v>55</v>
      </c>
      <c r="G3094" t="s">
        <v>5604</v>
      </c>
    </row>
    <row r="3095" spans="1:7" x14ac:dyDescent="0.25">
      <c r="A3095">
        <v>6238</v>
      </c>
      <c r="F3095" t="s">
        <v>5605</v>
      </c>
      <c r="G3095" t="s">
        <v>5604</v>
      </c>
    </row>
    <row r="3096" spans="1:7" x14ac:dyDescent="0.25">
      <c r="A3096">
        <v>6239</v>
      </c>
      <c r="F3096" t="s">
        <v>5603</v>
      </c>
      <c r="G3096" t="s">
        <v>5604</v>
      </c>
    </row>
    <row r="3097" spans="1:7" x14ac:dyDescent="0.25">
      <c r="A3097">
        <v>6239</v>
      </c>
      <c r="F3097" t="s">
        <v>53</v>
      </c>
      <c r="G3097" t="s">
        <v>5604</v>
      </c>
    </row>
    <row r="3098" spans="1:7" x14ac:dyDescent="0.25">
      <c r="A3098">
        <v>6239</v>
      </c>
      <c r="F3098" t="s">
        <v>55</v>
      </c>
      <c r="G3098" t="s">
        <v>5604</v>
      </c>
    </row>
    <row r="3099" spans="1:7" x14ac:dyDescent="0.25">
      <c r="A3099">
        <v>6239</v>
      </c>
      <c r="F3099" t="s">
        <v>5605</v>
      </c>
      <c r="G3099" t="s">
        <v>5604</v>
      </c>
    </row>
    <row r="3100" spans="1:7" x14ac:dyDescent="0.25">
      <c r="A3100">
        <v>6240</v>
      </c>
      <c r="F3100" t="s">
        <v>5603</v>
      </c>
      <c r="G3100" t="s">
        <v>5604</v>
      </c>
    </row>
    <row r="3101" spans="1:7" x14ac:dyDescent="0.25">
      <c r="A3101">
        <v>6240</v>
      </c>
      <c r="F3101" t="s">
        <v>53</v>
      </c>
      <c r="G3101" t="s">
        <v>5604</v>
      </c>
    </row>
    <row r="3102" spans="1:7" x14ac:dyDescent="0.25">
      <c r="A3102">
        <v>6240</v>
      </c>
      <c r="F3102" t="s">
        <v>55</v>
      </c>
      <c r="G3102" t="s">
        <v>5604</v>
      </c>
    </row>
    <row r="3103" spans="1:7" x14ac:dyDescent="0.25">
      <c r="A3103">
        <v>6240</v>
      </c>
      <c r="F3103" t="s">
        <v>5605</v>
      </c>
      <c r="G3103" t="s">
        <v>5604</v>
      </c>
    </row>
    <row r="3104" spans="1:7" x14ac:dyDescent="0.25">
      <c r="A3104">
        <v>6241</v>
      </c>
      <c r="F3104" t="s">
        <v>5603</v>
      </c>
      <c r="G3104" t="s">
        <v>5604</v>
      </c>
    </row>
    <row r="3105" spans="1:7" x14ac:dyDescent="0.25">
      <c r="A3105">
        <v>6241</v>
      </c>
      <c r="F3105" t="s">
        <v>53</v>
      </c>
      <c r="G3105" t="s">
        <v>5604</v>
      </c>
    </row>
    <row r="3106" spans="1:7" x14ac:dyDescent="0.25">
      <c r="A3106">
        <v>6241</v>
      </c>
      <c r="F3106" t="s">
        <v>55</v>
      </c>
      <c r="G3106" t="s">
        <v>5604</v>
      </c>
    </row>
    <row r="3107" spans="1:7" x14ac:dyDescent="0.25">
      <c r="A3107">
        <v>6241</v>
      </c>
      <c r="F3107" t="s">
        <v>5605</v>
      </c>
      <c r="G3107" t="s">
        <v>5604</v>
      </c>
    </row>
    <row r="3108" spans="1:7" x14ac:dyDescent="0.25">
      <c r="A3108">
        <v>6242</v>
      </c>
      <c r="F3108" t="s">
        <v>5603</v>
      </c>
      <c r="G3108" t="s">
        <v>5604</v>
      </c>
    </row>
    <row r="3109" spans="1:7" x14ac:dyDescent="0.25">
      <c r="A3109">
        <v>6242</v>
      </c>
      <c r="F3109" t="s">
        <v>53</v>
      </c>
      <c r="G3109" t="s">
        <v>5604</v>
      </c>
    </row>
    <row r="3110" spans="1:7" x14ac:dyDescent="0.25">
      <c r="A3110">
        <v>6242</v>
      </c>
      <c r="F3110" t="s">
        <v>55</v>
      </c>
      <c r="G3110" t="s">
        <v>5604</v>
      </c>
    </row>
    <row r="3111" spans="1:7" x14ac:dyDescent="0.25">
      <c r="A3111">
        <v>6242</v>
      </c>
      <c r="F3111" t="s">
        <v>5605</v>
      </c>
      <c r="G3111" t="s">
        <v>5604</v>
      </c>
    </row>
    <row r="3112" spans="1:7" x14ac:dyDescent="0.25">
      <c r="A3112">
        <v>6243</v>
      </c>
      <c r="F3112" t="s">
        <v>5603</v>
      </c>
      <c r="G3112" t="s">
        <v>5604</v>
      </c>
    </row>
    <row r="3113" spans="1:7" x14ac:dyDescent="0.25">
      <c r="A3113">
        <v>6243</v>
      </c>
      <c r="F3113" t="s">
        <v>53</v>
      </c>
      <c r="G3113" t="s">
        <v>5604</v>
      </c>
    </row>
    <row r="3114" spans="1:7" x14ac:dyDescent="0.25">
      <c r="A3114">
        <v>6243</v>
      </c>
      <c r="F3114" t="s">
        <v>55</v>
      </c>
      <c r="G3114" t="s">
        <v>5604</v>
      </c>
    </row>
    <row r="3115" spans="1:7" x14ac:dyDescent="0.25">
      <c r="A3115">
        <v>6243</v>
      </c>
      <c r="F3115" t="s">
        <v>5605</v>
      </c>
      <c r="G3115" t="s">
        <v>5604</v>
      </c>
    </row>
    <row r="3116" spans="1:7" x14ac:dyDescent="0.25">
      <c r="A3116">
        <v>6244</v>
      </c>
      <c r="F3116" t="s">
        <v>5603</v>
      </c>
      <c r="G3116" t="s">
        <v>5604</v>
      </c>
    </row>
    <row r="3117" spans="1:7" x14ac:dyDescent="0.25">
      <c r="A3117">
        <v>6244</v>
      </c>
      <c r="F3117" t="s">
        <v>53</v>
      </c>
      <c r="G3117" t="s">
        <v>5604</v>
      </c>
    </row>
    <row r="3118" spans="1:7" x14ac:dyDescent="0.25">
      <c r="A3118">
        <v>6244</v>
      </c>
      <c r="F3118" t="s">
        <v>55</v>
      </c>
      <c r="G3118" t="s">
        <v>5604</v>
      </c>
    </row>
    <row r="3119" spans="1:7" x14ac:dyDescent="0.25">
      <c r="A3119">
        <v>6244</v>
      </c>
      <c r="F3119" t="s">
        <v>5605</v>
      </c>
      <c r="G3119" t="s">
        <v>5604</v>
      </c>
    </row>
    <row r="3120" spans="1:7" x14ac:dyDescent="0.25">
      <c r="A3120">
        <v>6245</v>
      </c>
      <c r="F3120" t="s">
        <v>5603</v>
      </c>
      <c r="G3120" t="s">
        <v>5604</v>
      </c>
    </row>
    <row r="3121" spans="1:7" x14ac:dyDescent="0.25">
      <c r="A3121">
        <v>6245</v>
      </c>
      <c r="F3121" t="s">
        <v>53</v>
      </c>
      <c r="G3121" t="s">
        <v>5604</v>
      </c>
    </row>
    <row r="3122" spans="1:7" x14ac:dyDescent="0.25">
      <c r="A3122">
        <v>6245</v>
      </c>
      <c r="F3122" t="s">
        <v>55</v>
      </c>
      <c r="G3122" t="s">
        <v>5604</v>
      </c>
    </row>
    <row r="3123" spans="1:7" x14ac:dyDescent="0.25">
      <c r="A3123">
        <v>6245</v>
      </c>
      <c r="F3123" t="s">
        <v>5605</v>
      </c>
      <c r="G3123" t="s">
        <v>5604</v>
      </c>
    </row>
    <row r="3124" spans="1:7" x14ac:dyDescent="0.25">
      <c r="A3124">
        <v>6246</v>
      </c>
      <c r="F3124" t="s">
        <v>5603</v>
      </c>
      <c r="G3124" t="s">
        <v>5604</v>
      </c>
    </row>
    <row r="3125" spans="1:7" x14ac:dyDescent="0.25">
      <c r="A3125">
        <v>6246</v>
      </c>
      <c r="F3125" t="s">
        <v>53</v>
      </c>
      <c r="G3125" t="s">
        <v>5604</v>
      </c>
    </row>
    <row r="3126" spans="1:7" x14ac:dyDescent="0.25">
      <c r="A3126">
        <v>6246</v>
      </c>
      <c r="F3126" t="s">
        <v>55</v>
      </c>
      <c r="G3126" t="s">
        <v>5604</v>
      </c>
    </row>
    <row r="3127" spans="1:7" x14ac:dyDescent="0.25">
      <c r="A3127">
        <v>6246</v>
      </c>
      <c r="F3127" t="s">
        <v>5605</v>
      </c>
      <c r="G3127" t="s">
        <v>5604</v>
      </c>
    </row>
    <row r="3128" spans="1:7" x14ac:dyDescent="0.25">
      <c r="A3128">
        <v>6247</v>
      </c>
      <c r="F3128" t="s">
        <v>5603</v>
      </c>
      <c r="G3128" t="s">
        <v>5604</v>
      </c>
    </row>
    <row r="3129" spans="1:7" x14ac:dyDescent="0.25">
      <c r="A3129">
        <v>6247</v>
      </c>
      <c r="F3129" t="s">
        <v>53</v>
      </c>
      <c r="G3129" t="s">
        <v>5604</v>
      </c>
    </row>
    <row r="3130" spans="1:7" x14ac:dyDescent="0.25">
      <c r="A3130">
        <v>6247</v>
      </c>
      <c r="F3130" t="s">
        <v>55</v>
      </c>
      <c r="G3130" t="s">
        <v>5604</v>
      </c>
    </row>
    <row r="3131" spans="1:7" x14ac:dyDescent="0.25">
      <c r="A3131">
        <v>6247</v>
      </c>
      <c r="F3131" t="s">
        <v>5605</v>
      </c>
      <c r="G3131" t="s">
        <v>5604</v>
      </c>
    </row>
    <row r="3132" spans="1:7" x14ac:dyDescent="0.25">
      <c r="A3132">
        <v>6248</v>
      </c>
      <c r="F3132" t="s">
        <v>5603</v>
      </c>
      <c r="G3132" t="s">
        <v>5604</v>
      </c>
    </row>
    <row r="3133" spans="1:7" x14ac:dyDescent="0.25">
      <c r="A3133">
        <v>6248</v>
      </c>
      <c r="F3133" t="s">
        <v>53</v>
      </c>
      <c r="G3133" t="s">
        <v>5604</v>
      </c>
    </row>
    <row r="3134" spans="1:7" x14ac:dyDescent="0.25">
      <c r="A3134">
        <v>6248</v>
      </c>
      <c r="F3134" t="s">
        <v>55</v>
      </c>
      <c r="G3134" t="s">
        <v>5604</v>
      </c>
    </row>
    <row r="3135" spans="1:7" x14ac:dyDescent="0.25">
      <c r="A3135">
        <v>6248</v>
      </c>
      <c r="F3135" t="s">
        <v>5605</v>
      </c>
      <c r="G3135" t="s">
        <v>5604</v>
      </c>
    </row>
    <row r="3136" spans="1:7" x14ac:dyDescent="0.25">
      <c r="A3136">
        <v>6249</v>
      </c>
      <c r="F3136" t="s">
        <v>5603</v>
      </c>
      <c r="G3136" t="s">
        <v>5604</v>
      </c>
    </row>
    <row r="3137" spans="1:7" x14ac:dyDescent="0.25">
      <c r="A3137">
        <v>6249</v>
      </c>
      <c r="F3137" t="s">
        <v>53</v>
      </c>
      <c r="G3137" t="s">
        <v>5604</v>
      </c>
    </row>
    <row r="3138" spans="1:7" x14ac:dyDescent="0.25">
      <c r="A3138">
        <v>6249</v>
      </c>
      <c r="F3138" t="s">
        <v>55</v>
      </c>
      <c r="G3138" t="s">
        <v>5604</v>
      </c>
    </row>
    <row r="3139" spans="1:7" x14ac:dyDescent="0.25">
      <c r="A3139">
        <v>6249</v>
      </c>
      <c r="F3139" t="s">
        <v>5605</v>
      </c>
      <c r="G3139" t="s">
        <v>5604</v>
      </c>
    </row>
    <row r="3140" spans="1:7" x14ac:dyDescent="0.25">
      <c r="A3140">
        <v>6250</v>
      </c>
      <c r="F3140" t="s">
        <v>5603</v>
      </c>
      <c r="G3140" t="s">
        <v>5604</v>
      </c>
    </row>
    <row r="3141" spans="1:7" x14ac:dyDescent="0.25">
      <c r="A3141">
        <v>6250</v>
      </c>
      <c r="F3141" t="s">
        <v>53</v>
      </c>
      <c r="G3141" t="s">
        <v>5604</v>
      </c>
    </row>
    <row r="3142" spans="1:7" x14ac:dyDescent="0.25">
      <c r="A3142">
        <v>6250</v>
      </c>
      <c r="F3142" t="s">
        <v>55</v>
      </c>
      <c r="G3142" t="s">
        <v>5604</v>
      </c>
    </row>
    <row r="3143" spans="1:7" x14ac:dyDescent="0.25">
      <c r="A3143">
        <v>6250</v>
      </c>
      <c r="F3143" t="s">
        <v>5605</v>
      </c>
      <c r="G3143" t="s">
        <v>5604</v>
      </c>
    </row>
    <row r="3144" spans="1:7" x14ac:dyDescent="0.25">
      <c r="A3144">
        <v>6251</v>
      </c>
      <c r="F3144" t="s">
        <v>5603</v>
      </c>
      <c r="G3144" t="s">
        <v>5604</v>
      </c>
    </row>
    <row r="3145" spans="1:7" x14ac:dyDescent="0.25">
      <c r="A3145">
        <v>6251</v>
      </c>
      <c r="F3145" t="s">
        <v>53</v>
      </c>
      <c r="G3145" t="s">
        <v>5604</v>
      </c>
    </row>
    <row r="3146" spans="1:7" x14ac:dyDescent="0.25">
      <c r="A3146">
        <v>6251</v>
      </c>
      <c r="F3146" t="s">
        <v>55</v>
      </c>
      <c r="G3146" t="s">
        <v>5604</v>
      </c>
    </row>
    <row r="3147" spans="1:7" x14ac:dyDescent="0.25">
      <c r="A3147">
        <v>6251</v>
      </c>
      <c r="F3147" t="s">
        <v>5605</v>
      </c>
      <c r="G3147" t="s">
        <v>5604</v>
      </c>
    </row>
    <row r="3148" spans="1:7" x14ac:dyDescent="0.25">
      <c r="A3148">
        <v>6252</v>
      </c>
      <c r="F3148" t="s">
        <v>5603</v>
      </c>
      <c r="G3148" t="s">
        <v>5604</v>
      </c>
    </row>
    <row r="3149" spans="1:7" x14ac:dyDescent="0.25">
      <c r="A3149">
        <v>6252</v>
      </c>
      <c r="F3149" t="s">
        <v>53</v>
      </c>
      <c r="G3149" t="s">
        <v>5604</v>
      </c>
    </row>
    <row r="3150" spans="1:7" x14ac:dyDescent="0.25">
      <c r="A3150">
        <v>6252</v>
      </c>
      <c r="F3150" t="s">
        <v>55</v>
      </c>
      <c r="G3150" t="s">
        <v>5604</v>
      </c>
    </row>
    <row r="3151" spans="1:7" x14ac:dyDescent="0.25">
      <c r="A3151">
        <v>6252</v>
      </c>
      <c r="F3151" t="s">
        <v>5605</v>
      </c>
      <c r="G3151" t="s">
        <v>5604</v>
      </c>
    </row>
    <row r="3152" spans="1:7" x14ac:dyDescent="0.25">
      <c r="A3152">
        <v>6253</v>
      </c>
      <c r="F3152" t="s">
        <v>5603</v>
      </c>
      <c r="G3152" t="s">
        <v>5604</v>
      </c>
    </row>
    <row r="3153" spans="1:7" x14ac:dyDescent="0.25">
      <c r="A3153">
        <v>6253</v>
      </c>
      <c r="F3153" t="s">
        <v>53</v>
      </c>
      <c r="G3153" t="s">
        <v>5604</v>
      </c>
    </row>
    <row r="3154" spans="1:7" x14ac:dyDescent="0.25">
      <c r="A3154">
        <v>6253</v>
      </c>
      <c r="F3154" t="s">
        <v>55</v>
      </c>
      <c r="G3154" t="s">
        <v>5604</v>
      </c>
    </row>
    <row r="3155" spans="1:7" x14ac:dyDescent="0.25">
      <c r="A3155">
        <v>6253</v>
      </c>
      <c r="F3155" t="s">
        <v>5605</v>
      </c>
      <c r="G3155" t="s">
        <v>5604</v>
      </c>
    </row>
    <row r="3156" spans="1:7" x14ac:dyDescent="0.25">
      <c r="A3156">
        <v>6254</v>
      </c>
      <c r="F3156" t="s">
        <v>5603</v>
      </c>
      <c r="G3156" t="s">
        <v>5604</v>
      </c>
    </row>
    <row r="3157" spans="1:7" x14ac:dyDescent="0.25">
      <c r="A3157">
        <v>6254</v>
      </c>
      <c r="F3157" t="s">
        <v>53</v>
      </c>
      <c r="G3157" t="s">
        <v>5604</v>
      </c>
    </row>
    <row r="3158" spans="1:7" x14ac:dyDescent="0.25">
      <c r="A3158">
        <v>6254</v>
      </c>
      <c r="F3158" t="s">
        <v>55</v>
      </c>
      <c r="G3158" t="s">
        <v>5604</v>
      </c>
    </row>
    <row r="3159" spans="1:7" x14ac:dyDescent="0.25">
      <c r="A3159">
        <v>6254</v>
      </c>
      <c r="F3159" t="s">
        <v>5605</v>
      </c>
      <c r="G3159" t="s">
        <v>5604</v>
      </c>
    </row>
    <row r="3160" spans="1:7" x14ac:dyDescent="0.25">
      <c r="A3160">
        <v>6255</v>
      </c>
      <c r="F3160" t="s">
        <v>5603</v>
      </c>
      <c r="G3160" t="s">
        <v>5604</v>
      </c>
    </row>
    <row r="3161" spans="1:7" x14ac:dyDescent="0.25">
      <c r="A3161">
        <v>6255</v>
      </c>
      <c r="F3161" t="s">
        <v>53</v>
      </c>
      <c r="G3161" t="s">
        <v>5604</v>
      </c>
    </row>
    <row r="3162" spans="1:7" x14ac:dyDescent="0.25">
      <c r="A3162">
        <v>6255</v>
      </c>
      <c r="F3162" t="s">
        <v>55</v>
      </c>
      <c r="G3162" t="s">
        <v>5604</v>
      </c>
    </row>
    <row r="3163" spans="1:7" x14ac:dyDescent="0.25">
      <c r="A3163">
        <v>6255</v>
      </c>
      <c r="F3163" t="s">
        <v>5605</v>
      </c>
      <c r="G3163" t="s">
        <v>5604</v>
      </c>
    </row>
    <row r="3164" spans="1:7" x14ac:dyDescent="0.25">
      <c r="A3164">
        <v>6256</v>
      </c>
      <c r="F3164" t="s">
        <v>5603</v>
      </c>
      <c r="G3164" t="s">
        <v>5604</v>
      </c>
    </row>
    <row r="3165" spans="1:7" x14ac:dyDescent="0.25">
      <c r="A3165">
        <v>6256</v>
      </c>
      <c r="F3165" t="s">
        <v>53</v>
      </c>
      <c r="G3165" t="s">
        <v>5604</v>
      </c>
    </row>
    <row r="3166" spans="1:7" x14ac:dyDescent="0.25">
      <c r="A3166">
        <v>6256</v>
      </c>
      <c r="F3166" t="s">
        <v>55</v>
      </c>
      <c r="G3166" t="s">
        <v>5604</v>
      </c>
    </row>
    <row r="3167" spans="1:7" x14ac:dyDescent="0.25">
      <c r="A3167">
        <v>6256</v>
      </c>
      <c r="F3167" t="s">
        <v>5605</v>
      </c>
      <c r="G3167" t="s">
        <v>5604</v>
      </c>
    </row>
    <row r="3168" spans="1:7" x14ac:dyDescent="0.25">
      <c r="A3168">
        <v>6257</v>
      </c>
      <c r="F3168" t="s">
        <v>5603</v>
      </c>
      <c r="G3168" t="s">
        <v>5604</v>
      </c>
    </row>
    <row r="3169" spans="1:7" x14ac:dyDescent="0.25">
      <c r="A3169">
        <v>6257</v>
      </c>
      <c r="F3169" t="s">
        <v>53</v>
      </c>
      <c r="G3169" t="s">
        <v>5604</v>
      </c>
    </row>
    <row r="3170" spans="1:7" x14ac:dyDescent="0.25">
      <c r="A3170">
        <v>6257</v>
      </c>
      <c r="F3170" t="s">
        <v>55</v>
      </c>
      <c r="G3170" t="s">
        <v>5604</v>
      </c>
    </row>
    <row r="3171" spans="1:7" x14ac:dyDescent="0.25">
      <c r="A3171">
        <v>6257</v>
      </c>
      <c r="F3171" t="s">
        <v>5605</v>
      </c>
      <c r="G3171" t="s">
        <v>5604</v>
      </c>
    </row>
    <row r="3172" spans="1:7" x14ac:dyDescent="0.25">
      <c r="A3172">
        <v>6258</v>
      </c>
      <c r="F3172" t="s">
        <v>5603</v>
      </c>
      <c r="G3172" t="s">
        <v>5604</v>
      </c>
    </row>
    <row r="3173" spans="1:7" x14ac:dyDescent="0.25">
      <c r="A3173">
        <v>6258</v>
      </c>
      <c r="F3173" t="s">
        <v>53</v>
      </c>
      <c r="G3173" t="s">
        <v>5604</v>
      </c>
    </row>
    <row r="3174" spans="1:7" x14ac:dyDescent="0.25">
      <c r="A3174">
        <v>6258</v>
      </c>
      <c r="F3174" t="s">
        <v>55</v>
      </c>
      <c r="G3174" t="s">
        <v>5604</v>
      </c>
    </row>
    <row r="3175" spans="1:7" x14ac:dyDescent="0.25">
      <c r="A3175">
        <v>6258</v>
      </c>
      <c r="F3175" t="s">
        <v>5605</v>
      </c>
      <c r="G3175" t="s">
        <v>5604</v>
      </c>
    </row>
    <row r="3176" spans="1:7" x14ac:dyDescent="0.25">
      <c r="A3176">
        <v>6259</v>
      </c>
      <c r="F3176" t="s">
        <v>5603</v>
      </c>
      <c r="G3176" t="s">
        <v>5604</v>
      </c>
    </row>
    <row r="3177" spans="1:7" x14ac:dyDescent="0.25">
      <c r="A3177">
        <v>6259</v>
      </c>
      <c r="F3177" t="s">
        <v>53</v>
      </c>
      <c r="G3177" t="s">
        <v>5604</v>
      </c>
    </row>
    <row r="3178" spans="1:7" x14ac:dyDescent="0.25">
      <c r="A3178">
        <v>6259</v>
      </c>
      <c r="F3178" t="s">
        <v>55</v>
      </c>
      <c r="G3178" t="s">
        <v>5604</v>
      </c>
    </row>
    <row r="3179" spans="1:7" x14ac:dyDescent="0.25">
      <c r="A3179">
        <v>6259</v>
      </c>
      <c r="F3179" t="s">
        <v>5605</v>
      </c>
      <c r="G3179" t="s">
        <v>5604</v>
      </c>
    </row>
    <row r="3180" spans="1:7" x14ac:dyDescent="0.25">
      <c r="A3180">
        <v>6260</v>
      </c>
      <c r="F3180" t="s">
        <v>5603</v>
      </c>
      <c r="G3180" t="s">
        <v>5604</v>
      </c>
    </row>
    <row r="3181" spans="1:7" x14ac:dyDescent="0.25">
      <c r="A3181">
        <v>6260</v>
      </c>
      <c r="F3181" t="s">
        <v>53</v>
      </c>
      <c r="G3181" t="s">
        <v>5604</v>
      </c>
    </row>
    <row r="3182" spans="1:7" x14ac:dyDescent="0.25">
      <c r="A3182">
        <v>6260</v>
      </c>
      <c r="F3182" t="s">
        <v>55</v>
      </c>
      <c r="G3182" t="s">
        <v>5604</v>
      </c>
    </row>
    <row r="3183" spans="1:7" x14ac:dyDescent="0.25">
      <c r="A3183">
        <v>6260</v>
      </c>
      <c r="F3183" t="s">
        <v>5605</v>
      </c>
      <c r="G3183" t="s">
        <v>5604</v>
      </c>
    </row>
    <row r="3184" spans="1:7" x14ac:dyDescent="0.25">
      <c r="A3184">
        <v>6261</v>
      </c>
      <c r="F3184" t="s">
        <v>5603</v>
      </c>
      <c r="G3184" t="s">
        <v>5604</v>
      </c>
    </row>
    <row r="3185" spans="1:7" x14ac:dyDescent="0.25">
      <c r="A3185">
        <v>6261</v>
      </c>
      <c r="F3185" t="s">
        <v>53</v>
      </c>
      <c r="G3185" t="s">
        <v>5604</v>
      </c>
    </row>
    <row r="3186" spans="1:7" x14ac:dyDescent="0.25">
      <c r="A3186">
        <v>6261</v>
      </c>
      <c r="F3186" t="s">
        <v>55</v>
      </c>
      <c r="G3186" t="s">
        <v>5604</v>
      </c>
    </row>
    <row r="3187" spans="1:7" x14ac:dyDescent="0.25">
      <c r="A3187">
        <v>6261</v>
      </c>
      <c r="F3187" t="s">
        <v>5605</v>
      </c>
      <c r="G3187" t="s">
        <v>5604</v>
      </c>
    </row>
    <row r="3188" spans="1:7" x14ac:dyDescent="0.25">
      <c r="A3188">
        <v>6262</v>
      </c>
      <c r="F3188" t="s">
        <v>5603</v>
      </c>
      <c r="G3188" t="s">
        <v>5604</v>
      </c>
    </row>
    <row r="3189" spans="1:7" x14ac:dyDescent="0.25">
      <c r="A3189">
        <v>6262</v>
      </c>
      <c r="F3189" t="s">
        <v>53</v>
      </c>
      <c r="G3189" t="s">
        <v>5604</v>
      </c>
    </row>
    <row r="3190" spans="1:7" x14ac:dyDescent="0.25">
      <c r="A3190">
        <v>6262</v>
      </c>
      <c r="F3190" t="s">
        <v>55</v>
      </c>
      <c r="G3190" t="s">
        <v>5604</v>
      </c>
    </row>
    <row r="3191" spans="1:7" x14ac:dyDescent="0.25">
      <c r="A3191">
        <v>6262</v>
      </c>
      <c r="F3191" t="s">
        <v>5605</v>
      </c>
      <c r="G3191" t="s">
        <v>5604</v>
      </c>
    </row>
    <row r="3192" spans="1:7" x14ac:dyDescent="0.25">
      <c r="A3192">
        <v>6263</v>
      </c>
      <c r="F3192" t="s">
        <v>5603</v>
      </c>
      <c r="G3192" t="s">
        <v>5604</v>
      </c>
    </row>
    <row r="3193" spans="1:7" x14ac:dyDescent="0.25">
      <c r="A3193">
        <v>6263</v>
      </c>
      <c r="F3193" t="s">
        <v>53</v>
      </c>
      <c r="G3193" t="s">
        <v>5604</v>
      </c>
    </row>
    <row r="3194" spans="1:7" x14ac:dyDescent="0.25">
      <c r="A3194">
        <v>6263</v>
      </c>
      <c r="F3194" t="s">
        <v>55</v>
      </c>
      <c r="G3194" t="s">
        <v>5604</v>
      </c>
    </row>
    <row r="3195" spans="1:7" x14ac:dyDescent="0.25">
      <c r="A3195">
        <v>6263</v>
      </c>
      <c r="F3195" t="s">
        <v>5605</v>
      </c>
      <c r="G3195" t="s">
        <v>5604</v>
      </c>
    </row>
    <row r="3196" spans="1:7" x14ac:dyDescent="0.25">
      <c r="A3196">
        <v>6264</v>
      </c>
      <c r="F3196" t="s">
        <v>5603</v>
      </c>
      <c r="G3196" t="s">
        <v>5604</v>
      </c>
    </row>
    <row r="3197" spans="1:7" x14ac:dyDescent="0.25">
      <c r="A3197">
        <v>6264</v>
      </c>
      <c r="F3197" t="s">
        <v>53</v>
      </c>
      <c r="G3197" t="s">
        <v>5604</v>
      </c>
    </row>
    <row r="3198" spans="1:7" x14ac:dyDescent="0.25">
      <c r="A3198">
        <v>6264</v>
      </c>
      <c r="F3198" t="s">
        <v>55</v>
      </c>
      <c r="G3198" t="s">
        <v>5604</v>
      </c>
    </row>
    <row r="3199" spans="1:7" x14ac:dyDescent="0.25">
      <c r="A3199">
        <v>6264</v>
      </c>
      <c r="F3199" t="s">
        <v>5605</v>
      </c>
      <c r="G3199" t="s">
        <v>5604</v>
      </c>
    </row>
    <row r="3200" spans="1:7" x14ac:dyDescent="0.25">
      <c r="A3200">
        <v>6265</v>
      </c>
      <c r="F3200" t="s">
        <v>5603</v>
      </c>
      <c r="G3200" t="s">
        <v>5604</v>
      </c>
    </row>
    <row r="3201" spans="1:7" x14ac:dyDescent="0.25">
      <c r="A3201">
        <v>6265</v>
      </c>
      <c r="F3201" t="s">
        <v>53</v>
      </c>
      <c r="G3201" t="s">
        <v>5604</v>
      </c>
    </row>
    <row r="3202" spans="1:7" x14ac:dyDescent="0.25">
      <c r="A3202">
        <v>6265</v>
      </c>
      <c r="F3202" t="s">
        <v>55</v>
      </c>
      <c r="G3202" t="s">
        <v>5604</v>
      </c>
    </row>
    <row r="3203" spans="1:7" x14ac:dyDescent="0.25">
      <c r="A3203">
        <v>6265</v>
      </c>
      <c r="F3203" t="s">
        <v>5605</v>
      </c>
      <c r="G3203" t="s">
        <v>5604</v>
      </c>
    </row>
    <row r="3204" spans="1:7" x14ac:dyDescent="0.25">
      <c r="A3204">
        <v>6266</v>
      </c>
      <c r="F3204" t="s">
        <v>5603</v>
      </c>
      <c r="G3204" t="s">
        <v>5604</v>
      </c>
    </row>
    <row r="3205" spans="1:7" x14ac:dyDescent="0.25">
      <c r="A3205">
        <v>6266</v>
      </c>
      <c r="F3205" t="s">
        <v>53</v>
      </c>
      <c r="G3205" t="s">
        <v>5604</v>
      </c>
    </row>
    <row r="3206" spans="1:7" x14ac:dyDescent="0.25">
      <c r="A3206">
        <v>6266</v>
      </c>
      <c r="F3206" t="s">
        <v>55</v>
      </c>
      <c r="G3206" t="s">
        <v>5604</v>
      </c>
    </row>
    <row r="3207" spans="1:7" x14ac:dyDescent="0.25">
      <c r="A3207">
        <v>6266</v>
      </c>
      <c r="F3207" t="s">
        <v>5605</v>
      </c>
      <c r="G3207" t="s">
        <v>5604</v>
      </c>
    </row>
    <row r="3208" spans="1:7" x14ac:dyDescent="0.25">
      <c r="A3208">
        <v>6267</v>
      </c>
      <c r="F3208" t="s">
        <v>5603</v>
      </c>
      <c r="G3208" t="s">
        <v>5604</v>
      </c>
    </row>
    <row r="3209" spans="1:7" x14ac:dyDescent="0.25">
      <c r="A3209">
        <v>6267</v>
      </c>
      <c r="F3209" t="s">
        <v>53</v>
      </c>
      <c r="G3209" t="s">
        <v>5604</v>
      </c>
    </row>
    <row r="3210" spans="1:7" x14ac:dyDescent="0.25">
      <c r="A3210">
        <v>6267</v>
      </c>
      <c r="F3210" t="s">
        <v>55</v>
      </c>
      <c r="G3210" t="s">
        <v>5604</v>
      </c>
    </row>
    <row r="3211" spans="1:7" x14ac:dyDescent="0.25">
      <c r="A3211">
        <v>6267</v>
      </c>
      <c r="F3211" t="s">
        <v>5605</v>
      </c>
      <c r="G3211" t="s">
        <v>5604</v>
      </c>
    </row>
    <row r="3212" spans="1:7" x14ac:dyDescent="0.25">
      <c r="A3212">
        <v>6268</v>
      </c>
      <c r="F3212" t="s">
        <v>5603</v>
      </c>
      <c r="G3212" t="s">
        <v>5604</v>
      </c>
    </row>
    <row r="3213" spans="1:7" x14ac:dyDescent="0.25">
      <c r="A3213">
        <v>6268</v>
      </c>
      <c r="F3213" t="s">
        <v>53</v>
      </c>
      <c r="G3213" t="s">
        <v>5604</v>
      </c>
    </row>
    <row r="3214" spans="1:7" x14ac:dyDescent="0.25">
      <c r="A3214">
        <v>6268</v>
      </c>
      <c r="F3214" t="s">
        <v>55</v>
      </c>
      <c r="G3214" t="s">
        <v>5604</v>
      </c>
    </row>
    <row r="3215" spans="1:7" x14ac:dyDescent="0.25">
      <c r="A3215">
        <v>6268</v>
      </c>
      <c r="F3215" t="s">
        <v>5605</v>
      </c>
      <c r="G3215" t="s">
        <v>5604</v>
      </c>
    </row>
    <row r="3216" spans="1:7" x14ac:dyDescent="0.25">
      <c r="A3216">
        <v>6269</v>
      </c>
      <c r="F3216" t="s">
        <v>5603</v>
      </c>
      <c r="G3216" t="s">
        <v>5604</v>
      </c>
    </row>
    <row r="3217" spans="1:7" x14ac:dyDescent="0.25">
      <c r="A3217">
        <v>6269</v>
      </c>
      <c r="F3217" t="s">
        <v>53</v>
      </c>
      <c r="G3217" t="s">
        <v>5604</v>
      </c>
    </row>
    <row r="3218" spans="1:7" x14ac:dyDescent="0.25">
      <c r="A3218">
        <v>6269</v>
      </c>
      <c r="F3218" t="s">
        <v>55</v>
      </c>
      <c r="G3218" t="s">
        <v>5604</v>
      </c>
    </row>
    <row r="3219" spans="1:7" x14ac:dyDescent="0.25">
      <c r="A3219">
        <v>6269</v>
      </c>
      <c r="F3219" t="s">
        <v>5605</v>
      </c>
      <c r="G3219" t="s">
        <v>5604</v>
      </c>
    </row>
    <row r="3220" spans="1:7" x14ac:dyDescent="0.25">
      <c r="A3220">
        <v>6270</v>
      </c>
      <c r="F3220" t="s">
        <v>5603</v>
      </c>
      <c r="G3220" t="s">
        <v>5604</v>
      </c>
    </row>
    <row r="3221" spans="1:7" x14ac:dyDescent="0.25">
      <c r="A3221">
        <v>6270</v>
      </c>
      <c r="F3221" t="s">
        <v>53</v>
      </c>
      <c r="G3221" t="s">
        <v>5604</v>
      </c>
    </row>
    <row r="3222" spans="1:7" x14ac:dyDescent="0.25">
      <c r="A3222">
        <v>6270</v>
      </c>
      <c r="F3222" t="s">
        <v>55</v>
      </c>
      <c r="G3222" t="s">
        <v>5604</v>
      </c>
    </row>
    <row r="3223" spans="1:7" x14ac:dyDescent="0.25">
      <c r="A3223">
        <v>6270</v>
      </c>
      <c r="F3223" t="s">
        <v>5605</v>
      </c>
      <c r="G3223" t="s">
        <v>5604</v>
      </c>
    </row>
    <row r="3224" spans="1:7" x14ac:dyDescent="0.25">
      <c r="A3224">
        <v>6271</v>
      </c>
      <c r="F3224" t="s">
        <v>5603</v>
      </c>
      <c r="G3224" t="s">
        <v>5604</v>
      </c>
    </row>
    <row r="3225" spans="1:7" x14ac:dyDescent="0.25">
      <c r="A3225">
        <v>6271</v>
      </c>
      <c r="F3225" t="s">
        <v>53</v>
      </c>
      <c r="G3225" t="s">
        <v>5604</v>
      </c>
    </row>
    <row r="3226" spans="1:7" x14ac:dyDescent="0.25">
      <c r="A3226">
        <v>6271</v>
      </c>
      <c r="F3226" t="s">
        <v>55</v>
      </c>
      <c r="G3226" t="s">
        <v>5604</v>
      </c>
    </row>
    <row r="3227" spans="1:7" x14ac:dyDescent="0.25">
      <c r="A3227">
        <v>6271</v>
      </c>
      <c r="F3227" t="s">
        <v>5605</v>
      </c>
      <c r="G3227" t="s">
        <v>5604</v>
      </c>
    </row>
    <row r="3228" spans="1:7" x14ac:dyDescent="0.25">
      <c r="A3228">
        <v>6272</v>
      </c>
      <c r="F3228" t="s">
        <v>5603</v>
      </c>
      <c r="G3228" t="s">
        <v>5604</v>
      </c>
    </row>
    <row r="3229" spans="1:7" x14ac:dyDescent="0.25">
      <c r="A3229">
        <v>6272</v>
      </c>
      <c r="F3229" t="s">
        <v>53</v>
      </c>
      <c r="G3229" t="s">
        <v>5604</v>
      </c>
    </row>
    <row r="3230" spans="1:7" x14ac:dyDescent="0.25">
      <c r="A3230">
        <v>6272</v>
      </c>
      <c r="F3230" t="s">
        <v>55</v>
      </c>
      <c r="G3230" t="s">
        <v>5604</v>
      </c>
    </row>
    <row r="3231" spans="1:7" x14ac:dyDescent="0.25">
      <c r="A3231">
        <v>6272</v>
      </c>
      <c r="F3231" t="s">
        <v>5605</v>
      </c>
      <c r="G3231" t="s">
        <v>5604</v>
      </c>
    </row>
    <row r="3232" spans="1:7" x14ac:dyDescent="0.25">
      <c r="A3232">
        <v>6273</v>
      </c>
      <c r="F3232" t="s">
        <v>5603</v>
      </c>
      <c r="G3232" t="s">
        <v>5604</v>
      </c>
    </row>
    <row r="3233" spans="1:7" x14ac:dyDescent="0.25">
      <c r="A3233">
        <v>6273</v>
      </c>
      <c r="F3233" t="s">
        <v>53</v>
      </c>
      <c r="G3233" t="s">
        <v>5604</v>
      </c>
    </row>
    <row r="3234" spans="1:7" x14ac:dyDescent="0.25">
      <c r="A3234">
        <v>6273</v>
      </c>
      <c r="F3234" t="s">
        <v>55</v>
      </c>
      <c r="G3234" t="s">
        <v>5604</v>
      </c>
    </row>
    <row r="3235" spans="1:7" x14ac:dyDescent="0.25">
      <c r="A3235">
        <v>6273</v>
      </c>
      <c r="F3235" t="s">
        <v>5605</v>
      </c>
      <c r="G3235" t="s">
        <v>5604</v>
      </c>
    </row>
    <row r="3236" spans="1:7" x14ac:dyDescent="0.25">
      <c r="A3236">
        <v>6274</v>
      </c>
      <c r="F3236" t="s">
        <v>5603</v>
      </c>
      <c r="G3236" t="s">
        <v>5604</v>
      </c>
    </row>
    <row r="3237" spans="1:7" x14ac:dyDescent="0.25">
      <c r="A3237">
        <v>6274</v>
      </c>
      <c r="F3237" t="s">
        <v>53</v>
      </c>
      <c r="G3237" t="s">
        <v>5604</v>
      </c>
    </row>
    <row r="3238" spans="1:7" x14ac:dyDescent="0.25">
      <c r="A3238">
        <v>6274</v>
      </c>
      <c r="F3238" t="s">
        <v>55</v>
      </c>
      <c r="G3238" t="s">
        <v>5604</v>
      </c>
    </row>
    <row r="3239" spans="1:7" x14ac:dyDescent="0.25">
      <c r="A3239">
        <v>6274</v>
      </c>
      <c r="F3239" t="s">
        <v>5605</v>
      </c>
      <c r="G3239" t="s">
        <v>5604</v>
      </c>
    </row>
    <row r="3240" spans="1:7" x14ac:dyDescent="0.25">
      <c r="A3240">
        <v>6275</v>
      </c>
      <c r="F3240" t="s">
        <v>5603</v>
      </c>
      <c r="G3240" t="s">
        <v>5604</v>
      </c>
    </row>
    <row r="3241" spans="1:7" x14ac:dyDescent="0.25">
      <c r="A3241">
        <v>6275</v>
      </c>
      <c r="F3241" t="s">
        <v>53</v>
      </c>
      <c r="G3241" t="s">
        <v>5604</v>
      </c>
    </row>
    <row r="3242" spans="1:7" x14ac:dyDescent="0.25">
      <c r="A3242">
        <v>6275</v>
      </c>
      <c r="F3242" t="s">
        <v>55</v>
      </c>
      <c r="G3242" t="s">
        <v>5604</v>
      </c>
    </row>
    <row r="3243" spans="1:7" x14ac:dyDescent="0.25">
      <c r="A3243">
        <v>6275</v>
      </c>
      <c r="F3243" t="s">
        <v>5605</v>
      </c>
      <c r="G3243" t="s">
        <v>5604</v>
      </c>
    </row>
    <row r="3244" spans="1:7" x14ac:dyDescent="0.25">
      <c r="A3244">
        <v>6276</v>
      </c>
      <c r="F3244" t="s">
        <v>5603</v>
      </c>
      <c r="G3244" t="s">
        <v>5604</v>
      </c>
    </row>
    <row r="3245" spans="1:7" x14ac:dyDescent="0.25">
      <c r="A3245">
        <v>6276</v>
      </c>
      <c r="F3245" t="s">
        <v>53</v>
      </c>
      <c r="G3245" t="s">
        <v>5604</v>
      </c>
    </row>
    <row r="3246" spans="1:7" x14ac:dyDescent="0.25">
      <c r="A3246">
        <v>6276</v>
      </c>
      <c r="F3246" t="s">
        <v>55</v>
      </c>
      <c r="G3246" t="s">
        <v>5604</v>
      </c>
    </row>
    <row r="3247" spans="1:7" x14ac:dyDescent="0.25">
      <c r="A3247">
        <v>6276</v>
      </c>
      <c r="F3247" t="s">
        <v>5605</v>
      </c>
      <c r="G3247" t="s">
        <v>5604</v>
      </c>
    </row>
    <row r="3248" spans="1:7" x14ac:dyDescent="0.25">
      <c r="A3248">
        <v>6277</v>
      </c>
      <c r="F3248" t="s">
        <v>5603</v>
      </c>
      <c r="G3248" t="s">
        <v>5604</v>
      </c>
    </row>
    <row r="3249" spans="1:7" x14ac:dyDescent="0.25">
      <c r="A3249">
        <v>6277</v>
      </c>
      <c r="F3249" t="s">
        <v>53</v>
      </c>
      <c r="G3249" t="s">
        <v>5604</v>
      </c>
    </row>
    <row r="3250" spans="1:7" x14ac:dyDescent="0.25">
      <c r="A3250">
        <v>6277</v>
      </c>
      <c r="F3250" t="s">
        <v>55</v>
      </c>
      <c r="G3250" t="s">
        <v>5604</v>
      </c>
    </row>
    <row r="3251" spans="1:7" x14ac:dyDescent="0.25">
      <c r="A3251">
        <v>6277</v>
      </c>
      <c r="F3251" t="s">
        <v>5605</v>
      </c>
      <c r="G3251" t="s">
        <v>5604</v>
      </c>
    </row>
    <row r="3252" spans="1:7" x14ac:dyDescent="0.25">
      <c r="A3252">
        <v>6278</v>
      </c>
      <c r="F3252" t="s">
        <v>5603</v>
      </c>
      <c r="G3252" t="s">
        <v>5604</v>
      </c>
    </row>
    <row r="3253" spans="1:7" x14ac:dyDescent="0.25">
      <c r="A3253">
        <v>6278</v>
      </c>
      <c r="F3253" t="s">
        <v>53</v>
      </c>
      <c r="G3253" t="s">
        <v>5604</v>
      </c>
    </row>
    <row r="3254" spans="1:7" x14ac:dyDescent="0.25">
      <c r="A3254">
        <v>6278</v>
      </c>
      <c r="F3254" t="s">
        <v>55</v>
      </c>
      <c r="G3254" t="s">
        <v>5604</v>
      </c>
    </row>
    <row r="3255" spans="1:7" x14ac:dyDescent="0.25">
      <c r="A3255">
        <v>6278</v>
      </c>
      <c r="F3255" t="s">
        <v>5605</v>
      </c>
      <c r="G3255" t="s">
        <v>5604</v>
      </c>
    </row>
    <row r="3256" spans="1:7" x14ac:dyDescent="0.25">
      <c r="A3256">
        <v>6279</v>
      </c>
      <c r="F3256" t="s">
        <v>5603</v>
      </c>
      <c r="G3256" t="s">
        <v>5604</v>
      </c>
    </row>
    <row r="3257" spans="1:7" x14ac:dyDescent="0.25">
      <c r="A3257">
        <v>6279</v>
      </c>
      <c r="F3257" t="s">
        <v>53</v>
      </c>
      <c r="G3257" t="s">
        <v>5604</v>
      </c>
    </row>
    <row r="3258" spans="1:7" x14ac:dyDescent="0.25">
      <c r="A3258">
        <v>6279</v>
      </c>
      <c r="F3258" t="s">
        <v>55</v>
      </c>
      <c r="G3258" t="s">
        <v>5604</v>
      </c>
    </row>
    <row r="3259" spans="1:7" x14ac:dyDescent="0.25">
      <c r="A3259">
        <v>6279</v>
      </c>
      <c r="F3259" t="s">
        <v>5605</v>
      </c>
      <c r="G3259" t="s">
        <v>5604</v>
      </c>
    </row>
    <row r="3260" spans="1:7" x14ac:dyDescent="0.25">
      <c r="A3260">
        <v>6280</v>
      </c>
      <c r="F3260" t="s">
        <v>5603</v>
      </c>
      <c r="G3260" t="s">
        <v>5604</v>
      </c>
    </row>
    <row r="3261" spans="1:7" x14ac:dyDescent="0.25">
      <c r="A3261">
        <v>6280</v>
      </c>
      <c r="F3261" t="s">
        <v>53</v>
      </c>
      <c r="G3261" t="s">
        <v>5604</v>
      </c>
    </row>
    <row r="3262" spans="1:7" x14ac:dyDescent="0.25">
      <c r="A3262">
        <v>6280</v>
      </c>
      <c r="F3262" t="s">
        <v>55</v>
      </c>
      <c r="G3262" t="s">
        <v>5604</v>
      </c>
    </row>
    <row r="3263" spans="1:7" x14ac:dyDescent="0.25">
      <c r="A3263">
        <v>6280</v>
      </c>
      <c r="F3263" t="s">
        <v>5605</v>
      </c>
      <c r="G3263" t="s">
        <v>5604</v>
      </c>
    </row>
    <row r="3264" spans="1:7" x14ac:dyDescent="0.25">
      <c r="A3264">
        <v>6281</v>
      </c>
      <c r="F3264" t="s">
        <v>5603</v>
      </c>
      <c r="G3264" t="s">
        <v>5604</v>
      </c>
    </row>
    <row r="3265" spans="1:7" x14ac:dyDescent="0.25">
      <c r="A3265">
        <v>6281</v>
      </c>
      <c r="F3265" t="s">
        <v>53</v>
      </c>
      <c r="G3265" t="s">
        <v>5604</v>
      </c>
    </row>
    <row r="3266" spans="1:7" x14ac:dyDescent="0.25">
      <c r="A3266">
        <v>6281</v>
      </c>
      <c r="F3266" t="s">
        <v>55</v>
      </c>
      <c r="G3266" t="s">
        <v>5604</v>
      </c>
    </row>
    <row r="3267" spans="1:7" x14ac:dyDescent="0.25">
      <c r="A3267">
        <v>6281</v>
      </c>
      <c r="F3267" t="s">
        <v>5605</v>
      </c>
      <c r="G3267" t="s">
        <v>5604</v>
      </c>
    </row>
    <row r="3268" spans="1:7" x14ac:dyDescent="0.25">
      <c r="A3268">
        <v>6282</v>
      </c>
      <c r="F3268" t="s">
        <v>5603</v>
      </c>
      <c r="G3268" t="s">
        <v>5604</v>
      </c>
    </row>
    <row r="3269" spans="1:7" x14ac:dyDescent="0.25">
      <c r="A3269">
        <v>6282</v>
      </c>
      <c r="F3269" t="s">
        <v>53</v>
      </c>
      <c r="G3269" t="s">
        <v>5604</v>
      </c>
    </row>
    <row r="3270" spans="1:7" x14ac:dyDescent="0.25">
      <c r="A3270">
        <v>6282</v>
      </c>
      <c r="F3270" t="s">
        <v>55</v>
      </c>
      <c r="G3270" t="s">
        <v>5604</v>
      </c>
    </row>
    <row r="3271" spans="1:7" x14ac:dyDescent="0.25">
      <c r="A3271">
        <v>6282</v>
      </c>
      <c r="F3271" t="s">
        <v>5605</v>
      </c>
      <c r="G3271" t="s">
        <v>5604</v>
      </c>
    </row>
    <row r="3272" spans="1:7" x14ac:dyDescent="0.25">
      <c r="A3272">
        <v>6283</v>
      </c>
      <c r="F3272" t="s">
        <v>5603</v>
      </c>
      <c r="G3272" t="s">
        <v>5604</v>
      </c>
    </row>
    <row r="3273" spans="1:7" x14ac:dyDescent="0.25">
      <c r="A3273">
        <v>6283</v>
      </c>
      <c r="F3273" t="s">
        <v>53</v>
      </c>
      <c r="G3273" t="s">
        <v>5604</v>
      </c>
    </row>
    <row r="3274" spans="1:7" x14ac:dyDescent="0.25">
      <c r="A3274">
        <v>6283</v>
      </c>
      <c r="F3274" t="s">
        <v>55</v>
      </c>
      <c r="G3274" t="s">
        <v>5604</v>
      </c>
    </row>
    <row r="3275" spans="1:7" x14ac:dyDescent="0.25">
      <c r="A3275">
        <v>6283</v>
      </c>
      <c r="F3275" t="s">
        <v>5605</v>
      </c>
      <c r="G3275" t="s">
        <v>5604</v>
      </c>
    </row>
    <row r="3276" spans="1:7" x14ac:dyDescent="0.25">
      <c r="A3276">
        <v>6284</v>
      </c>
      <c r="F3276" t="s">
        <v>5603</v>
      </c>
      <c r="G3276" t="s">
        <v>5604</v>
      </c>
    </row>
    <row r="3277" spans="1:7" x14ac:dyDescent="0.25">
      <c r="A3277">
        <v>6284</v>
      </c>
      <c r="F3277" t="s">
        <v>53</v>
      </c>
      <c r="G3277" t="s">
        <v>5604</v>
      </c>
    </row>
    <row r="3278" spans="1:7" x14ac:dyDescent="0.25">
      <c r="A3278">
        <v>6284</v>
      </c>
      <c r="F3278" t="s">
        <v>55</v>
      </c>
      <c r="G3278" t="s">
        <v>5604</v>
      </c>
    </row>
    <row r="3279" spans="1:7" x14ac:dyDescent="0.25">
      <c r="A3279">
        <v>6284</v>
      </c>
      <c r="F3279" t="s">
        <v>5605</v>
      </c>
      <c r="G3279" t="s">
        <v>5604</v>
      </c>
    </row>
    <row r="3280" spans="1:7" x14ac:dyDescent="0.25">
      <c r="A3280">
        <v>6285</v>
      </c>
      <c r="F3280" t="s">
        <v>5603</v>
      </c>
      <c r="G3280" t="s">
        <v>5604</v>
      </c>
    </row>
    <row r="3281" spans="1:7" x14ac:dyDescent="0.25">
      <c r="A3281">
        <v>6285</v>
      </c>
      <c r="F3281" t="s">
        <v>53</v>
      </c>
      <c r="G3281" t="s">
        <v>5604</v>
      </c>
    </row>
    <row r="3282" spans="1:7" x14ac:dyDescent="0.25">
      <c r="A3282">
        <v>6285</v>
      </c>
      <c r="F3282" t="s">
        <v>55</v>
      </c>
      <c r="G3282" t="s">
        <v>5604</v>
      </c>
    </row>
    <row r="3283" spans="1:7" x14ac:dyDescent="0.25">
      <c r="A3283">
        <v>6285</v>
      </c>
      <c r="F3283" t="s">
        <v>5605</v>
      </c>
      <c r="G3283" t="s">
        <v>5604</v>
      </c>
    </row>
    <row r="3284" spans="1:7" x14ac:dyDescent="0.25">
      <c r="A3284">
        <v>6286</v>
      </c>
      <c r="F3284" t="s">
        <v>5603</v>
      </c>
      <c r="G3284" t="s">
        <v>5604</v>
      </c>
    </row>
    <row r="3285" spans="1:7" x14ac:dyDescent="0.25">
      <c r="A3285">
        <v>6286</v>
      </c>
      <c r="F3285" t="s">
        <v>53</v>
      </c>
      <c r="G3285" t="s">
        <v>5604</v>
      </c>
    </row>
    <row r="3286" spans="1:7" x14ac:dyDescent="0.25">
      <c r="A3286">
        <v>6286</v>
      </c>
      <c r="F3286" t="s">
        <v>55</v>
      </c>
      <c r="G3286" t="s">
        <v>5604</v>
      </c>
    </row>
    <row r="3287" spans="1:7" x14ac:dyDescent="0.25">
      <c r="A3287">
        <v>6286</v>
      </c>
      <c r="F3287" t="s">
        <v>5605</v>
      </c>
      <c r="G3287" t="s">
        <v>5604</v>
      </c>
    </row>
    <row r="3288" spans="1:7" x14ac:dyDescent="0.25">
      <c r="A3288">
        <v>6287</v>
      </c>
      <c r="F3288" t="s">
        <v>5603</v>
      </c>
      <c r="G3288" t="s">
        <v>5604</v>
      </c>
    </row>
    <row r="3289" spans="1:7" x14ac:dyDescent="0.25">
      <c r="A3289">
        <v>6287</v>
      </c>
      <c r="F3289" t="s">
        <v>53</v>
      </c>
      <c r="G3289" t="s">
        <v>5604</v>
      </c>
    </row>
    <row r="3290" spans="1:7" x14ac:dyDescent="0.25">
      <c r="A3290">
        <v>6287</v>
      </c>
      <c r="F3290" t="s">
        <v>55</v>
      </c>
      <c r="G3290" t="s">
        <v>5604</v>
      </c>
    </row>
    <row r="3291" spans="1:7" x14ac:dyDescent="0.25">
      <c r="A3291">
        <v>6287</v>
      </c>
      <c r="F3291" t="s">
        <v>5605</v>
      </c>
      <c r="G3291" t="s">
        <v>5604</v>
      </c>
    </row>
    <row r="3292" spans="1:7" x14ac:dyDescent="0.25">
      <c r="A3292">
        <v>6288</v>
      </c>
      <c r="F3292" t="s">
        <v>5603</v>
      </c>
      <c r="G3292" t="s">
        <v>5604</v>
      </c>
    </row>
    <row r="3293" spans="1:7" x14ac:dyDescent="0.25">
      <c r="A3293">
        <v>6288</v>
      </c>
      <c r="F3293" t="s">
        <v>53</v>
      </c>
      <c r="G3293" t="s">
        <v>5604</v>
      </c>
    </row>
    <row r="3294" spans="1:7" x14ac:dyDescent="0.25">
      <c r="A3294">
        <v>6288</v>
      </c>
      <c r="F3294" t="s">
        <v>55</v>
      </c>
      <c r="G3294" t="s">
        <v>5604</v>
      </c>
    </row>
    <row r="3295" spans="1:7" x14ac:dyDescent="0.25">
      <c r="A3295">
        <v>6288</v>
      </c>
      <c r="F3295" t="s">
        <v>5605</v>
      </c>
      <c r="G3295" t="s">
        <v>5604</v>
      </c>
    </row>
    <row r="3296" spans="1:7" x14ac:dyDescent="0.25">
      <c r="A3296">
        <v>6289</v>
      </c>
      <c r="F3296" t="s">
        <v>5603</v>
      </c>
      <c r="G3296" t="s">
        <v>5604</v>
      </c>
    </row>
    <row r="3297" spans="1:7" x14ac:dyDescent="0.25">
      <c r="A3297">
        <v>6289</v>
      </c>
      <c r="F3297" t="s">
        <v>53</v>
      </c>
      <c r="G3297" t="s">
        <v>5604</v>
      </c>
    </row>
    <row r="3298" spans="1:7" x14ac:dyDescent="0.25">
      <c r="A3298">
        <v>6289</v>
      </c>
      <c r="F3298" t="s">
        <v>55</v>
      </c>
      <c r="G3298" t="s">
        <v>5604</v>
      </c>
    </row>
    <row r="3299" spans="1:7" x14ac:dyDescent="0.25">
      <c r="A3299">
        <v>6289</v>
      </c>
      <c r="F3299" t="s">
        <v>5605</v>
      </c>
      <c r="G3299" t="s">
        <v>5604</v>
      </c>
    </row>
    <row r="3300" spans="1:7" x14ac:dyDescent="0.25">
      <c r="A3300">
        <v>6290</v>
      </c>
      <c r="F3300" t="s">
        <v>5603</v>
      </c>
      <c r="G3300" t="s">
        <v>5604</v>
      </c>
    </row>
    <row r="3301" spans="1:7" x14ac:dyDescent="0.25">
      <c r="A3301">
        <v>6290</v>
      </c>
      <c r="F3301" t="s">
        <v>53</v>
      </c>
      <c r="G3301" t="s">
        <v>5604</v>
      </c>
    </row>
    <row r="3302" spans="1:7" x14ac:dyDescent="0.25">
      <c r="A3302">
        <v>6290</v>
      </c>
      <c r="F3302" t="s">
        <v>55</v>
      </c>
      <c r="G3302" t="s">
        <v>5604</v>
      </c>
    </row>
    <row r="3303" spans="1:7" x14ac:dyDescent="0.25">
      <c r="A3303">
        <v>6290</v>
      </c>
      <c r="F3303" t="s">
        <v>5605</v>
      </c>
      <c r="G3303" t="s">
        <v>5604</v>
      </c>
    </row>
    <row r="3304" spans="1:7" x14ac:dyDescent="0.25">
      <c r="A3304">
        <v>6291</v>
      </c>
      <c r="F3304" t="s">
        <v>5603</v>
      </c>
      <c r="G3304" t="s">
        <v>5604</v>
      </c>
    </row>
    <row r="3305" spans="1:7" x14ac:dyDescent="0.25">
      <c r="A3305">
        <v>6291</v>
      </c>
      <c r="F3305" t="s">
        <v>53</v>
      </c>
      <c r="G3305" t="s">
        <v>5604</v>
      </c>
    </row>
    <row r="3306" spans="1:7" x14ac:dyDescent="0.25">
      <c r="A3306">
        <v>6291</v>
      </c>
      <c r="F3306" t="s">
        <v>55</v>
      </c>
      <c r="G3306" t="s">
        <v>5604</v>
      </c>
    </row>
    <row r="3307" spans="1:7" x14ac:dyDescent="0.25">
      <c r="A3307">
        <v>6291</v>
      </c>
      <c r="F3307" t="s">
        <v>5605</v>
      </c>
      <c r="G3307" t="s">
        <v>5604</v>
      </c>
    </row>
    <row r="3308" spans="1:7" x14ac:dyDescent="0.25">
      <c r="A3308">
        <v>6292</v>
      </c>
      <c r="F3308" t="s">
        <v>5603</v>
      </c>
      <c r="G3308" t="s">
        <v>5604</v>
      </c>
    </row>
    <row r="3309" spans="1:7" x14ac:dyDescent="0.25">
      <c r="A3309">
        <v>6292</v>
      </c>
      <c r="F3309" t="s">
        <v>53</v>
      </c>
      <c r="G3309" t="s">
        <v>5604</v>
      </c>
    </row>
    <row r="3310" spans="1:7" x14ac:dyDescent="0.25">
      <c r="A3310">
        <v>6292</v>
      </c>
      <c r="F3310" t="s">
        <v>55</v>
      </c>
      <c r="G3310" t="s">
        <v>5604</v>
      </c>
    </row>
    <row r="3311" spans="1:7" x14ac:dyDescent="0.25">
      <c r="A3311">
        <v>6292</v>
      </c>
      <c r="F3311" t="s">
        <v>5605</v>
      </c>
      <c r="G3311" t="s">
        <v>5604</v>
      </c>
    </row>
    <row r="3312" spans="1:7" x14ac:dyDescent="0.25">
      <c r="A3312">
        <v>6293</v>
      </c>
      <c r="F3312" t="s">
        <v>5603</v>
      </c>
      <c r="G3312" t="s">
        <v>5604</v>
      </c>
    </row>
    <row r="3313" spans="1:7" x14ac:dyDescent="0.25">
      <c r="A3313">
        <v>6293</v>
      </c>
      <c r="F3313" t="s">
        <v>53</v>
      </c>
      <c r="G3313" t="s">
        <v>5604</v>
      </c>
    </row>
    <row r="3314" spans="1:7" x14ac:dyDescent="0.25">
      <c r="A3314">
        <v>6293</v>
      </c>
      <c r="F3314" t="s">
        <v>55</v>
      </c>
      <c r="G3314" t="s">
        <v>5604</v>
      </c>
    </row>
    <row r="3315" spans="1:7" x14ac:dyDescent="0.25">
      <c r="A3315">
        <v>6293</v>
      </c>
      <c r="F3315" t="s">
        <v>5605</v>
      </c>
      <c r="G3315" t="s">
        <v>5604</v>
      </c>
    </row>
    <row r="3316" spans="1:7" x14ac:dyDescent="0.25">
      <c r="A3316">
        <v>6294</v>
      </c>
      <c r="F3316" t="s">
        <v>5603</v>
      </c>
      <c r="G3316" t="s">
        <v>5604</v>
      </c>
    </row>
    <row r="3317" spans="1:7" x14ac:dyDescent="0.25">
      <c r="A3317">
        <v>6294</v>
      </c>
      <c r="F3317" t="s">
        <v>53</v>
      </c>
      <c r="G3317" t="s">
        <v>5604</v>
      </c>
    </row>
    <row r="3318" spans="1:7" x14ac:dyDescent="0.25">
      <c r="A3318">
        <v>6294</v>
      </c>
      <c r="F3318" t="s">
        <v>55</v>
      </c>
      <c r="G3318" t="s">
        <v>5604</v>
      </c>
    </row>
    <row r="3319" spans="1:7" x14ac:dyDescent="0.25">
      <c r="A3319">
        <v>6294</v>
      </c>
      <c r="F3319" t="s">
        <v>5605</v>
      </c>
      <c r="G3319" t="s">
        <v>5604</v>
      </c>
    </row>
    <row r="3320" spans="1:7" x14ac:dyDescent="0.25">
      <c r="A3320">
        <v>6295</v>
      </c>
      <c r="F3320" t="s">
        <v>5603</v>
      </c>
      <c r="G3320" t="s">
        <v>5604</v>
      </c>
    </row>
    <row r="3321" spans="1:7" x14ac:dyDescent="0.25">
      <c r="A3321">
        <v>6295</v>
      </c>
      <c r="F3321" t="s">
        <v>53</v>
      </c>
      <c r="G3321" t="s">
        <v>5604</v>
      </c>
    </row>
    <row r="3322" spans="1:7" x14ac:dyDescent="0.25">
      <c r="A3322">
        <v>6295</v>
      </c>
      <c r="F3322" t="s">
        <v>55</v>
      </c>
      <c r="G3322" t="s">
        <v>5604</v>
      </c>
    </row>
    <row r="3323" spans="1:7" x14ac:dyDescent="0.25">
      <c r="A3323">
        <v>6295</v>
      </c>
      <c r="F3323" t="s">
        <v>5605</v>
      </c>
      <c r="G3323" t="s">
        <v>5604</v>
      </c>
    </row>
    <row r="3324" spans="1:7" x14ac:dyDescent="0.25">
      <c r="A3324">
        <v>6296</v>
      </c>
      <c r="F3324" t="s">
        <v>5603</v>
      </c>
      <c r="G3324" t="s">
        <v>5604</v>
      </c>
    </row>
    <row r="3325" spans="1:7" x14ac:dyDescent="0.25">
      <c r="A3325">
        <v>6296</v>
      </c>
      <c r="F3325" t="s">
        <v>53</v>
      </c>
      <c r="G3325" t="s">
        <v>5604</v>
      </c>
    </row>
    <row r="3326" spans="1:7" x14ac:dyDescent="0.25">
      <c r="A3326">
        <v>6296</v>
      </c>
      <c r="F3326" t="s">
        <v>55</v>
      </c>
      <c r="G3326" t="s">
        <v>5604</v>
      </c>
    </row>
    <row r="3327" spans="1:7" x14ac:dyDescent="0.25">
      <c r="A3327">
        <v>6296</v>
      </c>
      <c r="F3327" t="s">
        <v>5605</v>
      </c>
      <c r="G3327" t="s">
        <v>5604</v>
      </c>
    </row>
    <row r="3328" spans="1:7" x14ac:dyDescent="0.25">
      <c r="A3328">
        <v>6297</v>
      </c>
      <c r="F3328" t="s">
        <v>5603</v>
      </c>
      <c r="G3328" t="s">
        <v>5604</v>
      </c>
    </row>
    <row r="3329" spans="1:7" x14ac:dyDescent="0.25">
      <c r="A3329">
        <v>6297</v>
      </c>
      <c r="F3329" t="s">
        <v>53</v>
      </c>
      <c r="G3329" t="s">
        <v>5604</v>
      </c>
    </row>
    <row r="3330" spans="1:7" x14ac:dyDescent="0.25">
      <c r="A3330">
        <v>6297</v>
      </c>
      <c r="F3330" t="s">
        <v>55</v>
      </c>
      <c r="G3330" t="s">
        <v>5604</v>
      </c>
    </row>
    <row r="3331" spans="1:7" x14ac:dyDescent="0.25">
      <c r="A3331">
        <v>6297</v>
      </c>
      <c r="F3331" t="s">
        <v>5605</v>
      </c>
      <c r="G3331" t="s">
        <v>5604</v>
      </c>
    </row>
    <row r="3332" spans="1:7" x14ac:dyDescent="0.25">
      <c r="A3332">
        <v>6298</v>
      </c>
      <c r="F3332" t="s">
        <v>5603</v>
      </c>
      <c r="G3332" t="s">
        <v>5604</v>
      </c>
    </row>
    <row r="3333" spans="1:7" x14ac:dyDescent="0.25">
      <c r="A3333">
        <v>6298</v>
      </c>
      <c r="F3333" t="s">
        <v>53</v>
      </c>
      <c r="G3333" t="s">
        <v>5604</v>
      </c>
    </row>
    <row r="3334" spans="1:7" x14ac:dyDescent="0.25">
      <c r="A3334">
        <v>6298</v>
      </c>
      <c r="F3334" t="s">
        <v>55</v>
      </c>
      <c r="G3334" t="s">
        <v>5604</v>
      </c>
    </row>
    <row r="3335" spans="1:7" x14ac:dyDescent="0.25">
      <c r="A3335">
        <v>6298</v>
      </c>
      <c r="F3335" t="s">
        <v>5605</v>
      </c>
      <c r="G3335" t="s">
        <v>5604</v>
      </c>
    </row>
    <row r="3336" spans="1:7" x14ac:dyDescent="0.25">
      <c r="A3336">
        <v>6299</v>
      </c>
      <c r="F3336" t="s">
        <v>5603</v>
      </c>
      <c r="G3336" t="s">
        <v>5604</v>
      </c>
    </row>
    <row r="3337" spans="1:7" x14ac:dyDescent="0.25">
      <c r="A3337">
        <v>6299</v>
      </c>
      <c r="F3337" t="s">
        <v>53</v>
      </c>
      <c r="G3337" t="s">
        <v>5604</v>
      </c>
    </row>
    <row r="3338" spans="1:7" x14ac:dyDescent="0.25">
      <c r="A3338">
        <v>6299</v>
      </c>
      <c r="F3338" t="s">
        <v>55</v>
      </c>
      <c r="G3338" t="s">
        <v>5604</v>
      </c>
    </row>
    <row r="3339" spans="1:7" x14ac:dyDescent="0.25">
      <c r="A3339">
        <v>6299</v>
      </c>
      <c r="F3339" t="s">
        <v>5605</v>
      </c>
      <c r="G3339" t="s">
        <v>5604</v>
      </c>
    </row>
    <row r="3340" spans="1:7" x14ac:dyDescent="0.25">
      <c r="A3340">
        <v>6300</v>
      </c>
      <c r="F3340" t="s">
        <v>5603</v>
      </c>
      <c r="G3340" t="s">
        <v>5604</v>
      </c>
    </row>
    <row r="3341" spans="1:7" x14ac:dyDescent="0.25">
      <c r="A3341">
        <v>6300</v>
      </c>
      <c r="F3341" t="s">
        <v>53</v>
      </c>
      <c r="G3341" t="s">
        <v>5604</v>
      </c>
    </row>
    <row r="3342" spans="1:7" x14ac:dyDescent="0.25">
      <c r="A3342">
        <v>6300</v>
      </c>
      <c r="F3342" t="s">
        <v>55</v>
      </c>
      <c r="G3342" t="s">
        <v>5604</v>
      </c>
    </row>
    <row r="3343" spans="1:7" x14ac:dyDescent="0.25">
      <c r="A3343">
        <v>6300</v>
      </c>
      <c r="F3343" t="s">
        <v>5605</v>
      </c>
      <c r="G3343" t="s">
        <v>5604</v>
      </c>
    </row>
    <row r="3344" spans="1:7" x14ac:dyDescent="0.25">
      <c r="A3344">
        <v>6301</v>
      </c>
      <c r="F3344" t="s">
        <v>5603</v>
      </c>
      <c r="G3344" t="s">
        <v>5604</v>
      </c>
    </row>
    <row r="3345" spans="1:7" x14ac:dyDescent="0.25">
      <c r="A3345">
        <v>6301</v>
      </c>
      <c r="F3345" t="s">
        <v>53</v>
      </c>
      <c r="G3345" t="s">
        <v>5604</v>
      </c>
    </row>
    <row r="3346" spans="1:7" x14ac:dyDescent="0.25">
      <c r="A3346">
        <v>6301</v>
      </c>
      <c r="F3346" t="s">
        <v>55</v>
      </c>
      <c r="G3346" t="s">
        <v>5604</v>
      </c>
    </row>
    <row r="3347" spans="1:7" x14ac:dyDescent="0.25">
      <c r="A3347">
        <v>6301</v>
      </c>
      <c r="F3347" t="s">
        <v>5605</v>
      </c>
      <c r="G3347" t="s">
        <v>5604</v>
      </c>
    </row>
    <row r="3348" spans="1:7" x14ac:dyDescent="0.25">
      <c r="A3348">
        <v>6302</v>
      </c>
      <c r="F3348" t="s">
        <v>5603</v>
      </c>
      <c r="G3348" t="s">
        <v>5604</v>
      </c>
    </row>
    <row r="3349" spans="1:7" x14ac:dyDescent="0.25">
      <c r="A3349">
        <v>6302</v>
      </c>
      <c r="F3349" t="s">
        <v>53</v>
      </c>
      <c r="G3349" t="s">
        <v>5604</v>
      </c>
    </row>
    <row r="3350" spans="1:7" x14ac:dyDescent="0.25">
      <c r="A3350">
        <v>6302</v>
      </c>
      <c r="F3350" t="s">
        <v>55</v>
      </c>
      <c r="G3350" t="s">
        <v>5604</v>
      </c>
    </row>
    <row r="3351" spans="1:7" x14ac:dyDescent="0.25">
      <c r="A3351">
        <v>6302</v>
      </c>
      <c r="F3351" t="s">
        <v>5605</v>
      </c>
      <c r="G3351" t="s">
        <v>5604</v>
      </c>
    </row>
    <row r="3352" spans="1:7" x14ac:dyDescent="0.25">
      <c r="A3352">
        <v>6303</v>
      </c>
      <c r="F3352" t="s">
        <v>5603</v>
      </c>
      <c r="G3352" t="s">
        <v>5604</v>
      </c>
    </row>
    <row r="3353" spans="1:7" x14ac:dyDescent="0.25">
      <c r="A3353">
        <v>6303</v>
      </c>
      <c r="F3353" t="s">
        <v>53</v>
      </c>
      <c r="G3353" t="s">
        <v>5604</v>
      </c>
    </row>
    <row r="3354" spans="1:7" x14ac:dyDescent="0.25">
      <c r="A3354">
        <v>6303</v>
      </c>
      <c r="F3354" t="s">
        <v>55</v>
      </c>
      <c r="G3354" t="s">
        <v>5604</v>
      </c>
    </row>
    <row r="3355" spans="1:7" x14ac:dyDescent="0.25">
      <c r="A3355">
        <v>6303</v>
      </c>
      <c r="F3355" t="s">
        <v>5605</v>
      </c>
      <c r="G3355" t="s">
        <v>5604</v>
      </c>
    </row>
    <row r="3356" spans="1:7" x14ac:dyDescent="0.25">
      <c r="A3356">
        <v>6304</v>
      </c>
      <c r="F3356" t="s">
        <v>5603</v>
      </c>
      <c r="G3356" t="s">
        <v>5604</v>
      </c>
    </row>
    <row r="3357" spans="1:7" x14ac:dyDescent="0.25">
      <c r="A3357">
        <v>6304</v>
      </c>
      <c r="F3357" t="s">
        <v>53</v>
      </c>
      <c r="G3357" t="s">
        <v>5604</v>
      </c>
    </row>
    <row r="3358" spans="1:7" x14ac:dyDescent="0.25">
      <c r="A3358">
        <v>6304</v>
      </c>
      <c r="F3358" t="s">
        <v>55</v>
      </c>
      <c r="G3358" t="s">
        <v>5604</v>
      </c>
    </row>
    <row r="3359" spans="1:7" x14ac:dyDescent="0.25">
      <c r="A3359">
        <v>6304</v>
      </c>
      <c r="F3359" t="s">
        <v>5605</v>
      </c>
      <c r="G3359" t="s">
        <v>5604</v>
      </c>
    </row>
    <row r="3360" spans="1:7" x14ac:dyDescent="0.25">
      <c r="A3360">
        <v>6305</v>
      </c>
      <c r="F3360" t="s">
        <v>5603</v>
      </c>
      <c r="G3360" t="s">
        <v>5604</v>
      </c>
    </row>
    <row r="3361" spans="1:7" x14ac:dyDescent="0.25">
      <c r="A3361">
        <v>6305</v>
      </c>
      <c r="F3361" t="s">
        <v>53</v>
      </c>
      <c r="G3361" t="s">
        <v>5604</v>
      </c>
    </row>
    <row r="3362" spans="1:7" x14ac:dyDescent="0.25">
      <c r="A3362">
        <v>6305</v>
      </c>
      <c r="F3362" t="s">
        <v>55</v>
      </c>
      <c r="G3362" t="s">
        <v>5604</v>
      </c>
    </row>
    <row r="3363" spans="1:7" x14ac:dyDescent="0.25">
      <c r="A3363">
        <v>6305</v>
      </c>
      <c r="F3363" t="s">
        <v>5605</v>
      </c>
      <c r="G3363" t="s">
        <v>5604</v>
      </c>
    </row>
    <row r="3364" spans="1:7" x14ac:dyDescent="0.25">
      <c r="A3364">
        <v>6306</v>
      </c>
      <c r="F3364" t="s">
        <v>5603</v>
      </c>
      <c r="G3364" t="s">
        <v>5604</v>
      </c>
    </row>
    <row r="3365" spans="1:7" x14ac:dyDescent="0.25">
      <c r="A3365">
        <v>6306</v>
      </c>
      <c r="F3365" t="s">
        <v>53</v>
      </c>
      <c r="G3365" t="s">
        <v>5604</v>
      </c>
    </row>
    <row r="3366" spans="1:7" x14ac:dyDescent="0.25">
      <c r="A3366">
        <v>6306</v>
      </c>
      <c r="F3366" t="s">
        <v>55</v>
      </c>
      <c r="G3366" t="s">
        <v>5604</v>
      </c>
    </row>
    <row r="3367" spans="1:7" x14ac:dyDescent="0.25">
      <c r="A3367">
        <v>6306</v>
      </c>
      <c r="F3367" t="s">
        <v>5605</v>
      </c>
      <c r="G3367" t="s">
        <v>5604</v>
      </c>
    </row>
    <row r="3368" spans="1:7" x14ac:dyDescent="0.25">
      <c r="A3368">
        <v>6307</v>
      </c>
      <c r="F3368" t="s">
        <v>5603</v>
      </c>
      <c r="G3368" t="s">
        <v>5604</v>
      </c>
    </row>
    <row r="3369" spans="1:7" x14ac:dyDescent="0.25">
      <c r="A3369">
        <v>6307</v>
      </c>
      <c r="F3369" t="s">
        <v>53</v>
      </c>
      <c r="G3369" t="s">
        <v>5604</v>
      </c>
    </row>
    <row r="3370" spans="1:7" x14ac:dyDescent="0.25">
      <c r="A3370">
        <v>6307</v>
      </c>
      <c r="F3370" t="s">
        <v>55</v>
      </c>
      <c r="G3370" t="s">
        <v>5604</v>
      </c>
    </row>
    <row r="3371" spans="1:7" x14ac:dyDescent="0.25">
      <c r="A3371">
        <v>6307</v>
      </c>
      <c r="F3371" t="s">
        <v>5605</v>
      </c>
      <c r="G3371" t="s">
        <v>5604</v>
      </c>
    </row>
    <row r="3372" spans="1:7" x14ac:dyDescent="0.25">
      <c r="A3372">
        <v>6308</v>
      </c>
      <c r="F3372" t="s">
        <v>5603</v>
      </c>
      <c r="G3372" t="s">
        <v>5604</v>
      </c>
    </row>
    <row r="3373" spans="1:7" x14ac:dyDescent="0.25">
      <c r="A3373">
        <v>6308</v>
      </c>
      <c r="F3373" t="s">
        <v>53</v>
      </c>
      <c r="G3373" t="s">
        <v>5604</v>
      </c>
    </row>
    <row r="3374" spans="1:7" x14ac:dyDescent="0.25">
      <c r="A3374">
        <v>6308</v>
      </c>
      <c r="F3374" t="s">
        <v>55</v>
      </c>
      <c r="G3374" t="s">
        <v>5604</v>
      </c>
    </row>
    <row r="3375" spans="1:7" x14ac:dyDescent="0.25">
      <c r="A3375">
        <v>6308</v>
      </c>
      <c r="F3375" t="s">
        <v>5605</v>
      </c>
      <c r="G3375" t="s">
        <v>5604</v>
      </c>
    </row>
    <row r="3376" spans="1:7" x14ac:dyDescent="0.25">
      <c r="A3376">
        <v>6309</v>
      </c>
      <c r="F3376" t="s">
        <v>5603</v>
      </c>
      <c r="G3376" t="s">
        <v>5604</v>
      </c>
    </row>
    <row r="3377" spans="1:7" x14ac:dyDescent="0.25">
      <c r="A3377">
        <v>6309</v>
      </c>
      <c r="F3377" t="s">
        <v>53</v>
      </c>
      <c r="G3377" t="s">
        <v>5604</v>
      </c>
    </row>
    <row r="3378" spans="1:7" x14ac:dyDescent="0.25">
      <c r="A3378">
        <v>6309</v>
      </c>
      <c r="F3378" t="s">
        <v>55</v>
      </c>
      <c r="G3378" t="s">
        <v>5604</v>
      </c>
    </row>
    <row r="3379" spans="1:7" x14ac:dyDescent="0.25">
      <c r="A3379">
        <v>6309</v>
      </c>
      <c r="F3379" t="s">
        <v>5605</v>
      </c>
      <c r="G3379" t="s">
        <v>5604</v>
      </c>
    </row>
    <row r="3380" spans="1:7" x14ac:dyDescent="0.25">
      <c r="A3380">
        <v>6310</v>
      </c>
      <c r="F3380" t="s">
        <v>5603</v>
      </c>
      <c r="G3380" t="s">
        <v>5604</v>
      </c>
    </row>
    <row r="3381" spans="1:7" x14ac:dyDescent="0.25">
      <c r="A3381">
        <v>6310</v>
      </c>
      <c r="F3381" t="s">
        <v>53</v>
      </c>
      <c r="G3381" t="s">
        <v>5604</v>
      </c>
    </row>
    <row r="3382" spans="1:7" x14ac:dyDescent="0.25">
      <c r="A3382">
        <v>6310</v>
      </c>
      <c r="F3382" t="s">
        <v>55</v>
      </c>
      <c r="G3382" t="s">
        <v>5604</v>
      </c>
    </row>
    <row r="3383" spans="1:7" x14ac:dyDescent="0.25">
      <c r="A3383">
        <v>6310</v>
      </c>
      <c r="F3383" t="s">
        <v>5605</v>
      </c>
      <c r="G3383" t="s">
        <v>5604</v>
      </c>
    </row>
    <row r="3384" spans="1:7" x14ac:dyDescent="0.25">
      <c r="A3384">
        <v>6311</v>
      </c>
      <c r="F3384" t="s">
        <v>5603</v>
      </c>
      <c r="G3384" t="s">
        <v>5604</v>
      </c>
    </row>
    <row r="3385" spans="1:7" x14ac:dyDescent="0.25">
      <c r="A3385">
        <v>6311</v>
      </c>
      <c r="F3385" t="s">
        <v>53</v>
      </c>
      <c r="G3385" t="s">
        <v>5604</v>
      </c>
    </row>
    <row r="3386" spans="1:7" x14ac:dyDescent="0.25">
      <c r="A3386">
        <v>6311</v>
      </c>
      <c r="F3386" t="s">
        <v>55</v>
      </c>
      <c r="G3386" t="s">
        <v>5604</v>
      </c>
    </row>
    <row r="3387" spans="1:7" x14ac:dyDescent="0.25">
      <c r="A3387">
        <v>6311</v>
      </c>
      <c r="F3387" t="s">
        <v>5605</v>
      </c>
      <c r="G3387" t="s">
        <v>5604</v>
      </c>
    </row>
    <row r="3388" spans="1:7" x14ac:dyDescent="0.25">
      <c r="A3388">
        <v>6312</v>
      </c>
      <c r="F3388" t="s">
        <v>5603</v>
      </c>
      <c r="G3388" t="s">
        <v>5604</v>
      </c>
    </row>
    <row r="3389" spans="1:7" x14ac:dyDescent="0.25">
      <c r="A3389">
        <v>6312</v>
      </c>
      <c r="F3389" t="s">
        <v>53</v>
      </c>
      <c r="G3389" t="s">
        <v>5604</v>
      </c>
    </row>
    <row r="3390" spans="1:7" x14ac:dyDescent="0.25">
      <c r="A3390">
        <v>6312</v>
      </c>
      <c r="F3390" t="s">
        <v>55</v>
      </c>
      <c r="G3390" t="s">
        <v>5604</v>
      </c>
    </row>
    <row r="3391" spans="1:7" x14ac:dyDescent="0.25">
      <c r="A3391">
        <v>6312</v>
      </c>
      <c r="F3391" t="s">
        <v>5605</v>
      </c>
      <c r="G3391" t="s">
        <v>5604</v>
      </c>
    </row>
    <row r="3392" spans="1:7" x14ac:dyDescent="0.25">
      <c r="A3392">
        <v>6313</v>
      </c>
      <c r="F3392" t="s">
        <v>5603</v>
      </c>
      <c r="G3392" t="s">
        <v>5604</v>
      </c>
    </row>
    <row r="3393" spans="1:7" x14ac:dyDescent="0.25">
      <c r="A3393">
        <v>6313</v>
      </c>
      <c r="F3393" t="s">
        <v>53</v>
      </c>
      <c r="G3393" t="s">
        <v>5604</v>
      </c>
    </row>
    <row r="3394" spans="1:7" x14ac:dyDescent="0.25">
      <c r="A3394">
        <v>6313</v>
      </c>
      <c r="F3394" t="s">
        <v>55</v>
      </c>
      <c r="G3394" t="s">
        <v>5604</v>
      </c>
    </row>
    <row r="3395" spans="1:7" x14ac:dyDescent="0.25">
      <c r="A3395">
        <v>6313</v>
      </c>
      <c r="F3395" t="s">
        <v>5605</v>
      </c>
      <c r="G3395" t="s">
        <v>5604</v>
      </c>
    </row>
    <row r="3396" spans="1:7" x14ac:dyDescent="0.25">
      <c r="A3396">
        <v>6314</v>
      </c>
      <c r="F3396" t="s">
        <v>5603</v>
      </c>
      <c r="G3396" t="s">
        <v>5604</v>
      </c>
    </row>
    <row r="3397" spans="1:7" x14ac:dyDescent="0.25">
      <c r="A3397">
        <v>6314</v>
      </c>
      <c r="F3397" t="s">
        <v>53</v>
      </c>
      <c r="G3397" t="s">
        <v>5604</v>
      </c>
    </row>
    <row r="3398" spans="1:7" x14ac:dyDescent="0.25">
      <c r="A3398">
        <v>6314</v>
      </c>
      <c r="F3398" t="s">
        <v>55</v>
      </c>
      <c r="G3398" t="s">
        <v>5604</v>
      </c>
    </row>
    <row r="3399" spans="1:7" x14ac:dyDescent="0.25">
      <c r="A3399">
        <v>6314</v>
      </c>
      <c r="F3399" t="s">
        <v>5605</v>
      </c>
      <c r="G3399" t="s">
        <v>5604</v>
      </c>
    </row>
    <row r="3400" spans="1:7" x14ac:dyDescent="0.25">
      <c r="A3400">
        <v>6315</v>
      </c>
      <c r="F3400" t="s">
        <v>5603</v>
      </c>
      <c r="G3400" t="s">
        <v>5604</v>
      </c>
    </row>
    <row r="3401" spans="1:7" x14ac:dyDescent="0.25">
      <c r="A3401">
        <v>6315</v>
      </c>
      <c r="F3401" t="s">
        <v>53</v>
      </c>
      <c r="G3401" t="s">
        <v>5604</v>
      </c>
    </row>
    <row r="3402" spans="1:7" x14ac:dyDescent="0.25">
      <c r="A3402">
        <v>6315</v>
      </c>
      <c r="F3402" t="s">
        <v>55</v>
      </c>
      <c r="G3402" t="s">
        <v>5604</v>
      </c>
    </row>
    <row r="3403" spans="1:7" x14ac:dyDescent="0.25">
      <c r="A3403">
        <v>6315</v>
      </c>
      <c r="F3403" t="s">
        <v>5605</v>
      </c>
      <c r="G3403" t="s">
        <v>5604</v>
      </c>
    </row>
    <row r="3404" spans="1:7" x14ac:dyDescent="0.25">
      <c r="A3404">
        <v>6316</v>
      </c>
      <c r="F3404" t="s">
        <v>5603</v>
      </c>
      <c r="G3404" t="s">
        <v>5604</v>
      </c>
    </row>
    <row r="3405" spans="1:7" x14ac:dyDescent="0.25">
      <c r="A3405">
        <v>6316</v>
      </c>
      <c r="F3405" t="s">
        <v>53</v>
      </c>
      <c r="G3405" t="s">
        <v>5604</v>
      </c>
    </row>
    <row r="3406" spans="1:7" x14ac:dyDescent="0.25">
      <c r="A3406">
        <v>6316</v>
      </c>
      <c r="F3406" t="s">
        <v>55</v>
      </c>
      <c r="G3406" t="s">
        <v>5604</v>
      </c>
    </row>
    <row r="3407" spans="1:7" x14ac:dyDescent="0.25">
      <c r="A3407">
        <v>6316</v>
      </c>
      <c r="F3407" t="s">
        <v>5605</v>
      </c>
      <c r="G3407" t="s">
        <v>5604</v>
      </c>
    </row>
    <row r="3408" spans="1:7" x14ac:dyDescent="0.25">
      <c r="A3408">
        <v>6317</v>
      </c>
      <c r="F3408" t="s">
        <v>5603</v>
      </c>
      <c r="G3408" t="s">
        <v>5604</v>
      </c>
    </row>
    <row r="3409" spans="1:7" x14ac:dyDescent="0.25">
      <c r="A3409">
        <v>6317</v>
      </c>
      <c r="F3409" t="s">
        <v>53</v>
      </c>
      <c r="G3409" t="s">
        <v>5604</v>
      </c>
    </row>
    <row r="3410" spans="1:7" x14ac:dyDescent="0.25">
      <c r="A3410">
        <v>6317</v>
      </c>
      <c r="F3410" t="s">
        <v>55</v>
      </c>
      <c r="G3410" t="s">
        <v>5604</v>
      </c>
    </row>
    <row r="3411" spans="1:7" x14ac:dyDescent="0.25">
      <c r="A3411">
        <v>6317</v>
      </c>
      <c r="F3411" t="s">
        <v>5605</v>
      </c>
      <c r="G3411" t="s">
        <v>5604</v>
      </c>
    </row>
    <row r="3412" spans="1:7" x14ac:dyDescent="0.25">
      <c r="A3412">
        <v>6318</v>
      </c>
      <c r="F3412" t="s">
        <v>5603</v>
      </c>
      <c r="G3412" t="s">
        <v>5604</v>
      </c>
    </row>
    <row r="3413" spans="1:7" x14ac:dyDescent="0.25">
      <c r="A3413">
        <v>6318</v>
      </c>
      <c r="F3413" t="s">
        <v>53</v>
      </c>
      <c r="G3413" t="s">
        <v>5604</v>
      </c>
    </row>
    <row r="3414" spans="1:7" x14ac:dyDescent="0.25">
      <c r="A3414">
        <v>6318</v>
      </c>
      <c r="F3414" t="s">
        <v>55</v>
      </c>
      <c r="G3414" t="s">
        <v>5604</v>
      </c>
    </row>
    <row r="3415" spans="1:7" x14ac:dyDescent="0.25">
      <c r="A3415">
        <v>6318</v>
      </c>
      <c r="F3415" t="s">
        <v>5605</v>
      </c>
      <c r="G3415" t="s">
        <v>5604</v>
      </c>
    </row>
    <row r="3416" spans="1:7" x14ac:dyDescent="0.25">
      <c r="A3416">
        <v>6319</v>
      </c>
      <c r="F3416" t="s">
        <v>5603</v>
      </c>
      <c r="G3416" t="s">
        <v>5604</v>
      </c>
    </row>
    <row r="3417" spans="1:7" x14ac:dyDescent="0.25">
      <c r="A3417">
        <v>6319</v>
      </c>
      <c r="F3417" t="s">
        <v>53</v>
      </c>
      <c r="G3417" t="s">
        <v>5604</v>
      </c>
    </row>
    <row r="3418" spans="1:7" x14ac:dyDescent="0.25">
      <c r="A3418">
        <v>6319</v>
      </c>
      <c r="F3418" t="s">
        <v>55</v>
      </c>
      <c r="G3418" t="s">
        <v>5604</v>
      </c>
    </row>
    <row r="3419" spans="1:7" x14ac:dyDescent="0.25">
      <c r="A3419">
        <v>6319</v>
      </c>
      <c r="F3419" t="s">
        <v>5605</v>
      </c>
      <c r="G3419" t="s">
        <v>5604</v>
      </c>
    </row>
    <row r="3420" spans="1:7" x14ac:dyDescent="0.25">
      <c r="A3420">
        <v>6320</v>
      </c>
      <c r="F3420" t="s">
        <v>5603</v>
      </c>
      <c r="G3420" t="s">
        <v>5604</v>
      </c>
    </row>
    <row r="3421" spans="1:7" x14ac:dyDescent="0.25">
      <c r="A3421">
        <v>6320</v>
      </c>
      <c r="F3421" t="s">
        <v>53</v>
      </c>
      <c r="G3421" t="s">
        <v>5604</v>
      </c>
    </row>
    <row r="3422" spans="1:7" x14ac:dyDescent="0.25">
      <c r="A3422">
        <v>6320</v>
      </c>
      <c r="F3422" t="s">
        <v>55</v>
      </c>
      <c r="G3422" t="s">
        <v>5604</v>
      </c>
    </row>
    <row r="3423" spans="1:7" x14ac:dyDescent="0.25">
      <c r="A3423">
        <v>6320</v>
      </c>
      <c r="F3423" t="s">
        <v>5605</v>
      </c>
      <c r="G3423" t="s">
        <v>5604</v>
      </c>
    </row>
    <row r="3424" spans="1:7" x14ac:dyDescent="0.25">
      <c r="A3424">
        <v>6321</v>
      </c>
      <c r="F3424" t="s">
        <v>5603</v>
      </c>
      <c r="G3424" t="s">
        <v>5604</v>
      </c>
    </row>
    <row r="3425" spans="1:7" x14ac:dyDescent="0.25">
      <c r="A3425">
        <v>6321</v>
      </c>
      <c r="F3425" t="s">
        <v>53</v>
      </c>
      <c r="G3425" t="s">
        <v>5604</v>
      </c>
    </row>
    <row r="3426" spans="1:7" x14ac:dyDescent="0.25">
      <c r="A3426">
        <v>6321</v>
      </c>
      <c r="F3426" t="s">
        <v>55</v>
      </c>
      <c r="G3426" t="s">
        <v>5604</v>
      </c>
    </row>
    <row r="3427" spans="1:7" x14ac:dyDescent="0.25">
      <c r="A3427">
        <v>6321</v>
      </c>
      <c r="F3427" t="s">
        <v>5605</v>
      </c>
      <c r="G3427" t="s">
        <v>5604</v>
      </c>
    </row>
    <row r="3428" spans="1:7" x14ac:dyDescent="0.25">
      <c r="A3428">
        <v>6322</v>
      </c>
      <c r="F3428" t="s">
        <v>5603</v>
      </c>
      <c r="G3428" t="s">
        <v>5604</v>
      </c>
    </row>
    <row r="3429" spans="1:7" x14ac:dyDescent="0.25">
      <c r="A3429">
        <v>6322</v>
      </c>
      <c r="F3429" t="s">
        <v>53</v>
      </c>
      <c r="G3429" t="s">
        <v>5604</v>
      </c>
    </row>
    <row r="3430" spans="1:7" x14ac:dyDescent="0.25">
      <c r="A3430">
        <v>6322</v>
      </c>
      <c r="F3430" t="s">
        <v>55</v>
      </c>
      <c r="G3430" t="s">
        <v>5604</v>
      </c>
    </row>
    <row r="3431" spans="1:7" x14ac:dyDescent="0.25">
      <c r="A3431">
        <v>6322</v>
      </c>
      <c r="F3431" t="s">
        <v>5605</v>
      </c>
      <c r="G3431" t="s">
        <v>5604</v>
      </c>
    </row>
    <row r="3432" spans="1:7" x14ac:dyDescent="0.25">
      <c r="A3432">
        <v>6323</v>
      </c>
      <c r="F3432" t="s">
        <v>5603</v>
      </c>
      <c r="G3432" t="s">
        <v>5604</v>
      </c>
    </row>
    <row r="3433" spans="1:7" x14ac:dyDescent="0.25">
      <c r="A3433">
        <v>6323</v>
      </c>
      <c r="F3433" t="s">
        <v>53</v>
      </c>
      <c r="G3433" t="s">
        <v>5604</v>
      </c>
    </row>
    <row r="3434" spans="1:7" x14ac:dyDescent="0.25">
      <c r="A3434">
        <v>6323</v>
      </c>
      <c r="F3434" t="s">
        <v>55</v>
      </c>
      <c r="G3434" t="s">
        <v>5604</v>
      </c>
    </row>
    <row r="3435" spans="1:7" x14ac:dyDescent="0.25">
      <c r="A3435">
        <v>6323</v>
      </c>
      <c r="F3435" t="s">
        <v>5605</v>
      </c>
      <c r="G3435" t="s">
        <v>5604</v>
      </c>
    </row>
    <row r="3436" spans="1:7" x14ac:dyDescent="0.25">
      <c r="A3436">
        <v>6324</v>
      </c>
      <c r="F3436" t="s">
        <v>5603</v>
      </c>
      <c r="G3436" t="s">
        <v>5604</v>
      </c>
    </row>
    <row r="3437" spans="1:7" x14ac:dyDescent="0.25">
      <c r="A3437">
        <v>6324</v>
      </c>
      <c r="F3437" t="s">
        <v>53</v>
      </c>
      <c r="G3437" t="s">
        <v>5604</v>
      </c>
    </row>
    <row r="3438" spans="1:7" x14ac:dyDescent="0.25">
      <c r="A3438">
        <v>6324</v>
      </c>
      <c r="F3438" t="s">
        <v>55</v>
      </c>
      <c r="G3438" t="s">
        <v>5604</v>
      </c>
    </row>
    <row r="3439" spans="1:7" x14ac:dyDescent="0.25">
      <c r="A3439">
        <v>6324</v>
      </c>
      <c r="F3439" t="s">
        <v>5605</v>
      </c>
      <c r="G3439" t="s">
        <v>5604</v>
      </c>
    </row>
    <row r="3440" spans="1:7" x14ac:dyDescent="0.25">
      <c r="A3440">
        <v>6325</v>
      </c>
      <c r="F3440" t="s">
        <v>5603</v>
      </c>
      <c r="G3440" t="s">
        <v>5604</v>
      </c>
    </row>
    <row r="3441" spans="1:7" x14ac:dyDescent="0.25">
      <c r="A3441">
        <v>6325</v>
      </c>
      <c r="F3441" t="s">
        <v>53</v>
      </c>
      <c r="G3441" t="s">
        <v>5604</v>
      </c>
    </row>
    <row r="3442" spans="1:7" x14ac:dyDescent="0.25">
      <c r="A3442">
        <v>6325</v>
      </c>
      <c r="F3442" t="s">
        <v>55</v>
      </c>
      <c r="G3442" t="s">
        <v>5604</v>
      </c>
    </row>
    <row r="3443" spans="1:7" x14ac:dyDescent="0.25">
      <c r="A3443">
        <v>6325</v>
      </c>
      <c r="F3443" t="s">
        <v>5605</v>
      </c>
      <c r="G3443" t="s">
        <v>5604</v>
      </c>
    </row>
    <row r="3444" spans="1:7" x14ac:dyDescent="0.25">
      <c r="A3444">
        <v>6326</v>
      </c>
      <c r="F3444" t="s">
        <v>5603</v>
      </c>
      <c r="G3444" t="s">
        <v>5604</v>
      </c>
    </row>
    <row r="3445" spans="1:7" x14ac:dyDescent="0.25">
      <c r="A3445">
        <v>6326</v>
      </c>
      <c r="F3445" t="s">
        <v>53</v>
      </c>
      <c r="G3445" t="s">
        <v>5604</v>
      </c>
    </row>
    <row r="3446" spans="1:7" x14ac:dyDescent="0.25">
      <c r="A3446">
        <v>6326</v>
      </c>
      <c r="F3446" t="s">
        <v>55</v>
      </c>
      <c r="G3446" t="s">
        <v>5604</v>
      </c>
    </row>
    <row r="3447" spans="1:7" x14ac:dyDescent="0.25">
      <c r="A3447">
        <v>6326</v>
      </c>
      <c r="F3447" t="s">
        <v>5605</v>
      </c>
      <c r="G3447" t="s">
        <v>5604</v>
      </c>
    </row>
    <row r="3448" spans="1:7" x14ac:dyDescent="0.25">
      <c r="A3448">
        <v>6327</v>
      </c>
      <c r="F3448" t="s">
        <v>5603</v>
      </c>
      <c r="G3448" t="s">
        <v>5604</v>
      </c>
    </row>
    <row r="3449" spans="1:7" x14ac:dyDescent="0.25">
      <c r="A3449">
        <v>6327</v>
      </c>
      <c r="F3449" t="s">
        <v>53</v>
      </c>
      <c r="G3449" t="s">
        <v>5604</v>
      </c>
    </row>
    <row r="3450" spans="1:7" x14ac:dyDescent="0.25">
      <c r="A3450">
        <v>6327</v>
      </c>
      <c r="F3450" t="s">
        <v>55</v>
      </c>
      <c r="G3450" t="s">
        <v>5604</v>
      </c>
    </row>
    <row r="3451" spans="1:7" x14ac:dyDescent="0.25">
      <c r="A3451">
        <v>6327</v>
      </c>
      <c r="F3451" t="s">
        <v>5605</v>
      </c>
      <c r="G3451" t="s">
        <v>5604</v>
      </c>
    </row>
    <row r="3452" spans="1:7" x14ac:dyDescent="0.25">
      <c r="A3452">
        <v>6328</v>
      </c>
      <c r="F3452" t="s">
        <v>5603</v>
      </c>
      <c r="G3452" t="s">
        <v>5604</v>
      </c>
    </row>
    <row r="3453" spans="1:7" x14ac:dyDescent="0.25">
      <c r="A3453">
        <v>6328</v>
      </c>
      <c r="F3453" t="s">
        <v>53</v>
      </c>
      <c r="G3453" t="s">
        <v>5604</v>
      </c>
    </row>
    <row r="3454" spans="1:7" x14ac:dyDescent="0.25">
      <c r="A3454">
        <v>6328</v>
      </c>
      <c r="F3454" t="s">
        <v>55</v>
      </c>
      <c r="G3454" t="s">
        <v>5604</v>
      </c>
    </row>
    <row r="3455" spans="1:7" x14ac:dyDescent="0.25">
      <c r="A3455">
        <v>6328</v>
      </c>
      <c r="F3455" t="s">
        <v>5605</v>
      </c>
      <c r="G3455" t="s">
        <v>5604</v>
      </c>
    </row>
    <row r="3456" spans="1:7" x14ac:dyDescent="0.25">
      <c r="A3456">
        <v>6329</v>
      </c>
      <c r="F3456" t="s">
        <v>5603</v>
      </c>
      <c r="G3456" t="s">
        <v>5604</v>
      </c>
    </row>
    <row r="3457" spans="1:7" x14ac:dyDescent="0.25">
      <c r="A3457">
        <v>6329</v>
      </c>
      <c r="F3457" t="s">
        <v>53</v>
      </c>
      <c r="G3457" t="s">
        <v>5604</v>
      </c>
    </row>
    <row r="3458" spans="1:7" x14ac:dyDescent="0.25">
      <c r="A3458">
        <v>6329</v>
      </c>
      <c r="F3458" t="s">
        <v>55</v>
      </c>
      <c r="G3458" t="s">
        <v>5604</v>
      </c>
    </row>
    <row r="3459" spans="1:7" x14ac:dyDescent="0.25">
      <c r="A3459">
        <v>6329</v>
      </c>
      <c r="F3459" t="s">
        <v>5605</v>
      </c>
      <c r="G3459" t="s">
        <v>5604</v>
      </c>
    </row>
    <row r="3460" spans="1:7" x14ac:dyDescent="0.25">
      <c r="A3460">
        <v>6330</v>
      </c>
      <c r="F3460" t="s">
        <v>5603</v>
      </c>
      <c r="G3460" t="s">
        <v>5604</v>
      </c>
    </row>
    <row r="3461" spans="1:7" x14ac:dyDescent="0.25">
      <c r="A3461">
        <v>6330</v>
      </c>
      <c r="F3461" t="s">
        <v>53</v>
      </c>
      <c r="G3461" t="s">
        <v>5604</v>
      </c>
    </row>
    <row r="3462" spans="1:7" x14ac:dyDescent="0.25">
      <c r="A3462">
        <v>6330</v>
      </c>
      <c r="F3462" t="s">
        <v>55</v>
      </c>
      <c r="G3462" t="s">
        <v>5604</v>
      </c>
    </row>
    <row r="3463" spans="1:7" x14ac:dyDescent="0.25">
      <c r="A3463">
        <v>6330</v>
      </c>
      <c r="F3463" t="s">
        <v>5605</v>
      </c>
      <c r="G3463" t="s">
        <v>5604</v>
      </c>
    </row>
    <row r="3464" spans="1:7" x14ac:dyDescent="0.25">
      <c r="A3464">
        <v>6331</v>
      </c>
      <c r="F3464" t="s">
        <v>5603</v>
      </c>
      <c r="G3464" t="s">
        <v>5604</v>
      </c>
    </row>
    <row r="3465" spans="1:7" x14ac:dyDescent="0.25">
      <c r="A3465">
        <v>6331</v>
      </c>
      <c r="F3465" t="s">
        <v>53</v>
      </c>
      <c r="G3465" t="s">
        <v>5604</v>
      </c>
    </row>
    <row r="3466" spans="1:7" x14ac:dyDescent="0.25">
      <c r="A3466">
        <v>6331</v>
      </c>
      <c r="F3466" t="s">
        <v>55</v>
      </c>
      <c r="G3466" t="s">
        <v>5604</v>
      </c>
    </row>
    <row r="3467" spans="1:7" x14ac:dyDescent="0.25">
      <c r="A3467">
        <v>6331</v>
      </c>
      <c r="F3467" t="s">
        <v>5605</v>
      </c>
      <c r="G3467" t="s">
        <v>5604</v>
      </c>
    </row>
    <row r="3468" spans="1:7" x14ac:dyDescent="0.25">
      <c r="A3468">
        <v>6332</v>
      </c>
      <c r="F3468" t="s">
        <v>5603</v>
      </c>
      <c r="G3468" t="s">
        <v>5604</v>
      </c>
    </row>
    <row r="3469" spans="1:7" x14ac:dyDescent="0.25">
      <c r="A3469">
        <v>6332</v>
      </c>
      <c r="F3469" t="s">
        <v>53</v>
      </c>
      <c r="G3469" t="s">
        <v>5604</v>
      </c>
    </row>
    <row r="3470" spans="1:7" x14ac:dyDescent="0.25">
      <c r="A3470">
        <v>6332</v>
      </c>
      <c r="F3470" t="s">
        <v>55</v>
      </c>
      <c r="G3470" t="s">
        <v>5604</v>
      </c>
    </row>
    <row r="3471" spans="1:7" x14ac:dyDescent="0.25">
      <c r="A3471">
        <v>6332</v>
      </c>
      <c r="F3471" t="s">
        <v>5605</v>
      </c>
      <c r="G3471" t="s">
        <v>5604</v>
      </c>
    </row>
    <row r="3472" spans="1:7" x14ac:dyDescent="0.25">
      <c r="A3472">
        <v>6333</v>
      </c>
      <c r="F3472" t="s">
        <v>5603</v>
      </c>
      <c r="G3472" t="s">
        <v>5604</v>
      </c>
    </row>
    <row r="3473" spans="1:7" x14ac:dyDescent="0.25">
      <c r="A3473">
        <v>6333</v>
      </c>
      <c r="F3473" t="s">
        <v>53</v>
      </c>
      <c r="G3473" t="s">
        <v>5604</v>
      </c>
    </row>
    <row r="3474" spans="1:7" x14ac:dyDescent="0.25">
      <c r="A3474">
        <v>6333</v>
      </c>
      <c r="F3474" t="s">
        <v>55</v>
      </c>
      <c r="G3474" t="s">
        <v>5604</v>
      </c>
    </row>
    <row r="3475" spans="1:7" x14ac:dyDescent="0.25">
      <c r="A3475">
        <v>6333</v>
      </c>
      <c r="F3475" t="s">
        <v>5605</v>
      </c>
      <c r="G3475" t="s">
        <v>5604</v>
      </c>
    </row>
    <row r="3476" spans="1:7" x14ac:dyDescent="0.25">
      <c r="A3476">
        <v>6334</v>
      </c>
      <c r="F3476" t="s">
        <v>5603</v>
      </c>
      <c r="G3476" t="s">
        <v>5604</v>
      </c>
    </row>
    <row r="3477" spans="1:7" x14ac:dyDescent="0.25">
      <c r="A3477">
        <v>6334</v>
      </c>
      <c r="F3477" t="s">
        <v>53</v>
      </c>
      <c r="G3477" t="s">
        <v>5604</v>
      </c>
    </row>
    <row r="3478" spans="1:7" x14ac:dyDescent="0.25">
      <c r="A3478">
        <v>6334</v>
      </c>
      <c r="F3478" t="s">
        <v>55</v>
      </c>
      <c r="G3478" t="s">
        <v>5604</v>
      </c>
    </row>
    <row r="3479" spans="1:7" x14ac:dyDescent="0.25">
      <c r="A3479">
        <v>6334</v>
      </c>
      <c r="F3479" t="s">
        <v>5605</v>
      </c>
      <c r="G3479" t="s">
        <v>5604</v>
      </c>
    </row>
    <row r="3480" spans="1:7" x14ac:dyDescent="0.25">
      <c r="A3480">
        <v>6335</v>
      </c>
      <c r="F3480" t="s">
        <v>5603</v>
      </c>
      <c r="G3480" t="s">
        <v>5604</v>
      </c>
    </row>
    <row r="3481" spans="1:7" x14ac:dyDescent="0.25">
      <c r="A3481">
        <v>6335</v>
      </c>
      <c r="F3481" t="s">
        <v>53</v>
      </c>
      <c r="G3481" t="s">
        <v>5604</v>
      </c>
    </row>
    <row r="3482" spans="1:7" x14ac:dyDescent="0.25">
      <c r="A3482">
        <v>6335</v>
      </c>
      <c r="F3482" t="s">
        <v>55</v>
      </c>
      <c r="G3482" t="s">
        <v>5604</v>
      </c>
    </row>
    <row r="3483" spans="1:7" x14ac:dyDescent="0.25">
      <c r="A3483">
        <v>6335</v>
      </c>
      <c r="F3483" t="s">
        <v>5605</v>
      </c>
      <c r="G3483" t="s">
        <v>5604</v>
      </c>
    </row>
    <row r="3484" spans="1:7" x14ac:dyDescent="0.25">
      <c r="A3484">
        <v>6336</v>
      </c>
      <c r="F3484" t="s">
        <v>5603</v>
      </c>
      <c r="G3484" t="s">
        <v>5604</v>
      </c>
    </row>
    <row r="3485" spans="1:7" x14ac:dyDescent="0.25">
      <c r="A3485">
        <v>6336</v>
      </c>
      <c r="F3485" t="s">
        <v>53</v>
      </c>
      <c r="G3485" t="s">
        <v>5604</v>
      </c>
    </row>
    <row r="3486" spans="1:7" x14ac:dyDescent="0.25">
      <c r="A3486">
        <v>6336</v>
      </c>
      <c r="F3486" t="s">
        <v>55</v>
      </c>
      <c r="G3486" t="s">
        <v>5604</v>
      </c>
    </row>
    <row r="3487" spans="1:7" x14ac:dyDescent="0.25">
      <c r="A3487">
        <v>6336</v>
      </c>
      <c r="F3487" t="s">
        <v>5605</v>
      </c>
      <c r="G3487" t="s">
        <v>5604</v>
      </c>
    </row>
    <row r="3488" spans="1:7" x14ac:dyDescent="0.25">
      <c r="A3488">
        <v>6337</v>
      </c>
      <c r="F3488" t="s">
        <v>5603</v>
      </c>
      <c r="G3488" t="s">
        <v>5604</v>
      </c>
    </row>
    <row r="3489" spans="1:7" x14ac:dyDescent="0.25">
      <c r="A3489">
        <v>6337</v>
      </c>
      <c r="F3489" t="s">
        <v>53</v>
      </c>
      <c r="G3489" t="s">
        <v>5604</v>
      </c>
    </row>
    <row r="3490" spans="1:7" x14ac:dyDescent="0.25">
      <c r="A3490">
        <v>6337</v>
      </c>
      <c r="F3490" t="s">
        <v>55</v>
      </c>
      <c r="G3490" t="s">
        <v>5604</v>
      </c>
    </row>
    <row r="3491" spans="1:7" x14ac:dyDescent="0.25">
      <c r="A3491">
        <v>6337</v>
      </c>
      <c r="F3491" t="s">
        <v>5605</v>
      </c>
      <c r="G3491" t="s">
        <v>5604</v>
      </c>
    </row>
    <row r="3492" spans="1:7" x14ac:dyDescent="0.25">
      <c r="A3492">
        <v>6338</v>
      </c>
      <c r="F3492" t="s">
        <v>5603</v>
      </c>
      <c r="G3492" t="s">
        <v>5604</v>
      </c>
    </row>
    <row r="3493" spans="1:7" x14ac:dyDescent="0.25">
      <c r="A3493">
        <v>6338</v>
      </c>
      <c r="F3493" t="s">
        <v>53</v>
      </c>
      <c r="G3493" t="s">
        <v>5604</v>
      </c>
    </row>
    <row r="3494" spans="1:7" x14ac:dyDescent="0.25">
      <c r="A3494">
        <v>6338</v>
      </c>
      <c r="F3494" t="s">
        <v>55</v>
      </c>
      <c r="G3494" t="s">
        <v>5604</v>
      </c>
    </row>
    <row r="3495" spans="1:7" x14ac:dyDescent="0.25">
      <c r="A3495">
        <v>6338</v>
      </c>
      <c r="F3495" t="s">
        <v>5605</v>
      </c>
      <c r="G3495" t="s">
        <v>5604</v>
      </c>
    </row>
    <row r="3496" spans="1:7" x14ac:dyDescent="0.25">
      <c r="A3496">
        <v>6339</v>
      </c>
      <c r="F3496" t="s">
        <v>5603</v>
      </c>
      <c r="G3496" t="s">
        <v>5604</v>
      </c>
    </row>
    <row r="3497" spans="1:7" x14ac:dyDescent="0.25">
      <c r="A3497">
        <v>6339</v>
      </c>
      <c r="F3497" t="s">
        <v>53</v>
      </c>
      <c r="G3497" t="s">
        <v>5604</v>
      </c>
    </row>
    <row r="3498" spans="1:7" x14ac:dyDescent="0.25">
      <c r="A3498">
        <v>6339</v>
      </c>
      <c r="F3498" t="s">
        <v>55</v>
      </c>
      <c r="G3498" t="s">
        <v>5604</v>
      </c>
    </row>
    <row r="3499" spans="1:7" x14ac:dyDescent="0.25">
      <c r="A3499">
        <v>6339</v>
      </c>
      <c r="F3499" t="s">
        <v>5605</v>
      </c>
      <c r="G3499" t="s">
        <v>5604</v>
      </c>
    </row>
    <row r="3500" spans="1:7" x14ac:dyDescent="0.25">
      <c r="A3500">
        <v>6340</v>
      </c>
      <c r="F3500" t="s">
        <v>5603</v>
      </c>
      <c r="G3500" t="s">
        <v>5604</v>
      </c>
    </row>
    <row r="3501" spans="1:7" x14ac:dyDescent="0.25">
      <c r="A3501">
        <v>6340</v>
      </c>
      <c r="F3501" t="s">
        <v>53</v>
      </c>
      <c r="G3501" t="s">
        <v>5604</v>
      </c>
    </row>
    <row r="3502" spans="1:7" x14ac:dyDescent="0.25">
      <c r="A3502">
        <v>6340</v>
      </c>
      <c r="F3502" t="s">
        <v>55</v>
      </c>
      <c r="G3502" t="s">
        <v>5604</v>
      </c>
    </row>
    <row r="3503" spans="1:7" x14ac:dyDescent="0.25">
      <c r="A3503">
        <v>6340</v>
      </c>
      <c r="F3503" t="s">
        <v>5605</v>
      </c>
      <c r="G3503" t="s">
        <v>5604</v>
      </c>
    </row>
    <row r="3504" spans="1:7" x14ac:dyDescent="0.25">
      <c r="A3504">
        <v>6341</v>
      </c>
      <c r="F3504" t="s">
        <v>5603</v>
      </c>
      <c r="G3504" t="s">
        <v>5604</v>
      </c>
    </row>
    <row r="3505" spans="1:7" x14ac:dyDescent="0.25">
      <c r="A3505">
        <v>6341</v>
      </c>
      <c r="F3505" t="s">
        <v>53</v>
      </c>
      <c r="G3505" t="s">
        <v>5604</v>
      </c>
    </row>
    <row r="3506" spans="1:7" x14ac:dyDescent="0.25">
      <c r="A3506">
        <v>6341</v>
      </c>
      <c r="F3506" t="s">
        <v>55</v>
      </c>
      <c r="G3506" t="s">
        <v>5604</v>
      </c>
    </row>
    <row r="3507" spans="1:7" x14ac:dyDescent="0.25">
      <c r="A3507">
        <v>6341</v>
      </c>
      <c r="F3507" t="s">
        <v>5605</v>
      </c>
      <c r="G3507" t="s">
        <v>5604</v>
      </c>
    </row>
    <row r="3508" spans="1:7" x14ac:dyDescent="0.25">
      <c r="A3508">
        <v>6342</v>
      </c>
      <c r="F3508" t="s">
        <v>5603</v>
      </c>
      <c r="G3508" t="s">
        <v>5604</v>
      </c>
    </row>
    <row r="3509" spans="1:7" x14ac:dyDescent="0.25">
      <c r="A3509">
        <v>6342</v>
      </c>
      <c r="F3509" t="s">
        <v>53</v>
      </c>
      <c r="G3509" t="s">
        <v>5604</v>
      </c>
    </row>
    <row r="3510" spans="1:7" x14ac:dyDescent="0.25">
      <c r="A3510">
        <v>6342</v>
      </c>
      <c r="F3510" t="s">
        <v>55</v>
      </c>
      <c r="G3510" t="s">
        <v>5604</v>
      </c>
    </row>
    <row r="3511" spans="1:7" x14ac:dyDescent="0.25">
      <c r="A3511">
        <v>6342</v>
      </c>
      <c r="F3511" t="s">
        <v>5605</v>
      </c>
      <c r="G3511" t="s">
        <v>5604</v>
      </c>
    </row>
    <row r="3512" spans="1:7" x14ac:dyDescent="0.25">
      <c r="A3512">
        <v>6343</v>
      </c>
      <c r="F3512" t="s">
        <v>5603</v>
      </c>
      <c r="G3512" t="s">
        <v>5604</v>
      </c>
    </row>
    <row r="3513" spans="1:7" x14ac:dyDescent="0.25">
      <c r="A3513">
        <v>6343</v>
      </c>
      <c r="F3513" t="s">
        <v>53</v>
      </c>
      <c r="G3513" t="s">
        <v>5604</v>
      </c>
    </row>
    <row r="3514" spans="1:7" x14ac:dyDescent="0.25">
      <c r="A3514">
        <v>6343</v>
      </c>
      <c r="F3514" t="s">
        <v>55</v>
      </c>
      <c r="G3514" t="s">
        <v>5604</v>
      </c>
    </row>
    <row r="3515" spans="1:7" x14ac:dyDescent="0.25">
      <c r="A3515">
        <v>6343</v>
      </c>
      <c r="F3515" t="s">
        <v>5605</v>
      </c>
      <c r="G3515" t="s">
        <v>5604</v>
      </c>
    </row>
    <row r="3516" spans="1:7" x14ac:dyDescent="0.25">
      <c r="A3516">
        <v>6344</v>
      </c>
      <c r="F3516" t="s">
        <v>5603</v>
      </c>
      <c r="G3516" t="s">
        <v>5604</v>
      </c>
    </row>
    <row r="3517" spans="1:7" x14ac:dyDescent="0.25">
      <c r="A3517">
        <v>6344</v>
      </c>
      <c r="F3517" t="s">
        <v>53</v>
      </c>
      <c r="G3517" t="s">
        <v>5604</v>
      </c>
    </row>
    <row r="3518" spans="1:7" x14ac:dyDescent="0.25">
      <c r="A3518">
        <v>6344</v>
      </c>
      <c r="F3518" t="s">
        <v>55</v>
      </c>
      <c r="G3518" t="s">
        <v>5604</v>
      </c>
    </row>
    <row r="3519" spans="1:7" x14ac:dyDescent="0.25">
      <c r="A3519">
        <v>6344</v>
      </c>
      <c r="F3519" t="s">
        <v>5605</v>
      </c>
      <c r="G3519" t="s">
        <v>5604</v>
      </c>
    </row>
    <row r="3520" spans="1:7" x14ac:dyDescent="0.25">
      <c r="A3520">
        <v>6345</v>
      </c>
      <c r="F3520" t="s">
        <v>5603</v>
      </c>
      <c r="G3520" t="s">
        <v>5604</v>
      </c>
    </row>
    <row r="3521" spans="1:7" x14ac:dyDescent="0.25">
      <c r="A3521">
        <v>6345</v>
      </c>
      <c r="F3521" t="s">
        <v>53</v>
      </c>
      <c r="G3521" t="s">
        <v>5604</v>
      </c>
    </row>
    <row r="3522" spans="1:7" x14ac:dyDescent="0.25">
      <c r="A3522">
        <v>6345</v>
      </c>
      <c r="F3522" t="s">
        <v>55</v>
      </c>
      <c r="G3522" t="s">
        <v>5604</v>
      </c>
    </row>
    <row r="3523" spans="1:7" x14ac:dyDescent="0.25">
      <c r="A3523">
        <v>6345</v>
      </c>
      <c r="F3523" t="s">
        <v>5605</v>
      </c>
      <c r="G3523" t="s">
        <v>5604</v>
      </c>
    </row>
    <row r="3524" spans="1:7" x14ac:dyDescent="0.25">
      <c r="A3524">
        <v>6346</v>
      </c>
      <c r="F3524" t="s">
        <v>5603</v>
      </c>
      <c r="G3524" t="s">
        <v>5604</v>
      </c>
    </row>
    <row r="3525" spans="1:7" x14ac:dyDescent="0.25">
      <c r="A3525">
        <v>6346</v>
      </c>
      <c r="F3525" t="s">
        <v>53</v>
      </c>
      <c r="G3525" t="s">
        <v>5604</v>
      </c>
    </row>
    <row r="3526" spans="1:7" x14ac:dyDescent="0.25">
      <c r="A3526">
        <v>6346</v>
      </c>
      <c r="F3526" t="s">
        <v>55</v>
      </c>
      <c r="G3526" t="s">
        <v>5604</v>
      </c>
    </row>
    <row r="3527" spans="1:7" x14ac:dyDescent="0.25">
      <c r="A3527">
        <v>6346</v>
      </c>
      <c r="F3527" t="s">
        <v>5605</v>
      </c>
      <c r="G3527" t="s">
        <v>5604</v>
      </c>
    </row>
    <row r="3528" spans="1:7" x14ac:dyDescent="0.25">
      <c r="A3528">
        <v>6347</v>
      </c>
      <c r="F3528" t="s">
        <v>5603</v>
      </c>
      <c r="G3528" t="s">
        <v>5604</v>
      </c>
    </row>
    <row r="3529" spans="1:7" x14ac:dyDescent="0.25">
      <c r="A3529">
        <v>6347</v>
      </c>
      <c r="F3529" t="s">
        <v>53</v>
      </c>
      <c r="G3529" t="s">
        <v>5604</v>
      </c>
    </row>
    <row r="3530" spans="1:7" x14ac:dyDescent="0.25">
      <c r="A3530">
        <v>6347</v>
      </c>
      <c r="F3530" t="s">
        <v>55</v>
      </c>
      <c r="G3530" t="s">
        <v>5604</v>
      </c>
    </row>
    <row r="3531" spans="1:7" x14ac:dyDescent="0.25">
      <c r="A3531">
        <v>6347</v>
      </c>
      <c r="F3531" t="s">
        <v>5605</v>
      </c>
      <c r="G3531" t="s">
        <v>5604</v>
      </c>
    </row>
    <row r="3532" spans="1:7" x14ac:dyDescent="0.25">
      <c r="A3532">
        <v>6348</v>
      </c>
      <c r="F3532" t="s">
        <v>5603</v>
      </c>
      <c r="G3532" t="s">
        <v>5604</v>
      </c>
    </row>
    <row r="3533" spans="1:7" x14ac:dyDescent="0.25">
      <c r="A3533">
        <v>6348</v>
      </c>
      <c r="F3533" t="s">
        <v>53</v>
      </c>
      <c r="G3533" t="s">
        <v>5604</v>
      </c>
    </row>
    <row r="3534" spans="1:7" x14ac:dyDescent="0.25">
      <c r="A3534">
        <v>6348</v>
      </c>
      <c r="F3534" t="s">
        <v>55</v>
      </c>
      <c r="G3534" t="s">
        <v>5604</v>
      </c>
    </row>
    <row r="3535" spans="1:7" x14ac:dyDescent="0.25">
      <c r="A3535">
        <v>6348</v>
      </c>
      <c r="F3535" t="s">
        <v>5605</v>
      </c>
      <c r="G3535" t="s">
        <v>5604</v>
      </c>
    </row>
    <row r="3536" spans="1:7" x14ac:dyDescent="0.25">
      <c r="A3536">
        <v>6349</v>
      </c>
      <c r="F3536" t="s">
        <v>5603</v>
      </c>
      <c r="G3536" t="s">
        <v>5604</v>
      </c>
    </row>
    <row r="3537" spans="1:7" x14ac:dyDescent="0.25">
      <c r="A3537">
        <v>6349</v>
      </c>
      <c r="F3537" t="s">
        <v>53</v>
      </c>
      <c r="G3537" t="s">
        <v>5604</v>
      </c>
    </row>
    <row r="3538" spans="1:7" x14ac:dyDescent="0.25">
      <c r="A3538">
        <v>6349</v>
      </c>
      <c r="F3538" t="s">
        <v>55</v>
      </c>
      <c r="G3538" t="s">
        <v>5604</v>
      </c>
    </row>
    <row r="3539" spans="1:7" x14ac:dyDescent="0.25">
      <c r="A3539">
        <v>6349</v>
      </c>
      <c r="F3539" t="s">
        <v>5605</v>
      </c>
      <c r="G3539" t="s">
        <v>5604</v>
      </c>
    </row>
    <row r="3540" spans="1:7" x14ac:dyDescent="0.25">
      <c r="A3540">
        <v>6350</v>
      </c>
      <c r="F3540" t="s">
        <v>5603</v>
      </c>
      <c r="G3540" t="s">
        <v>5604</v>
      </c>
    </row>
    <row r="3541" spans="1:7" x14ac:dyDescent="0.25">
      <c r="A3541">
        <v>6350</v>
      </c>
      <c r="F3541" t="s">
        <v>53</v>
      </c>
      <c r="G3541" t="s">
        <v>5604</v>
      </c>
    </row>
    <row r="3542" spans="1:7" x14ac:dyDescent="0.25">
      <c r="A3542">
        <v>6350</v>
      </c>
      <c r="F3542" t="s">
        <v>55</v>
      </c>
      <c r="G3542" t="s">
        <v>5604</v>
      </c>
    </row>
    <row r="3543" spans="1:7" x14ac:dyDescent="0.25">
      <c r="A3543">
        <v>6350</v>
      </c>
      <c r="F3543" t="s">
        <v>5605</v>
      </c>
      <c r="G3543" t="s">
        <v>5604</v>
      </c>
    </row>
    <row r="3544" spans="1:7" x14ac:dyDescent="0.25">
      <c r="A3544">
        <v>6351</v>
      </c>
      <c r="F3544" t="s">
        <v>5603</v>
      </c>
      <c r="G3544" t="s">
        <v>5604</v>
      </c>
    </row>
    <row r="3545" spans="1:7" x14ac:dyDescent="0.25">
      <c r="A3545">
        <v>6351</v>
      </c>
      <c r="F3545" t="s">
        <v>53</v>
      </c>
      <c r="G3545" t="s">
        <v>5604</v>
      </c>
    </row>
    <row r="3546" spans="1:7" x14ac:dyDescent="0.25">
      <c r="A3546">
        <v>6351</v>
      </c>
      <c r="F3546" t="s">
        <v>55</v>
      </c>
      <c r="G3546" t="s">
        <v>5604</v>
      </c>
    </row>
    <row r="3547" spans="1:7" x14ac:dyDescent="0.25">
      <c r="A3547">
        <v>6351</v>
      </c>
      <c r="F3547" t="s">
        <v>5605</v>
      </c>
      <c r="G3547" t="s">
        <v>5604</v>
      </c>
    </row>
    <row r="3548" spans="1:7" x14ac:dyDescent="0.25">
      <c r="A3548">
        <v>6352</v>
      </c>
      <c r="F3548" t="s">
        <v>5603</v>
      </c>
      <c r="G3548" t="s">
        <v>5604</v>
      </c>
    </row>
    <row r="3549" spans="1:7" x14ac:dyDescent="0.25">
      <c r="A3549">
        <v>6352</v>
      </c>
      <c r="F3549" t="s">
        <v>53</v>
      </c>
      <c r="G3549" t="s">
        <v>5604</v>
      </c>
    </row>
    <row r="3550" spans="1:7" x14ac:dyDescent="0.25">
      <c r="A3550">
        <v>6352</v>
      </c>
      <c r="F3550" t="s">
        <v>55</v>
      </c>
      <c r="G3550" t="s">
        <v>5604</v>
      </c>
    </row>
    <row r="3551" spans="1:7" x14ac:dyDescent="0.25">
      <c r="A3551">
        <v>6352</v>
      </c>
      <c r="F3551" t="s">
        <v>5605</v>
      </c>
      <c r="G3551" t="s">
        <v>5604</v>
      </c>
    </row>
    <row r="3552" spans="1:7" x14ac:dyDescent="0.25">
      <c r="A3552">
        <v>6353</v>
      </c>
      <c r="F3552" t="s">
        <v>5603</v>
      </c>
      <c r="G3552" t="s">
        <v>5604</v>
      </c>
    </row>
    <row r="3553" spans="1:7" x14ac:dyDescent="0.25">
      <c r="A3553">
        <v>6353</v>
      </c>
      <c r="F3553" t="s">
        <v>53</v>
      </c>
      <c r="G3553" t="s">
        <v>5604</v>
      </c>
    </row>
    <row r="3554" spans="1:7" x14ac:dyDescent="0.25">
      <c r="A3554">
        <v>6353</v>
      </c>
      <c r="F3554" t="s">
        <v>55</v>
      </c>
      <c r="G3554" t="s">
        <v>5604</v>
      </c>
    </row>
    <row r="3555" spans="1:7" x14ac:dyDescent="0.25">
      <c r="A3555">
        <v>6353</v>
      </c>
      <c r="F3555" t="s">
        <v>5605</v>
      </c>
      <c r="G3555" t="s">
        <v>5604</v>
      </c>
    </row>
    <row r="3556" spans="1:7" x14ac:dyDescent="0.25">
      <c r="A3556">
        <v>6354</v>
      </c>
      <c r="F3556" t="s">
        <v>5603</v>
      </c>
      <c r="G3556" t="s">
        <v>5604</v>
      </c>
    </row>
    <row r="3557" spans="1:7" x14ac:dyDescent="0.25">
      <c r="A3557">
        <v>6354</v>
      </c>
      <c r="F3557" t="s">
        <v>53</v>
      </c>
      <c r="G3557" t="s">
        <v>5604</v>
      </c>
    </row>
    <row r="3558" spans="1:7" x14ac:dyDescent="0.25">
      <c r="A3558">
        <v>6354</v>
      </c>
      <c r="F3558" t="s">
        <v>55</v>
      </c>
      <c r="G3558" t="s">
        <v>5604</v>
      </c>
    </row>
    <row r="3559" spans="1:7" x14ac:dyDescent="0.25">
      <c r="A3559">
        <v>6354</v>
      </c>
      <c r="F3559" t="s">
        <v>5605</v>
      </c>
      <c r="G3559" t="s">
        <v>5604</v>
      </c>
    </row>
    <row r="3560" spans="1:7" x14ac:dyDescent="0.25">
      <c r="A3560">
        <v>6355</v>
      </c>
      <c r="F3560" t="s">
        <v>5603</v>
      </c>
      <c r="G3560" t="s">
        <v>5604</v>
      </c>
    </row>
    <row r="3561" spans="1:7" x14ac:dyDescent="0.25">
      <c r="A3561">
        <v>6355</v>
      </c>
      <c r="F3561" t="s">
        <v>53</v>
      </c>
      <c r="G3561" t="s">
        <v>5604</v>
      </c>
    </row>
    <row r="3562" spans="1:7" x14ac:dyDescent="0.25">
      <c r="A3562">
        <v>6355</v>
      </c>
      <c r="F3562" t="s">
        <v>55</v>
      </c>
      <c r="G3562" t="s">
        <v>5604</v>
      </c>
    </row>
    <row r="3563" spans="1:7" x14ac:dyDescent="0.25">
      <c r="A3563">
        <v>6355</v>
      </c>
      <c r="F3563" t="s">
        <v>5605</v>
      </c>
      <c r="G3563" t="s">
        <v>5604</v>
      </c>
    </row>
    <row r="3564" spans="1:7" x14ac:dyDescent="0.25">
      <c r="A3564">
        <v>6356</v>
      </c>
      <c r="F3564" t="s">
        <v>5603</v>
      </c>
      <c r="G3564" t="s">
        <v>5604</v>
      </c>
    </row>
    <row r="3565" spans="1:7" x14ac:dyDescent="0.25">
      <c r="A3565">
        <v>6356</v>
      </c>
      <c r="F3565" t="s">
        <v>53</v>
      </c>
      <c r="G3565" t="s">
        <v>5604</v>
      </c>
    </row>
    <row r="3566" spans="1:7" x14ac:dyDescent="0.25">
      <c r="A3566">
        <v>6356</v>
      </c>
      <c r="F3566" t="s">
        <v>55</v>
      </c>
      <c r="G3566" t="s">
        <v>5604</v>
      </c>
    </row>
    <row r="3567" spans="1:7" x14ac:dyDescent="0.25">
      <c r="A3567">
        <v>6356</v>
      </c>
      <c r="F3567" t="s">
        <v>5605</v>
      </c>
      <c r="G3567" t="s">
        <v>5604</v>
      </c>
    </row>
    <row r="3568" spans="1:7" x14ac:dyDescent="0.25">
      <c r="A3568">
        <v>6357</v>
      </c>
      <c r="F3568" t="s">
        <v>5603</v>
      </c>
      <c r="G3568" t="s">
        <v>5604</v>
      </c>
    </row>
    <row r="3569" spans="1:7" x14ac:dyDescent="0.25">
      <c r="A3569">
        <v>6357</v>
      </c>
      <c r="F3569" t="s">
        <v>53</v>
      </c>
      <c r="G3569" t="s">
        <v>5604</v>
      </c>
    </row>
    <row r="3570" spans="1:7" x14ac:dyDescent="0.25">
      <c r="A3570">
        <v>6357</v>
      </c>
      <c r="F3570" t="s">
        <v>55</v>
      </c>
      <c r="G3570" t="s">
        <v>5604</v>
      </c>
    </row>
    <row r="3571" spans="1:7" x14ac:dyDescent="0.25">
      <c r="A3571">
        <v>6357</v>
      </c>
      <c r="F3571" t="s">
        <v>5605</v>
      </c>
      <c r="G3571" t="s">
        <v>5604</v>
      </c>
    </row>
    <row r="3572" spans="1:7" x14ac:dyDescent="0.25">
      <c r="A3572">
        <v>6358</v>
      </c>
      <c r="F3572" t="s">
        <v>5603</v>
      </c>
      <c r="G3572" t="s">
        <v>5604</v>
      </c>
    </row>
    <row r="3573" spans="1:7" x14ac:dyDescent="0.25">
      <c r="A3573">
        <v>6358</v>
      </c>
      <c r="F3573" t="s">
        <v>53</v>
      </c>
      <c r="G3573" t="s">
        <v>5604</v>
      </c>
    </row>
    <row r="3574" spans="1:7" x14ac:dyDescent="0.25">
      <c r="A3574">
        <v>6358</v>
      </c>
      <c r="F3574" t="s">
        <v>55</v>
      </c>
      <c r="G3574" t="s">
        <v>5604</v>
      </c>
    </row>
    <row r="3575" spans="1:7" x14ac:dyDescent="0.25">
      <c r="A3575">
        <v>6358</v>
      </c>
      <c r="F3575" t="s">
        <v>5605</v>
      </c>
      <c r="G3575" t="s">
        <v>5604</v>
      </c>
    </row>
    <row r="3576" spans="1:7" x14ac:dyDescent="0.25">
      <c r="A3576">
        <v>6359</v>
      </c>
      <c r="F3576" t="s">
        <v>5603</v>
      </c>
      <c r="G3576" t="s">
        <v>5604</v>
      </c>
    </row>
    <row r="3577" spans="1:7" x14ac:dyDescent="0.25">
      <c r="A3577">
        <v>6359</v>
      </c>
      <c r="F3577" t="s">
        <v>53</v>
      </c>
      <c r="G3577" t="s">
        <v>5604</v>
      </c>
    </row>
    <row r="3578" spans="1:7" x14ac:dyDescent="0.25">
      <c r="A3578">
        <v>6359</v>
      </c>
      <c r="F3578" t="s">
        <v>55</v>
      </c>
      <c r="G3578" t="s">
        <v>5604</v>
      </c>
    </row>
    <row r="3579" spans="1:7" x14ac:dyDescent="0.25">
      <c r="A3579">
        <v>6359</v>
      </c>
      <c r="F3579" t="s">
        <v>5605</v>
      </c>
      <c r="G3579" t="s">
        <v>5604</v>
      </c>
    </row>
    <row r="3580" spans="1:7" x14ac:dyDescent="0.25">
      <c r="A3580">
        <v>6360</v>
      </c>
      <c r="F3580" t="s">
        <v>5603</v>
      </c>
      <c r="G3580" t="s">
        <v>5604</v>
      </c>
    </row>
    <row r="3581" spans="1:7" x14ac:dyDescent="0.25">
      <c r="A3581">
        <v>6360</v>
      </c>
      <c r="F3581" t="s">
        <v>53</v>
      </c>
      <c r="G3581" t="s">
        <v>5604</v>
      </c>
    </row>
    <row r="3582" spans="1:7" x14ac:dyDescent="0.25">
      <c r="A3582">
        <v>6360</v>
      </c>
      <c r="F3582" t="s">
        <v>55</v>
      </c>
      <c r="G3582" t="s">
        <v>5604</v>
      </c>
    </row>
    <row r="3583" spans="1:7" x14ac:dyDescent="0.25">
      <c r="A3583">
        <v>6360</v>
      </c>
      <c r="F3583" t="s">
        <v>5605</v>
      </c>
      <c r="G3583" t="s">
        <v>5604</v>
      </c>
    </row>
    <row r="3584" spans="1:7" x14ac:dyDescent="0.25">
      <c r="A3584">
        <v>6361</v>
      </c>
      <c r="F3584" t="s">
        <v>5603</v>
      </c>
      <c r="G3584" t="s">
        <v>5604</v>
      </c>
    </row>
    <row r="3585" spans="1:7" x14ac:dyDescent="0.25">
      <c r="A3585">
        <v>6361</v>
      </c>
      <c r="F3585" t="s">
        <v>53</v>
      </c>
      <c r="G3585" t="s">
        <v>5604</v>
      </c>
    </row>
    <row r="3586" spans="1:7" x14ac:dyDescent="0.25">
      <c r="A3586">
        <v>6361</v>
      </c>
      <c r="F3586" t="s">
        <v>55</v>
      </c>
      <c r="G3586" t="s">
        <v>5604</v>
      </c>
    </row>
    <row r="3587" spans="1:7" x14ac:dyDescent="0.25">
      <c r="A3587">
        <v>6361</v>
      </c>
      <c r="F3587" t="s">
        <v>5605</v>
      </c>
      <c r="G3587" t="s">
        <v>5604</v>
      </c>
    </row>
    <row r="3588" spans="1:7" x14ac:dyDescent="0.25">
      <c r="A3588">
        <v>6362</v>
      </c>
      <c r="F3588" t="s">
        <v>5603</v>
      </c>
      <c r="G3588" t="s">
        <v>5604</v>
      </c>
    </row>
    <row r="3589" spans="1:7" x14ac:dyDescent="0.25">
      <c r="A3589">
        <v>6362</v>
      </c>
      <c r="F3589" t="s">
        <v>53</v>
      </c>
      <c r="G3589" t="s">
        <v>5604</v>
      </c>
    </row>
    <row r="3590" spans="1:7" x14ac:dyDescent="0.25">
      <c r="A3590">
        <v>6362</v>
      </c>
      <c r="F3590" t="s">
        <v>55</v>
      </c>
      <c r="G3590" t="s">
        <v>5604</v>
      </c>
    </row>
    <row r="3591" spans="1:7" x14ac:dyDescent="0.25">
      <c r="A3591">
        <v>6362</v>
      </c>
      <c r="F3591" t="s">
        <v>5605</v>
      </c>
      <c r="G3591" t="s">
        <v>5604</v>
      </c>
    </row>
    <row r="3592" spans="1:7" x14ac:dyDescent="0.25">
      <c r="A3592">
        <v>6363</v>
      </c>
      <c r="F3592" t="s">
        <v>5603</v>
      </c>
      <c r="G3592" t="s">
        <v>5604</v>
      </c>
    </row>
    <row r="3593" spans="1:7" x14ac:dyDescent="0.25">
      <c r="A3593">
        <v>6363</v>
      </c>
      <c r="F3593" t="s">
        <v>53</v>
      </c>
      <c r="G3593" t="s">
        <v>5604</v>
      </c>
    </row>
    <row r="3594" spans="1:7" x14ac:dyDescent="0.25">
      <c r="A3594">
        <v>6363</v>
      </c>
      <c r="F3594" t="s">
        <v>55</v>
      </c>
      <c r="G3594" t="s">
        <v>5604</v>
      </c>
    </row>
    <row r="3595" spans="1:7" x14ac:dyDescent="0.25">
      <c r="A3595">
        <v>6363</v>
      </c>
      <c r="F3595" t="s">
        <v>5605</v>
      </c>
      <c r="G3595" t="s">
        <v>5604</v>
      </c>
    </row>
    <row r="3596" spans="1:7" x14ac:dyDescent="0.25">
      <c r="A3596">
        <v>6364</v>
      </c>
      <c r="F3596" t="s">
        <v>5603</v>
      </c>
      <c r="G3596" t="s">
        <v>5604</v>
      </c>
    </row>
    <row r="3597" spans="1:7" x14ac:dyDescent="0.25">
      <c r="A3597">
        <v>6364</v>
      </c>
      <c r="F3597" t="s">
        <v>53</v>
      </c>
      <c r="G3597" t="s">
        <v>5604</v>
      </c>
    </row>
    <row r="3598" spans="1:7" x14ac:dyDescent="0.25">
      <c r="A3598">
        <v>6364</v>
      </c>
      <c r="F3598" t="s">
        <v>55</v>
      </c>
      <c r="G3598" t="s">
        <v>5604</v>
      </c>
    </row>
    <row r="3599" spans="1:7" x14ac:dyDescent="0.25">
      <c r="A3599">
        <v>6364</v>
      </c>
      <c r="F3599" t="s">
        <v>5605</v>
      </c>
      <c r="G3599" t="s">
        <v>5604</v>
      </c>
    </row>
    <row r="3600" spans="1:7" x14ac:dyDescent="0.25">
      <c r="A3600">
        <v>6365</v>
      </c>
      <c r="F3600" t="s">
        <v>5603</v>
      </c>
      <c r="G3600" t="s">
        <v>5604</v>
      </c>
    </row>
    <row r="3601" spans="1:7" x14ac:dyDescent="0.25">
      <c r="A3601">
        <v>6365</v>
      </c>
      <c r="F3601" t="s">
        <v>53</v>
      </c>
      <c r="G3601" t="s">
        <v>5604</v>
      </c>
    </row>
    <row r="3602" spans="1:7" x14ac:dyDescent="0.25">
      <c r="A3602">
        <v>6365</v>
      </c>
      <c r="F3602" t="s">
        <v>55</v>
      </c>
      <c r="G3602" t="s">
        <v>5604</v>
      </c>
    </row>
    <row r="3603" spans="1:7" x14ac:dyDescent="0.25">
      <c r="A3603">
        <v>6365</v>
      </c>
      <c r="F3603" t="s">
        <v>5605</v>
      </c>
      <c r="G3603" t="s">
        <v>5604</v>
      </c>
    </row>
    <row r="3604" spans="1:7" x14ac:dyDescent="0.25">
      <c r="A3604">
        <v>6366</v>
      </c>
      <c r="F3604" t="s">
        <v>5603</v>
      </c>
      <c r="G3604" t="s">
        <v>5604</v>
      </c>
    </row>
    <row r="3605" spans="1:7" x14ac:dyDescent="0.25">
      <c r="A3605">
        <v>6366</v>
      </c>
      <c r="F3605" t="s">
        <v>53</v>
      </c>
      <c r="G3605" t="s">
        <v>5604</v>
      </c>
    </row>
    <row r="3606" spans="1:7" x14ac:dyDescent="0.25">
      <c r="A3606">
        <v>6366</v>
      </c>
      <c r="F3606" t="s">
        <v>55</v>
      </c>
      <c r="G3606" t="s">
        <v>5604</v>
      </c>
    </row>
    <row r="3607" spans="1:7" x14ac:dyDescent="0.25">
      <c r="A3607">
        <v>6366</v>
      </c>
      <c r="F3607" t="s">
        <v>5605</v>
      </c>
      <c r="G3607" t="s">
        <v>5604</v>
      </c>
    </row>
    <row r="3608" spans="1:7" x14ac:dyDescent="0.25">
      <c r="A3608">
        <v>6367</v>
      </c>
      <c r="F3608" t="s">
        <v>5603</v>
      </c>
      <c r="G3608" t="s">
        <v>5604</v>
      </c>
    </row>
    <row r="3609" spans="1:7" x14ac:dyDescent="0.25">
      <c r="A3609">
        <v>6367</v>
      </c>
      <c r="F3609" t="s">
        <v>53</v>
      </c>
      <c r="G3609" t="s">
        <v>5604</v>
      </c>
    </row>
    <row r="3610" spans="1:7" x14ac:dyDescent="0.25">
      <c r="A3610">
        <v>6367</v>
      </c>
      <c r="F3610" t="s">
        <v>55</v>
      </c>
      <c r="G3610" t="s">
        <v>5604</v>
      </c>
    </row>
    <row r="3611" spans="1:7" x14ac:dyDescent="0.25">
      <c r="A3611">
        <v>6367</v>
      </c>
      <c r="F3611" t="s">
        <v>5605</v>
      </c>
      <c r="G3611" t="s">
        <v>5604</v>
      </c>
    </row>
    <row r="3612" spans="1:7" x14ac:dyDescent="0.25">
      <c r="A3612">
        <v>6368</v>
      </c>
      <c r="F3612" t="s">
        <v>5603</v>
      </c>
      <c r="G3612" t="s">
        <v>5604</v>
      </c>
    </row>
    <row r="3613" spans="1:7" x14ac:dyDescent="0.25">
      <c r="A3613">
        <v>6368</v>
      </c>
      <c r="F3613" t="s">
        <v>53</v>
      </c>
      <c r="G3613" t="s">
        <v>5604</v>
      </c>
    </row>
    <row r="3614" spans="1:7" x14ac:dyDescent="0.25">
      <c r="A3614">
        <v>6368</v>
      </c>
      <c r="F3614" t="s">
        <v>55</v>
      </c>
      <c r="G3614" t="s">
        <v>5604</v>
      </c>
    </row>
    <row r="3615" spans="1:7" x14ac:dyDescent="0.25">
      <c r="A3615">
        <v>6368</v>
      </c>
      <c r="F3615" t="s">
        <v>5605</v>
      </c>
      <c r="G3615" t="s">
        <v>5604</v>
      </c>
    </row>
    <row r="3616" spans="1:7" x14ac:dyDescent="0.25">
      <c r="A3616">
        <v>6369</v>
      </c>
      <c r="F3616" t="s">
        <v>5603</v>
      </c>
      <c r="G3616" t="s">
        <v>5604</v>
      </c>
    </row>
    <row r="3617" spans="1:7" x14ac:dyDescent="0.25">
      <c r="A3617">
        <v>6369</v>
      </c>
      <c r="F3617" t="s">
        <v>53</v>
      </c>
      <c r="G3617" t="s">
        <v>5604</v>
      </c>
    </row>
    <row r="3618" spans="1:7" x14ac:dyDescent="0.25">
      <c r="A3618">
        <v>6369</v>
      </c>
      <c r="F3618" t="s">
        <v>55</v>
      </c>
      <c r="G3618" t="s">
        <v>5604</v>
      </c>
    </row>
    <row r="3619" spans="1:7" x14ac:dyDescent="0.25">
      <c r="A3619">
        <v>6369</v>
      </c>
      <c r="F3619" t="s">
        <v>5605</v>
      </c>
      <c r="G3619" t="s">
        <v>5604</v>
      </c>
    </row>
    <row r="3620" spans="1:7" x14ac:dyDescent="0.25">
      <c r="A3620">
        <v>6370</v>
      </c>
      <c r="F3620" t="s">
        <v>5603</v>
      </c>
      <c r="G3620" t="s">
        <v>5604</v>
      </c>
    </row>
    <row r="3621" spans="1:7" x14ac:dyDescent="0.25">
      <c r="A3621">
        <v>6370</v>
      </c>
      <c r="F3621" t="s">
        <v>53</v>
      </c>
      <c r="G3621" t="s">
        <v>5604</v>
      </c>
    </row>
    <row r="3622" spans="1:7" x14ac:dyDescent="0.25">
      <c r="A3622">
        <v>6370</v>
      </c>
      <c r="F3622" t="s">
        <v>55</v>
      </c>
      <c r="G3622" t="s">
        <v>5604</v>
      </c>
    </row>
    <row r="3623" spans="1:7" x14ac:dyDescent="0.25">
      <c r="A3623">
        <v>6370</v>
      </c>
      <c r="F3623" t="s">
        <v>5605</v>
      </c>
      <c r="G3623" t="s">
        <v>5604</v>
      </c>
    </row>
    <row r="3624" spans="1:7" x14ac:dyDescent="0.25">
      <c r="A3624">
        <v>6371</v>
      </c>
      <c r="F3624" t="s">
        <v>5603</v>
      </c>
      <c r="G3624" t="s">
        <v>5604</v>
      </c>
    </row>
    <row r="3625" spans="1:7" x14ac:dyDescent="0.25">
      <c r="A3625">
        <v>6371</v>
      </c>
      <c r="F3625" t="s">
        <v>53</v>
      </c>
      <c r="G3625" t="s">
        <v>5604</v>
      </c>
    </row>
    <row r="3626" spans="1:7" x14ac:dyDescent="0.25">
      <c r="A3626">
        <v>6371</v>
      </c>
      <c r="F3626" t="s">
        <v>55</v>
      </c>
      <c r="G3626" t="s">
        <v>5604</v>
      </c>
    </row>
    <row r="3627" spans="1:7" x14ac:dyDescent="0.25">
      <c r="A3627">
        <v>6371</v>
      </c>
      <c r="F3627" t="s">
        <v>5605</v>
      </c>
      <c r="G3627" t="s">
        <v>5604</v>
      </c>
    </row>
    <row r="3628" spans="1:7" x14ac:dyDescent="0.25">
      <c r="A3628">
        <v>6372</v>
      </c>
      <c r="F3628" t="s">
        <v>5603</v>
      </c>
      <c r="G3628" t="s">
        <v>5604</v>
      </c>
    </row>
    <row r="3629" spans="1:7" x14ac:dyDescent="0.25">
      <c r="A3629">
        <v>6372</v>
      </c>
      <c r="F3629" t="s">
        <v>53</v>
      </c>
      <c r="G3629" t="s">
        <v>5604</v>
      </c>
    </row>
    <row r="3630" spans="1:7" x14ac:dyDescent="0.25">
      <c r="A3630">
        <v>6372</v>
      </c>
      <c r="F3630" t="s">
        <v>55</v>
      </c>
      <c r="G3630" t="s">
        <v>5604</v>
      </c>
    </row>
    <row r="3631" spans="1:7" x14ac:dyDescent="0.25">
      <c r="A3631">
        <v>6372</v>
      </c>
      <c r="F3631" t="s">
        <v>5605</v>
      </c>
      <c r="G3631" t="s">
        <v>5604</v>
      </c>
    </row>
    <row r="3632" spans="1:7" x14ac:dyDescent="0.25">
      <c r="A3632">
        <v>6373</v>
      </c>
      <c r="F3632" t="s">
        <v>5603</v>
      </c>
      <c r="G3632" t="s">
        <v>5604</v>
      </c>
    </row>
    <row r="3633" spans="1:7" x14ac:dyDescent="0.25">
      <c r="A3633">
        <v>6373</v>
      </c>
      <c r="F3633" t="s">
        <v>53</v>
      </c>
      <c r="G3633" t="s">
        <v>5604</v>
      </c>
    </row>
    <row r="3634" spans="1:7" x14ac:dyDescent="0.25">
      <c r="A3634">
        <v>6373</v>
      </c>
      <c r="F3634" t="s">
        <v>55</v>
      </c>
      <c r="G3634" t="s">
        <v>5604</v>
      </c>
    </row>
    <row r="3635" spans="1:7" x14ac:dyDescent="0.25">
      <c r="A3635">
        <v>6373</v>
      </c>
      <c r="F3635" t="s">
        <v>5605</v>
      </c>
      <c r="G3635" t="s">
        <v>5604</v>
      </c>
    </row>
    <row r="3636" spans="1:7" x14ac:dyDescent="0.25">
      <c r="A3636">
        <v>6374</v>
      </c>
      <c r="F3636" t="s">
        <v>5603</v>
      </c>
      <c r="G3636" t="s">
        <v>5604</v>
      </c>
    </row>
    <row r="3637" spans="1:7" x14ac:dyDescent="0.25">
      <c r="A3637">
        <v>6374</v>
      </c>
      <c r="F3637" t="s">
        <v>53</v>
      </c>
      <c r="G3637" t="s">
        <v>5604</v>
      </c>
    </row>
    <row r="3638" spans="1:7" x14ac:dyDescent="0.25">
      <c r="A3638">
        <v>6374</v>
      </c>
      <c r="F3638" t="s">
        <v>55</v>
      </c>
      <c r="G3638" t="s">
        <v>5604</v>
      </c>
    </row>
    <row r="3639" spans="1:7" x14ac:dyDescent="0.25">
      <c r="A3639">
        <v>6374</v>
      </c>
      <c r="F3639" t="s">
        <v>5605</v>
      </c>
      <c r="G3639" t="s">
        <v>5604</v>
      </c>
    </row>
    <row r="3640" spans="1:7" x14ac:dyDescent="0.25">
      <c r="A3640">
        <v>6375</v>
      </c>
      <c r="F3640" t="s">
        <v>5603</v>
      </c>
      <c r="G3640" t="s">
        <v>5604</v>
      </c>
    </row>
    <row r="3641" spans="1:7" x14ac:dyDescent="0.25">
      <c r="A3641">
        <v>6375</v>
      </c>
      <c r="F3641" t="s">
        <v>53</v>
      </c>
      <c r="G3641" t="s">
        <v>5604</v>
      </c>
    </row>
    <row r="3642" spans="1:7" x14ac:dyDescent="0.25">
      <c r="A3642">
        <v>6375</v>
      </c>
      <c r="F3642" t="s">
        <v>55</v>
      </c>
      <c r="G3642" t="s">
        <v>5604</v>
      </c>
    </row>
    <row r="3643" spans="1:7" x14ac:dyDescent="0.25">
      <c r="A3643">
        <v>6375</v>
      </c>
      <c r="F3643" t="s">
        <v>5605</v>
      </c>
      <c r="G3643" t="s">
        <v>5604</v>
      </c>
    </row>
    <row r="3644" spans="1:7" x14ac:dyDescent="0.25">
      <c r="A3644">
        <v>6376</v>
      </c>
      <c r="F3644" t="s">
        <v>5603</v>
      </c>
      <c r="G3644" t="s">
        <v>5604</v>
      </c>
    </row>
    <row r="3645" spans="1:7" x14ac:dyDescent="0.25">
      <c r="A3645">
        <v>6376</v>
      </c>
      <c r="F3645" t="s">
        <v>53</v>
      </c>
      <c r="G3645" t="s">
        <v>5604</v>
      </c>
    </row>
    <row r="3646" spans="1:7" x14ac:dyDescent="0.25">
      <c r="A3646">
        <v>6376</v>
      </c>
      <c r="F3646" t="s">
        <v>55</v>
      </c>
      <c r="G3646" t="s">
        <v>5604</v>
      </c>
    </row>
    <row r="3647" spans="1:7" x14ac:dyDescent="0.25">
      <c r="A3647">
        <v>6376</v>
      </c>
      <c r="F3647" t="s">
        <v>5605</v>
      </c>
      <c r="G3647" t="s">
        <v>5604</v>
      </c>
    </row>
    <row r="3648" spans="1:7" x14ac:dyDescent="0.25">
      <c r="A3648">
        <v>6377</v>
      </c>
      <c r="F3648" t="s">
        <v>5603</v>
      </c>
      <c r="G3648" t="s">
        <v>5604</v>
      </c>
    </row>
    <row r="3649" spans="1:7" x14ac:dyDescent="0.25">
      <c r="A3649">
        <v>6377</v>
      </c>
      <c r="F3649" t="s">
        <v>53</v>
      </c>
      <c r="G3649" t="s">
        <v>5604</v>
      </c>
    </row>
    <row r="3650" spans="1:7" x14ac:dyDescent="0.25">
      <c r="A3650">
        <v>6377</v>
      </c>
      <c r="F3650" t="s">
        <v>55</v>
      </c>
      <c r="G3650" t="s">
        <v>5604</v>
      </c>
    </row>
    <row r="3651" spans="1:7" x14ac:dyDescent="0.25">
      <c r="A3651">
        <v>6377</v>
      </c>
      <c r="F3651" t="s">
        <v>5605</v>
      </c>
      <c r="G3651" t="s">
        <v>5604</v>
      </c>
    </row>
    <row r="3652" spans="1:7" x14ac:dyDescent="0.25">
      <c r="A3652">
        <v>6378</v>
      </c>
      <c r="F3652" t="s">
        <v>5603</v>
      </c>
      <c r="G3652" t="s">
        <v>5604</v>
      </c>
    </row>
    <row r="3653" spans="1:7" x14ac:dyDescent="0.25">
      <c r="A3653">
        <v>6378</v>
      </c>
      <c r="F3653" t="s">
        <v>53</v>
      </c>
      <c r="G3653" t="s">
        <v>5604</v>
      </c>
    </row>
    <row r="3654" spans="1:7" x14ac:dyDescent="0.25">
      <c r="A3654">
        <v>6378</v>
      </c>
      <c r="F3654" t="s">
        <v>55</v>
      </c>
      <c r="G3654" t="s">
        <v>5604</v>
      </c>
    </row>
    <row r="3655" spans="1:7" x14ac:dyDescent="0.25">
      <c r="A3655">
        <v>6378</v>
      </c>
      <c r="F3655" t="s">
        <v>5605</v>
      </c>
      <c r="G3655" t="s">
        <v>5604</v>
      </c>
    </row>
    <row r="3656" spans="1:7" x14ac:dyDescent="0.25">
      <c r="A3656">
        <v>6379</v>
      </c>
      <c r="F3656" t="s">
        <v>5603</v>
      </c>
      <c r="G3656" t="s">
        <v>5604</v>
      </c>
    </row>
    <row r="3657" spans="1:7" x14ac:dyDescent="0.25">
      <c r="A3657">
        <v>6379</v>
      </c>
      <c r="F3657" t="s">
        <v>53</v>
      </c>
      <c r="G3657" t="s">
        <v>5604</v>
      </c>
    </row>
    <row r="3658" spans="1:7" x14ac:dyDescent="0.25">
      <c r="A3658">
        <v>6379</v>
      </c>
      <c r="F3658" t="s">
        <v>55</v>
      </c>
      <c r="G3658" t="s">
        <v>5604</v>
      </c>
    </row>
    <row r="3659" spans="1:7" x14ac:dyDescent="0.25">
      <c r="A3659">
        <v>6379</v>
      </c>
      <c r="F3659" t="s">
        <v>5605</v>
      </c>
      <c r="G3659" t="s">
        <v>5604</v>
      </c>
    </row>
    <row r="3660" spans="1:7" x14ac:dyDescent="0.25">
      <c r="A3660">
        <v>6380</v>
      </c>
      <c r="F3660" t="s">
        <v>5603</v>
      </c>
      <c r="G3660" t="s">
        <v>5604</v>
      </c>
    </row>
    <row r="3661" spans="1:7" x14ac:dyDescent="0.25">
      <c r="A3661">
        <v>6380</v>
      </c>
      <c r="F3661" t="s">
        <v>53</v>
      </c>
      <c r="G3661" t="s">
        <v>5604</v>
      </c>
    </row>
    <row r="3662" spans="1:7" x14ac:dyDescent="0.25">
      <c r="A3662">
        <v>6380</v>
      </c>
      <c r="F3662" t="s">
        <v>55</v>
      </c>
      <c r="G3662" t="s">
        <v>5604</v>
      </c>
    </row>
    <row r="3663" spans="1:7" x14ac:dyDescent="0.25">
      <c r="A3663">
        <v>6380</v>
      </c>
      <c r="F3663" t="s">
        <v>5605</v>
      </c>
      <c r="G3663" t="s">
        <v>5604</v>
      </c>
    </row>
    <row r="3664" spans="1:7" x14ac:dyDescent="0.25">
      <c r="A3664">
        <v>6381</v>
      </c>
      <c r="F3664" t="s">
        <v>5603</v>
      </c>
      <c r="G3664" t="s">
        <v>5604</v>
      </c>
    </row>
    <row r="3665" spans="1:7" x14ac:dyDescent="0.25">
      <c r="A3665">
        <v>6381</v>
      </c>
      <c r="F3665" t="s">
        <v>53</v>
      </c>
      <c r="G3665" t="s">
        <v>5604</v>
      </c>
    </row>
    <row r="3666" spans="1:7" x14ac:dyDescent="0.25">
      <c r="A3666">
        <v>6381</v>
      </c>
      <c r="F3666" t="s">
        <v>55</v>
      </c>
      <c r="G3666" t="s">
        <v>5604</v>
      </c>
    </row>
    <row r="3667" spans="1:7" x14ac:dyDescent="0.25">
      <c r="A3667">
        <v>6381</v>
      </c>
      <c r="F3667" t="s">
        <v>5605</v>
      </c>
      <c r="G3667" t="s">
        <v>5604</v>
      </c>
    </row>
    <row r="3668" spans="1:7" x14ac:dyDescent="0.25">
      <c r="A3668">
        <v>6382</v>
      </c>
      <c r="F3668" t="s">
        <v>5603</v>
      </c>
      <c r="G3668" t="s">
        <v>5604</v>
      </c>
    </row>
    <row r="3669" spans="1:7" x14ac:dyDescent="0.25">
      <c r="A3669">
        <v>6382</v>
      </c>
      <c r="F3669" t="s">
        <v>53</v>
      </c>
      <c r="G3669" t="s">
        <v>5604</v>
      </c>
    </row>
    <row r="3670" spans="1:7" x14ac:dyDescent="0.25">
      <c r="A3670">
        <v>6382</v>
      </c>
      <c r="F3670" t="s">
        <v>55</v>
      </c>
      <c r="G3670" t="s">
        <v>5604</v>
      </c>
    </row>
    <row r="3671" spans="1:7" x14ac:dyDescent="0.25">
      <c r="A3671">
        <v>6382</v>
      </c>
      <c r="F3671" t="s">
        <v>5605</v>
      </c>
      <c r="G3671" t="s">
        <v>5604</v>
      </c>
    </row>
    <row r="3672" spans="1:7" x14ac:dyDescent="0.25">
      <c r="A3672">
        <v>6383</v>
      </c>
      <c r="F3672" t="s">
        <v>5603</v>
      </c>
      <c r="G3672" t="s">
        <v>5604</v>
      </c>
    </row>
    <row r="3673" spans="1:7" x14ac:dyDescent="0.25">
      <c r="A3673">
        <v>6383</v>
      </c>
      <c r="F3673" t="s">
        <v>53</v>
      </c>
      <c r="G3673" t="s">
        <v>5604</v>
      </c>
    </row>
    <row r="3674" spans="1:7" x14ac:dyDescent="0.25">
      <c r="A3674">
        <v>6383</v>
      </c>
      <c r="F3674" t="s">
        <v>55</v>
      </c>
      <c r="G3674" t="s">
        <v>5604</v>
      </c>
    </row>
    <row r="3675" spans="1:7" x14ac:dyDescent="0.25">
      <c r="A3675">
        <v>6383</v>
      </c>
      <c r="F3675" t="s">
        <v>5605</v>
      </c>
      <c r="G3675" t="s">
        <v>5604</v>
      </c>
    </row>
    <row r="3676" spans="1:7" x14ac:dyDescent="0.25">
      <c r="A3676">
        <v>6384</v>
      </c>
      <c r="F3676" t="s">
        <v>5603</v>
      </c>
      <c r="G3676" t="s">
        <v>5604</v>
      </c>
    </row>
    <row r="3677" spans="1:7" x14ac:dyDescent="0.25">
      <c r="A3677">
        <v>6384</v>
      </c>
      <c r="F3677" t="s">
        <v>53</v>
      </c>
      <c r="G3677" t="s">
        <v>5604</v>
      </c>
    </row>
    <row r="3678" spans="1:7" x14ac:dyDescent="0.25">
      <c r="A3678">
        <v>6384</v>
      </c>
      <c r="F3678" t="s">
        <v>55</v>
      </c>
      <c r="G3678" t="s">
        <v>5604</v>
      </c>
    </row>
    <row r="3679" spans="1:7" x14ac:dyDescent="0.25">
      <c r="A3679">
        <v>6384</v>
      </c>
      <c r="F3679" t="s">
        <v>5605</v>
      </c>
      <c r="G3679" t="s">
        <v>5604</v>
      </c>
    </row>
    <row r="3680" spans="1:7" x14ac:dyDescent="0.25">
      <c r="A3680">
        <v>6385</v>
      </c>
      <c r="F3680" t="s">
        <v>5603</v>
      </c>
      <c r="G3680" t="s">
        <v>5604</v>
      </c>
    </row>
    <row r="3681" spans="1:7" x14ac:dyDescent="0.25">
      <c r="A3681">
        <v>6385</v>
      </c>
      <c r="F3681" t="s">
        <v>53</v>
      </c>
      <c r="G3681" t="s">
        <v>5604</v>
      </c>
    </row>
    <row r="3682" spans="1:7" x14ac:dyDescent="0.25">
      <c r="A3682">
        <v>6385</v>
      </c>
      <c r="F3682" t="s">
        <v>55</v>
      </c>
      <c r="G3682" t="s">
        <v>5604</v>
      </c>
    </row>
    <row r="3683" spans="1:7" x14ac:dyDescent="0.25">
      <c r="A3683">
        <v>6385</v>
      </c>
      <c r="F3683" t="s">
        <v>5605</v>
      </c>
      <c r="G3683" t="s">
        <v>5604</v>
      </c>
    </row>
    <row r="3684" spans="1:7" x14ac:dyDescent="0.25">
      <c r="A3684">
        <v>6386</v>
      </c>
      <c r="F3684" t="s">
        <v>5603</v>
      </c>
      <c r="G3684" t="s">
        <v>5604</v>
      </c>
    </row>
    <row r="3685" spans="1:7" x14ac:dyDescent="0.25">
      <c r="A3685">
        <v>6386</v>
      </c>
      <c r="F3685" t="s">
        <v>53</v>
      </c>
      <c r="G3685" t="s">
        <v>5604</v>
      </c>
    </row>
    <row r="3686" spans="1:7" x14ac:dyDescent="0.25">
      <c r="A3686">
        <v>6386</v>
      </c>
      <c r="F3686" t="s">
        <v>55</v>
      </c>
      <c r="G3686" t="s">
        <v>5604</v>
      </c>
    </row>
    <row r="3687" spans="1:7" x14ac:dyDescent="0.25">
      <c r="A3687">
        <v>6386</v>
      </c>
      <c r="F3687" t="s">
        <v>5605</v>
      </c>
      <c r="G3687" t="s">
        <v>5604</v>
      </c>
    </row>
    <row r="3688" spans="1:7" x14ac:dyDescent="0.25">
      <c r="A3688">
        <v>6387</v>
      </c>
      <c r="F3688" t="s">
        <v>5603</v>
      </c>
      <c r="G3688" t="s">
        <v>5604</v>
      </c>
    </row>
    <row r="3689" spans="1:7" x14ac:dyDescent="0.25">
      <c r="A3689">
        <v>6387</v>
      </c>
      <c r="F3689" t="s">
        <v>53</v>
      </c>
      <c r="G3689" t="s">
        <v>5604</v>
      </c>
    </row>
    <row r="3690" spans="1:7" x14ac:dyDescent="0.25">
      <c r="A3690">
        <v>6387</v>
      </c>
      <c r="F3690" t="s">
        <v>55</v>
      </c>
      <c r="G3690" t="s">
        <v>5604</v>
      </c>
    </row>
    <row r="3691" spans="1:7" x14ac:dyDescent="0.25">
      <c r="A3691">
        <v>6387</v>
      </c>
      <c r="F3691" t="s">
        <v>5605</v>
      </c>
      <c r="G3691" t="s">
        <v>5604</v>
      </c>
    </row>
    <row r="3692" spans="1:7" x14ac:dyDescent="0.25">
      <c r="A3692">
        <v>6388</v>
      </c>
      <c r="F3692" t="s">
        <v>5603</v>
      </c>
      <c r="G3692" t="s">
        <v>5604</v>
      </c>
    </row>
    <row r="3693" spans="1:7" x14ac:dyDescent="0.25">
      <c r="A3693">
        <v>6388</v>
      </c>
      <c r="F3693" t="s">
        <v>53</v>
      </c>
      <c r="G3693" t="s">
        <v>5604</v>
      </c>
    </row>
    <row r="3694" spans="1:7" x14ac:dyDescent="0.25">
      <c r="A3694">
        <v>6388</v>
      </c>
      <c r="F3694" t="s">
        <v>55</v>
      </c>
      <c r="G3694" t="s">
        <v>5604</v>
      </c>
    </row>
    <row r="3695" spans="1:7" x14ac:dyDescent="0.25">
      <c r="A3695">
        <v>6388</v>
      </c>
      <c r="F3695" t="s">
        <v>5605</v>
      </c>
      <c r="G3695" t="s">
        <v>5604</v>
      </c>
    </row>
    <row r="3696" spans="1:7" x14ac:dyDescent="0.25">
      <c r="A3696">
        <v>6389</v>
      </c>
      <c r="F3696" t="s">
        <v>5603</v>
      </c>
      <c r="G3696" t="s">
        <v>5604</v>
      </c>
    </row>
    <row r="3697" spans="1:7" x14ac:dyDescent="0.25">
      <c r="A3697">
        <v>6389</v>
      </c>
      <c r="F3697" t="s">
        <v>53</v>
      </c>
      <c r="G3697" t="s">
        <v>5604</v>
      </c>
    </row>
    <row r="3698" spans="1:7" x14ac:dyDescent="0.25">
      <c r="A3698">
        <v>6389</v>
      </c>
      <c r="F3698" t="s">
        <v>55</v>
      </c>
      <c r="G3698" t="s">
        <v>5604</v>
      </c>
    </row>
    <row r="3699" spans="1:7" x14ac:dyDescent="0.25">
      <c r="A3699">
        <v>6389</v>
      </c>
      <c r="F3699" t="s">
        <v>5605</v>
      </c>
      <c r="G3699" t="s">
        <v>5604</v>
      </c>
    </row>
    <row r="3700" spans="1:7" x14ac:dyDescent="0.25">
      <c r="A3700">
        <v>6390</v>
      </c>
      <c r="F3700" t="s">
        <v>5603</v>
      </c>
      <c r="G3700" t="s">
        <v>5604</v>
      </c>
    </row>
    <row r="3701" spans="1:7" x14ac:dyDescent="0.25">
      <c r="A3701">
        <v>6390</v>
      </c>
      <c r="F3701" t="s">
        <v>53</v>
      </c>
      <c r="G3701" t="s">
        <v>5604</v>
      </c>
    </row>
    <row r="3702" spans="1:7" x14ac:dyDescent="0.25">
      <c r="A3702">
        <v>6390</v>
      </c>
      <c r="F3702" t="s">
        <v>55</v>
      </c>
      <c r="G3702" t="s">
        <v>5604</v>
      </c>
    </row>
    <row r="3703" spans="1:7" x14ac:dyDescent="0.25">
      <c r="A3703">
        <v>6390</v>
      </c>
      <c r="F3703" t="s">
        <v>5605</v>
      </c>
      <c r="G3703" t="s">
        <v>5604</v>
      </c>
    </row>
    <row r="3704" spans="1:7" x14ac:dyDescent="0.25">
      <c r="A3704">
        <v>6391</v>
      </c>
      <c r="F3704" t="s">
        <v>5603</v>
      </c>
      <c r="G3704" t="s">
        <v>5604</v>
      </c>
    </row>
    <row r="3705" spans="1:7" x14ac:dyDescent="0.25">
      <c r="A3705">
        <v>6391</v>
      </c>
      <c r="F3705" t="s">
        <v>53</v>
      </c>
      <c r="G3705" t="s">
        <v>5604</v>
      </c>
    </row>
    <row r="3706" spans="1:7" x14ac:dyDescent="0.25">
      <c r="A3706">
        <v>6391</v>
      </c>
      <c r="F3706" t="s">
        <v>55</v>
      </c>
      <c r="G3706" t="s">
        <v>5604</v>
      </c>
    </row>
    <row r="3707" spans="1:7" x14ac:dyDescent="0.25">
      <c r="A3707">
        <v>6391</v>
      </c>
      <c r="F3707" t="s">
        <v>5605</v>
      </c>
      <c r="G3707" t="s">
        <v>5604</v>
      </c>
    </row>
    <row r="3708" spans="1:7" x14ac:dyDescent="0.25">
      <c r="A3708">
        <v>6392</v>
      </c>
      <c r="F3708" t="s">
        <v>5603</v>
      </c>
      <c r="G3708" t="s">
        <v>5604</v>
      </c>
    </row>
    <row r="3709" spans="1:7" x14ac:dyDescent="0.25">
      <c r="A3709">
        <v>6392</v>
      </c>
      <c r="F3709" t="s">
        <v>53</v>
      </c>
      <c r="G3709" t="s">
        <v>5604</v>
      </c>
    </row>
    <row r="3710" spans="1:7" x14ac:dyDescent="0.25">
      <c r="A3710">
        <v>6392</v>
      </c>
      <c r="F3710" t="s">
        <v>55</v>
      </c>
      <c r="G3710" t="s">
        <v>5604</v>
      </c>
    </row>
    <row r="3711" spans="1:7" x14ac:dyDescent="0.25">
      <c r="A3711">
        <v>6392</v>
      </c>
      <c r="F3711" t="s">
        <v>5605</v>
      </c>
      <c r="G3711" t="s">
        <v>5604</v>
      </c>
    </row>
    <row r="3712" spans="1:7" x14ac:dyDescent="0.25">
      <c r="A3712">
        <v>6393</v>
      </c>
      <c r="F3712" t="s">
        <v>5603</v>
      </c>
      <c r="G3712" t="s">
        <v>5604</v>
      </c>
    </row>
    <row r="3713" spans="1:7" x14ac:dyDescent="0.25">
      <c r="A3713">
        <v>6393</v>
      </c>
      <c r="F3713" t="s">
        <v>53</v>
      </c>
      <c r="G3713" t="s">
        <v>5604</v>
      </c>
    </row>
    <row r="3714" spans="1:7" x14ac:dyDescent="0.25">
      <c r="A3714">
        <v>6393</v>
      </c>
      <c r="F3714" t="s">
        <v>55</v>
      </c>
      <c r="G3714" t="s">
        <v>5604</v>
      </c>
    </row>
    <row r="3715" spans="1:7" x14ac:dyDescent="0.25">
      <c r="A3715">
        <v>6393</v>
      </c>
      <c r="F3715" t="s">
        <v>5605</v>
      </c>
      <c r="G3715" t="s">
        <v>5604</v>
      </c>
    </row>
    <row r="3716" spans="1:7" x14ac:dyDescent="0.25">
      <c r="A3716">
        <v>6394</v>
      </c>
      <c r="F3716" t="s">
        <v>5603</v>
      </c>
      <c r="G3716" t="s">
        <v>5604</v>
      </c>
    </row>
    <row r="3717" spans="1:7" x14ac:dyDescent="0.25">
      <c r="A3717">
        <v>6394</v>
      </c>
      <c r="F3717" t="s">
        <v>53</v>
      </c>
      <c r="G3717" t="s">
        <v>5604</v>
      </c>
    </row>
    <row r="3718" spans="1:7" x14ac:dyDescent="0.25">
      <c r="A3718">
        <v>6394</v>
      </c>
      <c r="F3718" t="s">
        <v>55</v>
      </c>
      <c r="G3718" t="s">
        <v>5604</v>
      </c>
    </row>
    <row r="3719" spans="1:7" x14ac:dyDescent="0.25">
      <c r="A3719">
        <v>6394</v>
      </c>
      <c r="F3719" t="s">
        <v>5605</v>
      </c>
      <c r="G3719" t="s">
        <v>5604</v>
      </c>
    </row>
    <row r="3720" spans="1:7" x14ac:dyDescent="0.25">
      <c r="A3720">
        <v>6395</v>
      </c>
      <c r="F3720" t="s">
        <v>5603</v>
      </c>
      <c r="G3720" t="s">
        <v>5604</v>
      </c>
    </row>
    <row r="3721" spans="1:7" x14ac:dyDescent="0.25">
      <c r="A3721">
        <v>6395</v>
      </c>
      <c r="F3721" t="s">
        <v>53</v>
      </c>
      <c r="G3721" t="s">
        <v>5604</v>
      </c>
    </row>
    <row r="3722" spans="1:7" x14ac:dyDescent="0.25">
      <c r="A3722">
        <v>6395</v>
      </c>
      <c r="F3722" t="s">
        <v>55</v>
      </c>
      <c r="G3722" t="s">
        <v>5604</v>
      </c>
    </row>
    <row r="3723" spans="1:7" x14ac:dyDescent="0.25">
      <c r="A3723">
        <v>6395</v>
      </c>
      <c r="F3723" t="s">
        <v>5605</v>
      </c>
      <c r="G3723" t="s">
        <v>5604</v>
      </c>
    </row>
    <row r="3724" spans="1:7" x14ac:dyDescent="0.25">
      <c r="A3724">
        <v>6396</v>
      </c>
      <c r="F3724" t="s">
        <v>5603</v>
      </c>
      <c r="G3724" t="s">
        <v>5604</v>
      </c>
    </row>
    <row r="3725" spans="1:7" x14ac:dyDescent="0.25">
      <c r="A3725">
        <v>6396</v>
      </c>
      <c r="F3725" t="s">
        <v>53</v>
      </c>
      <c r="G3725" t="s">
        <v>5604</v>
      </c>
    </row>
    <row r="3726" spans="1:7" x14ac:dyDescent="0.25">
      <c r="A3726">
        <v>6396</v>
      </c>
      <c r="F3726" t="s">
        <v>55</v>
      </c>
      <c r="G3726" t="s">
        <v>5604</v>
      </c>
    </row>
    <row r="3727" spans="1:7" x14ac:dyDescent="0.25">
      <c r="A3727">
        <v>6396</v>
      </c>
      <c r="F3727" t="s">
        <v>5605</v>
      </c>
      <c r="G3727" t="s">
        <v>5604</v>
      </c>
    </row>
    <row r="3728" spans="1:7" x14ac:dyDescent="0.25">
      <c r="A3728">
        <v>6397</v>
      </c>
      <c r="F3728" t="s">
        <v>5603</v>
      </c>
      <c r="G3728" t="s">
        <v>5604</v>
      </c>
    </row>
    <row r="3729" spans="1:7" x14ac:dyDescent="0.25">
      <c r="A3729">
        <v>6397</v>
      </c>
      <c r="F3729" t="s">
        <v>53</v>
      </c>
      <c r="G3729" t="s">
        <v>5604</v>
      </c>
    </row>
    <row r="3730" spans="1:7" x14ac:dyDescent="0.25">
      <c r="A3730">
        <v>6397</v>
      </c>
      <c r="F3730" t="s">
        <v>55</v>
      </c>
      <c r="G3730" t="s">
        <v>5604</v>
      </c>
    </row>
    <row r="3731" spans="1:7" x14ac:dyDescent="0.25">
      <c r="A3731">
        <v>6397</v>
      </c>
      <c r="F3731" t="s">
        <v>5605</v>
      </c>
      <c r="G3731" t="s">
        <v>5604</v>
      </c>
    </row>
    <row r="3732" spans="1:7" x14ac:dyDescent="0.25">
      <c r="A3732">
        <v>6398</v>
      </c>
      <c r="F3732" t="s">
        <v>5603</v>
      </c>
      <c r="G3732" t="s">
        <v>5604</v>
      </c>
    </row>
    <row r="3733" spans="1:7" x14ac:dyDescent="0.25">
      <c r="A3733">
        <v>6398</v>
      </c>
      <c r="F3733" t="s">
        <v>53</v>
      </c>
      <c r="G3733" t="s">
        <v>5604</v>
      </c>
    </row>
    <row r="3734" spans="1:7" x14ac:dyDescent="0.25">
      <c r="A3734">
        <v>6398</v>
      </c>
      <c r="F3734" t="s">
        <v>55</v>
      </c>
      <c r="G3734" t="s">
        <v>5604</v>
      </c>
    </row>
    <row r="3735" spans="1:7" x14ac:dyDescent="0.25">
      <c r="A3735">
        <v>6398</v>
      </c>
      <c r="F3735" t="s">
        <v>5605</v>
      </c>
      <c r="G3735" t="s">
        <v>5604</v>
      </c>
    </row>
    <row r="3736" spans="1:7" x14ac:dyDescent="0.25">
      <c r="A3736">
        <v>6399</v>
      </c>
      <c r="F3736" t="s">
        <v>5603</v>
      </c>
      <c r="G3736" t="s">
        <v>5604</v>
      </c>
    </row>
    <row r="3737" spans="1:7" x14ac:dyDescent="0.25">
      <c r="A3737">
        <v>6399</v>
      </c>
      <c r="F3737" t="s">
        <v>53</v>
      </c>
      <c r="G3737" t="s">
        <v>5604</v>
      </c>
    </row>
    <row r="3738" spans="1:7" x14ac:dyDescent="0.25">
      <c r="A3738">
        <v>6399</v>
      </c>
      <c r="F3738" t="s">
        <v>55</v>
      </c>
      <c r="G3738" t="s">
        <v>5604</v>
      </c>
    </row>
    <row r="3739" spans="1:7" x14ac:dyDescent="0.25">
      <c r="A3739">
        <v>6399</v>
      </c>
      <c r="F3739" t="s">
        <v>5605</v>
      </c>
      <c r="G3739" t="s">
        <v>5604</v>
      </c>
    </row>
    <row r="3740" spans="1:7" x14ac:dyDescent="0.25">
      <c r="A3740">
        <v>6400</v>
      </c>
      <c r="F3740" t="s">
        <v>5603</v>
      </c>
      <c r="G3740" t="s">
        <v>5604</v>
      </c>
    </row>
    <row r="3741" spans="1:7" x14ac:dyDescent="0.25">
      <c r="A3741">
        <v>6400</v>
      </c>
      <c r="F3741" t="s">
        <v>53</v>
      </c>
      <c r="G3741" t="s">
        <v>5604</v>
      </c>
    </row>
    <row r="3742" spans="1:7" x14ac:dyDescent="0.25">
      <c r="A3742">
        <v>6400</v>
      </c>
      <c r="F3742" t="s">
        <v>55</v>
      </c>
      <c r="G3742" t="s">
        <v>5604</v>
      </c>
    </row>
    <row r="3743" spans="1:7" x14ac:dyDescent="0.25">
      <c r="A3743">
        <v>6400</v>
      </c>
      <c r="F3743" t="s">
        <v>5605</v>
      </c>
      <c r="G3743" t="s">
        <v>5604</v>
      </c>
    </row>
    <row r="3744" spans="1:7" x14ac:dyDescent="0.25">
      <c r="A3744">
        <v>6401</v>
      </c>
      <c r="F3744" t="s">
        <v>5603</v>
      </c>
      <c r="G3744" t="s">
        <v>5604</v>
      </c>
    </row>
    <row r="3745" spans="1:7" x14ac:dyDescent="0.25">
      <c r="A3745">
        <v>6401</v>
      </c>
      <c r="F3745" t="s">
        <v>53</v>
      </c>
      <c r="G3745" t="s">
        <v>5604</v>
      </c>
    </row>
    <row r="3746" spans="1:7" x14ac:dyDescent="0.25">
      <c r="A3746">
        <v>6401</v>
      </c>
      <c r="F3746" t="s">
        <v>55</v>
      </c>
      <c r="G3746" t="s">
        <v>5604</v>
      </c>
    </row>
    <row r="3747" spans="1:7" x14ac:dyDescent="0.25">
      <c r="A3747">
        <v>6401</v>
      </c>
      <c r="F3747" t="s">
        <v>5605</v>
      </c>
      <c r="G3747" t="s">
        <v>5604</v>
      </c>
    </row>
    <row r="3748" spans="1:7" x14ac:dyDescent="0.25">
      <c r="A3748">
        <v>6402</v>
      </c>
      <c r="F3748" t="s">
        <v>5603</v>
      </c>
      <c r="G3748" t="s">
        <v>5604</v>
      </c>
    </row>
    <row r="3749" spans="1:7" x14ac:dyDescent="0.25">
      <c r="A3749">
        <v>6402</v>
      </c>
      <c r="F3749" t="s">
        <v>53</v>
      </c>
      <c r="G3749" t="s">
        <v>5604</v>
      </c>
    </row>
    <row r="3750" spans="1:7" x14ac:dyDescent="0.25">
      <c r="A3750">
        <v>6402</v>
      </c>
      <c r="F3750" t="s">
        <v>55</v>
      </c>
      <c r="G3750" t="s">
        <v>5604</v>
      </c>
    </row>
    <row r="3751" spans="1:7" x14ac:dyDescent="0.25">
      <c r="A3751">
        <v>6402</v>
      </c>
      <c r="F3751" t="s">
        <v>5605</v>
      </c>
      <c r="G3751" t="s">
        <v>5604</v>
      </c>
    </row>
    <row r="3752" spans="1:7" x14ac:dyDescent="0.25">
      <c r="A3752">
        <v>6403</v>
      </c>
      <c r="F3752" t="s">
        <v>5603</v>
      </c>
      <c r="G3752" t="s">
        <v>5604</v>
      </c>
    </row>
    <row r="3753" spans="1:7" x14ac:dyDescent="0.25">
      <c r="A3753">
        <v>6403</v>
      </c>
      <c r="F3753" t="s">
        <v>53</v>
      </c>
      <c r="G3753" t="s">
        <v>5604</v>
      </c>
    </row>
    <row r="3754" spans="1:7" x14ac:dyDescent="0.25">
      <c r="A3754">
        <v>6403</v>
      </c>
      <c r="F3754" t="s">
        <v>55</v>
      </c>
      <c r="G3754" t="s">
        <v>5604</v>
      </c>
    </row>
    <row r="3755" spans="1:7" x14ac:dyDescent="0.25">
      <c r="A3755">
        <v>6403</v>
      </c>
      <c r="F3755" t="s">
        <v>5605</v>
      </c>
      <c r="G3755" t="s">
        <v>5604</v>
      </c>
    </row>
    <row r="3756" spans="1:7" x14ac:dyDescent="0.25">
      <c r="A3756">
        <v>6404</v>
      </c>
      <c r="F3756" t="s">
        <v>5603</v>
      </c>
      <c r="G3756" t="s">
        <v>5604</v>
      </c>
    </row>
    <row r="3757" spans="1:7" x14ac:dyDescent="0.25">
      <c r="A3757">
        <v>6404</v>
      </c>
      <c r="F3757" t="s">
        <v>53</v>
      </c>
      <c r="G3757" t="s">
        <v>5604</v>
      </c>
    </row>
    <row r="3758" spans="1:7" x14ac:dyDescent="0.25">
      <c r="A3758">
        <v>6404</v>
      </c>
      <c r="F3758" t="s">
        <v>55</v>
      </c>
      <c r="G3758" t="s">
        <v>5604</v>
      </c>
    </row>
    <row r="3759" spans="1:7" x14ac:dyDescent="0.25">
      <c r="A3759">
        <v>6404</v>
      </c>
      <c r="F3759" t="s">
        <v>5605</v>
      </c>
      <c r="G3759" t="s">
        <v>5604</v>
      </c>
    </row>
    <row r="3760" spans="1:7" x14ac:dyDescent="0.25">
      <c r="A3760">
        <v>6405</v>
      </c>
      <c r="F3760" t="s">
        <v>5603</v>
      </c>
      <c r="G3760" t="s">
        <v>5604</v>
      </c>
    </row>
    <row r="3761" spans="1:7" x14ac:dyDescent="0.25">
      <c r="A3761">
        <v>6405</v>
      </c>
      <c r="F3761" t="s">
        <v>53</v>
      </c>
      <c r="G3761" t="s">
        <v>5604</v>
      </c>
    </row>
    <row r="3762" spans="1:7" x14ac:dyDescent="0.25">
      <c r="A3762">
        <v>6405</v>
      </c>
      <c r="F3762" t="s">
        <v>55</v>
      </c>
      <c r="G3762" t="s">
        <v>5604</v>
      </c>
    </row>
    <row r="3763" spans="1:7" x14ac:dyDescent="0.25">
      <c r="A3763">
        <v>6405</v>
      </c>
      <c r="F3763" t="s">
        <v>5605</v>
      </c>
      <c r="G3763" t="s">
        <v>5604</v>
      </c>
    </row>
    <row r="3764" spans="1:7" x14ac:dyDescent="0.25">
      <c r="A3764">
        <v>6406</v>
      </c>
      <c r="F3764" t="s">
        <v>5603</v>
      </c>
      <c r="G3764" t="s">
        <v>5604</v>
      </c>
    </row>
    <row r="3765" spans="1:7" x14ac:dyDescent="0.25">
      <c r="A3765">
        <v>6406</v>
      </c>
      <c r="F3765" t="s">
        <v>53</v>
      </c>
      <c r="G3765" t="s">
        <v>5604</v>
      </c>
    </row>
    <row r="3766" spans="1:7" x14ac:dyDescent="0.25">
      <c r="A3766">
        <v>6406</v>
      </c>
      <c r="F3766" t="s">
        <v>55</v>
      </c>
      <c r="G3766" t="s">
        <v>5604</v>
      </c>
    </row>
    <row r="3767" spans="1:7" x14ac:dyDescent="0.25">
      <c r="A3767">
        <v>6406</v>
      </c>
      <c r="F3767" t="s">
        <v>5605</v>
      </c>
      <c r="G3767" t="s">
        <v>5604</v>
      </c>
    </row>
    <row r="3768" spans="1:7" x14ac:dyDescent="0.25">
      <c r="A3768">
        <v>6407</v>
      </c>
      <c r="F3768" t="s">
        <v>5603</v>
      </c>
      <c r="G3768" t="s">
        <v>5604</v>
      </c>
    </row>
    <row r="3769" spans="1:7" x14ac:dyDescent="0.25">
      <c r="A3769">
        <v>6407</v>
      </c>
      <c r="F3769" t="s">
        <v>53</v>
      </c>
      <c r="G3769" t="s">
        <v>5604</v>
      </c>
    </row>
    <row r="3770" spans="1:7" x14ac:dyDescent="0.25">
      <c r="A3770">
        <v>6407</v>
      </c>
      <c r="F3770" t="s">
        <v>55</v>
      </c>
      <c r="G3770" t="s">
        <v>5604</v>
      </c>
    </row>
    <row r="3771" spans="1:7" x14ac:dyDescent="0.25">
      <c r="A3771">
        <v>6407</v>
      </c>
      <c r="F3771" t="s">
        <v>5605</v>
      </c>
      <c r="G3771" t="s">
        <v>5604</v>
      </c>
    </row>
    <row r="3772" spans="1:7" x14ac:dyDescent="0.25">
      <c r="A3772">
        <v>6408</v>
      </c>
      <c r="F3772" t="s">
        <v>5603</v>
      </c>
      <c r="G3772" t="s">
        <v>5604</v>
      </c>
    </row>
    <row r="3773" spans="1:7" x14ac:dyDescent="0.25">
      <c r="A3773">
        <v>6408</v>
      </c>
      <c r="F3773" t="s">
        <v>53</v>
      </c>
      <c r="G3773" t="s">
        <v>5604</v>
      </c>
    </row>
    <row r="3774" spans="1:7" x14ac:dyDescent="0.25">
      <c r="A3774">
        <v>6408</v>
      </c>
      <c r="F3774" t="s">
        <v>55</v>
      </c>
      <c r="G3774" t="s">
        <v>5604</v>
      </c>
    </row>
    <row r="3775" spans="1:7" x14ac:dyDescent="0.25">
      <c r="A3775">
        <v>6408</v>
      </c>
      <c r="F3775" t="s">
        <v>5605</v>
      </c>
      <c r="G3775" t="s">
        <v>5604</v>
      </c>
    </row>
    <row r="3776" spans="1:7" x14ac:dyDescent="0.25">
      <c r="A3776">
        <v>6409</v>
      </c>
      <c r="F3776" t="s">
        <v>5603</v>
      </c>
      <c r="G3776" t="s">
        <v>5604</v>
      </c>
    </row>
    <row r="3777" spans="1:7" x14ac:dyDescent="0.25">
      <c r="A3777">
        <v>6409</v>
      </c>
      <c r="F3777" t="s">
        <v>53</v>
      </c>
      <c r="G3777" t="s">
        <v>5604</v>
      </c>
    </row>
    <row r="3778" spans="1:7" x14ac:dyDescent="0.25">
      <c r="A3778">
        <v>6409</v>
      </c>
      <c r="F3778" t="s">
        <v>55</v>
      </c>
      <c r="G3778" t="s">
        <v>5604</v>
      </c>
    </row>
    <row r="3779" spans="1:7" x14ac:dyDescent="0.25">
      <c r="A3779">
        <v>6409</v>
      </c>
      <c r="F3779" t="s">
        <v>5605</v>
      </c>
      <c r="G3779" t="s">
        <v>5604</v>
      </c>
    </row>
    <row r="3780" spans="1:7" x14ac:dyDescent="0.25">
      <c r="A3780">
        <v>6410</v>
      </c>
      <c r="F3780" t="s">
        <v>5603</v>
      </c>
      <c r="G3780" t="s">
        <v>5604</v>
      </c>
    </row>
    <row r="3781" spans="1:7" x14ac:dyDescent="0.25">
      <c r="A3781">
        <v>6410</v>
      </c>
      <c r="F3781" t="s">
        <v>53</v>
      </c>
      <c r="G3781" t="s">
        <v>5604</v>
      </c>
    </row>
    <row r="3782" spans="1:7" x14ac:dyDescent="0.25">
      <c r="A3782">
        <v>6410</v>
      </c>
      <c r="F3782" t="s">
        <v>55</v>
      </c>
      <c r="G3782" t="s">
        <v>5604</v>
      </c>
    </row>
    <row r="3783" spans="1:7" x14ac:dyDescent="0.25">
      <c r="A3783">
        <v>6410</v>
      </c>
      <c r="F3783" t="s">
        <v>5605</v>
      </c>
      <c r="G3783" t="s">
        <v>5604</v>
      </c>
    </row>
    <row r="3784" spans="1:7" x14ac:dyDescent="0.25">
      <c r="A3784">
        <v>6411</v>
      </c>
      <c r="F3784" t="s">
        <v>5603</v>
      </c>
      <c r="G3784" t="s">
        <v>5604</v>
      </c>
    </row>
    <row r="3785" spans="1:7" x14ac:dyDescent="0.25">
      <c r="A3785">
        <v>6411</v>
      </c>
      <c r="F3785" t="s">
        <v>53</v>
      </c>
      <c r="G3785" t="s">
        <v>5604</v>
      </c>
    </row>
    <row r="3786" spans="1:7" x14ac:dyDescent="0.25">
      <c r="A3786">
        <v>6411</v>
      </c>
      <c r="F3786" t="s">
        <v>55</v>
      </c>
      <c r="G3786" t="s">
        <v>5604</v>
      </c>
    </row>
    <row r="3787" spans="1:7" x14ac:dyDescent="0.25">
      <c r="A3787">
        <v>6411</v>
      </c>
      <c r="F3787" t="s">
        <v>5605</v>
      </c>
      <c r="G3787" t="s">
        <v>5604</v>
      </c>
    </row>
    <row r="3788" spans="1:7" x14ac:dyDescent="0.25">
      <c r="A3788">
        <v>6412</v>
      </c>
      <c r="F3788" t="s">
        <v>5603</v>
      </c>
      <c r="G3788" t="s">
        <v>5604</v>
      </c>
    </row>
    <row r="3789" spans="1:7" x14ac:dyDescent="0.25">
      <c r="A3789">
        <v>6412</v>
      </c>
      <c r="F3789" t="s">
        <v>53</v>
      </c>
      <c r="G3789" t="s">
        <v>5604</v>
      </c>
    </row>
    <row r="3790" spans="1:7" x14ac:dyDescent="0.25">
      <c r="A3790">
        <v>6412</v>
      </c>
      <c r="F3790" t="s">
        <v>55</v>
      </c>
      <c r="G3790" t="s">
        <v>5604</v>
      </c>
    </row>
    <row r="3791" spans="1:7" x14ac:dyDescent="0.25">
      <c r="A3791">
        <v>6412</v>
      </c>
      <c r="F3791" t="s">
        <v>5605</v>
      </c>
      <c r="G3791" t="s">
        <v>5604</v>
      </c>
    </row>
    <row r="3792" spans="1:7" x14ac:dyDescent="0.25">
      <c r="A3792">
        <v>6413</v>
      </c>
      <c r="F3792" t="s">
        <v>5603</v>
      </c>
      <c r="G3792" t="s">
        <v>5604</v>
      </c>
    </row>
    <row r="3793" spans="1:7" x14ac:dyDescent="0.25">
      <c r="A3793">
        <v>6413</v>
      </c>
      <c r="F3793" t="s">
        <v>53</v>
      </c>
      <c r="G3793" t="s">
        <v>5604</v>
      </c>
    </row>
    <row r="3794" spans="1:7" x14ac:dyDescent="0.25">
      <c r="A3794">
        <v>6413</v>
      </c>
      <c r="F3794" t="s">
        <v>55</v>
      </c>
      <c r="G3794" t="s">
        <v>5604</v>
      </c>
    </row>
    <row r="3795" spans="1:7" x14ac:dyDescent="0.25">
      <c r="A3795">
        <v>6413</v>
      </c>
      <c r="F3795" t="s">
        <v>5605</v>
      </c>
      <c r="G3795" t="s">
        <v>5604</v>
      </c>
    </row>
    <row r="3796" spans="1:7" x14ac:dyDescent="0.25">
      <c r="A3796">
        <v>6414</v>
      </c>
      <c r="F3796" t="s">
        <v>5603</v>
      </c>
      <c r="G3796" t="s">
        <v>5604</v>
      </c>
    </row>
    <row r="3797" spans="1:7" x14ac:dyDescent="0.25">
      <c r="A3797">
        <v>6414</v>
      </c>
      <c r="F3797" t="s">
        <v>53</v>
      </c>
      <c r="G3797" t="s">
        <v>5604</v>
      </c>
    </row>
    <row r="3798" spans="1:7" x14ac:dyDescent="0.25">
      <c r="A3798">
        <v>6414</v>
      </c>
      <c r="F3798" t="s">
        <v>55</v>
      </c>
      <c r="G3798" t="s">
        <v>5604</v>
      </c>
    </row>
    <row r="3799" spans="1:7" x14ac:dyDescent="0.25">
      <c r="A3799">
        <v>6414</v>
      </c>
      <c r="F3799" t="s">
        <v>5605</v>
      </c>
      <c r="G3799" t="s">
        <v>5604</v>
      </c>
    </row>
    <row r="3800" spans="1:7" x14ac:dyDescent="0.25">
      <c r="A3800">
        <v>6415</v>
      </c>
      <c r="F3800" t="s">
        <v>5603</v>
      </c>
      <c r="G3800" t="s">
        <v>5604</v>
      </c>
    </row>
    <row r="3801" spans="1:7" x14ac:dyDescent="0.25">
      <c r="A3801">
        <v>6415</v>
      </c>
      <c r="F3801" t="s">
        <v>53</v>
      </c>
      <c r="G3801" t="s">
        <v>5604</v>
      </c>
    </row>
    <row r="3802" spans="1:7" x14ac:dyDescent="0.25">
      <c r="A3802">
        <v>6415</v>
      </c>
      <c r="F3802" t="s">
        <v>55</v>
      </c>
      <c r="G3802" t="s">
        <v>5604</v>
      </c>
    </row>
    <row r="3803" spans="1:7" x14ac:dyDescent="0.25">
      <c r="A3803">
        <v>6415</v>
      </c>
      <c r="F3803" t="s">
        <v>5605</v>
      </c>
      <c r="G3803" t="s">
        <v>5604</v>
      </c>
    </row>
    <row r="3804" spans="1:7" x14ac:dyDescent="0.25">
      <c r="A3804">
        <v>6416</v>
      </c>
      <c r="F3804" t="s">
        <v>5603</v>
      </c>
      <c r="G3804" t="s">
        <v>5604</v>
      </c>
    </row>
    <row r="3805" spans="1:7" x14ac:dyDescent="0.25">
      <c r="A3805">
        <v>6416</v>
      </c>
      <c r="F3805" t="s">
        <v>53</v>
      </c>
      <c r="G3805" t="s">
        <v>5604</v>
      </c>
    </row>
    <row r="3806" spans="1:7" x14ac:dyDescent="0.25">
      <c r="A3806">
        <v>6416</v>
      </c>
      <c r="F3806" t="s">
        <v>55</v>
      </c>
      <c r="G3806" t="s">
        <v>5604</v>
      </c>
    </row>
    <row r="3807" spans="1:7" x14ac:dyDescent="0.25">
      <c r="A3807">
        <v>6416</v>
      </c>
      <c r="F3807" t="s">
        <v>5605</v>
      </c>
      <c r="G3807" t="s">
        <v>5604</v>
      </c>
    </row>
    <row r="3808" spans="1:7" x14ac:dyDescent="0.25">
      <c r="A3808">
        <v>6417</v>
      </c>
      <c r="F3808" t="s">
        <v>5603</v>
      </c>
      <c r="G3808" t="s">
        <v>5604</v>
      </c>
    </row>
    <row r="3809" spans="1:7" x14ac:dyDescent="0.25">
      <c r="A3809">
        <v>6417</v>
      </c>
      <c r="F3809" t="s">
        <v>53</v>
      </c>
      <c r="G3809" t="s">
        <v>5604</v>
      </c>
    </row>
    <row r="3810" spans="1:7" x14ac:dyDescent="0.25">
      <c r="A3810">
        <v>6417</v>
      </c>
      <c r="F3810" t="s">
        <v>55</v>
      </c>
      <c r="G3810" t="s">
        <v>5604</v>
      </c>
    </row>
    <row r="3811" spans="1:7" x14ac:dyDescent="0.25">
      <c r="A3811">
        <v>6417</v>
      </c>
      <c r="F3811" t="s">
        <v>5605</v>
      </c>
      <c r="G3811" t="s">
        <v>5604</v>
      </c>
    </row>
    <row r="3812" spans="1:7" x14ac:dyDescent="0.25">
      <c r="A3812">
        <v>6418</v>
      </c>
      <c r="F3812" t="s">
        <v>5603</v>
      </c>
      <c r="G3812" t="s">
        <v>5604</v>
      </c>
    </row>
    <row r="3813" spans="1:7" x14ac:dyDescent="0.25">
      <c r="A3813">
        <v>6418</v>
      </c>
      <c r="F3813" t="s">
        <v>53</v>
      </c>
      <c r="G3813" t="s">
        <v>5604</v>
      </c>
    </row>
    <row r="3814" spans="1:7" x14ac:dyDescent="0.25">
      <c r="A3814">
        <v>6418</v>
      </c>
      <c r="F3814" t="s">
        <v>55</v>
      </c>
      <c r="G3814" t="s">
        <v>5604</v>
      </c>
    </row>
    <row r="3815" spans="1:7" x14ac:dyDescent="0.25">
      <c r="A3815">
        <v>6418</v>
      </c>
      <c r="F3815" t="s">
        <v>5605</v>
      </c>
      <c r="G3815" t="s">
        <v>5604</v>
      </c>
    </row>
    <row r="3816" spans="1:7" x14ac:dyDescent="0.25">
      <c r="A3816">
        <v>6419</v>
      </c>
      <c r="F3816" t="s">
        <v>5603</v>
      </c>
      <c r="G3816" t="s">
        <v>5604</v>
      </c>
    </row>
    <row r="3817" spans="1:7" x14ac:dyDescent="0.25">
      <c r="A3817">
        <v>6419</v>
      </c>
      <c r="F3817" t="s">
        <v>53</v>
      </c>
      <c r="G3817" t="s">
        <v>5604</v>
      </c>
    </row>
    <row r="3818" spans="1:7" x14ac:dyDescent="0.25">
      <c r="A3818">
        <v>6419</v>
      </c>
      <c r="F3818" t="s">
        <v>55</v>
      </c>
      <c r="G3818" t="s">
        <v>5604</v>
      </c>
    </row>
    <row r="3819" spans="1:7" x14ac:dyDescent="0.25">
      <c r="A3819">
        <v>6419</v>
      </c>
      <c r="F3819" t="s">
        <v>5605</v>
      </c>
      <c r="G3819" t="s">
        <v>5604</v>
      </c>
    </row>
    <row r="3820" spans="1:7" x14ac:dyDescent="0.25">
      <c r="A3820">
        <v>6420</v>
      </c>
      <c r="F3820" t="s">
        <v>5603</v>
      </c>
      <c r="G3820" t="s">
        <v>5604</v>
      </c>
    </row>
    <row r="3821" spans="1:7" x14ac:dyDescent="0.25">
      <c r="A3821">
        <v>6420</v>
      </c>
      <c r="F3821" t="s">
        <v>53</v>
      </c>
      <c r="G3821" t="s">
        <v>5604</v>
      </c>
    </row>
    <row r="3822" spans="1:7" x14ac:dyDescent="0.25">
      <c r="A3822">
        <v>6420</v>
      </c>
      <c r="F3822" t="s">
        <v>55</v>
      </c>
      <c r="G3822" t="s">
        <v>5604</v>
      </c>
    </row>
    <row r="3823" spans="1:7" x14ac:dyDescent="0.25">
      <c r="A3823">
        <v>6420</v>
      </c>
      <c r="F3823" t="s">
        <v>5605</v>
      </c>
      <c r="G3823" t="s">
        <v>5604</v>
      </c>
    </row>
    <row r="3824" spans="1:7" x14ac:dyDescent="0.25">
      <c r="A3824">
        <v>6421</v>
      </c>
      <c r="F3824" t="s">
        <v>5603</v>
      </c>
      <c r="G3824" t="s">
        <v>5604</v>
      </c>
    </row>
    <row r="3825" spans="1:7" x14ac:dyDescent="0.25">
      <c r="A3825">
        <v>6421</v>
      </c>
      <c r="F3825" t="s">
        <v>53</v>
      </c>
      <c r="G3825" t="s">
        <v>5604</v>
      </c>
    </row>
    <row r="3826" spans="1:7" x14ac:dyDescent="0.25">
      <c r="A3826">
        <v>6421</v>
      </c>
      <c r="F3826" t="s">
        <v>55</v>
      </c>
      <c r="G3826" t="s">
        <v>5604</v>
      </c>
    </row>
    <row r="3827" spans="1:7" x14ac:dyDescent="0.25">
      <c r="A3827">
        <v>6421</v>
      </c>
      <c r="F3827" t="s">
        <v>5605</v>
      </c>
      <c r="G3827" t="s">
        <v>5604</v>
      </c>
    </row>
    <row r="3828" spans="1:7" x14ac:dyDescent="0.25">
      <c r="A3828">
        <v>6422</v>
      </c>
      <c r="F3828" t="s">
        <v>5603</v>
      </c>
      <c r="G3828" t="s">
        <v>5604</v>
      </c>
    </row>
    <row r="3829" spans="1:7" x14ac:dyDescent="0.25">
      <c r="A3829">
        <v>6422</v>
      </c>
      <c r="F3829" t="s">
        <v>53</v>
      </c>
      <c r="G3829" t="s">
        <v>5604</v>
      </c>
    </row>
    <row r="3830" spans="1:7" x14ac:dyDescent="0.25">
      <c r="A3830">
        <v>6422</v>
      </c>
      <c r="F3830" t="s">
        <v>55</v>
      </c>
      <c r="G3830" t="s">
        <v>5604</v>
      </c>
    </row>
    <row r="3831" spans="1:7" x14ac:dyDescent="0.25">
      <c r="A3831">
        <v>6422</v>
      </c>
      <c r="F3831" t="s">
        <v>5605</v>
      </c>
      <c r="G3831" t="s">
        <v>5604</v>
      </c>
    </row>
    <row r="3832" spans="1:7" x14ac:dyDescent="0.25">
      <c r="A3832">
        <v>6423</v>
      </c>
      <c r="F3832" t="s">
        <v>5603</v>
      </c>
      <c r="G3832" t="s">
        <v>5604</v>
      </c>
    </row>
    <row r="3833" spans="1:7" x14ac:dyDescent="0.25">
      <c r="A3833">
        <v>6423</v>
      </c>
      <c r="F3833" t="s">
        <v>53</v>
      </c>
      <c r="G3833" t="s">
        <v>5604</v>
      </c>
    </row>
    <row r="3834" spans="1:7" x14ac:dyDescent="0.25">
      <c r="A3834">
        <v>6423</v>
      </c>
      <c r="F3834" t="s">
        <v>55</v>
      </c>
      <c r="G3834" t="s">
        <v>5604</v>
      </c>
    </row>
    <row r="3835" spans="1:7" x14ac:dyDescent="0.25">
      <c r="A3835">
        <v>6423</v>
      </c>
      <c r="F3835" t="s">
        <v>5605</v>
      </c>
      <c r="G3835" t="s">
        <v>5604</v>
      </c>
    </row>
    <row r="3836" spans="1:7" x14ac:dyDescent="0.25">
      <c r="A3836">
        <v>6424</v>
      </c>
      <c r="F3836" t="s">
        <v>5603</v>
      </c>
      <c r="G3836" t="s">
        <v>5604</v>
      </c>
    </row>
    <row r="3837" spans="1:7" x14ac:dyDescent="0.25">
      <c r="A3837">
        <v>6424</v>
      </c>
      <c r="F3837" t="s">
        <v>53</v>
      </c>
      <c r="G3837" t="s">
        <v>5604</v>
      </c>
    </row>
    <row r="3838" spans="1:7" x14ac:dyDescent="0.25">
      <c r="A3838">
        <v>6424</v>
      </c>
      <c r="F3838" t="s">
        <v>55</v>
      </c>
      <c r="G3838" t="s">
        <v>5604</v>
      </c>
    </row>
    <row r="3839" spans="1:7" x14ac:dyDescent="0.25">
      <c r="A3839">
        <v>6424</v>
      </c>
      <c r="F3839" t="s">
        <v>5605</v>
      </c>
      <c r="G3839" t="s">
        <v>5604</v>
      </c>
    </row>
    <row r="3840" spans="1:7" x14ac:dyDescent="0.25">
      <c r="A3840">
        <v>6425</v>
      </c>
      <c r="F3840" t="s">
        <v>5603</v>
      </c>
      <c r="G3840" t="s">
        <v>5604</v>
      </c>
    </row>
    <row r="3841" spans="1:7" x14ac:dyDescent="0.25">
      <c r="A3841">
        <v>6425</v>
      </c>
      <c r="F3841" t="s">
        <v>53</v>
      </c>
      <c r="G3841" t="s">
        <v>5604</v>
      </c>
    </row>
    <row r="3842" spans="1:7" x14ac:dyDescent="0.25">
      <c r="A3842">
        <v>6425</v>
      </c>
      <c r="F3842" t="s">
        <v>55</v>
      </c>
      <c r="G3842" t="s">
        <v>5604</v>
      </c>
    </row>
    <row r="3843" spans="1:7" x14ac:dyDescent="0.25">
      <c r="A3843">
        <v>6425</v>
      </c>
      <c r="F3843" t="s">
        <v>5605</v>
      </c>
      <c r="G3843" t="s">
        <v>5604</v>
      </c>
    </row>
    <row r="3844" spans="1:7" x14ac:dyDescent="0.25">
      <c r="A3844">
        <v>6426</v>
      </c>
      <c r="F3844" t="s">
        <v>5603</v>
      </c>
      <c r="G3844" t="s">
        <v>5604</v>
      </c>
    </row>
    <row r="3845" spans="1:7" x14ac:dyDescent="0.25">
      <c r="A3845">
        <v>6426</v>
      </c>
      <c r="F3845" t="s">
        <v>53</v>
      </c>
      <c r="G3845" t="s">
        <v>5604</v>
      </c>
    </row>
    <row r="3846" spans="1:7" x14ac:dyDescent="0.25">
      <c r="A3846">
        <v>6426</v>
      </c>
      <c r="F3846" t="s">
        <v>55</v>
      </c>
      <c r="G3846" t="s">
        <v>5604</v>
      </c>
    </row>
    <row r="3847" spans="1:7" x14ac:dyDescent="0.25">
      <c r="A3847">
        <v>6426</v>
      </c>
      <c r="F3847" t="s">
        <v>5605</v>
      </c>
      <c r="G3847" t="s">
        <v>5604</v>
      </c>
    </row>
    <row r="3848" spans="1:7" x14ac:dyDescent="0.25">
      <c r="A3848">
        <v>6427</v>
      </c>
      <c r="F3848" t="s">
        <v>5603</v>
      </c>
      <c r="G3848" t="s">
        <v>5604</v>
      </c>
    </row>
    <row r="3849" spans="1:7" x14ac:dyDescent="0.25">
      <c r="A3849">
        <v>6427</v>
      </c>
      <c r="F3849" t="s">
        <v>53</v>
      </c>
      <c r="G3849" t="s">
        <v>5604</v>
      </c>
    </row>
    <row r="3850" spans="1:7" x14ac:dyDescent="0.25">
      <c r="A3850">
        <v>6427</v>
      </c>
      <c r="F3850" t="s">
        <v>55</v>
      </c>
      <c r="G3850" t="s">
        <v>5604</v>
      </c>
    </row>
    <row r="3851" spans="1:7" x14ac:dyDescent="0.25">
      <c r="A3851">
        <v>6427</v>
      </c>
      <c r="F3851" t="s">
        <v>5605</v>
      </c>
      <c r="G3851" t="s">
        <v>5604</v>
      </c>
    </row>
    <row r="3852" spans="1:7" x14ac:dyDescent="0.25">
      <c r="A3852">
        <v>6428</v>
      </c>
      <c r="F3852" t="s">
        <v>5603</v>
      </c>
      <c r="G3852" t="s">
        <v>5604</v>
      </c>
    </row>
    <row r="3853" spans="1:7" x14ac:dyDescent="0.25">
      <c r="A3853">
        <v>6428</v>
      </c>
      <c r="F3853" t="s">
        <v>53</v>
      </c>
      <c r="G3853" t="s">
        <v>5604</v>
      </c>
    </row>
    <row r="3854" spans="1:7" x14ac:dyDescent="0.25">
      <c r="A3854">
        <v>6428</v>
      </c>
      <c r="F3854" t="s">
        <v>55</v>
      </c>
      <c r="G3854" t="s">
        <v>5604</v>
      </c>
    </row>
    <row r="3855" spans="1:7" x14ac:dyDescent="0.25">
      <c r="A3855">
        <v>6428</v>
      </c>
      <c r="F3855" t="s">
        <v>5605</v>
      </c>
      <c r="G3855" t="s">
        <v>5604</v>
      </c>
    </row>
    <row r="3856" spans="1:7" x14ac:dyDescent="0.25">
      <c r="A3856">
        <v>6429</v>
      </c>
      <c r="F3856" t="s">
        <v>5603</v>
      </c>
      <c r="G3856" t="s">
        <v>5604</v>
      </c>
    </row>
    <row r="3857" spans="1:7" x14ac:dyDescent="0.25">
      <c r="A3857">
        <v>6429</v>
      </c>
      <c r="F3857" t="s">
        <v>53</v>
      </c>
      <c r="G3857" t="s">
        <v>5604</v>
      </c>
    </row>
    <row r="3858" spans="1:7" x14ac:dyDescent="0.25">
      <c r="A3858">
        <v>6429</v>
      </c>
      <c r="F3858" t="s">
        <v>55</v>
      </c>
      <c r="G3858" t="s">
        <v>5604</v>
      </c>
    </row>
    <row r="3859" spans="1:7" x14ac:dyDescent="0.25">
      <c r="A3859">
        <v>6429</v>
      </c>
      <c r="F3859" t="s">
        <v>5605</v>
      </c>
      <c r="G3859" t="s">
        <v>5604</v>
      </c>
    </row>
    <row r="3860" spans="1:7" x14ac:dyDescent="0.25">
      <c r="A3860">
        <v>6430</v>
      </c>
      <c r="F3860" t="s">
        <v>5603</v>
      </c>
      <c r="G3860" t="s">
        <v>5604</v>
      </c>
    </row>
    <row r="3861" spans="1:7" x14ac:dyDescent="0.25">
      <c r="A3861">
        <v>6430</v>
      </c>
      <c r="F3861" t="s">
        <v>53</v>
      </c>
      <c r="G3861" t="s">
        <v>5604</v>
      </c>
    </row>
    <row r="3862" spans="1:7" x14ac:dyDescent="0.25">
      <c r="A3862">
        <v>6430</v>
      </c>
      <c r="F3862" t="s">
        <v>55</v>
      </c>
      <c r="G3862" t="s">
        <v>5604</v>
      </c>
    </row>
    <row r="3863" spans="1:7" x14ac:dyDescent="0.25">
      <c r="A3863">
        <v>6430</v>
      </c>
      <c r="F3863" t="s">
        <v>5605</v>
      </c>
      <c r="G3863" t="s">
        <v>5604</v>
      </c>
    </row>
    <row r="3864" spans="1:7" x14ac:dyDescent="0.25">
      <c r="A3864">
        <v>6431</v>
      </c>
      <c r="F3864" t="s">
        <v>5603</v>
      </c>
      <c r="G3864" t="s">
        <v>5604</v>
      </c>
    </row>
    <row r="3865" spans="1:7" x14ac:dyDescent="0.25">
      <c r="A3865">
        <v>6431</v>
      </c>
      <c r="F3865" t="s">
        <v>53</v>
      </c>
      <c r="G3865" t="s">
        <v>5604</v>
      </c>
    </row>
    <row r="3866" spans="1:7" x14ac:dyDescent="0.25">
      <c r="A3866">
        <v>6431</v>
      </c>
      <c r="F3866" t="s">
        <v>55</v>
      </c>
      <c r="G3866" t="s">
        <v>5604</v>
      </c>
    </row>
    <row r="3867" spans="1:7" x14ac:dyDescent="0.25">
      <c r="A3867">
        <v>6431</v>
      </c>
      <c r="F3867" t="s">
        <v>5605</v>
      </c>
      <c r="G3867" t="s">
        <v>5604</v>
      </c>
    </row>
    <row r="3868" spans="1:7" x14ac:dyDescent="0.25">
      <c r="A3868">
        <v>6432</v>
      </c>
      <c r="F3868" t="s">
        <v>5603</v>
      </c>
      <c r="G3868" t="s">
        <v>5604</v>
      </c>
    </row>
    <row r="3869" spans="1:7" x14ac:dyDescent="0.25">
      <c r="A3869">
        <v>6432</v>
      </c>
      <c r="F3869" t="s">
        <v>53</v>
      </c>
      <c r="G3869" t="s">
        <v>5604</v>
      </c>
    </row>
    <row r="3870" spans="1:7" x14ac:dyDescent="0.25">
      <c r="A3870">
        <v>6432</v>
      </c>
      <c r="F3870" t="s">
        <v>55</v>
      </c>
      <c r="G3870" t="s">
        <v>5604</v>
      </c>
    </row>
    <row r="3871" spans="1:7" x14ac:dyDescent="0.25">
      <c r="A3871">
        <v>6432</v>
      </c>
      <c r="F3871" t="s">
        <v>5605</v>
      </c>
      <c r="G3871" t="s">
        <v>5604</v>
      </c>
    </row>
    <row r="3872" spans="1:7" x14ac:dyDescent="0.25">
      <c r="A3872">
        <v>6433</v>
      </c>
      <c r="F3872" t="s">
        <v>5603</v>
      </c>
      <c r="G3872" t="s">
        <v>5604</v>
      </c>
    </row>
    <row r="3873" spans="1:7" x14ac:dyDescent="0.25">
      <c r="A3873">
        <v>6433</v>
      </c>
      <c r="F3873" t="s">
        <v>53</v>
      </c>
      <c r="G3873" t="s">
        <v>5604</v>
      </c>
    </row>
    <row r="3874" spans="1:7" x14ac:dyDescent="0.25">
      <c r="A3874">
        <v>6433</v>
      </c>
      <c r="F3874" t="s">
        <v>55</v>
      </c>
      <c r="G3874" t="s">
        <v>5604</v>
      </c>
    </row>
    <row r="3875" spans="1:7" x14ac:dyDescent="0.25">
      <c r="A3875">
        <v>6433</v>
      </c>
      <c r="F3875" t="s">
        <v>5605</v>
      </c>
      <c r="G3875" t="s">
        <v>5604</v>
      </c>
    </row>
    <row r="3876" spans="1:7" x14ac:dyDescent="0.25">
      <c r="A3876">
        <v>6434</v>
      </c>
      <c r="F3876" t="s">
        <v>5603</v>
      </c>
      <c r="G3876" t="s">
        <v>5604</v>
      </c>
    </row>
    <row r="3877" spans="1:7" x14ac:dyDescent="0.25">
      <c r="A3877">
        <v>6434</v>
      </c>
      <c r="F3877" t="s">
        <v>53</v>
      </c>
      <c r="G3877" t="s">
        <v>5604</v>
      </c>
    </row>
    <row r="3878" spans="1:7" x14ac:dyDescent="0.25">
      <c r="A3878">
        <v>6434</v>
      </c>
      <c r="F3878" t="s">
        <v>55</v>
      </c>
      <c r="G3878" t="s">
        <v>5604</v>
      </c>
    </row>
    <row r="3879" spans="1:7" x14ac:dyDescent="0.25">
      <c r="A3879">
        <v>6434</v>
      </c>
      <c r="F3879" t="s">
        <v>5605</v>
      </c>
      <c r="G3879" t="s">
        <v>5604</v>
      </c>
    </row>
    <row r="3880" spans="1:7" x14ac:dyDescent="0.25">
      <c r="A3880">
        <v>6435</v>
      </c>
      <c r="F3880" t="s">
        <v>5603</v>
      </c>
      <c r="G3880" t="s">
        <v>5604</v>
      </c>
    </row>
    <row r="3881" spans="1:7" x14ac:dyDescent="0.25">
      <c r="A3881">
        <v>6435</v>
      </c>
      <c r="F3881" t="s">
        <v>53</v>
      </c>
      <c r="G3881" t="s">
        <v>5604</v>
      </c>
    </row>
    <row r="3882" spans="1:7" x14ac:dyDescent="0.25">
      <c r="A3882">
        <v>6435</v>
      </c>
      <c r="F3882" t="s">
        <v>55</v>
      </c>
      <c r="G3882" t="s">
        <v>5604</v>
      </c>
    </row>
    <row r="3883" spans="1:7" x14ac:dyDescent="0.25">
      <c r="A3883">
        <v>6435</v>
      </c>
      <c r="F3883" t="s">
        <v>5605</v>
      </c>
      <c r="G3883" t="s">
        <v>5604</v>
      </c>
    </row>
    <row r="3884" spans="1:7" x14ac:dyDescent="0.25">
      <c r="A3884">
        <v>6436</v>
      </c>
      <c r="F3884" t="s">
        <v>5603</v>
      </c>
      <c r="G3884" t="s">
        <v>5604</v>
      </c>
    </row>
    <row r="3885" spans="1:7" x14ac:dyDescent="0.25">
      <c r="A3885">
        <v>6436</v>
      </c>
      <c r="F3885" t="s">
        <v>53</v>
      </c>
      <c r="G3885" t="s">
        <v>5604</v>
      </c>
    </row>
    <row r="3886" spans="1:7" x14ac:dyDescent="0.25">
      <c r="A3886">
        <v>6436</v>
      </c>
      <c r="F3886" t="s">
        <v>55</v>
      </c>
      <c r="G3886" t="s">
        <v>5604</v>
      </c>
    </row>
    <row r="3887" spans="1:7" x14ac:dyDescent="0.25">
      <c r="A3887">
        <v>6436</v>
      </c>
      <c r="F3887" t="s">
        <v>5605</v>
      </c>
      <c r="G3887" t="s">
        <v>5604</v>
      </c>
    </row>
    <row r="3888" spans="1:7" x14ac:dyDescent="0.25">
      <c r="A3888">
        <v>6437</v>
      </c>
      <c r="F3888" t="s">
        <v>5603</v>
      </c>
      <c r="G3888" t="s">
        <v>5604</v>
      </c>
    </row>
    <row r="3889" spans="1:7" x14ac:dyDescent="0.25">
      <c r="A3889">
        <v>6437</v>
      </c>
      <c r="F3889" t="s">
        <v>53</v>
      </c>
      <c r="G3889" t="s">
        <v>5604</v>
      </c>
    </row>
    <row r="3890" spans="1:7" x14ac:dyDescent="0.25">
      <c r="A3890">
        <v>6437</v>
      </c>
      <c r="F3890" t="s">
        <v>55</v>
      </c>
      <c r="G3890" t="s">
        <v>5604</v>
      </c>
    </row>
    <row r="3891" spans="1:7" x14ac:dyDescent="0.25">
      <c r="A3891">
        <v>6437</v>
      </c>
      <c r="F3891" t="s">
        <v>5605</v>
      </c>
      <c r="G3891" t="s">
        <v>5604</v>
      </c>
    </row>
    <row r="3892" spans="1:7" x14ac:dyDescent="0.25">
      <c r="A3892">
        <v>6438</v>
      </c>
      <c r="F3892" t="s">
        <v>5603</v>
      </c>
      <c r="G3892" t="s">
        <v>5604</v>
      </c>
    </row>
    <row r="3893" spans="1:7" x14ac:dyDescent="0.25">
      <c r="A3893">
        <v>6438</v>
      </c>
      <c r="F3893" t="s">
        <v>53</v>
      </c>
      <c r="G3893" t="s">
        <v>5604</v>
      </c>
    </row>
    <row r="3894" spans="1:7" x14ac:dyDescent="0.25">
      <c r="A3894">
        <v>6438</v>
      </c>
      <c r="F3894" t="s">
        <v>55</v>
      </c>
      <c r="G3894" t="s">
        <v>5604</v>
      </c>
    </row>
    <row r="3895" spans="1:7" x14ac:dyDescent="0.25">
      <c r="A3895">
        <v>6438</v>
      </c>
      <c r="F3895" t="s">
        <v>5605</v>
      </c>
      <c r="G3895" t="s">
        <v>5604</v>
      </c>
    </row>
    <row r="3896" spans="1:7" x14ac:dyDescent="0.25">
      <c r="A3896">
        <v>6439</v>
      </c>
      <c r="F3896" t="s">
        <v>5603</v>
      </c>
      <c r="G3896" t="s">
        <v>5604</v>
      </c>
    </row>
    <row r="3897" spans="1:7" x14ac:dyDescent="0.25">
      <c r="A3897">
        <v>6439</v>
      </c>
      <c r="F3897" t="s">
        <v>53</v>
      </c>
      <c r="G3897" t="s">
        <v>5604</v>
      </c>
    </row>
    <row r="3898" spans="1:7" x14ac:dyDescent="0.25">
      <c r="A3898">
        <v>6439</v>
      </c>
      <c r="F3898" t="s">
        <v>55</v>
      </c>
      <c r="G3898" t="s">
        <v>5604</v>
      </c>
    </row>
    <row r="3899" spans="1:7" x14ac:dyDescent="0.25">
      <c r="A3899">
        <v>6439</v>
      </c>
      <c r="F3899" t="s">
        <v>5605</v>
      </c>
      <c r="G3899" t="s">
        <v>5604</v>
      </c>
    </row>
    <row r="3900" spans="1:7" x14ac:dyDescent="0.25">
      <c r="A3900">
        <v>6440</v>
      </c>
      <c r="F3900" t="s">
        <v>5603</v>
      </c>
      <c r="G3900" t="s">
        <v>5604</v>
      </c>
    </row>
    <row r="3901" spans="1:7" x14ac:dyDescent="0.25">
      <c r="A3901">
        <v>6440</v>
      </c>
      <c r="F3901" t="s">
        <v>53</v>
      </c>
      <c r="G3901" t="s">
        <v>5604</v>
      </c>
    </row>
    <row r="3902" spans="1:7" x14ac:dyDescent="0.25">
      <c r="A3902">
        <v>6440</v>
      </c>
      <c r="F3902" t="s">
        <v>55</v>
      </c>
      <c r="G3902" t="s">
        <v>5604</v>
      </c>
    </row>
    <row r="3903" spans="1:7" x14ac:dyDescent="0.25">
      <c r="A3903">
        <v>6440</v>
      </c>
      <c r="F3903" t="s">
        <v>5605</v>
      </c>
      <c r="G3903" t="s">
        <v>5604</v>
      </c>
    </row>
    <row r="3904" spans="1:7" x14ac:dyDescent="0.25">
      <c r="A3904">
        <v>6441</v>
      </c>
      <c r="F3904" t="s">
        <v>5603</v>
      </c>
      <c r="G3904" t="s">
        <v>5604</v>
      </c>
    </row>
    <row r="3905" spans="1:7" x14ac:dyDescent="0.25">
      <c r="A3905">
        <v>6441</v>
      </c>
      <c r="F3905" t="s">
        <v>53</v>
      </c>
      <c r="G3905" t="s">
        <v>5604</v>
      </c>
    </row>
    <row r="3906" spans="1:7" x14ac:dyDescent="0.25">
      <c r="A3906">
        <v>6441</v>
      </c>
      <c r="F3906" t="s">
        <v>55</v>
      </c>
      <c r="G3906" t="s">
        <v>5604</v>
      </c>
    </row>
    <row r="3907" spans="1:7" x14ac:dyDescent="0.25">
      <c r="A3907">
        <v>6441</v>
      </c>
      <c r="F3907" t="s">
        <v>5605</v>
      </c>
      <c r="G3907" t="s">
        <v>5604</v>
      </c>
    </row>
    <row r="3908" spans="1:7" x14ac:dyDescent="0.25">
      <c r="A3908">
        <v>6442</v>
      </c>
      <c r="F3908" t="s">
        <v>5603</v>
      </c>
      <c r="G3908" t="s">
        <v>5604</v>
      </c>
    </row>
    <row r="3909" spans="1:7" x14ac:dyDescent="0.25">
      <c r="A3909">
        <v>6442</v>
      </c>
      <c r="F3909" t="s">
        <v>53</v>
      </c>
      <c r="G3909" t="s">
        <v>5604</v>
      </c>
    </row>
    <row r="3910" spans="1:7" x14ac:dyDescent="0.25">
      <c r="A3910">
        <v>6442</v>
      </c>
      <c r="F3910" t="s">
        <v>55</v>
      </c>
      <c r="G3910" t="s">
        <v>5604</v>
      </c>
    </row>
    <row r="3911" spans="1:7" x14ac:dyDescent="0.25">
      <c r="A3911">
        <v>6442</v>
      </c>
      <c r="F3911" t="s">
        <v>5605</v>
      </c>
      <c r="G3911" t="s">
        <v>5604</v>
      </c>
    </row>
    <row r="3912" spans="1:7" x14ac:dyDescent="0.25">
      <c r="A3912">
        <v>6443</v>
      </c>
      <c r="F3912" t="s">
        <v>5603</v>
      </c>
      <c r="G3912" t="s">
        <v>5604</v>
      </c>
    </row>
    <row r="3913" spans="1:7" x14ac:dyDescent="0.25">
      <c r="A3913">
        <v>6443</v>
      </c>
      <c r="F3913" t="s">
        <v>53</v>
      </c>
      <c r="G3913" t="s">
        <v>5604</v>
      </c>
    </row>
    <row r="3914" spans="1:7" x14ac:dyDescent="0.25">
      <c r="A3914">
        <v>6443</v>
      </c>
      <c r="F3914" t="s">
        <v>55</v>
      </c>
      <c r="G3914" t="s">
        <v>5604</v>
      </c>
    </row>
    <row r="3915" spans="1:7" x14ac:dyDescent="0.25">
      <c r="A3915">
        <v>6443</v>
      </c>
      <c r="F3915" t="s">
        <v>5605</v>
      </c>
      <c r="G3915" t="s">
        <v>5604</v>
      </c>
    </row>
    <row r="3916" spans="1:7" x14ac:dyDescent="0.25">
      <c r="A3916">
        <v>6444</v>
      </c>
      <c r="F3916" t="s">
        <v>5603</v>
      </c>
      <c r="G3916" t="s">
        <v>5604</v>
      </c>
    </row>
    <row r="3917" spans="1:7" x14ac:dyDescent="0.25">
      <c r="A3917">
        <v>6444</v>
      </c>
      <c r="F3917" t="s">
        <v>53</v>
      </c>
      <c r="G3917" t="s">
        <v>5604</v>
      </c>
    </row>
    <row r="3918" spans="1:7" x14ac:dyDescent="0.25">
      <c r="A3918">
        <v>6444</v>
      </c>
      <c r="F3918" t="s">
        <v>55</v>
      </c>
      <c r="G3918" t="s">
        <v>5604</v>
      </c>
    </row>
    <row r="3919" spans="1:7" x14ac:dyDescent="0.25">
      <c r="A3919">
        <v>6444</v>
      </c>
      <c r="F3919" t="s">
        <v>5605</v>
      </c>
      <c r="G3919" t="s">
        <v>5604</v>
      </c>
    </row>
    <row r="3920" spans="1:7" x14ac:dyDescent="0.25">
      <c r="A3920">
        <v>6445</v>
      </c>
      <c r="F3920" t="s">
        <v>5603</v>
      </c>
      <c r="G3920" t="s">
        <v>5604</v>
      </c>
    </row>
    <row r="3921" spans="1:7" x14ac:dyDescent="0.25">
      <c r="A3921">
        <v>6445</v>
      </c>
      <c r="F3921" t="s">
        <v>53</v>
      </c>
      <c r="G3921" t="s">
        <v>5604</v>
      </c>
    </row>
    <row r="3922" spans="1:7" x14ac:dyDescent="0.25">
      <c r="A3922">
        <v>6445</v>
      </c>
      <c r="F3922" t="s">
        <v>55</v>
      </c>
      <c r="G3922" t="s">
        <v>5604</v>
      </c>
    </row>
    <row r="3923" spans="1:7" x14ac:dyDescent="0.25">
      <c r="A3923">
        <v>6445</v>
      </c>
      <c r="F3923" t="s">
        <v>5605</v>
      </c>
      <c r="G3923" t="s">
        <v>5604</v>
      </c>
    </row>
    <row r="3924" spans="1:7" x14ac:dyDescent="0.25">
      <c r="A3924">
        <v>6446</v>
      </c>
      <c r="F3924" t="s">
        <v>5603</v>
      </c>
      <c r="G3924" t="s">
        <v>5604</v>
      </c>
    </row>
    <row r="3925" spans="1:7" x14ac:dyDescent="0.25">
      <c r="A3925">
        <v>6446</v>
      </c>
      <c r="F3925" t="s">
        <v>53</v>
      </c>
      <c r="G3925" t="s">
        <v>5604</v>
      </c>
    </row>
    <row r="3926" spans="1:7" x14ac:dyDescent="0.25">
      <c r="A3926">
        <v>6446</v>
      </c>
      <c r="F3926" t="s">
        <v>55</v>
      </c>
      <c r="G3926" t="s">
        <v>5604</v>
      </c>
    </row>
    <row r="3927" spans="1:7" x14ac:dyDescent="0.25">
      <c r="A3927">
        <v>6446</v>
      </c>
      <c r="F3927" t="s">
        <v>5605</v>
      </c>
      <c r="G3927" t="s">
        <v>5604</v>
      </c>
    </row>
    <row r="3928" spans="1:7" x14ac:dyDescent="0.25">
      <c r="A3928">
        <v>6447</v>
      </c>
      <c r="F3928" t="s">
        <v>5603</v>
      </c>
      <c r="G3928" t="s">
        <v>5604</v>
      </c>
    </row>
    <row r="3929" spans="1:7" x14ac:dyDescent="0.25">
      <c r="A3929">
        <v>6447</v>
      </c>
      <c r="F3929" t="s">
        <v>53</v>
      </c>
      <c r="G3929" t="s">
        <v>5604</v>
      </c>
    </row>
    <row r="3930" spans="1:7" x14ac:dyDescent="0.25">
      <c r="A3930">
        <v>6447</v>
      </c>
      <c r="F3930" t="s">
        <v>55</v>
      </c>
      <c r="G3930" t="s">
        <v>5604</v>
      </c>
    </row>
    <row r="3931" spans="1:7" x14ac:dyDescent="0.25">
      <c r="A3931">
        <v>6447</v>
      </c>
      <c r="F3931" t="s">
        <v>5605</v>
      </c>
      <c r="G3931" t="s">
        <v>5604</v>
      </c>
    </row>
    <row r="3932" spans="1:7" x14ac:dyDescent="0.25">
      <c r="A3932">
        <v>6448</v>
      </c>
      <c r="F3932" t="s">
        <v>5603</v>
      </c>
      <c r="G3932" t="s">
        <v>5604</v>
      </c>
    </row>
    <row r="3933" spans="1:7" x14ac:dyDescent="0.25">
      <c r="A3933">
        <v>6448</v>
      </c>
      <c r="F3933" t="s">
        <v>53</v>
      </c>
      <c r="G3933" t="s">
        <v>5604</v>
      </c>
    </row>
    <row r="3934" spans="1:7" x14ac:dyDescent="0.25">
      <c r="A3934">
        <v>6448</v>
      </c>
      <c r="F3934" t="s">
        <v>55</v>
      </c>
      <c r="G3934" t="s">
        <v>5604</v>
      </c>
    </row>
    <row r="3935" spans="1:7" x14ac:dyDescent="0.25">
      <c r="A3935">
        <v>6448</v>
      </c>
      <c r="F3935" t="s">
        <v>5605</v>
      </c>
      <c r="G3935" t="s">
        <v>5604</v>
      </c>
    </row>
    <row r="3936" spans="1:7" x14ac:dyDescent="0.25">
      <c r="A3936">
        <v>6449</v>
      </c>
      <c r="F3936" t="s">
        <v>5603</v>
      </c>
      <c r="G3936" t="s">
        <v>5604</v>
      </c>
    </row>
    <row r="3937" spans="1:7" x14ac:dyDescent="0.25">
      <c r="A3937">
        <v>6449</v>
      </c>
      <c r="F3937" t="s">
        <v>53</v>
      </c>
      <c r="G3937" t="s">
        <v>5604</v>
      </c>
    </row>
    <row r="3938" spans="1:7" x14ac:dyDescent="0.25">
      <c r="A3938">
        <v>6449</v>
      </c>
      <c r="F3938" t="s">
        <v>55</v>
      </c>
      <c r="G3938" t="s">
        <v>5604</v>
      </c>
    </row>
    <row r="3939" spans="1:7" x14ac:dyDescent="0.25">
      <c r="A3939">
        <v>6449</v>
      </c>
      <c r="F3939" t="s">
        <v>5605</v>
      </c>
      <c r="G3939" t="s">
        <v>5604</v>
      </c>
    </row>
    <row r="3940" spans="1:7" x14ac:dyDescent="0.25">
      <c r="A3940">
        <v>6450</v>
      </c>
      <c r="F3940" t="s">
        <v>5603</v>
      </c>
      <c r="G3940" t="s">
        <v>5604</v>
      </c>
    </row>
    <row r="3941" spans="1:7" x14ac:dyDescent="0.25">
      <c r="A3941">
        <v>6450</v>
      </c>
      <c r="F3941" t="s">
        <v>53</v>
      </c>
      <c r="G3941" t="s">
        <v>5604</v>
      </c>
    </row>
    <row r="3942" spans="1:7" x14ac:dyDescent="0.25">
      <c r="A3942">
        <v>6450</v>
      </c>
      <c r="F3942" t="s">
        <v>55</v>
      </c>
      <c r="G3942" t="s">
        <v>5604</v>
      </c>
    </row>
    <row r="3943" spans="1:7" x14ac:dyDescent="0.25">
      <c r="A3943">
        <v>6450</v>
      </c>
      <c r="F3943" t="s">
        <v>5605</v>
      </c>
      <c r="G3943" t="s">
        <v>5604</v>
      </c>
    </row>
    <row r="3944" spans="1:7" x14ac:dyDescent="0.25">
      <c r="A3944">
        <v>6451</v>
      </c>
      <c r="F3944" t="s">
        <v>5603</v>
      </c>
      <c r="G3944" t="s">
        <v>5604</v>
      </c>
    </row>
    <row r="3945" spans="1:7" x14ac:dyDescent="0.25">
      <c r="A3945">
        <v>6451</v>
      </c>
      <c r="F3945" t="s">
        <v>53</v>
      </c>
      <c r="G3945" t="s">
        <v>5604</v>
      </c>
    </row>
    <row r="3946" spans="1:7" x14ac:dyDescent="0.25">
      <c r="A3946">
        <v>6451</v>
      </c>
      <c r="F3946" t="s">
        <v>55</v>
      </c>
      <c r="G3946" t="s">
        <v>5604</v>
      </c>
    </row>
    <row r="3947" spans="1:7" x14ac:dyDescent="0.25">
      <c r="A3947">
        <v>6451</v>
      </c>
      <c r="F3947" t="s">
        <v>5605</v>
      </c>
      <c r="G3947" t="s">
        <v>5604</v>
      </c>
    </row>
    <row r="3948" spans="1:7" x14ac:dyDescent="0.25">
      <c r="A3948">
        <v>6452</v>
      </c>
      <c r="F3948" t="s">
        <v>5603</v>
      </c>
      <c r="G3948" t="s">
        <v>5604</v>
      </c>
    </row>
    <row r="3949" spans="1:7" x14ac:dyDescent="0.25">
      <c r="A3949">
        <v>6452</v>
      </c>
      <c r="F3949" t="s">
        <v>53</v>
      </c>
      <c r="G3949" t="s">
        <v>5604</v>
      </c>
    </row>
    <row r="3950" spans="1:7" x14ac:dyDescent="0.25">
      <c r="A3950">
        <v>6452</v>
      </c>
      <c r="F3950" t="s">
        <v>55</v>
      </c>
      <c r="G3950" t="s">
        <v>5604</v>
      </c>
    </row>
    <row r="3951" spans="1:7" x14ac:dyDescent="0.25">
      <c r="A3951">
        <v>6452</v>
      </c>
      <c r="F3951" t="s">
        <v>5605</v>
      </c>
      <c r="G3951" t="s">
        <v>5604</v>
      </c>
    </row>
    <row r="3952" spans="1:7" x14ac:dyDescent="0.25">
      <c r="A3952">
        <v>6453</v>
      </c>
      <c r="F3952" t="s">
        <v>5603</v>
      </c>
      <c r="G3952" t="s">
        <v>5604</v>
      </c>
    </row>
    <row r="3953" spans="1:7" x14ac:dyDescent="0.25">
      <c r="A3953">
        <v>6453</v>
      </c>
      <c r="F3953" t="s">
        <v>53</v>
      </c>
      <c r="G3953" t="s">
        <v>5604</v>
      </c>
    </row>
    <row r="3954" spans="1:7" x14ac:dyDescent="0.25">
      <c r="A3954">
        <v>6453</v>
      </c>
      <c r="F3954" t="s">
        <v>55</v>
      </c>
      <c r="G3954" t="s">
        <v>5604</v>
      </c>
    </row>
    <row r="3955" spans="1:7" x14ac:dyDescent="0.25">
      <c r="A3955">
        <v>6453</v>
      </c>
      <c r="F3955" t="s">
        <v>5605</v>
      </c>
      <c r="G3955" t="s">
        <v>5604</v>
      </c>
    </row>
    <row r="3956" spans="1:7" x14ac:dyDescent="0.25">
      <c r="A3956">
        <v>6454</v>
      </c>
      <c r="F3956" t="s">
        <v>5603</v>
      </c>
      <c r="G3956" t="s">
        <v>5604</v>
      </c>
    </row>
    <row r="3957" spans="1:7" x14ac:dyDescent="0.25">
      <c r="A3957">
        <v>6454</v>
      </c>
      <c r="F3957" t="s">
        <v>53</v>
      </c>
      <c r="G3957" t="s">
        <v>5604</v>
      </c>
    </row>
    <row r="3958" spans="1:7" x14ac:dyDescent="0.25">
      <c r="A3958">
        <v>6454</v>
      </c>
      <c r="F3958" t="s">
        <v>55</v>
      </c>
      <c r="G3958" t="s">
        <v>5604</v>
      </c>
    </row>
    <row r="3959" spans="1:7" x14ac:dyDescent="0.25">
      <c r="A3959">
        <v>6454</v>
      </c>
      <c r="F3959" t="s">
        <v>5605</v>
      </c>
      <c r="G3959" t="s">
        <v>5604</v>
      </c>
    </row>
    <row r="3960" spans="1:7" x14ac:dyDescent="0.25">
      <c r="A3960">
        <v>6455</v>
      </c>
      <c r="F3960" t="s">
        <v>5603</v>
      </c>
      <c r="G3960" t="s">
        <v>5604</v>
      </c>
    </row>
    <row r="3961" spans="1:7" x14ac:dyDescent="0.25">
      <c r="A3961">
        <v>6455</v>
      </c>
      <c r="F3961" t="s">
        <v>53</v>
      </c>
      <c r="G3961" t="s">
        <v>5604</v>
      </c>
    </row>
    <row r="3962" spans="1:7" x14ac:dyDescent="0.25">
      <c r="A3962">
        <v>6455</v>
      </c>
      <c r="F3962" t="s">
        <v>55</v>
      </c>
      <c r="G3962" t="s">
        <v>5604</v>
      </c>
    </row>
    <row r="3963" spans="1:7" x14ac:dyDescent="0.25">
      <c r="A3963">
        <v>6455</v>
      </c>
      <c r="F3963" t="s">
        <v>5605</v>
      </c>
      <c r="G3963" t="s">
        <v>5604</v>
      </c>
    </row>
    <row r="3964" spans="1:7" x14ac:dyDescent="0.25">
      <c r="A3964">
        <v>6456</v>
      </c>
      <c r="F3964" t="s">
        <v>5603</v>
      </c>
      <c r="G3964" t="s">
        <v>5604</v>
      </c>
    </row>
    <row r="3965" spans="1:7" x14ac:dyDescent="0.25">
      <c r="A3965">
        <v>6456</v>
      </c>
      <c r="F3965" t="s">
        <v>53</v>
      </c>
      <c r="G3965" t="s">
        <v>5604</v>
      </c>
    </row>
    <row r="3966" spans="1:7" x14ac:dyDescent="0.25">
      <c r="A3966">
        <v>6456</v>
      </c>
      <c r="F3966" t="s">
        <v>55</v>
      </c>
      <c r="G3966" t="s">
        <v>5604</v>
      </c>
    </row>
    <row r="3967" spans="1:7" x14ac:dyDescent="0.25">
      <c r="A3967">
        <v>6456</v>
      </c>
      <c r="F3967" t="s">
        <v>5605</v>
      </c>
      <c r="G3967" t="s">
        <v>5604</v>
      </c>
    </row>
    <row r="3968" spans="1:7" x14ac:dyDescent="0.25">
      <c r="A3968">
        <v>6457</v>
      </c>
      <c r="F3968" t="s">
        <v>5603</v>
      </c>
      <c r="G3968" t="s">
        <v>5604</v>
      </c>
    </row>
    <row r="3969" spans="1:7" x14ac:dyDescent="0.25">
      <c r="A3969">
        <v>6457</v>
      </c>
      <c r="F3969" t="s">
        <v>53</v>
      </c>
      <c r="G3969" t="s">
        <v>5604</v>
      </c>
    </row>
    <row r="3970" spans="1:7" x14ac:dyDescent="0.25">
      <c r="A3970">
        <v>6457</v>
      </c>
      <c r="F3970" t="s">
        <v>55</v>
      </c>
      <c r="G3970" t="s">
        <v>5604</v>
      </c>
    </row>
    <row r="3971" spans="1:7" x14ac:dyDescent="0.25">
      <c r="A3971">
        <v>6457</v>
      </c>
      <c r="F3971" t="s">
        <v>5605</v>
      </c>
      <c r="G3971" t="s">
        <v>5604</v>
      </c>
    </row>
    <row r="3972" spans="1:7" x14ac:dyDescent="0.25">
      <c r="A3972">
        <v>6458</v>
      </c>
      <c r="F3972" t="s">
        <v>5603</v>
      </c>
      <c r="G3972" t="s">
        <v>5604</v>
      </c>
    </row>
    <row r="3973" spans="1:7" x14ac:dyDescent="0.25">
      <c r="A3973">
        <v>6458</v>
      </c>
      <c r="F3973" t="s">
        <v>53</v>
      </c>
      <c r="G3973" t="s">
        <v>5604</v>
      </c>
    </row>
    <row r="3974" spans="1:7" x14ac:dyDescent="0.25">
      <c r="A3974">
        <v>6458</v>
      </c>
      <c r="F3974" t="s">
        <v>55</v>
      </c>
      <c r="G3974" t="s">
        <v>5604</v>
      </c>
    </row>
    <row r="3975" spans="1:7" x14ac:dyDescent="0.25">
      <c r="A3975">
        <v>6458</v>
      </c>
      <c r="F3975" t="s">
        <v>5605</v>
      </c>
      <c r="G3975" t="s">
        <v>5604</v>
      </c>
    </row>
    <row r="3976" spans="1:7" x14ac:dyDescent="0.25">
      <c r="A3976">
        <v>6459</v>
      </c>
      <c r="F3976" t="s">
        <v>5603</v>
      </c>
      <c r="G3976" t="s">
        <v>5604</v>
      </c>
    </row>
    <row r="3977" spans="1:7" x14ac:dyDescent="0.25">
      <c r="A3977">
        <v>6459</v>
      </c>
      <c r="F3977" t="s">
        <v>53</v>
      </c>
      <c r="G3977" t="s">
        <v>5604</v>
      </c>
    </row>
    <row r="3978" spans="1:7" x14ac:dyDescent="0.25">
      <c r="A3978">
        <v>6459</v>
      </c>
      <c r="F3978" t="s">
        <v>55</v>
      </c>
      <c r="G3978" t="s">
        <v>5604</v>
      </c>
    </row>
    <row r="3979" spans="1:7" x14ac:dyDescent="0.25">
      <c r="A3979">
        <v>6459</v>
      </c>
      <c r="F3979" t="s">
        <v>5605</v>
      </c>
      <c r="G3979" t="s">
        <v>5604</v>
      </c>
    </row>
    <row r="3980" spans="1:7" x14ac:dyDescent="0.25">
      <c r="A3980">
        <v>6460</v>
      </c>
      <c r="F3980" t="s">
        <v>5603</v>
      </c>
      <c r="G3980" t="s">
        <v>5604</v>
      </c>
    </row>
    <row r="3981" spans="1:7" x14ac:dyDescent="0.25">
      <c r="A3981">
        <v>6460</v>
      </c>
      <c r="F3981" t="s">
        <v>53</v>
      </c>
      <c r="G3981" t="s">
        <v>5604</v>
      </c>
    </row>
    <row r="3982" spans="1:7" x14ac:dyDescent="0.25">
      <c r="A3982">
        <v>6460</v>
      </c>
      <c r="F3982" t="s">
        <v>55</v>
      </c>
      <c r="G3982" t="s">
        <v>5604</v>
      </c>
    </row>
    <row r="3983" spans="1:7" x14ac:dyDescent="0.25">
      <c r="A3983">
        <v>6460</v>
      </c>
      <c r="F3983" t="s">
        <v>5605</v>
      </c>
      <c r="G3983" t="s">
        <v>5604</v>
      </c>
    </row>
    <row r="3984" spans="1:7" x14ac:dyDescent="0.25">
      <c r="A3984">
        <v>6461</v>
      </c>
      <c r="F3984" t="s">
        <v>5603</v>
      </c>
      <c r="G3984" t="s">
        <v>5604</v>
      </c>
    </row>
    <row r="3985" spans="1:7" x14ac:dyDescent="0.25">
      <c r="A3985">
        <v>6461</v>
      </c>
      <c r="F3985" t="s">
        <v>53</v>
      </c>
      <c r="G3985" t="s">
        <v>5604</v>
      </c>
    </row>
    <row r="3986" spans="1:7" x14ac:dyDescent="0.25">
      <c r="A3986">
        <v>6461</v>
      </c>
      <c r="F3986" t="s">
        <v>55</v>
      </c>
      <c r="G3986" t="s">
        <v>5604</v>
      </c>
    </row>
    <row r="3987" spans="1:7" x14ac:dyDescent="0.25">
      <c r="A3987">
        <v>6461</v>
      </c>
      <c r="F3987" t="s">
        <v>5605</v>
      </c>
      <c r="G3987" t="s">
        <v>5604</v>
      </c>
    </row>
    <row r="3988" spans="1:7" x14ac:dyDescent="0.25">
      <c r="A3988">
        <v>6462</v>
      </c>
      <c r="F3988" t="s">
        <v>5603</v>
      </c>
      <c r="G3988" t="s">
        <v>5604</v>
      </c>
    </row>
    <row r="3989" spans="1:7" x14ac:dyDescent="0.25">
      <c r="A3989">
        <v>6462</v>
      </c>
      <c r="F3989" t="s">
        <v>53</v>
      </c>
      <c r="G3989" t="s">
        <v>5604</v>
      </c>
    </row>
    <row r="3990" spans="1:7" x14ac:dyDescent="0.25">
      <c r="A3990">
        <v>6462</v>
      </c>
      <c r="F3990" t="s">
        <v>55</v>
      </c>
      <c r="G3990" t="s">
        <v>5604</v>
      </c>
    </row>
    <row r="3991" spans="1:7" x14ac:dyDescent="0.25">
      <c r="A3991">
        <v>6462</v>
      </c>
      <c r="F3991" t="s">
        <v>5605</v>
      </c>
      <c r="G3991" t="s">
        <v>5604</v>
      </c>
    </row>
    <row r="3992" spans="1:7" x14ac:dyDescent="0.25">
      <c r="A3992">
        <v>6463</v>
      </c>
      <c r="F3992" t="s">
        <v>5603</v>
      </c>
      <c r="G3992" t="s">
        <v>5604</v>
      </c>
    </row>
    <row r="3993" spans="1:7" x14ac:dyDescent="0.25">
      <c r="A3993">
        <v>6463</v>
      </c>
      <c r="F3993" t="s">
        <v>53</v>
      </c>
      <c r="G3993" t="s">
        <v>5604</v>
      </c>
    </row>
    <row r="3994" spans="1:7" x14ac:dyDescent="0.25">
      <c r="A3994">
        <v>6463</v>
      </c>
      <c r="F3994" t="s">
        <v>55</v>
      </c>
      <c r="G3994" t="s">
        <v>5604</v>
      </c>
    </row>
    <row r="3995" spans="1:7" x14ac:dyDescent="0.25">
      <c r="A3995">
        <v>6463</v>
      </c>
      <c r="F3995" t="s">
        <v>5605</v>
      </c>
      <c r="G3995" t="s">
        <v>5604</v>
      </c>
    </row>
    <row r="3996" spans="1:7" x14ac:dyDescent="0.25">
      <c r="A3996">
        <v>6464</v>
      </c>
      <c r="F3996" t="s">
        <v>5603</v>
      </c>
      <c r="G3996" t="s">
        <v>5604</v>
      </c>
    </row>
    <row r="3997" spans="1:7" x14ac:dyDescent="0.25">
      <c r="A3997">
        <v>6464</v>
      </c>
      <c r="F3997" t="s">
        <v>53</v>
      </c>
      <c r="G3997" t="s">
        <v>5604</v>
      </c>
    </row>
    <row r="3998" spans="1:7" x14ac:dyDescent="0.25">
      <c r="A3998">
        <v>6464</v>
      </c>
      <c r="F3998" t="s">
        <v>55</v>
      </c>
      <c r="G3998" t="s">
        <v>5604</v>
      </c>
    </row>
    <row r="3999" spans="1:7" x14ac:dyDescent="0.25">
      <c r="A3999">
        <v>6464</v>
      </c>
      <c r="F3999" t="s">
        <v>5605</v>
      </c>
      <c r="G3999" t="s">
        <v>5604</v>
      </c>
    </row>
    <row r="4000" spans="1:7" x14ac:dyDescent="0.25">
      <c r="A4000">
        <v>6465</v>
      </c>
      <c r="F4000" t="s">
        <v>5603</v>
      </c>
      <c r="G4000" t="s">
        <v>5604</v>
      </c>
    </row>
    <row r="4001" spans="1:7" x14ac:dyDescent="0.25">
      <c r="A4001">
        <v>6465</v>
      </c>
      <c r="F4001" t="s">
        <v>53</v>
      </c>
      <c r="G4001" t="s">
        <v>5604</v>
      </c>
    </row>
    <row r="4002" spans="1:7" x14ac:dyDescent="0.25">
      <c r="A4002">
        <v>6465</v>
      </c>
      <c r="F4002" t="s">
        <v>55</v>
      </c>
      <c r="G4002" t="s">
        <v>5604</v>
      </c>
    </row>
    <row r="4003" spans="1:7" x14ac:dyDescent="0.25">
      <c r="A4003">
        <v>6465</v>
      </c>
      <c r="F4003" t="s">
        <v>5605</v>
      </c>
      <c r="G4003" t="s">
        <v>5604</v>
      </c>
    </row>
    <row r="4004" spans="1:7" x14ac:dyDescent="0.25">
      <c r="A4004">
        <v>6466</v>
      </c>
      <c r="F4004" t="s">
        <v>5603</v>
      </c>
      <c r="G4004" t="s">
        <v>5604</v>
      </c>
    </row>
    <row r="4005" spans="1:7" x14ac:dyDescent="0.25">
      <c r="A4005">
        <v>6466</v>
      </c>
      <c r="F4005" t="s">
        <v>53</v>
      </c>
      <c r="G4005" t="s">
        <v>5604</v>
      </c>
    </row>
    <row r="4006" spans="1:7" x14ac:dyDescent="0.25">
      <c r="A4006">
        <v>6466</v>
      </c>
      <c r="F4006" t="s">
        <v>55</v>
      </c>
      <c r="G4006" t="s">
        <v>5604</v>
      </c>
    </row>
    <row r="4007" spans="1:7" x14ac:dyDescent="0.25">
      <c r="A4007">
        <v>6466</v>
      </c>
      <c r="F4007" t="s">
        <v>5605</v>
      </c>
      <c r="G4007" t="s">
        <v>5604</v>
      </c>
    </row>
    <row r="4008" spans="1:7" x14ac:dyDescent="0.25">
      <c r="A4008">
        <v>6467</v>
      </c>
      <c r="F4008" t="s">
        <v>5603</v>
      </c>
      <c r="G4008" t="s">
        <v>5604</v>
      </c>
    </row>
    <row r="4009" spans="1:7" x14ac:dyDescent="0.25">
      <c r="A4009">
        <v>6467</v>
      </c>
      <c r="F4009" t="s">
        <v>53</v>
      </c>
      <c r="G4009" t="s">
        <v>5604</v>
      </c>
    </row>
    <row r="4010" spans="1:7" x14ac:dyDescent="0.25">
      <c r="A4010">
        <v>6467</v>
      </c>
      <c r="F4010" t="s">
        <v>55</v>
      </c>
      <c r="G4010" t="s">
        <v>5604</v>
      </c>
    </row>
    <row r="4011" spans="1:7" x14ac:dyDescent="0.25">
      <c r="A4011">
        <v>6467</v>
      </c>
      <c r="F4011" t="s">
        <v>5605</v>
      </c>
      <c r="G4011" t="s">
        <v>5604</v>
      </c>
    </row>
    <row r="4012" spans="1:7" x14ac:dyDescent="0.25">
      <c r="A4012">
        <v>6468</v>
      </c>
      <c r="F4012" t="s">
        <v>5603</v>
      </c>
      <c r="G4012" t="s">
        <v>5604</v>
      </c>
    </row>
    <row r="4013" spans="1:7" x14ac:dyDescent="0.25">
      <c r="A4013">
        <v>6468</v>
      </c>
      <c r="F4013" t="s">
        <v>53</v>
      </c>
      <c r="G4013" t="s">
        <v>5604</v>
      </c>
    </row>
    <row r="4014" spans="1:7" x14ac:dyDescent="0.25">
      <c r="A4014">
        <v>6468</v>
      </c>
      <c r="F4014" t="s">
        <v>55</v>
      </c>
      <c r="G4014" t="s">
        <v>5604</v>
      </c>
    </row>
    <row r="4015" spans="1:7" x14ac:dyDescent="0.25">
      <c r="A4015">
        <v>6468</v>
      </c>
      <c r="F4015" t="s">
        <v>5605</v>
      </c>
      <c r="G4015" t="s">
        <v>5604</v>
      </c>
    </row>
    <row r="4016" spans="1:7" x14ac:dyDescent="0.25">
      <c r="A4016">
        <v>6469</v>
      </c>
      <c r="F4016" t="s">
        <v>5603</v>
      </c>
      <c r="G4016" t="s">
        <v>5604</v>
      </c>
    </row>
    <row r="4017" spans="1:7" x14ac:dyDescent="0.25">
      <c r="A4017">
        <v>6469</v>
      </c>
      <c r="F4017" t="s">
        <v>53</v>
      </c>
      <c r="G4017" t="s">
        <v>5604</v>
      </c>
    </row>
    <row r="4018" spans="1:7" x14ac:dyDescent="0.25">
      <c r="A4018">
        <v>6469</v>
      </c>
      <c r="F4018" t="s">
        <v>55</v>
      </c>
      <c r="G4018" t="s">
        <v>5604</v>
      </c>
    </row>
    <row r="4019" spans="1:7" x14ac:dyDescent="0.25">
      <c r="A4019">
        <v>6469</v>
      </c>
      <c r="F4019" t="s">
        <v>5605</v>
      </c>
      <c r="G4019" t="s">
        <v>5604</v>
      </c>
    </row>
    <row r="4020" spans="1:7" x14ac:dyDescent="0.25">
      <c r="A4020">
        <v>6470</v>
      </c>
      <c r="F4020" t="s">
        <v>5603</v>
      </c>
      <c r="G4020" t="s">
        <v>5604</v>
      </c>
    </row>
    <row r="4021" spans="1:7" x14ac:dyDescent="0.25">
      <c r="A4021">
        <v>6470</v>
      </c>
      <c r="F4021" t="s">
        <v>53</v>
      </c>
      <c r="G4021" t="s">
        <v>5604</v>
      </c>
    </row>
    <row r="4022" spans="1:7" x14ac:dyDescent="0.25">
      <c r="A4022">
        <v>6470</v>
      </c>
      <c r="F4022" t="s">
        <v>55</v>
      </c>
      <c r="G4022" t="s">
        <v>5604</v>
      </c>
    </row>
    <row r="4023" spans="1:7" x14ac:dyDescent="0.25">
      <c r="A4023">
        <v>6470</v>
      </c>
      <c r="F4023" t="s">
        <v>5605</v>
      </c>
      <c r="G4023" t="s">
        <v>5604</v>
      </c>
    </row>
    <row r="4024" spans="1:7" x14ac:dyDescent="0.25">
      <c r="A4024">
        <v>6471</v>
      </c>
      <c r="F4024" t="s">
        <v>5603</v>
      </c>
      <c r="G4024" t="s">
        <v>5604</v>
      </c>
    </row>
    <row r="4025" spans="1:7" x14ac:dyDescent="0.25">
      <c r="A4025">
        <v>6471</v>
      </c>
      <c r="F4025" t="s">
        <v>53</v>
      </c>
      <c r="G4025" t="s">
        <v>5604</v>
      </c>
    </row>
    <row r="4026" spans="1:7" x14ac:dyDescent="0.25">
      <c r="A4026">
        <v>6471</v>
      </c>
      <c r="F4026" t="s">
        <v>55</v>
      </c>
      <c r="G4026" t="s">
        <v>5604</v>
      </c>
    </row>
    <row r="4027" spans="1:7" x14ac:dyDescent="0.25">
      <c r="A4027">
        <v>6471</v>
      </c>
      <c r="F4027" t="s">
        <v>5605</v>
      </c>
      <c r="G4027" t="s">
        <v>5604</v>
      </c>
    </row>
    <row r="4028" spans="1:7" x14ac:dyDescent="0.25">
      <c r="A4028">
        <v>6472</v>
      </c>
      <c r="F4028" t="s">
        <v>5603</v>
      </c>
      <c r="G4028" t="s">
        <v>5604</v>
      </c>
    </row>
    <row r="4029" spans="1:7" x14ac:dyDescent="0.25">
      <c r="A4029">
        <v>6472</v>
      </c>
      <c r="F4029" t="s">
        <v>53</v>
      </c>
      <c r="G4029" t="s">
        <v>5604</v>
      </c>
    </row>
    <row r="4030" spans="1:7" x14ac:dyDescent="0.25">
      <c r="A4030">
        <v>6472</v>
      </c>
      <c r="F4030" t="s">
        <v>55</v>
      </c>
      <c r="G4030" t="s">
        <v>5604</v>
      </c>
    </row>
    <row r="4031" spans="1:7" x14ac:dyDescent="0.25">
      <c r="A4031">
        <v>6472</v>
      </c>
      <c r="F4031" t="s">
        <v>5605</v>
      </c>
      <c r="G4031" t="s">
        <v>5604</v>
      </c>
    </row>
    <row r="4032" spans="1:7" x14ac:dyDescent="0.25">
      <c r="A4032">
        <v>6473</v>
      </c>
      <c r="F4032" t="s">
        <v>5603</v>
      </c>
      <c r="G4032" t="s">
        <v>5604</v>
      </c>
    </row>
    <row r="4033" spans="1:7" x14ac:dyDescent="0.25">
      <c r="A4033">
        <v>6473</v>
      </c>
      <c r="F4033" t="s">
        <v>53</v>
      </c>
      <c r="G4033" t="s">
        <v>5604</v>
      </c>
    </row>
    <row r="4034" spans="1:7" x14ac:dyDescent="0.25">
      <c r="A4034">
        <v>6473</v>
      </c>
      <c r="F4034" t="s">
        <v>55</v>
      </c>
      <c r="G4034" t="s">
        <v>5604</v>
      </c>
    </row>
    <row r="4035" spans="1:7" x14ac:dyDescent="0.25">
      <c r="A4035">
        <v>6473</v>
      </c>
      <c r="F4035" t="s">
        <v>5605</v>
      </c>
      <c r="G4035" t="s">
        <v>5604</v>
      </c>
    </row>
    <row r="4036" spans="1:7" x14ac:dyDescent="0.25">
      <c r="A4036">
        <v>6474</v>
      </c>
      <c r="F4036" t="s">
        <v>5603</v>
      </c>
      <c r="G4036" t="s">
        <v>5604</v>
      </c>
    </row>
    <row r="4037" spans="1:7" x14ac:dyDescent="0.25">
      <c r="A4037">
        <v>6474</v>
      </c>
      <c r="F4037" t="s">
        <v>53</v>
      </c>
      <c r="G4037" t="s">
        <v>5604</v>
      </c>
    </row>
    <row r="4038" spans="1:7" x14ac:dyDescent="0.25">
      <c r="A4038">
        <v>6474</v>
      </c>
      <c r="F4038" t="s">
        <v>55</v>
      </c>
      <c r="G4038" t="s">
        <v>5604</v>
      </c>
    </row>
    <row r="4039" spans="1:7" x14ac:dyDescent="0.25">
      <c r="A4039">
        <v>6474</v>
      </c>
      <c r="F4039" t="s">
        <v>5605</v>
      </c>
      <c r="G4039" t="s">
        <v>5604</v>
      </c>
    </row>
    <row r="4040" spans="1:7" x14ac:dyDescent="0.25">
      <c r="A4040">
        <v>6475</v>
      </c>
      <c r="F4040" t="s">
        <v>5603</v>
      </c>
      <c r="G4040" t="s">
        <v>5604</v>
      </c>
    </row>
    <row r="4041" spans="1:7" x14ac:dyDescent="0.25">
      <c r="A4041">
        <v>6475</v>
      </c>
      <c r="F4041" t="s">
        <v>53</v>
      </c>
      <c r="G4041" t="s">
        <v>5604</v>
      </c>
    </row>
    <row r="4042" spans="1:7" x14ac:dyDescent="0.25">
      <c r="A4042">
        <v>6475</v>
      </c>
      <c r="F4042" t="s">
        <v>55</v>
      </c>
      <c r="G4042" t="s">
        <v>5604</v>
      </c>
    </row>
    <row r="4043" spans="1:7" x14ac:dyDescent="0.25">
      <c r="A4043">
        <v>6475</v>
      </c>
      <c r="F4043" t="s">
        <v>5605</v>
      </c>
      <c r="G4043" t="s">
        <v>5604</v>
      </c>
    </row>
    <row r="4044" spans="1:7" x14ac:dyDescent="0.25">
      <c r="A4044">
        <v>6476</v>
      </c>
      <c r="F4044" t="s">
        <v>5603</v>
      </c>
      <c r="G4044" t="s">
        <v>5604</v>
      </c>
    </row>
    <row r="4045" spans="1:7" x14ac:dyDescent="0.25">
      <c r="A4045">
        <v>6476</v>
      </c>
      <c r="F4045" t="s">
        <v>53</v>
      </c>
      <c r="G4045" t="s">
        <v>5604</v>
      </c>
    </row>
    <row r="4046" spans="1:7" x14ac:dyDescent="0.25">
      <c r="A4046">
        <v>6476</v>
      </c>
      <c r="F4046" t="s">
        <v>55</v>
      </c>
      <c r="G4046" t="s">
        <v>5604</v>
      </c>
    </row>
    <row r="4047" spans="1:7" x14ac:dyDescent="0.25">
      <c r="A4047">
        <v>6476</v>
      </c>
      <c r="F4047" t="s">
        <v>5605</v>
      </c>
      <c r="G4047" t="s">
        <v>5604</v>
      </c>
    </row>
    <row r="4048" spans="1:7" x14ac:dyDescent="0.25">
      <c r="A4048">
        <v>6477</v>
      </c>
      <c r="F4048" t="s">
        <v>5603</v>
      </c>
      <c r="G4048" t="s">
        <v>5604</v>
      </c>
    </row>
    <row r="4049" spans="1:7" x14ac:dyDescent="0.25">
      <c r="A4049">
        <v>6477</v>
      </c>
      <c r="F4049" t="s">
        <v>53</v>
      </c>
      <c r="G4049" t="s">
        <v>5604</v>
      </c>
    </row>
    <row r="4050" spans="1:7" x14ac:dyDescent="0.25">
      <c r="A4050">
        <v>6477</v>
      </c>
      <c r="F4050" t="s">
        <v>55</v>
      </c>
      <c r="G4050" t="s">
        <v>5604</v>
      </c>
    </row>
    <row r="4051" spans="1:7" x14ac:dyDescent="0.25">
      <c r="A4051">
        <v>6477</v>
      </c>
      <c r="F4051" t="s">
        <v>5605</v>
      </c>
      <c r="G4051" t="s">
        <v>5604</v>
      </c>
    </row>
    <row r="4052" spans="1:7" x14ac:dyDescent="0.25">
      <c r="A4052">
        <v>6478</v>
      </c>
      <c r="F4052" t="s">
        <v>5603</v>
      </c>
      <c r="G4052" t="s">
        <v>5604</v>
      </c>
    </row>
    <row r="4053" spans="1:7" x14ac:dyDescent="0.25">
      <c r="A4053">
        <v>6478</v>
      </c>
      <c r="F4053" t="s">
        <v>53</v>
      </c>
      <c r="G4053" t="s">
        <v>5604</v>
      </c>
    </row>
    <row r="4054" spans="1:7" x14ac:dyDescent="0.25">
      <c r="A4054">
        <v>6478</v>
      </c>
      <c r="F4054" t="s">
        <v>55</v>
      </c>
      <c r="G4054" t="s">
        <v>5604</v>
      </c>
    </row>
    <row r="4055" spans="1:7" x14ac:dyDescent="0.25">
      <c r="A4055">
        <v>6478</v>
      </c>
      <c r="F4055" t="s">
        <v>5605</v>
      </c>
      <c r="G4055" t="s">
        <v>5604</v>
      </c>
    </row>
    <row r="4056" spans="1:7" x14ac:dyDescent="0.25">
      <c r="A4056">
        <v>6479</v>
      </c>
      <c r="F4056" t="s">
        <v>5603</v>
      </c>
      <c r="G4056" t="s">
        <v>5604</v>
      </c>
    </row>
    <row r="4057" spans="1:7" x14ac:dyDescent="0.25">
      <c r="A4057">
        <v>6479</v>
      </c>
      <c r="F4057" t="s">
        <v>53</v>
      </c>
      <c r="G4057" t="s">
        <v>5604</v>
      </c>
    </row>
    <row r="4058" spans="1:7" x14ac:dyDescent="0.25">
      <c r="A4058">
        <v>6479</v>
      </c>
      <c r="F4058" t="s">
        <v>55</v>
      </c>
      <c r="G4058" t="s">
        <v>5604</v>
      </c>
    </row>
    <row r="4059" spans="1:7" x14ac:dyDescent="0.25">
      <c r="A4059">
        <v>6479</v>
      </c>
      <c r="F4059" t="s">
        <v>5605</v>
      </c>
      <c r="G4059" t="s">
        <v>5604</v>
      </c>
    </row>
    <row r="4060" spans="1:7" x14ac:dyDescent="0.25">
      <c r="A4060">
        <v>6480</v>
      </c>
      <c r="F4060" t="s">
        <v>5603</v>
      </c>
      <c r="G4060" t="s">
        <v>5604</v>
      </c>
    </row>
    <row r="4061" spans="1:7" x14ac:dyDescent="0.25">
      <c r="A4061">
        <v>6480</v>
      </c>
      <c r="F4061" t="s">
        <v>53</v>
      </c>
      <c r="G4061" t="s">
        <v>5604</v>
      </c>
    </row>
    <row r="4062" spans="1:7" x14ac:dyDescent="0.25">
      <c r="A4062">
        <v>6480</v>
      </c>
      <c r="F4062" t="s">
        <v>55</v>
      </c>
      <c r="G4062" t="s">
        <v>5604</v>
      </c>
    </row>
    <row r="4063" spans="1:7" x14ac:dyDescent="0.25">
      <c r="A4063">
        <v>6480</v>
      </c>
      <c r="F4063" t="s">
        <v>5605</v>
      </c>
      <c r="G4063" t="s">
        <v>5604</v>
      </c>
    </row>
    <row r="4064" spans="1:7" x14ac:dyDescent="0.25">
      <c r="A4064">
        <v>6481</v>
      </c>
      <c r="F4064" t="s">
        <v>5603</v>
      </c>
      <c r="G4064" t="s">
        <v>5604</v>
      </c>
    </row>
    <row r="4065" spans="1:7" x14ac:dyDescent="0.25">
      <c r="A4065">
        <v>6481</v>
      </c>
      <c r="F4065" t="s">
        <v>53</v>
      </c>
      <c r="G4065" t="s">
        <v>5604</v>
      </c>
    </row>
    <row r="4066" spans="1:7" x14ac:dyDescent="0.25">
      <c r="A4066">
        <v>6481</v>
      </c>
      <c r="F4066" t="s">
        <v>55</v>
      </c>
      <c r="G4066" t="s">
        <v>5604</v>
      </c>
    </row>
    <row r="4067" spans="1:7" x14ac:dyDescent="0.25">
      <c r="A4067">
        <v>6481</v>
      </c>
      <c r="F4067" t="s">
        <v>5605</v>
      </c>
      <c r="G4067" t="s">
        <v>5604</v>
      </c>
    </row>
    <row r="4068" spans="1:7" x14ac:dyDescent="0.25">
      <c r="A4068">
        <v>6482</v>
      </c>
      <c r="F4068" t="s">
        <v>5603</v>
      </c>
      <c r="G4068" t="s">
        <v>5604</v>
      </c>
    </row>
    <row r="4069" spans="1:7" x14ac:dyDescent="0.25">
      <c r="A4069">
        <v>6482</v>
      </c>
      <c r="F4069" t="s">
        <v>53</v>
      </c>
      <c r="G4069" t="s">
        <v>5604</v>
      </c>
    </row>
    <row r="4070" spans="1:7" x14ac:dyDescent="0.25">
      <c r="A4070">
        <v>6482</v>
      </c>
      <c r="F4070" t="s">
        <v>55</v>
      </c>
      <c r="G4070" t="s">
        <v>5604</v>
      </c>
    </row>
    <row r="4071" spans="1:7" x14ac:dyDescent="0.25">
      <c r="A4071">
        <v>6482</v>
      </c>
      <c r="F4071" t="s">
        <v>5605</v>
      </c>
      <c r="G4071" t="s">
        <v>5604</v>
      </c>
    </row>
    <row r="4072" spans="1:7" x14ac:dyDescent="0.25">
      <c r="A4072">
        <v>6483</v>
      </c>
      <c r="F4072" t="s">
        <v>5603</v>
      </c>
      <c r="G4072" t="s">
        <v>5604</v>
      </c>
    </row>
    <row r="4073" spans="1:7" x14ac:dyDescent="0.25">
      <c r="A4073">
        <v>6483</v>
      </c>
      <c r="F4073" t="s">
        <v>53</v>
      </c>
      <c r="G4073" t="s">
        <v>5604</v>
      </c>
    </row>
    <row r="4074" spans="1:7" x14ac:dyDescent="0.25">
      <c r="A4074">
        <v>6483</v>
      </c>
      <c r="F4074" t="s">
        <v>55</v>
      </c>
      <c r="G4074" t="s">
        <v>5604</v>
      </c>
    </row>
    <row r="4075" spans="1:7" x14ac:dyDescent="0.25">
      <c r="A4075">
        <v>6483</v>
      </c>
      <c r="F4075" t="s">
        <v>5605</v>
      </c>
      <c r="G4075" t="s">
        <v>5604</v>
      </c>
    </row>
    <row r="4076" spans="1:7" x14ac:dyDescent="0.25">
      <c r="A4076">
        <v>6484</v>
      </c>
      <c r="F4076" t="s">
        <v>5603</v>
      </c>
      <c r="G4076" t="s">
        <v>5604</v>
      </c>
    </row>
    <row r="4077" spans="1:7" x14ac:dyDescent="0.25">
      <c r="A4077">
        <v>6484</v>
      </c>
      <c r="F4077" t="s">
        <v>53</v>
      </c>
      <c r="G4077" t="s">
        <v>5604</v>
      </c>
    </row>
    <row r="4078" spans="1:7" x14ac:dyDescent="0.25">
      <c r="A4078">
        <v>6484</v>
      </c>
      <c r="F4078" t="s">
        <v>55</v>
      </c>
      <c r="G4078" t="s">
        <v>5604</v>
      </c>
    </row>
    <row r="4079" spans="1:7" x14ac:dyDescent="0.25">
      <c r="A4079">
        <v>6484</v>
      </c>
      <c r="F4079" t="s">
        <v>5605</v>
      </c>
      <c r="G4079" t="s">
        <v>5604</v>
      </c>
    </row>
    <row r="4080" spans="1:7" x14ac:dyDescent="0.25">
      <c r="A4080">
        <v>6485</v>
      </c>
      <c r="F4080" t="s">
        <v>5603</v>
      </c>
      <c r="G4080" t="s">
        <v>5604</v>
      </c>
    </row>
    <row r="4081" spans="1:7" x14ac:dyDescent="0.25">
      <c r="A4081">
        <v>6485</v>
      </c>
      <c r="F4081" t="s">
        <v>53</v>
      </c>
      <c r="G4081" t="s">
        <v>5604</v>
      </c>
    </row>
    <row r="4082" spans="1:7" x14ac:dyDescent="0.25">
      <c r="A4082">
        <v>6485</v>
      </c>
      <c r="F4082" t="s">
        <v>55</v>
      </c>
      <c r="G4082" t="s">
        <v>5604</v>
      </c>
    </row>
    <row r="4083" spans="1:7" x14ac:dyDescent="0.25">
      <c r="A4083">
        <v>6485</v>
      </c>
      <c r="F4083" t="s">
        <v>5605</v>
      </c>
      <c r="G4083" t="s">
        <v>5604</v>
      </c>
    </row>
    <row r="4084" spans="1:7" x14ac:dyDescent="0.25">
      <c r="A4084">
        <v>6486</v>
      </c>
      <c r="F4084" t="s">
        <v>5603</v>
      </c>
      <c r="G4084" t="s">
        <v>5604</v>
      </c>
    </row>
    <row r="4085" spans="1:7" x14ac:dyDescent="0.25">
      <c r="A4085">
        <v>6486</v>
      </c>
      <c r="F4085" t="s">
        <v>53</v>
      </c>
      <c r="G4085" t="s">
        <v>5604</v>
      </c>
    </row>
    <row r="4086" spans="1:7" x14ac:dyDescent="0.25">
      <c r="A4086">
        <v>6486</v>
      </c>
      <c r="F4086" t="s">
        <v>55</v>
      </c>
      <c r="G4086" t="s">
        <v>5604</v>
      </c>
    </row>
    <row r="4087" spans="1:7" x14ac:dyDescent="0.25">
      <c r="A4087">
        <v>6486</v>
      </c>
      <c r="F4087" t="s">
        <v>5605</v>
      </c>
      <c r="G4087" t="s">
        <v>5604</v>
      </c>
    </row>
    <row r="4088" spans="1:7" x14ac:dyDescent="0.25">
      <c r="A4088">
        <v>6487</v>
      </c>
      <c r="F4088" t="s">
        <v>5603</v>
      </c>
      <c r="G4088" t="s">
        <v>5604</v>
      </c>
    </row>
    <row r="4089" spans="1:7" x14ac:dyDescent="0.25">
      <c r="A4089">
        <v>6487</v>
      </c>
      <c r="F4089" t="s">
        <v>53</v>
      </c>
      <c r="G4089" t="s">
        <v>5604</v>
      </c>
    </row>
    <row r="4090" spans="1:7" x14ac:dyDescent="0.25">
      <c r="A4090">
        <v>6487</v>
      </c>
      <c r="F4090" t="s">
        <v>55</v>
      </c>
      <c r="G4090" t="s">
        <v>5604</v>
      </c>
    </row>
    <row r="4091" spans="1:7" x14ac:dyDescent="0.25">
      <c r="A4091">
        <v>6487</v>
      </c>
      <c r="F4091" t="s">
        <v>5605</v>
      </c>
      <c r="G4091" t="s">
        <v>5604</v>
      </c>
    </row>
    <row r="4092" spans="1:7" x14ac:dyDescent="0.25">
      <c r="A4092">
        <v>6488</v>
      </c>
      <c r="F4092" t="s">
        <v>5603</v>
      </c>
      <c r="G4092" t="s">
        <v>5604</v>
      </c>
    </row>
    <row r="4093" spans="1:7" x14ac:dyDescent="0.25">
      <c r="A4093">
        <v>6488</v>
      </c>
      <c r="F4093" t="s">
        <v>53</v>
      </c>
      <c r="G4093" t="s">
        <v>5604</v>
      </c>
    </row>
    <row r="4094" spans="1:7" x14ac:dyDescent="0.25">
      <c r="A4094">
        <v>6488</v>
      </c>
      <c r="F4094" t="s">
        <v>55</v>
      </c>
      <c r="G4094" t="s">
        <v>5604</v>
      </c>
    </row>
    <row r="4095" spans="1:7" x14ac:dyDescent="0.25">
      <c r="A4095">
        <v>6488</v>
      </c>
      <c r="F4095" t="s">
        <v>5605</v>
      </c>
      <c r="G4095" t="s">
        <v>5604</v>
      </c>
    </row>
    <row r="4096" spans="1:7" x14ac:dyDescent="0.25">
      <c r="A4096">
        <v>6489</v>
      </c>
      <c r="F4096" t="s">
        <v>5603</v>
      </c>
      <c r="G4096" t="s">
        <v>5604</v>
      </c>
    </row>
    <row r="4097" spans="1:7" x14ac:dyDescent="0.25">
      <c r="A4097">
        <v>6489</v>
      </c>
      <c r="F4097" t="s">
        <v>53</v>
      </c>
      <c r="G4097" t="s">
        <v>5604</v>
      </c>
    </row>
    <row r="4098" spans="1:7" x14ac:dyDescent="0.25">
      <c r="A4098">
        <v>6489</v>
      </c>
      <c r="F4098" t="s">
        <v>55</v>
      </c>
      <c r="G4098" t="s">
        <v>5604</v>
      </c>
    </row>
    <row r="4099" spans="1:7" x14ac:dyDescent="0.25">
      <c r="A4099">
        <v>6489</v>
      </c>
      <c r="F4099" t="s">
        <v>5605</v>
      </c>
      <c r="G4099" t="s">
        <v>5604</v>
      </c>
    </row>
    <row r="4100" spans="1:7" x14ac:dyDescent="0.25">
      <c r="A4100">
        <v>6490</v>
      </c>
      <c r="F4100" t="s">
        <v>5603</v>
      </c>
      <c r="G4100" t="s">
        <v>5604</v>
      </c>
    </row>
    <row r="4101" spans="1:7" x14ac:dyDescent="0.25">
      <c r="A4101">
        <v>6490</v>
      </c>
      <c r="F4101" t="s">
        <v>53</v>
      </c>
      <c r="G4101" t="s">
        <v>5604</v>
      </c>
    </row>
    <row r="4102" spans="1:7" x14ac:dyDescent="0.25">
      <c r="A4102">
        <v>6490</v>
      </c>
      <c r="F4102" t="s">
        <v>55</v>
      </c>
      <c r="G4102" t="s">
        <v>5604</v>
      </c>
    </row>
    <row r="4103" spans="1:7" x14ac:dyDescent="0.25">
      <c r="A4103">
        <v>6490</v>
      </c>
      <c r="F4103" t="s">
        <v>5605</v>
      </c>
      <c r="G4103" t="s">
        <v>5604</v>
      </c>
    </row>
    <row r="4104" spans="1:7" x14ac:dyDescent="0.25">
      <c r="A4104">
        <v>6491</v>
      </c>
      <c r="F4104" t="s">
        <v>5603</v>
      </c>
      <c r="G4104" t="s">
        <v>5604</v>
      </c>
    </row>
    <row r="4105" spans="1:7" x14ac:dyDescent="0.25">
      <c r="A4105">
        <v>6491</v>
      </c>
      <c r="F4105" t="s">
        <v>53</v>
      </c>
      <c r="G4105" t="s">
        <v>5604</v>
      </c>
    </row>
    <row r="4106" spans="1:7" x14ac:dyDescent="0.25">
      <c r="A4106">
        <v>6491</v>
      </c>
      <c r="F4106" t="s">
        <v>55</v>
      </c>
      <c r="G4106" t="s">
        <v>5604</v>
      </c>
    </row>
    <row r="4107" spans="1:7" x14ac:dyDescent="0.25">
      <c r="A4107">
        <v>6491</v>
      </c>
      <c r="F4107" t="s">
        <v>5605</v>
      </c>
      <c r="G4107" t="s">
        <v>5604</v>
      </c>
    </row>
    <row r="4108" spans="1:7" x14ac:dyDescent="0.25">
      <c r="A4108">
        <v>6492</v>
      </c>
      <c r="F4108" t="s">
        <v>5603</v>
      </c>
      <c r="G4108" t="s">
        <v>5604</v>
      </c>
    </row>
    <row r="4109" spans="1:7" x14ac:dyDescent="0.25">
      <c r="A4109">
        <v>6492</v>
      </c>
      <c r="F4109" t="s">
        <v>53</v>
      </c>
      <c r="G4109" t="s">
        <v>5604</v>
      </c>
    </row>
    <row r="4110" spans="1:7" x14ac:dyDescent="0.25">
      <c r="A4110">
        <v>6492</v>
      </c>
      <c r="F4110" t="s">
        <v>55</v>
      </c>
      <c r="G4110" t="s">
        <v>5604</v>
      </c>
    </row>
    <row r="4111" spans="1:7" x14ac:dyDescent="0.25">
      <c r="A4111">
        <v>6492</v>
      </c>
      <c r="F4111" t="s">
        <v>5605</v>
      </c>
      <c r="G4111" t="s">
        <v>5604</v>
      </c>
    </row>
    <row r="4112" spans="1:7" x14ac:dyDescent="0.25">
      <c r="A4112">
        <v>6493</v>
      </c>
      <c r="F4112" t="s">
        <v>5603</v>
      </c>
      <c r="G4112" t="s">
        <v>5604</v>
      </c>
    </row>
    <row r="4113" spans="1:7" x14ac:dyDescent="0.25">
      <c r="A4113">
        <v>6493</v>
      </c>
      <c r="F4113" t="s">
        <v>53</v>
      </c>
      <c r="G4113" t="s">
        <v>5604</v>
      </c>
    </row>
    <row r="4114" spans="1:7" x14ac:dyDescent="0.25">
      <c r="A4114">
        <v>6493</v>
      </c>
      <c r="F4114" t="s">
        <v>55</v>
      </c>
      <c r="G4114" t="s">
        <v>5604</v>
      </c>
    </row>
    <row r="4115" spans="1:7" x14ac:dyDescent="0.25">
      <c r="A4115">
        <v>6493</v>
      </c>
      <c r="F4115" t="s">
        <v>5605</v>
      </c>
      <c r="G4115" t="s">
        <v>5604</v>
      </c>
    </row>
    <row r="4116" spans="1:7" x14ac:dyDescent="0.25">
      <c r="A4116">
        <v>6494</v>
      </c>
      <c r="F4116" t="s">
        <v>5603</v>
      </c>
      <c r="G4116" t="s">
        <v>5604</v>
      </c>
    </row>
    <row r="4117" spans="1:7" x14ac:dyDescent="0.25">
      <c r="A4117">
        <v>6494</v>
      </c>
      <c r="F4117" t="s">
        <v>53</v>
      </c>
      <c r="G4117" t="s">
        <v>5604</v>
      </c>
    </row>
    <row r="4118" spans="1:7" x14ac:dyDescent="0.25">
      <c r="A4118">
        <v>6494</v>
      </c>
      <c r="F4118" t="s">
        <v>55</v>
      </c>
      <c r="G4118" t="s">
        <v>5604</v>
      </c>
    </row>
    <row r="4119" spans="1:7" x14ac:dyDescent="0.25">
      <c r="A4119">
        <v>6494</v>
      </c>
      <c r="F4119" t="s">
        <v>5605</v>
      </c>
      <c r="G4119" t="s">
        <v>5604</v>
      </c>
    </row>
    <row r="4120" spans="1:7" x14ac:dyDescent="0.25">
      <c r="A4120">
        <v>6495</v>
      </c>
      <c r="F4120" t="s">
        <v>5603</v>
      </c>
      <c r="G4120" t="s">
        <v>5604</v>
      </c>
    </row>
    <row r="4121" spans="1:7" x14ac:dyDescent="0.25">
      <c r="A4121">
        <v>6495</v>
      </c>
      <c r="F4121" t="s">
        <v>53</v>
      </c>
      <c r="G4121" t="s">
        <v>5604</v>
      </c>
    </row>
    <row r="4122" spans="1:7" x14ac:dyDescent="0.25">
      <c r="A4122">
        <v>6495</v>
      </c>
      <c r="F4122" t="s">
        <v>55</v>
      </c>
      <c r="G4122" t="s">
        <v>5604</v>
      </c>
    </row>
    <row r="4123" spans="1:7" x14ac:dyDescent="0.25">
      <c r="A4123">
        <v>6495</v>
      </c>
      <c r="F4123" t="s">
        <v>5605</v>
      </c>
      <c r="G4123" t="s">
        <v>5604</v>
      </c>
    </row>
    <row r="4124" spans="1:7" x14ac:dyDescent="0.25">
      <c r="A4124">
        <v>5314</v>
      </c>
      <c r="B4124" t="s">
        <v>22</v>
      </c>
      <c r="C4124" t="s">
        <v>333</v>
      </c>
      <c r="F4124" t="s">
        <v>53</v>
      </c>
      <c r="G4124" t="s">
        <v>5604</v>
      </c>
    </row>
    <row r="4125" spans="1:7" x14ac:dyDescent="0.25">
      <c r="A4125">
        <v>5314</v>
      </c>
      <c r="B4125" t="s">
        <v>22</v>
      </c>
      <c r="C4125" t="s">
        <v>333</v>
      </c>
      <c r="F4125" t="s">
        <v>55</v>
      </c>
      <c r="G4125" t="s">
        <v>5604</v>
      </c>
    </row>
    <row r="4126" spans="1:7" x14ac:dyDescent="0.25">
      <c r="A4126">
        <v>5314</v>
      </c>
      <c r="B4126" t="s">
        <v>22</v>
      </c>
      <c r="C4126" t="s">
        <v>333</v>
      </c>
      <c r="F4126" t="s">
        <v>5605</v>
      </c>
      <c r="G4126" t="s">
        <v>5604</v>
      </c>
    </row>
    <row r="4127" spans="1:7" x14ac:dyDescent="0.25">
      <c r="A4127">
        <v>5315</v>
      </c>
      <c r="B4127" t="s">
        <v>21</v>
      </c>
      <c r="C4127" t="s">
        <v>335</v>
      </c>
      <c r="F4127" t="s">
        <v>53</v>
      </c>
      <c r="G4127" t="s">
        <v>5604</v>
      </c>
    </row>
    <row r="4128" spans="1:7" x14ac:dyDescent="0.25">
      <c r="A4128">
        <v>5315</v>
      </c>
      <c r="B4128" t="s">
        <v>21</v>
      </c>
      <c r="C4128" t="s">
        <v>335</v>
      </c>
      <c r="F4128" t="s">
        <v>55</v>
      </c>
      <c r="G4128" t="s">
        <v>5604</v>
      </c>
    </row>
    <row r="4129" spans="1:7" x14ac:dyDescent="0.25">
      <c r="A4129">
        <v>5315</v>
      </c>
      <c r="B4129" t="s">
        <v>21</v>
      </c>
      <c r="C4129" t="s">
        <v>335</v>
      </c>
      <c r="F4129" t="s">
        <v>5605</v>
      </c>
      <c r="G4129" t="s">
        <v>5604</v>
      </c>
    </row>
    <row r="4130" spans="1:7" x14ac:dyDescent="0.25">
      <c r="A4130">
        <v>5316</v>
      </c>
      <c r="F4130" t="s">
        <v>5603</v>
      </c>
      <c r="G4130" t="s">
        <v>5604</v>
      </c>
    </row>
    <row r="4131" spans="1:7" x14ac:dyDescent="0.25">
      <c r="A4131">
        <v>5316</v>
      </c>
      <c r="F4131" t="s">
        <v>53</v>
      </c>
      <c r="G4131" t="s">
        <v>5604</v>
      </c>
    </row>
    <row r="4132" spans="1:7" x14ac:dyDescent="0.25">
      <c r="A4132">
        <v>5316</v>
      </c>
      <c r="F4132" t="s">
        <v>55</v>
      </c>
      <c r="G4132" t="s">
        <v>5604</v>
      </c>
    </row>
    <row r="4133" spans="1:7" x14ac:dyDescent="0.25">
      <c r="A4133">
        <v>5316</v>
      </c>
      <c r="F4133" t="s">
        <v>5605</v>
      </c>
      <c r="G4133" t="s">
        <v>5604</v>
      </c>
    </row>
    <row r="4134" spans="1:7" x14ac:dyDescent="0.25">
      <c r="A4134">
        <v>5317</v>
      </c>
      <c r="F4134" t="s">
        <v>5603</v>
      </c>
      <c r="G4134" t="s">
        <v>5604</v>
      </c>
    </row>
    <row r="4135" spans="1:7" x14ac:dyDescent="0.25">
      <c r="A4135">
        <v>5317</v>
      </c>
      <c r="F4135" t="s">
        <v>53</v>
      </c>
      <c r="G4135" t="s">
        <v>5604</v>
      </c>
    </row>
    <row r="4136" spans="1:7" x14ac:dyDescent="0.25">
      <c r="A4136">
        <v>5317</v>
      </c>
      <c r="F4136" t="s">
        <v>55</v>
      </c>
      <c r="G4136" t="s">
        <v>5604</v>
      </c>
    </row>
    <row r="4137" spans="1:7" x14ac:dyDescent="0.25">
      <c r="A4137">
        <v>5317</v>
      </c>
      <c r="F4137" t="s">
        <v>5605</v>
      </c>
      <c r="G4137" t="s">
        <v>5604</v>
      </c>
    </row>
    <row r="4138" spans="1:7" x14ac:dyDescent="0.25">
      <c r="A4138">
        <v>5318</v>
      </c>
      <c r="F4138" t="s">
        <v>5603</v>
      </c>
      <c r="G4138" t="s">
        <v>5604</v>
      </c>
    </row>
    <row r="4139" spans="1:7" x14ac:dyDescent="0.25">
      <c r="A4139">
        <v>5318</v>
      </c>
      <c r="F4139" t="s">
        <v>53</v>
      </c>
      <c r="G4139" t="s">
        <v>5604</v>
      </c>
    </row>
    <row r="4140" spans="1:7" x14ac:dyDescent="0.25">
      <c r="A4140">
        <v>5318</v>
      </c>
      <c r="F4140" t="s">
        <v>55</v>
      </c>
      <c r="G4140" t="s">
        <v>5604</v>
      </c>
    </row>
    <row r="4141" spans="1:7" x14ac:dyDescent="0.25">
      <c r="A4141">
        <v>5318</v>
      </c>
      <c r="F4141" t="s">
        <v>5605</v>
      </c>
      <c r="G4141" t="s">
        <v>5604</v>
      </c>
    </row>
    <row r="4142" spans="1:7" x14ac:dyDescent="0.25">
      <c r="A4142">
        <v>5319</v>
      </c>
      <c r="F4142" t="s">
        <v>5603</v>
      </c>
      <c r="G4142" t="s">
        <v>5604</v>
      </c>
    </row>
    <row r="4143" spans="1:7" x14ac:dyDescent="0.25">
      <c r="A4143">
        <v>5319</v>
      </c>
      <c r="F4143" t="s">
        <v>53</v>
      </c>
      <c r="G4143" t="s">
        <v>5604</v>
      </c>
    </row>
    <row r="4144" spans="1:7" x14ac:dyDescent="0.25">
      <c r="A4144">
        <v>5319</v>
      </c>
      <c r="F4144" t="s">
        <v>55</v>
      </c>
      <c r="G4144" t="s">
        <v>5604</v>
      </c>
    </row>
    <row r="4145" spans="1:7" x14ac:dyDescent="0.25">
      <c r="A4145">
        <v>5319</v>
      </c>
      <c r="F4145" t="s">
        <v>5605</v>
      </c>
      <c r="G4145" t="s">
        <v>5604</v>
      </c>
    </row>
    <row r="4146" spans="1:7" x14ac:dyDescent="0.25">
      <c r="A4146">
        <v>5320</v>
      </c>
      <c r="F4146" t="s">
        <v>5603</v>
      </c>
      <c r="G4146" t="s">
        <v>5604</v>
      </c>
    </row>
    <row r="4147" spans="1:7" x14ac:dyDescent="0.25">
      <c r="A4147">
        <v>5320</v>
      </c>
      <c r="F4147" t="s">
        <v>53</v>
      </c>
      <c r="G4147" t="s">
        <v>5604</v>
      </c>
    </row>
    <row r="4148" spans="1:7" x14ac:dyDescent="0.25">
      <c r="A4148">
        <v>5320</v>
      </c>
      <c r="F4148" t="s">
        <v>55</v>
      </c>
      <c r="G4148" t="s">
        <v>5604</v>
      </c>
    </row>
    <row r="4149" spans="1:7" x14ac:dyDescent="0.25">
      <c r="A4149">
        <v>5320</v>
      </c>
      <c r="F4149" t="s">
        <v>5605</v>
      </c>
      <c r="G4149" t="s">
        <v>5604</v>
      </c>
    </row>
    <row r="4150" spans="1:7" x14ac:dyDescent="0.25">
      <c r="A4150">
        <v>5321</v>
      </c>
      <c r="F4150" t="s">
        <v>5603</v>
      </c>
      <c r="G4150" t="s">
        <v>5604</v>
      </c>
    </row>
    <row r="4151" spans="1:7" x14ac:dyDescent="0.25">
      <c r="A4151">
        <v>5321</v>
      </c>
      <c r="F4151" t="s">
        <v>53</v>
      </c>
      <c r="G4151" t="s">
        <v>5604</v>
      </c>
    </row>
    <row r="4152" spans="1:7" x14ac:dyDescent="0.25">
      <c r="A4152">
        <v>5321</v>
      </c>
      <c r="F4152" t="s">
        <v>55</v>
      </c>
      <c r="G4152" t="s">
        <v>5604</v>
      </c>
    </row>
    <row r="4153" spans="1:7" x14ac:dyDescent="0.25">
      <c r="A4153">
        <v>5321</v>
      </c>
      <c r="F4153" t="s">
        <v>5605</v>
      </c>
      <c r="G4153" t="s">
        <v>5604</v>
      </c>
    </row>
    <row r="4154" spans="1:7" x14ac:dyDescent="0.25">
      <c r="A4154">
        <v>5322</v>
      </c>
      <c r="F4154" t="s">
        <v>5603</v>
      </c>
      <c r="G4154" t="s">
        <v>5604</v>
      </c>
    </row>
    <row r="4155" spans="1:7" x14ac:dyDescent="0.25">
      <c r="A4155">
        <v>5322</v>
      </c>
      <c r="F4155" t="s">
        <v>53</v>
      </c>
      <c r="G4155" t="s">
        <v>5604</v>
      </c>
    </row>
    <row r="4156" spans="1:7" x14ac:dyDescent="0.25">
      <c r="A4156">
        <v>5322</v>
      </c>
      <c r="F4156" t="s">
        <v>55</v>
      </c>
      <c r="G4156" t="s">
        <v>5604</v>
      </c>
    </row>
    <row r="4157" spans="1:7" x14ac:dyDescent="0.25">
      <c r="A4157">
        <v>5322</v>
      </c>
      <c r="F4157" t="s">
        <v>5605</v>
      </c>
      <c r="G4157" t="s">
        <v>5604</v>
      </c>
    </row>
    <row r="4158" spans="1:7" x14ac:dyDescent="0.25">
      <c r="A4158">
        <v>5323</v>
      </c>
      <c r="F4158" t="s">
        <v>5603</v>
      </c>
      <c r="G4158" t="s">
        <v>5604</v>
      </c>
    </row>
    <row r="4159" spans="1:7" x14ac:dyDescent="0.25">
      <c r="A4159">
        <v>5323</v>
      </c>
      <c r="F4159" t="s">
        <v>53</v>
      </c>
      <c r="G4159" t="s">
        <v>5604</v>
      </c>
    </row>
    <row r="4160" spans="1:7" x14ac:dyDescent="0.25">
      <c r="A4160">
        <v>5323</v>
      </c>
      <c r="F4160" t="s">
        <v>55</v>
      </c>
      <c r="G4160" t="s">
        <v>5604</v>
      </c>
    </row>
    <row r="4161" spans="1:7" x14ac:dyDescent="0.25">
      <c r="A4161">
        <v>5323</v>
      </c>
      <c r="F4161" t="s">
        <v>5605</v>
      </c>
      <c r="G4161" t="s">
        <v>5604</v>
      </c>
    </row>
    <row r="4162" spans="1:7" x14ac:dyDescent="0.25">
      <c r="A4162">
        <v>5324</v>
      </c>
      <c r="F4162" t="s">
        <v>5603</v>
      </c>
      <c r="G4162" t="s">
        <v>5604</v>
      </c>
    </row>
    <row r="4163" spans="1:7" x14ac:dyDescent="0.25">
      <c r="A4163">
        <v>5324</v>
      </c>
      <c r="F4163" t="s">
        <v>53</v>
      </c>
      <c r="G4163" t="s">
        <v>5604</v>
      </c>
    </row>
    <row r="4164" spans="1:7" x14ac:dyDescent="0.25">
      <c r="A4164">
        <v>5324</v>
      </c>
      <c r="F4164" t="s">
        <v>55</v>
      </c>
      <c r="G4164" t="s">
        <v>5604</v>
      </c>
    </row>
    <row r="4165" spans="1:7" x14ac:dyDescent="0.25">
      <c r="A4165">
        <v>5324</v>
      </c>
      <c r="F4165" t="s">
        <v>5605</v>
      </c>
      <c r="G4165" t="s">
        <v>5604</v>
      </c>
    </row>
    <row r="4166" spans="1:7" x14ac:dyDescent="0.25">
      <c r="A4166">
        <v>5325</v>
      </c>
      <c r="F4166" t="s">
        <v>5603</v>
      </c>
      <c r="G4166" t="s">
        <v>5604</v>
      </c>
    </row>
    <row r="4167" spans="1:7" x14ac:dyDescent="0.25">
      <c r="A4167">
        <v>5325</v>
      </c>
      <c r="F4167" t="s">
        <v>53</v>
      </c>
      <c r="G4167" t="s">
        <v>5604</v>
      </c>
    </row>
    <row r="4168" spans="1:7" x14ac:dyDescent="0.25">
      <c r="A4168">
        <v>5325</v>
      </c>
      <c r="F4168" t="s">
        <v>55</v>
      </c>
      <c r="G4168" t="s">
        <v>5604</v>
      </c>
    </row>
    <row r="4169" spans="1:7" x14ac:dyDescent="0.25">
      <c r="A4169">
        <v>5325</v>
      </c>
      <c r="F4169" t="s">
        <v>5605</v>
      </c>
      <c r="G4169" t="s">
        <v>5604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4AF37"/>
  </sheetPr>
  <dimension ref="A1:H111"/>
  <sheetViews>
    <sheetView showGridLines="0" workbookViewId="0">
      <pane ySplit="4" topLeftCell="A5" activePane="bottomLeft" state="frozenSplit"/>
      <selection pane="bottomLeft" sqref="A1:H1"/>
    </sheetView>
  </sheetViews>
  <sheetFormatPr defaultRowHeight="15" x14ac:dyDescent="0.25"/>
  <cols>
    <col min="1" max="1" width="42.85546875" bestFit="1" customWidth="1"/>
    <col min="2" max="2" width="10" bestFit="1" customWidth="1"/>
    <col min="3" max="3" width="23.42578125" bestFit="1" customWidth="1"/>
    <col min="4" max="4" width="8.5703125" bestFit="1" customWidth="1"/>
    <col min="5" max="5" width="19.5703125" bestFit="1" customWidth="1"/>
    <col min="6" max="6" width="17.85546875" bestFit="1" customWidth="1"/>
  </cols>
  <sheetData>
    <row r="1" spans="1:8" ht="32.1" customHeight="1" x14ac:dyDescent="0.25">
      <c r="A1" s="63" t="s">
        <v>0</v>
      </c>
      <c r="B1" s="64"/>
      <c r="C1" s="64"/>
      <c r="D1" s="64"/>
      <c r="E1" s="64"/>
      <c r="F1" s="64"/>
      <c r="G1" s="64"/>
      <c r="H1" s="64"/>
    </row>
    <row r="2" spans="1:8" x14ac:dyDescent="0.25">
      <c r="A2" s="70" t="s">
        <v>1</v>
      </c>
      <c r="B2" s="64"/>
      <c r="C2" s="64"/>
      <c r="D2" s="64"/>
      <c r="E2" s="64"/>
      <c r="F2" s="64"/>
      <c r="G2" s="64"/>
      <c r="H2" s="64"/>
    </row>
    <row r="4" spans="1:8" ht="21.95" customHeight="1" x14ac:dyDescent="0.25">
      <c r="A4" s="69" t="s">
        <v>2</v>
      </c>
      <c r="B4" s="66"/>
      <c r="C4" s="66"/>
      <c r="D4" s="66"/>
      <c r="E4" s="66"/>
      <c r="F4" s="66"/>
      <c r="G4" s="66"/>
      <c r="H4" s="67"/>
    </row>
    <row r="5" spans="1:8" ht="20.100000000000001" customHeight="1" x14ac:dyDescent="0.25">
      <c r="A5" s="28"/>
      <c r="B5" s="29"/>
      <c r="C5" s="28"/>
      <c r="D5" s="33"/>
      <c r="E5" s="33"/>
      <c r="F5" s="33"/>
      <c r="G5" s="34"/>
      <c r="H5" s="34"/>
    </row>
    <row r="6" spans="1:8" ht="20.100000000000001" customHeight="1" x14ac:dyDescent="0.25">
      <c r="A6" s="65" t="s">
        <v>3</v>
      </c>
      <c r="B6" s="66"/>
      <c r="C6" s="66"/>
      <c r="D6" s="66"/>
      <c r="E6" s="66"/>
      <c r="F6" s="66"/>
      <c r="G6" s="66"/>
      <c r="H6" s="67"/>
    </row>
    <row r="7" spans="1:8" ht="20.100000000000001" customHeight="1" x14ac:dyDescent="0.25">
      <c r="A7" s="30" t="s">
        <v>4</v>
      </c>
      <c r="B7" s="31">
        <v>3487048</v>
      </c>
      <c r="C7" s="28" t="s">
        <v>5</v>
      </c>
      <c r="D7" s="33"/>
      <c r="E7" s="33"/>
      <c r="F7" s="33"/>
      <c r="G7" s="34"/>
      <c r="H7" s="34"/>
    </row>
    <row r="8" spans="1:8" ht="20.100000000000001" customHeight="1" x14ac:dyDescent="0.25">
      <c r="A8" s="30" t="s">
        <v>6</v>
      </c>
      <c r="B8" s="31">
        <v>382100</v>
      </c>
      <c r="C8" s="28" t="s">
        <v>7</v>
      </c>
      <c r="D8" s="33"/>
      <c r="E8" s="33"/>
      <c r="F8" s="33"/>
      <c r="G8" s="34"/>
      <c r="H8" s="34"/>
    </row>
    <row r="9" spans="1:8" ht="20.100000000000001" customHeight="1" x14ac:dyDescent="0.25">
      <c r="A9" s="30" t="s">
        <v>8</v>
      </c>
      <c r="B9" s="29">
        <v>511825.12</v>
      </c>
      <c r="C9" s="28" t="s">
        <v>9</v>
      </c>
      <c r="D9" s="34"/>
      <c r="E9" s="34"/>
      <c r="F9" s="34"/>
      <c r="G9" s="34"/>
      <c r="H9" s="34"/>
    </row>
    <row r="10" spans="1:8" ht="20.100000000000001" customHeight="1" x14ac:dyDescent="0.25">
      <c r="A10" s="30" t="s">
        <v>10</v>
      </c>
      <c r="B10" s="29">
        <v>25712.01</v>
      </c>
      <c r="C10" s="28" t="s">
        <v>11</v>
      </c>
      <c r="D10" s="34"/>
      <c r="E10" s="34"/>
      <c r="F10" s="34"/>
      <c r="G10" s="34"/>
      <c r="H10" s="34"/>
    </row>
    <row r="11" spans="1:8" ht="20.100000000000001" customHeight="1" x14ac:dyDescent="0.25">
      <c r="A11" s="30" t="s">
        <v>12</v>
      </c>
      <c r="B11" s="32">
        <v>2837748</v>
      </c>
      <c r="C11" s="28" t="s">
        <v>13</v>
      </c>
      <c r="D11" s="34"/>
      <c r="E11" s="34"/>
      <c r="F11" s="34"/>
      <c r="G11" s="34"/>
      <c r="H11" s="34"/>
    </row>
    <row r="12" spans="1:8" ht="20.100000000000001" customHeight="1" x14ac:dyDescent="0.25">
      <c r="A12" s="28"/>
      <c r="B12" s="29"/>
      <c r="C12" s="28"/>
      <c r="D12" s="34"/>
      <c r="E12" s="34"/>
      <c r="F12" s="34"/>
      <c r="G12" s="34"/>
      <c r="H12" s="34"/>
    </row>
    <row r="13" spans="1:8" ht="20.100000000000001" customHeight="1" x14ac:dyDescent="0.25">
      <c r="A13" s="68" t="s">
        <v>14</v>
      </c>
      <c r="B13" s="66"/>
      <c r="C13" s="66"/>
      <c r="D13" s="66"/>
      <c r="E13" s="66"/>
      <c r="F13" s="66"/>
      <c r="G13" s="66"/>
      <c r="H13" s="67"/>
    </row>
    <row r="14" spans="1:8" ht="20.100000000000001" customHeight="1" x14ac:dyDescent="0.25">
      <c r="A14" s="35" t="s">
        <v>15</v>
      </c>
      <c r="B14" s="35" t="s">
        <v>16</v>
      </c>
      <c r="C14" s="35" t="s">
        <v>17</v>
      </c>
      <c r="D14" s="35" t="s">
        <v>18</v>
      </c>
      <c r="E14" s="35" t="s">
        <v>19</v>
      </c>
      <c r="F14" s="35" t="s">
        <v>20</v>
      </c>
      <c r="G14" s="34"/>
      <c r="H14" s="34"/>
    </row>
    <row r="15" spans="1:8" ht="20.100000000000001" customHeight="1" x14ac:dyDescent="0.25">
      <c r="A15" s="34" t="s">
        <v>21</v>
      </c>
      <c r="B15" s="34">
        <v>290418</v>
      </c>
      <c r="C15" s="34">
        <v>5308.36</v>
      </c>
      <c r="D15" s="34">
        <v>14</v>
      </c>
      <c r="E15" s="34">
        <v>40</v>
      </c>
      <c r="F15" s="34">
        <v>0</v>
      </c>
      <c r="G15" s="34"/>
      <c r="H15" s="34"/>
    </row>
    <row r="16" spans="1:8" ht="20.100000000000001" customHeight="1" x14ac:dyDescent="0.25">
      <c r="A16" s="34" t="s">
        <v>22</v>
      </c>
      <c r="B16" s="34">
        <v>221407.12</v>
      </c>
      <c r="C16" s="34">
        <v>3928.14</v>
      </c>
      <c r="D16" s="34">
        <v>11</v>
      </c>
      <c r="E16" s="34">
        <v>32</v>
      </c>
      <c r="F16" s="34">
        <v>0</v>
      </c>
      <c r="G16" s="34"/>
      <c r="H16" s="34"/>
    </row>
    <row r="17" spans="1:8" ht="20.100000000000001" customHeight="1" x14ac:dyDescent="0.25">
      <c r="A17" s="34"/>
      <c r="B17" s="34"/>
      <c r="C17" s="34"/>
      <c r="D17" s="34"/>
      <c r="E17" s="34"/>
      <c r="F17" s="34"/>
      <c r="G17" s="34"/>
      <c r="H17" s="34"/>
    </row>
    <row r="18" spans="1:8" ht="20.100000000000001" customHeight="1" x14ac:dyDescent="0.25">
      <c r="A18" s="68" t="s">
        <v>23</v>
      </c>
      <c r="B18" s="66"/>
      <c r="C18" s="66"/>
      <c r="D18" s="66"/>
      <c r="E18" s="66"/>
      <c r="F18" s="66"/>
      <c r="G18" s="66"/>
      <c r="H18" s="67"/>
    </row>
    <row r="19" spans="1:8" ht="20.100000000000001" customHeight="1" x14ac:dyDescent="0.25">
      <c r="A19" s="35" t="s">
        <v>24</v>
      </c>
      <c r="B19" s="36">
        <v>25</v>
      </c>
      <c r="C19" s="34" t="s">
        <v>25</v>
      </c>
      <c r="D19" s="34"/>
      <c r="E19" s="34"/>
      <c r="F19" s="34"/>
      <c r="G19" s="34"/>
      <c r="H19" s="34"/>
    </row>
    <row r="20" spans="1:8" ht="20.100000000000001" customHeight="1" x14ac:dyDescent="0.25">
      <c r="A20" s="35" t="s">
        <v>26</v>
      </c>
      <c r="B20" s="36">
        <v>73</v>
      </c>
      <c r="C20" s="34" t="s">
        <v>27</v>
      </c>
      <c r="D20" s="34"/>
      <c r="E20" s="34"/>
      <c r="F20" s="34"/>
      <c r="G20" s="34"/>
      <c r="H20" s="34"/>
    </row>
    <row r="21" spans="1:8" ht="20.100000000000001" customHeight="1" x14ac:dyDescent="0.25">
      <c r="A21" s="35" t="s">
        <v>28</v>
      </c>
      <c r="B21" s="34">
        <v>2837748</v>
      </c>
      <c r="C21" s="34" t="s">
        <v>29</v>
      </c>
      <c r="D21" s="34"/>
      <c r="E21" s="34"/>
      <c r="F21" s="34"/>
      <c r="G21" s="34"/>
      <c r="H21" s="34"/>
    </row>
    <row r="22" spans="1:8" ht="20.100000000000001" customHeight="1" x14ac:dyDescent="0.25">
      <c r="A22" s="35" t="s">
        <v>30</v>
      </c>
      <c r="B22" s="34"/>
      <c r="C22" s="34"/>
      <c r="D22" s="34"/>
      <c r="E22" s="34"/>
      <c r="F22" s="34"/>
      <c r="G22" s="34"/>
      <c r="H22" s="34"/>
    </row>
    <row r="23" spans="1:8" ht="20.100000000000001" customHeight="1" x14ac:dyDescent="0.25">
      <c r="A23" s="35" t="s">
        <v>31</v>
      </c>
      <c r="B23" s="35" t="s">
        <v>32</v>
      </c>
      <c r="C23" s="35" t="s">
        <v>33</v>
      </c>
      <c r="D23" s="35" t="s">
        <v>34</v>
      </c>
      <c r="E23" s="35" t="s">
        <v>35</v>
      </c>
      <c r="F23" s="35" t="s">
        <v>36</v>
      </c>
      <c r="G23" s="34"/>
      <c r="H23" s="34"/>
    </row>
    <row r="24" spans="1:8" ht="20.100000000000001" customHeight="1" x14ac:dyDescent="0.25">
      <c r="A24" s="34" t="s">
        <v>37</v>
      </c>
      <c r="B24" s="34">
        <v>5614</v>
      </c>
      <c r="C24" s="34"/>
      <c r="D24" s="34">
        <v>105000</v>
      </c>
      <c r="E24" s="34">
        <v>42</v>
      </c>
      <c r="F24" s="36" t="s">
        <v>38</v>
      </c>
      <c r="G24" s="34"/>
      <c r="H24" s="34"/>
    </row>
    <row r="25" spans="1:8" ht="20.100000000000001" customHeight="1" x14ac:dyDescent="0.25">
      <c r="A25" s="34" t="s">
        <v>37</v>
      </c>
      <c r="B25" s="34">
        <v>5535</v>
      </c>
      <c r="C25" s="34"/>
      <c r="D25" s="34">
        <v>90000</v>
      </c>
      <c r="E25" s="34">
        <v>96</v>
      </c>
      <c r="F25" s="36" t="s">
        <v>38</v>
      </c>
      <c r="G25" s="34"/>
      <c r="H25" s="34"/>
    </row>
    <row r="26" spans="1:8" ht="20.100000000000001" customHeight="1" x14ac:dyDescent="0.25">
      <c r="A26" s="34" t="s">
        <v>37</v>
      </c>
      <c r="B26" s="34">
        <v>5572</v>
      </c>
      <c r="C26" s="34"/>
      <c r="D26" s="34">
        <v>60000</v>
      </c>
      <c r="E26" s="34">
        <v>70</v>
      </c>
      <c r="F26" s="36" t="s">
        <v>38</v>
      </c>
      <c r="G26" s="34"/>
      <c r="H26" s="34"/>
    </row>
    <row r="27" spans="1:8" ht="20.100000000000001" customHeight="1" x14ac:dyDescent="0.25">
      <c r="A27" s="34" t="s">
        <v>37</v>
      </c>
      <c r="B27" s="34">
        <v>5581</v>
      </c>
      <c r="C27" s="34"/>
      <c r="D27" s="34">
        <v>60000</v>
      </c>
      <c r="E27" s="34">
        <v>62</v>
      </c>
      <c r="F27" s="36" t="s">
        <v>38</v>
      </c>
      <c r="G27" s="34"/>
      <c r="H27" s="34"/>
    </row>
    <row r="28" spans="1:8" ht="20.100000000000001" customHeight="1" x14ac:dyDescent="0.25">
      <c r="A28" s="34" t="s">
        <v>37</v>
      </c>
      <c r="B28" s="34">
        <v>5644</v>
      </c>
      <c r="C28" s="34"/>
      <c r="D28" s="34">
        <v>56000</v>
      </c>
      <c r="E28" s="34">
        <v>9</v>
      </c>
      <c r="F28" s="37" t="s">
        <v>39</v>
      </c>
      <c r="G28" s="34"/>
      <c r="H28" s="34"/>
    </row>
    <row r="29" spans="1:8" ht="20.100000000000001" customHeight="1" x14ac:dyDescent="0.25">
      <c r="A29" s="34" t="s">
        <v>37</v>
      </c>
      <c r="B29" s="34">
        <v>5557</v>
      </c>
      <c r="C29" s="34"/>
      <c r="D29" s="34">
        <v>51200</v>
      </c>
      <c r="E29" s="34">
        <v>78</v>
      </c>
      <c r="F29" s="36" t="s">
        <v>38</v>
      </c>
      <c r="G29" s="34"/>
      <c r="H29" s="34"/>
    </row>
    <row r="30" spans="1:8" ht="20.100000000000001" customHeight="1" x14ac:dyDescent="0.25">
      <c r="A30" s="35" t="s">
        <v>37</v>
      </c>
      <c r="B30" s="34">
        <v>5466</v>
      </c>
      <c r="C30" s="34"/>
      <c r="D30" s="34">
        <v>50000</v>
      </c>
      <c r="E30" s="34">
        <v>145</v>
      </c>
      <c r="F30" s="36" t="s">
        <v>38</v>
      </c>
      <c r="G30" s="34"/>
      <c r="H30" s="34"/>
    </row>
    <row r="31" spans="1:8" ht="20.100000000000001" customHeight="1" x14ac:dyDescent="0.25">
      <c r="A31" s="34" t="s">
        <v>37</v>
      </c>
      <c r="B31" s="34">
        <v>5651</v>
      </c>
      <c r="C31" s="34"/>
      <c r="D31" s="34">
        <v>49000</v>
      </c>
      <c r="E31" s="34">
        <v>8</v>
      </c>
      <c r="F31" s="37" t="s">
        <v>39</v>
      </c>
      <c r="G31" s="34"/>
      <c r="H31" s="34"/>
    </row>
    <row r="32" spans="1:8" ht="20.100000000000001" customHeight="1" x14ac:dyDescent="0.25">
      <c r="A32" s="34" t="s">
        <v>37</v>
      </c>
      <c r="B32" s="34">
        <v>5646</v>
      </c>
      <c r="C32" s="34"/>
      <c r="D32" s="34">
        <v>48000</v>
      </c>
      <c r="E32" s="34">
        <v>9</v>
      </c>
      <c r="F32" s="37" t="s">
        <v>39</v>
      </c>
      <c r="G32" s="34"/>
      <c r="H32" s="34"/>
    </row>
    <row r="33" spans="1:8" ht="20.100000000000001" customHeight="1" x14ac:dyDescent="0.25">
      <c r="A33" s="34" t="s">
        <v>37</v>
      </c>
      <c r="B33" s="34">
        <v>5539</v>
      </c>
      <c r="C33" s="34"/>
      <c r="D33" s="34">
        <v>41000</v>
      </c>
      <c r="E33" s="34">
        <v>92</v>
      </c>
      <c r="F33" s="36" t="s">
        <v>38</v>
      </c>
      <c r="G33" s="34"/>
      <c r="H33" s="34"/>
    </row>
    <row r="34" spans="1:8" ht="20.100000000000001" customHeight="1" x14ac:dyDescent="0.25">
      <c r="A34" s="34"/>
      <c r="B34" s="34"/>
      <c r="C34" s="34"/>
      <c r="D34" s="34"/>
      <c r="E34" s="34"/>
      <c r="F34" s="34"/>
      <c r="G34" s="34"/>
      <c r="H34" s="34"/>
    </row>
    <row r="35" spans="1:8" ht="20.100000000000001" customHeight="1" x14ac:dyDescent="0.25">
      <c r="A35" s="68" t="s">
        <v>40</v>
      </c>
      <c r="B35" s="66"/>
      <c r="C35" s="66"/>
      <c r="D35" s="66"/>
      <c r="E35" s="66"/>
      <c r="F35" s="66"/>
      <c r="G35" s="66"/>
      <c r="H35" s="67"/>
    </row>
    <row r="36" spans="1:8" ht="20.100000000000001" customHeight="1" x14ac:dyDescent="0.25">
      <c r="A36" s="35" t="s">
        <v>41</v>
      </c>
      <c r="B36" s="34">
        <v>156</v>
      </c>
      <c r="C36" s="34" t="s">
        <v>42</v>
      </c>
      <c r="D36" s="34"/>
      <c r="E36" s="34"/>
      <c r="F36" s="34"/>
      <c r="G36" s="34"/>
      <c r="H36" s="34"/>
    </row>
    <row r="37" spans="1:8" ht="20.100000000000001" customHeight="1" x14ac:dyDescent="0.25">
      <c r="A37" s="35" t="s">
        <v>43</v>
      </c>
      <c r="B37" s="34">
        <v>176</v>
      </c>
      <c r="C37" s="34" t="s">
        <v>42</v>
      </c>
      <c r="D37" s="34"/>
      <c r="E37" s="34"/>
      <c r="F37" s="34"/>
      <c r="G37" s="34"/>
      <c r="H37" s="34"/>
    </row>
    <row r="38" spans="1:8" ht="20.100000000000001" customHeight="1" x14ac:dyDescent="0.25">
      <c r="A38" s="35" t="s">
        <v>44</v>
      </c>
      <c r="B38" s="35">
        <v>202</v>
      </c>
      <c r="C38" s="35" t="s">
        <v>42</v>
      </c>
      <c r="D38" s="35"/>
      <c r="E38" s="35"/>
      <c r="F38" s="34"/>
      <c r="G38" s="34"/>
      <c r="H38" s="34"/>
    </row>
    <row r="39" spans="1:8" ht="20.100000000000001" customHeight="1" x14ac:dyDescent="0.25">
      <c r="A39" s="35" t="s">
        <v>45</v>
      </c>
      <c r="B39" s="34">
        <v>113</v>
      </c>
      <c r="C39" s="34" t="s">
        <v>42</v>
      </c>
      <c r="D39" s="34"/>
      <c r="E39" s="34"/>
      <c r="F39" s="34"/>
      <c r="G39" s="34"/>
      <c r="H39" s="34"/>
    </row>
    <row r="40" spans="1:8" ht="20.100000000000001" customHeight="1" x14ac:dyDescent="0.25">
      <c r="A40" s="35" t="s">
        <v>46</v>
      </c>
      <c r="B40" s="38">
        <v>0</v>
      </c>
      <c r="C40" s="34" t="s">
        <v>47</v>
      </c>
      <c r="D40" s="34"/>
      <c r="E40" s="34"/>
      <c r="F40" s="34"/>
      <c r="G40" s="34"/>
      <c r="H40" s="34"/>
    </row>
    <row r="41" spans="1:8" ht="20.100000000000001" customHeight="1" x14ac:dyDescent="0.25">
      <c r="A41" s="34"/>
      <c r="B41" s="34"/>
      <c r="C41" s="34"/>
      <c r="D41" s="34"/>
      <c r="E41" s="34"/>
      <c r="F41" s="34"/>
      <c r="G41" s="34"/>
      <c r="H41" s="34"/>
    </row>
    <row r="42" spans="1:8" ht="20.100000000000001" customHeight="1" x14ac:dyDescent="0.25">
      <c r="A42" s="68" t="s">
        <v>48</v>
      </c>
      <c r="B42" s="66"/>
      <c r="C42" s="66"/>
      <c r="D42" s="66"/>
      <c r="E42" s="66"/>
      <c r="F42" s="66"/>
      <c r="G42" s="66"/>
      <c r="H42" s="67"/>
    </row>
    <row r="43" spans="1:8" ht="20.100000000000001" customHeight="1" x14ac:dyDescent="0.25">
      <c r="A43" s="35" t="s">
        <v>49</v>
      </c>
      <c r="B43" s="36">
        <v>0</v>
      </c>
      <c r="C43" s="34" t="s">
        <v>50</v>
      </c>
      <c r="D43" s="34"/>
      <c r="E43" s="34"/>
      <c r="F43" s="34"/>
      <c r="G43" s="34"/>
      <c r="H43" s="34"/>
    </row>
    <row r="44" spans="1:8" ht="20.100000000000001" customHeight="1" x14ac:dyDescent="0.25">
      <c r="A44" s="35" t="s">
        <v>51</v>
      </c>
      <c r="B44" s="36">
        <v>1057</v>
      </c>
      <c r="C44" s="34" t="s">
        <v>52</v>
      </c>
      <c r="D44" s="34"/>
      <c r="E44" s="34"/>
      <c r="F44" s="34"/>
      <c r="G44" s="34"/>
      <c r="H44" s="34"/>
    </row>
    <row r="45" spans="1:8" ht="20.100000000000001" customHeight="1" x14ac:dyDescent="0.25">
      <c r="A45" s="35" t="s">
        <v>53</v>
      </c>
      <c r="B45" s="34">
        <v>1057</v>
      </c>
      <c r="C45" s="34" t="s">
        <v>11</v>
      </c>
      <c r="D45" s="34"/>
      <c r="E45" s="34"/>
      <c r="F45" s="34"/>
      <c r="G45" s="34"/>
      <c r="H45" s="34"/>
    </row>
    <row r="46" spans="1:8" ht="20.100000000000001" customHeight="1" x14ac:dyDescent="0.25">
      <c r="A46" s="35" t="s">
        <v>54</v>
      </c>
      <c r="B46" s="34">
        <v>876</v>
      </c>
      <c r="C46" s="34" t="s">
        <v>11</v>
      </c>
      <c r="D46" s="34"/>
      <c r="E46" s="34"/>
      <c r="F46" s="34"/>
      <c r="G46" s="34"/>
      <c r="H46" s="34"/>
    </row>
    <row r="47" spans="1:8" ht="20.100000000000001" customHeight="1" x14ac:dyDescent="0.25">
      <c r="A47" s="35" t="s">
        <v>55</v>
      </c>
      <c r="B47" s="34">
        <v>1003</v>
      </c>
      <c r="C47" s="34" t="s">
        <v>11</v>
      </c>
      <c r="D47" s="34"/>
      <c r="E47" s="34"/>
      <c r="F47" s="34"/>
      <c r="G47" s="34"/>
      <c r="H47" s="34"/>
    </row>
    <row r="48" spans="1:8" ht="20.100000000000001" customHeight="1" x14ac:dyDescent="0.25">
      <c r="A48" s="35" t="s">
        <v>56</v>
      </c>
      <c r="B48" s="34">
        <v>842</v>
      </c>
      <c r="C48" s="34" t="s">
        <v>11</v>
      </c>
      <c r="D48" s="34"/>
      <c r="E48" s="34"/>
      <c r="F48" s="34"/>
      <c r="G48" s="34"/>
      <c r="H48" s="34"/>
    </row>
    <row r="49" spans="1:8" ht="20.100000000000001" customHeight="1" x14ac:dyDescent="0.25">
      <c r="A49" s="34"/>
      <c r="B49" s="34"/>
      <c r="C49" s="34"/>
      <c r="D49" s="34"/>
      <c r="E49" s="34"/>
      <c r="F49" s="34"/>
      <c r="G49" s="34"/>
      <c r="H49" s="34"/>
    </row>
    <row r="50" spans="1:8" ht="20.100000000000001" customHeight="1" x14ac:dyDescent="0.25">
      <c r="A50" s="68" t="s">
        <v>57</v>
      </c>
      <c r="B50" s="66"/>
      <c r="C50" s="66"/>
      <c r="D50" s="66"/>
      <c r="E50" s="66"/>
      <c r="F50" s="66"/>
      <c r="G50" s="66"/>
      <c r="H50" s="67"/>
    </row>
    <row r="51" spans="1:8" ht="20.100000000000001" customHeight="1" x14ac:dyDescent="0.25">
      <c r="A51" s="34" t="s">
        <v>58</v>
      </c>
      <c r="B51" s="34"/>
      <c r="C51" s="34"/>
      <c r="D51" s="34"/>
      <c r="E51" s="34"/>
      <c r="F51" s="34"/>
      <c r="G51" s="34"/>
      <c r="H51" s="34"/>
    </row>
    <row r="52" spans="1:8" ht="20.100000000000001" customHeight="1" x14ac:dyDescent="0.25">
      <c r="A52" s="34" t="s">
        <v>59</v>
      </c>
      <c r="B52" s="34"/>
      <c r="C52" s="34"/>
      <c r="D52" s="34"/>
      <c r="E52" s="34"/>
      <c r="F52" s="34"/>
      <c r="G52" s="34"/>
      <c r="H52" s="34"/>
    </row>
    <row r="53" spans="1:8" ht="20.100000000000001" customHeight="1" x14ac:dyDescent="0.25">
      <c r="A53" s="34" t="s">
        <v>60</v>
      </c>
      <c r="B53" s="34"/>
      <c r="C53" s="34"/>
      <c r="D53" s="34"/>
      <c r="E53" s="34"/>
      <c r="F53" s="34"/>
      <c r="G53" s="34"/>
      <c r="H53" s="34"/>
    </row>
    <row r="54" spans="1:8" ht="20.100000000000001" customHeight="1" x14ac:dyDescent="0.25">
      <c r="A54" s="34" t="s">
        <v>61</v>
      </c>
      <c r="B54" s="34"/>
      <c r="C54" s="34"/>
      <c r="D54" s="34"/>
      <c r="E54" s="34"/>
      <c r="F54" s="34"/>
      <c r="G54" s="34"/>
      <c r="H54" s="34"/>
    </row>
    <row r="55" spans="1:8" ht="20.100000000000001" customHeight="1" x14ac:dyDescent="0.25">
      <c r="A55" s="34" t="s">
        <v>62</v>
      </c>
      <c r="B55" s="34"/>
      <c r="C55" s="34"/>
      <c r="D55" s="34"/>
      <c r="E55" s="34"/>
      <c r="F55" s="34"/>
      <c r="G55" s="34"/>
      <c r="H55" s="34"/>
    </row>
    <row r="70" spans="1:6" x14ac:dyDescent="0.25">
      <c r="A70" s="7"/>
    </row>
    <row r="78" spans="1:6" x14ac:dyDescent="0.25">
      <c r="A78" s="7"/>
    </row>
    <row r="79" spans="1:6" x14ac:dyDescent="0.25">
      <c r="A79" s="7"/>
      <c r="B79" s="7"/>
      <c r="C79" s="7"/>
      <c r="D79" s="7"/>
      <c r="E79" s="7"/>
      <c r="F79" s="7"/>
    </row>
    <row r="110" spans="1:5" x14ac:dyDescent="0.25">
      <c r="A110" s="7"/>
    </row>
    <row r="111" spans="1:5" x14ac:dyDescent="0.25">
      <c r="A111" s="7"/>
      <c r="B111" s="7"/>
      <c r="C111" s="7"/>
      <c r="D111" s="7"/>
      <c r="E111" s="7"/>
    </row>
  </sheetData>
  <autoFilter ref="A4:H4" xr:uid="{00000000-0009-0000-0000-000005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mergeCells count="9">
    <mergeCell ref="A1:H1"/>
    <mergeCell ref="A6:H6"/>
    <mergeCell ref="A50:H50"/>
    <mergeCell ref="A4:H4"/>
    <mergeCell ref="A18:H18"/>
    <mergeCell ref="A35:H35"/>
    <mergeCell ref="A2:H2"/>
    <mergeCell ref="A42:H42"/>
    <mergeCell ref="A13:H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4AF37"/>
  </sheetPr>
  <dimension ref="A1:Q10"/>
  <sheetViews>
    <sheetView showGridLines="0" workbookViewId="0">
      <selection sqref="A1:N1"/>
    </sheetView>
  </sheetViews>
  <sheetFormatPr defaultRowHeight="15" x14ac:dyDescent="0.25"/>
  <cols>
    <col min="1" max="1" width="13.42578125" bestFit="1" customWidth="1"/>
    <col min="2" max="2" width="16.28515625" bestFit="1" customWidth="1"/>
    <col min="3" max="3" width="11.28515625" bestFit="1" customWidth="1"/>
    <col min="4" max="4" width="10" bestFit="1" customWidth="1"/>
    <col min="5" max="5" width="14.140625" bestFit="1" customWidth="1"/>
    <col min="6" max="6" width="8.5703125" bestFit="1" customWidth="1"/>
    <col min="7" max="7" width="12.28515625" bestFit="1" customWidth="1"/>
    <col min="8" max="8" width="17.42578125" bestFit="1" customWidth="1"/>
    <col min="9" max="9" width="9.85546875" bestFit="1" customWidth="1"/>
    <col min="10" max="10" width="9.7109375" bestFit="1" customWidth="1"/>
    <col min="11" max="11" width="8" bestFit="1" customWidth="1"/>
    <col min="12" max="12" width="10.7109375" bestFit="1" customWidth="1"/>
    <col min="13" max="13" width="10" bestFit="1" customWidth="1"/>
    <col min="14" max="14" width="14.42578125" bestFit="1" customWidth="1"/>
    <col min="15" max="15" width="21.140625" bestFit="1" customWidth="1"/>
    <col min="16" max="16" width="9.85546875" bestFit="1" customWidth="1"/>
    <col min="17" max="17" width="9.7109375" bestFit="1" customWidth="1"/>
  </cols>
  <sheetData>
    <row r="1" spans="1:17" ht="32.1" customHeight="1" x14ac:dyDescent="0.25">
      <c r="A1" s="86" t="s">
        <v>112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5"/>
    </row>
    <row r="2" spans="1:17" x14ac:dyDescent="0.25">
      <c r="A2" s="83" t="s">
        <v>377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5"/>
    </row>
    <row r="3" spans="1:17" x14ac:dyDescent="0.25">
      <c r="A3" s="6" t="s">
        <v>378</v>
      </c>
      <c r="B3" s="6">
        <v>0</v>
      </c>
      <c r="C3" s="6">
        <v>0</v>
      </c>
      <c r="D3" s="12">
        <v>0.01</v>
      </c>
      <c r="E3" s="6">
        <v>0</v>
      </c>
      <c r="F3" s="6">
        <v>0</v>
      </c>
      <c r="G3" s="6">
        <v>0</v>
      </c>
      <c r="H3" s="6">
        <v>0</v>
      </c>
      <c r="I3" s="6">
        <v>0</v>
      </c>
    </row>
    <row r="4" spans="1:17" ht="33.950000000000003" customHeight="1" x14ac:dyDescent="0.25">
      <c r="A4" s="13" t="s">
        <v>379</v>
      </c>
      <c r="B4" s="13" t="s">
        <v>380</v>
      </c>
      <c r="C4" s="13" t="s">
        <v>119</v>
      </c>
      <c r="D4" s="13" t="s">
        <v>381</v>
      </c>
      <c r="E4" s="13" t="s">
        <v>382</v>
      </c>
      <c r="F4" s="13" t="s">
        <v>383</v>
      </c>
      <c r="G4" s="13" t="s">
        <v>384</v>
      </c>
      <c r="H4" s="13" t="s">
        <v>385</v>
      </c>
      <c r="I4" s="13" t="s">
        <v>386</v>
      </c>
      <c r="J4" s="13" t="s">
        <v>387</v>
      </c>
      <c r="K4" s="13" t="s">
        <v>388</v>
      </c>
      <c r="L4" s="13" t="s">
        <v>4</v>
      </c>
      <c r="M4" s="13" t="s">
        <v>6</v>
      </c>
      <c r="N4" s="13" t="s">
        <v>389</v>
      </c>
      <c r="O4" s="7" t="s">
        <v>390</v>
      </c>
      <c r="P4" s="7" t="s">
        <v>24</v>
      </c>
      <c r="Q4" s="7" t="s">
        <v>26</v>
      </c>
    </row>
    <row r="5" spans="1:17" x14ac:dyDescent="0.25">
      <c r="A5" s="1" t="s">
        <v>377</v>
      </c>
      <c r="B5" s="10">
        <v>290418</v>
      </c>
      <c r="C5" s="14">
        <v>11</v>
      </c>
      <c r="D5" s="10">
        <v>0.02</v>
      </c>
      <c r="E5" s="10">
        <v>5808.36</v>
      </c>
      <c r="F5" s="2">
        <v>1000</v>
      </c>
      <c r="G5" s="2">
        <v>0</v>
      </c>
      <c r="H5" s="1">
        <v>0</v>
      </c>
      <c r="I5" s="10">
        <v>-1000</v>
      </c>
      <c r="J5" s="10">
        <v>-500</v>
      </c>
      <c r="K5" s="10">
        <v>5308.36</v>
      </c>
      <c r="L5" s="10">
        <v>1801200</v>
      </c>
      <c r="M5" s="10">
        <v>18000</v>
      </c>
      <c r="N5" s="1">
        <v>59.82</v>
      </c>
      <c r="O5" s="15">
        <v>0</v>
      </c>
      <c r="P5" s="15">
        <v>14</v>
      </c>
      <c r="Q5" s="15">
        <v>40</v>
      </c>
    </row>
    <row r="6" spans="1:17" x14ac:dyDescent="0.25">
      <c r="A6" s="1" t="s">
        <v>378</v>
      </c>
      <c r="B6" s="10">
        <v>221407.12</v>
      </c>
      <c r="C6" s="14">
        <v>12</v>
      </c>
      <c r="D6" s="10">
        <v>0.02</v>
      </c>
      <c r="E6" s="10">
        <v>4428.1400000000003</v>
      </c>
      <c r="F6" s="2">
        <v>1000</v>
      </c>
      <c r="G6" s="2">
        <v>0</v>
      </c>
      <c r="H6" s="1">
        <v>0</v>
      </c>
      <c r="I6" s="10">
        <v>-1000</v>
      </c>
      <c r="J6" s="10">
        <v>-500</v>
      </c>
      <c r="K6" s="10">
        <v>3928.14</v>
      </c>
      <c r="L6" s="10">
        <v>1685848</v>
      </c>
      <c r="M6" s="10">
        <v>364100</v>
      </c>
      <c r="N6" s="1">
        <v>56.51</v>
      </c>
      <c r="O6" s="15">
        <v>0</v>
      </c>
      <c r="P6" s="15">
        <v>11</v>
      </c>
      <c r="Q6" s="15">
        <v>32</v>
      </c>
    </row>
    <row r="8" spans="1:17" x14ac:dyDescent="0.25">
      <c r="A8" s="7" t="s">
        <v>391</v>
      </c>
      <c r="B8" s="7">
        <v>54</v>
      </c>
    </row>
    <row r="9" spans="1:17" x14ac:dyDescent="0.25">
      <c r="A9" s="7" t="s">
        <v>392</v>
      </c>
      <c r="B9" s="7">
        <v>43</v>
      </c>
    </row>
    <row r="10" spans="1:17" x14ac:dyDescent="0.25">
      <c r="A10" s="7" t="s">
        <v>12</v>
      </c>
      <c r="B10" s="7">
        <v>2810748</v>
      </c>
    </row>
  </sheetData>
  <mergeCells count="2">
    <mergeCell ref="A2:N2"/>
    <mergeCell ref="A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Z1071"/>
  <sheetViews>
    <sheetView showGridLines="0" workbookViewId="0">
      <selection sqref="A1:Y1"/>
    </sheetView>
  </sheetViews>
  <sheetFormatPr defaultRowHeight="15" x14ac:dyDescent="0.25"/>
  <cols>
    <col min="1" max="1" width="8.5703125" bestFit="1" customWidth="1"/>
    <col min="2" max="2" width="10.42578125" bestFit="1" customWidth="1"/>
    <col min="3" max="4" width="17.28515625" bestFit="1" customWidth="1"/>
    <col min="5" max="5" width="15.85546875" bestFit="1" customWidth="1"/>
    <col min="6" max="6" width="16.85546875" bestFit="1" customWidth="1"/>
    <col min="7" max="7" width="9" bestFit="1" customWidth="1"/>
    <col min="9" max="9" width="8.7109375" bestFit="1" customWidth="1"/>
    <col min="10" max="10" width="7.7109375" bestFit="1" customWidth="1"/>
    <col min="11" max="11" width="8.42578125" bestFit="1" customWidth="1"/>
    <col min="12" max="12" width="8.7109375" bestFit="1" customWidth="1"/>
    <col min="13" max="13" width="8.5703125" bestFit="1" customWidth="1"/>
    <col min="14" max="14" width="8" bestFit="1" customWidth="1"/>
    <col min="16" max="16" width="9" bestFit="1" customWidth="1"/>
    <col min="17" max="17" width="17.28515625" bestFit="1" customWidth="1"/>
    <col min="18" max="18" width="8.85546875" bestFit="1" customWidth="1"/>
    <col min="19" max="19" width="10" bestFit="1" customWidth="1"/>
    <col min="21" max="21" width="12.7109375" bestFit="1" customWidth="1"/>
    <col min="22" max="22" width="8.85546875" bestFit="1" customWidth="1"/>
    <col min="23" max="23" width="7.42578125" bestFit="1" customWidth="1"/>
    <col min="24" max="24" width="7.7109375" bestFit="1" customWidth="1"/>
    <col min="25" max="25" width="8.140625" bestFit="1" customWidth="1"/>
    <col min="26" max="26" width="49.7109375" bestFit="1" customWidth="1"/>
  </cols>
  <sheetData>
    <row r="1" spans="1:26" ht="32.1" customHeight="1" x14ac:dyDescent="0.25">
      <c r="A1" s="87" t="s">
        <v>393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16" t="s">
        <v>394</v>
      </c>
    </row>
    <row r="2" spans="1:26" x14ac:dyDescent="0.25">
      <c r="A2" s="70" t="s">
        <v>395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</row>
    <row r="4" spans="1:26" ht="33.950000000000003" customHeight="1" x14ac:dyDescent="0.25">
      <c r="A4" s="17" t="s">
        <v>396</v>
      </c>
      <c r="B4" s="17" t="s">
        <v>397</v>
      </c>
      <c r="C4" s="17" t="s">
        <v>104</v>
      </c>
      <c r="D4" s="17" t="s">
        <v>105</v>
      </c>
      <c r="E4" s="17" t="s">
        <v>106</v>
      </c>
      <c r="F4" s="17" t="s">
        <v>107</v>
      </c>
      <c r="G4" s="17" t="s">
        <v>108</v>
      </c>
      <c r="H4" s="17" t="s">
        <v>109</v>
      </c>
      <c r="I4" s="17" t="s">
        <v>110</v>
      </c>
      <c r="J4" s="17" t="s">
        <v>111</v>
      </c>
      <c r="K4" s="17" t="s">
        <v>112</v>
      </c>
      <c r="L4" s="17" t="s">
        <v>113</v>
      </c>
      <c r="M4" s="17" t="s">
        <v>114</v>
      </c>
      <c r="N4" s="17" t="s">
        <v>115</v>
      </c>
      <c r="O4" s="17" t="s">
        <v>116</v>
      </c>
      <c r="P4" s="17" t="s">
        <v>117</v>
      </c>
      <c r="Q4" s="17" t="s">
        <v>118</v>
      </c>
      <c r="R4" s="17" t="s">
        <v>65</v>
      </c>
      <c r="S4" s="17" t="s">
        <v>119</v>
      </c>
      <c r="T4" s="17" t="s">
        <v>120</v>
      </c>
      <c r="U4" s="17" t="s">
        <v>121</v>
      </c>
      <c r="V4" s="17" t="s">
        <v>122</v>
      </c>
      <c r="W4" s="17" t="s">
        <v>123</v>
      </c>
      <c r="X4" s="17" t="s">
        <v>124</v>
      </c>
      <c r="Y4" s="17" t="s">
        <v>125</v>
      </c>
      <c r="Z4" s="18" t="s">
        <v>398</v>
      </c>
    </row>
    <row r="5" spans="1:26" ht="30" customHeight="1" x14ac:dyDescent="0.25">
      <c r="A5" s="1" t="s">
        <v>399</v>
      </c>
      <c r="B5" s="19">
        <v>46182</v>
      </c>
      <c r="C5" s="20">
        <v>46014</v>
      </c>
      <c r="D5" s="20">
        <v>46024</v>
      </c>
      <c r="E5" s="19">
        <v>46024</v>
      </c>
      <c r="J5" s="1">
        <v>5443</v>
      </c>
      <c r="K5" s="1" t="s">
        <v>21</v>
      </c>
      <c r="L5" s="1" t="s">
        <v>126</v>
      </c>
      <c r="M5" s="1">
        <v>28000</v>
      </c>
      <c r="O5" s="1" t="s">
        <v>127</v>
      </c>
      <c r="T5" s="1" t="s">
        <v>77</v>
      </c>
    </row>
    <row r="6" spans="1:26" ht="30" customHeight="1" x14ac:dyDescent="0.25">
      <c r="A6" s="1" t="s">
        <v>400</v>
      </c>
      <c r="B6" s="19">
        <v>46182</v>
      </c>
      <c r="C6" s="20">
        <v>46024</v>
      </c>
      <c r="D6" s="1" t="s">
        <v>401</v>
      </c>
      <c r="E6" s="19">
        <v>46024</v>
      </c>
      <c r="J6" s="1">
        <v>5444</v>
      </c>
      <c r="K6" s="1" t="s">
        <v>21</v>
      </c>
      <c r="L6" s="1" t="s">
        <v>128</v>
      </c>
      <c r="M6" s="1">
        <v>26622</v>
      </c>
      <c r="O6" s="1" t="s">
        <v>129</v>
      </c>
      <c r="P6" s="1" t="s">
        <v>130</v>
      </c>
      <c r="Q6" s="20">
        <v>46163</v>
      </c>
      <c r="R6" s="1">
        <v>26622</v>
      </c>
      <c r="S6" s="1">
        <v>1</v>
      </c>
      <c r="T6" s="1" t="s">
        <v>131</v>
      </c>
    </row>
    <row r="7" spans="1:26" ht="45" customHeight="1" x14ac:dyDescent="0.25">
      <c r="A7" s="1" t="s">
        <v>402</v>
      </c>
      <c r="B7" s="19">
        <v>46182</v>
      </c>
      <c r="C7" s="20">
        <v>46024</v>
      </c>
      <c r="D7" s="20">
        <v>46024</v>
      </c>
      <c r="E7" s="19">
        <v>46024</v>
      </c>
      <c r="F7" s="1" t="s">
        <v>132</v>
      </c>
      <c r="J7" s="1">
        <v>5445</v>
      </c>
      <c r="K7" s="1" t="s">
        <v>21</v>
      </c>
      <c r="L7" s="1" t="s">
        <v>133</v>
      </c>
      <c r="M7" s="1">
        <v>23000</v>
      </c>
      <c r="O7" s="1" t="s">
        <v>127</v>
      </c>
      <c r="P7" s="1" t="s">
        <v>134</v>
      </c>
      <c r="T7" s="1" t="s">
        <v>135</v>
      </c>
      <c r="U7" s="1" t="s">
        <v>136</v>
      </c>
    </row>
    <row r="8" spans="1:26" ht="30" customHeight="1" x14ac:dyDescent="0.25">
      <c r="A8" s="1" t="s">
        <v>403</v>
      </c>
      <c r="B8" s="19">
        <v>46182</v>
      </c>
      <c r="C8" s="20">
        <v>46026</v>
      </c>
      <c r="D8" s="20">
        <v>46027</v>
      </c>
      <c r="E8" s="19">
        <v>46027</v>
      </c>
      <c r="J8" s="1">
        <v>5446</v>
      </c>
      <c r="K8" s="1" t="s">
        <v>21</v>
      </c>
      <c r="L8" s="1" t="s">
        <v>126</v>
      </c>
      <c r="O8" s="1" t="s">
        <v>127</v>
      </c>
      <c r="P8" s="1" t="s">
        <v>134</v>
      </c>
      <c r="U8" s="1" t="s">
        <v>136</v>
      </c>
    </row>
    <row r="9" spans="1:26" ht="30" customHeight="1" x14ac:dyDescent="0.25">
      <c r="A9" s="1" t="s">
        <v>404</v>
      </c>
      <c r="B9" s="19">
        <v>46182</v>
      </c>
      <c r="C9" s="20">
        <v>46027</v>
      </c>
      <c r="D9" s="20">
        <v>46027</v>
      </c>
      <c r="E9" s="19">
        <v>46027</v>
      </c>
      <c r="J9" s="1">
        <v>5447</v>
      </c>
      <c r="K9" s="1" t="s">
        <v>21</v>
      </c>
      <c r="L9" s="1" t="s">
        <v>126</v>
      </c>
      <c r="M9" s="1">
        <v>21000</v>
      </c>
      <c r="O9" s="1" t="s">
        <v>127</v>
      </c>
      <c r="P9" s="1" t="s">
        <v>134</v>
      </c>
      <c r="T9" s="1" t="s">
        <v>137</v>
      </c>
      <c r="U9" s="1" t="s">
        <v>136</v>
      </c>
    </row>
    <row r="10" spans="1:26" ht="30" customHeight="1" x14ac:dyDescent="0.25">
      <c r="A10" s="1" t="s">
        <v>405</v>
      </c>
      <c r="B10" s="19">
        <v>46182</v>
      </c>
      <c r="C10" s="20">
        <v>46023</v>
      </c>
      <c r="D10" s="20">
        <v>46027</v>
      </c>
      <c r="E10" s="19">
        <v>46027</v>
      </c>
      <c r="J10" s="1">
        <v>5448</v>
      </c>
      <c r="K10" s="1" t="s">
        <v>21</v>
      </c>
      <c r="L10" s="1" t="s">
        <v>133</v>
      </c>
      <c r="M10" s="1">
        <v>23000</v>
      </c>
      <c r="O10" s="1" t="s">
        <v>127</v>
      </c>
      <c r="P10" s="1" t="s">
        <v>134</v>
      </c>
      <c r="T10" s="1" t="s">
        <v>138</v>
      </c>
      <c r="U10" s="1" t="s">
        <v>136</v>
      </c>
    </row>
    <row r="11" spans="1:26" ht="30" customHeight="1" x14ac:dyDescent="0.25">
      <c r="A11" s="1" t="s">
        <v>406</v>
      </c>
      <c r="B11" s="19">
        <v>46182</v>
      </c>
      <c r="C11" s="20">
        <v>46013</v>
      </c>
      <c r="D11" s="20">
        <v>46029</v>
      </c>
      <c r="E11" s="19">
        <v>46029</v>
      </c>
      <c r="J11" s="1">
        <v>5449</v>
      </c>
      <c r="K11" s="1" t="s">
        <v>21</v>
      </c>
      <c r="L11" s="1" t="s">
        <v>128</v>
      </c>
      <c r="M11" s="1">
        <v>20500</v>
      </c>
      <c r="O11" s="1" t="s">
        <v>127</v>
      </c>
      <c r="P11" s="1" t="s">
        <v>134</v>
      </c>
      <c r="T11" s="1" t="s">
        <v>139</v>
      </c>
      <c r="U11" s="1" t="s">
        <v>136</v>
      </c>
    </row>
    <row r="12" spans="1:26" ht="45" customHeight="1" x14ac:dyDescent="0.25">
      <c r="A12" s="1" t="s">
        <v>407</v>
      </c>
      <c r="B12" s="19">
        <v>46182</v>
      </c>
      <c r="C12" s="20">
        <v>46027</v>
      </c>
      <c r="D12" s="20">
        <v>46029</v>
      </c>
      <c r="E12" s="19">
        <v>46029</v>
      </c>
      <c r="J12" s="1">
        <v>5450</v>
      </c>
      <c r="K12" s="1" t="s">
        <v>21</v>
      </c>
      <c r="L12" s="1" t="s">
        <v>128</v>
      </c>
      <c r="M12" s="1">
        <v>29000</v>
      </c>
      <c r="O12" s="1" t="s">
        <v>127</v>
      </c>
      <c r="P12" s="1" t="s">
        <v>134</v>
      </c>
      <c r="T12" s="1" t="s">
        <v>140</v>
      </c>
      <c r="U12" s="1" t="s">
        <v>136</v>
      </c>
    </row>
    <row r="13" spans="1:26" ht="30" customHeight="1" x14ac:dyDescent="0.25">
      <c r="A13" s="1" t="s">
        <v>408</v>
      </c>
      <c r="B13" s="19">
        <v>46182</v>
      </c>
      <c r="C13" s="20">
        <v>46027</v>
      </c>
      <c r="D13" s="20">
        <v>46029</v>
      </c>
      <c r="E13" s="19">
        <v>46029</v>
      </c>
      <c r="J13" s="1">
        <v>5451</v>
      </c>
      <c r="K13" s="1" t="s">
        <v>21</v>
      </c>
      <c r="L13" s="1" t="s">
        <v>128</v>
      </c>
      <c r="M13" s="1">
        <v>21000</v>
      </c>
      <c r="O13" s="1" t="s">
        <v>127</v>
      </c>
      <c r="P13" s="1" t="s">
        <v>134</v>
      </c>
      <c r="T13" s="1" t="s">
        <v>141</v>
      </c>
      <c r="U13" s="1" t="s">
        <v>136</v>
      </c>
    </row>
    <row r="14" spans="1:26" ht="30" customHeight="1" x14ac:dyDescent="0.25">
      <c r="A14" s="1" t="s">
        <v>409</v>
      </c>
      <c r="B14" s="19">
        <v>46182</v>
      </c>
      <c r="C14" s="20">
        <v>46027</v>
      </c>
      <c r="D14" s="20">
        <v>46030</v>
      </c>
      <c r="E14" s="19">
        <v>46030</v>
      </c>
      <c r="J14" s="1">
        <v>5452</v>
      </c>
      <c r="K14" s="1" t="s">
        <v>21</v>
      </c>
      <c r="L14" s="1" t="s">
        <v>126</v>
      </c>
      <c r="M14" s="1">
        <v>23000</v>
      </c>
      <c r="O14" s="1" t="s">
        <v>142</v>
      </c>
      <c r="P14" s="1" t="s">
        <v>134</v>
      </c>
      <c r="T14" s="1" t="s">
        <v>143</v>
      </c>
      <c r="U14" s="1" t="s">
        <v>136</v>
      </c>
    </row>
    <row r="15" spans="1:26" ht="30" customHeight="1" x14ac:dyDescent="0.25">
      <c r="A15" s="1" t="s">
        <v>410</v>
      </c>
      <c r="B15" s="19">
        <v>46182</v>
      </c>
      <c r="C15" s="20">
        <v>46031</v>
      </c>
      <c r="D15" s="20">
        <v>46031</v>
      </c>
      <c r="E15" s="19">
        <v>46031</v>
      </c>
      <c r="F15" s="1" t="s">
        <v>144</v>
      </c>
      <c r="J15" s="1">
        <v>5453</v>
      </c>
      <c r="K15" s="1" t="s">
        <v>22</v>
      </c>
      <c r="L15" s="1" t="s">
        <v>126</v>
      </c>
    </row>
    <row r="16" spans="1:26" ht="30" customHeight="1" x14ac:dyDescent="0.25">
      <c r="A16" s="1" t="s">
        <v>411</v>
      </c>
      <c r="B16" s="19">
        <v>46182</v>
      </c>
      <c r="C16" s="20">
        <v>46034</v>
      </c>
      <c r="D16" s="20">
        <v>46034</v>
      </c>
      <c r="E16" s="19">
        <v>46034</v>
      </c>
      <c r="J16" s="1">
        <v>5454</v>
      </c>
      <c r="K16" s="1" t="s">
        <v>21</v>
      </c>
      <c r="L16" s="1" t="s">
        <v>145</v>
      </c>
      <c r="M16" s="1">
        <v>23000</v>
      </c>
      <c r="O16" s="1" t="s">
        <v>146</v>
      </c>
      <c r="P16" s="1" t="s">
        <v>134</v>
      </c>
      <c r="U16" s="1" t="s">
        <v>136</v>
      </c>
    </row>
    <row r="17" spans="1:21" ht="30" customHeight="1" x14ac:dyDescent="0.25">
      <c r="A17" s="1" t="s">
        <v>412</v>
      </c>
      <c r="B17" s="19">
        <v>46182</v>
      </c>
      <c r="C17" s="20">
        <v>46034</v>
      </c>
      <c r="D17" s="20">
        <v>46034</v>
      </c>
      <c r="E17" s="19">
        <v>46034</v>
      </c>
      <c r="J17" s="1">
        <v>5455</v>
      </c>
      <c r="K17" s="1" t="s">
        <v>22</v>
      </c>
      <c r="L17" s="1" t="s">
        <v>126</v>
      </c>
      <c r="M17" s="1">
        <v>23000</v>
      </c>
      <c r="O17" s="1" t="s">
        <v>142</v>
      </c>
    </row>
    <row r="18" spans="1:21" ht="30" customHeight="1" x14ac:dyDescent="0.25">
      <c r="A18" s="1" t="s">
        <v>413</v>
      </c>
      <c r="B18" s="19">
        <v>46182</v>
      </c>
      <c r="C18" s="20">
        <v>46034</v>
      </c>
      <c r="D18" s="20">
        <v>46034</v>
      </c>
      <c r="E18" s="19">
        <v>46034</v>
      </c>
      <c r="J18" s="1">
        <v>5456</v>
      </c>
      <c r="K18" s="1" t="s">
        <v>21</v>
      </c>
      <c r="L18" s="1" t="s">
        <v>126</v>
      </c>
      <c r="M18" s="1">
        <v>20196</v>
      </c>
      <c r="N18" s="1">
        <v>1</v>
      </c>
      <c r="O18" s="1" t="s">
        <v>147</v>
      </c>
      <c r="P18" s="1" t="s">
        <v>130</v>
      </c>
      <c r="Q18" s="20">
        <v>46162</v>
      </c>
      <c r="R18" s="1">
        <v>20196</v>
      </c>
      <c r="S18" s="1">
        <v>1</v>
      </c>
      <c r="T18" s="1" t="s">
        <v>148</v>
      </c>
    </row>
    <row r="19" spans="1:21" ht="30" customHeight="1" x14ac:dyDescent="0.25">
      <c r="A19" s="1" t="s">
        <v>414</v>
      </c>
      <c r="B19" s="19">
        <v>46182</v>
      </c>
      <c r="C19" s="20">
        <v>46035</v>
      </c>
      <c r="D19" s="20">
        <v>46035</v>
      </c>
      <c r="E19" s="19">
        <v>46035</v>
      </c>
      <c r="J19" s="1">
        <v>5457</v>
      </c>
      <c r="K19" s="1" t="s">
        <v>21</v>
      </c>
      <c r="L19" s="1" t="s">
        <v>126</v>
      </c>
      <c r="M19" s="1">
        <v>21000</v>
      </c>
      <c r="O19" s="1" t="s">
        <v>127</v>
      </c>
      <c r="T19" s="1" t="s">
        <v>149</v>
      </c>
      <c r="U19" s="1" t="s">
        <v>150</v>
      </c>
    </row>
    <row r="20" spans="1:21" ht="30" customHeight="1" x14ac:dyDescent="0.25">
      <c r="A20" s="1" t="s">
        <v>415</v>
      </c>
      <c r="B20" s="19">
        <v>46182</v>
      </c>
      <c r="C20" s="20">
        <v>46035</v>
      </c>
      <c r="D20" s="20">
        <v>46035</v>
      </c>
      <c r="E20" s="19">
        <v>46035</v>
      </c>
      <c r="J20" s="1">
        <v>5458</v>
      </c>
      <c r="K20" s="1" t="s">
        <v>22</v>
      </c>
      <c r="L20" s="1" t="s">
        <v>126</v>
      </c>
      <c r="M20" s="1">
        <v>18252</v>
      </c>
      <c r="O20" s="1" t="s">
        <v>147</v>
      </c>
      <c r="P20" s="1" t="s">
        <v>130</v>
      </c>
      <c r="R20" s="1">
        <v>18252</v>
      </c>
      <c r="S20" s="1">
        <v>1</v>
      </c>
    </row>
    <row r="21" spans="1:21" ht="30" customHeight="1" x14ac:dyDescent="0.25">
      <c r="A21" s="1" t="s">
        <v>416</v>
      </c>
      <c r="B21" s="19">
        <v>46182</v>
      </c>
      <c r="C21" s="20">
        <v>46036</v>
      </c>
      <c r="D21" s="20">
        <v>46036</v>
      </c>
      <c r="E21" s="19">
        <v>46036</v>
      </c>
      <c r="F21" s="1" t="s">
        <v>151</v>
      </c>
      <c r="J21" s="1">
        <v>5459</v>
      </c>
      <c r="K21" s="1" t="s">
        <v>22</v>
      </c>
      <c r="L21" s="1" t="s">
        <v>126</v>
      </c>
      <c r="M21" s="1">
        <v>25000</v>
      </c>
      <c r="O21" s="1" t="s">
        <v>142</v>
      </c>
    </row>
    <row r="22" spans="1:21" ht="30" customHeight="1" x14ac:dyDescent="0.25">
      <c r="A22" s="1" t="s">
        <v>417</v>
      </c>
      <c r="B22" s="19">
        <v>46182</v>
      </c>
      <c r="C22" s="20">
        <v>46036</v>
      </c>
      <c r="D22" s="20">
        <v>46036</v>
      </c>
      <c r="E22" s="19">
        <v>46036</v>
      </c>
      <c r="J22" s="1">
        <v>5460</v>
      </c>
      <c r="K22" s="1" t="s">
        <v>22</v>
      </c>
      <c r="L22" s="1" t="s">
        <v>126</v>
      </c>
      <c r="M22" s="1">
        <v>20000</v>
      </c>
      <c r="O22" s="1" t="s">
        <v>142</v>
      </c>
    </row>
    <row r="23" spans="1:21" ht="30" customHeight="1" x14ac:dyDescent="0.25">
      <c r="A23" s="1" t="s">
        <v>418</v>
      </c>
      <c r="B23" s="19">
        <v>46182</v>
      </c>
      <c r="C23" s="20">
        <v>46037</v>
      </c>
      <c r="D23" s="20">
        <v>46037</v>
      </c>
      <c r="E23" s="19">
        <v>46037</v>
      </c>
      <c r="J23" s="1">
        <v>5461</v>
      </c>
      <c r="K23" s="1" t="s">
        <v>21</v>
      </c>
      <c r="L23" s="1" t="s">
        <v>128</v>
      </c>
      <c r="M23" s="1">
        <v>23000</v>
      </c>
      <c r="O23" s="1" t="s">
        <v>127</v>
      </c>
      <c r="P23" s="1" t="s">
        <v>134</v>
      </c>
      <c r="T23" s="1" t="s">
        <v>152</v>
      </c>
      <c r="U23" s="1" t="s">
        <v>136</v>
      </c>
    </row>
    <row r="24" spans="1:21" ht="30" customHeight="1" x14ac:dyDescent="0.25">
      <c r="A24" s="1" t="s">
        <v>419</v>
      </c>
      <c r="B24" s="19">
        <v>46182</v>
      </c>
      <c r="C24" s="20">
        <v>46037</v>
      </c>
      <c r="D24" s="20">
        <v>46037</v>
      </c>
      <c r="E24" s="19">
        <v>46037</v>
      </c>
      <c r="J24" s="1">
        <v>5462</v>
      </c>
      <c r="K24" s="1" t="s">
        <v>21</v>
      </c>
      <c r="L24" s="1" t="s">
        <v>128</v>
      </c>
      <c r="M24" s="1">
        <v>22000</v>
      </c>
      <c r="O24" s="1" t="s">
        <v>127</v>
      </c>
      <c r="P24" s="1" t="s">
        <v>134</v>
      </c>
      <c r="U24" s="1" t="s">
        <v>136</v>
      </c>
    </row>
    <row r="25" spans="1:21" ht="30" customHeight="1" x14ac:dyDescent="0.25">
      <c r="A25" s="1" t="s">
        <v>420</v>
      </c>
      <c r="B25" s="19">
        <v>46182</v>
      </c>
      <c r="C25" s="20">
        <v>45307</v>
      </c>
      <c r="D25" s="20">
        <v>46038</v>
      </c>
      <c r="E25" s="19">
        <v>46038</v>
      </c>
      <c r="J25" s="1">
        <v>5463</v>
      </c>
      <c r="K25" s="1" t="s">
        <v>22</v>
      </c>
      <c r="L25" s="1" t="s">
        <v>126</v>
      </c>
      <c r="M25" s="1">
        <v>25100</v>
      </c>
      <c r="O25" s="1" t="s">
        <v>142</v>
      </c>
      <c r="T25" s="1" t="s">
        <v>153</v>
      </c>
    </row>
    <row r="26" spans="1:21" ht="30" customHeight="1" x14ac:dyDescent="0.25">
      <c r="A26" s="1" t="s">
        <v>421</v>
      </c>
      <c r="B26" s="19">
        <v>46182</v>
      </c>
      <c r="C26" s="20">
        <v>46038</v>
      </c>
      <c r="D26" s="20">
        <v>46038</v>
      </c>
      <c r="E26" s="19">
        <v>46038</v>
      </c>
      <c r="F26" s="1" t="s">
        <v>154</v>
      </c>
      <c r="J26" s="1">
        <v>5464</v>
      </c>
      <c r="K26" s="1" t="s">
        <v>21</v>
      </c>
      <c r="L26" s="1" t="s">
        <v>126</v>
      </c>
      <c r="M26" s="1">
        <v>12500</v>
      </c>
      <c r="O26" s="1" t="s">
        <v>155</v>
      </c>
      <c r="P26" s="1" t="s">
        <v>134</v>
      </c>
      <c r="U26" s="1" t="s">
        <v>136</v>
      </c>
    </row>
    <row r="27" spans="1:21" ht="45" customHeight="1" x14ac:dyDescent="0.25">
      <c r="A27" s="1" t="s">
        <v>422</v>
      </c>
      <c r="B27" s="19">
        <v>46182</v>
      </c>
      <c r="C27" s="20">
        <v>46038</v>
      </c>
      <c r="D27" s="20">
        <v>46038</v>
      </c>
      <c r="E27" s="19">
        <v>46038</v>
      </c>
      <c r="F27" s="1" t="s">
        <v>156</v>
      </c>
      <c r="J27" s="1">
        <v>5465</v>
      </c>
      <c r="K27" s="1" t="s">
        <v>21</v>
      </c>
      <c r="L27" s="1" t="s">
        <v>126</v>
      </c>
      <c r="M27" s="1">
        <v>25600</v>
      </c>
      <c r="O27" s="1" t="s">
        <v>157</v>
      </c>
      <c r="P27" s="1" t="s">
        <v>130</v>
      </c>
      <c r="R27" s="1">
        <v>25600</v>
      </c>
      <c r="S27" s="1">
        <v>1</v>
      </c>
      <c r="T27" s="1" t="s">
        <v>158</v>
      </c>
    </row>
    <row r="28" spans="1:21" ht="45" customHeight="1" x14ac:dyDescent="0.25">
      <c r="A28" s="1" t="s">
        <v>423</v>
      </c>
      <c r="B28" s="19">
        <v>46182</v>
      </c>
      <c r="C28" s="20">
        <v>46038</v>
      </c>
      <c r="D28" s="20">
        <v>46038</v>
      </c>
      <c r="E28" s="19">
        <v>46038</v>
      </c>
      <c r="J28" s="1">
        <v>5466</v>
      </c>
      <c r="K28" s="1" t="s">
        <v>22</v>
      </c>
      <c r="L28" s="1" t="s">
        <v>110</v>
      </c>
      <c r="M28" s="1">
        <v>50000</v>
      </c>
      <c r="O28" s="1" t="s">
        <v>142</v>
      </c>
      <c r="T28" s="1" t="s">
        <v>159</v>
      </c>
    </row>
    <row r="29" spans="1:21" ht="30" customHeight="1" x14ac:dyDescent="0.25">
      <c r="A29" s="1" t="s">
        <v>424</v>
      </c>
      <c r="B29" s="19">
        <v>46182</v>
      </c>
      <c r="C29" s="20">
        <v>46038</v>
      </c>
      <c r="D29" s="20">
        <v>46038</v>
      </c>
      <c r="E29" s="19">
        <v>46038</v>
      </c>
      <c r="J29" s="1">
        <v>5467</v>
      </c>
      <c r="K29" s="1" t="s">
        <v>22</v>
      </c>
      <c r="L29" s="1" t="s">
        <v>145</v>
      </c>
      <c r="M29" s="1">
        <v>12000</v>
      </c>
      <c r="O29" s="1" t="s">
        <v>155</v>
      </c>
    </row>
    <row r="30" spans="1:21" ht="30" customHeight="1" x14ac:dyDescent="0.25">
      <c r="A30" s="1" t="s">
        <v>425</v>
      </c>
      <c r="B30" s="19">
        <v>46182</v>
      </c>
      <c r="C30" s="20">
        <v>46041</v>
      </c>
      <c r="D30" s="20">
        <v>46041</v>
      </c>
      <c r="E30" s="19">
        <v>46041</v>
      </c>
      <c r="J30" s="1">
        <v>5468</v>
      </c>
      <c r="K30" s="1" t="s">
        <v>22</v>
      </c>
      <c r="L30" s="1" t="s">
        <v>126</v>
      </c>
      <c r="M30" s="1">
        <v>20000</v>
      </c>
      <c r="O30" s="1" t="s">
        <v>142</v>
      </c>
      <c r="T30" s="1" t="s">
        <v>160</v>
      </c>
    </row>
    <row r="31" spans="1:21" ht="30" customHeight="1" x14ac:dyDescent="0.25">
      <c r="A31" s="1" t="s">
        <v>426</v>
      </c>
      <c r="B31" s="19">
        <v>46182</v>
      </c>
      <c r="C31" s="20">
        <v>46041</v>
      </c>
      <c r="D31" s="20">
        <v>46041</v>
      </c>
      <c r="E31" s="19">
        <v>46041</v>
      </c>
      <c r="J31" s="1">
        <v>5469</v>
      </c>
      <c r="K31" s="1" t="s">
        <v>22</v>
      </c>
      <c r="L31" s="1" t="s">
        <v>145</v>
      </c>
      <c r="M31" s="1">
        <v>25000</v>
      </c>
      <c r="O31" s="1" t="s">
        <v>142</v>
      </c>
      <c r="T31" s="1" t="s">
        <v>161</v>
      </c>
    </row>
    <row r="32" spans="1:21" ht="45" customHeight="1" x14ac:dyDescent="0.25">
      <c r="A32" s="1" t="s">
        <v>427</v>
      </c>
      <c r="B32" s="19">
        <v>46182</v>
      </c>
      <c r="C32" s="20">
        <v>46041</v>
      </c>
      <c r="D32" s="20">
        <v>46041</v>
      </c>
      <c r="E32" s="19">
        <v>46041</v>
      </c>
      <c r="J32" s="1">
        <v>5470</v>
      </c>
      <c r="K32" s="1" t="s">
        <v>22</v>
      </c>
      <c r="L32" s="1" t="s">
        <v>162</v>
      </c>
      <c r="M32" s="1">
        <v>14000</v>
      </c>
      <c r="O32" s="1" t="s">
        <v>129</v>
      </c>
      <c r="P32" s="1" t="s">
        <v>130</v>
      </c>
      <c r="R32" s="1">
        <v>14000</v>
      </c>
      <c r="S32" s="1">
        <v>1</v>
      </c>
      <c r="T32" s="1" t="s">
        <v>163</v>
      </c>
    </row>
    <row r="33" spans="1:21" ht="30" customHeight="1" x14ac:dyDescent="0.25">
      <c r="A33" s="1" t="s">
        <v>428</v>
      </c>
      <c r="B33" s="19">
        <v>46182</v>
      </c>
      <c r="C33" s="20">
        <v>46041</v>
      </c>
      <c r="D33" s="20">
        <v>46042</v>
      </c>
      <c r="E33" s="19">
        <v>46042</v>
      </c>
      <c r="J33" s="1">
        <v>5471</v>
      </c>
      <c r="K33" s="1" t="s">
        <v>21</v>
      </c>
      <c r="L33" s="1" t="s">
        <v>126</v>
      </c>
      <c r="M33" s="1">
        <v>25000</v>
      </c>
      <c r="O33" s="1" t="s">
        <v>127</v>
      </c>
      <c r="P33" s="1" t="s">
        <v>134</v>
      </c>
      <c r="T33" s="1" t="s">
        <v>164</v>
      </c>
      <c r="U33" s="1" t="s">
        <v>136</v>
      </c>
    </row>
    <row r="34" spans="1:21" ht="45" customHeight="1" x14ac:dyDescent="0.25">
      <c r="A34" s="1" t="s">
        <v>429</v>
      </c>
      <c r="B34" s="19">
        <v>46182</v>
      </c>
      <c r="C34" s="20">
        <v>46041</v>
      </c>
      <c r="D34" s="20">
        <v>46042</v>
      </c>
      <c r="E34" s="19">
        <v>46042</v>
      </c>
      <c r="J34" s="1">
        <v>5472</v>
      </c>
      <c r="K34" s="1" t="s">
        <v>21</v>
      </c>
      <c r="L34" s="1" t="s">
        <v>126</v>
      </c>
      <c r="M34" s="1">
        <v>23000</v>
      </c>
      <c r="O34" s="1" t="s">
        <v>127</v>
      </c>
      <c r="P34" s="1" t="s">
        <v>134</v>
      </c>
      <c r="T34" s="1" t="s">
        <v>165</v>
      </c>
      <c r="U34" s="1" t="s">
        <v>136</v>
      </c>
    </row>
    <row r="35" spans="1:21" ht="30" customHeight="1" x14ac:dyDescent="0.25">
      <c r="A35" s="1" t="s">
        <v>430</v>
      </c>
      <c r="B35" s="19">
        <v>46182</v>
      </c>
      <c r="C35" s="20">
        <v>46042</v>
      </c>
      <c r="D35" s="20">
        <v>46042</v>
      </c>
      <c r="E35" s="19">
        <v>46042</v>
      </c>
      <c r="F35" s="1" t="s">
        <v>166</v>
      </c>
      <c r="J35" s="1">
        <v>5473</v>
      </c>
      <c r="K35" s="1" t="s">
        <v>21</v>
      </c>
      <c r="L35" s="1" t="s">
        <v>126</v>
      </c>
      <c r="M35" s="1">
        <v>25000</v>
      </c>
      <c r="O35" s="1" t="s">
        <v>127</v>
      </c>
      <c r="P35" s="1" t="s">
        <v>134</v>
      </c>
      <c r="T35" s="1" t="s">
        <v>167</v>
      </c>
      <c r="U35" s="1" t="s">
        <v>136</v>
      </c>
    </row>
    <row r="36" spans="1:21" ht="60" customHeight="1" x14ac:dyDescent="0.25">
      <c r="A36" s="1" t="s">
        <v>431</v>
      </c>
      <c r="B36" s="19">
        <v>46182</v>
      </c>
      <c r="C36" s="20">
        <v>46034</v>
      </c>
      <c r="D36" s="20">
        <v>46043</v>
      </c>
      <c r="E36" s="19">
        <v>46043</v>
      </c>
      <c r="J36" s="1">
        <v>5474</v>
      </c>
      <c r="K36" s="1" t="s">
        <v>21</v>
      </c>
      <c r="L36" s="1" t="s">
        <v>126</v>
      </c>
      <c r="M36" s="1">
        <v>23000</v>
      </c>
      <c r="O36" s="1" t="s">
        <v>127</v>
      </c>
      <c r="P36" s="1" t="s">
        <v>134</v>
      </c>
      <c r="T36" s="1" t="s">
        <v>168</v>
      </c>
      <c r="U36" s="1" t="s">
        <v>136</v>
      </c>
    </row>
    <row r="37" spans="1:21" ht="60" customHeight="1" x14ac:dyDescent="0.25">
      <c r="A37" s="1" t="s">
        <v>432</v>
      </c>
      <c r="B37" s="19">
        <v>46182</v>
      </c>
      <c r="C37" s="20">
        <v>46027</v>
      </c>
      <c r="D37" s="20">
        <v>46043</v>
      </c>
      <c r="E37" s="19">
        <v>46043</v>
      </c>
      <c r="J37" s="1">
        <v>5475</v>
      </c>
      <c r="K37" s="1" t="s">
        <v>21</v>
      </c>
      <c r="L37" s="1" t="s">
        <v>126</v>
      </c>
      <c r="M37" s="1">
        <v>26000</v>
      </c>
      <c r="O37" s="1" t="s">
        <v>142</v>
      </c>
      <c r="P37" s="1" t="s">
        <v>134</v>
      </c>
      <c r="T37" s="1" t="s">
        <v>169</v>
      </c>
      <c r="U37" s="1" t="s">
        <v>136</v>
      </c>
    </row>
    <row r="38" spans="1:21" ht="30" customHeight="1" x14ac:dyDescent="0.25">
      <c r="A38" s="1" t="s">
        <v>433</v>
      </c>
      <c r="B38" s="19">
        <v>46182</v>
      </c>
      <c r="C38" s="20">
        <v>46044</v>
      </c>
      <c r="D38" s="20">
        <v>46045</v>
      </c>
      <c r="E38" s="19">
        <v>46045</v>
      </c>
      <c r="F38" s="1" t="s">
        <v>170</v>
      </c>
      <c r="J38" s="1">
        <v>5476</v>
      </c>
      <c r="K38" s="1" t="s">
        <v>21</v>
      </c>
      <c r="L38" s="1" t="s">
        <v>126</v>
      </c>
      <c r="M38" s="1">
        <v>19000</v>
      </c>
      <c r="O38" s="1" t="s">
        <v>127</v>
      </c>
      <c r="P38" s="1" t="s">
        <v>134</v>
      </c>
      <c r="T38" s="1" t="s">
        <v>171</v>
      </c>
      <c r="U38" s="1" t="s">
        <v>150</v>
      </c>
    </row>
    <row r="39" spans="1:21" ht="45" customHeight="1" x14ac:dyDescent="0.25">
      <c r="A39" s="1" t="s">
        <v>434</v>
      </c>
      <c r="B39" s="19">
        <v>46182</v>
      </c>
      <c r="C39" s="20">
        <v>46042</v>
      </c>
      <c r="D39" s="20">
        <v>46045</v>
      </c>
      <c r="E39" s="19">
        <v>46045</v>
      </c>
      <c r="F39" s="1" t="s">
        <v>172</v>
      </c>
      <c r="J39" s="1">
        <v>5477</v>
      </c>
      <c r="K39" s="1" t="s">
        <v>21</v>
      </c>
      <c r="L39" s="1" t="s">
        <v>126</v>
      </c>
      <c r="M39" s="1">
        <v>23000</v>
      </c>
      <c r="O39" s="1" t="s">
        <v>127</v>
      </c>
      <c r="P39" s="1" t="s">
        <v>134</v>
      </c>
      <c r="T39" s="1" t="s">
        <v>173</v>
      </c>
      <c r="U39" s="1" t="s">
        <v>136</v>
      </c>
    </row>
    <row r="40" spans="1:21" ht="30" customHeight="1" x14ac:dyDescent="0.25">
      <c r="A40" s="1" t="s">
        <v>435</v>
      </c>
      <c r="B40" s="19">
        <v>46182</v>
      </c>
      <c r="C40" s="20">
        <v>45680</v>
      </c>
      <c r="D40" s="20">
        <v>45680</v>
      </c>
      <c r="E40" s="19">
        <v>45680</v>
      </c>
      <c r="F40" s="1" t="s">
        <v>174</v>
      </c>
      <c r="J40" s="1">
        <v>5478</v>
      </c>
      <c r="K40" s="1" t="s">
        <v>22</v>
      </c>
      <c r="L40" s="1" t="s">
        <v>110</v>
      </c>
      <c r="M40" s="1">
        <v>30000</v>
      </c>
      <c r="O40" s="1" t="s">
        <v>142</v>
      </c>
      <c r="T40" s="1" t="s">
        <v>153</v>
      </c>
    </row>
    <row r="41" spans="1:21" ht="30" customHeight="1" x14ac:dyDescent="0.25">
      <c r="A41" s="1" t="s">
        <v>436</v>
      </c>
      <c r="B41" s="19">
        <v>46182</v>
      </c>
      <c r="C41" s="20">
        <v>46048</v>
      </c>
      <c r="D41" s="20">
        <v>46048</v>
      </c>
      <c r="E41" s="19">
        <v>46048</v>
      </c>
      <c r="J41" s="1">
        <v>5479</v>
      </c>
      <c r="K41" s="1" t="s">
        <v>22</v>
      </c>
      <c r="L41" s="1" t="s">
        <v>145</v>
      </c>
      <c r="M41" s="1">
        <v>25000</v>
      </c>
      <c r="O41" s="1" t="s">
        <v>142</v>
      </c>
    </row>
    <row r="42" spans="1:21" ht="30" customHeight="1" x14ac:dyDescent="0.25">
      <c r="A42" s="1" t="s">
        <v>437</v>
      </c>
      <c r="B42" s="19">
        <v>46182</v>
      </c>
      <c r="C42" s="20">
        <v>46048</v>
      </c>
      <c r="D42" s="20">
        <v>46048</v>
      </c>
      <c r="E42" s="19">
        <v>46048</v>
      </c>
      <c r="J42" s="1">
        <v>5480</v>
      </c>
      <c r="K42" s="1" t="s">
        <v>21</v>
      </c>
      <c r="L42" s="1" t="s">
        <v>126</v>
      </c>
      <c r="M42" s="1">
        <v>20000</v>
      </c>
      <c r="O42" s="1" t="s">
        <v>142</v>
      </c>
      <c r="T42" s="1" t="s">
        <v>175</v>
      </c>
    </row>
    <row r="43" spans="1:21" ht="30" customHeight="1" x14ac:dyDescent="0.25">
      <c r="A43" s="1" t="s">
        <v>438</v>
      </c>
      <c r="B43" s="19">
        <v>46182</v>
      </c>
      <c r="C43" s="20">
        <v>46049</v>
      </c>
      <c r="D43" s="20">
        <v>46049</v>
      </c>
      <c r="E43" s="19">
        <v>46049</v>
      </c>
      <c r="J43" s="1">
        <v>5481</v>
      </c>
      <c r="K43" s="1" t="s">
        <v>22</v>
      </c>
      <c r="L43" s="1" t="s">
        <v>126</v>
      </c>
      <c r="O43" s="1" t="s">
        <v>142</v>
      </c>
    </row>
    <row r="44" spans="1:21" ht="45" customHeight="1" x14ac:dyDescent="0.25">
      <c r="A44" s="1" t="s">
        <v>439</v>
      </c>
      <c r="B44" s="19">
        <v>46182</v>
      </c>
      <c r="C44" s="20">
        <v>46371</v>
      </c>
      <c r="D44" s="20">
        <v>46049</v>
      </c>
      <c r="E44" s="19">
        <v>46049</v>
      </c>
      <c r="J44" s="1">
        <v>5482</v>
      </c>
      <c r="K44" s="1" t="s">
        <v>21</v>
      </c>
      <c r="L44" s="1" t="s">
        <v>162</v>
      </c>
      <c r="M44" s="1">
        <v>20000</v>
      </c>
      <c r="O44" s="1" t="s">
        <v>129</v>
      </c>
      <c r="P44" s="1" t="s">
        <v>130</v>
      </c>
      <c r="Q44" s="20">
        <v>46120</v>
      </c>
      <c r="R44" s="1">
        <v>20000</v>
      </c>
      <c r="S44" s="1">
        <v>1</v>
      </c>
      <c r="T44" s="1" t="s">
        <v>176</v>
      </c>
    </row>
    <row r="45" spans="1:21" ht="30" customHeight="1" x14ac:dyDescent="0.25">
      <c r="A45" s="1" t="s">
        <v>440</v>
      </c>
      <c r="B45" s="19">
        <v>46182</v>
      </c>
      <c r="C45" s="20">
        <v>46049</v>
      </c>
      <c r="D45" s="20">
        <v>46049</v>
      </c>
      <c r="E45" s="19">
        <v>46049</v>
      </c>
      <c r="F45" s="1" t="s">
        <v>177</v>
      </c>
      <c r="J45" s="1">
        <v>5483</v>
      </c>
      <c r="K45" s="1" t="s">
        <v>22</v>
      </c>
      <c r="L45" s="1" t="s">
        <v>126</v>
      </c>
      <c r="M45" s="1">
        <v>31000</v>
      </c>
      <c r="O45" s="1" t="s">
        <v>142</v>
      </c>
      <c r="T45" s="1" t="s">
        <v>178</v>
      </c>
    </row>
    <row r="46" spans="1:21" ht="30" customHeight="1" x14ac:dyDescent="0.25">
      <c r="A46" s="1" t="s">
        <v>441</v>
      </c>
      <c r="B46" s="19">
        <v>46182</v>
      </c>
      <c r="C46" s="20">
        <v>46051</v>
      </c>
      <c r="D46" s="20">
        <v>46051</v>
      </c>
      <c r="E46" s="19">
        <v>46051</v>
      </c>
      <c r="J46" s="1">
        <v>5484</v>
      </c>
      <c r="K46" s="1" t="s">
        <v>22</v>
      </c>
      <c r="L46" s="1" t="s">
        <v>126</v>
      </c>
      <c r="M46" s="1">
        <v>25000</v>
      </c>
      <c r="O46" s="1" t="s">
        <v>142</v>
      </c>
      <c r="T46" s="1" t="s">
        <v>179</v>
      </c>
    </row>
    <row r="47" spans="1:21" ht="30" customHeight="1" x14ac:dyDescent="0.25">
      <c r="A47" s="1" t="s">
        <v>442</v>
      </c>
      <c r="B47" s="19">
        <v>46182</v>
      </c>
      <c r="C47" s="20">
        <v>46055</v>
      </c>
      <c r="D47" s="20">
        <v>46055</v>
      </c>
      <c r="E47" s="19">
        <v>46055</v>
      </c>
      <c r="J47" s="1">
        <v>5485</v>
      </c>
      <c r="K47" s="1" t="s">
        <v>22</v>
      </c>
      <c r="L47" s="1" t="s">
        <v>126</v>
      </c>
      <c r="M47" s="1">
        <v>18000</v>
      </c>
      <c r="O47" s="1" t="s">
        <v>142</v>
      </c>
      <c r="T47" s="1" t="s">
        <v>180</v>
      </c>
    </row>
    <row r="48" spans="1:21" ht="30" customHeight="1" x14ac:dyDescent="0.25">
      <c r="A48" s="1" t="s">
        <v>443</v>
      </c>
      <c r="B48" s="19">
        <v>46182</v>
      </c>
      <c r="C48" s="20">
        <v>46055</v>
      </c>
      <c r="D48" s="20">
        <v>46055</v>
      </c>
      <c r="E48" s="19">
        <v>46055</v>
      </c>
      <c r="J48" s="1">
        <v>5486</v>
      </c>
      <c r="K48" s="1" t="s">
        <v>22</v>
      </c>
      <c r="L48" s="1" t="s">
        <v>126</v>
      </c>
      <c r="M48" s="1">
        <v>25000</v>
      </c>
      <c r="O48" s="1" t="s">
        <v>155</v>
      </c>
      <c r="T48" s="1" t="s">
        <v>181</v>
      </c>
    </row>
    <row r="49" spans="1:21" ht="30" customHeight="1" x14ac:dyDescent="0.25">
      <c r="A49" s="1" t="s">
        <v>444</v>
      </c>
      <c r="B49" s="19">
        <v>46182</v>
      </c>
      <c r="C49" s="20">
        <v>46055</v>
      </c>
      <c r="D49" s="20">
        <v>46055</v>
      </c>
      <c r="E49" s="19">
        <v>46055</v>
      </c>
      <c r="J49" s="1">
        <v>5487</v>
      </c>
      <c r="K49" s="1" t="s">
        <v>22</v>
      </c>
      <c r="L49" s="1" t="s">
        <v>145</v>
      </c>
      <c r="M49" s="1">
        <v>16000</v>
      </c>
      <c r="O49" s="1" t="s">
        <v>142</v>
      </c>
      <c r="T49" s="1" t="s">
        <v>182</v>
      </c>
    </row>
    <row r="50" spans="1:21" ht="30" customHeight="1" x14ac:dyDescent="0.25">
      <c r="A50" s="1" t="s">
        <v>445</v>
      </c>
      <c r="B50" s="19">
        <v>46182</v>
      </c>
      <c r="C50" s="20">
        <v>46056</v>
      </c>
      <c r="D50" s="20">
        <v>46056</v>
      </c>
      <c r="E50" s="19">
        <v>46056</v>
      </c>
      <c r="J50" s="1">
        <v>5488</v>
      </c>
      <c r="K50" s="1" t="s">
        <v>22</v>
      </c>
      <c r="L50" s="1" t="s">
        <v>126</v>
      </c>
      <c r="M50" s="1">
        <v>32650</v>
      </c>
      <c r="O50" s="1" t="s">
        <v>142</v>
      </c>
      <c r="T50" s="1" t="s">
        <v>183</v>
      </c>
    </row>
    <row r="51" spans="1:21" ht="30" customHeight="1" x14ac:dyDescent="0.25">
      <c r="A51" s="1" t="s">
        <v>446</v>
      </c>
      <c r="B51" s="19">
        <v>46182</v>
      </c>
      <c r="C51" s="20">
        <v>46056</v>
      </c>
      <c r="D51" s="20">
        <v>46056</v>
      </c>
      <c r="E51" s="19">
        <v>46056</v>
      </c>
      <c r="J51" s="1">
        <v>5489</v>
      </c>
      <c r="K51" s="1" t="s">
        <v>21</v>
      </c>
      <c r="L51" s="1" t="s">
        <v>133</v>
      </c>
      <c r="M51" s="1">
        <v>25000</v>
      </c>
      <c r="O51" s="1" t="s">
        <v>127</v>
      </c>
      <c r="P51" s="1" t="s">
        <v>134</v>
      </c>
      <c r="T51" s="1" t="s">
        <v>184</v>
      </c>
      <c r="U51" s="1" t="s">
        <v>136</v>
      </c>
    </row>
    <row r="52" spans="1:21" ht="30" customHeight="1" x14ac:dyDescent="0.25">
      <c r="A52" s="1" t="s">
        <v>447</v>
      </c>
      <c r="B52" s="19">
        <v>46182</v>
      </c>
      <c r="C52" s="20">
        <v>46056</v>
      </c>
      <c r="D52" s="20">
        <v>46056</v>
      </c>
      <c r="E52" s="19">
        <v>46056</v>
      </c>
      <c r="J52" s="1">
        <v>5490</v>
      </c>
      <c r="K52" s="1" t="s">
        <v>21</v>
      </c>
      <c r="L52" s="1" t="s">
        <v>128</v>
      </c>
      <c r="M52" s="1">
        <v>24000</v>
      </c>
      <c r="O52" s="1" t="s">
        <v>127</v>
      </c>
      <c r="P52" s="1" t="s">
        <v>134</v>
      </c>
      <c r="T52" s="1" t="s">
        <v>185</v>
      </c>
      <c r="U52" s="1" t="s">
        <v>136</v>
      </c>
    </row>
    <row r="53" spans="1:21" ht="30" customHeight="1" x14ac:dyDescent="0.25">
      <c r="A53" s="1" t="s">
        <v>448</v>
      </c>
      <c r="B53" s="19">
        <v>46182</v>
      </c>
      <c r="C53" s="20">
        <v>46056</v>
      </c>
      <c r="D53" s="20">
        <v>46057</v>
      </c>
      <c r="E53" s="19">
        <v>46057</v>
      </c>
      <c r="J53" s="1">
        <v>5491</v>
      </c>
      <c r="K53" s="1" t="s">
        <v>21</v>
      </c>
      <c r="L53" s="1" t="s">
        <v>128</v>
      </c>
      <c r="M53" s="1">
        <v>22000</v>
      </c>
      <c r="O53" s="1" t="s">
        <v>142</v>
      </c>
      <c r="P53" s="1" t="s">
        <v>134</v>
      </c>
      <c r="T53" s="1" t="s">
        <v>186</v>
      </c>
      <c r="U53" s="1" t="s">
        <v>136</v>
      </c>
    </row>
    <row r="54" spans="1:21" ht="45" customHeight="1" x14ac:dyDescent="0.25">
      <c r="A54" s="1" t="s">
        <v>449</v>
      </c>
      <c r="B54" s="19">
        <v>46182</v>
      </c>
      <c r="C54" s="20">
        <v>46114</v>
      </c>
      <c r="D54" s="20">
        <v>46114</v>
      </c>
      <c r="E54" s="19">
        <v>46114</v>
      </c>
      <c r="F54" s="1" t="s">
        <v>187</v>
      </c>
      <c r="J54" s="1">
        <v>5492</v>
      </c>
      <c r="K54" s="1" t="s">
        <v>22</v>
      </c>
      <c r="L54" s="1" t="s">
        <v>162</v>
      </c>
      <c r="P54" s="1" t="s">
        <v>130</v>
      </c>
      <c r="S54" s="1">
        <v>1</v>
      </c>
    </row>
    <row r="55" spans="1:21" ht="30" customHeight="1" x14ac:dyDescent="0.25">
      <c r="A55" s="1" t="s">
        <v>450</v>
      </c>
      <c r="B55" s="19">
        <v>46182</v>
      </c>
      <c r="C55" s="20">
        <v>46058</v>
      </c>
      <c r="D55" s="1" t="s">
        <v>451</v>
      </c>
      <c r="E55" s="19">
        <v>46058</v>
      </c>
      <c r="F55" s="1" t="s">
        <v>188</v>
      </c>
      <c r="J55" s="1">
        <v>5493</v>
      </c>
      <c r="K55" s="1" t="s">
        <v>22</v>
      </c>
      <c r="L55" s="1" t="s">
        <v>110</v>
      </c>
      <c r="M55" s="1">
        <v>45687.12</v>
      </c>
      <c r="N55" s="1">
        <v>1</v>
      </c>
      <c r="O55" s="1" t="s">
        <v>147</v>
      </c>
      <c r="P55" s="1" t="s">
        <v>130</v>
      </c>
      <c r="Q55" s="20">
        <v>46131</v>
      </c>
      <c r="R55" s="1">
        <v>45687.12</v>
      </c>
      <c r="S55" s="1">
        <v>1</v>
      </c>
      <c r="T55" s="1" t="s">
        <v>189</v>
      </c>
    </row>
    <row r="56" spans="1:21" ht="60" customHeight="1" x14ac:dyDescent="0.25">
      <c r="A56" s="1" t="s">
        <v>452</v>
      </c>
      <c r="B56" s="19">
        <v>46182</v>
      </c>
      <c r="C56" s="20">
        <v>46058</v>
      </c>
      <c r="D56" s="20">
        <v>46058</v>
      </c>
      <c r="E56" s="19">
        <v>46058</v>
      </c>
      <c r="F56" s="1" t="s">
        <v>190</v>
      </c>
      <c r="J56" s="1">
        <v>5494</v>
      </c>
      <c r="K56" s="1" t="s">
        <v>21</v>
      </c>
      <c r="L56" s="1" t="s">
        <v>126</v>
      </c>
      <c r="M56" s="1">
        <v>15000</v>
      </c>
      <c r="O56" s="1" t="s">
        <v>127</v>
      </c>
      <c r="T56" s="1" t="s">
        <v>191</v>
      </c>
    </row>
    <row r="57" spans="1:21" ht="30" customHeight="1" x14ac:dyDescent="0.25">
      <c r="A57" s="1" t="s">
        <v>453</v>
      </c>
      <c r="B57" s="19">
        <v>46182</v>
      </c>
      <c r="C57" s="20">
        <v>46061</v>
      </c>
      <c r="D57" s="20">
        <v>46062</v>
      </c>
      <c r="E57" s="19">
        <v>46062</v>
      </c>
      <c r="J57" s="1">
        <v>5495</v>
      </c>
      <c r="K57" s="1" t="s">
        <v>21</v>
      </c>
      <c r="L57" s="1" t="s">
        <v>126</v>
      </c>
      <c r="M57" s="1">
        <v>23000</v>
      </c>
      <c r="O57" s="1" t="s">
        <v>127</v>
      </c>
      <c r="T57" s="1" t="s">
        <v>192</v>
      </c>
    </row>
    <row r="58" spans="1:21" ht="45" customHeight="1" x14ac:dyDescent="0.25">
      <c r="A58" s="1" t="s">
        <v>454</v>
      </c>
      <c r="B58" s="19">
        <v>46182</v>
      </c>
      <c r="C58" s="20">
        <v>46061</v>
      </c>
      <c r="D58" s="20">
        <v>46062</v>
      </c>
      <c r="E58" s="19">
        <v>46062</v>
      </c>
      <c r="J58" s="1">
        <v>5496</v>
      </c>
      <c r="K58" s="1" t="s">
        <v>21</v>
      </c>
      <c r="L58" s="1" t="s">
        <v>126</v>
      </c>
      <c r="M58" s="1">
        <v>16000</v>
      </c>
      <c r="O58" s="1" t="s">
        <v>127</v>
      </c>
      <c r="P58" s="1" t="s">
        <v>134</v>
      </c>
      <c r="T58" s="1" t="s">
        <v>193</v>
      </c>
      <c r="U58" s="1" t="s">
        <v>150</v>
      </c>
    </row>
    <row r="59" spans="1:21" ht="30" customHeight="1" x14ac:dyDescent="0.25">
      <c r="A59" s="1" t="s">
        <v>455</v>
      </c>
      <c r="B59" s="19">
        <v>46182</v>
      </c>
      <c r="C59" s="20">
        <v>46062</v>
      </c>
      <c r="D59" s="20">
        <v>46062</v>
      </c>
      <c r="E59" s="19">
        <v>46062</v>
      </c>
      <c r="J59" s="1">
        <v>5497</v>
      </c>
      <c r="K59" s="1" t="s">
        <v>22</v>
      </c>
      <c r="L59" s="1" t="s">
        <v>126</v>
      </c>
      <c r="M59" s="1">
        <v>15000</v>
      </c>
      <c r="O59" s="1" t="s">
        <v>142</v>
      </c>
    </row>
    <row r="60" spans="1:21" ht="45" customHeight="1" x14ac:dyDescent="0.25">
      <c r="A60" s="1" t="s">
        <v>456</v>
      </c>
      <c r="B60" s="19">
        <v>46182</v>
      </c>
      <c r="C60" s="20">
        <v>46062</v>
      </c>
      <c r="D60" s="20">
        <v>45697</v>
      </c>
      <c r="E60" s="19">
        <v>45697</v>
      </c>
      <c r="J60" s="1">
        <v>5498</v>
      </c>
      <c r="K60" s="1" t="s">
        <v>22</v>
      </c>
      <c r="L60" s="1" t="s">
        <v>126</v>
      </c>
      <c r="M60" s="1">
        <v>28000</v>
      </c>
      <c r="O60" s="1" t="s">
        <v>142</v>
      </c>
      <c r="T60" s="1" t="s">
        <v>194</v>
      </c>
    </row>
    <row r="61" spans="1:21" ht="30" customHeight="1" x14ac:dyDescent="0.25">
      <c r="A61" s="1" t="s">
        <v>457</v>
      </c>
      <c r="B61" s="19">
        <v>46182</v>
      </c>
      <c r="C61" s="20">
        <v>46063</v>
      </c>
      <c r="D61" s="20">
        <v>46063</v>
      </c>
      <c r="E61" s="19">
        <v>46063</v>
      </c>
      <c r="J61" s="1">
        <v>5499</v>
      </c>
      <c r="K61" s="1" t="s">
        <v>22</v>
      </c>
      <c r="L61" s="1" t="s">
        <v>126</v>
      </c>
      <c r="M61" s="1">
        <v>21900</v>
      </c>
      <c r="O61" s="1" t="s">
        <v>155</v>
      </c>
      <c r="T61" s="1" t="s">
        <v>195</v>
      </c>
    </row>
    <row r="62" spans="1:21" ht="30" customHeight="1" x14ac:dyDescent="0.25">
      <c r="A62" s="1" t="s">
        <v>458</v>
      </c>
      <c r="B62" s="19">
        <v>46182</v>
      </c>
      <c r="C62" s="20">
        <v>46064</v>
      </c>
      <c r="D62" s="20">
        <v>46064</v>
      </c>
      <c r="E62" s="19">
        <v>46064</v>
      </c>
      <c r="J62" s="1">
        <v>5500</v>
      </c>
      <c r="K62" s="1" t="s">
        <v>22</v>
      </c>
      <c r="L62" s="1" t="s">
        <v>126</v>
      </c>
      <c r="M62" s="1">
        <v>25800</v>
      </c>
      <c r="N62" s="1">
        <v>0.5</v>
      </c>
      <c r="O62" s="1" t="s">
        <v>142</v>
      </c>
      <c r="T62" s="1" t="s">
        <v>196</v>
      </c>
    </row>
    <row r="63" spans="1:21" ht="30" customHeight="1" x14ac:dyDescent="0.25">
      <c r="A63" s="1" t="s">
        <v>459</v>
      </c>
      <c r="B63" s="19">
        <v>46182</v>
      </c>
      <c r="C63" s="20">
        <v>46065</v>
      </c>
      <c r="D63" s="20">
        <v>46065</v>
      </c>
      <c r="E63" s="19">
        <v>46065</v>
      </c>
      <c r="J63" s="1">
        <v>5501</v>
      </c>
      <c r="K63" s="1" t="s">
        <v>21</v>
      </c>
      <c r="L63" s="1" t="s">
        <v>126</v>
      </c>
      <c r="M63" s="1">
        <v>23000</v>
      </c>
      <c r="O63" s="1" t="s">
        <v>127</v>
      </c>
      <c r="P63" s="1" t="s">
        <v>134</v>
      </c>
      <c r="T63" s="1" t="s">
        <v>197</v>
      </c>
      <c r="U63" s="1" t="s">
        <v>198</v>
      </c>
    </row>
    <row r="64" spans="1:21" ht="30" customHeight="1" x14ac:dyDescent="0.25">
      <c r="A64" s="1" t="s">
        <v>460</v>
      </c>
      <c r="B64" s="19">
        <v>46182</v>
      </c>
      <c r="C64" s="20">
        <v>46065</v>
      </c>
      <c r="D64" s="20">
        <v>46065</v>
      </c>
      <c r="E64" s="19">
        <v>46065</v>
      </c>
      <c r="J64" s="1">
        <v>5502</v>
      </c>
      <c r="L64" s="1" t="s">
        <v>126</v>
      </c>
    </row>
    <row r="65" spans="1:21" ht="30" customHeight="1" x14ac:dyDescent="0.25">
      <c r="A65" s="1" t="s">
        <v>461</v>
      </c>
      <c r="B65" s="19">
        <v>46182</v>
      </c>
      <c r="C65" s="20">
        <v>46066</v>
      </c>
      <c r="D65" s="20">
        <v>46066</v>
      </c>
      <c r="E65" s="19">
        <v>46066</v>
      </c>
      <c r="J65" s="1">
        <v>5503</v>
      </c>
      <c r="K65" s="1" t="s">
        <v>21</v>
      </c>
      <c r="L65" s="1" t="s">
        <v>126</v>
      </c>
      <c r="M65" s="1">
        <v>11000</v>
      </c>
      <c r="O65" s="1" t="s">
        <v>155</v>
      </c>
      <c r="P65" s="1" t="s">
        <v>134</v>
      </c>
      <c r="T65" s="1" t="s">
        <v>199</v>
      </c>
    </row>
    <row r="66" spans="1:21" ht="30" customHeight="1" x14ac:dyDescent="0.25">
      <c r="A66" s="1" t="s">
        <v>462</v>
      </c>
      <c r="B66" s="19">
        <v>46182</v>
      </c>
      <c r="C66" s="20">
        <v>46065</v>
      </c>
      <c r="D66" s="20">
        <v>46066</v>
      </c>
      <c r="E66" s="19">
        <v>46066</v>
      </c>
      <c r="F66" s="1" t="s">
        <v>200</v>
      </c>
      <c r="J66" s="1">
        <v>5504</v>
      </c>
      <c r="K66" s="1" t="s">
        <v>21</v>
      </c>
      <c r="L66" s="1" t="s">
        <v>126</v>
      </c>
      <c r="M66" s="1">
        <v>40000</v>
      </c>
      <c r="O66" s="1" t="s">
        <v>129</v>
      </c>
      <c r="P66" s="1" t="s">
        <v>130</v>
      </c>
      <c r="R66" s="1">
        <v>40000</v>
      </c>
      <c r="S66" s="1">
        <v>1</v>
      </c>
      <c r="T66" s="1" t="s">
        <v>201</v>
      </c>
    </row>
    <row r="67" spans="1:21" ht="30" customHeight="1" x14ac:dyDescent="0.25">
      <c r="A67" s="1" t="s">
        <v>463</v>
      </c>
      <c r="B67" s="19">
        <v>46182</v>
      </c>
      <c r="C67" s="20">
        <v>46066</v>
      </c>
      <c r="D67" s="20">
        <v>46066</v>
      </c>
      <c r="E67" s="19">
        <v>46066</v>
      </c>
      <c r="F67" s="1" t="s">
        <v>202</v>
      </c>
      <c r="J67" s="1">
        <v>5505</v>
      </c>
      <c r="K67" s="1" t="s">
        <v>21</v>
      </c>
      <c r="L67" s="1" t="s">
        <v>126</v>
      </c>
      <c r="M67" s="1">
        <v>23000</v>
      </c>
      <c r="O67" s="1" t="s">
        <v>127</v>
      </c>
      <c r="T67" s="1" t="s">
        <v>203</v>
      </c>
    </row>
    <row r="68" spans="1:21" ht="30" customHeight="1" x14ac:dyDescent="0.25">
      <c r="A68" s="1" t="s">
        <v>464</v>
      </c>
      <c r="B68" s="19">
        <v>46182</v>
      </c>
      <c r="C68" s="20">
        <v>46066</v>
      </c>
      <c r="D68" s="20">
        <v>46066</v>
      </c>
      <c r="E68" s="19">
        <v>46066</v>
      </c>
      <c r="J68" s="1">
        <v>5506</v>
      </c>
      <c r="K68" s="1" t="s">
        <v>22</v>
      </c>
      <c r="L68" s="1" t="s">
        <v>110</v>
      </c>
      <c r="M68" s="1">
        <v>16000</v>
      </c>
      <c r="O68" s="1" t="s">
        <v>142</v>
      </c>
      <c r="T68" s="1" t="s">
        <v>204</v>
      </c>
    </row>
    <row r="69" spans="1:21" ht="30" customHeight="1" x14ac:dyDescent="0.25">
      <c r="A69" s="1" t="s">
        <v>465</v>
      </c>
      <c r="B69" s="19">
        <v>46182</v>
      </c>
      <c r="C69" s="20">
        <v>46068</v>
      </c>
      <c r="D69" s="20">
        <v>46069</v>
      </c>
      <c r="E69" s="19">
        <v>46069</v>
      </c>
      <c r="J69" s="1">
        <v>5507</v>
      </c>
      <c r="K69" s="1" t="s">
        <v>21</v>
      </c>
      <c r="L69" s="1" t="s">
        <v>126</v>
      </c>
      <c r="M69" s="1">
        <v>11000</v>
      </c>
      <c r="O69" s="1" t="s">
        <v>127</v>
      </c>
      <c r="T69" s="1" t="s">
        <v>205</v>
      </c>
    </row>
    <row r="70" spans="1:21" ht="30" customHeight="1" x14ac:dyDescent="0.25">
      <c r="A70" s="1" t="s">
        <v>466</v>
      </c>
      <c r="B70" s="19">
        <v>46182</v>
      </c>
      <c r="C70" s="20">
        <v>46068</v>
      </c>
      <c r="D70" s="20">
        <v>46069</v>
      </c>
      <c r="E70" s="19">
        <v>46069</v>
      </c>
      <c r="J70" s="1">
        <v>5508</v>
      </c>
      <c r="K70" s="1" t="s">
        <v>21</v>
      </c>
      <c r="L70" s="1" t="s">
        <v>126</v>
      </c>
      <c r="M70" s="1">
        <v>11000</v>
      </c>
      <c r="N70" s="1">
        <v>0.1</v>
      </c>
      <c r="O70" s="1" t="s">
        <v>146</v>
      </c>
      <c r="P70" s="1" t="s">
        <v>134</v>
      </c>
    </row>
    <row r="71" spans="1:21" ht="30" customHeight="1" x14ac:dyDescent="0.25">
      <c r="A71" s="1" t="s">
        <v>467</v>
      </c>
      <c r="B71" s="19">
        <v>46182</v>
      </c>
      <c r="C71" s="20">
        <v>46068</v>
      </c>
      <c r="D71" s="20">
        <v>46069</v>
      </c>
      <c r="E71" s="19">
        <v>46069</v>
      </c>
      <c r="J71" s="1">
        <v>5509</v>
      </c>
      <c r="K71" s="1" t="s">
        <v>21</v>
      </c>
      <c r="L71" s="1" t="s">
        <v>126</v>
      </c>
      <c r="M71" s="1">
        <v>24000</v>
      </c>
      <c r="O71" s="1" t="s">
        <v>127</v>
      </c>
      <c r="T71" s="1" t="s">
        <v>206</v>
      </c>
    </row>
    <row r="72" spans="1:21" ht="30" customHeight="1" x14ac:dyDescent="0.25">
      <c r="A72" s="1" t="s">
        <v>468</v>
      </c>
      <c r="B72" s="19">
        <v>46182</v>
      </c>
      <c r="C72" s="20">
        <v>46063</v>
      </c>
      <c r="D72" s="20">
        <v>46069</v>
      </c>
      <c r="E72" s="19">
        <v>46069</v>
      </c>
      <c r="J72" s="1">
        <v>5510</v>
      </c>
      <c r="K72" s="1" t="s">
        <v>21</v>
      </c>
      <c r="L72" s="1" t="s">
        <v>126</v>
      </c>
      <c r="M72" s="1">
        <v>22000</v>
      </c>
      <c r="O72" s="1" t="s">
        <v>142</v>
      </c>
      <c r="P72" s="1" t="s">
        <v>134</v>
      </c>
      <c r="T72" s="1" t="s">
        <v>207</v>
      </c>
      <c r="U72" s="1" t="s">
        <v>208</v>
      </c>
    </row>
    <row r="73" spans="1:21" ht="45" customHeight="1" x14ac:dyDescent="0.25">
      <c r="A73" s="1" t="s">
        <v>469</v>
      </c>
      <c r="B73" s="19">
        <v>46182</v>
      </c>
      <c r="C73" s="20">
        <v>46069</v>
      </c>
      <c r="D73" s="20">
        <v>46069</v>
      </c>
      <c r="E73" s="19">
        <v>46069</v>
      </c>
      <c r="J73" s="1">
        <v>5511</v>
      </c>
      <c r="K73" s="1" t="s">
        <v>22</v>
      </c>
      <c r="L73" s="1" t="s">
        <v>162</v>
      </c>
    </row>
    <row r="74" spans="1:21" ht="60" customHeight="1" x14ac:dyDescent="0.25">
      <c r="A74" s="1" t="s">
        <v>470</v>
      </c>
      <c r="B74" s="19">
        <v>46182</v>
      </c>
      <c r="C74" s="20">
        <v>46069</v>
      </c>
      <c r="D74" s="20">
        <v>46070</v>
      </c>
      <c r="E74" s="19">
        <v>46070</v>
      </c>
      <c r="J74" s="1">
        <v>5512</v>
      </c>
      <c r="K74" s="1" t="s">
        <v>21</v>
      </c>
      <c r="L74" s="1" t="s">
        <v>126</v>
      </c>
      <c r="M74" s="1">
        <v>23000</v>
      </c>
      <c r="O74" s="1" t="s">
        <v>127</v>
      </c>
      <c r="T74" s="1" t="s">
        <v>209</v>
      </c>
    </row>
    <row r="75" spans="1:21" ht="30" customHeight="1" x14ac:dyDescent="0.25">
      <c r="A75" s="1" t="s">
        <v>471</v>
      </c>
      <c r="B75" s="19">
        <v>46182</v>
      </c>
      <c r="C75" s="20">
        <v>46069</v>
      </c>
      <c r="D75" s="20">
        <v>46070</v>
      </c>
      <c r="E75" s="19">
        <v>46070</v>
      </c>
      <c r="J75" s="1">
        <v>5513</v>
      </c>
      <c r="K75" s="1" t="s">
        <v>21</v>
      </c>
      <c r="L75" s="1" t="s">
        <v>126</v>
      </c>
      <c r="M75" s="1">
        <v>23000</v>
      </c>
      <c r="O75" s="1" t="s">
        <v>127</v>
      </c>
      <c r="T75" s="1" t="s">
        <v>210</v>
      </c>
    </row>
    <row r="76" spans="1:21" ht="30" customHeight="1" x14ac:dyDescent="0.25">
      <c r="A76" s="1" t="s">
        <v>472</v>
      </c>
      <c r="B76" s="19">
        <v>46182</v>
      </c>
      <c r="C76" s="20">
        <v>46070</v>
      </c>
      <c r="D76" s="20">
        <v>46070</v>
      </c>
      <c r="E76" s="19">
        <v>46070</v>
      </c>
      <c r="J76" s="1">
        <v>5514</v>
      </c>
      <c r="K76" s="1" t="s">
        <v>21</v>
      </c>
      <c r="L76" s="1" t="s">
        <v>126</v>
      </c>
      <c r="M76" s="1">
        <v>21000</v>
      </c>
      <c r="O76" s="1" t="s">
        <v>127</v>
      </c>
    </row>
    <row r="77" spans="1:21" ht="30" customHeight="1" x14ac:dyDescent="0.25">
      <c r="A77" s="1" t="s">
        <v>473</v>
      </c>
      <c r="B77" s="19">
        <v>46182</v>
      </c>
      <c r="C77" s="20">
        <v>46070</v>
      </c>
      <c r="D77" s="20">
        <v>46070</v>
      </c>
      <c r="E77" s="19">
        <v>46070</v>
      </c>
      <c r="J77" s="1">
        <v>5515</v>
      </c>
      <c r="K77" s="1" t="s">
        <v>21</v>
      </c>
      <c r="L77" s="1" t="s">
        <v>126</v>
      </c>
      <c r="M77" s="1">
        <v>25000</v>
      </c>
      <c r="O77" s="1" t="s">
        <v>146</v>
      </c>
      <c r="P77" s="1" t="s">
        <v>134</v>
      </c>
      <c r="T77" s="1" t="s">
        <v>211</v>
      </c>
      <c r="U77" s="1" t="s">
        <v>136</v>
      </c>
    </row>
    <row r="78" spans="1:21" ht="30" customHeight="1" x14ac:dyDescent="0.25">
      <c r="A78" s="1" t="s">
        <v>474</v>
      </c>
      <c r="B78" s="19">
        <v>46182</v>
      </c>
      <c r="C78" s="20">
        <v>46070</v>
      </c>
      <c r="D78" s="20">
        <v>46071</v>
      </c>
      <c r="E78" s="19">
        <v>46071</v>
      </c>
      <c r="J78" s="1">
        <v>5516</v>
      </c>
      <c r="K78" s="1" t="s">
        <v>21</v>
      </c>
      <c r="L78" s="1" t="s">
        <v>126</v>
      </c>
      <c r="M78" s="1">
        <v>18000</v>
      </c>
      <c r="O78" s="1" t="s">
        <v>127</v>
      </c>
      <c r="T78" s="1" t="s">
        <v>212</v>
      </c>
    </row>
    <row r="79" spans="1:21" ht="30" customHeight="1" x14ac:dyDescent="0.25">
      <c r="A79" s="1" t="s">
        <v>475</v>
      </c>
      <c r="B79" s="19">
        <v>46182</v>
      </c>
      <c r="C79" s="20">
        <v>46068</v>
      </c>
      <c r="D79" s="20">
        <v>46071</v>
      </c>
      <c r="E79" s="19">
        <v>46071</v>
      </c>
      <c r="J79" s="1">
        <v>5517</v>
      </c>
      <c r="K79" s="1" t="s">
        <v>22</v>
      </c>
      <c r="L79" s="1" t="s">
        <v>126</v>
      </c>
      <c r="N79" s="1">
        <v>1</v>
      </c>
      <c r="O79" s="1" t="s">
        <v>142</v>
      </c>
      <c r="P79" s="1" t="s">
        <v>130</v>
      </c>
      <c r="S79" s="1">
        <v>1</v>
      </c>
      <c r="T79" s="1" t="s">
        <v>213</v>
      </c>
    </row>
    <row r="80" spans="1:21" ht="30" customHeight="1" x14ac:dyDescent="0.25">
      <c r="A80" s="1" t="s">
        <v>476</v>
      </c>
      <c r="B80" s="19">
        <v>46182</v>
      </c>
      <c r="C80" s="20">
        <v>46076</v>
      </c>
      <c r="D80" s="20">
        <v>46076</v>
      </c>
      <c r="E80" s="19">
        <v>46076</v>
      </c>
      <c r="F80" s="1" t="s">
        <v>214</v>
      </c>
      <c r="J80" s="1">
        <v>5518</v>
      </c>
      <c r="K80" s="1" t="s">
        <v>22</v>
      </c>
      <c r="L80" s="1" t="s">
        <v>126</v>
      </c>
      <c r="M80" s="1">
        <v>31000</v>
      </c>
      <c r="N80" s="1">
        <v>1</v>
      </c>
      <c r="O80" s="1" t="s">
        <v>142</v>
      </c>
      <c r="P80" s="1" t="s">
        <v>130</v>
      </c>
      <c r="R80" s="1">
        <v>31000</v>
      </c>
      <c r="S80" s="1">
        <v>1</v>
      </c>
      <c r="T80" s="1" t="s">
        <v>215</v>
      </c>
    </row>
    <row r="81" spans="1:20" ht="30" customHeight="1" x14ac:dyDescent="0.25">
      <c r="A81" s="1" t="s">
        <v>477</v>
      </c>
      <c r="B81" s="19">
        <v>46182</v>
      </c>
      <c r="C81" s="20">
        <v>46076</v>
      </c>
      <c r="D81" s="20">
        <v>46076</v>
      </c>
      <c r="E81" s="19">
        <v>46076</v>
      </c>
      <c r="J81" s="1">
        <v>5519</v>
      </c>
      <c r="K81" s="1" t="s">
        <v>22</v>
      </c>
      <c r="L81" s="1" t="s">
        <v>126</v>
      </c>
      <c r="M81" s="1">
        <v>20000</v>
      </c>
      <c r="O81" s="1" t="s">
        <v>142</v>
      </c>
      <c r="T81" s="1" t="s">
        <v>216</v>
      </c>
    </row>
    <row r="82" spans="1:20" ht="30" customHeight="1" x14ac:dyDescent="0.25">
      <c r="A82" s="1" t="s">
        <v>478</v>
      </c>
      <c r="B82" s="19">
        <v>46182</v>
      </c>
      <c r="C82" s="20">
        <v>46076</v>
      </c>
      <c r="D82" s="20">
        <v>46077</v>
      </c>
      <c r="E82" s="19">
        <v>46077</v>
      </c>
      <c r="J82" s="1">
        <v>5520</v>
      </c>
      <c r="K82" s="1" t="s">
        <v>21</v>
      </c>
      <c r="L82" s="1" t="s">
        <v>110</v>
      </c>
      <c r="M82" s="1">
        <v>20000</v>
      </c>
      <c r="O82" s="1" t="s">
        <v>142</v>
      </c>
      <c r="T82" s="1" t="s">
        <v>217</v>
      </c>
    </row>
    <row r="83" spans="1:20" ht="30" customHeight="1" x14ac:dyDescent="0.25">
      <c r="A83" s="1" t="s">
        <v>479</v>
      </c>
      <c r="B83" s="19">
        <v>46182</v>
      </c>
      <c r="C83" s="20">
        <v>46078</v>
      </c>
      <c r="D83" s="20">
        <v>46078</v>
      </c>
      <c r="E83" s="19">
        <v>46078</v>
      </c>
      <c r="F83" s="1" t="s">
        <v>218</v>
      </c>
      <c r="J83" s="1">
        <v>5521</v>
      </c>
      <c r="K83" s="1" t="s">
        <v>22</v>
      </c>
      <c r="L83" s="1" t="s">
        <v>126</v>
      </c>
      <c r="O83" s="1" t="s">
        <v>142</v>
      </c>
    </row>
    <row r="84" spans="1:20" ht="30" customHeight="1" x14ac:dyDescent="0.25">
      <c r="A84" s="1" t="s">
        <v>480</v>
      </c>
      <c r="B84" s="19">
        <v>46182</v>
      </c>
      <c r="C84" s="20">
        <v>46078</v>
      </c>
      <c r="D84" s="20">
        <v>46078</v>
      </c>
      <c r="E84" s="19">
        <v>46078</v>
      </c>
      <c r="J84" s="1">
        <v>5522</v>
      </c>
      <c r="K84" s="1" t="s">
        <v>21</v>
      </c>
      <c r="L84" s="1" t="s">
        <v>126</v>
      </c>
      <c r="M84" s="1">
        <v>19500</v>
      </c>
      <c r="O84" s="1" t="s">
        <v>142</v>
      </c>
      <c r="T84" s="1" t="s">
        <v>219</v>
      </c>
    </row>
    <row r="85" spans="1:20" ht="30" customHeight="1" x14ac:dyDescent="0.25">
      <c r="A85" s="1" t="s">
        <v>481</v>
      </c>
      <c r="B85" s="19">
        <v>46182</v>
      </c>
      <c r="C85" s="20">
        <v>46078</v>
      </c>
      <c r="D85" s="20">
        <v>46078</v>
      </c>
      <c r="E85" s="19">
        <v>46078</v>
      </c>
      <c r="J85" s="1">
        <v>5523</v>
      </c>
      <c r="K85" s="1" t="s">
        <v>22</v>
      </c>
      <c r="L85" s="1" t="s">
        <v>126</v>
      </c>
      <c r="M85" s="1">
        <v>30024</v>
      </c>
      <c r="N85" s="1">
        <v>1</v>
      </c>
      <c r="O85" s="1" t="s">
        <v>147</v>
      </c>
      <c r="P85" s="1" t="s">
        <v>130</v>
      </c>
      <c r="Q85" s="20">
        <v>46156</v>
      </c>
      <c r="R85" s="1">
        <v>30024</v>
      </c>
      <c r="S85" s="1">
        <v>1</v>
      </c>
      <c r="T85" s="1" t="s">
        <v>220</v>
      </c>
    </row>
    <row r="86" spans="1:20" ht="30" customHeight="1" x14ac:dyDescent="0.25">
      <c r="A86" s="1" t="s">
        <v>482</v>
      </c>
      <c r="B86" s="19">
        <v>46182</v>
      </c>
      <c r="C86" s="20">
        <v>46078</v>
      </c>
      <c r="D86" s="20">
        <v>46078</v>
      </c>
      <c r="E86" s="19">
        <v>46078</v>
      </c>
      <c r="J86" s="1">
        <v>5524</v>
      </c>
      <c r="K86" s="1" t="s">
        <v>21</v>
      </c>
      <c r="L86" s="1" t="s">
        <v>126</v>
      </c>
      <c r="M86" s="1">
        <v>21000</v>
      </c>
      <c r="O86" s="1" t="s">
        <v>142</v>
      </c>
      <c r="T86" s="1" t="s">
        <v>221</v>
      </c>
    </row>
    <row r="87" spans="1:20" ht="30" customHeight="1" x14ac:dyDescent="0.25">
      <c r="A87" s="1" t="s">
        <v>483</v>
      </c>
      <c r="B87" s="19">
        <v>46182</v>
      </c>
      <c r="C87" s="20">
        <v>46078</v>
      </c>
      <c r="D87" s="20">
        <v>46078</v>
      </c>
      <c r="E87" s="19">
        <v>46078</v>
      </c>
      <c r="J87" s="1">
        <v>5525</v>
      </c>
      <c r="K87" s="1" t="s">
        <v>22</v>
      </c>
      <c r="L87" s="1" t="s">
        <v>126</v>
      </c>
      <c r="M87" s="1">
        <v>37098</v>
      </c>
      <c r="O87" s="1" t="s">
        <v>142</v>
      </c>
      <c r="T87" s="1" t="s">
        <v>222</v>
      </c>
    </row>
    <row r="88" spans="1:20" ht="30" customHeight="1" x14ac:dyDescent="0.25">
      <c r="A88" s="1" t="s">
        <v>484</v>
      </c>
      <c r="B88" s="19">
        <v>46182</v>
      </c>
      <c r="C88" s="20">
        <v>46078</v>
      </c>
      <c r="D88" s="20">
        <v>46078</v>
      </c>
      <c r="E88" s="19">
        <v>46078</v>
      </c>
      <c r="F88" s="1" t="s">
        <v>223</v>
      </c>
      <c r="J88" s="1">
        <v>5526</v>
      </c>
      <c r="K88" s="1" t="s">
        <v>22</v>
      </c>
      <c r="L88" s="1" t="s">
        <v>126</v>
      </c>
      <c r="M88" s="1">
        <v>30000</v>
      </c>
      <c r="O88" s="1" t="s">
        <v>142</v>
      </c>
      <c r="Q88" s="1" t="s">
        <v>224</v>
      </c>
      <c r="T88" s="1" t="s">
        <v>225</v>
      </c>
    </row>
    <row r="89" spans="1:20" ht="45" customHeight="1" x14ac:dyDescent="0.25">
      <c r="A89" s="1" t="s">
        <v>485</v>
      </c>
      <c r="B89" s="19">
        <v>46182</v>
      </c>
      <c r="C89" s="20">
        <v>46078</v>
      </c>
      <c r="D89" s="20">
        <v>46078</v>
      </c>
      <c r="E89" s="19">
        <v>46078</v>
      </c>
      <c r="J89" s="1">
        <v>5527</v>
      </c>
      <c r="K89" s="1" t="s">
        <v>21</v>
      </c>
      <c r="L89" s="1" t="s">
        <v>126</v>
      </c>
      <c r="M89" s="1">
        <v>23000</v>
      </c>
      <c r="O89" s="1" t="s">
        <v>142</v>
      </c>
      <c r="P89" s="1" t="s">
        <v>134</v>
      </c>
      <c r="T89" s="1" t="s">
        <v>226</v>
      </c>
    </row>
    <row r="90" spans="1:20" ht="30" customHeight="1" x14ac:dyDescent="0.25">
      <c r="A90" s="1" t="s">
        <v>486</v>
      </c>
      <c r="B90" s="19">
        <v>46182</v>
      </c>
      <c r="C90" s="20">
        <v>46079</v>
      </c>
      <c r="D90" s="20">
        <v>46079</v>
      </c>
      <c r="E90" s="19">
        <v>46079</v>
      </c>
      <c r="J90" s="1">
        <v>5528</v>
      </c>
      <c r="K90" s="1" t="s">
        <v>21</v>
      </c>
      <c r="L90" s="1" t="s">
        <v>126</v>
      </c>
      <c r="M90" s="1">
        <v>15000</v>
      </c>
      <c r="O90" s="1" t="s">
        <v>142</v>
      </c>
      <c r="T90" s="1" t="s">
        <v>166</v>
      </c>
    </row>
    <row r="91" spans="1:20" ht="30" customHeight="1" x14ac:dyDescent="0.25">
      <c r="A91" s="1" t="s">
        <v>487</v>
      </c>
      <c r="B91" s="19">
        <v>46182</v>
      </c>
      <c r="C91" s="20">
        <v>46079</v>
      </c>
      <c r="D91" s="20">
        <v>46079</v>
      </c>
      <c r="E91" s="19">
        <v>46079</v>
      </c>
      <c r="J91" s="1">
        <v>5529</v>
      </c>
      <c r="K91" s="1" t="s">
        <v>21</v>
      </c>
      <c r="L91" s="1" t="s">
        <v>126</v>
      </c>
      <c r="M91" s="1">
        <v>23000</v>
      </c>
      <c r="O91" s="1" t="s">
        <v>142</v>
      </c>
      <c r="T91" s="1" t="s">
        <v>143</v>
      </c>
    </row>
    <row r="92" spans="1:20" ht="30" customHeight="1" x14ac:dyDescent="0.25">
      <c r="A92" s="1" t="s">
        <v>488</v>
      </c>
      <c r="B92" s="19">
        <v>46182</v>
      </c>
      <c r="C92" s="20">
        <v>46079</v>
      </c>
      <c r="D92" s="20">
        <v>46079</v>
      </c>
      <c r="E92" s="19">
        <v>46079</v>
      </c>
      <c r="J92" s="1">
        <v>5530</v>
      </c>
      <c r="K92" s="1" t="s">
        <v>21</v>
      </c>
      <c r="L92" s="1" t="s">
        <v>126</v>
      </c>
      <c r="M92" s="1">
        <v>24000</v>
      </c>
      <c r="O92" s="1" t="s">
        <v>142</v>
      </c>
      <c r="T92" s="1" t="s">
        <v>227</v>
      </c>
    </row>
    <row r="93" spans="1:20" ht="30" customHeight="1" x14ac:dyDescent="0.25">
      <c r="A93" s="1" t="s">
        <v>489</v>
      </c>
      <c r="B93" s="19">
        <v>46182</v>
      </c>
      <c r="C93" s="20">
        <v>46078</v>
      </c>
      <c r="D93" s="20">
        <v>45713</v>
      </c>
      <c r="E93" s="19">
        <v>45713</v>
      </c>
      <c r="F93" s="1" t="s">
        <v>228</v>
      </c>
      <c r="J93" s="1">
        <v>5531</v>
      </c>
      <c r="K93" s="1" t="s">
        <v>21</v>
      </c>
      <c r="L93" s="1" t="s">
        <v>126</v>
      </c>
      <c r="M93" s="1">
        <v>20000</v>
      </c>
      <c r="O93" s="1" t="s">
        <v>142</v>
      </c>
      <c r="T93" s="1" t="s">
        <v>229</v>
      </c>
    </row>
    <row r="94" spans="1:20" ht="30" customHeight="1" x14ac:dyDescent="0.25">
      <c r="A94" s="1" t="s">
        <v>490</v>
      </c>
      <c r="B94" s="19">
        <v>46182</v>
      </c>
      <c r="C94" s="20">
        <v>46079</v>
      </c>
      <c r="D94" s="20">
        <v>46079</v>
      </c>
      <c r="E94" s="19">
        <v>46079</v>
      </c>
      <c r="J94" s="1">
        <v>5532</v>
      </c>
      <c r="K94" s="1" t="s">
        <v>21</v>
      </c>
      <c r="L94" s="1" t="s">
        <v>126</v>
      </c>
      <c r="M94" s="1">
        <v>32000</v>
      </c>
      <c r="O94" s="1" t="s">
        <v>142</v>
      </c>
      <c r="T94" s="1" t="s">
        <v>230</v>
      </c>
    </row>
    <row r="95" spans="1:20" ht="30" customHeight="1" x14ac:dyDescent="0.25">
      <c r="A95" s="1" t="s">
        <v>491</v>
      </c>
      <c r="B95" s="19">
        <v>46182</v>
      </c>
      <c r="C95" s="20">
        <v>46079</v>
      </c>
      <c r="D95" s="20">
        <v>46079</v>
      </c>
      <c r="E95" s="19">
        <v>46079</v>
      </c>
      <c r="F95" s="1" t="s">
        <v>231</v>
      </c>
      <c r="J95" s="1">
        <v>5533</v>
      </c>
      <c r="K95" s="1" t="s">
        <v>21</v>
      </c>
      <c r="L95" s="1" t="s">
        <v>126</v>
      </c>
      <c r="M95" s="1">
        <v>23000</v>
      </c>
      <c r="O95" s="1" t="s">
        <v>142</v>
      </c>
      <c r="P95" s="1" t="s">
        <v>130</v>
      </c>
      <c r="R95" s="1">
        <v>23000</v>
      </c>
      <c r="S95" s="1">
        <v>1</v>
      </c>
    </row>
    <row r="96" spans="1:20" ht="30" customHeight="1" x14ac:dyDescent="0.25">
      <c r="A96" s="1" t="s">
        <v>492</v>
      </c>
      <c r="B96" s="19">
        <v>46182</v>
      </c>
      <c r="C96" s="20">
        <v>46079</v>
      </c>
      <c r="D96" s="20">
        <v>46079</v>
      </c>
      <c r="E96" s="19">
        <v>46079</v>
      </c>
      <c r="J96" s="1">
        <v>5534</v>
      </c>
      <c r="K96" s="1" t="s">
        <v>22</v>
      </c>
      <c r="L96" s="1" t="s">
        <v>126</v>
      </c>
    </row>
    <row r="97" spans="1:20" ht="30" customHeight="1" x14ac:dyDescent="0.25">
      <c r="A97" s="1" t="s">
        <v>493</v>
      </c>
      <c r="B97" s="19">
        <v>46182</v>
      </c>
      <c r="C97" s="20">
        <v>46027</v>
      </c>
      <c r="D97" s="20">
        <v>46087</v>
      </c>
      <c r="E97" s="19">
        <v>46087</v>
      </c>
      <c r="J97" s="1">
        <v>5535</v>
      </c>
      <c r="K97" s="1" t="s">
        <v>21</v>
      </c>
      <c r="L97" s="1" t="s">
        <v>126</v>
      </c>
      <c r="M97" s="1">
        <v>90000</v>
      </c>
      <c r="O97" s="1" t="s">
        <v>142</v>
      </c>
      <c r="T97" s="1" t="s">
        <v>232</v>
      </c>
    </row>
    <row r="98" spans="1:20" ht="30" customHeight="1" x14ac:dyDescent="0.25">
      <c r="A98" s="1" t="s">
        <v>494</v>
      </c>
      <c r="B98" s="19">
        <v>46182</v>
      </c>
      <c r="C98" s="20">
        <v>46341</v>
      </c>
      <c r="D98" s="20">
        <v>46087</v>
      </c>
      <c r="E98" s="19">
        <v>46087</v>
      </c>
      <c r="J98" s="1">
        <v>5536</v>
      </c>
      <c r="K98" s="1" t="s">
        <v>21</v>
      </c>
      <c r="L98" s="1" t="s">
        <v>126</v>
      </c>
      <c r="O98" s="1" t="s">
        <v>146</v>
      </c>
      <c r="T98" s="1" t="s">
        <v>233</v>
      </c>
    </row>
    <row r="99" spans="1:20" ht="30" customHeight="1" x14ac:dyDescent="0.25">
      <c r="A99" s="1" t="s">
        <v>495</v>
      </c>
      <c r="B99" s="19">
        <v>46182</v>
      </c>
      <c r="C99" s="20">
        <v>46089</v>
      </c>
      <c r="D99" s="20">
        <v>46090</v>
      </c>
      <c r="E99" s="19">
        <v>46090</v>
      </c>
      <c r="J99" s="1">
        <v>5537</v>
      </c>
      <c r="K99" s="1" t="s">
        <v>21</v>
      </c>
      <c r="L99" s="1" t="s">
        <v>126</v>
      </c>
      <c r="O99" s="1" t="s">
        <v>146</v>
      </c>
      <c r="T99" s="1" t="s">
        <v>234</v>
      </c>
    </row>
    <row r="100" spans="1:20" ht="45" customHeight="1" x14ac:dyDescent="0.25">
      <c r="A100" s="1" t="s">
        <v>496</v>
      </c>
      <c r="B100" s="19">
        <v>46182</v>
      </c>
      <c r="C100" s="20">
        <v>46089</v>
      </c>
      <c r="D100" s="20">
        <v>46090</v>
      </c>
      <c r="E100" s="19">
        <v>46090</v>
      </c>
      <c r="J100" s="1">
        <v>5538</v>
      </c>
      <c r="K100" s="1" t="s">
        <v>21</v>
      </c>
      <c r="L100" s="1" t="s">
        <v>126</v>
      </c>
      <c r="M100" s="1">
        <v>30000</v>
      </c>
      <c r="O100" s="1" t="s">
        <v>142</v>
      </c>
      <c r="T100" s="1" t="s">
        <v>235</v>
      </c>
    </row>
    <row r="101" spans="1:20" ht="30" customHeight="1" x14ac:dyDescent="0.25">
      <c r="A101" s="1" t="s">
        <v>497</v>
      </c>
      <c r="B101" s="19">
        <v>46182</v>
      </c>
      <c r="C101" s="20">
        <v>46091</v>
      </c>
      <c r="D101" s="20">
        <v>46091</v>
      </c>
      <c r="E101" s="19">
        <v>46091</v>
      </c>
      <c r="J101" s="1">
        <v>5539</v>
      </c>
      <c r="K101" s="1" t="s">
        <v>21</v>
      </c>
      <c r="L101" s="1" t="s">
        <v>110</v>
      </c>
      <c r="M101" s="1">
        <v>41000</v>
      </c>
      <c r="O101" s="1" t="s">
        <v>142</v>
      </c>
      <c r="T101" s="1" t="s">
        <v>236</v>
      </c>
    </row>
    <row r="102" spans="1:20" ht="30" customHeight="1" x14ac:dyDescent="0.25">
      <c r="A102" s="1" t="s">
        <v>498</v>
      </c>
      <c r="B102" s="19">
        <v>46182</v>
      </c>
      <c r="C102" s="20">
        <v>46093</v>
      </c>
      <c r="D102" s="20">
        <v>46093</v>
      </c>
      <c r="E102" s="19">
        <v>46093</v>
      </c>
      <c r="J102" s="1">
        <v>5540</v>
      </c>
      <c r="K102" s="1" t="s">
        <v>21</v>
      </c>
      <c r="L102" s="1" t="s">
        <v>128</v>
      </c>
      <c r="M102" s="1">
        <v>17000</v>
      </c>
      <c r="O102" s="1" t="s">
        <v>142</v>
      </c>
      <c r="T102" s="1" t="s">
        <v>237</v>
      </c>
    </row>
    <row r="103" spans="1:20" ht="30" customHeight="1" x14ac:dyDescent="0.25">
      <c r="A103" s="1" t="s">
        <v>499</v>
      </c>
      <c r="B103" s="19">
        <v>46182</v>
      </c>
      <c r="C103" s="20">
        <v>46093</v>
      </c>
      <c r="D103" s="20">
        <v>46093</v>
      </c>
      <c r="E103" s="19">
        <v>46093</v>
      </c>
      <c r="J103" s="1">
        <v>5541</v>
      </c>
      <c r="K103" s="1" t="s">
        <v>21</v>
      </c>
      <c r="L103" s="1" t="s">
        <v>126</v>
      </c>
      <c r="M103" s="1">
        <v>25000</v>
      </c>
      <c r="O103" s="1" t="s">
        <v>142</v>
      </c>
      <c r="T103" s="1" t="s">
        <v>238</v>
      </c>
    </row>
    <row r="104" spans="1:20" ht="30" customHeight="1" x14ac:dyDescent="0.25">
      <c r="A104" s="1" t="s">
        <v>500</v>
      </c>
      <c r="B104" s="19">
        <v>46182</v>
      </c>
      <c r="C104" s="20">
        <v>46098</v>
      </c>
      <c r="D104" s="20">
        <v>46098</v>
      </c>
      <c r="E104" s="19">
        <v>46098</v>
      </c>
      <c r="J104" s="1">
        <v>5543</v>
      </c>
      <c r="K104" s="1" t="s">
        <v>22</v>
      </c>
      <c r="L104" s="1" t="s">
        <v>126</v>
      </c>
      <c r="M104" s="1">
        <v>22000</v>
      </c>
      <c r="O104" s="1" t="s">
        <v>142</v>
      </c>
      <c r="T104" s="1" t="s">
        <v>181</v>
      </c>
    </row>
    <row r="105" spans="1:20" ht="30" customHeight="1" x14ac:dyDescent="0.25">
      <c r="A105" s="1" t="s">
        <v>501</v>
      </c>
      <c r="B105" s="19">
        <v>46182</v>
      </c>
      <c r="C105" s="20">
        <v>46098</v>
      </c>
      <c r="D105" s="20">
        <v>46098</v>
      </c>
      <c r="E105" s="19">
        <v>46098</v>
      </c>
      <c r="F105" s="1" t="s">
        <v>239</v>
      </c>
      <c r="J105" s="1">
        <v>5544</v>
      </c>
      <c r="K105" s="1" t="s">
        <v>22</v>
      </c>
      <c r="L105" s="1" t="s">
        <v>126</v>
      </c>
      <c r="O105" s="1" t="s">
        <v>142</v>
      </c>
      <c r="T105" s="1" t="s">
        <v>240</v>
      </c>
    </row>
    <row r="106" spans="1:20" ht="30" customHeight="1" x14ac:dyDescent="0.25">
      <c r="A106" s="1" t="s">
        <v>502</v>
      </c>
      <c r="B106" s="19">
        <v>46182</v>
      </c>
      <c r="C106" s="20">
        <v>46098</v>
      </c>
      <c r="D106" s="20">
        <v>46098</v>
      </c>
      <c r="E106" s="19">
        <v>46098</v>
      </c>
      <c r="J106" s="1">
        <v>5545</v>
      </c>
      <c r="K106" s="1" t="s">
        <v>21</v>
      </c>
      <c r="L106" s="1" t="s">
        <v>126</v>
      </c>
      <c r="T106" s="1" t="s">
        <v>241</v>
      </c>
    </row>
    <row r="107" spans="1:20" ht="30" customHeight="1" x14ac:dyDescent="0.25">
      <c r="A107" s="1" t="s">
        <v>503</v>
      </c>
      <c r="B107" s="19">
        <v>46182</v>
      </c>
      <c r="C107" s="20">
        <v>46098</v>
      </c>
      <c r="D107" s="20">
        <v>46098</v>
      </c>
      <c r="E107" s="19">
        <v>46098</v>
      </c>
      <c r="J107" s="1">
        <v>5546</v>
      </c>
      <c r="K107" s="1" t="s">
        <v>22</v>
      </c>
      <c r="L107" s="1" t="s">
        <v>126</v>
      </c>
      <c r="M107" s="1">
        <v>23000</v>
      </c>
      <c r="O107" s="1" t="s">
        <v>142</v>
      </c>
      <c r="P107" s="1" t="s">
        <v>130</v>
      </c>
      <c r="R107" s="1">
        <v>23000</v>
      </c>
      <c r="S107" s="1">
        <v>1</v>
      </c>
    </row>
    <row r="108" spans="1:20" ht="30" customHeight="1" x14ac:dyDescent="0.25">
      <c r="A108" s="1" t="s">
        <v>504</v>
      </c>
      <c r="B108" s="19">
        <v>46182</v>
      </c>
      <c r="C108" s="20">
        <v>46098</v>
      </c>
      <c r="D108" s="20">
        <v>46098</v>
      </c>
      <c r="E108" s="19">
        <v>46098</v>
      </c>
      <c r="J108" s="1">
        <v>5547</v>
      </c>
      <c r="K108" s="1" t="s">
        <v>21</v>
      </c>
      <c r="L108" s="1" t="s">
        <v>126</v>
      </c>
      <c r="T108" s="1" t="s">
        <v>242</v>
      </c>
    </row>
    <row r="109" spans="1:20" ht="30" customHeight="1" x14ac:dyDescent="0.25">
      <c r="A109" s="1" t="s">
        <v>505</v>
      </c>
      <c r="B109" s="19">
        <v>46182</v>
      </c>
      <c r="C109" s="20">
        <v>46098</v>
      </c>
      <c r="D109" s="20">
        <v>46098</v>
      </c>
      <c r="E109" s="19">
        <v>46098</v>
      </c>
      <c r="F109" s="1" t="s">
        <v>243</v>
      </c>
      <c r="J109" s="1">
        <v>5548</v>
      </c>
      <c r="K109" s="1" t="s">
        <v>21</v>
      </c>
      <c r="L109" s="1" t="s">
        <v>126</v>
      </c>
    </row>
    <row r="110" spans="1:20" ht="30" customHeight="1" x14ac:dyDescent="0.25">
      <c r="A110" s="1" t="s">
        <v>506</v>
      </c>
      <c r="B110" s="19">
        <v>46182</v>
      </c>
      <c r="C110" s="20">
        <v>46099</v>
      </c>
      <c r="D110" s="20">
        <v>46100</v>
      </c>
      <c r="E110" s="19">
        <v>46100</v>
      </c>
      <c r="F110" s="1" t="s">
        <v>244</v>
      </c>
      <c r="J110" s="1">
        <v>5549</v>
      </c>
      <c r="K110" s="1" t="s">
        <v>21</v>
      </c>
      <c r="L110" s="1" t="s">
        <v>126</v>
      </c>
      <c r="M110" s="1">
        <v>31000</v>
      </c>
      <c r="O110" s="1" t="s">
        <v>142</v>
      </c>
      <c r="T110" s="1" t="s">
        <v>245</v>
      </c>
    </row>
    <row r="111" spans="1:20" ht="30" customHeight="1" x14ac:dyDescent="0.25">
      <c r="A111" s="1" t="s">
        <v>507</v>
      </c>
      <c r="B111" s="19">
        <v>46182</v>
      </c>
      <c r="C111" s="20">
        <v>46101</v>
      </c>
      <c r="D111" s="20">
        <v>46101</v>
      </c>
      <c r="E111" s="19">
        <v>46101</v>
      </c>
      <c r="J111" s="1">
        <v>5550</v>
      </c>
      <c r="K111" s="1" t="s">
        <v>22</v>
      </c>
      <c r="L111" s="1" t="s">
        <v>126</v>
      </c>
      <c r="M111" s="1">
        <v>25000</v>
      </c>
      <c r="O111" s="1" t="s">
        <v>142</v>
      </c>
    </row>
    <row r="112" spans="1:20" ht="30" customHeight="1" x14ac:dyDescent="0.25">
      <c r="A112" s="1" t="s">
        <v>508</v>
      </c>
      <c r="B112" s="19">
        <v>46182</v>
      </c>
      <c r="C112" s="20">
        <v>46103</v>
      </c>
      <c r="D112" s="20">
        <v>46104</v>
      </c>
      <c r="E112" s="19">
        <v>46104</v>
      </c>
      <c r="J112" s="1">
        <v>5551</v>
      </c>
      <c r="K112" s="1" t="s">
        <v>21</v>
      </c>
      <c r="L112" s="1" t="s">
        <v>126</v>
      </c>
      <c r="M112" s="1">
        <v>32000</v>
      </c>
      <c r="O112" s="1" t="s">
        <v>142</v>
      </c>
      <c r="T112" s="1" t="s">
        <v>246</v>
      </c>
    </row>
    <row r="113" spans="1:20" ht="30" customHeight="1" x14ac:dyDescent="0.25">
      <c r="A113" s="1" t="s">
        <v>509</v>
      </c>
      <c r="B113" s="19">
        <v>46182</v>
      </c>
      <c r="C113" s="20">
        <v>46103</v>
      </c>
      <c r="D113" s="20">
        <v>46104</v>
      </c>
      <c r="E113" s="19">
        <v>46104</v>
      </c>
      <c r="J113" s="1">
        <v>5552</v>
      </c>
      <c r="K113" s="1" t="s">
        <v>21</v>
      </c>
      <c r="L113" s="1" t="s">
        <v>126</v>
      </c>
      <c r="M113" s="1">
        <v>16000</v>
      </c>
      <c r="O113" s="1" t="s">
        <v>142</v>
      </c>
      <c r="T113" s="1" t="s">
        <v>247</v>
      </c>
    </row>
    <row r="114" spans="1:20" ht="30" customHeight="1" x14ac:dyDescent="0.25">
      <c r="A114" s="1" t="s">
        <v>510</v>
      </c>
      <c r="B114" s="19">
        <v>46182</v>
      </c>
      <c r="C114" s="20">
        <v>46104</v>
      </c>
      <c r="D114" s="20">
        <v>46104</v>
      </c>
      <c r="E114" s="19">
        <v>46104</v>
      </c>
      <c r="J114" s="1">
        <v>5553</v>
      </c>
      <c r="K114" s="1" t="s">
        <v>21</v>
      </c>
      <c r="L114" s="1" t="s">
        <v>126</v>
      </c>
      <c r="M114" s="1">
        <v>23000</v>
      </c>
      <c r="T114" s="1" t="s">
        <v>248</v>
      </c>
    </row>
    <row r="115" spans="1:20" ht="30" customHeight="1" x14ac:dyDescent="0.25">
      <c r="A115" s="1" t="s">
        <v>511</v>
      </c>
      <c r="B115" s="19">
        <v>46182</v>
      </c>
      <c r="C115" s="20">
        <v>46104</v>
      </c>
      <c r="D115" s="20">
        <v>46104</v>
      </c>
      <c r="E115" s="19">
        <v>46104</v>
      </c>
      <c r="J115" s="1">
        <v>5554</v>
      </c>
      <c r="K115" s="1" t="s">
        <v>21</v>
      </c>
      <c r="L115" s="1" t="s">
        <v>126</v>
      </c>
      <c r="T115" s="1" t="s">
        <v>249</v>
      </c>
    </row>
    <row r="116" spans="1:20" ht="30" customHeight="1" x14ac:dyDescent="0.25">
      <c r="A116" s="1" t="s">
        <v>512</v>
      </c>
      <c r="B116" s="19">
        <v>46182</v>
      </c>
      <c r="C116" s="20">
        <v>46106</v>
      </c>
      <c r="D116" s="20">
        <v>46104</v>
      </c>
      <c r="E116" s="19">
        <v>46104</v>
      </c>
      <c r="J116" s="1">
        <v>5555</v>
      </c>
      <c r="K116" s="1" t="s">
        <v>22</v>
      </c>
      <c r="L116" s="1" t="s">
        <v>126</v>
      </c>
      <c r="M116" s="1">
        <v>25000</v>
      </c>
      <c r="O116" s="1" t="s">
        <v>142</v>
      </c>
      <c r="T116" s="1" t="s">
        <v>250</v>
      </c>
    </row>
    <row r="117" spans="1:20" ht="30" customHeight="1" x14ac:dyDescent="0.25">
      <c r="A117" s="1" t="s">
        <v>513</v>
      </c>
      <c r="B117" s="19">
        <v>46182</v>
      </c>
      <c r="C117" s="20">
        <v>46106</v>
      </c>
      <c r="D117" s="20">
        <v>46106</v>
      </c>
      <c r="E117" s="19">
        <v>46106</v>
      </c>
      <c r="J117" s="1">
        <v>5556</v>
      </c>
      <c r="K117" s="1" t="s">
        <v>22</v>
      </c>
      <c r="L117" s="1" t="s">
        <v>126</v>
      </c>
      <c r="M117" s="1">
        <v>25000</v>
      </c>
      <c r="O117" s="1" t="s">
        <v>142</v>
      </c>
    </row>
    <row r="118" spans="1:20" ht="30" customHeight="1" x14ac:dyDescent="0.25">
      <c r="A118" s="1" t="s">
        <v>514</v>
      </c>
      <c r="B118" s="19">
        <v>46182</v>
      </c>
      <c r="C118" s="20">
        <v>46105</v>
      </c>
      <c r="D118" s="20">
        <v>46105</v>
      </c>
      <c r="E118" s="19">
        <v>46105</v>
      </c>
      <c r="J118" s="1">
        <v>5557</v>
      </c>
      <c r="K118" s="1" t="s">
        <v>21</v>
      </c>
      <c r="L118" s="1" t="s">
        <v>126</v>
      </c>
      <c r="M118" s="1">
        <v>51200</v>
      </c>
      <c r="O118" s="1" t="s">
        <v>142</v>
      </c>
      <c r="T118" s="1" t="s">
        <v>247</v>
      </c>
    </row>
    <row r="119" spans="1:20" ht="30" customHeight="1" x14ac:dyDescent="0.25">
      <c r="A119" s="1" t="s">
        <v>515</v>
      </c>
      <c r="B119" s="19">
        <v>46182</v>
      </c>
      <c r="C119" s="20">
        <v>46105</v>
      </c>
      <c r="D119" s="20">
        <v>46106</v>
      </c>
      <c r="E119" s="19">
        <v>46106</v>
      </c>
      <c r="F119" s="1" t="s">
        <v>251</v>
      </c>
      <c r="J119" s="1">
        <v>5558</v>
      </c>
      <c r="K119" s="1" t="s">
        <v>21</v>
      </c>
      <c r="L119" s="1" t="s">
        <v>126</v>
      </c>
      <c r="M119" s="1">
        <v>15000</v>
      </c>
      <c r="O119" s="1" t="s">
        <v>142</v>
      </c>
      <c r="T119" s="1" t="s">
        <v>252</v>
      </c>
    </row>
    <row r="120" spans="1:20" ht="30" customHeight="1" x14ac:dyDescent="0.25">
      <c r="A120" s="1" t="s">
        <v>516</v>
      </c>
      <c r="B120" s="19">
        <v>46182</v>
      </c>
      <c r="C120" s="20">
        <v>46106</v>
      </c>
      <c r="D120" s="20">
        <v>46106</v>
      </c>
      <c r="E120" s="19">
        <v>46106</v>
      </c>
      <c r="J120" s="1">
        <v>5559</v>
      </c>
      <c r="K120" s="1" t="s">
        <v>21</v>
      </c>
      <c r="L120" s="1" t="s">
        <v>126</v>
      </c>
      <c r="M120" s="1">
        <v>18000</v>
      </c>
      <c r="O120" s="1" t="s">
        <v>142</v>
      </c>
      <c r="T120" s="1" t="s">
        <v>253</v>
      </c>
    </row>
    <row r="121" spans="1:20" ht="30" customHeight="1" x14ac:dyDescent="0.25">
      <c r="A121" s="1" t="s">
        <v>517</v>
      </c>
      <c r="B121" s="19">
        <v>46182</v>
      </c>
      <c r="C121" s="20">
        <v>46107</v>
      </c>
      <c r="D121" s="20">
        <v>46107</v>
      </c>
      <c r="E121" s="19">
        <v>46107</v>
      </c>
      <c r="J121" s="1">
        <v>5560</v>
      </c>
      <c r="K121" s="1" t="s">
        <v>21</v>
      </c>
      <c r="L121" s="1" t="s">
        <v>126</v>
      </c>
      <c r="M121" s="1">
        <v>20000</v>
      </c>
      <c r="O121" s="1" t="s">
        <v>142</v>
      </c>
      <c r="T121" s="1" t="s">
        <v>254</v>
      </c>
    </row>
    <row r="122" spans="1:20" ht="30" customHeight="1" x14ac:dyDescent="0.25">
      <c r="A122" s="1" t="s">
        <v>518</v>
      </c>
      <c r="B122" s="19">
        <v>46182</v>
      </c>
      <c r="C122" s="20">
        <v>46107</v>
      </c>
      <c r="D122" s="20">
        <v>46107</v>
      </c>
      <c r="E122" s="19">
        <v>46107</v>
      </c>
      <c r="J122" s="1">
        <v>5561</v>
      </c>
      <c r="K122" s="1" t="s">
        <v>21</v>
      </c>
      <c r="L122" s="1" t="s">
        <v>110</v>
      </c>
      <c r="M122" s="1">
        <v>23000</v>
      </c>
      <c r="O122" s="1" t="s">
        <v>142</v>
      </c>
      <c r="T122" s="1" t="s">
        <v>255</v>
      </c>
    </row>
    <row r="123" spans="1:20" ht="30" customHeight="1" x14ac:dyDescent="0.25">
      <c r="A123" s="1" t="s">
        <v>519</v>
      </c>
      <c r="B123" s="19">
        <v>46182</v>
      </c>
      <c r="C123" s="20">
        <v>46107</v>
      </c>
      <c r="D123" s="20">
        <v>46107</v>
      </c>
      <c r="E123" s="19">
        <v>46107</v>
      </c>
      <c r="J123" s="1">
        <v>5562</v>
      </c>
      <c r="K123" s="1" t="s">
        <v>21</v>
      </c>
      <c r="L123" s="1" t="s">
        <v>126</v>
      </c>
      <c r="M123" s="1">
        <v>23000</v>
      </c>
      <c r="O123" s="1" t="s">
        <v>129</v>
      </c>
      <c r="P123" s="1" t="s">
        <v>130</v>
      </c>
      <c r="R123" s="1">
        <v>23000</v>
      </c>
      <c r="S123" s="1">
        <v>1</v>
      </c>
      <c r="T123" s="1" t="s">
        <v>256</v>
      </c>
    </row>
    <row r="124" spans="1:20" ht="30" customHeight="1" x14ac:dyDescent="0.25">
      <c r="A124" s="1" t="s">
        <v>520</v>
      </c>
      <c r="B124" s="19">
        <v>46182</v>
      </c>
      <c r="C124" s="20">
        <v>46107</v>
      </c>
      <c r="D124" s="20">
        <v>46111</v>
      </c>
      <c r="E124" s="19">
        <v>46111</v>
      </c>
      <c r="J124" s="1">
        <v>5563</v>
      </c>
      <c r="K124" s="1" t="s">
        <v>21</v>
      </c>
      <c r="L124" s="1" t="s">
        <v>126</v>
      </c>
      <c r="M124" s="1">
        <v>25000</v>
      </c>
      <c r="O124" s="1" t="s">
        <v>142</v>
      </c>
      <c r="T124" s="1" t="s">
        <v>257</v>
      </c>
    </row>
    <row r="125" spans="1:20" ht="30" customHeight="1" x14ac:dyDescent="0.25">
      <c r="A125" s="1" t="s">
        <v>521</v>
      </c>
      <c r="B125" s="19">
        <v>46182</v>
      </c>
      <c r="C125" s="20">
        <v>46111</v>
      </c>
      <c r="D125" s="20">
        <v>46111</v>
      </c>
      <c r="E125" s="19">
        <v>46111</v>
      </c>
      <c r="J125" s="1">
        <v>5564</v>
      </c>
      <c r="K125" s="1" t="s">
        <v>22</v>
      </c>
      <c r="L125" s="1" t="s">
        <v>126</v>
      </c>
    </row>
    <row r="126" spans="1:20" ht="30" customHeight="1" x14ac:dyDescent="0.25">
      <c r="A126" s="1" t="s">
        <v>522</v>
      </c>
      <c r="B126" s="19">
        <v>46182</v>
      </c>
      <c r="C126" s="20">
        <v>46112</v>
      </c>
      <c r="D126" s="20">
        <v>46112</v>
      </c>
      <c r="E126" s="19">
        <v>46112</v>
      </c>
      <c r="J126" s="1">
        <v>5565</v>
      </c>
      <c r="K126" s="1" t="s">
        <v>22</v>
      </c>
      <c r="L126" s="1" t="s">
        <v>126</v>
      </c>
      <c r="M126" s="1">
        <v>25000</v>
      </c>
      <c r="O126" s="1" t="s">
        <v>142</v>
      </c>
      <c r="T126" s="1" t="s">
        <v>258</v>
      </c>
    </row>
    <row r="127" spans="1:20" ht="30" customHeight="1" x14ac:dyDescent="0.25">
      <c r="A127" s="1" t="s">
        <v>523</v>
      </c>
      <c r="B127" s="19">
        <v>46182</v>
      </c>
      <c r="C127" s="20">
        <v>46112</v>
      </c>
      <c r="D127" s="20">
        <v>46112</v>
      </c>
      <c r="E127" s="19">
        <v>46112</v>
      </c>
      <c r="F127" s="1" t="s">
        <v>154</v>
      </c>
      <c r="J127" s="1">
        <v>5566</v>
      </c>
      <c r="K127" s="1" t="s">
        <v>21</v>
      </c>
      <c r="L127" s="1" t="s">
        <v>126</v>
      </c>
      <c r="M127" s="1">
        <v>32000</v>
      </c>
      <c r="O127" s="1" t="s">
        <v>142</v>
      </c>
      <c r="T127" s="1" t="s">
        <v>259</v>
      </c>
    </row>
    <row r="128" spans="1:20" ht="45" customHeight="1" x14ac:dyDescent="0.25">
      <c r="A128" s="1" t="s">
        <v>524</v>
      </c>
      <c r="B128" s="19">
        <v>46182</v>
      </c>
      <c r="C128" s="20">
        <v>46112</v>
      </c>
      <c r="D128" s="20">
        <v>46112</v>
      </c>
      <c r="E128" s="19">
        <v>46112</v>
      </c>
      <c r="J128" s="1">
        <v>5567</v>
      </c>
      <c r="K128" s="1" t="s">
        <v>21</v>
      </c>
      <c r="L128" s="1" t="s">
        <v>126</v>
      </c>
      <c r="M128" s="1">
        <v>20000</v>
      </c>
      <c r="O128" s="1" t="s">
        <v>142</v>
      </c>
      <c r="T128" s="1" t="s">
        <v>260</v>
      </c>
    </row>
    <row r="129" spans="1:20" ht="30" customHeight="1" x14ac:dyDescent="0.25">
      <c r="A129" s="1" t="s">
        <v>525</v>
      </c>
      <c r="B129" s="19">
        <v>46182</v>
      </c>
      <c r="C129" s="20">
        <v>46112</v>
      </c>
      <c r="D129" s="20">
        <v>46112</v>
      </c>
      <c r="E129" s="19">
        <v>46112</v>
      </c>
      <c r="J129" s="1">
        <v>5568</v>
      </c>
      <c r="K129" s="1" t="s">
        <v>21</v>
      </c>
      <c r="L129" s="1" t="s">
        <v>126</v>
      </c>
      <c r="M129" s="1">
        <v>22000</v>
      </c>
      <c r="O129" s="1" t="s">
        <v>142</v>
      </c>
      <c r="T129" s="1" t="s">
        <v>261</v>
      </c>
    </row>
    <row r="130" spans="1:20" ht="60" customHeight="1" x14ac:dyDescent="0.25">
      <c r="A130" s="1" t="s">
        <v>526</v>
      </c>
      <c r="B130" s="19">
        <v>46182</v>
      </c>
      <c r="C130" s="20">
        <v>46113</v>
      </c>
      <c r="D130" s="20">
        <v>46113</v>
      </c>
      <c r="E130" s="19">
        <v>46113</v>
      </c>
      <c r="J130" s="1">
        <v>5569</v>
      </c>
      <c r="K130" s="1" t="s">
        <v>21</v>
      </c>
      <c r="L130" s="1" t="s">
        <v>126</v>
      </c>
      <c r="M130" s="1">
        <v>25000</v>
      </c>
      <c r="O130" s="1" t="s">
        <v>142</v>
      </c>
      <c r="T130" s="1" t="s">
        <v>262</v>
      </c>
    </row>
    <row r="131" spans="1:20" ht="30" customHeight="1" x14ac:dyDescent="0.25">
      <c r="A131" s="1" t="s">
        <v>527</v>
      </c>
      <c r="B131" s="19">
        <v>46182</v>
      </c>
      <c r="C131" s="20">
        <v>46113</v>
      </c>
      <c r="D131" s="20">
        <v>46113</v>
      </c>
      <c r="E131" s="19">
        <v>46113</v>
      </c>
      <c r="F131" s="1" t="s">
        <v>243</v>
      </c>
      <c r="J131" s="1">
        <v>5570</v>
      </c>
      <c r="K131" s="1" t="s">
        <v>21</v>
      </c>
      <c r="L131" s="1" t="s">
        <v>110</v>
      </c>
      <c r="M131" s="1">
        <v>59000</v>
      </c>
      <c r="O131" s="1" t="s">
        <v>142</v>
      </c>
      <c r="P131" s="1" t="s">
        <v>130</v>
      </c>
      <c r="R131" s="1">
        <v>59000</v>
      </c>
      <c r="S131" s="1">
        <v>1</v>
      </c>
      <c r="T131" s="1" t="s">
        <v>263</v>
      </c>
    </row>
    <row r="132" spans="1:20" ht="30" customHeight="1" x14ac:dyDescent="0.25">
      <c r="A132" s="1" t="s">
        <v>528</v>
      </c>
      <c r="B132" s="19">
        <v>46182</v>
      </c>
      <c r="C132" s="20">
        <v>46113</v>
      </c>
      <c r="D132" s="20">
        <v>46113</v>
      </c>
      <c r="E132" s="19">
        <v>46113</v>
      </c>
      <c r="F132" s="1" t="s">
        <v>264</v>
      </c>
      <c r="J132" s="1">
        <v>5571</v>
      </c>
      <c r="K132" s="1" t="s">
        <v>22</v>
      </c>
      <c r="L132" s="1" t="s">
        <v>126</v>
      </c>
      <c r="M132" s="1">
        <v>28000</v>
      </c>
    </row>
    <row r="133" spans="1:20" ht="30" customHeight="1" x14ac:dyDescent="0.25">
      <c r="A133" s="1" t="s">
        <v>529</v>
      </c>
      <c r="B133" s="19">
        <v>46182</v>
      </c>
      <c r="C133" s="20">
        <v>46113</v>
      </c>
      <c r="D133" s="20">
        <v>46113</v>
      </c>
      <c r="E133" s="19">
        <v>46113</v>
      </c>
      <c r="J133" s="1">
        <v>5572</v>
      </c>
      <c r="K133" s="1" t="s">
        <v>22</v>
      </c>
      <c r="L133" s="1" t="s">
        <v>110</v>
      </c>
      <c r="M133" s="1">
        <v>60000</v>
      </c>
      <c r="T133" s="1" t="s">
        <v>265</v>
      </c>
    </row>
    <row r="134" spans="1:20" ht="30" customHeight="1" x14ac:dyDescent="0.25">
      <c r="A134" s="1" t="s">
        <v>530</v>
      </c>
      <c r="B134" s="19">
        <v>46182</v>
      </c>
      <c r="C134" s="20">
        <v>46114</v>
      </c>
      <c r="D134" s="20">
        <v>46114</v>
      </c>
      <c r="E134" s="19">
        <v>46114</v>
      </c>
      <c r="J134" s="1">
        <v>5573</v>
      </c>
      <c r="K134" s="1" t="s">
        <v>21</v>
      </c>
      <c r="L134" s="1" t="s">
        <v>126</v>
      </c>
    </row>
    <row r="135" spans="1:20" ht="30" customHeight="1" x14ac:dyDescent="0.25">
      <c r="A135" s="1" t="s">
        <v>531</v>
      </c>
      <c r="B135" s="19">
        <v>46182</v>
      </c>
      <c r="C135" s="20">
        <v>46119</v>
      </c>
      <c r="D135" s="20">
        <v>46119</v>
      </c>
      <c r="E135" s="19">
        <v>46119</v>
      </c>
      <c r="J135" s="1">
        <v>5574</v>
      </c>
      <c r="K135" s="1" t="s">
        <v>22</v>
      </c>
      <c r="L135" s="1" t="s">
        <v>126</v>
      </c>
    </row>
    <row r="136" spans="1:20" ht="30" customHeight="1" x14ac:dyDescent="0.25">
      <c r="A136" s="1" t="s">
        <v>532</v>
      </c>
      <c r="B136" s="19">
        <v>46182</v>
      </c>
      <c r="C136" s="20">
        <v>46119</v>
      </c>
      <c r="D136" s="20">
        <v>46119</v>
      </c>
      <c r="E136" s="19">
        <v>46119</v>
      </c>
      <c r="J136" s="1">
        <v>5575</v>
      </c>
      <c r="K136" s="1" t="s">
        <v>22</v>
      </c>
      <c r="L136" s="1" t="s">
        <v>126</v>
      </c>
      <c r="M136" s="1">
        <v>13000</v>
      </c>
      <c r="O136" s="1" t="s">
        <v>142</v>
      </c>
      <c r="T136" s="1" t="s">
        <v>266</v>
      </c>
    </row>
    <row r="137" spans="1:20" ht="30" customHeight="1" x14ac:dyDescent="0.25">
      <c r="A137" s="1" t="s">
        <v>533</v>
      </c>
      <c r="B137" s="19">
        <v>46182</v>
      </c>
      <c r="C137" s="20">
        <v>46120</v>
      </c>
      <c r="D137" s="20">
        <v>46120</v>
      </c>
      <c r="E137" s="19">
        <v>46120</v>
      </c>
      <c r="J137" s="1">
        <v>5576</v>
      </c>
      <c r="K137" s="1" t="s">
        <v>22</v>
      </c>
      <c r="L137" s="1" t="s">
        <v>110</v>
      </c>
      <c r="M137" s="1">
        <v>23760</v>
      </c>
      <c r="N137" s="1">
        <v>1</v>
      </c>
      <c r="O137" s="1" t="s">
        <v>147</v>
      </c>
      <c r="P137" s="1" t="s">
        <v>130</v>
      </c>
      <c r="Q137" s="20">
        <v>46160</v>
      </c>
      <c r="R137" s="1">
        <v>23760</v>
      </c>
      <c r="S137" s="1">
        <v>1</v>
      </c>
      <c r="T137" s="1" t="s">
        <v>267</v>
      </c>
    </row>
    <row r="138" spans="1:20" ht="30" customHeight="1" x14ac:dyDescent="0.25">
      <c r="A138" s="1" t="s">
        <v>534</v>
      </c>
      <c r="B138" s="19">
        <v>46182</v>
      </c>
      <c r="C138" s="20">
        <v>46120</v>
      </c>
      <c r="D138" s="20">
        <v>46120</v>
      </c>
      <c r="E138" s="19">
        <v>46120</v>
      </c>
      <c r="J138" s="1">
        <v>5577</v>
      </c>
      <c r="K138" s="1" t="s">
        <v>22</v>
      </c>
      <c r="L138" s="1" t="s">
        <v>110</v>
      </c>
      <c r="M138" s="1">
        <v>16000</v>
      </c>
      <c r="O138" s="1" t="s">
        <v>142</v>
      </c>
      <c r="T138" s="1" t="s">
        <v>268</v>
      </c>
    </row>
    <row r="139" spans="1:20" ht="30" customHeight="1" x14ac:dyDescent="0.25">
      <c r="A139" s="1" t="s">
        <v>535</v>
      </c>
      <c r="B139" s="19">
        <v>46182</v>
      </c>
      <c r="C139" s="20">
        <v>46120</v>
      </c>
      <c r="D139" s="1" t="s">
        <v>536</v>
      </c>
      <c r="E139" s="19">
        <v>46120</v>
      </c>
      <c r="J139" s="1">
        <v>5578</v>
      </c>
      <c r="K139" s="1" t="s">
        <v>22</v>
      </c>
      <c r="L139" s="1" t="s">
        <v>145</v>
      </c>
      <c r="M139" s="1">
        <v>25000</v>
      </c>
      <c r="O139" s="1" t="s">
        <v>142</v>
      </c>
      <c r="T139" s="1" t="s">
        <v>250</v>
      </c>
    </row>
    <row r="140" spans="1:20" ht="30" customHeight="1" x14ac:dyDescent="0.25">
      <c r="A140" s="1" t="s">
        <v>537</v>
      </c>
      <c r="B140" s="19">
        <v>46182</v>
      </c>
      <c r="C140" s="20">
        <v>46121</v>
      </c>
      <c r="D140" s="20">
        <v>46121</v>
      </c>
      <c r="E140" s="19">
        <v>46121</v>
      </c>
      <c r="J140" s="1">
        <v>5580</v>
      </c>
      <c r="K140" s="1" t="s">
        <v>21</v>
      </c>
      <c r="L140" s="1" t="s">
        <v>126</v>
      </c>
      <c r="M140" s="1">
        <v>12500</v>
      </c>
      <c r="O140" s="1" t="s">
        <v>142</v>
      </c>
      <c r="T140" s="1" t="s">
        <v>269</v>
      </c>
    </row>
    <row r="141" spans="1:20" ht="30" customHeight="1" x14ac:dyDescent="0.25">
      <c r="A141" s="1" t="s">
        <v>538</v>
      </c>
      <c r="B141" s="19">
        <v>46182</v>
      </c>
      <c r="C141" s="20">
        <v>46121</v>
      </c>
      <c r="D141" s="20">
        <v>46121</v>
      </c>
      <c r="E141" s="19">
        <v>46121</v>
      </c>
      <c r="F141" s="1" t="s">
        <v>243</v>
      </c>
      <c r="J141" s="1">
        <v>5581</v>
      </c>
      <c r="K141" s="1" t="s">
        <v>21</v>
      </c>
      <c r="L141" s="1" t="s">
        <v>126</v>
      </c>
      <c r="M141" s="1">
        <v>60000</v>
      </c>
      <c r="O141" s="1" t="s">
        <v>142</v>
      </c>
    </row>
    <row r="142" spans="1:20" ht="30" customHeight="1" x14ac:dyDescent="0.25">
      <c r="A142" s="1" t="s">
        <v>539</v>
      </c>
      <c r="B142" s="19">
        <v>46182</v>
      </c>
      <c r="C142" s="20">
        <v>46121</v>
      </c>
      <c r="D142" s="20">
        <v>46121</v>
      </c>
      <c r="E142" s="19">
        <v>46121</v>
      </c>
      <c r="J142" s="1">
        <v>5582</v>
      </c>
      <c r="K142" s="1" t="s">
        <v>21</v>
      </c>
      <c r="L142" s="1" t="s">
        <v>126</v>
      </c>
      <c r="M142" s="1">
        <v>30000</v>
      </c>
      <c r="N142" s="1">
        <v>1</v>
      </c>
      <c r="O142" s="1" t="s">
        <v>129</v>
      </c>
      <c r="P142" s="1" t="s">
        <v>130</v>
      </c>
      <c r="R142" s="1">
        <v>30000</v>
      </c>
      <c r="S142" s="1">
        <v>1</v>
      </c>
      <c r="T142" s="1" t="s">
        <v>270</v>
      </c>
    </row>
    <row r="143" spans="1:20" ht="30" customHeight="1" x14ac:dyDescent="0.25">
      <c r="A143" s="1" t="s">
        <v>540</v>
      </c>
      <c r="B143" s="19">
        <v>46182</v>
      </c>
      <c r="C143" s="20">
        <v>46121</v>
      </c>
      <c r="D143" s="20">
        <v>46121</v>
      </c>
      <c r="E143" s="19">
        <v>46121</v>
      </c>
      <c r="J143" s="1">
        <v>5583</v>
      </c>
      <c r="K143" s="1" t="s">
        <v>21</v>
      </c>
      <c r="L143" s="1" t="s">
        <v>126</v>
      </c>
      <c r="T143" s="1" t="s">
        <v>271</v>
      </c>
    </row>
    <row r="144" spans="1:20" ht="30" customHeight="1" x14ac:dyDescent="0.25">
      <c r="A144" s="1" t="s">
        <v>541</v>
      </c>
      <c r="B144" s="19">
        <v>46182</v>
      </c>
      <c r="C144" s="20">
        <v>46122</v>
      </c>
      <c r="D144" s="20">
        <v>46122</v>
      </c>
      <c r="E144" s="19">
        <v>46122</v>
      </c>
      <c r="J144" s="1">
        <v>5584</v>
      </c>
      <c r="K144" s="1" t="s">
        <v>22</v>
      </c>
      <c r="L144" s="1" t="s">
        <v>126</v>
      </c>
      <c r="P144" s="1" t="s">
        <v>130</v>
      </c>
      <c r="S144" s="1">
        <v>1</v>
      </c>
      <c r="T144" s="1" t="s">
        <v>272</v>
      </c>
    </row>
    <row r="145" spans="1:20" ht="30" customHeight="1" x14ac:dyDescent="0.25">
      <c r="A145" s="1" t="s">
        <v>542</v>
      </c>
      <c r="B145" s="19">
        <v>46182</v>
      </c>
      <c r="C145" s="20">
        <v>46122</v>
      </c>
      <c r="D145" s="20">
        <v>46122</v>
      </c>
      <c r="E145" s="19">
        <v>46122</v>
      </c>
      <c r="J145" s="1">
        <v>5585</v>
      </c>
      <c r="K145" s="1" t="s">
        <v>21</v>
      </c>
      <c r="L145" s="1" t="s">
        <v>126</v>
      </c>
      <c r="M145" s="1">
        <v>23000</v>
      </c>
      <c r="O145" s="1" t="s">
        <v>142</v>
      </c>
      <c r="T145" s="1" t="s">
        <v>273</v>
      </c>
    </row>
    <row r="146" spans="1:20" ht="30" customHeight="1" x14ac:dyDescent="0.25">
      <c r="A146" s="1" t="s">
        <v>543</v>
      </c>
      <c r="B146" s="19">
        <v>46182</v>
      </c>
      <c r="C146" s="20">
        <v>46122</v>
      </c>
      <c r="D146" s="20">
        <v>46122</v>
      </c>
      <c r="E146" s="19">
        <v>46122</v>
      </c>
      <c r="J146" s="1">
        <v>5586</v>
      </c>
      <c r="K146" s="1" t="s">
        <v>21</v>
      </c>
      <c r="L146" s="1" t="s">
        <v>126</v>
      </c>
      <c r="M146" s="1">
        <v>33000</v>
      </c>
      <c r="O146" s="1" t="s">
        <v>142</v>
      </c>
      <c r="T146" s="1" t="s">
        <v>274</v>
      </c>
    </row>
    <row r="147" spans="1:20" ht="30" customHeight="1" x14ac:dyDescent="0.25">
      <c r="A147" s="1" t="s">
        <v>544</v>
      </c>
      <c r="B147" s="19">
        <v>46182</v>
      </c>
      <c r="C147" s="20">
        <v>46125</v>
      </c>
      <c r="D147" s="20">
        <v>46125</v>
      </c>
      <c r="E147" s="19">
        <v>46125</v>
      </c>
      <c r="J147" s="1">
        <v>5587</v>
      </c>
      <c r="K147" s="1" t="s">
        <v>21</v>
      </c>
      <c r="L147" s="1" t="s">
        <v>126</v>
      </c>
      <c r="M147" s="1">
        <v>23000</v>
      </c>
      <c r="O147" s="1" t="s">
        <v>142</v>
      </c>
      <c r="T147" s="1" t="s">
        <v>275</v>
      </c>
    </row>
    <row r="148" spans="1:20" ht="30" customHeight="1" x14ac:dyDescent="0.25">
      <c r="A148" s="1" t="s">
        <v>545</v>
      </c>
      <c r="B148" s="19">
        <v>46182</v>
      </c>
      <c r="C148" s="20">
        <v>46125</v>
      </c>
      <c r="D148" s="20">
        <v>46125</v>
      </c>
      <c r="E148" s="19">
        <v>46125</v>
      </c>
      <c r="F148" s="1" t="s">
        <v>276</v>
      </c>
      <c r="J148" s="1">
        <v>5588</v>
      </c>
      <c r="K148" s="1" t="s">
        <v>21</v>
      </c>
      <c r="L148" s="1" t="s">
        <v>126</v>
      </c>
    </row>
    <row r="149" spans="1:20" ht="30" customHeight="1" x14ac:dyDescent="0.25">
      <c r="A149" s="1" t="s">
        <v>546</v>
      </c>
      <c r="B149" s="19">
        <v>46182</v>
      </c>
      <c r="C149" s="20">
        <v>46125</v>
      </c>
      <c r="D149" s="20">
        <v>46125</v>
      </c>
      <c r="E149" s="19">
        <v>46125</v>
      </c>
      <c r="F149" s="1" t="s">
        <v>277</v>
      </c>
      <c r="J149" s="1">
        <v>5593</v>
      </c>
      <c r="K149" s="1" t="s">
        <v>21</v>
      </c>
      <c r="L149" s="1" t="s">
        <v>126</v>
      </c>
      <c r="M149" s="1">
        <v>27000</v>
      </c>
      <c r="O149" s="1" t="s">
        <v>142</v>
      </c>
    </row>
    <row r="150" spans="1:20" ht="30" customHeight="1" x14ac:dyDescent="0.25">
      <c r="A150" s="1" t="s">
        <v>547</v>
      </c>
      <c r="B150" s="19">
        <v>46182</v>
      </c>
      <c r="C150" s="20">
        <v>46126</v>
      </c>
      <c r="D150" s="20">
        <v>46126</v>
      </c>
      <c r="E150" s="19">
        <v>46126</v>
      </c>
      <c r="J150" s="1">
        <v>5590</v>
      </c>
      <c r="K150" s="1" t="s">
        <v>21</v>
      </c>
      <c r="L150" s="1" t="s">
        <v>126</v>
      </c>
      <c r="M150" s="1">
        <v>16000</v>
      </c>
      <c r="O150" s="1" t="s">
        <v>142</v>
      </c>
      <c r="T150" s="1" t="s">
        <v>278</v>
      </c>
    </row>
    <row r="151" spans="1:20" ht="30" customHeight="1" x14ac:dyDescent="0.25">
      <c r="A151" s="1" t="s">
        <v>548</v>
      </c>
      <c r="B151" s="19">
        <v>46182</v>
      </c>
      <c r="C151" s="20">
        <v>46126</v>
      </c>
      <c r="D151" s="20">
        <v>46126</v>
      </c>
      <c r="E151" s="19">
        <v>46126</v>
      </c>
      <c r="J151" s="1">
        <v>5591</v>
      </c>
      <c r="K151" s="1" t="s">
        <v>21</v>
      </c>
      <c r="L151" s="1" t="s">
        <v>126</v>
      </c>
      <c r="M151" s="1">
        <v>32000</v>
      </c>
      <c r="O151" s="1" t="s">
        <v>142</v>
      </c>
      <c r="T151" s="1" t="s">
        <v>279</v>
      </c>
    </row>
    <row r="152" spans="1:20" ht="30" customHeight="1" x14ac:dyDescent="0.25">
      <c r="A152" s="1" t="s">
        <v>549</v>
      </c>
      <c r="B152" s="19">
        <v>46182</v>
      </c>
      <c r="C152" s="20">
        <v>46126</v>
      </c>
      <c r="D152" s="20">
        <v>46126</v>
      </c>
      <c r="E152" s="19">
        <v>46126</v>
      </c>
      <c r="J152" s="1">
        <v>5592</v>
      </c>
      <c r="K152" s="1" t="s">
        <v>21</v>
      </c>
      <c r="L152" s="1" t="s">
        <v>126</v>
      </c>
      <c r="M152" s="1">
        <v>21000</v>
      </c>
      <c r="O152" s="1" t="s">
        <v>142</v>
      </c>
      <c r="T152" s="1" t="s">
        <v>270</v>
      </c>
    </row>
    <row r="153" spans="1:20" ht="30" customHeight="1" x14ac:dyDescent="0.25">
      <c r="A153" s="1" t="s">
        <v>550</v>
      </c>
      <c r="B153" s="19">
        <v>46182</v>
      </c>
      <c r="C153" s="20">
        <v>46126</v>
      </c>
      <c r="D153" s="20">
        <v>46126</v>
      </c>
      <c r="E153" s="19">
        <v>46126</v>
      </c>
      <c r="F153" s="1" t="s">
        <v>280</v>
      </c>
      <c r="J153" s="1">
        <v>5593</v>
      </c>
      <c r="K153" s="1" t="s">
        <v>21</v>
      </c>
      <c r="L153" s="1" t="s">
        <v>126</v>
      </c>
      <c r="M153" s="1">
        <v>27000</v>
      </c>
      <c r="O153" s="1" t="s">
        <v>142</v>
      </c>
    </row>
    <row r="154" spans="1:20" ht="30" customHeight="1" x14ac:dyDescent="0.25">
      <c r="A154" s="1" t="s">
        <v>551</v>
      </c>
      <c r="B154" s="19">
        <v>46182</v>
      </c>
      <c r="C154" s="20">
        <v>46127</v>
      </c>
      <c r="D154" s="20">
        <v>46127</v>
      </c>
      <c r="E154" s="19">
        <v>46127</v>
      </c>
      <c r="J154" s="1">
        <v>5594</v>
      </c>
      <c r="K154" s="1" t="s">
        <v>21</v>
      </c>
      <c r="L154" s="1" t="s">
        <v>126</v>
      </c>
    </row>
    <row r="155" spans="1:20" ht="30" customHeight="1" x14ac:dyDescent="0.25">
      <c r="A155" s="1" t="s">
        <v>552</v>
      </c>
      <c r="B155" s="19">
        <v>46182</v>
      </c>
      <c r="C155" s="20">
        <v>46127</v>
      </c>
      <c r="D155" s="20">
        <v>46127</v>
      </c>
      <c r="E155" s="19">
        <v>46127</v>
      </c>
      <c r="F155" s="1" t="s">
        <v>281</v>
      </c>
      <c r="J155" s="1">
        <v>5595</v>
      </c>
      <c r="K155" s="1" t="s">
        <v>22</v>
      </c>
      <c r="L155" s="1" t="s">
        <v>282</v>
      </c>
      <c r="M155" s="1">
        <v>17300</v>
      </c>
      <c r="O155" s="1" t="s">
        <v>142</v>
      </c>
      <c r="T155" s="1" t="s">
        <v>267</v>
      </c>
    </row>
    <row r="156" spans="1:20" ht="30" customHeight="1" x14ac:dyDescent="0.25">
      <c r="A156" s="1" t="s">
        <v>553</v>
      </c>
      <c r="B156" s="19">
        <v>46182</v>
      </c>
      <c r="C156" s="20">
        <v>46128</v>
      </c>
      <c r="D156" s="20">
        <v>46128</v>
      </c>
      <c r="E156" s="19">
        <v>46128</v>
      </c>
      <c r="J156" s="1">
        <v>5596</v>
      </c>
      <c r="K156" s="1" t="s">
        <v>22</v>
      </c>
      <c r="L156" s="1" t="s">
        <v>126</v>
      </c>
    </row>
    <row r="157" spans="1:20" ht="30" customHeight="1" x14ac:dyDescent="0.25">
      <c r="A157" s="1" t="s">
        <v>554</v>
      </c>
      <c r="B157" s="19">
        <v>46182</v>
      </c>
      <c r="C157" s="20">
        <v>46129</v>
      </c>
      <c r="D157" s="20">
        <v>46129</v>
      </c>
      <c r="E157" s="19">
        <v>46129</v>
      </c>
      <c r="J157" s="1">
        <v>5597</v>
      </c>
      <c r="K157" s="1" t="s">
        <v>21</v>
      </c>
      <c r="L157" s="1" t="s">
        <v>126</v>
      </c>
      <c r="M157" s="1">
        <v>20000</v>
      </c>
      <c r="O157" s="1" t="s">
        <v>142</v>
      </c>
      <c r="T157" s="1" t="s">
        <v>283</v>
      </c>
    </row>
    <row r="158" spans="1:20" ht="30" customHeight="1" x14ac:dyDescent="0.25">
      <c r="A158" s="1" t="s">
        <v>555</v>
      </c>
      <c r="B158" s="19">
        <v>46182</v>
      </c>
      <c r="C158" s="20">
        <v>46129</v>
      </c>
      <c r="D158" s="20">
        <v>46129</v>
      </c>
      <c r="E158" s="19">
        <v>46129</v>
      </c>
      <c r="J158" s="1">
        <v>5598</v>
      </c>
      <c r="K158" s="1" t="s">
        <v>21</v>
      </c>
      <c r="L158" s="1" t="s">
        <v>126</v>
      </c>
      <c r="M158" s="1">
        <v>17000</v>
      </c>
      <c r="O158" s="1" t="s">
        <v>142</v>
      </c>
      <c r="T158" s="1" t="s">
        <v>284</v>
      </c>
    </row>
    <row r="159" spans="1:20" ht="30" customHeight="1" x14ac:dyDescent="0.25">
      <c r="A159" s="1" t="s">
        <v>556</v>
      </c>
      <c r="B159" s="19">
        <v>46182</v>
      </c>
      <c r="C159" s="20">
        <v>46132</v>
      </c>
      <c r="D159" s="20">
        <v>46132</v>
      </c>
      <c r="E159" s="19">
        <v>46132</v>
      </c>
      <c r="F159" s="1" t="s">
        <v>285</v>
      </c>
      <c r="J159" s="1">
        <v>5599</v>
      </c>
      <c r="K159" s="1" t="s">
        <v>22</v>
      </c>
      <c r="L159" s="1" t="s">
        <v>126</v>
      </c>
      <c r="M159" s="1">
        <v>25000</v>
      </c>
      <c r="O159" s="1" t="s">
        <v>142</v>
      </c>
      <c r="T159" s="1" t="s">
        <v>286</v>
      </c>
    </row>
    <row r="160" spans="1:20" ht="30" customHeight="1" x14ac:dyDescent="0.25">
      <c r="A160" s="1" t="s">
        <v>557</v>
      </c>
      <c r="B160" s="19">
        <v>46182</v>
      </c>
      <c r="C160" s="20">
        <v>46132</v>
      </c>
      <c r="D160" s="20">
        <v>46132</v>
      </c>
      <c r="E160" s="19">
        <v>46132</v>
      </c>
      <c r="F160" s="1" t="s">
        <v>287</v>
      </c>
      <c r="J160" s="1">
        <v>5600</v>
      </c>
      <c r="K160" s="1" t="s">
        <v>21</v>
      </c>
      <c r="L160" s="1" t="s">
        <v>110</v>
      </c>
      <c r="O160" s="1" t="s">
        <v>146</v>
      </c>
    </row>
    <row r="161" spans="1:20" ht="30" customHeight="1" x14ac:dyDescent="0.25">
      <c r="A161" s="1" t="s">
        <v>558</v>
      </c>
      <c r="B161" s="19">
        <v>46182</v>
      </c>
      <c r="C161" s="20">
        <v>46133</v>
      </c>
      <c r="D161" s="20">
        <v>46133</v>
      </c>
      <c r="E161" s="19">
        <v>46133</v>
      </c>
      <c r="J161" s="1">
        <v>5601</v>
      </c>
      <c r="K161" s="1" t="s">
        <v>22</v>
      </c>
      <c r="L161" s="1" t="s">
        <v>110</v>
      </c>
      <c r="M161" s="1">
        <v>30000</v>
      </c>
      <c r="O161" s="1" t="s">
        <v>142</v>
      </c>
      <c r="T161" s="1" t="s">
        <v>247</v>
      </c>
    </row>
    <row r="162" spans="1:20" ht="30" customHeight="1" x14ac:dyDescent="0.25">
      <c r="A162" s="1" t="s">
        <v>559</v>
      </c>
      <c r="B162" s="19">
        <v>46182</v>
      </c>
      <c r="C162" s="20">
        <v>46133</v>
      </c>
      <c r="D162" s="20">
        <v>46133</v>
      </c>
      <c r="E162" s="19">
        <v>46133</v>
      </c>
      <c r="J162" s="1">
        <v>5602</v>
      </c>
      <c r="K162" s="1" t="s">
        <v>21</v>
      </c>
      <c r="L162" s="1" t="s">
        <v>126</v>
      </c>
    </row>
    <row r="163" spans="1:20" ht="30" customHeight="1" x14ac:dyDescent="0.25">
      <c r="A163" s="1" t="s">
        <v>560</v>
      </c>
      <c r="B163" s="19">
        <v>46182</v>
      </c>
      <c r="C163" s="20">
        <v>46134</v>
      </c>
      <c r="D163" s="20">
        <v>46134</v>
      </c>
      <c r="E163" s="19">
        <v>46134</v>
      </c>
      <c r="J163" s="1">
        <v>5603</v>
      </c>
      <c r="K163" s="1" t="s">
        <v>22</v>
      </c>
      <c r="L163" s="1" t="s">
        <v>126</v>
      </c>
      <c r="M163" s="1">
        <v>25000</v>
      </c>
      <c r="O163" s="1" t="s">
        <v>142</v>
      </c>
      <c r="T163" s="1" t="s">
        <v>225</v>
      </c>
    </row>
    <row r="164" spans="1:20" ht="30" customHeight="1" x14ac:dyDescent="0.25">
      <c r="A164" s="1" t="s">
        <v>561</v>
      </c>
      <c r="B164" s="19">
        <v>46182</v>
      </c>
      <c r="C164" s="20">
        <v>46134</v>
      </c>
      <c r="D164" s="20">
        <v>46134</v>
      </c>
      <c r="E164" s="19">
        <v>46134</v>
      </c>
      <c r="J164" s="1">
        <v>5604</v>
      </c>
      <c r="K164" s="1" t="s">
        <v>22</v>
      </c>
      <c r="L164" s="1" t="s">
        <v>126</v>
      </c>
      <c r="M164" s="1">
        <v>21400</v>
      </c>
      <c r="O164" s="1" t="s">
        <v>142</v>
      </c>
      <c r="T164" s="1" t="s">
        <v>288</v>
      </c>
    </row>
    <row r="165" spans="1:20" ht="30" customHeight="1" x14ac:dyDescent="0.25">
      <c r="A165" s="1" t="s">
        <v>562</v>
      </c>
      <c r="B165" s="19">
        <v>46182</v>
      </c>
      <c r="C165" s="20">
        <v>46134</v>
      </c>
      <c r="D165" s="20">
        <v>46134</v>
      </c>
      <c r="E165" s="19">
        <v>46134</v>
      </c>
      <c r="J165" s="1">
        <v>5605</v>
      </c>
      <c r="K165" s="1" t="s">
        <v>22</v>
      </c>
      <c r="L165" s="1" t="s">
        <v>126</v>
      </c>
      <c r="M165" s="1">
        <v>17000</v>
      </c>
      <c r="N165" s="1">
        <v>1</v>
      </c>
      <c r="O165" s="1" t="s">
        <v>142</v>
      </c>
      <c r="P165" s="1" t="s">
        <v>130</v>
      </c>
      <c r="R165" s="1">
        <v>17000</v>
      </c>
      <c r="S165" s="1">
        <v>1</v>
      </c>
      <c r="T165" s="1" t="s">
        <v>289</v>
      </c>
    </row>
    <row r="166" spans="1:20" ht="30" customHeight="1" x14ac:dyDescent="0.25">
      <c r="A166" s="1" t="s">
        <v>563</v>
      </c>
      <c r="B166" s="19">
        <v>46182</v>
      </c>
      <c r="C166" s="20">
        <v>46134</v>
      </c>
      <c r="D166" s="20">
        <v>46134</v>
      </c>
      <c r="E166" s="19">
        <v>46134</v>
      </c>
      <c r="J166" s="1">
        <v>5606</v>
      </c>
      <c r="K166" s="1" t="s">
        <v>21</v>
      </c>
      <c r="L166" s="1" t="s">
        <v>126</v>
      </c>
    </row>
    <row r="167" spans="1:20" ht="30" customHeight="1" x14ac:dyDescent="0.25">
      <c r="A167" s="1" t="s">
        <v>564</v>
      </c>
      <c r="B167" s="19">
        <v>46182</v>
      </c>
      <c r="C167" s="20">
        <v>46136</v>
      </c>
      <c r="D167" s="20">
        <v>46136</v>
      </c>
      <c r="E167" s="19">
        <v>46136</v>
      </c>
      <c r="J167" s="1">
        <v>5607</v>
      </c>
      <c r="K167" s="1" t="s">
        <v>21</v>
      </c>
      <c r="L167" s="1" t="s">
        <v>126</v>
      </c>
      <c r="M167" s="1">
        <v>19000</v>
      </c>
      <c r="O167" s="1" t="s">
        <v>142</v>
      </c>
      <c r="T167" s="1" t="s">
        <v>290</v>
      </c>
    </row>
    <row r="168" spans="1:20" ht="30" customHeight="1" x14ac:dyDescent="0.25">
      <c r="A168" s="1" t="s">
        <v>565</v>
      </c>
      <c r="B168" s="19">
        <v>46182</v>
      </c>
      <c r="C168" s="20">
        <v>46136</v>
      </c>
      <c r="D168" s="20">
        <v>46136</v>
      </c>
      <c r="E168" s="19">
        <v>46136</v>
      </c>
      <c r="J168" s="1">
        <v>5608</v>
      </c>
      <c r="K168" s="1" t="s">
        <v>21</v>
      </c>
      <c r="L168" s="1" t="s">
        <v>126</v>
      </c>
      <c r="M168" s="1">
        <v>28000</v>
      </c>
      <c r="O168" s="1" t="s">
        <v>142</v>
      </c>
      <c r="T168" s="1" t="s">
        <v>291</v>
      </c>
    </row>
    <row r="169" spans="1:20" ht="30" customHeight="1" x14ac:dyDescent="0.25">
      <c r="A169" s="1" t="s">
        <v>566</v>
      </c>
      <c r="B169" s="19">
        <v>46182</v>
      </c>
      <c r="C169" s="20">
        <v>46136</v>
      </c>
      <c r="D169" s="20">
        <v>46136</v>
      </c>
      <c r="E169" s="19">
        <v>46136</v>
      </c>
      <c r="J169" s="1">
        <v>5609</v>
      </c>
      <c r="K169" s="1" t="s">
        <v>21</v>
      </c>
      <c r="L169" s="1" t="s">
        <v>126</v>
      </c>
      <c r="M169" s="1">
        <v>32000</v>
      </c>
      <c r="O169" s="1" t="s">
        <v>155</v>
      </c>
      <c r="T169" s="1" t="s">
        <v>247</v>
      </c>
    </row>
    <row r="170" spans="1:20" ht="45" customHeight="1" x14ac:dyDescent="0.25">
      <c r="A170" s="1" t="s">
        <v>567</v>
      </c>
      <c r="B170" s="19">
        <v>46182</v>
      </c>
      <c r="C170" s="20">
        <v>46139</v>
      </c>
      <c r="D170" s="20">
        <v>46139</v>
      </c>
      <c r="E170" s="19">
        <v>46139</v>
      </c>
      <c r="J170" s="1">
        <v>5610</v>
      </c>
      <c r="K170" s="1" t="s">
        <v>21</v>
      </c>
      <c r="L170" s="1" t="s">
        <v>126</v>
      </c>
      <c r="M170" s="1">
        <v>27000</v>
      </c>
      <c r="O170" s="1" t="s">
        <v>142</v>
      </c>
      <c r="T170" s="1" t="s">
        <v>292</v>
      </c>
    </row>
    <row r="171" spans="1:20" ht="30" customHeight="1" x14ac:dyDescent="0.25">
      <c r="A171" s="1" t="s">
        <v>568</v>
      </c>
      <c r="B171" s="19">
        <v>46182</v>
      </c>
      <c r="C171" s="20">
        <v>46139</v>
      </c>
      <c r="D171" s="20">
        <v>46504</v>
      </c>
      <c r="E171" s="19">
        <v>46504</v>
      </c>
      <c r="J171" s="1">
        <v>5611</v>
      </c>
      <c r="K171" s="1" t="s">
        <v>22</v>
      </c>
      <c r="L171" s="1" t="s">
        <v>126</v>
      </c>
      <c r="M171" s="1">
        <v>25000</v>
      </c>
      <c r="N171" s="1">
        <v>0.6</v>
      </c>
      <c r="O171" s="1" t="s">
        <v>293</v>
      </c>
      <c r="T171" s="1" t="s">
        <v>247</v>
      </c>
    </row>
    <row r="172" spans="1:20" ht="30" customHeight="1" x14ac:dyDescent="0.25">
      <c r="A172" s="1" t="s">
        <v>569</v>
      </c>
      <c r="B172" s="19">
        <v>46182</v>
      </c>
      <c r="C172" s="20">
        <v>46140</v>
      </c>
      <c r="D172" s="20">
        <v>46140</v>
      </c>
      <c r="E172" s="19">
        <v>46140</v>
      </c>
      <c r="J172" s="1">
        <v>5612</v>
      </c>
      <c r="K172" s="1" t="s">
        <v>22</v>
      </c>
      <c r="L172" s="1" t="s">
        <v>126</v>
      </c>
      <c r="M172" s="1">
        <v>15000</v>
      </c>
      <c r="O172" s="1" t="s">
        <v>142</v>
      </c>
      <c r="T172" s="1" t="s">
        <v>247</v>
      </c>
    </row>
    <row r="173" spans="1:20" ht="30" customHeight="1" x14ac:dyDescent="0.25">
      <c r="A173" s="1" t="s">
        <v>570</v>
      </c>
      <c r="B173" s="19">
        <v>46182</v>
      </c>
      <c r="C173" s="20">
        <v>46140</v>
      </c>
      <c r="D173" s="20">
        <v>46140</v>
      </c>
      <c r="E173" s="19">
        <v>46140</v>
      </c>
      <c r="J173" s="1">
        <v>5613</v>
      </c>
      <c r="K173" s="1" t="s">
        <v>21</v>
      </c>
      <c r="L173" s="1" t="s">
        <v>126</v>
      </c>
      <c r="O173" s="1" t="s">
        <v>129</v>
      </c>
      <c r="P173" s="1" t="s">
        <v>130</v>
      </c>
      <c r="S173" s="1">
        <v>1</v>
      </c>
    </row>
    <row r="174" spans="1:20" ht="30" customHeight="1" x14ac:dyDescent="0.25">
      <c r="A174" s="1" t="s">
        <v>571</v>
      </c>
      <c r="B174" s="19">
        <v>46182</v>
      </c>
      <c r="C174" s="20">
        <v>46141</v>
      </c>
      <c r="D174" s="20">
        <v>46141</v>
      </c>
      <c r="E174" s="19">
        <v>46141</v>
      </c>
      <c r="F174" s="1" t="s">
        <v>294</v>
      </c>
      <c r="J174" s="1">
        <v>5614</v>
      </c>
      <c r="K174" s="1" t="s">
        <v>22</v>
      </c>
      <c r="L174" s="1" t="s">
        <v>126</v>
      </c>
      <c r="M174" s="1">
        <v>105000</v>
      </c>
      <c r="N174" s="1">
        <v>0.6</v>
      </c>
      <c r="O174" s="1" t="s">
        <v>142</v>
      </c>
      <c r="T174" s="1" t="s">
        <v>267</v>
      </c>
    </row>
    <row r="175" spans="1:20" ht="30" customHeight="1" x14ac:dyDescent="0.25">
      <c r="A175" s="1" t="s">
        <v>572</v>
      </c>
      <c r="B175" s="19">
        <v>46182</v>
      </c>
      <c r="C175" s="20">
        <v>46141</v>
      </c>
      <c r="D175" s="20">
        <v>46141</v>
      </c>
      <c r="E175" s="19">
        <v>46141</v>
      </c>
      <c r="J175" s="1">
        <v>5615</v>
      </c>
      <c r="K175" s="1" t="s">
        <v>22</v>
      </c>
      <c r="L175" s="1" t="s">
        <v>110</v>
      </c>
    </row>
    <row r="176" spans="1:20" ht="60" customHeight="1" x14ac:dyDescent="0.25">
      <c r="A176" s="1" t="s">
        <v>573</v>
      </c>
      <c r="B176" s="19">
        <v>46182</v>
      </c>
      <c r="C176" s="20">
        <v>46141</v>
      </c>
      <c r="D176" s="20">
        <v>46141</v>
      </c>
      <c r="E176" s="19">
        <v>46141</v>
      </c>
      <c r="J176" s="1">
        <v>5616</v>
      </c>
      <c r="K176" s="1" t="s">
        <v>21</v>
      </c>
      <c r="L176" s="1" t="s">
        <v>126</v>
      </c>
      <c r="M176" s="1">
        <v>20000</v>
      </c>
      <c r="O176" s="1" t="s">
        <v>142</v>
      </c>
      <c r="T176" s="1" t="s">
        <v>295</v>
      </c>
    </row>
    <row r="177" spans="1:20" ht="30" customHeight="1" x14ac:dyDescent="0.25">
      <c r="A177" s="1" t="s">
        <v>574</v>
      </c>
      <c r="B177" s="19">
        <v>46182</v>
      </c>
      <c r="C177" s="20">
        <v>46141</v>
      </c>
      <c r="D177" s="20">
        <v>46141</v>
      </c>
      <c r="E177" s="19">
        <v>46141</v>
      </c>
      <c r="J177" s="1">
        <v>5617</v>
      </c>
      <c r="K177" s="1" t="s">
        <v>21</v>
      </c>
      <c r="L177" s="1" t="s">
        <v>126</v>
      </c>
      <c r="M177" s="1">
        <v>17000</v>
      </c>
      <c r="O177" s="1" t="s">
        <v>142</v>
      </c>
      <c r="T177" s="1" t="s">
        <v>296</v>
      </c>
    </row>
    <row r="178" spans="1:20" ht="30" customHeight="1" x14ac:dyDescent="0.25">
      <c r="A178" s="1" t="s">
        <v>575</v>
      </c>
      <c r="B178" s="19">
        <v>46182</v>
      </c>
      <c r="C178" s="20">
        <v>46141</v>
      </c>
      <c r="D178" s="20">
        <v>46141</v>
      </c>
      <c r="E178" s="19">
        <v>46141</v>
      </c>
      <c r="J178" s="1">
        <v>5618</v>
      </c>
      <c r="K178" s="1" t="s">
        <v>21</v>
      </c>
      <c r="L178" s="1" t="s">
        <v>145</v>
      </c>
      <c r="T178" s="1" t="s">
        <v>297</v>
      </c>
    </row>
    <row r="179" spans="1:20" ht="30" customHeight="1" x14ac:dyDescent="0.25">
      <c r="A179" s="1" t="s">
        <v>576</v>
      </c>
      <c r="B179" s="19">
        <v>46182</v>
      </c>
      <c r="C179" s="20">
        <v>46141</v>
      </c>
      <c r="D179" s="20">
        <v>46141</v>
      </c>
      <c r="E179" s="19">
        <v>46141</v>
      </c>
      <c r="J179" s="1">
        <v>5619</v>
      </c>
      <c r="K179" s="1" t="s">
        <v>21</v>
      </c>
      <c r="L179" s="1" t="s">
        <v>126</v>
      </c>
      <c r="M179" s="1">
        <v>25000</v>
      </c>
      <c r="O179" s="1" t="s">
        <v>142</v>
      </c>
    </row>
    <row r="180" spans="1:20" ht="30" customHeight="1" x14ac:dyDescent="0.25">
      <c r="A180" s="1" t="s">
        <v>577</v>
      </c>
      <c r="B180" s="19">
        <v>46182</v>
      </c>
      <c r="C180" s="20">
        <v>46141</v>
      </c>
      <c r="D180" s="20">
        <v>46141</v>
      </c>
      <c r="E180" s="19">
        <v>46141</v>
      </c>
      <c r="F180" s="1" t="s">
        <v>298</v>
      </c>
      <c r="J180" s="1">
        <v>5620</v>
      </c>
      <c r="K180" s="1" t="s">
        <v>22</v>
      </c>
      <c r="L180" s="1" t="s">
        <v>110</v>
      </c>
      <c r="M180" s="1">
        <v>18684</v>
      </c>
      <c r="N180" s="1">
        <v>1</v>
      </c>
      <c r="O180" s="1" t="s">
        <v>157</v>
      </c>
      <c r="P180" s="1" t="s">
        <v>130</v>
      </c>
      <c r="R180" s="1">
        <v>18684</v>
      </c>
      <c r="S180" s="1">
        <v>1</v>
      </c>
      <c r="T180" s="1" t="s">
        <v>299</v>
      </c>
    </row>
    <row r="181" spans="1:20" ht="30" customHeight="1" x14ac:dyDescent="0.25">
      <c r="A181" s="1" t="s">
        <v>578</v>
      </c>
      <c r="B181" s="19">
        <v>46182</v>
      </c>
      <c r="C181" s="20">
        <v>46149</v>
      </c>
      <c r="D181" s="20">
        <v>46149</v>
      </c>
      <c r="E181" s="19">
        <v>46149</v>
      </c>
      <c r="F181" s="1" t="s">
        <v>300</v>
      </c>
      <c r="J181" s="1">
        <v>5621</v>
      </c>
      <c r="K181" s="1" t="s">
        <v>22</v>
      </c>
      <c r="L181" s="1" t="s">
        <v>128</v>
      </c>
      <c r="M181" s="1">
        <v>23000</v>
      </c>
      <c r="N181" s="1">
        <v>0.6</v>
      </c>
      <c r="O181" s="1" t="s">
        <v>142</v>
      </c>
    </row>
    <row r="182" spans="1:20" ht="30" customHeight="1" x14ac:dyDescent="0.25">
      <c r="A182" s="1" t="s">
        <v>579</v>
      </c>
      <c r="B182" s="19">
        <v>46182</v>
      </c>
      <c r="C182" s="20">
        <v>46149</v>
      </c>
      <c r="E182" s="19">
        <v>46149</v>
      </c>
      <c r="J182" s="1">
        <v>5622</v>
      </c>
      <c r="K182" s="1" t="s">
        <v>21</v>
      </c>
      <c r="L182" s="1" t="s">
        <v>126</v>
      </c>
      <c r="M182" s="1">
        <v>11000</v>
      </c>
      <c r="O182" s="1" t="s">
        <v>142</v>
      </c>
      <c r="T182" s="1" t="s">
        <v>301</v>
      </c>
    </row>
    <row r="183" spans="1:20" ht="45" customHeight="1" x14ac:dyDescent="0.25">
      <c r="A183" s="1" t="s">
        <v>580</v>
      </c>
      <c r="B183" s="19">
        <v>46182</v>
      </c>
      <c r="C183" s="20">
        <v>46148</v>
      </c>
      <c r="D183" s="20">
        <v>46150</v>
      </c>
      <c r="E183" s="19">
        <v>46150</v>
      </c>
      <c r="J183" s="1">
        <v>5623</v>
      </c>
      <c r="K183" s="1" t="s">
        <v>21</v>
      </c>
      <c r="L183" s="1" t="s">
        <v>126</v>
      </c>
      <c r="M183" s="1">
        <v>30000</v>
      </c>
      <c r="O183" s="1" t="s">
        <v>142</v>
      </c>
      <c r="T183" s="1" t="s">
        <v>302</v>
      </c>
    </row>
    <row r="184" spans="1:20" ht="30" customHeight="1" x14ac:dyDescent="0.25">
      <c r="A184" s="1" t="s">
        <v>581</v>
      </c>
      <c r="B184" s="19">
        <v>46182</v>
      </c>
      <c r="C184" s="20">
        <v>46148</v>
      </c>
      <c r="D184" s="20">
        <v>46155</v>
      </c>
      <c r="E184" s="19">
        <v>46155</v>
      </c>
      <c r="F184" s="1" t="s">
        <v>303</v>
      </c>
      <c r="J184" s="1">
        <v>5624</v>
      </c>
      <c r="K184" s="1" t="s">
        <v>21</v>
      </c>
      <c r="L184" s="1" t="s">
        <v>126</v>
      </c>
      <c r="M184" s="1">
        <v>30000</v>
      </c>
      <c r="N184" s="1">
        <v>0.6</v>
      </c>
      <c r="O184" s="1" t="s">
        <v>142</v>
      </c>
      <c r="T184" s="1" t="s">
        <v>304</v>
      </c>
    </row>
    <row r="185" spans="1:20" ht="30" customHeight="1" x14ac:dyDescent="0.25">
      <c r="A185" s="1" t="s">
        <v>582</v>
      </c>
      <c r="B185" s="19">
        <v>46182</v>
      </c>
      <c r="C185" s="20">
        <v>46151</v>
      </c>
      <c r="D185" s="20">
        <v>46153</v>
      </c>
      <c r="E185" s="19">
        <v>46153</v>
      </c>
      <c r="F185" s="1" t="s">
        <v>305</v>
      </c>
      <c r="J185" s="1">
        <v>5625</v>
      </c>
      <c r="K185" s="1" t="s">
        <v>22</v>
      </c>
      <c r="L185" s="1" t="s">
        <v>110</v>
      </c>
      <c r="N185" s="1">
        <v>0.2</v>
      </c>
      <c r="O185" s="1" t="s">
        <v>146</v>
      </c>
    </row>
    <row r="186" spans="1:20" ht="30" customHeight="1" x14ac:dyDescent="0.25">
      <c r="A186" s="1" t="s">
        <v>583</v>
      </c>
      <c r="B186" s="19">
        <v>46182</v>
      </c>
      <c r="C186" s="20">
        <v>46151</v>
      </c>
      <c r="D186" s="20">
        <v>46151</v>
      </c>
      <c r="E186" s="19">
        <v>46151</v>
      </c>
      <c r="J186" s="1">
        <v>5626</v>
      </c>
      <c r="K186" s="1" t="s">
        <v>22</v>
      </c>
      <c r="L186" s="1" t="s">
        <v>126</v>
      </c>
      <c r="M186" s="1">
        <v>21600</v>
      </c>
      <c r="O186" s="1" t="s">
        <v>142</v>
      </c>
      <c r="T186" s="1" t="s">
        <v>267</v>
      </c>
    </row>
    <row r="187" spans="1:20" ht="30" customHeight="1" x14ac:dyDescent="0.25">
      <c r="A187" s="1" t="s">
        <v>584</v>
      </c>
      <c r="B187" s="19">
        <v>46182</v>
      </c>
      <c r="C187" s="20">
        <v>46156</v>
      </c>
      <c r="D187" s="20">
        <v>46157</v>
      </c>
      <c r="E187" s="19">
        <v>46157</v>
      </c>
      <c r="J187" s="1">
        <v>5627</v>
      </c>
      <c r="K187" s="1" t="s">
        <v>21</v>
      </c>
      <c r="L187" s="1" t="s">
        <v>126</v>
      </c>
      <c r="M187" s="1">
        <v>24000</v>
      </c>
      <c r="O187" s="1" t="s">
        <v>142</v>
      </c>
      <c r="T187" s="1" t="s">
        <v>278</v>
      </c>
    </row>
    <row r="188" spans="1:20" ht="30" customHeight="1" x14ac:dyDescent="0.25">
      <c r="A188" s="1" t="s">
        <v>585</v>
      </c>
      <c r="B188" s="19">
        <v>46182</v>
      </c>
      <c r="C188" s="20">
        <v>46160</v>
      </c>
      <c r="D188" s="20">
        <v>46160</v>
      </c>
      <c r="E188" s="19">
        <v>46160</v>
      </c>
      <c r="J188" s="1">
        <v>5628</v>
      </c>
      <c r="K188" s="1" t="s">
        <v>22</v>
      </c>
      <c r="L188" s="1" t="s">
        <v>126</v>
      </c>
      <c r="M188" s="1">
        <v>35000</v>
      </c>
      <c r="N188" s="1">
        <v>0.6</v>
      </c>
      <c r="O188" s="1" t="s">
        <v>142</v>
      </c>
    </row>
    <row r="189" spans="1:20" ht="30" customHeight="1" x14ac:dyDescent="0.25">
      <c r="A189" s="1" t="s">
        <v>586</v>
      </c>
      <c r="B189" s="19">
        <v>46182</v>
      </c>
      <c r="C189" s="20">
        <v>46160</v>
      </c>
      <c r="D189" s="20">
        <v>46160</v>
      </c>
      <c r="E189" s="19">
        <v>46160</v>
      </c>
      <c r="J189" s="1">
        <v>5629</v>
      </c>
      <c r="K189" s="1" t="s">
        <v>21</v>
      </c>
      <c r="L189" s="1" t="s">
        <v>126</v>
      </c>
      <c r="M189" s="1">
        <v>21000</v>
      </c>
      <c r="O189" s="1" t="s">
        <v>142</v>
      </c>
      <c r="T189" s="1" t="s">
        <v>306</v>
      </c>
    </row>
    <row r="190" spans="1:20" ht="30" customHeight="1" x14ac:dyDescent="0.25">
      <c r="A190" s="1" t="s">
        <v>587</v>
      </c>
      <c r="B190" s="19">
        <v>46182</v>
      </c>
      <c r="C190" s="20">
        <v>46161</v>
      </c>
      <c r="D190" s="20">
        <v>46161</v>
      </c>
      <c r="E190" s="19">
        <v>46161</v>
      </c>
      <c r="J190" s="1">
        <v>5630</v>
      </c>
      <c r="K190" s="1" t="s">
        <v>22</v>
      </c>
      <c r="L190" s="1" t="s">
        <v>126</v>
      </c>
      <c r="O190" s="1" t="s">
        <v>142</v>
      </c>
    </row>
    <row r="191" spans="1:20" ht="30" customHeight="1" x14ac:dyDescent="0.25">
      <c r="A191" s="1" t="s">
        <v>588</v>
      </c>
      <c r="B191" s="19">
        <v>46182</v>
      </c>
      <c r="C191" s="20">
        <v>46161</v>
      </c>
      <c r="D191" s="20">
        <v>46161</v>
      </c>
      <c r="E191" s="19">
        <v>46161</v>
      </c>
      <c r="J191" s="1">
        <v>5630</v>
      </c>
      <c r="K191" s="1" t="s">
        <v>21</v>
      </c>
      <c r="L191" s="1" t="s">
        <v>128</v>
      </c>
      <c r="M191" s="1">
        <v>23000</v>
      </c>
      <c r="O191" s="1" t="s">
        <v>157</v>
      </c>
      <c r="P191" s="1" t="s">
        <v>130</v>
      </c>
      <c r="R191" s="1">
        <v>23000</v>
      </c>
      <c r="S191" s="1">
        <v>1</v>
      </c>
      <c r="T191" s="1" t="s">
        <v>219</v>
      </c>
    </row>
    <row r="192" spans="1:20" ht="30" customHeight="1" x14ac:dyDescent="0.25">
      <c r="A192" s="1" t="s">
        <v>589</v>
      </c>
      <c r="B192" s="19">
        <v>46182</v>
      </c>
      <c r="C192" s="20">
        <v>46163</v>
      </c>
      <c r="D192" s="20">
        <v>46163</v>
      </c>
      <c r="E192" s="19">
        <v>46163</v>
      </c>
      <c r="J192" s="1">
        <v>5632</v>
      </c>
      <c r="K192" s="1" t="s">
        <v>22</v>
      </c>
      <c r="L192" s="1" t="s">
        <v>126</v>
      </c>
      <c r="M192" s="1">
        <v>30000</v>
      </c>
      <c r="N192" s="1">
        <v>0.6</v>
      </c>
      <c r="O192" s="1" t="s">
        <v>142</v>
      </c>
      <c r="T192" s="1" t="s">
        <v>247</v>
      </c>
    </row>
    <row r="193" spans="1:21" ht="30" customHeight="1" x14ac:dyDescent="0.25">
      <c r="A193" s="1" t="s">
        <v>590</v>
      </c>
      <c r="B193" s="19">
        <v>46182</v>
      </c>
      <c r="C193" s="20">
        <v>46164</v>
      </c>
      <c r="D193" s="20">
        <v>46164</v>
      </c>
      <c r="E193" s="19">
        <v>46164</v>
      </c>
      <c r="J193" s="1">
        <v>5633</v>
      </c>
      <c r="K193" s="1" t="s">
        <v>22</v>
      </c>
      <c r="L193" s="1" t="s">
        <v>145</v>
      </c>
      <c r="M193" s="1">
        <v>25000</v>
      </c>
      <c r="N193" s="1">
        <v>0.6</v>
      </c>
      <c r="O193" s="1" t="s">
        <v>142</v>
      </c>
    </row>
    <row r="194" spans="1:21" ht="30" customHeight="1" x14ac:dyDescent="0.25">
      <c r="A194" s="1" t="s">
        <v>591</v>
      </c>
      <c r="B194" s="19">
        <v>46182</v>
      </c>
      <c r="C194" s="20">
        <v>46167</v>
      </c>
      <c r="D194" s="20">
        <v>46167</v>
      </c>
      <c r="E194" s="19">
        <v>46167</v>
      </c>
      <c r="F194" s="1" t="s">
        <v>307</v>
      </c>
      <c r="J194" s="1">
        <v>5634</v>
      </c>
      <c r="K194" s="1" t="s">
        <v>22</v>
      </c>
      <c r="L194" s="1" t="s">
        <v>110</v>
      </c>
      <c r="M194" s="1">
        <v>17000</v>
      </c>
      <c r="N194" s="1">
        <v>0.6</v>
      </c>
      <c r="O194" s="1" t="s">
        <v>142</v>
      </c>
      <c r="T194" s="1" t="s">
        <v>267</v>
      </c>
    </row>
    <row r="195" spans="1:21" ht="30" customHeight="1" x14ac:dyDescent="0.25">
      <c r="A195" s="1" t="s">
        <v>592</v>
      </c>
      <c r="B195" s="19">
        <v>46182</v>
      </c>
      <c r="C195" s="20">
        <v>46169</v>
      </c>
      <c r="D195" s="20">
        <v>46169</v>
      </c>
      <c r="E195" s="19">
        <v>46169</v>
      </c>
      <c r="J195" s="1">
        <v>5635</v>
      </c>
      <c r="K195" s="1" t="s">
        <v>21</v>
      </c>
      <c r="L195" s="1" t="s">
        <v>128</v>
      </c>
      <c r="M195" s="1">
        <v>25000</v>
      </c>
      <c r="O195" s="1" t="s">
        <v>142</v>
      </c>
      <c r="T195" s="1" t="s">
        <v>308</v>
      </c>
    </row>
    <row r="196" spans="1:21" ht="30" customHeight="1" x14ac:dyDescent="0.25">
      <c r="A196" s="1" t="s">
        <v>593</v>
      </c>
      <c r="B196" s="19">
        <v>46182</v>
      </c>
      <c r="C196" s="20">
        <v>47266</v>
      </c>
      <c r="D196" s="20">
        <v>46170</v>
      </c>
      <c r="E196" s="19">
        <v>46170</v>
      </c>
      <c r="J196" s="1">
        <v>5636</v>
      </c>
      <c r="K196" s="1" t="s">
        <v>21</v>
      </c>
      <c r="L196" s="1" t="s">
        <v>126</v>
      </c>
      <c r="M196" s="1">
        <v>17000</v>
      </c>
      <c r="O196" s="1" t="s">
        <v>142</v>
      </c>
      <c r="T196" s="1" t="s">
        <v>309</v>
      </c>
    </row>
    <row r="197" spans="1:21" ht="30" customHeight="1" x14ac:dyDescent="0.25">
      <c r="A197" s="1" t="s">
        <v>594</v>
      </c>
      <c r="B197" s="19">
        <v>46182</v>
      </c>
      <c r="C197" s="20">
        <v>46170</v>
      </c>
      <c r="D197" s="20">
        <v>46170</v>
      </c>
      <c r="E197" s="19">
        <v>46170</v>
      </c>
      <c r="F197" s="1" t="s">
        <v>310</v>
      </c>
      <c r="J197" s="1">
        <v>5637</v>
      </c>
      <c r="K197" s="1" t="s">
        <v>22</v>
      </c>
      <c r="L197" s="1" t="s">
        <v>126</v>
      </c>
      <c r="M197" s="1">
        <v>20000</v>
      </c>
      <c r="N197" s="1">
        <v>0.6</v>
      </c>
      <c r="O197" s="1" t="s">
        <v>142</v>
      </c>
      <c r="T197" s="1" t="s">
        <v>267</v>
      </c>
    </row>
    <row r="198" spans="1:21" ht="60" customHeight="1" x14ac:dyDescent="0.25">
      <c r="A198" s="1" t="s">
        <v>595</v>
      </c>
      <c r="B198" s="19">
        <v>46182</v>
      </c>
      <c r="C198" s="20">
        <v>46170</v>
      </c>
      <c r="D198" s="20">
        <v>46170</v>
      </c>
      <c r="E198" s="19">
        <v>46170</v>
      </c>
      <c r="F198" s="1" t="s">
        <v>311</v>
      </c>
      <c r="J198" s="1">
        <v>5638</v>
      </c>
      <c r="K198" s="1" t="s">
        <v>22</v>
      </c>
      <c r="L198" s="1" t="s">
        <v>126</v>
      </c>
      <c r="M198" s="1">
        <v>19000</v>
      </c>
      <c r="N198" s="1">
        <v>0.6</v>
      </c>
      <c r="O198" s="1" t="s">
        <v>142</v>
      </c>
      <c r="Q198" s="1" t="s">
        <v>307</v>
      </c>
      <c r="T198" s="1" t="s">
        <v>267</v>
      </c>
    </row>
    <row r="199" spans="1:21" ht="45" customHeight="1" x14ac:dyDescent="0.25">
      <c r="A199" s="1" t="s">
        <v>596</v>
      </c>
      <c r="B199" s="19">
        <v>46182</v>
      </c>
      <c r="C199" s="20">
        <v>46170</v>
      </c>
      <c r="D199" s="20">
        <v>46170</v>
      </c>
      <c r="E199" s="19">
        <v>46170</v>
      </c>
      <c r="F199" s="1" t="s">
        <v>312</v>
      </c>
      <c r="J199" s="1">
        <v>5639</v>
      </c>
      <c r="K199" s="1" t="s">
        <v>21</v>
      </c>
      <c r="L199" s="1" t="s">
        <v>126</v>
      </c>
      <c r="M199" s="1">
        <v>25000</v>
      </c>
      <c r="O199" s="1" t="s">
        <v>142</v>
      </c>
      <c r="P199" s="1" t="s">
        <v>134</v>
      </c>
      <c r="T199" s="1" t="s">
        <v>313</v>
      </c>
      <c r="U199" s="1" t="s">
        <v>198</v>
      </c>
    </row>
    <row r="200" spans="1:21" ht="30" customHeight="1" x14ac:dyDescent="0.25">
      <c r="A200" s="1" t="s">
        <v>597</v>
      </c>
      <c r="B200" s="19">
        <v>46182</v>
      </c>
      <c r="C200" s="20">
        <v>46170</v>
      </c>
      <c r="D200" s="20">
        <v>46170</v>
      </c>
      <c r="E200" s="19">
        <v>46170</v>
      </c>
      <c r="J200" s="1">
        <v>5640</v>
      </c>
      <c r="K200" s="1" t="s">
        <v>22</v>
      </c>
      <c r="L200" s="1" t="s">
        <v>126</v>
      </c>
      <c r="M200" s="1">
        <v>29000</v>
      </c>
      <c r="N200" s="1">
        <v>0.6</v>
      </c>
      <c r="O200" s="1" t="s">
        <v>142</v>
      </c>
      <c r="T200" s="1" t="s">
        <v>314</v>
      </c>
    </row>
    <row r="201" spans="1:21" ht="30" customHeight="1" x14ac:dyDescent="0.25">
      <c r="A201" s="1" t="s">
        <v>598</v>
      </c>
      <c r="B201" s="19">
        <v>46182</v>
      </c>
      <c r="C201" s="20">
        <v>46170</v>
      </c>
      <c r="D201" s="20">
        <v>46170</v>
      </c>
      <c r="E201" s="19">
        <v>46170</v>
      </c>
      <c r="J201" s="1">
        <v>5641</v>
      </c>
      <c r="K201" s="1" t="s">
        <v>21</v>
      </c>
      <c r="L201" s="1" t="s">
        <v>126</v>
      </c>
      <c r="M201" s="1">
        <v>20000</v>
      </c>
      <c r="O201" s="1" t="s">
        <v>142</v>
      </c>
    </row>
    <row r="202" spans="1:21" ht="30" customHeight="1" x14ac:dyDescent="0.25">
      <c r="A202" s="1" t="s">
        <v>599</v>
      </c>
      <c r="B202" s="19">
        <v>46182</v>
      </c>
      <c r="C202" s="20">
        <v>46170</v>
      </c>
      <c r="D202" s="20">
        <v>46170</v>
      </c>
      <c r="E202" s="19">
        <v>46170</v>
      </c>
      <c r="J202" s="1">
        <v>5642</v>
      </c>
      <c r="K202" s="1" t="s">
        <v>21</v>
      </c>
      <c r="L202" s="1" t="s">
        <v>126</v>
      </c>
      <c r="M202" s="1">
        <v>25000</v>
      </c>
      <c r="O202" s="1" t="s">
        <v>142</v>
      </c>
      <c r="T202" s="1" t="s">
        <v>315</v>
      </c>
    </row>
    <row r="203" spans="1:21" ht="30" customHeight="1" x14ac:dyDescent="0.25">
      <c r="A203" s="1" t="s">
        <v>600</v>
      </c>
      <c r="B203" s="19">
        <v>46182</v>
      </c>
      <c r="C203" s="20">
        <v>46174</v>
      </c>
      <c r="D203" s="20">
        <v>46174</v>
      </c>
      <c r="E203" s="19">
        <v>46174</v>
      </c>
      <c r="J203" s="1">
        <v>5643</v>
      </c>
      <c r="K203" s="1" t="s">
        <v>21</v>
      </c>
      <c r="L203" s="1" t="s">
        <v>126</v>
      </c>
      <c r="M203" s="1">
        <v>22000</v>
      </c>
      <c r="O203" s="1" t="s">
        <v>142</v>
      </c>
      <c r="T203" s="1" t="s">
        <v>316</v>
      </c>
    </row>
    <row r="204" spans="1:21" ht="30" customHeight="1" x14ac:dyDescent="0.25">
      <c r="A204" s="1" t="s">
        <v>601</v>
      </c>
      <c r="B204" s="19">
        <v>46182</v>
      </c>
      <c r="C204" s="20">
        <v>46174</v>
      </c>
      <c r="D204" s="20">
        <v>46174</v>
      </c>
      <c r="E204" s="19">
        <v>46174</v>
      </c>
      <c r="J204" s="1">
        <v>5644</v>
      </c>
      <c r="K204" s="1" t="s">
        <v>22</v>
      </c>
      <c r="L204" s="1" t="s">
        <v>126</v>
      </c>
      <c r="M204" s="1">
        <v>56000</v>
      </c>
      <c r="O204" s="1" t="s">
        <v>142</v>
      </c>
      <c r="T204" s="1" t="s">
        <v>317</v>
      </c>
    </row>
    <row r="205" spans="1:21" ht="30" customHeight="1" x14ac:dyDescent="0.25">
      <c r="A205" s="1" t="s">
        <v>602</v>
      </c>
      <c r="B205" s="19">
        <v>46182</v>
      </c>
      <c r="C205" s="20">
        <v>46174</v>
      </c>
      <c r="D205" s="20">
        <v>46174</v>
      </c>
      <c r="E205" s="19">
        <v>46174</v>
      </c>
      <c r="J205" s="1">
        <v>5645</v>
      </c>
      <c r="K205" s="1" t="s">
        <v>21</v>
      </c>
      <c r="L205" s="1" t="s">
        <v>126</v>
      </c>
      <c r="M205" s="1">
        <v>24000</v>
      </c>
      <c r="O205" s="1" t="s">
        <v>142</v>
      </c>
      <c r="T205" s="1" t="s">
        <v>318</v>
      </c>
    </row>
    <row r="206" spans="1:21" ht="30" customHeight="1" x14ac:dyDescent="0.25">
      <c r="A206" s="1" t="s">
        <v>603</v>
      </c>
      <c r="B206" s="19">
        <v>46182</v>
      </c>
      <c r="C206" s="20">
        <v>46174</v>
      </c>
      <c r="D206" s="20">
        <v>46174</v>
      </c>
      <c r="E206" s="19">
        <v>46174</v>
      </c>
      <c r="F206" s="1" t="s">
        <v>243</v>
      </c>
      <c r="J206" s="1">
        <v>5646</v>
      </c>
      <c r="K206" s="1" t="s">
        <v>21</v>
      </c>
      <c r="L206" s="1" t="s">
        <v>126</v>
      </c>
      <c r="M206" s="1">
        <v>48000</v>
      </c>
      <c r="O206" s="1" t="s">
        <v>142</v>
      </c>
      <c r="T206" s="1" t="s">
        <v>319</v>
      </c>
    </row>
    <row r="207" spans="1:21" ht="30" customHeight="1" x14ac:dyDescent="0.25">
      <c r="A207" s="1" t="s">
        <v>604</v>
      </c>
      <c r="B207" s="19">
        <v>46182</v>
      </c>
      <c r="C207" s="20">
        <v>46174</v>
      </c>
      <c r="D207" s="20">
        <v>46174</v>
      </c>
      <c r="E207" s="19">
        <v>46174</v>
      </c>
      <c r="F207" s="1" t="s">
        <v>320</v>
      </c>
      <c r="J207" s="1">
        <v>5647</v>
      </c>
      <c r="K207" s="1" t="s">
        <v>22</v>
      </c>
      <c r="L207" s="1" t="s">
        <v>126</v>
      </c>
      <c r="M207" s="1">
        <v>40000</v>
      </c>
      <c r="N207" s="1">
        <v>0.6</v>
      </c>
      <c r="O207" s="1" t="s">
        <v>142</v>
      </c>
      <c r="T207" s="1" t="s">
        <v>321</v>
      </c>
    </row>
    <row r="208" spans="1:21" ht="30" customHeight="1" x14ac:dyDescent="0.25">
      <c r="A208" s="1" t="s">
        <v>605</v>
      </c>
      <c r="B208" s="19">
        <v>46182</v>
      </c>
      <c r="C208" s="20">
        <v>46175</v>
      </c>
      <c r="D208" s="20">
        <v>46175</v>
      </c>
      <c r="E208" s="19">
        <v>46175</v>
      </c>
      <c r="J208" s="1">
        <v>5648</v>
      </c>
      <c r="K208" s="1" t="s">
        <v>22</v>
      </c>
      <c r="L208" s="1" t="s">
        <v>126</v>
      </c>
      <c r="M208" s="1">
        <v>22000</v>
      </c>
      <c r="N208" s="1">
        <v>0.6</v>
      </c>
      <c r="O208" s="1" t="s">
        <v>142</v>
      </c>
      <c r="T208" s="1" t="s">
        <v>322</v>
      </c>
    </row>
    <row r="209" spans="1:21" ht="30" customHeight="1" x14ac:dyDescent="0.25">
      <c r="A209" s="1" t="s">
        <v>606</v>
      </c>
      <c r="B209" s="19">
        <v>46182</v>
      </c>
      <c r="C209" s="20">
        <v>46175</v>
      </c>
      <c r="D209" s="20">
        <v>46175</v>
      </c>
      <c r="E209" s="19">
        <v>46175</v>
      </c>
      <c r="J209" s="1">
        <v>5650</v>
      </c>
      <c r="K209" s="1" t="s">
        <v>21</v>
      </c>
      <c r="L209" s="1" t="s">
        <v>126</v>
      </c>
      <c r="M209" s="1">
        <v>23000</v>
      </c>
      <c r="O209" s="1" t="s">
        <v>142</v>
      </c>
      <c r="T209" s="1" t="s">
        <v>323</v>
      </c>
    </row>
    <row r="210" spans="1:21" ht="30" customHeight="1" x14ac:dyDescent="0.25">
      <c r="A210" s="1" t="s">
        <v>607</v>
      </c>
      <c r="B210" s="19">
        <v>46182</v>
      </c>
      <c r="C210" s="20">
        <v>46175</v>
      </c>
      <c r="D210" s="20">
        <v>46175</v>
      </c>
      <c r="E210" s="19">
        <v>46175</v>
      </c>
      <c r="J210" s="1">
        <v>5651</v>
      </c>
      <c r="K210" s="1" t="s">
        <v>22</v>
      </c>
      <c r="L210" s="1" t="s">
        <v>126</v>
      </c>
      <c r="M210" s="1">
        <v>49000</v>
      </c>
      <c r="N210" s="1">
        <v>0.6</v>
      </c>
      <c r="O210" s="1" t="s">
        <v>142</v>
      </c>
      <c r="T210" s="1" t="s">
        <v>324</v>
      </c>
    </row>
    <row r="211" spans="1:21" ht="30" customHeight="1" x14ac:dyDescent="0.25">
      <c r="A211" s="1" t="s">
        <v>608</v>
      </c>
      <c r="B211" s="19">
        <v>46182</v>
      </c>
      <c r="C211" s="20">
        <v>46178</v>
      </c>
      <c r="D211" s="20">
        <v>46178</v>
      </c>
      <c r="E211" s="19">
        <v>46178</v>
      </c>
      <c r="J211" s="1">
        <v>5652</v>
      </c>
      <c r="K211" s="1" t="s">
        <v>22</v>
      </c>
      <c r="L211" s="1" t="s">
        <v>126</v>
      </c>
      <c r="M211" s="1">
        <v>31000</v>
      </c>
      <c r="N211" s="1">
        <v>0.6</v>
      </c>
      <c r="O211" s="1" t="s">
        <v>142</v>
      </c>
      <c r="T211" s="1" t="s">
        <v>325</v>
      </c>
    </row>
    <row r="212" spans="1:21" ht="30" customHeight="1" x14ac:dyDescent="0.25">
      <c r="A212" s="1" t="s">
        <v>609</v>
      </c>
      <c r="B212" s="19">
        <v>46182</v>
      </c>
      <c r="C212" s="20">
        <v>46178</v>
      </c>
      <c r="D212" s="20">
        <v>46178</v>
      </c>
      <c r="E212" s="19">
        <v>46178</v>
      </c>
      <c r="F212" s="1" t="s">
        <v>326</v>
      </c>
      <c r="J212" s="1">
        <v>5653</v>
      </c>
      <c r="K212" s="1" t="s">
        <v>21</v>
      </c>
      <c r="L212" s="1" t="s">
        <v>145</v>
      </c>
      <c r="M212" s="1">
        <v>23000</v>
      </c>
      <c r="O212" s="1" t="s">
        <v>142</v>
      </c>
      <c r="P212" s="1" t="s">
        <v>134</v>
      </c>
      <c r="T212" s="1" t="s">
        <v>327</v>
      </c>
      <c r="U212" s="1" t="s">
        <v>150</v>
      </c>
    </row>
    <row r="213" spans="1:21" ht="30" customHeight="1" x14ac:dyDescent="0.25">
      <c r="A213" s="1" t="s">
        <v>610</v>
      </c>
      <c r="B213" s="19">
        <v>46182</v>
      </c>
      <c r="C213" s="20">
        <v>46178</v>
      </c>
      <c r="D213" s="20">
        <v>46178</v>
      </c>
      <c r="E213" s="19">
        <v>46178</v>
      </c>
      <c r="J213" s="1">
        <v>5654</v>
      </c>
      <c r="K213" s="1" t="s">
        <v>22</v>
      </c>
      <c r="L213" s="1" t="s">
        <v>110</v>
      </c>
      <c r="M213" s="1">
        <v>80000</v>
      </c>
      <c r="N213" s="1">
        <v>0.6</v>
      </c>
      <c r="O213" s="1" t="s">
        <v>142</v>
      </c>
      <c r="T213" s="1" t="s">
        <v>328</v>
      </c>
    </row>
    <row r="214" spans="1:21" ht="30" customHeight="1" x14ac:dyDescent="0.25">
      <c r="A214" s="1" t="s">
        <v>611</v>
      </c>
      <c r="B214" s="19">
        <v>46182</v>
      </c>
      <c r="C214" s="20">
        <v>46181</v>
      </c>
      <c r="D214" s="20">
        <v>46181</v>
      </c>
      <c r="E214" s="19">
        <v>46181</v>
      </c>
      <c r="J214" s="1">
        <v>5655</v>
      </c>
      <c r="K214" s="1" t="s">
        <v>21</v>
      </c>
      <c r="L214" s="1" t="s">
        <v>145</v>
      </c>
      <c r="M214" s="1">
        <v>21000</v>
      </c>
      <c r="O214" s="1" t="s">
        <v>142</v>
      </c>
      <c r="T214" s="1" t="s">
        <v>329</v>
      </c>
    </row>
    <row r="215" spans="1:21" ht="30" customHeight="1" x14ac:dyDescent="0.25">
      <c r="A215" s="1" t="s">
        <v>612</v>
      </c>
      <c r="B215" s="19">
        <v>46182</v>
      </c>
      <c r="C215" s="20">
        <v>46181</v>
      </c>
      <c r="D215" s="20">
        <v>46181</v>
      </c>
      <c r="E215" s="19">
        <v>46181</v>
      </c>
      <c r="J215" s="1">
        <v>5656</v>
      </c>
      <c r="K215" s="1" t="s">
        <v>22</v>
      </c>
      <c r="L215" s="1" t="s">
        <v>126</v>
      </c>
      <c r="M215" s="1">
        <v>22000</v>
      </c>
      <c r="N215" s="1">
        <v>0.6</v>
      </c>
      <c r="O215" s="1" t="s">
        <v>142</v>
      </c>
      <c r="T215" s="1" t="s">
        <v>330</v>
      </c>
    </row>
    <row r="216" spans="1:21" ht="30" customHeight="1" x14ac:dyDescent="0.25">
      <c r="A216" s="1" t="s">
        <v>613</v>
      </c>
      <c r="B216" s="19">
        <v>46182</v>
      </c>
      <c r="C216" s="20">
        <v>46181</v>
      </c>
      <c r="D216" s="20">
        <v>46181</v>
      </c>
      <c r="E216" s="19">
        <v>46181</v>
      </c>
      <c r="J216" s="1">
        <v>5657</v>
      </c>
      <c r="K216" s="1" t="s">
        <v>22</v>
      </c>
      <c r="L216" s="1" t="s">
        <v>126</v>
      </c>
      <c r="M216" s="1">
        <v>20000</v>
      </c>
      <c r="N216" s="1">
        <v>0.4</v>
      </c>
      <c r="O216" s="1" t="s">
        <v>155</v>
      </c>
      <c r="T216" s="1" t="s">
        <v>331</v>
      </c>
    </row>
    <row r="217" spans="1:21" ht="30" customHeight="1" x14ac:dyDescent="0.25">
      <c r="A217" s="1" t="s">
        <v>614</v>
      </c>
      <c r="B217" s="19">
        <v>46182</v>
      </c>
      <c r="C217" s="20">
        <v>46182</v>
      </c>
      <c r="D217" s="20">
        <v>46182</v>
      </c>
      <c r="E217" s="19">
        <v>46182</v>
      </c>
      <c r="J217" s="1">
        <v>5658</v>
      </c>
      <c r="K217" s="1" t="s">
        <v>22</v>
      </c>
      <c r="L217" s="1" t="s">
        <v>126</v>
      </c>
      <c r="M217" s="1">
        <v>22000</v>
      </c>
      <c r="O217" s="1" t="s">
        <v>142</v>
      </c>
      <c r="T217" s="1" t="s">
        <v>332</v>
      </c>
    </row>
    <row r="218" spans="1:21" ht="30" customHeight="1" x14ac:dyDescent="0.25">
      <c r="A218" s="1" t="s">
        <v>615</v>
      </c>
      <c r="B218" s="19">
        <v>46182</v>
      </c>
      <c r="J218" s="1">
        <v>5659</v>
      </c>
    </row>
    <row r="219" spans="1:21" ht="30" customHeight="1" x14ac:dyDescent="0.25">
      <c r="A219" s="1" t="s">
        <v>616</v>
      </c>
      <c r="B219" s="19">
        <v>46182</v>
      </c>
      <c r="J219" s="1">
        <v>5660</v>
      </c>
    </row>
    <row r="220" spans="1:21" ht="30" customHeight="1" x14ac:dyDescent="0.25">
      <c r="A220" s="1" t="s">
        <v>617</v>
      </c>
      <c r="B220" s="19">
        <v>46182</v>
      </c>
      <c r="J220" s="1">
        <v>5661</v>
      </c>
    </row>
    <row r="221" spans="1:21" ht="30" customHeight="1" x14ac:dyDescent="0.25">
      <c r="A221" s="1" t="s">
        <v>618</v>
      </c>
      <c r="B221" s="19">
        <v>46182</v>
      </c>
      <c r="J221" s="1">
        <v>5662</v>
      </c>
    </row>
    <row r="222" spans="1:21" ht="30" customHeight="1" x14ac:dyDescent="0.25">
      <c r="A222" s="1" t="s">
        <v>619</v>
      </c>
      <c r="B222" s="19">
        <v>46182</v>
      </c>
      <c r="J222" s="1">
        <v>5663</v>
      </c>
    </row>
    <row r="223" spans="1:21" ht="30" customHeight="1" x14ac:dyDescent="0.25">
      <c r="A223" s="1" t="s">
        <v>620</v>
      </c>
      <c r="B223" s="19">
        <v>46182</v>
      </c>
      <c r="J223" s="1">
        <v>5664</v>
      </c>
    </row>
    <row r="224" spans="1:21" ht="30" customHeight="1" x14ac:dyDescent="0.25">
      <c r="A224" s="1" t="s">
        <v>621</v>
      </c>
      <c r="B224" s="19">
        <v>46182</v>
      </c>
      <c r="J224" s="1">
        <v>5665</v>
      </c>
    </row>
    <row r="225" spans="1:10" ht="30" customHeight="1" x14ac:dyDescent="0.25">
      <c r="A225" s="1" t="s">
        <v>622</v>
      </c>
      <c r="B225" s="19">
        <v>46182</v>
      </c>
      <c r="J225" s="1">
        <v>5666</v>
      </c>
    </row>
    <row r="226" spans="1:10" ht="30" customHeight="1" x14ac:dyDescent="0.25">
      <c r="A226" s="1" t="s">
        <v>623</v>
      </c>
      <c r="B226" s="19">
        <v>46182</v>
      </c>
      <c r="J226" s="1">
        <v>5667</v>
      </c>
    </row>
    <row r="227" spans="1:10" ht="30" customHeight="1" x14ac:dyDescent="0.25">
      <c r="A227" s="1" t="s">
        <v>624</v>
      </c>
      <c r="B227" s="19">
        <v>46182</v>
      </c>
      <c r="J227" s="1">
        <v>5668</v>
      </c>
    </row>
    <row r="228" spans="1:10" ht="30" customHeight="1" x14ac:dyDescent="0.25">
      <c r="A228" s="1" t="s">
        <v>625</v>
      </c>
      <c r="B228" s="19">
        <v>46182</v>
      </c>
      <c r="J228" s="1">
        <v>5669</v>
      </c>
    </row>
    <row r="229" spans="1:10" ht="30" customHeight="1" x14ac:dyDescent="0.25">
      <c r="A229" s="1" t="s">
        <v>626</v>
      </c>
      <c r="B229" s="19">
        <v>46182</v>
      </c>
      <c r="J229" s="1">
        <v>5670</v>
      </c>
    </row>
    <row r="230" spans="1:10" ht="30" customHeight="1" x14ac:dyDescent="0.25">
      <c r="A230" s="1" t="s">
        <v>627</v>
      </c>
      <c r="B230" s="19">
        <v>46182</v>
      </c>
      <c r="J230" s="1">
        <v>5671</v>
      </c>
    </row>
    <row r="231" spans="1:10" ht="30" customHeight="1" x14ac:dyDescent="0.25">
      <c r="A231" s="1" t="s">
        <v>628</v>
      </c>
      <c r="B231" s="19">
        <v>46182</v>
      </c>
      <c r="J231" s="1">
        <v>5672</v>
      </c>
    </row>
    <row r="232" spans="1:10" ht="30" customHeight="1" x14ac:dyDescent="0.25">
      <c r="A232" s="1" t="s">
        <v>629</v>
      </c>
      <c r="B232" s="19">
        <v>46182</v>
      </c>
      <c r="J232" s="1">
        <v>5673</v>
      </c>
    </row>
    <row r="233" spans="1:10" ht="30" customHeight="1" x14ac:dyDescent="0.25">
      <c r="A233" s="1" t="s">
        <v>630</v>
      </c>
      <c r="B233" s="19">
        <v>46182</v>
      </c>
      <c r="J233" s="1">
        <v>5674</v>
      </c>
    </row>
    <row r="234" spans="1:10" ht="30" customHeight="1" x14ac:dyDescent="0.25">
      <c r="A234" s="1" t="s">
        <v>631</v>
      </c>
      <c r="B234" s="19">
        <v>46182</v>
      </c>
      <c r="J234" s="1">
        <v>5675</v>
      </c>
    </row>
    <row r="235" spans="1:10" ht="30" customHeight="1" x14ac:dyDescent="0.25">
      <c r="A235" s="1" t="s">
        <v>632</v>
      </c>
      <c r="B235" s="19">
        <v>46182</v>
      </c>
      <c r="J235" s="1">
        <v>5676</v>
      </c>
    </row>
    <row r="236" spans="1:10" ht="30" customHeight="1" x14ac:dyDescent="0.25">
      <c r="A236" s="1" t="s">
        <v>633</v>
      </c>
      <c r="B236" s="19">
        <v>46182</v>
      </c>
      <c r="J236" s="1">
        <v>5677</v>
      </c>
    </row>
    <row r="237" spans="1:10" ht="30" customHeight="1" x14ac:dyDescent="0.25">
      <c r="A237" s="1" t="s">
        <v>634</v>
      </c>
      <c r="B237" s="19">
        <v>46182</v>
      </c>
      <c r="J237" s="1">
        <v>5678</v>
      </c>
    </row>
    <row r="238" spans="1:10" ht="30" customHeight="1" x14ac:dyDescent="0.25">
      <c r="A238" s="1" t="s">
        <v>635</v>
      </c>
      <c r="B238" s="19">
        <v>46182</v>
      </c>
      <c r="J238" s="1">
        <v>5679</v>
      </c>
    </row>
    <row r="239" spans="1:10" ht="30" customHeight="1" x14ac:dyDescent="0.25">
      <c r="A239" s="1" t="s">
        <v>636</v>
      </c>
      <c r="B239" s="19">
        <v>46182</v>
      </c>
      <c r="J239" s="1">
        <v>5680</v>
      </c>
    </row>
    <row r="240" spans="1:10" ht="30" customHeight="1" x14ac:dyDescent="0.25">
      <c r="A240" s="1" t="s">
        <v>637</v>
      </c>
      <c r="B240" s="19">
        <v>46182</v>
      </c>
      <c r="J240" s="1">
        <v>5681</v>
      </c>
    </row>
    <row r="241" spans="1:10" ht="30" customHeight="1" x14ac:dyDescent="0.25">
      <c r="A241" s="1" t="s">
        <v>638</v>
      </c>
      <c r="B241" s="19">
        <v>46182</v>
      </c>
      <c r="J241" s="1">
        <v>5682</v>
      </c>
    </row>
    <row r="242" spans="1:10" ht="30" customHeight="1" x14ac:dyDescent="0.25">
      <c r="A242" s="1" t="s">
        <v>639</v>
      </c>
      <c r="B242" s="19">
        <v>46182</v>
      </c>
      <c r="J242" s="1">
        <v>5683</v>
      </c>
    </row>
    <row r="243" spans="1:10" ht="30" customHeight="1" x14ac:dyDescent="0.25">
      <c r="A243" s="1" t="s">
        <v>640</v>
      </c>
      <c r="B243" s="19">
        <v>46182</v>
      </c>
      <c r="J243" s="1">
        <v>5684</v>
      </c>
    </row>
    <row r="244" spans="1:10" ht="30" customHeight="1" x14ac:dyDescent="0.25">
      <c r="A244" s="1" t="s">
        <v>641</v>
      </c>
      <c r="B244" s="19">
        <v>46182</v>
      </c>
      <c r="J244" s="1">
        <v>5685</v>
      </c>
    </row>
    <row r="245" spans="1:10" ht="30" customHeight="1" x14ac:dyDescent="0.25">
      <c r="A245" s="1" t="s">
        <v>642</v>
      </c>
      <c r="B245" s="19">
        <v>46182</v>
      </c>
      <c r="J245" s="1">
        <v>5686</v>
      </c>
    </row>
    <row r="246" spans="1:10" ht="30" customHeight="1" x14ac:dyDescent="0.25">
      <c r="A246" s="1" t="s">
        <v>643</v>
      </c>
      <c r="B246" s="19">
        <v>46182</v>
      </c>
      <c r="J246" s="1">
        <v>5687</v>
      </c>
    </row>
    <row r="247" spans="1:10" ht="30" customHeight="1" x14ac:dyDescent="0.25">
      <c r="A247" s="1" t="s">
        <v>644</v>
      </c>
      <c r="B247" s="19">
        <v>46182</v>
      </c>
      <c r="J247" s="1">
        <v>5688</v>
      </c>
    </row>
    <row r="248" spans="1:10" ht="30" customHeight="1" x14ac:dyDescent="0.25">
      <c r="A248" s="1" t="s">
        <v>645</v>
      </c>
      <c r="B248" s="19">
        <v>46182</v>
      </c>
      <c r="J248" s="1">
        <v>5689</v>
      </c>
    </row>
    <row r="249" spans="1:10" ht="30" customHeight="1" x14ac:dyDescent="0.25">
      <c r="A249" s="1" t="s">
        <v>646</v>
      </c>
      <c r="B249" s="19">
        <v>46182</v>
      </c>
      <c r="J249" s="1">
        <v>5690</v>
      </c>
    </row>
    <row r="250" spans="1:10" ht="30" customHeight="1" x14ac:dyDescent="0.25">
      <c r="A250" s="1" t="s">
        <v>647</v>
      </c>
      <c r="B250" s="19">
        <v>46182</v>
      </c>
      <c r="J250" s="1">
        <v>5691</v>
      </c>
    </row>
    <row r="251" spans="1:10" ht="30" customHeight="1" x14ac:dyDescent="0.25">
      <c r="A251" s="1" t="s">
        <v>648</v>
      </c>
      <c r="B251" s="19">
        <v>46182</v>
      </c>
      <c r="J251" s="1">
        <v>5692</v>
      </c>
    </row>
    <row r="252" spans="1:10" ht="30" customHeight="1" x14ac:dyDescent="0.25">
      <c r="A252" s="1" t="s">
        <v>649</v>
      </c>
      <c r="B252" s="19">
        <v>46182</v>
      </c>
      <c r="J252" s="1">
        <v>5693</v>
      </c>
    </row>
    <row r="253" spans="1:10" ht="30" customHeight="1" x14ac:dyDescent="0.25">
      <c r="A253" s="1" t="s">
        <v>650</v>
      </c>
      <c r="B253" s="19">
        <v>46182</v>
      </c>
      <c r="J253" s="1">
        <v>5694</v>
      </c>
    </row>
    <row r="254" spans="1:10" ht="30" customHeight="1" x14ac:dyDescent="0.25">
      <c r="A254" s="1" t="s">
        <v>651</v>
      </c>
      <c r="B254" s="19">
        <v>46182</v>
      </c>
      <c r="J254" s="1">
        <v>5695</v>
      </c>
    </row>
    <row r="255" spans="1:10" ht="30" customHeight="1" x14ac:dyDescent="0.25">
      <c r="A255" s="1" t="s">
        <v>652</v>
      </c>
      <c r="B255" s="19">
        <v>46182</v>
      </c>
      <c r="J255" s="1">
        <v>5696</v>
      </c>
    </row>
    <row r="256" spans="1:10" ht="30" customHeight="1" x14ac:dyDescent="0.25">
      <c r="A256" s="1" t="s">
        <v>653</v>
      </c>
      <c r="B256" s="19">
        <v>46182</v>
      </c>
      <c r="J256" s="1">
        <v>5697</v>
      </c>
    </row>
    <row r="257" spans="1:10" ht="30" customHeight="1" x14ac:dyDescent="0.25">
      <c r="A257" s="1" t="s">
        <v>654</v>
      </c>
      <c r="B257" s="19">
        <v>46182</v>
      </c>
      <c r="J257" s="1">
        <v>5698</v>
      </c>
    </row>
    <row r="258" spans="1:10" ht="30" customHeight="1" x14ac:dyDescent="0.25">
      <c r="A258" s="1" t="s">
        <v>655</v>
      </c>
      <c r="B258" s="19">
        <v>46182</v>
      </c>
      <c r="J258" s="1">
        <v>5699</v>
      </c>
    </row>
    <row r="259" spans="1:10" ht="30" customHeight="1" x14ac:dyDescent="0.25">
      <c r="A259" s="1" t="s">
        <v>656</v>
      </c>
      <c r="B259" s="19">
        <v>46182</v>
      </c>
      <c r="J259" s="1">
        <v>5700</v>
      </c>
    </row>
    <row r="260" spans="1:10" ht="30" customHeight="1" x14ac:dyDescent="0.25">
      <c r="A260" s="1" t="s">
        <v>657</v>
      </c>
      <c r="B260" s="19">
        <v>46182</v>
      </c>
      <c r="J260" s="1">
        <v>5701</v>
      </c>
    </row>
    <row r="261" spans="1:10" ht="30" customHeight="1" x14ac:dyDescent="0.25">
      <c r="A261" s="1" t="s">
        <v>658</v>
      </c>
      <c r="B261" s="19">
        <v>46182</v>
      </c>
      <c r="J261" s="1">
        <v>5702</v>
      </c>
    </row>
    <row r="262" spans="1:10" ht="30" customHeight="1" x14ac:dyDescent="0.25">
      <c r="A262" s="1" t="s">
        <v>659</v>
      </c>
      <c r="B262" s="19">
        <v>46182</v>
      </c>
      <c r="J262" s="1">
        <v>5703</v>
      </c>
    </row>
    <row r="263" spans="1:10" ht="30" customHeight="1" x14ac:dyDescent="0.25">
      <c r="A263" s="1" t="s">
        <v>660</v>
      </c>
      <c r="B263" s="19">
        <v>46182</v>
      </c>
      <c r="J263" s="1">
        <v>5704</v>
      </c>
    </row>
    <row r="264" spans="1:10" ht="30" customHeight="1" x14ac:dyDescent="0.25">
      <c r="A264" s="1" t="s">
        <v>661</v>
      </c>
      <c r="B264" s="19">
        <v>46182</v>
      </c>
      <c r="J264" s="1">
        <v>5705</v>
      </c>
    </row>
    <row r="265" spans="1:10" ht="30" customHeight="1" x14ac:dyDescent="0.25">
      <c r="A265" s="1" t="s">
        <v>662</v>
      </c>
      <c r="B265" s="19">
        <v>46182</v>
      </c>
      <c r="J265" s="1">
        <v>5706</v>
      </c>
    </row>
    <row r="266" spans="1:10" ht="30" customHeight="1" x14ac:dyDescent="0.25">
      <c r="A266" s="1" t="s">
        <v>663</v>
      </c>
      <c r="B266" s="19">
        <v>46182</v>
      </c>
      <c r="J266" s="1">
        <v>5707</v>
      </c>
    </row>
    <row r="267" spans="1:10" ht="30" customHeight="1" x14ac:dyDescent="0.25">
      <c r="A267" s="1" t="s">
        <v>664</v>
      </c>
      <c r="B267" s="19">
        <v>46182</v>
      </c>
      <c r="J267" s="1">
        <v>5708</v>
      </c>
    </row>
    <row r="268" spans="1:10" ht="30" customHeight="1" x14ac:dyDescent="0.25">
      <c r="A268" s="1" t="s">
        <v>665</v>
      </c>
      <c r="B268" s="19">
        <v>46182</v>
      </c>
      <c r="J268" s="1">
        <v>5709</v>
      </c>
    </row>
    <row r="269" spans="1:10" ht="30" customHeight="1" x14ac:dyDescent="0.25">
      <c r="A269" s="1" t="s">
        <v>666</v>
      </c>
      <c r="B269" s="19">
        <v>46182</v>
      </c>
      <c r="J269" s="1">
        <v>5710</v>
      </c>
    </row>
    <row r="270" spans="1:10" ht="30" customHeight="1" x14ac:dyDescent="0.25">
      <c r="A270" s="1" t="s">
        <v>667</v>
      </c>
      <c r="B270" s="19">
        <v>46182</v>
      </c>
      <c r="J270" s="1">
        <v>5711</v>
      </c>
    </row>
    <row r="271" spans="1:10" ht="30" customHeight="1" x14ac:dyDescent="0.25">
      <c r="A271" s="1" t="s">
        <v>668</v>
      </c>
      <c r="B271" s="19">
        <v>46182</v>
      </c>
      <c r="J271" s="1">
        <v>5712</v>
      </c>
    </row>
    <row r="272" spans="1:10" ht="30" customHeight="1" x14ac:dyDescent="0.25">
      <c r="A272" s="1" t="s">
        <v>669</v>
      </c>
      <c r="B272" s="19">
        <v>46182</v>
      </c>
      <c r="J272" s="1">
        <v>5713</v>
      </c>
    </row>
    <row r="273" spans="1:10" ht="30" customHeight="1" x14ac:dyDescent="0.25">
      <c r="A273" s="1" t="s">
        <v>670</v>
      </c>
      <c r="B273" s="19">
        <v>46182</v>
      </c>
      <c r="J273" s="1">
        <v>5714</v>
      </c>
    </row>
    <row r="274" spans="1:10" ht="30" customHeight="1" x14ac:dyDescent="0.25">
      <c r="A274" s="1" t="s">
        <v>671</v>
      </c>
      <c r="B274" s="19">
        <v>46182</v>
      </c>
      <c r="J274" s="1">
        <v>5715</v>
      </c>
    </row>
    <row r="275" spans="1:10" ht="30" customHeight="1" x14ac:dyDescent="0.25">
      <c r="A275" s="1" t="s">
        <v>672</v>
      </c>
      <c r="B275" s="19">
        <v>46182</v>
      </c>
      <c r="J275" s="1">
        <v>5716</v>
      </c>
    </row>
    <row r="276" spans="1:10" ht="30" customHeight="1" x14ac:dyDescent="0.25">
      <c r="A276" s="1" t="s">
        <v>673</v>
      </c>
      <c r="B276" s="19">
        <v>46182</v>
      </c>
      <c r="J276" s="1">
        <v>5717</v>
      </c>
    </row>
    <row r="277" spans="1:10" ht="30" customHeight="1" x14ac:dyDescent="0.25">
      <c r="A277" s="1" t="s">
        <v>674</v>
      </c>
      <c r="B277" s="19">
        <v>46182</v>
      </c>
      <c r="J277" s="1">
        <v>5718</v>
      </c>
    </row>
    <row r="278" spans="1:10" ht="30" customHeight="1" x14ac:dyDescent="0.25">
      <c r="A278" s="1" t="s">
        <v>675</v>
      </c>
      <c r="B278" s="19">
        <v>46182</v>
      </c>
      <c r="J278" s="1">
        <v>5719</v>
      </c>
    </row>
    <row r="279" spans="1:10" ht="30" customHeight="1" x14ac:dyDescent="0.25">
      <c r="A279" s="1" t="s">
        <v>676</v>
      </c>
      <c r="B279" s="19">
        <v>46182</v>
      </c>
      <c r="J279" s="1">
        <v>5720</v>
      </c>
    </row>
    <row r="280" spans="1:10" ht="30" customHeight="1" x14ac:dyDescent="0.25">
      <c r="A280" s="1" t="s">
        <v>677</v>
      </c>
      <c r="B280" s="19">
        <v>46182</v>
      </c>
      <c r="J280" s="1">
        <v>5721</v>
      </c>
    </row>
    <row r="281" spans="1:10" ht="30" customHeight="1" x14ac:dyDescent="0.25">
      <c r="A281" s="1" t="s">
        <v>678</v>
      </c>
      <c r="B281" s="19">
        <v>46182</v>
      </c>
      <c r="J281" s="1">
        <v>5722</v>
      </c>
    </row>
    <row r="282" spans="1:10" ht="30" customHeight="1" x14ac:dyDescent="0.25">
      <c r="A282" s="1" t="s">
        <v>679</v>
      </c>
      <c r="B282" s="19">
        <v>46182</v>
      </c>
      <c r="J282" s="1">
        <v>5723</v>
      </c>
    </row>
    <row r="283" spans="1:10" ht="30" customHeight="1" x14ac:dyDescent="0.25">
      <c r="A283" s="1" t="s">
        <v>680</v>
      </c>
      <c r="B283" s="19">
        <v>46182</v>
      </c>
      <c r="J283" s="1">
        <v>5724</v>
      </c>
    </row>
    <row r="284" spans="1:10" ht="30" customHeight="1" x14ac:dyDescent="0.25">
      <c r="A284" s="1" t="s">
        <v>681</v>
      </c>
      <c r="B284" s="19">
        <v>46182</v>
      </c>
      <c r="J284" s="1">
        <v>5725</v>
      </c>
    </row>
    <row r="285" spans="1:10" ht="30" customHeight="1" x14ac:dyDescent="0.25">
      <c r="A285" s="1" t="s">
        <v>682</v>
      </c>
      <c r="B285" s="19">
        <v>46182</v>
      </c>
      <c r="J285" s="1">
        <v>5726</v>
      </c>
    </row>
    <row r="286" spans="1:10" ht="30" customHeight="1" x14ac:dyDescent="0.25">
      <c r="A286" s="1" t="s">
        <v>683</v>
      </c>
      <c r="B286" s="19">
        <v>46182</v>
      </c>
      <c r="J286" s="1">
        <v>5727</v>
      </c>
    </row>
    <row r="287" spans="1:10" ht="30" customHeight="1" x14ac:dyDescent="0.25">
      <c r="A287" s="1" t="s">
        <v>684</v>
      </c>
      <c r="B287" s="19">
        <v>46182</v>
      </c>
      <c r="J287" s="1">
        <v>5728</v>
      </c>
    </row>
    <row r="288" spans="1:10" ht="30" customHeight="1" x14ac:dyDescent="0.25">
      <c r="A288" s="1" t="s">
        <v>685</v>
      </c>
      <c r="B288" s="19">
        <v>46182</v>
      </c>
      <c r="J288" s="1">
        <v>5729</v>
      </c>
    </row>
    <row r="289" spans="1:10" ht="30" customHeight="1" x14ac:dyDescent="0.25">
      <c r="A289" s="1" t="s">
        <v>686</v>
      </c>
      <c r="B289" s="19">
        <v>46182</v>
      </c>
      <c r="J289" s="1">
        <v>5730</v>
      </c>
    </row>
    <row r="290" spans="1:10" ht="30" customHeight="1" x14ac:dyDescent="0.25">
      <c r="A290" s="1" t="s">
        <v>687</v>
      </c>
      <c r="B290" s="19">
        <v>46182</v>
      </c>
      <c r="J290" s="1">
        <v>5731</v>
      </c>
    </row>
    <row r="291" spans="1:10" ht="30" customHeight="1" x14ac:dyDescent="0.25">
      <c r="A291" s="1" t="s">
        <v>688</v>
      </c>
      <c r="B291" s="19">
        <v>46182</v>
      </c>
      <c r="J291" s="1">
        <v>5732</v>
      </c>
    </row>
    <row r="292" spans="1:10" ht="30" customHeight="1" x14ac:dyDescent="0.25">
      <c r="A292" s="1" t="s">
        <v>689</v>
      </c>
      <c r="B292" s="19">
        <v>46182</v>
      </c>
      <c r="J292" s="1">
        <v>5733</v>
      </c>
    </row>
    <row r="293" spans="1:10" ht="30" customHeight="1" x14ac:dyDescent="0.25">
      <c r="A293" s="1" t="s">
        <v>690</v>
      </c>
      <c r="B293" s="19">
        <v>46182</v>
      </c>
      <c r="J293" s="1">
        <v>5734</v>
      </c>
    </row>
    <row r="294" spans="1:10" ht="30" customHeight="1" x14ac:dyDescent="0.25">
      <c r="A294" s="1" t="s">
        <v>691</v>
      </c>
      <c r="B294" s="19">
        <v>46182</v>
      </c>
      <c r="J294" s="1">
        <v>5735</v>
      </c>
    </row>
    <row r="295" spans="1:10" ht="30" customHeight="1" x14ac:dyDescent="0.25">
      <c r="A295" s="1" t="s">
        <v>692</v>
      </c>
      <c r="B295" s="19">
        <v>46182</v>
      </c>
      <c r="J295" s="1">
        <v>5736</v>
      </c>
    </row>
    <row r="296" spans="1:10" ht="30" customHeight="1" x14ac:dyDescent="0.25">
      <c r="A296" s="1" t="s">
        <v>693</v>
      </c>
      <c r="B296" s="19">
        <v>46182</v>
      </c>
      <c r="J296" s="1">
        <v>5737</v>
      </c>
    </row>
    <row r="297" spans="1:10" ht="30" customHeight="1" x14ac:dyDescent="0.25">
      <c r="A297" s="1" t="s">
        <v>694</v>
      </c>
      <c r="B297" s="19">
        <v>46182</v>
      </c>
      <c r="J297" s="1">
        <v>5738</v>
      </c>
    </row>
    <row r="298" spans="1:10" ht="30" customHeight="1" x14ac:dyDescent="0.25">
      <c r="A298" s="1" t="s">
        <v>695</v>
      </c>
      <c r="B298" s="19">
        <v>46182</v>
      </c>
      <c r="J298" s="1">
        <v>5739</v>
      </c>
    </row>
    <row r="299" spans="1:10" ht="30" customHeight="1" x14ac:dyDescent="0.25">
      <c r="A299" s="1" t="s">
        <v>696</v>
      </c>
      <c r="B299" s="19">
        <v>46182</v>
      </c>
      <c r="J299" s="1">
        <v>5740</v>
      </c>
    </row>
    <row r="300" spans="1:10" ht="30" customHeight="1" x14ac:dyDescent="0.25">
      <c r="A300" s="1" t="s">
        <v>697</v>
      </c>
      <c r="B300" s="19">
        <v>46182</v>
      </c>
      <c r="J300" s="1">
        <v>5741</v>
      </c>
    </row>
    <row r="301" spans="1:10" ht="30" customHeight="1" x14ac:dyDescent="0.25">
      <c r="A301" s="1" t="s">
        <v>698</v>
      </c>
      <c r="B301" s="19">
        <v>46182</v>
      </c>
      <c r="J301" s="1">
        <v>5742</v>
      </c>
    </row>
    <row r="302" spans="1:10" ht="30" customHeight="1" x14ac:dyDescent="0.25">
      <c r="A302" s="1" t="s">
        <v>699</v>
      </c>
      <c r="B302" s="19">
        <v>46182</v>
      </c>
      <c r="J302" s="1">
        <v>5743</v>
      </c>
    </row>
    <row r="303" spans="1:10" ht="30" customHeight="1" x14ac:dyDescent="0.25">
      <c r="A303" s="1" t="s">
        <v>700</v>
      </c>
      <c r="B303" s="19">
        <v>46182</v>
      </c>
      <c r="J303" s="1">
        <v>5744</v>
      </c>
    </row>
    <row r="304" spans="1:10" ht="30" customHeight="1" x14ac:dyDescent="0.25">
      <c r="A304" s="1" t="s">
        <v>701</v>
      </c>
      <c r="B304" s="19">
        <v>46182</v>
      </c>
      <c r="J304" s="1">
        <v>5745</v>
      </c>
    </row>
    <row r="305" spans="1:10" ht="30" customHeight="1" x14ac:dyDescent="0.25">
      <c r="A305" s="1" t="s">
        <v>702</v>
      </c>
      <c r="B305" s="19">
        <v>46182</v>
      </c>
      <c r="J305" s="1">
        <v>5746</v>
      </c>
    </row>
    <row r="306" spans="1:10" ht="30" customHeight="1" x14ac:dyDescent="0.25">
      <c r="A306" s="1" t="s">
        <v>703</v>
      </c>
      <c r="B306" s="19">
        <v>46182</v>
      </c>
      <c r="J306" s="1">
        <v>5747</v>
      </c>
    </row>
    <row r="307" spans="1:10" ht="30" customHeight="1" x14ac:dyDescent="0.25">
      <c r="A307" s="1" t="s">
        <v>704</v>
      </c>
      <c r="B307" s="19">
        <v>46182</v>
      </c>
      <c r="J307" s="1">
        <v>5748</v>
      </c>
    </row>
    <row r="308" spans="1:10" ht="30" customHeight="1" x14ac:dyDescent="0.25">
      <c r="A308" s="1" t="s">
        <v>705</v>
      </c>
      <c r="B308" s="19">
        <v>46182</v>
      </c>
      <c r="J308" s="1">
        <v>5749</v>
      </c>
    </row>
    <row r="309" spans="1:10" ht="30" customHeight="1" x14ac:dyDescent="0.25">
      <c r="A309" s="1" t="s">
        <v>706</v>
      </c>
      <c r="B309" s="19">
        <v>46182</v>
      </c>
      <c r="J309" s="1">
        <v>5750</v>
      </c>
    </row>
    <row r="310" spans="1:10" ht="30" customHeight="1" x14ac:dyDescent="0.25">
      <c r="A310" s="1" t="s">
        <v>707</v>
      </c>
      <c r="B310" s="19">
        <v>46182</v>
      </c>
      <c r="J310" s="1">
        <v>5751</v>
      </c>
    </row>
    <row r="311" spans="1:10" ht="30" customHeight="1" x14ac:dyDescent="0.25">
      <c r="A311" s="1" t="s">
        <v>708</v>
      </c>
      <c r="B311" s="19">
        <v>46182</v>
      </c>
      <c r="J311" s="1">
        <v>5752</v>
      </c>
    </row>
    <row r="312" spans="1:10" ht="30" customHeight="1" x14ac:dyDescent="0.25">
      <c r="A312" s="1" t="s">
        <v>709</v>
      </c>
      <c r="B312" s="19">
        <v>46182</v>
      </c>
      <c r="J312" s="1">
        <v>5753</v>
      </c>
    </row>
    <row r="313" spans="1:10" ht="30" customHeight="1" x14ac:dyDescent="0.25">
      <c r="A313" s="1" t="s">
        <v>710</v>
      </c>
      <c r="B313" s="19">
        <v>46182</v>
      </c>
      <c r="J313" s="1">
        <v>5754</v>
      </c>
    </row>
    <row r="314" spans="1:10" ht="30" customHeight="1" x14ac:dyDescent="0.25">
      <c r="A314" s="1" t="s">
        <v>711</v>
      </c>
      <c r="B314" s="19">
        <v>46182</v>
      </c>
      <c r="J314" s="1">
        <v>5755</v>
      </c>
    </row>
    <row r="315" spans="1:10" ht="30" customHeight="1" x14ac:dyDescent="0.25">
      <c r="A315" s="1" t="s">
        <v>712</v>
      </c>
      <c r="B315" s="19">
        <v>46182</v>
      </c>
      <c r="J315" s="1">
        <v>5756</v>
      </c>
    </row>
    <row r="316" spans="1:10" ht="30" customHeight="1" x14ac:dyDescent="0.25">
      <c r="A316" s="1" t="s">
        <v>713</v>
      </c>
      <c r="B316" s="19">
        <v>46182</v>
      </c>
      <c r="J316" s="1">
        <v>5757</v>
      </c>
    </row>
    <row r="317" spans="1:10" ht="30" customHeight="1" x14ac:dyDescent="0.25">
      <c r="A317" s="1" t="s">
        <v>714</v>
      </c>
      <c r="B317" s="19">
        <v>46182</v>
      </c>
      <c r="J317" s="1">
        <v>5758</v>
      </c>
    </row>
    <row r="318" spans="1:10" ht="30" customHeight="1" x14ac:dyDescent="0.25">
      <c r="A318" s="1" t="s">
        <v>715</v>
      </c>
      <c r="B318" s="19">
        <v>46182</v>
      </c>
      <c r="J318" s="1">
        <v>5759</v>
      </c>
    </row>
    <row r="319" spans="1:10" ht="30" customHeight="1" x14ac:dyDescent="0.25">
      <c r="A319" s="1" t="s">
        <v>716</v>
      </c>
      <c r="B319" s="19">
        <v>46182</v>
      </c>
      <c r="J319" s="1">
        <v>5760</v>
      </c>
    </row>
    <row r="320" spans="1:10" ht="30" customHeight="1" x14ac:dyDescent="0.25">
      <c r="A320" s="1" t="s">
        <v>717</v>
      </c>
      <c r="B320" s="19">
        <v>46182</v>
      </c>
      <c r="J320" s="1">
        <v>5761</v>
      </c>
    </row>
    <row r="321" spans="1:10" ht="30" customHeight="1" x14ac:dyDescent="0.25">
      <c r="A321" s="1" t="s">
        <v>718</v>
      </c>
      <c r="B321" s="19">
        <v>46182</v>
      </c>
      <c r="J321" s="1">
        <v>5762</v>
      </c>
    </row>
    <row r="322" spans="1:10" ht="30" customHeight="1" x14ac:dyDescent="0.25">
      <c r="A322" s="1" t="s">
        <v>719</v>
      </c>
      <c r="B322" s="19">
        <v>46182</v>
      </c>
      <c r="J322" s="1">
        <v>5763</v>
      </c>
    </row>
    <row r="323" spans="1:10" ht="30" customHeight="1" x14ac:dyDescent="0.25">
      <c r="A323" s="1" t="s">
        <v>720</v>
      </c>
      <c r="B323" s="19">
        <v>46182</v>
      </c>
      <c r="J323" s="1">
        <v>5764</v>
      </c>
    </row>
    <row r="324" spans="1:10" ht="30" customHeight="1" x14ac:dyDescent="0.25">
      <c r="A324" s="1" t="s">
        <v>721</v>
      </c>
      <c r="B324" s="19">
        <v>46182</v>
      </c>
      <c r="J324" s="1">
        <v>5765</v>
      </c>
    </row>
    <row r="325" spans="1:10" ht="30" customHeight="1" x14ac:dyDescent="0.25">
      <c r="A325" s="1" t="s">
        <v>722</v>
      </c>
      <c r="B325" s="19">
        <v>46182</v>
      </c>
      <c r="J325" s="1">
        <v>5766</v>
      </c>
    </row>
    <row r="326" spans="1:10" ht="30" customHeight="1" x14ac:dyDescent="0.25">
      <c r="A326" s="1" t="s">
        <v>723</v>
      </c>
      <c r="B326" s="19">
        <v>46182</v>
      </c>
      <c r="J326" s="1">
        <v>5767</v>
      </c>
    </row>
    <row r="327" spans="1:10" ht="30" customHeight="1" x14ac:dyDescent="0.25">
      <c r="A327" s="1" t="s">
        <v>724</v>
      </c>
      <c r="B327" s="19">
        <v>46182</v>
      </c>
      <c r="J327" s="1">
        <v>5768</v>
      </c>
    </row>
    <row r="328" spans="1:10" ht="30" customHeight="1" x14ac:dyDescent="0.25">
      <c r="A328" s="1" t="s">
        <v>725</v>
      </c>
      <c r="B328" s="19">
        <v>46182</v>
      </c>
      <c r="J328" s="1">
        <v>5769</v>
      </c>
    </row>
    <row r="329" spans="1:10" ht="30" customHeight="1" x14ac:dyDescent="0.25">
      <c r="A329" s="1" t="s">
        <v>726</v>
      </c>
      <c r="B329" s="19">
        <v>46182</v>
      </c>
      <c r="J329" s="1">
        <v>5770</v>
      </c>
    </row>
    <row r="330" spans="1:10" ht="30" customHeight="1" x14ac:dyDescent="0.25">
      <c r="A330" s="1" t="s">
        <v>727</v>
      </c>
      <c r="B330" s="19">
        <v>46182</v>
      </c>
      <c r="J330" s="1">
        <v>5771</v>
      </c>
    </row>
    <row r="331" spans="1:10" ht="30" customHeight="1" x14ac:dyDescent="0.25">
      <c r="A331" s="1" t="s">
        <v>728</v>
      </c>
      <c r="B331" s="19">
        <v>46182</v>
      </c>
      <c r="J331" s="1">
        <v>5772</v>
      </c>
    </row>
    <row r="332" spans="1:10" ht="30" customHeight="1" x14ac:dyDescent="0.25">
      <c r="A332" s="1" t="s">
        <v>729</v>
      </c>
      <c r="B332" s="19">
        <v>46182</v>
      </c>
      <c r="J332" s="1">
        <v>5773</v>
      </c>
    </row>
    <row r="333" spans="1:10" ht="30" customHeight="1" x14ac:dyDescent="0.25">
      <c r="A333" s="1" t="s">
        <v>730</v>
      </c>
      <c r="B333" s="19">
        <v>46182</v>
      </c>
      <c r="J333" s="1">
        <v>5774</v>
      </c>
    </row>
    <row r="334" spans="1:10" ht="30" customHeight="1" x14ac:dyDescent="0.25">
      <c r="A334" s="1" t="s">
        <v>731</v>
      </c>
      <c r="B334" s="19">
        <v>46182</v>
      </c>
      <c r="J334" s="1">
        <v>5775</v>
      </c>
    </row>
    <row r="335" spans="1:10" ht="30" customHeight="1" x14ac:dyDescent="0.25">
      <c r="A335" s="1" t="s">
        <v>732</v>
      </c>
      <c r="B335" s="19">
        <v>46182</v>
      </c>
      <c r="J335" s="1">
        <v>5776</v>
      </c>
    </row>
    <row r="336" spans="1:10" ht="30" customHeight="1" x14ac:dyDescent="0.25">
      <c r="A336" s="1" t="s">
        <v>733</v>
      </c>
      <c r="B336" s="19">
        <v>46182</v>
      </c>
      <c r="J336" s="1">
        <v>5777</v>
      </c>
    </row>
    <row r="337" spans="1:10" ht="30" customHeight="1" x14ac:dyDescent="0.25">
      <c r="A337" s="1" t="s">
        <v>734</v>
      </c>
      <c r="B337" s="19">
        <v>46182</v>
      </c>
      <c r="J337" s="1">
        <v>5778</v>
      </c>
    </row>
    <row r="338" spans="1:10" ht="30" customHeight="1" x14ac:dyDescent="0.25">
      <c r="A338" s="1" t="s">
        <v>735</v>
      </c>
      <c r="B338" s="19">
        <v>46182</v>
      </c>
      <c r="J338" s="1">
        <v>5779</v>
      </c>
    </row>
    <row r="339" spans="1:10" ht="30" customHeight="1" x14ac:dyDescent="0.25">
      <c r="A339" s="1" t="s">
        <v>736</v>
      </c>
      <c r="B339" s="19">
        <v>46182</v>
      </c>
      <c r="J339" s="1">
        <v>5780</v>
      </c>
    </row>
    <row r="340" spans="1:10" ht="30" customHeight="1" x14ac:dyDescent="0.25">
      <c r="A340" s="1" t="s">
        <v>737</v>
      </c>
      <c r="B340" s="19">
        <v>46182</v>
      </c>
      <c r="J340" s="1">
        <v>5781</v>
      </c>
    </row>
    <row r="341" spans="1:10" ht="30" customHeight="1" x14ac:dyDescent="0.25">
      <c r="A341" s="1" t="s">
        <v>738</v>
      </c>
      <c r="B341" s="19">
        <v>46182</v>
      </c>
      <c r="J341" s="1">
        <v>5782</v>
      </c>
    </row>
    <row r="342" spans="1:10" ht="30" customHeight="1" x14ac:dyDescent="0.25">
      <c r="A342" s="1" t="s">
        <v>739</v>
      </c>
      <c r="B342" s="19">
        <v>46182</v>
      </c>
      <c r="J342" s="1">
        <v>5783</v>
      </c>
    </row>
    <row r="343" spans="1:10" ht="30" customHeight="1" x14ac:dyDescent="0.25">
      <c r="A343" s="1" t="s">
        <v>740</v>
      </c>
      <c r="B343" s="19">
        <v>46182</v>
      </c>
      <c r="J343" s="1">
        <v>5784</v>
      </c>
    </row>
    <row r="344" spans="1:10" ht="30" customHeight="1" x14ac:dyDescent="0.25">
      <c r="A344" s="1" t="s">
        <v>741</v>
      </c>
      <c r="B344" s="19">
        <v>46182</v>
      </c>
      <c r="J344" s="1">
        <v>5785</v>
      </c>
    </row>
    <row r="345" spans="1:10" ht="30" customHeight="1" x14ac:dyDescent="0.25">
      <c r="A345" s="1" t="s">
        <v>742</v>
      </c>
      <c r="B345" s="19">
        <v>46182</v>
      </c>
      <c r="J345" s="1">
        <v>5786</v>
      </c>
    </row>
    <row r="346" spans="1:10" ht="30" customHeight="1" x14ac:dyDescent="0.25">
      <c r="A346" s="1" t="s">
        <v>743</v>
      </c>
      <c r="B346" s="19">
        <v>46182</v>
      </c>
      <c r="J346" s="1">
        <v>5787</v>
      </c>
    </row>
    <row r="347" spans="1:10" ht="30" customHeight="1" x14ac:dyDescent="0.25">
      <c r="A347" s="1" t="s">
        <v>744</v>
      </c>
      <c r="B347" s="19">
        <v>46182</v>
      </c>
      <c r="J347" s="1">
        <v>5788</v>
      </c>
    </row>
    <row r="348" spans="1:10" ht="30" customHeight="1" x14ac:dyDescent="0.25">
      <c r="A348" s="1" t="s">
        <v>745</v>
      </c>
      <c r="B348" s="19">
        <v>46182</v>
      </c>
      <c r="J348" s="1">
        <v>5789</v>
      </c>
    </row>
    <row r="349" spans="1:10" ht="30" customHeight="1" x14ac:dyDescent="0.25">
      <c r="A349" s="1" t="s">
        <v>746</v>
      </c>
      <c r="B349" s="19">
        <v>46182</v>
      </c>
      <c r="J349" s="1">
        <v>5790</v>
      </c>
    </row>
    <row r="350" spans="1:10" ht="30" customHeight="1" x14ac:dyDescent="0.25">
      <c r="A350" s="1" t="s">
        <v>747</v>
      </c>
      <c r="B350" s="19">
        <v>46182</v>
      </c>
      <c r="J350" s="1">
        <v>5791</v>
      </c>
    </row>
    <row r="351" spans="1:10" ht="30" customHeight="1" x14ac:dyDescent="0.25">
      <c r="A351" s="1" t="s">
        <v>748</v>
      </c>
      <c r="B351" s="19">
        <v>46182</v>
      </c>
      <c r="J351" s="1">
        <v>5792</v>
      </c>
    </row>
    <row r="352" spans="1:10" ht="30" customHeight="1" x14ac:dyDescent="0.25">
      <c r="A352" s="1" t="s">
        <v>749</v>
      </c>
      <c r="B352" s="19">
        <v>46182</v>
      </c>
      <c r="J352" s="1">
        <v>5793</v>
      </c>
    </row>
    <row r="353" spans="1:10" ht="30" customHeight="1" x14ac:dyDescent="0.25">
      <c r="A353" s="1" t="s">
        <v>750</v>
      </c>
      <c r="B353" s="19">
        <v>46182</v>
      </c>
      <c r="J353" s="1">
        <v>5794</v>
      </c>
    </row>
    <row r="354" spans="1:10" ht="30" customHeight="1" x14ac:dyDescent="0.25">
      <c r="A354" s="1" t="s">
        <v>751</v>
      </c>
      <c r="B354" s="19">
        <v>46182</v>
      </c>
      <c r="J354" s="1">
        <v>5795</v>
      </c>
    </row>
    <row r="355" spans="1:10" ht="30" customHeight="1" x14ac:dyDescent="0.25">
      <c r="A355" s="1" t="s">
        <v>752</v>
      </c>
      <c r="B355" s="19">
        <v>46182</v>
      </c>
      <c r="J355" s="1">
        <v>5796</v>
      </c>
    </row>
    <row r="356" spans="1:10" ht="30" customHeight="1" x14ac:dyDescent="0.25">
      <c r="A356" s="1" t="s">
        <v>753</v>
      </c>
      <c r="B356" s="19">
        <v>46182</v>
      </c>
      <c r="J356" s="1">
        <v>5797</v>
      </c>
    </row>
    <row r="357" spans="1:10" ht="30" customHeight="1" x14ac:dyDescent="0.25">
      <c r="A357" s="1" t="s">
        <v>754</v>
      </c>
      <c r="B357" s="19">
        <v>46182</v>
      </c>
      <c r="J357" s="1">
        <v>5798</v>
      </c>
    </row>
    <row r="358" spans="1:10" ht="30" customHeight="1" x14ac:dyDescent="0.25">
      <c r="A358" s="1" t="s">
        <v>755</v>
      </c>
      <c r="B358" s="19">
        <v>46182</v>
      </c>
      <c r="J358" s="1">
        <v>5799</v>
      </c>
    </row>
    <row r="359" spans="1:10" ht="30" customHeight="1" x14ac:dyDescent="0.25">
      <c r="A359" s="1" t="s">
        <v>756</v>
      </c>
      <c r="B359" s="19">
        <v>46182</v>
      </c>
      <c r="J359" s="1">
        <v>5800</v>
      </c>
    </row>
    <row r="360" spans="1:10" ht="30" customHeight="1" x14ac:dyDescent="0.25">
      <c r="A360" s="1" t="s">
        <v>757</v>
      </c>
      <c r="B360" s="19">
        <v>46182</v>
      </c>
      <c r="J360" s="1">
        <v>5801</v>
      </c>
    </row>
    <row r="361" spans="1:10" ht="30" customHeight="1" x14ac:dyDescent="0.25">
      <c r="A361" s="1" t="s">
        <v>758</v>
      </c>
      <c r="B361" s="19">
        <v>46182</v>
      </c>
      <c r="J361" s="1">
        <v>5802</v>
      </c>
    </row>
    <row r="362" spans="1:10" ht="30" customHeight="1" x14ac:dyDescent="0.25">
      <c r="A362" s="1" t="s">
        <v>759</v>
      </c>
      <c r="B362" s="19">
        <v>46182</v>
      </c>
      <c r="J362" s="1">
        <v>5803</v>
      </c>
    </row>
    <row r="363" spans="1:10" ht="30" customHeight="1" x14ac:dyDescent="0.25">
      <c r="A363" s="1" t="s">
        <v>760</v>
      </c>
      <c r="B363" s="19">
        <v>46182</v>
      </c>
      <c r="J363" s="1">
        <v>5804</v>
      </c>
    </row>
    <row r="364" spans="1:10" ht="30" customHeight="1" x14ac:dyDescent="0.25">
      <c r="A364" s="1" t="s">
        <v>761</v>
      </c>
      <c r="B364" s="19">
        <v>46182</v>
      </c>
      <c r="J364" s="1">
        <v>5805</v>
      </c>
    </row>
    <row r="365" spans="1:10" ht="30" customHeight="1" x14ac:dyDescent="0.25">
      <c r="A365" s="1" t="s">
        <v>762</v>
      </c>
      <c r="B365" s="19">
        <v>46182</v>
      </c>
      <c r="J365" s="1">
        <v>5806</v>
      </c>
    </row>
    <row r="366" spans="1:10" ht="30" customHeight="1" x14ac:dyDescent="0.25">
      <c r="A366" s="1" t="s">
        <v>763</v>
      </c>
      <c r="B366" s="19">
        <v>46182</v>
      </c>
      <c r="J366" s="1">
        <v>5807</v>
      </c>
    </row>
    <row r="367" spans="1:10" ht="30" customHeight="1" x14ac:dyDescent="0.25">
      <c r="A367" s="1" t="s">
        <v>764</v>
      </c>
      <c r="B367" s="19">
        <v>46182</v>
      </c>
      <c r="J367" s="1">
        <v>5808</v>
      </c>
    </row>
    <row r="368" spans="1:10" ht="30" customHeight="1" x14ac:dyDescent="0.25">
      <c r="A368" s="1" t="s">
        <v>765</v>
      </c>
      <c r="B368" s="19">
        <v>46182</v>
      </c>
      <c r="J368" s="1">
        <v>5809</v>
      </c>
    </row>
    <row r="369" spans="1:10" ht="30" customHeight="1" x14ac:dyDescent="0.25">
      <c r="A369" s="1" t="s">
        <v>766</v>
      </c>
      <c r="B369" s="19">
        <v>46182</v>
      </c>
      <c r="J369" s="1">
        <v>5810</v>
      </c>
    </row>
    <row r="370" spans="1:10" ht="30" customHeight="1" x14ac:dyDescent="0.25">
      <c r="A370" s="1" t="s">
        <v>767</v>
      </c>
      <c r="B370" s="19">
        <v>46182</v>
      </c>
      <c r="J370" s="1">
        <v>5811</v>
      </c>
    </row>
    <row r="371" spans="1:10" ht="30" customHeight="1" x14ac:dyDescent="0.25">
      <c r="A371" s="1" t="s">
        <v>768</v>
      </c>
      <c r="B371" s="19">
        <v>46182</v>
      </c>
      <c r="J371" s="1">
        <v>5812</v>
      </c>
    </row>
    <row r="372" spans="1:10" ht="30" customHeight="1" x14ac:dyDescent="0.25">
      <c r="A372" s="1" t="s">
        <v>769</v>
      </c>
      <c r="B372" s="19">
        <v>46182</v>
      </c>
      <c r="J372" s="1">
        <v>5813</v>
      </c>
    </row>
    <row r="373" spans="1:10" ht="30" customHeight="1" x14ac:dyDescent="0.25">
      <c r="A373" s="1" t="s">
        <v>770</v>
      </c>
      <c r="B373" s="19">
        <v>46182</v>
      </c>
      <c r="J373" s="1">
        <v>5814</v>
      </c>
    </row>
    <row r="374" spans="1:10" ht="30" customHeight="1" x14ac:dyDescent="0.25">
      <c r="A374" s="1" t="s">
        <v>771</v>
      </c>
      <c r="B374" s="19">
        <v>46182</v>
      </c>
      <c r="J374" s="1">
        <v>5815</v>
      </c>
    </row>
    <row r="375" spans="1:10" ht="30" customHeight="1" x14ac:dyDescent="0.25">
      <c r="A375" s="1" t="s">
        <v>772</v>
      </c>
      <c r="B375" s="19">
        <v>46182</v>
      </c>
      <c r="J375" s="1">
        <v>5816</v>
      </c>
    </row>
    <row r="376" spans="1:10" ht="30" customHeight="1" x14ac:dyDescent="0.25">
      <c r="A376" s="1" t="s">
        <v>773</v>
      </c>
      <c r="B376" s="19">
        <v>46182</v>
      </c>
      <c r="J376" s="1">
        <v>5817</v>
      </c>
    </row>
    <row r="377" spans="1:10" ht="30" customHeight="1" x14ac:dyDescent="0.25">
      <c r="A377" s="1" t="s">
        <v>774</v>
      </c>
      <c r="B377" s="19">
        <v>46182</v>
      </c>
      <c r="J377" s="1">
        <v>5818</v>
      </c>
    </row>
    <row r="378" spans="1:10" ht="30" customHeight="1" x14ac:dyDescent="0.25">
      <c r="A378" s="1" t="s">
        <v>775</v>
      </c>
      <c r="B378" s="19">
        <v>46182</v>
      </c>
      <c r="J378" s="1">
        <v>5819</v>
      </c>
    </row>
    <row r="379" spans="1:10" ht="30" customHeight="1" x14ac:dyDescent="0.25">
      <c r="A379" s="1" t="s">
        <v>776</v>
      </c>
      <c r="B379" s="19">
        <v>46182</v>
      </c>
      <c r="J379" s="1">
        <v>5820</v>
      </c>
    </row>
    <row r="380" spans="1:10" ht="30" customHeight="1" x14ac:dyDescent="0.25">
      <c r="A380" s="1" t="s">
        <v>777</v>
      </c>
      <c r="B380" s="19">
        <v>46182</v>
      </c>
      <c r="J380" s="1">
        <v>5821</v>
      </c>
    </row>
    <row r="381" spans="1:10" ht="30" customHeight="1" x14ac:dyDescent="0.25">
      <c r="A381" s="1" t="s">
        <v>778</v>
      </c>
      <c r="B381" s="19">
        <v>46182</v>
      </c>
      <c r="J381" s="1">
        <v>5822</v>
      </c>
    </row>
    <row r="382" spans="1:10" ht="30" customHeight="1" x14ac:dyDescent="0.25">
      <c r="A382" s="1" t="s">
        <v>779</v>
      </c>
      <c r="B382" s="19">
        <v>46182</v>
      </c>
      <c r="J382" s="1">
        <v>5823</v>
      </c>
    </row>
    <row r="383" spans="1:10" ht="30" customHeight="1" x14ac:dyDescent="0.25">
      <c r="A383" s="1" t="s">
        <v>780</v>
      </c>
      <c r="B383" s="19">
        <v>46182</v>
      </c>
      <c r="J383" s="1">
        <v>5824</v>
      </c>
    </row>
    <row r="384" spans="1:10" ht="30" customHeight="1" x14ac:dyDescent="0.25">
      <c r="A384" s="1" t="s">
        <v>781</v>
      </c>
      <c r="B384" s="19">
        <v>46182</v>
      </c>
      <c r="J384" s="1">
        <v>5825</v>
      </c>
    </row>
    <row r="385" spans="1:10" ht="30" customHeight="1" x14ac:dyDescent="0.25">
      <c r="A385" s="1" t="s">
        <v>782</v>
      </c>
      <c r="B385" s="19">
        <v>46182</v>
      </c>
      <c r="J385" s="1">
        <v>5826</v>
      </c>
    </row>
    <row r="386" spans="1:10" ht="30" customHeight="1" x14ac:dyDescent="0.25">
      <c r="A386" s="1" t="s">
        <v>783</v>
      </c>
      <c r="B386" s="19">
        <v>46182</v>
      </c>
      <c r="J386" s="1">
        <v>5827</v>
      </c>
    </row>
    <row r="387" spans="1:10" ht="30" customHeight="1" x14ac:dyDescent="0.25">
      <c r="A387" s="1" t="s">
        <v>784</v>
      </c>
      <c r="B387" s="19">
        <v>46182</v>
      </c>
      <c r="J387" s="1">
        <v>5828</v>
      </c>
    </row>
    <row r="388" spans="1:10" ht="30" customHeight="1" x14ac:dyDescent="0.25">
      <c r="A388" s="1" t="s">
        <v>785</v>
      </c>
      <c r="B388" s="19">
        <v>46182</v>
      </c>
      <c r="J388" s="1">
        <v>5829</v>
      </c>
    </row>
    <row r="389" spans="1:10" ht="30" customHeight="1" x14ac:dyDescent="0.25">
      <c r="A389" s="1" t="s">
        <v>786</v>
      </c>
      <c r="B389" s="19">
        <v>46182</v>
      </c>
      <c r="J389" s="1">
        <v>5830</v>
      </c>
    </row>
    <row r="390" spans="1:10" ht="30" customHeight="1" x14ac:dyDescent="0.25">
      <c r="A390" s="1" t="s">
        <v>787</v>
      </c>
      <c r="B390" s="19">
        <v>46182</v>
      </c>
      <c r="J390" s="1">
        <v>5831</v>
      </c>
    </row>
    <row r="391" spans="1:10" ht="30" customHeight="1" x14ac:dyDescent="0.25">
      <c r="A391" s="1" t="s">
        <v>788</v>
      </c>
      <c r="B391" s="19">
        <v>46182</v>
      </c>
      <c r="J391" s="1">
        <v>5832</v>
      </c>
    </row>
    <row r="392" spans="1:10" ht="30" customHeight="1" x14ac:dyDescent="0.25">
      <c r="A392" s="1" t="s">
        <v>789</v>
      </c>
      <c r="B392" s="19">
        <v>46182</v>
      </c>
      <c r="J392" s="1">
        <v>5833</v>
      </c>
    </row>
    <row r="393" spans="1:10" ht="30" customHeight="1" x14ac:dyDescent="0.25">
      <c r="A393" s="1" t="s">
        <v>790</v>
      </c>
      <c r="B393" s="19">
        <v>46182</v>
      </c>
      <c r="J393" s="1">
        <v>5834</v>
      </c>
    </row>
    <row r="394" spans="1:10" ht="30" customHeight="1" x14ac:dyDescent="0.25">
      <c r="A394" s="1" t="s">
        <v>791</v>
      </c>
      <c r="B394" s="19">
        <v>46182</v>
      </c>
      <c r="J394" s="1">
        <v>5835</v>
      </c>
    </row>
    <row r="395" spans="1:10" ht="30" customHeight="1" x14ac:dyDescent="0.25">
      <c r="A395" s="1" t="s">
        <v>792</v>
      </c>
      <c r="B395" s="19">
        <v>46182</v>
      </c>
      <c r="J395" s="1">
        <v>5836</v>
      </c>
    </row>
    <row r="396" spans="1:10" ht="30" customHeight="1" x14ac:dyDescent="0.25">
      <c r="A396" s="1" t="s">
        <v>793</v>
      </c>
      <c r="B396" s="19">
        <v>46182</v>
      </c>
      <c r="J396" s="1">
        <v>5837</v>
      </c>
    </row>
    <row r="397" spans="1:10" ht="30" customHeight="1" x14ac:dyDescent="0.25">
      <c r="A397" s="1" t="s">
        <v>794</v>
      </c>
      <c r="B397" s="19">
        <v>46182</v>
      </c>
      <c r="J397" s="1">
        <v>5838</v>
      </c>
    </row>
    <row r="398" spans="1:10" ht="30" customHeight="1" x14ac:dyDescent="0.25">
      <c r="A398" s="1" t="s">
        <v>795</v>
      </c>
      <c r="B398" s="19">
        <v>46182</v>
      </c>
      <c r="J398" s="1">
        <v>5839</v>
      </c>
    </row>
    <row r="399" spans="1:10" ht="30" customHeight="1" x14ac:dyDescent="0.25">
      <c r="A399" s="1" t="s">
        <v>796</v>
      </c>
      <c r="B399" s="19">
        <v>46182</v>
      </c>
      <c r="J399" s="1">
        <v>5840</v>
      </c>
    </row>
    <row r="400" spans="1:10" ht="30" customHeight="1" x14ac:dyDescent="0.25">
      <c r="A400" s="1" t="s">
        <v>797</v>
      </c>
      <c r="B400" s="19">
        <v>46182</v>
      </c>
      <c r="J400" s="1">
        <v>5841</v>
      </c>
    </row>
    <row r="401" spans="1:10" ht="30" customHeight="1" x14ac:dyDescent="0.25">
      <c r="A401" s="1" t="s">
        <v>798</v>
      </c>
      <c r="B401" s="19">
        <v>46182</v>
      </c>
      <c r="J401" s="1">
        <v>5842</v>
      </c>
    </row>
    <row r="402" spans="1:10" ht="30" customHeight="1" x14ac:dyDescent="0.25">
      <c r="A402" s="1" t="s">
        <v>799</v>
      </c>
      <c r="B402" s="19">
        <v>46182</v>
      </c>
      <c r="J402" s="1">
        <v>5843</v>
      </c>
    </row>
    <row r="403" spans="1:10" ht="30" customHeight="1" x14ac:dyDescent="0.25">
      <c r="A403" s="1" t="s">
        <v>800</v>
      </c>
      <c r="B403" s="19">
        <v>46182</v>
      </c>
      <c r="J403" s="1">
        <v>5844</v>
      </c>
    </row>
    <row r="404" spans="1:10" ht="30" customHeight="1" x14ac:dyDescent="0.25">
      <c r="A404" s="1" t="s">
        <v>801</v>
      </c>
      <c r="B404" s="19">
        <v>46182</v>
      </c>
      <c r="J404" s="1">
        <v>5845</v>
      </c>
    </row>
    <row r="405" spans="1:10" ht="30" customHeight="1" x14ac:dyDescent="0.25">
      <c r="A405" s="1" t="s">
        <v>802</v>
      </c>
      <c r="B405" s="19">
        <v>46182</v>
      </c>
      <c r="J405" s="1">
        <v>5846</v>
      </c>
    </row>
    <row r="406" spans="1:10" ht="30" customHeight="1" x14ac:dyDescent="0.25">
      <c r="A406" s="1" t="s">
        <v>803</v>
      </c>
      <c r="B406" s="19">
        <v>46182</v>
      </c>
      <c r="J406" s="1">
        <v>5847</v>
      </c>
    </row>
    <row r="407" spans="1:10" ht="30" customHeight="1" x14ac:dyDescent="0.25">
      <c r="A407" s="1" t="s">
        <v>804</v>
      </c>
      <c r="B407" s="19">
        <v>46182</v>
      </c>
      <c r="J407" s="1">
        <v>5848</v>
      </c>
    </row>
    <row r="408" spans="1:10" ht="30" customHeight="1" x14ac:dyDescent="0.25">
      <c r="A408" s="1" t="s">
        <v>805</v>
      </c>
      <c r="B408" s="19">
        <v>46182</v>
      </c>
      <c r="J408" s="1">
        <v>5849</v>
      </c>
    </row>
    <row r="409" spans="1:10" ht="30" customHeight="1" x14ac:dyDescent="0.25">
      <c r="A409" s="1" t="s">
        <v>806</v>
      </c>
      <c r="B409" s="19">
        <v>46182</v>
      </c>
      <c r="J409" s="1">
        <v>5850</v>
      </c>
    </row>
    <row r="410" spans="1:10" ht="30" customHeight="1" x14ac:dyDescent="0.25">
      <c r="A410" s="1" t="s">
        <v>807</v>
      </c>
      <c r="B410" s="19">
        <v>46182</v>
      </c>
      <c r="J410" s="1">
        <v>5851</v>
      </c>
    </row>
    <row r="411" spans="1:10" ht="30" customHeight="1" x14ac:dyDescent="0.25">
      <c r="A411" s="1" t="s">
        <v>808</v>
      </c>
      <c r="B411" s="19">
        <v>46182</v>
      </c>
      <c r="J411" s="1">
        <v>5852</v>
      </c>
    </row>
    <row r="412" spans="1:10" ht="30" customHeight="1" x14ac:dyDescent="0.25">
      <c r="A412" s="1" t="s">
        <v>809</v>
      </c>
      <c r="B412" s="19">
        <v>46182</v>
      </c>
      <c r="J412" s="1">
        <v>5853</v>
      </c>
    </row>
    <row r="413" spans="1:10" ht="30" customHeight="1" x14ac:dyDescent="0.25">
      <c r="A413" s="1" t="s">
        <v>810</v>
      </c>
      <c r="B413" s="19">
        <v>46182</v>
      </c>
      <c r="J413" s="1">
        <v>5854</v>
      </c>
    </row>
    <row r="414" spans="1:10" ht="30" customHeight="1" x14ac:dyDescent="0.25">
      <c r="A414" s="1" t="s">
        <v>811</v>
      </c>
      <c r="B414" s="19">
        <v>46182</v>
      </c>
      <c r="J414" s="1">
        <v>5855</v>
      </c>
    </row>
    <row r="415" spans="1:10" ht="30" customHeight="1" x14ac:dyDescent="0.25">
      <c r="A415" s="1" t="s">
        <v>812</v>
      </c>
      <c r="B415" s="19">
        <v>46182</v>
      </c>
      <c r="J415" s="1">
        <v>5856</v>
      </c>
    </row>
    <row r="416" spans="1:10" ht="30" customHeight="1" x14ac:dyDescent="0.25">
      <c r="A416" s="1" t="s">
        <v>813</v>
      </c>
      <c r="B416" s="19">
        <v>46182</v>
      </c>
      <c r="J416" s="1">
        <v>5857</v>
      </c>
    </row>
    <row r="417" spans="1:10" ht="30" customHeight="1" x14ac:dyDescent="0.25">
      <c r="A417" s="1" t="s">
        <v>814</v>
      </c>
      <c r="B417" s="19">
        <v>46182</v>
      </c>
      <c r="J417" s="1">
        <v>5858</v>
      </c>
    </row>
    <row r="418" spans="1:10" ht="30" customHeight="1" x14ac:dyDescent="0.25">
      <c r="A418" s="1" t="s">
        <v>815</v>
      </c>
      <c r="B418" s="19">
        <v>46182</v>
      </c>
      <c r="J418" s="1">
        <v>5859</v>
      </c>
    </row>
    <row r="419" spans="1:10" ht="30" customHeight="1" x14ac:dyDescent="0.25">
      <c r="A419" s="1" t="s">
        <v>816</v>
      </c>
      <c r="B419" s="19">
        <v>46182</v>
      </c>
      <c r="J419" s="1">
        <v>5860</v>
      </c>
    </row>
    <row r="420" spans="1:10" ht="30" customHeight="1" x14ac:dyDescent="0.25">
      <c r="A420" s="1" t="s">
        <v>817</v>
      </c>
      <c r="B420" s="19">
        <v>46182</v>
      </c>
      <c r="J420" s="1">
        <v>5861</v>
      </c>
    </row>
    <row r="421" spans="1:10" ht="30" customHeight="1" x14ac:dyDescent="0.25">
      <c r="A421" s="1" t="s">
        <v>818</v>
      </c>
      <c r="B421" s="19">
        <v>46182</v>
      </c>
      <c r="J421" s="1">
        <v>5862</v>
      </c>
    </row>
    <row r="422" spans="1:10" ht="30" customHeight="1" x14ac:dyDescent="0.25">
      <c r="A422" s="1" t="s">
        <v>819</v>
      </c>
      <c r="B422" s="19">
        <v>46182</v>
      </c>
      <c r="J422" s="1">
        <v>5863</v>
      </c>
    </row>
    <row r="423" spans="1:10" ht="30" customHeight="1" x14ac:dyDescent="0.25">
      <c r="A423" s="1" t="s">
        <v>820</v>
      </c>
      <c r="B423" s="19">
        <v>46182</v>
      </c>
      <c r="J423" s="1">
        <v>5864</v>
      </c>
    </row>
    <row r="424" spans="1:10" ht="30" customHeight="1" x14ac:dyDescent="0.25">
      <c r="A424" s="1" t="s">
        <v>821</v>
      </c>
      <c r="B424" s="19">
        <v>46182</v>
      </c>
      <c r="J424" s="1">
        <v>5865</v>
      </c>
    </row>
    <row r="425" spans="1:10" ht="30" customHeight="1" x14ac:dyDescent="0.25">
      <c r="A425" s="1" t="s">
        <v>822</v>
      </c>
      <c r="B425" s="19">
        <v>46182</v>
      </c>
      <c r="J425" s="1">
        <v>5866</v>
      </c>
    </row>
    <row r="426" spans="1:10" ht="30" customHeight="1" x14ac:dyDescent="0.25">
      <c r="A426" s="1" t="s">
        <v>823</v>
      </c>
      <c r="B426" s="19">
        <v>46182</v>
      </c>
      <c r="J426" s="1">
        <v>5867</v>
      </c>
    </row>
    <row r="427" spans="1:10" ht="30" customHeight="1" x14ac:dyDescent="0.25">
      <c r="A427" s="1" t="s">
        <v>824</v>
      </c>
      <c r="B427" s="19">
        <v>46182</v>
      </c>
      <c r="J427" s="1">
        <v>5868</v>
      </c>
    </row>
    <row r="428" spans="1:10" ht="30" customHeight="1" x14ac:dyDescent="0.25">
      <c r="A428" s="1" t="s">
        <v>825</v>
      </c>
      <c r="B428" s="19">
        <v>46182</v>
      </c>
      <c r="J428" s="1">
        <v>5869</v>
      </c>
    </row>
    <row r="429" spans="1:10" ht="30" customHeight="1" x14ac:dyDescent="0.25">
      <c r="A429" s="1" t="s">
        <v>826</v>
      </c>
      <c r="B429" s="19">
        <v>46182</v>
      </c>
      <c r="J429" s="1">
        <v>5870</v>
      </c>
    </row>
    <row r="430" spans="1:10" ht="30" customHeight="1" x14ac:dyDescent="0.25">
      <c r="A430" s="1" t="s">
        <v>827</v>
      </c>
      <c r="B430" s="19">
        <v>46182</v>
      </c>
      <c r="J430" s="1">
        <v>5871</v>
      </c>
    </row>
    <row r="431" spans="1:10" ht="30" customHeight="1" x14ac:dyDescent="0.25">
      <c r="A431" s="1" t="s">
        <v>828</v>
      </c>
      <c r="B431" s="19">
        <v>46182</v>
      </c>
      <c r="J431" s="1">
        <v>5872</v>
      </c>
    </row>
    <row r="432" spans="1:10" ht="30" customHeight="1" x14ac:dyDescent="0.25">
      <c r="A432" s="1" t="s">
        <v>829</v>
      </c>
      <c r="B432" s="19">
        <v>46182</v>
      </c>
      <c r="J432" s="1">
        <v>5873</v>
      </c>
    </row>
    <row r="433" spans="1:10" ht="30" customHeight="1" x14ac:dyDescent="0.25">
      <c r="A433" s="1" t="s">
        <v>830</v>
      </c>
      <c r="B433" s="19">
        <v>46182</v>
      </c>
      <c r="J433" s="1">
        <v>5874</v>
      </c>
    </row>
    <row r="434" spans="1:10" ht="30" customHeight="1" x14ac:dyDescent="0.25">
      <c r="A434" s="1" t="s">
        <v>831</v>
      </c>
      <c r="B434" s="19">
        <v>46182</v>
      </c>
      <c r="J434" s="1">
        <v>5875</v>
      </c>
    </row>
    <row r="435" spans="1:10" ht="30" customHeight="1" x14ac:dyDescent="0.25">
      <c r="A435" s="1" t="s">
        <v>832</v>
      </c>
      <c r="B435" s="19">
        <v>46182</v>
      </c>
      <c r="J435" s="1">
        <v>5876</v>
      </c>
    </row>
    <row r="436" spans="1:10" ht="30" customHeight="1" x14ac:dyDescent="0.25">
      <c r="A436" s="1" t="s">
        <v>833</v>
      </c>
      <c r="B436" s="19">
        <v>46182</v>
      </c>
      <c r="J436" s="1">
        <v>5877</v>
      </c>
    </row>
    <row r="437" spans="1:10" ht="30" customHeight="1" x14ac:dyDescent="0.25">
      <c r="A437" s="1" t="s">
        <v>834</v>
      </c>
      <c r="B437" s="19">
        <v>46182</v>
      </c>
      <c r="J437" s="1">
        <v>5878</v>
      </c>
    </row>
    <row r="438" spans="1:10" ht="30" customHeight="1" x14ac:dyDescent="0.25">
      <c r="A438" s="1" t="s">
        <v>835</v>
      </c>
      <c r="B438" s="19">
        <v>46182</v>
      </c>
      <c r="J438" s="1">
        <v>5879</v>
      </c>
    </row>
    <row r="439" spans="1:10" ht="30" customHeight="1" x14ac:dyDescent="0.25">
      <c r="A439" s="1" t="s">
        <v>836</v>
      </c>
      <c r="B439" s="19">
        <v>46182</v>
      </c>
      <c r="J439" s="1">
        <v>5880</v>
      </c>
    </row>
    <row r="440" spans="1:10" ht="30" customHeight="1" x14ac:dyDescent="0.25">
      <c r="A440" s="1" t="s">
        <v>837</v>
      </c>
      <c r="B440" s="19">
        <v>46182</v>
      </c>
      <c r="J440" s="1">
        <v>5881</v>
      </c>
    </row>
    <row r="441" spans="1:10" ht="30" customHeight="1" x14ac:dyDescent="0.25">
      <c r="A441" s="1" t="s">
        <v>838</v>
      </c>
      <c r="B441" s="19">
        <v>46182</v>
      </c>
      <c r="J441" s="1">
        <v>5882</v>
      </c>
    </row>
    <row r="442" spans="1:10" ht="30" customHeight="1" x14ac:dyDescent="0.25">
      <c r="A442" s="1" t="s">
        <v>839</v>
      </c>
      <c r="B442" s="19">
        <v>46182</v>
      </c>
      <c r="J442" s="1">
        <v>5883</v>
      </c>
    </row>
    <row r="443" spans="1:10" ht="30" customHeight="1" x14ac:dyDescent="0.25">
      <c r="A443" s="1" t="s">
        <v>840</v>
      </c>
      <c r="B443" s="19">
        <v>46182</v>
      </c>
      <c r="J443" s="1">
        <v>5884</v>
      </c>
    </row>
    <row r="444" spans="1:10" ht="30" customHeight="1" x14ac:dyDescent="0.25">
      <c r="A444" s="1" t="s">
        <v>841</v>
      </c>
      <c r="B444" s="19">
        <v>46182</v>
      </c>
      <c r="J444" s="1">
        <v>5885</v>
      </c>
    </row>
    <row r="445" spans="1:10" ht="30" customHeight="1" x14ac:dyDescent="0.25">
      <c r="A445" s="1" t="s">
        <v>842</v>
      </c>
      <c r="B445" s="19">
        <v>46182</v>
      </c>
      <c r="J445" s="1">
        <v>5886</v>
      </c>
    </row>
    <row r="446" spans="1:10" ht="30" customHeight="1" x14ac:dyDescent="0.25">
      <c r="A446" s="1" t="s">
        <v>843</v>
      </c>
      <c r="B446" s="19">
        <v>46182</v>
      </c>
      <c r="J446" s="1">
        <v>5887</v>
      </c>
    </row>
    <row r="447" spans="1:10" ht="30" customHeight="1" x14ac:dyDescent="0.25">
      <c r="A447" s="1" t="s">
        <v>844</v>
      </c>
      <c r="B447" s="19">
        <v>46182</v>
      </c>
      <c r="J447" s="1">
        <v>5888</v>
      </c>
    </row>
    <row r="448" spans="1:10" ht="30" customHeight="1" x14ac:dyDescent="0.25">
      <c r="A448" s="1" t="s">
        <v>845</v>
      </c>
      <c r="B448" s="19">
        <v>46182</v>
      </c>
      <c r="J448" s="1">
        <v>5889</v>
      </c>
    </row>
    <row r="449" spans="1:10" ht="30" customHeight="1" x14ac:dyDescent="0.25">
      <c r="A449" s="1" t="s">
        <v>846</v>
      </c>
      <c r="B449" s="19">
        <v>46182</v>
      </c>
      <c r="J449" s="1">
        <v>5890</v>
      </c>
    </row>
    <row r="450" spans="1:10" ht="30" customHeight="1" x14ac:dyDescent="0.25">
      <c r="A450" s="1" t="s">
        <v>847</v>
      </c>
      <c r="B450" s="19">
        <v>46182</v>
      </c>
      <c r="J450" s="1">
        <v>5891</v>
      </c>
    </row>
    <row r="451" spans="1:10" ht="30" customHeight="1" x14ac:dyDescent="0.25">
      <c r="A451" s="1" t="s">
        <v>848</v>
      </c>
      <c r="B451" s="19">
        <v>46182</v>
      </c>
      <c r="J451" s="1">
        <v>5892</v>
      </c>
    </row>
    <row r="452" spans="1:10" ht="30" customHeight="1" x14ac:dyDescent="0.25">
      <c r="A452" s="1" t="s">
        <v>849</v>
      </c>
      <c r="B452" s="19">
        <v>46182</v>
      </c>
      <c r="J452" s="1">
        <v>5893</v>
      </c>
    </row>
    <row r="453" spans="1:10" ht="30" customHeight="1" x14ac:dyDescent="0.25">
      <c r="A453" s="1" t="s">
        <v>850</v>
      </c>
      <c r="B453" s="19">
        <v>46182</v>
      </c>
      <c r="J453" s="1">
        <v>5894</v>
      </c>
    </row>
    <row r="454" spans="1:10" ht="30" customHeight="1" x14ac:dyDescent="0.25">
      <c r="A454" s="1" t="s">
        <v>851</v>
      </c>
      <c r="B454" s="19">
        <v>46182</v>
      </c>
      <c r="J454" s="1">
        <v>5895</v>
      </c>
    </row>
    <row r="455" spans="1:10" ht="30" customHeight="1" x14ac:dyDescent="0.25">
      <c r="A455" s="1" t="s">
        <v>852</v>
      </c>
      <c r="B455" s="19">
        <v>46182</v>
      </c>
      <c r="J455" s="1">
        <v>5896</v>
      </c>
    </row>
    <row r="456" spans="1:10" ht="30" customHeight="1" x14ac:dyDescent="0.25">
      <c r="A456" s="1" t="s">
        <v>853</v>
      </c>
      <c r="B456" s="19">
        <v>46182</v>
      </c>
      <c r="J456" s="1">
        <v>5897</v>
      </c>
    </row>
    <row r="457" spans="1:10" ht="30" customHeight="1" x14ac:dyDescent="0.25">
      <c r="A457" s="1" t="s">
        <v>854</v>
      </c>
      <c r="B457" s="19">
        <v>46182</v>
      </c>
      <c r="J457" s="1">
        <v>5898</v>
      </c>
    </row>
    <row r="458" spans="1:10" ht="30" customHeight="1" x14ac:dyDescent="0.25">
      <c r="A458" s="1" t="s">
        <v>855</v>
      </c>
      <c r="B458" s="19">
        <v>46182</v>
      </c>
      <c r="J458" s="1">
        <v>5899</v>
      </c>
    </row>
    <row r="459" spans="1:10" ht="30" customHeight="1" x14ac:dyDescent="0.25">
      <c r="A459" s="1" t="s">
        <v>856</v>
      </c>
      <c r="B459" s="19">
        <v>46182</v>
      </c>
      <c r="J459" s="1">
        <v>5900</v>
      </c>
    </row>
    <row r="460" spans="1:10" ht="30" customHeight="1" x14ac:dyDescent="0.25">
      <c r="A460" s="1" t="s">
        <v>857</v>
      </c>
      <c r="B460" s="19">
        <v>46182</v>
      </c>
      <c r="J460" s="1">
        <v>5901</v>
      </c>
    </row>
    <row r="461" spans="1:10" ht="30" customHeight="1" x14ac:dyDescent="0.25">
      <c r="A461" s="1" t="s">
        <v>858</v>
      </c>
      <c r="B461" s="19">
        <v>46182</v>
      </c>
      <c r="J461" s="1">
        <v>5902</v>
      </c>
    </row>
    <row r="462" spans="1:10" ht="30" customHeight="1" x14ac:dyDescent="0.25">
      <c r="A462" s="1" t="s">
        <v>859</v>
      </c>
      <c r="B462" s="19">
        <v>46182</v>
      </c>
      <c r="J462" s="1">
        <v>5903</v>
      </c>
    </row>
    <row r="463" spans="1:10" ht="30" customHeight="1" x14ac:dyDescent="0.25">
      <c r="A463" s="1" t="s">
        <v>860</v>
      </c>
      <c r="B463" s="19">
        <v>46182</v>
      </c>
      <c r="J463" s="1">
        <v>5904</v>
      </c>
    </row>
    <row r="464" spans="1:10" ht="30" customHeight="1" x14ac:dyDescent="0.25">
      <c r="A464" s="1" t="s">
        <v>861</v>
      </c>
      <c r="B464" s="19">
        <v>46182</v>
      </c>
      <c r="J464" s="1">
        <v>5905</v>
      </c>
    </row>
    <row r="465" spans="1:10" ht="30" customHeight="1" x14ac:dyDescent="0.25">
      <c r="A465" s="1" t="s">
        <v>862</v>
      </c>
      <c r="B465" s="19">
        <v>46182</v>
      </c>
      <c r="J465" s="1">
        <v>5906</v>
      </c>
    </row>
    <row r="466" spans="1:10" ht="30" customHeight="1" x14ac:dyDescent="0.25">
      <c r="A466" s="1" t="s">
        <v>863</v>
      </c>
      <c r="B466" s="19">
        <v>46182</v>
      </c>
      <c r="J466" s="1">
        <v>5907</v>
      </c>
    </row>
    <row r="467" spans="1:10" ht="30" customHeight="1" x14ac:dyDescent="0.25">
      <c r="A467" s="1" t="s">
        <v>864</v>
      </c>
      <c r="B467" s="19">
        <v>46182</v>
      </c>
      <c r="J467" s="1">
        <v>5908</v>
      </c>
    </row>
    <row r="468" spans="1:10" ht="30" customHeight="1" x14ac:dyDescent="0.25">
      <c r="A468" s="1" t="s">
        <v>865</v>
      </c>
      <c r="B468" s="19">
        <v>46182</v>
      </c>
      <c r="J468" s="1">
        <v>5909</v>
      </c>
    </row>
    <row r="469" spans="1:10" ht="30" customHeight="1" x14ac:dyDescent="0.25">
      <c r="A469" s="1" t="s">
        <v>866</v>
      </c>
      <c r="B469" s="19">
        <v>46182</v>
      </c>
      <c r="J469" s="1">
        <v>5910</v>
      </c>
    </row>
    <row r="470" spans="1:10" ht="30" customHeight="1" x14ac:dyDescent="0.25">
      <c r="A470" s="1" t="s">
        <v>867</v>
      </c>
      <c r="B470" s="19">
        <v>46182</v>
      </c>
      <c r="J470" s="1">
        <v>5911</v>
      </c>
    </row>
    <row r="471" spans="1:10" ht="30" customHeight="1" x14ac:dyDescent="0.25">
      <c r="A471" s="1" t="s">
        <v>868</v>
      </c>
      <c r="B471" s="19">
        <v>46182</v>
      </c>
      <c r="J471" s="1">
        <v>5912</v>
      </c>
    </row>
    <row r="472" spans="1:10" ht="30" customHeight="1" x14ac:dyDescent="0.25">
      <c r="A472" s="1" t="s">
        <v>869</v>
      </c>
      <c r="B472" s="19">
        <v>46182</v>
      </c>
      <c r="J472" s="1">
        <v>5913</v>
      </c>
    </row>
    <row r="473" spans="1:10" ht="30" customHeight="1" x14ac:dyDescent="0.25">
      <c r="A473" s="1" t="s">
        <v>870</v>
      </c>
      <c r="B473" s="19">
        <v>46182</v>
      </c>
      <c r="J473" s="1">
        <v>5914</v>
      </c>
    </row>
    <row r="474" spans="1:10" ht="30" customHeight="1" x14ac:dyDescent="0.25">
      <c r="A474" s="1" t="s">
        <v>871</v>
      </c>
      <c r="B474" s="19">
        <v>46182</v>
      </c>
      <c r="J474" s="1">
        <v>5915</v>
      </c>
    </row>
    <row r="475" spans="1:10" ht="30" customHeight="1" x14ac:dyDescent="0.25">
      <c r="A475" s="1" t="s">
        <v>872</v>
      </c>
      <c r="B475" s="19">
        <v>46182</v>
      </c>
      <c r="J475" s="1">
        <v>5916</v>
      </c>
    </row>
    <row r="476" spans="1:10" ht="30" customHeight="1" x14ac:dyDescent="0.25">
      <c r="A476" s="1" t="s">
        <v>873</v>
      </c>
      <c r="B476" s="19">
        <v>46182</v>
      </c>
      <c r="J476" s="1">
        <v>5917</v>
      </c>
    </row>
    <row r="477" spans="1:10" ht="30" customHeight="1" x14ac:dyDescent="0.25">
      <c r="A477" s="1" t="s">
        <v>874</v>
      </c>
      <c r="B477" s="19">
        <v>46182</v>
      </c>
      <c r="J477" s="1">
        <v>5918</v>
      </c>
    </row>
    <row r="478" spans="1:10" ht="30" customHeight="1" x14ac:dyDescent="0.25">
      <c r="A478" s="1" t="s">
        <v>875</v>
      </c>
      <c r="B478" s="19">
        <v>46182</v>
      </c>
      <c r="J478" s="1">
        <v>5919</v>
      </c>
    </row>
    <row r="479" spans="1:10" ht="30" customHeight="1" x14ac:dyDescent="0.25">
      <c r="A479" s="1" t="s">
        <v>876</v>
      </c>
      <c r="B479" s="19">
        <v>46182</v>
      </c>
      <c r="J479" s="1">
        <v>5920</v>
      </c>
    </row>
    <row r="480" spans="1:10" ht="30" customHeight="1" x14ac:dyDescent="0.25">
      <c r="A480" s="1" t="s">
        <v>877</v>
      </c>
      <c r="B480" s="19">
        <v>46182</v>
      </c>
      <c r="J480" s="1">
        <v>5921</v>
      </c>
    </row>
    <row r="481" spans="1:10" ht="30" customHeight="1" x14ac:dyDescent="0.25">
      <c r="A481" s="1" t="s">
        <v>878</v>
      </c>
      <c r="B481" s="19">
        <v>46182</v>
      </c>
      <c r="J481" s="1">
        <v>5922</v>
      </c>
    </row>
    <row r="482" spans="1:10" ht="30" customHeight="1" x14ac:dyDescent="0.25">
      <c r="A482" s="1" t="s">
        <v>879</v>
      </c>
      <c r="B482" s="19">
        <v>46182</v>
      </c>
      <c r="J482" s="1">
        <v>5923</v>
      </c>
    </row>
    <row r="483" spans="1:10" ht="30" customHeight="1" x14ac:dyDescent="0.25">
      <c r="A483" s="1" t="s">
        <v>880</v>
      </c>
      <c r="B483" s="19">
        <v>46182</v>
      </c>
      <c r="J483" s="1">
        <v>5924</v>
      </c>
    </row>
    <row r="484" spans="1:10" ht="30" customHeight="1" x14ac:dyDescent="0.25">
      <c r="A484" s="1" t="s">
        <v>881</v>
      </c>
      <c r="B484" s="19">
        <v>46182</v>
      </c>
      <c r="J484" s="1">
        <v>5925</v>
      </c>
    </row>
    <row r="485" spans="1:10" ht="30" customHeight="1" x14ac:dyDescent="0.25">
      <c r="A485" s="1" t="s">
        <v>882</v>
      </c>
      <c r="B485" s="19">
        <v>46182</v>
      </c>
      <c r="J485" s="1">
        <v>5926</v>
      </c>
    </row>
    <row r="486" spans="1:10" ht="30" customHeight="1" x14ac:dyDescent="0.25">
      <c r="A486" s="1" t="s">
        <v>883</v>
      </c>
      <c r="B486" s="19">
        <v>46182</v>
      </c>
      <c r="J486" s="1">
        <v>5927</v>
      </c>
    </row>
    <row r="487" spans="1:10" ht="30" customHeight="1" x14ac:dyDescent="0.25">
      <c r="A487" s="1" t="s">
        <v>884</v>
      </c>
      <c r="B487" s="19">
        <v>46182</v>
      </c>
      <c r="J487" s="1">
        <v>5928</v>
      </c>
    </row>
    <row r="488" spans="1:10" ht="30" customHeight="1" x14ac:dyDescent="0.25">
      <c r="A488" s="1" t="s">
        <v>885</v>
      </c>
      <c r="B488" s="19">
        <v>46182</v>
      </c>
      <c r="J488" s="1">
        <v>5929</v>
      </c>
    </row>
    <row r="489" spans="1:10" ht="30" customHeight="1" x14ac:dyDescent="0.25">
      <c r="A489" s="1" t="s">
        <v>886</v>
      </c>
      <c r="B489" s="19">
        <v>46182</v>
      </c>
      <c r="J489" s="1">
        <v>5930</v>
      </c>
    </row>
    <row r="490" spans="1:10" ht="30" customHeight="1" x14ac:dyDescent="0.25">
      <c r="A490" s="1" t="s">
        <v>887</v>
      </c>
      <c r="B490" s="19">
        <v>46182</v>
      </c>
      <c r="J490" s="1">
        <v>5931</v>
      </c>
    </row>
    <row r="491" spans="1:10" ht="30" customHeight="1" x14ac:dyDescent="0.25">
      <c r="A491" s="1" t="s">
        <v>888</v>
      </c>
      <c r="B491" s="19">
        <v>46182</v>
      </c>
      <c r="J491" s="1">
        <v>5932</v>
      </c>
    </row>
    <row r="492" spans="1:10" ht="30" customHeight="1" x14ac:dyDescent="0.25">
      <c r="A492" s="1" t="s">
        <v>889</v>
      </c>
      <c r="B492" s="19">
        <v>46182</v>
      </c>
      <c r="J492" s="1">
        <v>5933</v>
      </c>
    </row>
    <row r="493" spans="1:10" ht="30" customHeight="1" x14ac:dyDescent="0.25">
      <c r="A493" s="1" t="s">
        <v>890</v>
      </c>
      <c r="B493" s="19">
        <v>46182</v>
      </c>
      <c r="J493" s="1">
        <v>5934</v>
      </c>
    </row>
    <row r="494" spans="1:10" ht="30" customHeight="1" x14ac:dyDescent="0.25">
      <c r="A494" s="1" t="s">
        <v>891</v>
      </c>
      <c r="B494" s="19">
        <v>46182</v>
      </c>
      <c r="J494" s="1">
        <v>5935</v>
      </c>
    </row>
    <row r="495" spans="1:10" ht="30" customHeight="1" x14ac:dyDescent="0.25">
      <c r="A495" s="1" t="s">
        <v>892</v>
      </c>
      <c r="B495" s="19">
        <v>46182</v>
      </c>
      <c r="J495" s="1">
        <v>5936</v>
      </c>
    </row>
    <row r="496" spans="1:10" ht="30" customHeight="1" x14ac:dyDescent="0.25">
      <c r="A496" s="1" t="s">
        <v>893</v>
      </c>
      <c r="B496" s="19">
        <v>46182</v>
      </c>
      <c r="J496" s="1">
        <v>5937</v>
      </c>
    </row>
    <row r="497" spans="1:10" ht="30" customHeight="1" x14ac:dyDescent="0.25">
      <c r="A497" s="1" t="s">
        <v>894</v>
      </c>
      <c r="B497" s="19">
        <v>46182</v>
      </c>
      <c r="J497" s="1">
        <v>5938</v>
      </c>
    </row>
    <row r="498" spans="1:10" ht="30" customHeight="1" x14ac:dyDescent="0.25">
      <c r="A498" s="1" t="s">
        <v>895</v>
      </c>
      <c r="B498" s="19">
        <v>46182</v>
      </c>
      <c r="J498" s="1">
        <v>5939</v>
      </c>
    </row>
    <row r="499" spans="1:10" ht="30" customHeight="1" x14ac:dyDescent="0.25">
      <c r="A499" s="1" t="s">
        <v>896</v>
      </c>
      <c r="B499" s="19">
        <v>46182</v>
      </c>
      <c r="J499" s="1">
        <v>5940</v>
      </c>
    </row>
    <row r="500" spans="1:10" ht="30" customHeight="1" x14ac:dyDescent="0.25">
      <c r="A500" s="1" t="s">
        <v>897</v>
      </c>
      <c r="B500" s="19">
        <v>46182</v>
      </c>
      <c r="J500" s="1">
        <v>5941</v>
      </c>
    </row>
    <row r="501" spans="1:10" ht="30" customHeight="1" x14ac:dyDescent="0.25">
      <c r="A501" s="1" t="s">
        <v>898</v>
      </c>
      <c r="B501" s="19">
        <v>46182</v>
      </c>
      <c r="J501" s="1">
        <v>5942</v>
      </c>
    </row>
    <row r="502" spans="1:10" ht="30" customHeight="1" x14ac:dyDescent="0.25">
      <c r="A502" s="1" t="s">
        <v>899</v>
      </c>
      <c r="B502" s="19">
        <v>46182</v>
      </c>
      <c r="J502" s="1">
        <v>5943</v>
      </c>
    </row>
    <row r="503" spans="1:10" ht="30" customHeight="1" x14ac:dyDescent="0.25">
      <c r="A503" s="1" t="s">
        <v>900</v>
      </c>
      <c r="B503" s="19">
        <v>46182</v>
      </c>
      <c r="J503" s="1">
        <v>5944</v>
      </c>
    </row>
    <row r="504" spans="1:10" ht="30" customHeight="1" x14ac:dyDescent="0.25">
      <c r="A504" s="1" t="s">
        <v>901</v>
      </c>
      <c r="B504" s="19">
        <v>46182</v>
      </c>
      <c r="J504" s="1">
        <v>5945</v>
      </c>
    </row>
    <row r="505" spans="1:10" ht="30" customHeight="1" x14ac:dyDescent="0.25">
      <c r="A505" s="1" t="s">
        <v>902</v>
      </c>
      <c r="B505" s="19">
        <v>46182</v>
      </c>
      <c r="J505" s="1">
        <v>5946</v>
      </c>
    </row>
    <row r="506" spans="1:10" ht="30" customHeight="1" x14ac:dyDescent="0.25">
      <c r="A506" s="1" t="s">
        <v>903</v>
      </c>
      <c r="B506" s="19">
        <v>46182</v>
      </c>
      <c r="J506" s="1">
        <v>5947</v>
      </c>
    </row>
    <row r="507" spans="1:10" ht="30" customHeight="1" x14ac:dyDescent="0.25">
      <c r="A507" s="1" t="s">
        <v>904</v>
      </c>
      <c r="B507" s="19">
        <v>46182</v>
      </c>
      <c r="J507" s="1">
        <v>5948</v>
      </c>
    </row>
    <row r="508" spans="1:10" ht="30" customHeight="1" x14ac:dyDescent="0.25">
      <c r="A508" s="1" t="s">
        <v>905</v>
      </c>
      <c r="B508" s="19">
        <v>46182</v>
      </c>
      <c r="J508" s="1">
        <v>5949</v>
      </c>
    </row>
    <row r="509" spans="1:10" ht="30" customHeight="1" x14ac:dyDescent="0.25">
      <c r="A509" s="1" t="s">
        <v>906</v>
      </c>
      <c r="B509" s="19">
        <v>46182</v>
      </c>
      <c r="J509" s="1">
        <v>5950</v>
      </c>
    </row>
    <row r="510" spans="1:10" ht="30" customHeight="1" x14ac:dyDescent="0.25">
      <c r="A510" s="1" t="s">
        <v>907</v>
      </c>
      <c r="B510" s="19">
        <v>46182</v>
      </c>
      <c r="J510" s="1">
        <v>5951</v>
      </c>
    </row>
    <row r="511" spans="1:10" ht="30" customHeight="1" x14ac:dyDescent="0.25">
      <c r="A511" s="1" t="s">
        <v>908</v>
      </c>
      <c r="B511" s="19">
        <v>46182</v>
      </c>
      <c r="J511" s="1">
        <v>5952</v>
      </c>
    </row>
    <row r="512" spans="1:10" ht="30" customHeight="1" x14ac:dyDescent="0.25">
      <c r="A512" s="1" t="s">
        <v>909</v>
      </c>
      <c r="B512" s="19">
        <v>46182</v>
      </c>
      <c r="J512" s="1">
        <v>5953</v>
      </c>
    </row>
    <row r="513" spans="1:10" ht="30" customHeight="1" x14ac:dyDescent="0.25">
      <c r="A513" s="1" t="s">
        <v>910</v>
      </c>
      <c r="B513" s="19">
        <v>46182</v>
      </c>
      <c r="J513" s="1">
        <v>5954</v>
      </c>
    </row>
    <row r="514" spans="1:10" ht="30" customHeight="1" x14ac:dyDescent="0.25">
      <c r="A514" s="1" t="s">
        <v>911</v>
      </c>
      <c r="B514" s="19">
        <v>46182</v>
      </c>
      <c r="J514" s="1">
        <v>5955</v>
      </c>
    </row>
    <row r="515" spans="1:10" ht="30" customHeight="1" x14ac:dyDescent="0.25">
      <c r="A515" s="1" t="s">
        <v>912</v>
      </c>
      <c r="B515" s="19">
        <v>46182</v>
      </c>
      <c r="J515" s="1">
        <v>5956</v>
      </c>
    </row>
    <row r="516" spans="1:10" ht="30" customHeight="1" x14ac:dyDescent="0.25">
      <c r="A516" s="1" t="s">
        <v>913</v>
      </c>
      <c r="B516" s="19">
        <v>46182</v>
      </c>
      <c r="J516" s="1">
        <v>5957</v>
      </c>
    </row>
    <row r="517" spans="1:10" ht="30" customHeight="1" x14ac:dyDescent="0.25">
      <c r="A517" s="1" t="s">
        <v>914</v>
      </c>
      <c r="B517" s="19">
        <v>46182</v>
      </c>
      <c r="J517" s="1">
        <v>5958</v>
      </c>
    </row>
    <row r="518" spans="1:10" ht="30" customHeight="1" x14ac:dyDescent="0.25">
      <c r="A518" s="1" t="s">
        <v>915</v>
      </c>
      <c r="B518" s="19">
        <v>46182</v>
      </c>
      <c r="J518" s="1">
        <v>5959</v>
      </c>
    </row>
    <row r="519" spans="1:10" ht="30" customHeight="1" x14ac:dyDescent="0.25">
      <c r="A519" s="1" t="s">
        <v>916</v>
      </c>
      <c r="B519" s="19">
        <v>46182</v>
      </c>
      <c r="J519" s="1">
        <v>5960</v>
      </c>
    </row>
    <row r="520" spans="1:10" ht="30" customHeight="1" x14ac:dyDescent="0.25">
      <c r="A520" s="1" t="s">
        <v>917</v>
      </c>
      <c r="B520" s="19">
        <v>46182</v>
      </c>
      <c r="J520" s="1">
        <v>5961</v>
      </c>
    </row>
    <row r="521" spans="1:10" ht="30" customHeight="1" x14ac:dyDescent="0.25">
      <c r="A521" s="1" t="s">
        <v>918</v>
      </c>
      <c r="B521" s="19">
        <v>46182</v>
      </c>
      <c r="J521" s="1">
        <v>5962</v>
      </c>
    </row>
    <row r="522" spans="1:10" ht="30" customHeight="1" x14ac:dyDescent="0.25">
      <c r="A522" s="1" t="s">
        <v>919</v>
      </c>
      <c r="B522" s="19">
        <v>46182</v>
      </c>
      <c r="J522" s="1">
        <v>5963</v>
      </c>
    </row>
    <row r="523" spans="1:10" ht="30" customHeight="1" x14ac:dyDescent="0.25">
      <c r="A523" s="1" t="s">
        <v>920</v>
      </c>
      <c r="B523" s="19">
        <v>46182</v>
      </c>
      <c r="J523" s="1">
        <v>5964</v>
      </c>
    </row>
    <row r="524" spans="1:10" ht="30" customHeight="1" x14ac:dyDescent="0.25">
      <c r="A524" s="1" t="s">
        <v>921</v>
      </c>
      <c r="B524" s="19">
        <v>46182</v>
      </c>
      <c r="J524" s="1">
        <v>5965</v>
      </c>
    </row>
    <row r="525" spans="1:10" ht="30" customHeight="1" x14ac:dyDescent="0.25">
      <c r="A525" s="1" t="s">
        <v>922</v>
      </c>
      <c r="B525" s="19">
        <v>46182</v>
      </c>
      <c r="J525" s="1">
        <v>5966</v>
      </c>
    </row>
    <row r="526" spans="1:10" ht="30" customHeight="1" x14ac:dyDescent="0.25">
      <c r="A526" s="1" t="s">
        <v>923</v>
      </c>
      <c r="B526" s="19">
        <v>46182</v>
      </c>
      <c r="J526" s="1">
        <v>5967</v>
      </c>
    </row>
    <row r="527" spans="1:10" ht="30" customHeight="1" x14ac:dyDescent="0.25">
      <c r="A527" s="1" t="s">
        <v>924</v>
      </c>
      <c r="B527" s="19">
        <v>46182</v>
      </c>
      <c r="J527" s="1">
        <v>5968</v>
      </c>
    </row>
    <row r="528" spans="1:10" ht="30" customHeight="1" x14ac:dyDescent="0.25">
      <c r="A528" s="1" t="s">
        <v>925</v>
      </c>
      <c r="B528" s="19">
        <v>46182</v>
      </c>
      <c r="J528" s="1">
        <v>5969</v>
      </c>
    </row>
    <row r="529" spans="1:10" ht="30" customHeight="1" x14ac:dyDescent="0.25">
      <c r="A529" s="1" t="s">
        <v>926</v>
      </c>
      <c r="B529" s="19">
        <v>46182</v>
      </c>
      <c r="J529" s="1">
        <v>5970</v>
      </c>
    </row>
    <row r="530" spans="1:10" ht="30" customHeight="1" x14ac:dyDescent="0.25">
      <c r="A530" s="1" t="s">
        <v>927</v>
      </c>
      <c r="B530" s="19">
        <v>46182</v>
      </c>
      <c r="J530" s="1">
        <v>5971</v>
      </c>
    </row>
    <row r="531" spans="1:10" ht="30" customHeight="1" x14ac:dyDescent="0.25">
      <c r="A531" s="1" t="s">
        <v>928</v>
      </c>
      <c r="B531" s="19">
        <v>46182</v>
      </c>
      <c r="J531" s="1">
        <v>5972</v>
      </c>
    </row>
    <row r="532" spans="1:10" ht="30" customHeight="1" x14ac:dyDescent="0.25">
      <c r="A532" s="1" t="s">
        <v>929</v>
      </c>
      <c r="B532" s="19">
        <v>46182</v>
      </c>
      <c r="J532" s="1">
        <v>5973</v>
      </c>
    </row>
    <row r="533" spans="1:10" ht="30" customHeight="1" x14ac:dyDescent="0.25">
      <c r="A533" s="1" t="s">
        <v>930</v>
      </c>
      <c r="B533" s="19">
        <v>46182</v>
      </c>
      <c r="J533" s="1">
        <v>5974</v>
      </c>
    </row>
    <row r="534" spans="1:10" ht="30" customHeight="1" x14ac:dyDescent="0.25">
      <c r="A534" s="1" t="s">
        <v>931</v>
      </c>
      <c r="B534" s="19">
        <v>46182</v>
      </c>
      <c r="J534" s="1">
        <v>5975</v>
      </c>
    </row>
    <row r="535" spans="1:10" ht="30" customHeight="1" x14ac:dyDescent="0.25">
      <c r="A535" s="1" t="s">
        <v>932</v>
      </c>
      <c r="B535" s="19">
        <v>46182</v>
      </c>
      <c r="J535" s="1">
        <v>5976</v>
      </c>
    </row>
    <row r="536" spans="1:10" ht="30" customHeight="1" x14ac:dyDescent="0.25">
      <c r="A536" s="1" t="s">
        <v>933</v>
      </c>
      <c r="B536" s="19">
        <v>46182</v>
      </c>
      <c r="J536" s="1">
        <v>5977</v>
      </c>
    </row>
    <row r="537" spans="1:10" ht="30" customHeight="1" x14ac:dyDescent="0.25">
      <c r="A537" s="1" t="s">
        <v>934</v>
      </c>
      <c r="B537" s="19">
        <v>46182</v>
      </c>
      <c r="J537" s="1">
        <v>5978</v>
      </c>
    </row>
    <row r="538" spans="1:10" ht="30" customHeight="1" x14ac:dyDescent="0.25">
      <c r="A538" s="1" t="s">
        <v>935</v>
      </c>
      <c r="B538" s="19">
        <v>46182</v>
      </c>
      <c r="J538" s="1">
        <v>5979</v>
      </c>
    </row>
    <row r="539" spans="1:10" ht="30" customHeight="1" x14ac:dyDescent="0.25">
      <c r="A539" s="1" t="s">
        <v>936</v>
      </c>
      <c r="B539" s="19">
        <v>46182</v>
      </c>
      <c r="J539" s="1">
        <v>5980</v>
      </c>
    </row>
    <row r="540" spans="1:10" ht="30" customHeight="1" x14ac:dyDescent="0.25">
      <c r="A540" s="1" t="s">
        <v>937</v>
      </c>
      <c r="B540" s="19">
        <v>46182</v>
      </c>
      <c r="J540" s="1">
        <v>5981</v>
      </c>
    </row>
    <row r="541" spans="1:10" ht="30" customHeight="1" x14ac:dyDescent="0.25">
      <c r="A541" s="1" t="s">
        <v>938</v>
      </c>
      <c r="B541" s="19">
        <v>46182</v>
      </c>
      <c r="J541" s="1">
        <v>5982</v>
      </c>
    </row>
    <row r="542" spans="1:10" ht="30" customHeight="1" x14ac:dyDescent="0.25">
      <c r="A542" s="1" t="s">
        <v>939</v>
      </c>
      <c r="B542" s="19">
        <v>46182</v>
      </c>
      <c r="J542" s="1">
        <v>5983</v>
      </c>
    </row>
    <row r="543" spans="1:10" ht="30" customHeight="1" x14ac:dyDescent="0.25">
      <c r="A543" s="1" t="s">
        <v>940</v>
      </c>
      <c r="B543" s="19">
        <v>46182</v>
      </c>
      <c r="J543" s="1">
        <v>5984</v>
      </c>
    </row>
    <row r="544" spans="1:10" ht="30" customHeight="1" x14ac:dyDescent="0.25">
      <c r="A544" s="1" t="s">
        <v>941</v>
      </c>
      <c r="B544" s="19">
        <v>46182</v>
      </c>
      <c r="J544" s="1">
        <v>5985</v>
      </c>
    </row>
    <row r="545" spans="1:10" ht="30" customHeight="1" x14ac:dyDescent="0.25">
      <c r="A545" s="1" t="s">
        <v>942</v>
      </c>
      <c r="B545" s="19">
        <v>46182</v>
      </c>
      <c r="J545" s="1">
        <v>5986</v>
      </c>
    </row>
    <row r="546" spans="1:10" ht="30" customHeight="1" x14ac:dyDescent="0.25">
      <c r="A546" s="1" t="s">
        <v>943</v>
      </c>
      <c r="B546" s="19">
        <v>46182</v>
      </c>
      <c r="J546" s="1">
        <v>5987</v>
      </c>
    </row>
    <row r="547" spans="1:10" ht="30" customHeight="1" x14ac:dyDescent="0.25">
      <c r="A547" s="1" t="s">
        <v>944</v>
      </c>
      <c r="B547" s="19">
        <v>46182</v>
      </c>
      <c r="J547" s="1">
        <v>5988</v>
      </c>
    </row>
    <row r="548" spans="1:10" ht="30" customHeight="1" x14ac:dyDescent="0.25">
      <c r="A548" s="1" t="s">
        <v>945</v>
      </c>
      <c r="B548" s="19">
        <v>46182</v>
      </c>
      <c r="J548" s="1">
        <v>5989</v>
      </c>
    </row>
    <row r="549" spans="1:10" ht="30" customHeight="1" x14ac:dyDescent="0.25">
      <c r="A549" s="1" t="s">
        <v>946</v>
      </c>
      <c r="B549" s="19">
        <v>46182</v>
      </c>
      <c r="J549" s="1">
        <v>5990</v>
      </c>
    </row>
    <row r="550" spans="1:10" ht="30" customHeight="1" x14ac:dyDescent="0.25">
      <c r="A550" s="1" t="s">
        <v>947</v>
      </c>
      <c r="B550" s="19">
        <v>46182</v>
      </c>
      <c r="J550" s="1">
        <v>5991</v>
      </c>
    </row>
    <row r="551" spans="1:10" ht="30" customHeight="1" x14ac:dyDescent="0.25">
      <c r="A551" s="1" t="s">
        <v>948</v>
      </c>
      <c r="B551" s="19">
        <v>46182</v>
      </c>
      <c r="J551" s="1">
        <v>5992</v>
      </c>
    </row>
    <row r="552" spans="1:10" ht="30" customHeight="1" x14ac:dyDescent="0.25">
      <c r="A552" s="1" t="s">
        <v>949</v>
      </c>
      <c r="B552" s="19">
        <v>46182</v>
      </c>
      <c r="J552" s="1">
        <v>5993</v>
      </c>
    </row>
    <row r="553" spans="1:10" ht="30" customHeight="1" x14ac:dyDescent="0.25">
      <c r="A553" s="1" t="s">
        <v>950</v>
      </c>
      <c r="B553" s="19">
        <v>46182</v>
      </c>
      <c r="J553" s="1">
        <v>5994</v>
      </c>
    </row>
    <row r="554" spans="1:10" ht="30" customHeight="1" x14ac:dyDescent="0.25">
      <c r="A554" s="1" t="s">
        <v>951</v>
      </c>
      <c r="B554" s="19">
        <v>46182</v>
      </c>
      <c r="J554" s="1">
        <v>5995</v>
      </c>
    </row>
    <row r="555" spans="1:10" ht="30" customHeight="1" x14ac:dyDescent="0.25">
      <c r="A555" s="1" t="s">
        <v>952</v>
      </c>
      <c r="B555" s="19">
        <v>46182</v>
      </c>
      <c r="J555" s="1">
        <v>5996</v>
      </c>
    </row>
    <row r="556" spans="1:10" ht="30" customHeight="1" x14ac:dyDescent="0.25">
      <c r="A556" s="1" t="s">
        <v>953</v>
      </c>
      <c r="B556" s="19">
        <v>46182</v>
      </c>
      <c r="J556" s="1">
        <v>5997</v>
      </c>
    </row>
    <row r="557" spans="1:10" ht="30" customHeight="1" x14ac:dyDescent="0.25">
      <c r="A557" s="1" t="s">
        <v>954</v>
      </c>
      <c r="B557" s="19">
        <v>46182</v>
      </c>
      <c r="J557" s="1">
        <v>5998</v>
      </c>
    </row>
    <row r="558" spans="1:10" ht="30" customHeight="1" x14ac:dyDescent="0.25">
      <c r="A558" s="1" t="s">
        <v>955</v>
      </c>
      <c r="B558" s="19">
        <v>46182</v>
      </c>
      <c r="J558" s="1">
        <v>5999</v>
      </c>
    </row>
    <row r="559" spans="1:10" ht="30" customHeight="1" x14ac:dyDescent="0.25">
      <c r="A559" s="1" t="s">
        <v>956</v>
      </c>
      <c r="B559" s="19">
        <v>46182</v>
      </c>
      <c r="J559" s="1">
        <v>6000</v>
      </c>
    </row>
    <row r="560" spans="1:10" ht="30" customHeight="1" x14ac:dyDescent="0.25">
      <c r="A560" s="1" t="s">
        <v>957</v>
      </c>
      <c r="B560" s="19">
        <v>46182</v>
      </c>
      <c r="J560" s="1">
        <v>6001</v>
      </c>
    </row>
    <row r="561" spans="1:10" ht="30" customHeight="1" x14ac:dyDescent="0.25">
      <c r="A561" s="1" t="s">
        <v>958</v>
      </c>
      <c r="B561" s="19">
        <v>46182</v>
      </c>
      <c r="J561" s="1">
        <v>6002</v>
      </c>
    </row>
    <row r="562" spans="1:10" ht="30" customHeight="1" x14ac:dyDescent="0.25">
      <c r="A562" s="1" t="s">
        <v>959</v>
      </c>
      <c r="B562" s="19">
        <v>46182</v>
      </c>
      <c r="J562" s="1">
        <v>6003</v>
      </c>
    </row>
    <row r="563" spans="1:10" ht="30" customHeight="1" x14ac:dyDescent="0.25">
      <c r="A563" s="1" t="s">
        <v>960</v>
      </c>
      <c r="B563" s="19">
        <v>46182</v>
      </c>
      <c r="J563" s="1">
        <v>6004</v>
      </c>
    </row>
    <row r="564" spans="1:10" ht="30" customHeight="1" x14ac:dyDescent="0.25">
      <c r="A564" s="1" t="s">
        <v>961</v>
      </c>
      <c r="B564" s="19">
        <v>46182</v>
      </c>
      <c r="J564" s="1">
        <v>6005</v>
      </c>
    </row>
    <row r="565" spans="1:10" ht="30" customHeight="1" x14ac:dyDescent="0.25">
      <c r="A565" s="1" t="s">
        <v>962</v>
      </c>
      <c r="B565" s="19">
        <v>46182</v>
      </c>
      <c r="J565" s="1">
        <v>6006</v>
      </c>
    </row>
    <row r="566" spans="1:10" ht="30" customHeight="1" x14ac:dyDescent="0.25">
      <c r="A566" s="1" t="s">
        <v>963</v>
      </c>
      <c r="B566" s="19">
        <v>46182</v>
      </c>
      <c r="J566" s="1">
        <v>6007</v>
      </c>
    </row>
    <row r="567" spans="1:10" ht="30" customHeight="1" x14ac:dyDescent="0.25">
      <c r="A567" s="1" t="s">
        <v>964</v>
      </c>
      <c r="B567" s="19">
        <v>46182</v>
      </c>
      <c r="J567" s="1">
        <v>6008</v>
      </c>
    </row>
    <row r="568" spans="1:10" ht="30" customHeight="1" x14ac:dyDescent="0.25">
      <c r="A568" s="1" t="s">
        <v>965</v>
      </c>
      <c r="B568" s="19">
        <v>46182</v>
      </c>
      <c r="J568" s="1">
        <v>6009</v>
      </c>
    </row>
    <row r="569" spans="1:10" ht="30" customHeight="1" x14ac:dyDescent="0.25">
      <c r="A569" s="1" t="s">
        <v>966</v>
      </c>
      <c r="B569" s="19">
        <v>46182</v>
      </c>
      <c r="J569" s="1">
        <v>6010</v>
      </c>
    </row>
    <row r="570" spans="1:10" ht="30" customHeight="1" x14ac:dyDescent="0.25">
      <c r="A570" s="1" t="s">
        <v>967</v>
      </c>
      <c r="B570" s="19">
        <v>46182</v>
      </c>
      <c r="J570" s="1">
        <v>6011</v>
      </c>
    </row>
    <row r="571" spans="1:10" ht="30" customHeight="1" x14ac:dyDescent="0.25">
      <c r="A571" s="1" t="s">
        <v>968</v>
      </c>
      <c r="B571" s="19">
        <v>46182</v>
      </c>
      <c r="J571" s="1">
        <v>6012</v>
      </c>
    </row>
    <row r="572" spans="1:10" ht="30" customHeight="1" x14ac:dyDescent="0.25">
      <c r="A572" s="1" t="s">
        <v>969</v>
      </c>
      <c r="B572" s="19">
        <v>46182</v>
      </c>
      <c r="J572" s="1">
        <v>6013</v>
      </c>
    </row>
    <row r="573" spans="1:10" ht="30" customHeight="1" x14ac:dyDescent="0.25">
      <c r="A573" s="1" t="s">
        <v>970</v>
      </c>
      <c r="B573" s="19">
        <v>46182</v>
      </c>
      <c r="J573" s="1">
        <v>6014</v>
      </c>
    </row>
    <row r="574" spans="1:10" ht="30" customHeight="1" x14ac:dyDescent="0.25">
      <c r="A574" s="1" t="s">
        <v>971</v>
      </c>
      <c r="B574" s="19">
        <v>46182</v>
      </c>
      <c r="J574" s="1">
        <v>6015</v>
      </c>
    </row>
    <row r="575" spans="1:10" ht="30" customHeight="1" x14ac:dyDescent="0.25">
      <c r="A575" s="1" t="s">
        <v>972</v>
      </c>
      <c r="B575" s="19">
        <v>46182</v>
      </c>
      <c r="J575" s="1">
        <v>6016</v>
      </c>
    </row>
    <row r="576" spans="1:10" ht="30" customHeight="1" x14ac:dyDescent="0.25">
      <c r="A576" s="1" t="s">
        <v>973</v>
      </c>
      <c r="B576" s="19">
        <v>46182</v>
      </c>
      <c r="J576" s="1">
        <v>6017</v>
      </c>
    </row>
    <row r="577" spans="1:10" ht="30" customHeight="1" x14ac:dyDescent="0.25">
      <c r="A577" s="1" t="s">
        <v>974</v>
      </c>
      <c r="B577" s="19">
        <v>46182</v>
      </c>
      <c r="J577" s="1">
        <v>6018</v>
      </c>
    </row>
    <row r="578" spans="1:10" ht="30" customHeight="1" x14ac:dyDescent="0.25">
      <c r="A578" s="1" t="s">
        <v>975</v>
      </c>
      <c r="B578" s="19">
        <v>46182</v>
      </c>
      <c r="J578" s="1">
        <v>6019</v>
      </c>
    </row>
    <row r="579" spans="1:10" ht="30" customHeight="1" x14ac:dyDescent="0.25">
      <c r="A579" s="1" t="s">
        <v>976</v>
      </c>
      <c r="B579" s="19">
        <v>46182</v>
      </c>
      <c r="J579" s="1">
        <v>6020</v>
      </c>
    </row>
    <row r="580" spans="1:10" ht="30" customHeight="1" x14ac:dyDescent="0.25">
      <c r="A580" s="1" t="s">
        <v>977</v>
      </c>
      <c r="B580" s="19">
        <v>46182</v>
      </c>
      <c r="J580" s="1">
        <v>6021</v>
      </c>
    </row>
    <row r="581" spans="1:10" ht="30" customHeight="1" x14ac:dyDescent="0.25">
      <c r="A581" s="1" t="s">
        <v>978</v>
      </c>
      <c r="B581" s="19">
        <v>46182</v>
      </c>
      <c r="J581" s="1">
        <v>6022</v>
      </c>
    </row>
    <row r="582" spans="1:10" ht="30" customHeight="1" x14ac:dyDescent="0.25">
      <c r="A582" s="1" t="s">
        <v>979</v>
      </c>
      <c r="B582" s="19">
        <v>46182</v>
      </c>
      <c r="J582" s="1">
        <v>6023</v>
      </c>
    </row>
    <row r="583" spans="1:10" ht="30" customHeight="1" x14ac:dyDescent="0.25">
      <c r="A583" s="1" t="s">
        <v>980</v>
      </c>
      <c r="B583" s="19">
        <v>46182</v>
      </c>
      <c r="J583" s="1">
        <v>6024</v>
      </c>
    </row>
    <row r="584" spans="1:10" ht="30" customHeight="1" x14ac:dyDescent="0.25">
      <c r="A584" s="1" t="s">
        <v>981</v>
      </c>
      <c r="B584" s="19">
        <v>46182</v>
      </c>
      <c r="J584" s="1">
        <v>6025</v>
      </c>
    </row>
    <row r="585" spans="1:10" ht="30" customHeight="1" x14ac:dyDescent="0.25">
      <c r="A585" s="1" t="s">
        <v>982</v>
      </c>
      <c r="B585" s="19">
        <v>46182</v>
      </c>
      <c r="J585" s="1">
        <v>6026</v>
      </c>
    </row>
    <row r="586" spans="1:10" ht="30" customHeight="1" x14ac:dyDescent="0.25">
      <c r="A586" s="1" t="s">
        <v>983</v>
      </c>
      <c r="B586" s="19">
        <v>46182</v>
      </c>
      <c r="J586" s="1">
        <v>6027</v>
      </c>
    </row>
    <row r="587" spans="1:10" ht="30" customHeight="1" x14ac:dyDescent="0.25">
      <c r="A587" s="1" t="s">
        <v>984</v>
      </c>
      <c r="B587" s="19">
        <v>46182</v>
      </c>
      <c r="J587" s="1">
        <v>6028</v>
      </c>
    </row>
    <row r="588" spans="1:10" ht="30" customHeight="1" x14ac:dyDescent="0.25">
      <c r="A588" s="1" t="s">
        <v>985</v>
      </c>
      <c r="B588" s="19">
        <v>46182</v>
      </c>
      <c r="J588" s="1">
        <v>6029</v>
      </c>
    </row>
    <row r="589" spans="1:10" ht="30" customHeight="1" x14ac:dyDescent="0.25">
      <c r="A589" s="1" t="s">
        <v>986</v>
      </c>
      <c r="B589" s="19">
        <v>46182</v>
      </c>
      <c r="J589" s="1">
        <v>6030</v>
      </c>
    </row>
    <row r="590" spans="1:10" ht="30" customHeight="1" x14ac:dyDescent="0.25">
      <c r="A590" s="1" t="s">
        <v>987</v>
      </c>
      <c r="B590" s="19">
        <v>46182</v>
      </c>
      <c r="J590" s="1">
        <v>6031</v>
      </c>
    </row>
    <row r="591" spans="1:10" ht="30" customHeight="1" x14ac:dyDescent="0.25">
      <c r="A591" s="1" t="s">
        <v>988</v>
      </c>
      <c r="B591" s="19">
        <v>46182</v>
      </c>
      <c r="J591" s="1">
        <v>6032</v>
      </c>
    </row>
    <row r="592" spans="1:10" ht="30" customHeight="1" x14ac:dyDescent="0.25">
      <c r="A592" s="1" t="s">
        <v>989</v>
      </c>
      <c r="B592" s="19">
        <v>46182</v>
      </c>
      <c r="J592" s="1">
        <v>6033</v>
      </c>
    </row>
    <row r="593" spans="1:10" ht="30" customHeight="1" x14ac:dyDescent="0.25">
      <c r="A593" s="1" t="s">
        <v>990</v>
      </c>
      <c r="B593" s="19">
        <v>46182</v>
      </c>
      <c r="J593" s="1">
        <v>6034</v>
      </c>
    </row>
    <row r="594" spans="1:10" ht="30" customHeight="1" x14ac:dyDescent="0.25">
      <c r="A594" s="1" t="s">
        <v>991</v>
      </c>
      <c r="B594" s="19">
        <v>46182</v>
      </c>
      <c r="J594" s="1">
        <v>6035</v>
      </c>
    </row>
    <row r="595" spans="1:10" ht="30" customHeight="1" x14ac:dyDescent="0.25">
      <c r="A595" s="1" t="s">
        <v>992</v>
      </c>
      <c r="B595" s="19">
        <v>46182</v>
      </c>
      <c r="J595" s="1">
        <v>6036</v>
      </c>
    </row>
    <row r="596" spans="1:10" ht="30" customHeight="1" x14ac:dyDescent="0.25">
      <c r="A596" s="1" t="s">
        <v>993</v>
      </c>
      <c r="B596" s="19">
        <v>46182</v>
      </c>
      <c r="J596" s="1">
        <v>6037</v>
      </c>
    </row>
    <row r="597" spans="1:10" ht="30" customHeight="1" x14ac:dyDescent="0.25">
      <c r="A597" s="1" t="s">
        <v>994</v>
      </c>
      <c r="B597" s="19">
        <v>46182</v>
      </c>
      <c r="J597" s="1">
        <v>6038</v>
      </c>
    </row>
    <row r="598" spans="1:10" ht="30" customHeight="1" x14ac:dyDescent="0.25">
      <c r="A598" s="1" t="s">
        <v>995</v>
      </c>
      <c r="B598" s="19">
        <v>46182</v>
      </c>
      <c r="J598" s="1">
        <v>6039</v>
      </c>
    </row>
    <row r="599" spans="1:10" ht="30" customHeight="1" x14ac:dyDescent="0.25">
      <c r="A599" s="1" t="s">
        <v>996</v>
      </c>
      <c r="B599" s="19">
        <v>46182</v>
      </c>
      <c r="J599" s="1">
        <v>6040</v>
      </c>
    </row>
    <row r="600" spans="1:10" ht="30" customHeight="1" x14ac:dyDescent="0.25">
      <c r="A600" s="1" t="s">
        <v>997</v>
      </c>
      <c r="B600" s="19">
        <v>46182</v>
      </c>
      <c r="J600" s="1">
        <v>6041</v>
      </c>
    </row>
    <row r="601" spans="1:10" ht="30" customHeight="1" x14ac:dyDescent="0.25">
      <c r="A601" s="1" t="s">
        <v>998</v>
      </c>
      <c r="B601" s="19">
        <v>46182</v>
      </c>
      <c r="J601" s="1">
        <v>6042</v>
      </c>
    </row>
    <row r="602" spans="1:10" ht="30" customHeight="1" x14ac:dyDescent="0.25">
      <c r="A602" s="1" t="s">
        <v>999</v>
      </c>
      <c r="B602" s="19">
        <v>46182</v>
      </c>
      <c r="J602" s="1">
        <v>6043</v>
      </c>
    </row>
    <row r="603" spans="1:10" ht="30" customHeight="1" x14ac:dyDescent="0.25">
      <c r="A603" s="1" t="s">
        <v>1000</v>
      </c>
      <c r="B603" s="19">
        <v>46182</v>
      </c>
      <c r="J603" s="1">
        <v>6044</v>
      </c>
    </row>
    <row r="604" spans="1:10" ht="30" customHeight="1" x14ac:dyDescent="0.25">
      <c r="A604" s="1" t="s">
        <v>1001</v>
      </c>
      <c r="B604" s="19">
        <v>46182</v>
      </c>
      <c r="J604" s="1">
        <v>6045</v>
      </c>
    </row>
    <row r="605" spans="1:10" ht="30" customHeight="1" x14ac:dyDescent="0.25">
      <c r="A605" s="1" t="s">
        <v>1002</v>
      </c>
      <c r="B605" s="19">
        <v>46182</v>
      </c>
      <c r="J605" s="1">
        <v>6046</v>
      </c>
    </row>
    <row r="606" spans="1:10" ht="30" customHeight="1" x14ac:dyDescent="0.25">
      <c r="A606" s="1" t="s">
        <v>1003</v>
      </c>
      <c r="B606" s="19">
        <v>46182</v>
      </c>
      <c r="J606" s="1">
        <v>6047</v>
      </c>
    </row>
    <row r="607" spans="1:10" ht="30" customHeight="1" x14ac:dyDescent="0.25">
      <c r="A607" s="1" t="s">
        <v>1004</v>
      </c>
      <c r="B607" s="19">
        <v>46182</v>
      </c>
      <c r="J607" s="1">
        <v>6048</v>
      </c>
    </row>
    <row r="608" spans="1:10" ht="30" customHeight="1" x14ac:dyDescent="0.25">
      <c r="A608" s="1" t="s">
        <v>1005</v>
      </c>
      <c r="B608" s="19">
        <v>46182</v>
      </c>
      <c r="J608" s="1">
        <v>6049</v>
      </c>
    </row>
    <row r="609" spans="1:10" ht="30" customHeight="1" x14ac:dyDescent="0.25">
      <c r="A609" s="1" t="s">
        <v>1006</v>
      </c>
      <c r="B609" s="19">
        <v>46182</v>
      </c>
      <c r="J609" s="1">
        <v>6050</v>
      </c>
    </row>
    <row r="610" spans="1:10" ht="30" customHeight="1" x14ac:dyDescent="0.25">
      <c r="A610" s="1" t="s">
        <v>1007</v>
      </c>
      <c r="B610" s="19">
        <v>46182</v>
      </c>
      <c r="J610" s="1">
        <v>6051</v>
      </c>
    </row>
    <row r="611" spans="1:10" ht="30" customHeight="1" x14ac:dyDescent="0.25">
      <c r="A611" s="1" t="s">
        <v>1008</v>
      </c>
      <c r="B611" s="19">
        <v>46182</v>
      </c>
      <c r="J611" s="1">
        <v>6052</v>
      </c>
    </row>
    <row r="612" spans="1:10" ht="30" customHeight="1" x14ac:dyDescent="0.25">
      <c r="A612" s="1" t="s">
        <v>1009</v>
      </c>
      <c r="B612" s="19">
        <v>46182</v>
      </c>
      <c r="J612" s="1">
        <v>6053</v>
      </c>
    </row>
    <row r="613" spans="1:10" ht="30" customHeight="1" x14ac:dyDescent="0.25">
      <c r="A613" s="1" t="s">
        <v>1010</v>
      </c>
      <c r="B613" s="19">
        <v>46182</v>
      </c>
      <c r="J613" s="1">
        <v>6054</v>
      </c>
    </row>
    <row r="614" spans="1:10" ht="30" customHeight="1" x14ac:dyDescent="0.25">
      <c r="A614" s="1" t="s">
        <v>1011</v>
      </c>
      <c r="B614" s="19">
        <v>46182</v>
      </c>
      <c r="J614" s="1">
        <v>6055</v>
      </c>
    </row>
    <row r="615" spans="1:10" ht="30" customHeight="1" x14ac:dyDescent="0.25">
      <c r="A615" s="1" t="s">
        <v>1012</v>
      </c>
      <c r="B615" s="19">
        <v>46182</v>
      </c>
      <c r="J615" s="1">
        <v>6056</v>
      </c>
    </row>
    <row r="616" spans="1:10" ht="30" customHeight="1" x14ac:dyDescent="0.25">
      <c r="A616" s="1" t="s">
        <v>1013</v>
      </c>
      <c r="B616" s="19">
        <v>46182</v>
      </c>
      <c r="J616" s="1">
        <v>6057</v>
      </c>
    </row>
    <row r="617" spans="1:10" ht="30" customHeight="1" x14ac:dyDescent="0.25">
      <c r="A617" s="1" t="s">
        <v>1014</v>
      </c>
      <c r="B617" s="19">
        <v>46182</v>
      </c>
      <c r="J617" s="1">
        <v>6058</v>
      </c>
    </row>
    <row r="618" spans="1:10" ht="30" customHeight="1" x14ac:dyDescent="0.25">
      <c r="A618" s="1" t="s">
        <v>1015</v>
      </c>
      <c r="B618" s="19">
        <v>46182</v>
      </c>
      <c r="J618" s="1">
        <v>6059</v>
      </c>
    </row>
    <row r="619" spans="1:10" ht="30" customHeight="1" x14ac:dyDescent="0.25">
      <c r="A619" s="1" t="s">
        <v>1016</v>
      </c>
      <c r="B619" s="19">
        <v>46182</v>
      </c>
      <c r="J619" s="1">
        <v>6060</v>
      </c>
    </row>
    <row r="620" spans="1:10" ht="30" customHeight="1" x14ac:dyDescent="0.25">
      <c r="A620" s="1" t="s">
        <v>1017</v>
      </c>
      <c r="B620" s="19">
        <v>46182</v>
      </c>
      <c r="J620" s="1">
        <v>6061</v>
      </c>
    </row>
    <row r="621" spans="1:10" ht="30" customHeight="1" x14ac:dyDescent="0.25">
      <c r="A621" s="1" t="s">
        <v>1018</v>
      </c>
      <c r="B621" s="19">
        <v>46182</v>
      </c>
      <c r="J621" s="1">
        <v>6062</v>
      </c>
    </row>
    <row r="622" spans="1:10" ht="30" customHeight="1" x14ac:dyDescent="0.25">
      <c r="A622" s="1" t="s">
        <v>1019</v>
      </c>
      <c r="B622" s="19">
        <v>46182</v>
      </c>
      <c r="J622" s="1">
        <v>6063</v>
      </c>
    </row>
    <row r="623" spans="1:10" ht="30" customHeight="1" x14ac:dyDescent="0.25">
      <c r="A623" s="1" t="s">
        <v>1020</v>
      </c>
      <c r="B623" s="19">
        <v>46182</v>
      </c>
      <c r="J623" s="1">
        <v>6064</v>
      </c>
    </row>
    <row r="624" spans="1:10" ht="30" customHeight="1" x14ac:dyDescent="0.25">
      <c r="A624" s="1" t="s">
        <v>1021</v>
      </c>
      <c r="B624" s="19">
        <v>46182</v>
      </c>
      <c r="J624" s="1">
        <v>6065</v>
      </c>
    </row>
    <row r="625" spans="1:10" ht="30" customHeight="1" x14ac:dyDescent="0.25">
      <c r="A625" s="1" t="s">
        <v>1022</v>
      </c>
      <c r="B625" s="19">
        <v>46182</v>
      </c>
      <c r="J625" s="1">
        <v>6066</v>
      </c>
    </row>
    <row r="626" spans="1:10" ht="30" customHeight="1" x14ac:dyDescent="0.25">
      <c r="A626" s="1" t="s">
        <v>1023</v>
      </c>
      <c r="B626" s="19">
        <v>46182</v>
      </c>
      <c r="J626" s="1">
        <v>6067</v>
      </c>
    </row>
    <row r="627" spans="1:10" ht="30" customHeight="1" x14ac:dyDescent="0.25">
      <c r="A627" s="1" t="s">
        <v>1024</v>
      </c>
      <c r="B627" s="19">
        <v>46182</v>
      </c>
      <c r="J627" s="1">
        <v>6068</v>
      </c>
    </row>
    <row r="628" spans="1:10" ht="30" customHeight="1" x14ac:dyDescent="0.25">
      <c r="A628" s="1" t="s">
        <v>1025</v>
      </c>
      <c r="B628" s="19">
        <v>46182</v>
      </c>
      <c r="J628" s="1">
        <v>6069</v>
      </c>
    </row>
    <row r="629" spans="1:10" ht="30" customHeight="1" x14ac:dyDescent="0.25">
      <c r="A629" s="1" t="s">
        <v>1026</v>
      </c>
      <c r="B629" s="19">
        <v>46182</v>
      </c>
      <c r="J629" s="1">
        <v>6070</v>
      </c>
    </row>
    <row r="630" spans="1:10" ht="30" customHeight="1" x14ac:dyDescent="0.25">
      <c r="A630" s="1" t="s">
        <v>1027</v>
      </c>
      <c r="B630" s="19">
        <v>46182</v>
      </c>
      <c r="J630" s="1">
        <v>6071</v>
      </c>
    </row>
    <row r="631" spans="1:10" ht="30" customHeight="1" x14ac:dyDescent="0.25">
      <c r="A631" s="1" t="s">
        <v>1028</v>
      </c>
      <c r="B631" s="19">
        <v>46182</v>
      </c>
      <c r="J631" s="1">
        <v>6072</v>
      </c>
    </row>
    <row r="632" spans="1:10" ht="30" customHeight="1" x14ac:dyDescent="0.25">
      <c r="A632" s="1" t="s">
        <v>1029</v>
      </c>
      <c r="B632" s="19">
        <v>46182</v>
      </c>
      <c r="J632" s="1">
        <v>6073</v>
      </c>
    </row>
    <row r="633" spans="1:10" ht="30" customHeight="1" x14ac:dyDescent="0.25">
      <c r="A633" s="1" t="s">
        <v>1030</v>
      </c>
      <c r="B633" s="19">
        <v>46182</v>
      </c>
      <c r="J633" s="1">
        <v>6074</v>
      </c>
    </row>
    <row r="634" spans="1:10" ht="30" customHeight="1" x14ac:dyDescent="0.25">
      <c r="A634" s="1" t="s">
        <v>1031</v>
      </c>
      <c r="B634" s="19">
        <v>46182</v>
      </c>
      <c r="J634" s="1">
        <v>6075</v>
      </c>
    </row>
    <row r="635" spans="1:10" ht="30" customHeight="1" x14ac:dyDescent="0.25">
      <c r="A635" s="1" t="s">
        <v>1032</v>
      </c>
      <c r="B635" s="19">
        <v>46182</v>
      </c>
      <c r="J635" s="1">
        <v>6076</v>
      </c>
    </row>
    <row r="636" spans="1:10" ht="30" customHeight="1" x14ac:dyDescent="0.25">
      <c r="A636" s="1" t="s">
        <v>1033</v>
      </c>
      <c r="B636" s="19">
        <v>46182</v>
      </c>
      <c r="J636" s="1">
        <v>6077</v>
      </c>
    </row>
    <row r="637" spans="1:10" ht="30" customHeight="1" x14ac:dyDescent="0.25">
      <c r="A637" s="1" t="s">
        <v>1034</v>
      </c>
      <c r="B637" s="19">
        <v>46182</v>
      </c>
      <c r="J637" s="1">
        <v>6078</v>
      </c>
    </row>
    <row r="638" spans="1:10" ht="30" customHeight="1" x14ac:dyDescent="0.25">
      <c r="A638" s="1" t="s">
        <v>1035</v>
      </c>
      <c r="B638" s="19">
        <v>46182</v>
      </c>
      <c r="J638" s="1">
        <v>6079</v>
      </c>
    </row>
    <row r="639" spans="1:10" ht="30" customHeight="1" x14ac:dyDescent="0.25">
      <c r="A639" s="1" t="s">
        <v>1036</v>
      </c>
      <c r="B639" s="19">
        <v>46182</v>
      </c>
      <c r="J639" s="1">
        <v>6080</v>
      </c>
    </row>
    <row r="640" spans="1:10" ht="30" customHeight="1" x14ac:dyDescent="0.25">
      <c r="A640" s="1" t="s">
        <v>1037</v>
      </c>
      <c r="B640" s="19">
        <v>46182</v>
      </c>
      <c r="J640" s="1">
        <v>6081</v>
      </c>
    </row>
    <row r="641" spans="1:10" ht="30" customHeight="1" x14ac:dyDescent="0.25">
      <c r="A641" s="1" t="s">
        <v>1038</v>
      </c>
      <c r="B641" s="19">
        <v>46182</v>
      </c>
      <c r="J641" s="1">
        <v>6082</v>
      </c>
    </row>
    <row r="642" spans="1:10" ht="30" customHeight="1" x14ac:dyDescent="0.25">
      <c r="A642" s="1" t="s">
        <v>1039</v>
      </c>
      <c r="B642" s="19">
        <v>46182</v>
      </c>
      <c r="J642" s="1">
        <v>6083</v>
      </c>
    </row>
    <row r="643" spans="1:10" ht="30" customHeight="1" x14ac:dyDescent="0.25">
      <c r="A643" s="1" t="s">
        <v>1040</v>
      </c>
      <c r="B643" s="19">
        <v>46182</v>
      </c>
      <c r="J643" s="1">
        <v>6084</v>
      </c>
    </row>
    <row r="644" spans="1:10" ht="30" customHeight="1" x14ac:dyDescent="0.25">
      <c r="A644" s="1" t="s">
        <v>1041</v>
      </c>
      <c r="B644" s="19">
        <v>46182</v>
      </c>
      <c r="J644" s="1">
        <v>6085</v>
      </c>
    </row>
    <row r="645" spans="1:10" ht="30" customHeight="1" x14ac:dyDescent="0.25">
      <c r="A645" s="1" t="s">
        <v>1042</v>
      </c>
      <c r="B645" s="19">
        <v>46182</v>
      </c>
      <c r="J645" s="1">
        <v>6086</v>
      </c>
    </row>
    <row r="646" spans="1:10" ht="30" customHeight="1" x14ac:dyDescent="0.25">
      <c r="A646" s="1" t="s">
        <v>1043</v>
      </c>
      <c r="B646" s="19">
        <v>46182</v>
      </c>
      <c r="J646" s="1">
        <v>6087</v>
      </c>
    </row>
    <row r="647" spans="1:10" ht="30" customHeight="1" x14ac:dyDescent="0.25">
      <c r="A647" s="1" t="s">
        <v>1044</v>
      </c>
      <c r="B647" s="19">
        <v>46182</v>
      </c>
      <c r="J647" s="1">
        <v>6088</v>
      </c>
    </row>
    <row r="648" spans="1:10" ht="30" customHeight="1" x14ac:dyDescent="0.25">
      <c r="A648" s="1" t="s">
        <v>1045</v>
      </c>
      <c r="B648" s="19">
        <v>46182</v>
      </c>
      <c r="J648" s="1">
        <v>6084</v>
      </c>
    </row>
    <row r="649" spans="1:10" ht="30" customHeight="1" x14ac:dyDescent="0.25">
      <c r="A649" s="1" t="s">
        <v>1046</v>
      </c>
      <c r="B649" s="19">
        <v>46182</v>
      </c>
      <c r="J649" s="1">
        <v>6085</v>
      </c>
    </row>
    <row r="650" spans="1:10" ht="30" customHeight="1" x14ac:dyDescent="0.25">
      <c r="A650" s="1" t="s">
        <v>1047</v>
      </c>
      <c r="B650" s="19">
        <v>46182</v>
      </c>
      <c r="J650" s="1">
        <v>6086</v>
      </c>
    </row>
    <row r="651" spans="1:10" ht="30" customHeight="1" x14ac:dyDescent="0.25">
      <c r="A651" s="1" t="s">
        <v>1048</v>
      </c>
      <c r="B651" s="19">
        <v>46182</v>
      </c>
      <c r="J651" s="1">
        <v>6087</v>
      </c>
    </row>
    <row r="652" spans="1:10" ht="30" customHeight="1" x14ac:dyDescent="0.25">
      <c r="A652" s="1" t="s">
        <v>1049</v>
      </c>
      <c r="B652" s="19">
        <v>46182</v>
      </c>
      <c r="J652" s="1">
        <v>6088</v>
      </c>
    </row>
    <row r="653" spans="1:10" ht="30" customHeight="1" x14ac:dyDescent="0.25">
      <c r="A653" s="1" t="s">
        <v>1050</v>
      </c>
      <c r="B653" s="19">
        <v>46182</v>
      </c>
      <c r="J653" s="1">
        <v>6089</v>
      </c>
    </row>
    <row r="654" spans="1:10" ht="30" customHeight="1" x14ac:dyDescent="0.25">
      <c r="A654" s="1" t="s">
        <v>1051</v>
      </c>
      <c r="B654" s="19">
        <v>46182</v>
      </c>
      <c r="J654" s="1">
        <v>6090</v>
      </c>
    </row>
    <row r="655" spans="1:10" ht="30" customHeight="1" x14ac:dyDescent="0.25">
      <c r="A655" s="1" t="s">
        <v>1052</v>
      </c>
      <c r="B655" s="19">
        <v>46182</v>
      </c>
      <c r="J655" s="1">
        <v>6091</v>
      </c>
    </row>
    <row r="656" spans="1:10" ht="30" customHeight="1" x14ac:dyDescent="0.25">
      <c r="A656" s="1" t="s">
        <v>1053</v>
      </c>
      <c r="B656" s="19">
        <v>46182</v>
      </c>
      <c r="J656" s="1">
        <v>6092</v>
      </c>
    </row>
    <row r="657" spans="1:10" ht="30" customHeight="1" x14ac:dyDescent="0.25">
      <c r="A657" s="1" t="s">
        <v>1054</v>
      </c>
      <c r="B657" s="19">
        <v>46182</v>
      </c>
      <c r="J657" s="1">
        <v>6093</v>
      </c>
    </row>
    <row r="658" spans="1:10" ht="30" customHeight="1" x14ac:dyDescent="0.25">
      <c r="A658" s="1" t="s">
        <v>1055</v>
      </c>
      <c r="B658" s="19">
        <v>46182</v>
      </c>
      <c r="J658" s="1">
        <v>6094</v>
      </c>
    </row>
    <row r="659" spans="1:10" ht="30" customHeight="1" x14ac:dyDescent="0.25">
      <c r="A659" s="1" t="s">
        <v>1056</v>
      </c>
      <c r="B659" s="19">
        <v>46182</v>
      </c>
      <c r="J659" s="1">
        <v>6095</v>
      </c>
    </row>
    <row r="660" spans="1:10" ht="30" customHeight="1" x14ac:dyDescent="0.25">
      <c r="A660" s="1" t="s">
        <v>1057</v>
      </c>
      <c r="B660" s="19">
        <v>46182</v>
      </c>
      <c r="J660" s="1">
        <v>6096</v>
      </c>
    </row>
    <row r="661" spans="1:10" ht="30" customHeight="1" x14ac:dyDescent="0.25">
      <c r="A661" s="1" t="s">
        <v>1058</v>
      </c>
      <c r="B661" s="19">
        <v>46182</v>
      </c>
      <c r="J661" s="1">
        <v>6097</v>
      </c>
    </row>
    <row r="662" spans="1:10" ht="30" customHeight="1" x14ac:dyDescent="0.25">
      <c r="A662" s="1" t="s">
        <v>1059</v>
      </c>
      <c r="B662" s="19">
        <v>46182</v>
      </c>
      <c r="J662" s="1">
        <v>6098</v>
      </c>
    </row>
    <row r="663" spans="1:10" ht="30" customHeight="1" x14ac:dyDescent="0.25">
      <c r="A663" s="1" t="s">
        <v>1060</v>
      </c>
      <c r="B663" s="19">
        <v>46182</v>
      </c>
      <c r="J663" s="1">
        <v>6099</v>
      </c>
    </row>
    <row r="664" spans="1:10" ht="30" customHeight="1" x14ac:dyDescent="0.25">
      <c r="A664" s="1" t="s">
        <v>1061</v>
      </c>
      <c r="B664" s="19">
        <v>46182</v>
      </c>
      <c r="J664" s="1">
        <v>6100</v>
      </c>
    </row>
    <row r="665" spans="1:10" ht="30" customHeight="1" x14ac:dyDescent="0.25">
      <c r="A665" s="1" t="s">
        <v>1062</v>
      </c>
      <c r="B665" s="19">
        <v>46182</v>
      </c>
      <c r="J665" s="1">
        <v>6101</v>
      </c>
    </row>
    <row r="666" spans="1:10" ht="30" customHeight="1" x14ac:dyDescent="0.25">
      <c r="A666" s="1" t="s">
        <v>1063</v>
      </c>
      <c r="B666" s="19">
        <v>46182</v>
      </c>
      <c r="J666" s="1">
        <v>6102</v>
      </c>
    </row>
    <row r="667" spans="1:10" ht="30" customHeight="1" x14ac:dyDescent="0.25">
      <c r="A667" s="1" t="s">
        <v>1064</v>
      </c>
      <c r="B667" s="19">
        <v>46182</v>
      </c>
      <c r="J667" s="1">
        <v>6103</v>
      </c>
    </row>
    <row r="668" spans="1:10" ht="30" customHeight="1" x14ac:dyDescent="0.25">
      <c r="A668" s="1" t="s">
        <v>1065</v>
      </c>
      <c r="B668" s="19">
        <v>46182</v>
      </c>
      <c r="J668" s="1">
        <v>6104</v>
      </c>
    </row>
    <row r="669" spans="1:10" ht="30" customHeight="1" x14ac:dyDescent="0.25">
      <c r="A669" s="1" t="s">
        <v>1066</v>
      </c>
      <c r="B669" s="19">
        <v>46182</v>
      </c>
      <c r="J669" s="1">
        <v>6105</v>
      </c>
    </row>
    <row r="670" spans="1:10" ht="30" customHeight="1" x14ac:dyDescent="0.25">
      <c r="A670" s="1" t="s">
        <v>1067</v>
      </c>
      <c r="B670" s="19">
        <v>46182</v>
      </c>
      <c r="J670" s="1">
        <v>6106</v>
      </c>
    </row>
    <row r="671" spans="1:10" ht="30" customHeight="1" x14ac:dyDescent="0.25">
      <c r="A671" s="1" t="s">
        <v>1068</v>
      </c>
      <c r="B671" s="19">
        <v>46182</v>
      </c>
      <c r="J671" s="1">
        <v>6107</v>
      </c>
    </row>
    <row r="672" spans="1:10" ht="30" customHeight="1" x14ac:dyDescent="0.25">
      <c r="A672" s="1" t="s">
        <v>1069</v>
      </c>
      <c r="B672" s="19">
        <v>46182</v>
      </c>
      <c r="J672" s="1">
        <v>6108</v>
      </c>
    </row>
    <row r="673" spans="1:10" ht="30" customHeight="1" x14ac:dyDescent="0.25">
      <c r="A673" s="1" t="s">
        <v>1070</v>
      </c>
      <c r="B673" s="19">
        <v>46182</v>
      </c>
      <c r="J673" s="1">
        <v>6109</v>
      </c>
    </row>
    <row r="674" spans="1:10" ht="30" customHeight="1" x14ac:dyDescent="0.25">
      <c r="A674" s="1" t="s">
        <v>1071</v>
      </c>
      <c r="B674" s="19">
        <v>46182</v>
      </c>
      <c r="J674" s="1">
        <v>6110</v>
      </c>
    </row>
    <row r="675" spans="1:10" ht="30" customHeight="1" x14ac:dyDescent="0.25">
      <c r="A675" s="1" t="s">
        <v>1072</v>
      </c>
      <c r="B675" s="19">
        <v>46182</v>
      </c>
      <c r="J675" s="1">
        <v>6111</v>
      </c>
    </row>
    <row r="676" spans="1:10" ht="30" customHeight="1" x14ac:dyDescent="0.25">
      <c r="A676" s="1" t="s">
        <v>1073</v>
      </c>
      <c r="B676" s="19">
        <v>46182</v>
      </c>
      <c r="J676" s="1">
        <v>6112</v>
      </c>
    </row>
    <row r="677" spans="1:10" ht="30" customHeight="1" x14ac:dyDescent="0.25">
      <c r="A677" s="1" t="s">
        <v>1074</v>
      </c>
      <c r="B677" s="19">
        <v>46182</v>
      </c>
      <c r="J677" s="1">
        <v>6113</v>
      </c>
    </row>
    <row r="678" spans="1:10" ht="30" customHeight="1" x14ac:dyDescent="0.25">
      <c r="A678" s="1" t="s">
        <v>1075</v>
      </c>
      <c r="B678" s="19">
        <v>46182</v>
      </c>
      <c r="J678" s="1">
        <v>6114</v>
      </c>
    </row>
    <row r="679" spans="1:10" ht="30" customHeight="1" x14ac:dyDescent="0.25">
      <c r="A679" s="1" t="s">
        <v>1076</v>
      </c>
      <c r="B679" s="19">
        <v>46182</v>
      </c>
      <c r="J679" s="1">
        <v>6115</v>
      </c>
    </row>
    <row r="680" spans="1:10" ht="30" customHeight="1" x14ac:dyDescent="0.25">
      <c r="A680" s="1" t="s">
        <v>1077</v>
      </c>
      <c r="B680" s="19">
        <v>46182</v>
      </c>
      <c r="J680" s="1">
        <v>6116</v>
      </c>
    </row>
    <row r="681" spans="1:10" ht="30" customHeight="1" x14ac:dyDescent="0.25">
      <c r="A681" s="1" t="s">
        <v>1078</v>
      </c>
      <c r="B681" s="19">
        <v>46182</v>
      </c>
      <c r="J681" s="1">
        <v>6117</v>
      </c>
    </row>
    <row r="682" spans="1:10" ht="30" customHeight="1" x14ac:dyDescent="0.25">
      <c r="A682" s="1" t="s">
        <v>1079</v>
      </c>
      <c r="B682" s="19">
        <v>46182</v>
      </c>
      <c r="J682" s="1">
        <v>6118</v>
      </c>
    </row>
    <row r="683" spans="1:10" ht="30" customHeight="1" x14ac:dyDescent="0.25">
      <c r="A683" s="1" t="s">
        <v>1080</v>
      </c>
      <c r="B683" s="19">
        <v>46182</v>
      </c>
      <c r="J683" s="1">
        <v>6119</v>
      </c>
    </row>
    <row r="684" spans="1:10" ht="30" customHeight="1" x14ac:dyDescent="0.25">
      <c r="A684" s="1" t="s">
        <v>1081</v>
      </c>
      <c r="B684" s="19">
        <v>46182</v>
      </c>
      <c r="J684" s="1">
        <v>6120</v>
      </c>
    </row>
    <row r="685" spans="1:10" ht="30" customHeight="1" x14ac:dyDescent="0.25">
      <c r="A685" s="1" t="s">
        <v>1082</v>
      </c>
      <c r="B685" s="19">
        <v>46182</v>
      </c>
      <c r="J685" s="1">
        <v>6121</v>
      </c>
    </row>
    <row r="686" spans="1:10" ht="30" customHeight="1" x14ac:dyDescent="0.25">
      <c r="A686" s="1" t="s">
        <v>1083</v>
      </c>
      <c r="B686" s="19">
        <v>46182</v>
      </c>
      <c r="J686" s="1">
        <v>6122</v>
      </c>
    </row>
    <row r="687" spans="1:10" ht="30" customHeight="1" x14ac:dyDescent="0.25">
      <c r="A687" s="1" t="s">
        <v>1084</v>
      </c>
      <c r="B687" s="19">
        <v>46182</v>
      </c>
      <c r="J687" s="1">
        <v>6123</v>
      </c>
    </row>
    <row r="688" spans="1:10" ht="30" customHeight="1" x14ac:dyDescent="0.25">
      <c r="A688" s="1" t="s">
        <v>1085</v>
      </c>
      <c r="B688" s="19">
        <v>46182</v>
      </c>
      <c r="J688" s="1">
        <v>6124</v>
      </c>
    </row>
    <row r="689" spans="1:10" ht="30" customHeight="1" x14ac:dyDescent="0.25">
      <c r="A689" s="1" t="s">
        <v>1086</v>
      </c>
      <c r="B689" s="19">
        <v>46182</v>
      </c>
      <c r="J689" s="1">
        <v>6125</v>
      </c>
    </row>
    <row r="690" spans="1:10" ht="30" customHeight="1" x14ac:dyDescent="0.25">
      <c r="A690" s="1" t="s">
        <v>1087</v>
      </c>
      <c r="B690" s="19">
        <v>46182</v>
      </c>
      <c r="J690" s="1">
        <v>6126</v>
      </c>
    </row>
    <row r="691" spans="1:10" ht="30" customHeight="1" x14ac:dyDescent="0.25">
      <c r="A691" s="1" t="s">
        <v>1088</v>
      </c>
      <c r="B691" s="19">
        <v>46182</v>
      </c>
      <c r="J691" s="1">
        <v>6127</v>
      </c>
    </row>
    <row r="692" spans="1:10" ht="30" customHeight="1" x14ac:dyDescent="0.25">
      <c r="A692" s="1" t="s">
        <v>1089</v>
      </c>
      <c r="B692" s="19">
        <v>46182</v>
      </c>
      <c r="J692" s="1">
        <v>6128</v>
      </c>
    </row>
    <row r="693" spans="1:10" ht="30" customHeight="1" x14ac:dyDescent="0.25">
      <c r="A693" s="1" t="s">
        <v>1090</v>
      </c>
      <c r="B693" s="19">
        <v>46182</v>
      </c>
      <c r="J693" s="1">
        <v>6129</v>
      </c>
    </row>
    <row r="694" spans="1:10" ht="30" customHeight="1" x14ac:dyDescent="0.25">
      <c r="A694" s="1" t="s">
        <v>1091</v>
      </c>
      <c r="B694" s="19">
        <v>46182</v>
      </c>
      <c r="J694" s="1">
        <v>6130</v>
      </c>
    </row>
    <row r="695" spans="1:10" ht="30" customHeight="1" x14ac:dyDescent="0.25">
      <c r="A695" s="1" t="s">
        <v>1092</v>
      </c>
      <c r="B695" s="19">
        <v>46182</v>
      </c>
      <c r="J695" s="1">
        <v>6131</v>
      </c>
    </row>
    <row r="696" spans="1:10" ht="30" customHeight="1" x14ac:dyDescent="0.25">
      <c r="A696" s="1" t="s">
        <v>1093</v>
      </c>
      <c r="B696" s="19">
        <v>46182</v>
      </c>
      <c r="J696" s="1">
        <v>6132</v>
      </c>
    </row>
    <row r="697" spans="1:10" ht="30" customHeight="1" x14ac:dyDescent="0.25">
      <c r="A697" s="1" t="s">
        <v>1094</v>
      </c>
      <c r="B697" s="19">
        <v>46182</v>
      </c>
      <c r="J697" s="1">
        <v>6133</v>
      </c>
    </row>
    <row r="698" spans="1:10" ht="30" customHeight="1" x14ac:dyDescent="0.25">
      <c r="A698" s="1" t="s">
        <v>1095</v>
      </c>
      <c r="B698" s="19">
        <v>46182</v>
      </c>
      <c r="J698" s="1">
        <v>6134</v>
      </c>
    </row>
    <row r="699" spans="1:10" ht="30" customHeight="1" x14ac:dyDescent="0.25">
      <c r="A699" s="1" t="s">
        <v>1096</v>
      </c>
      <c r="B699" s="19">
        <v>46182</v>
      </c>
      <c r="J699" s="1">
        <v>6135</v>
      </c>
    </row>
    <row r="700" spans="1:10" ht="30" customHeight="1" x14ac:dyDescent="0.25">
      <c r="A700" s="1" t="s">
        <v>1097</v>
      </c>
      <c r="B700" s="19">
        <v>46182</v>
      </c>
      <c r="J700" s="1">
        <v>6136</v>
      </c>
    </row>
    <row r="701" spans="1:10" ht="30" customHeight="1" x14ac:dyDescent="0.25">
      <c r="A701" s="1" t="s">
        <v>1098</v>
      </c>
      <c r="B701" s="19">
        <v>46182</v>
      </c>
      <c r="J701" s="1">
        <v>6137</v>
      </c>
    </row>
    <row r="702" spans="1:10" ht="30" customHeight="1" x14ac:dyDescent="0.25">
      <c r="A702" s="1" t="s">
        <v>1099</v>
      </c>
      <c r="B702" s="19">
        <v>46182</v>
      </c>
      <c r="J702" s="1">
        <v>6138</v>
      </c>
    </row>
    <row r="703" spans="1:10" ht="30" customHeight="1" x14ac:dyDescent="0.25">
      <c r="A703" s="1" t="s">
        <v>1100</v>
      </c>
      <c r="B703" s="19">
        <v>46182</v>
      </c>
      <c r="J703" s="1">
        <v>6139</v>
      </c>
    </row>
    <row r="704" spans="1:10" ht="30" customHeight="1" x14ac:dyDescent="0.25">
      <c r="A704" s="1" t="s">
        <v>1101</v>
      </c>
      <c r="B704" s="19">
        <v>46182</v>
      </c>
      <c r="J704" s="1">
        <v>6140</v>
      </c>
    </row>
    <row r="705" spans="1:10" ht="30" customHeight="1" x14ac:dyDescent="0.25">
      <c r="A705" s="1" t="s">
        <v>1102</v>
      </c>
      <c r="B705" s="19">
        <v>46182</v>
      </c>
      <c r="J705" s="1">
        <v>6141</v>
      </c>
    </row>
    <row r="706" spans="1:10" ht="30" customHeight="1" x14ac:dyDescent="0.25">
      <c r="A706" s="1" t="s">
        <v>1103</v>
      </c>
      <c r="B706" s="19">
        <v>46182</v>
      </c>
      <c r="J706" s="1">
        <v>6142</v>
      </c>
    </row>
    <row r="707" spans="1:10" ht="30" customHeight="1" x14ac:dyDescent="0.25">
      <c r="A707" s="1" t="s">
        <v>1104</v>
      </c>
      <c r="B707" s="19">
        <v>46182</v>
      </c>
      <c r="J707" s="1">
        <v>6143</v>
      </c>
    </row>
    <row r="708" spans="1:10" ht="30" customHeight="1" x14ac:dyDescent="0.25">
      <c r="A708" s="1" t="s">
        <v>1105</v>
      </c>
      <c r="B708" s="19">
        <v>46182</v>
      </c>
      <c r="J708" s="1">
        <v>6144</v>
      </c>
    </row>
    <row r="709" spans="1:10" ht="30" customHeight="1" x14ac:dyDescent="0.25">
      <c r="A709" s="1" t="s">
        <v>1106</v>
      </c>
      <c r="B709" s="19">
        <v>46182</v>
      </c>
      <c r="J709" s="1">
        <v>6145</v>
      </c>
    </row>
    <row r="710" spans="1:10" ht="30" customHeight="1" x14ac:dyDescent="0.25">
      <c r="A710" s="1" t="s">
        <v>1107</v>
      </c>
      <c r="B710" s="19">
        <v>46182</v>
      </c>
      <c r="J710" s="1">
        <v>6146</v>
      </c>
    </row>
    <row r="711" spans="1:10" ht="30" customHeight="1" x14ac:dyDescent="0.25">
      <c r="A711" s="1" t="s">
        <v>1108</v>
      </c>
      <c r="B711" s="19">
        <v>46182</v>
      </c>
      <c r="J711" s="1">
        <v>6147</v>
      </c>
    </row>
    <row r="712" spans="1:10" ht="30" customHeight="1" x14ac:dyDescent="0.25">
      <c r="A712" s="1" t="s">
        <v>1109</v>
      </c>
      <c r="B712" s="19">
        <v>46182</v>
      </c>
      <c r="J712" s="1">
        <v>6148</v>
      </c>
    </row>
    <row r="713" spans="1:10" ht="30" customHeight="1" x14ac:dyDescent="0.25">
      <c r="A713" s="1" t="s">
        <v>1110</v>
      </c>
      <c r="B713" s="19">
        <v>46182</v>
      </c>
      <c r="J713" s="1">
        <v>6149</v>
      </c>
    </row>
    <row r="714" spans="1:10" ht="30" customHeight="1" x14ac:dyDescent="0.25">
      <c r="A714" s="1" t="s">
        <v>1111</v>
      </c>
      <c r="B714" s="19">
        <v>46182</v>
      </c>
      <c r="J714" s="1">
        <v>6150</v>
      </c>
    </row>
    <row r="715" spans="1:10" ht="30" customHeight="1" x14ac:dyDescent="0.25">
      <c r="A715" s="1" t="s">
        <v>1112</v>
      </c>
      <c r="B715" s="19">
        <v>46182</v>
      </c>
      <c r="J715" s="1">
        <v>6151</v>
      </c>
    </row>
    <row r="716" spans="1:10" ht="30" customHeight="1" x14ac:dyDescent="0.25">
      <c r="A716" s="1" t="s">
        <v>1113</v>
      </c>
      <c r="B716" s="19">
        <v>46182</v>
      </c>
      <c r="J716" s="1">
        <v>6152</v>
      </c>
    </row>
    <row r="717" spans="1:10" ht="30" customHeight="1" x14ac:dyDescent="0.25">
      <c r="A717" s="1" t="s">
        <v>1114</v>
      </c>
      <c r="B717" s="19">
        <v>46182</v>
      </c>
      <c r="J717" s="1">
        <v>6153</v>
      </c>
    </row>
    <row r="718" spans="1:10" ht="30" customHeight="1" x14ac:dyDescent="0.25">
      <c r="A718" s="1" t="s">
        <v>1115</v>
      </c>
      <c r="B718" s="19">
        <v>46182</v>
      </c>
      <c r="J718" s="1">
        <v>6154</v>
      </c>
    </row>
    <row r="719" spans="1:10" ht="30" customHeight="1" x14ac:dyDescent="0.25">
      <c r="A719" s="1" t="s">
        <v>1116</v>
      </c>
      <c r="B719" s="19">
        <v>46182</v>
      </c>
      <c r="J719" s="1">
        <v>6155</v>
      </c>
    </row>
    <row r="720" spans="1:10" ht="30" customHeight="1" x14ac:dyDescent="0.25">
      <c r="A720" s="1" t="s">
        <v>1117</v>
      </c>
      <c r="B720" s="19">
        <v>46182</v>
      </c>
      <c r="J720" s="1">
        <v>6156</v>
      </c>
    </row>
    <row r="721" spans="1:10" ht="30" customHeight="1" x14ac:dyDescent="0.25">
      <c r="A721" s="1" t="s">
        <v>1118</v>
      </c>
      <c r="B721" s="19">
        <v>46182</v>
      </c>
      <c r="J721" s="1">
        <v>6157</v>
      </c>
    </row>
    <row r="722" spans="1:10" ht="30" customHeight="1" x14ac:dyDescent="0.25">
      <c r="A722" s="1" t="s">
        <v>1119</v>
      </c>
      <c r="B722" s="19">
        <v>46182</v>
      </c>
      <c r="J722" s="1">
        <v>6158</v>
      </c>
    </row>
    <row r="723" spans="1:10" ht="30" customHeight="1" x14ac:dyDescent="0.25">
      <c r="A723" s="1" t="s">
        <v>1120</v>
      </c>
      <c r="B723" s="19">
        <v>46182</v>
      </c>
      <c r="J723" s="1">
        <v>6159</v>
      </c>
    </row>
    <row r="724" spans="1:10" ht="30" customHeight="1" x14ac:dyDescent="0.25">
      <c r="A724" s="1" t="s">
        <v>1121</v>
      </c>
      <c r="B724" s="19">
        <v>46182</v>
      </c>
      <c r="J724" s="1">
        <v>6160</v>
      </c>
    </row>
    <row r="725" spans="1:10" ht="30" customHeight="1" x14ac:dyDescent="0.25">
      <c r="A725" s="1" t="s">
        <v>1122</v>
      </c>
      <c r="B725" s="19">
        <v>46182</v>
      </c>
      <c r="J725" s="1">
        <v>6161</v>
      </c>
    </row>
    <row r="726" spans="1:10" ht="30" customHeight="1" x14ac:dyDescent="0.25">
      <c r="A726" s="1" t="s">
        <v>1123</v>
      </c>
      <c r="B726" s="19">
        <v>46182</v>
      </c>
      <c r="J726" s="1">
        <v>6162</v>
      </c>
    </row>
    <row r="727" spans="1:10" ht="30" customHeight="1" x14ac:dyDescent="0.25">
      <c r="A727" s="1" t="s">
        <v>1124</v>
      </c>
      <c r="B727" s="19">
        <v>46182</v>
      </c>
      <c r="J727" s="1">
        <v>6163</v>
      </c>
    </row>
    <row r="728" spans="1:10" ht="30" customHeight="1" x14ac:dyDescent="0.25">
      <c r="A728" s="1" t="s">
        <v>1125</v>
      </c>
      <c r="B728" s="19">
        <v>46182</v>
      </c>
      <c r="J728" s="1">
        <v>6164</v>
      </c>
    </row>
    <row r="729" spans="1:10" ht="30" customHeight="1" x14ac:dyDescent="0.25">
      <c r="A729" s="1" t="s">
        <v>1126</v>
      </c>
      <c r="B729" s="19">
        <v>46182</v>
      </c>
      <c r="J729" s="1">
        <v>6165</v>
      </c>
    </row>
    <row r="730" spans="1:10" ht="30" customHeight="1" x14ac:dyDescent="0.25">
      <c r="A730" s="1" t="s">
        <v>1127</v>
      </c>
      <c r="B730" s="19">
        <v>46182</v>
      </c>
      <c r="J730" s="1">
        <v>6166</v>
      </c>
    </row>
    <row r="731" spans="1:10" ht="30" customHeight="1" x14ac:dyDescent="0.25">
      <c r="A731" s="1" t="s">
        <v>1128</v>
      </c>
      <c r="B731" s="19">
        <v>46182</v>
      </c>
      <c r="J731" s="1">
        <v>6167</v>
      </c>
    </row>
    <row r="732" spans="1:10" ht="30" customHeight="1" x14ac:dyDescent="0.25">
      <c r="A732" s="1" t="s">
        <v>1129</v>
      </c>
      <c r="B732" s="19">
        <v>46182</v>
      </c>
      <c r="J732" s="1">
        <v>6168</v>
      </c>
    </row>
    <row r="733" spans="1:10" ht="30" customHeight="1" x14ac:dyDescent="0.25">
      <c r="A733" s="1" t="s">
        <v>1130</v>
      </c>
      <c r="B733" s="19">
        <v>46182</v>
      </c>
      <c r="J733" s="1">
        <v>6169</v>
      </c>
    </row>
    <row r="734" spans="1:10" ht="30" customHeight="1" x14ac:dyDescent="0.25">
      <c r="A734" s="1" t="s">
        <v>1131</v>
      </c>
      <c r="B734" s="19">
        <v>46182</v>
      </c>
      <c r="J734" s="1">
        <v>6170</v>
      </c>
    </row>
    <row r="735" spans="1:10" ht="30" customHeight="1" x14ac:dyDescent="0.25">
      <c r="A735" s="1" t="s">
        <v>1132</v>
      </c>
      <c r="B735" s="19">
        <v>46182</v>
      </c>
      <c r="J735" s="1">
        <v>6171</v>
      </c>
    </row>
    <row r="736" spans="1:10" ht="30" customHeight="1" x14ac:dyDescent="0.25">
      <c r="A736" s="1" t="s">
        <v>1133</v>
      </c>
      <c r="B736" s="19">
        <v>46182</v>
      </c>
      <c r="J736" s="1">
        <v>6172</v>
      </c>
    </row>
    <row r="737" spans="1:10" ht="30" customHeight="1" x14ac:dyDescent="0.25">
      <c r="A737" s="1" t="s">
        <v>1134</v>
      </c>
      <c r="B737" s="19">
        <v>46182</v>
      </c>
      <c r="J737" s="1">
        <v>6173</v>
      </c>
    </row>
    <row r="738" spans="1:10" ht="30" customHeight="1" x14ac:dyDescent="0.25">
      <c r="A738" s="1" t="s">
        <v>1135</v>
      </c>
      <c r="B738" s="19">
        <v>46182</v>
      </c>
      <c r="J738" s="1">
        <v>6174</v>
      </c>
    </row>
    <row r="739" spans="1:10" ht="30" customHeight="1" x14ac:dyDescent="0.25">
      <c r="A739" s="1" t="s">
        <v>1136</v>
      </c>
      <c r="B739" s="19">
        <v>46182</v>
      </c>
      <c r="J739" s="1">
        <v>6175</v>
      </c>
    </row>
    <row r="740" spans="1:10" ht="30" customHeight="1" x14ac:dyDescent="0.25">
      <c r="A740" s="1" t="s">
        <v>1137</v>
      </c>
      <c r="B740" s="19">
        <v>46182</v>
      </c>
      <c r="J740" s="1">
        <v>6176</v>
      </c>
    </row>
    <row r="741" spans="1:10" ht="30" customHeight="1" x14ac:dyDescent="0.25">
      <c r="A741" s="1" t="s">
        <v>1138</v>
      </c>
      <c r="B741" s="19">
        <v>46182</v>
      </c>
      <c r="J741" s="1">
        <v>6177</v>
      </c>
    </row>
    <row r="742" spans="1:10" ht="30" customHeight="1" x14ac:dyDescent="0.25">
      <c r="A742" s="1" t="s">
        <v>1139</v>
      </c>
      <c r="B742" s="19">
        <v>46182</v>
      </c>
      <c r="J742" s="1">
        <v>6178</v>
      </c>
    </row>
    <row r="743" spans="1:10" ht="30" customHeight="1" x14ac:dyDescent="0.25">
      <c r="A743" s="1" t="s">
        <v>1140</v>
      </c>
      <c r="B743" s="19">
        <v>46182</v>
      </c>
      <c r="J743" s="1">
        <v>6179</v>
      </c>
    </row>
    <row r="744" spans="1:10" ht="30" customHeight="1" x14ac:dyDescent="0.25">
      <c r="A744" s="1" t="s">
        <v>1141</v>
      </c>
      <c r="B744" s="19">
        <v>46182</v>
      </c>
      <c r="J744" s="1">
        <v>6180</v>
      </c>
    </row>
    <row r="745" spans="1:10" ht="30" customHeight="1" x14ac:dyDescent="0.25">
      <c r="A745" s="1" t="s">
        <v>1142</v>
      </c>
      <c r="B745" s="19">
        <v>46182</v>
      </c>
      <c r="J745" s="1">
        <v>6181</v>
      </c>
    </row>
    <row r="746" spans="1:10" ht="30" customHeight="1" x14ac:dyDescent="0.25">
      <c r="A746" s="1" t="s">
        <v>1143</v>
      </c>
      <c r="B746" s="19">
        <v>46182</v>
      </c>
      <c r="J746" s="1">
        <v>6182</v>
      </c>
    </row>
    <row r="747" spans="1:10" ht="30" customHeight="1" x14ac:dyDescent="0.25">
      <c r="A747" s="1" t="s">
        <v>1144</v>
      </c>
      <c r="B747" s="19">
        <v>46182</v>
      </c>
      <c r="J747" s="1">
        <v>6183</v>
      </c>
    </row>
    <row r="748" spans="1:10" ht="30" customHeight="1" x14ac:dyDescent="0.25">
      <c r="A748" s="1" t="s">
        <v>1145</v>
      </c>
      <c r="B748" s="19">
        <v>46182</v>
      </c>
      <c r="J748" s="1">
        <v>6184</v>
      </c>
    </row>
    <row r="749" spans="1:10" ht="30" customHeight="1" x14ac:dyDescent="0.25">
      <c r="A749" s="1" t="s">
        <v>1146</v>
      </c>
      <c r="B749" s="19">
        <v>46182</v>
      </c>
      <c r="J749" s="1">
        <v>6185</v>
      </c>
    </row>
    <row r="750" spans="1:10" ht="30" customHeight="1" x14ac:dyDescent="0.25">
      <c r="A750" s="1" t="s">
        <v>1147</v>
      </c>
      <c r="B750" s="19">
        <v>46182</v>
      </c>
      <c r="J750" s="1">
        <v>6186</v>
      </c>
    </row>
    <row r="751" spans="1:10" ht="30" customHeight="1" x14ac:dyDescent="0.25">
      <c r="A751" s="1" t="s">
        <v>1148</v>
      </c>
      <c r="B751" s="19">
        <v>46182</v>
      </c>
      <c r="J751" s="1">
        <v>6187</v>
      </c>
    </row>
    <row r="752" spans="1:10" ht="30" customHeight="1" x14ac:dyDescent="0.25">
      <c r="A752" s="1" t="s">
        <v>1149</v>
      </c>
      <c r="B752" s="19">
        <v>46182</v>
      </c>
      <c r="J752" s="1">
        <v>6188</v>
      </c>
    </row>
    <row r="753" spans="1:10" ht="30" customHeight="1" x14ac:dyDescent="0.25">
      <c r="A753" s="1" t="s">
        <v>1150</v>
      </c>
      <c r="B753" s="19">
        <v>46182</v>
      </c>
      <c r="J753" s="1">
        <v>6189</v>
      </c>
    </row>
    <row r="754" spans="1:10" ht="30" customHeight="1" x14ac:dyDescent="0.25">
      <c r="A754" s="1" t="s">
        <v>1151</v>
      </c>
      <c r="B754" s="19">
        <v>46182</v>
      </c>
      <c r="J754" s="1">
        <v>6190</v>
      </c>
    </row>
    <row r="755" spans="1:10" ht="30" customHeight="1" x14ac:dyDescent="0.25">
      <c r="A755" s="1" t="s">
        <v>1152</v>
      </c>
      <c r="B755" s="19">
        <v>46182</v>
      </c>
      <c r="J755" s="1">
        <v>6191</v>
      </c>
    </row>
    <row r="756" spans="1:10" ht="30" customHeight="1" x14ac:dyDescent="0.25">
      <c r="A756" s="1" t="s">
        <v>1153</v>
      </c>
      <c r="B756" s="19">
        <v>46182</v>
      </c>
      <c r="J756" s="1">
        <v>6192</v>
      </c>
    </row>
    <row r="757" spans="1:10" ht="30" customHeight="1" x14ac:dyDescent="0.25">
      <c r="A757" s="1" t="s">
        <v>1154</v>
      </c>
      <c r="B757" s="19">
        <v>46182</v>
      </c>
      <c r="J757" s="1">
        <v>6193</v>
      </c>
    </row>
    <row r="758" spans="1:10" ht="30" customHeight="1" x14ac:dyDescent="0.25">
      <c r="A758" s="1" t="s">
        <v>1155</v>
      </c>
      <c r="B758" s="19">
        <v>46182</v>
      </c>
      <c r="J758" s="1">
        <v>6194</v>
      </c>
    </row>
    <row r="759" spans="1:10" ht="30" customHeight="1" x14ac:dyDescent="0.25">
      <c r="A759" s="1" t="s">
        <v>1156</v>
      </c>
      <c r="B759" s="19">
        <v>46182</v>
      </c>
      <c r="J759" s="1">
        <v>6195</v>
      </c>
    </row>
    <row r="760" spans="1:10" ht="30" customHeight="1" x14ac:dyDescent="0.25">
      <c r="A760" s="1" t="s">
        <v>1157</v>
      </c>
      <c r="B760" s="19">
        <v>46182</v>
      </c>
      <c r="J760" s="1">
        <v>6196</v>
      </c>
    </row>
    <row r="761" spans="1:10" ht="30" customHeight="1" x14ac:dyDescent="0.25">
      <c r="A761" s="1" t="s">
        <v>1158</v>
      </c>
      <c r="B761" s="19">
        <v>46182</v>
      </c>
      <c r="J761" s="1">
        <v>6197</v>
      </c>
    </row>
    <row r="762" spans="1:10" ht="30" customHeight="1" x14ac:dyDescent="0.25">
      <c r="A762" s="1" t="s">
        <v>1159</v>
      </c>
      <c r="B762" s="19">
        <v>46182</v>
      </c>
      <c r="J762" s="1">
        <v>6198</v>
      </c>
    </row>
    <row r="763" spans="1:10" ht="30" customHeight="1" x14ac:dyDescent="0.25">
      <c r="A763" s="1" t="s">
        <v>1160</v>
      </c>
      <c r="B763" s="19">
        <v>46182</v>
      </c>
      <c r="J763" s="1">
        <v>6199</v>
      </c>
    </row>
    <row r="764" spans="1:10" ht="30" customHeight="1" x14ac:dyDescent="0.25">
      <c r="A764" s="1" t="s">
        <v>1161</v>
      </c>
      <c r="B764" s="19">
        <v>46182</v>
      </c>
      <c r="J764" s="1">
        <v>6200</v>
      </c>
    </row>
    <row r="765" spans="1:10" ht="30" customHeight="1" x14ac:dyDescent="0.25">
      <c r="A765" s="1" t="s">
        <v>1162</v>
      </c>
      <c r="B765" s="19">
        <v>46182</v>
      </c>
      <c r="J765" s="1">
        <v>6201</v>
      </c>
    </row>
    <row r="766" spans="1:10" ht="30" customHeight="1" x14ac:dyDescent="0.25">
      <c r="A766" s="1" t="s">
        <v>1163</v>
      </c>
      <c r="B766" s="19">
        <v>46182</v>
      </c>
      <c r="J766" s="1">
        <v>6202</v>
      </c>
    </row>
    <row r="767" spans="1:10" ht="30" customHeight="1" x14ac:dyDescent="0.25">
      <c r="A767" s="1" t="s">
        <v>1164</v>
      </c>
      <c r="B767" s="19">
        <v>46182</v>
      </c>
      <c r="J767" s="1">
        <v>6203</v>
      </c>
    </row>
    <row r="768" spans="1:10" ht="30" customHeight="1" x14ac:dyDescent="0.25">
      <c r="A768" s="1" t="s">
        <v>1165</v>
      </c>
      <c r="B768" s="19">
        <v>46182</v>
      </c>
      <c r="J768" s="1">
        <v>6204</v>
      </c>
    </row>
    <row r="769" spans="1:10" ht="30" customHeight="1" x14ac:dyDescent="0.25">
      <c r="A769" s="1" t="s">
        <v>1166</v>
      </c>
      <c r="B769" s="19">
        <v>46182</v>
      </c>
      <c r="J769" s="1">
        <v>6205</v>
      </c>
    </row>
    <row r="770" spans="1:10" ht="30" customHeight="1" x14ac:dyDescent="0.25">
      <c r="A770" s="1" t="s">
        <v>1167</v>
      </c>
      <c r="B770" s="19">
        <v>46182</v>
      </c>
      <c r="J770" s="1">
        <v>6206</v>
      </c>
    </row>
    <row r="771" spans="1:10" ht="30" customHeight="1" x14ac:dyDescent="0.25">
      <c r="A771" s="1" t="s">
        <v>1168</v>
      </c>
      <c r="B771" s="19">
        <v>46182</v>
      </c>
      <c r="J771" s="1">
        <v>6207</v>
      </c>
    </row>
    <row r="772" spans="1:10" ht="30" customHeight="1" x14ac:dyDescent="0.25">
      <c r="A772" s="1" t="s">
        <v>1169</v>
      </c>
      <c r="B772" s="19">
        <v>46182</v>
      </c>
      <c r="J772" s="1">
        <v>6208</v>
      </c>
    </row>
    <row r="773" spans="1:10" ht="30" customHeight="1" x14ac:dyDescent="0.25">
      <c r="A773" s="1" t="s">
        <v>1170</v>
      </c>
      <c r="B773" s="19">
        <v>46182</v>
      </c>
      <c r="J773" s="1">
        <v>6209</v>
      </c>
    </row>
    <row r="774" spans="1:10" ht="30" customHeight="1" x14ac:dyDescent="0.25">
      <c r="A774" s="1" t="s">
        <v>1171</v>
      </c>
      <c r="B774" s="19">
        <v>46182</v>
      </c>
      <c r="J774" s="1">
        <v>6210</v>
      </c>
    </row>
    <row r="775" spans="1:10" ht="30" customHeight="1" x14ac:dyDescent="0.25">
      <c r="A775" s="1" t="s">
        <v>1172</v>
      </c>
      <c r="B775" s="19">
        <v>46182</v>
      </c>
      <c r="J775" s="1">
        <v>6211</v>
      </c>
    </row>
    <row r="776" spans="1:10" ht="30" customHeight="1" x14ac:dyDescent="0.25">
      <c r="A776" s="1" t="s">
        <v>1173</v>
      </c>
      <c r="B776" s="19">
        <v>46182</v>
      </c>
      <c r="J776" s="1">
        <v>6212</v>
      </c>
    </row>
    <row r="777" spans="1:10" ht="30" customHeight="1" x14ac:dyDescent="0.25">
      <c r="A777" s="1" t="s">
        <v>1174</v>
      </c>
      <c r="B777" s="19">
        <v>46182</v>
      </c>
      <c r="J777" s="1">
        <v>6213</v>
      </c>
    </row>
    <row r="778" spans="1:10" ht="30" customHeight="1" x14ac:dyDescent="0.25">
      <c r="A778" s="1" t="s">
        <v>1175</v>
      </c>
      <c r="B778" s="19">
        <v>46182</v>
      </c>
      <c r="J778" s="1">
        <v>6214</v>
      </c>
    </row>
    <row r="779" spans="1:10" ht="30" customHeight="1" x14ac:dyDescent="0.25">
      <c r="A779" s="1" t="s">
        <v>1176</v>
      </c>
      <c r="B779" s="19">
        <v>46182</v>
      </c>
      <c r="J779" s="1">
        <v>6215</v>
      </c>
    </row>
    <row r="780" spans="1:10" ht="30" customHeight="1" x14ac:dyDescent="0.25">
      <c r="A780" s="1" t="s">
        <v>1177</v>
      </c>
      <c r="B780" s="19">
        <v>46182</v>
      </c>
      <c r="J780" s="1">
        <v>6216</v>
      </c>
    </row>
    <row r="781" spans="1:10" ht="30" customHeight="1" x14ac:dyDescent="0.25">
      <c r="A781" s="1" t="s">
        <v>1178</v>
      </c>
      <c r="B781" s="19">
        <v>46182</v>
      </c>
      <c r="J781" s="1">
        <v>6217</v>
      </c>
    </row>
    <row r="782" spans="1:10" ht="30" customHeight="1" x14ac:dyDescent="0.25">
      <c r="A782" s="1" t="s">
        <v>1179</v>
      </c>
      <c r="B782" s="19">
        <v>46182</v>
      </c>
      <c r="J782" s="1">
        <v>6218</v>
      </c>
    </row>
    <row r="783" spans="1:10" ht="30" customHeight="1" x14ac:dyDescent="0.25">
      <c r="A783" s="1" t="s">
        <v>1180</v>
      </c>
      <c r="B783" s="19">
        <v>46182</v>
      </c>
      <c r="J783" s="1">
        <v>6219</v>
      </c>
    </row>
    <row r="784" spans="1:10" ht="30" customHeight="1" x14ac:dyDescent="0.25">
      <c r="A784" s="1" t="s">
        <v>1181</v>
      </c>
      <c r="B784" s="19">
        <v>46182</v>
      </c>
      <c r="J784" s="1">
        <v>6220</v>
      </c>
    </row>
    <row r="785" spans="1:10" ht="30" customHeight="1" x14ac:dyDescent="0.25">
      <c r="A785" s="1" t="s">
        <v>1182</v>
      </c>
      <c r="B785" s="19">
        <v>46182</v>
      </c>
      <c r="J785" s="1">
        <v>6221</v>
      </c>
    </row>
    <row r="786" spans="1:10" ht="30" customHeight="1" x14ac:dyDescent="0.25">
      <c r="A786" s="1" t="s">
        <v>1183</v>
      </c>
      <c r="B786" s="19">
        <v>46182</v>
      </c>
      <c r="J786" s="1">
        <v>6222</v>
      </c>
    </row>
    <row r="787" spans="1:10" ht="30" customHeight="1" x14ac:dyDescent="0.25">
      <c r="A787" s="1" t="s">
        <v>1184</v>
      </c>
      <c r="B787" s="19">
        <v>46182</v>
      </c>
      <c r="J787" s="1">
        <v>6223</v>
      </c>
    </row>
    <row r="788" spans="1:10" ht="30" customHeight="1" x14ac:dyDescent="0.25">
      <c r="A788" s="1" t="s">
        <v>1185</v>
      </c>
      <c r="B788" s="19">
        <v>46182</v>
      </c>
      <c r="J788" s="1">
        <v>6224</v>
      </c>
    </row>
    <row r="789" spans="1:10" ht="30" customHeight="1" x14ac:dyDescent="0.25">
      <c r="A789" s="1" t="s">
        <v>1186</v>
      </c>
      <c r="B789" s="19">
        <v>46182</v>
      </c>
      <c r="J789" s="1">
        <v>6225</v>
      </c>
    </row>
    <row r="790" spans="1:10" ht="30" customHeight="1" x14ac:dyDescent="0.25">
      <c r="A790" s="1" t="s">
        <v>1187</v>
      </c>
      <c r="B790" s="19">
        <v>46182</v>
      </c>
      <c r="J790" s="1">
        <v>6226</v>
      </c>
    </row>
    <row r="791" spans="1:10" ht="30" customHeight="1" x14ac:dyDescent="0.25">
      <c r="A791" s="1" t="s">
        <v>1188</v>
      </c>
      <c r="B791" s="19">
        <v>46182</v>
      </c>
      <c r="J791" s="1">
        <v>6227</v>
      </c>
    </row>
    <row r="792" spans="1:10" ht="30" customHeight="1" x14ac:dyDescent="0.25">
      <c r="A792" s="1" t="s">
        <v>1189</v>
      </c>
      <c r="B792" s="19">
        <v>46182</v>
      </c>
      <c r="J792" s="1">
        <v>6228</v>
      </c>
    </row>
    <row r="793" spans="1:10" ht="30" customHeight="1" x14ac:dyDescent="0.25">
      <c r="A793" s="1" t="s">
        <v>1190</v>
      </c>
      <c r="B793" s="19">
        <v>46182</v>
      </c>
      <c r="J793" s="1">
        <v>6229</v>
      </c>
    </row>
    <row r="794" spans="1:10" ht="30" customHeight="1" x14ac:dyDescent="0.25">
      <c r="A794" s="1" t="s">
        <v>1191</v>
      </c>
      <c r="B794" s="19">
        <v>46182</v>
      </c>
      <c r="J794" s="1">
        <v>6230</v>
      </c>
    </row>
    <row r="795" spans="1:10" ht="30" customHeight="1" x14ac:dyDescent="0.25">
      <c r="A795" s="1" t="s">
        <v>1192</v>
      </c>
      <c r="B795" s="19">
        <v>46182</v>
      </c>
      <c r="J795" s="1">
        <v>6231</v>
      </c>
    </row>
    <row r="796" spans="1:10" ht="30" customHeight="1" x14ac:dyDescent="0.25">
      <c r="A796" s="1" t="s">
        <v>1193</v>
      </c>
      <c r="B796" s="19">
        <v>46182</v>
      </c>
      <c r="J796" s="1">
        <v>6232</v>
      </c>
    </row>
    <row r="797" spans="1:10" ht="30" customHeight="1" x14ac:dyDescent="0.25">
      <c r="A797" s="1" t="s">
        <v>1194</v>
      </c>
      <c r="B797" s="19">
        <v>46182</v>
      </c>
      <c r="J797" s="1">
        <v>6233</v>
      </c>
    </row>
    <row r="798" spans="1:10" ht="30" customHeight="1" x14ac:dyDescent="0.25">
      <c r="A798" s="1" t="s">
        <v>1195</v>
      </c>
      <c r="B798" s="19">
        <v>46182</v>
      </c>
      <c r="J798" s="1">
        <v>6234</v>
      </c>
    </row>
    <row r="799" spans="1:10" ht="30" customHeight="1" x14ac:dyDescent="0.25">
      <c r="A799" s="1" t="s">
        <v>1196</v>
      </c>
      <c r="B799" s="19">
        <v>46182</v>
      </c>
      <c r="J799" s="1">
        <v>6235</v>
      </c>
    </row>
    <row r="800" spans="1:10" ht="30" customHeight="1" x14ac:dyDescent="0.25">
      <c r="A800" s="1" t="s">
        <v>1197</v>
      </c>
      <c r="B800" s="19">
        <v>46182</v>
      </c>
      <c r="J800" s="1">
        <v>6236</v>
      </c>
    </row>
    <row r="801" spans="1:10" ht="30" customHeight="1" x14ac:dyDescent="0.25">
      <c r="A801" s="1" t="s">
        <v>1198</v>
      </c>
      <c r="B801" s="19">
        <v>46182</v>
      </c>
      <c r="J801" s="1">
        <v>6237</v>
      </c>
    </row>
    <row r="802" spans="1:10" ht="30" customHeight="1" x14ac:dyDescent="0.25">
      <c r="A802" s="1" t="s">
        <v>1199</v>
      </c>
      <c r="B802" s="19">
        <v>46182</v>
      </c>
      <c r="J802" s="1">
        <v>6238</v>
      </c>
    </row>
    <row r="803" spans="1:10" ht="30" customHeight="1" x14ac:dyDescent="0.25">
      <c r="A803" s="1" t="s">
        <v>1200</v>
      </c>
      <c r="B803" s="19">
        <v>46182</v>
      </c>
      <c r="J803" s="1">
        <v>6239</v>
      </c>
    </row>
    <row r="804" spans="1:10" ht="30" customHeight="1" x14ac:dyDescent="0.25">
      <c r="A804" s="1" t="s">
        <v>1201</v>
      </c>
      <c r="B804" s="19">
        <v>46182</v>
      </c>
      <c r="J804" s="1">
        <v>6240</v>
      </c>
    </row>
    <row r="805" spans="1:10" ht="30" customHeight="1" x14ac:dyDescent="0.25">
      <c r="A805" s="1" t="s">
        <v>1202</v>
      </c>
      <c r="B805" s="19">
        <v>46182</v>
      </c>
      <c r="J805" s="1">
        <v>6241</v>
      </c>
    </row>
    <row r="806" spans="1:10" ht="30" customHeight="1" x14ac:dyDescent="0.25">
      <c r="A806" s="1" t="s">
        <v>1203</v>
      </c>
      <c r="B806" s="19">
        <v>46182</v>
      </c>
      <c r="J806" s="1">
        <v>6242</v>
      </c>
    </row>
    <row r="807" spans="1:10" ht="30" customHeight="1" x14ac:dyDescent="0.25">
      <c r="A807" s="1" t="s">
        <v>1204</v>
      </c>
      <c r="B807" s="19">
        <v>46182</v>
      </c>
      <c r="J807" s="1">
        <v>6243</v>
      </c>
    </row>
    <row r="808" spans="1:10" ht="30" customHeight="1" x14ac:dyDescent="0.25">
      <c r="A808" s="1" t="s">
        <v>1205</v>
      </c>
      <c r="B808" s="19">
        <v>46182</v>
      </c>
      <c r="J808" s="1">
        <v>6244</v>
      </c>
    </row>
    <row r="809" spans="1:10" ht="30" customHeight="1" x14ac:dyDescent="0.25">
      <c r="A809" s="1" t="s">
        <v>1206</v>
      </c>
      <c r="B809" s="19">
        <v>46182</v>
      </c>
      <c r="J809" s="1">
        <v>6245</v>
      </c>
    </row>
    <row r="810" spans="1:10" ht="30" customHeight="1" x14ac:dyDescent="0.25">
      <c r="A810" s="1" t="s">
        <v>1207</v>
      </c>
      <c r="B810" s="19">
        <v>46182</v>
      </c>
      <c r="J810" s="1">
        <v>6246</v>
      </c>
    </row>
    <row r="811" spans="1:10" ht="30" customHeight="1" x14ac:dyDescent="0.25">
      <c r="A811" s="1" t="s">
        <v>1208</v>
      </c>
      <c r="B811" s="19">
        <v>46182</v>
      </c>
      <c r="J811" s="1">
        <v>6247</v>
      </c>
    </row>
    <row r="812" spans="1:10" ht="30" customHeight="1" x14ac:dyDescent="0.25">
      <c r="A812" s="1" t="s">
        <v>1209</v>
      </c>
      <c r="B812" s="19">
        <v>46182</v>
      </c>
      <c r="J812" s="1">
        <v>6248</v>
      </c>
    </row>
    <row r="813" spans="1:10" ht="30" customHeight="1" x14ac:dyDescent="0.25">
      <c r="A813" s="1" t="s">
        <v>1210</v>
      </c>
      <c r="B813" s="19">
        <v>46182</v>
      </c>
      <c r="J813" s="1">
        <v>6249</v>
      </c>
    </row>
    <row r="814" spans="1:10" ht="30" customHeight="1" x14ac:dyDescent="0.25">
      <c r="A814" s="1" t="s">
        <v>1211</v>
      </c>
      <c r="B814" s="19">
        <v>46182</v>
      </c>
      <c r="J814" s="1">
        <v>6250</v>
      </c>
    </row>
    <row r="815" spans="1:10" ht="30" customHeight="1" x14ac:dyDescent="0.25">
      <c r="A815" s="1" t="s">
        <v>1212</v>
      </c>
      <c r="B815" s="19">
        <v>46182</v>
      </c>
      <c r="J815" s="1">
        <v>6251</v>
      </c>
    </row>
    <row r="816" spans="1:10" ht="30" customHeight="1" x14ac:dyDescent="0.25">
      <c r="A816" s="1" t="s">
        <v>1213</v>
      </c>
      <c r="B816" s="19">
        <v>46182</v>
      </c>
      <c r="J816" s="1">
        <v>6252</v>
      </c>
    </row>
    <row r="817" spans="1:10" ht="30" customHeight="1" x14ac:dyDescent="0.25">
      <c r="A817" s="1" t="s">
        <v>1214</v>
      </c>
      <c r="B817" s="19">
        <v>46182</v>
      </c>
      <c r="J817" s="1">
        <v>6253</v>
      </c>
    </row>
    <row r="818" spans="1:10" ht="30" customHeight="1" x14ac:dyDescent="0.25">
      <c r="A818" s="1" t="s">
        <v>1215</v>
      </c>
      <c r="B818" s="19">
        <v>46182</v>
      </c>
      <c r="J818" s="1">
        <v>6254</v>
      </c>
    </row>
    <row r="819" spans="1:10" ht="30" customHeight="1" x14ac:dyDescent="0.25">
      <c r="A819" s="1" t="s">
        <v>1216</v>
      </c>
      <c r="B819" s="19">
        <v>46182</v>
      </c>
      <c r="J819" s="1">
        <v>6255</v>
      </c>
    </row>
    <row r="820" spans="1:10" ht="30" customHeight="1" x14ac:dyDescent="0.25">
      <c r="A820" s="1" t="s">
        <v>1217</v>
      </c>
      <c r="B820" s="19">
        <v>46182</v>
      </c>
      <c r="J820" s="1">
        <v>6256</v>
      </c>
    </row>
    <row r="821" spans="1:10" ht="30" customHeight="1" x14ac:dyDescent="0.25">
      <c r="A821" s="1" t="s">
        <v>1218</v>
      </c>
      <c r="B821" s="19">
        <v>46182</v>
      </c>
      <c r="J821" s="1">
        <v>6257</v>
      </c>
    </row>
    <row r="822" spans="1:10" ht="30" customHeight="1" x14ac:dyDescent="0.25">
      <c r="A822" s="1" t="s">
        <v>1219</v>
      </c>
      <c r="B822" s="19">
        <v>46182</v>
      </c>
      <c r="J822" s="1">
        <v>6258</v>
      </c>
    </row>
    <row r="823" spans="1:10" ht="30" customHeight="1" x14ac:dyDescent="0.25">
      <c r="A823" s="1" t="s">
        <v>1220</v>
      </c>
      <c r="B823" s="19">
        <v>46182</v>
      </c>
      <c r="J823" s="1">
        <v>6259</v>
      </c>
    </row>
    <row r="824" spans="1:10" ht="30" customHeight="1" x14ac:dyDescent="0.25">
      <c r="A824" s="1" t="s">
        <v>1221</v>
      </c>
      <c r="B824" s="19">
        <v>46182</v>
      </c>
      <c r="J824" s="1">
        <v>6260</v>
      </c>
    </row>
    <row r="825" spans="1:10" ht="30" customHeight="1" x14ac:dyDescent="0.25">
      <c r="A825" s="1" t="s">
        <v>1222</v>
      </c>
      <c r="B825" s="19">
        <v>46182</v>
      </c>
      <c r="J825" s="1">
        <v>6261</v>
      </c>
    </row>
    <row r="826" spans="1:10" ht="30" customHeight="1" x14ac:dyDescent="0.25">
      <c r="A826" s="1" t="s">
        <v>1223</v>
      </c>
      <c r="B826" s="19">
        <v>46182</v>
      </c>
      <c r="J826" s="1">
        <v>6262</v>
      </c>
    </row>
    <row r="827" spans="1:10" ht="30" customHeight="1" x14ac:dyDescent="0.25">
      <c r="A827" s="1" t="s">
        <v>1224</v>
      </c>
      <c r="B827" s="19">
        <v>46182</v>
      </c>
      <c r="J827" s="1">
        <v>6263</v>
      </c>
    </row>
    <row r="828" spans="1:10" ht="30" customHeight="1" x14ac:dyDescent="0.25">
      <c r="A828" s="1" t="s">
        <v>1225</v>
      </c>
      <c r="B828" s="19">
        <v>46182</v>
      </c>
      <c r="J828" s="1">
        <v>6264</v>
      </c>
    </row>
    <row r="829" spans="1:10" ht="30" customHeight="1" x14ac:dyDescent="0.25">
      <c r="A829" s="1" t="s">
        <v>1226</v>
      </c>
      <c r="B829" s="19">
        <v>46182</v>
      </c>
      <c r="J829" s="1">
        <v>6265</v>
      </c>
    </row>
    <row r="830" spans="1:10" ht="30" customHeight="1" x14ac:dyDescent="0.25">
      <c r="A830" s="1" t="s">
        <v>1227</v>
      </c>
      <c r="B830" s="19">
        <v>46182</v>
      </c>
      <c r="J830" s="1">
        <v>6266</v>
      </c>
    </row>
    <row r="831" spans="1:10" ht="30" customHeight="1" x14ac:dyDescent="0.25">
      <c r="A831" s="1" t="s">
        <v>1228</v>
      </c>
      <c r="B831" s="19">
        <v>46182</v>
      </c>
      <c r="J831" s="1">
        <v>6267</v>
      </c>
    </row>
    <row r="832" spans="1:10" ht="30" customHeight="1" x14ac:dyDescent="0.25">
      <c r="A832" s="1" t="s">
        <v>1229</v>
      </c>
      <c r="B832" s="19">
        <v>46182</v>
      </c>
      <c r="J832" s="1">
        <v>6268</v>
      </c>
    </row>
    <row r="833" spans="1:10" ht="30" customHeight="1" x14ac:dyDescent="0.25">
      <c r="A833" s="1" t="s">
        <v>1230</v>
      </c>
      <c r="B833" s="19">
        <v>46182</v>
      </c>
      <c r="J833" s="1">
        <v>6269</v>
      </c>
    </row>
    <row r="834" spans="1:10" ht="30" customHeight="1" x14ac:dyDescent="0.25">
      <c r="A834" s="1" t="s">
        <v>1231</v>
      </c>
      <c r="B834" s="19">
        <v>46182</v>
      </c>
      <c r="J834" s="1">
        <v>6270</v>
      </c>
    </row>
    <row r="835" spans="1:10" ht="30" customHeight="1" x14ac:dyDescent="0.25">
      <c r="A835" s="1" t="s">
        <v>1232</v>
      </c>
      <c r="B835" s="19">
        <v>46182</v>
      </c>
      <c r="J835" s="1">
        <v>6271</v>
      </c>
    </row>
    <row r="836" spans="1:10" ht="30" customHeight="1" x14ac:dyDescent="0.25">
      <c r="A836" s="1" t="s">
        <v>1233</v>
      </c>
      <c r="B836" s="19">
        <v>46182</v>
      </c>
      <c r="J836" s="1">
        <v>6272</v>
      </c>
    </row>
    <row r="837" spans="1:10" ht="30" customHeight="1" x14ac:dyDescent="0.25">
      <c r="A837" s="1" t="s">
        <v>1234</v>
      </c>
      <c r="B837" s="19">
        <v>46182</v>
      </c>
      <c r="J837" s="1">
        <v>6273</v>
      </c>
    </row>
    <row r="838" spans="1:10" ht="30" customHeight="1" x14ac:dyDescent="0.25">
      <c r="A838" s="1" t="s">
        <v>1235</v>
      </c>
      <c r="B838" s="19">
        <v>46182</v>
      </c>
      <c r="J838" s="1">
        <v>6274</v>
      </c>
    </row>
    <row r="839" spans="1:10" ht="30" customHeight="1" x14ac:dyDescent="0.25">
      <c r="A839" s="1" t="s">
        <v>1236</v>
      </c>
      <c r="B839" s="19">
        <v>46182</v>
      </c>
      <c r="J839" s="1">
        <v>6275</v>
      </c>
    </row>
    <row r="840" spans="1:10" ht="30" customHeight="1" x14ac:dyDescent="0.25">
      <c r="A840" s="1" t="s">
        <v>1237</v>
      </c>
      <c r="B840" s="19">
        <v>46182</v>
      </c>
      <c r="J840" s="1">
        <v>6276</v>
      </c>
    </row>
    <row r="841" spans="1:10" ht="30" customHeight="1" x14ac:dyDescent="0.25">
      <c r="A841" s="1" t="s">
        <v>1238</v>
      </c>
      <c r="B841" s="19">
        <v>46182</v>
      </c>
      <c r="J841" s="1">
        <v>6277</v>
      </c>
    </row>
    <row r="842" spans="1:10" ht="30" customHeight="1" x14ac:dyDescent="0.25">
      <c r="A842" s="1" t="s">
        <v>1239</v>
      </c>
      <c r="B842" s="19">
        <v>46182</v>
      </c>
      <c r="J842" s="1">
        <v>6278</v>
      </c>
    </row>
    <row r="843" spans="1:10" ht="30" customHeight="1" x14ac:dyDescent="0.25">
      <c r="A843" s="1" t="s">
        <v>1240</v>
      </c>
      <c r="B843" s="19">
        <v>46182</v>
      </c>
      <c r="J843" s="1">
        <v>6279</v>
      </c>
    </row>
    <row r="844" spans="1:10" ht="30" customHeight="1" x14ac:dyDescent="0.25">
      <c r="A844" s="1" t="s">
        <v>1241</v>
      </c>
      <c r="B844" s="19">
        <v>46182</v>
      </c>
      <c r="J844" s="1">
        <v>6280</v>
      </c>
    </row>
    <row r="845" spans="1:10" ht="30" customHeight="1" x14ac:dyDescent="0.25">
      <c r="A845" s="1" t="s">
        <v>1242</v>
      </c>
      <c r="B845" s="19">
        <v>46182</v>
      </c>
      <c r="J845" s="1">
        <v>6281</v>
      </c>
    </row>
    <row r="846" spans="1:10" ht="30" customHeight="1" x14ac:dyDescent="0.25">
      <c r="A846" s="1" t="s">
        <v>1243</v>
      </c>
      <c r="B846" s="19">
        <v>46182</v>
      </c>
      <c r="J846" s="1">
        <v>6282</v>
      </c>
    </row>
    <row r="847" spans="1:10" ht="30" customHeight="1" x14ac:dyDescent="0.25">
      <c r="A847" s="1" t="s">
        <v>1244</v>
      </c>
      <c r="B847" s="19">
        <v>46182</v>
      </c>
      <c r="J847" s="1">
        <v>6283</v>
      </c>
    </row>
    <row r="848" spans="1:10" ht="30" customHeight="1" x14ac:dyDescent="0.25">
      <c r="A848" s="1" t="s">
        <v>1245</v>
      </c>
      <c r="B848" s="19">
        <v>46182</v>
      </c>
      <c r="J848" s="1">
        <v>6284</v>
      </c>
    </row>
    <row r="849" spans="1:10" ht="30" customHeight="1" x14ac:dyDescent="0.25">
      <c r="A849" s="1" t="s">
        <v>1246</v>
      </c>
      <c r="B849" s="19">
        <v>46182</v>
      </c>
      <c r="J849" s="1">
        <v>6285</v>
      </c>
    </row>
    <row r="850" spans="1:10" ht="30" customHeight="1" x14ac:dyDescent="0.25">
      <c r="A850" s="1" t="s">
        <v>1247</v>
      </c>
      <c r="B850" s="19">
        <v>46182</v>
      </c>
      <c r="J850" s="1">
        <v>6286</v>
      </c>
    </row>
    <row r="851" spans="1:10" ht="30" customHeight="1" x14ac:dyDescent="0.25">
      <c r="A851" s="1" t="s">
        <v>1248</v>
      </c>
      <c r="B851" s="19">
        <v>46182</v>
      </c>
      <c r="J851" s="1">
        <v>6287</v>
      </c>
    </row>
    <row r="852" spans="1:10" ht="30" customHeight="1" x14ac:dyDescent="0.25">
      <c r="A852" s="1" t="s">
        <v>1249</v>
      </c>
      <c r="B852" s="19">
        <v>46182</v>
      </c>
      <c r="J852" s="1">
        <v>6288</v>
      </c>
    </row>
    <row r="853" spans="1:10" ht="30" customHeight="1" x14ac:dyDescent="0.25">
      <c r="A853" s="1" t="s">
        <v>1250</v>
      </c>
      <c r="B853" s="19">
        <v>46182</v>
      </c>
      <c r="J853" s="1">
        <v>6289</v>
      </c>
    </row>
    <row r="854" spans="1:10" ht="30" customHeight="1" x14ac:dyDescent="0.25">
      <c r="A854" s="1" t="s">
        <v>1251</v>
      </c>
      <c r="B854" s="19">
        <v>46182</v>
      </c>
      <c r="J854" s="1">
        <v>6290</v>
      </c>
    </row>
    <row r="855" spans="1:10" ht="30" customHeight="1" x14ac:dyDescent="0.25">
      <c r="A855" s="1" t="s">
        <v>1252</v>
      </c>
      <c r="B855" s="19">
        <v>46182</v>
      </c>
      <c r="J855" s="1">
        <v>6291</v>
      </c>
    </row>
    <row r="856" spans="1:10" ht="30" customHeight="1" x14ac:dyDescent="0.25">
      <c r="A856" s="1" t="s">
        <v>1253</v>
      </c>
      <c r="B856" s="19">
        <v>46182</v>
      </c>
      <c r="J856" s="1">
        <v>6292</v>
      </c>
    </row>
    <row r="857" spans="1:10" ht="30" customHeight="1" x14ac:dyDescent="0.25">
      <c r="A857" s="1" t="s">
        <v>1254</v>
      </c>
      <c r="B857" s="19">
        <v>46182</v>
      </c>
      <c r="J857" s="1">
        <v>6293</v>
      </c>
    </row>
    <row r="858" spans="1:10" ht="30" customHeight="1" x14ac:dyDescent="0.25">
      <c r="A858" s="1" t="s">
        <v>1255</v>
      </c>
      <c r="B858" s="19">
        <v>46182</v>
      </c>
      <c r="J858" s="1">
        <v>6294</v>
      </c>
    </row>
    <row r="859" spans="1:10" ht="30" customHeight="1" x14ac:dyDescent="0.25">
      <c r="A859" s="1" t="s">
        <v>1256</v>
      </c>
      <c r="B859" s="19">
        <v>46182</v>
      </c>
      <c r="J859" s="1">
        <v>6295</v>
      </c>
    </row>
    <row r="860" spans="1:10" ht="30" customHeight="1" x14ac:dyDescent="0.25">
      <c r="A860" s="1" t="s">
        <v>1257</v>
      </c>
      <c r="B860" s="19">
        <v>46182</v>
      </c>
      <c r="J860" s="1">
        <v>6296</v>
      </c>
    </row>
    <row r="861" spans="1:10" ht="30" customHeight="1" x14ac:dyDescent="0.25">
      <c r="A861" s="1" t="s">
        <v>1258</v>
      </c>
      <c r="B861" s="19">
        <v>46182</v>
      </c>
      <c r="J861" s="1">
        <v>6297</v>
      </c>
    </row>
    <row r="862" spans="1:10" ht="30" customHeight="1" x14ac:dyDescent="0.25">
      <c r="A862" s="1" t="s">
        <v>1259</v>
      </c>
      <c r="B862" s="19">
        <v>46182</v>
      </c>
      <c r="J862" s="1">
        <v>6298</v>
      </c>
    </row>
    <row r="863" spans="1:10" ht="30" customHeight="1" x14ac:dyDescent="0.25">
      <c r="A863" s="1" t="s">
        <v>1260</v>
      </c>
      <c r="B863" s="19">
        <v>46182</v>
      </c>
      <c r="J863" s="1">
        <v>6299</v>
      </c>
    </row>
    <row r="864" spans="1:10" ht="30" customHeight="1" x14ac:dyDescent="0.25">
      <c r="A864" s="1" t="s">
        <v>1261</v>
      </c>
      <c r="B864" s="19">
        <v>46182</v>
      </c>
      <c r="J864" s="1">
        <v>6300</v>
      </c>
    </row>
    <row r="865" spans="1:10" ht="30" customHeight="1" x14ac:dyDescent="0.25">
      <c r="A865" s="1" t="s">
        <v>1262</v>
      </c>
      <c r="B865" s="19">
        <v>46182</v>
      </c>
      <c r="J865" s="1">
        <v>6301</v>
      </c>
    </row>
    <row r="866" spans="1:10" ht="30" customHeight="1" x14ac:dyDescent="0.25">
      <c r="A866" s="1" t="s">
        <v>1263</v>
      </c>
      <c r="B866" s="19">
        <v>46182</v>
      </c>
      <c r="J866" s="1">
        <v>6302</v>
      </c>
    </row>
    <row r="867" spans="1:10" ht="30" customHeight="1" x14ac:dyDescent="0.25">
      <c r="A867" s="1" t="s">
        <v>1264</v>
      </c>
      <c r="B867" s="19">
        <v>46182</v>
      </c>
      <c r="J867" s="1">
        <v>6303</v>
      </c>
    </row>
    <row r="868" spans="1:10" ht="30" customHeight="1" x14ac:dyDescent="0.25">
      <c r="A868" s="1" t="s">
        <v>1265</v>
      </c>
      <c r="B868" s="19">
        <v>46182</v>
      </c>
      <c r="J868" s="1">
        <v>6304</v>
      </c>
    </row>
    <row r="869" spans="1:10" ht="30" customHeight="1" x14ac:dyDescent="0.25">
      <c r="A869" s="1" t="s">
        <v>1266</v>
      </c>
      <c r="B869" s="19">
        <v>46182</v>
      </c>
      <c r="J869" s="1">
        <v>6305</v>
      </c>
    </row>
    <row r="870" spans="1:10" ht="30" customHeight="1" x14ac:dyDescent="0.25">
      <c r="A870" s="1" t="s">
        <v>1267</v>
      </c>
      <c r="B870" s="19">
        <v>46182</v>
      </c>
      <c r="J870" s="1">
        <v>6306</v>
      </c>
    </row>
    <row r="871" spans="1:10" ht="30" customHeight="1" x14ac:dyDescent="0.25">
      <c r="A871" s="1" t="s">
        <v>1268</v>
      </c>
      <c r="B871" s="19">
        <v>46182</v>
      </c>
      <c r="J871" s="1">
        <v>6307</v>
      </c>
    </row>
    <row r="872" spans="1:10" ht="30" customHeight="1" x14ac:dyDescent="0.25">
      <c r="A872" s="1" t="s">
        <v>1269</v>
      </c>
      <c r="B872" s="19">
        <v>46182</v>
      </c>
      <c r="J872" s="1">
        <v>6308</v>
      </c>
    </row>
    <row r="873" spans="1:10" ht="30" customHeight="1" x14ac:dyDescent="0.25">
      <c r="A873" s="1" t="s">
        <v>1270</v>
      </c>
      <c r="B873" s="19">
        <v>46182</v>
      </c>
      <c r="J873" s="1">
        <v>6309</v>
      </c>
    </row>
    <row r="874" spans="1:10" ht="30" customHeight="1" x14ac:dyDescent="0.25">
      <c r="A874" s="1" t="s">
        <v>1271</v>
      </c>
      <c r="B874" s="19">
        <v>46182</v>
      </c>
      <c r="J874" s="1">
        <v>6310</v>
      </c>
    </row>
    <row r="875" spans="1:10" ht="30" customHeight="1" x14ac:dyDescent="0.25">
      <c r="A875" s="1" t="s">
        <v>1272</v>
      </c>
      <c r="B875" s="19">
        <v>46182</v>
      </c>
      <c r="J875" s="1">
        <v>6311</v>
      </c>
    </row>
    <row r="876" spans="1:10" ht="30" customHeight="1" x14ac:dyDescent="0.25">
      <c r="A876" s="1" t="s">
        <v>1273</v>
      </c>
      <c r="B876" s="19">
        <v>46182</v>
      </c>
      <c r="J876" s="1">
        <v>6312</v>
      </c>
    </row>
    <row r="877" spans="1:10" ht="30" customHeight="1" x14ac:dyDescent="0.25">
      <c r="A877" s="1" t="s">
        <v>1274</v>
      </c>
      <c r="B877" s="19">
        <v>46182</v>
      </c>
      <c r="J877" s="1">
        <v>6313</v>
      </c>
    </row>
    <row r="878" spans="1:10" ht="30" customHeight="1" x14ac:dyDescent="0.25">
      <c r="A878" s="1" t="s">
        <v>1275</v>
      </c>
      <c r="B878" s="19">
        <v>46182</v>
      </c>
      <c r="J878" s="1">
        <v>6314</v>
      </c>
    </row>
    <row r="879" spans="1:10" ht="30" customHeight="1" x14ac:dyDescent="0.25">
      <c r="A879" s="1" t="s">
        <v>1276</v>
      </c>
      <c r="B879" s="19">
        <v>46182</v>
      </c>
      <c r="J879" s="1">
        <v>6315</v>
      </c>
    </row>
    <row r="880" spans="1:10" ht="30" customHeight="1" x14ac:dyDescent="0.25">
      <c r="A880" s="1" t="s">
        <v>1277</v>
      </c>
      <c r="B880" s="19">
        <v>46182</v>
      </c>
      <c r="J880" s="1">
        <v>6316</v>
      </c>
    </row>
    <row r="881" spans="1:10" ht="30" customHeight="1" x14ac:dyDescent="0.25">
      <c r="A881" s="1" t="s">
        <v>1278</v>
      </c>
      <c r="B881" s="19">
        <v>46182</v>
      </c>
      <c r="J881" s="1">
        <v>6317</v>
      </c>
    </row>
    <row r="882" spans="1:10" ht="30" customHeight="1" x14ac:dyDescent="0.25">
      <c r="A882" s="1" t="s">
        <v>1279</v>
      </c>
      <c r="B882" s="19">
        <v>46182</v>
      </c>
      <c r="J882" s="1">
        <v>6318</v>
      </c>
    </row>
    <row r="883" spans="1:10" ht="30" customHeight="1" x14ac:dyDescent="0.25">
      <c r="A883" s="1" t="s">
        <v>1280</v>
      </c>
      <c r="B883" s="19">
        <v>46182</v>
      </c>
      <c r="J883" s="1">
        <v>6319</v>
      </c>
    </row>
    <row r="884" spans="1:10" ht="30" customHeight="1" x14ac:dyDescent="0.25">
      <c r="A884" s="1" t="s">
        <v>1281</v>
      </c>
      <c r="B884" s="19">
        <v>46182</v>
      </c>
      <c r="J884" s="1">
        <v>6320</v>
      </c>
    </row>
    <row r="885" spans="1:10" ht="30" customHeight="1" x14ac:dyDescent="0.25">
      <c r="A885" s="1" t="s">
        <v>1282</v>
      </c>
      <c r="B885" s="19">
        <v>46182</v>
      </c>
      <c r="J885" s="1">
        <v>6321</v>
      </c>
    </row>
    <row r="886" spans="1:10" ht="30" customHeight="1" x14ac:dyDescent="0.25">
      <c r="A886" s="1" t="s">
        <v>1283</v>
      </c>
      <c r="B886" s="19">
        <v>46182</v>
      </c>
      <c r="J886" s="1">
        <v>6322</v>
      </c>
    </row>
    <row r="887" spans="1:10" ht="30" customHeight="1" x14ac:dyDescent="0.25">
      <c r="A887" s="1" t="s">
        <v>1284</v>
      </c>
      <c r="B887" s="19">
        <v>46182</v>
      </c>
      <c r="J887" s="1">
        <v>6323</v>
      </c>
    </row>
    <row r="888" spans="1:10" ht="30" customHeight="1" x14ac:dyDescent="0.25">
      <c r="A888" s="1" t="s">
        <v>1285</v>
      </c>
      <c r="B888" s="19">
        <v>46182</v>
      </c>
      <c r="J888" s="1">
        <v>6324</v>
      </c>
    </row>
    <row r="889" spans="1:10" ht="30" customHeight="1" x14ac:dyDescent="0.25">
      <c r="A889" s="1" t="s">
        <v>1286</v>
      </c>
      <c r="B889" s="19">
        <v>46182</v>
      </c>
      <c r="J889" s="1">
        <v>6325</v>
      </c>
    </row>
    <row r="890" spans="1:10" ht="30" customHeight="1" x14ac:dyDescent="0.25">
      <c r="A890" s="1" t="s">
        <v>1287</v>
      </c>
      <c r="B890" s="19">
        <v>46182</v>
      </c>
      <c r="J890" s="1">
        <v>6326</v>
      </c>
    </row>
    <row r="891" spans="1:10" ht="30" customHeight="1" x14ac:dyDescent="0.25">
      <c r="A891" s="1" t="s">
        <v>1288</v>
      </c>
      <c r="B891" s="19">
        <v>46182</v>
      </c>
      <c r="J891" s="1">
        <v>6327</v>
      </c>
    </row>
    <row r="892" spans="1:10" ht="30" customHeight="1" x14ac:dyDescent="0.25">
      <c r="A892" s="1" t="s">
        <v>1289</v>
      </c>
      <c r="B892" s="19">
        <v>46182</v>
      </c>
      <c r="J892" s="1">
        <v>6328</v>
      </c>
    </row>
    <row r="893" spans="1:10" ht="30" customHeight="1" x14ac:dyDescent="0.25">
      <c r="A893" s="1" t="s">
        <v>1290</v>
      </c>
      <c r="B893" s="19">
        <v>46182</v>
      </c>
      <c r="J893" s="1">
        <v>6329</v>
      </c>
    </row>
    <row r="894" spans="1:10" ht="30" customHeight="1" x14ac:dyDescent="0.25">
      <c r="A894" s="1" t="s">
        <v>1291</v>
      </c>
      <c r="B894" s="19">
        <v>46182</v>
      </c>
      <c r="J894" s="1">
        <v>6330</v>
      </c>
    </row>
    <row r="895" spans="1:10" ht="30" customHeight="1" x14ac:dyDescent="0.25">
      <c r="A895" s="1" t="s">
        <v>1292</v>
      </c>
      <c r="B895" s="19">
        <v>46182</v>
      </c>
      <c r="J895" s="1">
        <v>6331</v>
      </c>
    </row>
    <row r="896" spans="1:10" ht="30" customHeight="1" x14ac:dyDescent="0.25">
      <c r="A896" s="1" t="s">
        <v>1293</v>
      </c>
      <c r="B896" s="19">
        <v>46182</v>
      </c>
      <c r="J896" s="1">
        <v>6332</v>
      </c>
    </row>
    <row r="897" spans="1:10" ht="30" customHeight="1" x14ac:dyDescent="0.25">
      <c r="A897" s="1" t="s">
        <v>1294</v>
      </c>
      <c r="B897" s="19">
        <v>46182</v>
      </c>
      <c r="J897" s="1">
        <v>6333</v>
      </c>
    </row>
    <row r="898" spans="1:10" ht="30" customHeight="1" x14ac:dyDescent="0.25">
      <c r="A898" s="1" t="s">
        <v>1295</v>
      </c>
      <c r="B898" s="19">
        <v>46182</v>
      </c>
      <c r="J898" s="1">
        <v>6334</v>
      </c>
    </row>
    <row r="899" spans="1:10" ht="30" customHeight="1" x14ac:dyDescent="0.25">
      <c r="A899" s="1" t="s">
        <v>1296</v>
      </c>
      <c r="B899" s="19">
        <v>46182</v>
      </c>
      <c r="J899" s="1">
        <v>6335</v>
      </c>
    </row>
    <row r="900" spans="1:10" ht="30" customHeight="1" x14ac:dyDescent="0.25">
      <c r="A900" s="1" t="s">
        <v>1297</v>
      </c>
      <c r="B900" s="19">
        <v>46182</v>
      </c>
      <c r="J900" s="1">
        <v>6336</v>
      </c>
    </row>
    <row r="901" spans="1:10" ht="30" customHeight="1" x14ac:dyDescent="0.25">
      <c r="A901" s="1" t="s">
        <v>1298</v>
      </c>
      <c r="B901" s="19">
        <v>46182</v>
      </c>
      <c r="J901" s="1">
        <v>6337</v>
      </c>
    </row>
    <row r="902" spans="1:10" ht="30" customHeight="1" x14ac:dyDescent="0.25">
      <c r="A902" s="1" t="s">
        <v>1299</v>
      </c>
      <c r="B902" s="19">
        <v>46182</v>
      </c>
      <c r="J902" s="1">
        <v>6338</v>
      </c>
    </row>
    <row r="903" spans="1:10" ht="30" customHeight="1" x14ac:dyDescent="0.25">
      <c r="A903" s="1" t="s">
        <v>1300</v>
      </c>
      <c r="B903" s="19">
        <v>46182</v>
      </c>
      <c r="J903" s="1">
        <v>6339</v>
      </c>
    </row>
    <row r="904" spans="1:10" ht="30" customHeight="1" x14ac:dyDescent="0.25">
      <c r="A904" s="1" t="s">
        <v>1301</v>
      </c>
      <c r="B904" s="19">
        <v>46182</v>
      </c>
      <c r="J904" s="1">
        <v>6340</v>
      </c>
    </row>
    <row r="905" spans="1:10" ht="30" customHeight="1" x14ac:dyDescent="0.25">
      <c r="A905" s="1" t="s">
        <v>1302</v>
      </c>
      <c r="B905" s="19">
        <v>46182</v>
      </c>
      <c r="J905" s="1">
        <v>6341</v>
      </c>
    </row>
    <row r="906" spans="1:10" ht="30" customHeight="1" x14ac:dyDescent="0.25">
      <c r="A906" s="1" t="s">
        <v>1303</v>
      </c>
      <c r="B906" s="19">
        <v>46182</v>
      </c>
      <c r="J906" s="1">
        <v>6342</v>
      </c>
    </row>
    <row r="907" spans="1:10" ht="30" customHeight="1" x14ac:dyDescent="0.25">
      <c r="A907" s="1" t="s">
        <v>1304</v>
      </c>
      <c r="B907" s="19">
        <v>46182</v>
      </c>
      <c r="J907" s="1">
        <v>6343</v>
      </c>
    </row>
    <row r="908" spans="1:10" ht="30" customHeight="1" x14ac:dyDescent="0.25">
      <c r="A908" s="1" t="s">
        <v>1305</v>
      </c>
      <c r="B908" s="19">
        <v>46182</v>
      </c>
      <c r="J908" s="1">
        <v>6344</v>
      </c>
    </row>
    <row r="909" spans="1:10" ht="30" customHeight="1" x14ac:dyDescent="0.25">
      <c r="A909" s="1" t="s">
        <v>1306</v>
      </c>
      <c r="B909" s="19">
        <v>46182</v>
      </c>
      <c r="J909" s="1">
        <v>6345</v>
      </c>
    </row>
    <row r="910" spans="1:10" ht="30" customHeight="1" x14ac:dyDescent="0.25">
      <c r="A910" s="1" t="s">
        <v>1307</v>
      </c>
      <c r="B910" s="19">
        <v>46182</v>
      </c>
      <c r="J910" s="1">
        <v>6346</v>
      </c>
    </row>
    <row r="911" spans="1:10" ht="30" customHeight="1" x14ac:dyDescent="0.25">
      <c r="A911" s="1" t="s">
        <v>1308</v>
      </c>
      <c r="B911" s="19">
        <v>46182</v>
      </c>
      <c r="J911" s="1">
        <v>6347</v>
      </c>
    </row>
    <row r="912" spans="1:10" ht="30" customHeight="1" x14ac:dyDescent="0.25">
      <c r="A912" s="1" t="s">
        <v>1309</v>
      </c>
      <c r="B912" s="19">
        <v>46182</v>
      </c>
      <c r="J912" s="1">
        <v>6348</v>
      </c>
    </row>
    <row r="913" spans="1:10" ht="30" customHeight="1" x14ac:dyDescent="0.25">
      <c r="A913" s="1" t="s">
        <v>1310</v>
      </c>
      <c r="B913" s="19">
        <v>46182</v>
      </c>
      <c r="J913" s="1">
        <v>6349</v>
      </c>
    </row>
    <row r="914" spans="1:10" ht="30" customHeight="1" x14ac:dyDescent="0.25">
      <c r="A914" s="1" t="s">
        <v>1311</v>
      </c>
      <c r="B914" s="19">
        <v>46182</v>
      </c>
      <c r="J914" s="1">
        <v>6350</v>
      </c>
    </row>
    <row r="915" spans="1:10" ht="30" customHeight="1" x14ac:dyDescent="0.25">
      <c r="A915" s="1" t="s">
        <v>1312</v>
      </c>
      <c r="B915" s="19">
        <v>46182</v>
      </c>
      <c r="J915" s="1">
        <v>6351</v>
      </c>
    </row>
    <row r="916" spans="1:10" ht="30" customHeight="1" x14ac:dyDescent="0.25">
      <c r="A916" s="1" t="s">
        <v>1313</v>
      </c>
      <c r="B916" s="19">
        <v>46182</v>
      </c>
      <c r="J916" s="1">
        <v>6352</v>
      </c>
    </row>
    <row r="917" spans="1:10" ht="30" customHeight="1" x14ac:dyDescent="0.25">
      <c r="A917" s="1" t="s">
        <v>1314</v>
      </c>
      <c r="B917" s="19">
        <v>46182</v>
      </c>
      <c r="J917" s="1">
        <v>6353</v>
      </c>
    </row>
    <row r="918" spans="1:10" ht="30" customHeight="1" x14ac:dyDescent="0.25">
      <c r="A918" s="1" t="s">
        <v>1315</v>
      </c>
      <c r="B918" s="19">
        <v>46182</v>
      </c>
      <c r="J918" s="1">
        <v>6354</v>
      </c>
    </row>
    <row r="919" spans="1:10" ht="30" customHeight="1" x14ac:dyDescent="0.25">
      <c r="A919" s="1" t="s">
        <v>1316</v>
      </c>
      <c r="B919" s="19">
        <v>46182</v>
      </c>
      <c r="J919" s="1">
        <v>6355</v>
      </c>
    </row>
    <row r="920" spans="1:10" ht="30" customHeight="1" x14ac:dyDescent="0.25">
      <c r="A920" s="1" t="s">
        <v>1317</v>
      </c>
      <c r="B920" s="19">
        <v>46182</v>
      </c>
      <c r="J920" s="1">
        <v>6356</v>
      </c>
    </row>
    <row r="921" spans="1:10" ht="30" customHeight="1" x14ac:dyDescent="0.25">
      <c r="A921" s="1" t="s">
        <v>1318</v>
      </c>
      <c r="B921" s="19">
        <v>46182</v>
      </c>
      <c r="J921" s="1">
        <v>6357</v>
      </c>
    </row>
    <row r="922" spans="1:10" ht="30" customHeight="1" x14ac:dyDescent="0.25">
      <c r="A922" s="1" t="s">
        <v>1319</v>
      </c>
      <c r="B922" s="19">
        <v>46182</v>
      </c>
      <c r="J922" s="1">
        <v>6358</v>
      </c>
    </row>
    <row r="923" spans="1:10" ht="30" customHeight="1" x14ac:dyDescent="0.25">
      <c r="A923" s="1" t="s">
        <v>1320</v>
      </c>
      <c r="B923" s="19">
        <v>46182</v>
      </c>
      <c r="J923" s="1">
        <v>6359</v>
      </c>
    </row>
    <row r="924" spans="1:10" ht="30" customHeight="1" x14ac:dyDescent="0.25">
      <c r="A924" s="1" t="s">
        <v>1321</v>
      </c>
      <c r="B924" s="19">
        <v>46182</v>
      </c>
      <c r="J924" s="1">
        <v>6360</v>
      </c>
    </row>
    <row r="925" spans="1:10" ht="30" customHeight="1" x14ac:dyDescent="0.25">
      <c r="A925" s="1" t="s">
        <v>1322</v>
      </c>
      <c r="B925" s="19">
        <v>46182</v>
      </c>
      <c r="J925" s="1">
        <v>6361</v>
      </c>
    </row>
    <row r="926" spans="1:10" ht="30" customHeight="1" x14ac:dyDescent="0.25">
      <c r="A926" s="1" t="s">
        <v>1323</v>
      </c>
      <c r="B926" s="19">
        <v>46182</v>
      </c>
      <c r="J926" s="1">
        <v>6362</v>
      </c>
    </row>
    <row r="927" spans="1:10" ht="30" customHeight="1" x14ac:dyDescent="0.25">
      <c r="A927" s="1" t="s">
        <v>1324</v>
      </c>
      <c r="B927" s="19">
        <v>46182</v>
      </c>
      <c r="J927" s="1">
        <v>6363</v>
      </c>
    </row>
    <row r="928" spans="1:10" ht="30" customHeight="1" x14ac:dyDescent="0.25">
      <c r="A928" s="1" t="s">
        <v>1325</v>
      </c>
      <c r="B928" s="19">
        <v>46182</v>
      </c>
      <c r="J928" s="1">
        <v>6364</v>
      </c>
    </row>
    <row r="929" spans="1:10" ht="30" customHeight="1" x14ac:dyDescent="0.25">
      <c r="A929" s="1" t="s">
        <v>1326</v>
      </c>
      <c r="B929" s="19">
        <v>46182</v>
      </c>
      <c r="J929" s="1">
        <v>6365</v>
      </c>
    </row>
    <row r="930" spans="1:10" ht="30" customHeight="1" x14ac:dyDescent="0.25">
      <c r="A930" s="1" t="s">
        <v>1327</v>
      </c>
      <c r="B930" s="19">
        <v>46182</v>
      </c>
      <c r="J930" s="1">
        <v>6366</v>
      </c>
    </row>
    <row r="931" spans="1:10" ht="30" customHeight="1" x14ac:dyDescent="0.25">
      <c r="A931" s="1" t="s">
        <v>1328</v>
      </c>
      <c r="B931" s="19">
        <v>46182</v>
      </c>
      <c r="J931" s="1">
        <v>6367</v>
      </c>
    </row>
    <row r="932" spans="1:10" ht="30" customHeight="1" x14ac:dyDescent="0.25">
      <c r="A932" s="1" t="s">
        <v>1329</v>
      </c>
      <c r="B932" s="19">
        <v>46182</v>
      </c>
      <c r="J932" s="1">
        <v>6368</v>
      </c>
    </row>
    <row r="933" spans="1:10" ht="30" customHeight="1" x14ac:dyDescent="0.25">
      <c r="A933" s="1" t="s">
        <v>1330</v>
      </c>
      <c r="B933" s="19">
        <v>46182</v>
      </c>
      <c r="J933" s="1">
        <v>6369</v>
      </c>
    </row>
    <row r="934" spans="1:10" ht="30" customHeight="1" x14ac:dyDescent="0.25">
      <c r="A934" s="1" t="s">
        <v>1331</v>
      </c>
      <c r="B934" s="19">
        <v>46182</v>
      </c>
      <c r="J934" s="1">
        <v>6370</v>
      </c>
    </row>
    <row r="935" spans="1:10" ht="30" customHeight="1" x14ac:dyDescent="0.25">
      <c r="A935" s="1" t="s">
        <v>1332</v>
      </c>
      <c r="B935" s="19">
        <v>46182</v>
      </c>
      <c r="J935" s="1">
        <v>6371</v>
      </c>
    </row>
    <row r="936" spans="1:10" ht="30" customHeight="1" x14ac:dyDescent="0.25">
      <c r="A936" s="1" t="s">
        <v>1333</v>
      </c>
      <c r="B936" s="19">
        <v>46182</v>
      </c>
      <c r="J936" s="1">
        <v>6372</v>
      </c>
    </row>
    <row r="937" spans="1:10" ht="30" customHeight="1" x14ac:dyDescent="0.25">
      <c r="A937" s="1" t="s">
        <v>1334</v>
      </c>
      <c r="B937" s="19">
        <v>46182</v>
      </c>
      <c r="J937" s="1">
        <v>6373</v>
      </c>
    </row>
    <row r="938" spans="1:10" ht="30" customHeight="1" x14ac:dyDescent="0.25">
      <c r="A938" s="1" t="s">
        <v>1335</v>
      </c>
      <c r="B938" s="19">
        <v>46182</v>
      </c>
      <c r="J938" s="1">
        <v>6374</v>
      </c>
    </row>
    <row r="939" spans="1:10" ht="30" customHeight="1" x14ac:dyDescent="0.25">
      <c r="A939" s="1" t="s">
        <v>1336</v>
      </c>
      <c r="B939" s="19">
        <v>46182</v>
      </c>
      <c r="J939" s="1">
        <v>6375</v>
      </c>
    </row>
    <row r="940" spans="1:10" ht="30" customHeight="1" x14ac:dyDescent="0.25">
      <c r="A940" s="1" t="s">
        <v>1337</v>
      </c>
      <c r="B940" s="19">
        <v>46182</v>
      </c>
      <c r="J940" s="1">
        <v>6376</v>
      </c>
    </row>
    <row r="941" spans="1:10" ht="30" customHeight="1" x14ac:dyDescent="0.25">
      <c r="A941" s="1" t="s">
        <v>1338</v>
      </c>
      <c r="B941" s="19">
        <v>46182</v>
      </c>
      <c r="J941" s="1">
        <v>6377</v>
      </c>
    </row>
    <row r="942" spans="1:10" ht="30" customHeight="1" x14ac:dyDescent="0.25">
      <c r="A942" s="1" t="s">
        <v>1339</v>
      </c>
      <c r="B942" s="19">
        <v>46182</v>
      </c>
      <c r="J942" s="1">
        <v>6378</v>
      </c>
    </row>
    <row r="943" spans="1:10" ht="30" customHeight="1" x14ac:dyDescent="0.25">
      <c r="A943" s="1" t="s">
        <v>1340</v>
      </c>
      <c r="B943" s="19">
        <v>46182</v>
      </c>
      <c r="J943" s="1">
        <v>6379</v>
      </c>
    </row>
    <row r="944" spans="1:10" ht="30" customHeight="1" x14ac:dyDescent="0.25">
      <c r="A944" s="1" t="s">
        <v>1341</v>
      </c>
      <c r="B944" s="19">
        <v>46182</v>
      </c>
      <c r="J944" s="1">
        <v>6380</v>
      </c>
    </row>
    <row r="945" spans="1:10" ht="30" customHeight="1" x14ac:dyDescent="0.25">
      <c r="A945" s="1" t="s">
        <v>1342</v>
      </c>
      <c r="B945" s="19">
        <v>46182</v>
      </c>
      <c r="J945" s="1">
        <v>6381</v>
      </c>
    </row>
    <row r="946" spans="1:10" ht="30" customHeight="1" x14ac:dyDescent="0.25">
      <c r="A946" s="1" t="s">
        <v>1343</v>
      </c>
      <c r="B946" s="19">
        <v>46182</v>
      </c>
      <c r="J946" s="1">
        <v>6382</v>
      </c>
    </row>
    <row r="947" spans="1:10" ht="30" customHeight="1" x14ac:dyDescent="0.25">
      <c r="A947" s="1" t="s">
        <v>1344</v>
      </c>
      <c r="B947" s="19">
        <v>46182</v>
      </c>
      <c r="J947" s="1">
        <v>6383</v>
      </c>
    </row>
    <row r="948" spans="1:10" ht="30" customHeight="1" x14ac:dyDescent="0.25">
      <c r="A948" s="1" t="s">
        <v>1345</v>
      </c>
      <c r="B948" s="19">
        <v>46182</v>
      </c>
      <c r="J948" s="1">
        <v>6384</v>
      </c>
    </row>
    <row r="949" spans="1:10" ht="30" customHeight="1" x14ac:dyDescent="0.25">
      <c r="A949" s="1" t="s">
        <v>1346</v>
      </c>
      <c r="B949" s="19">
        <v>46182</v>
      </c>
      <c r="J949" s="1">
        <v>6385</v>
      </c>
    </row>
    <row r="950" spans="1:10" ht="30" customHeight="1" x14ac:dyDescent="0.25">
      <c r="A950" s="1" t="s">
        <v>1347</v>
      </c>
      <c r="B950" s="19">
        <v>46182</v>
      </c>
      <c r="J950" s="1">
        <v>6386</v>
      </c>
    </row>
    <row r="951" spans="1:10" ht="30" customHeight="1" x14ac:dyDescent="0.25">
      <c r="A951" s="1" t="s">
        <v>1348</v>
      </c>
      <c r="B951" s="19">
        <v>46182</v>
      </c>
      <c r="J951" s="1">
        <v>6387</v>
      </c>
    </row>
    <row r="952" spans="1:10" ht="30" customHeight="1" x14ac:dyDescent="0.25">
      <c r="A952" s="1" t="s">
        <v>1349</v>
      </c>
      <c r="B952" s="19">
        <v>46182</v>
      </c>
      <c r="J952" s="1">
        <v>6388</v>
      </c>
    </row>
    <row r="953" spans="1:10" ht="30" customHeight="1" x14ac:dyDescent="0.25">
      <c r="A953" s="1" t="s">
        <v>1350</v>
      </c>
      <c r="B953" s="19">
        <v>46182</v>
      </c>
      <c r="J953" s="1">
        <v>6389</v>
      </c>
    </row>
    <row r="954" spans="1:10" ht="30" customHeight="1" x14ac:dyDescent="0.25">
      <c r="A954" s="1" t="s">
        <v>1351</v>
      </c>
      <c r="B954" s="19">
        <v>46182</v>
      </c>
      <c r="J954" s="1">
        <v>6390</v>
      </c>
    </row>
    <row r="955" spans="1:10" ht="30" customHeight="1" x14ac:dyDescent="0.25">
      <c r="A955" s="1" t="s">
        <v>1352</v>
      </c>
      <c r="B955" s="19">
        <v>46182</v>
      </c>
      <c r="J955" s="1">
        <v>6391</v>
      </c>
    </row>
    <row r="956" spans="1:10" ht="30" customHeight="1" x14ac:dyDescent="0.25">
      <c r="A956" s="1" t="s">
        <v>1353</v>
      </c>
      <c r="B956" s="19">
        <v>46182</v>
      </c>
      <c r="J956" s="1">
        <v>6392</v>
      </c>
    </row>
    <row r="957" spans="1:10" ht="30" customHeight="1" x14ac:dyDescent="0.25">
      <c r="A957" s="1" t="s">
        <v>1354</v>
      </c>
      <c r="B957" s="19">
        <v>46182</v>
      </c>
      <c r="J957" s="1">
        <v>6393</v>
      </c>
    </row>
    <row r="958" spans="1:10" ht="30" customHeight="1" x14ac:dyDescent="0.25">
      <c r="A958" s="1" t="s">
        <v>1355</v>
      </c>
      <c r="B958" s="19">
        <v>46182</v>
      </c>
      <c r="J958" s="1">
        <v>6394</v>
      </c>
    </row>
    <row r="959" spans="1:10" ht="30" customHeight="1" x14ac:dyDescent="0.25">
      <c r="A959" s="1" t="s">
        <v>1356</v>
      </c>
      <c r="B959" s="19">
        <v>46182</v>
      </c>
      <c r="J959" s="1">
        <v>6395</v>
      </c>
    </row>
    <row r="960" spans="1:10" ht="30" customHeight="1" x14ac:dyDescent="0.25">
      <c r="A960" s="1" t="s">
        <v>1357</v>
      </c>
      <c r="B960" s="19">
        <v>46182</v>
      </c>
      <c r="J960" s="1">
        <v>6396</v>
      </c>
    </row>
    <row r="961" spans="1:10" ht="30" customHeight="1" x14ac:dyDescent="0.25">
      <c r="A961" s="1" t="s">
        <v>1358</v>
      </c>
      <c r="B961" s="19">
        <v>46182</v>
      </c>
      <c r="J961" s="1">
        <v>6397</v>
      </c>
    </row>
    <row r="962" spans="1:10" ht="30" customHeight="1" x14ac:dyDescent="0.25">
      <c r="A962" s="1" t="s">
        <v>1359</v>
      </c>
      <c r="B962" s="19">
        <v>46182</v>
      </c>
      <c r="J962" s="1">
        <v>6398</v>
      </c>
    </row>
    <row r="963" spans="1:10" ht="30" customHeight="1" x14ac:dyDescent="0.25">
      <c r="A963" s="1" t="s">
        <v>1360</v>
      </c>
      <c r="B963" s="19">
        <v>46182</v>
      </c>
      <c r="J963" s="1">
        <v>6399</v>
      </c>
    </row>
    <row r="964" spans="1:10" ht="30" customHeight="1" x14ac:dyDescent="0.25">
      <c r="A964" s="1" t="s">
        <v>1361</v>
      </c>
      <c r="B964" s="19">
        <v>46182</v>
      </c>
      <c r="J964" s="1">
        <v>6400</v>
      </c>
    </row>
    <row r="965" spans="1:10" ht="30" customHeight="1" x14ac:dyDescent="0.25">
      <c r="A965" s="1" t="s">
        <v>1362</v>
      </c>
      <c r="B965" s="19">
        <v>46182</v>
      </c>
      <c r="J965" s="1">
        <v>6401</v>
      </c>
    </row>
    <row r="966" spans="1:10" ht="30" customHeight="1" x14ac:dyDescent="0.25">
      <c r="A966" s="1" t="s">
        <v>1363</v>
      </c>
      <c r="B966" s="19">
        <v>46182</v>
      </c>
      <c r="J966" s="1">
        <v>6402</v>
      </c>
    </row>
    <row r="967" spans="1:10" ht="30" customHeight="1" x14ac:dyDescent="0.25">
      <c r="A967" s="1" t="s">
        <v>1364</v>
      </c>
      <c r="B967" s="19">
        <v>46182</v>
      </c>
      <c r="J967" s="1">
        <v>6403</v>
      </c>
    </row>
    <row r="968" spans="1:10" ht="30" customHeight="1" x14ac:dyDescent="0.25">
      <c r="A968" s="1" t="s">
        <v>1365</v>
      </c>
      <c r="B968" s="19">
        <v>46182</v>
      </c>
      <c r="J968" s="1">
        <v>6404</v>
      </c>
    </row>
    <row r="969" spans="1:10" ht="30" customHeight="1" x14ac:dyDescent="0.25">
      <c r="A969" s="1" t="s">
        <v>1366</v>
      </c>
      <c r="B969" s="19">
        <v>46182</v>
      </c>
      <c r="J969" s="1">
        <v>6405</v>
      </c>
    </row>
    <row r="970" spans="1:10" ht="30" customHeight="1" x14ac:dyDescent="0.25">
      <c r="A970" s="1" t="s">
        <v>1367</v>
      </c>
      <c r="B970" s="19">
        <v>46182</v>
      </c>
      <c r="J970" s="1">
        <v>6406</v>
      </c>
    </row>
    <row r="971" spans="1:10" ht="30" customHeight="1" x14ac:dyDescent="0.25">
      <c r="A971" s="1" t="s">
        <v>1368</v>
      </c>
      <c r="B971" s="19">
        <v>46182</v>
      </c>
      <c r="J971" s="1">
        <v>6407</v>
      </c>
    </row>
    <row r="972" spans="1:10" ht="30" customHeight="1" x14ac:dyDescent="0.25">
      <c r="A972" s="1" t="s">
        <v>1369</v>
      </c>
      <c r="B972" s="19">
        <v>46182</v>
      </c>
      <c r="J972" s="1">
        <v>6408</v>
      </c>
    </row>
    <row r="973" spans="1:10" ht="30" customHeight="1" x14ac:dyDescent="0.25">
      <c r="A973" s="1" t="s">
        <v>1370</v>
      </c>
      <c r="B973" s="19">
        <v>46182</v>
      </c>
      <c r="J973" s="1">
        <v>6409</v>
      </c>
    </row>
    <row r="974" spans="1:10" ht="30" customHeight="1" x14ac:dyDescent="0.25">
      <c r="A974" s="1" t="s">
        <v>1371</v>
      </c>
      <c r="B974" s="19">
        <v>46182</v>
      </c>
      <c r="J974" s="1">
        <v>6410</v>
      </c>
    </row>
    <row r="975" spans="1:10" ht="30" customHeight="1" x14ac:dyDescent="0.25">
      <c r="A975" s="1" t="s">
        <v>1372</v>
      </c>
      <c r="B975" s="19">
        <v>46182</v>
      </c>
      <c r="J975" s="1">
        <v>6411</v>
      </c>
    </row>
    <row r="976" spans="1:10" ht="30" customHeight="1" x14ac:dyDescent="0.25">
      <c r="A976" s="1" t="s">
        <v>1373</v>
      </c>
      <c r="B976" s="19">
        <v>46182</v>
      </c>
      <c r="J976" s="1">
        <v>6412</v>
      </c>
    </row>
    <row r="977" spans="1:10" ht="30" customHeight="1" x14ac:dyDescent="0.25">
      <c r="A977" s="1" t="s">
        <v>1374</v>
      </c>
      <c r="B977" s="19">
        <v>46182</v>
      </c>
      <c r="J977" s="1">
        <v>6413</v>
      </c>
    </row>
    <row r="978" spans="1:10" ht="30" customHeight="1" x14ac:dyDescent="0.25">
      <c r="A978" s="1" t="s">
        <v>1375</v>
      </c>
      <c r="B978" s="19">
        <v>46182</v>
      </c>
      <c r="J978" s="1">
        <v>6414</v>
      </c>
    </row>
    <row r="979" spans="1:10" ht="30" customHeight="1" x14ac:dyDescent="0.25">
      <c r="A979" s="1" t="s">
        <v>1376</v>
      </c>
      <c r="B979" s="19">
        <v>46182</v>
      </c>
      <c r="J979" s="1">
        <v>6415</v>
      </c>
    </row>
    <row r="980" spans="1:10" ht="30" customHeight="1" x14ac:dyDescent="0.25">
      <c r="A980" s="1" t="s">
        <v>1377</v>
      </c>
      <c r="B980" s="19">
        <v>46182</v>
      </c>
      <c r="J980" s="1">
        <v>6416</v>
      </c>
    </row>
    <row r="981" spans="1:10" ht="30" customHeight="1" x14ac:dyDescent="0.25">
      <c r="A981" s="1" t="s">
        <v>1378</v>
      </c>
      <c r="B981" s="19">
        <v>46182</v>
      </c>
      <c r="J981" s="1">
        <v>6417</v>
      </c>
    </row>
    <row r="982" spans="1:10" ht="30" customHeight="1" x14ac:dyDescent="0.25">
      <c r="A982" s="1" t="s">
        <v>1379</v>
      </c>
      <c r="B982" s="19">
        <v>46182</v>
      </c>
      <c r="J982" s="1">
        <v>6418</v>
      </c>
    </row>
    <row r="983" spans="1:10" ht="30" customHeight="1" x14ac:dyDescent="0.25">
      <c r="A983" s="1" t="s">
        <v>1380</v>
      </c>
      <c r="B983" s="19">
        <v>46182</v>
      </c>
      <c r="J983" s="1">
        <v>6419</v>
      </c>
    </row>
    <row r="984" spans="1:10" ht="30" customHeight="1" x14ac:dyDescent="0.25">
      <c r="A984" s="1" t="s">
        <v>1381</v>
      </c>
      <c r="B984" s="19">
        <v>46182</v>
      </c>
      <c r="J984" s="1">
        <v>6420</v>
      </c>
    </row>
    <row r="985" spans="1:10" ht="30" customHeight="1" x14ac:dyDescent="0.25">
      <c r="A985" s="1" t="s">
        <v>1382</v>
      </c>
      <c r="B985" s="19">
        <v>46182</v>
      </c>
      <c r="J985" s="1">
        <v>6421</v>
      </c>
    </row>
    <row r="986" spans="1:10" ht="30" customHeight="1" x14ac:dyDescent="0.25">
      <c r="A986" s="1" t="s">
        <v>1383</v>
      </c>
      <c r="B986" s="19">
        <v>46182</v>
      </c>
      <c r="J986" s="1">
        <v>6422</v>
      </c>
    </row>
    <row r="987" spans="1:10" ht="30" customHeight="1" x14ac:dyDescent="0.25">
      <c r="A987" s="1" t="s">
        <v>1384</v>
      </c>
      <c r="B987" s="19">
        <v>46182</v>
      </c>
      <c r="J987" s="1">
        <v>6423</v>
      </c>
    </row>
    <row r="988" spans="1:10" ht="30" customHeight="1" x14ac:dyDescent="0.25">
      <c r="A988" s="1" t="s">
        <v>1385</v>
      </c>
      <c r="B988" s="19">
        <v>46182</v>
      </c>
      <c r="J988" s="1">
        <v>6424</v>
      </c>
    </row>
    <row r="989" spans="1:10" ht="30" customHeight="1" x14ac:dyDescent="0.25">
      <c r="A989" s="1" t="s">
        <v>1386</v>
      </c>
      <c r="B989" s="19">
        <v>46182</v>
      </c>
      <c r="J989" s="1">
        <v>6425</v>
      </c>
    </row>
    <row r="990" spans="1:10" ht="30" customHeight="1" x14ac:dyDescent="0.25">
      <c r="A990" s="1" t="s">
        <v>1387</v>
      </c>
      <c r="B990" s="19">
        <v>46182</v>
      </c>
      <c r="J990" s="1">
        <v>6426</v>
      </c>
    </row>
    <row r="991" spans="1:10" ht="30" customHeight="1" x14ac:dyDescent="0.25">
      <c r="A991" s="1" t="s">
        <v>1388</v>
      </c>
      <c r="B991" s="19">
        <v>46182</v>
      </c>
      <c r="J991" s="1">
        <v>6427</v>
      </c>
    </row>
    <row r="992" spans="1:10" ht="30" customHeight="1" x14ac:dyDescent="0.25">
      <c r="A992" s="1" t="s">
        <v>1389</v>
      </c>
      <c r="B992" s="19">
        <v>46182</v>
      </c>
      <c r="J992" s="1">
        <v>6428</v>
      </c>
    </row>
    <row r="993" spans="1:10" ht="30" customHeight="1" x14ac:dyDescent="0.25">
      <c r="A993" s="1" t="s">
        <v>1390</v>
      </c>
      <c r="B993" s="19">
        <v>46182</v>
      </c>
      <c r="J993" s="1">
        <v>6429</v>
      </c>
    </row>
    <row r="994" spans="1:10" ht="30" customHeight="1" x14ac:dyDescent="0.25">
      <c r="A994" s="1" t="s">
        <v>1391</v>
      </c>
      <c r="B994" s="19">
        <v>46182</v>
      </c>
      <c r="J994" s="1">
        <v>6430</v>
      </c>
    </row>
    <row r="995" spans="1:10" ht="30" customHeight="1" x14ac:dyDescent="0.25">
      <c r="A995" s="1" t="s">
        <v>1392</v>
      </c>
      <c r="B995" s="19">
        <v>46182</v>
      </c>
      <c r="J995" s="1">
        <v>6431</v>
      </c>
    </row>
    <row r="996" spans="1:10" ht="30" customHeight="1" x14ac:dyDescent="0.25">
      <c r="A996" s="1" t="s">
        <v>1393</v>
      </c>
      <c r="B996" s="19">
        <v>46182</v>
      </c>
      <c r="J996" s="1">
        <v>6432</v>
      </c>
    </row>
    <row r="997" spans="1:10" ht="30" customHeight="1" x14ac:dyDescent="0.25">
      <c r="A997" s="1" t="s">
        <v>1394</v>
      </c>
      <c r="B997" s="19">
        <v>46182</v>
      </c>
      <c r="J997" s="1">
        <v>6433</v>
      </c>
    </row>
    <row r="998" spans="1:10" ht="30" customHeight="1" x14ac:dyDescent="0.25">
      <c r="A998" s="1" t="s">
        <v>1395</v>
      </c>
      <c r="B998" s="19">
        <v>46182</v>
      </c>
      <c r="J998" s="1">
        <v>6434</v>
      </c>
    </row>
    <row r="999" spans="1:10" ht="30" customHeight="1" x14ac:dyDescent="0.25">
      <c r="A999" s="1" t="s">
        <v>1396</v>
      </c>
      <c r="B999" s="19">
        <v>46182</v>
      </c>
      <c r="J999" s="1">
        <v>6435</v>
      </c>
    </row>
    <row r="1000" spans="1:10" ht="30" customHeight="1" x14ac:dyDescent="0.25">
      <c r="A1000" s="1" t="s">
        <v>1397</v>
      </c>
      <c r="B1000" s="19">
        <v>46182</v>
      </c>
      <c r="J1000" s="1">
        <v>6436</v>
      </c>
    </row>
    <row r="1001" spans="1:10" ht="30" customHeight="1" x14ac:dyDescent="0.25">
      <c r="A1001" s="1" t="s">
        <v>1398</v>
      </c>
      <c r="B1001" s="19">
        <v>46182</v>
      </c>
      <c r="J1001" s="1">
        <v>6437</v>
      </c>
    </row>
    <row r="1002" spans="1:10" ht="30" customHeight="1" x14ac:dyDescent="0.25">
      <c r="A1002" s="1" t="s">
        <v>1399</v>
      </c>
      <c r="B1002" s="19">
        <v>46182</v>
      </c>
      <c r="J1002" s="1">
        <v>6438</v>
      </c>
    </row>
    <row r="1003" spans="1:10" ht="30" customHeight="1" x14ac:dyDescent="0.25">
      <c r="A1003" s="1" t="s">
        <v>1400</v>
      </c>
      <c r="B1003" s="19">
        <v>46182</v>
      </c>
      <c r="J1003" s="1">
        <v>6439</v>
      </c>
    </row>
    <row r="1004" spans="1:10" ht="30" customHeight="1" x14ac:dyDescent="0.25">
      <c r="A1004" s="1" t="s">
        <v>1401</v>
      </c>
      <c r="B1004" s="19">
        <v>46182</v>
      </c>
      <c r="J1004" s="1">
        <v>6440</v>
      </c>
    </row>
    <row r="1005" spans="1:10" ht="30" customHeight="1" x14ac:dyDescent="0.25">
      <c r="A1005" s="1" t="s">
        <v>1402</v>
      </c>
      <c r="B1005" s="19">
        <v>46182</v>
      </c>
      <c r="J1005" s="1">
        <v>6441</v>
      </c>
    </row>
    <row r="1006" spans="1:10" ht="30" customHeight="1" x14ac:dyDescent="0.25">
      <c r="A1006" s="1" t="s">
        <v>1403</v>
      </c>
      <c r="B1006" s="19">
        <v>46182</v>
      </c>
      <c r="J1006" s="1">
        <v>6442</v>
      </c>
    </row>
    <row r="1007" spans="1:10" ht="30" customHeight="1" x14ac:dyDescent="0.25">
      <c r="A1007" s="1" t="s">
        <v>1404</v>
      </c>
      <c r="B1007" s="19">
        <v>46182</v>
      </c>
      <c r="J1007" s="1">
        <v>6443</v>
      </c>
    </row>
    <row r="1008" spans="1:10" ht="30" customHeight="1" x14ac:dyDescent="0.25">
      <c r="A1008" s="1" t="s">
        <v>1405</v>
      </c>
      <c r="B1008" s="19">
        <v>46182</v>
      </c>
      <c r="J1008" s="1">
        <v>6444</v>
      </c>
    </row>
    <row r="1009" spans="1:10" ht="30" customHeight="1" x14ac:dyDescent="0.25">
      <c r="A1009" s="1" t="s">
        <v>1406</v>
      </c>
      <c r="B1009" s="19">
        <v>46182</v>
      </c>
      <c r="J1009" s="1">
        <v>6445</v>
      </c>
    </row>
    <row r="1010" spans="1:10" ht="30" customHeight="1" x14ac:dyDescent="0.25">
      <c r="A1010" s="1" t="s">
        <v>1407</v>
      </c>
      <c r="B1010" s="19">
        <v>46182</v>
      </c>
      <c r="J1010" s="1">
        <v>6446</v>
      </c>
    </row>
    <row r="1011" spans="1:10" ht="30" customHeight="1" x14ac:dyDescent="0.25">
      <c r="A1011" s="1" t="s">
        <v>1408</v>
      </c>
      <c r="B1011" s="19">
        <v>46182</v>
      </c>
      <c r="J1011" s="1">
        <v>6447</v>
      </c>
    </row>
    <row r="1012" spans="1:10" ht="30" customHeight="1" x14ac:dyDescent="0.25">
      <c r="A1012" s="1" t="s">
        <v>1409</v>
      </c>
      <c r="B1012" s="19">
        <v>46182</v>
      </c>
      <c r="J1012" s="1">
        <v>6448</v>
      </c>
    </row>
    <row r="1013" spans="1:10" ht="30" customHeight="1" x14ac:dyDescent="0.25">
      <c r="A1013" s="1" t="s">
        <v>1410</v>
      </c>
      <c r="B1013" s="19">
        <v>46182</v>
      </c>
      <c r="J1013" s="1">
        <v>6449</v>
      </c>
    </row>
    <row r="1014" spans="1:10" ht="30" customHeight="1" x14ac:dyDescent="0.25">
      <c r="A1014" s="1" t="s">
        <v>1411</v>
      </c>
      <c r="B1014" s="19">
        <v>46182</v>
      </c>
      <c r="J1014" s="1">
        <v>6450</v>
      </c>
    </row>
    <row r="1015" spans="1:10" ht="30" customHeight="1" x14ac:dyDescent="0.25">
      <c r="A1015" s="1" t="s">
        <v>1412</v>
      </c>
      <c r="B1015" s="19">
        <v>46182</v>
      </c>
      <c r="J1015" s="1">
        <v>6451</v>
      </c>
    </row>
    <row r="1016" spans="1:10" ht="30" customHeight="1" x14ac:dyDescent="0.25">
      <c r="A1016" s="1" t="s">
        <v>1413</v>
      </c>
      <c r="B1016" s="19">
        <v>46182</v>
      </c>
      <c r="J1016" s="1">
        <v>6452</v>
      </c>
    </row>
    <row r="1017" spans="1:10" ht="30" customHeight="1" x14ac:dyDescent="0.25">
      <c r="A1017" s="1" t="s">
        <v>1414</v>
      </c>
      <c r="B1017" s="19">
        <v>46182</v>
      </c>
      <c r="J1017" s="1">
        <v>6453</v>
      </c>
    </row>
    <row r="1018" spans="1:10" ht="30" customHeight="1" x14ac:dyDescent="0.25">
      <c r="A1018" s="1" t="s">
        <v>1415</v>
      </c>
      <c r="B1018" s="19">
        <v>46182</v>
      </c>
      <c r="J1018" s="1">
        <v>6454</v>
      </c>
    </row>
    <row r="1019" spans="1:10" ht="30" customHeight="1" x14ac:dyDescent="0.25">
      <c r="A1019" s="1" t="s">
        <v>1416</v>
      </c>
      <c r="B1019" s="19">
        <v>46182</v>
      </c>
      <c r="J1019" s="1">
        <v>6455</v>
      </c>
    </row>
    <row r="1020" spans="1:10" ht="30" customHeight="1" x14ac:dyDescent="0.25">
      <c r="A1020" s="1" t="s">
        <v>1417</v>
      </c>
      <c r="B1020" s="19">
        <v>46182</v>
      </c>
      <c r="J1020" s="1">
        <v>6456</v>
      </c>
    </row>
    <row r="1021" spans="1:10" ht="30" customHeight="1" x14ac:dyDescent="0.25">
      <c r="A1021" s="1" t="s">
        <v>1418</v>
      </c>
      <c r="B1021" s="19">
        <v>46182</v>
      </c>
      <c r="J1021" s="1">
        <v>6457</v>
      </c>
    </row>
    <row r="1022" spans="1:10" ht="30" customHeight="1" x14ac:dyDescent="0.25">
      <c r="A1022" s="1" t="s">
        <v>1419</v>
      </c>
      <c r="B1022" s="19">
        <v>46182</v>
      </c>
      <c r="J1022" s="1">
        <v>6458</v>
      </c>
    </row>
    <row r="1023" spans="1:10" ht="30" customHeight="1" x14ac:dyDescent="0.25">
      <c r="A1023" s="1" t="s">
        <v>1420</v>
      </c>
      <c r="B1023" s="19">
        <v>46182</v>
      </c>
      <c r="J1023" s="1">
        <v>6459</v>
      </c>
    </row>
    <row r="1024" spans="1:10" ht="30" customHeight="1" x14ac:dyDescent="0.25">
      <c r="A1024" s="1" t="s">
        <v>1421</v>
      </c>
      <c r="B1024" s="19">
        <v>46182</v>
      </c>
      <c r="J1024" s="1">
        <v>6460</v>
      </c>
    </row>
    <row r="1025" spans="1:10" ht="30" customHeight="1" x14ac:dyDescent="0.25">
      <c r="A1025" s="1" t="s">
        <v>1422</v>
      </c>
      <c r="B1025" s="19">
        <v>46182</v>
      </c>
      <c r="J1025" s="1">
        <v>6461</v>
      </c>
    </row>
    <row r="1026" spans="1:10" ht="30" customHeight="1" x14ac:dyDescent="0.25">
      <c r="A1026" s="1" t="s">
        <v>1423</v>
      </c>
      <c r="B1026" s="19">
        <v>46182</v>
      </c>
      <c r="J1026" s="1">
        <v>6462</v>
      </c>
    </row>
    <row r="1027" spans="1:10" ht="30" customHeight="1" x14ac:dyDescent="0.25">
      <c r="A1027" s="1" t="s">
        <v>1424</v>
      </c>
      <c r="B1027" s="19">
        <v>46182</v>
      </c>
      <c r="J1027" s="1">
        <v>6463</v>
      </c>
    </row>
    <row r="1028" spans="1:10" ht="30" customHeight="1" x14ac:dyDescent="0.25">
      <c r="A1028" s="1" t="s">
        <v>1425</v>
      </c>
      <c r="B1028" s="19">
        <v>46182</v>
      </c>
      <c r="J1028" s="1">
        <v>6464</v>
      </c>
    </row>
    <row r="1029" spans="1:10" ht="30" customHeight="1" x14ac:dyDescent="0.25">
      <c r="A1029" s="1" t="s">
        <v>1426</v>
      </c>
      <c r="B1029" s="19">
        <v>46182</v>
      </c>
      <c r="J1029" s="1">
        <v>6465</v>
      </c>
    </row>
    <row r="1030" spans="1:10" ht="30" customHeight="1" x14ac:dyDescent="0.25">
      <c r="A1030" s="1" t="s">
        <v>1427</v>
      </c>
      <c r="B1030" s="19">
        <v>46182</v>
      </c>
      <c r="J1030" s="1">
        <v>6466</v>
      </c>
    </row>
    <row r="1031" spans="1:10" ht="30" customHeight="1" x14ac:dyDescent="0.25">
      <c r="A1031" s="1" t="s">
        <v>1428</v>
      </c>
      <c r="B1031" s="19">
        <v>46182</v>
      </c>
      <c r="J1031" s="1">
        <v>6467</v>
      </c>
    </row>
    <row r="1032" spans="1:10" ht="30" customHeight="1" x14ac:dyDescent="0.25">
      <c r="A1032" s="1" t="s">
        <v>1429</v>
      </c>
      <c r="B1032" s="19">
        <v>46182</v>
      </c>
      <c r="J1032" s="1">
        <v>6468</v>
      </c>
    </row>
    <row r="1033" spans="1:10" ht="30" customHeight="1" x14ac:dyDescent="0.25">
      <c r="A1033" s="1" t="s">
        <v>1430</v>
      </c>
      <c r="B1033" s="19">
        <v>46182</v>
      </c>
      <c r="J1033" s="1">
        <v>6469</v>
      </c>
    </row>
    <row r="1034" spans="1:10" ht="30" customHeight="1" x14ac:dyDescent="0.25">
      <c r="A1034" s="1" t="s">
        <v>1431</v>
      </c>
      <c r="B1034" s="19">
        <v>46182</v>
      </c>
      <c r="J1034" s="1">
        <v>6470</v>
      </c>
    </row>
    <row r="1035" spans="1:10" ht="30" customHeight="1" x14ac:dyDescent="0.25">
      <c r="A1035" s="1" t="s">
        <v>1432</v>
      </c>
      <c r="B1035" s="19">
        <v>46182</v>
      </c>
      <c r="J1035" s="1">
        <v>6471</v>
      </c>
    </row>
    <row r="1036" spans="1:10" ht="30" customHeight="1" x14ac:dyDescent="0.25">
      <c r="A1036" s="1" t="s">
        <v>1433</v>
      </c>
      <c r="B1036" s="19">
        <v>46182</v>
      </c>
      <c r="J1036" s="1">
        <v>6472</v>
      </c>
    </row>
    <row r="1037" spans="1:10" ht="30" customHeight="1" x14ac:dyDescent="0.25">
      <c r="A1037" s="1" t="s">
        <v>1434</v>
      </c>
      <c r="B1037" s="19">
        <v>46182</v>
      </c>
      <c r="J1037" s="1">
        <v>6473</v>
      </c>
    </row>
    <row r="1038" spans="1:10" ht="30" customHeight="1" x14ac:dyDescent="0.25">
      <c r="A1038" s="1" t="s">
        <v>1435</v>
      </c>
      <c r="B1038" s="19">
        <v>46182</v>
      </c>
      <c r="J1038" s="1">
        <v>6474</v>
      </c>
    </row>
    <row r="1039" spans="1:10" ht="30" customHeight="1" x14ac:dyDescent="0.25">
      <c r="A1039" s="1" t="s">
        <v>1436</v>
      </c>
      <c r="B1039" s="19">
        <v>46182</v>
      </c>
      <c r="J1039" s="1">
        <v>6475</v>
      </c>
    </row>
    <row r="1040" spans="1:10" ht="30" customHeight="1" x14ac:dyDescent="0.25">
      <c r="A1040" s="1" t="s">
        <v>1437</v>
      </c>
      <c r="B1040" s="19">
        <v>46182</v>
      </c>
      <c r="J1040" s="1">
        <v>6476</v>
      </c>
    </row>
    <row r="1041" spans="1:10" ht="30" customHeight="1" x14ac:dyDescent="0.25">
      <c r="A1041" s="1" t="s">
        <v>1438</v>
      </c>
      <c r="B1041" s="19">
        <v>46182</v>
      </c>
      <c r="J1041" s="1">
        <v>6477</v>
      </c>
    </row>
    <row r="1042" spans="1:10" ht="30" customHeight="1" x14ac:dyDescent="0.25">
      <c r="A1042" s="1" t="s">
        <v>1439</v>
      </c>
      <c r="B1042" s="19">
        <v>46182</v>
      </c>
      <c r="J1042" s="1">
        <v>6478</v>
      </c>
    </row>
    <row r="1043" spans="1:10" ht="30" customHeight="1" x14ac:dyDescent="0.25">
      <c r="A1043" s="1" t="s">
        <v>1440</v>
      </c>
      <c r="B1043" s="19">
        <v>46182</v>
      </c>
      <c r="J1043" s="1">
        <v>6479</v>
      </c>
    </row>
    <row r="1044" spans="1:10" ht="30" customHeight="1" x14ac:dyDescent="0.25">
      <c r="A1044" s="1" t="s">
        <v>1441</v>
      </c>
      <c r="B1044" s="19">
        <v>46182</v>
      </c>
      <c r="J1044" s="1">
        <v>6480</v>
      </c>
    </row>
    <row r="1045" spans="1:10" ht="30" customHeight="1" x14ac:dyDescent="0.25">
      <c r="A1045" s="1" t="s">
        <v>1442</v>
      </c>
      <c r="B1045" s="19">
        <v>46182</v>
      </c>
      <c r="J1045" s="1">
        <v>6481</v>
      </c>
    </row>
    <row r="1046" spans="1:10" ht="30" customHeight="1" x14ac:dyDescent="0.25">
      <c r="A1046" s="1" t="s">
        <v>1443</v>
      </c>
      <c r="B1046" s="19">
        <v>46182</v>
      </c>
      <c r="J1046" s="1">
        <v>6482</v>
      </c>
    </row>
    <row r="1047" spans="1:10" ht="30" customHeight="1" x14ac:dyDescent="0.25">
      <c r="A1047" s="1" t="s">
        <v>1444</v>
      </c>
      <c r="B1047" s="19">
        <v>46182</v>
      </c>
      <c r="J1047" s="1">
        <v>6483</v>
      </c>
    </row>
    <row r="1048" spans="1:10" ht="30" customHeight="1" x14ac:dyDescent="0.25">
      <c r="A1048" s="1" t="s">
        <v>1445</v>
      </c>
      <c r="B1048" s="19">
        <v>46182</v>
      </c>
      <c r="J1048" s="1">
        <v>6484</v>
      </c>
    </row>
    <row r="1049" spans="1:10" ht="30" customHeight="1" x14ac:dyDescent="0.25">
      <c r="A1049" s="1" t="s">
        <v>1446</v>
      </c>
      <c r="B1049" s="19">
        <v>46182</v>
      </c>
      <c r="J1049" s="1">
        <v>6485</v>
      </c>
    </row>
    <row r="1050" spans="1:10" ht="30" customHeight="1" x14ac:dyDescent="0.25">
      <c r="A1050" s="1" t="s">
        <v>1447</v>
      </c>
      <c r="B1050" s="19">
        <v>46182</v>
      </c>
      <c r="J1050" s="1">
        <v>6486</v>
      </c>
    </row>
    <row r="1051" spans="1:10" ht="30" customHeight="1" x14ac:dyDescent="0.25">
      <c r="A1051" s="1" t="s">
        <v>1448</v>
      </c>
      <c r="B1051" s="19">
        <v>46182</v>
      </c>
      <c r="J1051" s="1">
        <v>6487</v>
      </c>
    </row>
    <row r="1052" spans="1:10" ht="30" customHeight="1" x14ac:dyDescent="0.25">
      <c r="A1052" s="1" t="s">
        <v>1449</v>
      </c>
      <c r="B1052" s="19">
        <v>46182</v>
      </c>
      <c r="J1052" s="1">
        <v>6488</v>
      </c>
    </row>
    <row r="1053" spans="1:10" ht="30" customHeight="1" x14ac:dyDescent="0.25">
      <c r="A1053" s="1" t="s">
        <v>1450</v>
      </c>
      <c r="B1053" s="19">
        <v>46182</v>
      </c>
      <c r="J1053" s="1">
        <v>6489</v>
      </c>
    </row>
    <row r="1054" spans="1:10" ht="30" customHeight="1" x14ac:dyDescent="0.25">
      <c r="A1054" s="1" t="s">
        <v>1451</v>
      </c>
      <c r="B1054" s="19">
        <v>46182</v>
      </c>
      <c r="J1054" s="1">
        <v>6490</v>
      </c>
    </row>
    <row r="1055" spans="1:10" ht="30" customHeight="1" x14ac:dyDescent="0.25">
      <c r="A1055" s="1" t="s">
        <v>1452</v>
      </c>
      <c r="B1055" s="19">
        <v>46182</v>
      </c>
      <c r="J1055" s="1">
        <v>6491</v>
      </c>
    </row>
    <row r="1056" spans="1:10" ht="30" customHeight="1" x14ac:dyDescent="0.25">
      <c r="A1056" s="1" t="s">
        <v>1453</v>
      </c>
      <c r="B1056" s="19">
        <v>46182</v>
      </c>
      <c r="J1056" s="1">
        <v>6492</v>
      </c>
    </row>
    <row r="1057" spans="1:12" ht="30" customHeight="1" x14ac:dyDescent="0.25">
      <c r="A1057" s="1" t="s">
        <v>1454</v>
      </c>
      <c r="B1057" s="19">
        <v>46182</v>
      </c>
      <c r="J1057" s="1">
        <v>6493</v>
      </c>
    </row>
    <row r="1058" spans="1:12" ht="30" customHeight="1" x14ac:dyDescent="0.25">
      <c r="A1058" s="1" t="s">
        <v>1455</v>
      </c>
      <c r="B1058" s="19">
        <v>46182</v>
      </c>
      <c r="J1058" s="1">
        <v>6494</v>
      </c>
    </row>
    <row r="1059" spans="1:12" ht="30" customHeight="1" x14ac:dyDescent="0.25">
      <c r="A1059" s="1" t="s">
        <v>1456</v>
      </c>
      <c r="B1059" s="19">
        <v>46182</v>
      </c>
      <c r="J1059" s="1">
        <v>6495</v>
      </c>
    </row>
    <row r="1060" spans="1:12" ht="60" customHeight="1" x14ac:dyDescent="0.25">
      <c r="A1060" s="1" t="s">
        <v>1457</v>
      </c>
      <c r="B1060" s="19">
        <v>46182</v>
      </c>
      <c r="C1060" s="20">
        <v>45925</v>
      </c>
      <c r="D1060" s="20">
        <v>45925</v>
      </c>
      <c r="E1060" s="19">
        <v>45925</v>
      </c>
      <c r="G1060" s="1" t="s">
        <v>333</v>
      </c>
      <c r="H1060" s="1" t="s">
        <v>334</v>
      </c>
      <c r="J1060" s="1">
        <v>5314</v>
      </c>
      <c r="K1060" s="1" t="s">
        <v>22</v>
      </c>
      <c r="L1060" s="1" t="s">
        <v>126</v>
      </c>
    </row>
    <row r="1061" spans="1:12" ht="60" customHeight="1" x14ac:dyDescent="0.25">
      <c r="A1061" s="1" t="s">
        <v>1458</v>
      </c>
      <c r="B1061" s="19">
        <v>46182</v>
      </c>
      <c r="C1061" s="20">
        <v>45925</v>
      </c>
      <c r="D1061" s="20">
        <v>45925</v>
      </c>
      <c r="E1061" s="19">
        <v>45925</v>
      </c>
      <c r="G1061" s="1" t="s">
        <v>335</v>
      </c>
      <c r="H1061" s="1" t="s">
        <v>336</v>
      </c>
      <c r="J1061" s="1">
        <v>5315</v>
      </c>
      <c r="K1061" s="1" t="s">
        <v>21</v>
      </c>
      <c r="L1061" s="1" t="s">
        <v>126</v>
      </c>
    </row>
    <row r="1062" spans="1:12" ht="30" customHeight="1" x14ac:dyDescent="0.25">
      <c r="A1062" s="1" t="s">
        <v>1459</v>
      </c>
      <c r="B1062" s="19">
        <v>46182</v>
      </c>
      <c r="J1062" s="1">
        <v>5316</v>
      </c>
    </row>
    <row r="1063" spans="1:12" ht="30" customHeight="1" x14ac:dyDescent="0.25">
      <c r="A1063" s="1" t="s">
        <v>1460</v>
      </c>
      <c r="B1063" s="19">
        <v>46182</v>
      </c>
      <c r="J1063" s="1">
        <v>5317</v>
      </c>
    </row>
    <row r="1064" spans="1:12" ht="30" customHeight="1" x14ac:dyDescent="0.25">
      <c r="A1064" s="1" t="s">
        <v>1461</v>
      </c>
      <c r="B1064" s="19">
        <v>46182</v>
      </c>
      <c r="J1064" s="1">
        <v>5318</v>
      </c>
    </row>
    <row r="1065" spans="1:12" ht="30" customHeight="1" x14ac:dyDescent="0.25">
      <c r="A1065" s="1" t="s">
        <v>1462</v>
      </c>
      <c r="B1065" s="19">
        <v>46182</v>
      </c>
      <c r="J1065" s="1">
        <v>5319</v>
      </c>
    </row>
    <row r="1066" spans="1:12" ht="30" customHeight="1" x14ac:dyDescent="0.25">
      <c r="A1066" s="1" t="s">
        <v>1463</v>
      </c>
      <c r="B1066" s="19">
        <v>46182</v>
      </c>
      <c r="J1066" s="1">
        <v>5320</v>
      </c>
    </row>
    <row r="1067" spans="1:12" ht="30" customHeight="1" x14ac:dyDescent="0.25">
      <c r="A1067" s="1" t="s">
        <v>1464</v>
      </c>
      <c r="B1067" s="19">
        <v>46182</v>
      </c>
      <c r="J1067" s="1">
        <v>5321</v>
      </c>
    </row>
    <row r="1068" spans="1:12" ht="30" customHeight="1" x14ac:dyDescent="0.25">
      <c r="A1068" s="1" t="s">
        <v>1465</v>
      </c>
      <c r="B1068" s="19">
        <v>46182</v>
      </c>
      <c r="J1068" s="1">
        <v>5322</v>
      </c>
    </row>
    <row r="1069" spans="1:12" ht="30" customHeight="1" x14ac:dyDescent="0.25">
      <c r="A1069" s="1" t="s">
        <v>1466</v>
      </c>
      <c r="B1069" s="19">
        <v>46182</v>
      </c>
      <c r="J1069" s="1">
        <v>5323</v>
      </c>
    </row>
    <row r="1070" spans="1:12" ht="30" customHeight="1" x14ac:dyDescent="0.25">
      <c r="A1070" s="1" t="s">
        <v>1467</v>
      </c>
      <c r="B1070" s="19">
        <v>46182</v>
      </c>
      <c r="J1070" s="1">
        <v>5324</v>
      </c>
    </row>
    <row r="1071" spans="1:12" ht="30" customHeight="1" x14ac:dyDescent="0.25">
      <c r="A1071" s="1" t="s">
        <v>1468</v>
      </c>
      <c r="B1071" s="19">
        <v>46182</v>
      </c>
      <c r="J1071" s="1">
        <v>5325</v>
      </c>
    </row>
  </sheetData>
  <mergeCells count="2">
    <mergeCell ref="A2:Y2"/>
    <mergeCell ref="A1:Y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</sheetPr>
  <dimension ref="A1:J1200"/>
  <sheetViews>
    <sheetView showGridLines="0" workbookViewId="0">
      <pane ySplit="4" topLeftCell="A5" activePane="bottomLeft" state="frozen"/>
      <selection pane="bottomLeft" sqref="A1:I1"/>
    </sheetView>
  </sheetViews>
  <sheetFormatPr defaultRowHeight="15" x14ac:dyDescent="0.25"/>
  <cols>
    <col min="1" max="7" width="12" bestFit="1" customWidth="1"/>
    <col min="8" max="8" width="15" bestFit="1" customWidth="1"/>
    <col min="9" max="9" width="17" bestFit="1" customWidth="1"/>
    <col min="10" max="10" width="12" bestFit="1" customWidth="1"/>
    <col min="11" max="11" width="7.7109375" bestFit="1" customWidth="1"/>
    <col min="12" max="12" width="10" bestFit="1" customWidth="1"/>
    <col min="13" max="13" width="7.5703125" bestFit="1" customWidth="1"/>
    <col min="14" max="14" width="19.7109375" bestFit="1" customWidth="1"/>
    <col min="15" max="15" width="49.7109375" bestFit="1" customWidth="1"/>
  </cols>
  <sheetData>
    <row r="1" spans="1:10" ht="32.1" customHeight="1" x14ac:dyDescent="0.25">
      <c r="A1" s="64" t="s">
        <v>393</v>
      </c>
      <c r="B1" s="64"/>
      <c r="C1" s="64"/>
      <c r="D1" s="64"/>
      <c r="E1" s="64"/>
      <c r="F1" s="64"/>
      <c r="G1" s="64"/>
      <c r="H1" s="64"/>
      <c r="I1" s="64"/>
    </row>
    <row r="2" spans="1:10" x14ac:dyDescent="0.25">
      <c r="A2" s="64" t="s">
        <v>1469</v>
      </c>
      <c r="B2" s="64"/>
      <c r="C2" s="64"/>
      <c r="D2" s="64"/>
      <c r="E2" s="64"/>
      <c r="F2" s="64"/>
      <c r="G2" s="64"/>
      <c r="H2" s="64"/>
      <c r="I2" s="64"/>
    </row>
    <row r="4" spans="1:10" ht="33.950000000000003" customHeight="1" x14ac:dyDescent="0.25">
      <c r="A4" s="59" t="s">
        <v>396</v>
      </c>
      <c r="B4" s="59" t="s">
        <v>108</v>
      </c>
      <c r="C4" s="59" t="s">
        <v>111</v>
      </c>
      <c r="D4" s="59" t="s">
        <v>112</v>
      </c>
      <c r="E4" s="59" t="s">
        <v>114</v>
      </c>
      <c r="F4" s="59" t="s">
        <v>115</v>
      </c>
      <c r="G4" s="59" t="s">
        <v>117</v>
      </c>
      <c r="H4" s="59" t="s">
        <v>116</v>
      </c>
      <c r="I4" s="59" t="s">
        <v>1470</v>
      </c>
      <c r="J4" s="59" t="s">
        <v>1471</v>
      </c>
    </row>
    <row r="5" spans="1:10" x14ac:dyDescent="0.25">
      <c r="A5" s="57" t="str">
        <f>IF(CRM_MAGDY!H5="","","CRM-"&amp;TEXT(ROW()-4,"0000"))</f>
        <v>CRM-0001</v>
      </c>
      <c r="B5" s="57">
        <f>CRM_MAGDY!E5</f>
        <v>0</v>
      </c>
      <c r="C5" s="57">
        <f>CRM_MAGDY!H5</f>
        <v>5443</v>
      </c>
      <c r="D5" s="57" t="str">
        <f>CRM_MAGDY!I5</f>
        <v>Magda K</v>
      </c>
      <c r="E5" s="57">
        <f>IFERROR(VALUE(CRM_MAGDY!K5),0)</f>
        <v>28000</v>
      </c>
      <c r="F5" s="57">
        <f>IFERROR(IF(CRM_MAGDY!L5&gt;1,CRM_MAGDY!L5/100,CRM_MAGDY!L5),0)</f>
        <v>0</v>
      </c>
      <c r="G5" s="57">
        <f>CRM_MAGDY!N5</f>
        <v>0</v>
      </c>
      <c r="H5" s="57" t="str">
        <f>CRM_MAGDY!M5</f>
        <v>follow up</v>
      </c>
      <c r="I5" s="57">
        <f t="shared" ref="I5:I68" si="0">IF(OR(G5="WYGRANA",G5="PRZEGRANA"),0,E5*F5)</f>
        <v>0</v>
      </c>
      <c r="J5" s="57" t="str">
        <f t="shared" ref="J5:J68" si="1">IF(F5&gt;=0.7,"PEWNY",IF(F5&gt;=0.3,"REALNY","POTENCJAŁ"))</f>
        <v>POTENCJAŁ</v>
      </c>
    </row>
    <row r="6" spans="1:10" ht="30" customHeight="1" x14ac:dyDescent="0.25">
      <c r="A6" s="57" t="str">
        <f>IF(CRM_MAGDY!H6="","","CRM-"&amp;TEXT(ROW()-4,"0000"))</f>
        <v>CRM-0002</v>
      </c>
      <c r="B6" s="57">
        <f>CRM_MAGDY!E6</f>
        <v>0</v>
      </c>
      <c r="C6" s="57">
        <f>CRM_MAGDY!H6</f>
        <v>5444</v>
      </c>
      <c r="D6" s="57" t="str">
        <f>CRM_MAGDY!I6</f>
        <v>Magda K</v>
      </c>
      <c r="E6" s="57">
        <f>IFERROR(VALUE(CRM_MAGDY!K6),0)</f>
        <v>26622</v>
      </c>
      <c r="F6" s="57">
        <f>IFERROR(IF(CRM_MAGDY!L6&gt;1,CRM_MAGDY!L6/100,CRM_MAGDY!L6),0)</f>
        <v>1</v>
      </c>
      <c r="G6" s="57" t="str">
        <f>CRM_MAGDY!N6</f>
        <v>WYGRANA</v>
      </c>
      <c r="H6" s="57" t="str">
        <f>CRM_MAGDY!M6</f>
        <v>zamówienie</v>
      </c>
      <c r="I6" s="57">
        <f t="shared" si="0"/>
        <v>0</v>
      </c>
      <c r="J6" s="57" t="str">
        <f t="shared" si="1"/>
        <v>PEWNY</v>
      </c>
    </row>
    <row r="7" spans="1:10" ht="30" customHeight="1" x14ac:dyDescent="0.25">
      <c r="A7" s="57" t="str">
        <f>IF(CRM_MAGDY!H7="","","CRM-"&amp;TEXT(ROW()-4,"0000"))</f>
        <v>CRM-0003</v>
      </c>
      <c r="B7" s="57">
        <f>CRM_MAGDY!E7</f>
        <v>0</v>
      </c>
      <c r="C7" s="57">
        <f>CRM_MAGDY!H7</f>
        <v>5445</v>
      </c>
      <c r="D7" s="57" t="str">
        <f>CRM_MAGDY!I7</f>
        <v>Magda K</v>
      </c>
      <c r="E7" s="57">
        <f>IFERROR(VALUE(CRM_MAGDY!K7),0)</f>
        <v>23000</v>
      </c>
      <c r="F7" s="57">
        <f>IFERROR(IF(CRM_MAGDY!L7&gt;1,CRM_MAGDY!L7/100,CRM_MAGDY!L7),0)</f>
        <v>0</v>
      </c>
      <c r="G7" s="57" t="str">
        <f>CRM_MAGDY!N7</f>
        <v>PRZEGRANA</v>
      </c>
      <c r="H7" s="57" t="str">
        <f>CRM_MAGDY!M7</f>
        <v>follow up</v>
      </c>
      <c r="I7" s="57">
        <f t="shared" si="0"/>
        <v>0</v>
      </c>
      <c r="J7" s="57" t="str">
        <f t="shared" si="1"/>
        <v>POTENCJAŁ</v>
      </c>
    </row>
    <row r="8" spans="1:10" ht="30" customHeight="1" x14ac:dyDescent="0.25">
      <c r="A8" s="57" t="str">
        <f>IF(CRM_MAGDY!H8="","","CRM-"&amp;TEXT(ROW()-4,"0000"))</f>
        <v>CRM-0004</v>
      </c>
      <c r="B8" s="57">
        <f>CRM_MAGDY!E8</f>
        <v>0</v>
      </c>
      <c r="C8" s="57">
        <f>CRM_MAGDY!H8</f>
        <v>5446</v>
      </c>
      <c r="D8" s="57" t="str">
        <f>CRM_MAGDY!I8</f>
        <v>Magda K</v>
      </c>
      <c r="E8" s="57">
        <f>IFERROR(VALUE(CRM_MAGDY!K8),0)</f>
        <v>0</v>
      </c>
      <c r="F8" s="57">
        <f>IFERROR(IF(CRM_MAGDY!L8&gt;1,CRM_MAGDY!L8/100,CRM_MAGDY!L8),0)</f>
        <v>0</v>
      </c>
      <c r="G8" s="57" t="str">
        <f>CRM_MAGDY!N8</f>
        <v>PRZEGRANA</v>
      </c>
      <c r="H8" s="57" t="str">
        <f>CRM_MAGDY!M8</f>
        <v>follow up</v>
      </c>
      <c r="I8" s="57">
        <f t="shared" si="0"/>
        <v>0</v>
      </c>
      <c r="J8" s="57" t="str">
        <f t="shared" si="1"/>
        <v>POTENCJAŁ</v>
      </c>
    </row>
    <row r="9" spans="1:10" ht="30" customHeight="1" x14ac:dyDescent="0.25">
      <c r="A9" s="57" t="str">
        <f>IF(CRM_MAGDY!H9="","","CRM-"&amp;TEXT(ROW()-4,"0000"))</f>
        <v>CRM-0005</v>
      </c>
      <c r="B9" s="57">
        <f>CRM_MAGDY!E9</f>
        <v>0</v>
      </c>
      <c r="C9" s="57">
        <f>CRM_MAGDY!H9</f>
        <v>5447</v>
      </c>
      <c r="D9" s="57" t="str">
        <f>CRM_MAGDY!I9</f>
        <v>Magda K</v>
      </c>
      <c r="E9" s="57">
        <f>IFERROR(VALUE(CRM_MAGDY!K9),0)</f>
        <v>21000</v>
      </c>
      <c r="F9" s="57">
        <f>IFERROR(IF(CRM_MAGDY!L9&gt;1,CRM_MAGDY!L9/100,CRM_MAGDY!L9),0)</f>
        <v>0</v>
      </c>
      <c r="G9" s="57" t="str">
        <f>CRM_MAGDY!N9</f>
        <v>PRZEGRANA</v>
      </c>
      <c r="H9" s="57" t="str">
        <f>CRM_MAGDY!M9</f>
        <v>follow up</v>
      </c>
      <c r="I9" s="57">
        <f t="shared" si="0"/>
        <v>0</v>
      </c>
      <c r="J9" s="57" t="str">
        <f t="shared" si="1"/>
        <v>POTENCJAŁ</v>
      </c>
    </row>
    <row r="10" spans="1:10" ht="30" customHeight="1" x14ac:dyDescent="0.25">
      <c r="A10" s="57" t="str">
        <f>IF(CRM_MAGDY!H10="","","CRM-"&amp;TEXT(ROW()-4,"0000"))</f>
        <v>CRM-0006</v>
      </c>
      <c r="B10" s="57">
        <f>CRM_MAGDY!E10</f>
        <v>0</v>
      </c>
      <c r="C10" s="57">
        <f>CRM_MAGDY!H10</f>
        <v>5448</v>
      </c>
      <c r="D10" s="57" t="str">
        <f>CRM_MAGDY!I10</f>
        <v>Magda K</v>
      </c>
      <c r="E10" s="57">
        <f>IFERROR(VALUE(CRM_MAGDY!K10),0)</f>
        <v>23000</v>
      </c>
      <c r="F10" s="57">
        <f>IFERROR(IF(CRM_MAGDY!L10&gt;1,CRM_MAGDY!L10/100,CRM_MAGDY!L10),0)</f>
        <v>0</v>
      </c>
      <c r="G10" s="57" t="str">
        <f>CRM_MAGDY!N10</f>
        <v>PRZEGRANA</v>
      </c>
      <c r="H10" s="57" t="str">
        <f>CRM_MAGDY!M10</f>
        <v>follow up</v>
      </c>
      <c r="I10" s="57">
        <f t="shared" si="0"/>
        <v>0</v>
      </c>
      <c r="J10" s="57" t="str">
        <f t="shared" si="1"/>
        <v>POTENCJAŁ</v>
      </c>
    </row>
    <row r="11" spans="1:10" ht="30" customHeight="1" x14ac:dyDescent="0.25">
      <c r="A11" s="57" t="str">
        <f>IF(CRM_MAGDY!H11="","","CRM-"&amp;TEXT(ROW()-4,"0000"))</f>
        <v>CRM-0007</v>
      </c>
      <c r="B11" s="57">
        <f>CRM_MAGDY!E11</f>
        <v>0</v>
      </c>
      <c r="C11" s="57">
        <f>CRM_MAGDY!H11</f>
        <v>5449</v>
      </c>
      <c r="D11" s="57" t="str">
        <f>CRM_MAGDY!I11</f>
        <v>Magda K</v>
      </c>
      <c r="E11" s="57">
        <f>IFERROR(VALUE(CRM_MAGDY!K11),0)</f>
        <v>20500</v>
      </c>
      <c r="F11" s="57">
        <f>IFERROR(IF(CRM_MAGDY!L11&gt;1,CRM_MAGDY!L11/100,CRM_MAGDY!L11),0)</f>
        <v>0</v>
      </c>
      <c r="G11" s="57" t="str">
        <f>CRM_MAGDY!N11</f>
        <v>PRZEGRANA</v>
      </c>
      <c r="H11" s="57" t="str">
        <f>CRM_MAGDY!M11</f>
        <v>follow up</v>
      </c>
      <c r="I11" s="57">
        <f t="shared" si="0"/>
        <v>0</v>
      </c>
      <c r="J11" s="57" t="str">
        <f t="shared" si="1"/>
        <v>POTENCJAŁ</v>
      </c>
    </row>
    <row r="12" spans="1:10" ht="30" customHeight="1" x14ac:dyDescent="0.25">
      <c r="A12" s="57" t="str">
        <f>IF(CRM_MAGDY!H12="","","CRM-"&amp;TEXT(ROW()-4,"0000"))</f>
        <v>CRM-0008</v>
      </c>
      <c r="B12" s="57">
        <f>CRM_MAGDY!E12</f>
        <v>0</v>
      </c>
      <c r="C12" s="57">
        <f>CRM_MAGDY!H12</f>
        <v>5450</v>
      </c>
      <c r="D12" s="57" t="str">
        <f>CRM_MAGDY!I12</f>
        <v>Magda K</v>
      </c>
      <c r="E12" s="57">
        <f>IFERROR(VALUE(CRM_MAGDY!K12),0)</f>
        <v>29000</v>
      </c>
      <c r="F12" s="57">
        <f>IFERROR(IF(CRM_MAGDY!L12&gt;1,CRM_MAGDY!L12/100,CRM_MAGDY!L12),0)</f>
        <v>0</v>
      </c>
      <c r="G12" s="57" t="str">
        <f>CRM_MAGDY!N12</f>
        <v>PRZEGRANA</v>
      </c>
      <c r="H12" s="57" t="str">
        <f>CRM_MAGDY!M12</f>
        <v>follow up</v>
      </c>
      <c r="I12" s="57">
        <f t="shared" si="0"/>
        <v>0</v>
      </c>
      <c r="J12" s="57" t="str">
        <f t="shared" si="1"/>
        <v>POTENCJAŁ</v>
      </c>
    </row>
    <row r="13" spans="1:10" ht="30" customHeight="1" x14ac:dyDescent="0.25">
      <c r="A13" s="57" t="str">
        <f>IF(CRM_MAGDY!H13="","","CRM-"&amp;TEXT(ROW()-4,"0000"))</f>
        <v>CRM-0009</v>
      </c>
      <c r="B13" s="57">
        <f>CRM_MAGDY!E13</f>
        <v>0</v>
      </c>
      <c r="C13" s="57">
        <f>CRM_MAGDY!H13</f>
        <v>5451</v>
      </c>
      <c r="D13" s="57" t="str">
        <f>CRM_MAGDY!I13</f>
        <v>Magda K</v>
      </c>
      <c r="E13" s="57">
        <f>IFERROR(VALUE(CRM_MAGDY!K13),0)</f>
        <v>21000</v>
      </c>
      <c r="F13" s="57">
        <f>IFERROR(IF(CRM_MAGDY!L13&gt;1,CRM_MAGDY!L13/100,CRM_MAGDY!L13),0)</f>
        <v>0</v>
      </c>
      <c r="G13" s="57" t="str">
        <f>CRM_MAGDY!N13</f>
        <v>PRZEGRANA</v>
      </c>
      <c r="H13" s="57" t="str">
        <f>CRM_MAGDY!M13</f>
        <v>follow up</v>
      </c>
      <c r="I13" s="57">
        <f t="shared" si="0"/>
        <v>0</v>
      </c>
      <c r="J13" s="57" t="str">
        <f t="shared" si="1"/>
        <v>POTENCJAŁ</v>
      </c>
    </row>
    <row r="14" spans="1:10" ht="30" customHeight="1" x14ac:dyDescent="0.25">
      <c r="A14" s="57" t="str">
        <f>IF(CRM_MAGDY!H14="","","CRM-"&amp;TEXT(ROW()-4,"0000"))</f>
        <v>CRM-0010</v>
      </c>
      <c r="B14" s="57">
        <f>CRM_MAGDY!E14</f>
        <v>0</v>
      </c>
      <c r="C14" s="57">
        <f>CRM_MAGDY!H14</f>
        <v>5452</v>
      </c>
      <c r="D14" s="57" t="str">
        <f>CRM_MAGDY!I14</f>
        <v>Magda K</v>
      </c>
      <c r="E14" s="57">
        <f>IFERROR(VALUE(CRM_MAGDY!K14),0)</f>
        <v>23000</v>
      </c>
      <c r="F14" s="57">
        <f>IFERROR(IF(CRM_MAGDY!L14&gt;1,CRM_MAGDY!L14/100,CRM_MAGDY!L14),0)</f>
        <v>0</v>
      </c>
      <c r="G14" s="57" t="str">
        <f>CRM_MAGDY!N14</f>
        <v>PRZEGRANA</v>
      </c>
      <c r="H14" s="57" t="str">
        <f>CRM_MAGDY!M14</f>
        <v>oferta</v>
      </c>
      <c r="I14" s="57">
        <f t="shared" si="0"/>
        <v>0</v>
      </c>
      <c r="J14" s="57" t="str">
        <f t="shared" si="1"/>
        <v>POTENCJAŁ</v>
      </c>
    </row>
    <row r="15" spans="1:10" x14ac:dyDescent="0.25">
      <c r="A15" s="57" t="str">
        <f>IF(CRM_MAGDY!H15="","","CRM-"&amp;TEXT(ROW()-4,"0000"))</f>
        <v>CRM-0011</v>
      </c>
      <c r="B15" s="57">
        <f>CRM_MAGDY!E15</f>
        <v>0</v>
      </c>
      <c r="C15" s="57">
        <f>CRM_MAGDY!H15</f>
        <v>5453</v>
      </c>
      <c r="D15" s="57" t="str">
        <f>CRM_MAGDY!I15</f>
        <v>Magda B</v>
      </c>
      <c r="E15" s="57">
        <f>IFERROR(VALUE(CRM_MAGDY!K15),0)</f>
        <v>0</v>
      </c>
      <c r="F15" s="57">
        <f>IFERROR(IF(CRM_MAGDY!L15&gt;1,CRM_MAGDY!L15/100,CRM_MAGDY!L15),0)</f>
        <v>0</v>
      </c>
      <c r="G15" s="57">
        <f>CRM_MAGDY!N15</f>
        <v>0</v>
      </c>
      <c r="H15" s="57">
        <f>CRM_MAGDY!M15</f>
        <v>0</v>
      </c>
      <c r="I15" s="57">
        <f t="shared" si="0"/>
        <v>0</v>
      </c>
      <c r="J15" s="57" t="str">
        <f t="shared" si="1"/>
        <v>POTENCJAŁ</v>
      </c>
    </row>
    <row r="16" spans="1:10" ht="30" customHeight="1" x14ac:dyDescent="0.25">
      <c r="A16" s="57" t="str">
        <f>IF(CRM_MAGDY!H16="","","CRM-"&amp;TEXT(ROW()-4,"0000"))</f>
        <v>CRM-0012</v>
      </c>
      <c r="B16" s="57">
        <f>CRM_MAGDY!E16</f>
        <v>0</v>
      </c>
      <c r="C16" s="57">
        <f>CRM_MAGDY!H16</f>
        <v>5454</v>
      </c>
      <c r="D16" s="57" t="str">
        <f>CRM_MAGDY!I16</f>
        <v>Magda K</v>
      </c>
      <c r="E16" s="57">
        <f>IFERROR(VALUE(CRM_MAGDY!K16),0)</f>
        <v>23000</v>
      </c>
      <c r="F16" s="57">
        <f>IFERROR(IF(CRM_MAGDY!L16&gt;1,CRM_MAGDY!L16/100,CRM_MAGDY!L16),0)</f>
        <v>0</v>
      </c>
      <c r="G16" s="57" t="str">
        <f>CRM_MAGDY!N16</f>
        <v>PRZEGRANA</v>
      </c>
      <c r="H16" s="57" t="str">
        <f>CRM_MAGDY!M16</f>
        <v>wstępne rozmowy</v>
      </c>
      <c r="I16" s="57">
        <f t="shared" si="0"/>
        <v>0</v>
      </c>
      <c r="J16" s="57" t="str">
        <f t="shared" si="1"/>
        <v>POTENCJAŁ</v>
      </c>
    </row>
    <row r="17" spans="1:10" x14ac:dyDescent="0.25">
      <c r="A17" s="57" t="str">
        <f>IF(CRM_MAGDY!H17="","","CRM-"&amp;TEXT(ROW()-4,"0000"))</f>
        <v>CRM-0013</v>
      </c>
      <c r="B17" s="57">
        <f>CRM_MAGDY!E17</f>
        <v>0</v>
      </c>
      <c r="C17" s="57">
        <f>CRM_MAGDY!H17</f>
        <v>5455</v>
      </c>
      <c r="D17" s="57" t="str">
        <f>CRM_MAGDY!I17</f>
        <v>Magda B</v>
      </c>
      <c r="E17" s="57">
        <f>IFERROR(VALUE(CRM_MAGDY!K17),0)</f>
        <v>23000</v>
      </c>
      <c r="F17" s="57">
        <f>IFERROR(IF(CRM_MAGDY!L17&gt;1,CRM_MAGDY!L17/100,CRM_MAGDY!L17),0)</f>
        <v>0</v>
      </c>
      <c r="G17" s="57">
        <f>CRM_MAGDY!N17</f>
        <v>0</v>
      </c>
      <c r="H17" s="57" t="str">
        <f>CRM_MAGDY!M17</f>
        <v>oferta</v>
      </c>
      <c r="I17" s="57">
        <f t="shared" si="0"/>
        <v>0</v>
      </c>
      <c r="J17" s="57" t="str">
        <f t="shared" si="1"/>
        <v>POTENCJAŁ</v>
      </c>
    </row>
    <row r="18" spans="1:10" ht="30" customHeight="1" x14ac:dyDescent="0.25">
      <c r="A18" s="57" t="str">
        <f>IF(CRM_MAGDY!H18="","","CRM-"&amp;TEXT(ROW()-4,"0000"))</f>
        <v>CRM-0014</v>
      </c>
      <c r="B18" s="57">
        <f>CRM_MAGDY!E18</f>
        <v>0</v>
      </c>
      <c r="C18" s="57">
        <f>CRM_MAGDY!H18</f>
        <v>5456</v>
      </c>
      <c r="D18" s="57" t="str">
        <f>CRM_MAGDY!I18</f>
        <v>Magda K</v>
      </c>
      <c r="E18" s="57">
        <f>IFERROR(VALUE(CRM_MAGDY!K18),0)</f>
        <v>20196</v>
      </c>
      <c r="F18" s="57">
        <f>IFERROR(IF(CRM_MAGDY!L18&gt;1,CRM_MAGDY!L18/100,CRM_MAGDY!L18),0)</f>
        <v>1</v>
      </c>
      <c r="G18" s="57" t="str">
        <f>CRM_MAGDY!N18</f>
        <v>WYGRANA</v>
      </c>
      <c r="H18" s="57" t="str">
        <f>CRM_MAGDY!M18</f>
        <v>realizacja</v>
      </c>
      <c r="I18" s="57">
        <f t="shared" si="0"/>
        <v>0</v>
      </c>
      <c r="J18" s="57" t="str">
        <f t="shared" si="1"/>
        <v>PEWNY</v>
      </c>
    </row>
    <row r="19" spans="1:10" x14ac:dyDescent="0.25">
      <c r="A19" s="57" t="str">
        <f>IF(CRM_MAGDY!H19="","","CRM-"&amp;TEXT(ROW()-4,"0000"))</f>
        <v>CRM-0015</v>
      </c>
      <c r="B19" s="57">
        <f>CRM_MAGDY!E19</f>
        <v>0</v>
      </c>
      <c r="C19" s="57">
        <f>CRM_MAGDY!H19</f>
        <v>5457</v>
      </c>
      <c r="D19" s="57" t="str">
        <f>CRM_MAGDY!I19</f>
        <v>Magda K</v>
      </c>
      <c r="E19" s="57">
        <f>IFERROR(VALUE(CRM_MAGDY!K19),0)</f>
        <v>21000</v>
      </c>
      <c r="F19" s="57">
        <f>IFERROR(IF(CRM_MAGDY!L19&gt;1,CRM_MAGDY!L19/100,CRM_MAGDY!L19),0)</f>
        <v>0</v>
      </c>
      <c r="G19" s="57">
        <f>CRM_MAGDY!N19</f>
        <v>0</v>
      </c>
      <c r="H19" s="57" t="str">
        <f>CRM_MAGDY!M19</f>
        <v>follow up</v>
      </c>
      <c r="I19" s="57">
        <f t="shared" si="0"/>
        <v>0</v>
      </c>
      <c r="J19" s="57" t="str">
        <f t="shared" si="1"/>
        <v>POTENCJAŁ</v>
      </c>
    </row>
    <row r="20" spans="1:10" ht="30" customHeight="1" x14ac:dyDescent="0.25">
      <c r="A20" s="57" t="str">
        <f>IF(CRM_MAGDY!H20="","","CRM-"&amp;TEXT(ROW()-4,"0000"))</f>
        <v>CRM-0016</v>
      </c>
      <c r="B20" s="57">
        <f>CRM_MAGDY!E20</f>
        <v>0</v>
      </c>
      <c r="C20" s="57">
        <f>CRM_MAGDY!H20</f>
        <v>5458</v>
      </c>
      <c r="D20" s="57" t="str">
        <f>CRM_MAGDY!I20</f>
        <v>Magda B</v>
      </c>
      <c r="E20" s="57">
        <f>IFERROR(VALUE(CRM_MAGDY!K20),0)</f>
        <v>18252</v>
      </c>
      <c r="F20" s="57">
        <f>IFERROR(IF(CRM_MAGDY!L20&gt;1,CRM_MAGDY!L20/100,CRM_MAGDY!L20),0)</f>
        <v>1</v>
      </c>
      <c r="G20" s="57" t="str">
        <f>CRM_MAGDY!N20</f>
        <v>WYGRANA</v>
      </c>
      <c r="H20" s="57" t="str">
        <f>CRM_MAGDY!M20</f>
        <v>realizacja</v>
      </c>
      <c r="I20" s="57">
        <f t="shared" si="0"/>
        <v>0</v>
      </c>
      <c r="J20" s="57" t="str">
        <f t="shared" si="1"/>
        <v>PEWNY</v>
      </c>
    </row>
    <row r="21" spans="1:10" x14ac:dyDescent="0.25">
      <c r="A21" s="57" t="str">
        <f>IF(CRM_MAGDY!H21="","","CRM-"&amp;TEXT(ROW()-4,"0000"))</f>
        <v>CRM-0017</v>
      </c>
      <c r="B21" s="57">
        <f>CRM_MAGDY!E21</f>
        <v>0</v>
      </c>
      <c r="C21" s="57">
        <f>CRM_MAGDY!H21</f>
        <v>5459</v>
      </c>
      <c r="D21" s="57" t="str">
        <f>CRM_MAGDY!I21</f>
        <v>Magda B</v>
      </c>
      <c r="E21" s="57">
        <f>IFERROR(VALUE(CRM_MAGDY!K21),0)</f>
        <v>25000</v>
      </c>
      <c r="F21" s="57">
        <f>IFERROR(IF(CRM_MAGDY!L21&gt;1,CRM_MAGDY!L21/100,CRM_MAGDY!L21),0)</f>
        <v>0</v>
      </c>
      <c r="G21" s="57">
        <f>CRM_MAGDY!N21</f>
        <v>0</v>
      </c>
      <c r="H21" s="57" t="str">
        <f>CRM_MAGDY!M21</f>
        <v>oferta</v>
      </c>
      <c r="I21" s="57">
        <f t="shared" si="0"/>
        <v>0</v>
      </c>
      <c r="J21" s="57" t="str">
        <f t="shared" si="1"/>
        <v>POTENCJAŁ</v>
      </c>
    </row>
    <row r="22" spans="1:10" x14ac:dyDescent="0.25">
      <c r="A22" s="57" t="str">
        <f>IF(CRM_MAGDY!H22="","","CRM-"&amp;TEXT(ROW()-4,"0000"))</f>
        <v>CRM-0018</v>
      </c>
      <c r="B22" s="57">
        <f>CRM_MAGDY!E22</f>
        <v>0</v>
      </c>
      <c r="C22" s="57">
        <f>CRM_MAGDY!H22</f>
        <v>5460</v>
      </c>
      <c r="D22" s="57" t="str">
        <f>CRM_MAGDY!I22</f>
        <v>Magda B</v>
      </c>
      <c r="E22" s="57">
        <f>IFERROR(VALUE(CRM_MAGDY!K22),0)</f>
        <v>20000</v>
      </c>
      <c r="F22" s="57">
        <f>IFERROR(IF(CRM_MAGDY!L22&gt;1,CRM_MAGDY!L22/100,CRM_MAGDY!L22),0)</f>
        <v>0</v>
      </c>
      <c r="G22" s="57">
        <f>CRM_MAGDY!N22</f>
        <v>0</v>
      </c>
      <c r="H22" s="57" t="str">
        <f>CRM_MAGDY!M22</f>
        <v>oferta</v>
      </c>
      <c r="I22" s="57">
        <f t="shared" si="0"/>
        <v>0</v>
      </c>
      <c r="J22" s="57" t="str">
        <f t="shared" si="1"/>
        <v>POTENCJAŁ</v>
      </c>
    </row>
    <row r="23" spans="1:10" ht="30" customHeight="1" x14ac:dyDescent="0.25">
      <c r="A23" s="57" t="str">
        <f>IF(CRM_MAGDY!H23="","","CRM-"&amp;TEXT(ROW()-4,"0000"))</f>
        <v>CRM-0019</v>
      </c>
      <c r="B23" s="57">
        <f>CRM_MAGDY!E23</f>
        <v>0</v>
      </c>
      <c r="C23" s="57">
        <f>CRM_MAGDY!H23</f>
        <v>5461</v>
      </c>
      <c r="D23" s="57" t="str">
        <f>CRM_MAGDY!I23</f>
        <v>Magda K</v>
      </c>
      <c r="E23" s="57">
        <f>IFERROR(VALUE(CRM_MAGDY!K23),0)</f>
        <v>23000</v>
      </c>
      <c r="F23" s="57">
        <f>IFERROR(IF(CRM_MAGDY!L23&gt;1,CRM_MAGDY!L23/100,CRM_MAGDY!L23),0)</f>
        <v>0</v>
      </c>
      <c r="G23" s="57" t="str">
        <f>CRM_MAGDY!N23</f>
        <v>PRZEGRANA</v>
      </c>
      <c r="H23" s="57" t="str">
        <f>CRM_MAGDY!M23</f>
        <v>follow up</v>
      </c>
      <c r="I23" s="57">
        <f t="shared" si="0"/>
        <v>0</v>
      </c>
      <c r="J23" s="57" t="str">
        <f t="shared" si="1"/>
        <v>POTENCJAŁ</v>
      </c>
    </row>
    <row r="24" spans="1:10" ht="30" customHeight="1" x14ac:dyDescent="0.25">
      <c r="A24" s="57" t="str">
        <f>IF(CRM_MAGDY!H24="","","CRM-"&amp;TEXT(ROW()-4,"0000"))</f>
        <v>CRM-0020</v>
      </c>
      <c r="B24" s="57">
        <f>CRM_MAGDY!E24</f>
        <v>0</v>
      </c>
      <c r="C24" s="57">
        <f>CRM_MAGDY!H24</f>
        <v>5462</v>
      </c>
      <c r="D24" s="57" t="str">
        <f>CRM_MAGDY!I24</f>
        <v>Magda K</v>
      </c>
      <c r="E24" s="57">
        <f>IFERROR(VALUE(CRM_MAGDY!K24),0)</f>
        <v>22000</v>
      </c>
      <c r="F24" s="57">
        <f>IFERROR(IF(CRM_MAGDY!L24&gt;1,CRM_MAGDY!L24/100,CRM_MAGDY!L24),0)</f>
        <v>0</v>
      </c>
      <c r="G24" s="57" t="str">
        <f>CRM_MAGDY!N24</f>
        <v>PRZEGRANA</v>
      </c>
      <c r="H24" s="57" t="str">
        <f>CRM_MAGDY!M24</f>
        <v>follow up</v>
      </c>
      <c r="I24" s="57">
        <f t="shared" si="0"/>
        <v>0</v>
      </c>
      <c r="J24" s="57" t="str">
        <f t="shared" si="1"/>
        <v>POTENCJAŁ</v>
      </c>
    </row>
    <row r="25" spans="1:10" x14ac:dyDescent="0.25">
      <c r="A25" s="57" t="str">
        <f>IF(CRM_MAGDY!H25="","","CRM-"&amp;TEXT(ROW()-4,"0000"))</f>
        <v>CRM-0021</v>
      </c>
      <c r="B25" s="57">
        <f>CRM_MAGDY!E25</f>
        <v>0</v>
      </c>
      <c r="C25" s="57">
        <f>CRM_MAGDY!H25</f>
        <v>5463</v>
      </c>
      <c r="D25" s="57" t="str">
        <f>CRM_MAGDY!I25</f>
        <v>Magda B</v>
      </c>
      <c r="E25" s="57">
        <f>IFERROR(VALUE(CRM_MAGDY!K25),0)</f>
        <v>25100</v>
      </c>
      <c r="F25" s="57">
        <f>IFERROR(IF(CRM_MAGDY!L25&gt;1,CRM_MAGDY!L25/100,CRM_MAGDY!L25),0)</f>
        <v>0</v>
      </c>
      <c r="G25" s="57">
        <f>CRM_MAGDY!N25</f>
        <v>0</v>
      </c>
      <c r="H25" s="57" t="str">
        <f>CRM_MAGDY!M25</f>
        <v>oferta</v>
      </c>
      <c r="I25" s="57">
        <f t="shared" si="0"/>
        <v>0</v>
      </c>
      <c r="J25" s="57" t="str">
        <f t="shared" si="1"/>
        <v>POTENCJAŁ</v>
      </c>
    </row>
    <row r="26" spans="1:10" ht="30" customHeight="1" x14ac:dyDescent="0.25">
      <c r="A26" s="57" t="str">
        <f>IF(CRM_MAGDY!H26="","","CRM-"&amp;TEXT(ROW()-4,"0000"))</f>
        <v>CRM-0022</v>
      </c>
      <c r="B26" s="57">
        <f>CRM_MAGDY!E26</f>
        <v>0</v>
      </c>
      <c r="C26" s="57">
        <f>CRM_MAGDY!H26</f>
        <v>5464</v>
      </c>
      <c r="D26" s="57" t="str">
        <f>CRM_MAGDY!I26</f>
        <v>Magda K</v>
      </c>
      <c r="E26" s="57">
        <f>IFERROR(VALUE(CRM_MAGDY!K26),0)</f>
        <v>12500</v>
      </c>
      <c r="F26" s="57">
        <f>IFERROR(IF(CRM_MAGDY!L26&gt;1,CRM_MAGDY!L26/100,CRM_MAGDY!L26),0)</f>
        <v>0</v>
      </c>
      <c r="G26" s="57" t="str">
        <f>CRM_MAGDY!N26</f>
        <v>PRZEGRANA</v>
      </c>
      <c r="H26" s="57" t="str">
        <f>CRM_MAGDY!M26</f>
        <v>widełki cenowe</v>
      </c>
      <c r="I26" s="57">
        <f t="shared" si="0"/>
        <v>0</v>
      </c>
      <c r="J26" s="57" t="str">
        <f t="shared" si="1"/>
        <v>POTENCJAŁ</v>
      </c>
    </row>
    <row r="27" spans="1:10" ht="30" customHeight="1" x14ac:dyDescent="0.25">
      <c r="A27" s="57" t="str">
        <f>IF(CRM_MAGDY!H27="","","CRM-"&amp;TEXT(ROW()-4,"0000"))</f>
        <v>CRM-0023</v>
      </c>
      <c r="B27" s="57">
        <f>CRM_MAGDY!E27</f>
        <v>0</v>
      </c>
      <c r="C27" s="57">
        <f>CRM_MAGDY!H27</f>
        <v>5465</v>
      </c>
      <c r="D27" s="57" t="str">
        <f>CRM_MAGDY!I27</f>
        <v>Magda K</v>
      </c>
      <c r="E27" s="57">
        <f>IFERROR(VALUE(CRM_MAGDY!K27),0)</f>
        <v>25600</v>
      </c>
      <c r="F27" s="57">
        <f>IFERROR(IF(CRM_MAGDY!L27&gt;1,CRM_MAGDY!L27/100,CRM_MAGDY!L27),0)</f>
        <v>1</v>
      </c>
      <c r="G27" s="57" t="str">
        <f>CRM_MAGDY!N27</f>
        <v>WYGRANA</v>
      </c>
      <c r="H27" s="57" t="str">
        <f>CRM_MAGDY!M27</f>
        <v>decyzja na tak</v>
      </c>
      <c r="I27" s="57">
        <f t="shared" si="0"/>
        <v>0</v>
      </c>
      <c r="J27" s="57" t="str">
        <f t="shared" si="1"/>
        <v>PEWNY</v>
      </c>
    </row>
    <row r="28" spans="1:10" x14ac:dyDescent="0.25">
      <c r="A28" s="57" t="str">
        <f>IF(CRM_MAGDY!H28="","","CRM-"&amp;TEXT(ROW()-4,"0000"))</f>
        <v>CRM-0024</v>
      </c>
      <c r="B28" s="57">
        <f>CRM_MAGDY!E28</f>
        <v>0</v>
      </c>
      <c r="C28" s="57">
        <f>CRM_MAGDY!H28</f>
        <v>5466</v>
      </c>
      <c r="D28" s="57" t="str">
        <f>CRM_MAGDY!I28</f>
        <v>Magda B</v>
      </c>
      <c r="E28" s="57">
        <f>IFERROR(VALUE(CRM_MAGDY!K28),0)</f>
        <v>50000</v>
      </c>
      <c r="F28" s="57">
        <f>IFERROR(IF(CRM_MAGDY!L28&gt;1,CRM_MAGDY!L28/100,CRM_MAGDY!L28),0)</f>
        <v>0</v>
      </c>
      <c r="G28" s="57">
        <f>CRM_MAGDY!N28</f>
        <v>0</v>
      </c>
      <c r="H28" s="57" t="str">
        <f>CRM_MAGDY!M28</f>
        <v>oferta</v>
      </c>
      <c r="I28" s="57">
        <f t="shared" si="0"/>
        <v>0</v>
      </c>
      <c r="J28" s="57" t="str">
        <f t="shared" si="1"/>
        <v>POTENCJAŁ</v>
      </c>
    </row>
    <row r="29" spans="1:10" ht="30" x14ac:dyDescent="0.25">
      <c r="A29" s="57" t="str">
        <f>IF(CRM_MAGDY!H29="","","CRM-"&amp;TEXT(ROW()-4,"0000"))</f>
        <v>CRM-0025</v>
      </c>
      <c r="B29" s="57">
        <f>CRM_MAGDY!E29</f>
        <v>0</v>
      </c>
      <c r="C29" s="57">
        <f>CRM_MAGDY!H29</f>
        <v>5467</v>
      </c>
      <c r="D29" s="57" t="str">
        <f>CRM_MAGDY!I29</f>
        <v>Magda B</v>
      </c>
      <c r="E29" s="57">
        <f>IFERROR(VALUE(CRM_MAGDY!K29),0)</f>
        <v>12000</v>
      </c>
      <c r="F29" s="57">
        <f>IFERROR(IF(CRM_MAGDY!L29&gt;1,CRM_MAGDY!L29/100,CRM_MAGDY!L29),0)</f>
        <v>0</v>
      </c>
      <c r="G29" s="57">
        <f>CRM_MAGDY!N29</f>
        <v>0</v>
      </c>
      <c r="H29" s="57" t="str">
        <f>CRM_MAGDY!M29</f>
        <v>widełki cenowe</v>
      </c>
      <c r="I29" s="57">
        <f t="shared" si="0"/>
        <v>0</v>
      </c>
      <c r="J29" s="57" t="str">
        <f t="shared" si="1"/>
        <v>POTENCJAŁ</v>
      </c>
    </row>
    <row r="30" spans="1:10" x14ac:dyDescent="0.25">
      <c r="A30" s="57" t="str">
        <f>IF(CRM_MAGDY!H30="","","CRM-"&amp;TEXT(ROW()-4,"0000"))</f>
        <v>CRM-0026</v>
      </c>
      <c r="B30" s="57">
        <f>CRM_MAGDY!E30</f>
        <v>0</v>
      </c>
      <c r="C30" s="57">
        <f>CRM_MAGDY!H30</f>
        <v>5468</v>
      </c>
      <c r="D30" s="57" t="str">
        <f>CRM_MAGDY!I30</f>
        <v>Magda B</v>
      </c>
      <c r="E30" s="57">
        <f>IFERROR(VALUE(CRM_MAGDY!K30),0)</f>
        <v>20000</v>
      </c>
      <c r="F30" s="57">
        <f>IFERROR(IF(CRM_MAGDY!L30&gt;1,CRM_MAGDY!L30/100,CRM_MAGDY!L30),0)</f>
        <v>0</v>
      </c>
      <c r="G30" s="57">
        <f>CRM_MAGDY!N30</f>
        <v>0</v>
      </c>
      <c r="H30" s="57" t="str">
        <f>CRM_MAGDY!M30</f>
        <v>oferta</v>
      </c>
      <c r="I30" s="57">
        <f t="shared" si="0"/>
        <v>0</v>
      </c>
      <c r="J30" s="57" t="str">
        <f t="shared" si="1"/>
        <v>POTENCJAŁ</v>
      </c>
    </row>
    <row r="31" spans="1:10" x14ac:dyDescent="0.25">
      <c r="A31" s="57" t="str">
        <f>IF(CRM_MAGDY!H31="","","CRM-"&amp;TEXT(ROW()-4,"0000"))</f>
        <v>CRM-0027</v>
      </c>
      <c r="B31" s="57">
        <f>CRM_MAGDY!E31</f>
        <v>0</v>
      </c>
      <c r="C31" s="57">
        <f>CRM_MAGDY!H31</f>
        <v>5469</v>
      </c>
      <c r="D31" s="57" t="str">
        <f>CRM_MAGDY!I31</f>
        <v>Magda B</v>
      </c>
      <c r="E31" s="57">
        <f>IFERROR(VALUE(CRM_MAGDY!K31),0)</f>
        <v>25000</v>
      </c>
      <c r="F31" s="57">
        <f>IFERROR(IF(CRM_MAGDY!L31&gt;1,CRM_MAGDY!L31/100,CRM_MAGDY!L31),0)</f>
        <v>0</v>
      </c>
      <c r="G31" s="57">
        <f>CRM_MAGDY!N31</f>
        <v>0</v>
      </c>
      <c r="H31" s="57" t="str">
        <f>CRM_MAGDY!M31</f>
        <v>oferta</v>
      </c>
      <c r="I31" s="57">
        <f t="shared" si="0"/>
        <v>0</v>
      </c>
      <c r="J31" s="57" t="str">
        <f t="shared" si="1"/>
        <v>POTENCJAŁ</v>
      </c>
    </row>
    <row r="32" spans="1:10" ht="30" customHeight="1" x14ac:dyDescent="0.25">
      <c r="A32" s="57" t="str">
        <f>IF(CRM_MAGDY!H32="","","CRM-"&amp;TEXT(ROW()-4,"0000"))</f>
        <v>CRM-0028</v>
      </c>
      <c r="B32" s="57">
        <f>CRM_MAGDY!E32</f>
        <v>0</v>
      </c>
      <c r="C32" s="57">
        <f>CRM_MAGDY!H32</f>
        <v>5470</v>
      </c>
      <c r="D32" s="57" t="str">
        <f>CRM_MAGDY!I32</f>
        <v>Magda B</v>
      </c>
      <c r="E32" s="57">
        <f>IFERROR(VALUE(CRM_MAGDY!K32),0)</f>
        <v>14000</v>
      </c>
      <c r="F32" s="57">
        <f>IFERROR(IF(CRM_MAGDY!L32&gt;1,CRM_MAGDY!L32/100,CRM_MAGDY!L32),0)</f>
        <v>1</v>
      </c>
      <c r="G32" s="57" t="str">
        <f>CRM_MAGDY!N32</f>
        <v>WYGRANA</v>
      </c>
      <c r="H32" s="57" t="str">
        <f>CRM_MAGDY!M32</f>
        <v>zamówienie</v>
      </c>
      <c r="I32" s="57">
        <f t="shared" si="0"/>
        <v>0</v>
      </c>
      <c r="J32" s="57" t="str">
        <f t="shared" si="1"/>
        <v>PEWNY</v>
      </c>
    </row>
    <row r="33" spans="1:10" ht="30" customHeight="1" x14ac:dyDescent="0.25">
      <c r="A33" s="57" t="str">
        <f>IF(CRM_MAGDY!H33="","","CRM-"&amp;TEXT(ROW()-4,"0000"))</f>
        <v>CRM-0029</v>
      </c>
      <c r="B33" s="57">
        <f>CRM_MAGDY!E33</f>
        <v>0</v>
      </c>
      <c r="C33" s="57">
        <f>CRM_MAGDY!H33</f>
        <v>5471</v>
      </c>
      <c r="D33" s="57" t="str">
        <f>CRM_MAGDY!I33</f>
        <v>Magda K</v>
      </c>
      <c r="E33" s="57">
        <f>IFERROR(VALUE(CRM_MAGDY!K33),0)</f>
        <v>25000</v>
      </c>
      <c r="F33" s="57">
        <f>IFERROR(IF(CRM_MAGDY!L33&gt;1,CRM_MAGDY!L33/100,CRM_MAGDY!L33),0)</f>
        <v>0</v>
      </c>
      <c r="G33" s="57" t="str">
        <f>CRM_MAGDY!N33</f>
        <v>PRZEGRANA</v>
      </c>
      <c r="H33" s="57" t="str">
        <f>CRM_MAGDY!M33</f>
        <v>follow up</v>
      </c>
      <c r="I33" s="57">
        <f t="shared" si="0"/>
        <v>0</v>
      </c>
      <c r="J33" s="57" t="str">
        <f t="shared" si="1"/>
        <v>POTENCJAŁ</v>
      </c>
    </row>
    <row r="34" spans="1:10" ht="30" customHeight="1" x14ac:dyDescent="0.25">
      <c r="A34" s="57" t="str">
        <f>IF(CRM_MAGDY!H34="","","CRM-"&amp;TEXT(ROW()-4,"0000"))</f>
        <v>CRM-0030</v>
      </c>
      <c r="B34" s="57">
        <f>CRM_MAGDY!E34</f>
        <v>0</v>
      </c>
      <c r="C34" s="57">
        <f>CRM_MAGDY!H34</f>
        <v>5472</v>
      </c>
      <c r="D34" s="57" t="str">
        <f>CRM_MAGDY!I34</f>
        <v>Magda K</v>
      </c>
      <c r="E34" s="57">
        <f>IFERROR(VALUE(CRM_MAGDY!K34),0)</f>
        <v>23000</v>
      </c>
      <c r="F34" s="57">
        <f>IFERROR(IF(CRM_MAGDY!L34&gt;1,CRM_MAGDY!L34/100,CRM_MAGDY!L34),0)</f>
        <v>0</v>
      </c>
      <c r="G34" s="57" t="str">
        <f>CRM_MAGDY!N34</f>
        <v>PRZEGRANA</v>
      </c>
      <c r="H34" s="57" t="str">
        <f>CRM_MAGDY!M34</f>
        <v>follow up</v>
      </c>
      <c r="I34" s="57">
        <f t="shared" si="0"/>
        <v>0</v>
      </c>
      <c r="J34" s="57" t="str">
        <f t="shared" si="1"/>
        <v>POTENCJAŁ</v>
      </c>
    </row>
    <row r="35" spans="1:10" ht="30" customHeight="1" x14ac:dyDescent="0.25">
      <c r="A35" s="57" t="str">
        <f>IF(CRM_MAGDY!H35="","","CRM-"&amp;TEXT(ROW()-4,"0000"))</f>
        <v>CRM-0031</v>
      </c>
      <c r="B35" s="57">
        <f>CRM_MAGDY!E35</f>
        <v>0</v>
      </c>
      <c r="C35" s="57">
        <f>CRM_MAGDY!H35</f>
        <v>5473</v>
      </c>
      <c r="D35" s="57" t="str">
        <f>CRM_MAGDY!I35</f>
        <v>Magda K</v>
      </c>
      <c r="E35" s="57">
        <f>IFERROR(VALUE(CRM_MAGDY!K35),0)</f>
        <v>25000</v>
      </c>
      <c r="F35" s="57">
        <f>IFERROR(IF(CRM_MAGDY!L35&gt;1,CRM_MAGDY!L35/100,CRM_MAGDY!L35),0)</f>
        <v>0</v>
      </c>
      <c r="G35" s="57" t="str">
        <f>CRM_MAGDY!N35</f>
        <v>PRZEGRANA</v>
      </c>
      <c r="H35" s="57" t="str">
        <f>CRM_MAGDY!M35</f>
        <v>follow up</v>
      </c>
      <c r="I35" s="57">
        <f t="shared" si="0"/>
        <v>0</v>
      </c>
      <c r="J35" s="57" t="str">
        <f t="shared" si="1"/>
        <v>POTENCJAŁ</v>
      </c>
    </row>
    <row r="36" spans="1:10" ht="30" customHeight="1" x14ac:dyDescent="0.25">
      <c r="A36" s="57" t="str">
        <f>IF(CRM_MAGDY!H36="","","CRM-"&amp;TEXT(ROW()-4,"0000"))</f>
        <v>CRM-0032</v>
      </c>
      <c r="B36" s="57">
        <f>CRM_MAGDY!E36</f>
        <v>0</v>
      </c>
      <c r="C36" s="57">
        <f>CRM_MAGDY!H36</f>
        <v>5474</v>
      </c>
      <c r="D36" s="57" t="str">
        <f>CRM_MAGDY!I36</f>
        <v>Magda K</v>
      </c>
      <c r="E36" s="57">
        <f>IFERROR(VALUE(CRM_MAGDY!K36),0)</f>
        <v>23000</v>
      </c>
      <c r="F36" s="57">
        <f>IFERROR(IF(CRM_MAGDY!L36&gt;1,CRM_MAGDY!L36/100,CRM_MAGDY!L36),0)</f>
        <v>0</v>
      </c>
      <c r="G36" s="57" t="str">
        <f>CRM_MAGDY!N36</f>
        <v>PRZEGRANA</v>
      </c>
      <c r="H36" s="57" t="str">
        <f>CRM_MAGDY!M36</f>
        <v>follow up</v>
      </c>
      <c r="I36" s="57">
        <f t="shared" si="0"/>
        <v>0</v>
      </c>
      <c r="J36" s="57" t="str">
        <f t="shared" si="1"/>
        <v>POTENCJAŁ</v>
      </c>
    </row>
    <row r="37" spans="1:10" ht="30" customHeight="1" x14ac:dyDescent="0.25">
      <c r="A37" s="57" t="str">
        <f>IF(CRM_MAGDY!H37="","","CRM-"&amp;TEXT(ROW()-4,"0000"))</f>
        <v>CRM-0033</v>
      </c>
      <c r="B37" s="57">
        <f>CRM_MAGDY!E37</f>
        <v>0</v>
      </c>
      <c r="C37" s="57">
        <f>CRM_MAGDY!H37</f>
        <v>5475</v>
      </c>
      <c r="D37" s="57" t="str">
        <f>CRM_MAGDY!I37</f>
        <v>Magda K</v>
      </c>
      <c r="E37" s="57">
        <f>IFERROR(VALUE(CRM_MAGDY!K37),0)</f>
        <v>26000</v>
      </c>
      <c r="F37" s="57">
        <f>IFERROR(IF(CRM_MAGDY!L37&gt;1,CRM_MAGDY!L37/100,CRM_MAGDY!L37),0)</f>
        <v>0</v>
      </c>
      <c r="G37" s="57" t="str">
        <f>CRM_MAGDY!N37</f>
        <v>PRZEGRANA</v>
      </c>
      <c r="H37" s="57" t="str">
        <f>CRM_MAGDY!M37</f>
        <v>oferta</v>
      </c>
      <c r="I37" s="57">
        <f t="shared" si="0"/>
        <v>0</v>
      </c>
      <c r="J37" s="57" t="str">
        <f t="shared" si="1"/>
        <v>POTENCJAŁ</v>
      </c>
    </row>
    <row r="38" spans="1:10" ht="30" customHeight="1" x14ac:dyDescent="0.25">
      <c r="A38" s="57" t="str">
        <f>IF(CRM_MAGDY!H38="","","CRM-"&amp;TEXT(ROW()-4,"0000"))</f>
        <v>CRM-0034</v>
      </c>
      <c r="B38" s="57">
        <f>CRM_MAGDY!E38</f>
        <v>0</v>
      </c>
      <c r="C38" s="57">
        <f>CRM_MAGDY!H38</f>
        <v>5476</v>
      </c>
      <c r="D38" s="57" t="str">
        <f>CRM_MAGDY!I38</f>
        <v>Magda K</v>
      </c>
      <c r="E38" s="57">
        <f>IFERROR(VALUE(CRM_MAGDY!K38),0)</f>
        <v>19000</v>
      </c>
      <c r="F38" s="57">
        <f>IFERROR(IF(CRM_MAGDY!L38&gt;1,CRM_MAGDY!L38/100,CRM_MAGDY!L38),0)</f>
        <v>0</v>
      </c>
      <c r="G38" s="57" t="str">
        <f>CRM_MAGDY!N38</f>
        <v>PRZEGRANA</v>
      </c>
      <c r="H38" s="57" t="str">
        <f>CRM_MAGDY!M38</f>
        <v>follow up</v>
      </c>
      <c r="I38" s="57">
        <f t="shared" si="0"/>
        <v>0</v>
      </c>
      <c r="J38" s="57" t="str">
        <f t="shared" si="1"/>
        <v>POTENCJAŁ</v>
      </c>
    </row>
    <row r="39" spans="1:10" ht="30" customHeight="1" x14ac:dyDescent="0.25">
      <c r="A39" s="57" t="str">
        <f>IF(CRM_MAGDY!H39="","","CRM-"&amp;TEXT(ROW()-4,"0000"))</f>
        <v>CRM-0035</v>
      </c>
      <c r="B39" s="57">
        <f>CRM_MAGDY!E39</f>
        <v>0</v>
      </c>
      <c r="C39" s="57">
        <f>CRM_MAGDY!H39</f>
        <v>5477</v>
      </c>
      <c r="D39" s="57" t="str">
        <f>CRM_MAGDY!I39</f>
        <v>Magda K</v>
      </c>
      <c r="E39" s="57">
        <f>IFERROR(VALUE(CRM_MAGDY!K39),0)</f>
        <v>23000</v>
      </c>
      <c r="F39" s="57">
        <f>IFERROR(IF(CRM_MAGDY!L39&gt;1,CRM_MAGDY!L39/100,CRM_MAGDY!L39),0)</f>
        <v>0</v>
      </c>
      <c r="G39" s="57" t="str">
        <f>CRM_MAGDY!N39</f>
        <v>PRZEGRANA</v>
      </c>
      <c r="H39" s="57" t="str">
        <f>CRM_MAGDY!M39</f>
        <v>follow up</v>
      </c>
      <c r="I39" s="57">
        <f t="shared" si="0"/>
        <v>0</v>
      </c>
      <c r="J39" s="57" t="str">
        <f t="shared" si="1"/>
        <v>POTENCJAŁ</v>
      </c>
    </row>
    <row r="40" spans="1:10" x14ac:dyDescent="0.25">
      <c r="A40" s="57" t="str">
        <f>IF(CRM_MAGDY!H40="","","CRM-"&amp;TEXT(ROW()-4,"0000"))</f>
        <v>CRM-0036</v>
      </c>
      <c r="B40" s="57">
        <f>CRM_MAGDY!E40</f>
        <v>0</v>
      </c>
      <c r="C40" s="57">
        <f>CRM_MAGDY!H40</f>
        <v>5478</v>
      </c>
      <c r="D40" s="57" t="str">
        <f>CRM_MAGDY!I40</f>
        <v>Magda B</v>
      </c>
      <c r="E40" s="57">
        <f>IFERROR(VALUE(CRM_MAGDY!K40),0)</f>
        <v>30000</v>
      </c>
      <c r="F40" s="57">
        <f>IFERROR(IF(CRM_MAGDY!L40&gt;1,CRM_MAGDY!L40/100,CRM_MAGDY!L40),0)</f>
        <v>0</v>
      </c>
      <c r="G40" s="57">
        <f>CRM_MAGDY!N40</f>
        <v>0</v>
      </c>
      <c r="H40" s="57" t="str">
        <f>CRM_MAGDY!M40</f>
        <v>oferta</v>
      </c>
      <c r="I40" s="57">
        <f t="shared" si="0"/>
        <v>0</v>
      </c>
      <c r="J40" s="57" t="str">
        <f t="shared" si="1"/>
        <v>POTENCJAŁ</v>
      </c>
    </row>
    <row r="41" spans="1:10" x14ac:dyDescent="0.25">
      <c r="A41" s="57" t="str">
        <f>IF(CRM_MAGDY!H41="","","CRM-"&amp;TEXT(ROW()-4,"0000"))</f>
        <v>CRM-0037</v>
      </c>
      <c r="B41" s="57">
        <f>CRM_MAGDY!E41</f>
        <v>0</v>
      </c>
      <c r="C41" s="57">
        <f>CRM_MAGDY!H41</f>
        <v>5479</v>
      </c>
      <c r="D41" s="57" t="str">
        <f>CRM_MAGDY!I41</f>
        <v>Magda B</v>
      </c>
      <c r="E41" s="57">
        <f>IFERROR(VALUE(CRM_MAGDY!K41),0)</f>
        <v>25000</v>
      </c>
      <c r="F41" s="57">
        <f>IFERROR(IF(CRM_MAGDY!L41&gt;1,CRM_MAGDY!L41/100,CRM_MAGDY!L41),0)</f>
        <v>0</v>
      </c>
      <c r="G41" s="57">
        <f>CRM_MAGDY!N41</f>
        <v>0</v>
      </c>
      <c r="H41" s="57" t="str">
        <f>CRM_MAGDY!M41</f>
        <v>oferta</v>
      </c>
      <c r="I41" s="57">
        <f t="shared" si="0"/>
        <v>0</v>
      </c>
      <c r="J41" s="57" t="str">
        <f t="shared" si="1"/>
        <v>POTENCJAŁ</v>
      </c>
    </row>
    <row r="42" spans="1:10" x14ac:dyDescent="0.25">
      <c r="A42" s="57" t="str">
        <f>IF(CRM_MAGDY!H42="","","CRM-"&amp;TEXT(ROW()-4,"0000"))</f>
        <v>CRM-0038</v>
      </c>
      <c r="B42" s="57">
        <f>CRM_MAGDY!E42</f>
        <v>0</v>
      </c>
      <c r="C42" s="57">
        <f>CRM_MAGDY!H42</f>
        <v>5480</v>
      </c>
      <c r="D42" s="57" t="str">
        <f>CRM_MAGDY!I42</f>
        <v>Magda K</v>
      </c>
      <c r="E42" s="57">
        <f>IFERROR(VALUE(CRM_MAGDY!K42),0)</f>
        <v>20000</v>
      </c>
      <c r="F42" s="57">
        <f>IFERROR(IF(CRM_MAGDY!L42&gt;1,CRM_MAGDY!L42/100,CRM_MAGDY!L42),0)</f>
        <v>0</v>
      </c>
      <c r="G42" s="57">
        <f>CRM_MAGDY!N42</f>
        <v>0</v>
      </c>
      <c r="H42" s="57" t="str">
        <f>CRM_MAGDY!M42</f>
        <v>oferta</v>
      </c>
      <c r="I42" s="57">
        <f t="shared" si="0"/>
        <v>0</v>
      </c>
      <c r="J42" s="57" t="str">
        <f t="shared" si="1"/>
        <v>POTENCJAŁ</v>
      </c>
    </row>
    <row r="43" spans="1:10" x14ac:dyDescent="0.25">
      <c r="A43" s="57" t="str">
        <f>IF(CRM_MAGDY!H43="","","CRM-"&amp;TEXT(ROW()-4,"0000"))</f>
        <v>CRM-0039</v>
      </c>
      <c r="B43" s="57">
        <f>CRM_MAGDY!E43</f>
        <v>0</v>
      </c>
      <c r="C43" s="57">
        <f>CRM_MAGDY!H43</f>
        <v>5481</v>
      </c>
      <c r="D43" s="57" t="str">
        <f>CRM_MAGDY!I43</f>
        <v>Magda B</v>
      </c>
      <c r="E43" s="57">
        <f>IFERROR(VALUE(CRM_MAGDY!K43),0)</f>
        <v>0</v>
      </c>
      <c r="F43" s="57">
        <f>IFERROR(IF(CRM_MAGDY!L43&gt;1,CRM_MAGDY!L43/100,CRM_MAGDY!L43),0)</f>
        <v>0</v>
      </c>
      <c r="G43" s="57">
        <f>CRM_MAGDY!N43</f>
        <v>0</v>
      </c>
      <c r="H43" s="57" t="str">
        <f>CRM_MAGDY!M43</f>
        <v>oferta</v>
      </c>
      <c r="I43" s="57">
        <f t="shared" si="0"/>
        <v>0</v>
      </c>
      <c r="J43" s="57" t="str">
        <f t="shared" si="1"/>
        <v>POTENCJAŁ</v>
      </c>
    </row>
    <row r="44" spans="1:10" ht="30" customHeight="1" x14ac:dyDescent="0.25">
      <c r="A44" s="57" t="str">
        <f>IF(CRM_MAGDY!H44="","","CRM-"&amp;TEXT(ROW()-4,"0000"))</f>
        <v>CRM-0040</v>
      </c>
      <c r="B44" s="57">
        <f>CRM_MAGDY!E44</f>
        <v>0</v>
      </c>
      <c r="C44" s="57">
        <f>CRM_MAGDY!H44</f>
        <v>5482</v>
      </c>
      <c r="D44" s="57" t="str">
        <f>CRM_MAGDY!I44</f>
        <v>Magda K</v>
      </c>
      <c r="E44" s="57">
        <f>IFERROR(VALUE(CRM_MAGDY!K44),0)</f>
        <v>20000</v>
      </c>
      <c r="F44" s="57">
        <f>IFERROR(IF(CRM_MAGDY!L44&gt;1,CRM_MAGDY!L44/100,CRM_MAGDY!L44),0)</f>
        <v>1</v>
      </c>
      <c r="G44" s="57" t="str">
        <f>CRM_MAGDY!N44</f>
        <v>WYGRANA</v>
      </c>
      <c r="H44" s="57" t="str">
        <f>CRM_MAGDY!M44</f>
        <v>zamówienie</v>
      </c>
      <c r="I44" s="57">
        <f t="shared" si="0"/>
        <v>0</v>
      </c>
      <c r="J44" s="57" t="str">
        <f t="shared" si="1"/>
        <v>PEWNY</v>
      </c>
    </row>
    <row r="45" spans="1:10" x14ac:dyDescent="0.25">
      <c r="A45" s="57" t="str">
        <f>IF(CRM_MAGDY!H45="","","CRM-"&amp;TEXT(ROW()-4,"0000"))</f>
        <v>CRM-0041</v>
      </c>
      <c r="B45" s="57">
        <f>CRM_MAGDY!E45</f>
        <v>0</v>
      </c>
      <c r="C45" s="57">
        <f>CRM_MAGDY!H45</f>
        <v>5483</v>
      </c>
      <c r="D45" s="57" t="str">
        <f>CRM_MAGDY!I45</f>
        <v>Magda B</v>
      </c>
      <c r="E45" s="57">
        <f>IFERROR(VALUE(CRM_MAGDY!K45),0)</f>
        <v>31000</v>
      </c>
      <c r="F45" s="57">
        <f>IFERROR(IF(CRM_MAGDY!L45&gt;1,CRM_MAGDY!L45/100,CRM_MAGDY!L45),0)</f>
        <v>0</v>
      </c>
      <c r="G45" s="57">
        <f>CRM_MAGDY!N45</f>
        <v>0</v>
      </c>
      <c r="H45" s="57" t="str">
        <f>CRM_MAGDY!M45</f>
        <v>oferta</v>
      </c>
      <c r="I45" s="57">
        <f t="shared" si="0"/>
        <v>0</v>
      </c>
      <c r="J45" s="57" t="str">
        <f t="shared" si="1"/>
        <v>POTENCJAŁ</v>
      </c>
    </row>
    <row r="46" spans="1:10" x14ac:dyDescent="0.25">
      <c r="A46" s="57" t="str">
        <f>IF(CRM_MAGDY!H46="","","CRM-"&amp;TEXT(ROW()-4,"0000"))</f>
        <v>CRM-0042</v>
      </c>
      <c r="B46" s="57">
        <f>CRM_MAGDY!E46</f>
        <v>0</v>
      </c>
      <c r="C46" s="57">
        <f>CRM_MAGDY!H46</f>
        <v>5484</v>
      </c>
      <c r="D46" s="57" t="str">
        <f>CRM_MAGDY!I46</f>
        <v>Magda B</v>
      </c>
      <c r="E46" s="57">
        <f>IFERROR(VALUE(CRM_MAGDY!K46),0)</f>
        <v>25000</v>
      </c>
      <c r="F46" s="57">
        <f>IFERROR(IF(CRM_MAGDY!L46&gt;1,CRM_MAGDY!L46/100,CRM_MAGDY!L46),0)</f>
        <v>0</v>
      </c>
      <c r="G46" s="57">
        <f>CRM_MAGDY!N46</f>
        <v>0</v>
      </c>
      <c r="H46" s="57" t="str">
        <f>CRM_MAGDY!M46</f>
        <v>oferta</v>
      </c>
      <c r="I46" s="57">
        <f t="shared" si="0"/>
        <v>0</v>
      </c>
      <c r="J46" s="57" t="str">
        <f t="shared" si="1"/>
        <v>POTENCJAŁ</v>
      </c>
    </row>
    <row r="47" spans="1:10" x14ac:dyDescent="0.25">
      <c r="A47" s="57" t="str">
        <f>IF(CRM_MAGDY!H47="","","CRM-"&amp;TEXT(ROW()-4,"0000"))</f>
        <v>CRM-0043</v>
      </c>
      <c r="B47" s="57">
        <f>CRM_MAGDY!E47</f>
        <v>0</v>
      </c>
      <c r="C47" s="57">
        <f>CRM_MAGDY!H47</f>
        <v>5485</v>
      </c>
      <c r="D47" s="57" t="str">
        <f>CRM_MAGDY!I47</f>
        <v>Magda B</v>
      </c>
      <c r="E47" s="57">
        <f>IFERROR(VALUE(CRM_MAGDY!K47),0)</f>
        <v>18000</v>
      </c>
      <c r="F47" s="57">
        <f>IFERROR(IF(CRM_MAGDY!L47&gt;1,CRM_MAGDY!L47/100,CRM_MAGDY!L47),0)</f>
        <v>0</v>
      </c>
      <c r="G47" s="57">
        <f>CRM_MAGDY!N47</f>
        <v>0</v>
      </c>
      <c r="H47" s="57" t="str">
        <f>CRM_MAGDY!M47</f>
        <v>oferta</v>
      </c>
      <c r="I47" s="57">
        <f t="shared" si="0"/>
        <v>0</v>
      </c>
      <c r="J47" s="57" t="str">
        <f t="shared" si="1"/>
        <v>POTENCJAŁ</v>
      </c>
    </row>
    <row r="48" spans="1:10" ht="30" x14ac:dyDescent="0.25">
      <c r="A48" s="57" t="str">
        <f>IF(CRM_MAGDY!H48="","","CRM-"&amp;TEXT(ROW()-4,"0000"))</f>
        <v>CRM-0044</v>
      </c>
      <c r="B48" s="57">
        <f>CRM_MAGDY!E48</f>
        <v>0</v>
      </c>
      <c r="C48" s="57">
        <f>CRM_MAGDY!H48</f>
        <v>5486</v>
      </c>
      <c r="D48" s="57" t="str">
        <f>CRM_MAGDY!I48</f>
        <v>Magda B</v>
      </c>
      <c r="E48" s="57">
        <f>IFERROR(VALUE(CRM_MAGDY!K48),0)</f>
        <v>25000</v>
      </c>
      <c r="F48" s="57">
        <f>IFERROR(IF(CRM_MAGDY!L48&gt;1,CRM_MAGDY!L48/100,CRM_MAGDY!L48),0)</f>
        <v>0</v>
      </c>
      <c r="G48" s="57">
        <f>CRM_MAGDY!N48</f>
        <v>0</v>
      </c>
      <c r="H48" s="57" t="str">
        <f>CRM_MAGDY!M48</f>
        <v>widełki cenowe</v>
      </c>
      <c r="I48" s="57">
        <f t="shared" si="0"/>
        <v>0</v>
      </c>
      <c r="J48" s="57" t="str">
        <f t="shared" si="1"/>
        <v>POTENCJAŁ</v>
      </c>
    </row>
    <row r="49" spans="1:10" x14ac:dyDescent="0.25">
      <c r="A49" s="57" t="str">
        <f>IF(CRM_MAGDY!H49="","","CRM-"&amp;TEXT(ROW()-4,"0000"))</f>
        <v>CRM-0045</v>
      </c>
      <c r="B49" s="57">
        <f>CRM_MAGDY!E49</f>
        <v>0</v>
      </c>
      <c r="C49" s="57">
        <f>CRM_MAGDY!H49</f>
        <v>5487</v>
      </c>
      <c r="D49" s="57" t="str">
        <f>CRM_MAGDY!I49</f>
        <v>Magda B</v>
      </c>
      <c r="E49" s="57">
        <f>IFERROR(VALUE(CRM_MAGDY!K49),0)</f>
        <v>16000</v>
      </c>
      <c r="F49" s="57">
        <f>IFERROR(IF(CRM_MAGDY!L49&gt;1,CRM_MAGDY!L49/100,CRM_MAGDY!L49),0)</f>
        <v>0</v>
      </c>
      <c r="G49" s="57">
        <f>CRM_MAGDY!N49</f>
        <v>0</v>
      </c>
      <c r="H49" s="57" t="str">
        <f>CRM_MAGDY!M49</f>
        <v>oferta</v>
      </c>
      <c r="I49" s="57">
        <f t="shared" si="0"/>
        <v>0</v>
      </c>
      <c r="J49" s="57" t="str">
        <f t="shared" si="1"/>
        <v>POTENCJAŁ</v>
      </c>
    </row>
    <row r="50" spans="1:10" x14ac:dyDescent="0.25">
      <c r="A50" s="57" t="str">
        <f>IF(CRM_MAGDY!H50="","","CRM-"&amp;TEXT(ROW()-4,"0000"))</f>
        <v>CRM-0046</v>
      </c>
      <c r="B50" s="57">
        <f>CRM_MAGDY!E50</f>
        <v>0</v>
      </c>
      <c r="C50" s="57">
        <f>CRM_MAGDY!H50</f>
        <v>5488</v>
      </c>
      <c r="D50" s="57" t="str">
        <f>CRM_MAGDY!I50</f>
        <v>Magda B</v>
      </c>
      <c r="E50" s="57">
        <f>IFERROR(VALUE(CRM_MAGDY!K50),0)</f>
        <v>32650</v>
      </c>
      <c r="F50" s="57">
        <f>IFERROR(IF(CRM_MAGDY!L50&gt;1,CRM_MAGDY!L50/100,CRM_MAGDY!L50),0)</f>
        <v>0</v>
      </c>
      <c r="G50" s="57">
        <f>CRM_MAGDY!N50</f>
        <v>0</v>
      </c>
      <c r="H50" s="57" t="str">
        <f>CRM_MAGDY!M50</f>
        <v>oferta</v>
      </c>
      <c r="I50" s="57">
        <f t="shared" si="0"/>
        <v>0</v>
      </c>
      <c r="J50" s="57" t="str">
        <f t="shared" si="1"/>
        <v>POTENCJAŁ</v>
      </c>
    </row>
    <row r="51" spans="1:10" ht="30" customHeight="1" x14ac:dyDescent="0.25">
      <c r="A51" s="57" t="str">
        <f>IF(CRM_MAGDY!H51="","","CRM-"&amp;TEXT(ROW()-4,"0000"))</f>
        <v>CRM-0047</v>
      </c>
      <c r="B51" s="57">
        <f>CRM_MAGDY!E51</f>
        <v>0</v>
      </c>
      <c r="C51" s="57">
        <f>CRM_MAGDY!H51</f>
        <v>5489</v>
      </c>
      <c r="D51" s="57" t="str">
        <f>CRM_MAGDY!I51</f>
        <v>Magda K</v>
      </c>
      <c r="E51" s="57">
        <f>IFERROR(VALUE(CRM_MAGDY!K51),0)</f>
        <v>25000</v>
      </c>
      <c r="F51" s="57">
        <f>IFERROR(IF(CRM_MAGDY!L51&gt;1,CRM_MAGDY!L51/100,CRM_MAGDY!L51),0)</f>
        <v>0</v>
      </c>
      <c r="G51" s="57" t="str">
        <f>CRM_MAGDY!N51</f>
        <v>PRZEGRANA</v>
      </c>
      <c r="H51" s="57" t="str">
        <f>CRM_MAGDY!M51</f>
        <v>follow up</v>
      </c>
      <c r="I51" s="57">
        <f t="shared" si="0"/>
        <v>0</v>
      </c>
      <c r="J51" s="57" t="str">
        <f t="shared" si="1"/>
        <v>POTENCJAŁ</v>
      </c>
    </row>
    <row r="52" spans="1:10" ht="30" customHeight="1" x14ac:dyDescent="0.25">
      <c r="A52" s="57" t="str">
        <f>IF(CRM_MAGDY!H52="","","CRM-"&amp;TEXT(ROW()-4,"0000"))</f>
        <v>CRM-0048</v>
      </c>
      <c r="B52" s="57">
        <f>CRM_MAGDY!E52</f>
        <v>0</v>
      </c>
      <c r="C52" s="57">
        <f>CRM_MAGDY!H52</f>
        <v>5490</v>
      </c>
      <c r="D52" s="57" t="str">
        <f>CRM_MAGDY!I52</f>
        <v>Magda K</v>
      </c>
      <c r="E52" s="57">
        <f>IFERROR(VALUE(CRM_MAGDY!K52),0)</f>
        <v>24000</v>
      </c>
      <c r="F52" s="57">
        <f>IFERROR(IF(CRM_MAGDY!L52&gt;1,CRM_MAGDY!L52/100,CRM_MAGDY!L52),0)</f>
        <v>0</v>
      </c>
      <c r="G52" s="57" t="str">
        <f>CRM_MAGDY!N52</f>
        <v>PRZEGRANA</v>
      </c>
      <c r="H52" s="57" t="str">
        <f>CRM_MAGDY!M52</f>
        <v>follow up</v>
      </c>
      <c r="I52" s="57">
        <f t="shared" si="0"/>
        <v>0</v>
      </c>
      <c r="J52" s="57" t="str">
        <f t="shared" si="1"/>
        <v>POTENCJAŁ</v>
      </c>
    </row>
    <row r="53" spans="1:10" ht="30" customHeight="1" x14ac:dyDescent="0.25">
      <c r="A53" s="57" t="str">
        <f>IF(CRM_MAGDY!H53="","","CRM-"&amp;TEXT(ROW()-4,"0000"))</f>
        <v>CRM-0049</v>
      </c>
      <c r="B53" s="57">
        <f>CRM_MAGDY!E53</f>
        <v>0</v>
      </c>
      <c r="C53" s="57">
        <f>CRM_MAGDY!H53</f>
        <v>5491</v>
      </c>
      <c r="D53" s="57" t="str">
        <f>CRM_MAGDY!I53</f>
        <v>Magda K</v>
      </c>
      <c r="E53" s="57">
        <f>IFERROR(VALUE(CRM_MAGDY!K53),0)</f>
        <v>22000</v>
      </c>
      <c r="F53" s="57">
        <f>IFERROR(IF(CRM_MAGDY!L53&gt;1,CRM_MAGDY!L53/100,CRM_MAGDY!L53),0)</f>
        <v>0</v>
      </c>
      <c r="G53" s="57" t="str">
        <f>CRM_MAGDY!N53</f>
        <v>PRZEGRANA</v>
      </c>
      <c r="H53" s="57" t="str">
        <f>CRM_MAGDY!M53</f>
        <v>oferta</v>
      </c>
      <c r="I53" s="57">
        <f t="shared" si="0"/>
        <v>0</v>
      </c>
      <c r="J53" s="57" t="str">
        <f t="shared" si="1"/>
        <v>POTENCJAŁ</v>
      </c>
    </row>
    <row r="54" spans="1:10" ht="30" customHeight="1" x14ac:dyDescent="0.25">
      <c r="A54" s="57" t="str">
        <f>IF(CRM_MAGDY!H54="","","CRM-"&amp;TEXT(ROW()-4,"0000"))</f>
        <v>CRM-0050</v>
      </c>
      <c r="B54" s="57">
        <f>CRM_MAGDY!E54</f>
        <v>0</v>
      </c>
      <c r="C54" s="57">
        <f>CRM_MAGDY!H54</f>
        <v>5492</v>
      </c>
      <c r="D54" s="57" t="str">
        <f>CRM_MAGDY!I54</f>
        <v>Magda B</v>
      </c>
      <c r="E54" s="57">
        <f>IFERROR(VALUE(CRM_MAGDY!K54),0)</f>
        <v>0</v>
      </c>
      <c r="F54" s="57">
        <f>IFERROR(IF(CRM_MAGDY!L54&gt;1,CRM_MAGDY!L54/100,CRM_MAGDY!L54),0)</f>
        <v>1</v>
      </c>
      <c r="G54" s="57" t="str">
        <f>CRM_MAGDY!N54</f>
        <v>WYGRANA</v>
      </c>
      <c r="H54" s="57">
        <f>CRM_MAGDY!M54</f>
        <v>0</v>
      </c>
      <c r="I54" s="57">
        <f t="shared" si="0"/>
        <v>0</v>
      </c>
      <c r="J54" s="57" t="str">
        <f t="shared" si="1"/>
        <v>PEWNY</v>
      </c>
    </row>
    <row r="55" spans="1:10" ht="30" customHeight="1" x14ac:dyDescent="0.25">
      <c r="A55" s="57" t="str">
        <f>IF(CRM_MAGDY!H55="","","CRM-"&amp;TEXT(ROW()-4,"0000"))</f>
        <v>CRM-0051</v>
      </c>
      <c r="B55" s="57">
        <f>CRM_MAGDY!E55</f>
        <v>0</v>
      </c>
      <c r="C55" s="57">
        <f>CRM_MAGDY!H55</f>
        <v>5493</v>
      </c>
      <c r="D55" s="57" t="str">
        <f>CRM_MAGDY!I55</f>
        <v>Magda B</v>
      </c>
      <c r="E55" s="57">
        <f>IFERROR(VALUE(CRM_MAGDY!K55),0)</f>
        <v>45687.12</v>
      </c>
      <c r="F55" s="57">
        <f>IFERROR(IF(CRM_MAGDY!L55&gt;1,CRM_MAGDY!L55/100,CRM_MAGDY!L55),0)</f>
        <v>1</v>
      </c>
      <c r="G55" s="57" t="str">
        <f>CRM_MAGDY!N55</f>
        <v>WYGRANA</v>
      </c>
      <c r="H55" s="57" t="str">
        <f>CRM_MAGDY!M55</f>
        <v>realizacja</v>
      </c>
      <c r="I55" s="57">
        <f t="shared" si="0"/>
        <v>0</v>
      </c>
      <c r="J55" s="57" t="str">
        <f t="shared" si="1"/>
        <v>PEWNY</v>
      </c>
    </row>
    <row r="56" spans="1:10" x14ac:dyDescent="0.25">
      <c r="A56" s="57" t="str">
        <f>IF(CRM_MAGDY!H56="","","CRM-"&amp;TEXT(ROW()-4,"0000"))</f>
        <v>CRM-0052</v>
      </c>
      <c r="B56" s="57">
        <f>CRM_MAGDY!E56</f>
        <v>0</v>
      </c>
      <c r="C56" s="57">
        <f>CRM_MAGDY!H56</f>
        <v>5494</v>
      </c>
      <c r="D56" s="57" t="str">
        <f>CRM_MAGDY!I56</f>
        <v>Magda K</v>
      </c>
      <c r="E56" s="57">
        <f>IFERROR(VALUE(CRM_MAGDY!K56),0)</f>
        <v>15000</v>
      </c>
      <c r="F56" s="57">
        <f>IFERROR(IF(CRM_MAGDY!L56&gt;1,CRM_MAGDY!L56/100,CRM_MAGDY!L56),0)</f>
        <v>0</v>
      </c>
      <c r="G56" s="57">
        <f>CRM_MAGDY!N56</f>
        <v>0</v>
      </c>
      <c r="H56" s="57" t="str">
        <f>CRM_MAGDY!M56</f>
        <v>follow up</v>
      </c>
      <c r="I56" s="57">
        <f t="shared" si="0"/>
        <v>0</v>
      </c>
      <c r="J56" s="57" t="str">
        <f t="shared" si="1"/>
        <v>POTENCJAŁ</v>
      </c>
    </row>
    <row r="57" spans="1:10" x14ac:dyDescent="0.25">
      <c r="A57" s="57" t="str">
        <f>IF(CRM_MAGDY!H57="","","CRM-"&amp;TEXT(ROW()-4,"0000"))</f>
        <v>CRM-0053</v>
      </c>
      <c r="B57" s="57">
        <f>CRM_MAGDY!E57</f>
        <v>0</v>
      </c>
      <c r="C57" s="57">
        <f>CRM_MAGDY!H57</f>
        <v>5495</v>
      </c>
      <c r="D57" s="57" t="str">
        <f>CRM_MAGDY!I57</f>
        <v>Magda K</v>
      </c>
      <c r="E57" s="57">
        <f>IFERROR(VALUE(CRM_MAGDY!K57),0)</f>
        <v>23000</v>
      </c>
      <c r="F57" s="57">
        <f>IFERROR(IF(CRM_MAGDY!L57&gt;1,CRM_MAGDY!L57/100,CRM_MAGDY!L57),0)</f>
        <v>0</v>
      </c>
      <c r="G57" s="57">
        <f>CRM_MAGDY!N57</f>
        <v>0</v>
      </c>
      <c r="H57" s="57" t="str">
        <f>CRM_MAGDY!M57</f>
        <v>follow up</v>
      </c>
      <c r="I57" s="57">
        <f t="shared" si="0"/>
        <v>0</v>
      </c>
      <c r="J57" s="57" t="str">
        <f t="shared" si="1"/>
        <v>POTENCJAŁ</v>
      </c>
    </row>
    <row r="58" spans="1:10" ht="30" customHeight="1" x14ac:dyDescent="0.25">
      <c r="A58" s="57" t="str">
        <f>IF(CRM_MAGDY!H58="","","CRM-"&amp;TEXT(ROW()-4,"0000"))</f>
        <v>CRM-0054</v>
      </c>
      <c r="B58" s="57">
        <f>CRM_MAGDY!E58</f>
        <v>0</v>
      </c>
      <c r="C58" s="57">
        <f>CRM_MAGDY!H58</f>
        <v>5496</v>
      </c>
      <c r="D58" s="57" t="str">
        <f>CRM_MAGDY!I58</f>
        <v>Magda K</v>
      </c>
      <c r="E58" s="57">
        <f>IFERROR(VALUE(CRM_MAGDY!K58),0)</f>
        <v>16000</v>
      </c>
      <c r="F58" s="57">
        <f>IFERROR(IF(CRM_MAGDY!L58&gt;1,CRM_MAGDY!L58/100,CRM_MAGDY!L58),0)</f>
        <v>0</v>
      </c>
      <c r="G58" s="57" t="str">
        <f>CRM_MAGDY!N58</f>
        <v>PRZEGRANA</v>
      </c>
      <c r="H58" s="57" t="str">
        <f>CRM_MAGDY!M58</f>
        <v>follow up</v>
      </c>
      <c r="I58" s="57">
        <f t="shared" si="0"/>
        <v>0</v>
      </c>
      <c r="J58" s="57" t="str">
        <f t="shared" si="1"/>
        <v>POTENCJAŁ</v>
      </c>
    </row>
    <row r="59" spans="1:10" x14ac:dyDescent="0.25">
      <c r="A59" s="57" t="str">
        <f>IF(CRM_MAGDY!H59="","","CRM-"&amp;TEXT(ROW()-4,"0000"))</f>
        <v>CRM-0055</v>
      </c>
      <c r="B59" s="57">
        <f>CRM_MAGDY!E59</f>
        <v>0</v>
      </c>
      <c r="C59" s="57">
        <f>CRM_MAGDY!H59</f>
        <v>5497</v>
      </c>
      <c r="D59" s="57" t="str">
        <f>CRM_MAGDY!I59</f>
        <v>Magda B</v>
      </c>
      <c r="E59" s="57">
        <f>IFERROR(VALUE(CRM_MAGDY!K59),0)</f>
        <v>15000</v>
      </c>
      <c r="F59" s="57">
        <f>IFERROR(IF(CRM_MAGDY!L59&gt;1,CRM_MAGDY!L59/100,CRM_MAGDY!L59),0)</f>
        <v>0</v>
      </c>
      <c r="G59" s="57">
        <f>CRM_MAGDY!N59</f>
        <v>0</v>
      </c>
      <c r="H59" s="57" t="str">
        <f>CRM_MAGDY!M59</f>
        <v>oferta</v>
      </c>
      <c r="I59" s="57">
        <f t="shared" si="0"/>
        <v>0</v>
      </c>
      <c r="J59" s="57" t="str">
        <f t="shared" si="1"/>
        <v>POTENCJAŁ</v>
      </c>
    </row>
    <row r="60" spans="1:10" x14ac:dyDescent="0.25">
      <c r="A60" s="57" t="str">
        <f>IF(CRM_MAGDY!H60="","","CRM-"&amp;TEXT(ROW()-4,"0000"))</f>
        <v>CRM-0056</v>
      </c>
      <c r="B60" s="57">
        <f>CRM_MAGDY!E60</f>
        <v>0</v>
      </c>
      <c r="C60" s="57">
        <f>CRM_MAGDY!H60</f>
        <v>5498</v>
      </c>
      <c r="D60" s="57" t="str">
        <f>CRM_MAGDY!I60</f>
        <v>Magda B</v>
      </c>
      <c r="E60" s="57">
        <f>IFERROR(VALUE(CRM_MAGDY!K60),0)</f>
        <v>28000</v>
      </c>
      <c r="F60" s="57">
        <f>IFERROR(IF(CRM_MAGDY!L60&gt;1,CRM_MAGDY!L60/100,CRM_MAGDY!L60),0)</f>
        <v>0</v>
      </c>
      <c r="G60" s="57">
        <f>CRM_MAGDY!N60</f>
        <v>0</v>
      </c>
      <c r="H60" s="57" t="str">
        <f>CRM_MAGDY!M60</f>
        <v>oferta</v>
      </c>
      <c r="I60" s="57">
        <f t="shared" si="0"/>
        <v>0</v>
      </c>
      <c r="J60" s="57" t="str">
        <f t="shared" si="1"/>
        <v>POTENCJAŁ</v>
      </c>
    </row>
    <row r="61" spans="1:10" ht="30" x14ac:dyDescent="0.25">
      <c r="A61" s="57" t="str">
        <f>IF(CRM_MAGDY!H61="","","CRM-"&amp;TEXT(ROW()-4,"0000"))</f>
        <v>CRM-0057</v>
      </c>
      <c r="B61" s="57">
        <f>CRM_MAGDY!E61</f>
        <v>0</v>
      </c>
      <c r="C61" s="57">
        <f>CRM_MAGDY!H61</f>
        <v>5499</v>
      </c>
      <c r="D61" s="57" t="str">
        <f>CRM_MAGDY!I61</f>
        <v>Magda B</v>
      </c>
      <c r="E61" s="57">
        <f>IFERROR(VALUE(CRM_MAGDY!K61),0)</f>
        <v>21900</v>
      </c>
      <c r="F61" s="57">
        <f>IFERROR(IF(CRM_MAGDY!L61&gt;1,CRM_MAGDY!L61/100,CRM_MAGDY!L61),0)</f>
        <v>0</v>
      </c>
      <c r="G61" s="57">
        <f>CRM_MAGDY!N61</f>
        <v>0</v>
      </c>
      <c r="H61" s="57" t="str">
        <f>CRM_MAGDY!M61</f>
        <v>widełki cenowe</v>
      </c>
      <c r="I61" s="57">
        <f t="shared" si="0"/>
        <v>0</v>
      </c>
      <c r="J61" s="57" t="str">
        <f t="shared" si="1"/>
        <v>POTENCJAŁ</v>
      </c>
    </row>
    <row r="62" spans="1:10" x14ac:dyDescent="0.25">
      <c r="A62" s="57" t="str">
        <f>IF(CRM_MAGDY!H62="","","CRM-"&amp;TEXT(ROW()-4,"0000"))</f>
        <v>CRM-0058</v>
      </c>
      <c r="B62" s="57">
        <f>CRM_MAGDY!E62</f>
        <v>0</v>
      </c>
      <c r="C62" s="57">
        <f>CRM_MAGDY!H62</f>
        <v>5500</v>
      </c>
      <c r="D62" s="57" t="str">
        <f>CRM_MAGDY!I62</f>
        <v>Magda B</v>
      </c>
      <c r="E62" s="57">
        <f>IFERROR(VALUE(CRM_MAGDY!K62),0)</f>
        <v>25800</v>
      </c>
      <c r="F62" s="57">
        <f>IFERROR(IF(CRM_MAGDY!L62&gt;1,CRM_MAGDY!L62/100,CRM_MAGDY!L62),0)</f>
        <v>0.5</v>
      </c>
      <c r="G62" s="57">
        <f>CRM_MAGDY!N62</f>
        <v>0</v>
      </c>
      <c r="H62" s="57" t="str">
        <f>CRM_MAGDY!M62</f>
        <v>oferta</v>
      </c>
      <c r="I62" s="57">
        <f t="shared" si="0"/>
        <v>12900</v>
      </c>
      <c r="J62" s="57" t="str">
        <f t="shared" si="1"/>
        <v>REALNY</v>
      </c>
    </row>
    <row r="63" spans="1:10" ht="30" customHeight="1" x14ac:dyDescent="0.25">
      <c r="A63" s="57" t="str">
        <f>IF(CRM_MAGDY!H63="","","CRM-"&amp;TEXT(ROW()-4,"0000"))</f>
        <v>CRM-0059</v>
      </c>
      <c r="B63" s="57">
        <f>CRM_MAGDY!E63</f>
        <v>0</v>
      </c>
      <c r="C63" s="57">
        <f>CRM_MAGDY!H63</f>
        <v>5501</v>
      </c>
      <c r="D63" s="57" t="str">
        <f>CRM_MAGDY!I63</f>
        <v>Magda K</v>
      </c>
      <c r="E63" s="57">
        <f>IFERROR(VALUE(CRM_MAGDY!K63),0)</f>
        <v>23000</v>
      </c>
      <c r="F63" s="57">
        <f>IFERROR(IF(CRM_MAGDY!L63&gt;1,CRM_MAGDY!L63/100,CRM_MAGDY!L63),0)</f>
        <v>0</v>
      </c>
      <c r="G63" s="57" t="str">
        <f>CRM_MAGDY!N63</f>
        <v>PRZEGRANA</v>
      </c>
      <c r="H63" s="57" t="str">
        <f>CRM_MAGDY!M63</f>
        <v>follow up</v>
      </c>
      <c r="I63" s="57">
        <f t="shared" si="0"/>
        <v>0</v>
      </c>
      <c r="J63" s="57" t="str">
        <f t="shared" si="1"/>
        <v>POTENCJAŁ</v>
      </c>
    </row>
    <row r="64" spans="1:10" x14ac:dyDescent="0.25">
      <c r="A64" s="57" t="str">
        <f>IF(CRM_MAGDY!H64="","","CRM-"&amp;TEXT(ROW()-4,"0000"))</f>
        <v>CRM-0060</v>
      </c>
      <c r="B64" s="57">
        <f>CRM_MAGDY!E64</f>
        <v>0</v>
      </c>
      <c r="C64" s="57">
        <f>CRM_MAGDY!H64</f>
        <v>5502</v>
      </c>
      <c r="D64" s="57">
        <f>CRM_MAGDY!I64</f>
        <v>0</v>
      </c>
      <c r="E64" s="57">
        <f>IFERROR(VALUE(CRM_MAGDY!K64),0)</f>
        <v>0</v>
      </c>
      <c r="F64" s="57">
        <f>IFERROR(IF(CRM_MAGDY!L64&gt;1,CRM_MAGDY!L64/100,CRM_MAGDY!L64),0)</f>
        <v>0</v>
      </c>
      <c r="G64" s="57">
        <f>CRM_MAGDY!N64</f>
        <v>0</v>
      </c>
      <c r="H64" s="57">
        <f>CRM_MAGDY!M64</f>
        <v>0</v>
      </c>
      <c r="I64" s="57">
        <f t="shared" si="0"/>
        <v>0</v>
      </c>
      <c r="J64" s="57" t="str">
        <f t="shared" si="1"/>
        <v>POTENCJAŁ</v>
      </c>
    </row>
    <row r="65" spans="1:10" ht="30" customHeight="1" x14ac:dyDescent="0.25">
      <c r="A65" s="57" t="str">
        <f>IF(CRM_MAGDY!H65="","","CRM-"&amp;TEXT(ROW()-4,"0000"))</f>
        <v>CRM-0061</v>
      </c>
      <c r="B65" s="57">
        <f>CRM_MAGDY!E65</f>
        <v>0</v>
      </c>
      <c r="C65" s="57">
        <f>CRM_MAGDY!H65</f>
        <v>5503</v>
      </c>
      <c r="D65" s="57" t="str">
        <f>CRM_MAGDY!I65</f>
        <v>Magda K</v>
      </c>
      <c r="E65" s="57">
        <f>IFERROR(VALUE(CRM_MAGDY!K65),0)</f>
        <v>11000</v>
      </c>
      <c r="F65" s="57">
        <f>IFERROR(IF(CRM_MAGDY!L65&gt;1,CRM_MAGDY!L65/100,CRM_MAGDY!L65),0)</f>
        <v>0</v>
      </c>
      <c r="G65" s="57" t="str">
        <f>CRM_MAGDY!N65</f>
        <v>PRZEGRANA</v>
      </c>
      <c r="H65" s="57" t="str">
        <f>CRM_MAGDY!M65</f>
        <v>widełki cenowe</v>
      </c>
      <c r="I65" s="57">
        <f t="shared" si="0"/>
        <v>0</v>
      </c>
      <c r="J65" s="57" t="str">
        <f t="shared" si="1"/>
        <v>POTENCJAŁ</v>
      </c>
    </row>
    <row r="66" spans="1:10" ht="30" customHeight="1" x14ac:dyDescent="0.25">
      <c r="A66" s="57" t="str">
        <f>IF(CRM_MAGDY!H66="","","CRM-"&amp;TEXT(ROW()-4,"0000"))</f>
        <v>CRM-0062</v>
      </c>
      <c r="B66" s="57">
        <f>CRM_MAGDY!E66</f>
        <v>0</v>
      </c>
      <c r="C66" s="57">
        <f>CRM_MAGDY!H66</f>
        <v>5504</v>
      </c>
      <c r="D66" s="57" t="str">
        <f>CRM_MAGDY!I66</f>
        <v>Magda K</v>
      </c>
      <c r="E66" s="57">
        <f>IFERROR(VALUE(CRM_MAGDY!K66),0)</f>
        <v>40000</v>
      </c>
      <c r="F66" s="57">
        <f>IFERROR(IF(CRM_MAGDY!L66&gt;1,CRM_MAGDY!L66/100,CRM_MAGDY!L66),0)</f>
        <v>1</v>
      </c>
      <c r="G66" s="57" t="str">
        <f>CRM_MAGDY!N66</f>
        <v>WYGRANA</v>
      </c>
      <c r="H66" s="57" t="str">
        <f>CRM_MAGDY!M66</f>
        <v>zamówienie</v>
      </c>
      <c r="I66" s="57">
        <f t="shared" si="0"/>
        <v>0</v>
      </c>
      <c r="J66" s="57" t="str">
        <f t="shared" si="1"/>
        <v>PEWNY</v>
      </c>
    </row>
    <row r="67" spans="1:10" x14ac:dyDescent="0.25">
      <c r="A67" s="57" t="str">
        <f>IF(CRM_MAGDY!H67="","","CRM-"&amp;TEXT(ROW()-4,"0000"))</f>
        <v>CRM-0063</v>
      </c>
      <c r="B67" s="57">
        <f>CRM_MAGDY!E67</f>
        <v>0</v>
      </c>
      <c r="C67" s="57">
        <f>CRM_MAGDY!H67</f>
        <v>5505</v>
      </c>
      <c r="D67" s="57" t="str">
        <f>CRM_MAGDY!I67</f>
        <v>Magda K</v>
      </c>
      <c r="E67" s="57">
        <f>IFERROR(VALUE(CRM_MAGDY!K67),0)</f>
        <v>23000</v>
      </c>
      <c r="F67" s="57">
        <f>IFERROR(IF(CRM_MAGDY!L67&gt;1,CRM_MAGDY!L67/100,CRM_MAGDY!L67),0)</f>
        <v>0</v>
      </c>
      <c r="G67" s="57">
        <f>CRM_MAGDY!N67</f>
        <v>0</v>
      </c>
      <c r="H67" s="57" t="str">
        <f>CRM_MAGDY!M67</f>
        <v>follow up</v>
      </c>
      <c r="I67" s="57">
        <f t="shared" si="0"/>
        <v>0</v>
      </c>
      <c r="J67" s="57" t="str">
        <f t="shared" si="1"/>
        <v>POTENCJAŁ</v>
      </c>
    </row>
    <row r="68" spans="1:10" x14ac:dyDescent="0.25">
      <c r="A68" s="57" t="str">
        <f>IF(CRM_MAGDY!H68="","","CRM-"&amp;TEXT(ROW()-4,"0000"))</f>
        <v>CRM-0064</v>
      </c>
      <c r="B68" s="57">
        <f>CRM_MAGDY!E68</f>
        <v>0</v>
      </c>
      <c r="C68" s="57">
        <f>CRM_MAGDY!H68</f>
        <v>5506</v>
      </c>
      <c r="D68" s="57" t="str">
        <f>CRM_MAGDY!I68</f>
        <v>Magda B</v>
      </c>
      <c r="E68" s="57">
        <f>IFERROR(VALUE(CRM_MAGDY!K68),0)</f>
        <v>16000</v>
      </c>
      <c r="F68" s="57">
        <f>IFERROR(IF(CRM_MAGDY!L68&gt;1,CRM_MAGDY!L68/100,CRM_MAGDY!L68),0)</f>
        <v>0</v>
      </c>
      <c r="G68" s="57">
        <f>CRM_MAGDY!N68</f>
        <v>0</v>
      </c>
      <c r="H68" s="57" t="str">
        <f>CRM_MAGDY!M68</f>
        <v>oferta</v>
      </c>
      <c r="I68" s="57">
        <f t="shared" si="0"/>
        <v>0</v>
      </c>
      <c r="J68" s="57" t="str">
        <f t="shared" si="1"/>
        <v>POTENCJAŁ</v>
      </c>
    </row>
    <row r="69" spans="1:10" x14ac:dyDescent="0.25">
      <c r="A69" s="57" t="str">
        <f>IF(CRM_MAGDY!H69="","","CRM-"&amp;TEXT(ROW()-4,"0000"))</f>
        <v>CRM-0065</v>
      </c>
      <c r="B69" s="57">
        <f>CRM_MAGDY!E69</f>
        <v>0</v>
      </c>
      <c r="C69" s="57">
        <f>CRM_MAGDY!H69</f>
        <v>5507</v>
      </c>
      <c r="D69" s="57" t="str">
        <f>CRM_MAGDY!I69</f>
        <v>Magda K</v>
      </c>
      <c r="E69" s="57">
        <f>IFERROR(VALUE(CRM_MAGDY!K69),0)</f>
        <v>11000</v>
      </c>
      <c r="F69" s="57">
        <f>IFERROR(IF(CRM_MAGDY!L69&gt;1,CRM_MAGDY!L69/100,CRM_MAGDY!L69),0)</f>
        <v>0</v>
      </c>
      <c r="G69" s="57">
        <f>CRM_MAGDY!N69</f>
        <v>0</v>
      </c>
      <c r="H69" s="57" t="str">
        <f>CRM_MAGDY!M69</f>
        <v>follow up</v>
      </c>
      <c r="I69" s="57">
        <f t="shared" ref="I69:I132" si="2">IF(OR(G69="WYGRANA",G69="PRZEGRANA"),0,E69*F69)</f>
        <v>0</v>
      </c>
      <c r="J69" s="57" t="str">
        <f t="shared" ref="J69:J132" si="3">IF(F69&gt;=0.7,"PEWNY",IF(F69&gt;=0.3,"REALNY","POTENCJAŁ"))</f>
        <v>POTENCJAŁ</v>
      </c>
    </row>
    <row r="70" spans="1:10" ht="30" customHeight="1" x14ac:dyDescent="0.25">
      <c r="A70" s="57" t="str">
        <f>IF(CRM_MAGDY!H70="","","CRM-"&amp;TEXT(ROW()-4,"0000"))</f>
        <v>CRM-0066</v>
      </c>
      <c r="B70" s="57">
        <f>CRM_MAGDY!E70</f>
        <v>0</v>
      </c>
      <c r="C70" s="57">
        <f>CRM_MAGDY!H70</f>
        <v>5508</v>
      </c>
      <c r="D70" s="57" t="str">
        <f>CRM_MAGDY!I70</f>
        <v>Magda K</v>
      </c>
      <c r="E70" s="57">
        <f>IFERROR(VALUE(CRM_MAGDY!K70),0)</f>
        <v>11000</v>
      </c>
      <c r="F70" s="57">
        <f>IFERROR(IF(CRM_MAGDY!L70&gt;1,CRM_MAGDY!L70/100,CRM_MAGDY!L70),0)</f>
        <v>0.1</v>
      </c>
      <c r="G70" s="57" t="str">
        <f>CRM_MAGDY!N70</f>
        <v>PRZEGRANA</v>
      </c>
      <c r="H70" s="57" t="str">
        <f>CRM_MAGDY!M70</f>
        <v>wstępne rozmowy</v>
      </c>
      <c r="I70" s="57">
        <f t="shared" si="2"/>
        <v>0</v>
      </c>
      <c r="J70" s="57" t="str">
        <f t="shared" si="3"/>
        <v>POTENCJAŁ</v>
      </c>
    </row>
    <row r="71" spans="1:10" x14ac:dyDescent="0.25">
      <c r="A71" s="57" t="str">
        <f>IF(CRM_MAGDY!H71="","","CRM-"&amp;TEXT(ROW()-4,"0000"))</f>
        <v>CRM-0067</v>
      </c>
      <c r="B71" s="57">
        <f>CRM_MAGDY!E71</f>
        <v>0</v>
      </c>
      <c r="C71" s="57">
        <f>CRM_MAGDY!H71</f>
        <v>5509</v>
      </c>
      <c r="D71" s="57" t="str">
        <f>CRM_MAGDY!I71</f>
        <v>Magda K</v>
      </c>
      <c r="E71" s="57">
        <f>IFERROR(VALUE(CRM_MAGDY!K71),0)</f>
        <v>24000</v>
      </c>
      <c r="F71" s="57">
        <f>IFERROR(IF(CRM_MAGDY!L71&gt;1,CRM_MAGDY!L71/100,CRM_MAGDY!L71),0)</f>
        <v>0</v>
      </c>
      <c r="G71" s="57">
        <f>CRM_MAGDY!N71</f>
        <v>0</v>
      </c>
      <c r="H71" s="57" t="str">
        <f>CRM_MAGDY!M71</f>
        <v>follow up</v>
      </c>
      <c r="I71" s="57">
        <f t="shared" si="2"/>
        <v>0</v>
      </c>
      <c r="J71" s="57" t="str">
        <f t="shared" si="3"/>
        <v>POTENCJAŁ</v>
      </c>
    </row>
    <row r="72" spans="1:10" ht="30" customHeight="1" x14ac:dyDescent="0.25">
      <c r="A72" s="57" t="str">
        <f>IF(CRM_MAGDY!H72="","","CRM-"&amp;TEXT(ROW()-4,"0000"))</f>
        <v>CRM-0068</v>
      </c>
      <c r="B72" s="57">
        <f>CRM_MAGDY!E72</f>
        <v>0</v>
      </c>
      <c r="C72" s="57">
        <f>CRM_MAGDY!H72</f>
        <v>5510</v>
      </c>
      <c r="D72" s="57" t="str">
        <f>CRM_MAGDY!I72</f>
        <v>Magda K</v>
      </c>
      <c r="E72" s="57">
        <f>IFERROR(VALUE(CRM_MAGDY!K72),0)</f>
        <v>22000</v>
      </c>
      <c r="F72" s="57">
        <f>IFERROR(IF(CRM_MAGDY!L72&gt;1,CRM_MAGDY!L72/100,CRM_MAGDY!L72),0)</f>
        <v>0</v>
      </c>
      <c r="G72" s="57" t="str">
        <f>CRM_MAGDY!N72</f>
        <v>PRZEGRANA</v>
      </c>
      <c r="H72" s="57" t="str">
        <f>CRM_MAGDY!M72</f>
        <v>oferta</v>
      </c>
      <c r="I72" s="57">
        <f t="shared" si="2"/>
        <v>0</v>
      </c>
      <c r="J72" s="57" t="str">
        <f t="shared" si="3"/>
        <v>POTENCJAŁ</v>
      </c>
    </row>
    <row r="73" spans="1:10" x14ac:dyDescent="0.25">
      <c r="A73" s="57" t="str">
        <f>IF(CRM_MAGDY!H73="","","CRM-"&amp;TEXT(ROW()-4,"0000"))</f>
        <v>CRM-0069</v>
      </c>
      <c r="B73" s="57">
        <f>CRM_MAGDY!E73</f>
        <v>0</v>
      </c>
      <c r="C73" s="57">
        <f>CRM_MAGDY!H73</f>
        <v>5511</v>
      </c>
      <c r="D73" s="57" t="str">
        <f>CRM_MAGDY!I73</f>
        <v>Magda B</v>
      </c>
      <c r="E73" s="57">
        <f>IFERROR(VALUE(CRM_MAGDY!K73),0)</f>
        <v>0</v>
      </c>
      <c r="F73" s="57">
        <f>IFERROR(IF(CRM_MAGDY!L73&gt;1,CRM_MAGDY!L73/100,CRM_MAGDY!L73),0)</f>
        <v>0</v>
      </c>
      <c r="G73" s="57">
        <f>CRM_MAGDY!N73</f>
        <v>0</v>
      </c>
      <c r="H73" s="57">
        <f>CRM_MAGDY!M73</f>
        <v>0</v>
      </c>
      <c r="I73" s="57">
        <f t="shared" si="2"/>
        <v>0</v>
      </c>
      <c r="J73" s="57" t="str">
        <f t="shared" si="3"/>
        <v>POTENCJAŁ</v>
      </c>
    </row>
    <row r="74" spans="1:10" x14ac:dyDescent="0.25">
      <c r="A74" s="57" t="str">
        <f>IF(CRM_MAGDY!H74="","","CRM-"&amp;TEXT(ROW()-4,"0000"))</f>
        <v>CRM-0070</v>
      </c>
      <c r="B74" s="57">
        <f>CRM_MAGDY!E74</f>
        <v>0</v>
      </c>
      <c r="C74" s="57">
        <f>CRM_MAGDY!H74</f>
        <v>5512</v>
      </c>
      <c r="D74" s="57" t="str">
        <f>CRM_MAGDY!I74</f>
        <v>Magda K</v>
      </c>
      <c r="E74" s="57">
        <f>IFERROR(VALUE(CRM_MAGDY!K74),0)</f>
        <v>23000</v>
      </c>
      <c r="F74" s="57">
        <f>IFERROR(IF(CRM_MAGDY!L74&gt;1,CRM_MAGDY!L74/100,CRM_MAGDY!L74),0)</f>
        <v>0</v>
      </c>
      <c r="G74" s="57">
        <f>CRM_MAGDY!N74</f>
        <v>0</v>
      </c>
      <c r="H74" s="57" t="str">
        <f>CRM_MAGDY!M74</f>
        <v>follow up</v>
      </c>
      <c r="I74" s="57">
        <f t="shared" si="2"/>
        <v>0</v>
      </c>
      <c r="J74" s="57" t="str">
        <f t="shared" si="3"/>
        <v>POTENCJAŁ</v>
      </c>
    </row>
    <row r="75" spans="1:10" x14ac:dyDescent="0.25">
      <c r="A75" s="57" t="str">
        <f>IF(CRM_MAGDY!H75="","","CRM-"&amp;TEXT(ROW()-4,"0000"))</f>
        <v>CRM-0071</v>
      </c>
      <c r="B75" s="57">
        <f>CRM_MAGDY!E75</f>
        <v>0</v>
      </c>
      <c r="C75" s="57">
        <f>CRM_MAGDY!H75</f>
        <v>5513</v>
      </c>
      <c r="D75" s="57" t="str">
        <f>CRM_MAGDY!I75</f>
        <v>Magda K</v>
      </c>
      <c r="E75" s="57">
        <f>IFERROR(VALUE(CRM_MAGDY!K75),0)</f>
        <v>23000</v>
      </c>
      <c r="F75" s="57">
        <f>IFERROR(IF(CRM_MAGDY!L75&gt;1,CRM_MAGDY!L75/100,CRM_MAGDY!L75),0)</f>
        <v>0</v>
      </c>
      <c r="G75" s="57">
        <f>CRM_MAGDY!N75</f>
        <v>0</v>
      </c>
      <c r="H75" s="57" t="str">
        <f>CRM_MAGDY!M75</f>
        <v>follow up</v>
      </c>
      <c r="I75" s="57">
        <f t="shared" si="2"/>
        <v>0</v>
      </c>
      <c r="J75" s="57" t="str">
        <f t="shared" si="3"/>
        <v>POTENCJAŁ</v>
      </c>
    </row>
    <row r="76" spans="1:10" x14ac:dyDescent="0.25">
      <c r="A76" s="57" t="str">
        <f>IF(CRM_MAGDY!H76="","","CRM-"&amp;TEXT(ROW()-4,"0000"))</f>
        <v>CRM-0072</v>
      </c>
      <c r="B76" s="57">
        <f>CRM_MAGDY!E76</f>
        <v>0</v>
      </c>
      <c r="C76" s="57">
        <f>CRM_MAGDY!H76</f>
        <v>5514</v>
      </c>
      <c r="D76" s="57" t="str">
        <f>CRM_MAGDY!I76</f>
        <v>Magda K</v>
      </c>
      <c r="E76" s="57">
        <f>IFERROR(VALUE(CRM_MAGDY!K76),0)</f>
        <v>21000</v>
      </c>
      <c r="F76" s="57">
        <f>IFERROR(IF(CRM_MAGDY!L76&gt;1,CRM_MAGDY!L76/100,CRM_MAGDY!L76),0)</f>
        <v>0</v>
      </c>
      <c r="G76" s="57">
        <f>CRM_MAGDY!N76</f>
        <v>0</v>
      </c>
      <c r="H76" s="57" t="str">
        <f>CRM_MAGDY!M76</f>
        <v>follow up</v>
      </c>
      <c r="I76" s="57">
        <f t="shared" si="2"/>
        <v>0</v>
      </c>
      <c r="J76" s="57" t="str">
        <f t="shared" si="3"/>
        <v>POTENCJAŁ</v>
      </c>
    </row>
    <row r="77" spans="1:10" ht="30" customHeight="1" x14ac:dyDescent="0.25">
      <c r="A77" s="57" t="str">
        <f>IF(CRM_MAGDY!H77="","","CRM-"&amp;TEXT(ROW()-4,"0000"))</f>
        <v>CRM-0073</v>
      </c>
      <c r="B77" s="57">
        <f>CRM_MAGDY!E77</f>
        <v>0</v>
      </c>
      <c r="C77" s="57">
        <f>CRM_MAGDY!H77</f>
        <v>5515</v>
      </c>
      <c r="D77" s="57" t="str">
        <f>CRM_MAGDY!I77</f>
        <v>Magda K</v>
      </c>
      <c r="E77" s="57">
        <f>IFERROR(VALUE(CRM_MAGDY!K77),0)</f>
        <v>25000</v>
      </c>
      <c r="F77" s="57">
        <f>IFERROR(IF(CRM_MAGDY!L77&gt;1,CRM_MAGDY!L77/100,CRM_MAGDY!L77),0)</f>
        <v>0</v>
      </c>
      <c r="G77" s="57" t="str">
        <f>CRM_MAGDY!N77</f>
        <v>PRZEGRANA</v>
      </c>
      <c r="H77" s="57" t="str">
        <f>CRM_MAGDY!M77</f>
        <v>wstępne rozmowy</v>
      </c>
      <c r="I77" s="57">
        <f t="shared" si="2"/>
        <v>0</v>
      </c>
      <c r="J77" s="57" t="str">
        <f t="shared" si="3"/>
        <v>POTENCJAŁ</v>
      </c>
    </row>
    <row r="78" spans="1:10" x14ac:dyDescent="0.25">
      <c r="A78" s="57" t="str">
        <f>IF(CRM_MAGDY!H78="","","CRM-"&amp;TEXT(ROW()-4,"0000"))</f>
        <v>CRM-0074</v>
      </c>
      <c r="B78" s="57">
        <f>CRM_MAGDY!E78</f>
        <v>0</v>
      </c>
      <c r="C78" s="57">
        <f>CRM_MAGDY!H78</f>
        <v>5516</v>
      </c>
      <c r="D78" s="57" t="str">
        <f>CRM_MAGDY!I78</f>
        <v>Magda K</v>
      </c>
      <c r="E78" s="57">
        <f>IFERROR(VALUE(CRM_MAGDY!K78),0)</f>
        <v>18000</v>
      </c>
      <c r="F78" s="57">
        <f>IFERROR(IF(CRM_MAGDY!L78&gt;1,CRM_MAGDY!L78/100,CRM_MAGDY!L78),0)</f>
        <v>0</v>
      </c>
      <c r="G78" s="57">
        <f>CRM_MAGDY!N78</f>
        <v>0</v>
      </c>
      <c r="H78" s="57" t="str">
        <f>CRM_MAGDY!M78</f>
        <v>follow up</v>
      </c>
      <c r="I78" s="57">
        <f t="shared" si="2"/>
        <v>0</v>
      </c>
      <c r="J78" s="57" t="str">
        <f t="shared" si="3"/>
        <v>POTENCJAŁ</v>
      </c>
    </row>
    <row r="79" spans="1:10" ht="30" customHeight="1" x14ac:dyDescent="0.25">
      <c r="A79" s="57" t="str">
        <f>IF(CRM_MAGDY!H79="","","CRM-"&amp;TEXT(ROW()-4,"0000"))</f>
        <v>CRM-0075</v>
      </c>
      <c r="B79" s="57">
        <f>CRM_MAGDY!E79</f>
        <v>0</v>
      </c>
      <c r="C79" s="57">
        <f>CRM_MAGDY!H79</f>
        <v>5517</v>
      </c>
      <c r="D79" s="57" t="str">
        <f>CRM_MAGDY!I79</f>
        <v>Magda B</v>
      </c>
      <c r="E79" s="57">
        <f>IFERROR(VALUE(CRM_MAGDY!K79),0)</f>
        <v>0</v>
      </c>
      <c r="F79" s="57">
        <f>IFERROR(IF(CRM_MAGDY!L79&gt;1,CRM_MAGDY!L79/100,CRM_MAGDY!L79),0)</f>
        <v>1</v>
      </c>
      <c r="G79" s="57" t="str">
        <f>CRM_MAGDY!N79</f>
        <v>WYGRANA</v>
      </c>
      <c r="H79" s="57" t="str">
        <f>CRM_MAGDY!M79</f>
        <v>oferta</v>
      </c>
      <c r="I79" s="57">
        <f t="shared" si="2"/>
        <v>0</v>
      </c>
      <c r="J79" s="57" t="str">
        <f t="shared" si="3"/>
        <v>PEWNY</v>
      </c>
    </row>
    <row r="80" spans="1:10" ht="30" customHeight="1" x14ac:dyDescent="0.25">
      <c r="A80" s="57" t="str">
        <f>IF(CRM_MAGDY!H80="","","CRM-"&amp;TEXT(ROW()-4,"0000"))</f>
        <v>CRM-0076</v>
      </c>
      <c r="B80" s="57">
        <f>CRM_MAGDY!E80</f>
        <v>0</v>
      </c>
      <c r="C80" s="57">
        <f>CRM_MAGDY!H80</f>
        <v>5518</v>
      </c>
      <c r="D80" s="57" t="str">
        <f>CRM_MAGDY!I80</f>
        <v>Magda B</v>
      </c>
      <c r="E80" s="57">
        <f>IFERROR(VALUE(CRM_MAGDY!K80),0)</f>
        <v>31000</v>
      </c>
      <c r="F80" s="57">
        <f>IFERROR(IF(CRM_MAGDY!L80&gt;1,CRM_MAGDY!L80/100,CRM_MAGDY!L80),0)</f>
        <v>1</v>
      </c>
      <c r="G80" s="57" t="str">
        <f>CRM_MAGDY!N80</f>
        <v>WYGRANA</v>
      </c>
      <c r="H80" s="57" t="str">
        <f>CRM_MAGDY!M80</f>
        <v>oferta</v>
      </c>
      <c r="I80" s="57">
        <f t="shared" si="2"/>
        <v>0</v>
      </c>
      <c r="J80" s="57" t="str">
        <f t="shared" si="3"/>
        <v>PEWNY</v>
      </c>
    </row>
    <row r="81" spans="1:10" x14ac:dyDescent="0.25">
      <c r="A81" s="57" t="str">
        <f>IF(CRM_MAGDY!H81="","","CRM-"&amp;TEXT(ROW()-4,"0000"))</f>
        <v>CRM-0077</v>
      </c>
      <c r="B81" s="57">
        <f>CRM_MAGDY!E81</f>
        <v>0</v>
      </c>
      <c r="C81" s="57">
        <f>CRM_MAGDY!H81</f>
        <v>5519</v>
      </c>
      <c r="D81" s="57" t="str">
        <f>CRM_MAGDY!I81</f>
        <v>Magda B</v>
      </c>
      <c r="E81" s="57">
        <f>IFERROR(VALUE(CRM_MAGDY!K81),0)</f>
        <v>20000</v>
      </c>
      <c r="F81" s="57">
        <f>IFERROR(IF(CRM_MAGDY!L81&gt;1,CRM_MAGDY!L81/100,CRM_MAGDY!L81),0)</f>
        <v>0</v>
      </c>
      <c r="G81" s="57">
        <f>CRM_MAGDY!N81</f>
        <v>0</v>
      </c>
      <c r="H81" s="57" t="str">
        <f>CRM_MAGDY!M81</f>
        <v>oferta</v>
      </c>
      <c r="I81" s="57">
        <f t="shared" si="2"/>
        <v>0</v>
      </c>
      <c r="J81" s="57" t="str">
        <f t="shared" si="3"/>
        <v>POTENCJAŁ</v>
      </c>
    </row>
    <row r="82" spans="1:10" x14ac:dyDescent="0.25">
      <c r="A82" s="57" t="str">
        <f>IF(CRM_MAGDY!H82="","","CRM-"&amp;TEXT(ROW()-4,"0000"))</f>
        <v>CRM-0078</v>
      </c>
      <c r="B82" s="57">
        <f>CRM_MAGDY!E82</f>
        <v>0</v>
      </c>
      <c r="C82" s="57">
        <f>CRM_MAGDY!H82</f>
        <v>5520</v>
      </c>
      <c r="D82" s="57" t="str">
        <f>CRM_MAGDY!I82</f>
        <v>Magda K</v>
      </c>
      <c r="E82" s="57">
        <f>IFERROR(VALUE(CRM_MAGDY!K82),0)</f>
        <v>20000</v>
      </c>
      <c r="F82" s="57">
        <f>IFERROR(IF(CRM_MAGDY!L82&gt;1,CRM_MAGDY!L82/100,CRM_MAGDY!L82),0)</f>
        <v>0</v>
      </c>
      <c r="G82" s="57">
        <f>CRM_MAGDY!N82</f>
        <v>0</v>
      </c>
      <c r="H82" s="57" t="str">
        <f>CRM_MAGDY!M82</f>
        <v>oferta</v>
      </c>
      <c r="I82" s="57">
        <f t="shared" si="2"/>
        <v>0</v>
      </c>
      <c r="J82" s="57" t="str">
        <f t="shared" si="3"/>
        <v>POTENCJAŁ</v>
      </c>
    </row>
    <row r="83" spans="1:10" x14ac:dyDescent="0.25">
      <c r="A83" s="57" t="str">
        <f>IF(CRM_MAGDY!H83="","","CRM-"&amp;TEXT(ROW()-4,"0000"))</f>
        <v>CRM-0079</v>
      </c>
      <c r="B83" s="57">
        <f>CRM_MAGDY!E83</f>
        <v>0</v>
      </c>
      <c r="C83" s="57">
        <f>CRM_MAGDY!H83</f>
        <v>5521</v>
      </c>
      <c r="D83" s="57" t="str">
        <f>CRM_MAGDY!I83</f>
        <v>Magda B</v>
      </c>
      <c r="E83" s="57">
        <f>IFERROR(VALUE(CRM_MAGDY!K83),0)</f>
        <v>0</v>
      </c>
      <c r="F83" s="57">
        <f>IFERROR(IF(CRM_MAGDY!L83&gt;1,CRM_MAGDY!L83/100,CRM_MAGDY!L83),0)</f>
        <v>0</v>
      </c>
      <c r="G83" s="57">
        <f>CRM_MAGDY!N83</f>
        <v>0</v>
      </c>
      <c r="H83" s="57" t="str">
        <f>CRM_MAGDY!M83</f>
        <v>oferta</v>
      </c>
      <c r="I83" s="57">
        <f t="shared" si="2"/>
        <v>0</v>
      </c>
      <c r="J83" s="57" t="str">
        <f t="shared" si="3"/>
        <v>POTENCJAŁ</v>
      </c>
    </row>
    <row r="84" spans="1:10" x14ac:dyDescent="0.25">
      <c r="A84" s="57" t="str">
        <f>IF(CRM_MAGDY!H84="","","CRM-"&amp;TEXT(ROW()-4,"0000"))</f>
        <v>CRM-0080</v>
      </c>
      <c r="B84" s="57">
        <f>CRM_MAGDY!E84</f>
        <v>0</v>
      </c>
      <c r="C84" s="57">
        <f>CRM_MAGDY!H84</f>
        <v>5522</v>
      </c>
      <c r="D84" s="57" t="str">
        <f>CRM_MAGDY!I84</f>
        <v>Magda K</v>
      </c>
      <c r="E84" s="57">
        <f>IFERROR(VALUE(CRM_MAGDY!K84),0)</f>
        <v>19500</v>
      </c>
      <c r="F84" s="57">
        <f>IFERROR(IF(CRM_MAGDY!L84&gt;1,CRM_MAGDY!L84/100,CRM_MAGDY!L84),0)</f>
        <v>0</v>
      </c>
      <c r="G84" s="57">
        <f>CRM_MAGDY!N84</f>
        <v>0</v>
      </c>
      <c r="H84" s="57" t="str">
        <f>CRM_MAGDY!M84</f>
        <v>oferta</v>
      </c>
      <c r="I84" s="57">
        <f t="shared" si="2"/>
        <v>0</v>
      </c>
      <c r="J84" s="57" t="str">
        <f t="shared" si="3"/>
        <v>POTENCJAŁ</v>
      </c>
    </row>
    <row r="85" spans="1:10" ht="30" customHeight="1" x14ac:dyDescent="0.25">
      <c r="A85" s="57" t="str">
        <f>IF(CRM_MAGDY!H85="","","CRM-"&amp;TEXT(ROW()-4,"0000"))</f>
        <v>CRM-0081</v>
      </c>
      <c r="B85" s="57">
        <f>CRM_MAGDY!E85</f>
        <v>0</v>
      </c>
      <c r="C85" s="57">
        <f>CRM_MAGDY!H85</f>
        <v>5523</v>
      </c>
      <c r="D85" s="57" t="str">
        <f>CRM_MAGDY!I85</f>
        <v>Magda B</v>
      </c>
      <c r="E85" s="57">
        <f>IFERROR(VALUE(CRM_MAGDY!K85),0)</f>
        <v>30024</v>
      </c>
      <c r="F85" s="57">
        <f>IFERROR(IF(CRM_MAGDY!L85&gt;1,CRM_MAGDY!L85/100,CRM_MAGDY!L85),0)</f>
        <v>1</v>
      </c>
      <c r="G85" s="57" t="str">
        <f>CRM_MAGDY!N85</f>
        <v>WYGRANA</v>
      </c>
      <c r="H85" s="57" t="str">
        <f>CRM_MAGDY!M85</f>
        <v>realizacja</v>
      </c>
      <c r="I85" s="57">
        <f t="shared" si="2"/>
        <v>0</v>
      </c>
      <c r="J85" s="57" t="str">
        <f t="shared" si="3"/>
        <v>PEWNY</v>
      </c>
    </row>
    <row r="86" spans="1:10" x14ac:dyDescent="0.25">
      <c r="A86" s="57" t="str">
        <f>IF(CRM_MAGDY!H86="","","CRM-"&amp;TEXT(ROW()-4,"0000"))</f>
        <v>CRM-0082</v>
      </c>
      <c r="B86" s="57">
        <f>CRM_MAGDY!E86</f>
        <v>0</v>
      </c>
      <c r="C86" s="57">
        <f>CRM_MAGDY!H86</f>
        <v>5524</v>
      </c>
      <c r="D86" s="57" t="str">
        <f>CRM_MAGDY!I86</f>
        <v>Magda K</v>
      </c>
      <c r="E86" s="57">
        <f>IFERROR(VALUE(CRM_MAGDY!K86),0)</f>
        <v>21000</v>
      </c>
      <c r="F86" s="57">
        <f>IFERROR(IF(CRM_MAGDY!L86&gt;1,CRM_MAGDY!L86/100,CRM_MAGDY!L86),0)</f>
        <v>0</v>
      </c>
      <c r="G86" s="57">
        <f>CRM_MAGDY!N86</f>
        <v>0</v>
      </c>
      <c r="H86" s="57" t="str">
        <f>CRM_MAGDY!M86</f>
        <v>oferta</v>
      </c>
      <c r="I86" s="57">
        <f t="shared" si="2"/>
        <v>0</v>
      </c>
      <c r="J86" s="57" t="str">
        <f t="shared" si="3"/>
        <v>POTENCJAŁ</v>
      </c>
    </row>
    <row r="87" spans="1:10" x14ac:dyDescent="0.25">
      <c r="A87" s="57" t="str">
        <f>IF(CRM_MAGDY!H87="","","CRM-"&amp;TEXT(ROW()-4,"0000"))</f>
        <v>CRM-0083</v>
      </c>
      <c r="B87" s="57">
        <f>CRM_MAGDY!E87</f>
        <v>0</v>
      </c>
      <c r="C87" s="57">
        <f>CRM_MAGDY!H87</f>
        <v>5525</v>
      </c>
      <c r="D87" s="57" t="str">
        <f>CRM_MAGDY!I87</f>
        <v>Magda B</v>
      </c>
      <c r="E87" s="57">
        <f>IFERROR(VALUE(CRM_MAGDY!K87),0)</f>
        <v>37098</v>
      </c>
      <c r="F87" s="57">
        <f>IFERROR(IF(CRM_MAGDY!L87&gt;1,CRM_MAGDY!L87/100,CRM_MAGDY!L87),0)</f>
        <v>0</v>
      </c>
      <c r="G87" s="57">
        <f>CRM_MAGDY!N87</f>
        <v>0</v>
      </c>
      <c r="H87" s="57" t="str">
        <f>CRM_MAGDY!M87</f>
        <v>oferta</v>
      </c>
      <c r="I87" s="57">
        <f t="shared" si="2"/>
        <v>0</v>
      </c>
      <c r="J87" s="57" t="str">
        <f t="shared" si="3"/>
        <v>POTENCJAŁ</v>
      </c>
    </row>
    <row r="88" spans="1:10" x14ac:dyDescent="0.25">
      <c r="A88" s="57" t="str">
        <f>IF(CRM_MAGDY!H88="","","CRM-"&amp;TEXT(ROW()-4,"0000"))</f>
        <v>CRM-0084</v>
      </c>
      <c r="B88" s="57">
        <f>CRM_MAGDY!E88</f>
        <v>0</v>
      </c>
      <c r="C88" s="57">
        <f>CRM_MAGDY!H88</f>
        <v>5526</v>
      </c>
      <c r="D88" s="57" t="str">
        <f>CRM_MAGDY!I88</f>
        <v>Magda B</v>
      </c>
      <c r="E88" s="57">
        <f>IFERROR(VALUE(CRM_MAGDY!K88),0)</f>
        <v>30000</v>
      </c>
      <c r="F88" s="57">
        <f>IFERROR(IF(CRM_MAGDY!L88&gt;1,CRM_MAGDY!L88/100,CRM_MAGDY!L88),0)</f>
        <v>0</v>
      </c>
      <c r="G88" s="57">
        <f>CRM_MAGDY!N88</f>
        <v>0</v>
      </c>
      <c r="H88" s="57" t="str">
        <f>CRM_MAGDY!M88</f>
        <v>oferta</v>
      </c>
      <c r="I88" s="57">
        <f t="shared" si="2"/>
        <v>0</v>
      </c>
      <c r="J88" s="57" t="str">
        <f t="shared" si="3"/>
        <v>POTENCJAŁ</v>
      </c>
    </row>
    <row r="89" spans="1:10" ht="30" customHeight="1" x14ac:dyDescent="0.25">
      <c r="A89" s="57" t="str">
        <f>IF(CRM_MAGDY!H89="","","CRM-"&amp;TEXT(ROW()-4,"0000"))</f>
        <v>CRM-0085</v>
      </c>
      <c r="B89" s="57">
        <f>CRM_MAGDY!E89</f>
        <v>0</v>
      </c>
      <c r="C89" s="57">
        <f>CRM_MAGDY!H89</f>
        <v>5527</v>
      </c>
      <c r="D89" s="57" t="str">
        <f>CRM_MAGDY!I89</f>
        <v>Magda K</v>
      </c>
      <c r="E89" s="57">
        <f>IFERROR(VALUE(CRM_MAGDY!K89),0)</f>
        <v>23000</v>
      </c>
      <c r="F89" s="57">
        <f>IFERROR(IF(CRM_MAGDY!L89&gt;1,CRM_MAGDY!L89/100,CRM_MAGDY!L89),0)</f>
        <v>0</v>
      </c>
      <c r="G89" s="57" t="str">
        <f>CRM_MAGDY!N89</f>
        <v>PRZEGRANA</v>
      </c>
      <c r="H89" s="57" t="str">
        <f>CRM_MAGDY!M89</f>
        <v>oferta</v>
      </c>
      <c r="I89" s="57">
        <f t="shared" si="2"/>
        <v>0</v>
      </c>
      <c r="J89" s="57" t="str">
        <f t="shared" si="3"/>
        <v>POTENCJAŁ</v>
      </c>
    </row>
    <row r="90" spans="1:10" x14ac:dyDescent="0.25">
      <c r="A90" s="57" t="str">
        <f>IF(CRM_MAGDY!H90="","","CRM-"&amp;TEXT(ROW()-4,"0000"))</f>
        <v>CRM-0086</v>
      </c>
      <c r="B90" s="57">
        <f>CRM_MAGDY!E90</f>
        <v>0</v>
      </c>
      <c r="C90" s="57">
        <f>CRM_MAGDY!H90</f>
        <v>5528</v>
      </c>
      <c r="D90" s="57" t="str">
        <f>CRM_MAGDY!I90</f>
        <v>Magda K</v>
      </c>
      <c r="E90" s="57">
        <f>IFERROR(VALUE(CRM_MAGDY!K90),0)</f>
        <v>15000</v>
      </c>
      <c r="F90" s="57">
        <f>IFERROR(IF(CRM_MAGDY!L90&gt;1,CRM_MAGDY!L90/100,CRM_MAGDY!L90),0)</f>
        <v>0</v>
      </c>
      <c r="G90" s="57">
        <f>CRM_MAGDY!N90</f>
        <v>0</v>
      </c>
      <c r="H90" s="57" t="str">
        <f>CRM_MAGDY!M90</f>
        <v>oferta</v>
      </c>
      <c r="I90" s="57">
        <f t="shared" si="2"/>
        <v>0</v>
      </c>
      <c r="J90" s="57" t="str">
        <f t="shared" si="3"/>
        <v>POTENCJAŁ</v>
      </c>
    </row>
    <row r="91" spans="1:10" x14ac:dyDescent="0.25">
      <c r="A91" s="57" t="str">
        <f>IF(CRM_MAGDY!H91="","","CRM-"&amp;TEXT(ROW()-4,"0000"))</f>
        <v>CRM-0087</v>
      </c>
      <c r="B91" s="57">
        <f>CRM_MAGDY!E91</f>
        <v>0</v>
      </c>
      <c r="C91" s="57">
        <f>CRM_MAGDY!H91</f>
        <v>5529</v>
      </c>
      <c r="D91" s="57" t="str">
        <f>CRM_MAGDY!I91</f>
        <v>Magda K</v>
      </c>
      <c r="E91" s="57">
        <f>IFERROR(VALUE(CRM_MAGDY!K91),0)</f>
        <v>23000</v>
      </c>
      <c r="F91" s="57">
        <f>IFERROR(IF(CRM_MAGDY!L91&gt;1,CRM_MAGDY!L91/100,CRM_MAGDY!L91),0)</f>
        <v>0</v>
      </c>
      <c r="G91" s="57">
        <f>CRM_MAGDY!N91</f>
        <v>0</v>
      </c>
      <c r="H91" s="57" t="str">
        <f>CRM_MAGDY!M91</f>
        <v>oferta</v>
      </c>
      <c r="I91" s="57">
        <f t="shared" si="2"/>
        <v>0</v>
      </c>
      <c r="J91" s="57" t="str">
        <f t="shared" si="3"/>
        <v>POTENCJAŁ</v>
      </c>
    </row>
    <row r="92" spans="1:10" x14ac:dyDescent="0.25">
      <c r="A92" s="57" t="str">
        <f>IF(CRM_MAGDY!H92="","","CRM-"&amp;TEXT(ROW()-4,"0000"))</f>
        <v>CRM-0088</v>
      </c>
      <c r="B92" s="57">
        <f>CRM_MAGDY!E92</f>
        <v>0</v>
      </c>
      <c r="C92" s="57">
        <f>CRM_MAGDY!H92</f>
        <v>5530</v>
      </c>
      <c r="D92" s="57" t="str">
        <f>CRM_MAGDY!I92</f>
        <v>Magda K</v>
      </c>
      <c r="E92" s="57">
        <f>IFERROR(VALUE(CRM_MAGDY!K92),0)</f>
        <v>24000</v>
      </c>
      <c r="F92" s="57">
        <f>IFERROR(IF(CRM_MAGDY!L92&gt;1,CRM_MAGDY!L92/100,CRM_MAGDY!L92),0)</f>
        <v>0</v>
      </c>
      <c r="G92" s="57">
        <f>CRM_MAGDY!N92</f>
        <v>0</v>
      </c>
      <c r="H92" s="57" t="str">
        <f>CRM_MAGDY!M92</f>
        <v>oferta</v>
      </c>
      <c r="I92" s="57">
        <f t="shared" si="2"/>
        <v>0</v>
      </c>
      <c r="J92" s="57" t="str">
        <f t="shared" si="3"/>
        <v>POTENCJAŁ</v>
      </c>
    </row>
    <row r="93" spans="1:10" x14ac:dyDescent="0.25">
      <c r="A93" s="57" t="str">
        <f>IF(CRM_MAGDY!H93="","","CRM-"&amp;TEXT(ROW()-4,"0000"))</f>
        <v>CRM-0089</v>
      </c>
      <c r="B93" s="57">
        <f>CRM_MAGDY!E93</f>
        <v>0</v>
      </c>
      <c r="C93" s="57">
        <f>CRM_MAGDY!H93</f>
        <v>5531</v>
      </c>
      <c r="D93" s="57" t="str">
        <f>CRM_MAGDY!I93</f>
        <v>Magda K</v>
      </c>
      <c r="E93" s="57">
        <f>IFERROR(VALUE(CRM_MAGDY!K93),0)</f>
        <v>20000</v>
      </c>
      <c r="F93" s="57">
        <f>IFERROR(IF(CRM_MAGDY!L93&gt;1,CRM_MAGDY!L93/100,CRM_MAGDY!L93),0)</f>
        <v>0</v>
      </c>
      <c r="G93" s="57">
        <f>CRM_MAGDY!N93</f>
        <v>0</v>
      </c>
      <c r="H93" s="57" t="str">
        <f>CRM_MAGDY!M93</f>
        <v>oferta</v>
      </c>
      <c r="I93" s="57">
        <f t="shared" si="2"/>
        <v>0</v>
      </c>
      <c r="J93" s="57" t="str">
        <f t="shared" si="3"/>
        <v>POTENCJAŁ</v>
      </c>
    </row>
    <row r="94" spans="1:10" x14ac:dyDescent="0.25">
      <c r="A94" s="57" t="str">
        <f>IF(CRM_MAGDY!H94="","","CRM-"&amp;TEXT(ROW()-4,"0000"))</f>
        <v>CRM-0090</v>
      </c>
      <c r="B94" s="57">
        <f>CRM_MAGDY!E94</f>
        <v>0</v>
      </c>
      <c r="C94" s="57">
        <f>CRM_MAGDY!H94</f>
        <v>5532</v>
      </c>
      <c r="D94" s="57" t="str">
        <f>CRM_MAGDY!I94</f>
        <v>Magda K</v>
      </c>
      <c r="E94" s="57">
        <f>IFERROR(VALUE(CRM_MAGDY!K94),0)</f>
        <v>32000</v>
      </c>
      <c r="F94" s="57">
        <f>IFERROR(IF(CRM_MAGDY!L94&gt;1,CRM_MAGDY!L94/100,CRM_MAGDY!L94),0)</f>
        <v>0</v>
      </c>
      <c r="G94" s="57">
        <f>CRM_MAGDY!N94</f>
        <v>0</v>
      </c>
      <c r="H94" s="57" t="str">
        <f>CRM_MAGDY!M94</f>
        <v>oferta</v>
      </c>
      <c r="I94" s="57">
        <f t="shared" si="2"/>
        <v>0</v>
      </c>
      <c r="J94" s="57" t="str">
        <f t="shared" si="3"/>
        <v>POTENCJAŁ</v>
      </c>
    </row>
    <row r="95" spans="1:10" ht="30" customHeight="1" x14ac:dyDescent="0.25">
      <c r="A95" s="57" t="str">
        <f>IF(CRM_MAGDY!H95="","","CRM-"&amp;TEXT(ROW()-4,"0000"))</f>
        <v>CRM-0091</v>
      </c>
      <c r="B95" s="57">
        <f>CRM_MAGDY!E95</f>
        <v>0</v>
      </c>
      <c r="C95" s="57">
        <f>CRM_MAGDY!H95</f>
        <v>5533</v>
      </c>
      <c r="D95" s="57" t="str">
        <f>CRM_MAGDY!I95</f>
        <v>Magda K</v>
      </c>
      <c r="E95" s="57">
        <f>IFERROR(VALUE(CRM_MAGDY!K95),0)</f>
        <v>23000</v>
      </c>
      <c r="F95" s="57">
        <f>IFERROR(IF(CRM_MAGDY!L95&gt;1,CRM_MAGDY!L95/100,CRM_MAGDY!L95),0)</f>
        <v>1</v>
      </c>
      <c r="G95" s="57" t="str">
        <f>CRM_MAGDY!N95</f>
        <v>WYGRANA</v>
      </c>
      <c r="H95" s="57" t="str">
        <f>CRM_MAGDY!M95</f>
        <v>oferta</v>
      </c>
      <c r="I95" s="57">
        <f t="shared" si="2"/>
        <v>0</v>
      </c>
      <c r="J95" s="57" t="str">
        <f t="shared" si="3"/>
        <v>PEWNY</v>
      </c>
    </row>
    <row r="96" spans="1:10" x14ac:dyDescent="0.25">
      <c r="A96" s="57" t="str">
        <f>IF(CRM_MAGDY!H96="","","CRM-"&amp;TEXT(ROW()-4,"0000"))</f>
        <v>CRM-0092</v>
      </c>
      <c r="B96" s="57">
        <f>CRM_MAGDY!E96</f>
        <v>0</v>
      </c>
      <c r="C96" s="57">
        <f>CRM_MAGDY!H96</f>
        <v>5534</v>
      </c>
      <c r="D96" s="57" t="str">
        <f>CRM_MAGDY!I96</f>
        <v>Magda B</v>
      </c>
      <c r="E96" s="57">
        <f>IFERROR(VALUE(CRM_MAGDY!K96),0)</f>
        <v>0</v>
      </c>
      <c r="F96" s="57">
        <f>IFERROR(IF(CRM_MAGDY!L96&gt;1,CRM_MAGDY!L96/100,CRM_MAGDY!L96),0)</f>
        <v>0</v>
      </c>
      <c r="G96" s="57">
        <f>CRM_MAGDY!N96</f>
        <v>0</v>
      </c>
      <c r="H96" s="57">
        <f>CRM_MAGDY!M96</f>
        <v>0</v>
      </c>
      <c r="I96" s="57">
        <f t="shared" si="2"/>
        <v>0</v>
      </c>
      <c r="J96" s="57" t="str">
        <f t="shared" si="3"/>
        <v>POTENCJAŁ</v>
      </c>
    </row>
    <row r="97" spans="1:10" x14ac:dyDescent="0.25">
      <c r="A97" s="57" t="str">
        <f>IF(CRM_MAGDY!H97="","","CRM-"&amp;TEXT(ROW()-4,"0000"))</f>
        <v>CRM-0093</v>
      </c>
      <c r="B97" s="57">
        <f>CRM_MAGDY!E97</f>
        <v>0</v>
      </c>
      <c r="C97" s="57">
        <f>CRM_MAGDY!H97</f>
        <v>5535</v>
      </c>
      <c r="D97" s="57" t="str">
        <f>CRM_MAGDY!I97</f>
        <v>Magda K</v>
      </c>
      <c r="E97" s="57">
        <f>IFERROR(VALUE(CRM_MAGDY!K97),0)</f>
        <v>90000</v>
      </c>
      <c r="F97" s="57">
        <f>IFERROR(IF(CRM_MAGDY!L97&gt;1,CRM_MAGDY!L97/100,CRM_MAGDY!L97),0)</f>
        <v>0</v>
      </c>
      <c r="G97" s="57">
        <f>CRM_MAGDY!N97</f>
        <v>0</v>
      </c>
      <c r="H97" s="57" t="str">
        <f>CRM_MAGDY!M97</f>
        <v>oferta</v>
      </c>
      <c r="I97" s="57">
        <f t="shared" si="2"/>
        <v>0</v>
      </c>
      <c r="J97" s="57" t="str">
        <f t="shared" si="3"/>
        <v>POTENCJAŁ</v>
      </c>
    </row>
    <row r="98" spans="1:10" ht="30" x14ac:dyDescent="0.25">
      <c r="A98" s="57" t="str">
        <f>IF(CRM_MAGDY!H98="","","CRM-"&amp;TEXT(ROW()-4,"0000"))</f>
        <v>CRM-0094</v>
      </c>
      <c r="B98" s="57">
        <f>CRM_MAGDY!E98</f>
        <v>0</v>
      </c>
      <c r="C98" s="57">
        <f>CRM_MAGDY!H98</f>
        <v>5536</v>
      </c>
      <c r="D98" s="57" t="str">
        <f>CRM_MAGDY!I98</f>
        <v>Magda K</v>
      </c>
      <c r="E98" s="57">
        <f>IFERROR(VALUE(CRM_MAGDY!K98),0)</f>
        <v>0</v>
      </c>
      <c r="F98" s="57">
        <f>IFERROR(IF(CRM_MAGDY!L98&gt;1,CRM_MAGDY!L98/100,CRM_MAGDY!L98),0)</f>
        <v>0</v>
      </c>
      <c r="G98" s="57">
        <f>CRM_MAGDY!N98</f>
        <v>0</v>
      </c>
      <c r="H98" s="57" t="str">
        <f>CRM_MAGDY!M98</f>
        <v>wstępne rozmowy</v>
      </c>
      <c r="I98" s="57">
        <f t="shared" si="2"/>
        <v>0</v>
      </c>
      <c r="J98" s="57" t="str">
        <f t="shared" si="3"/>
        <v>POTENCJAŁ</v>
      </c>
    </row>
    <row r="99" spans="1:10" ht="30" x14ac:dyDescent="0.25">
      <c r="A99" s="57" t="str">
        <f>IF(CRM_MAGDY!H99="","","CRM-"&amp;TEXT(ROW()-4,"0000"))</f>
        <v>CRM-0095</v>
      </c>
      <c r="B99" s="57">
        <f>CRM_MAGDY!E99</f>
        <v>0</v>
      </c>
      <c r="C99" s="57">
        <f>CRM_MAGDY!H99</f>
        <v>5537</v>
      </c>
      <c r="D99" s="57" t="str">
        <f>CRM_MAGDY!I99</f>
        <v>Magda K</v>
      </c>
      <c r="E99" s="57">
        <f>IFERROR(VALUE(CRM_MAGDY!K99),0)</f>
        <v>0</v>
      </c>
      <c r="F99" s="57">
        <f>IFERROR(IF(CRM_MAGDY!L99&gt;1,CRM_MAGDY!L99/100,CRM_MAGDY!L99),0)</f>
        <v>0</v>
      </c>
      <c r="G99" s="57">
        <f>CRM_MAGDY!N99</f>
        <v>0</v>
      </c>
      <c r="H99" s="57" t="str">
        <f>CRM_MAGDY!M99</f>
        <v>wstępne rozmowy</v>
      </c>
      <c r="I99" s="57">
        <f t="shared" si="2"/>
        <v>0</v>
      </c>
      <c r="J99" s="57" t="str">
        <f t="shared" si="3"/>
        <v>POTENCJAŁ</v>
      </c>
    </row>
    <row r="100" spans="1:10" x14ac:dyDescent="0.25">
      <c r="A100" s="57" t="str">
        <f>IF(CRM_MAGDY!H100="","","CRM-"&amp;TEXT(ROW()-4,"0000"))</f>
        <v>CRM-0096</v>
      </c>
      <c r="B100" s="57">
        <f>CRM_MAGDY!E100</f>
        <v>0</v>
      </c>
      <c r="C100" s="57">
        <f>CRM_MAGDY!H100</f>
        <v>5538</v>
      </c>
      <c r="D100" s="57" t="str">
        <f>CRM_MAGDY!I100</f>
        <v>Magda K</v>
      </c>
      <c r="E100" s="57">
        <f>IFERROR(VALUE(CRM_MAGDY!K100),0)</f>
        <v>30000</v>
      </c>
      <c r="F100" s="57">
        <f>IFERROR(IF(CRM_MAGDY!L100&gt;1,CRM_MAGDY!L100/100,CRM_MAGDY!L100),0)</f>
        <v>0</v>
      </c>
      <c r="G100" s="57">
        <f>CRM_MAGDY!N100</f>
        <v>0</v>
      </c>
      <c r="H100" s="57" t="str">
        <f>CRM_MAGDY!M100</f>
        <v>oferta</v>
      </c>
      <c r="I100" s="57">
        <f t="shared" si="2"/>
        <v>0</v>
      </c>
      <c r="J100" s="57" t="str">
        <f t="shared" si="3"/>
        <v>POTENCJAŁ</v>
      </c>
    </row>
    <row r="101" spans="1:10" x14ac:dyDescent="0.25">
      <c r="A101" s="57" t="str">
        <f>IF(CRM_MAGDY!H101="","","CRM-"&amp;TEXT(ROW()-4,"0000"))</f>
        <v>CRM-0097</v>
      </c>
      <c r="B101" s="57">
        <f>CRM_MAGDY!E101</f>
        <v>0</v>
      </c>
      <c r="C101" s="57">
        <f>CRM_MAGDY!H101</f>
        <v>5539</v>
      </c>
      <c r="D101" s="57" t="str">
        <f>CRM_MAGDY!I101</f>
        <v>Magda K</v>
      </c>
      <c r="E101" s="57">
        <f>IFERROR(VALUE(CRM_MAGDY!K101),0)</f>
        <v>41000</v>
      </c>
      <c r="F101" s="57">
        <f>IFERROR(IF(CRM_MAGDY!L101&gt;1,CRM_MAGDY!L101/100,CRM_MAGDY!L101),0)</f>
        <v>0</v>
      </c>
      <c r="G101" s="57">
        <f>CRM_MAGDY!N101</f>
        <v>0</v>
      </c>
      <c r="H101" s="57" t="str">
        <f>CRM_MAGDY!M101</f>
        <v>oferta</v>
      </c>
      <c r="I101" s="57">
        <f t="shared" si="2"/>
        <v>0</v>
      </c>
      <c r="J101" s="57" t="str">
        <f t="shared" si="3"/>
        <v>POTENCJAŁ</v>
      </c>
    </row>
    <row r="102" spans="1:10" x14ac:dyDescent="0.25">
      <c r="A102" s="57" t="str">
        <f>IF(CRM_MAGDY!H102="","","CRM-"&amp;TEXT(ROW()-4,"0000"))</f>
        <v>CRM-0098</v>
      </c>
      <c r="B102" s="57">
        <f>CRM_MAGDY!E102</f>
        <v>0</v>
      </c>
      <c r="C102" s="57">
        <f>CRM_MAGDY!H102</f>
        <v>5540</v>
      </c>
      <c r="D102" s="57" t="str">
        <f>CRM_MAGDY!I102</f>
        <v>Magda K</v>
      </c>
      <c r="E102" s="57">
        <f>IFERROR(VALUE(CRM_MAGDY!K102),0)</f>
        <v>17000</v>
      </c>
      <c r="F102" s="57">
        <f>IFERROR(IF(CRM_MAGDY!L102&gt;1,CRM_MAGDY!L102/100,CRM_MAGDY!L102),0)</f>
        <v>0</v>
      </c>
      <c r="G102" s="57">
        <f>CRM_MAGDY!N102</f>
        <v>0</v>
      </c>
      <c r="H102" s="57" t="str">
        <f>CRM_MAGDY!M102</f>
        <v>oferta</v>
      </c>
      <c r="I102" s="57">
        <f t="shared" si="2"/>
        <v>0</v>
      </c>
      <c r="J102" s="57" t="str">
        <f t="shared" si="3"/>
        <v>POTENCJAŁ</v>
      </c>
    </row>
    <row r="103" spans="1:10" x14ac:dyDescent="0.25">
      <c r="A103" s="57" t="str">
        <f>IF(CRM_MAGDY!H103="","","CRM-"&amp;TEXT(ROW()-4,"0000"))</f>
        <v>CRM-0099</v>
      </c>
      <c r="B103" s="57">
        <f>CRM_MAGDY!E103</f>
        <v>0</v>
      </c>
      <c r="C103" s="57">
        <f>CRM_MAGDY!H103</f>
        <v>5541</v>
      </c>
      <c r="D103" s="57" t="str">
        <f>CRM_MAGDY!I103</f>
        <v>Magda K</v>
      </c>
      <c r="E103" s="57">
        <f>IFERROR(VALUE(CRM_MAGDY!K103),0)</f>
        <v>25000</v>
      </c>
      <c r="F103" s="57">
        <f>IFERROR(IF(CRM_MAGDY!L103&gt;1,CRM_MAGDY!L103/100,CRM_MAGDY!L103),0)</f>
        <v>0</v>
      </c>
      <c r="G103" s="57">
        <f>CRM_MAGDY!N103</f>
        <v>0</v>
      </c>
      <c r="H103" s="57" t="str">
        <f>CRM_MAGDY!M103</f>
        <v>oferta</v>
      </c>
      <c r="I103" s="57">
        <f t="shared" si="2"/>
        <v>0</v>
      </c>
      <c r="J103" s="57" t="str">
        <f t="shared" si="3"/>
        <v>POTENCJAŁ</v>
      </c>
    </row>
    <row r="104" spans="1:10" x14ac:dyDescent="0.25">
      <c r="A104" s="57" t="str">
        <f>IF(CRM_MAGDY!H104="","","CRM-"&amp;TEXT(ROW()-4,"0000"))</f>
        <v>CRM-0100</v>
      </c>
      <c r="B104" s="57">
        <f>CRM_MAGDY!E104</f>
        <v>0</v>
      </c>
      <c r="C104" s="57">
        <f>CRM_MAGDY!H104</f>
        <v>5543</v>
      </c>
      <c r="D104" s="57" t="str">
        <f>CRM_MAGDY!I104</f>
        <v>Magda B</v>
      </c>
      <c r="E104" s="57">
        <f>IFERROR(VALUE(CRM_MAGDY!K104),0)</f>
        <v>22000</v>
      </c>
      <c r="F104" s="57">
        <f>IFERROR(IF(CRM_MAGDY!L104&gt;1,CRM_MAGDY!L104/100,CRM_MAGDY!L104),0)</f>
        <v>0</v>
      </c>
      <c r="G104" s="57">
        <f>CRM_MAGDY!N104</f>
        <v>0</v>
      </c>
      <c r="H104" s="57" t="str">
        <f>CRM_MAGDY!M104</f>
        <v>oferta</v>
      </c>
      <c r="I104" s="57">
        <f t="shared" si="2"/>
        <v>0</v>
      </c>
      <c r="J104" s="57" t="str">
        <f t="shared" si="3"/>
        <v>POTENCJAŁ</v>
      </c>
    </row>
    <row r="105" spans="1:10" x14ac:dyDescent="0.25">
      <c r="A105" s="57" t="str">
        <f>IF(CRM_MAGDY!H105="","","CRM-"&amp;TEXT(ROW()-4,"0000"))</f>
        <v>CRM-0101</v>
      </c>
      <c r="B105" s="57">
        <f>CRM_MAGDY!E105</f>
        <v>0</v>
      </c>
      <c r="C105" s="57">
        <f>CRM_MAGDY!H105</f>
        <v>5544</v>
      </c>
      <c r="D105" s="57" t="str">
        <f>CRM_MAGDY!I105</f>
        <v>Magda B</v>
      </c>
      <c r="E105" s="57">
        <f>IFERROR(VALUE(CRM_MAGDY!K105),0)</f>
        <v>0</v>
      </c>
      <c r="F105" s="57">
        <f>IFERROR(IF(CRM_MAGDY!L105&gt;1,CRM_MAGDY!L105/100,CRM_MAGDY!L105),0)</f>
        <v>0</v>
      </c>
      <c r="G105" s="57">
        <f>CRM_MAGDY!N105</f>
        <v>0</v>
      </c>
      <c r="H105" s="57" t="str">
        <f>CRM_MAGDY!M105</f>
        <v>oferta</v>
      </c>
      <c r="I105" s="57">
        <f t="shared" si="2"/>
        <v>0</v>
      </c>
      <c r="J105" s="57" t="str">
        <f t="shared" si="3"/>
        <v>POTENCJAŁ</v>
      </c>
    </row>
    <row r="106" spans="1:10" x14ac:dyDescent="0.25">
      <c r="A106" s="57" t="str">
        <f>IF(CRM_MAGDY!H106="","","CRM-"&amp;TEXT(ROW()-4,"0000"))</f>
        <v>CRM-0102</v>
      </c>
      <c r="B106" s="57">
        <f>CRM_MAGDY!E106</f>
        <v>0</v>
      </c>
      <c r="C106" s="57">
        <f>CRM_MAGDY!H106</f>
        <v>5545</v>
      </c>
      <c r="D106" s="57" t="str">
        <f>CRM_MAGDY!I106</f>
        <v>Magda K</v>
      </c>
      <c r="E106" s="57">
        <f>IFERROR(VALUE(CRM_MAGDY!K106),0)</f>
        <v>0</v>
      </c>
      <c r="F106" s="57">
        <f>IFERROR(IF(CRM_MAGDY!L106&gt;1,CRM_MAGDY!L106/100,CRM_MAGDY!L106),0)</f>
        <v>0</v>
      </c>
      <c r="G106" s="57">
        <f>CRM_MAGDY!N106</f>
        <v>0</v>
      </c>
      <c r="H106" s="57">
        <f>CRM_MAGDY!M106</f>
        <v>0</v>
      </c>
      <c r="I106" s="57">
        <f t="shared" si="2"/>
        <v>0</v>
      </c>
      <c r="J106" s="57" t="str">
        <f t="shared" si="3"/>
        <v>POTENCJAŁ</v>
      </c>
    </row>
    <row r="107" spans="1:10" ht="30" customHeight="1" x14ac:dyDescent="0.25">
      <c r="A107" s="57" t="str">
        <f>IF(CRM_MAGDY!H107="","","CRM-"&amp;TEXT(ROW()-4,"0000"))</f>
        <v>CRM-0103</v>
      </c>
      <c r="B107" s="57">
        <f>CRM_MAGDY!E107</f>
        <v>0</v>
      </c>
      <c r="C107" s="57">
        <f>CRM_MAGDY!H107</f>
        <v>5546</v>
      </c>
      <c r="D107" s="57" t="str">
        <f>CRM_MAGDY!I107</f>
        <v>Magda B</v>
      </c>
      <c r="E107" s="57">
        <f>IFERROR(VALUE(CRM_MAGDY!K107),0)</f>
        <v>23000</v>
      </c>
      <c r="F107" s="57">
        <f>IFERROR(IF(CRM_MAGDY!L107&gt;1,CRM_MAGDY!L107/100,CRM_MAGDY!L107),0)</f>
        <v>1</v>
      </c>
      <c r="G107" s="57" t="str">
        <f>CRM_MAGDY!N107</f>
        <v>WYGRANA</v>
      </c>
      <c r="H107" s="57" t="str">
        <f>CRM_MAGDY!M107</f>
        <v>oferta</v>
      </c>
      <c r="I107" s="57">
        <f t="shared" si="2"/>
        <v>0</v>
      </c>
      <c r="J107" s="57" t="str">
        <f t="shared" si="3"/>
        <v>PEWNY</v>
      </c>
    </row>
    <row r="108" spans="1:10" x14ac:dyDescent="0.25">
      <c r="A108" s="57" t="str">
        <f>IF(CRM_MAGDY!H108="","","CRM-"&amp;TEXT(ROW()-4,"0000"))</f>
        <v>CRM-0104</v>
      </c>
      <c r="B108" s="57">
        <f>CRM_MAGDY!E108</f>
        <v>0</v>
      </c>
      <c r="C108" s="57">
        <f>CRM_MAGDY!H108</f>
        <v>5547</v>
      </c>
      <c r="D108" s="57" t="str">
        <f>CRM_MAGDY!I108</f>
        <v>Magda K</v>
      </c>
      <c r="E108" s="57">
        <f>IFERROR(VALUE(CRM_MAGDY!K108),0)</f>
        <v>0</v>
      </c>
      <c r="F108" s="57">
        <f>IFERROR(IF(CRM_MAGDY!L108&gt;1,CRM_MAGDY!L108/100,CRM_MAGDY!L108),0)</f>
        <v>0</v>
      </c>
      <c r="G108" s="57">
        <f>CRM_MAGDY!N108</f>
        <v>0</v>
      </c>
      <c r="H108" s="57">
        <f>CRM_MAGDY!M108</f>
        <v>0</v>
      </c>
      <c r="I108" s="57">
        <f t="shared" si="2"/>
        <v>0</v>
      </c>
      <c r="J108" s="57" t="str">
        <f t="shared" si="3"/>
        <v>POTENCJAŁ</v>
      </c>
    </row>
    <row r="109" spans="1:10" x14ac:dyDescent="0.25">
      <c r="A109" s="57" t="str">
        <f>IF(CRM_MAGDY!H109="","","CRM-"&amp;TEXT(ROW()-4,"0000"))</f>
        <v>CRM-0105</v>
      </c>
      <c r="B109" s="57">
        <f>CRM_MAGDY!E109</f>
        <v>0</v>
      </c>
      <c r="C109" s="57">
        <f>CRM_MAGDY!H109</f>
        <v>5548</v>
      </c>
      <c r="D109" s="57" t="str">
        <f>CRM_MAGDY!I109</f>
        <v>Magda K</v>
      </c>
      <c r="E109" s="57">
        <f>IFERROR(VALUE(CRM_MAGDY!K109),0)</f>
        <v>0</v>
      </c>
      <c r="F109" s="57">
        <f>IFERROR(IF(CRM_MAGDY!L109&gt;1,CRM_MAGDY!L109/100,CRM_MAGDY!L109),0)</f>
        <v>0</v>
      </c>
      <c r="G109" s="57">
        <f>CRM_MAGDY!N109</f>
        <v>0</v>
      </c>
      <c r="H109" s="57">
        <f>CRM_MAGDY!M109</f>
        <v>0</v>
      </c>
      <c r="I109" s="57">
        <f t="shared" si="2"/>
        <v>0</v>
      </c>
      <c r="J109" s="57" t="str">
        <f t="shared" si="3"/>
        <v>POTENCJAŁ</v>
      </c>
    </row>
    <row r="110" spans="1:10" x14ac:dyDescent="0.25">
      <c r="A110" s="57" t="str">
        <f>IF(CRM_MAGDY!H110="","","CRM-"&amp;TEXT(ROW()-4,"0000"))</f>
        <v>CRM-0106</v>
      </c>
      <c r="B110" s="57">
        <f>CRM_MAGDY!E110</f>
        <v>0</v>
      </c>
      <c r="C110" s="57">
        <f>CRM_MAGDY!H110</f>
        <v>5549</v>
      </c>
      <c r="D110" s="57" t="str">
        <f>CRM_MAGDY!I110</f>
        <v>Magda K</v>
      </c>
      <c r="E110" s="57">
        <f>IFERROR(VALUE(CRM_MAGDY!K110),0)</f>
        <v>31000</v>
      </c>
      <c r="F110" s="57">
        <f>IFERROR(IF(CRM_MAGDY!L110&gt;1,CRM_MAGDY!L110/100,CRM_MAGDY!L110),0)</f>
        <v>0</v>
      </c>
      <c r="G110" s="57">
        <f>CRM_MAGDY!N110</f>
        <v>0</v>
      </c>
      <c r="H110" s="57" t="str">
        <f>CRM_MAGDY!M110</f>
        <v>oferta</v>
      </c>
      <c r="I110" s="57">
        <f t="shared" si="2"/>
        <v>0</v>
      </c>
      <c r="J110" s="57" t="str">
        <f t="shared" si="3"/>
        <v>POTENCJAŁ</v>
      </c>
    </row>
    <row r="111" spans="1:10" x14ac:dyDescent="0.25">
      <c r="A111" s="57" t="str">
        <f>IF(CRM_MAGDY!H111="","","CRM-"&amp;TEXT(ROW()-4,"0000"))</f>
        <v>CRM-0107</v>
      </c>
      <c r="B111" s="57">
        <f>CRM_MAGDY!E111</f>
        <v>0</v>
      </c>
      <c r="C111" s="57">
        <f>CRM_MAGDY!H111</f>
        <v>5550</v>
      </c>
      <c r="D111" s="57" t="str">
        <f>CRM_MAGDY!I111</f>
        <v>Magda B</v>
      </c>
      <c r="E111" s="57">
        <f>IFERROR(VALUE(CRM_MAGDY!K111),0)</f>
        <v>25000</v>
      </c>
      <c r="F111" s="57">
        <f>IFERROR(IF(CRM_MAGDY!L111&gt;1,CRM_MAGDY!L111/100,CRM_MAGDY!L111),0)</f>
        <v>0</v>
      </c>
      <c r="G111" s="57">
        <f>CRM_MAGDY!N111</f>
        <v>0</v>
      </c>
      <c r="H111" s="57" t="str">
        <f>CRM_MAGDY!M111</f>
        <v>oferta</v>
      </c>
      <c r="I111" s="57">
        <f t="shared" si="2"/>
        <v>0</v>
      </c>
      <c r="J111" s="57" t="str">
        <f t="shared" si="3"/>
        <v>POTENCJAŁ</v>
      </c>
    </row>
    <row r="112" spans="1:10" x14ac:dyDescent="0.25">
      <c r="A112" s="57" t="str">
        <f>IF(CRM_MAGDY!H112="","","CRM-"&amp;TEXT(ROW()-4,"0000"))</f>
        <v>CRM-0108</v>
      </c>
      <c r="B112" s="57">
        <f>CRM_MAGDY!E112</f>
        <v>0</v>
      </c>
      <c r="C112" s="57">
        <f>CRM_MAGDY!H112</f>
        <v>5551</v>
      </c>
      <c r="D112" s="57" t="str">
        <f>CRM_MAGDY!I112</f>
        <v>Magda K</v>
      </c>
      <c r="E112" s="57">
        <f>IFERROR(VALUE(CRM_MAGDY!K112),0)</f>
        <v>32000</v>
      </c>
      <c r="F112" s="57">
        <f>IFERROR(IF(CRM_MAGDY!L112&gt;1,CRM_MAGDY!L112/100,CRM_MAGDY!L112),0)</f>
        <v>0</v>
      </c>
      <c r="G112" s="57">
        <f>CRM_MAGDY!N112</f>
        <v>0</v>
      </c>
      <c r="H112" s="57" t="str">
        <f>CRM_MAGDY!M112</f>
        <v>oferta</v>
      </c>
      <c r="I112" s="57">
        <f t="shared" si="2"/>
        <v>0</v>
      </c>
      <c r="J112" s="57" t="str">
        <f t="shared" si="3"/>
        <v>POTENCJAŁ</v>
      </c>
    </row>
    <row r="113" spans="1:10" x14ac:dyDescent="0.25">
      <c r="A113" s="57" t="str">
        <f>IF(CRM_MAGDY!H113="","","CRM-"&amp;TEXT(ROW()-4,"0000"))</f>
        <v>CRM-0109</v>
      </c>
      <c r="B113" s="57">
        <f>CRM_MAGDY!E113</f>
        <v>0</v>
      </c>
      <c r="C113" s="57">
        <f>CRM_MAGDY!H113</f>
        <v>5552</v>
      </c>
      <c r="D113" s="57" t="str">
        <f>CRM_MAGDY!I113</f>
        <v>Magda K</v>
      </c>
      <c r="E113" s="57">
        <f>IFERROR(VALUE(CRM_MAGDY!K113),0)</f>
        <v>16000</v>
      </c>
      <c r="F113" s="57">
        <f>IFERROR(IF(CRM_MAGDY!L113&gt;1,CRM_MAGDY!L113/100,CRM_MAGDY!L113),0)</f>
        <v>0</v>
      </c>
      <c r="G113" s="57">
        <f>CRM_MAGDY!N113</f>
        <v>0</v>
      </c>
      <c r="H113" s="57" t="str">
        <f>CRM_MAGDY!M113</f>
        <v>oferta</v>
      </c>
      <c r="I113" s="57">
        <f t="shared" si="2"/>
        <v>0</v>
      </c>
      <c r="J113" s="57" t="str">
        <f t="shared" si="3"/>
        <v>POTENCJAŁ</v>
      </c>
    </row>
    <row r="114" spans="1:10" x14ac:dyDescent="0.25">
      <c r="A114" s="57" t="str">
        <f>IF(CRM_MAGDY!H114="","","CRM-"&amp;TEXT(ROW()-4,"0000"))</f>
        <v>CRM-0110</v>
      </c>
      <c r="B114" s="57">
        <f>CRM_MAGDY!E114</f>
        <v>0</v>
      </c>
      <c r="C114" s="57">
        <f>CRM_MAGDY!H114</f>
        <v>5553</v>
      </c>
      <c r="D114" s="57" t="str">
        <f>CRM_MAGDY!I114</f>
        <v>Magda K</v>
      </c>
      <c r="E114" s="57">
        <f>IFERROR(VALUE(CRM_MAGDY!K114),0)</f>
        <v>23000</v>
      </c>
      <c r="F114" s="57">
        <f>IFERROR(IF(CRM_MAGDY!L114&gt;1,CRM_MAGDY!L114/100,CRM_MAGDY!L114),0)</f>
        <v>0</v>
      </c>
      <c r="G114" s="57">
        <f>CRM_MAGDY!N114</f>
        <v>0</v>
      </c>
      <c r="H114" s="57">
        <f>CRM_MAGDY!M114</f>
        <v>0</v>
      </c>
      <c r="I114" s="57">
        <f t="shared" si="2"/>
        <v>0</v>
      </c>
      <c r="J114" s="57" t="str">
        <f t="shared" si="3"/>
        <v>POTENCJAŁ</v>
      </c>
    </row>
    <row r="115" spans="1:10" x14ac:dyDescent="0.25">
      <c r="A115" s="57" t="str">
        <f>IF(CRM_MAGDY!H115="","","CRM-"&amp;TEXT(ROW()-4,"0000"))</f>
        <v>CRM-0111</v>
      </c>
      <c r="B115" s="57">
        <f>CRM_MAGDY!E115</f>
        <v>0</v>
      </c>
      <c r="C115" s="57">
        <f>CRM_MAGDY!H115</f>
        <v>5554</v>
      </c>
      <c r="D115" s="57" t="str">
        <f>CRM_MAGDY!I115</f>
        <v>Magda K</v>
      </c>
      <c r="E115" s="57">
        <f>IFERROR(VALUE(CRM_MAGDY!K115),0)</f>
        <v>0</v>
      </c>
      <c r="F115" s="57">
        <f>IFERROR(IF(CRM_MAGDY!L115&gt;1,CRM_MAGDY!L115/100,CRM_MAGDY!L115),0)</f>
        <v>0</v>
      </c>
      <c r="G115" s="57">
        <f>CRM_MAGDY!N115</f>
        <v>0</v>
      </c>
      <c r="H115" s="57">
        <f>CRM_MAGDY!M115</f>
        <v>0</v>
      </c>
      <c r="I115" s="57">
        <f t="shared" si="2"/>
        <v>0</v>
      </c>
      <c r="J115" s="57" t="str">
        <f t="shared" si="3"/>
        <v>POTENCJAŁ</v>
      </c>
    </row>
    <row r="116" spans="1:10" x14ac:dyDescent="0.25">
      <c r="A116" s="57" t="str">
        <f>IF(CRM_MAGDY!H116="","","CRM-"&amp;TEXT(ROW()-4,"0000"))</f>
        <v>CRM-0112</v>
      </c>
      <c r="B116" s="57">
        <f>CRM_MAGDY!E116</f>
        <v>0</v>
      </c>
      <c r="C116" s="57">
        <f>CRM_MAGDY!H116</f>
        <v>5555</v>
      </c>
      <c r="D116" s="57" t="str">
        <f>CRM_MAGDY!I116</f>
        <v>Magda B</v>
      </c>
      <c r="E116" s="57">
        <f>IFERROR(VALUE(CRM_MAGDY!K116),0)</f>
        <v>25000</v>
      </c>
      <c r="F116" s="57">
        <f>IFERROR(IF(CRM_MAGDY!L116&gt;1,CRM_MAGDY!L116/100,CRM_MAGDY!L116),0)</f>
        <v>0</v>
      </c>
      <c r="G116" s="57">
        <f>CRM_MAGDY!N116</f>
        <v>0</v>
      </c>
      <c r="H116" s="57" t="str">
        <f>CRM_MAGDY!M116</f>
        <v>oferta</v>
      </c>
      <c r="I116" s="57">
        <f t="shared" si="2"/>
        <v>0</v>
      </c>
      <c r="J116" s="57" t="str">
        <f t="shared" si="3"/>
        <v>POTENCJAŁ</v>
      </c>
    </row>
    <row r="117" spans="1:10" x14ac:dyDescent="0.25">
      <c r="A117" s="57" t="str">
        <f>IF(CRM_MAGDY!H117="","","CRM-"&amp;TEXT(ROW()-4,"0000"))</f>
        <v>CRM-0113</v>
      </c>
      <c r="B117" s="57">
        <f>CRM_MAGDY!E117</f>
        <v>0</v>
      </c>
      <c r="C117" s="57">
        <f>CRM_MAGDY!H117</f>
        <v>5556</v>
      </c>
      <c r="D117" s="57" t="str">
        <f>CRM_MAGDY!I117</f>
        <v>Magda B</v>
      </c>
      <c r="E117" s="57">
        <f>IFERROR(VALUE(CRM_MAGDY!K117),0)</f>
        <v>25000</v>
      </c>
      <c r="F117" s="57">
        <f>IFERROR(IF(CRM_MAGDY!L117&gt;1,CRM_MAGDY!L117/100,CRM_MAGDY!L117),0)</f>
        <v>0</v>
      </c>
      <c r="G117" s="57">
        <f>CRM_MAGDY!N117</f>
        <v>0</v>
      </c>
      <c r="H117" s="57" t="str">
        <f>CRM_MAGDY!M117</f>
        <v>oferta</v>
      </c>
      <c r="I117" s="57">
        <f t="shared" si="2"/>
        <v>0</v>
      </c>
      <c r="J117" s="57" t="str">
        <f t="shared" si="3"/>
        <v>POTENCJAŁ</v>
      </c>
    </row>
    <row r="118" spans="1:10" x14ac:dyDescent="0.25">
      <c r="A118" s="57" t="str">
        <f>IF(CRM_MAGDY!H118="","","CRM-"&amp;TEXT(ROW()-4,"0000"))</f>
        <v>CRM-0114</v>
      </c>
      <c r="B118" s="57">
        <f>CRM_MAGDY!E118</f>
        <v>0</v>
      </c>
      <c r="C118" s="57">
        <f>CRM_MAGDY!H118</f>
        <v>5557</v>
      </c>
      <c r="D118" s="57" t="str">
        <f>CRM_MAGDY!I118</f>
        <v>Magda K</v>
      </c>
      <c r="E118" s="57">
        <f>IFERROR(VALUE(CRM_MAGDY!K118),0)</f>
        <v>51200</v>
      </c>
      <c r="F118" s="57">
        <f>IFERROR(IF(CRM_MAGDY!L118&gt;1,CRM_MAGDY!L118/100,CRM_MAGDY!L118),0)</f>
        <v>0</v>
      </c>
      <c r="G118" s="57">
        <f>CRM_MAGDY!N118</f>
        <v>0</v>
      </c>
      <c r="H118" s="57" t="str">
        <f>CRM_MAGDY!M118</f>
        <v>oferta</v>
      </c>
      <c r="I118" s="57">
        <f t="shared" si="2"/>
        <v>0</v>
      </c>
      <c r="J118" s="57" t="str">
        <f t="shared" si="3"/>
        <v>POTENCJAŁ</v>
      </c>
    </row>
    <row r="119" spans="1:10" x14ac:dyDescent="0.25">
      <c r="A119" s="57" t="str">
        <f>IF(CRM_MAGDY!H119="","","CRM-"&amp;TEXT(ROW()-4,"0000"))</f>
        <v>CRM-0115</v>
      </c>
      <c r="B119" s="57">
        <f>CRM_MAGDY!E119</f>
        <v>0</v>
      </c>
      <c r="C119" s="57">
        <f>CRM_MAGDY!H119</f>
        <v>5558</v>
      </c>
      <c r="D119" s="57" t="str">
        <f>CRM_MAGDY!I119</f>
        <v>Magda K</v>
      </c>
      <c r="E119" s="57">
        <f>IFERROR(VALUE(CRM_MAGDY!K119),0)</f>
        <v>15000</v>
      </c>
      <c r="F119" s="57">
        <f>IFERROR(IF(CRM_MAGDY!L119&gt;1,CRM_MAGDY!L119/100,CRM_MAGDY!L119),0)</f>
        <v>0</v>
      </c>
      <c r="G119" s="57">
        <f>CRM_MAGDY!N119</f>
        <v>0</v>
      </c>
      <c r="H119" s="57" t="str">
        <f>CRM_MAGDY!M119</f>
        <v>oferta</v>
      </c>
      <c r="I119" s="57">
        <f t="shared" si="2"/>
        <v>0</v>
      </c>
      <c r="J119" s="57" t="str">
        <f t="shared" si="3"/>
        <v>POTENCJAŁ</v>
      </c>
    </row>
    <row r="120" spans="1:10" x14ac:dyDescent="0.25">
      <c r="A120" s="57" t="str">
        <f>IF(CRM_MAGDY!H120="","","CRM-"&amp;TEXT(ROW()-4,"0000"))</f>
        <v>CRM-0116</v>
      </c>
      <c r="B120" s="57">
        <f>CRM_MAGDY!E120</f>
        <v>0</v>
      </c>
      <c r="C120" s="57">
        <f>CRM_MAGDY!H120</f>
        <v>5559</v>
      </c>
      <c r="D120" s="57" t="str">
        <f>CRM_MAGDY!I120</f>
        <v>Magda K</v>
      </c>
      <c r="E120" s="57">
        <f>IFERROR(VALUE(CRM_MAGDY!K120),0)</f>
        <v>18000</v>
      </c>
      <c r="F120" s="57">
        <f>IFERROR(IF(CRM_MAGDY!L120&gt;1,CRM_MAGDY!L120/100,CRM_MAGDY!L120),0)</f>
        <v>0</v>
      </c>
      <c r="G120" s="57">
        <f>CRM_MAGDY!N120</f>
        <v>0</v>
      </c>
      <c r="H120" s="57" t="str">
        <f>CRM_MAGDY!M120</f>
        <v>oferta</v>
      </c>
      <c r="I120" s="57">
        <f t="shared" si="2"/>
        <v>0</v>
      </c>
      <c r="J120" s="57" t="str">
        <f t="shared" si="3"/>
        <v>POTENCJAŁ</v>
      </c>
    </row>
    <row r="121" spans="1:10" x14ac:dyDescent="0.25">
      <c r="A121" s="57" t="str">
        <f>IF(CRM_MAGDY!H121="","","CRM-"&amp;TEXT(ROW()-4,"0000"))</f>
        <v>CRM-0117</v>
      </c>
      <c r="B121" s="57">
        <f>CRM_MAGDY!E121</f>
        <v>0</v>
      </c>
      <c r="C121" s="57">
        <f>CRM_MAGDY!H121</f>
        <v>5560</v>
      </c>
      <c r="D121" s="57" t="str">
        <f>CRM_MAGDY!I121</f>
        <v>Magda K</v>
      </c>
      <c r="E121" s="57">
        <f>IFERROR(VALUE(CRM_MAGDY!K121),0)</f>
        <v>20000</v>
      </c>
      <c r="F121" s="57">
        <f>IFERROR(IF(CRM_MAGDY!L121&gt;1,CRM_MAGDY!L121/100,CRM_MAGDY!L121),0)</f>
        <v>0</v>
      </c>
      <c r="G121" s="57">
        <f>CRM_MAGDY!N121</f>
        <v>0</v>
      </c>
      <c r="H121" s="57" t="str">
        <f>CRM_MAGDY!M121</f>
        <v>oferta</v>
      </c>
      <c r="I121" s="57">
        <f t="shared" si="2"/>
        <v>0</v>
      </c>
      <c r="J121" s="57" t="str">
        <f t="shared" si="3"/>
        <v>POTENCJAŁ</v>
      </c>
    </row>
    <row r="122" spans="1:10" x14ac:dyDescent="0.25">
      <c r="A122" s="57" t="str">
        <f>IF(CRM_MAGDY!H122="","","CRM-"&amp;TEXT(ROW()-4,"0000"))</f>
        <v>CRM-0118</v>
      </c>
      <c r="B122" s="57">
        <f>CRM_MAGDY!E122</f>
        <v>0</v>
      </c>
      <c r="C122" s="57">
        <f>CRM_MAGDY!H122</f>
        <v>5561</v>
      </c>
      <c r="D122" s="57" t="str">
        <f>CRM_MAGDY!I122</f>
        <v>Magda K</v>
      </c>
      <c r="E122" s="57">
        <f>IFERROR(VALUE(CRM_MAGDY!K122),0)</f>
        <v>23000</v>
      </c>
      <c r="F122" s="57">
        <f>IFERROR(IF(CRM_MAGDY!L122&gt;1,CRM_MAGDY!L122/100,CRM_MAGDY!L122),0)</f>
        <v>0</v>
      </c>
      <c r="G122" s="57">
        <f>CRM_MAGDY!N122</f>
        <v>0</v>
      </c>
      <c r="H122" s="57" t="str">
        <f>CRM_MAGDY!M122</f>
        <v>oferta</v>
      </c>
      <c r="I122" s="57">
        <f t="shared" si="2"/>
        <v>0</v>
      </c>
      <c r="J122" s="57" t="str">
        <f t="shared" si="3"/>
        <v>POTENCJAŁ</v>
      </c>
    </row>
    <row r="123" spans="1:10" ht="30" customHeight="1" x14ac:dyDescent="0.25">
      <c r="A123" s="57" t="str">
        <f>IF(CRM_MAGDY!H123="","","CRM-"&amp;TEXT(ROW()-4,"0000"))</f>
        <v>CRM-0119</v>
      </c>
      <c r="B123" s="57">
        <f>CRM_MAGDY!E123</f>
        <v>0</v>
      </c>
      <c r="C123" s="57">
        <f>CRM_MAGDY!H123</f>
        <v>5562</v>
      </c>
      <c r="D123" s="57" t="str">
        <f>CRM_MAGDY!I123</f>
        <v>Magda K</v>
      </c>
      <c r="E123" s="57">
        <f>IFERROR(VALUE(CRM_MAGDY!K123),0)</f>
        <v>23000</v>
      </c>
      <c r="F123" s="57">
        <f>IFERROR(IF(CRM_MAGDY!L123&gt;1,CRM_MAGDY!L123/100,CRM_MAGDY!L123),0)</f>
        <v>1</v>
      </c>
      <c r="G123" s="57" t="str">
        <f>CRM_MAGDY!N123</f>
        <v>WYGRANA</v>
      </c>
      <c r="H123" s="57" t="str">
        <f>CRM_MAGDY!M123</f>
        <v>zamówienie</v>
      </c>
      <c r="I123" s="57">
        <f t="shared" si="2"/>
        <v>0</v>
      </c>
      <c r="J123" s="57" t="str">
        <f t="shared" si="3"/>
        <v>PEWNY</v>
      </c>
    </row>
    <row r="124" spans="1:10" x14ac:dyDescent="0.25">
      <c r="A124" s="57" t="str">
        <f>IF(CRM_MAGDY!H124="","","CRM-"&amp;TEXT(ROW()-4,"0000"))</f>
        <v>CRM-0120</v>
      </c>
      <c r="B124" s="57">
        <f>CRM_MAGDY!E124</f>
        <v>0</v>
      </c>
      <c r="C124" s="57">
        <f>CRM_MAGDY!H124</f>
        <v>5563</v>
      </c>
      <c r="D124" s="57" t="str">
        <f>CRM_MAGDY!I124</f>
        <v>Magda K</v>
      </c>
      <c r="E124" s="57">
        <f>IFERROR(VALUE(CRM_MAGDY!K124),0)</f>
        <v>25000</v>
      </c>
      <c r="F124" s="57">
        <f>IFERROR(IF(CRM_MAGDY!L124&gt;1,CRM_MAGDY!L124/100,CRM_MAGDY!L124),0)</f>
        <v>0</v>
      </c>
      <c r="G124" s="57">
        <f>CRM_MAGDY!N124</f>
        <v>0</v>
      </c>
      <c r="H124" s="57" t="str">
        <f>CRM_MAGDY!M124</f>
        <v>oferta</v>
      </c>
      <c r="I124" s="57">
        <f t="shared" si="2"/>
        <v>0</v>
      </c>
      <c r="J124" s="57" t="str">
        <f t="shared" si="3"/>
        <v>POTENCJAŁ</v>
      </c>
    </row>
    <row r="125" spans="1:10" x14ac:dyDescent="0.25">
      <c r="A125" s="57" t="str">
        <f>IF(CRM_MAGDY!H125="","","CRM-"&amp;TEXT(ROW()-4,"0000"))</f>
        <v>CRM-0121</v>
      </c>
      <c r="B125" s="57">
        <f>CRM_MAGDY!E125</f>
        <v>0</v>
      </c>
      <c r="C125" s="57">
        <f>CRM_MAGDY!H125</f>
        <v>5564</v>
      </c>
      <c r="D125" s="57" t="str">
        <f>CRM_MAGDY!I125</f>
        <v>Magda B</v>
      </c>
      <c r="E125" s="57">
        <f>IFERROR(VALUE(CRM_MAGDY!K125),0)</f>
        <v>0</v>
      </c>
      <c r="F125" s="57">
        <f>IFERROR(IF(CRM_MAGDY!L125&gt;1,CRM_MAGDY!L125/100,CRM_MAGDY!L125),0)</f>
        <v>0</v>
      </c>
      <c r="G125" s="57">
        <f>CRM_MAGDY!N125</f>
        <v>0</v>
      </c>
      <c r="H125" s="57">
        <f>CRM_MAGDY!M125</f>
        <v>0</v>
      </c>
      <c r="I125" s="57">
        <f t="shared" si="2"/>
        <v>0</v>
      </c>
      <c r="J125" s="57" t="str">
        <f t="shared" si="3"/>
        <v>POTENCJAŁ</v>
      </c>
    </row>
    <row r="126" spans="1:10" x14ac:dyDescent="0.25">
      <c r="A126" s="57" t="str">
        <f>IF(CRM_MAGDY!H126="","","CRM-"&amp;TEXT(ROW()-4,"0000"))</f>
        <v>CRM-0122</v>
      </c>
      <c r="B126" s="57">
        <f>CRM_MAGDY!E126</f>
        <v>0</v>
      </c>
      <c r="C126" s="57">
        <f>CRM_MAGDY!H126</f>
        <v>5565</v>
      </c>
      <c r="D126" s="57" t="str">
        <f>CRM_MAGDY!I126</f>
        <v>Magda B</v>
      </c>
      <c r="E126" s="57">
        <f>IFERROR(VALUE(CRM_MAGDY!K126),0)</f>
        <v>25000</v>
      </c>
      <c r="F126" s="57">
        <f>IFERROR(IF(CRM_MAGDY!L126&gt;1,CRM_MAGDY!L126/100,CRM_MAGDY!L126),0)</f>
        <v>0</v>
      </c>
      <c r="G126" s="57">
        <f>CRM_MAGDY!N126</f>
        <v>0</v>
      </c>
      <c r="H126" s="57" t="str">
        <f>CRM_MAGDY!M126</f>
        <v>oferta</v>
      </c>
      <c r="I126" s="57">
        <f t="shared" si="2"/>
        <v>0</v>
      </c>
      <c r="J126" s="57" t="str">
        <f t="shared" si="3"/>
        <v>POTENCJAŁ</v>
      </c>
    </row>
    <row r="127" spans="1:10" x14ac:dyDescent="0.25">
      <c r="A127" s="57" t="str">
        <f>IF(CRM_MAGDY!H127="","","CRM-"&amp;TEXT(ROW()-4,"0000"))</f>
        <v>CRM-0123</v>
      </c>
      <c r="B127" s="57">
        <f>CRM_MAGDY!E127</f>
        <v>0</v>
      </c>
      <c r="C127" s="57">
        <f>CRM_MAGDY!H127</f>
        <v>5566</v>
      </c>
      <c r="D127" s="57" t="str">
        <f>CRM_MAGDY!I127</f>
        <v>Magda K</v>
      </c>
      <c r="E127" s="57">
        <f>IFERROR(VALUE(CRM_MAGDY!K127),0)</f>
        <v>32000</v>
      </c>
      <c r="F127" s="57">
        <f>IFERROR(IF(CRM_MAGDY!L127&gt;1,CRM_MAGDY!L127/100,CRM_MAGDY!L127),0)</f>
        <v>0</v>
      </c>
      <c r="G127" s="57">
        <f>CRM_MAGDY!N127</f>
        <v>0</v>
      </c>
      <c r="H127" s="57" t="str">
        <f>CRM_MAGDY!M127</f>
        <v>oferta</v>
      </c>
      <c r="I127" s="57">
        <f t="shared" si="2"/>
        <v>0</v>
      </c>
      <c r="J127" s="57" t="str">
        <f t="shared" si="3"/>
        <v>POTENCJAŁ</v>
      </c>
    </row>
    <row r="128" spans="1:10" x14ac:dyDescent="0.25">
      <c r="A128" s="57" t="str">
        <f>IF(CRM_MAGDY!H128="","","CRM-"&amp;TEXT(ROW()-4,"0000"))</f>
        <v>CRM-0124</v>
      </c>
      <c r="B128" s="57">
        <f>CRM_MAGDY!E128</f>
        <v>0</v>
      </c>
      <c r="C128" s="57">
        <f>CRM_MAGDY!H128</f>
        <v>5567</v>
      </c>
      <c r="D128" s="57" t="str">
        <f>CRM_MAGDY!I128</f>
        <v>Magda K</v>
      </c>
      <c r="E128" s="57">
        <f>IFERROR(VALUE(CRM_MAGDY!K128),0)</f>
        <v>20000</v>
      </c>
      <c r="F128" s="57">
        <f>IFERROR(IF(CRM_MAGDY!L128&gt;1,CRM_MAGDY!L128/100,CRM_MAGDY!L128),0)</f>
        <v>0</v>
      </c>
      <c r="G128" s="57">
        <f>CRM_MAGDY!N128</f>
        <v>0</v>
      </c>
      <c r="H128" s="57" t="str">
        <f>CRM_MAGDY!M128</f>
        <v>oferta</v>
      </c>
      <c r="I128" s="57">
        <f t="shared" si="2"/>
        <v>0</v>
      </c>
      <c r="J128" s="57" t="str">
        <f t="shared" si="3"/>
        <v>POTENCJAŁ</v>
      </c>
    </row>
    <row r="129" spans="1:10" x14ac:dyDescent="0.25">
      <c r="A129" s="57" t="str">
        <f>IF(CRM_MAGDY!H129="","","CRM-"&amp;TEXT(ROW()-4,"0000"))</f>
        <v>CRM-0125</v>
      </c>
      <c r="B129" s="57">
        <f>CRM_MAGDY!E129</f>
        <v>0</v>
      </c>
      <c r="C129" s="57">
        <f>CRM_MAGDY!H129</f>
        <v>5568</v>
      </c>
      <c r="D129" s="57" t="str">
        <f>CRM_MAGDY!I129</f>
        <v>Magda K</v>
      </c>
      <c r="E129" s="57">
        <f>IFERROR(VALUE(CRM_MAGDY!K129),0)</f>
        <v>22000</v>
      </c>
      <c r="F129" s="57">
        <f>IFERROR(IF(CRM_MAGDY!L129&gt;1,CRM_MAGDY!L129/100,CRM_MAGDY!L129),0)</f>
        <v>0</v>
      </c>
      <c r="G129" s="57">
        <f>CRM_MAGDY!N129</f>
        <v>0</v>
      </c>
      <c r="H129" s="57" t="str">
        <f>CRM_MAGDY!M129</f>
        <v>oferta</v>
      </c>
      <c r="I129" s="57">
        <f t="shared" si="2"/>
        <v>0</v>
      </c>
      <c r="J129" s="57" t="str">
        <f t="shared" si="3"/>
        <v>POTENCJAŁ</v>
      </c>
    </row>
    <row r="130" spans="1:10" x14ac:dyDescent="0.25">
      <c r="A130" s="57" t="str">
        <f>IF(CRM_MAGDY!H130="","","CRM-"&amp;TEXT(ROW()-4,"0000"))</f>
        <v>CRM-0126</v>
      </c>
      <c r="B130" s="57">
        <f>CRM_MAGDY!E130</f>
        <v>0</v>
      </c>
      <c r="C130" s="57">
        <f>CRM_MAGDY!H130</f>
        <v>5569</v>
      </c>
      <c r="D130" s="57" t="str">
        <f>CRM_MAGDY!I130</f>
        <v>Magda K</v>
      </c>
      <c r="E130" s="57">
        <f>IFERROR(VALUE(CRM_MAGDY!K130),0)</f>
        <v>25000</v>
      </c>
      <c r="F130" s="57">
        <f>IFERROR(IF(CRM_MAGDY!L130&gt;1,CRM_MAGDY!L130/100,CRM_MAGDY!L130),0)</f>
        <v>0</v>
      </c>
      <c r="G130" s="57">
        <f>CRM_MAGDY!N130</f>
        <v>0</v>
      </c>
      <c r="H130" s="57" t="str">
        <f>CRM_MAGDY!M130</f>
        <v>oferta</v>
      </c>
      <c r="I130" s="57">
        <f t="shared" si="2"/>
        <v>0</v>
      </c>
      <c r="J130" s="57" t="str">
        <f t="shared" si="3"/>
        <v>POTENCJAŁ</v>
      </c>
    </row>
    <row r="131" spans="1:10" ht="30" customHeight="1" x14ac:dyDescent="0.25">
      <c r="A131" s="57" t="str">
        <f>IF(CRM_MAGDY!H131="","","CRM-"&amp;TEXT(ROW()-4,"0000"))</f>
        <v>CRM-0127</v>
      </c>
      <c r="B131" s="57">
        <f>CRM_MAGDY!E131</f>
        <v>0</v>
      </c>
      <c r="C131" s="57">
        <f>CRM_MAGDY!H131</f>
        <v>5570</v>
      </c>
      <c r="D131" s="57" t="str">
        <f>CRM_MAGDY!I131</f>
        <v>Magda K</v>
      </c>
      <c r="E131" s="57">
        <f>IFERROR(VALUE(CRM_MAGDY!K131),0)</f>
        <v>59000</v>
      </c>
      <c r="F131" s="57">
        <f>IFERROR(IF(CRM_MAGDY!L131&gt;1,CRM_MAGDY!L131/100,CRM_MAGDY!L131),0)</f>
        <v>1</v>
      </c>
      <c r="G131" s="57" t="str">
        <f>CRM_MAGDY!N131</f>
        <v>WYGRANA</v>
      </c>
      <c r="H131" s="57" t="str">
        <f>CRM_MAGDY!M131</f>
        <v>oferta</v>
      </c>
      <c r="I131" s="57">
        <f t="shared" si="2"/>
        <v>0</v>
      </c>
      <c r="J131" s="57" t="str">
        <f t="shared" si="3"/>
        <v>PEWNY</v>
      </c>
    </row>
    <row r="132" spans="1:10" x14ac:dyDescent="0.25">
      <c r="A132" s="57" t="str">
        <f>IF(CRM_MAGDY!H132="","","CRM-"&amp;TEXT(ROW()-4,"0000"))</f>
        <v>CRM-0128</v>
      </c>
      <c r="B132" s="57">
        <f>CRM_MAGDY!E132</f>
        <v>0</v>
      </c>
      <c r="C132" s="57">
        <f>CRM_MAGDY!H132</f>
        <v>5571</v>
      </c>
      <c r="D132" s="57" t="str">
        <f>CRM_MAGDY!I132</f>
        <v>Magda B</v>
      </c>
      <c r="E132" s="57">
        <f>IFERROR(VALUE(CRM_MAGDY!K132),0)</f>
        <v>28000</v>
      </c>
      <c r="F132" s="57">
        <f>IFERROR(IF(CRM_MAGDY!L132&gt;1,CRM_MAGDY!L132/100,CRM_MAGDY!L132),0)</f>
        <v>0</v>
      </c>
      <c r="G132" s="57">
        <f>CRM_MAGDY!N132</f>
        <v>0</v>
      </c>
      <c r="H132" s="57">
        <f>CRM_MAGDY!M132</f>
        <v>0</v>
      </c>
      <c r="I132" s="57">
        <f t="shared" si="2"/>
        <v>0</v>
      </c>
      <c r="J132" s="57" t="str">
        <f t="shared" si="3"/>
        <v>POTENCJAŁ</v>
      </c>
    </row>
    <row r="133" spans="1:10" x14ac:dyDescent="0.25">
      <c r="A133" s="57" t="str">
        <f>IF(CRM_MAGDY!H133="","","CRM-"&amp;TEXT(ROW()-4,"0000"))</f>
        <v>CRM-0129</v>
      </c>
      <c r="B133" s="57">
        <f>CRM_MAGDY!E133</f>
        <v>0</v>
      </c>
      <c r="C133" s="57">
        <f>CRM_MAGDY!H133</f>
        <v>5572</v>
      </c>
      <c r="D133" s="57" t="str">
        <f>CRM_MAGDY!I133</f>
        <v>Magda B</v>
      </c>
      <c r="E133" s="57">
        <f>IFERROR(VALUE(CRM_MAGDY!K133),0)</f>
        <v>60000</v>
      </c>
      <c r="F133" s="57">
        <f>IFERROR(IF(CRM_MAGDY!L133&gt;1,CRM_MAGDY!L133/100,CRM_MAGDY!L133),0)</f>
        <v>0</v>
      </c>
      <c r="G133" s="57">
        <f>CRM_MAGDY!N133</f>
        <v>0</v>
      </c>
      <c r="H133" s="57">
        <f>CRM_MAGDY!M133</f>
        <v>0</v>
      </c>
      <c r="I133" s="57">
        <f t="shared" ref="I133:I196" si="4">IF(OR(G133="WYGRANA",G133="PRZEGRANA"),0,E133*F133)</f>
        <v>0</v>
      </c>
      <c r="J133" s="57" t="str">
        <f t="shared" ref="J133:J196" si="5">IF(F133&gt;=0.7,"PEWNY",IF(F133&gt;=0.3,"REALNY","POTENCJAŁ"))</f>
        <v>POTENCJAŁ</v>
      </c>
    </row>
    <row r="134" spans="1:10" x14ac:dyDescent="0.25">
      <c r="A134" s="57" t="str">
        <f>IF(CRM_MAGDY!H134="","","CRM-"&amp;TEXT(ROW()-4,"0000"))</f>
        <v>CRM-0130</v>
      </c>
      <c r="B134" s="57">
        <f>CRM_MAGDY!E134</f>
        <v>0</v>
      </c>
      <c r="C134" s="57">
        <f>CRM_MAGDY!H134</f>
        <v>5573</v>
      </c>
      <c r="D134" s="57" t="str">
        <f>CRM_MAGDY!I134</f>
        <v>Magda K</v>
      </c>
      <c r="E134" s="57">
        <f>IFERROR(VALUE(CRM_MAGDY!K134),0)</f>
        <v>0</v>
      </c>
      <c r="F134" s="57">
        <f>IFERROR(IF(CRM_MAGDY!L134&gt;1,CRM_MAGDY!L134/100,CRM_MAGDY!L134),0)</f>
        <v>0</v>
      </c>
      <c r="G134" s="57">
        <f>CRM_MAGDY!N134</f>
        <v>0</v>
      </c>
      <c r="H134" s="57">
        <f>CRM_MAGDY!M134</f>
        <v>0</v>
      </c>
      <c r="I134" s="57">
        <f t="shared" si="4"/>
        <v>0</v>
      </c>
      <c r="J134" s="57" t="str">
        <f t="shared" si="5"/>
        <v>POTENCJAŁ</v>
      </c>
    </row>
    <row r="135" spans="1:10" x14ac:dyDescent="0.25">
      <c r="A135" s="57" t="str">
        <f>IF(CRM_MAGDY!H135="","","CRM-"&amp;TEXT(ROW()-4,"0000"))</f>
        <v>CRM-0131</v>
      </c>
      <c r="B135" s="57">
        <f>CRM_MAGDY!E135</f>
        <v>0</v>
      </c>
      <c r="C135" s="57">
        <f>CRM_MAGDY!H135</f>
        <v>5574</v>
      </c>
      <c r="D135" s="57" t="str">
        <f>CRM_MAGDY!I135</f>
        <v>Magda B</v>
      </c>
      <c r="E135" s="57">
        <f>IFERROR(VALUE(CRM_MAGDY!K135),0)</f>
        <v>0</v>
      </c>
      <c r="F135" s="57">
        <f>IFERROR(IF(CRM_MAGDY!L135&gt;1,CRM_MAGDY!L135/100,CRM_MAGDY!L135),0)</f>
        <v>0</v>
      </c>
      <c r="G135" s="57">
        <f>CRM_MAGDY!N135</f>
        <v>0</v>
      </c>
      <c r="H135" s="57">
        <f>CRM_MAGDY!M135</f>
        <v>0</v>
      </c>
      <c r="I135" s="57">
        <f t="shared" si="4"/>
        <v>0</v>
      </c>
      <c r="J135" s="57" t="str">
        <f t="shared" si="5"/>
        <v>POTENCJAŁ</v>
      </c>
    </row>
    <row r="136" spans="1:10" x14ac:dyDescent="0.25">
      <c r="A136" s="57" t="str">
        <f>IF(CRM_MAGDY!H136="","","CRM-"&amp;TEXT(ROW()-4,"0000"))</f>
        <v>CRM-0132</v>
      </c>
      <c r="B136" s="57">
        <f>CRM_MAGDY!E136</f>
        <v>0</v>
      </c>
      <c r="C136" s="57">
        <f>CRM_MAGDY!H136</f>
        <v>5575</v>
      </c>
      <c r="D136" s="57" t="str">
        <f>CRM_MAGDY!I136</f>
        <v>Magda B</v>
      </c>
      <c r="E136" s="57">
        <f>IFERROR(VALUE(CRM_MAGDY!K136),0)</f>
        <v>13000</v>
      </c>
      <c r="F136" s="57">
        <f>IFERROR(IF(CRM_MAGDY!L136&gt;1,CRM_MAGDY!L136/100,CRM_MAGDY!L136),0)</f>
        <v>0</v>
      </c>
      <c r="G136" s="57">
        <f>CRM_MAGDY!N136</f>
        <v>0</v>
      </c>
      <c r="H136" s="57" t="str">
        <f>CRM_MAGDY!M136</f>
        <v>oferta</v>
      </c>
      <c r="I136" s="57">
        <f t="shared" si="4"/>
        <v>0</v>
      </c>
      <c r="J136" s="57" t="str">
        <f t="shared" si="5"/>
        <v>POTENCJAŁ</v>
      </c>
    </row>
    <row r="137" spans="1:10" ht="30" customHeight="1" x14ac:dyDescent="0.25">
      <c r="A137" s="57" t="str">
        <f>IF(CRM_MAGDY!H137="","","CRM-"&amp;TEXT(ROW()-4,"0000"))</f>
        <v>CRM-0133</v>
      </c>
      <c r="B137" s="57">
        <f>CRM_MAGDY!E137</f>
        <v>0</v>
      </c>
      <c r="C137" s="57">
        <f>CRM_MAGDY!H137</f>
        <v>5576</v>
      </c>
      <c r="D137" s="57" t="str">
        <f>CRM_MAGDY!I137</f>
        <v>Magda B</v>
      </c>
      <c r="E137" s="57">
        <f>IFERROR(VALUE(CRM_MAGDY!K137),0)</f>
        <v>23760</v>
      </c>
      <c r="F137" s="57">
        <f>IFERROR(IF(CRM_MAGDY!L137&gt;1,CRM_MAGDY!L137/100,CRM_MAGDY!L137),0)</f>
        <v>1</v>
      </c>
      <c r="G137" s="57" t="str">
        <f>CRM_MAGDY!N137</f>
        <v>WYGRANA</v>
      </c>
      <c r="H137" s="57" t="str">
        <f>CRM_MAGDY!M137</f>
        <v>realizacja</v>
      </c>
      <c r="I137" s="57">
        <f t="shared" si="4"/>
        <v>0</v>
      </c>
      <c r="J137" s="57" t="str">
        <f t="shared" si="5"/>
        <v>PEWNY</v>
      </c>
    </row>
    <row r="138" spans="1:10" x14ac:dyDescent="0.25">
      <c r="A138" s="57" t="str">
        <f>IF(CRM_MAGDY!H138="","","CRM-"&amp;TEXT(ROW()-4,"0000"))</f>
        <v>CRM-0134</v>
      </c>
      <c r="B138" s="57">
        <f>CRM_MAGDY!E138</f>
        <v>0</v>
      </c>
      <c r="C138" s="57">
        <f>CRM_MAGDY!H138</f>
        <v>5577</v>
      </c>
      <c r="D138" s="57" t="str">
        <f>CRM_MAGDY!I138</f>
        <v>Magda B</v>
      </c>
      <c r="E138" s="57">
        <f>IFERROR(VALUE(CRM_MAGDY!K138),0)</f>
        <v>16000</v>
      </c>
      <c r="F138" s="57">
        <f>IFERROR(IF(CRM_MAGDY!L138&gt;1,CRM_MAGDY!L138/100,CRM_MAGDY!L138),0)</f>
        <v>0</v>
      </c>
      <c r="G138" s="57">
        <f>CRM_MAGDY!N138</f>
        <v>0</v>
      </c>
      <c r="H138" s="57" t="str">
        <f>CRM_MAGDY!M138</f>
        <v>oferta</v>
      </c>
      <c r="I138" s="57">
        <f t="shared" si="4"/>
        <v>0</v>
      </c>
      <c r="J138" s="57" t="str">
        <f t="shared" si="5"/>
        <v>POTENCJAŁ</v>
      </c>
    </row>
    <row r="139" spans="1:10" x14ac:dyDescent="0.25">
      <c r="A139" s="57" t="str">
        <f>IF(CRM_MAGDY!H139="","","CRM-"&amp;TEXT(ROW()-4,"0000"))</f>
        <v>CRM-0135</v>
      </c>
      <c r="B139" s="57">
        <f>CRM_MAGDY!E139</f>
        <v>0</v>
      </c>
      <c r="C139" s="57">
        <f>CRM_MAGDY!H139</f>
        <v>5578</v>
      </c>
      <c r="D139" s="57" t="str">
        <f>CRM_MAGDY!I139</f>
        <v>Magda B</v>
      </c>
      <c r="E139" s="57">
        <f>IFERROR(VALUE(CRM_MAGDY!K139),0)</f>
        <v>25000</v>
      </c>
      <c r="F139" s="57">
        <f>IFERROR(IF(CRM_MAGDY!L139&gt;1,CRM_MAGDY!L139/100,CRM_MAGDY!L139),0)</f>
        <v>0</v>
      </c>
      <c r="G139" s="57">
        <f>CRM_MAGDY!N139</f>
        <v>0</v>
      </c>
      <c r="H139" s="57" t="str">
        <f>CRM_MAGDY!M139</f>
        <v>oferta</v>
      </c>
      <c r="I139" s="57">
        <f t="shared" si="4"/>
        <v>0</v>
      </c>
      <c r="J139" s="57" t="str">
        <f t="shared" si="5"/>
        <v>POTENCJAŁ</v>
      </c>
    </row>
    <row r="140" spans="1:10" x14ac:dyDescent="0.25">
      <c r="A140" s="57" t="str">
        <f>IF(CRM_MAGDY!H140="","","CRM-"&amp;TEXT(ROW()-4,"0000"))</f>
        <v>CRM-0136</v>
      </c>
      <c r="B140" s="57">
        <f>CRM_MAGDY!E140</f>
        <v>0</v>
      </c>
      <c r="C140" s="57">
        <f>CRM_MAGDY!H140</f>
        <v>5580</v>
      </c>
      <c r="D140" s="57" t="str">
        <f>CRM_MAGDY!I140</f>
        <v>Magda K</v>
      </c>
      <c r="E140" s="57">
        <f>IFERROR(VALUE(CRM_MAGDY!K140),0)</f>
        <v>12500</v>
      </c>
      <c r="F140" s="57">
        <f>IFERROR(IF(CRM_MAGDY!L140&gt;1,CRM_MAGDY!L140/100,CRM_MAGDY!L140),0)</f>
        <v>0</v>
      </c>
      <c r="G140" s="57">
        <f>CRM_MAGDY!N140</f>
        <v>0</v>
      </c>
      <c r="H140" s="57" t="str">
        <f>CRM_MAGDY!M140</f>
        <v>oferta</v>
      </c>
      <c r="I140" s="57">
        <f t="shared" si="4"/>
        <v>0</v>
      </c>
      <c r="J140" s="57" t="str">
        <f t="shared" si="5"/>
        <v>POTENCJAŁ</v>
      </c>
    </row>
    <row r="141" spans="1:10" x14ac:dyDescent="0.25">
      <c r="A141" s="57" t="str">
        <f>IF(CRM_MAGDY!H141="","","CRM-"&amp;TEXT(ROW()-4,"0000"))</f>
        <v>CRM-0137</v>
      </c>
      <c r="B141" s="57">
        <f>CRM_MAGDY!E141</f>
        <v>0</v>
      </c>
      <c r="C141" s="57">
        <f>CRM_MAGDY!H141</f>
        <v>5581</v>
      </c>
      <c r="D141" s="57" t="str">
        <f>CRM_MAGDY!I141</f>
        <v>Magda K</v>
      </c>
      <c r="E141" s="57">
        <f>IFERROR(VALUE(CRM_MAGDY!K141),0)</f>
        <v>60000</v>
      </c>
      <c r="F141" s="57">
        <f>IFERROR(IF(CRM_MAGDY!L141&gt;1,CRM_MAGDY!L141/100,CRM_MAGDY!L141),0)</f>
        <v>0</v>
      </c>
      <c r="G141" s="57">
        <f>CRM_MAGDY!N141</f>
        <v>0</v>
      </c>
      <c r="H141" s="57" t="str">
        <f>CRM_MAGDY!M141</f>
        <v>oferta</v>
      </c>
      <c r="I141" s="57">
        <f t="shared" si="4"/>
        <v>0</v>
      </c>
      <c r="J141" s="57" t="str">
        <f t="shared" si="5"/>
        <v>POTENCJAŁ</v>
      </c>
    </row>
    <row r="142" spans="1:10" ht="30" customHeight="1" x14ac:dyDescent="0.25">
      <c r="A142" s="57" t="str">
        <f>IF(CRM_MAGDY!H142="","","CRM-"&amp;TEXT(ROW()-4,"0000"))</f>
        <v>CRM-0138</v>
      </c>
      <c r="B142" s="57">
        <f>CRM_MAGDY!E142</f>
        <v>0</v>
      </c>
      <c r="C142" s="57">
        <f>CRM_MAGDY!H142</f>
        <v>5582</v>
      </c>
      <c r="D142" s="57" t="str">
        <f>CRM_MAGDY!I142</f>
        <v>Magda K</v>
      </c>
      <c r="E142" s="57">
        <f>IFERROR(VALUE(CRM_MAGDY!K142),0)</f>
        <v>30000</v>
      </c>
      <c r="F142" s="57">
        <f>IFERROR(IF(CRM_MAGDY!L142&gt;1,CRM_MAGDY!L142/100,CRM_MAGDY!L142),0)</f>
        <v>1</v>
      </c>
      <c r="G142" s="57" t="str">
        <f>CRM_MAGDY!N142</f>
        <v>WYGRANA</v>
      </c>
      <c r="H142" s="57" t="str">
        <f>CRM_MAGDY!M142</f>
        <v>zamówienie</v>
      </c>
      <c r="I142" s="57">
        <f t="shared" si="4"/>
        <v>0</v>
      </c>
      <c r="J142" s="57" t="str">
        <f t="shared" si="5"/>
        <v>PEWNY</v>
      </c>
    </row>
    <row r="143" spans="1:10" x14ac:dyDescent="0.25">
      <c r="A143" s="57" t="str">
        <f>IF(CRM_MAGDY!H143="","","CRM-"&amp;TEXT(ROW()-4,"0000"))</f>
        <v>CRM-0139</v>
      </c>
      <c r="B143" s="57">
        <f>CRM_MAGDY!E143</f>
        <v>0</v>
      </c>
      <c r="C143" s="57">
        <f>CRM_MAGDY!H143</f>
        <v>5583</v>
      </c>
      <c r="D143" s="57" t="str">
        <f>CRM_MAGDY!I143</f>
        <v>Magda K</v>
      </c>
      <c r="E143" s="57">
        <f>IFERROR(VALUE(CRM_MAGDY!K143),0)</f>
        <v>0</v>
      </c>
      <c r="F143" s="57">
        <f>IFERROR(IF(CRM_MAGDY!L143&gt;1,CRM_MAGDY!L143/100,CRM_MAGDY!L143),0)</f>
        <v>0</v>
      </c>
      <c r="G143" s="57">
        <f>CRM_MAGDY!N143</f>
        <v>0</v>
      </c>
      <c r="H143" s="57">
        <f>CRM_MAGDY!M143</f>
        <v>0</v>
      </c>
      <c r="I143" s="57">
        <f t="shared" si="4"/>
        <v>0</v>
      </c>
      <c r="J143" s="57" t="str">
        <f t="shared" si="5"/>
        <v>POTENCJAŁ</v>
      </c>
    </row>
    <row r="144" spans="1:10" ht="30" customHeight="1" x14ac:dyDescent="0.25">
      <c r="A144" s="57" t="str">
        <f>IF(CRM_MAGDY!H144="","","CRM-"&amp;TEXT(ROW()-4,"0000"))</f>
        <v>CRM-0140</v>
      </c>
      <c r="B144" s="57">
        <f>CRM_MAGDY!E144</f>
        <v>0</v>
      </c>
      <c r="C144" s="57">
        <f>CRM_MAGDY!H144</f>
        <v>5584</v>
      </c>
      <c r="D144" s="57" t="str">
        <f>CRM_MAGDY!I144</f>
        <v>Magda B</v>
      </c>
      <c r="E144" s="57">
        <f>IFERROR(VALUE(CRM_MAGDY!K144),0)</f>
        <v>0</v>
      </c>
      <c r="F144" s="57">
        <f>IFERROR(IF(CRM_MAGDY!L144&gt;1,CRM_MAGDY!L144/100,CRM_MAGDY!L144),0)</f>
        <v>1</v>
      </c>
      <c r="G144" s="57" t="str">
        <f>CRM_MAGDY!N144</f>
        <v>WYGRANA</v>
      </c>
      <c r="H144" s="57">
        <f>CRM_MAGDY!M144</f>
        <v>0</v>
      </c>
      <c r="I144" s="57">
        <f t="shared" si="4"/>
        <v>0</v>
      </c>
      <c r="J144" s="57" t="str">
        <f t="shared" si="5"/>
        <v>PEWNY</v>
      </c>
    </row>
    <row r="145" spans="1:10" x14ac:dyDescent="0.25">
      <c r="A145" s="57" t="str">
        <f>IF(CRM_MAGDY!H145="","","CRM-"&amp;TEXT(ROW()-4,"0000"))</f>
        <v>CRM-0141</v>
      </c>
      <c r="B145" s="57">
        <f>CRM_MAGDY!E145</f>
        <v>0</v>
      </c>
      <c r="C145" s="57">
        <f>CRM_MAGDY!H145</f>
        <v>5585</v>
      </c>
      <c r="D145" s="57" t="str">
        <f>CRM_MAGDY!I145</f>
        <v>Magda K</v>
      </c>
      <c r="E145" s="57">
        <f>IFERROR(VALUE(CRM_MAGDY!K145),0)</f>
        <v>23000</v>
      </c>
      <c r="F145" s="57">
        <f>IFERROR(IF(CRM_MAGDY!L145&gt;1,CRM_MAGDY!L145/100,CRM_MAGDY!L145),0)</f>
        <v>0</v>
      </c>
      <c r="G145" s="57">
        <f>CRM_MAGDY!N145</f>
        <v>0</v>
      </c>
      <c r="H145" s="57" t="str">
        <f>CRM_MAGDY!M145</f>
        <v>oferta</v>
      </c>
      <c r="I145" s="57">
        <f t="shared" si="4"/>
        <v>0</v>
      </c>
      <c r="J145" s="57" t="str">
        <f t="shared" si="5"/>
        <v>POTENCJAŁ</v>
      </c>
    </row>
    <row r="146" spans="1:10" x14ac:dyDescent="0.25">
      <c r="A146" s="57" t="str">
        <f>IF(CRM_MAGDY!H146="","","CRM-"&amp;TEXT(ROW()-4,"0000"))</f>
        <v>CRM-0142</v>
      </c>
      <c r="B146" s="57">
        <f>CRM_MAGDY!E146</f>
        <v>0</v>
      </c>
      <c r="C146" s="57">
        <f>CRM_MAGDY!H146</f>
        <v>5586</v>
      </c>
      <c r="D146" s="57" t="str">
        <f>CRM_MAGDY!I146</f>
        <v>Magda K</v>
      </c>
      <c r="E146" s="57">
        <f>IFERROR(VALUE(CRM_MAGDY!K146),0)</f>
        <v>33000</v>
      </c>
      <c r="F146" s="57">
        <f>IFERROR(IF(CRM_MAGDY!L146&gt;1,CRM_MAGDY!L146/100,CRM_MAGDY!L146),0)</f>
        <v>0</v>
      </c>
      <c r="G146" s="57">
        <f>CRM_MAGDY!N146</f>
        <v>0</v>
      </c>
      <c r="H146" s="57" t="str">
        <f>CRM_MAGDY!M146</f>
        <v>oferta</v>
      </c>
      <c r="I146" s="57">
        <f t="shared" si="4"/>
        <v>0</v>
      </c>
      <c r="J146" s="57" t="str">
        <f t="shared" si="5"/>
        <v>POTENCJAŁ</v>
      </c>
    </row>
    <row r="147" spans="1:10" x14ac:dyDescent="0.25">
      <c r="A147" s="57" t="str">
        <f>IF(CRM_MAGDY!H147="","","CRM-"&amp;TEXT(ROW()-4,"0000"))</f>
        <v>CRM-0143</v>
      </c>
      <c r="B147" s="57">
        <f>CRM_MAGDY!E147</f>
        <v>0</v>
      </c>
      <c r="C147" s="57">
        <f>CRM_MAGDY!H147</f>
        <v>5587</v>
      </c>
      <c r="D147" s="57" t="str">
        <f>CRM_MAGDY!I147</f>
        <v>Magda K</v>
      </c>
      <c r="E147" s="57">
        <f>IFERROR(VALUE(CRM_MAGDY!K147),0)</f>
        <v>23000</v>
      </c>
      <c r="F147" s="57">
        <f>IFERROR(IF(CRM_MAGDY!L147&gt;1,CRM_MAGDY!L147/100,CRM_MAGDY!L147),0)</f>
        <v>0</v>
      </c>
      <c r="G147" s="57">
        <f>CRM_MAGDY!N147</f>
        <v>0</v>
      </c>
      <c r="H147" s="57" t="str">
        <f>CRM_MAGDY!M147</f>
        <v>oferta</v>
      </c>
      <c r="I147" s="57">
        <f t="shared" si="4"/>
        <v>0</v>
      </c>
      <c r="J147" s="57" t="str">
        <f t="shared" si="5"/>
        <v>POTENCJAŁ</v>
      </c>
    </row>
    <row r="148" spans="1:10" x14ac:dyDescent="0.25">
      <c r="A148" s="57" t="str">
        <f>IF(CRM_MAGDY!H148="","","CRM-"&amp;TEXT(ROW()-4,"0000"))</f>
        <v>CRM-0144</v>
      </c>
      <c r="B148" s="57">
        <f>CRM_MAGDY!E148</f>
        <v>0</v>
      </c>
      <c r="C148" s="57">
        <f>CRM_MAGDY!H148</f>
        <v>5588</v>
      </c>
      <c r="D148" s="57" t="str">
        <f>CRM_MAGDY!I148</f>
        <v>Magda K</v>
      </c>
      <c r="E148" s="57">
        <f>IFERROR(VALUE(CRM_MAGDY!K148),0)</f>
        <v>0</v>
      </c>
      <c r="F148" s="57">
        <f>IFERROR(IF(CRM_MAGDY!L148&gt;1,CRM_MAGDY!L148/100,CRM_MAGDY!L148),0)</f>
        <v>0</v>
      </c>
      <c r="G148" s="57">
        <f>CRM_MAGDY!N148</f>
        <v>0</v>
      </c>
      <c r="H148" s="57">
        <f>CRM_MAGDY!M148</f>
        <v>0</v>
      </c>
      <c r="I148" s="57">
        <f t="shared" si="4"/>
        <v>0</v>
      </c>
      <c r="J148" s="57" t="str">
        <f t="shared" si="5"/>
        <v>POTENCJAŁ</v>
      </c>
    </row>
    <row r="149" spans="1:10" x14ac:dyDescent="0.25">
      <c r="A149" s="57" t="str">
        <f>IF(CRM_MAGDY!H149="","","CRM-"&amp;TEXT(ROW()-4,"0000"))</f>
        <v>CRM-0145</v>
      </c>
      <c r="B149" s="57">
        <f>CRM_MAGDY!E149</f>
        <v>0</v>
      </c>
      <c r="C149" s="57">
        <f>CRM_MAGDY!H149</f>
        <v>5593</v>
      </c>
      <c r="D149" s="57" t="str">
        <f>CRM_MAGDY!I149</f>
        <v>Magda K</v>
      </c>
      <c r="E149" s="57">
        <f>IFERROR(VALUE(CRM_MAGDY!K149),0)</f>
        <v>27000</v>
      </c>
      <c r="F149" s="57">
        <f>IFERROR(IF(CRM_MAGDY!L149&gt;1,CRM_MAGDY!L149/100,CRM_MAGDY!L149),0)</f>
        <v>0</v>
      </c>
      <c r="G149" s="57">
        <f>CRM_MAGDY!N149</f>
        <v>0</v>
      </c>
      <c r="H149" s="57" t="str">
        <f>CRM_MAGDY!M149</f>
        <v>oferta</v>
      </c>
      <c r="I149" s="57">
        <f t="shared" si="4"/>
        <v>0</v>
      </c>
      <c r="J149" s="57" t="str">
        <f t="shared" si="5"/>
        <v>POTENCJAŁ</v>
      </c>
    </row>
    <row r="150" spans="1:10" x14ac:dyDescent="0.25">
      <c r="A150" s="57" t="str">
        <f>IF(CRM_MAGDY!H150="","","CRM-"&amp;TEXT(ROW()-4,"0000"))</f>
        <v>CRM-0146</v>
      </c>
      <c r="B150" s="57">
        <f>CRM_MAGDY!E150</f>
        <v>0</v>
      </c>
      <c r="C150" s="57">
        <f>CRM_MAGDY!H150</f>
        <v>5590</v>
      </c>
      <c r="D150" s="57" t="str">
        <f>CRM_MAGDY!I150</f>
        <v>Magda K</v>
      </c>
      <c r="E150" s="57">
        <f>IFERROR(VALUE(CRM_MAGDY!K150),0)</f>
        <v>16000</v>
      </c>
      <c r="F150" s="57">
        <f>IFERROR(IF(CRM_MAGDY!L150&gt;1,CRM_MAGDY!L150/100,CRM_MAGDY!L150),0)</f>
        <v>0</v>
      </c>
      <c r="G150" s="57">
        <f>CRM_MAGDY!N150</f>
        <v>0</v>
      </c>
      <c r="H150" s="57" t="str">
        <f>CRM_MAGDY!M150</f>
        <v>oferta</v>
      </c>
      <c r="I150" s="57">
        <f t="shared" si="4"/>
        <v>0</v>
      </c>
      <c r="J150" s="57" t="str">
        <f t="shared" si="5"/>
        <v>POTENCJAŁ</v>
      </c>
    </row>
    <row r="151" spans="1:10" x14ac:dyDescent="0.25">
      <c r="A151" s="57" t="str">
        <f>IF(CRM_MAGDY!H151="","","CRM-"&amp;TEXT(ROW()-4,"0000"))</f>
        <v>CRM-0147</v>
      </c>
      <c r="B151" s="57">
        <f>CRM_MAGDY!E151</f>
        <v>0</v>
      </c>
      <c r="C151" s="57">
        <f>CRM_MAGDY!H151</f>
        <v>5591</v>
      </c>
      <c r="D151" s="57" t="str">
        <f>CRM_MAGDY!I151</f>
        <v>Magda K</v>
      </c>
      <c r="E151" s="57">
        <f>IFERROR(VALUE(CRM_MAGDY!K151),0)</f>
        <v>32000</v>
      </c>
      <c r="F151" s="57">
        <f>IFERROR(IF(CRM_MAGDY!L151&gt;1,CRM_MAGDY!L151/100,CRM_MAGDY!L151),0)</f>
        <v>0</v>
      </c>
      <c r="G151" s="57">
        <f>CRM_MAGDY!N151</f>
        <v>0</v>
      </c>
      <c r="H151" s="57" t="str">
        <f>CRM_MAGDY!M151</f>
        <v>oferta</v>
      </c>
      <c r="I151" s="57">
        <f t="shared" si="4"/>
        <v>0</v>
      </c>
      <c r="J151" s="57" t="str">
        <f t="shared" si="5"/>
        <v>POTENCJAŁ</v>
      </c>
    </row>
    <row r="152" spans="1:10" x14ac:dyDescent="0.25">
      <c r="A152" s="57" t="str">
        <f>IF(CRM_MAGDY!H152="","","CRM-"&amp;TEXT(ROW()-4,"0000"))</f>
        <v>CRM-0148</v>
      </c>
      <c r="B152" s="57">
        <f>CRM_MAGDY!E152</f>
        <v>0</v>
      </c>
      <c r="C152" s="57">
        <f>CRM_MAGDY!H152</f>
        <v>5592</v>
      </c>
      <c r="D152" s="57" t="str">
        <f>CRM_MAGDY!I152</f>
        <v>Magda K</v>
      </c>
      <c r="E152" s="57">
        <f>IFERROR(VALUE(CRM_MAGDY!K152),0)</f>
        <v>21000</v>
      </c>
      <c r="F152" s="57">
        <f>IFERROR(IF(CRM_MAGDY!L152&gt;1,CRM_MAGDY!L152/100,CRM_MAGDY!L152),0)</f>
        <v>0</v>
      </c>
      <c r="G152" s="57">
        <f>CRM_MAGDY!N152</f>
        <v>0</v>
      </c>
      <c r="H152" s="57" t="str">
        <f>CRM_MAGDY!M152</f>
        <v>oferta</v>
      </c>
      <c r="I152" s="57">
        <f t="shared" si="4"/>
        <v>0</v>
      </c>
      <c r="J152" s="57" t="str">
        <f t="shared" si="5"/>
        <v>POTENCJAŁ</v>
      </c>
    </row>
    <row r="153" spans="1:10" x14ac:dyDescent="0.25">
      <c r="A153" s="57" t="str">
        <f>IF(CRM_MAGDY!H153="","","CRM-"&amp;TEXT(ROW()-4,"0000"))</f>
        <v>CRM-0149</v>
      </c>
      <c r="B153" s="57">
        <f>CRM_MAGDY!E153</f>
        <v>0</v>
      </c>
      <c r="C153" s="57">
        <f>CRM_MAGDY!H153</f>
        <v>5593</v>
      </c>
      <c r="D153" s="57" t="str">
        <f>CRM_MAGDY!I153</f>
        <v>Magda K</v>
      </c>
      <c r="E153" s="57">
        <f>IFERROR(VALUE(CRM_MAGDY!K153),0)</f>
        <v>27000</v>
      </c>
      <c r="F153" s="57">
        <f>IFERROR(IF(CRM_MAGDY!L153&gt;1,CRM_MAGDY!L153/100,CRM_MAGDY!L153),0)</f>
        <v>0</v>
      </c>
      <c r="G153" s="57">
        <f>CRM_MAGDY!N153</f>
        <v>0</v>
      </c>
      <c r="H153" s="57" t="str">
        <f>CRM_MAGDY!M153</f>
        <v>oferta</v>
      </c>
      <c r="I153" s="57">
        <f t="shared" si="4"/>
        <v>0</v>
      </c>
      <c r="J153" s="57" t="str">
        <f t="shared" si="5"/>
        <v>POTENCJAŁ</v>
      </c>
    </row>
    <row r="154" spans="1:10" x14ac:dyDescent="0.25">
      <c r="A154" s="57" t="str">
        <f>IF(CRM_MAGDY!H154="","","CRM-"&amp;TEXT(ROW()-4,"0000"))</f>
        <v>CRM-0150</v>
      </c>
      <c r="B154" s="57">
        <f>CRM_MAGDY!E154</f>
        <v>0</v>
      </c>
      <c r="C154" s="57">
        <f>CRM_MAGDY!H154</f>
        <v>5594</v>
      </c>
      <c r="D154" s="57" t="str">
        <f>CRM_MAGDY!I154</f>
        <v>Magda K</v>
      </c>
      <c r="E154" s="57">
        <f>IFERROR(VALUE(CRM_MAGDY!K154),0)</f>
        <v>0</v>
      </c>
      <c r="F154" s="57">
        <f>IFERROR(IF(CRM_MAGDY!L154&gt;1,CRM_MAGDY!L154/100,CRM_MAGDY!L154),0)</f>
        <v>0</v>
      </c>
      <c r="G154" s="57">
        <f>CRM_MAGDY!N154</f>
        <v>0</v>
      </c>
      <c r="H154" s="57">
        <f>CRM_MAGDY!M154</f>
        <v>0</v>
      </c>
      <c r="I154" s="57">
        <f t="shared" si="4"/>
        <v>0</v>
      </c>
      <c r="J154" s="57" t="str">
        <f t="shared" si="5"/>
        <v>POTENCJAŁ</v>
      </c>
    </row>
    <row r="155" spans="1:10" x14ac:dyDescent="0.25">
      <c r="A155" s="57" t="str">
        <f>IF(CRM_MAGDY!H155="","","CRM-"&amp;TEXT(ROW()-4,"0000"))</f>
        <v>CRM-0151</v>
      </c>
      <c r="B155" s="57">
        <f>CRM_MAGDY!E155</f>
        <v>0</v>
      </c>
      <c r="C155" s="57">
        <f>CRM_MAGDY!H155</f>
        <v>5595</v>
      </c>
      <c r="D155" s="57" t="str">
        <f>CRM_MAGDY!I155</f>
        <v>Magda B</v>
      </c>
      <c r="E155" s="57">
        <f>IFERROR(VALUE(CRM_MAGDY!K155),0)</f>
        <v>17300</v>
      </c>
      <c r="F155" s="57">
        <f>IFERROR(IF(CRM_MAGDY!L155&gt;1,CRM_MAGDY!L155/100,CRM_MAGDY!L155),0)</f>
        <v>0</v>
      </c>
      <c r="G155" s="57">
        <f>CRM_MAGDY!N155</f>
        <v>0</v>
      </c>
      <c r="H155" s="57" t="str">
        <f>CRM_MAGDY!M155</f>
        <v>oferta</v>
      </c>
      <c r="I155" s="57">
        <f t="shared" si="4"/>
        <v>0</v>
      </c>
      <c r="J155" s="57" t="str">
        <f t="shared" si="5"/>
        <v>POTENCJAŁ</v>
      </c>
    </row>
    <row r="156" spans="1:10" x14ac:dyDescent="0.25">
      <c r="A156" s="57" t="str">
        <f>IF(CRM_MAGDY!H156="","","CRM-"&amp;TEXT(ROW()-4,"0000"))</f>
        <v>CRM-0152</v>
      </c>
      <c r="B156" s="57">
        <f>CRM_MAGDY!E156</f>
        <v>0</v>
      </c>
      <c r="C156" s="57">
        <f>CRM_MAGDY!H156</f>
        <v>5596</v>
      </c>
      <c r="D156" s="57" t="str">
        <f>CRM_MAGDY!I156</f>
        <v>Magda B</v>
      </c>
      <c r="E156" s="57">
        <f>IFERROR(VALUE(CRM_MAGDY!K156),0)</f>
        <v>0</v>
      </c>
      <c r="F156" s="57">
        <f>IFERROR(IF(CRM_MAGDY!L156&gt;1,CRM_MAGDY!L156/100,CRM_MAGDY!L156),0)</f>
        <v>0</v>
      </c>
      <c r="G156" s="57">
        <f>CRM_MAGDY!N156</f>
        <v>0</v>
      </c>
      <c r="H156" s="57">
        <f>CRM_MAGDY!M156</f>
        <v>0</v>
      </c>
      <c r="I156" s="57">
        <f t="shared" si="4"/>
        <v>0</v>
      </c>
      <c r="J156" s="57" t="str">
        <f t="shared" si="5"/>
        <v>POTENCJAŁ</v>
      </c>
    </row>
    <row r="157" spans="1:10" x14ac:dyDescent="0.25">
      <c r="A157" s="57" t="str">
        <f>IF(CRM_MAGDY!H157="","","CRM-"&amp;TEXT(ROW()-4,"0000"))</f>
        <v>CRM-0153</v>
      </c>
      <c r="B157" s="57">
        <f>CRM_MAGDY!E157</f>
        <v>0</v>
      </c>
      <c r="C157" s="57">
        <f>CRM_MAGDY!H157</f>
        <v>5597</v>
      </c>
      <c r="D157" s="57" t="str">
        <f>CRM_MAGDY!I157</f>
        <v>Magda K</v>
      </c>
      <c r="E157" s="57">
        <f>IFERROR(VALUE(CRM_MAGDY!K157),0)</f>
        <v>20000</v>
      </c>
      <c r="F157" s="57">
        <f>IFERROR(IF(CRM_MAGDY!L157&gt;1,CRM_MAGDY!L157/100,CRM_MAGDY!L157),0)</f>
        <v>0</v>
      </c>
      <c r="G157" s="57">
        <f>CRM_MAGDY!N157</f>
        <v>0</v>
      </c>
      <c r="H157" s="57" t="str">
        <f>CRM_MAGDY!M157</f>
        <v>oferta</v>
      </c>
      <c r="I157" s="57">
        <f t="shared" si="4"/>
        <v>0</v>
      </c>
      <c r="J157" s="57" t="str">
        <f t="shared" si="5"/>
        <v>POTENCJAŁ</v>
      </c>
    </row>
    <row r="158" spans="1:10" x14ac:dyDescent="0.25">
      <c r="A158" s="57" t="str">
        <f>IF(CRM_MAGDY!H158="","","CRM-"&amp;TEXT(ROW()-4,"0000"))</f>
        <v>CRM-0154</v>
      </c>
      <c r="B158" s="57">
        <f>CRM_MAGDY!E158</f>
        <v>0</v>
      </c>
      <c r="C158" s="57">
        <f>CRM_MAGDY!H158</f>
        <v>5598</v>
      </c>
      <c r="D158" s="57" t="str">
        <f>CRM_MAGDY!I158</f>
        <v>Magda K</v>
      </c>
      <c r="E158" s="57">
        <f>IFERROR(VALUE(CRM_MAGDY!K158),0)</f>
        <v>17000</v>
      </c>
      <c r="F158" s="57">
        <f>IFERROR(IF(CRM_MAGDY!L158&gt;1,CRM_MAGDY!L158/100,CRM_MAGDY!L158),0)</f>
        <v>0</v>
      </c>
      <c r="G158" s="57">
        <f>CRM_MAGDY!N158</f>
        <v>0</v>
      </c>
      <c r="H158" s="57" t="str">
        <f>CRM_MAGDY!M158</f>
        <v>oferta</v>
      </c>
      <c r="I158" s="57">
        <f t="shared" si="4"/>
        <v>0</v>
      </c>
      <c r="J158" s="57" t="str">
        <f t="shared" si="5"/>
        <v>POTENCJAŁ</v>
      </c>
    </row>
    <row r="159" spans="1:10" x14ac:dyDescent="0.25">
      <c r="A159" s="57" t="str">
        <f>IF(CRM_MAGDY!H159="","","CRM-"&amp;TEXT(ROW()-4,"0000"))</f>
        <v>CRM-0155</v>
      </c>
      <c r="B159" s="57">
        <f>CRM_MAGDY!E159</f>
        <v>0</v>
      </c>
      <c r="C159" s="57">
        <f>CRM_MAGDY!H159</f>
        <v>5599</v>
      </c>
      <c r="D159" s="57" t="str">
        <f>CRM_MAGDY!I159</f>
        <v>Magda B</v>
      </c>
      <c r="E159" s="57">
        <f>IFERROR(VALUE(CRM_MAGDY!K159),0)</f>
        <v>25000</v>
      </c>
      <c r="F159" s="57">
        <f>IFERROR(IF(CRM_MAGDY!L159&gt;1,CRM_MAGDY!L159/100,CRM_MAGDY!L159),0)</f>
        <v>0</v>
      </c>
      <c r="G159" s="57">
        <f>CRM_MAGDY!N159</f>
        <v>0</v>
      </c>
      <c r="H159" s="57" t="str">
        <f>CRM_MAGDY!M159</f>
        <v>oferta</v>
      </c>
      <c r="I159" s="57">
        <f t="shared" si="4"/>
        <v>0</v>
      </c>
      <c r="J159" s="57" t="str">
        <f t="shared" si="5"/>
        <v>POTENCJAŁ</v>
      </c>
    </row>
    <row r="160" spans="1:10" ht="30" x14ac:dyDescent="0.25">
      <c r="A160" s="57" t="str">
        <f>IF(CRM_MAGDY!H160="","","CRM-"&amp;TEXT(ROW()-4,"0000"))</f>
        <v>CRM-0156</v>
      </c>
      <c r="B160" s="57">
        <f>CRM_MAGDY!E160</f>
        <v>0</v>
      </c>
      <c r="C160" s="57">
        <f>CRM_MAGDY!H160</f>
        <v>5600</v>
      </c>
      <c r="D160" s="57" t="str">
        <f>CRM_MAGDY!I160</f>
        <v>Magda K</v>
      </c>
      <c r="E160" s="57">
        <f>IFERROR(VALUE(CRM_MAGDY!K160),0)</f>
        <v>0</v>
      </c>
      <c r="F160" s="57">
        <f>IFERROR(IF(CRM_MAGDY!L160&gt;1,CRM_MAGDY!L160/100,CRM_MAGDY!L160),0)</f>
        <v>0</v>
      </c>
      <c r="G160" s="57">
        <f>CRM_MAGDY!N160</f>
        <v>0</v>
      </c>
      <c r="H160" s="57" t="str">
        <f>CRM_MAGDY!M160</f>
        <v>wstępne rozmowy</v>
      </c>
      <c r="I160" s="57">
        <f t="shared" si="4"/>
        <v>0</v>
      </c>
      <c r="J160" s="57" t="str">
        <f t="shared" si="5"/>
        <v>POTENCJAŁ</v>
      </c>
    </row>
    <row r="161" spans="1:10" x14ac:dyDescent="0.25">
      <c r="A161" s="57" t="str">
        <f>IF(CRM_MAGDY!H161="","","CRM-"&amp;TEXT(ROW()-4,"0000"))</f>
        <v>CRM-0157</v>
      </c>
      <c r="B161" s="57">
        <f>CRM_MAGDY!E161</f>
        <v>0</v>
      </c>
      <c r="C161" s="57">
        <f>CRM_MAGDY!H161</f>
        <v>5601</v>
      </c>
      <c r="D161" s="57" t="str">
        <f>CRM_MAGDY!I161</f>
        <v>Magda B</v>
      </c>
      <c r="E161" s="57">
        <f>IFERROR(VALUE(CRM_MAGDY!K161),0)</f>
        <v>30000</v>
      </c>
      <c r="F161" s="57">
        <f>IFERROR(IF(CRM_MAGDY!L161&gt;1,CRM_MAGDY!L161/100,CRM_MAGDY!L161),0)</f>
        <v>0</v>
      </c>
      <c r="G161" s="57">
        <f>CRM_MAGDY!N161</f>
        <v>0</v>
      </c>
      <c r="H161" s="57" t="str">
        <f>CRM_MAGDY!M161</f>
        <v>oferta</v>
      </c>
      <c r="I161" s="57">
        <f t="shared" si="4"/>
        <v>0</v>
      </c>
      <c r="J161" s="57" t="str">
        <f t="shared" si="5"/>
        <v>POTENCJAŁ</v>
      </c>
    </row>
    <row r="162" spans="1:10" x14ac:dyDescent="0.25">
      <c r="A162" s="57" t="str">
        <f>IF(CRM_MAGDY!H162="","","CRM-"&amp;TEXT(ROW()-4,"0000"))</f>
        <v>CRM-0158</v>
      </c>
      <c r="B162" s="57">
        <f>CRM_MAGDY!E162</f>
        <v>0</v>
      </c>
      <c r="C162" s="57">
        <f>CRM_MAGDY!H162</f>
        <v>5602</v>
      </c>
      <c r="D162" s="57" t="str">
        <f>CRM_MAGDY!I162</f>
        <v>Magda K</v>
      </c>
      <c r="E162" s="57">
        <f>IFERROR(VALUE(CRM_MAGDY!K162),0)</f>
        <v>0</v>
      </c>
      <c r="F162" s="57">
        <f>IFERROR(IF(CRM_MAGDY!L162&gt;1,CRM_MAGDY!L162/100,CRM_MAGDY!L162),0)</f>
        <v>0</v>
      </c>
      <c r="G162" s="57">
        <f>CRM_MAGDY!N162</f>
        <v>0</v>
      </c>
      <c r="H162" s="57">
        <f>CRM_MAGDY!M162</f>
        <v>0</v>
      </c>
      <c r="I162" s="57">
        <f t="shared" si="4"/>
        <v>0</v>
      </c>
      <c r="J162" s="57" t="str">
        <f t="shared" si="5"/>
        <v>POTENCJAŁ</v>
      </c>
    </row>
    <row r="163" spans="1:10" x14ac:dyDescent="0.25">
      <c r="A163" s="57" t="str">
        <f>IF(CRM_MAGDY!H163="","","CRM-"&amp;TEXT(ROW()-4,"0000"))</f>
        <v>CRM-0159</v>
      </c>
      <c r="B163" s="57">
        <f>CRM_MAGDY!E163</f>
        <v>0</v>
      </c>
      <c r="C163" s="57">
        <f>CRM_MAGDY!H163</f>
        <v>5603</v>
      </c>
      <c r="D163" s="57" t="str">
        <f>CRM_MAGDY!I163</f>
        <v>Magda B</v>
      </c>
      <c r="E163" s="57">
        <f>IFERROR(VALUE(CRM_MAGDY!K163),0)</f>
        <v>25000</v>
      </c>
      <c r="F163" s="57">
        <f>IFERROR(IF(CRM_MAGDY!L163&gt;1,CRM_MAGDY!L163/100,CRM_MAGDY!L163),0)</f>
        <v>0</v>
      </c>
      <c r="G163" s="57">
        <f>CRM_MAGDY!N163</f>
        <v>0</v>
      </c>
      <c r="H163" s="57" t="str">
        <f>CRM_MAGDY!M163</f>
        <v>oferta</v>
      </c>
      <c r="I163" s="57">
        <f t="shared" si="4"/>
        <v>0</v>
      </c>
      <c r="J163" s="57" t="str">
        <f t="shared" si="5"/>
        <v>POTENCJAŁ</v>
      </c>
    </row>
    <row r="164" spans="1:10" x14ac:dyDescent="0.25">
      <c r="A164" s="57" t="str">
        <f>IF(CRM_MAGDY!H164="","","CRM-"&amp;TEXT(ROW()-4,"0000"))</f>
        <v>CRM-0160</v>
      </c>
      <c r="B164" s="57">
        <f>CRM_MAGDY!E164</f>
        <v>0</v>
      </c>
      <c r="C164" s="57">
        <f>CRM_MAGDY!H164</f>
        <v>5604</v>
      </c>
      <c r="D164" s="57" t="str">
        <f>CRM_MAGDY!I164</f>
        <v>Magda B</v>
      </c>
      <c r="E164" s="57">
        <f>IFERROR(VALUE(CRM_MAGDY!K164),0)</f>
        <v>21400</v>
      </c>
      <c r="F164" s="57">
        <f>IFERROR(IF(CRM_MAGDY!L164&gt;1,CRM_MAGDY!L164/100,CRM_MAGDY!L164),0)</f>
        <v>0</v>
      </c>
      <c r="G164" s="57">
        <f>CRM_MAGDY!N164</f>
        <v>0</v>
      </c>
      <c r="H164" s="57" t="str">
        <f>CRM_MAGDY!M164</f>
        <v>oferta</v>
      </c>
      <c r="I164" s="57">
        <f t="shared" si="4"/>
        <v>0</v>
      </c>
      <c r="J164" s="57" t="str">
        <f t="shared" si="5"/>
        <v>POTENCJAŁ</v>
      </c>
    </row>
    <row r="165" spans="1:10" ht="30" customHeight="1" x14ac:dyDescent="0.25">
      <c r="A165" s="57" t="str">
        <f>IF(CRM_MAGDY!H165="","","CRM-"&amp;TEXT(ROW()-4,"0000"))</f>
        <v>CRM-0161</v>
      </c>
      <c r="B165" s="57">
        <f>CRM_MAGDY!E165</f>
        <v>0</v>
      </c>
      <c r="C165" s="57">
        <f>CRM_MAGDY!H165</f>
        <v>5605</v>
      </c>
      <c r="D165" s="57" t="str">
        <f>CRM_MAGDY!I165</f>
        <v>Magda B</v>
      </c>
      <c r="E165" s="57">
        <f>IFERROR(VALUE(CRM_MAGDY!K165),0)</f>
        <v>17000</v>
      </c>
      <c r="F165" s="57">
        <f>IFERROR(IF(CRM_MAGDY!L165&gt;1,CRM_MAGDY!L165/100,CRM_MAGDY!L165),0)</f>
        <v>1</v>
      </c>
      <c r="G165" s="57" t="str">
        <f>CRM_MAGDY!N165</f>
        <v>WYGRANA</v>
      </c>
      <c r="H165" s="57" t="str">
        <f>CRM_MAGDY!M165</f>
        <v>oferta</v>
      </c>
      <c r="I165" s="57">
        <f t="shared" si="4"/>
        <v>0</v>
      </c>
      <c r="J165" s="57" t="str">
        <f t="shared" si="5"/>
        <v>PEWNY</v>
      </c>
    </row>
    <row r="166" spans="1:10" x14ac:dyDescent="0.25">
      <c r="A166" s="57" t="str">
        <f>IF(CRM_MAGDY!H166="","","CRM-"&amp;TEXT(ROW()-4,"0000"))</f>
        <v>CRM-0162</v>
      </c>
      <c r="B166" s="57">
        <f>CRM_MAGDY!E166</f>
        <v>0</v>
      </c>
      <c r="C166" s="57">
        <f>CRM_MAGDY!H166</f>
        <v>5606</v>
      </c>
      <c r="D166" s="57" t="str">
        <f>CRM_MAGDY!I166</f>
        <v>Magda K</v>
      </c>
      <c r="E166" s="57">
        <f>IFERROR(VALUE(CRM_MAGDY!K166),0)</f>
        <v>0</v>
      </c>
      <c r="F166" s="57">
        <f>IFERROR(IF(CRM_MAGDY!L166&gt;1,CRM_MAGDY!L166/100,CRM_MAGDY!L166),0)</f>
        <v>0</v>
      </c>
      <c r="G166" s="57">
        <f>CRM_MAGDY!N166</f>
        <v>0</v>
      </c>
      <c r="H166" s="57">
        <f>CRM_MAGDY!M166</f>
        <v>0</v>
      </c>
      <c r="I166" s="57">
        <f t="shared" si="4"/>
        <v>0</v>
      </c>
      <c r="J166" s="57" t="str">
        <f t="shared" si="5"/>
        <v>POTENCJAŁ</v>
      </c>
    </row>
    <row r="167" spans="1:10" x14ac:dyDescent="0.25">
      <c r="A167" s="57" t="str">
        <f>IF(CRM_MAGDY!H167="","","CRM-"&amp;TEXT(ROW()-4,"0000"))</f>
        <v>CRM-0163</v>
      </c>
      <c r="B167" s="57">
        <f>CRM_MAGDY!E167</f>
        <v>0</v>
      </c>
      <c r="C167" s="57">
        <f>CRM_MAGDY!H167</f>
        <v>5607</v>
      </c>
      <c r="D167" s="57" t="str">
        <f>CRM_MAGDY!I167</f>
        <v>Magda K</v>
      </c>
      <c r="E167" s="57">
        <f>IFERROR(VALUE(CRM_MAGDY!K167),0)</f>
        <v>19000</v>
      </c>
      <c r="F167" s="57">
        <f>IFERROR(IF(CRM_MAGDY!L167&gt;1,CRM_MAGDY!L167/100,CRM_MAGDY!L167),0)</f>
        <v>0</v>
      </c>
      <c r="G167" s="57">
        <f>CRM_MAGDY!N167</f>
        <v>0</v>
      </c>
      <c r="H167" s="57" t="str">
        <f>CRM_MAGDY!M167</f>
        <v>oferta</v>
      </c>
      <c r="I167" s="57">
        <f t="shared" si="4"/>
        <v>0</v>
      </c>
      <c r="J167" s="57" t="str">
        <f t="shared" si="5"/>
        <v>POTENCJAŁ</v>
      </c>
    </row>
    <row r="168" spans="1:10" x14ac:dyDescent="0.25">
      <c r="A168" s="57" t="str">
        <f>IF(CRM_MAGDY!H168="","","CRM-"&amp;TEXT(ROW()-4,"0000"))</f>
        <v>CRM-0164</v>
      </c>
      <c r="B168" s="57">
        <f>CRM_MAGDY!E168</f>
        <v>0</v>
      </c>
      <c r="C168" s="57">
        <f>CRM_MAGDY!H168</f>
        <v>5608</v>
      </c>
      <c r="D168" s="57" t="str">
        <f>CRM_MAGDY!I168</f>
        <v>Magda K</v>
      </c>
      <c r="E168" s="57">
        <f>IFERROR(VALUE(CRM_MAGDY!K168),0)</f>
        <v>28000</v>
      </c>
      <c r="F168" s="57">
        <f>IFERROR(IF(CRM_MAGDY!L168&gt;1,CRM_MAGDY!L168/100,CRM_MAGDY!L168),0)</f>
        <v>0</v>
      </c>
      <c r="G168" s="57">
        <f>CRM_MAGDY!N168</f>
        <v>0</v>
      </c>
      <c r="H168" s="57" t="str">
        <f>CRM_MAGDY!M168</f>
        <v>oferta</v>
      </c>
      <c r="I168" s="57">
        <f t="shared" si="4"/>
        <v>0</v>
      </c>
      <c r="J168" s="57" t="str">
        <f t="shared" si="5"/>
        <v>POTENCJAŁ</v>
      </c>
    </row>
    <row r="169" spans="1:10" ht="30" x14ac:dyDescent="0.25">
      <c r="A169" s="57" t="str">
        <f>IF(CRM_MAGDY!H169="","","CRM-"&amp;TEXT(ROW()-4,"0000"))</f>
        <v>CRM-0165</v>
      </c>
      <c r="B169" s="57">
        <f>CRM_MAGDY!E169</f>
        <v>0</v>
      </c>
      <c r="C169" s="57">
        <f>CRM_MAGDY!H169</f>
        <v>5609</v>
      </c>
      <c r="D169" s="57" t="str">
        <f>CRM_MAGDY!I169</f>
        <v>Magda K</v>
      </c>
      <c r="E169" s="57">
        <f>IFERROR(VALUE(CRM_MAGDY!K169),0)</f>
        <v>32000</v>
      </c>
      <c r="F169" s="57">
        <f>IFERROR(IF(CRM_MAGDY!L169&gt;1,CRM_MAGDY!L169/100,CRM_MAGDY!L169),0)</f>
        <v>0</v>
      </c>
      <c r="G169" s="57">
        <f>CRM_MAGDY!N169</f>
        <v>0</v>
      </c>
      <c r="H169" s="57" t="str">
        <f>CRM_MAGDY!M169</f>
        <v>widełki cenowe</v>
      </c>
      <c r="I169" s="57">
        <f t="shared" si="4"/>
        <v>0</v>
      </c>
      <c r="J169" s="57" t="str">
        <f t="shared" si="5"/>
        <v>POTENCJAŁ</v>
      </c>
    </row>
    <row r="170" spans="1:10" x14ac:dyDescent="0.25">
      <c r="A170" s="57" t="str">
        <f>IF(CRM_MAGDY!H170="","","CRM-"&amp;TEXT(ROW()-4,"0000"))</f>
        <v>CRM-0166</v>
      </c>
      <c r="B170" s="57">
        <f>CRM_MAGDY!E170</f>
        <v>0</v>
      </c>
      <c r="C170" s="57">
        <f>CRM_MAGDY!H170</f>
        <v>5610</v>
      </c>
      <c r="D170" s="57" t="str">
        <f>CRM_MAGDY!I170</f>
        <v>Magda K</v>
      </c>
      <c r="E170" s="57">
        <f>IFERROR(VALUE(CRM_MAGDY!K170),0)</f>
        <v>27000</v>
      </c>
      <c r="F170" s="57">
        <f>IFERROR(IF(CRM_MAGDY!L170&gt;1,CRM_MAGDY!L170/100,CRM_MAGDY!L170),0)</f>
        <v>0</v>
      </c>
      <c r="G170" s="57">
        <f>CRM_MAGDY!N170</f>
        <v>0</v>
      </c>
      <c r="H170" s="57" t="str">
        <f>CRM_MAGDY!M170</f>
        <v>oferta</v>
      </c>
      <c r="I170" s="57">
        <f t="shared" si="4"/>
        <v>0</v>
      </c>
      <c r="J170" s="57" t="str">
        <f t="shared" si="5"/>
        <v>POTENCJAŁ</v>
      </c>
    </row>
    <row r="171" spans="1:10" x14ac:dyDescent="0.25">
      <c r="A171" s="57" t="str">
        <f>IF(CRM_MAGDY!H171="","","CRM-"&amp;TEXT(ROW()-4,"0000"))</f>
        <v>CRM-0167</v>
      </c>
      <c r="B171" s="57">
        <f>CRM_MAGDY!E171</f>
        <v>0</v>
      </c>
      <c r="C171" s="57">
        <f>CRM_MAGDY!H171</f>
        <v>5611</v>
      </c>
      <c r="D171" s="57" t="str">
        <f>CRM_MAGDY!I171</f>
        <v>Magda B</v>
      </c>
      <c r="E171" s="57">
        <f>IFERROR(VALUE(CRM_MAGDY!K171),0)</f>
        <v>25000</v>
      </c>
      <c r="F171" s="57">
        <f>IFERROR(IF(CRM_MAGDY!L171&gt;1,CRM_MAGDY!L171/100,CRM_MAGDY!L171),0)</f>
        <v>0.6</v>
      </c>
      <c r="G171" s="57">
        <f>CRM_MAGDY!N171</f>
        <v>0</v>
      </c>
      <c r="H171" s="57" t="str">
        <f>CRM_MAGDY!M171</f>
        <v xml:space="preserve">oferta </v>
      </c>
      <c r="I171" s="57">
        <f t="shared" si="4"/>
        <v>15000</v>
      </c>
      <c r="J171" s="57" t="str">
        <f t="shared" si="5"/>
        <v>REALNY</v>
      </c>
    </row>
    <row r="172" spans="1:10" x14ac:dyDescent="0.25">
      <c r="A172" s="57" t="str">
        <f>IF(CRM_MAGDY!H172="","","CRM-"&amp;TEXT(ROW()-4,"0000"))</f>
        <v>CRM-0168</v>
      </c>
      <c r="B172" s="57">
        <f>CRM_MAGDY!E172</f>
        <v>0</v>
      </c>
      <c r="C172" s="57">
        <f>CRM_MAGDY!H172</f>
        <v>5612</v>
      </c>
      <c r="D172" s="57" t="str">
        <f>CRM_MAGDY!I172</f>
        <v>Magda B</v>
      </c>
      <c r="E172" s="57">
        <f>IFERROR(VALUE(CRM_MAGDY!K172),0)</f>
        <v>15000</v>
      </c>
      <c r="F172" s="57">
        <f>IFERROR(IF(CRM_MAGDY!L172&gt;1,CRM_MAGDY!L172/100,CRM_MAGDY!L172),0)</f>
        <v>0</v>
      </c>
      <c r="G172" s="57">
        <f>CRM_MAGDY!N172</f>
        <v>0</v>
      </c>
      <c r="H172" s="57" t="str">
        <f>CRM_MAGDY!M172</f>
        <v>oferta</v>
      </c>
      <c r="I172" s="57">
        <f t="shared" si="4"/>
        <v>0</v>
      </c>
      <c r="J172" s="57" t="str">
        <f t="shared" si="5"/>
        <v>POTENCJAŁ</v>
      </c>
    </row>
    <row r="173" spans="1:10" ht="30" customHeight="1" x14ac:dyDescent="0.25">
      <c r="A173" s="57" t="str">
        <f>IF(CRM_MAGDY!H173="","","CRM-"&amp;TEXT(ROW()-4,"0000"))</f>
        <v>CRM-0169</v>
      </c>
      <c r="B173" s="57">
        <f>CRM_MAGDY!E173</f>
        <v>0</v>
      </c>
      <c r="C173" s="57">
        <f>CRM_MAGDY!H173</f>
        <v>5613</v>
      </c>
      <c r="D173" s="57" t="str">
        <f>CRM_MAGDY!I173</f>
        <v>Magda K</v>
      </c>
      <c r="E173" s="57">
        <f>IFERROR(VALUE(CRM_MAGDY!K173),0)</f>
        <v>0</v>
      </c>
      <c r="F173" s="57">
        <f>IFERROR(IF(CRM_MAGDY!L173&gt;1,CRM_MAGDY!L173/100,CRM_MAGDY!L173),0)</f>
        <v>1</v>
      </c>
      <c r="G173" s="57" t="str">
        <f>CRM_MAGDY!N173</f>
        <v>WYGRANA</v>
      </c>
      <c r="H173" s="57" t="str">
        <f>CRM_MAGDY!M173</f>
        <v>zamówienie</v>
      </c>
      <c r="I173" s="57">
        <f t="shared" si="4"/>
        <v>0</v>
      </c>
      <c r="J173" s="57" t="str">
        <f t="shared" si="5"/>
        <v>PEWNY</v>
      </c>
    </row>
    <row r="174" spans="1:10" x14ac:dyDescent="0.25">
      <c r="A174" s="57" t="str">
        <f>IF(CRM_MAGDY!H174="","","CRM-"&amp;TEXT(ROW()-4,"0000"))</f>
        <v>CRM-0170</v>
      </c>
      <c r="B174" s="57">
        <f>CRM_MAGDY!E174</f>
        <v>0</v>
      </c>
      <c r="C174" s="57">
        <f>CRM_MAGDY!H174</f>
        <v>5614</v>
      </c>
      <c r="D174" s="57" t="str">
        <f>CRM_MAGDY!I174</f>
        <v>Magda B</v>
      </c>
      <c r="E174" s="57">
        <f>IFERROR(VALUE(CRM_MAGDY!K174),0)</f>
        <v>105000</v>
      </c>
      <c r="F174" s="57">
        <f>IFERROR(IF(CRM_MAGDY!L174&gt;1,CRM_MAGDY!L174/100,CRM_MAGDY!L174),0)</f>
        <v>0.6</v>
      </c>
      <c r="G174" s="57">
        <f>CRM_MAGDY!N174</f>
        <v>0</v>
      </c>
      <c r="H174" s="57" t="str">
        <f>CRM_MAGDY!M174</f>
        <v>oferta</v>
      </c>
      <c r="I174" s="57">
        <f t="shared" si="4"/>
        <v>63000</v>
      </c>
      <c r="J174" s="57" t="str">
        <f t="shared" si="5"/>
        <v>REALNY</v>
      </c>
    </row>
    <row r="175" spans="1:10" x14ac:dyDescent="0.25">
      <c r="A175" s="57" t="str">
        <f>IF(CRM_MAGDY!H175="","","CRM-"&amp;TEXT(ROW()-4,"0000"))</f>
        <v>CRM-0171</v>
      </c>
      <c r="B175" s="57">
        <f>CRM_MAGDY!E175</f>
        <v>0</v>
      </c>
      <c r="C175" s="57">
        <f>CRM_MAGDY!H175</f>
        <v>5615</v>
      </c>
      <c r="D175" s="57" t="str">
        <f>CRM_MAGDY!I175</f>
        <v>Magda B</v>
      </c>
      <c r="E175" s="57">
        <f>IFERROR(VALUE(CRM_MAGDY!K175),0)</f>
        <v>0</v>
      </c>
      <c r="F175" s="57">
        <f>IFERROR(IF(CRM_MAGDY!L175&gt;1,CRM_MAGDY!L175/100,CRM_MAGDY!L175),0)</f>
        <v>0</v>
      </c>
      <c r="G175" s="57">
        <f>CRM_MAGDY!N175</f>
        <v>0</v>
      </c>
      <c r="H175" s="57">
        <f>CRM_MAGDY!M175</f>
        <v>0</v>
      </c>
      <c r="I175" s="57">
        <f t="shared" si="4"/>
        <v>0</v>
      </c>
      <c r="J175" s="57" t="str">
        <f t="shared" si="5"/>
        <v>POTENCJAŁ</v>
      </c>
    </row>
    <row r="176" spans="1:10" x14ac:dyDescent="0.25">
      <c r="A176" s="57" t="str">
        <f>IF(CRM_MAGDY!H176="","","CRM-"&amp;TEXT(ROW()-4,"0000"))</f>
        <v>CRM-0172</v>
      </c>
      <c r="B176" s="57">
        <f>CRM_MAGDY!E176</f>
        <v>0</v>
      </c>
      <c r="C176" s="57">
        <f>CRM_MAGDY!H176</f>
        <v>5616</v>
      </c>
      <c r="D176" s="57" t="str">
        <f>CRM_MAGDY!I176</f>
        <v>Magda K</v>
      </c>
      <c r="E176" s="57">
        <f>IFERROR(VALUE(CRM_MAGDY!K176),0)</f>
        <v>20000</v>
      </c>
      <c r="F176" s="57">
        <f>IFERROR(IF(CRM_MAGDY!L176&gt;1,CRM_MAGDY!L176/100,CRM_MAGDY!L176),0)</f>
        <v>0</v>
      </c>
      <c r="G176" s="57">
        <f>CRM_MAGDY!N176</f>
        <v>0</v>
      </c>
      <c r="H176" s="57" t="str">
        <f>CRM_MAGDY!M176</f>
        <v>oferta</v>
      </c>
      <c r="I176" s="57">
        <f t="shared" si="4"/>
        <v>0</v>
      </c>
      <c r="J176" s="57" t="str">
        <f t="shared" si="5"/>
        <v>POTENCJAŁ</v>
      </c>
    </row>
    <row r="177" spans="1:10" x14ac:dyDescent="0.25">
      <c r="A177" s="57" t="str">
        <f>IF(CRM_MAGDY!H177="","","CRM-"&amp;TEXT(ROW()-4,"0000"))</f>
        <v>CRM-0173</v>
      </c>
      <c r="B177" s="57">
        <f>CRM_MAGDY!E177</f>
        <v>0</v>
      </c>
      <c r="C177" s="57">
        <f>CRM_MAGDY!H177</f>
        <v>5617</v>
      </c>
      <c r="D177" s="57" t="str">
        <f>CRM_MAGDY!I177</f>
        <v>Magda K</v>
      </c>
      <c r="E177" s="57">
        <f>IFERROR(VALUE(CRM_MAGDY!K177),0)</f>
        <v>17000</v>
      </c>
      <c r="F177" s="57">
        <f>IFERROR(IF(CRM_MAGDY!L177&gt;1,CRM_MAGDY!L177/100,CRM_MAGDY!L177),0)</f>
        <v>0</v>
      </c>
      <c r="G177" s="57">
        <f>CRM_MAGDY!N177</f>
        <v>0</v>
      </c>
      <c r="H177" s="57" t="str">
        <f>CRM_MAGDY!M177</f>
        <v>oferta</v>
      </c>
      <c r="I177" s="57">
        <f t="shared" si="4"/>
        <v>0</v>
      </c>
      <c r="J177" s="57" t="str">
        <f t="shared" si="5"/>
        <v>POTENCJAŁ</v>
      </c>
    </row>
    <row r="178" spans="1:10" x14ac:dyDescent="0.25">
      <c r="A178" s="57" t="str">
        <f>IF(CRM_MAGDY!H178="","","CRM-"&amp;TEXT(ROW()-4,"0000"))</f>
        <v>CRM-0174</v>
      </c>
      <c r="B178" s="57">
        <f>CRM_MAGDY!E178</f>
        <v>0</v>
      </c>
      <c r="C178" s="57">
        <f>CRM_MAGDY!H178</f>
        <v>5618</v>
      </c>
      <c r="D178" s="57" t="str">
        <f>CRM_MAGDY!I178</f>
        <v>Magda K</v>
      </c>
      <c r="E178" s="57">
        <f>IFERROR(VALUE(CRM_MAGDY!K178),0)</f>
        <v>0</v>
      </c>
      <c r="F178" s="57">
        <f>IFERROR(IF(CRM_MAGDY!L178&gt;1,CRM_MAGDY!L178/100,CRM_MAGDY!L178),0)</f>
        <v>0</v>
      </c>
      <c r="G178" s="57">
        <f>CRM_MAGDY!N178</f>
        <v>0</v>
      </c>
      <c r="H178" s="57">
        <f>CRM_MAGDY!M178</f>
        <v>0</v>
      </c>
      <c r="I178" s="57">
        <f t="shared" si="4"/>
        <v>0</v>
      </c>
      <c r="J178" s="57" t="str">
        <f t="shared" si="5"/>
        <v>POTENCJAŁ</v>
      </c>
    </row>
    <row r="179" spans="1:10" x14ac:dyDescent="0.25">
      <c r="A179" s="57" t="str">
        <f>IF(CRM_MAGDY!H179="","","CRM-"&amp;TEXT(ROW()-4,"0000"))</f>
        <v>CRM-0175</v>
      </c>
      <c r="B179" s="57">
        <f>CRM_MAGDY!E179</f>
        <v>0</v>
      </c>
      <c r="C179" s="57">
        <f>CRM_MAGDY!H179</f>
        <v>5619</v>
      </c>
      <c r="D179" s="57" t="str">
        <f>CRM_MAGDY!I179</f>
        <v>Magda K</v>
      </c>
      <c r="E179" s="57">
        <f>IFERROR(VALUE(CRM_MAGDY!K179),0)</f>
        <v>25000</v>
      </c>
      <c r="F179" s="57">
        <f>IFERROR(IF(CRM_MAGDY!L179&gt;1,CRM_MAGDY!L179/100,CRM_MAGDY!L179),0)</f>
        <v>0</v>
      </c>
      <c r="G179" s="57">
        <f>CRM_MAGDY!N179</f>
        <v>0</v>
      </c>
      <c r="H179" s="57" t="str">
        <f>CRM_MAGDY!M179</f>
        <v>oferta</v>
      </c>
      <c r="I179" s="57">
        <f t="shared" si="4"/>
        <v>0</v>
      </c>
      <c r="J179" s="57" t="str">
        <f t="shared" si="5"/>
        <v>POTENCJAŁ</v>
      </c>
    </row>
    <row r="180" spans="1:10" ht="30" customHeight="1" x14ac:dyDescent="0.25">
      <c r="A180" s="57" t="str">
        <f>IF(CRM_MAGDY!H180="","","CRM-"&amp;TEXT(ROW()-4,"0000"))</f>
        <v>CRM-0176</v>
      </c>
      <c r="B180" s="57">
        <f>CRM_MAGDY!E180</f>
        <v>0</v>
      </c>
      <c r="C180" s="57">
        <f>CRM_MAGDY!H180</f>
        <v>5620</v>
      </c>
      <c r="D180" s="57" t="str">
        <f>CRM_MAGDY!I180</f>
        <v>Magda B</v>
      </c>
      <c r="E180" s="57">
        <f>IFERROR(VALUE(CRM_MAGDY!K180),0)</f>
        <v>18684</v>
      </c>
      <c r="F180" s="57">
        <f>IFERROR(IF(CRM_MAGDY!L180&gt;1,CRM_MAGDY!L180/100,CRM_MAGDY!L180),0)</f>
        <v>1</v>
      </c>
      <c r="G180" s="57" t="str">
        <f>CRM_MAGDY!N180</f>
        <v>WYGRANA</v>
      </c>
      <c r="H180" s="57" t="str">
        <f>CRM_MAGDY!M180</f>
        <v>decyzja na tak</v>
      </c>
      <c r="I180" s="57">
        <f t="shared" si="4"/>
        <v>0</v>
      </c>
      <c r="J180" s="57" t="str">
        <f t="shared" si="5"/>
        <v>PEWNY</v>
      </c>
    </row>
    <row r="181" spans="1:10" x14ac:dyDescent="0.25">
      <c r="A181" s="57" t="str">
        <f>IF(CRM_MAGDY!H181="","","CRM-"&amp;TEXT(ROW()-4,"0000"))</f>
        <v>CRM-0177</v>
      </c>
      <c r="B181" s="57">
        <f>CRM_MAGDY!E181</f>
        <v>0</v>
      </c>
      <c r="C181" s="57">
        <f>CRM_MAGDY!H181</f>
        <v>5621</v>
      </c>
      <c r="D181" s="57" t="str">
        <f>CRM_MAGDY!I181</f>
        <v>Magda B</v>
      </c>
      <c r="E181" s="57">
        <f>IFERROR(VALUE(CRM_MAGDY!K181),0)</f>
        <v>23000</v>
      </c>
      <c r="F181" s="57">
        <f>IFERROR(IF(CRM_MAGDY!L181&gt;1,CRM_MAGDY!L181/100,CRM_MAGDY!L181),0)</f>
        <v>0.6</v>
      </c>
      <c r="G181" s="57">
        <f>CRM_MAGDY!N181</f>
        <v>0</v>
      </c>
      <c r="H181" s="57" t="str">
        <f>CRM_MAGDY!M181</f>
        <v>oferta</v>
      </c>
      <c r="I181" s="57">
        <f t="shared" si="4"/>
        <v>13800</v>
      </c>
      <c r="J181" s="57" t="str">
        <f t="shared" si="5"/>
        <v>REALNY</v>
      </c>
    </row>
    <row r="182" spans="1:10" x14ac:dyDescent="0.25">
      <c r="A182" s="57" t="str">
        <f>IF(CRM_MAGDY!H182="","","CRM-"&amp;TEXT(ROW()-4,"0000"))</f>
        <v>CRM-0178</v>
      </c>
      <c r="B182" s="57">
        <f>CRM_MAGDY!E182</f>
        <v>0</v>
      </c>
      <c r="C182" s="57">
        <f>CRM_MAGDY!H182</f>
        <v>5622</v>
      </c>
      <c r="D182" s="57" t="str">
        <f>CRM_MAGDY!I182</f>
        <v>Magda K</v>
      </c>
      <c r="E182" s="57">
        <f>IFERROR(VALUE(CRM_MAGDY!K182),0)</f>
        <v>11000</v>
      </c>
      <c r="F182" s="57">
        <f>IFERROR(IF(CRM_MAGDY!L182&gt;1,CRM_MAGDY!L182/100,CRM_MAGDY!L182),0)</f>
        <v>0</v>
      </c>
      <c r="G182" s="57">
        <f>CRM_MAGDY!N182</f>
        <v>0</v>
      </c>
      <c r="H182" s="57" t="str">
        <f>CRM_MAGDY!M182</f>
        <v>oferta</v>
      </c>
      <c r="I182" s="57">
        <f t="shared" si="4"/>
        <v>0</v>
      </c>
      <c r="J182" s="57" t="str">
        <f t="shared" si="5"/>
        <v>POTENCJAŁ</v>
      </c>
    </row>
    <row r="183" spans="1:10" x14ac:dyDescent="0.25">
      <c r="A183" s="57" t="str">
        <f>IF(CRM_MAGDY!H183="","","CRM-"&amp;TEXT(ROW()-4,"0000"))</f>
        <v>CRM-0179</v>
      </c>
      <c r="B183" s="57">
        <f>CRM_MAGDY!E183</f>
        <v>0</v>
      </c>
      <c r="C183" s="57">
        <f>CRM_MAGDY!H183</f>
        <v>5623</v>
      </c>
      <c r="D183" s="57" t="str">
        <f>CRM_MAGDY!I183</f>
        <v>Magda K</v>
      </c>
      <c r="E183" s="57">
        <f>IFERROR(VALUE(CRM_MAGDY!K183),0)</f>
        <v>30000</v>
      </c>
      <c r="F183" s="57">
        <f>IFERROR(IF(CRM_MAGDY!L183&gt;1,CRM_MAGDY!L183/100,CRM_MAGDY!L183),0)</f>
        <v>0</v>
      </c>
      <c r="G183" s="57">
        <f>CRM_MAGDY!N183</f>
        <v>0</v>
      </c>
      <c r="H183" s="57" t="str">
        <f>CRM_MAGDY!M183</f>
        <v>oferta</v>
      </c>
      <c r="I183" s="57">
        <f t="shared" si="4"/>
        <v>0</v>
      </c>
      <c r="J183" s="57" t="str">
        <f t="shared" si="5"/>
        <v>POTENCJAŁ</v>
      </c>
    </row>
    <row r="184" spans="1:10" x14ac:dyDescent="0.25">
      <c r="A184" s="57" t="str">
        <f>IF(CRM_MAGDY!H184="","","CRM-"&amp;TEXT(ROW()-4,"0000"))</f>
        <v>CRM-0180</v>
      </c>
      <c r="B184" s="57">
        <f>CRM_MAGDY!E184</f>
        <v>0</v>
      </c>
      <c r="C184" s="57">
        <f>CRM_MAGDY!H184</f>
        <v>5624</v>
      </c>
      <c r="D184" s="57" t="str">
        <f>CRM_MAGDY!I184</f>
        <v>Magda K</v>
      </c>
      <c r="E184" s="57">
        <f>IFERROR(VALUE(CRM_MAGDY!K184),0)</f>
        <v>30000</v>
      </c>
      <c r="F184" s="57">
        <f>IFERROR(IF(CRM_MAGDY!L184&gt;1,CRM_MAGDY!L184/100,CRM_MAGDY!L184),0)</f>
        <v>0.6</v>
      </c>
      <c r="G184" s="57">
        <f>CRM_MAGDY!N184</f>
        <v>0</v>
      </c>
      <c r="H184" s="57" t="str">
        <f>CRM_MAGDY!M184</f>
        <v>oferta</v>
      </c>
      <c r="I184" s="57">
        <f t="shared" si="4"/>
        <v>18000</v>
      </c>
      <c r="J184" s="57" t="str">
        <f t="shared" si="5"/>
        <v>REALNY</v>
      </c>
    </row>
    <row r="185" spans="1:10" ht="30" x14ac:dyDescent="0.25">
      <c r="A185" s="57" t="str">
        <f>IF(CRM_MAGDY!H185="","","CRM-"&amp;TEXT(ROW()-4,"0000"))</f>
        <v>CRM-0181</v>
      </c>
      <c r="B185" s="57">
        <f>CRM_MAGDY!E185</f>
        <v>0</v>
      </c>
      <c r="C185" s="57">
        <f>CRM_MAGDY!H185</f>
        <v>5625</v>
      </c>
      <c r="D185" s="57" t="str">
        <f>CRM_MAGDY!I185</f>
        <v>Magda B</v>
      </c>
      <c r="E185" s="57">
        <f>IFERROR(VALUE(CRM_MAGDY!K185),0)</f>
        <v>0</v>
      </c>
      <c r="F185" s="57">
        <f>IFERROR(IF(CRM_MAGDY!L185&gt;1,CRM_MAGDY!L185/100,CRM_MAGDY!L185),0)</f>
        <v>0.2</v>
      </c>
      <c r="G185" s="57">
        <f>CRM_MAGDY!N185</f>
        <v>0</v>
      </c>
      <c r="H185" s="57" t="str">
        <f>CRM_MAGDY!M185</f>
        <v>wstępne rozmowy</v>
      </c>
      <c r="I185" s="57">
        <f t="shared" si="4"/>
        <v>0</v>
      </c>
      <c r="J185" s="57" t="str">
        <f t="shared" si="5"/>
        <v>POTENCJAŁ</v>
      </c>
    </row>
    <row r="186" spans="1:10" x14ac:dyDescent="0.25">
      <c r="A186" s="57" t="str">
        <f>IF(CRM_MAGDY!H186="","","CRM-"&amp;TEXT(ROW()-4,"0000"))</f>
        <v>CRM-0182</v>
      </c>
      <c r="B186" s="57">
        <f>CRM_MAGDY!E186</f>
        <v>0</v>
      </c>
      <c r="C186" s="57">
        <f>CRM_MAGDY!H186</f>
        <v>5626</v>
      </c>
      <c r="D186" s="57" t="str">
        <f>CRM_MAGDY!I186</f>
        <v>Magda B</v>
      </c>
      <c r="E186" s="57">
        <f>IFERROR(VALUE(CRM_MAGDY!K186),0)</f>
        <v>21600</v>
      </c>
      <c r="F186" s="57">
        <f>IFERROR(IF(CRM_MAGDY!L186&gt;1,CRM_MAGDY!L186/100,CRM_MAGDY!L186),0)</f>
        <v>0</v>
      </c>
      <c r="G186" s="57">
        <f>CRM_MAGDY!N186</f>
        <v>0</v>
      </c>
      <c r="H186" s="57" t="str">
        <f>CRM_MAGDY!M186</f>
        <v>oferta</v>
      </c>
      <c r="I186" s="57">
        <f t="shared" si="4"/>
        <v>0</v>
      </c>
      <c r="J186" s="57" t="str">
        <f t="shared" si="5"/>
        <v>POTENCJAŁ</v>
      </c>
    </row>
    <row r="187" spans="1:10" x14ac:dyDescent="0.25">
      <c r="A187" s="57" t="str">
        <f>IF(CRM_MAGDY!H187="","","CRM-"&amp;TEXT(ROW()-4,"0000"))</f>
        <v>CRM-0183</v>
      </c>
      <c r="B187" s="57">
        <f>CRM_MAGDY!E187</f>
        <v>0</v>
      </c>
      <c r="C187" s="57">
        <f>CRM_MAGDY!H187</f>
        <v>5627</v>
      </c>
      <c r="D187" s="57" t="str">
        <f>CRM_MAGDY!I187</f>
        <v>Magda K</v>
      </c>
      <c r="E187" s="57">
        <f>IFERROR(VALUE(CRM_MAGDY!K187),0)</f>
        <v>24000</v>
      </c>
      <c r="F187" s="57">
        <f>IFERROR(IF(CRM_MAGDY!L187&gt;1,CRM_MAGDY!L187/100,CRM_MAGDY!L187),0)</f>
        <v>0</v>
      </c>
      <c r="G187" s="57">
        <f>CRM_MAGDY!N187</f>
        <v>0</v>
      </c>
      <c r="H187" s="57" t="str">
        <f>CRM_MAGDY!M187</f>
        <v>oferta</v>
      </c>
      <c r="I187" s="57">
        <f t="shared" si="4"/>
        <v>0</v>
      </c>
      <c r="J187" s="57" t="str">
        <f t="shared" si="5"/>
        <v>POTENCJAŁ</v>
      </c>
    </row>
    <row r="188" spans="1:10" x14ac:dyDescent="0.25">
      <c r="A188" s="57" t="str">
        <f>IF(CRM_MAGDY!H188="","","CRM-"&amp;TEXT(ROW()-4,"0000"))</f>
        <v>CRM-0184</v>
      </c>
      <c r="B188" s="57">
        <f>CRM_MAGDY!E188</f>
        <v>0</v>
      </c>
      <c r="C188" s="57">
        <f>CRM_MAGDY!H188</f>
        <v>5628</v>
      </c>
      <c r="D188" s="57" t="str">
        <f>CRM_MAGDY!I188</f>
        <v>Magda B</v>
      </c>
      <c r="E188" s="57">
        <f>IFERROR(VALUE(CRM_MAGDY!K188),0)</f>
        <v>35000</v>
      </c>
      <c r="F188" s="57">
        <f>IFERROR(IF(CRM_MAGDY!L188&gt;1,CRM_MAGDY!L188/100,CRM_MAGDY!L188),0)</f>
        <v>0.6</v>
      </c>
      <c r="G188" s="57">
        <f>CRM_MAGDY!N188</f>
        <v>0</v>
      </c>
      <c r="H188" s="57" t="str">
        <f>CRM_MAGDY!M188</f>
        <v>oferta</v>
      </c>
      <c r="I188" s="57">
        <f t="shared" si="4"/>
        <v>21000</v>
      </c>
      <c r="J188" s="57" t="str">
        <f t="shared" si="5"/>
        <v>REALNY</v>
      </c>
    </row>
    <row r="189" spans="1:10" x14ac:dyDescent="0.25">
      <c r="A189" s="57" t="str">
        <f>IF(CRM_MAGDY!H189="","","CRM-"&amp;TEXT(ROW()-4,"0000"))</f>
        <v>CRM-0185</v>
      </c>
      <c r="B189" s="57">
        <f>CRM_MAGDY!E189</f>
        <v>0</v>
      </c>
      <c r="C189" s="57">
        <f>CRM_MAGDY!H189</f>
        <v>5629</v>
      </c>
      <c r="D189" s="57" t="str">
        <f>CRM_MAGDY!I189</f>
        <v>Magda K</v>
      </c>
      <c r="E189" s="57">
        <f>IFERROR(VALUE(CRM_MAGDY!K189),0)</f>
        <v>21000</v>
      </c>
      <c r="F189" s="57">
        <f>IFERROR(IF(CRM_MAGDY!L189&gt;1,CRM_MAGDY!L189/100,CRM_MAGDY!L189),0)</f>
        <v>0</v>
      </c>
      <c r="G189" s="57">
        <f>CRM_MAGDY!N189</f>
        <v>0</v>
      </c>
      <c r="H189" s="57" t="str">
        <f>CRM_MAGDY!M189</f>
        <v>oferta</v>
      </c>
      <c r="I189" s="57">
        <f t="shared" si="4"/>
        <v>0</v>
      </c>
      <c r="J189" s="57" t="str">
        <f t="shared" si="5"/>
        <v>POTENCJAŁ</v>
      </c>
    </row>
    <row r="190" spans="1:10" x14ac:dyDescent="0.25">
      <c r="A190" s="57" t="str">
        <f>IF(CRM_MAGDY!H190="","","CRM-"&amp;TEXT(ROW()-4,"0000"))</f>
        <v>CRM-0186</v>
      </c>
      <c r="B190" s="57">
        <f>CRM_MAGDY!E190</f>
        <v>0</v>
      </c>
      <c r="C190" s="57">
        <f>CRM_MAGDY!H190</f>
        <v>5630</v>
      </c>
      <c r="D190" s="57" t="str">
        <f>CRM_MAGDY!I190</f>
        <v>Magda B</v>
      </c>
      <c r="E190" s="57">
        <f>IFERROR(VALUE(CRM_MAGDY!K190),0)</f>
        <v>0</v>
      </c>
      <c r="F190" s="57">
        <f>IFERROR(IF(CRM_MAGDY!L190&gt;1,CRM_MAGDY!L190/100,CRM_MAGDY!L190),0)</f>
        <v>0</v>
      </c>
      <c r="G190" s="57">
        <f>CRM_MAGDY!N190</f>
        <v>0</v>
      </c>
      <c r="H190" s="57" t="str">
        <f>CRM_MAGDY!M190</f>
        <v>oferta</v>
      </c>
      <c r="I190" s="57">
        <f t="shared" si="4"/>
        <v>0</v>
      </c>
      <c r="J190" s="57" t="str">
        <f t="shared" si="5"/>
        <v>POTENCJAŁ</v>
      </c>
    </row>
    <row r="191" spans="1:10" ht="30" customHeight="1" x14ac:dyDescent="0.25">
      <c r="A191" s="57" t="str">
        <f>IF(CRM_MAGDY!H191="","","CRM-"&amp;TEXT(ROW()-4,"0000"))</f>
        <v>CRM-0187</v>
      </c>
      <c r="B191" s="57">
        <f>CRM_MAGDY!E191</f>
        <v>0</v>
      </c>
      <c r="C191" s="57">
        <f>CRM_MAGDY!H191</f>
        <v>5630</v>
      </c>
      <c r="D191" s="57" t="str">
        <f>CRM_MAGDY!I191</f>
        <v>Magda K</v>
      </c>
      <c r="E191" s="57">
        <f>IFERROR(VALUE(CRM_MAGDY!K191),0)</f>
        <v>23000</v>
      </c>
      <c r="F191" s="57">
        <f>IFERROR(IF(CRM_MAGDY!L191&gt;1,CRM_MAGDY!L191/100,CRM_MAGDY!L191),0)</f>
        <v>1</v>
      </c>
      <c r="G191" s="57" t="str">
        <f>CRM_MAGDY!N191</f>
        <v>WYGRANA</v>
      </c>
      <c r="H191" s="57" t="str">
        <f>CRM_MAGDY!M191</f>
        <v>decyzja na tak</v>
      </c>
      <c r="I191" s="57">
        <f t="shared" si="4"/>
        <v>0</v>
      </c>
      <c r="J191" s="57" t="str">
        <f t="shared" si="5"/>
        <v>PEWNY</v>
      </c>
    </row>
    <row r="192" spans="1:10" x14ac:dyDescent="0.25">
      <c r="A192" s="57" t="str">
        <f>IF(CRM_MAGDY!H192="","","CRM-"&amp;TEXT(ROW()-4,"0000"))</f>
        <v>CRM-0188</v>
      </c>
      <c r="B192" s="57">
        <f>CRM_MAGDY!E192</f>
        <v>0</v>
      </c>
      <c r="C192" s="57">
        <f>CRM_MAGDY!H192</f>
        <v>5632</v>
      </c>
      <c r="D192" s="57" t="str">
        <f>CRM_MAGDY!I192</f>
        <v>Magda B</v>
      </c>
      <c r="E192" s="57">
        <f>IFERROR(VALUE(CRM_MAGDY!K192),0)</f>
        <v>30000</v>
      </c>
      <c r="F192" s="57">
        <f>IFERROR(IF(CRM_MAGDY!L192&gt;1,CRM_MAGDY!L192/100,CRM_MAGDY!L192),0)</f>
        <v>0.6</v>
      </c>
      <c r="G192" s="57">
        <f>CRM_MAGDY!N192</f>
        <v>0</v>
      </c>
      <c r="H192" s="57" t="str">
        <f>CRM_MAGDY!M192</f>
        <v>oferta</v>
      </c>
      <c r="I192" s="57">
        <f t="shared" si="4"/>
        <v>18000</v>
      </c>
      <c r="J192" s="57" t="str">
        <f t="shared" si="5"/>
        <v>REALNY</v>
      </c>
    </row>
    <row r="193" spans="1:10" x14ac:dyDescent="0.25">
      <c r="A193" s="57" t="str">
        <f>IF(CRM_MAGDY!H193="","","CRM-"&amp;TEXT(ROW()-4,"0000"))</f>
        <v>CRM-0189</v>
      </c>
      <c r="B193" s="57">
        <f>CRM_MAGDY!E193</f>
        <v>0</v>
      </c>
      <c r="C193" s="57">
        <f>CRM_MAGDY!H193</f>
        <v>5633</v>
      </c>
      <c r="D193" s="57" t="str">
        <f>CRM_MAGDY!I193</f>
        <v>Magda B</v>
      </c>
      <c r="E193" s="57">
        <f>IFERROR(VALUE(CRM_MAGDY!K193),0)</f>
        <v>25000</v>
      </c>
      <c r="F193" s="57">
        <f>IFERROR(IF(CRM_MAGDY!L193&gt;1,CRM_MAGDY!L193/100,CRM_MAGDY!L193),0)</f>
        <v>0.6</v>
      </c>
      <c r="G193" s="57">
        <f>CRM_MAGDY!N193</f>
        <v>0</v>
      </c>
      <c r="H193" s="57" t="str">
        <f>CRM_MAGDY!M193</f>
        <v>oferta</v>
      </c>
      <c r="I193" s="57">
        <f t="shared" si="4"/>
        <v>15000</v>
      </c>
      <c r="J193" s="57" t="str">
        <f t="shared" si="5"/>
        <v>REALNY</v>
      </c>
    </row>
    <row r="194" spans="1:10" x14ac:dyDescent="0.25">
      <c r="A194" s="57" t="str">
        <f>IF(CRM_MAGDY!H194="","","CRM-"&amp;TEXT(ROW()-4,"0000"))</f>
        <v>CRM-0190</v>
      </c>
      <c r="B194" s="57">
        <f>CRM_MAGDY!E194</f>
        <v>0</v>
      </c>
      <c r="C194" s="57">
        <f>CRM_MAGDY!H194</f>
        <v>5634</v>
      </c>
      <c r="D194" s="57" t="str">
        <f>CRM_MAGDY!I194</f>
        <v>Magda B</v>
      </c>
      <c r="E194" s="57">
        <f>IFERROR(VALUE(CRM_MAGDY!K194),0)</f>
        <v>17000</v>
      </c>
      <c r="F194" s="57">
        <f>IFERROR(IF(CRM_MAGDY!L194&gt;1,CRM_MAGDY!L194/100,CRM_MAGDY!L194),0)</f>
        <v>0.6</v>
      </c>
      <c r="G194" s="57">
        <f>CRM_MAGDY!N194</f>
        <v>0</v>
      </c>
      <c r="H194" s="57" t="str">
        <f>CRM_MAGDY!M194</f>
        <v>oferta</v>
      </c>
      <c r="I194" s="57">
        <f t="shared" si="4"/>
        <v>10200</v>
      </c>
      <c r="J194" s="57" t="str">
        <f t="shared" si="5"/>
        <v>REALNY</v>
      </c>
    </row>
    <row r="195" spans="1:10" x14ac:dyDescent="0.25">
      <c r="A195" s="57" t="str">
        <f>IF(CRM_MAGDY!H195="","","CRM-"&amp;TEXT(ROW()-4,"0000"))</f>
        <v>CRM-0191</v>
      </c>
      <c r="B195" s="57">
        <f>CRM_MAGDY!E195</f>
        <v>0</v>
      </c>
      <c r="C195" s="57">
        <f>CRM_MAGDY!H195</f>
        <v>5635</v>
      </c>
      <c r="D195" s="57" t="str">
        <f>CRM_MAGDY!I195</f>
        <v>Magda K</v>
      </c>
      <c r="E195" s="57">
        <f>IFERROR(VALUE(CRM_MAGDY!K195),0)</f>
        <v>25000</v>
      </c>
      <c r="F195" s="57">
        <f>IFERROR(IF(CRM_MAGDY!L195&gt;1,CRM_MAGDY!L195/100,CRM_MAGDY!L195),0)</f>
        <v>0</v>
      </c>
      <c r="G195" s="57">
        <f>CRM_MAGDY!N195</f>
        <v>0</v>
      </c>
      <c r="H195" s="57" t="str">
        <f>CRM_MAGDY!M195</f>
        <v>oferta</v>
      </c>
      <c r="I195" s="57">
        <f t="shared" si="4"/>
        <v>0</v>
      </c>
      <c r="J195" s="57" t="str">
        <f t="shared" si="5"/>
        <v>POTENCJAŁ</v>
      </c>
    </row>
    <row r="196" spans="1:10" x14ac:dyDescent="0.25">
      <c r="A196" s="57" t="str">
        <f>IF(CRM_MAGDY!H196="","","CRM-"&amp;TEXT(ROW()-4,"0000"))</f>
        <v>CRM-0192</v>
      </c>
      <c r="B196" s="57">
        <f>CRM_MAGDY!E196</f>
        <v>0</v>
      </c>
      <c r="C196" s="57">
        <f>CRM_MAGDY!H196</f>
        <v>5636</v>
      </c>
      <c r="D196" s="57" t="str">
        <f>CRM_MAGDY!I196</f>
        <v>Magda K</v>
      </c>
      <c r="E196" s="57">
        <f>IFERROR(VALUE(CRM_MAGDY!K196),0)</f>
        <v>17000</v>
      </c>
      <c r="F196" s="57">
        <f>IFERROR(IF(CRM_MAGDY!L196&gt;1,CRM_MAGDY!L196/100,CRM_MAGDY!L196),0)</f>
        <v>0</v>
      </c>
      <c r="G196" s="57">
        <f>CRM_MAGDY!N196</f>
        <v>0</v>
      </c>
      <c r="H196" s="57" t="str">
        <f>CRM_MAGDY!M196</f>
        <v>oferta</v>
      </c>
      <c r="I196" s="57">
        <f t="shared" si="4"/>
        <v>0</v>
      </c>
      <c r="J196" s="57" t="str">
        <f t="shared" si="5"/>
        <v>POTENCJAŁ</v>
      </c>
    </row>
    <row r="197" spans="1:10" x14ac:dyDescent="0.25">
      <c r="A197" s="57" t="str">
        <f>IF(CRM_MAGDY!H197="","","CRM-"&amp;TEXT(ROW()-4,"0000"))</f>
        <v>CRM-0193</v>
      </c>
      <c r="B197" s="57">
        <f>CRM_MAGDY!E197</f>
        <v>0</v>
      </c>
      <c r="C197" s="57">
        <f>CRM_MAGDY!H197</f>
        <v>5637</v>
      </c>
      <c r="D197" s="57" t="str">
        <f>CRM_MAGDY!I197</f>
        <v>Magda B</v>
      </c>
      <c r="E197" s="57">
        <f>IFERROR(VALUE(CRM_MAGDY!K197),0)</f>
        <v>20000</v>
      </c>
      <c r="F197" s="57">
        <f>IFERROR(IF(CRM_MAGDY!L197&gt;1,CRM_MAGDY!L197/100,CRM_MAGDY!L197),0)</f>
        <v>0.6</v>
      </c>
      <c r="G197" s="57">
        <f>CRM_MAGDY!N197</f>
        <v>0</v>
      </c>
      <c r="H197" s="57" t="str">
        <f>CRM_MAGDY!M197</f>
        <v>oferta</v>
      </c>
      <c r="I197" s="57">
        <f t="shared" ref="I197:I260" si="6">IF(OR(G197="WYGRANA",G197="PRZEGRANA"),0,E197*F197)</f>
        <v>12000</v>
      </c>
      <c r="J197" s="57" t="str">
        <f t="shared" ref="J197:J260" si="7">IF(F197&gt;=0.7,"PEWNY",IF(F197&gt;=0.3,"REALNY","POTENCJAŁ"))</f>
        <v>REALNY</v>
      </c>
    </row>
    <row r="198" spans="1:10" x14ac:dyDescent="0.25">
      <c r="A198" s="57" t="str">
        <f>IF(CRM_MAGDY!H198="","","CRM-"&amp;TEXT(ROW()-4,"0000"))</f>
        <v>CRM-0194</v>
      </c>
      <c r="B198" s="57">
        <f>CRM_MAGDY!E198</f>
        <v>0</v>
      </c>
      <c r="C198" s="57">
        <f>CRM_MAGDY!H198</f>
        <v>5638</v>
      </c>
      <c r="D198" s="57" t="str">
        <f>CRM_MAGDY!I198</f>
        <v>Magda B</v>
      </c>
      <c r="E198" s="57">
        <f>IFERROR(VALUE(CRM_MAGDY!K198),0)</f>
        <v>19000</v>
      </c>
      <c r="F198" s="57">
        <f>IFERROR(IF(CRM_MAGDY!L198&gt;1,CRM_MAGDY!L198/100,CRM_MAGDY!L198),0)</f>
        <v>0.6</v>
      </c>
      <c r="G198" s="57">
        <f>CRM_MAGDY!N198</f>
        <v>0</v>
      </c>
      <c r="H198" s="57" t="str">
        <f>CRM_MAGDY!M198</f>
        <v>oferta</v>
      </c>
      <c r="I198" s="57">
        <f t="shared" si="6"/>
        <v>11400</v>
      </c>
      <c r="J198" s="57" t="str">
        <f t="shared" si="7"/>
        <v>REALNY</v>
      </c>
    </row>
    <row r="199" spans="1:10" ht="30" customHeight="1" x14ac:dyDescent="0.25">
      <c r="A199" s="57" t="str">
        <f>IF(CRM_MAGDY!H199="","","CRM-"&amp;TEXT(ROW()-4,"0000"))</f>
        <v>CRM-0195</v>
      </c>
      <c r="B199" s="57">
        <f>CRM_MAGDY!E199</f>
        <v>0</v>
      </c>
      <c r="C199" s="57">
        <f>CRM_MAGDY!H199</f>
        <v>5639</v>
      </c>
      <c r="D199" s="57" t="str">
        <f>CRM_MAGDY!I199</f>
        <v>Magda K</v>
      </c>
      <c r="E199" s="57">
        <f>IFERROR(VALUE(CRM_MAGDY!K199),0)</f>
        <v>25000</v>
      </c>
      <c r="F199" s="57">
        <f>IFERROR(IF(CRM_MAGDY!L199&gt;1,CRM_MAGDY!L199/100,CRM_MAGDY!L199),0)</f>
        <v>0</v>
      </c>
      <c r="G199" s="57" t="str">
        <f>CRM_MAGDY!N199</f>
        <v>PRZEGRANA</v>
      </c>
      <c r="H199" s="57" t="str">
        <f>CRM_MAGDY!M199</f>
        <v>oferta</v>
      </c>
      <c r="I199" s="57">
        <f t="shared" si="6"/>
        <v>0</v>
      </c>
      <c r="J199" s="57" t="str">
        <f t="shared" si="7"/>
        <v>POTENCJAŁ</v>
      </c>
    </row>
    <row r="200" spans="1:10" x14ac:dyDescent="0.25">
      <c r="A200" s="57" t="str">
        <f>IF(CRM_MAGDY!H200="","","CRM-"&amp;TEXT(ROW()-4,"0000"))</f>
        <v>CRM-0196</v>
      </c>
      <c r="B200" s="57">
        <f>CRM_MAGDY!E200</f>
        <v>0</v>
      </c>
      <c r="C200" s="57">
        <f>CRM_MAGDY!H200</f>
        <v>5640</v>
      </c>
      <c r="D200" s="57" t="str">
        <f>CRM_MAGDY!I200</f>
        <v>Magda B</v>
      </c>
      <c r="E200" s="57">
        <f>IFERROR(VALUE(CRM_MAGDY!K200),0)</f>
        <v>29000</v>
      </c>
      <c r="F200" s="57">
        <f>IFERROR(IF(CRM_MAGDY!L200&gt;1,CRM_MAGDY!L200/100,CRM_MAGDY!L200),0)</f>
        <v>0.6</v>
      </c>
      <c r="G200" s="57">
        <f>CRM_MAGDY!N200</f>
        <v>0</v>
      </c>
      <c r="H200" s="57" t="str">
        <f>CRM_MAGDY!M200</f>
        <v>oferta</v>
      </c>
      <c r="I200" s="57">
        <f t="shared" si="6"/>
        <v>17400</v>
      </c>
      <c r="J200" s="57" t="str">
        <f t="shared" si="7"/>
        <v>REALNY</v>
      </c>
    </row>
    <row r="201" spans="1:10" x14ac:dyDescent="0.25">
      <c r="A201" s="57" t="str">
        <f>IF(CRM_MAGDY!H201="","","CRM-"&amp;TEXT(ROW()-4,"0000"))</f>
        <v>CRM-0197</v>
      </c>
      <c r="B201" s="57">
        <f>CRM_MAGDY!E201</f>
        <v>0</v>
      </c>
      <c r="C201" s="57">
        <f>CRM_MAGDY!H201</f>
        <v>5641</v>
      </c>
      <c r="D201" s="57" t="str">
        <f>CRM_MAGDY!I201</f>
        <v>Magda K</v>
      </c>
      <c r="E201" s="57">
        <f>IFERROR(VALUE(CRM_MAGDY!K201),0)</f>
        <v>20000</v>
      </c>
      <c r="F201" s="57">
        <f>IFERROR(IF(CRM_MAGDY!L201&gt;1,CRM_MAGDY!L201/100,CRM_MAGDY!L201),0)</f>
        <v>0</v>
      </c>
      <c r="G201" s="57">
        <f>CRM_MAGDY!N201</f>
        <v>0</v>
      </c>
      <c r="H201" s="57" t="str">
        <f>CRM_MAGDY!M201</f>
        <v>oferta</v>
      </c>
      <c r="I201" s="57">
        <f t="shared" si="6"/>
        <v>0</v>
      </c>
      <c r="J201" s="57" t="str">
        <f t="shared" si="7"/>
        <v>POTENCJAŁ</v>
      </c>
    </row>
    <row r="202" spans="1:10" x14ac:dyDescent="0.25">
      <c r="A202" s="57" t="str">
        <f>IF(CRM_MAGDY!H202="","","CRM-"&amp;TEXT(ROW()-4,"0000"))</f>
        <v>CRM-0198</v>
      </c>
      <c r="B202" s="57">
        <f>CRM_MAGDY!E202</f>
        <v>0</v>
      </c>
      <c r="C202" s="57">
        <f>CRM_MAGDY!H202</f>
        <v>5642</v>
      </c>
      <c r="D202" s="57" t="str">
        <f>CRM_MAGDY!I202</f>
        <v>Magda K</v>
      </c>
      <c r="E202" s="57">
        <f>IFERROR(VALUE(CRM_MAGDY!K202),0)</f>
        <v>25000</v>
      </c>
      <c r="F202" s="57">
        <f>IFERROR(IF(CRM_MAGDY!L202&gt;1,CRM_MAGDY!L202/100,CRM_MAGDY!L202),0)</f>
        <v>0</v>
      </c>
      <c r="G202" s="57">
        <f>CRM_MAGDY!N202</f>
        <v>0</v>
      </c>
      <c r="H202" s="57" t="str">
        <f>CRM_MAGDY!M202</f>
        <v>oferta</v>
      </c>
      <c r="I202" s="57">
        <f t="shared" si="6"/>
        <v>0</v>
      </c>
      <c r="J202" s="57" t="str">
        <f t="shared" si="7"/>
        <v>POTENCJAŁ</v>
      </c>
    </row>
    <row r="203" spans="1:10" x14ac:dyDescent="0.25">
      <c r="A203" s="57" t="str">
        <f>IF(CRM_MAGDY!H203="","","CRM-"&amp;TEXT(ROW()-4,"0000"))</f>
        <v>CRM-0199</v>
      </c>
      <c r="B203" s="57">
        <f>CRM_MAGDY!E203</f>
        <v>0</v>
      </c>
      <c r="C203" s="57">
        <f>CRM_MAGDY!H203</f>
        <v>5643</v>
      </c>
      <c r="D203" s="57" t="str">
        <f>CRM_MAGDY!I203</f>
        <v>Magda K</v>
      </c>
      <c r="E203" s="57">
        <f>IFERROR(VALUE(CRM_MAGDY!K203),0)</f>
        <v>22000</v>
      </c>
      <c r="F203" s="57">
        <f>IFERROR(IF(CRM_MAGDY!L203&gt;1,CRM_MAGDY!L203/100,CRM_MAGDY!L203),0)</f>
        <v>0</v>
      </c>
      <c r="G203" s="57">
        <f>CRM_MAGDY!N203</f>
        <v>0</v>
      </c>
      <c r="H203" s="57" t="str">
        <f>CRM_MAGDY!M203</f>
        <v>oferta</v>
      </c>
      <c r="I203" s="57">
        <f t="shared" si="6"/>
        <v>0</v>
      </c>
      <c r="J203" s="57" t="str">
        <f t="shared" si="7"/>
        <v>POTENCJAŁ</v>
      </c>
    </row>
    <row r="204" spans="1:10" x14ac:dyDescent="0.25">
      <c r="A204" s="57" t="str">
        <f>IF(CRM_MAGDY!H204="","","CRM-"&amp;TEXT(ROW()-4,"0000"))</f>
        <v>CRM-0200</v>
      </c>
      <c r="B204" s="57">
        <f>CRM_MAGDY!E204</f>
        <v>0</v>
      </c>
      <c r="C204" s="57">
        <f>CRM_MAGDY!H204</f>
        <v>5644</v>
      </c>
      <c r="D204" s="57" t="str">
        <f>CRM_MAGDY!I204</f>
        <v>Magda B</v>
      </c>
      <c r="E204" s="57">
        <f>IFERROR(VALUE(CRM_MAGDY!K204),0)</f>
        <v>56000</v>
      </c>
      <c r="F204" s="57">
        <f>IFERROR(IF(CRM_MAGDY!L204&gt;1,CRM_MAGDY!L204/100,CRM_MAGDY!L204),0)</f>
        <v>0</v>
      </c>
      <c r="G204" s="57">
        <f>CRM_MAGDY!N204</f>
        <v>0</v>
      </c>
      <c r="H204" s="57" t="str">
        <f>CRM_MAGDY!M204</f>
        <v>oferta</v>
      </c>
      <c r="I204" s="57">
        <f t="shared" si="6"/>
        <v>0</v>
      </c>
      <c r="J204" s="57" t="str">
        <f t="shared" si="7"/>
        <v>POTENCJAŁ</v>
      </c>
    </row>
    <row r="205" spans="1:10" x14ac:dyDescent="0.25">
      <c r="A205" s="57" t="str">
        <f>IF(CRM_MAGDY!H205="","","CRM-"&amp;TEXT(ROW()-4,"0000"))</f>
        <v>CRM-0201</v>
      </c>
      <c r="B205" s="57">
        <f>CRM_MAGDY!E205</f>
        <v>0</v>
      </c>
      <c r="C205" s="57">
        <f>CRM_MAGDY!H205</f>
        <v>5645</v>
      </c>
      <c r="D205" s="57" t="str">
        <f>CRM_MAGDY!I205</f>
        <v>Magda K</v>
      </c>
      <c r="E205" s="57">
        <f>IFERROR(VALUE(CRM_MAGDY!K205),0)</f>
        <v>24000</v>
      </c>
      <c r="F205" s="57">
        <f>IFERROR(IF(CRM_MAGDY!L205&gt;1,CRM_MAGDY!L205/100,CRM_MAGDY!L205),0)</f>
        <v>0</v>
      </c>
      <c r="G205" s="57">
        <f>CRM_MAGDY!N205</f>
        <v>0</v>
      </c>
      <c r="H205" s="57" t="str">
        <f>CRM_MAGDY!M205</f>
        <v>oferta</v>
      </c>
      <c r="I205" s="57">
        <f t="shared" si="6"/>
        <v>0</v>
      </c>
      <c r="J205" s="57" t="str">
        <f t="shared" si="7"/>
        <v>POTENCJAŁ</v>
      </c>
    </row>
    <row r="206" spans="1:10" x14ac:dyDescent="0.25">
      <c r="A206" s="57" t="str">
        <f>IF(CRM_MAGDY!H206="","","CRM-"&amp;TEXT(ROW()-4,"0000"))</f>
        <v>CRM-0202</v>
      </c>
      <c r="B206" s="57">
        <f>CRM_MAGDY!E206</f>
        <v>0</v>
      </c>
      <c r="C206" s="57">
        <f>CRM_MAGDY!H206</f>
        <v>5646</v>
      </c>
      <c r="D206" s="57" t="str">
        <f>CRM_MAGDY!I206</f>
        <v>Magda K</v>
      </c>
      <c r="E206" s="57">
        <f>IFERROR(VALUE(CRM_MAGDY!K206),0)</f>
        <v>48000</v>
      </c>
      <c r="F206" s="57">
        <f>IFERROR(IF(CRM_MAGDY!L206&gt;1,CRM_MAGDY!L206/100,CRM_MAGDY!L206),0)</f>
        <v>0</v>
      </c>
      <c r="G206" s="57">
        <f>CRM_MAGDY!N206</f>
        <v>0</v>
      </c>
      <c r="H206" s="57" t="str">
        <f>CRM_MAGDY!M206</f>
        <v>oferta</v>
      </c>
      <c r="I206" s="57">
        <f t="shared" si="6"/>
        <v>0</v>
      </c>
      <c r="J206" s="57" t="str">
        <f t="shared" si="7"/>
        <v>POTENCJAŁ</v>
      </c>
    </row>
    <row r="207" spans="1:10" x14ac:dyDescent="0.25">
      <c r="A207" s="57" t="str">
        <f>IF(CRM_MAGDY!H207="","","CRM-"&amp;TEXT(ROW()-4,"0000"))</f>
        <v>CRM-0203</v>
      </c>
      <c r="B207" s="57">
        <f>CRM_MAGDY!E207</f>
        <v>0</v>
      </c>
      <c r="C207" s="57">
        <f>CRM_MAGDY!H207</f>
        <v>5647</v>
      </c>
      <c r="D207" s="57" t="str">
        <f>CRM_MAGDY!I207</f>
        <v>Magda B</v>
      </c>
      <c r="E207" s="57">
        <f>IFERROR(VALUE(CRM_MAGDY!K207),0)</f>
        <v>40000</v>
      </c>
      <c r="F207" s="57">
        <f>IFERROR(IF(CRM_MAGDY!L207&gt;1,CRM_MAGDY!L207/100,CRM_MAGDY!L207),0)</f>
        <v>0.6</v>
      </c>
      <c r="G207" s="57">
        <f>CRM_MAGDY!N207</f>
        <v>0</v>
      </c>
      <c r="H207" s="57" t="str">
        <f>CRM_MAGDY!M207</f>
        <v>oferta</v>
      </c>
      <c r="I207" s="57">
        <f t="shared" si="6"/>
        <v>24000</v>
      </c>
      <c r="J207" s="57" t="str">
        <f t="shared" si="7"/>
        <v>REALNY</v>
      </c>
    </row>
    <row r="208" spans="1:10" x14ac:dyDescent="0.25">
      <c r="A208" s="57" t="str">
        <f>IF(CRM_MAGDY!H208="","","CRM-"&amp;TEXT(ROW()-4,"0000"))</f>
        <v>CRM-0204</v>
      </c>
      <c r="B208" s="57">
        <f>CRM_MAGDY!E208</f>
        <v>0</v>
      </c>
      <c r="C208" s="57">
        <f>CRM_MAGDY!H208</f>
        <v>5648</v>
      </c>
      <c r="D208" s="57" t="str">
        <f>CRM_MAGDY!I208</f>
        <v>Magda B</v>
      </c>
      <c r="E208" s="57">
        <f>IFERROR(VALUE(CRM_MAGDY!K208),0)</f>
        <v>22000</v>
      </c>
      <c r="F208" s="57">
        <f>IFERROR(IF(CRM_MAGDY!L208&gt;1,CRM_MAGDY!L208/100,CRM_MAGDY!L208),0)</f>
        <v>0.6</v>
      </c>
      <c r="G208" s="57">
        <f>CRM_MAGDY!N208</f>
        <v>0</v>
      </c>
      <c r="H208" s="57" t="str">
        <f>CRM_MAGDY!M208</f>
        <v>oferta</v>
      </c>
      <c r="I208" s="57">
        <f t="shared" si="6"/>
        <v>13200</v>
      </c>
      <c r="J208" s="57" t="str">
        <f t="shared" si="7"/>
        <v>REALNY</v>
      </c>
    </row>
    <row r="209" spans="1:10" x14ac:dyDescent="0.25">
      <c r="A209" s="57" t="str">
        <f>IF(CRM_MAGDY!H209="","","CRM-"&amp;TEXT(ROW()-4,"0000"))</f>
        <v>CRM-0205</v>
      </c>
      <c r="B209" s="57">
        <f>CRM_MAGDY!E209</f>
        <v>0</v>
      </c>
      <c r="C209" s="57">
        <f>CRM_MAGDY!H209</f>
        <v>5650</v>
      </c>
      <c r="D209" s="57" t="str">
        <f>CRM_MAGDY!I209</f>
        <v>Magda K</v>
      </c>
      <c r="E209" s="57">
        <f>IFERROR(VALUE(CRM_MAGDY!K209),0)</f>
        <v>23000</v>
      </c>
      <c r="F209" s="57">
        <f>IFERROR(IF(CRM_MAGDY!L209&gt;1,CRM_MAGDY!L209/100,CRM_MAGDY!L209),0)</f>
        <v>0</v>
      </c>
      <c r="G209" s="57">
        <f>CRM_MAGDY!N209</f>
        <v>0</v>
      </c>
      <c r="H209" s="57" t="str">
        <f>CRM_MAGDY!M209</f>
        <v>oferta</v>
      </c>
      <c r="I209" s="57">
        <f t="shared" si="6"/>
        <v>0</v>
      </c>
      <c r="J209" s="57" t="str">
        <f t="shared" si="7"/>
        <v>POTENCJAŁ</v>
      </c>
    </row>
    <row r="210" spans="1:10" x14ac:dyDescent="0.25">
      <c r="A210" s="57" t="str">
        <f>IF(CRM_MAGDY!H210="","","CRM-"&amp;TEXT(ROW()-4,"0000"))</f>
        <v>CRM-0206</v>
      </c>
      <c r="B210" s="57">
        <f>CRM_MAGDY!E210</f>
        <v>0</v>
      </c>
      <c r="C210" s="57">
        <f>CRM_MAGDY!H210</f>
        <v>5651</v>
      </c>
      <c r="D210" s="57" t="str">
        <f>CRM_MAGDY!I210</f>
        <v>Magda B</v>
      </c>
      <c r="E210" s="57">
        <f>IFERROR(VALUE(CRM_MAGDY!K210),0)</f>
        <v>49000</v>
      </c>
      <c r="F210" s="57">
        <f>IFERROR(IF(CRM_MAGDY!L210&gt;1,CRM_MAGDY!L210/100,CRM_MAGDY!L210),0)</f>
        <v>0.6</v>
      </c>
      <c r="G210" s="57">
        <f>CRM_MAGDY!N210</f>
        <v>0</v>
      </c>
      <c r="H210" s="57" t="str">
        <f>CRM_MAGDY!M210</f>
        <v>oferta</v>
      </c>
      <c r="I210" s="57">
        <f t="shared" si="6"/>
        <v>29400</v>
      </c>
      <c r="J210" s="57" t="str">
        <f t="shared" si="7"/>
        <v>REALNY</v>
      </c>
    </row>
    <row r="211" spans="1:10" x14ac:dyDescent="0.25">
      <c r="A211" s="57" t="str">
        <f>IF(CRM_MAGDY!H211="","","CRM-"&amp;TEXT(ROW()-4,"0000"))</f>
        <v>CRM-0207</v>
      </c>
      <c r="B211" s="57">
        <f>CRM_MAGDY!E211</f>
        <v>0</v>
      </c>
      <c r="C211" s="57">
        <f>CRM_MAGDY!H211</f>
        <v>5652</v>
      </c>
      <c r="D211" s="57" t="str">
        <f>CRM_MAGDY!I211</f>
        <v>Magda B</v>
      </c>
      <c r="E211" s="57">
        <f>IFERROR(VALUE(CRM_MAGDY!K211),0)</f>
        <v>31000</v>
      </c>
      <c r="F211" s="57">
        <f>IFERROR(IF(CRM_MAGDY!L211&gt;1,CRM_MAGDY!L211/100,CRM_MAGDY!L211),0)</f>
        <v>0.6</v>
      </c>
      <c r="G211" s="57">
        <f>CRM_MAGDY!N211</f>
        <v>0</v>
      </c>
      <c r="H211" s="57" t="str">
        <f>CRM_MAGDY!M211</f>
        <v>oferta</v>
      </c>
      <c r="I211" s="57">
        <f t="shared" si="6"/>
        <v>18600</v>
      </c>
      <c r="J211" s="57" t="str">
        <f t="shared" si="7"/>
        <v>REALNY</v>
      </c>
    </row>
    <row r="212" spans="1:10" ht="30" customHeight="1" x14ac:dyDescent="0.25">
      <c r="A212" s="57" t="str">
        <f>IF(CRM_MAGDY!H212="","","CRM-"&amp;TEXT(ROW()-4,"0000"))</f>
        <v>CRM-0208</v>
      </c>
      <c r="B212" s="57">
        <f>CRM_MAGDY!E212</f>
        <v>0</v>
      </c>
      <c r="C212" s="57">
        <f>CRM_MAGDY!H212</f>
        <v>5653</v>
      </c>
      <c r="D212" s="57" t="str">
        <f>CRM_MAGDY!I212</f>
        <v>Magda K</v>
      </c>
      <c r="E212" s="57">
        <f>IFERROR(VALUE(CRM_MAGDY!K212),0)</f>
        <v>23000</v>
      </c>
      <c r="F212" s="57">
        <f>IFERROR(IF(CRM_MAGDY!L212&gt;1,CRM_MAGDY!L212/100,CRM_MAGDY!L212),0)</f>
        <v>0</v>
      </c>
      <c r="G212" s="57" t="str">
        <f>CRM_MAGDY!N212</f>
        <v>PRZEGRANA</v>
      </c>
      <c r="H212" s="57" t="str">
        <f>CRM_MAGDY!M212</f>
        <v>oferta</v>
      </c>
      <c r="I212" s="57">
        <f t="shared" si="6"/>
        <v>0</v>
      </c>
      <c r="J212" s="57" t="str">
        <f t="shared" si="7"/>
        <v>POTENCJAŁ</v>
      </c>
    </row>
    <row r="213" spans="1:10" x14ac:dyDescent="0.25">
      <c r="A213" s="57" t="str">
        <f>IF(CRM_MAGDY!H213="","","CRM-"&amp;TEXT(ROW()-4,"0000"))</f>
        <v>CRM-0209</v>
      </c>
      <c r="B213" s="57">
        <f>CRM_MAGDY!E213</f>
        <v>0</v>
      </c>
      <c r="C213" s="57">
        <f>CRM_MAGDY!H213</f>
        <v>5654</v>
      </c>
      <c r="D213" s="57" t="str">
        <f>CRM_MAGDY!I213</f>
        <v>Magda B</v>
      </c>
      <c r="E213" s="57">
        <f>IFERROR(VALUE(CRM_MAGDY!K213),0)</f>
        <v>80000</v>
      </c>
      <c r="F213" s="57">
        <f>IFERROR(IF(CRM_MAGDY!L213&gt;1,CRM_MAGDY!L213/100,CRM_MAGDY!L213),0)</f>
        <v>0.6</v>
      </c>
      <c r="G213" s="57">
        <f>CRM_MAGDY!N213</f>
        <v>0</v>
      </c>
      <c r="H213" s="57" t="str">
        <f>CRM_MAGDY!M213</f>
        <v>oferta</v>
      </c>
      <c r="I213" s="57">
        <f t="shared" si="6"/>
        <v>48000</v>
      </c>
      <c r="J213" s="57" t="str">
        <f t="shared" si="7"/>
        <v>REALNY</v>
      </c>
    </row>
    <row r="214" spans="1:10" x14ac:dyDescent="0.25">
      <c r="A214" s="57" t="str">
        <f>IF(CRM_MAGDY!H214="","","CRM-"&amp;TEXT(ROW()-4,"0000"))</f>
        <v>CRM-0210</v>
      </c>
      <c r="B214" s="57">
        <f>CRM_MAGDY!E214</f>
        <v>0</v>
      </c>
      <c r="C214" s="57">
        <f>CRM_MAGDY!H214</f>
        <v>5655</v>
      </c>
      <c r="D214" s="57" t="str">
        <f>CRM_MAGDY!I214</f>
        <v>Magda K</v>
      </c>
      <c r="E214" s="57">
        <f>IFERROR(VALUE(CRM_MAGDY!K214),0)</f>
        <v>21000</v>
      </c>
      <c r="F214" s="57">
        <f>IFERROR(IF(CRM_MAGDY!L214&gt;1,CRM_MAGDY!L214/100,CRM_MAGDY!L214),0)</f>
        <v>0</v>
      </c>
      <c r="G214" s="57">
        <f>CRM_MAGDY!N214</f>
        <v>0</v>
      </c>
      <c r="H214" s="57" t="str">
        <f>CRM_MAGDY!M214</f>
        <v>oferta</v>
      </c>
      <c r="I214" s="57">
        <f t="shared" si="6"/>
        <v>0</v>
      </c>
      <c r="J214" s="57" t="str">
        <f t="shared" si="7"/>
        <v>POTENCJAŁ</v>
      </c>
    </row>
    <row r="215" spans="1:10" x14ac:dyDescent="0.25">
      <c r="A215" s="57" t="str">
        <f>IF(CRM_MAGDY!H215="","","CRM-"&amp;TEXT(ROW()-4,"0000"))</f>
        <v>CRM-0211</v>
      </c>
      <c r="B215" s="57">
        <f>CRM_MAGDY!E215</f>
        <v>0</v>
      </c>
      <c r="C215" s="57">
        <f>CRM_MAGDY!H215</f>
        <v>5656</v>
      </c>
      <c r="D215" s="57" t="str">
        <f>CRM_MAGDY!I215</f>
        <v>Magda B</v>
      </c>
      <c r="E215" s="57">
        <f>IFERROR(VALUE(CRM_MAGDY!K215),0)</f>
        <v>22000</v>
      </c>
      <c r="F215" s="57">
        <f>IFERROR(IF(CRM_MAGDY!L215&gt;1,CRM_MAGDY!L215/100,CRM_MAGDY!L215),0)</f>
        <v>0.6</v>
      </c>
      <c r="G215" s="57">
        <f>CRM_MAGDY!N215</f>
        <v>0</v>
      </c>
      <c r="H215" s="57" t="str">
        <f>CRM_MAGDY!M215</f>
        <v>oferta</v>
      </c>
      <c r="I215" s="57">
        <f t="shared" si="6"/>
        <v>13200</v>
      </c>
      <c r="J215" s="57" t="str">
        <f t="shared" si="7"/>
        <v>REALNY</v>
      </c>
    </row>
    <row r="216" spans="1:10" ht="30" x14ac:dyDescent="0.25">
      <c r="A216" s="57" t="str">
        <f>IF(CRM_MAGDY!H216="","","CRM-"&amp;TEXT(ROW()-4,"0000"))</f>
        <v>CRM-0212</v>
      </c>
      <c r="B216" s="57">
        <f>CRM_MAGDY!E216</f>
        <v>0</v>
      </c>
      <c r="C216" s="57">
        <f>CRM_MAGDY!H216</f>
        <v>5657</v>
      </c>
      <c r="D216" s="57" t="str">
        <f>CRM_MAGDY!I216</f>
        <v>Magda B</v>
      </c>
      <c r="E216" s="57">
        <f>IFERROR(VALUE(CRM_MAGDY!K216),0)</f>
        <v>20000</v>
      </c>
      <c r="F216" s="57">
        <f>IFERROR(IF(CRM_MAGDY!L216&gt;1,CRM_MAGDY!L216/100,CRM_MAGDY!L216),0)</f>
        <v>0.4</v>
      </c>
      <c r="G216" s="57">
        <f>CRM_MAGDY!N216</f>
        <v>0</v>
      </c>
      <c r="H216" s="57" t="str">
        <f>CRM_MAGDY!M216</f>
        <v>widełki cenowe</v>
      </c>
      <c r="I216" s="57">
        <f t="shared" si="6"/>
        <v>8000</v>
      </c>
      <c r="J216" s="57" t="str">
        <f t="shared" si="7"/>
        <v>REALNY</v>
      </c>
    </row>
    <row r="217" spans="1:10" x14ac:dyDescent="0.25">
      <c r="A217" s="57" t="str">
        <f>IF(CRM_MAGDY!H217="","","CRM-"&amp;TEXT(ROW()-4,"0000"))</f>
        <v>CRM-0213</v>
      </c>
      <c r="B217" s="57">
        <f>CRM_MAGDY!E217</f>
        <v>0</v>
      </c>
      <c r="C217" s="57">
        <f>CRM_MAGDY!H217</f>
        <v>5658</v>
      </c>
      <c r="D217" s="57" t="str">
        <f>CRM_MAGDY!I217</f>
        <v>Magda B</v>
      </c>
      <c r="E217" s="57">
        <f>IFERROR(VALUE(CRM_MAGDY!K217),0)</f>
        <v>22000</v>
      </c>
      <c r="F217" s="57">
        <f>IFERROR(IF(CRM_MAGDY!L217&gt;1,CRM_MAGDY!L217/100,CRM_MAGDY!L217),0)</f>
        <v>0</v>
      </c>
      <c r="G217" s="57">
        <f>CRM_MAGDY!N217</f>
        <v>0</v>
      </c>
      <c r="H217" s="57" t="str">
        <f>CRM_MAGDY!M217</f>
        <v>oferta</v>
      </c>
      <c r="I217" s="57">
        <f t="shared" si="6"/>
        <v>0</v>
      </c>
      <c r="J217" s="57" t="str">
        <f t="shared" si="7"/>
        <v>POTENCJAŁ</v>
      </c>
    </row>
    <row r="218" spans="1:10" x14ac:dyDescent="0.25">
      <c r="A218" s="57" t="str">
        <f>IF(CRM_MAGDY!H218="","","CRM-"&amp;TEXT(ROW()-4,"0000"))</f>
        <v>CRM-0214</v>
      </c>
      <c r="B218" s="57">
        <f>CRM_MAGDY!E218</f>
        <v>0</v>
      </c>
      <c r="C218" s="57">
        <f>CRM_MAGDY!H218</f>
        <v>5659</v>
      </c>
      <c r="D218" s="57">
        <f>CRM_MAGDY!I218</f>
        <v>0</v>
      </c>
      <c r="E218" s="57">
        <f>IFERROR(VALUE(CRM_MAGDY!K218),0)</f>
        <v>0</v>
      </c>
      <c r="F218" s="57">
        <f>IFERROR(IF(CRM_MAGDY!L218&gt;1,CRM_MAGDY!L218/100,CRM_MAGDY!L218),0)</f>
        <v>0</v>
      </c>
      <c r="G218" s="57">
        <f>CRM_MAGDY!N218</f>
        <v>0</v>
      </c>
      <c r="H218" s="57">
        <f>CRM_MAGDY!M218</f>
        <v>0</v>
      </c>
      <c r="I218" s="57">
        <f t="shared" si="6"/>
        <v>0</v>
      </c>
      <c r="J218" s="57" t="str">
        <f t="shared" si="7"/>
        <v>POTENCJAŁ</v>
      </c>
    </row>
    <row r="219" spans="1:10" x14ac:dyDescent="0.25">
      <c r="A219" s="57" t="str">
        <f>IF(CRM_MAGDY!H219="","","CRM-"&amp;TEXT(ROW()-4,"0000"))</f>
        <v>CRM-0215</v>
      </c>
      <c r="B219" s="57">
        <f>CRM_MAGDY!E219</f>
        <v>0</v>
      </c>
      <c r="C219" s="57">
        <f>CRM_MAGDY!H219</f>
        <v>5660</v>
      </c>
      <c r="D219" s="57">
        <f>CRM_MAGDY!I219</f>
        <v>0</v>
      </c>
      <c r="E219" s="57">
        <f>IFERROR(VALUE(CRM_MAGDY!K219),0)</f>
        <v>0</v>
      </c>
      <c r="F219" s="57">
        <f>IFERROR(IF(CRM_MAGDY!L219&gt;1,CRM_MAGDY!L219/100,CRM_MAGDY!L219),0)</f>
        <v>0</v>
      </c>
      <c r="G219" s="57">
        <f>CRM_MAGDY!N219</f>
        <v>0</v>
      </c>
      <c r="H219" s="57">
        <f>CRM_MAGDY!M219</f>
        <v>0</v>
      </c>
      <c r="I219" s="57">
        <f t="shared" si="6"/>
        <v>0</v>
      </c>
      <c r="J219" s="57" t="str">
        <f t="shared" si="7"/>
        <v>POTENCJAŁ</v>
      </c>
    </row>
    <row r="220" spans="1:10" x14ac:dyDescent="0.25">
      <c r="A220" s="57" t="str">
        <f>IF(CRM_MAGDY!H220="","","CRM-"&amp;TEXT(ROW()-4,"0000"))</f>
        <v>CRM-0216</v>
      </c>
      <c r="B220" s="57">
        <f>CRM_MAGDY!E220</f>
        <v>0</v>
      </c>
      <c r="C220" s="57">
        <f>CRM_MAGDY!H220</f>
        <v>5661</v>
      </c>
      <c r="D220" s="57">
        <f>CRM_MAGDY!I220</f>
        <v>0</v>
      </c>
      <c r="E220" s="57">
        <f>IFERROR(VALUE(CRM_MAGDY!K220),0)</f>
        <v>0</v>
      </c>
      <c r="F220" s="57">
        <f>IFERROR(IF(CRM_MAGDY!L220&gt;1,CRM_MAGDY!L220/100,CRM_MAGDY!L220),0)</f>
        <v>0</v>
      </c>
      <c r="G220" s="57">
        <f>CRM_MAGDY!N220</f>
        <v>0</v>
      </c>
      <c r="H220" s="57">
        <f>CRM_MAGDY!M220</f>
        <v>0</v>
      </c>
      <c r="I220" s="57">
        <f t="shared" si="6"/>
        <v>0</v>
      </c>
      <c r="J220" s="57" t="str">
        <f t="shared" si="7"/>
        <v>POTENCJAŁ</v>
      </c>
    </row>
    <row r="221" spans="1:10" x14ac:dyDescent="0.25">
      <c r="A221" s="57" t="str">
        <f>IF(CRM_MAGDY!H221="","","CRM-"&amp;TEXT(ROW()-4,"0000"))</f>
        <v>CRM-0217</v>
      </c>
      <c r="B221" s="57">
        <f>CRM_MAGDY!E221</f>
        <v>0</v>
      </c>
      <c r="C221" s="57">
        <f>CRM_MAGDY!H221</f>
        <v>5662</v>
      </c>
      <c r="D221" s="57">
        <f>CRM_MAGDY!I221</f>
        <v>0</v>
      </c>
      <c r="E221" s="57">
        <f>IFERROR(VALUE(CRM_MAGDY!K221),0)</f>
        <v>0</v>
      </c>
      <c r="F221" s="57">
        <f>IFERROR(IF(CRM_MAGDY!L221&gt;1,CRM_MAGDY!L221/100,CRM_MAGDY!L221),0)</f>
        <v>0</v>
      </c>
      <c r="G221" s="57">
        <f>CRM_MAGDY!N221</f>
        <v>0</v>
      </c>
      <c r="H221" s="57">
        <f>CRM_MAGDY!M221</f>
        <v>0</v>
      </c>
      <c r="I221" s="57">
        <f t="shared" si="6"/>
        <v>0</v>
      </c>
      <c r="J221" s="57" t="str">
        <f t="shared" si="7"/>
        <v>POTENCJAŁ</v>
      </c>
    </row>
    <row r="222" spans="1:10" x14ac:dyDescent="0.25">
      <c r="A222" s="57" t="str">
        <f>IF(CRM_MAGDY!H222="","","CRM-"&amp;TEXT(ROW()-4,"0000"))</f>
        <v>CRM-0218</v>
      </c>
      <c r="B222" s="57">
        <f>CRM_MAGDY!E222</f>
        <v>0</v>
      </c>
      <c r="C222" s="57">
        <f>CRM_MAGDY!H222</f>
        <v>5663</v>
      </c>
      <c r="D222" s="57">
        <f>CRM_MAGDY!I222</f>
        <v>0</v>
      </c>
      <c r="E222" s="57">
        <f>IFERROR(VALUE(CRM_MAGDY!K222),0)</f>
        <v>0</v>
      </c>
      <c r="F222" s="57">
        <f>IFERROR(IF(CRM_MAGDY!L222&gt;1,CRM_MAGDY!L222/100,CRM_MAGDY!L222),0)</f>
        <v>0</v>
      </c>
      <c r="G222" s="57">
        <f>CRM_MAGDY!N222</f>
        <v>0</v>
      </c>
      <c r="H222" s="57">
        <f>CRM_MAGDY!M222</f>
        <v>0</v>
      </c>
      <c r="I222" s="57">
        <f t="shared" si="6"/>
        <v>0</v>
      </c>
      <c r="J222" s="57" t="str">
        <f t="shared" si="7"/>
        <v>POTENCJAŁ</v>
      </c>
    </row>
    <row r="223" spans="1:10" x14ac:dyDescent="0.25">
      <c r="A223" s="57" t="str">
        <f>IF(CRM_MAGDY!H223="","","CRM-"&amp;TEXT(ROW()-4,"0000"))</f>
        <v>CRM-0219</v>
      </c>
      <c r="B223" s="57">
        <f>CRM_MAGDY!E223</f>
        <v>0</v>
      </c>
      <c r="C223" s="57">
        <f>CRM_MAGDY!H223</f>
        <v>5664</v>
      </c>
      <c r="D223" s="57">
        <f>CRM_MAGDY!I223</f>
        <v>0</v>
      </c>
      <c r="E223" s="57">
        <f>IFERROR(VALUE(CRM_MAGDY!K223),0)</f>
        <v>0</v>
      </c>
      <c r="F223" s="57">
        <f>IFERROR(IF(CRM_MAGDY!L223&gt;1,CRM_MAGDY!L223/100,CRM_MAGDY!L223),0)</f>
        <v>0</v>
      </c>
      <c r="G223" s="57">
        <f>CRM_MAGDY!N223</f>
        <v>0</v>
      </c>
      <c r="H223" s="57">
        <f>CRM_MAGDY!M223</f>
        <v>0</v>
      </c>
      <c r="I223" s="57">
        <f t="shared" si="6"/>
        <v>0</v>
      </c>
      <c r="J223" s="57" t="str">
        <f t="shared" si="7"/>
        <v>POTENCJAŁ</v>
      </c>
    </row>
    <row r="224" spans="1:10" x14ac:dyDescent="0.25">
      <c r="A224" s="57" t="str">
        <f>IF(CRM_MAGDY!H224="","","CRM-"&amp;TEXT(ROW()-4,"0000"))</f>
        <v>CRM-0220</v>
      </c>
      <c r="B224" s="57">
        <f>CRM_MAGDY!E224</f>
        <v>0</v>
      </c>
      <c r="C224" s="57">
        <f>CRM_MAGDY!H224</f>
        <v>5665</v>
      </c>
      <c r="D224" s="57">
        <f>CRM_MAGDY!I224</f>
        <v>0</v>
      </c>
      <c r="E224" s="57">
        <f>IFERROR(VALUE(CRM_MAGDY!K224),0)</f>
        <v>0</v>
      </c>
      <c r="F224" s="57">
        <f>IFERROR(IF(CRM_MAGDY!L224&gt;1,CRM_MAGDY!L224/100,CRM_MAGDY!L224),0)</f>
        <v>0</v>
      </c>
      <c r="G224" s="57">
        <f>CRM_MAGDY!N224</f>
        <v>0</v>
      </c>
      <c r="H224" s="57">
        <f>CRM_MAGDY!M224</f>
        <v>0</v>
      </c>
      <c r="I224" s="57">
        <f t="shared" si="6"/>
        <v>0</v>
      </c>
      <c r="J224" s="57" t="str">
        <f t="shared" si="7"/>
        <v>POTENCJAŁ</v>
      </c>
    </row>
    <row r="225" spans="1:10" x14ac:dyDescent="0.25">
      <c r="A225" s="57" t="str">
        <f>IF(CRM_MAGDY!H225="","","CRM-"&amp;TEXT(ROW()-4,"0000"))</f>
        <v>CRM-0221</v>
      </c>
      <c r="B225" s="57">
        <f>CRM_MAGDY!E225</f>
        <v>0</v>
      </c>
      <c r="C225" s="57">
        <f>CRM_MAGDY!H225</f>
        <v>5666</v>
      </c>
      <c r="D225" s="57">
        <f>CRM_MAGDY!I225</f>
        <v>0</v>
      </c>
      <c r="E225" s="57">
        <f>IFERROR(VALUE(CRM_MAGDY!K225),0)</f>
        <v>0</v>
      </c>
      <c r="F225" s="57">
        <f>IFERROR(IF(CRM_MAGDY!L225&gt;1,CRM_MAGDY!L225/100,CRM_MAGDY!L225),0)</f>
        <v>0</v>
      </c>
      <c r="G225" s="57">
        <f>CRM_MAGDY!N225</f>
        <v>0</v>
      </c>
      <c r="H225" s="57">
        <f>CRM_MAGDY!M225</f>
        <v>0</v>
      </c>
      <c r="I225" s="57">
        <f t="shared" si="6"/>
        <v>0</v>
      </c>
      <c r="J225" s="57" t="str">
        <f t="shared" si="7"/>
        <v>POTENCJAŁ</v>
      </c>
    </row>
    <row r="226" spans="1:10" x14ac:dyDescent="0.25">
      <c r="A226" s="57" t="str">
        <f>IF(CRM_MAGDY!H226="","","CRM-"&amp;TEXT(ROW()-4,"0000"))</f>
        <v>CRM-0222</v>
      </c>
      <c r="B226" s="57">
        <f>CRM_MAGDY!E226</f>
        <v>0</v>
      </c>
      <c r="C226" s="57">
        <f>CRM_MAGDY!H226</f>
        <v>5667</v>
      </c>
      <c r="D226" s="57">
        <f>CRM_MAGDY!I226</f>
        <v>0</v>
      </c>
      <c r="E226" s="57">
        <f>IFERROR(VALUE(CRM_MAGDY!K226),0)</f>
        <v>0</v>
      </c>
      <c r="F226" s="57">
        <f>IFERROR(IF(CRM_MAGDY!L226&gt;1,CRM_MAGDY!L226/100,CRM_MAGDY!L226),0)</f>
        <v>0</v>
      </c>
      <c r="G226" s="57">
        <f>CRM_MAGDY!N226</f>
        <v>0</v>
      </c>
      <c r="H226" s="57">
        <f>CRM_MAGDY!M226</f>
        <v>0</v>
      </c>
      <c r="I226" s="57">
        <f t="shared" si="6"/>
        <v>0</v>
      </c>
      <c r="J226" s="57" t="str">
        <f t="shared" si="7"/>
        <v>POTENCJAŁ</v>
      </c>
    </row>
    <row r="227" spans="1:10" x14ac:dyDescent="0.25">
      <c r="A227" s="57" t="str">
        <f>IF(CRM_MAGDY!H227="","","CRM-"&amp;TEXT(ROW()-4,"0000"))</f>
        <v>CRM-0223</v>
      </c>
      <c r="B227" s="57">
        <f>CRM_MAGDY!E227</f>
        <v>0</v>
      </c>
      <c r="C227" s="57">
        <f>CRM_MAGDY!H227</f>
        <v>5668</v>
      </c>
      <c r="D227" s="57">
        <f>CRM_MAGDY!I227</f>
        <v>0</v>
      </c>
      <c r="E227" s="57">
        <f>IFERROR(VALUE(CRM_MAGDY!K227),0)</f>
        <v>0</v>
      </c>
      <c r="F227" s="57">
        <f>IFERROR(IF(CRM_MAGDY!L227&gt;1,CRM_MAGDY!L227/100,CRM_MAGDY!L227),0)</f>
        <v>0</v>
      </c>
      <c r="G227" s="57">
        <f>CRM_MAGDY!N227</f>
        <v>0</v>
      </c>
      <c r="H227" s="57">
        <f>CRM_MAGDY!M227</f>
        <v>0</v>
      </c>
      <c r="I227" s="57">
        <f t="shared" si="6"/>
        <v>0</v>
      </c>
      <c r="J227" s="57" t="str">
        <f t="shared" si="7"/>
        <v>POTENCJAŁ</v>
      </c>
    </row>
    <row r="228" spans="1:10" x14ac:dyDescent="0.25">
      <c r="A228" s="57" t="str">
        <f>IF(CRM_MAGDY!H228="","","CRM-"&amp;TEXT(ROW()-4,"0000"))</f>
        <v>CRM-0224</v>
      </c>
      <c r="B228" s="57">
        <f>CRM_MAGDY!E228</f>
        <v>0</v>
      </c>
      <c r="C228" s="57">
        <f>CRM_MAGDY!H228</f>
        <v>5669</v>
      </c>
      <c r="D228" s="57">
        <f>CRM_MAGDY!I228</f>
        <v>0</v>
      </c>
      <c r="E228" s="57">
        <f>IFERROR(VALUE(CRM_MAGDY!K228),0)</f>
        <v>0</v>
      </c>
      <c r="F228" s="57">
        <f>IFERROR(IF(CRM_MAGDY!L228&gt;1,CRM_MAGDY!L228/100,CRM_MAGDY!L228),0)</f>
        <v>0</v>
      </c>
      <c r="G228" s="57">
        <f>CRM_MAGDY!N228</f>
        <v>0</v>
      </c>
      <c r="H228" s="57">
        <f>CRM_MAGDY!M228</f>
        <v>0</v>
      </c>
      <c r="I228" s="57">
        <f t="shared" si="6"/>
        <v>0</v>
      </c>
      <c r="J228" s="57" t="str">
        <f t="shared" si="7"/>
        <v>POTENCJAŁ</v>
      </c>
    </row>
    <row r="229" spans="1:10" x14ac:dyDescent="0.25">
      <c r="A229" s="57" t="str">
        <f>IF(CRM_MAGDY!H229="","","CRM-"&amp;TEXT(ROW()-4,"0000"))</f>
        <v>CRM-0225</v>
      </c>
      <c r="B229" s="57">
        <f>CRM_MAGDY!E229</f>
        <v>0</v>
      </c>
      <c r="C229" s="57">
        <f>CRM_MAGDY!H229</f>
        <v>5670</v>
      </c>
      <c r="D229" s="57">
        <f>CRM_MAGDY!I229</f>
        <v>0</v>
      </c>
      <c r="E229" s="57">
        <f>IFERROR(VALUE(CRM_MAGDY!K229),0)</f>
        <v>0</v>
      </c>
      <c r="F229" s="57">
        <f>IFERROR(IF(CRM_MAGDY!L229&gt;1,CRM_MAGDY!L229/100,CRM_MAGDY!L229),0)</f>
        <v>0</v>
      </c>
      <c r="G229" s="57">
        <f>CRM_MAGDY!N229</f>
        <v>0</v>
      </c>
      <c r="H229" s="57">
        <f>CRM_MAGDY!M229</f>
        <v>0</v>
      </c>
      <c r="I229" s="57">
        <f t="shared" si="6"/>
        <v>0</v>
      </c>
      <c r="J229" s="57" t="str">
        <f t="shared" si="7"/>
        <v>POTENCJAŁ</v>
      </c>
    </row>
    <row r="230" spans="1:10" x14ac:dyDescent="0.25">
      <c r="A230" s="57" t="str">
        <f>IF(CRM_MAGDY!H230="","","CRM-"&amp;TEXT(ROW()-4,"0000"))</f>
        <v>CRM-0226</v>
      </c>
      <c r="B230" s="57">
        <f>CRM_MAGDY!E230</f>
        <v>0</v>
      </c>
      <c r="C230" s="57">
        <f>CRM_MAGDY!H230</f>
        <v>5671</v>
      </c>
      <c r="D230" s="57">
        <f>CRM_MAGDY!I230</f>
        <v>0</v>
      </c>
      <c r="E230" s="57">
        <f>IFERROR(VALUE(CRM_MAGDY!K230),0)</f>
        <v>0</v>
      </c>
      <c r="F230" s="57">
        <f>IFERROR(IF(CRM_MAGDY!L230&gt;1,CRM_MAGDY!L230/100,CRM_MAGDY!L230),0)</f>
        <v>0</v>
      </c>
      <c r="G230" s="57">
        <f>CRM_MAGDY!N230</f>
        <v>0</v>
      </c>
      <c r="H230" s="57">
        <f>CRM_MAGDY!M230</f>
        <v>0</v>
      </c>
      <c r="I230" s="57">
        <f t="shared" si="6"/>
        <v>0</v>
      </c>
      <c r="J230" s="57" t="str">
        <f t="shared" si="7"/>
        <v>POTENCJAŁ</v>
      </c>
    </row>
    <row r="231" spans="1:10" x14ac:dyDescent="0.25">
      <c r="A231" s="57" t="str">
        <f>IF(CRM_MAGDY!H231="","","CRM-"&amp;TEXT(ROW()-4,"0000"))</f>
        <v>CRM-0227</v>
      </c>
      <c r="B231" s="57">
        <f>CRM_MAGDY!E231</f>
        <v>0</v>
      </c>
      <c r="C231" s="57">
        <f>CRM_MAGDY!H231</f>
        <v>5672</v>
      </c>
      <c r="D231" s="57">
        <f>CRM_MAGDY!I231</f>
        <v>0</v>
      </c>
      <c r="E231" s="57">
        <f>IFERROR(VALUE(CRM_MAGDY!K231),0)</f>
        <v>0</v>
      </c>
      <c r="F231" s="57">
        <f>IFERROR(IF(CRM_MAGDY!L231&gt;1,CRM_MAGDY!L231/100,CRM_MAGDY!L231),0)</f>
        <v>0</v>
      </c>
      <c r="G231" s="57">
        <f>CRM_MAGDY!N231</f>
        <v>0</v>
      </c>
      <c r="H231" s="57">
        <f>CRM_MAGDY!M231</f>
        <v>0</v>
      </c>
      <c r="I231" s="57">
        <f t="shared" si="6"/>
        <v>0</v>
      </c>
      <c r="J231" s="57" t="str">
        <f t="shared" si="7"/>
        <v>POTENCJAŁ</v>
      </c>
    </row>
    <row r="232" spans="1:10" x14ac:dyDescent="0.25">
      <c r="A232" s="57" t="str">
        <f>IF(CRM_MAGDY!H232="","","CRM-"&amp;TEXT(ROW()-4,"0000"))</f>
        <v>CRM-0228</v>
      </c>
      <c r="B232" s="57">
        <f>CRM_MAGDY!E232</f>
        <v>0</v>
      </c>
      <c r="C232" s="57">
        <f>CRM_MAGDY!H232</f>
        <v>5673</v>
      </c>
      <c r="D232" s="57">
        <f>CRM_MAGDY!I232</f>
        <v>0</v>
      </c>
      <c r="E232" s="57">
        <f>IFERROR(VALUE(CRM_MAGDY!K232),0)</f>
        <v>0</v>
      </c>
      <c r="F232" s="57">
        <f>IFERROR(IF(CRM_MAGDY!L232&gt;1,CRM_MAGDY!L232/100,CRM_MAGDY!L232),0)</f>
        <v>0</v>
      </c>
      <c r="G232" s="57">
        <f>CRM_MAGDY!N232</f>
        <v>0</v>
      </c>
      <c r="H232" s="57">
        <f>CRM_MAGDY!M232</f>
        <v>0</v>
      </c>
      <c r="I232" s="57">
        <f t="shared" si="6"/>
        <v>0</v>
      </c>
      <c r="J232" s="57" t="str">
        <f t="shared" si="7"/>
        <v>POTENCJAŁ</v>
      </c>
    </row>
    <row r="233" spans="1:10" x14ac:dyDescent="0.25">
      <c r="A233" s="57" t="str">
        <f>IF(CRM_MAGDY!H233="","","CRM-"&amp;TEXT(ROW()-4,"0000"))</f>
        <v>CRM-0229</v>
      </c>
      <c r="B233" s="57">
        <f>CRM_MAGDY!E233</f>
        <v>0</v>
      </c>
      <c r="C233" s="57">
        <f>CRM_MAGDY!H233</f>
        <v>5674</v>
      </c>
      <c r="D233" s="57">
        <f>CRM_MAGDY!I233</f>
        <v>0</v>
      </c>
      <c r="E233" s="57">
        <f>IFERROR(VALUE(CRM_MAGDY!K233),0)</f>
        <v>0</v>
      </c>
      <c r="F233" s="57">
        <f>IFERROR(IF(CRM_MAGDY!L233&gt;1,CRM_MAGDY!L233/100,CRM_MAGDY!L233),0)</f>
        <v>0</v>
      </c>
      <c r="G233" s="57">
        <f>CRM_MAGDY!N233</f>
        <v>0</v>
      </c>
      <c r="H233" s="57">
        <f>CRM_MAGDY!M233</f>
        <v>0</v>
      </c>
      <c r="I233" s="57">
        <f t="shared" si="6"/>
        <v>0</v>
      </c>
      <c r="J233" s="57" t="str">
        <f t="shared" si="7"/>
        <v>POTENCJAŁ</v>
      </c>
    </row>
    <row r="234" spans="1:10" x14ac:dyDescent="0.25">
      <c r="A234" s="57" t="str">
        <f>IF(CRM_MAGDY!H234="","","CRM-"&amp;TEXT(ROW()-4,"0000"))</f>
        <v>CRM-0230</v>
      </c>
      <c r="B234" s="57">
        <f>CRM_MAGDY!E234</f>
        <v>0</v>
      </c>
      <c r="C234" s="57">
        <f>CRM_MAGDY!H234</f>
        <v>5675</v>
      </c>
      <c r="D234" s="57">
        <f>CRM_MAGDY!I234</f>
        <v>0</v>
      </c>
      <c r="E234" s="57">
        <f>IFERROR(VALUE(CRM_MAGDY!K234),0)</f>
        <v>0</v>
      </c>
      <c r="F234" s="57">
        <f>IFERROR(IF(CRM_MAGDY!L234&gt;1,CRM_MAGDY!L234/100,CRM_MAGDY!L234),0)</f>
        <v>0</v>
      </c>
      <c r="G234" s="57">
        <f>CRM_MAGDY!N234</f>
        <v>0</v>
      </c>
      <c r="H234" s="57">
        <f>CRM_MAGDY!M234</f>
        <v>0</v>
      </c>
      <c r="I234" s="57">
        <f t="shared" si="6"/>
        <v>0</v>
      </c>
      <c r="J234" s="57" t="str">
        <f t="shared" si="7"/>
        <v>POTENCJAŁ</v>
      </c>
    </row>
    <row r="235" spans="1:10" x14ac:dyDescent="0.25">
      <c r="A235" s="57" t="str">
        <f>IF(CRM_MAGDY!H235="","","CRM-"&amp;TEXT(ROW()-4,"0000"))</f>
        <v>CRM-0231</v>
      </c>
      <c r="B235" s="57">
        <f>CRM_MAGDY!E235</f>
        <v>0</v>
      </c>
      <c r="C235" s="57">
        <f>CRM_MAGDY!H235</f>
        <v>5676</v>
      </c>
      <c r="D235" s="57">
        <f>CRM_MAGDY!I235</f>
        <v>0</v>
      </c>
      <c r="E235" s="57">
        <f>IFERROR(VALUE(CRM_MAGDY!K235),0)</f>
        <v>0</v>
      </c>
      <c r="F235" s="57">
        <f>IFERROR(IF(CRM_MAGDY!L235&gt;1,CRM_MAGDY!L235/100,CRM_MAGDY!L235),0)</f>
        <v>0</v>
      </c>
      <c r="G235" s="57">
        <f>CRM_MAGDY!N235</f>
        <v>0</v>
      </c>
      <c r="H235" s="57">
        <f>CRM_MAGDY!M235</f>
        <v>0</v>
      </c>
      <c r="I235" s="57">
        <f t="shared" si="6"/>
        <v>0</v>
      </c>
      <c r="J235" s="57" t="str">
        <f t="shared" si="7"/>
        <v>POTENCJAŁ</v>
      </c>
    </row>
    <row r="236" spans="1:10" x14ac:dyDescent="0.25">
      <c r="A236" s="57" t="str">
        <f>IF(CRM_MAGDY!H236="","","CRM-"&amp;TEXT(ROW()-4,"0000"))</f>
        <v>CRM-0232</v>
      </c>
      <c r="B236" s="57">
        <f>CRM_MAGDY!E236</f>
        <v>0</v>
      </c>
      <c r="C236" s="57">
        <f>CRM_MAGDY!H236</f>
        <v>5677</v>
      </c>
      <c r="D236" s="57">
        <f>CRM_MAGDY!I236</f>
        <v>0</v>
      </c>
      <c r="E236" s="57">
        <f>IFERROR(VALUE(CRM_MAGDY!K236),0)</f>
        <v>0</v>
      </c>
      <c r="F236" s="57">
        <f>IFERROR(IF(CRM_MAGDY!L236&gt;1,CRM_MAGDY!L236/100,CRM_MAGDY!L236),0)</f>
        <v>0</v>
      </c>
      <c r="G236" s="57">
        <f>CRM_MAGDY!N236</f>
        <v>0</v>
      </c>
      <c r="H236" s="57">
        <f>CRM_MAGDY!M236</f>
        <v>0</v>
      </c>
      <c r="I236" s="57">
        <f t="shared" si="6"/>
        <v>0</v>
      </c>
      <c r="J236" s="57" t="str">
        <f t="shared" si="7"/>
        <v>POTENCJAŁ</v>
      </c>
    </row>
    <row r="237" spans="1:10" x14ac:dyDescent="0.25">
      <c r="A237" s="57" t="str">
        <f>IF(CRM_MAGDY!H237="","","CRM-"&amp;TEXT(ROW()-4,"0000"))</f>
        <v>CRM-0233</v>
      </c>
      <c r="B237" s="57">
        <f>CRM_MAGDY!E237</f>
        <v>0</v>
      </c>
      <c r="C237" s="57">
        <f>CRM_MAGDY!H237</f>
        <v>5678</v>
      </c>
      <c r="D237" s="57">
        <f>CRM_MAGDY!I237</f>
        <v>0</v>
      </c>
      <c r="E237" s="57">
        <f>IFERROR(VALUE(CRM_MAGDY!K237),0)</f>
        <v>0</v>
      </c>
      <c r="F237" s="57">
        <f>IFERROR(IF(CRM_MAGDY!L237&gt;1,CRM_MAGDY!L237/100,CRM_MAGDY!L237),0)</f>
        <v>0</v>
      </c>
      <c r="G237" s="57">
        <f>CRM_MAGDY!N237</f>
        <v>0</v>
      </c>
      <c r="H237" s="57">
        <f>CRM_MAGDY!M237</f>
        <v>0</v>
      </c>
      <c r="I237" s="57">
        <f t="shared" si="6"/>
        <v>0</v>
      </c>
      <c r="J237" s="57" t="str">
        <f t="shared" si="7"/>
        <v>POTENCJAŁ</v>
      </c>
    </row>
    <row r="238" spans="1:10" x14ac:dyDescent="0.25">
      <c r="A238" s="57" t="str">
        <f>IF(CRM_MAGDY!H238="","","CRM-"&amp;TEXT(ROW()-4,"0000"))</f>
        <v>CRM-0234</v>
      </c>
      <c r="B238" s="57">
        <f>CRM_MAGDY!E238</f>
        <v>0</v>
      </c>
      <c r="C238" s="57">
        <f>CRM_MAGDY!H238</f>
        <v>5679</v>
      </c>
      <c r="D238" s="57">
        <f>CRM_MAGDY!I238</f>
        <v>0</v>
      </c>
      <c r="E238" s="57">
        <f>IFERROR(VALUE(CRM_MAGDY!K238),0)</f>
        <v>0</v>
      </c>
      <c r="F238" s="57">
        <f>IFERROR(IF(CRM_MAGDY!L238&gt;1,CRM_MAGDY!L238/100,CRM_MAGDY!L238),0)</f>
        <v>0</v>
      </c>
      <c r="G238" s="57">
        <f>CRM_MAGDY!N238</f>
        <v>0</v>
      </c>
      <c r="H238" s="57">
        <f>CRM_MAGDY!M238</f>
        <v>0</v>
      </c>
      <c r="I238" s="57">
        <f t="shared" si="6"/>
        <v>0</v>
      </c>
      <c r="J238" s="57" t="str">
        <f t="shared" si="7"/>
        <v>POTENCJAŁ</v>
      </c>
    </row>
    <row r="239" spans="1:10" x14ac:dyDescent="0.25">
      <c r="A239" s="57" t="str">
        <f>IF(CRM_MAGDY!H239="","","CRM-"&amp;TEXT(ROW()-4,"0000"))</f>
        <v>CRM-0235</v>
      </c>
      <c r="B239" s="57">
        <f>CRM_MAGDY!E239</f>
        <v>0</v>
      </c>
      <c r="C239" s="57">
        <f>CRM_MAGDY!H239</f>
        <v>5680</v>
      </c>
      <c r="D239" s="57">
        <f>CRM_MAGDY!I239</f>
        <v>0</v>
      </c>
      <c r="E239" s="57">
        <f>IFERROR(VALUE(CRM_MAGDY!K239),0)</f>
        <v>0</v>
      </c>
      <c r="F239" s="57">
        <f>IFERROR(IF(CRM_MAGDY!L239&gt;1,CRM_MAGDY!L239/100,CRM_MAGDY!L239),0)</f>
        <v>0</v>
      </c>
      <c r="G239" s="57">
        <f>CRM_MAGDY!N239</f>
        <v>0</v>
      </c>
      <c r="H239" s="57">
        <f>CRM_MAGDY!M239</f>
        <v>0</v>
      </c>
      <c r="I239" s="57">
        <f t="shared" si="6"/>
        <v>0</v>
      </c>
      <c r="J239" s="57" t="str">
        <f t="shared" si="7"/>
        <v>POTENCJAŁ</v>
      </c>
    </row>
    <row r="240" spans="1:10" x14ac:dyDescent="0.25">
      <c r="A240" s="57" t="str">
        <f>IF(CRM_MAGDY!H240="","","CRM-"&amp;TEXT(ROW()-4,"0000"))</f>
        <v>CRM-0236</v>
      </c>
      <c r="B240" s="57">
        <f>CRM_MAGDY!E240</f>
        <v>0</v>
      </c>
      <c r="C240" s="57">
        <f>CRM_MAGDY!H240</f>
        <v>5681</v>
      </c>
      <c r="D240" s="57">
        <f>CRM_MAGDY!I240</f>
        <v>0</v>
      </c>
      <c r="E240" s="57">
        <f>IFERROR(VALUE(CRM_MAGDY!K240),0)</f>
        <v>0</v>
      </c>
      <c r="F240" s="57">
        <f>IFERROR(IF(CRM_MAGDY!L240&gt;1,CRM_MAGDY!L240/100,CRM_MAGDY!L240),0)</f>
        <v>0</v>
      </c>
      <c r="G240" s="57">
        <f>CRM_MAGDY!N240</f>
        <v>0</v>
      </c>
      <c r="H240" s="57">
        <f>CRM_MAGDY!M240</f>
        <v>0</v>
      </c>
      <c r="I240" s="57">
        <f t="shared" si="6"/>
        <v>0</v>
      </c>
      <c r="J240" s="57" t="str">
        <f t="shared" si="7"/>
        <v>POTENCJAŁ</v>
      </c>
    </row>
    <row r="241" spans="1:10" x14ac:dyDescent="0.25">
      <c r="A241" s="57" t="str">
        <f>IF(CRM_MAGDY!H241="","","CRM-"&amp;TEXT(ROW()-4,"0000"))</f>
        <v>CRM-0237</v>
      </c>
      <c r="B241" s="57">
        <f>CRM_MAGDY!E241</f>
        <v>0</v>
      </c>
      <c r="C241" s="57">
        <f>CRM_MAGDY!H241</f>
        <v>5682</v>
      </c>
      <c r="D241" s="57">
        <f>CRM_MAGDY!I241</f>
        <v>0</v>
      </c>
      <c r="E241" s="57">
        <f>IFERROR(VALUE(CRM_MAGDY!K241),0)</f>
        <v>0</v>
      </c>
      <c r="F241" s="57">
        <f>IFERROR(IF(CRM_MAGDY!L241&gt;1,CRM_MAGDY!L241/100,CRM_MAGDY!L241),0)</f>
        <v>0</v>
      </c>
      <c r="G241" s="57">
        <f>CRM_MAGDY!N241</f>
        <v>0</v>
      </c>
      <c r="H241" s="57">
        <f>CRM_MAGDY!M241</f>
        <v>0</v>
      </c>
      <c r="I241" s="57">
        <f t="shared" si="6"/>
        <v>0</v>
      </c>
      <c r="J241" s="57" t="str">
        <f t="shared" si="7"/>
        <v>POTENCJAŁ</v>
      </c>
    </row>
    <row r="242" spans="1:10" x14ac:dyDescent="0.25">
      <c r="A242" s="57" t="str">
        <f>IF(CRM_MAGDY!H242="","","CRM-"&amp;TEXT(ROW()-4,"0000"))</f>
        <v>CRM-0238</v>
      </c>
      <c r="B242" s="57">
        <f>CRM_MAGDY!E242</f>
        <v>0</v>
      </c>
      <c r="C242" s="57">
        <f>CRM_MAGDY!H242</f>
        <v>5683</v>
      </c>
      <c r="D242" s="57">
        <f>CRM_MAGDY!I242</f>
        <v>0</v>
      </c>
      <c r="E242" s="57">
        <f>IFERROR(VALUE(CRM_MAGDY!K242),0)</f>
        <v>0</v>
      </c>
      <c r="F242" s="57">
        <f>IFERROR(IF(CRM_MAGDY!L242&gt;1,CRM_MAGDY!L242/100,CRM_MAGDY!L242),0)</f>
        <v>0</v>
      </c>
      <c r="G242" s="57">
        <f>CRM_MAGDY!N242</f>
        <v>0</v>
      </c>
      <c r="H242" s="57">
        <f>CRM_MAGDY!M242</f>
        <v>0</v>
      </c>
      <c r="I242" s="57">
        <f t="shared" si="6"/>
        <v>0</v>
      </c>
      <c r="J242" s="57" t="str">
        <f t="shared" si="7"/>
        <v>POTENCJAŁ</v>
      </c>
    </row>
    <row r="243" spans="1:10" x14ac:dyDescent="0.25">
      <c r="A243" s="57" t="str">
        <f>IF(CRM_MAGDY!H243="","","CRM-"&amp;TEXT(ROW()-4,"0000"))</f>
        <v>CRM-0239</v>
      </c>
      <c r="B243" s="57">
        <f>CRM_MAGDY!E243</f>
        <v>0</v>
      </c>
      <c r="C243" s="57">
        <f>CRM_MAGDY!H243</f>
        <v>5684</v>
      </c>
      <c r="D243" s="57">
        <f>CRM_MAGDY!I243</f>
        <v>0</v>
      </c>
      <c r="E243" s="57">
        <f>IFERROR(VALUE(CRM_MAGDY!K243),0)</f>
        <v>0</v>
      </c>
      <c r="F243" s="57">
        <f>IFERROR(IF(CRM_MAGDY!L243&gt;1,CRM_MAGDY!L243/100,CRM_MAGDY!L243),0)</f>
        <v>0</v>
      </c>
      <c r="G243" s="57">
        <f>CRM_MAGDY!N243</f>
        <v>0</v>
      </c>
      <c r="H243" s="57">
        <f>CRM_MAGDY!M243</f>
        <v>0</v>
      </c>
      <c r="I243" s="57">
        <f t="shared" si="6"/>
        <v>0</v>
      </c>
      <c r="J243" s="57" t="str">
        <f t="shared" si="7"/>
        <v>POTENCJAŁ</v>
      </c>
    </row>
    <row r="244" spans="1:10" x14ac:dyDescent="0.25">
      <c r="A244" s="57" t="str">
        <f>IF(CRM_MAGDY!H244="","","CRM-"&amp;TEXT(ROW()-4,"0000"))</f>
        <v>CRM-0240</v>
      </c>
      <c r="B244" s="57">
        <f>CRM_MAGDY!E244</f>
        <v>0</v>
      </c>
      <c r="C244" s="57">
        <f>CRM_MAGDY!H244</f>
        <v>5685</v>
      </c>
      <c r="D244" s="57">
        <f>CRM_MAGDY!I244</f>
        <v>0</v>
      </c>
      <c r="E244" s="57">
        <f>IFERROR(VALUE(CRM_MAGDY!K244),0)</f>
        <v>0</v>
      </c>
      <c r="F244" s="57">
        <f>IFERROR(IF(CRM_MAGDY!L244&gt;1,CRM_MAGDY!L244/100,CRM_MAGDY!L244),0)</f>
        <v>0</v>
      </c>
      <c r="G244" s="57">
        <f>CRM_MAGDY!N244</f>
        <v>0</v>
      </c>
      <c r="H244" s="57">
        <f>CRM_MAGDY!M244</f>
        <v>0</v>
      </c>
      <c r="I244" s="57">
        <f t="shared" si="6"/>
        <v>0</v>
      </c>
      <c r="J244" s="57" t="str">
        <f t="shared" si="7"/>
        <v>POTENCJAŁ</v>
      </c>
    </row>
    <row r="245" spans="1:10" x14ac:dyDescent="0.25">
      <c r="A245" s="57" t="str">
        <f>IF(CRM_MAGDY!H245="","","CRM-"&amp;TEXT(ROW()-4,"0000"))</f>
        <v>CRM-0241</v>
      </c>
      <c r="B245" s="57">
        <f>CRM_MAGDY!E245</f>
        <v>0</v>
      </c>
      <c r="C245" s="57">
        <f>CRM_MAGDY!H245</f>
        <v>5686</v>
      </c>
      <c r="D245" s="57">
        <f>CRM_MAGDY!I245</f>
        <v>0</v>
      </c>
      <c r="E245" s="57">
        <f>IFERROR(VALUE(CRM_MAGDY!K245),0)</f>
        <v>0</v>
      </c>
      <c r="F245" s="57">
        <f>IFERROR(IF(CRM_MAGDY!L245&gt;1,CRM_MAGDY!L245/100,CRM_MAGDY!L245),0)</f>
        <v>0</v>
      </c>
      <c r="G245" s="57">
        <f>CRM_MAGDY!N245</f>
        <v>0</v>
      </c>
      <c r="H245" s="57">
        <f>CRM_MAGDY!M245</f>
        <v>0</v>
      </c>
      <c r="I245" s="57">
        <f t="shared" si="6"/>
        <v>0</v>
      </c>
      <c r="J245" s="57" t="str">
        <f t="shared" si="7"/>
        <v>POTENCJAŁ</v>
      </c>
    </row>
    <row r="246" spans="1:10" x14ac:dyDescent="0.25">
      <c r="A246" s="57" t="str">
        <f>IF(CRM_MAGDY!H246="","","CRM-"&amp;TEXT(ROW()-4,"0000"))</f>
        <v>CRM-0242</v>
      </c>
      <c r="B246" s="57">
        <f>CRM_MAGDY!E246</f>
        <v>0</v>
      </c>
      <c r="C246" s="57">
        <f>CRM_MAGDY!H246</f>
        <v>5687</v>
      </c>
      <c r="D246" s="57">
        <f>CRM_MAGDY!I246</f>
        <v>0</v>
      </c>
      <c r="E246" s="57">
        <f>IFERROR(VALUE(CRM_MAGDY!K246),0)</f>
        <v>0</v>
      </c>
      <c r="F246" s="57">
        <f>IFERROR(IF(CRM_MAGDY!L246&gt;1,CRM_MAGDY!L246/100,CRM_MAGDY!L246),0)</f>
        <v>0</v>
      </c>
      <c r="G246" s="57">
        <f>CRM_MAGDY!N246</f>
        <v>0</v>
      </c>
      <c r="H246" s="57">
        <f>CRM_MAGDY!M246</f>
        <v>0</v>
      </c>
      <c r="I246" s="57">
        <f t="shared" si="6"/>
        <v>0</v>
      </c>
      <c r="J246" s="57" t="str">
        <f t="shared" si="7"/>
        <v>POTENCJAŁ</v>
      </c>
    </row>
    <row r="247" spans="1:10" x14ac:dyDescent="0.25">
      <c r="A247" s="57" t="str">
        <f>IF(CRM_MAGDY!H247="","","CRM-"&amp;TEXT(ROW()-4,"0000"))</f>
        <v>CRM-0243</v>
      </c>
      <c r="B247" s="57">
        <f>CRM_MAGDY!E247</f>
        <v>0</v>
      </c>
      <c r="C247" s="57">
        <f>CRM_MAGDY!H247</f>
        <v>5688</v>
      </c>
      <c r="D247" s="57">
        <f>CRM_MAGDY!I247</f>
        <v>0</v>
      </c>
      <c r="E247" s="57">
        <f>IFERROR(VALUE(CRM_MAGDY!K247),0)</f>
        <v>0</v>
      </c>
      <c r="F247" s="57">
        <f>IFERROR(IF(CRM_MAGDY!L247&gt;1,CRM_MAGDY!L247/100,CRM_MAGDY!L247),0)</f>
        <v>0</v>
      </c>
      <c r="G247" s="57">
        <f>CRM_MAGDY!N247</f>
        <v>0</v>
      </c>
      <c r="H247" s="57">
        <f>CRM_MAGDY!M247</f>
        <v>0</v>
      </c>
      <c r="I247" s="57">
        <f t="shared" si="6"/>
        <v>0</v>
      </c>
      <c r="J247" s="57" t="str">
        <f t="shared" si="7"/>
        <v>POTENCJAŁ</v>
      </c>
    </row>
    <row r="248" spans="1:10" x14ac:dyDescent="0.25">
      <c r="A248" s="57" t="str">
        <f>IF(CRM_MAGDY!H248="","","CRM-"&amp;TEXT(ROW()-4,"0000"))</f>
        <v>CRM-0244</v>
      </c>
      <c r="B248" s="57">
        <f>CRM_MAGDY!E248</f>
        <v>0</v>
      </c>
      <c r="C248" s="57">
        <f>CRM_MAGDY!H248</f>
        <v>5689</v>
      </c>
      <c r="D248" s="57">
        <f>CRM_MAGDY!I248</f>
        <v>0</v>
      </c>
      <c r="E248" s="57">
        <f>IFERROR(VALUE(CRM_MAGDY!K248),0)</f>
        <v>0</v>
      </c>
      <c r="F248" s="57">
        <f>IFERROR(IF(CRM_MAGDY!L248&gt;1,CRM_MAGDY!L248/100,CRM_MAGDY!L248),0)</f>
        <v>0</v>
      </c>
      <c r="G248" s="57">
        <f>CRM_MAGDY!N248</f>
        <v>0</v>
      </c>
      <c r="H248" s="57">
        <f>CRM_MAGDY!M248</f>
        <v>0</v>
      </c>
      <c r="I248" s="57">
        <f t="shared" si="6"/>
        <v>0</v>
      </c>
      <c r="J248" s="57" t="str">
        <f t="shared" si="7"/>
        <v>POTENCJAŁ</v>
      </c>
    </row>
    <row r="249" spans="1:10" x14ac:dyDescent="0.25">
      <c r="A249" s="57" t="str">
        <f>IF(CRM_MAGDY!H249="","","CRM-"&amp;TEXT(ROW()-4,"0000"))</f>
        <v>CRM-0245</v>
      </c>
      <c r="B249" s="57">
        <f>CRM_MAGDY!E249</f>
        <v>0</v>
      </c>
      <c r="C249" s="57">
        <f>CRM_MAGDY!H249</f>
        <v>5690</v>
      </c>
      <c r="D249" s="57">
        <f>CRM_MAGDY!I249</f>
        <v>0</v>
      </c>
      <c r="E249" s="57">
        <f>IFERROR(VALUE(CRM_MAGDY!K249),0)</f>
        <v>0</v>
      </c>
      <c r="F249" s="57">
        <f>IFERROR(IF(CRM_MAGDY!L249&gt;1,CRM_MAGDY!L249/100,CRM_MAGDY!L249),0)</f>
        <v>0</v>
      </c>
      <c r="G249" s="57">
        <f>CRM_MAGDY!N249</f>
        <v>0</v>
      </c>
      <c r="H249" s="57">
        <f>CRM_MAGDY!M249</f>
        <v>0</v>
      </c>
      <c r="I249" s="57">
        <f t="shared" si="6"/>
        <v>0</v>
      </c>
      <c r="J249" s="57" t="str">
        <f t="shared" si="7"/>
        <v>POTENCJAŁ</v>
      </c>
    </row>
    <row r="250" spans="1:10" x14ac:dyDescent="0.25">
      <c r="A250" s="57" t="str">
        <f>IF(CRM_MAGDY!H250="","","CRM-"&amp;TEXT(ROW()-4,"0000"))</f>
        <v>CRM-0246</v>
      </c>
      <c r="B250" s="57">
        <f>CRM_MAGDY!E250</f>
        <v>0</v>
      </c>
      <c r="C250" s="57">
        <f>CRM_MAGDY!H250</f>
        <v>5691</v>
      </c>
      <c r="D250" s="57">
        <f>CRM_MAGDY!I250</f>
        <v>0</v>
      </c>
      <c r="E250" s="57">
        <f>IFERROR(VALUE(CRM_MAGDY!K250),0)</f>
        <v>0</v>
      </c>
      <c r="F250" s="57">
        <f>IFERROR(IF(CRM_MAGDY!L250&gt;1,CRM_MAGDY!L250/100,CRM_MAGDY!L250),0)</f>
        <v>0</v>
      </c>
      <c r="G250" s="57">
        <f>CRM_MAGDY!N250</f>
        <v>0</v>
      </c>
      <c r="H250" s="57">
        <f>CRM_MAGDY!M250</f>
        <v>0</v>
      </c>
      <c r="I250" s="57">
        <f t="shared" si="6"/>
        <v>0</v>
      </c>
      <c r="J250" s="57" t="str">
        <f t="shared" si="7"/>
        <v>POTENCJAŁ</v>
      </c>
    </row>
    <row r="251" spans="1:10" x14ac:dyDescent="0.25">
      <c r="A251" s="57" t="str">
        <f>IF(CRM_MAGDY!H251="","","CRM-"&amp;TEXT(ROW()-4,"0000"))</f>
        <v>CRM-0247</v>
      </c>
      <c r="B251" s="57">
        <f>CRM_MAGDY!E251</f>
        <v>0</v>
      </c>
      <c r="C251" s="57">
        <f>CRM_MAGDY!H251</f>
        <v>5692</v>
      </c>
      <c r="D251" s="57">
        <f>CRM_MAGDY!I251</f>
        <v>0</v>
      </c>
      <c r="E251" s="57">
        <f>IFERROR(VALUE(CRM_MAGDY!K251),0)</f>
        <v>0</v>
      </c>
      <c r="F251" s="57">
        <f>IFERROR(IF(CRM_MAGDY!L251&gt;1,CRM_MAGDY!L251/100,CRM_MAGDY!L251),0)</f>
        <v>0</v>
      </c>
      <c r="G251" s="57">
        <f>CRM_MAGDY!N251</f>
        <v>0</v>
      </c>
      <c r="H251" s="57">
        <f>CRM_MAGDY!M251</f>
        <v>0</v>
      </c>
      <c r="I251" s="57">
        <f t="shared" si="6"/>
        <v>0</v>
      </c>
      <c r="J251" s="57" t="str">
        <f t="shared" si="7"/>
        <v>POTENCJAŁ</v>
      </c>
    </row>
    <row r="252" spans="1:10" x14ac:dyDescent="0.25">
      <c r="A252" s="57" t="str">
        <f>IF(CRM_MAGDY!H252="","","CRM-"&amp;TEXT(ROW()-4,"0000"))</f>
        <v>CRM-0248</v>
      </c>
      <c r="B252" s="57">
        <f>CRM_MAGDY!E252</f>
        <v>0</v>
      </c>
      <c r="C252" s="57">
        <f>CRM_MAGDY!H252</f>
        <v>5693</v>
      </c>
      <c r="D252" s="57">
        <f>CRM_MAGDY!I252</f>
        <v>0</v>
      </c>
      <c r="E252" s="57">
        <f>IFERROR(VALUE(CRM_MAGDY!K252),0)</f>
        <v>0</v>
      </c>
      <c r="F252" s="57">
        <f>IFERROR(IF(CRM_MAGDY!L252&gt;1,CRM_MAGDY!L252/100,CRM_MAGDY!L252),0)</f>
        <v>0</v>
      </c>
      <c r="G252" s="57">
        <f>CRM_MAGDY!N252</f>
        <v>0</v>
      </c>
      <c r="H252" s="57">
        <f>CRM_MAGDY!M252</f>
        <v>0</v>
      </c>
      <c r="I252" s="57">
        <f t="shared" si="6"/>
        <v>0</v>
      </c>
      <c r="J252" s="57" t="str">
        <f t="shared" si="7"/>
        <v>POTENCJAŁ</v>
      </c>
    </row>
    <row r="253" spans="1:10" x14ac:dyDescent="0.25">
      <c r="A253" s="57" t="str">
        <f>IF(CRM_MAGDY!H253="","","CRM-"&amp;TEXT(ROW()-4,"0000"))</f>
        <v>CRM-0249</v>
      </c>
      <c r="B253" s="57">
        <f>CRM_MAGDY!E253</f>
        <v>0</v>
      </c>
      <c r="C253" s="57">
        <f>CRM_MAGDY!H253</f>
        <v>5694</v>
      </c>
      <c r="D253" s="57">
        <f>CRM_MAGDY!I253</f>
        <v>0</v>
      </c>
      <c r="E253" s="57">
        <f>IFERROR(VALUE(CRM_MAGDY!K253),0)</f>
        <v>0</v>
      </c>
      <c r="F253" s="57">
        <f>IFERROR(IF(CRM_MAGDY!L253&gt;1,CRM_MAGDY!L253/100,CRM_MAGDY!L253),0)</f>
        <v>0</v>
      </c>
      <c r="G253" s="57">
        <f>CRM_MAGDY!N253</f>
        <v>0</v>
      </c>
      <c r="H253" s="57">
        <f>CRM_MAGDY!M253</f>
        <v>0</v>
      </c>
      <c r="I253" s="57">
        <f t="shared" si="6"/>
        <v>0</v>
      </c>
      <c r="J253" s="57" t="str">
        <f t="shared" si="7"/>
        <v>POTENCJAŁ</v>
      </c>
    </row>
    <row r="254" spans="1:10" x14ac:dyDescent="0.25">
      <c r="A254" s="57" t="str">
        <f>IF(CRM_MAGDY!H254="","","CRM-"&amp;TEXT(ROW()-4,"0000"))</f>
        <v>CRM-0250</v>
      </c>
      <c r="B254" s="57">
        <f>CRM_MAGDY!E254</f>
        <v>0</v>
      </c>
      <c r="C254" s="57">
        <f>CRM_MAGDY!H254</f>
        <v>5695</v>
      </c>
      <c r="D254" s="57">
        <f>CRM_MAGDY!I254</f>
        <v>0</v>
      </c>
      <c r="E254" s="57">
        <f>IFERROR(VALUE(CRM_MAGDY!K254),0)</f>
        <v>0</v>
      </c>
      <c r="F254" s="57">
        <f>IFERROR(IF(CRM_MAGDY!L254&gt;1,CRM_MAGDY!L254/100,CRM_MAGDY!L254),0)</f>
        <v>0</v>
      </c>
      <c r="G254" s="57">
        <f>CRM_MAGDY!N254</f>
        <v>0</v>
      </c>
      <c r="H254" s="57">
        <f>CRM_MAGDY!M254</f>
        <v>0</v>
      </c>
      <c r="I254" s="57">
        <f t="shared" si="6"/>
        <v>0</v>
      </c>
      <c r="J254" s="57" t="str">
        <f t="shared" si="7"/>
        <v>POTENCJAŁ</v>
      </c>
    </row>
    <row r="255" spans="1:10" x14ac:dyDescent="0.25">
      <c r="A255" s="57" t="str">
        <f>IF(CRM_MAGDY!H255="","","CRM-"&amp;TEXT(ROW()-4,"0000"))</f>
        <v>CRM-0251</v>
      </c>
      <c r="B255" s="57">
        <f>CRM_MAGDY!E255</f>
        <v>0</v>
      </c>
      <c r="C255" s="57">
        <f>CRM_MAGDY!H255</f>
        <v>5696</v>
      </c>
      <c r="D255" s="57">
        <f>CRM_MAGDY!I255</f>
        <v>0</v>
      </c>
      <c r="E255" s="57">
        <f>IFERROR(VALUE(CRM_MAGDY!K255),0)</f>
        <v>0</v>
      </c>
      <c r="F255" s="57">
        <f>IFERROR(IF(CRM_MAGDY!L255&gt;1,CRM_MAGDY!L255/100,CRM_MAGDY!L255),0)</f>
        <v>0</v>
      </c>
      <c r="G255" s="57">
        <f>CRM_MAGDY!N255</f>
        <v>0</v>
      </c>
      <c r="H255" s="57">
        <f>CRM_MAGDY!M255</f>
        <v>0</v>
      </c>
      <c r="I255" s="57">
        <f t="shared" si="6"/>
        <v>0</v>
      </c>
      <c r="J255" s="57" t="str">
        <f t="shared" si="7"/>
        <v>POTENCJAŁ</v>
      </c>
    </row>
    <row r="256" spans="1:10" x14ac:dyDescent="0.25">
      <c r="A256" s="57" t="str">
        <f>IF(CRM_MAGDY!H256="","","CRM-"&amp;TEXT(ROW()-4,"0000"))</f>
        <v>CRM-0252</v>
      </c>
      <c r="B256" s="57">
        <f>CRM_MAGDY!E256</f>
        <v>0</v>
      </c>
      <c r="C256" s="57">
        <f>CRM_MAGDY!H256</f>
        <v>5697</v>
      </c>
      <c r="D256" s="57">
        <f>CRM_MAGDY!I256</f>
        <v>0</v>
      </c>
      <c r="E256" s="57">
        <f>IFERROR(VALUE(CRM_MAGDY!K256),0)</f>
        <v>0</v>
      </c>
      <c r="F256" s="57">
        <f>IFERROR(IF(CRM_MAGDY!L256&gt;1,CRM_MAGDY!L256/100,CRM_MAGDY!L256),0)</f>
        <v>0</v>
      </c>
      <c r="G256" s="57">
        <f>CRM_MAGDY!N256</f>
        <v>0</v>
      </c>
      <c r="H256" s="57">
        <f>CRM_MAGDY!M256</f>
        <v>0</v>
      </c>
      <c r="I256" s="57">
        <f t="shared" si="6"/>
        <v>0</v>
      </c>
      <c r="J256" s="57" t="str">
        <f t="shared" si="7"/>
        <v>POTENCJAŁ</v>
      </c>
    </row>
    <row r="257" spans="1:10" x14ac:dyDescent="0.25">
      <c r="A257" s="57" t="str">
        <f>IF(CRM_MAGDY!H257="","","CRM-"&amp;TEXT(ROW()-4,"0000"))</f>
        <v>CRM-0253</v>
      </c>
      <c r="B257" s="57">
        <f>CRM_MAGDY!E257</f>
        <v>0</v>
      </c>
      <c r="C257" s="57">
        <f>CRM_MAGDY!H257</f>
        <v>5698</v>
      </c>
      <c r="D257" s="57">
        <f>CRM_MAGDY!I257</f>
        <v>0</v>
      </c>
      <c r="E257" s="57">
        <f>IFERROR(VALUE(CRM_MAGDY!K257),0)</f>
        <v>0</v>
      </c>
      <c r="F257" s="57">
        <f>IFERROR(IF(CRM_MAGDY!L257&gt;1,CRM_MAGDY!L257/100,CRM_MAGDY!L257),0)</f>
        <v>0</v>
      </c>
      <c r="G257" s="57">
        <f>CRM_MAGDY!N257</f>
        <v>0</v>
      </c>
      <c r="H257" s="57">
        <f>CRM_MAGDY!M257</f>
        <v>0</v>
      </c>
      <c r="I257" s="57">
        <f t="shared" si="6"/>
        <v>0</v>
      </c>
      <c r="J257" s="57" t="str">
        <f t="shared" si="7"/>
        <v>POTENCJAŁ</v>
      </c>
    </row>
    <row r="258" spans="1:10" x14ac:dyDescent="0.25">
      <c r="A258" s="57" t="str">
        <f>IF(CRM_MAGDY!H258="","","CRM-"&amp;TEXT(ROW()-4,"0000"))</f>
        <v>CRM-0254</v>
      </c>
      <c r="B258" s="57">
        <f>CRM_MAGDY!E258</f>
        <v>0</v>
      </c>
      <c r="C258" s="57">
        <f>CRM_MAGDY!H258</f>
        <v>5699</v>
      </c>
      <c r="D258" s="57">
        <f>CRM_MAGDY!I258</f>
        <v>0</v>
      </c>
      <c r="E258" s="57">
        <f>IFERROR(VALUE(CRM_MAGDY!K258),0)</f>
        <v>0</v>
      </c>
      <c r="F258" s="57">
        <f>IFERROR(IF(CRM_MAGDY!L258&gt;1,CRM_MAGDY!L258/100,CRM_MAGDY!L258),0)</f>
        <v>0</v>
      </c>
      <c r="G258" s="57">
        <f>CRM_MAGDY!N258</f>
        <v>0</v>
      </c>
      <c r="H258" s="57">
        <f>CRM_MAGDY!M258</f>
        <v>0</v>
      </c>
      <c r="I258" s="57">
        <f t="shared" si="6"/>
        <v>0</v>
      </c>
      <c r="J258" s="57" t="str">
        <f t="shared" si="7"/>
        <v>POTENCJAŁ</v>
      </c>
    </row>
    <row r="259" spans="1:10" x14ac:dyDescent="0.25">
      <c r="A259" s="57" t="str">
        <f>IF(CRM_MAGDY!H259="","","CRM-"&amp;TEXT(ROW()-4,"0000"))</f>
        <v>CRM-0255</v>
      </c>
      <c r="B259" s="57">
        <f>CRM_MAGDY!E259</f>
        <v>0</v>
      </c>
      <c r="C259" s="57">
        <f>CRM_MAGDY!H259</f>
        <v>5700</v>
      </c>
      <c r="D259" s="57">
        <f>CRM_MAGDY!I259</f>
        <v>0</v>
      </c>
      <c r="E259" s="57">
        <f>IFERROR(VALUE(CRM_MAGDY!K259),0)</f>
        <v>0</v>
      </c>
      <c r="F259" s="57">
        <f>IFERROR(IF(CRM_MAGDY!L259&gt;1,CRM_MAGDY!L259/100,CRM_MAGDY!L259),0)</f>
        <v>0</v>
      </c>
      <c r="G259" s="57">
        <f>CRM_MAGDY!N259</f>
        <v>0</v>
      </c>
      <c r="H259" s="57">
        <f>CRM_MAGDY!M259</f>
        <v>0</v>
      </c>
      <c r="I259" s="57">
        <f t="shared" si="6"/>
        <v>0</v>
      </c>
      <c r="J259" s="57" t="str">
        <f t="shared" si="7"/>
        <v>POTENCJAŁ</v>
      </c>
    </row>
    <row r="260" spans="1:10" x14ac:dyDescent="0.25">
      <c r="A260" s="57" t="str">
        <f>IF(CRM_MAGDY!H260="","","CRM-"&amp;TEXT(ROW()-4,"0000"))</f>
        <v>CRM-0256</v>
      </c>
      <c r="B260" s="57">
        <f>CRM_MAGDY!E260</f>
        <v>0</v>
      </c>
      <c r="C260" s="57">
        <f>CRM_MAGDY!H260</f>
        <v>5701</v>
      </c>
      <c r="D260" s="57">
        <f>CRM_MAGDY!I260</f>
        <v>0</v>
      </c>
      <c r="E260" s="57">
        <f>IFERROR(VALUE(CRM_MAGDY!K260),0)</f>
        <v>0</v>
      </c>
      <c r="F260" s="57">
        <f>IFERROR(IF(CRM_MAGDY!L260&gt;1,CRM_MAGDY!L260/100,CRM_MAGDY!L260),0)</f>
        <v>0</v>
      </c>
      <c r="G260" s="57">
        <f>CRM_MAGDY!N260</f>
        <v>0</v>
      </c>
      <c r="H260" s="57">
        <f>CRM_MAGDY!M260</f>
        <v>0</v>
      </c>
      <c r="I260" s="57">
        <f t="shared" si="6"/>
        <v>0</v>
      </c>
      <c r="J260" s="57" t="str">
        <f t="shared" si="7"/>
        <v>POTENCJAŁ</v>
      </c>
    </row>
    <row r="261" spans="1:10" x14ac:dyDescent="0.25">
      <c r="A261" s="57" t="str">
        <f>IF(CRM_MAGDY!H261="","","CRM-"&amp;TEXT(ROW()-4,"0000"))</f>
        <v>CRM-0257</v>
      </c>
      <c r="B261" s="57">
        <f>CRM_MAGDY!E261</f>
        <v>0</v>
      </c>
      <c r="C261" s="57">
        <f>CRM_MAGDY!H261</f>
        <v>5702</v>
      </c>
      <c r="D261" s="57">
        <f>CRM_MAGDY!I261</f>
        <v>0</v>
      </c>
      <c r="E261" s="57">
        <f>IFERROR(VALUE(CRM_MAGDY!K261),0)</f>
        <v>0</v>
      </c>
      <c r="F261" s="57">
        <f>IFERROR(IF(CRM_MAGDY!L261&gt;1,CRM_MAGDY!L261/100,CRM_MAGDY!L261),0)</f>
        <v>0</v>
      </c>
      <c r="G261" s="57">
        <f>CRM_MAGDY!N261</f>
        <v>0</v>
      </c>
      <c r="H261" s="57">
        <f>CRM_MAGDY!M261</f>
        <v>0</v>
      </c>
      <c r="I261" s="57">
        <f t="shared" ref="I261:I324" si="8">IF(OR(G261="WYGRANA",G261="PRZEGRANA"),0,E261*F261)</f>
        <v>0</v>
      </c>
      <c r="J261" s="57" t="str">
        <f t="shared" ref="J261:J324" si="9">IF(F261&gt;=0.7,"PEWNY",IF(F261&gt;=0.3,"REALNY","POTENCJAŁ"))</f>
        <v>POTENCJAŁ</v>
      </c>
    </row>
    <row r="262" spans="1:10" x14ac:dyDescent="0.25">
      <c r="A262" s="57" t="str">
        <f>IF(CRM_MAGDY!H262="","","CRM-"&amp;TEXT(ROW()-4,"0000"))</f>
        <v>CRM-0258</v>
      </c>
      <c r="B262" s="57">
        <f>CRM_MAGDY!E262</f>
        <v>0</v>
      </c>
      <c r="C262" s="57">
        <f>CRM_MAGDY!H262</f>
        <v>5703</v>
      </c>
      <c r="D262" s="57">
        <f>CRM_MAGDY!I262</f>
        <v>0</v>
      </c>
      <c r="E262" s="57">
        <f>IFERROR(VALUE(CRM_MAGDY!K262),0)</f>
        <v>0</v>
      </c>
      <c r="F262" s="57">
        <f>IFERROR(IF(CRM_MAGDY!L262&gt;1,CRM_MAGDY!L262/100,CRM_MAGDY!L262),0)</f>
        <v>0</v>
      </c>
      <c r="G262" s="57">
        <f>CRM_MAGDY!N262</f>
        <v>0</v>
      </c>
      <c r="H262" s="57">
        <f>CRM_MAGDY!M262</f>
        <v>0</v>
      </c>
      <c r="I262" s="57">
        <f t="shared" si="8"/>
        <v>0</v>
      </c>
      <c r="J262" s="57" t="str">
        <f t="shared" si="9"/>
        <v>POTENCJAŁ</v>
      </c>
    </row>
    <row r="263" spans="1:10" x14ac:dyDescent="0.25">
      <c r="A263" s="57" t="str">
        <f>IF(CRM_MAGDY!H263="","","CRM-"&amp;TEXT(ROW()-4,"0000"))</f>
        <v>CRM-0259</v>
      </c>
      <c r="B263" s="57">
        <f>CRM_MAGDY!E263</f>
        <v>0</v>
      </c>
      <c r="C263" s="57">
        <f>CRM_MAGDY!H263</f>
        <v>5704</v>
      </c>
      <c r="D263" s="57">
        <f>CRM_MAGDY!I263</f>
        <v>0</v>
      </c>
      <c r="E263" s="57">
        <f>IFERROR(VALUE(CRM_MAGDY!K263),0)</f>
        <v>0</v>
      </c>
      <c r="F263" s="57">
        <f>IFERROR(IF(CRM_MAGDY!L263&gt;1,CRM_MAGDY!L263/100,CRM_MAGDY!L263),0)</f>
        <v>0</v>
      </c>
      <c r="G263" s="57">
        <f>CRM_MAGDY!N263</f>
        <v>0</v>
      </c>
      <c r="H263" s="57">
        <f>CRM_MAGDY!M263</f>
        <v>0</v>
      </c>
      <c r="I263" s="57">
        <f t="shared" si="8"/>
        <v>0</v>
      </c>
      <c r="J263" s="57" t="str">
        <f t="shared" si="9"/>
        <v>POTENCJAŁ</v>
      </c>
    </row>
    <row r="264" spans="1:10" x14ac:dyDescent="0.25">
      <c r="A264" s="57" t="str">
        <f>IF(CRM_MAGDY!H264="","","CRM-"&amp;TEXT(ROW()-4,"0000"))</f>
        <v>CRM-0260</v>
      </c>
      <c r="B264" s="57">
        <f>CRM_MAGDY!E264</f>
        <v>0</v>
      </c>
      <c r="C264" s="57">
        <f>CRM_MAGDY!H264</f>
        <v>5705</v>
      </c>
      <c r="D264" s="57">
        <f>CRM_MAGDY!I264</f>
        <v>0</v>
      </c>
      <c r="E264" s="57">
        <f>IFERROR(VALUE(CRM_MAGDY!K264),0)</f>
        <v>0</v>
      </c>
      <c r="F264" s="57">
        <f>IFERROR(IF(CRM_MAGDY!L264&gt;1,CRM_MAGDY!L264/100,CRM_MAGDY!L264),0)</f>
        <v>0</v>
      </c>
      <c r="G264" s="57">
        <f>CRM_MAGDY!N264</f>
        <v>0</v>
      </c>
      <c r="H264" s="57">
        <f>CRM_MAGDY!M264</f>
        <v>0</v>
      </c>
      <c r="I264" s="57">
        <f t="shared" si="8"/>
        <v>0</v>
      </c>
      <c r="J264" s="57" t="str">
        <f t="shared" si="9"/>
        <v>POTENCJAŁ</v>
      </c>
    </row>
    <row r="265" spans="1:10" x14ac:dyDescent="0.25">
      <c r="A265" s="57" t="str">
        <f>IF(CRM_MAGDY!H265="","","CRM-"&amp;TEXT(ROW()-4,"0000"))</f>
        <v>CRM-0261</v>
      </c>
      <c r="B265" s="57">
        <f>CRM_MAGDY!E265</f>
        <v>0</v>
      </c>
      <c r="C265" s="57">
        <f>CRM_MAGDY!H265</f>
        <v>5706</v>
      </c>
      <c r="D265" s="57">
        <f>CRM_MAGDY!I265</f>
        <v>0</v>
      </c>
      <c r="E265" s="57">
        <f>IFERROR(VALUE(CRM_MAGDY!K265),0)</f>
        <v>0</v>
      </c>
      <c r="F265" s="57">
        <f>IFERROR(IF(CRM_MAGDY!L265&gt;1,CRM_MAGDY!L265/100,CRM_MAGDY!L265),0)</f>
        <v>0</v>
      </c>
      <c r="G265" s="57">
        <f>CRM_MAGDY!N265</f>
        <v>0</v>
      </c>
      <c r="H265" s="57">
        <f>CRM_MAGDY!M265</f>
        <v>0</v>
      </c>
      <c r="I265" s="57">
        <f t="shared" si="8"/>
        <v>0</v>
      </c>
      <c r="J265" s="57" t="str">
        <f t="shared" si="9"/>
        <v>POTENCJAŁ</v>
      </c>
    </row>
    <row r="266" spans="1:10" x14ac:dyDescent="0.25">
      <c r="A266" s="57" t="str">
        <f>IF(CRM_MAGDY!H266="","","CRM-"&amp;TEXT(ROW()-4,"0000"))</f>
        <v>CRM-0262</v>
      </c>
      <c r="B266" s="57">
        <f>CRM_MAGDY!E266</f>
        <v>0</v>
      </c>
      <c r="C266" s="57">
        <f>CRM_MAGDY!H266</f>
        <v>5707</v>
      </c>
      <c r="D266" s="57">
        <f>CRM_MAGDY!I266</f>
        <v>0</v>
      </c>
      <c r="E266" s="57">
        <f>IFERROR(VALUE(CRM_MAGDY!K266),0)</f>
        <v>0</v>
      </c>
      <c r="F266" s="57">
        <f>IFERROR(IF(CRM_MAGDY!L266&gt;1,CRM_MAGDY!L266/100,CRM_MAGDY!L266),0)</f>
        <v>0</v>
      </c>
      <c r="G266" s="57">
        <f>CRM_MAGDY!N266</f>
        <v>0</v>
      </c>
      <c r="H266" s="57">
        <f>CRM_MAGDY!M266</f>
        <v>0</v>
      </c>
      <c r="I266" s="57">
        <f t="shared" si="8"/>
        <v>0</v>
      </c>
      <c r="J266" s="57" t="str">
        <f t="shared" si="9"/>
        <v>POTENCJAŁ</v>
      </c>
    </row>
    <row r="267" spans="1:10" x14ac:dyDescent="0.25">
      <c r="A267" s="57" t="str">
        <f>IF(CRM_MAGDY!H267="","","CRM-"&amp;TEXT(ROW()-4,"0000"))</f>
        <v>CRM-0263</v>
      </c>
      <c r="B267" s="57">
        <f>CRM_MAGDY!E267</f>
        <v>0</v>
      </c>
      <c r="C267" s="57">
        <f>CRM_MAGDY!H267</f>
        <v>5708</v>
      </c>
      <c r="D267" s="57">
        <f>CRM_MAGDY!I267</f>
        <v>0</v>
      </c>
      <c r="E267" s="57">
        <f>IFERROR(VALUE(CRM_MAGDY!K267),0)</f>
        <v>0</v>
      </c>
      <c r="F267" s="57">
        <f>IFERROR(IF(CRM_MAGDY!L267&gt;1,CRM_MAGDY!L267/100,CRM_MAGDY!L267),0)</f>
        <v>0</v>
      </c>
      <c r="G267" s="57">
        <f>CRM_MAGDY!N267</f>
        <v>0</v>
      </c>
      <c r="H267" s="57">
        <f>CRM_MAGDY!M267</f>
        <v>0</v>
      </c>
      <c r="I267" s="57">
        <f t="shared" si="8"/>
        <v>0</v>
      </c>
      <c r="J267" s="57" t="str">
        <f t="shared" si="9"/>
        <v>POTENCJAŁ</v>
      </c>
    </row>
    <row r="268" spans="1:10" x14ac:dyDescent="0.25">
      <c r="A268" s="57" t="str">
        <f>IF(CRM_MAGDY!H268="","","CRM-"&amp;TEXT(ROW()-4,"0000"))</f>
        <v>CRM-0264</v>
      </c>
      <c r="B268" s="57">
        <f>CRM_MAGDY!E268</f>
        <v>0</v>
      </c>
      <c r="C268" s="57">
        <f>CRM_MAGDY!H268</f>
        <v>5709</v>
      </c>
      <c r="D268" s="57">
        <f>CRM_MAGDY!I268</f>
        <v>0</v>
      </c>
      <c r="E268" s="57">
        <f>IFERROR(VALUE(CRM_MAGDY!K268),0)</f>
        <v>0</v>
      </c>
      <c r="F268" s="57">
        <f>IFERROR(IF(CRM_MAGDY!L268&gt;1,CRM_MAGDY!L268/100,CRM_MAGDY!L268),0)</f>
        <v>0</v>
      </c>
      <c r="G268" s="57">
        <f>CRM_MAGDY!N268</f>
        <v>0</v>
      </c>
      <c r="H268" s="57">
        <f>CRM_MAGDY!M268</f>
        <v>0</v>
      </c>
      <c r="I268" s="57">
        <f t="shared" si="8"/>
        <v>0</v>
      </c>
      <c r="J268" s="57" t="str">
        <f t="shared" si="9"/>
        <v>POTENCJAŁ</v>
      </c>
    </row>
    <row r="269" spans="1:10" x14ac:dyDescent="0.25">
      <c r="A269" s="57" t="str">
        <f>IF(CRM_MAGDY!H269="","","CRM-"&amp;TEXT(ROW()-4,"0000"))</f>
        <v>CRM-0265</v>
      </c>
      <c r="B269" s="57">
        <f>CRM_MAGDY!E269</f>
        <v>0</v>
      </c>
      <c r="C269" s="57">
        <f>CRM_MAGDY!H269</f>
        <v>5710</v>
      </c>
      <c r="D269" s="57">
        <f>CRM_MAGDY!I269</f>
        <v>0</v>
      </c>
      <c r="E269" s="57">
        <f>IFERROR(VALUE(CRM_MAGDY!K269),0)</f>
        <v>0</v>
      </c>
      <c r="F269" s="57">
        <f>IFERROR(IF(CRM_MAGDY!L269&gt;1,CRM_MAGDY!L269/100,CRM_MAGDY!L269),0)</f>
        <v>0</v>
      </c>
      <c r="G269" s="57">
        <f>CRM_MAGDY!N269</f>
        <v>0</v>
      </c>
      <c r="H269" s="57">
        <f>CRM_MAGDY!M269</f>
        <v>0</v>
      </c>
      <c r="I269" s="57">
        <f t="shared" si="8"/>
        <v>0</v>
      </c>
      <c r="J269" s="57" t="str">
        <f t="shared" si="9"/>
        <v>POTENCJAŁ</v>
      </c>
    </row>
    <row r="270" spans="1:10" x14ac:dyDescent="0.25">
      <c r="A270" s="57" t="str">
        <f>IF(CRM_MAGDY!H270="","","CRM-"&amp;TEXT(ROW()-4,"0000"))</f>
        <v>CRM-0266</v>
      </c>
      <c r="B270" s="57">
        <f>CRM_MAGDY!E270</f>
        <v>0</v>
      </c>
      <c r="C270" s="57">
        <f>CRM_MAGDY!H270</f>
        <v>5711</v>
      </c>
      <c r="D270" s="57">
        <f>CRM_MAGDY!I270</f>
        <v>0</v>
      </c>
      <c r="E270" s="57">
        <f>IFERROR(VALUE(CRM_MAGDY!K270),0)</f>
        <v>0</v>
      </c>
      <c r="F270" s="57">
        <f>IFERROR(IF(CRM_MAGDY!L270&gt;1,CRM_MAGDY!L270/100,CRM_MAGDY!L270),0)</f>
        <v>0</v>
      </c>
      <c r="G270" s="57">
        <f>CRM_MAGDY!N270</f>
        <v>0</v>
      </c>
      <c r="H270" s="57">
        <f>CRM_MAGDY!M270</f>
        <v>0</v>
      </c>
      <c r="I270" s="57">
        <f t="shared" si="8"/>
        <v>0</v>
      </c>
      <c r="J270" s="57" t="str">
        <f t="shared" si="9"/>
        <v>POTENCJAŁ</v>
      </c>
    </row>
    <row r="271" spans="1:10" x14ac:dyDescent="0.25">
      <c r="A271" s="57" t="str">
        <f>IF(CRM_MAGDY!H271="","","CRM-"&amp;TEXT(ROW()-4,"0000"))</f>
        <v>CRM-0267</v>
      </c>
      <c r="B271" s="57">
        <f>CRM_MAGDY!E271</f>
        <v>0</v>
      </c>
      <c r="C271" s="57">
        <f>CRM_MAGDY!H271</f>
        <v>5712</v>
      </c>
      <c r="D271" s="57">
        <f>CRM_MAGDY!I271</f>
        <v>0</v>
      </c>
      <c r="E271" s="57">
        <f>IFERROR(VALUE(CRM_MAGDY!K271),0)</f>
        <v>0</v>
      </c>
      <c r="F271" s="57">
        <f>IFERROR(IF(CRM_MAGDY!L271&gt;1,CRM_MAGDY!L271/100,CRM_MAGDY!L271),0)</f>
        <v>0</v>
      </c>
      <c r="G271" s="57">
        <f>CRM_MAGDY!N271</f>
        <v>0</v>
      </c>
      <c r="H271" s="57">
        <f>CRM_MAGDY!M271</f>
        <v>0</v>
      </c>
      <c r="I271" s="57">
        <f t="shared" si="8"/>
        <v>0</v>
      </c>
      <c r="J271" s="57" t="str">
        <f t="shared" si="9"/>
        <v>POTENCJAŁ</v>
      </c>
    </row>
    <row r="272" spans="1:10" x14ac:dyDescent="0.25">
      <c r="A272" s="57" t="str">
        <f>IF(CRM_MAGDY!H272="","","CRM-"&amp;TEXT(ROW()-4,"0000"))</f>
        <v>CRM-0268</v>
      </c>
      <c r="B272" s="57">
        <f>CRM_MAGDY!E272</f>
        <v>0</v>
      </c>
      <c r="C272" s="57">
        <f>CRM_MAGDY!H272</f>
        <v>5713</v>
      </c>
      <c r="D272" s="57">
        <f>CRM_MAGDY!I272</f>
        <v>0</v>
      </c>
      <c r="E272" s="57">
        <f>IFERROR(VALUE(CRM_MAGDY!K272),0)</f>
        <v>0</v>
      </c>
      <c r="F272" s="57">
        <f>IFERROR(IF(CRM_MAGDY!L272&gt;1,CRM_MAGDY!L272/100,CRM_MAGDY!L272),0)</f>
        <v>0</v>
      </c>
      <c r="G272" s="57">
        <f>CRM_MAGDY!N272</f>
        <v>0</v>
      </c>
      <c r="H272" s="57">
        <f>CRM_MAGDY!M272</f>
        <v>0</v>
      </c>
      <c r="I272" s="57">
        <f t="shared" si="8"/>
        <v>0</v>
      </c>
      <c r="J272" s="57" t="str">
        <f t="shared" si="9"/>
        <v>POTENCJAŁ</v>
      </c>
    </row>
    <row r="273" spans="1:10" x14ac:dyDescent="0.25">
      <c r="A273" s="57" t="str">
        <f>IF(CRM_MAGDY!H273="","","CRM-"&amp;TEXT(ROW()-4,"0000"))</f>
        <v>CRM-0269</v>
      </c>
      <c r="B273" s="57">
        <f>CRM_MAGDY!E273</f>
        <v>0</v>
      </c>
      <c r="C273" s="57">
        <f>CRM_MAGDY!H273</f>
        <v>5714</v>
      </c>
      <c r="D273" s="57">
        <f>CRM_MAGDY!I273</f>
        <v>0</v>
      </c>
      <c r="E273" s="57">
        <f>IFERROR(VALUE(CRM_MAGDY!K273),0)</f>
        <v>0</v>
      </c>
      <c r="F273" s="57">
        <f>IFERROR(IF(CRM_MAGDY!L273&gt;1,CRM_MAGDY!L273/100,CRM_MAGDY!L273),0)</f>
        <v>0</v>
      </c>
      <c r="G273" s="57">
        <f>CRM_MAGDY!N273</f>
        <v>0</v>
      </c>
      <c r="H273" s="57">
        <f>CRM_MAGDY!M273</f>
        <v>0</v>
      </c>
      <c r="I273" s="57">
        <f t="shared" si="8"/>
        <v>0</v>
      </c>
      <c r="J273" s="57" t="str">
        <f t="shared" si="9"/>
        <v>POTENCJAŁ</v>
      </c>
    </row>
    <row r="274" spans="1:10" x14ac:dyDescent="0.25">
      <c r="A274" s="57" t="str">
        <f>IF(CRM_MAGDY!H274="","","CRM-"&amp;TEXT(ROW()-4,"0000"))</f>
        <v>CRM-0270</v>
      </c>
      <c r="B274" s="57">
        <f>CRM_MAGDY!E274</f>
        <v>0</v>
      </c>
      <c r="C274" s="57">
        <f>CRM_MAGDY!H274</f>
        <v>5715</v>
      </c>
      <c r="D274" s="57">
        <f>CRM_MAGDY!I274</f>
        <v>0</v>
      </c>
      <c r="E274" s="57">
        <f>IFERROR(VALUE(CRM_MAGDY!K274),0)</f>
        <v>0</v>
      </c>
      <c r="F274" s="57">
        <f>IFERROR(IF(CRM_MAGDY!L274&gt;1,CRM_MAGDY!L274/100,CRM_MAGDY!L274),0)</f>
        <v>0</v>
      </c>
      <c r="G274" s="57">
        <f>CRM_MAGDY!N274</f>
        <v>0</v>
      </c>
      <c r="H274" s="57">
        <f>CRM_MAGDY!M274</f>
        <v>0</v>
      </c>
      <c r="I274" s="57">
        <f t="shared" si="8"/>
        <v>0</v>
      </c>
      <c r="J274" s="57" t="str">
        <f t="shared" si="9"/>
        <v>POTENCJAŁ</v>
      </c>
    </row>
    <row r="275" spans="1:10" x14ac:dyDescent="0.25">
      <c r="A275" s="57" t="str">
        <f>IF(CRM_MAGDY!H275="","","CRM-"&amp;TEXT(ROW()-4,"0000"))</f>
        <v>CRM-0271</v>
      </c>
      <c r="B275" s="57">
        <f>CRM_MAGDY!E275</f>
        <v>0</v>
      </c>
      <c r="C275" s="57">
        <f>CRM_MAGDY!H275</f>
        <v>5716</v>
      </c>
      <c r="D275" s="57">
        <f>CRM_MAGDY!I275</f>
        <v>0</v>
      </c>
      <c r="E275" s="57">
        <f>IFERROR(VALUE(CRM_MAGDY!K275),0)</f>
        <v>0</v>
      </c>
      <c r="F275" s="57">
        <f>IFERROR(IF(CRM_MAGDY!L275&gt;1,CRM_MAGDY!L275/100,CRM_MAGDY!L275),0)</f>
        <v>0</v>
      </c>
      <c r="G275" s="57">
        <f>CRM_MAGDY!N275</f>
        <v>0</v>
      </c>
      <c r="H275" s="57">
        <f>CRM_MAGDY!M275</f>
        <v>0</v>
      </c>
      <c r="I275" s="57">
        <f t="shared" si="8"/>
        <v>0</v>
      </c>
      <c r="J275" s="57" t="str">
        <f t="shared" si="9"/>
        <v>POTENCJAŁ</v>
      </c>
    </row>
    <row r="276" spans="1:10" x14ac:dyDescent="0.25">
      <c r="A276" s="57" t="str">
        <f>IF(CRM_MAGDY!H276="","","CRM-"&amp;TEXT(ROW()-4,"0000"))</f>
        <v>CRM-0272</v>
      </c>
      <c r="B276" s="57">
        <f>CRM_MAGDY!E276</f>
        <v>0</v>
      </c>
      <c r="C276" s="57">
        <f>CRM_MAGDY!H276</f>
        <v>5717</v>
      </c>
      <c r="D276" s="57">
        <f>CRM_MAGDY!I276</f>
        <v>0</v>
      </c>
      <c r="E276" s="57">
        <f>IFERROR(VALUE(CRM_MAGDY!K276),0)</f>
        <v>0</v>
      </c>
      <c r="F276" s="57">
        <f>IFERROR(IF(CRM_MAGDY!L276&gt;1,CRM_MAGDY!L276/100,CRM_MAGDY!L276),0)</f>
        <v>0</v>
      </c>
      <c r="G276" s="57">
        <f>CRM_MAGDY!N276</f>
        <v>0</v>
      </c>
      <c r="H276" s="57">
        <f>CRM_MAGDY!M276</f>
        <v>0</v>
      </c>
      <c r="I276" s="57">
        <f t="shared" si="8"/>
        <v>0</v>
      </c>
      <c r="J276" s="57" t="str">
        <f t="shared" si="9"/>
        <v>POTENCJAŁ</v>
      </c>
    </row>
    <row r="277" spans="1:10" x14ac:dyDescent="0.25">
      <c r="A277" s="57" t="str">
        <f>IF(CRM_MAGDY!H277="","","CRM-"&amp;TEXT(ROW()-4,"0000"))</f>
        <v>CRM-0273</v>
      </c>
      <c r="B277" s="57">
        <f>CRM_MAGDY!E277</f>
        <v>0</v>
      </c>
      <c r="C277" s="57">
        <f>CRM_MAGDY!H277</f>
        <v>5718</v>
      </c>
      <c r="D277" s="57">
        <f>CRM_MAGDY!I277</f>
        <v>0</v>
      </c>
      <c r="E277" s="57">
        <f>IFERROR(VALUE(CRM_MAGDY!K277),0)</f>
        <v>0</v>
      </c>
      <c r="F277" s="57">
        <f>IFERROR(IF(CRM_MAGDY!L277&gt;1,CRM_MAGDY!L277/100,CRM_MAGDY!L277),0)</f>
        <v>0</v>
      </c>
      <c r="G277" s="57">
        <f>CRM_MAGDY!N277</f>
        <v>0</v>
      </c>
      <c r="H277" s="57">
        <f>CRM_MAGDY!M277</f>
        <v>0</v>
      </c>
      <c r="I277" s="57">
        <f t="shared" si="8"/>
        <v>0</v>
      </c>
      <c r="J277" s="57" t="str">
        <f t="shared" si="9"/>
        <v>POTENCJAŁ</v>
      </c>
    </row>
    <row r="278" spans="1:10" x14ac:dyDescent="0.25">
      <c r="A278" s="57" t="str">
        <f>IF(CRM_MAGDY!H278="","","CRM-"&amp;TEXT(ROW()-4,"0000"))</f>
        <v>CRM-0274</v>
      </c>
      <c r="B278" s="57">
        <f>CRM_MAGDY!E278</f>
        <v>0</v>
      </c>
      <c r="C278" s="57">
        <f>CRM_MAGDY!H278</f>
        <v>5719</v>
      </c>
      <c r="D278" s="57">
        <f>CRM_MAGDY!I278</f>
        <v>0</v>
      </c>
      <c r="E278" s="57">
        <f>IFERROR(VALUE(CRM_MAGDY!K278),0)</f>
        <v>0</v>
      </c>
      <c r="F278" s="57">
        <f>IFERROR(IF(CRM_MAGDY!L278&gt;1,CRM_MAGDY!L278/100,CRM_MAGDY!L278),0)</f>
        <v>0</v>
      </c>
      <c r="G278" s="57">
        <f>CRM_MAGDY!N278</f>
        <v>0</v>
      </c>
      <c r="H278" s="57">
        <f>CRM_MAGDY!M278</f>
        <v>0</v>
      </c>
      <c r="I278" s="57">
        <f t="shared" si="8"/>
        <v>0</v>
      </c>
      <c r="J278" s="57" t="str">
        <f t="shared" si="9"/>
        <v>POTENCJAŁ</v>
      </c>
    </row>
    <row r="279" spans="1:10" x14ac:dyDescent="0.25">
      <c r="A279" s="57" t="str">
        <f>IF(CRM_MAGDY!H279="","","CRM-"&amp;TEXT(ROW()-4,"0000"))</f>
        <v>CRM-0275</v>
      </c>
      <c r="B279" s="57">
        <f>CRM_MAGDY!E279</f>
        <v>0</v>
      </c>
      <c r="C279" s="57">
        <f>CRM_MAGDY!H279</f>
        <v>5720</v>
      </c>
      <c r="D279" s="57">
        <f>CRM_MAGDY!I279</f>
        <v>0</v>
      </c>
      <c r="E279" s="57">
        <f>IFERROR(VALUE(CRM_MAGDY!K279),0)</f>
        <v>0</v>
      </c>
      <c r="F279" s="57">
        <f>IFERROR(IF(CRM_MAGDY!L279&gt;1,CRM_MAGDY!L279/100,CRM_MAGDY!L279),0)</f>
        <v>0</v>
      </c>
      <c r="G279" s="57">
        <f>CRM_MAGDY!N279</f>
        <v>0</v>
      </c>
      <c r="H279" s="57">
        <f>CRM_MAGDY!M279</f>
        <v>0</v>
      </c>
      <c r="I279" s="57">
        <f t="shared" si="8"/>
        <v>0</v>
      </c>
      <c r="J279" s="57" t="str">
        <f t="shared" si="9"/>
        <v>POTENCJAŁ</v>
      </c>
    </row>
    <row r="280" spans="1:10" x14ac:dyDescent="0.25">
      <c r="A280" s="57" t="str">
        <f>IF(CRM_MAGDY!H280="","","CRM-"&amp;TEXT(ROW()-4,"0000"))</f>
        <v>CRM-0276</v>
      </c>
      <c r="B280" s="57">
        <f>CRM_MAGDY!E280</f>
        <v>0</v>
      </c>
      <c r="C280" s="57">
        <f>CRM_MAGDY!H280</f>
        <v>5721</v>
      </c>
      <c r="D280" s="57">
        <f>CRM_MAGDY!I280</f>
        <v>0</v>
      </c>
      <c r="E280" s="57">
        <f>IFERROR(VALUE(CRM_MAGDY!K280),0)</f>
        <v>0</v>
      </c>
      <c r="F280" s="57">
        <f>IFERROR(IF(CRM_MAGDY!L280&gt;1,CRM_MAGDY!L280/100,CRM_MAGDY!L280),0)</f>
        <v>0</v>
      </c>
      <c r="G280" s="57">
        <f>CRM_MAGDY!N280</f>
        <v>0</v>
      </c>
      <c r="H280" s="57">
        <f>CRM_MAGDY!M280</f>
        <v>0</v>
      </c>
      <c r="I280" s="57">
        <f t="shared" si="8"/>
        <v>0</v>
      </c>
      <c r="J280" s="57" t="str">
        <f t="shared" si="9"/>
        <v>POTENCJAŁ</v>
      </c>
    </row>
    <row r="281" spans="1:10" x14ac:dyDescent="0.25">
      <c r="A281" s="57" t="str">
        <f>IF(CRM_MAGDY!H281="","","CRM-"&amp;TEXT(ROW()-4,"0000"))</f>
        <v>CRM-0277</v>
      </c>
      <c r="B281" s="57">
        <f>CRM_MAGDY!E281</f>
        <v>0</v>
      </c>
      <c r="C281" s="57">
        <f>CRM_MAGDY!H281</f>
        <v>5722</v>
      </c>
      <c r="D281" s="57">
        <f>CRM_MAGDY!I281</f>
        <v>0</v>
      </c>
      <c r="E281" s="57">
        <f>IFERROR(VALUE(CRM_MAGDY!K281),0)</f>
        <v>0</v>
      </c>
      <c r="F281" s="57">
        <f>IFERROR(IF(CRM_MAGDY!L281&gt;1,CRM_MAGDY!L281/100,CRM_MAGDY!L281),0)</f>
        <v>0</v>
      </c>
      <c r="G281" s="57">
        <f>CRM_MAGDY!N281</f>
        <v>0</v>
      </c>
      <c r="H281" s="57">
        <f>CRM_MAGDY!M281</f>
        <v>0</v>
      </c>
      <c r="I281" s="57">
        <f t="shared" si="8"/>
        <v>0</v>
      </c>
      <c r="J281" s="57" t="str">
        <f t="shared" si="9"/>
        <v>POTENCJAŁ</v>
      </c>
    </row>
    <row r="282" spans="1:10" x14ac:dyDescent="0.25">
      <c r="A282" s="57" t="str">
        <f>IF(CRM_MAGDY!H282="","","CRM-"&amp;TEXT(ROW()-4,"0000"))</f>
        <v>CRM-0278</v>
      </c>
      <c r="B282" s="57">
        <f>CRM_MAGDY!E282</f>
        <v>0</v>
      </c>
      <c r="C282" s="57">
        <f>CRM_MAGDY!H282</f>
        <v>5723</v>
      </c>
      <c r="D282" s="57">
        <f>CRM_MAGDY!I282</f>
        <v>0</v>
      </c>
      <c r="E282" s="57">
        <f>IFERROR(VALUE(CRM_MAGDY!K282),0)</f>
        <v>0</v>
      </c>
      <c r="F282" s="57">
        <f>IFERROR(IF(CRM_MAGDY!L282&gt;1,CRM_MAGDY!L282/100,CRM_MAGDY!L282),0)</f>
        <v>0</v>
      </c>
      <c r="G282" s="57">
        <f>CRM_MAGDY!N282</f>
        <v>0</v>
      </c>
      <c r="H282" s="57">
        <f>CRM_MAGDY!M282</f>
        <v>0</v>
      </c>
      <c r="I282" s="57">
        <f t="shared" si="8"/>
        <v>0</v>
      </c>
      <c r="J282" s="57" t="str">
        <f t="shared" si="9"/>
        <v>POTENCJAŁ</v>
      </c>
    </row>
    <row r="283" spans="1:10" x14ac:dyDescent="0.25">
      <c r="A283" s="57" t="str">
        <f>IF(CRM_MAGDY!H283="","","CRM-"&amp;TEXT(ROW()-4,"0000"))</f>
        <v>CRM-0279</v>
      </c>
      <c r="B283" s="57">
        <f>CRM_MAGDY!E283</f>
        <v>0</v>
      </c>
      <c r="C283" s="57">
        <f>CRM_MAGDY!H283</f>
        <v>5724</v>
      </c>
      <c r="D283" s="57">
        <f>CRM_MAGDY!I283</f>
        <v>0</v>
      </c>
      <c r="E283" s="57">
        <f>IFERROR(VALUE(CRM_MAGDY!K283),0)</f>
        <v>0</v>
      </c>
      <c r="F283" s="57">
        <f>IFERROR(IF(CRM_MAGDY!L283&gt;1,CRM_MAGDY!L283/100,CRM_MAGDY!L283),0)</f>
        <v>0</v>
      </c>
      <c r="G283" s="57">
        <f>CRM_MAGDY!N283</f>
        <v>0</v>
      </c>
      <c r="H283" s="57">
        <f>CRM_MAGDY!M283</f>
        <v>0</v>
      </c>
      <c r="I283" s="57">
        <f t="shared" si="8"/>
        <v>0</v>
      </c>
      <c r="J283" s="57" t="str">
        <f t="shared" si="9"/>
        <v>POTENCJAŁ</v>
      </c>
    </row>
    <row r="284" spans="1:10" x14ac:dyDescent="0.25">
      <c r="A284" s="57" t="str">
        <f>IF(CRM_MAGDY!H284="","","CRM-"&amp;TEXT(ROW()-4,"0000"))</f>
        <v>CRM-0280</v>
      </c>
      <c r="B284" s="57">
        <f>CRM_MAGDY!E284</f>
        <v>0</v>
      </c>
      <c r="C284" s="57">
        <f>CRM_MAGDY!H284</f>
        <v>5725</v>
      </c>
      <c r="D284" s="57">
        <f>CRM_MAGDY!I284</f>
        <v>0</v>
      </c>
      <c r="E284" s="57">
        <f>IFERROR(VALUE(CRM_MAGDY!K284),0)</f>
        <v>0</v>
      </c>
      <c r="F284" s="57">
        <f>IFERROR(IF(CRM_MAGDY!L284&gt;1,CRM_MAGDY!L284/100,CRM_MAGDY!L284),0)</f>
        <v>0</v>
      </c>
      <c r="G284" s="57">
        <f>CRM_MAGDY!N284</f>
        <v>0</v>
      </c>
      <c r="H284" s="57">
        <f>CRM_MAGDY!M284</f>
        <v>0</v>
      </c>
      <c r="I284" s="57">
        <f t="shared" si="8"/>
        <v>0</v>
      </c>
      <c r="J284" s="57" t="str">
        <f t="shared" si="9"/>
        <v>POTENCJAŁ</v>
      </c>
    </row>
    <row r="285" spans="1:10" x14ac:dyDescent="0.25">
      <c r="A285" s="57" t="str">
        <f>IF(CRM_MAGDY!H285="","","CRM-"&amp;TEXT(ROW()-4,"0000"))</f>
        <v>CRM-0281</v>
      </c>
      <c r="B285" s="57">
        <f>CRM_MAGDY!E285</f>
        <v>0</v>
      </c>
      <c r="C285" s="57">
        <f>CRM_MAGDY!H285</f>
        <v>5726</v>
      </c>
      <c r="D285" s="57">
        <f>CRM_MAGDY!I285</f>
        <v>0</v>
      </c>
      <c r="E285" s="57">
        <f>IFERROR(VALUE(CRM_MAGDY!K285),0)</f>
        <v>0</v>
      </c>
      <c r="F285" s="57">
        <f>IFERROR(IF(CRM_MAGDY!L285&gt;1,CRM_MAGDY!L285/100,CRM_MAGDY!L285),0)</f>
        <v>0</v>
      </c>
      <c r="G285" s="57">
        <f>CRM_MAGDY!N285</f>
        <v>0</v>
      </c>
      <c r="H285" s="57">
        <f>CRM_MAGDY!M285</f>
        <v>0</v>
      </c>
      <c r="I285" s="57">
        <f t="shared" si="8"/>
        <v>0</v>
      </c>
      <c r="J285" s="57" t="str">
        <f t="shared" si="9"/>
        <v>POTENCJAŁ</v>
      </c>
    </row>
    <row r="286" spans="1:10" x14ac:dyDescent="0.25">
      <c r="A286" s="57" t="str">
        <f>IF(CRM_MAGDY!H286="","","CRM-"&amp;TEXT(ROW()-4,"0000"))</f>
        <v>CRM-0282</v>
      </c>
      <c r="B286" s="57">
        <f>CRM_MAGDY!E286</f>
        <v>0</v>
      </c>
      <c r="C286" s="57">
        <f>CRM_MAGDY!H286</f>
        <v>5727</v>
      </c>
      <c r="D286" s="57">
        <f>CRM_MAGDY!I286</f>
        <v>0</v>
      </c>
      <c r="E286" s="57">
        <f>IFERROR(VALUE(CRM_MAGDY!K286),0)</f>
        <v>0</v>
      </c>
      <c r="F286" s="57">
        <f>IFERROR(IF(CRM_MAGDY!L286&gt;1,CRM_MAGDY!L286/100,CRM_MAGDY!L286),0)</f>
        <v>0</v>
      </c>
      <c r="G286" s="57">
        <f>CRM_MAGDY!N286</f>
        <v>0</v>
      </c>
      <c r="H286" s="57">
        <f>CRM_MAGDY!M286</f>
        <v>0</v>
      </c>
      <c r="I286" s="57">
        <f t="shared" si="8"/>
        <v>0</v>
      </c>
      <c r="J286" s="57" t="str">
        <f t="shared" si="9"/>
        <v>POTENCJAŁ</v>
      </c>
    </row>
    <row r="287" spans="1:10" x14ac:dyDescent="0.25">
      <c r="A287" s="57" t="str">
        <f>IF(CRM_MAGDY!H287="","","CRM-"&amp;TEXT(ROW()-4,"0000"))</f>
        <v>CRM-0283</v>
      </c>
      <c r="B287" s="57">
        <f>CRM_MAGDY!E287</f>
        <v>0</v>
      </c>
      <c r="C287" s="57">
        <f>CRM_MAGDY!H287</f>
        <v>5728</v>
      </c>
      <c r="D287" s="57">
        <f>CRM_MAGDY!I287</f>
        <v>0</v>
      </c>
      <c r="E287" s="57">
        <f>IFERROR(VALUE(CRM_MAGDY!K287),0)</f>
        <v>0</v>
      </c>
      <c r="F287" s="57">
        <f>IFERROR(IF(CRM_MAGDY!L287&gt;1,CRM_MAGDY!L287/100,CRM_MAGDY!L287),0)</f>
        <v>0</v>
      </c>
      <c r="G287" s="57">
        <f>CRM_MAGDY!N287</f>
        <v>0</v>
      </c>
      <c r="H287" s="57">
        <f>CRM_MAGDY!M287</f>
        <v>0</v>
      </c>
      <c r="I287" s="57">
        <f t="shared" si="8"/>
        <v>0</v>
      </c>
      <c r="J287" s="57" t="str">
        <f t="shared" si="9"/>
        <v>POTENCJAŁ</v>
      </c>
    </row>
    <row r="288" spans="1:10" x14ac:dyDescent="0.25">
      <c r="A288" s="57" t="str">
        <f>IF(CRM_MAGDY!H288="","","CRM-"&amp;TEXT(ROW()-4,"0000"))</f>
        <v>CRM-0284</v>
      </c>
      <c r="B288" s="57">
        <f>CRM_MAGDY!E288</f>
        <v>0</v>
      </c>
      <c r="C288" s="57">
        <f>CRM_MAGDY!H288</f>
        <v>5729</v>
      </c>
      <c r="D288" s="57">
        <f>CRM_MAGDY!I288</f>
        <v>0</v>
      </c>
      <c r="E288" s="57">
        <f>IFERROR(VALUE(CRM_MAGDY!K288),0)</f>
        <v>0</v>
      </c>
      <c r="F288" s="57">
        <f>IFERROR(IF(CRM_MAGDY!L288&gt;1,CRM_MAGDY!L288/100,CRM_MAGDY!L288),0)</f>
        <v>0</v>
      </c>
      <c r="G288" s="57">
        <f>CRM_MAGDY!N288</f>
        <v>0</v>
      </c>
      <c r="H288" s="57">
        <f>CRM_MAGDY!M288</f>
        <v>0</v>
      </c>
      <c r="I288" s="57">
        <f t="shared" si="8"/>
        <v>0</v>
      </c>
      <c r="J288" s="57" t="str">
        <f t="shared" si="9"/>
        <v>POTENCJAŁ</v>
      </c>
    </row>
    <row r="289" spans="1:10" x14ac:dyDescent="0.25">
      <c r="A289" s="57" t="str">
        <f>IF(CRM_MAGDY!H289="","","CRM-"&amp;TEXT(ROW()-4,"0000"))</f>
        <v>CRM-0285</v>
      </c>
      <c r="B289" s="57">
        <f>CRM_MAGDY!E289</f>
        <v>0</v>
      </c>
      <c r="C289" s="57">
        <f>CRM_MAGDY!H289</f>
        <v>5730</v>
      </c>
      <c r="D289" s="57">
        <f>CRM_MAGDY!I289</f>
        <v>0</v>
      </c>
      <c r="E289" s="57">
        <f>IFERROR(VALUE(CRM_MAGDY!K289),0)</f>
        <v>0</v>
      </c>
      <c r="F289" s="57">
        <f>IFERROR(IF(CRM_MAGDY!L289&gt;1,CRM_MAGDY!L289/100,CRM_MAGDY!L289),0)</f>
        <v>0</v>
      </c>
      <c r="G289" s="57">
        <f>CRM_MAGDY!N289</f>
        <v>0</v>
      </c>
      <c r="H289" s="57">
        <f>CRM_MAGDY!M289</f>
        <v>0</v>
      </c>
      <c r="I289" s="57">
        <f t="shared" si="8"/>
        <v>0</v>
      </c>
      <c r="J289" s="57" t="str">
        <f t="shared" si="9"/>
        <v>POTENCJAŁ</v>
      </c>
    </row>
    <row r="290" spans="1:10" x14ac:dyDescent="0.25">
      <c r="A290" s="57" t="str">
        <f>IF(CRM_MAGDY!H290="","","CRM-"&amp;TEXT(ROW()-4,"0000"))</f>
        <v>CRM-0286</v>
      </c>
      <c r="B290" s="57">
        <f>CRM_MAGDY!E290</f>
        <v>0</v>
      </c>
      <c r="C290" s="57">
        <f>CRM_MAGDY!H290</f>
        <v>5731</v>
      </c>
      <c r="D290" s="57">
        <f>CRM_MAGDY!I290</f>
        <v>0</v>
      </c>
      <c r="E290" s="57">
        <f>IFERROR(VALUE(CRM_MAGDY!K290),0)</f>
        <v>0</v>
      </c>
      <c r="F290" s="57">
        <f>IFERROR(IF(CRM_MAGDY!L290&gt;1,CRM_MAGDY!L290/100,CRM_MAGDY!L290),0)</f>
        <v>0</v>
      </c>
      <c r="G290" s="57">
        <f>CRM_MAGDY!N290</f>
        <v>0</v>
      </c>
      <c r="H290" s="57">
        <f>CRM_MAGDY!M290</f>
        <v>0</v>
      </c>
      <c r="I290" s="57">
        <f t="shared" si="8"/>
        <v>0</v>
      </c>
      <c r="J290" s="57" t="str">
        <f t="shared" si="9"/>
        <v>POTENCJAŁ</v>
      </c>
    </row>
    <row r="291" spans="1:10" x14ac:dyDescent="0.25">
      <c r="A291" s="57" t="str">
        <f>IF(CRM_MAGDY!H291="","","CRM-"&amp;TEXT(ROW()-4,"0000"))</f>
        <v>CRM-0287</v>
      </c>
      <c r="B291" s="57">
        <f>CRM_MAGDY!E291</f>
        <v>0</v>
      </c>
      <c r="C291" s="57">
        <f>CRM_MAGDY!H291</f>
        <v>5732</v>
      </c>
      <c r="D291" s="57">
        <f>CRM_MAGDY!I291</f>
        <v>0</v>
      </c>
      <c r="E291" s="57">
        <f>IFERROR(VALUE(CRM_MAGDY!K291),0)</f>
        <v>0</v>
      </c>
      <c r="F291" s="57">
        <f>IFERROR(IF(CRM_MAGDY!L291&gt;1,CRM_MAGDY!L291/100,CRM_MAGDY!L291),0)</f>
        <v>0</v>
      </c>
      <c r="G291" s="57">
        <f>CRM_MAGDY!N291</f>
        <v>0</v>
      </c>
      <c r="H291" s="57">
        <f>CRM_MAGDY!M291</f>
        <v>0</v>
      </c>
      <c r="I291" s="57">
        <f t="shared" si="8"/>
        <v>0</v>
      </c>
      <c r="J291" s="57" t="str">
        <f t="shared" si="9"/>
        <v>POTENCJAŁ</v>
      </c>
    </row>
    <row r="292" spans="1:10" x14ac:dyDescent="0.25">
      <c r="A292" s="57" t="str">
        <f>IF(CRM_MAGDY!H292="","","CRM-"&amp;TEXT(ROW()-4,"0000"))</f>
        <v>CRM-0288</v>
      </c>
      <c r="B292" s="57">
        <f>CRM_MAGDY!E292</f>
        <v>0</v>
      </c>
      <c r="C292" s="57">
        <f>CRM_MAGDY!H292</f>
        <v>5733</v>
      </c>
      <c r="D292" s="57">
        <f>CRM_MAGDY!I292</f>
        <v>0</v>
      </c>
      <c r="E292" s="57">
        <f>IFERROR(VALUE(CRM_MAGDY!K292),0)</f>
        <v>0</v>
      </c>
      <c r="F292" s="57">
        <f>IFERROR(IF(CRM_MAGDY!L292&gt;1,CRM_MAGDY!L292/100,CRM_MAGDY!L292),0)</f>
        <v>0</v>
      </c>
      <c r="G292" s="57">
        <f>CRM_MAGDY!N292</f>
        <v>0</v>
      </c>
      <c r="H292" s="57">
        <f>CRM_MAGDY!M292</f>
        <v>0</v>
      </c>
      <c r="I292" s="57">
        <f t="shared" si="8"/>
        <v>0</v>
      </c>
      <c r="J292" s="57" t="str">
        <f t="shared" si="9"/>
        <v>POTENCJAŁ</v>
      </c>
    </row>
    <row r="293" spans="1:10" x14ac:dyDescent="0.25">
      <c r="A293" s="57" t="str">
        <f>IF(CRM_MAGDY!H293="","","CRM-"&amp;TEXT(ROW()-4,"0000"))</f>
        <v>CRM-0289</v>
      </c>
      <c r="B293" s="57">
        <f>CRM_MAGDY!E293</f>
        <v>0</v>
      </c>
      <c r="C293" s="57">
        <f>CRM_MAGDY!H293</f>
        <v>5734</v>
      </c>
      <c r="D293" s="57">
        <f>CRM_MAGDY!I293</f>
        <v>0</v>
      </c>
      <c r="E293" s="57">
        <f>IFERROR(VALUE(CRM_MAGDY!K293),0)</f>
        <v>0</v>
      </c>
      <c r="F293" s="57">
        <f>IFERROR(IF(CRM_MAGDY!L293&gt;1,CRM_MAGDY!L293/100,CRM_MAGDY!L293),0)</f>
        <v>0</v>
      </c>
      <c r="G293" s="57">
        <f>CRM_MAGDY!N293</f>
        <v>0</v>
      </c>
      <c r="H293" s="57">
        <f>CRM_MAGDY!M293</f>
        <v>0</v>
      </c>
      <c r="I293" s="57">
        <f t="shared" si="8"/>
        <v>0</v>
      </c>
      <c r="J293" s="57" t="str">
        <f t="shared" si="9"/>
        <v>POTENCJAŁ</v>
      </c>
    </row>
    <row r="294" spans="1:10" x14ac:dyDescent="0.25">
      <c r="A294" s="57" t="str">
        <f>IF(CRM_MAGDY!H294="","","CRM-"&amp;TEXT(ROW()-4,"0000"))</f>
        <v>CRM-0290</v>
      </c>
      <c r="B294" s="57">
        <f>CRM_MAGDY!E294</f>
        <v>0</v>
      </c>
      <c r="C294" s="57">
        <f>CRM_MAGDY!H294</f>
        <v>5735</v>
      </c>
      <c r="D294" s="57">
        <f>CRM_MAGDY!I294</f>
        <v>0</v>
      </c>
      <c r="E294" s="57">
        <f>IFERROR(VALUE(CRM_MAGDY!K294),0)</f>
        <v>0</v>
      </c>
      <c r="F294" s="57">
        <f>IFERROR(IF(CRM_MAGDY!L294&gt;1,CRM_MAGDY!L294/100,CRM_MAGDY!L294),0)</f>
        <v>0</v>
      </c>
      <c r="G294" s="57">
        <f>CRM_MAGDY!N294</f>
        <v>0</v>
      </c>
      <c r="H294" s="57">
        <f>CRM_MAGDY!M294</f>
        <v>0</v>
      </c>
      <c r="I294" s="57">
        <f t="shared" si="8"/>
        <v>0</v>
      </c>
      <c r="J294" s="57" t="str">
        <f t="shared" si="9"/>
        <v>POTENCJAŁ</v>
      </c>
    </row>
    <row r="295" spans="1:10" x14ac:dyDescent="0.25">
      <c r="A295" s="57" t="str">
        <f>IF(CRM_MAGDY!H295="","","CRM-"&amp;TEXT(ROW()-4,"0000"))</f>
        <v>CRM-0291</v>
      </c>
      <c r="B295" s="57">
        <f>CRM_MAGDY!E295</f>
        <v>0</v>
      </c>
      <c r="C295" s="57">
        <f>CRM_MAGDY!H295</f>
        <v>5736</v>
      </c>
      <c r="D295" s="57">
        <f>CRM_MAGDY!I295</f>
        <v>0</v>
      </c>
      <c r="E295" s="57">
        <f>IFERROR(VALUE(CRM_MAGDY!K295),0)</f>
        <v>0</v>
      </c>
      <c r="F295" s="57">
        <f>IFERROR(IF(CRM_MAGDY!L295&gt;1,CRM_MAGDY!L295/100,CRM_MAGDY!L295),0)</f>
        <v>0</v>
      </c>
      <c r="G295" s="57">
        <f>CRM_MAGDY!N295</f>
        <v>0</v>
      </c>
      <c r="H295" s="57">
        <f>CRM_MAGDY!M295</f>
        <v>0</v>
      </c>
      <c r="I295" s="57">
        <f t="shared" si="8"/>
        <v>0</v>
      </c>
      <c r="J295" s="57" t="str">
        <f t="shared" si="9"/>
        <v>POTENCJAŁ</v>
      </c>
    </row>
    <row r="296" spans="1:10" x14ac:dyDescent="0.25">
      <c r="A296" s="57" t="str">
        <f>IF(CRM_MAGDY!H296="","","CRM-"&amp;TEXT(ROW()-4,"0000"))</f>
        <v>CRM-0292</v>
      </c>
      <c r="B296" s="57">
        <f>CRM_MAGDY!E296</f>
        <v>0</v>
      </c>
      <c r="C296" s="57">
        <f>CRM_MAGDY!H296</f>
        <v>5737</v>
      </c>
      <c r="D296" s="57">
        <f>CRM_MAGDY!I296</f>
        <v>0</v>
      </c>
      <c r="E296" s="57">
        <f>IFERROR(VALUE(CRM_MAGDY!K296),0)</f>
        <v>0</v>
      </c>
      <c r="F296" s="57">
        <f>IFERROR(IF(CRM_MAGDY!L296&gt;1,CRM_MAGDY!L296/100,CRM_MAGDY!L296),0)</f>
        <v>0</v>
      </c>
      <c r="G296" s="57">
        <f>CRM_MAGDY!N296</f>
        <v>0</v>
      </c>
      <c r="H296" s="57">
        <f>CRM_MAGDY!M296</f>
        <v>0</v>
      </c>
      <c r="I296" s="57">
        <f t="shared" si="8"/>
        <v>0</v>
      </c>
      <c r="J296" s="57" t="str">
        <f t="shared" si="9"/>
        <v>POTENCJAŁ</v>
      </c>
    </row>
    <row r="297" spans="1:10" x14ac:dyDescent="0.25">
      <c r="A297" s="57" t="str">
        <f>IF(CRM_MAGDY!H297="","","CRM-"&amp;TEXT(ROW()-4,"0000"))</f>
        <v>CRM-0293</v>
      </c>
      <c r="B297" s="57">
        <f>CRM_MAGDY!E297</f>
        <v>0</v>
      </c>
      <c r="C297" s="57">
        <f>CRM_MAGDY!H297</f>
        <v>5738</v>
      </c>
      <c r="D297" s="57">
        <f>CRM_MAGDY!I297</f>
        <v>0</v>
      </c>
      <c r="E297" s="57">
        <f>IFERROR(VALUE(CRM_MAGDY!K297),0)</f>
        <v>0</v>
      </c>
      <c r="F297" s="57">
        <f>IFERROR(IF(CRM_MAGDY!L297&gt;1,CRM_MAGDY!L297/100,CRM_MAGDY!L297),0)</f>
        <v>0</v>
      </c>
      <c r="G297" s="57">
        <f>CRM_MAGDY!N297</f>
        <v>0</v>
      </c>
      <c r="H297" s="57">
        <f>CRM_MAGDY!M297</f>
        <v>0</v>
      </c>
      <c r="I297" s="57">
        <f t="shared" si="8"/>
        <v>0</v>
      </c>
      <c r="J297" s="57" t="str">
        <f t="shared" si="9"/>
        <v>POTENCJAŁ</v>
      </c>
    </row>
    <row r="298" spans="1:10" x14ac:dyDescent="0.25">
      <c r="A298" s="57" t="str">
        <f>IF(CRM_MAGDY!H298="","","CRM-"&amp;TEXT(ROW()-4,"0000"))</f>
        <v>CRM-0294</v>
      </c>
      <c r="B298" s="57">
        <f>CRM_MAGDY!E298</f>
        <v>0</v>
      </c>
      <c r="C298" s="57">
        <f>CRM_MAGDY!H298</f>
        <v>5739</v>
      </c>
      <c r="D298" s="57">
        <f>CRM_MAGDY!I298</f>
        <v>0</v>
      </c>
      <c r="E298" s="57">
        <f>IFERROR(VALUE(CRM_MAGDY!K298),0)</f>
        <v>0</v>
      </c>
      <c r="F298" s="57">
        <f>IFERROR(IF(CRM_MAGDY!L298&gt;1,CRM_MAGDY!L298/100,CRM_MAGDY!L298),0)</f>
        <v>0</v>
      </c>
      <c r="G298" s="57">
        <f>CRM_MAGDY!N298</f>
        <v>0</v>
      </c>
      <c r="H298" s="57">
        <f>CRM_MAGDY!M298</f>
        <v>0</v>
      </c>
      <c r="I298" s="57">
        <f t="shared" si="8"/>
        <v>0</v>
      </c>
      <c r="J298" s="57" t="str">
        <f t="shared" si="9"/>
        <v>POTENCJAŁ</v>
      </c>
    </row>
    <row r="299" spans="1:10" x14ac:dyDescent="0.25">
      <c r="A299" s="57" t="str">
        <f>IF(CRM_MAGDY!H299="","","CRM-"&amp;TEXT(ROW()-4,"0000"))</f>
        <v>CRM-0295</v>
      </c>
      <c r="B299" s="57">
        <f>CRM_MAGDY!E299</f>
        <v>0</v>
      </c>
      <c r="C299" s="57">
        <f>CRM_MAGDY!H299</f>
        <v>5740</v>
      </c>
      <c r="D299" s="57">
        <f>CRM_MAGDY!I299</f>
        <v>0</v>
      </c>
      <c r="E299" s="57">
        <f>IFERROR(VALUE(CRM_MAGDY!K299),0)</f>
        <v>0</v>
      </c>
      <c r="F299" s="57">
        <f>IFERROR(IF(CRM_MAGDY!L299&gt;1,CRM_MAGDY!L299/100,CRM_MAGDY!L299),0)</f>
        <v>0</v>
      </c>
      <c r="G299" s="57">
        <f>CRM_MAGDY!N299</f>
        <v>0</v>
      </c>
      <c r="H299" s="57">
        <f>CRM_MAGDY!M299</f>
        <v>0</v>
      </c>
      <c r="I299" s="57">
        <f t="shared" si="8"/>
        <v>0</v>
      </c>
      <c r="J299" s="57" t="str">
        <f t="shared" si="9"/>
        <v>POTENCJAŁ</v>
      </c>
    </row>
    <row r="300" spans="1:10" x14ac:dyDescent="0.25">
      <c r="A300" s="57" t="str">
        <f>IF(CRM_MAGDY!H300="","","CRM-"&amp;TEXT(ROW()-4,"0000"))</f>
        <v>CRM-0296</v>
      </c>
      <c r="B300" s="57">
        <f>CRM_MAGDY!E300</f>
        <v>0</v>
      </c>
      <c r="C300" s="57">
        <f>CRM_MAGDY!H300</f>
        <v>5741</v>
      </c>
      <c r="D300" s="57">
        <f>CRM_MAGDY!I300</f>
        <v>0</v>
      </c>
      <c r="E300" s="57">
        <f>IFERROR(VALUE(CRM_MAGDY!K300),0)</f>
        <v>0</v>
      </c>
      <c r="F300" s="57">
        <f>IFERROR(IF(CRM_MAGDY!L300&gt;1,CRM_MAGDY!L300/100,CRM_MAGDY!L300),0)</f>
        <v>0</v>
      </c>
      <c r="G300" s="57">
        <f>CRM_MAGDY!N300</f>
        <v>0</v>
      </c>
      <c r="H300" s="57">
        <f>CRM_MAGDY!M300</f>
        <v>0</v>
      </c>
      <c r="I300" s="57">
        <f t="shared" si="8"/>
        <v>0</v>
      </c>
      <c r="J300" s="57" t="str">
        <f t="shared" si="9"/>
        <v>POTENCJAŁ</v>
      </c>
    </row>
    <row r="301" spans="1:10" x14ac:dyDescent="0.25">
      <c r="A301" s="57" t="str">
        <f>IF(CRM_MAGDY!H301="","","CRM-"&amp;TEXT(ROW()-4,"0000"))</f>
        <v>CRM-0297</v>
      </c>
      <c r="B301" s="57">
        <f>CRM_MAGDY!E301</f>
        <v>0</v>
      </c>
      <c r="C301" s="57">
        <f>CRM_MAGDY!H301</f>
        <v>5742</v>
      </c>
      <c r="D301" s="57">
        <f>CRM_MAGDY!I301</f>
        <v>0</v>
      </c>
      <c r="E301" s="57">
        <f>IFERROR(VALUE(CRM_MAGDY!K301),0)</f>
        <v>0</v>
      </c>
      <c r="F301" s="57">
        <f>IFERROR(IF(CRM_MAGDY!L301&gt;1,CRM_MAGDY!L301/100,CRM_MAGDY!L301),0)</f>
        <v>0</v>
      </c>
      <c r="G301" s="57">
        <f>CRM_MAGDY!N301</f>
        <v>0</v>
      </c>
      <c r="H301" s="57">
        <f>CRM_MAGDY!M301</f>
        <v>0</v>
      </c>
      <c r="I301" s="57">
        <f t="shared" si="8"/>
        <v>0</v>
      </c>
      <c r="J301" s="57" t="str">
        <f t="shared" si="9"/>
        <v>POTENCJAŁ</v>
      </c>
    </row>
    <row r="302" spans="1:10" x14ac:dyDescent="0.25">
      <c r="A302" s="57" t="str">
        <f>IF(CRM_MAGDY!H302="","","CRM-"&amp;TEXT(ROW()-4,"0000"))</f>
        <v>CRM-0298</v>
      </c>
      <c r="B302" s="57">
        <f>CRM_MAGDY!E302</f>
        <v>0</v>
      </c>
      <c r="C302" s="57">
        <f>CRM_MAGDY!H302</f>
        <v>5743</v>
      </c>
      <c r="D302" s="57">
        <f>CRM_MAGDY!I302</f>
        <v>0</v>
      </c>
      <c r="E302" s="57">
        <f>IFERROR(VALUE(CRM_MAGDY!K302),0)</f>
        <v>0</v>
      </c>
      <c r="F302" s="57">
        <f>IFERROR(IF(CRM_MAGDY!L302&gt;1,CRM_MAGDY!L302/100,CRM_MAGDY!L302),0)</f>
        <v>0</v>
      </c>
      <c r="G302" s="57">
        <f>CRM_MAGDY!N302</f>
        <v>0</v>
      </c>
      <c r="H302" s="57">
        <f>CRM_MAGDY!M302</f>
        <v>0</v>
      </c>
      <c r="I302" s="57">
        <f t="shared" si="8"/>
        <v>0</v>
      </c>
      <c r="J302" s="57" t="str">
        <f t="shared" si="9"/>
        <v>POTENCJAŁ</v>
      </c>
    </row>
    <row r="303" spans="1:10" x14ac:dyDescent="0.25">
      <c r="A303" s="57" t="str">
        <f>IF(CRM_MAGDY!H303="","","CRM-"&amp;TEXT(ROW()-4,"0000"))</f>
        <v>CRM-0299</v>
      </c>
      <c r="B303" s="57">
        <f>CRM_MAGDY!E303</f>
        <v>0</v>
      </c>
      <c r="C303" s="57">
        <f>CRM_MAGDY!H303</f>
        <v>5744</v>
      </c>
      <c r="D303" s="57">
        <f>CRM_MAGDY!I303</f>
        <v>0</v>
      </c>
      <c r="E303" s="57">
        <f>IFERROR(VALUE(CRM_MAGDY!K303),0)</f>
        <v>0</v>
      </c>
      <c r="F303" s="57">
        <f>IFERROR(IF(CRM_MAGDY!L303&gt;1,CRM_MAGDY!L303/100,CRM_MAGDY!L303),0)</f>
        <v>0</v>
      </c>
      <c r="G303" s="57">
        <f>CRM_MAGDY!N303</f>
        <v>0</v>
      </c>
      <c r="H303" s="57">
        <f>CRM_MAGDY!M303</f>
        <v>0</v>
      </c>
      <c r="I303" s="57">
        <f t="shared" si="8"/>
        <v>0</v>
      </c>
      <c r="J303" s="57" t="str">
        <f t="shared" si="9"/>
        <v>POTENCJAŁ</v>
      </c>
    </row>
    <row r="304" spans="1:10" x14ac:dyDescent="0.25">
      <c r="A304" s="57" t="str">
        <f>IF(CRM_MAGDY!H304="","","CRM-"&amp;TEXT(ROW()-4,"0000"))</f>
        <v>CRM-0300</v>
      </c>
      <c r="B304" s="57">
        <f>CRM_MAGDY!E304</f>
        <v>0</v>
      </c>
      <c r="C304" s="57">
        <f>CRM_MAGDY!H304</f>
        <v>5745</v>
      </c>
      <c r="D304" s="57">
        <f>CRM_MAGDY!I304</f>
        <v>0</v>
      </c>
      <c r="E304" s="57">
        <f>IFERROR(VALUE(CRM_MAGDY!K304),0)</f>
        <v>0</v>
      </c>
      <c r="F304" s="57">
        <f>IFERROR(IF(CRM_MAGDY!L304&gt;1,CRM_MAGDY!L304/100,CRM_MAGDY!L304),0)</f>
        <v>0</v>
      </c>
      <c r="G304" s="57">
        <f>CRM_MAGDY!N304</f>
        <v>0</v>
      </c>
      <c r="H304" s="57">
        <f>CRM_MAGDY!M304</f>
        <v>0</v>
      </c>
      <c r="I304" s="57">
        <f t="shared" si="8"/>
        <v>0</v>
      </c>
      <c r="J304" s="57" t="str">
        <f t="shared" si="9"/>
        <v>POTENCJAŁ</v>
      </c>
    </row>
    <row r="305" spans="1:10" x14ac:dyDescent="0.25">
      <c r="A305" s="57" t="str">
        <f>IF(CRM_MAGDY!H305="","","CRM-"&amp;TEXT(ROW()-4,"0000"))</f>
        <v>CRM-0301</v>
      </c>
      <c r="B305" s="57">
        <f>CRM_MAGDY!E305</f>
        <v>0</v>
      </c>
      <c r="C305" s="57">
        <f>CRM_MAGDY!H305</f>
        <v>5746</v>
      </c>
      <c r="D305" s="57">
        <f>CRM_MAGDY!I305</f>
        <v>0</v>
      </c>
      <c r="E305" s="57">
        <f>IFERROR(VALUE(CRM_MAGDY!K305),0)</f>
        <v>0</v>
      </c>
      <c r="F305" s="57">
        <f>IFERROR(IF(CRM_MAGDY!L305&gt;1,CRM_MAGDY!L305/100,CRM_MAGDY!L305),0)</f>
        <v>0</v>
      </c>
      <c r="G305" s="57">
        <f>CRM_MAGDY!N305</f>
        <v>0</v>
      </c>
      <c r="H305" s="57">
        <f>CRM_MAGDY!M305</f>
        <v>0</v>
      </c>
      <c r="I305" s="57">
        <f t="shared" si="8"/>
        <v>0</v>
      </c>
      <c r="J305" s="57" t="str">
        <f t="shared" si="9"/>
        <v>POTENCJAŁ</v>
      </c>
    </row>
    <row r="306" spans="1:10" x14ac:dyDescent="0.25">
      <c r="A306" s="57" t="str">
        <f>IF(CRM_MAGDY!H306="","","CRM-"&amp;TEXT(ROW()-4,"0000"))</f>
        <v>CRM-0302</v>
      </c>
      <c r="B306" s="57">
        <f>CRM_MAGDY!E306</f>
        <v>0</v>
      </c>
      <c r="C306" s="57">
        <f>CRM_MAGDY!H306</f>
        <v>5747</v>
      </c>
      <c r="D306" s="57">
        <f>CRM_MAGDY!I306</f>
        <v>0</v>
      </c>
      <c r="E306" s="57">
        <f>IFERROR(VALUE(CRM_MAGDY!K306),0)</f>
        <v>0</v>
      </c>
      <c r="F306" s="57">
        <f>IFERROR(IF(CRM_MAGDY!L306&gt;1,CRM_MAGDY!L306/100,CRM_MAGDY!L306),0)</f>
        <v>0</v>
      </c>
      <c r="G306" s="57">
        <f>CRM_MAGDY!N306</f>
        <v>0</v>
      </c>
      <c r="H306" s="57">
        <f>CRM_MAGDY!M306</f>
        <v>0</v>
      </c>
      <c r="I306" s="57">
        <f t="shared" si="8"/>
        <v>0</v>
      </c>
      <c r="J306" s="57" t="str">
        <f t="shared" si="9"/>
        <v>POTENCJAŁ</v>
      </c>
    </row>
    <row r="307" spans="1:10" x14ac:dyDescent="0.25">
      <c r="A307" s="57" t="str">
        <f>IF(CRM_MAGDY!H307="","","CRM-"&amp;TEXT(ROW()-4,"0000"))</f>
        <v>CRM-0303</v>
      </c>
      <c r="B307" s="57">
        <f>CRM_MAGDY!E307</f>
        <v>0</v>
      </c>
      <c r="C307" s="57">
        <f>CRM_MAGDY!H307</f>
        <v>5748</v>
      </c>
      <c r="D307" s="57">
        <f>CRM_MAGDY!I307</f>
        <v>0</v>
      </c>
      <c r="E307" s="57">
        <f>IFERROR(VALUE(CRM_MAGDY!K307),0)</f>
        <v>0</v>
      </c>
      <c r="F307" s="57">
        <f>IFERROR(IF(CRM_MAGDY!L307&gt;1,CRM_MAGDY!L307/100,CRM_MAGDY!L307),0)</f>
        <v>0</v>
      </c>
      <c r="G307" s="57">
        <f>CRM_MAGDY!N307</f>
        <v>0</v>
      </c>
      <c r="H307" s="57">
        <f>CRM_MAGDY!M307</f>
        <v>0</v>
      </c>
      <c r="I307" s="57">
        <f t="shared" si="8"/>
        <v>0</v>
      </c>
      <c r="J307" s="57" t="str">
        <f t="shared" si="9"/>
        <v>POTENCJAŁ</v>
      </c>
    </row>
    <row r="308" spans="1:10" x14ac:dyDescent="0.25">
      <c r="A308" s="57" t="str">
        <f>IF(CRM_MAGDY!H308="","","CRM-"&amp;TEXT(ROW()-4,"0000"))</f>
        <v>CRM-0304</v>
      </c>
      <c r="B308" s="57">
        <f>CRM_MAGDY!E308</f>
        <v>0</v>
      </c>
      <c r="C308" s="57">
        <f>CRM_MAGDY!H308</f>
        <v>5749</v>
      </c>
      <c r="D308" s="57">
        <f>CRM_MAGDY!I308</f>
        <v>0</v>
      </c>
      <c r="E308" s="57">
        <f>IFERROR(VALUE(CRM_MAGDY!K308),0)</f>
        <v>0</v>
      </c>
      <c r="F308" s="57">
        <f>IFERROR(IF(CRM_MAGDY!L308&gt;1,CRM_MAGDY!L308/100,CRM_MAGDY!L308),0)</f>
        <v>0</v>
      </c>
      <c r="G308" s="57">
        <f>CRM_MAGDY!N308</f>
        <v>0</v>
      </c>
      <c r="H308" s="57">
        <f>CRM_MAGDY!M308</f>
        <v>0</v>
      </c>
      <c r="I308" s="57">
        <f t="shared" si="8"/>
        <v>0</v>
      </c>
      <c r="J308" s="57" t="str">
        <f t="shared" si="9"/>
        <v>POTENCJAŁ</v>
      </c>
    </row>
    <row r="309" spans="1:10" x14ac:dyDescent="0.25">
      <c r="A309" s="57" t="str">
        <f>IF(CRM_MAGDY!H309="","","CRM-"&amp;TEXT(ROW()-4,"0000"))</f>
        <v>CRM-0305</v>
      </c>
      <c r="B309" s="57">
        <f>CRM_MAGDY!E309</f>
        <v>0</v>
      </c>
      <c r="C309" s="57">
        <f>CRM_MAGDY!H309</f>
        <v>5750</v>
      </c>
      <c r="D309" s="57">
        <f>CRM_MAGDY!I309</f>
        <v>0</v>
      </c>
      <c r="E309" s="57">
        <f>IFERROR(VALUE(CRM_MAGDY!K309),0)</f>
        <v>0</v>
      </c>
      <c r="F309" s="57">
        <f>IFERROR(IF(CRM_MAGDY!L309&gt;1,CRM_MAGDY!L309/100,CRM_MAGDY!L309),0)</f>
        <v>0</v>
      </c>
      <c r="G309" s="57">
        <f>CRM_MAGDY!N309</f>
        <v>0</v>
      </c>
      <c r="H309" s="57">
        <f>CRM_MAGDY!M309</f>
        <v>0</v>
      </c>
      <c r="I309" s="57">
        <f t="shared" si="8"/>
        <v>0</v>
      </c>
      <c r="J309" s="57" t="str">
        <f t="shared" si="9"/>
        <v>POTENCJAŁ</v>
      </c>
    </row>
    <row r="310" spans="1:10" x14ac:dyDescent="0.25">
      <c r="A310" s="57" t="str">
        <f>IF(CRM_MAGDY!H310="","","CRM-"&amp;TEXT(ROW()-4,"0000"))</f>
        <v>CRM-0306</v>
      </c>
      <c r="B310" s="57">
        <f>CRM_MAGDY!E310</f>
        <v>0</v>
      </c>
      <c r="C310" s="57">
        <f>CRM_MAGDY!H310</f>
        <v>5751</v>
      </c>
      <c r="D310" s="57">
        <f>CRM_MAGDY!I310</f>
        <v>0</v>
      </c>
      <c r="E310" s="57">
        <f>IFERROR(VALUE(CRM_MAGDY!K310),0)</f>
        <v>0</v>
      </c>
      <c r="F310" s="57">
        <f>IFERROR(IF(CRM_MAGDY!L310&gt;1,CRM_MAGDY!L310/100,CRM_MAGDY!L310),0)</f>
        <v>0</v>
      </c>
      <c r="G310" s="57">
        <f>CRM_MAGDY!N310</f>
        <v>0</v>
      </c>
      <c r="H310" s="57">
        <f>CRM_MAGDY!M310</f>
        <v>0</v>
      </c>
      <c r="I310" s="57">
        <f t="shared" si="8"/>
        <v>0</v>
      </c>
      <c r="J310" s="57" t="str">
        <f t="shared" si="9"/>
        <v>POTENCJAŁ</v>
      </c>
    </row>
    <row r="311" spans="1:10" x14ac:dyDescent="0.25">
      <c r="A311" s="57" t="str">
        <f>IF(CRM_MAGDY!H311="","","CRM-"&amp;TEXT(ROW()-4,"0000"))</f>
        <v>CRM-0307</v>
      </c>
      <c r="B311" s="57">
        <f>CRM_MAGDY!E311</f>
        <v>0</v>
      </c>
      <c r="C311" s="57">
        <f>CRM_MAGDY!H311</f>
        <v>5752</v>
      </c>
      <c r="D311" s="57">
        <f>CRM_MAGDY!I311</f>
        <v>0</v>
      </c>
      <c r="E311" s="57">
        <f>IFERROR(VALUE(CRM_MAGDY!K311),0)</f>
        <v>0</v>
      </c>
      <c r="F311" s="57">
        <f>IFERROR(IF(CRM_MAGDY!L311&gt;1,CRM_MAGDY!L311/100,CRM_MAGDY!L311),0)</f>
        <v>0</v>
      </c>
      <c r="G311" s="57">
        <f>CRM_MAGDY!N311</f>
        <v>0</v>
      </c>
      <c r="H311" s="57">
        <f>CRM_MAGDY!M311</f>
        <v>0</v>
      </c>
      <c r="I311" s="57">
        <f t="shared" si="8"/>
        <v>0</v>
      </c>
      <c r="J311" s="57" t="str">
        <f t="shared" si="9"/>
        <v>POTENCJAŁ</v>
      </c>
    </row>
    <row r="312" spans="1:10" x14ac:dyDescent="0.25">
      <c r="A312" s="57" t="str">
        <f>IF(CRM_MAGDY!H312="","","CRM-"&amp;TEXT(ROW()-4,"0000"))</f>
        <v>CRM-0308</v>
      </c>
      <c r="B312" s="57">
        <f>CRM_MAGDY!E312</f>
        <v>0</v>
      </c>
      <c r="C312" s="57">
        <f>CRM_MAGDY!H312</f>
        <v>5753</v>
      </c>
      <c r="D312" s="57">
        <f>CRM_MAGDY!I312</f>
        <v>0</v>
      </c>
      <c r="E312" s="57">
        <f>IFERROR(VALUE(CRM_MAGDY!K312),0)</f>
        <v>0</v>
      </c>
      <c r="F312" s="57">
        <f>IFERROR(IF(CRM_MAGDY!L312&gt;1,CRM_MAGDY!L312/100,CRM_MAGDY!L312),0)</f>
        <v>0</v>
      </c>
      <c r="G312" s="57">
        <f>CRM_MAGDY!N312</f>
        <v>0</v>
      </c>
      <c r="H312" s="57">
        <f>CRM_MAGDY!M312</f>
        <v>0</v>
      </c>
      <c r="I312" s="57">
        <f t="shared" si="8"/>
        <v>0</v>
      </c>
      <c r="J312" s="57" t="str">
        <f t="shared" si="9"/>
        <v>POTENCJAŁ</v>
      </c>
    </row>
    <row r="313" spans="1:10" x14ac:dyDescent="0.25">
      <c r="A313" s="57" t="str">
        <f>IF(CRM_MAGDY!H313="","","CRM-"&amp;TEXT(ROW()-4,"0000"))</f>
        <v>CRM-0309</v>
      </c>
      <c r="B313" s="57">
        <f>CRM_MAGDY!E313</f>
        <v>0</v>
      </c>
      <c r="C313" s="57">
        <f>CRM_MAGDY!H313</f>
        <v>5754</v>
      </c>
      <c r="D313" s="57">
        <f>CRM_MAGDY!I313</f>
        <v>0</v>
      </c>
      <c r="E313" s="57">
        <f>IFERROR(VALUE(CRM_MAGDY!K313),0)</f>
        <v>0</v>
      </c>
      <c r="F313" s="57">
        <f>IFERROR(IF(CRM_MAGDY!L313&gt;1,CRM_MAGDY!L313/100,CRM_MAGDY!L313),0)</f>
        <v>0</v>
      </c>
      <c r="G313" s="57">
        <f>CRM_MAGDY!N313</f>
        <v>0</v>
      </c>
      <c r="H313" s="57">
        <f>CRM_MAGDY!M313</f>
        <v>0</v>
      </c>
      <c r="I313" s="57">
        <f t="shared" si="8"/>
        <v>0</v>
      </c>
      <c r="J313" s="57" t="str">
        <f t="shared" si="9"/>
        <v>POTENCJAŁ</v>
      </c>
    </row>
    <row r="314" spans="1:10" x14ac:dyDescent="0.25">
      <c r="A314" s="57" t="str">
        <f>IF(CRM_MAGDY!H314="","","CRM-"&amp;TEXT(ROW()-4,"0000"))</f>
        <v>CRM-0310</v>
      </c>
      <c r="B314" s="57">
        <f>CRM_MAGDY!E314</f>
        <v>0</v>
      </c>
      <c r="C314" s="57">
        <f>CRM_MAGDY!H314</f>
        <v>5755</v>
      </c>
      <c r="D314" s="57">
        <f>CRM_MAGDY!I314</f>
        <v>0</v>
      </c>
      <c r="E314" s="57">
        <f>IFERROR(VALUE(CRM_MAGDY!K314),0)</f>
        <v>0</v>
      </c>
      <c r="F314" s="57">
        <f>IFERROR(IF(CRM_MAGDY!L314&gt;1,CRM_MAGDY!L314/100,CRM_MAGDY!L314),0)</f>
        <v>0</v>
      </c>
      <c r="G314" s="57">
        <f>CRM_MAGDY!N314</f>
        <v>0</v>
      </c>
      <c r="H314" s="57">
        <f>CRM_MAGDY!M314</f>
        <v>0</v>
      </c>
      <c r="I314" s="57">
        <f t="shared" si="8"/>
        <v>0</v>
      </c>
      <c r="J314" s="57" t="str">
        <f t="shared" si="9"/>
        <v>POTENCJAŁ</v>
      </c>
    </row>
    <row r="315" spans="1:10" x14ac:dyDescent="0.25">
      <c r="A315" s="57" t="str">
        <f>IF(CRM_MAGDY!H315="","","CRM-"&amp;TEXT(ROW()-4,"0000"))</f>
        <v>CRM-0311</v>
      </c>
      <c r="B315" s="57">
        <f>CRM_MAGDY!E315</f>
        <v>0</v>
      </c>
      <c r="C315" s="57">
        <f>CRM_MAGDY!H315</f>
        <v>5756</v>
      </c>
      <c r="D315" s="57">
        <f>CRM_MAGDY!I315</f>
        <v>0</v>
      </c>
      <c r="E315" s="57">
        <f>IFERROR(VALUE(CRM_MAGDY!K315),0)</f>
        <v>0</v>
      </c>
      <c r="F315" s="57">
        <f>IFERROR(IF(CRM_MAGDY!L315&gt;1,CRM_MAGDY!L315/100,CRM_MAGDY!L315),0)</f>
        <v>0</v>
      </c>
      <c r="G315" s="57">
        <f>CRM_MAGDY!N315</f>
        <v>0</v>
      </c>
      <c r="H315" s="57">
        <f>CRM_MAGDY!M315</f>
        <v>0</v>
      </c>
      <c r="I315" s="57">
        <f t="shared" si="8"/>
        <v>0</v>
      </c>
      <c r="J315" s="57" t="str">
        <f t="shared" si="9"/>
        <v>POTENCJAŁ</v>
      </c>
    </row>
    <row r="316" spans="1:10" x14ac:dyDescent="0.25">
      <c r="A316" s="57" t="str">
        <f>IF(CRM_MAGDY!H316="","","CRM-"&amp;TEXT(ROW()-4,"0000"))</f>
        <v>CRM-0312</v>
      </c>
      <c r="B316" s="57">
        <f>CRM_MAGDY!E316</f>
        <v>0</v>
      </c>
      <c r="C316" s="57">
        <f>CRM_MAGDY!H316</f>
        <v>5757</v>
      </c>
      <c r="D316" s="57">
        <f>CRM_MAGDY!I316</f>
        <v>0</v>
      </c>
      <c r="E316" s="57">
        <f>IFERROR(VALUE(CRM_MAGDY!K316),0)</f>
        <v>0</v>
      </c>
      <c r="F316" s="57">
        <f>IFERROR(IF(CRM_MAGDY!L316&gt;1,CRM_MAGDY!L316/100,CRM_MAGDY!L316),0)</f>
        <v>0</v>
      </c>
      <c r="G316" s="57">
        <f>CRM_MAGDY!N316</f>
        <v>0</v>
      </c>
      <c r="H316" s="57">
        <f>CRM_MAGDY!M316</f>
        <v>0</v>
      </c>
      <c r="I316" s="57">
        <f t="shared" si="8"/>
        <v>0</v>
      </c>
      <c r="J316" s="57" t="str">
        <f t="shared" si="9"/>
        <v>POTENCJAŁ</v>
      </c>
    </row>
    <row r="317" spans="1:10" x14ac:dyDescent="0.25">
      <c r="A317" s="57" t="str">
        <f>IF(CRM_MAGDY!H317="","","CRM-"&amp;TEXT(ROW()-4,"0000"))</f>
        <v>CRM-0313</v>
      </c>
      <c r="B317" s="57">
        <f>CRM_MAGDY!E317</f>
        <v>0</v>
      </c>
      <c r="C317" s="57">
        <f>CRM_MAGDY!H317</f>
        <v>5758</v>
      </c>
      <c r="D317" s="57">
        <f>CRM_MAGDY!I317</f>
        <v>0</v>
      </c>
      <c r="E317" s="57">
        <f>IFERROR(VALUE(CRM_MAGDY!K317),0)</f>
        <v>0</v>
      </c>
      <c r="F317" s="57">
        <f>IFERROR(IF(CRM_MAGDY!L317&gt;1,CRM_MAGDY!L317/100,CRM_MAGDY!L317),0)</f>
        <v>0</v>
      </c>
      <c r="G317" s="57">
        <f>CRM_MAGDY!N317</f>
        <v>0</v>
      </c>
      <c r="H317" s="57">
        <f>CRM_MAGDY!M317</f>
        <v>0</v>
      </c>
      <c r="I317" s="57">
        <f t="shared" si="8"/>
        <v>0</v>
      </c>
      <c r="J317" s="57" t="str">
        <f t="shared" si="9"/>
        <v>POTENCJAŁ</v>
      </c>
    </row>
    <row r="318" spans="1:10" x14ac:dyDescent="0.25">
      <c r="A318" s="57" t="str">
        <f>IF(CRM_MAGDY!H318="","","CRM-"&amp;TEXT(ROW()-4,"0000"))</f>
        <v>CRM-0314</v>
      </c>
      <c r="B318" s="57">
        <f>CRM_MAGDY!E318</f>
        <v>0</v>
      </c>
      <c r="C318" s="57">
        <f>CRM_MAGDY!H318</f>
        <v>5759</v>
      </c>
      <c r="D318" s="57">
        <f>CRM_MAGDY!I318</f>
        <v>0</v>
      </c>
      <c r="E318" s="57">
        <f>IFERROR(VALUE(CRM_MAGDY!K318),0)</f>
        <v>0</v>
      </c>
      <c r="F318" s="57">
        <f>IFERROR(IF(CRM_MAGDY!L318&gt;1,CRM_MAGDY!L318/100,CRM_MAGDY!L318),0)</f>
        <v>0</v>
      </c>
      <c r="G318" s="57">
        <f>CRM_MAGDY!N318</f>
        <v>0</v>
      </c>
      <c r="H318" s="57">
        <f>CRM_MAGDY!M318</f>
        <v>0</v>
      </c>
      <c r="I318" s="57">
        <f t="shared" si="8"/>
        <v>0</v>
      </c>
      <c r="J318" s="57" t="str">
        <f t="shared" si="9"/>
        <v>POTENCJAŁ</v>
      </c>
    </row>
    <row r="319" spans="1:10" x14ac:dyDescent="0.25">
      <c r="A319" s="57" t="str">
        <f>IF(CRM_MAGDY!H319="","","CRM-"&amp;TEXT(ROW()-4,"0000"))</f>
        <v>CRM-0315</v>
      </c>
      <c r="B319" s="57">
        <f>CRM_MAGDY!E319</f>
        <v>0</v>
      </c>
      <c r="C319" s="57">
        <f>CRM_MAGDY!H319</f>
        <v>5760</v>
      </c>
      <c r="D319" s="57">
        <f>CRM_MAGDY!I319</f>
        <v>0</v>
      </c>
      <c r="E319" s="57">
        <f>IFERROR(VALUE(CRM_MAGDY!K319),0)</f>
        <v>0</v>
      </c>
      <c r="F319" s="57">
        <f>IFERROR(IF(CRM_MAGDY!L319&gt;1,CRM_MAGDY!L319/100,CRM_MAGDY!L319),0)</f>
        <v>0</v>
      </c>
      <c r="G319" s="57">
        <f>CRM_MAGDY!N319</f>
        <v>0</v>
      </c>
      <c r="H319" s="57">
        <f>CRM_MAGDY!M319</f>
        <v>0</v>
      </c>
      <c r="I319" s="57">
        <f t="shared" si="8"/>
        <v>0</v>
      </c>
      <c r="J319" s="57" t="str">
        <f t="shared" si="9"/>
        <v>POTENCJAŁ</v>
      </c>
    </row>
    <row r="320" spans="1:10" x14ac:dyDescent="0.25">
      <c r="A320" s="57" t="str">
        <f>IF(CRM_MAGDY!H320="","","CRM-"&amp;TEXT(ROW()-4,"0000"))</f>
        <v>CRM-0316</v>
      </c>
      <c r="B320" s="57">
        <f>CRM_MAGDY!E320</f>
        <v>0</v>
      </c>
      <c r="C320" s="57">
        <f>CRM_MAGDY!H320</f>
        <v>5761</v>
      </c>
      <c r="D320" s="57">
        <f>CRM_MAGDY!I320</f>
        <v>0</v>
      </c>
      <c r="E320" s="57">
        <f>IFERROR(VALUE(CRM_MAGDY!K320),0)</f>
        <v>0</v>
      </c>
      <c r="F320" s="57">
        <f>IFERROR(IF(CRM_MAGDY!L320&gt;1,CRM_MAGDY!L320/100,CRM_MAGDY!L320),0)</f>
        <v>0</v>
      </c>
      <c r="G320" s="57">
        <f>CRM_MAGDY!N320</f>
        <v>0</v>
      </c>
      <c r="H320" s="57">
        <f>CRM_MAGDY!M320</f>
        <v>0</v>
      </c>
      <c r="I320" s="57">
        <f t="shared" si="8"/>
        <v>0</v>
      </c>
      <c r="J320" s="57" t="str">
        <f t="shared" si="9"/>
        <v>POTENCJAŁ</v>
      </c>
    </row>
    <row r="321" spans="1:10" x14ac:dyDescent="0.25">
      <c r="A321" s="57" t="str">
        <f>IF(CRM_MAGDY!H321="","","CRM-"&amp;TEXT(ROW()-4,"0000"))</f>
        <v>CRM-0317</v>
      </c>
      <c r="B321" s="57">
        <f>CRM_MAGDY!E321</f>
        <v>0</v>
      </c>
      <c r="C321" s="57">
        <f>CRM_MAGDY!H321</f>
        <v>5762</v>
      </c>
      <c r="D321" s="57">
        <f>CRM_MAGDY!I321</f>
        <v>0</v>
      </c>
      <c r="E321" s="57">
        <f>IFERROR(VALUE(CRM_MAGDY!K321),0)</f>
        <v>0</v>
      </c>
      <c r="F321" s="57">
        <f>IFERROR(IF(CRM_MAGDY!L321&gt;1,CRM_MAGDY!L321/100,CRM_MAGDY!L321),0)</f>
        <v>0</v>
      </c>
      <c r="G321" s="57">
        <f>CRM_MAGDY!N321</f>
        <v>0</v>
      </c>
      <c r="H321" s="57">
        <f>CRM_MAGDY!M321</f>
        <v>0</v>
      </c>
      <c r="I321" s="57">
        <f t="shared" si="8"/>
        <v>0</v>
      </c>
      <c r="J321" s="57" t="str">
        <f t="shared" si="9"/>
        <v>POTENCJAŁ</v>
      </c>
    </row>
    <row r="322" spans="1:10" x14ac:dyDescent="0.25">
      <c r="A322" s="57" t="str">
        <f>IF(CRM_MAGDY!H322="","","CRM-"&amp;TEXT(ROW()-4,"0000"))</f>
        <v>CRM-0318</v>
      </c>
      <c r="B322" s="57">
        <f>CRM_MAGDY!E322</f>
        <v>0</v>
      </c>
      <c r="C322" s="57">
        <f>CRM_MAGDY!H322</f>
        <v>5763</v>
      </c>
      <c r="D322" s="57">
        <f>CRM_MAGDY!I322</f>
        <v>0</v>
      </c>
      <c r="E322" s="57">
        <f>IFERROR(VALUE(CRM_MAGDY!K322),0)</f>
        <v>0</v>
      </c>
      <c r="F322" s="57">
        <f>IFERROR(IF(CRM_MAGDY!L322&gt;1,CRM_MAGDY!L322/100,CRM_MAGDY!L322),0)</f>
        <v>0</v>
      </c>
      <c r="G322" s="57">
        <f>CRM_MAGDY!N322</f>
        <v>0</v>
      </c>
      <c r="H322" s="57">
        <f>CRM_MAGDY!M322</f>
        <v>0</v>
      </c>
      <c r="I322" s="57">
        <f t="shared" si="8"/>
        <v>0</v>
      </c>
      <c r="J322" s="57" t="str">
        <f t="shared" si="9"/>
        <v>POTENCJAŁ</v>
      </c>
    </row>
    <row r="323" spans="1:10" x14ac:dyDescent="0.25">
      <c r="A323" s="57" t="str">
        <f>IF(CRM_MAGDY!H323="","","CRM-"&amp;TEXT(ROW()-4,"0000"))</f>
        <v>CRM-0319</v>
      </c>
      <c r="B323" s="57">
        <f>CRM_MAGDY!E323</f>
        <v>0</v>
      </c>
      <c r="C323" s="57">
        <f>CRM_MAGDY!H323</f>
        <v>5764</v>
      </c>
      <c r="D323" s="57">
        <f>CRM_MAGDY!I323</f>
        <v>0</v>
      </c>
      <c r="E323" s="57">
        <f>IFERROR(VALUE(CRM_MAGDY!K323),0)</f>
        <v>0</v>
      </c>
      <c r="F323" s="57">
        <f>IFERROR(IF(CRM_MAGDY!L323&gt;1,CRM_MAGDY!L323/100,CRM_MAGDY!L323),0)</f>
        <v>0</v>
      </c>
      <c r="G323" s="57">
        <f>CRM_MAGDY!N323</f>
        <v>0</v>
      </c>
      <c r="H323" s="57">
        <f>CRM_MAGDY!M323</f>
        <v>0</v>
      </c>
      <c r="I323" s="57">
        <f t="shared" si="8"/>
        <v>0</v>
      </c>
      <c r="J323" s="57" t="str">
        <f t="shared" si="9"/>
        <v>POTENCJAŁ</v>
      </c>
    </row>
    <row r="324" spans="1:10" x14ac:dyDescent="0.25">
      <c r="A324" s="57" t="str">
        <f>IF(CRM_MAGDY!H324="","","CRM-"&amp;TEXT(ROW()-4,"0000"))</f>
        <v>CRM-0320</v>
      </c>
      <c r="B324" s="57">
        <f>CRM_MAGDY!E324</f>
        <v>0</v>
      </c>
      <c r="C324" s="57">
        <f>CRM_MAGDY!H324</f>
        <v>5765</v>
      </c>
      <c r="D324" s="57">
        <f>CRM_MAGDY!I324</f>
        <v>0</v>
      </c>
      <c r="E324" s="57">
        <f>IFERROR(VALUE(CRM_MAGDY!K324),0)</f>
        <v>0</v>
      </c>
      <c r="F324" s="57">
        <f>IFERROR(IF(CRM_MAGDY!L324&gt;1,CRM_MAGDY!L324/100,CRM_MAGDY!L324),0)</f>
        <v>0</v>
      </c>
      <c r="G324" s="57">
        <f>CRM_MAGDY!N324</f>
        <v>0</v>
      </c>
      <c r="H324" s="57">
        <f>CRM_MAGDY!M324</f>
        <v>0</v>
      </c>
      <c r="I324" s="57">
        <f t="shared" si="8"/>
        <v>0</v>
      </c>
      <c r="J324" s="57" t="str">
        <f t="shared" si="9"/>
        <v>POTENCJAŁ</v>
      </c>
    </row>
    <row r="325" spans="1:10" x14ac:dyDescent="0.25">
      <c r="A325" s="57" t="str">
        <f>IF(CRM_MAGDY!H325="","","CRM-"&amp;TEXT(ROW()-4,"0000"))</f>
        <v>CRM-0321</v>
      </c>
      <c r="B325" s="57">
        <f>CRM_MAGDY!E325</f>
        <v>0</v>
      </c>
      <c r="C325" s="57">
        <f>CRM_MAGDY!H325</f>
        <v>5766</v>
      </c>
      <c r="D325" s="57">
        <f>CRM_MAGDY!I325</f>
        <v>0</v>
      </c>
      <c r="E325" s="57">
        <f>IFERROR(VALUE(CRM_MAGDY!K325),0)</f>
        <v>0</v>
      </c>
      <c r="F325" s="57">
        <f>IFERROR(IF(CRM_MAGDY!L325&gt;1,CRM_MAGDY!L325/100,CRM_MAGDY!L325),0)</f>
        <v>0</v>
      </c>
      <c r="G325" s="57">
        <f>CRM_MAGDY!N325</f>
        <v>0</v>
      </c>
      <c r="H325" s="57">
        <f>CRM_MAGDY!M325</f>
        <v>0</v>
      </c>
      <c r="I325" s="57">
        <f t="shared" ref="I325:I388" si="10">IF(OR(G325="WYGRANA",G325="PRZEGRANA"),0,E325*F325)</f>
        <v>0</v>
      </c>
      <c r="J325" s="57" t="str">
        <f t="shared" ref="J325:J388" si="11">IF(F325&gt;=0.7,"PEWNY",IF(F325&gt;=0.3,"REALNY","POTENCJAŁ"))</f>
        <v>POTENCJAŁ</v>
      </c>
    </row>
    <row r="326" spans="1:10" x14ac:dyDescent="0.25">
      <c r="A326" s="57" t="str">
        <f>IF(CRM_MAGDY!H326="","","CRM-"&amp;TEXT(ROW()-4,"0000"))</f>
        <v>CRM-0322</v>
      </c>
      <c r="B326" s="57">
        <f>CRM_MAGDY!E326</f>
        <v>0</v>
      </c>
      <c r="C326" s="57">
        <f>CRM_MAGDY!H326</f>
        <v>5767</v>
      </c>
      <c r="D326" s="57">
        <f>CRM_MAGDY!I326</f>
        <v>0</v>
      </c>
      <c r="E326" s="57">
        <f>IFERROR(VALUE(CRM_MAGDY!K326),0)</f>
        <v>0</v>
      </c>
      <c r="F326" s="57">
        <f>IFERROR(IF(CRM_MAGDY!L326&gt;1,CRM_MAGDY!L326/100,CRM_MAGDY!L326),0)</f>
        <v>0</v>
      </c>
      <c r="G326" s="57">
        <f>CRM_MAGDY!N326</f>
        <v>0</v>
      </c>
      <c r="H326" s="57">
        <f>CRM_MAGDY!M326</f>
        <v>0</v>
      </c>
      <c r="I326" s="57">
        <f t="shared" si="10"/>
        <v>0</v>
      </c>
      <c r="J326" s="57" t="str">
        <f t="shared" si="11"/>
        <v>POTENCJAŁ</v>
      </c>
    </row>
    <row r="327" spans="1:10" x14ac:dyDescent="0.25">
      <c r="A327" s="57" t="str">
        <f>IF(CRM_MAGDY!H327="","","CRM-"&amp;TEXT(ROW()-4,"0000"))</f>
        <v>CRM-0323</v>
      </c>
      <c r="B327" s="57">
        <f>CRM_MAGDY!E327</f>
        <v>0</v>
      </c>
      <c r="C327" s="57">
        <f>CRM_MAGDY!H327</f>
        <v>5768</v>
      </c>
      <c r="D327" s="57">
        <f>CRM_MAGDY!I327</f>
        <v>0</v>
      </c>
      <c r="E327" s="57">
        <f>IFERROR(VALUE(CRM_MAGDY!K327),0)</f>
        <v>0</v>
      </c>
      <c r="F327" s="57">
        <f>IFERROR(IF(CRM_MAGDY!L327&gt;1,CRM_MAGDY!L327/100,CRM_MAGDY!L327),0)</f>
        <v>0</v>
      </c>
      <c r="G327" s="57">
        <f>CRM_MAGDY!N327</f>
        <v>0</v>
      </c>
      <c r="H327" s="57">
        <f>CRM_MAGDY!M327</f>
        <v>0</v>
      </c>
      <c r="I327" s="57">
        <f t="shared" si="10"/>
        <v>0</v>
      </c>
      <c r="J327" s="57" t="str">
        <f t="shared" si="11"/>
        <v>POTENCJAŁ</v>
      </c>
    </row>
    <row r="328" spans="1:10" x14ac:dyDescent="0.25">
      <c r="A328" s="57" t="str">
        <f>IF(CRM_MAGDY!H328="","","CRM-"&amp;TEXT(ROW()-4,"0000"))</f>
        <v>CRM-0324</v>
      </c>
      <c r="B328" s="57">
        <f>CRM_MAGDY!E328</f>
        <v>0</v>
      </c>
      <c r="C328" s="57">
        <f>CRM_MAGDY!H328</f>
        <v>5769</v>
      </c>
      <c r="D328" s="57">
        <f>CRM_MAGDY!I328</f>
        <v>0</v>
      </c>
      <c r="E328" s="57">
        <f>IFERROR(VALUE(CRM_MAGDY!K328),0)</f>
        <v>0</v>
      </c>
      <c r="F328" s="57">
        <f>IFERROR(IF(CRM_MAGDY!L328&gt;1,CRM_MAGDY!L328/100,CRM_MAGDY!L328),0)</f>
        <v>0</v>
      </c>
      <c r="G328" s="57">
        <f>CRM_MAGDY!N328</f>
        <v>0</v>
      </c>
      <c r="H328" s="57">
        <f>CRM_MAGDY!M328</f>
        <v>0</v>
      </c>
      <c r="I328" s="57">
        <f t="shared" si="10"/>
        <v>0</v>
      </c>
      <c r="J328" s="57" t="str">
        <f t="shared" si="11"/>
        <v>POTENCJAŁ</v>
      </c>
    </row>
    <row r="329" spans="1:10" x14ac:dyDescent="0.25">
      <c r="A329" s="57" t="str">
        <f>IF(CRM_MAGDY!H329="","","CRM-"&amp;TEXT(ROW()-4,"0000"))</f>
        <v>CRM-0325</v>
      </c>
      <c r="B329" s="57">
        <f>CRM_MAGDY!E329</f>
        <v>0</v>
      </c>
      <c r="C329" s="57">
        <f>CRM_MAGDY!H329</f>
        <v>5770</v>
      </c>
      <c r="D329" s="57">
        <f>CRM_MAGDY!I329</f>
        <v>0</v>
      </c>
      <c r="E329" s="57">
        <f>IFERROR(VALUE(CRM_MAGDY!K329),0)</f>
        <v>0</v>
      </c>
      <c r="F329" s="57">
        <f>IFERROR(IF(CRM_MAGDY!L329&gt;1,CRM_MAGDY!L329/100,CRM_MAGDY!L329),0)</f>
        <v>0</v>
      </c>
      <c r="G329" s="57">
        <f>CRM_MAGDY!N329</f>
        <v>0</v>
      </c>
      <c r="H329" s="57">
        <f>CRM_MAGDY!M329</f>
        <v>0</v>
      </c>
      <c r="I329" s="57">
        <f t="shared" si="10"/>
        <v>0</v>
      </c>
      <c r="J329" s="57" t="str">
        <f t="shared" si="11"/>
        <v>POTENCJAŁ</v>
      </c>
    </row>
    <row r="330" spans="1:10" x14ac:dyDescent="0.25">
      <c r="A330" s="57" t="str">
        <f>IF(CRM_MAGDY!H330="","","CRM-"&amp;TEXT(ROW()-4,"0000"))</f>
        <v>CRM-0326</v>
      </c>
      <c r="B330" s="57">
        <f>CRM_MAGDY!E330</f>
        <v>0</v>
      </c>
      <c r="C330" s="57">
        <f>CRM_MAGDY!H330</f>
        <v>5771</v>
      </c>
      <c r="D330" s="57">
        <f>CRM_MAGDY!I330</f>
        <v>0</v>
      </c>
      <c r="E330" s="57">
        <f>IFERROR(VALUE(CRM_MAGDY!K330),0)</f>
        <v>0</v>
      </c>
      <c r="F330" s="57">
        <f>IFERROR(IF(CRM_MAGDY!L330&gt;1,CRM_MAGDY!L330/100,CRM_MAGDY!L330),0)</f>
        <v>0</v>
      </c>
      <c r="G330" s="57">
        <f>CRM_MAGDY!N330</f>
        <v>0</v>
      </c>
      <c r="H330" s="57">
        <f>CRM_MAGDY!M330</f>
        <v>0</v>
      </c>
      <c r="I330" s="57">
        <f t="shared" si="10"/>
        <v>0</v>
      </c>
      <c r="J330" s="57" t="str">
        <f t="shared" si="11"/>
        <v>POTENCJAŁ</v>
      </c>
    </row>
    <row r="331" spans="1:10" x14ac:dyDescent="0.25">
      <c r="A331" s="57" t="str">
        <f>IF(CRM_MAGDY!H331="","","CRM-"&amp;TEXT(ROW()-4,"0000"))</f>
        <v>CRM-0327</v>
      </c>
      <c r="B331" s="57">
        <f>CRM_MAGDY!E331</f>
        <v>0</v>
      </c>
      <c r="C331" s="57">
        <f>CRM_MAGDY!H331</f>
        <v>5772</v>
      </c>
      <c r="D331" s="57">
        <f>CRM_MAGDY!I331</f>
        <v>0</v>
      </c>
      <c r="E331" s="57">
        <f>IFERROR(VALUE(CRM_MAGDY!K331),0)</f>
        <v>0</v>
      </c>
      <c r="F331" s="57">
        <f>IFERROR(IF(CRM_MAGDY!L331&gt;1,CRM_MAGDY!L331/100,CRM_MAGDY!L331),0)</f>
        <v>0</v>
      </c>
      <c r="G331" s="57">
        <f>CRM_MAGDY!N331</f>
        <v>0</v>
      </c>
      <c r="H331" s="57">
        <f>CRM_MAGDY!M331</f>
        <v>0</v>
      </c>
      <c r="I331" s="57">
        <f t="shared" si="10"/>
        <v>0</v>
      </c>
      <c r="J331" s="57" t="str">
        <f t="shared" si="11"/>
        <v>POTENCJAŁ</v>
      </c>
    </row>
    <row r="332" spans="1:10" x14ac:dyDescent="0.25">
      <c r="A332" s="57" t="str">
        <f>IF(CRM_MAGDY!H332="","","CRM-"&amp;TEXT(ROW()-4,"0000"))</f>
        <v>CRM-0328</v>
      </c>
      <c r="B332" s="57">
        <f>CRM_MAGDY!E332</f>
        <v>0</v>
      </c>
      <c r="C332" s="57">
        <f>CRM_MAGDY!H332</f>
        <v>5773</v>
      </c>
      <c r="D332" s="57">
        <f>CRM_MAGDY!I332</f>
        <v>0</v>
      </c>
      <c r="E332" s="57">
        <f>IFERROR(VALUE(CRM_MAGDY!K332),0)</f>
        <v>0</v>
      </c>
      <c r="F332" s="57">
        <f>IFERROR(IF(CRM_MAGDY!L332&gt;1,CRM_MAGDY!L332/100,CRM_MAGDY!L332),0)</f>
        <v>0</v>
      </c>
      <c r="G332" s="57">
        <f>CRM_MAGDY!N332</f>
        <v>0</v>
      </c>
      <c r="H332" s="57">
        <f>CRM_MAGDY!M332</f>
        <v>0</v>
      </c>
      <c r="I332" s="57">
        <f t="shared" si="10"/>
        <v>0</v>
      </c>
      <c r="J332" s="57" t="str">
        <f t="shared" si="11"/>
        <v>POTENCJAŁ</v>
      </c>
    </row>
    <row r="333" spans="1:10" x14ac:dyDescent="0.25">
      <c r="A333" s="57" t="str">
        <f>IF(CRM_MAGDY!H333="","","CRM-"&amp;TEXT(ROW()-4,"0000"))</f>
        <v>CRM-0329</v>
      </c>
      <c r="B333" s="57">
        <f>CRM_MAGDY!E333</f>
        <v>0</v>
      </c>
      <c r="C333" s="57">
        <f>CRM_MAGDY!H333</f>
        <v>5774</v>
      </c>
      <c r="D333" s="57">
        <f>CRM_MAGDY!I333</f>
        <v>0</v>
      </c>
      <c r="E333" s="57">
        <f>IFERROR(VALUE(CRM_MAGDY!K333),0)</f>
        <v>0</v>
      </c>
      <c r="F333" s="57">
        <f>IFERROR(IF(CRM_MAGDY!L333&gt;1,CRM_MAGDY!L333/100,CRM_MAGDY!L333),0)</f>
        <v>0</v>
      </c>
      <c r="G333" s="57">
        <f>CRM_MAGDY!N333</f>
        <v>0</v>
      </c>
      <c r="H333" s="57">
        <f>CRM_MAGDY!M333</f>
        <v>0</v>
      </c>
      <c r="I333" s="57">
        <f t="shared" si="10"/>
        <v>0</v>
      </c>
      <c r="J333" s="57" t="str">
        <f t="shared" si="11"/>
        <v>POTENCJAŁ</v>
      </c>
    </row>
    <row r="334" spans="1:10" x14ac:dyDescent="0.25">
      <c r="A334" s="57" t="str">
        <f>IF(CRM_MAGDY!H334="","","CRM-"&amp;TEXT(ROW()-4,"0000"))</f>
        <v>CRM-0330</v>
      </c>
      <c r="B334" s="57">
        <f>CRM_MAGDY!E334</f>
        <v>0</v>
      </c>
      <c r="C334" s="57">
        <f>CRM_MAGDY!H334</f>
        <v>5775</v>
      </c>
      <c r="D334" s="57">
        <f>CRM_MAGDY!I334</f>
        <v>0</v>
      </c>
      <c r="E334" s="57">
        <f>IFERROR(VALUE(CRM_MAGDY!K334),0)</f>
        <v>0</v>
      </c>
      <c r="F334" s="57">
        <f>IFERROR(IF(CRM_MAGDY!L334&gt;1,CRM_MAGDY!L334/100,CRM_MAGDY!L334),0)</f>
        <v>0</v>
      </c>
      <c r="G334" s="57">
        <f>CRM_MAGDY!N334</f>
        <v>0</v>
      </c>
      <c r="H334" s="57">
        <f>CRM_MAGDY!M334</f>
        <v>0</v>
      </c>
      <c r="I334" s="57">
        <f t="shared" si="10"/>
        <v>0</v>
      </c>
      <c r="J334" s="57" t="str">
        <f t="shared" si="11"/>
        <v>POTENCJAŁ</v>
      </c>
    </row>
    <row r="335" spans="1:10" x14ac:dyDescent="0.25">
      <c r="A335" s="57" t="str">
        <f>IF(CRM_MAGDY!H335="","","CRM-"&amp;TEXT(ROW()-4,"0000"))</f>
        <v>CRM-0331</v>
      </c>
      <c r="B335" s="57">
        <f>CRM_MAGDY!E335</f>
        <v>0</v>
      </c>
      <c r="C335" s="57">
        <f>CRM_MAGDY!H335</f>
        <v>5776</v>
      </c>
      <c r="D335" s="57">
        <f>CRM_MAGDY!I335</f>
        <v>0</v>
      </c>
      <c r="E335" s="57">
        <f>IFERROR(VALUE(CRM_MAGDY!K335),0)</f>
        <v>0</v>
      </c>
      <c r="F335" s="57">
        <f>IFERROR(IF(CRM_MAGDY!L335&gt;1,CRM_MAGDY!L335/100,CRM_MAGDY!L335),0)</f>
        <v>0</v>
      </c>
      <c r="G335" s="57">
        <f>CRM_MAGDY!N335</f>
        <v>0</v>
      </c>
      <c r="H335" s="57">
        <f>CRM_MAGDY!M335</f>
        <v>0</v>
      </c>
      <c r="I335" s="57">
        <f t="shared" si="10"/>
        <v>0</v>
      </c>
      <c r="J335" s="57" t="str">
        <f t="shared" si="11"/>
        <v>POTENCJAŁ</v>
      </c>
    </row>
    <row r="336" spans="1:10" x14ac:dyDescent="0.25">
      <c r="A336" s="57" t="str">
        <f>IF(CRM_MAGDY!H336="","","CRM-"&amp;TEXT(ROW()-4,"0000"))</f>
        <v>CRM-0332</v>
      </c>
      <c r="B336" s="57">
        <f>CRM_MAGDY!E336</f>
        <v>0</v>
      </c>
      <c r="C336" s="57">
        <f>CRM_MAGDY!H336</f>
        <v>5777</v>
      </c>
      <c r="D336" s="57">
        <f>CRM_MAGDY!I336</f>
        <v>0</v>
      </c>
      <c r="E336" s="57">
        <f>IFERROR(VALUE(CRM_MAGDY!K336),0)</f>
        <v>0</v>
      </c>
      <c r="F336" s="57">
        <f>IFERROR(IF(CRM_MAGDY!L336&gt;1,CRM_MAGDY!L336/100,CRM_MAGDY!L336),0)</f>
        <v>0</v>
      </c>
      <c r="G336" s="57">
        <f>CRM_MAGDY!N336</f>
        <v>0</v>
      </c>
      <c r="H336" s="57">
        <f>CRM_MAGDY!M336</f>
        <v>0</v>
      </c>
      <c r="I336" s="57">
        <f t="shared" si="10"/>
        <v>0</v>
      </c>
      <c r="J336" s="57" t="str">
        <f t="shared" si="11"/>
        <v>POTENCJAŁ</v>
      </c>
    </row>
    <row r="337" spans="1:10" x14ac:dyDescent="0.25">
      <c r="A337" s="57" t="str">
        <f>IF(CRM_MAGDY!H337="","","CRM-"&amp;TEXT(ROW()-4,"0000"))</f>
        <v>CRM-0333</v>
      </c>
      <c r="B337" s="57">
        <f>CRM_MAGDY!E337</f>
        <v>0</v>
      </c>
      <c r="C337" s="57">
        <f>CRM_MAGDY!H337</f>
        <v>5778</v>
      </c>
      <c r="D337" s="57">
        <f>CRM_MAGDY!I337</f>
        <v>0</v>
      </c>
      <c r="E337" s="57">
        <f>IFERROR(VALUE(CRM_MAGDY!K337),0)</f>
        <v>0</v>
      </c>
      <c r="F337" s="57">
        <f>IFERROR(IF(CRM_MAGDY!L337&gt;1,CRM_MAGDY!L337/100,CRM_MAGDY!L337),0)</f>
        <v>0</v>
      </c>
      <c r="G337" s="57">
        <f>CRM_MAGDY!N337</f>
        <v>0</v>
      </c>
      <c r="H337" s="57">
        <f>CRM_MAGDY!M337</f>
        <v>0</v>
      </c>
      <c r="I337" s="57">
        <f t="shared" si="10"/>
        <v>0</v>
      </c>
      <c r="J337" s="57" t="str">
        <f t="shared" si="11"/>
        <v>POTENCJAŁ</v>
      </c>
    </row>
    <row r="338" spans="1:10" x14ac:dyDescent="0.25">
      <c r="A338" s="57" t="str">
        <f>IF(CRM_MAGDY!H338="","","CRM-"&amp;TEXT(ROW()-4,"0000"))</f>
        <v>CRM-0334</v>
      </c>
      <c r="B338" s="57">
        <f>CRM_MAGDY!E338</f>
        <v>0</v>
      </c>
      <c r="C338" s="57">
        <f>CRM_MAGDY!H338</f>
        <v>5779</v>
      </c>
      <c r="D338" s="57">
        <f>CRM_MAGDY!I338</f>
        <v>0</v>
      </c>
      <c r="E338" s="57">
        <f>IFERROR(VALUE(CRM_MAGDY!K338),0)</f>
        <v>0</v>
      </c>
      <c r="F338" s="57">
        <f>IFERROR(IF(CRM_MAGDY!L338&gt;1,CRM_MAGDY!L338/100,CRM_MAGDY!L338),0)</f>
        <v>0</v>
      </c>
      <c r="G338" s="57">
        <f>CRM_MAGDY!N338</f>
        <v>0</v>
      </c>
      <c r="H338" s="57">
        <f>CRM_MAGDY!M338</f>
        <v>0</v>
      </c>
      <c r="I338" s="57">
        <f t="shared" si="10"/>
        <v>0</v>
      </c>
      <c r="J338" s="57" t="str">
        <f t="shared" si="11"/>
        <v>POTENCJAŁ</v>
      </c>
    </row>
    <row r="339" spans="1:10" x14ac:dyDescent="0.25">
      <c r="A339" s="57" t="str">
        <f>IF(CRM_MAGDY!H339="","","CRM-"&amp;TEXT(ROW()-4,"0000"))</f>
        <v>CRM-0335</v>
      </c>
      <c r="B339" s="57">
        <f>CRM_MAGDY!E339</f>
        <v>0</v>
      </c>
      <c r="C339" s="57">
        <f>CRM_MAGDY!H339</f>
        <v>5780</v>
      </c>
      <c r="D339" s="57">
        <f>CRM_MAGDY!I339</f>
        <v>0</v>
      </c>
      <c r="E339" s="57">
        <f>IFERROR(VALUE(CRM_MAGDY!K339),0)</f>
        <v>0</v>
      </c>
      <c r="F339" s="57">
        <f>IFERROR(IF(CRM_MAGDY!L339&gt;1,CRM_MAGDY!L339/100,CRM_MAGDY!L339),0)</f>
        <v>0</v>
      </c>
      <c r="G339" s="57">
        <f>CRM_MAGDY!N339</f>
        <v>0</v>
      </c>
      <c r="H339" s="57">
        <f>CRM_MAGDY!M339</f>
        <v>0</v>
      </c>
      <c r="I339" s="57">
        <f t="shared" si="10"/>
        <v>0</v>
      </c>
      <c r="J339" s="57" t="str">
        <f t="shared" si="11"/>
        <v>POTENCJAŁ</v>
      </c>
    </row>
    <row r="340" spans="1:10" x14ac:dyDescent="0.25">
      <c r="A340" s="57" t="str">
        <f>IF(CRM_MAGDY!H340="","","CRM-"&amp;TEXT(ROW()-4,"0000"))</f>
        <v>CRM-0336</v>
      </c>
      <c r="B340" s="57">
        <f>CRM_MAGDY!E340</f>
        <v>0</v>
      </c>
      <c r="C340" s="57">
        <f>CRM_MAGDY!H340</f>
        <v>5781</v>
      </c>
      <c r="D340" s="57">
        <f>CRM_MAGDY!I340</f>
        <v>0</v>
      </c>
      <c r="E340" s="57">
        <f>IFERROR(VALUE(CRM_MAGDY!K340),0)</f>
        <v>0</v>
      </c>
      <c r="F340" s="57">
        <f>IFERROR(IF(CRM_MAGDY!L340&gt;1,CRM_MAGDY!L340/100,CRM_MAGDY!L340),0)</f>
        <v>0</v>
      </c>
      <c r="G340" s="57">
        <f>CRM_MAGDY!N340</f>
        <v>0</v>
      </c>
      <c r="H340" s="57">
        <f>CRM_MAGDY!M340</f>
        <v>0</v>
      </c>
      <c r="I340" s="57">
        <f t="shared" si="10"/>
        <v>0</v>
      </c>
      <c r="J340" s="57" t="str">
        <f t="shared" si="11"/>
        <v>POTENCJAŁ</v>
      </c>
    </row>
    <row r="341" spans="1:10" x14ac:dyDescent="0.25">
      <c r="A341" s="57" t="str">
        <f>IF(CRM_MAGDY!H341="","","CRM-"&amp;TEXT(ROW()-4,"0000"))</f>
        <v>CRM-0337</v>
      </c>
      <c r="B341" s="57">
        <f>CRM_MAGDY!E341</f>
        <v>0</v>
      </c>
      <c r="C341" s="57">
        <f>CRM_MAGDY!H341</f>
        <v>5782</v>
      </c>
      <c r="D341" s="57">
        <f>CRM_MAGDY!I341</f>
        <v>0</v>
      </c>
      <c r="E341" s="57">
        <f>IFERROR(VALUE(CRM_MAGDY!K341),0)</f>
        <v>0</v>
      </c>
      <c r="F341" s="57">
        <f>IFERROR(IF(CRM_MAGDY!L341&gt;1,CRM_MAGDY!L341/100,CRM_MAGDY!L341),0)</f>
        <v>0</v>
      </c>
      <c r="G341" s="57">
        <f>CRM_MAGDY!N341</f>
        <v>0</v>
      </c>
      <c r="H341" s="57">
        <f>CRM_MAGDY!M341</f>
        <v>0</v>
      </c>
      <c r="I341" s="57">
        <f t="shared" si="10"/>
        <v>0</v>
      </c>
      <c r="J341" s="57" t="str">
        <f t="shared" si="11"/>
        <v>POTENCJAŁ</v>
      </c>
    </row>
    <row r="342" spans="1:10" x14ac:dyDescent="0.25">
      <c r="A342" s="57" t="str">
        <f>IF(CRM_MAGDY!H342="","","CRM-"&amp;TEXT(ROW()-4,"0000"))</f>
        <v>CRM-0338</v>
      </c>
      <c r="B342" s="57">
        <f>CRM_MAGDY!E342</f>
        <v>0</v>
      </c>
      <c r="C342" s="57">
        <f>CRM_MAGDY!H342</f>
        <v>5783</v>
      </c>
      <c r="D342" s="57">
        <f>CRM_MAGDY!I342</f>
        <v>0</v>
      </c>
      <c r="E342" s="57">
        <f>IFERROR(VALUE(CRM_MAGDY!K342),0)</f>
        <v>0</v>
      </c>
      <c r="F342" s="57">
        <f>IFERROR(IF(CRM_MAGDY!L342&gt;1,CRM_MAGDY!L342/100,CRM_MAGDY!L342),0)</f>
        <v>0</v>
      </c>
      <c r="G342" s="57">
        <f>CRM_MAGDY!N342</f>
        <v>0</v>
      </c>
      <c r="H342" s="57">
        <f>CRM_MAGDY!M342</f>
        <v>0</v>
      </c>
      <c r="I342" s="57">
        <f t="shared" si="10"/>
        <v>0</v>
      </c>
      <c r="J342" s="57" t="str">
        <f t="shared" si="11"/>
        <v>POTENCJAŁ</v>
      </c>
    </row>
    <row r="343" spans="1:10" x14ac:dyDescent="0.25">
      <c r="A343" s="57" t="str">
        <f>IF(CRM_MAGDY!H343="","","CRM-"&amp;TEXT(ROW()-4,"0000"))</f>
        <v>CRM-0339</v>
      </c>
      <c r="B343" s="57">
        <f>CRM_MAGDY!E343</f>
        <v>0</v>
      </c>
      <c r="C343" s="57">
        <f>CRM_MAGDY!H343</f>
        <v>5784</v>
      </c>
      <c r="D343" s="57">
        <f>CRM_MAGDY!I343</f>
        <v>0</v>
      </c>
      <c r="E343" s="57">
        <f>IFERROR(VALUE(CRM_MAGDY!K343),0)</f>
        <v>0</v>
      </c>
      <c r="F343" s="57">
        <f>IFERROR(IF(CRM_MAGDY!L343&gt;1,CRM_MAGDY!L343/100,CRM_MAGDY!L343),0)</f>
        <v>0</v>
      </c>
      <c r="G343" s="57">
        <f>CRM_MAGDY!N343</f>
        <v>0</v>
      </c>
      <c r="H343" s="57">
        <f>CRM_MAGDY!M343</f>
        <v>0</v>
      </c>
      <c r="I343" s="57">
        <f t="shared" si="10"/>
        <v>0</v>
      </c>
      <c r="J343" s="57" t="str">
        <f t="shared" si="11"/>
        <v>POTENCJAŁ</v>
      </c>
    </row>
    <row r="344" spans="1:10" x14ac:dyDescent="0.25">
      <c r="A344" s="57" t="str">
        <f>IF(CRM_MAGDY!H344="","","CRM-"&amp;TEXT(ROW()-4,"0000"))</f>
        <v>CRM-0340</v>
      </c>
      <c r="B344" s="57">
        <f>CRM_MAGDY!E344</f>
        <v>0</v>
      </c>
      <c r="C344" s="57">
        <f>CRM_MAGDY!H344</f>
        <v>5785</v>
      </c>
      <c r="D344" s="57">
        <f>CRM_MAGDY!I344</f>
        <v>0</v>
      </c>
      <c r="E344" s="57">
        <f>IFERROR(VALUE(CRM_MAGDY!K344),0)</f>
        <v>0</v>
      </c>
      <c r="F344" s="57">
        <f>IFERROR(IF(CRM_MAGDY!L344&gt;1,CRM_MAGDY!L344/100,CRM_MAGDY!L344),0)</f>
        <v>0</v>
      </c>
      <c r="G344" s="57">
        <f>CRM_MAGDY!N344</f>
        <v>0</v>
      </c>
      <c r="H344" s="57">
        <f>CRM_MAGDY!M344</f>
        <v>0</v>
      </c>
      <c r="I344" s="57">
        <f t="shared" si="10"/>
        <v>0</v>
      </c>
      <c r="J344" s="57" t="str">
        <f t="shared" si="11"/>
        <v>POTENCJAŁ</v>
      </c>
    </row>
    <row r="345" spans="1:10" x14ac:dyDescent="0.25">
      <c r="A345" s="57" t="str">
        <f>IF(CRM_MAGDY!H345="","","CRM-"&amp;TEXT(ROW()-4,"0000"))</f>
        <v>CRM-0341</v>
      </c>
      <c r="B345" s="57">
        <f>CRM_MAGDY!E345</f>
        <v>0</v>
      </c>
      <c r="C345" s="57">
        <f>CRM_MAGDY!H345</f>
        <v>5786</v>
      </c>
      <c r="D345" s="57">
        <f>CRM_MAGDY!I345</f>
        <v>0</v>
      </c>
      <c r="E345" s="57">
        <f>IFERROR(VALUE(CRM_MAGDY!K345),0)</f>
        <v>0</v>
      </c>
      <c r="F345" s="57">
        <f>IFERROR(IF(CRM_MAGDY!L345&gt;1,CRM_MAGDY!L345/100,CRM_MAGDY!L345),0)</f>
        <v>0</v>
      </c>
      <c r="G345" s="57">
        <f>CRM_MAGDY!N345</f>
        <v>0</v>
      </c>
      <c r="H345" s="57">
        <f>CRM_MAGDY!M345</f>
        <v>0</v>
      </c>
      <c r="I345" s="57">
        <f t="shared" si="10"/>
        <v>0</v>
      </c>
      <c r="J345" s="57" t="str">
        <f t="shared" si="11"/>
        <v>POTENCJAŁ</v>
      </c>
    </row>
    <row r="346" spans="1:10" x14ac:dyDescent="0.25">
      <c r="A346" s="57" t="str">
        <f>IF(CRM_MAGDY!H346="","","CRM-"&amp;TEXT(ROW()-4,"0000"))</f>
        <v>CRM-0342</v>
      </c>
      <c r="B346" s="57">
        <f>CRM_MAGDY!E346</f>
        <v>0</v>
      </c>
      <c r="C346" s="57">
        <f>CRM_MAGDY!H346</f>
        <v>5787</v>
      </c>
      <c r="D346" s="57">
        <f>CRM_MAGDY!I346</f>
        <v>0</v>
      </c>
      <c r="E346" s="57">
        <f>IFERROR(VALUE(CRM_MAGDY!K346),0)</f>
        <v>0</v>
      </c>
      <c r="F346" s="57">
        <f>IFERROR(IF(CRM_MAGDY!L346&gt;1,CRM_MAGDY!L346/100,CRM_MAGDY!L346),0)</f>
        <v>0</v>
      </c>
      <c r="G346" s="57">
        <f>CRM_MAGDY!N346</f>
        <v>0</v>
      </c>
      <c r="H346" s="57">
        <f>CRM_MAGDY!M346</f>
        <v>0</v>
      </c>
      <c r="I346" s="57">
        <f t="shared" si="10"/>
        <v>0</v>
      </c>
      <c r="J346" s="57" t="str">
        <f t="shared" si="11"/>
        <v>POTENCJAŁ</v>
      </c>
    </row>
    <row r="347" spans="1:10" x14ac:dyDescent="0.25">
      <c r="A347" s="57" t="str">
        <f>IF(CRM_MAGDY!H347="","","CRM-"&amp;TEXT(ROW()-4,"0000"))</f>
        <v>CRM-0343</v>
      </c>
      <c r="B347" s="57">
        <f>CRM_MAGDY!E347</f>
        <v>0</v>
      </c>
      <c r="C347" s="57">
        <f>CRM_MAGDY!H347</f>
        <v>5788</v>
      </c>
      <c r="D347" s="57">
        <f>CRM_MAGDY!I347</f>
        <v>0</v>
      </c>
      <c r="E347" s="57">
        <f>IFERROR(VALUE(CRM_MAGDY!K347),0)</f>
        <v>0</v>
      </c>
      <c r="F347" s="57">
        <f>IFERROR(IF(CRM_MAGDY!L347&gt;1,CRM_MAGDY!L347/100,CRM_MAGDY!L347),0)</f>
        <v>0</v>
      </c>
      <c r="G347" s="57">
        <f>CRM_MAGDY!N347</f>
        <v>0</v>
      </c>
      <c r="H347" s="57">
        <f>CRM_MAGDY!M347</f>
        <v>0</v>
      </c>
      <c r="I347" s="57">
        <f t="shared" si="10"/>
        <v>0</v>
      </c>
      <c r="J347" s="57" t="str">
        <f t="shared" si="11"/>
        <v>POTENCJAŁ</v>
      </c>
    </row>
    <row r="348" spans="1:10" x14ac:dyDescent="0.25">
      <c r="A348" s="57" t="str">
        <f>IF(CRM_MAGDY!H348="","","CRM-"&amp;TEXT(ROW()-4,"0000"))</f>
        <v>CRM-0344</v>
      </c>
      <c r="B348" s="57">
        <f>CRM_MAGDY!E348</f>
        <v>0</v>
      </c>
      <c r="C348" s="57">
        <f>CRM_MAGDY!H348</f>
        <v>5789</v>
      </c>
      <c r="D348" s="57">
        <f>CRM_MAGDY!I348</f>
        <v>0</v>
      </c>
      <c r="E348" s="57">
        <f>IFERROR(VALUE(CRM_MAGDY!K348),0)</f>
        <v>0</v>
      </c>
      <c r="F348" s="57">
        <f>IFERROR(IF(CRM_MAGDY!L348&gt;1,CRM_MAGDY!L348/100,CRM_MAGDY!L348),0)</f>
        <v>0</v>
      </c>
      <c r="G348" s="57">
        <f>CRM_MAGDY!N348</f>
        <v>0</v>
      </c>
      <c r="H348" s="57">
        <f>CRM_MAGDY!M348</f>
        <v>0</v>
      </c>
      <c r="I348" s="57">
        <f t="shared" si="10"/>
        <v>0</v>
      </c>
      <c r="J348" s="57" t="str">
        <f t="shared" si="11"/>
        <v>POTENCJAŁ</v>
      </c>
    </row>
    <row r="349" spans="1:10" x14ac:dyDescent="0.25">
      <c r="A349" s="57" t="str">
        <f>IF(CRM_MAGDY!H349="","","CRM-"&amp;TEXT(ROW()-4,"0000"))</f>
        <v>CRM-0345</v>
      </c>
      <c r="B349" s="57">
        <f>CRM_MAGDY!E349</f>
        <v>0</v>
      </c>
      <c r="C349" s="57">
        <f>CRM_MAGDY!H349</f>
        <v>5790</v>
      </c>
      <c r="D349" s="57">
        <f>CRM_MAGDY!I349</f>
        <v>0</v>
      </c>
      <c r="E349" s="57">
        <f>IFERROR(VALUE(CRM_MAGDY!K349),0)</f>
        <v>0</v>
      </c>
      <c r="F349" s="57">
        <f>IFERROR(IF(CRM_MAGDY!L349&gt;1,CRM_MAGDY!L349/100,CRM_MAGDY!L349),0)</f>
        <v>0</v>
      </c>
      <c r="G349" s="57">
        <f>CRM_MAGDY!N349</f>
        <v>0</v>
      </c>
      <c r="H349" s="57">
        <f>CRM_MAGDY!M349</f>
        <v>0</v>
      </c>
      <c r="I349" s="57">
        <f t="shared" si="10"/>
        <v>0</v>
      </c>
      <c r="J349" s="57" t="str">
        <f t="shared" si="11"/>
        <v>POTENCJAŁ</v>
      </c>
    </row>
    <row r="350" spans="1:10" x14ac:dyDescent="0.25">
      <c r="A350" s="57" t="str">
        <f>IF(CRM_MAGDY!H350="","","CRM-"&amp;TEXT(ROW()-4,"0000"))</f>
        <v>CRM-0346</v>
      </c>
      <c r="B350" s="57">
        <f>CRM_MAGDY!E350</f>
        <v>0</v>
      </c>
      <c r="C350" s="57">
        <f>CRM_MAGDY!H350</f>
        <v>5791</v>
      </c>
      <c r="D350" s="57">
        <f>CRM_MAGDY!I350</f>
        <v>0</v>
      </c>
      <c r="E350" s="57">
        <f>IFERROR(VALUE(CRM_MAGDY!K350),0)</f>
        <v>0</v>
      </c>
      <c r="F350" s="57">
        <f>IFERROR(IF(CRM_MAGDY!L350&gt;1,CRM_MAGDY!L350/100,CRM_MAGDY!L350),0)</f>
        <v>0</v>
      </c>
      <c r="G350" s="57">
        <f>CRM_MAGDY!N350</f>
        <v>0</v>
      </c>
      <c r="H350" s="57">
        <f>CRM_MAGDY!M350</f>
        <v>0</v>
      </c>
      <c r="I350" s="57">
        <f t="shared" si="10"/>
        <v>0</v>
      </c>
      <c r="J350" s="57" t="str">
        <f t="shared" si="11"/>
        <v>POTENCJAŁ</v>
      </c>
    </row>
    <row r="351" spans="1:10" x14ac:dyDescent="0.25">
      <c r="A351" s="57" t="str">
        <f>IF(CRM_MAGDY!H351="","","CRM-"&amp;TEXT(ROW()-4,"0000"))</f>
        <v>CRM-0347</v>
      </c>
      <c r="B351" s="57">
        <f>CRM_MAGDY!E351</f>
        <v>0</v>
      </c>
      <c r="C351" s="57">
        <f>CRM_MAGDY!H351</f>
        <v>5792</v>
      </c>
      <c r="D351" s="57">
        <f>CRM_MAGDY!I351</f>
        <v>0</v>
      </c>
      <c r="E351" s="57">
        <f>IFERROR(VALUE(CRM_MAGDY!K351),0)</f>
        <v>0</v>
      </c>
      <c r="F351" s="57">
        <f>IFERROR(IF(CRM_MAGDY!L351&gt;1,CRM_MAGDY!L351/100,CRM_MAGDY!L351),0)</f>
        <v>0</v>
      </c>
      <c r="G351" s="57">
        <f>CRM_MAGDY!N351</f>
        <v>0</v>
      </c>
      <c r="H351" s="57">
        <f>CRM_MAGDY!M351</f>
        <v>0</v>
      </c>
      <c r="I351" s="57">
        <f t="shared" si="10"/>
        <v>0</v>
      </c>
      <c r="J351" s="57" t="str">
        <f t="shared" si="11"/>
        <v>POTENCJAŁ</v>
      </c>
    </row>
    <row r="352" spans="1:10" x14ac:dyDescent="0.25">
      <c r="A352" s="57" t="str">
        <f>IF(CRM_MAGDY!H352="","","CRM-"&amp;TEXT(ROW()-4,"0000"))</f>
        <v>CRM-0348</v>
      </c>
      <c r="B352" s="57">
        <f>CRM_MAGDY!E352</f>
        <v>0</v>
      </c>
      <c r="C352" s="57">
        <f>CRM_MAGDY!H352</f>
        <v>5793</v>
      </c>
      <c r="D352" s="57">
        <f>CRM_MAGDY!I352</f>
        <v>0</v>
      </c>
      <c r="E352" s="57">
        <f>IFERROR(VALUE(CRM_MAGDY!K352),0)</f>
        <v>0</v>
      </c>
      <c r="F352" s="57">
        <f>IFERROR(IF(CRM_MAGDY!L352&gt;1,CRM_MAGDY!L352/100,CRM_MAGDY!L352),0)</f>
        <v>0</v>
      </c>
      <c r="G352" s="57">
        <f>CRM_MAGDY!N352</f>
        <v>0</v>
      </c>
      <c r="H352" s="57">
        <f>CRM_MAGDY!M352</f>
        <v>0</v>
      </c>
      <c r="I352" s="57">
        <f t="shared" si="10"/>
        <v>0</v>
      </c>
      <c r="J352" s="57" t="str">
        <f t="shared" si="11"/>
        <v>POTENCJAŁ</v>
      </c>
    </row>
    <row r="353" spans="1:10" x14ac:dyDescent="0.25">
      <c r="A353" s="57" t="str">
        <f>IF(CRM_MAGDY!H353="","","CRM-"&amp;TEXT(ROW()-4,"0000"))</f>
        <v>CRM-0349</v>
      </c>
      <c r="B353" s="57">
        <f>CRM_MAGDY!E353</f>
        <v>0</v>
      </c>
      <c r="C353" s="57">
        <f>CRM_MAGDY!H353</f>
        <v>5794</v>
      </c>
      <c r="D353" s="57">
        <f>CRM_MAGDY!I353</f>
        <v>0</v>
      </c>
      <c r="E353" s="57">
        <f>IFERROR(VALUE(CRM_MAGDY!K353),0)</f>
        <v>0</v>
      </c>
      <c r="F353" s="57">
        <f>IFERROR(IF(CRM_MAGDY!L353&gt;1,CRM_MAGDY!L353/100,CRM_MAGDY!L353),0)</f>
        <v>0</v>
      </c>
      <c r="G353" s="57">
        <f>CRM_MAGDY!N353</f>
        <v>0</v>
      </c>
      <c r="H353" s="57">
        <f>CRM_MAGDY!M353</f>
        <v>0</v>
      </c>
      <c r="I353" s="57">
        <f t="shared" si="10"/>
        <v>0</v>
      </c>
      <c r="J353" s="57" t="str">
        <f t="shared" si="11"/>
        <v>POTENCJAŁ</v>
      </c>
    </row>
    <row r="354" spans="1:10" x14ac:dyDescent="0.25">
      <c r="A354" s="57" t="str">
        <f>IF(CRM_MAGDY!H354="","","CRM-"&amp;TEXT(ROW()-4,"0000"))</f>
        <v>CRM-0350</v>
      </c>
      <c r="B354" s="57">
        <f>CRM_MAGDY!E354</f>
        <v>0</v>
      </c>
      <c r="C354" s="57">
        <f>CRM_MAGDY!H354</f>
        <v>5795</v>
      </c>
      <c r="D354" s="57">
        <f>CRM_MAGDY!I354</f>
        <v>0</v>
      </c>
      <c r="E354" s="57">
        <f>IFERROR(VALUE(CRM_MAGDY!K354),0)</f>
        <v>0</v>
      </c>
      <c r="F354" s="57">
        <f>IFERROR(IF(CRM_MAGDY!L354&gt;1,CRM_MAGDY!L354/100,CRM_MAGDY!L354),0)</f>
        <v>0</v>
      </c>
      <c r="G354" s="57">
        <f>CRM_MAGDY!N354</f>
        <v>0</v>
      </c>
      <c r="H354" s="57">
        <f>CRM_MAGDY!M354</f>
        <v>0</v>
      </c>
      <c r="I354" s="57">
        <f t="shared" si="10"/>
        <v>0</v>
      </c>
      <c r="J354" s="57" t="str">
        <f t="shared" si="11"/>
        <v>POTENCJAŁ</v>
      </c>
    </row>
    <row r="355" spans="1:10" x14ac:dyDescent="0.25">
      <c r="A355" s="57" t="str">
        <f>IF(CRM_MAGDY!H355="","","CRM-"&amp;TEXT(ROW()-4,"0000"))</f>
        <v>CRM-0351</v>
      </c>
      <c r="B355" s="57">
        <f>CRM_MAGDY!E355</f>
        <v>0</v>
      </c>
      <c r="C355" s="57">
        <f>CRM_MAGDY!H355</f>
        <v>5796</v>
      </c>
      <c r="D355" s="57">
        <f>CRM_MAGDY!I355</f>
        <v>0</v>
      </c>
      <c r="E355" s="57">
        <f>IFERROR(VALUE(CRM_MAGDY!K355),0)</f>
        <v>0</v>
      </c>
      <c r="F355" s="57">
        <f>IFERROR(IF(CRM_MAGDY!L355&gt;1,CRM_MAGDY!L355/100,CRM_MAGDY!L355),0)</f>
        <v>0</v>
      </c>
      <c r="G355" s="57">
        <f>CRM_MAGDY!N355</f>
        <v>0</v>
      </c>
      <c r="H355" s="57">
        <f>CRM_MAGDY!M355</f>
        <v>0</v>
      </c>
      <c r="I355" s="57">
        <f t="shared" si="10"/>
        <v>0</v>
      </c>
      <c r="J355" s="57" t="str">
        <f t="shared" si="11"/>
        <v>POTENCJAŁ</v>
      </c>
    </row>
    <row r="356" spans="1:10" x14ac:dyDescent="0.25">
      <c r="A356" s="57" t="str">
        <f>IF(CRM_MAGDY!H356="","","CRM-"&amp;TEXT(ROW()-4,"0000"))</f>
        <v>CRM-0352</v>
      </c>
      <c r="B356" s="57">
        <f>CRM_MAGDY!E356</f>
        <v>0</v>
      </c>
      <c r="C356" s="57">
        <f>CRM_MAGDY!H356</f>
        <v>5797</v>
      </c>
      <c r="D356" s="57">
        <f>CRM_MAGDY!I356</f>
        <v>0</v>
      </c>
      <c r="E356" s="57">
        <f>IFERROR(VALUE(CRM_MAGDY!K356),0)</f>
        <v>0</v>
      </c>
      <c r="F356" s="57">
        <f>IFERROR(IF(CRM_MAGDY!L356&gt;1,CRM_MAGDY!L356/100,CRM_MAGDY!L356),0)</f>
        <v>0</v>
      </c>
      <c r="G356" s="57">
        <f>CRM_MAGDY!N356</f>
        <v>0</v>
      </c>
      <c r="H356" s="57">
        <f>CRM_MAGDY!M356</f>
        <v>0</v>
      </c>
      <c r="I356" s="57">
        <f t="shared" si="10"/>
        <v>0</v>
      </c>
      <c r="J356" s="57" t="str">
        <f t="shared" si="11"/>
        <v>POTENCJAŁ</v>
      </c>
    </row>
    <row r="357" spans="1:10" x14ac:dyDescent="0.25">
      <c r="A357" s="57" t="str">
        <f>IF(CRM_MAGDY!H357="","","CRM-"&amp;TEXT(ROW()-4,"0000"))</f>
        <v>CRM-0353</v>
      </c>
      <c r="B357" s="57">
        <f>CRM_MAGDY!E357</f>
        <v>0</v>
      </c>
      <c r="C357" s="57">
        <f>CRM_MAGDY!H357</f>
        <v>5798</v>
      </c>
      <c r="D357" s="57">
        <f>CRM_MAGDY!I357</f>
        <v>0</v>
      </c>
      <c r="E357" s="57">
        <f>IFERROR(VALUE(CRM_MAGDY!K357),0)</f>
        <v>0</v>
      </c>
      <c r="F357" s="57">
        <f>IFERROR(IF(CRM_MAGDY!L357&gt;1,CRM_MAGDY!L357/100,CRM_MAGDY!L357),0)</f>
        <v>0</v>
      </c>
      <c r="G357" s="57">
        <f>CRM_MAGDY!N357</f>
        <v>0</v>
      </c>
      <c r="H357" s="57">
        <f>CRM_MAGDY!M357</f>
        <v>0</v>
      </c>
      <c r="I357" s="57">
        <f t="shared" si="10"/>
        <v>0</v>
      </c>
      <c r="J357" s="57" t="str">
        <f t="shared" si="11"/>
        <v>POTENCJAŁ</v>
      </c>
    </row>
    <row r="358" spans="1:10" x14ac:dyDescent="0.25">
      <c r="A358" s="57" t="str">
        <f>IF(CRM_MAGDY!H358="","","CRM-"&amp;TEXT(ROW()-4,"0000"))</f>
        <v>CRM-0354</v>
      </c>
      <c r="B358" s="57">
        <f>CRM_MAGDY!E358</f>
        <v>0</v>
      </c>
      <c r="C358" s="57">
        <f>CRM_MAGDY!H358</f>
        <v>5799</v>
      </c>
      <c r="D358" s="57">
        <f>CRM_MAGDY!I358</f>
        <v>0</v>
      </c>
      <c r="E358" s="57">
        <f>IFERROR(VALUE(CRM_MAGDY!K358),0)</f>
        <v>0</v>
      </c>
      <c r="F358" s="57">
        <f>IFERROR(IF(CRM_MAGDY!L358&gt;1,CRM_MAGDY!L358/100,CRM_MAGDY!L358),0)</f>
        <v>0</v>
      </c>
      <c r="G358" s="57">
        <f>CRM_MAGDY!N358</f>
        <v>0</v>
      </c>
      <c r="H358" s="57">
        <f>CRM_MAGDY!M358</f>
        <v>0</v>
      </c>
      <c r="I358" s="57">
        <f t="shared" si="10"/>
        <v>0</v>
      </c>
      <c r="J358" s="57" t="str">
        <f t="shared" si="11"/>
        <v>POTENCJAŁ</v>
      </c>
    </row>
    <row r="359" spans="1:10" x14ac:dyDescent="0.25">
      <c r="A359" s="57" t="str">
        <f>IF(CRM_MAGDY!H359="","","CRM-"&amp;TEXT(ROW()-4,"0000"))</f>
        <v>CRM-0355</v>
      </c>
      <c r="B359" s="57">
        <f>CRM_MAGDY!E359</f>
        <v>0</v>
      </c>
      <c r="C359" s="57">
        <f>CRM_MAGDY!H359</f>
        <v>5800</v>
      </c>
      <c r="D359" s="57">
        <f>CRM_MAGDY!I359</f>
        <v>0</v>
      </c>
      <c r="E359" s="57">
        <f>IFERROR(VALUE(CRM_MAGDY!K359),0)</f>
        <v>0</v>
      </c>
      <c r="F359" s="57">
        <f>IFERROR(IF(CRM_MAGDY!L359&gt;1,CRM_MAGDY!L359/100,CRM_MAGDY!L359),0)</f>
        <v>0</v>
      </c>
      <c r="G359" s="57">
        <f>CRM_MAGDY!N359</f>
        <v>0</v>
      </c>
      <c r="H359" s="57">
        <f>CRM_MAGDY!M359</f>
        <v>0</v>
      </c>
      <c r="I359" s="57">
        <f t="shared" si="10"/>
        <v>0</v>
      </c>
      <c r="J359" s="57" t="str">
        <f t="shared" si="11"/>
        <v>POTENCJAŁ</v>
      </c>
    </row>
    <row r="360" spans="1:10" x14ac:dyDescent="0.25">
      <c r="A360" s="57" t="str">
        <f>IF(CRM_MAGDY!H360="","","CRM-"&amp;TEXT(ROW()-4,"0000"))</f>
        <v>CRM-0356</v>
      </c>
      <c r="B360" s="57">
        <f>CRM_MAGDY!E360</f>
        <v>0</v>
      </c>
      <c r="C360" s="57">
        <f>CRM_MAGDY!H360</f>
        <v>5801</v>
      </c>
      <c r="D360" s="57">
        <f>CRM_MAGDY!I360</f>
        <v>0</v>
      </c>
      <c r="E360" s="57">
        <f>IFERROR(VALUE(CRM_MAGDY!K360),0)</f>
        <v>0</v>
      </c>
      <c r="F360" s="57">
        <f>IFERROR(IF(CRM_MAGDY!L360&gt;1,CRM_MAGDY!L360/100,CRM_MAGDY!L360),0)</f>
        <v>0</v>
      </c>
      <c r="G360" s="57">
        <f>CRM_MAGDY!N360</f>
        <v>0</v>
      </c>
      <c r="H360" s="57">
        <f>CRM_MAGDY!M360</f>
        <v>0</v>
      </c>
      <c r="I360" s="57">
        <f t="shared" si="10"/>
        <v>0</v>
      </c>
      <c r="J360" s="57" t="str">
        <f t="shared" si="11"/>
        <v>POTENCJAŁ</v>
      </c>
    </row>
    <row r="361" spans="1:10" x14ac:dyDescent="0.25">
      <c r="A361" s="57" t="str">
        <f>IF(CRM_MAGDY!H361="","","CRM-"&amp;TEXT(ROW()-4,"0000"))</f>
        <v>CRM-0357</v>
      </c>
      <c r="B361" s="57">
        <f>CRM_MAGDY!E361</f>
        <v>0</v>
      </c>
      <c r="C361" s="57">
        <f>CRM_MAGDY!H361</f>
        <v>5802</v>
      </c>
      <c r="D361" s="57">
        <f>CRM_MAGDY!I361</f>
        <v>0</v>
      </c>
      <c r="E361" s="57">
        <f>IFERROR(VALUE(CRM_MAGDY!K361),0)</f>
        <v>0</v>
      </c>
      <c r="F361" s="57">
        <f>IFERROR(IF(CRM_MAGDY!L361&gt;1,CRM_MAGDY!L361/100,CRM_MAGDY!L361),0)</f>
        <v>0</v>
      </c>
      <c r="G361" s="57">
        <f>CRM_MAGDY!N361</f>
        <v>0</v>
      </c>
      <c r="H361" s="57">
        <f>CRM_MAGDY!M361</f>
        <v>0</v>
      </c>
      <c r="I361" s="57">
        <f t="shared" si="10"/>
        <v>0</v>
      </c>
      <c r="J361" s="57" t="str">
        <f t="shared" si="11"/>
        <v>POTENCJAŁ</v>
      </c>
    </row>
    <row r="362" spans="1:10" x14ac:dyDescent="0.25">
      <c r="A362" s="57" t="str">
        <f>IF(CRM_MAGDY!H362="","","CRM-"&amp;TEXT(ROW()-4,"0000"))</f>
        <v>CRM-0358</v>
      </c>
      <c r="B362" s="57">
        <f>CRM_MAGDY!E362</f>
        <v>0</v>
      </c>
      <c r="C362" s="57">
        <f>CRM_MAGDY!H362</f>
        <v>5803</v>
      </c>
      <c r="D362" s="57">
        <f>CRM_MAGDY!I362</f>
        <v>0</v>
      </c>
      <c r="E362" s="57">
        <f>IFERROR(VALUE(CRM_MAGDY!K362),0)</f>
        <v>0</v>
      </c>
      <c r="F362" s="57">
        <f>IFERROR(IF(CRM_MAGDY!L362&gt;1,CRM_MAGDY!L362/100,CRM_MAGDY!L362),0)</f>
        <v>0</v>
      </c>
      <c r="G362" s="57">
        <f>CRM_MAGDY!N362</f>
        <v>0</v>
      </c>
      <c r="H362" s="57">
        <f>CRM_MAGDY!M362</f>
        <v>0</v>
      </c>
      <c r="I362" s="57">
        <f t="shared" si="10"/>
        <v>0</v>
      </c>
      <c r="J362" s="57" t="str">
        <f t="shared" si="11"/>
        <v>POTENCJAŁ</v>
      </c>
    </row>
    <row r="363" spans="1:10" x14ac:dyDescent="0.25">
      <c r="A363" s="57" t="str">
        <f>IF(CRM_MAGDY!H363="","","CRM-"&amp;TEXT(ROW()-4,"0000"))</f>
        <v>CRM-0359</v>
      </c>
      <c r="B363" s="57">
        <f>CRM_MAGDY!E363</f>
        <v>0</v>
      </c>
      <c r="C363" s="57">
        <f>CRM_MAGDY!H363</f>
        <v>5804</v>
      </c>
      <c r="D363" s="57">
        <f>CRM_MAGDY!I363</f>
        <v>0</v>
      </c>
      <c r="E363" s="57">
        <f>IFERROR(VALUE(CRM_MAGDY!K363),0)</f>
        <v>0</v>
      </c>
      <c r="F363" s="57">
        <f>IFERROR(IF(CRM_MAGDY!L363&gt;1,CRM_MAGDY!L363/100,CRM_MAGDY!L363),0)</f>
        <v>0</v>
      </c>
      <c r="G363" s="57">
        <f>CRM_MAGDY!N363</f>
        <v>0</v>
      </c>
      <c r="H363" s="57">
        <f>CRM_MAGDY!M363</f>
        <v>0</v>
      </c>
      <c r="I363" s="57">
        <f t="shared" si="10"/>
        <v>0</v>
      </c>
      <c r="J363" s="57" t="str">
        <f t="shared" si="11"/>
        <v>POTENCJAŁ</v>
      </c>
    </row>
    <row r="364" spans="1:10" x14ac:dyDescent="0.25">
      <c r="A364" s="57" t="str">
        <f>IF(CRM_MAGDY!H364="","","CRM-"&amp;TEXT(ROW()-4,"0000"))</f>
        <v>CRM-0360</v>
      </c>
      <c r="B364" s="57">
        <f>CRM_MAGDY!E364</f>
        <v>0</v>
      </c>
      <c r="C364" s="57">
        <f>CRM_MAGDY!H364</f>
        <v>5805</v>
      </c>
      <c r="D364" s="57">
        <f>CRM_MAGDY!I364</f>
        <v>0</v>
      </c>
      <c r="E364" s="57">
        <f>IFERROR(VALUE(CRM_MAGDY!K364),0)</f>
        <v>0</v>
      </c>
      <c r="F364" s="57">
        <f>IFERROR(IF(CRM_MAGDY!L364&gt;1,CRM_MAGDY!L364/100,CRM_MAGDY!L364),0)</f>
        <v>0</v>
      </c>
      <c r="G364" s="57">
        <f>CRM_MAGDY!N364</f>
        <v>0</v>
      </c>
      <c r="H364" s="57">
        <f>CRM_MAGDY!M364</f>
        <v>0</v>
      </c>
      <c r="I364" s="57">
        <f t="shared" si="10"/>
        <v>0</v>
      </c>
      <c r="J364" s="57" t="str">
        <f t="shared" si="11"/>
        <v>POTENCJAŁ</v>
      </c>
    </row>
    <row r="365" spans="1:10" x14ac:dyDescent="0.25">
      <c r="A365" s="57" t="str">
        <f>IF(CRM_MAGDY!H365="","","CRM-"&amp;TEXT(ROW()-4,"0000"))</f>
        <v>CRM-0361</v>
      </c>
      <c r="B365" s="57">
        <f>CRM_MAGDY!E365</f>
        <v>0</v>
      </c>
      <c r="C365" s="57">
        <f>CRM_MAGDY!H365</f>
        <v>5806</v>
      </c>
      <c r="D365" s="57">
        <f>CRM_MAGDY!I365</f>
        <v>0</v>
      </c>
      <c r="E365" s="57">
        <f>IFERROR(VALUE(CRM_MAGDY!K365),0)</f>
        <v>0</v>
      </c>
      <c r="F365" s="57">
        <f>IFERROR(IF(CRM_MAGDY!L365&gt;1,CRM_MAGDY!L365/100,CRM_MAGDY!L365),0)</f>
        <v>0</v>
      </c>
      <c r="G365" s="57">
        <f>CRM_MAGDY!N365</f>
        <v>0</v>
      </c>
      <c r="H365" s="57">
        <f>CRM_MAGDY!M365</f>
        <v>0</v>
      </c>
      <c r="I365" s="57">
        <f t="shared" si="10"/>
        <v>0</v>
      </c>
      <c r="J365" s="57" t="str">
        <f t="shared" si="11"/>
        <v>POTENCJAŁ</v>
      </c>
    </row>
    <row r="366" spans="1:10" x14ac:dyDescent="0.25">
      <c r="A366" s="57" t="str">
        <f>IF(CRM_MAGDY!H366="","","CRM-"&amp;TEXT(ROW()-4,"0000"))</f>
        <v>CRM-0362</v>
      </c>
      <c r="B366" s="57">
        <f>CRM_MAGDY!E366</f>
        <v>0</v>
      </c>
      <c r="C366" s="57">
        <f>CRM_MAGDY!H366</f>
        <v>5807</v>
      </c>
      <c r="D366" s="57">
        <f>CRM_MAGDY!I366</f>
        <v>0</v>
      </c>
      <c r="E366" s="57">
        <f>IFERROR(VALUE(CRM_MAGDY!K366),0)</f>
        <v>0</v>
      </c>
      <c r="F366" s="57">
        <f>IFERROR(IF(CRM_MAGDY!L366&gt;1,CRM_MAGDY!L366/100,CRM_MAGDY!L366),0)</f>
        <v>0</v>
      </c>
      <c r="G366" s="57">
        <f>CRM_MAGDY!N366</f>
        <v>0</v>
      </c>
      <c r="H366" s="57">
        <f>CRM_MAGDY!M366</f>
        <v>0</v>
      </c>
      <c r="I366" s="57">
        <f t="shared" si="10"/>
        <v>0</v>
      </c>
      <c r="J366" s="57" t="str">
        <f t="shared" si="11"/>
        <v>POTENCJAŁ</v>
      </c>
    </row>
    <row r="367" spans="1:10" x14ac:dyDescent="0.25">
      <c r="A367" s="57" t="str">
        <f>IF(CRM_MAGDY!H367="","","CRM-"&amp;TEXT(ROW()-4,"0000"))</f>
        <v>CRM-0363</v>
      </c>
      <c r="B367" s="57">
        <f>CRM_MAGDY!E367</f>
        <v>0</v>
      </c>
      <c r="C367" s="57">
        <f>CRM_MAGDY!H367</f>
        <v>5808</v>
      </c>
      <c r="D367" s="57">
        <f>CRM_MAGDY!I367</f>
        <v>0</v>
      </c>
      <c r="E367" s="57">
        <f>IFERROR(VALUE(CRM_MAGDY!K367),0)</f>
        <v>0</v>
      </c>
      <c r="F367" s="57">
        <f>IFERROR(IF(CRM_MAGDY!L367&gt;1,CRM_MAGDY!L367/100,CRM_MAGDY!L367),0)</f>
        <v>0</v>
      </c>
      <c r="G367" s="57">
        <f>CRM_MAGDY!N367</f>
        <v>0</v>
      </c>
      <c r="H367" s="57">
        <f>CRM_MAGDY!M367</f>
        <v>0</v>
      </c>
      <c r="I367" s="57">
        <f t="shared" si="10"/>
        <v>0</v>
      </c>
      <c r="J367" s="57" t="str">
        <f t="shared" si="11"/>
        <v>POTENCJAŁ</v>
      </c>
    </row>
    <row r="368" spans="1:10" x14ac:dyDescent="0.25">
      <c r="A368" s="57" t="str">
        <f>IF(CRM_MAGDY!H368="","","CRM-"&amp;TEXT(ROW()-4,"0000"))</f>
        <v>CRM-0364</v>
      </c>
      <c r="B368" s="57">
        <f>CRM_MAGDY!E368</f>
        <v>0</v>
      </c>
      <c r="C368" s="57">
        <f>CRM_MAGDY!H368</f>
        <v>5809</v>
      </c>
      <c r="D368" s="57">
        <f>CRM_MAGDY!I368</f>
        <v>0</v>
      </c>
      <c r="E368" s="57">
        <f>IFERROR(VALUE(CRM_MAGDY!K368),0)</f>
        <v>0</v>
      </c>
      <c r="F368" s="57">
        <f>IFERROR(IF(CRM_MAGDY!L368&gt;1,CRM_MAGDY!L368/100,CRM_MAGDY!L368),0)</f>
        <v>0</v>
      </c>
      <c r="G368" s="57">
        <f>CRM_MAGDY!N368</f>
        <v>0</v>
      </c>
      <c r="H368" s="57">
        <f>CRM_MAGDY!M368</f>
        <v>0</v>
      </c>
      <c r="I368" s="57">
        <f t="shared" si="10"/>
        <v>0</v>
      </c>
      <c r="J368" s="57" t="str">
        <f t="shared" si="11"/>
        <v>POTENCJAŁ</v>
      </c>
    </row>
    <row r="369" spans="1:10" x14ac:dyDescent="0.25">
      <c r="A369" s="57" t="str">
        <f>IF(CRM_MAGDY!H369="","","CRM-"&amp;TEXT(ROW()-4,"0000"))</f>
        <v>CRM-0365</v>
      </c>
      <c r="B369" s="57">
        <f>CRM_MAGDY!E369</f>
        <v>0</v>
      </c>
      <c r="C369" s="57">
        <f>CRM_MAGDY!H369</f>
        <v>5810</v>
      </c>
      <c r="D369" s="57">
        <f>CRM_MAGDY!I369</f>
        <v>0</v>
      </c>
      <c r="E369" s="57">
        <f>IFERROR(VALUE(CRM_MAGDY!K369),0)</f>
        <v>0</v>
      </c>
      <c r="F369" s="57">
        <f>IFERROR(IF(CRM_MAGDY!L369&gt;1,CRM_MAGDY!L369/100,CRM_MAGDY!L369),0)</f>
        <v>0</v>
      </c>
      <c r="G369" s="57">
        <f>CRM_MAGDY!N369</f>
        <v>0</v>
      </c>
      <c r="H369" s="57">
        <f>CRM_MAGDY!M369</f>
        <v>0</v>
      </c>
      <c r="I369" s="57">
        <f t="shared" si="10"/>
        <v>0</v>
      </c>
      <c r="J369" s="57" t="str">
        <f t="shared" si="11"/>
        <v>POTENCJAŁ</v>
      </c>
    </row>
    <row r="370" spans="1:10" x14ac:dyDescent="0.25">
      <c r="A370" s="57" t="str">
        <f>IF(CRM_MAGDY!H370="","","CRM-"&amp;TEXT(ROW()-4,"0000"))</f>
        <v>CRM-0366</v>
      </c>
      <c r="B370" s="57">
        <f>CRM_MAGDY!E370</f>
        <v>0</v>
      </c>
      <c r="C370" s="57">
        <f>CRM_MAGDY!H370</f>
        <v>5811</v>
      </c>
      <c r="D370" s="57">
        <f>CRM_MAGDY!I370</f>
        <v>0</v>
      </c>
      <c r="E370" s="57">
        <f>IFERROR(VALUE(CRM_MAGDY!K370),0)</f>
        <v>0</v>
      </c>
      <c r="F370" s="57">
        <f>IFERROR(IF(CRM_MAGDY!L370&gt;1,CRM_MAGDY!L370/100,CRM_MAGDY!L370),0)</f>
        <v>0</v>
      </c>
      <c r="G370" s="57">
        <f>CRM_MAGDY!N370</f>
        <v>0</v>
      </c>
      <c r="H370" s="57">
        <f>CRM_MAGDY!M370</f>
        <v>0</v>
      </c>
      <c r="I370" s="57">
        <f t="shared" si="10"/>
        <v>0</v>
      </c>
      <c r="J370" s="57" t="str">
        <f t="shared" si="11"/>
        <v>POTENCJAŁ</v>
      </c>
    </row>
    <row r="371" spans="1:10" x14ac:dyDescent="0.25">
      <c r="A371" s="57" t="str">
        <f>IF(CRM_MAGDY!H371="","","CRM-"&amp;TEXT(ROW()-4,"0000"))</f>
        <v>CRM-0367</v>
      </c>
      <c r="B371" s="57">
        <f>CRM_MAGDY!E371</f>
        <v>0</v>
      </c>
      <c r="C371" s="57">
        <f>CRM_MAGDY!H371</f>
        <v>5812</v>
      </c>
      <c r="D371" s="57">
        <f>CRM_MAGDY!I371</f>
        <v>0</v>
      </c>
      <c r="E371" s="57">
        <f>IFERROR(VALUE(CRM_MAGDY!K371),0)</f>
        <v>0</v>
      </c>
      <c r="F371" s="57">
        <f>IFERROR(IF(CRM_MAGDY!L371&gt;1,CRM_MAGDY!L371/100,CRM_MAGDY!L371),0)</f>
        <v>0</v>
      </c>
      <c r="G371" s="57">
        <f>CRM_MAGDY!N371</f>
        <v>0</v>
      </c>
      <c r="H371" s="57">
        <f>CRM_MAGDY!M371</f>
        <v>0</v>
      </c>
      <c r="I371" s="57">
        <f t="shared" si="10"/>
        <v>0</v>
      </c>
      <c r="J371" s="57" t="str">
        <f t="shared" si="11"/>
        <v>POTENCJAŁ</v>
      </c>
    </row>
    <row r="372" spans="1:10" x14ac:dyDescent="0.25">
      <c r="A372" s="57" t="str">
        <f>IF(CRM_MAGDY!H372="","","CRM-"&amp;TEXT(ROW()-4,"0000"))</f>
        <v>CRM-0368</v>
      </c>
      <c r="B372" s="57">
        <f>CRM_MAGDY!E372</f>
        <v>0</v>
      </c>
      <c r="C372" s="57">
        <f>CRM_MAGDY!H372</f>
        <v>5813</v>
      </c>
      <c r="D372" s="57">
        <f>CRM_MAGDY!I372</f>
        <v>0</v>
      </c>
      <c r="E372" s="57">
        <f>IFERROR(VALUE(CRM_MAGDY!K372),0)</f>
        <v>0</v>
      </c>
      <c r="F372" s="57">
        <f>IFERROR(IF(CRM_MAGDY!L372&gt;1,CRM_MAGDY!L372/100,CRM_MAGDY!L372),0)</f>
        <v>0</v>
      </c>
      <c r="G372" s="57">
        <f>CRM_MAGDY!N372</f>
        <v>0</v>
      </c>
      <c r="H372" s="57">
        <f>CRM_MAGDY!M372</f>
        <v>0</v>
      </c>
      <c r="I372" s="57">
        <f t="shared" si="10"/>
        <v>0</v>
      </c>
      <c r="J372" s="57" t="str">
        <f t="shared" si="11"/>
        <v>POTENCJAŁ</v>
      </c>
    </row>
    <row r="373" spans="1:10" x14ac:dyDescent="0.25">
      <c r="A373" s="57" t="str">
        <f>IF(CRM_MAGDY!H373="","","CRM-"&amp;TEXT(ROW()-4,"0000"))</f>
        <v>CRM-0369</v>
      </c>
      <c r="B373" s="57">
        <f>CRM_MAGDY!E373</f>
        <v>0</v>
      </c>
      <c r="C373" s="57">
        <f>CRM_MAGDY!H373</f>
        <v>5814</v>
      </c>
      <c r="D373" s="57">
        <f>CRM_MAGDY!I373</f>
        <v>0</v>
      </c>
      <c r="E373" s="57">
        <f>IFERROR(VALUE(CRM_MAGDY!K373),0)</f>
        <v>0</v>
      </c>
      <c r="F373" s="57">
        <f>IFERROR(IF(CRM_MAGDY!L373&gt;1,CRM_MAGDY!L373/100,CRM_MAGDY!L373),0)</f>
        <v>0</v>
      </c>
      <c r="G373" s="57">
        <f>CRM_MAGDY!N373</f>
        <v>0</v>
      </c>
      <c r="H373" s="57">
        <f>CRM_MAGDY!M373</f>
        <v>0</v>
      </c>
      <c r="I373" s="57">
        <f t="shared" si="10"/>
        <v>0</v>
      </c>
      <c r="J373" s="57" t="str">
        <f t="shared" si="11"/>
        <v>POTENCJAŁ</v>
      </c>
    </row>
    <row r="374" spans="1:10" x14ac:dyDescent="0.25">
      <c r="A374" s="57" t="str">
        <f>IF(CRM_MAGDY!H374="","","CRM-"&amp;TEXT(ROW()-4,"0000"))</f>
        <v>CRM-0370</v>
      </c>
      <c r="B374" s="57">
        <f>CRM_MAGDY!E374</f>
        <v>0</v>
      </c>
      <c r="C374" s="57">
        <f>CRM_MAGDY!H374</f>
        <v>5815</v>
      </c>
      <c r="D374" s="57">
        <f>CRM_MAGDY!I374</f>
        <v>0</v>
      </c>
      <c r="E374" s="57">
        <f>IFERROR(VALUE(CRM_MAGDY!K374),0)</f>
        <v>0</v>
      </c>
      <c r="F374" s="57">
        <f>IFERROR(IF(CRM_MAGDY!L374&gt;1,CRM_MAGDY!L374/100,CRM_MAGDY!L374),0)</f>
        <v>0</v>
      </c>
      <c r="G374" s="57">
        <f>CRM_MAGDY!N374</f>
        <v>0</v>
      </c>
      <c r="H374" s="57">
        <f>CRM_MAGDY!M374</f>
        <v>0</v>
      </c>
      <c r="I374" s="57">
        <f t="shared" si="10"/>
        <v>0</v>
      </c>
      <c r="J374" s="57" t="str">
        <f t="shared" si="11"/>
        <v>POTENCJAŁ</v>
      </c>
    </row>
    <row r="375" spans="1:10" x14ac:dyDescent="0.25">
      <c r="A375" s="57" t="str">
        <f>IF(CRM_MAGDY!H375="","","CRM-"&amp;TEXT(ROW()-4,"0000"))</f>
        <v>CRM-0371</v>
      </c>
      <c r="B375" s="57">
        <f>CRM_MAGDY!E375</f>
        <v>0</v>
      </c>
      <c r="C375" s="57">
        <f>CRM_MAGDY!H375</f>
        <v>5816</v>
      </c>
      <c r="D375" s="57">
        <f>CRM_MAGDY!I375</f>
        <v>0</v>
      </c>
      <c r="E375" s="57">
        <f>IFERROR(VALUE(CRM_MAGDY!K375),0)</f>
        <v>0</v>
      </c>
      <c r="F375" s="57">
        <f>IFERROR(IF(CRM_MAGDY!L375&gt;1,CRM_MAGDY!L375/100,CRM_MAGDY!L375),0)</f>
        <v>0</v>
      </c>
      <c r="G375" s="57">
        <f>CRM_MAGDY!N375</f>
        <v>0</v>
      </c>
      <c r="H375" s="57">
        <f>CRM_MAGDY!M375</f>
        <v>0</v>
      </c>
      <c r="I375" s="57">
        <f t="shared" si="10"/>
        <v>0</v>
      </c>
      <c r="J375" s="57" t="str">
        <f t="shared" si="11"/>
        <v>POTENCJAŁ</v>
      </c>
    </row>
    <row r="376" spans="1:10" x14ac:dyDescent="0.25">
      <c r="A376" s="57" t="str">
        <f>IF(CRM_MAGDY!H376="","","CRM-"&amp;TEXT(ROW()-4,"0000"))</f>
        <v>CRM-0372</v>
      </c>
      <c r="B376" s="57">
        <f>CRM_MAGDY!E376</f>
        <v>0</v>
      </c>
      <c r="C376" s="57">
        <f>CRM_MAGDY!H376</f>
        <v>5817</v>
      </c>
      <c r="D376" s="57">
        <f>CRM_MAGDY!I376</f>
        <v>0</v>
      </c>
      <c r="E376" s="57">
        <f>IFERROR(VALUE(CRM_MAGDY!K376),0)</f>
        <v>0</v>
      </c>
      <c r="F376" s="57">
        <f>IFERROR(IF(CRM_MAGDY!L376&gt;1,CRM_MAGDY!L376/100,CRM_MAGDY!L376),0)</f>
        <v>0</v>
      </c>
      <c r="G376" s="57">
        <f>CRM_MAGDY!N376</f>
        <v>0</v>
      </c>
      <c r="H376" s="57">
        <f>CRM_MAGDY!M376</f>
        <v>0</v>
      </c>
      <c r="I376" s="57">
        <f t="shared" si="10"/>
        <v>0</v>
      </c>
      <c r="J376" s="57" t="str">
        <f t="shared" si="11"/>
        <v>POTENCJAŁ</v>
      </c>
    </row>
    <row r="377" spans="1:10" x14ac:dyDescent="0.25">
      <c r="A377" s="57" t="str">
        <f>IF(CRM_MAGDY!H377="","","CRM-"&amp;TEXT(ROW()-4,"0000"))</f>
        <v>CRM-0373</v>
      </c>
      <c r="B377" s="57">
        <f>CRM_MAGDY!E377</f>
        <v>0</v>
      </c>
      <c r="C377" s="57">
        <f>CRM_MAGDY!H377</f>
        <v>5818</v>
      </c>
      <c r="D377" s="57">
        <f>CRM_MAGDY!I377</f>
        <v>0</v>
      </c>
      <c r="E377" s="57">
        <f>IFERROR(VALUE(CRM_MAGDY!K377),0)</f>
        <v>0</v>
      </c>
      <c r="F377" s="57">
        <f>IFERROR(IF(CRM_MAGDY!L377&gt;1,CRM_MAGDY!L377/100,CRM_MAGDY!L377),0)</f>
        <v>0</v>
      </c>
      <c r="G377" s="57">
        <f>CRM_MAGDY!N377</f>
        <v>0</v>
      </c>
      <c r="H377" s="57">
        <f>CRM_MAGDY!M377</f>
        <v>0</v>
      </c>
      <c r="I377" s="57">
        <f t="shared" si="10"/>
        <v>0</v>
      </c>
      <c r="J377" s="57" t="str">
        <f t="shared" si="11"/>
        <v>POTENCJAŁ</v>
      </c>
    </row>
    <row r="378" spans="1:10" x14ac:dyDescent="0.25">
      <c r="A378" s="57" t="str">
        <f>IF(CRM_MAGDY!H378="","","CRM-"&amp;TEXT(ROW()-4,"0000"))</f>
        <v>CRM-0374</v>
      </c>
      <c r="B378" s="57">
        <f>CRM_MAGDY!E378</f>
        <v>0</v>
      </c>
      <c r="C378" s="57">
        <f>CRM_MAGDY!H378</f>
        <v>5819</v>
      </c>
      <c r="D378" s="57">
        <f>CRM_MAGDY!I378</f>
        <v>0</v>
      </c>
      <c r="E378" s="57">
        <f>IFERROR(VALUE(CRM_MAGDY!K378),0)</f>
        <v>0</v>
      </c>
      <c r="F378" s="57">
        <f>IFERROR(IF(CRM_MAGDY!L378&gt;1,CRM_MAGDY!L378/100,CRM_MAGDY!L378),0)</f>
        <v>0</v>
      </c>
      <c r="G378" s="57">
        <f>CRM_MAGDY!N378</f>
        <v>0</v>
      </c>
      <c r="H378" s="57">
        <f>CRM_MAGDY!M378</f>
        <v>0</v>
      </c>
      <c r="I378" s="57">
        <f t="shared" si="10"/>
        <v>0</v>
      </c>
      <c r="J378" s="57" t="str">
        <f t="shared" si="11"/>
        <v>POTENCJAŁ</v>
      </c>
    </row>
    <row r="379" spans="1:10" x14ac:dyDescent="0.25">
      <c r="A379" s="57" t="str">
        <f>IF(CRM_MAGDY!H379="","","CRM-"&amp;TEXT(ROW()-4,"0000"))</f>
        <v>CRM-0375</v>
      </c>
      <c r="B379" s="57">
        <f>CRM_MAGDY!E379</f>
        <v>0</v>
      </c>
      <c r="C379" s="57">
        <f>CRM_MAGDY!H379</f>
        <v>5820</v>
      </c>
      <c r="D379" s="57">
        <f>CRM_MAGDY!I379</f>
        <v>0</v>
      </c>
      <c r="E379" s="57">
        <f>IFERROR(VALUE(CRM_MAGDY!K379),0)</f>
        <v>0</v>
      </c>
      <c r="F379" s="57">
        <f>IFERROR(IF(CRM_MAGDY!L379&gt;1,CRM_MAGDY!L379/100,CRM_MAGDY!L379),0)</f>
        <v>0</v>
      </c>
      <c r="G379" s="57">
        <f>CRM_MAGDY!N379</f>
        <v>0</v>
      </c>
      <c r="H379" s="57">
        <f>CRM_MAGDY!M379</f>
        <v>0</v>
      </c>
      <c r="I379" s="57">
        <f t="shared" si="10"/>
        <v>0</v>
      </c>
      <c r="J379" s="57" t="str">
        <f t="shared" si="11"/>
        <v>POTENCJAŁ</v>
      </c>
    </row>
    <row r="380" spans="1:10" x14ac:dyDescent="0.25">
      <c r="A380" s="57" t="str">
        <f>IF(CRM_MAGDY!H380="","","CRM-"&amp;TEXT(ROW()-4,"0000"))</f>
        <v>CRM-0376</v>
      </c>
      <c r="B380" s="57">
        <f>CRM_MAGDY!E380</f>
        <v>0</v>
      </c>
      <c r="C380" s="57">
        <f>CRM_MAGDY!H380</f>
        <v>5821</v>
      </c>
      <c r="D380" s="57">
        <f>CRM_MAGDY!I380</f>
        <v>0</v>
      </c>
      <c r="E380" s="57">
        <f>IFERROR(VALUE(CRM_MAGDY!K380),0)</f>
        <v>0</v>
      </c>
      <c r="F380" s="57">
        <f>IFERROR(IF(CRM_MAGDY!L380&gt;1,CRM_MAGDY!L380/100,CRM_MAGDY!L380),0)</f>
        <v>0</v>
      </c>
      <c r="G380" s="57">
        <f>CRM_MAGDY!N380</f>
        <v>0</v>
      </c>
      <c r="H380" s="57">
        <f>CRM_MAGDY!M380</f>
        <v>0</v>
      </c>
      <c r="I380" s="57">
        <f t="shared" si="10"/>
        <v>0</v>
      </c>
      <c r="J380" s="57" t="str">
        <f t="shared" si="11"/>
        <v>POTENCJAŁ</v>
      </c>
    </row>
    <row r="381" spans="1:10" x14ac:dyDescent="0.25">
      <c r="A381" s="57" t="str">
        <f>IF(CRM_MAGDY!H381="","","CRM-"&amp;TEXT(ROW()-4,"0000"))</f>
        <v>CRM-0377</v>
      </c>
      <c r="B381" s="57">
        <f>CRM_MAGDY!E381</f>
        <v>0</v>
      </c>
      <c r="C381" s="57">
        <f>CRM_MAGDY!H381</f>
        <v>5822</v>
      </c>
      <c r="D381" s="57">
        <f>CRM_MAGDY!I381</f>
        <v>0</v>
      </c>
      <c r="E381" s="57">
        <f>IFERROR(VALUE(CRM_MAGDY!K381),0)</f>
        <v>0</v>
      </c>
      <c r="F381" s="57">
        <f>IFERROR(IF(CRM_MAGDY!L381&gt;1,CRM_MAGDY!L381/100,CRM_MAGDY!L381),0)</f>
        <v>0</v>
      </c>
      <c r="G381" s="57">
        <f>CRM_MAGDY!N381</f>
        <v>0</v>
      </c>
      <c r="H381" s="57">
        <f>CRM_MAGDY!M381</f>
        <v>0</v>
      </c>
      <c r="I381" s="57">
        <f t="shared" si="10"/>
        <v>0</v>
      </c>
      <c r="J381" s="57" t="str">
        <f t="shared" si="11"/>
        <v>POTENCJAŁ</v>
      </c>
    </row>
    <row r="382" spans="1:10" x14ac:dyDescent="0.25">
      <c r="A382" s="57" t="str">
        <f>IF(CRM_MAGDY!H382="","","CRM-"&amp;TEXT(ROW()-4,"0000"))</f>
        <v>CRM-0378</v>
      </c>
      <c r="B382" s="57">
        <f>CRM_MAGDY!E382</f>
        <v>0</v>
      </c>
      <c r="C382" s="57">
        <f>CRM_MAGDY!H382</f>
        <v>5823</v>
      </c>
      <c r="D382" s="57">
        <f>CRM_MAGDY!I382</f>
        <v>0</v>
      </c>
      <c r="E382" s="57">
        <f>IFERROR(VALUE(CRM_MAGDY!K382),0)</f>
        <v>0</v>
      </c>
      <c r="F382" s="57">
        <f>IFERROR(IF(CRM_MAGDY!L382&gt;1,CRM_MAGDY!L382/100,CRM_MAGDY!L382),0)</f>
        <v>0</v>
      </c>
      <c r="G382" s="57">
        <f>CRM_MAGDY!N382</f>
        <v>0</v>
      </c>
      <c r="H382" s="57">
        <f>CRM_MAGDY!M382</f>
        <v>0</v>
      </c>
      <c r="I382" s="57">
        <f t="shared" si="10"/>
        <v>0</v>
      </c>
      <c r="J382" s="57" t="str">
        <f t="shared" si="11"/>
        <v>POTENCJAŁ</v>
      </c>
    </row>
    <row r="383" spans="1:10" x14ac:dyDescent="0.25">
      <c r="A383" s="57" t="str">
        <f>IF(CRM_MAGDY!H383="","","CRM-"&amp;TEXT(ROW()-4,"0000"))</f>
        <v>CRM-0379</v>
      </c>
      <c r="B383" s="57">
        <f>CRM_MAGDY!E383</f>
        <v>0</v>
      </c>
      <c r="C383" s="57">
        <f>CRM_MAGDY!H383</f>
        <v>5824</v>
      </c>
      <c r="D383" s="57">
        <f>CRM_MAGDY!I383</f>
        <v>0</v>
      </c>
      <c r="E383" s="57">
        <f>IFERROR(VALUE(CRM_MAGDY!K383),0)</f>
        <v>0</v>
      </c>
      <c r="F383" s="57">
        <f>IFERROR(IF(CRM_MAGDY!L383&gt;1,CRM_MAGDY!L383/100,CRM_MAGDY!L383),0)</f>
        <v>0</v>
      </c>
      <c r="G383" s="57">
        <f>CRM_MAGDY!N383</f>
        <v>0</v>
      </c>
      <c r="H383" s="57">
        <f>CRM_MAGDY!M383</f>
        <v>0</v>
      </c>
      <c r="I383" s="57">
        <f t="shared" si="10"/>
        <v>0</v>
      </c>
      <c r="J383" s="57" t="str">
        <f t="shared" si="11"/>
        <v>POTENCJAŁ</v>
      </c>
    </row>
    <row r="384" spans="1:10" x14ac:dyDescent="0.25">
      <c r="A384" s="57" t="str">
        <f>IF(CRM_MAGDY!H384="","","CRM-"&amp;TEXT(ROW()-4,"0000"))</f>
        <v>CRM-0380</v>
      </c>
      <c r="B384" s="57">
        <f>CRM_MAGDY!E384</f>
        <v>0</v>
      </c>
      <c r="C384" s="57">
        <f>CRM_MAGDY!H384</f>
        <v>5825</v>
      </c>
      <c r="D384" s="57">
        <f>CRM_MAGDY!I384</f>
        <v>0</v>
      </c>
      <c r="E384" s="57">
        <f>IFERROR(VALUE(CRM_MAGDY!K384),0)</f>
        <v>0</v>
      </c>
      <c r="F384" s="57">
        <f>IFERROR(IF(CRM_MAGDY!L384&gt;1,CRM_MAGDY!L384/100,CRM_MAGDY!L384),0)</f>
        <v>0</v>
      </c>
      <c r="G384" s="57">
        <f>CRM_MAGDY!N384</f>
        <v>0</v>
      </c>
      <c r="H384" s="57">
        <f>CRM_MAGDY!M384</f>
        <v>0</v>
      </c>
      <c r="I384" s="57">
        <f t="shared" si="10"/>
        <v>0</v>
      </c>
      <c r="J384" s="57" t="str">
        <f t="shared" si="11"/>
        <v>POTENCJAŁ</v>
      </c>
    </row>
    <row r="385" spans="1:10" x14ac:dyDescent="0.25">
      <c r="A385" s="57" t="str">
        <f>IF(CRM_MAGDY!H385="","","CRM-"&amp;TEXT(ROW()-4,"0000"))</f>
        <v>CRM-0381</v>
      </c>
      <c r="B385" s="57">
        <f>CRM_MAGDY!E385</f>
        <v>0</v>
      </c>
      <c r="C385" s="57">
        <f>CRM_MAGDY!H385</f>
        <v>5826</v>
      </c>
      <c r="D385" s="57">
        <f>CRM_MAGDY!I385</f>
        <v>0</v>
      </c>
      <c r="E385" s="57">
        <f>IFERROR(VALUE(CRM_MAGDY!K385),0)</f>
        <v>0</v>
      </c>
      <c r="F385" s="57">
        <f>IFERROR(IF(CRM_MAGDY!L385&gt;1,CRM_MAGDY!L385/100,CRM_MAGDY!L385),0)</f>
        <v>0</v>
      </c>
      <c r="G385" s="57">
        <f>CRM_MAGDY!N385</f>
        <v>0</v>
      </c>
      <c r="H385" s="57">
        <f>CRM_MAGDY!M385</f>
        <v>0</v>
      </c>
      <c r="I385" s="57">
        <f t="shared" si="10"/>
        <v>0</v>
      </c>
      <c r="J385" s="57" t="str">
        <f t="shared" si="11"/>
        <v>POTENCJAŁ</v>
      </c>
    </row>
    <row r="386" spans="1:10" x14ac:dyDescent="0.25">
      <c r="A386" s="57" t="str">
        <f>IF(CRM_MAGDY!H386="","","CRM-"&amp;TEXT(ROW()-4,"0000"))</f>
        <v>CRM-0382</v>
      </c>
      <c r="B386" s="57">
        <f>CRM_MAGDY!E386</f>
        <v>0</v>
      </c>
      <c r="C386" s="57">
        <f>CRM_MAGDY!H386</f>
        <v>5827</v>
      </c>
      <c r="D386" s="57">
        <f>CRM_MAGDY!I386</f>
        <v>0</v>
      </c>
      <c r="E386" s="57">
        <f>IFERROR(VALUE(CRM_MAGDY!K386),0)</f>
        <v>0</v>
      </c>
      <c r="F386" s="57">
        <f>IFERROR(IF(CRM_MAGDY!L386&gt;1,CRM_MAGDY!L386/100,CRM_MAGDY!L386),0)</f>
        <v>0</v>
      </c>
      <c r="G386" s="57">
        <f>CRM_MAGDY!N386</f>
        <v>0</v>
      </c>
      <c r="H386" s="57">
        <f>CRM_MAGDY!M386</f>
        <v>0</v>
      </c>
      <c r="I386" s="57">
        <f t="shared" si="10"/>
        <v>0</v>
      </c>
      <c r="J386" s="57" t="str">
        <f t="shared" si="11"/>
        <v>POTENCJAŁ</v>
      </c>
    </row>
    <row r="387" spans="1:10" x14ac:dyDescent="0.25">
      <c r="A387" s="57" t="str">
        <f>IF(CRM_MAGDY!H387="","","CRM-"&amp;TEXT(ROW()-4,"0000"))</f>
        <v>CRM-0383</v>
      </c>
      <c r="B387" s="57">
        <f>CRM_MAGDY!E387</f>
        <v>0</v>
      </c>
      <c r="C387" s="57">
        <f>CRM_MAGDY!H387</f>
        <v>5828</v>
      </c>
      <c r="D387" s="57">
        <f>CRM_MAGDY!I387</f>
        <v>0</v>
      </c>
      <c r="E387" s="57">
        <f>IFERROR(VALUE(CRM_MAGDY!K387),0)</f>
        <v>0</v>
      </c>
      <c r="F387" s="57">
        <f>IFERROR(IF(CRM_MAGDY!L387&gt;1,CRM_MAGDY!L387/100,CRM_MAGDY!L387),0)</f>
        <v>0</v>
      </c>
      <c r="G387" s="57">
        <f>CRM_MAGDY!N387</f>
        <v>0</v>
      </c>
      <c r="H387" s="57">
        <f>CRM_MAGDY!M387</f>
        <v>0</v>
      </c>
      <c r="I387" s="57">
        <f t="shared" si="10"/>
        <v>0</v>
      </c>
      <c r="J387" s="57" t="str">
        <f t="shared" si="11"/>
        <v>POTENCJAŁ</v>
      </c>
    </row>
    <row r="388" spans="1:10" x14ac:dyDescent="0.25">
      <c r="A388" s="57" t="str">
        <f>IF(CRM_MAGDY!H388="","","CRM-"&amp;TEXT(ROW()-4,"0000"))</f>
        <v>CRM-0384</v>
      </c>
      <c r="B388" s="57">
        <f>CRM_MAGDY!E388</f>
        <v>0</v>
      </c>
      <c r="C388" s="57">
        <f>CRM_MAGDY!H388</f>
        <v>5829</v>
      </c>
      <c r="D388" s="57">
        <f>CRM_MAGDY!I388</f>
        <v>0</v>
      </c>
      <c r="E388" s="57">
        <f>IFERROR(VALUE(CRM_MAGDY!K388),0)</f>
        <v>0</v>
      </c>
      <c r="F388" s="57">
        <f>IFERROR(IF(CRM_MAGDY!L388&gt;1,CRM_MAGDY!L388/100,CRM_MAGDY!L388),0)</f>
        <v>0</v>
      </c>
      <c r="G388" s="57">
        <f>CRM_MAGDY!N388</f>
        <v>0</v>
      </c>
      <c r="H388" s="57">
        <f>CRM_MAGDY!M388</f>
        <v>0</v>
      </c>
      <c r="I388" s="57">
        <f t="shared" si="10"/>
        <v>0</v>
      </c>
      <c r="J388" s="57" t="str">
        <f t="shared" si="11"/>
        <v>POTENCJAŁ</v>
      </c>
    </row>
    <row r="389" spans="1:10" x14ac:dyDescent="0.25">
      <c r="A389" s="57" t="str">
        <f>IF(CRM_MAGDY!H389="","","CRM-"&amp;TEXT(ROW()-4,"0000"))</f>
        <v>CRM-0385</v>
      </c>
      <c r="B389" s="57">
        <f>CRM_MAGDY!E389</f>
        <v>0</v>
      </c>
      <c r="C389" s="57">
        <f>CRM_MAGDY!H389</f>
        <v>5830</v>
      </c>
      <c r="D389" s="57">
        <f>CRM_MAGDY!I389</f>
        <v>0</v>
      </c>
      <c r="E389" s="57">
        <f>IFERROR(VALUE(CRM_MAGDY!K389),0)</f>
        <v>0</v>
      </c>
      <c r="F389" s="57">
        <f>IFERROR(IF(CRM_MAGDY!L389&gt;1,CRM_MAGDY!L389/100,CRM_MAGDY!L389),0)</f>
        <v>0</v>
      </c>
      <c r="G389" s="57">
        <f>CRM_MAGDY!N389</f>
        <v>0</v>
      </c>
      <c r="H389" s="57">
        <f>CRM_MAGDY!M389</f>
        <v>0</v>
      </c>
      <c r="I389" s="57">
        <f t="shared" ref="I389:I452" si="12">IF(OR(G389="WYGRANA",G389="PRZEGRANA"),0,E389*F389)</f>
        <v>0</v>
      </c>
      <c r="J389" s="57" t="str">
        <f t="shared" ref="J389:J452" si="13">IF(F389&gt;=0.7,"PEWNY",IF(F389&gt;=0.3,"REALNY","POTENCJAŁ"))</f>
        <v>POTENCJAŁ</v>
      </c>
    </row>
    <row r="390" spans="1:10" x14ac:dyDescent="0.25">
      <c r="A390" s="57" t="str">
        <f>IF(CRM_MAGDY!H390="","","CRM-"&amp;TEXT(ROW()-4,"0000"))</f>
        <v>CRM-0386</v>
      </c>
      <c r="B390" s="57">
        <f>CRM_MAGDY!E390</f>
        <v>0</v>
      </c>
      <c r="C390" s="57">
        <f>CRM_MAGDY!H390</f>
        <v>5831</v>
      </c>
      <c r="D390" s="57">
        <f>CRM_MAGDY!I390</f>
        <v>0</v>
      </c>
      <c r="E390" s="57">
        <f>IFERROR(VALUE(CRM_MAGDY!K390),0)</f>
        <v>0</v>
      </c>
      <c r="F390" s="57">
        <f>IFERROR(IF(CRM_MAGDY!L390&gt;1,CRM_MAGDY!L390/100,CRM_MAGDY!L390),0)</f>
        <v>0</v>
      </c>
      <c r="G390" s="57">
        <f>CRM_MAGDY!N390</f>
        <v>0</v>
      </c>
      <c r="H390" s="57">
        <f>CRM_MAGDY!M390</f>
        <v>0</v>
      </c>
      <c r="I390" s="57">
        <f t="shared" si="12"/>
        <v>0</v>
      </c>
      <c r="J390" s="57" t="str">
        <f t="shared" si="13"/>
        <v>POTENCJAŁ</v>
      </c>
    </row>
    <row r="391" spans="1:10" x14ac:dyDescent="0.25">
      <c r="A391" s="57" t="str">
        <f>IF(CRM_MAGDY!H391="","","CRM-"&amp;TEXT(ROW()-4,"0000"))</f>
        <v>CRM-0387</v>
      </c>
      <c r="B391" s="57">
        <f>CRM_MAGDY!E391</f>
        <v>0</v>
      </c>
      <c r="C391" s="57">
        <f>CRM_MAGDY!H391</f>
        <v>5832</v>
      </c>
      <c r="D391" s="57">
        <f>CRM_MAGDY!I391</f>
        <v>0</v>
      </c>
      <c r="E391" s="57">
        <f>IFERROR(VALUE(CRM_MAGDY!K391),0)</f>
        <v>0</v>
      </c>
      <c r="F391" s="57">
        <f>IFERROR(IF(CRM_MAGDY!L391&gt;1,CRM_MAGDY!L391/100,CRM_MAGDY!L391),0)</f>
        <v>0</v>
      </c>
      <c r="G391" s="57">
        <f>CRM_MAGDY!N391</f>
        <v>0</v>
      </c>
      <c r="H391" s="57">
        <f>CRM_MAGDY!M391</f>
        <v>0</v>
      </c>
      <c r="I391" s="57">
        <f t="shared" si="12"/>
        <v>0</v>
      </c>
      <c r="J391" s="57" t="str">
        <f t="shared" si="13"/>
        <v>POTENCJAŁ</v>
      </c>
    </row>
    <row r="392" spans="1:10" x14ac:dyDescent="0.25">
      <c r="A392" s="57" t="str">
        <f>IF(CRM_MAGDY!H392="","","CRM-"&amp;TEXT(ROW()-4,"0000"))</f>
        <v>CRM-0388</v>
      </c>
      <c r="B392" s="57">
        <f>CRM_MAGDY!E392</f>
        <v>0</v>
      </c>
      <c r="C392" s="57">
        <f>CRM_MAGDY!H392</f>
        <v>5833</v>
      </c>
      <c r="D392" s="57">
        <f>CRM_MAGDY!I392</f>
        <v>0</v>
      </c>
      <c r="E392" s="57">
        <f>IFERROR(VALUE(CRM_MAGDY!K392),0)</f>
        <v>0</v>
      </c>
      <c r="F392" s="57">
        <f>IFERROR(IF(CRM_MAGDY!L392&gt;1,CRM_MAGDY!L392/100,CRM_MAGDY!L392),0)</f>
        <v>0</v>
      </c>
      <c r="G392" s="57">
        <f>CRM_MAGDY!N392</f>
        <v>0</v>
      </c>
      <c r="H392" s="57">
        <f>CRM_MAGDY!M392</f>
        <v>0</v>
      </c>
      <c r="I392" s="57">
        <f t="shared" si="12"/>
        <v>0</v>
      </c>
      <c r="J392" s="57" t="str">
        <f t="shared" si="13"/>
        <v>POTENCJAŁ</v>
      </c>
    </row>
    <row r="393" spans="1:10" x14ac:dyDescent="0.25">
      <c r="A393" s="57" t="str">
        <f>IF(CRM_MAGDY!H393="","","CRM-"&amp;TEXT(ROW()-4,"0000"))</f>
        <v>CRM-0389</v>
      </c>
      <c r="B393" s="57">
        <f>CRM_MAGDY!E393</f>
        <v>0</v>
      </c>
      <c r="C393" s="57">
        <f>CRM_MAGDY!H393</f>
        <v>5834</v>
      </c>
      <c r="D393" s="57">
        <f>CRM_MAGDY!I393</f>
        <v>0</v>
      </c>
      <c r="E393" s="57">
        <f>IFERROR(VALUE(CRM_MAGDY!K393),0)</f>
        <v>0</v>
      </c>
      <c r="F393" s="57">
        <f>IFERROR(IF(CRM_MAGDY!L393&gt;1,CRM_MAGDY!L393/100,CRM_MAGDY!L393),0)</f>
        <v>0</v>
      </c>
      <c r="G393" s="57">
        <f>CRM_MAGDY!N393</f>
        <v>0</v>
      </c>
      <c r="H393" s="57">
        <f>CRM_MAGDY!M393</f>
        <v>0</v>
      </c>
      <c r="I393" s="57">
        <f t="shared" si="12"/>
        <v>0</v>
      </c>
      <c r="J393" s="57" t="str">
        <f t="shared" si="13"/>
        <v>POTENCJAŁ</v>
      </c>
    </row>
    <row r="394" spans="1:10" x14ac:dyDescent="0.25">
      <c r="A394" s="57" t="str">
        <f>IF(CRM_MAGDY!H394="","","CRM-"&amp;TEXT(ROW()-4,"0000"))</f>
        <v>CRM-0390</v>
      </c>
      <c r="B394" s="57">
        <f>CRM_MAGDY!E394</f>
        <v>0</v>
      </c>
      <c r="C394" s="57">
        <f>CRM_MAGDY!H394</f>
        <v>5835</v>
      </c>
      <c r="D394" s="57">
        <f>CRM_MAGDY!I394</f>
        <v>0</v>
      </c>
      <c r="E394" s="57">
        <f>IFERROR(VALUE(CRM_MAGDY!K394),0)</f>
        <v>0</v>
      </c>
      <c r="F394" s="57">
        <f>IFERROR(IF(CRM_MAGDY!L394&gt;1,CRM_MAGDY!L394/100,CRM_MAGDY!L394),0)</f>
        <v>0</v>
      </c>
      <c r="G394" s="57">
        <f>CRM_MAGDY!N394</f>
        <v>0</v>
      </c>
      <c r="H394" s="57">
        <f>CRM_MAGDY!M394</f>
        <v>0</v>
      </c>
      <c r="I394" s="57">
        <f t="shared" si="12"/>
        <v>0</v>
      </c>
      <c r="J394" s="57" t="str">
        <f t="shared" si="13"/>
        <v>POTENCJAŁ</v>
      </c>
    </row>
    <row r="395" spans="1:10" x14ac:dyDescent="0.25">
      <c r="A395" s="57" t="str">
        <f>IF(CRM_MAGDY!H395="","","CRM-"&amp;TEXT(ROW()-4,"0000"))</f>
        <v>CRM-0391</v>
      </c>
      <c r="B395" s="57">
        <f>CRM_MAGDY!E395</f>
        <v>0</v>
      </c>
      <c r="C395" s="57">
        <f>CRM_MAGDY!H395</f>
        <v>5836</v>
      </c>
      <c r="D395" s="57">
        <f>CRM_MAGDY!I395</f>
        <v>0</v>
      </c>
      <c r="E395" s="57">
        <f>IFERROR(VALUE(CRM_MAGDY!K395),0)</f>
        <v>0</v>
      </c>
      <c r="F395" s="57">
        <f>IFERROR(IF(CRM_MAGDY!L395&gt;1,CRM_MAGDY!L395/100,CRM_MAGDY!L395),0)</f>
        <v>0</v>
      </c>
      <c r="G395" s="57">
        <f>CRM_MAGDY!N395</f>
        <v>0</v>
      </c>
      <c r="H395" s="57">
        <f>CRM_MAGDY!M395</f>
        <v>0</v>
      </c>
      <c r="I395" s="57">
        <f t="shared" si="12"/>
        <v>0</v>
      </c>
      <c r="J395" s="57" t="str">
        <f t="shared" si="13"/>
        <v>POTENCJAŁ</v>
      </c>
    </row>
    <row r="396" spans="1:10" x14ac:dyDescent="0.25">
      <c r="A396" s="57" t="str">
        <f>IF(CRM_MAGDY!H396="","","CRM-"&amp;TEXT(ROW()-4,"0000"))</f>
        <v>CRM-0392</v>
      </c>
      <c r="B396" s="57">
        <f>CRM_MAGDY!E396</f>
        <v>0</v>
      </c>
      <c r="C396" s="57">
        <f>CRM_MAGDY!H396</f>
        <v>5837</v>
      </c>
      <c r="D396" s="57">
        <f>CRM_MAGDY!I396</f>
        <v>0</v>
      </c>
      <c r="E396" s="57">
        <f>IFERROR(VALUE(CRM_MAGDY!K396),0)</f>
        <v>0</v>
      </c>
      <c r="F396" s="57">
        <f>IFERROR(IF(CRM_MAGDY!L396&gt;1,CRM_MAGDY!L396/100,CRM_MAGDY!L396),0)</f>
        <v>0</v>
      </c>
      <c r="G396" s="57">
        <f>CRM_MAGDY!N396</f>
        <v>0</v>
      </c>
      <c r="H396" s="57">
        <f>CRM_MAGDY!M396</f>
        <v>0</v>
      </c>
      <c r="I396" s="57">
        <f t="shared" si="12"/>
        <v>0</v>
      </c>
      <c r="J396" s="57" t="str">
        <f t="shared" si="13"/>
        <v>POTENCJAŁ</v>
      </c>
    </row>
    <row r="397" spans="1:10" x14ac:dyDescent="0.25">
      <c r="A397" s="57" t="str">
        <f>IF(CRM_MAGDY!H397="","","CRM-"&amp;TEXT(ROW()-4,"0000"))</f>
        <v>CRM-0393</v>
      </c>
      <c r="B397" s="57">
        <f>CRM_MAGDY!E397</f>
        <v>0</v>
      </c>
      <c r="C397" s="57">
        <f>CRM_MAGDY!H397</f>
        <v>5838</v>
      </c>
      <c r="D397" s="57">
        <f>CRM_MAGDY!I397</f>
        <v>0</v>
      </c>
      <c r="E397" s="57">
        <f>IFERROR(VALUE(CRM_MAGDY!K397),0)</f>
        <v>0</v>
      </c>
      <c r="F397" s="57">
        <f>IFERROR(IF(CRM_MAGDY!L397&gt;1,CRM_MAGDY!L397/100,CRM_MAGDY!L397),0)</f>
        <v>0</v>
      </c>
      <c r="G397" s="57">
        <f>CRM_MAGDY!N397</f>
        <v>0</v>
      </c>
      <c r="H397" s="57">
        <f>CRM_MAGDY!M397</f>
        <v>0</v>
      </c>
      <c r="I397" s="57">
        <f t="shared" si="12"/>
        <v>0</v>
      </c>
      <c r="J397" s="57" t="str">
        <f t="shared" si="13"/>
        <v>POTENCJAŁ</v>
      </c>
    </row>
    <row r="398" spans="1:10" x14ac:dyDescent="0.25">
      <c r="A398" s="57" t="str">
        <f>IF(CRM_MAGDY!H398="","","CRM-"&amp;TEXT(ROW()-4,"0000"))</f>
        <v>CRM-0394</v>
      </c>
      <c r="B398" s="57">
        <f>CRM_MAGDY!E398</f>
        <v>0</v>
      </c>
      <c r="C398" s="57">
        <f>CRM_MAGDY!H398</f>
        <v>5839</v>
      </c>
      <c r="D398" s="57">
        <f>CRM_MAGDY!I398</f>
        <v>0</v>
      </c>
      <c r="E398" s="57">
        <f>IFERROR(VALUE(CRM_MAGDY!K398),0)</f>
        <v>0</v>
      </c>
      <c r="F398" s="57">
        <f>IFERROR(IF(CRM_MAGDY!L398&gt;1,CRM_MAGDY!L398/100,CRM_MAGDY!L398),0)</f>
        <v>0</v>
      </c>
      <c r="G398" s="57">
        <f>CRM_MAGDY!N398</f>
        <v>0</v>
      </c>
      <c r="H398" s="57">
        <f>CRM_MAGDY!M398</f>
        <v>0</v>
      </c>
      <c r="I398" s="57">
        <f t="shared" si="12"/>
        <v>0</v>
      </c>
      <c r="J398" s="57" t="str">
        <f t="shared" si="13"/>
        <v>POTENCJAŁ</v>
      </c>
    </row>
    <row r="399" spans="1:10" x14ac:dyDescent="0.25">
      <c r="A399" s="57" t="str">
        <f>IF(CRM_MAGDY!H399="","","CRM-"&amp;TEXT(ROW()-4,"0000"))</f>
        <v>CRM-0395</v>
      </c>
      <c r="B399" s="57">
        <f>CRM_MAGDY!E399</f>
        <v>0</v>
      </c>
      <c r="C399" s="57">
        <f>CRM_MAGDY!H399</f>
        <v>5840</v>
      </c>
      <c r="D399" s="57">
        <f>CRM_MAGDY!I399</f>
        <v>0</v>
      </c>
      <c r="E399" s="57">
        <f>IFERROR(VALUE(CRM_MAGDY!K399),0)</f>
        <v>0</v>
      </c>
      <c r="F399" s="57">
        <f>IFERROR(IF(CRM_MAGDY!L399&gt;1,CRM_MAGDY!L399/100,CRM_MAGDY!L399),0)</f>
        <v>0</v>
      </c>
      <c r="G399" s="57">
        <f>CRM_MAGDY!N399</f>
        <v>0</v>
      </c>
      <c r="H399" s="57">
        <f>CRM_MAGDY!M399</f>
        <v>0</v>
      </c>
      <c r="I399" s="57">
        <f t="shared" si="12"/>
        <v>0</v>
      </c>
      <c r="J399" s="57" t="str">
        <f t="shared" si="13"/>
        <v>POTENCJAŁ</v>
      </c>
    </row>
    <row r="400" spans="1:10" x14ac:dyDescent="0.25">
      <c r="A400" s="57" t="str">
        <f>IF(CRM_MAGDY!H400="","","CRM-"&amp;TEXT(ROW()-4,"0000"))</f>
        <v>CRM-0396</v>
      </c>
      <c r="B400" s="57">
        <f>CRM_MAGDY!E400</f>
        <v>0</v>
      </c>
      <c r="C400" s="57">
        <f>CRM_MAGDY!H400</f>
        <v>5841</v>
      </c>
      <c r="D400" s="57">
        <f>CRM_MAGDY!I400</f>
        <v>0</v>
      </c>
      <c r="E400" s="57">
        <f>IFERROR(VALUE(CRM_MAGDY!K400),0)</f>
        <v>0</v>
      </c>
      <c r="F400" s="57">
        <f>IFERROR(IF(CRM_MAGDY!L400&gt;1,CRM_MAGDY!L400/100,CRM_MAGDY!L400),0)</f>
        <v>0</v>
      </c>
      <c r="G400" s="57">
        <f>CRM_MAGDY!N400</f>
        <v>0</v>
      </c>
      <c r="H400" s="57">
        <f>CRM_MAGDY!M400</f>
        <v>0</v>
      </c>
      <c r="I400" s="57">
        <f t="shared" si="12"/>
        <v>0</v>
      </c>
      <c r="J400" s="57" t="str">
        <f t="shared" si="13"/>
        <v>POTENCJAŁ</v>
      </c>
    </row>
    <row r="401" spans="1:10" x14ac:dyDescent="0.25">
      <c r="A401" s="57" t="str">
        <f>IF(CRM_MAGDY!H401="","","CRM-"&amp;TEXT(ROW()-4,"0000"))</f>
        <v>CRM-0397</v>
      </c>
      <c r="B401" s="57">
        <f>CRM_MAGDY!E401</f>
        <v>0</v>
      </c>
      <c r="C401" s="57">
        <f>CRM_MAGDY!H401</f>
        <v>5842</v>
      </c>
      <c r="D401" s="57">
        <f>CRM_MAGDY!I401</f>
        <v>0</v>
      </c>
      <c r="E401" s="57">
        <f>IFERROR(VALUE(CRM_MAGDY!K401),0)</f>
        <v>0</v>
      </c>
      <c r="F401" s="57">
        <f>IFERROR(IF(CRM_MAGDY!L401&gt;1,CRM_MAGDY!L401/100,CRM_MAGDY!L401),0)</f>
        <v>0</v>
      </c>
      <c r="G401" s="57">
        <f>CRM_MAGDY!N401</f>
        <v>0</v>
      </c>
      <c r="H401" s="57">
        <f>CRM_MAGDY!M401</f>
        <v>0</v>
      </c>
      <c r="I401" s="57">
        <f t="shared" si="12"/>
        <v>0</v>
      </c>
      <c r="J401" s="57" t="str">
        <f t="shared" si="13"/>
        <v>POTENCJAŁ</v>
      </c>
    </row>
    <row r="402" spans="1:10" x14ac:dyDescent="0.25">
      <c r="A402" s="57" t="str">
        <f>IF(CRM_MAGDY!H402="","","CRM-"&amp;TEXT(ROW()-4,"0000"))</f>
        <v>CRM-0398</v>
      </c>
      <c r="B402" s="57">
        <f>CRM_MAGDY!E402</f>
        <v>0</v>
      </c>
      <c r="C402" s="57">
        <f>CRM_MAGDY!H402</f>
        <v>5843</v>
      </c>
      <c r="D402" s="57">
        <f>CRM_MAGDY!I402</f>
        <v>0</v>
      </c>
      <c r="E402" s="57">
        <f>IFERROR(VALUE(CRM_MAGDY!K402),0)</f>
        <v>0</v>
      </c>
      <c r="F402" s="57">
        <f>IFERROR(IF(CRM_MAGDY!L402&gt;1,CRM_MAGDY!L402/100,CRM_MAGDY!L402),0)</f>
        <v>0</v>
      </c>
      <c r="G402" s="57">
        <f>CRM_MAGDY!N402</f>
        <v>0</v>
      </c>
      <c r="H402" s="57">
        <f>CRM_MAGDY!M402</f>
        <v>0</v>
      </c>
      <c r="I402" s="57">
        <f t="shared" si="12"/>
        <v>0</v>
      </c>
      <c r="J402" s="57" t="str">
        <f t="shared" si="13"/>
        <v>POTENCJAŁ</v>
      </c>
    </row>
    <row r="403" spans="1:10" x14ac:dyDescent="0.25">
      <c r="A403" s="57" t="str">
        <f>IF(CRM_MAGDY!H403="","","CRM-"&amp;TEXT(ROW()-4,"0000"))</f>
        <v>CRM-0399</v>
      </c>
      <c r="B403" s="57">
        <f>CRM_MAGDY!E403</f>
        <v>0</v>
      </c>
      <c r="C403" s="57">
        <f>CRM_MAGDY!H403</f>
        <v>5844</v>
      </c>
      <c r="D403" s="57">
        <f>CRM_MAGDY!I403</f>
        <v>0</v>
      </c>
      <c r="E403" s="57">
        <f>IFERROR(VALUE(CRM_MAGDY!K403),0)</f>
        <v>0</v>
      </c>
      <c r="F403" s="57">
        <f>IFERROR(IF(CRM_MAGDY!L403&gt;1,CRM_MAGDY!L403/100,CRM_MAGDY!L403),0)</f>
        <v>0</v>
      </c>
      <c r="G403" s="57">
        <f>CRM_MAGDY!N403</f>
        <v>0</v>
      </c>
      <c r="H403" s="57">
        <f>CRM_MAGDY!M403</f>
        <v>0</v>
      </c>
      <c r="I403" s="57">
        <f t="shared" si="12"/>
        <v>0</v>
      </c>
      <c r="J403" s="57" t="str">
        <f t="shared" si="13"/>
        <v>POTENCJAŁ</v>
      </c>
    </row>
    <row r="404" spans="1:10" x14ac:dyDescent="0.25">
      <c r="A404" s="57" t="str">
        <f>IF(CRM_MAGDY!H404="","","CRM-"&amp;TEXT(ROW()-4,"0000"))</f>
        <v>CRM-0400</v>
      </c>
      <c r="B404" s="57">
        <f>CRM_MAGDY!E404</f>
        <v>0</v>
      </c>
      <c r="C404" s="57">
        <f>CRM_MAGDY!H404</f>
        <v>5845</v>
      </c>
      <c r="D404" s="57">
        <f>CRM_MAGDY!I404</f>
        <v>0</v>
      </c>
      <c r="E404" s="57">
        <f>IFERROR(VALUE(CRM_MAGDY!K404),0)</f>
        <v>0</v>
      </c>
      <c r="F404" s="57">
        <f>IFERROR(IF(CRM_MAGDY!L404&gt;1,CRM_MAGDY!L404/100,CRM_MAGDY!L404),0)</f>
        <v>0</v>
      </c>
      <c r="G404" s="57">
        <f>CRM_MAGDY!N404</f>
        <v>0</v>
      </c>
      <c r="H404" s="57">
        <f>CRM_MAGDY!M404</f>
        <v>0</v>
      </c>
      <c r="I404" s="57">
        <f t="shared" si="12"/>
        <v>0</v>
      </c>
      <c r="J404" s="57" t="str">
        <f t="shared" si="13"/>
        <v>POTENCJAŁ</v>
      </c>
    </row>
    <row r="405" spans="1:10" x14ac:dyDescent="0.25">
      <c r="A405" s="57" t="str">
        <f>IF(CRM_MAGDY!H405="","","CRM-"&amp;TEXT(ROW()-4,"0000"))</f>
        <v>CRM-0401</v>
      </c>
      <c r="B405" s="57">
        <f>CRM_MAGDY!E405</f>
        <v>0</v>
      </c>
      <c r="C405" s="57">
        <f>CRM_MAGDY!H405</f>
        <v>5846</v>
      </c>
      <c r="D405" s="57">
        <f>CRM_MAGDY!I405</f>
        <v>0</v>
      </c>
      <c r="E405" s="57">
        <f>IFERROR(VALUE(CRM_MAGDY!K405),0)</f>
        <v>0</v>
      </c>
      <c r="F405" s="57">
        <f>IFERROR(IF(CRM_MAGDY!L405&gt;1,CRM_MAGDY!L405/100,CRM_MAGDY!L405),0)</f>
        <v>0</v>
      </c>
      <c r="G405" s="57">
        <f>CRM_MAGDY!N405</f>
        <v>0</v>
      </c>
      <c r="H405" s="57">
        <f>CRM_MAGDY!M405</f>
        <v>0</v>
      </c>
      <c r="I405" s="57">
        <f t="shared" si="12"/>
        <v>0</v>
      </c>
      <c r="J405" s="57" t="str">
        <f t="shared" si="13"/>
        <v>POTENCJAŁ</v>
      </c>
    </row>
    <row r="406" spans="1:10" x14ac:dyDescent="0.25">
      <c r="A406" s="57" t="str">
        <f>IF(CRM_MAGDY!H406="","","CRM-"&amp;TEXT(ROW()-4,"0000"))</f>
        <v>CRM-0402</v>
      </c>
      <c r="B406" s="57">
        <f>CRM_MAGDY!E406</f>
        <v>0</v>
      </c>
      <c r="C406" s="57">
        <f>CRM_MAGDY!H406</f>
        <v>5847</v>
      </c>
      <c r="D406" s="57">
        <f>CRM_MAGDY!I406</f>
        <v>0</v>
      </c>
      <c r="E406" s="57">
        <f>IFERROR(VALUE(CRM_MAGDY!K406),0)</f>
        <v>0</v>
      </c>
      <c r="F406" s="57">
        <f>IFERROR(IF(CRM_MAGDY!L406&gt;1,CRM_MAGDY!L406/100,CRM_MAGDY!L406),0)</f>
        <v>0</v>
      </c>
      <c r="G406" s="57">
        <f>CRM_MAGDY!N406</f>
        <v>0</v>
      </c>
      <c r="H406" s="57">
        <f>CRM_MAGDY!M406</f>
        <v>0</v>
      </c>
      <c r="I406" s="57">
        <f t="shared" si="12"/>
        <v>0</v>
      </c>
      <c r="J406" s="57" t="str">
        <f t="shared" si="13"/>
        <v>POTENCJAŁ</v>
      </c>
    </row>
    <row r="407" spans="1:10" x14ac:dyDescent="0.25">
      <c r="A407" s="57" t="str">
        <f>IF(CRM_MAGDY!H407="","","CRM-"&amp;TEXT(ROW()-4,"0000"))</f>
        <v>CRM-0403</v>
      </c>
      <c r="B407" s="57">
        <f>CRM_MAGDY!E407</f>
        <v>0</v>
      </c>
      <c r="C407" s="57">
        <f>CRM_MAGDY!H407</f>
        <v>5848</v>
      </c>
      <c r="D407" s="57">
        <f>CRM_MAGDY!I407</f>
        <v>0</v>
      </c>
      <c r="E407" s="57">
        <f>IFERROR(VALUE(CRM_MAGDY!K407),0)</f>
        <v>0</v>
      </c>
      <c r="F407" s="57">
        <f>IFERROR(IF(CRM_MAGDY!L407&gt;1,CRM_MAGDY!L407/100,CRM_MAGDY!L407),0)</f>
        <v>0</v>
      </c>
      <c r="G407" s="57">
        <f>CRM_MAGDY!N407</f>
        <v>0</v>
      </c>
      <c r="H407" s="57">
        <f>CRM_MAGDY!M407</f>
        <v>0</v>
      </c>
      <c r="I407" s="57">
        <f t="shared" si="12"/>
        <v>0</v>
      </c>
      <c r="J407" s="57" t="str">
        <f t="shared" si="13"/>
        <v>POTENCJAŁ</v>
      </c>
    </row>
    <row r="408" spans="1:10" x14ac:dyDescent="0.25">
      <c r="A408" s="57" t="str">
        <f>IF(CRM_MAGDY!H408="","","CRM-"&amp;TEXT(ROW()-4,"0000"))</f>
        <v>CRM-0404</v>
      </c>
      <c r="B408" s="57">
        <f>CRM_MAGDY!E408</f>
        <v>0</v>
      </c>
      <c r="C408" s="57">
        <f>CRM_MAGDY!H408</f>
        <v>5849</v>
      </c>
      <c r="D408" s="57">
        <f>CRM_MAGDY!I408</f>
        <v>0</v>
      </c>
      <c r="E408" s="57">
        <f>IFERROR(VALUE(CRM_MAGDY!K408),0)</f>
        <v>0</v>
      </c>
      <c r="F408" s="57">
        <f>IFERROR(IF(CRM_MAGDY!L408&gt;1,CRM_MAGDY!L408/100,CRM_MAGDY!L408),0)</f>
        <v>0</v>
      </c>
      <c r="G408" s="57">
        <f>CRM_MAGDY!N408</f>
        <v>0</v>
      </c>
      <c r="H408" s="57">
        <f>CRM_MAGDY!M408</f>
        <v>0</v>
      </c>
      <c r="I408" s="57">
        <f t="shared" si="12"/>
        <v>0</v>
      </c>
      <c r="J408" s="57" t="str">
        <f t="shared" si="13"/>
        <v>POTENCJAŁ</v>
      </c>
    </row>
    <row r="409" spans="1:10" x14ac:dyDescent="0.25">
      <c r="A409" s="57" t="str">
        <f>IF(CRM_MAGDY!H409="","","CRM-"&amp;TEXT(ROW()-4,"0000"))</f>
        <v>CRM-0405</v>
      </c>
      <c r="B409" s="57">
        <f>CRM_MAGDY!E409</f>
        <v>0</v>
      </c>
      <c r="C409" s="57">
        <f>CRM_MAGDY!H409</f>
        <v>5850</v>
      </c>
      <c r="D409" s="57">
        <f>CRM_MAGDY!I409</f>
        <v>0</v>
      </c>
      <c r="E409" s="57">
        <f>IFERROR(VALUE(CRM_MAGDY!K409),0)</f>
        <v>0</v>
      </c>
      <c r="F409" s="57">
        <f>IFERROR(IF(CRM_MAGDY!L409&gt;1,CRM_MAGDY!L409/100,CRM_MAGDY!L409),0)</f>
        <v>0</v>
      </c>
      <c r="G409" s="57">
        <f>CRM_MAGDY!N409</f>
        <v>0</v>
      </c>
      <c r="H409" s="57">
        <f>CRM_MAGDY!M409</f>
        <v>0</v>
      </c>
      <c r="I409" s="57">
        <f t="shared" si="12"/>
        <v>0</v>
      </c>
      <c r="J409" s="57" t="str">
        <f t="shared" si="13"/>
        <v>POTENCJAŁ</v>
      </c>
    </row>
    <row r="410" spans="1:10" x14ac:dyDescent="0.25">
      <c r="A410" s="57" t="str">
        <f>IF(CRM_MAGDY!H410="","","CRM-"&amp;TEXT(ROW()-4,"0000"))</f>
        <v>CRM-0406</v>
      </c>
      <c r="B410" s="57">
        <f>CRM_MAGDY!E410</f>
        <v>0</v>
      </c>
      <c r="C410" s="57">
        <f>CRM_MAGDY!H410</f>
        <v>5851</v>
      </c>
      <c r="D410" s="57">
        <f>CRM_MAGDY!I410</f>
        <v>0</v>
      </c>
      <c r="E410" s="57">
        <f>IFERROR(VALUE(CRM_MAGDY!K410),0)</f>
        <v>0</v>
      </c>
      <c r="F410" s="57">
        <f>IFERROR(IF(CRM_MAGDY!L410&gt;1,CRM_MAGDY!L410/100,CRM_MAGDY!L410),0)</f>
        <v>0</v>
      </c>
      <c r="G410" s="57">
        <f>CRM_MAGDY!N410</f>
        <v>0</v>
      </c>
      <c r="H410" s="57">
        <f>CRM_MAGDY!M410</f>
        <v>0</v>
      </c>
      <c r="I410" s="57">
        <f t="shared" si="12"/>
        <v>0</v>
      </c>
      <c r="J410" s="57" t="str">
        <f t="shared" si="13"/>
        <v>POTENCJAŁ</v>
      </c>
    </row>
    <row r="411" spans="1:10" x14ac:dyDescent="0.25">
      <c r="A411" s="57" t="str">
        <f>IF(CRM_MAGDY!H411="","","CRM-"&amp;TEXT(ROW()-4,"0000"))</f>
        <v>CRM-0407</v>
      </c>
      <c r="B411" s="57">
        <f>CRM_MAGDY!E411</f>
        <v>0</v>
      </c>
      <c r="C411" s="57">
        <f>CRM_MAGDY!H411</f>
        <v>5852</v>
      </c>
      <c r="D411" s="57">
        <f>CRM_MAGDY!I411</f>
        <v>0</v>
      </c>
      <c r="E411" s="57">
        <f>IFERROR(VALUE(CRM_MAGDY!K411),0)</f>
        <v>0</v>
      </c>
      <c r="F411" s="57">
        <f>IFERROR(IF(CRM_MAGDY!L411&gt;1,CRM_MAGDY!L411/100,CRM_MAGDY!L411),0)</f>
        <v>0</v>
      </c>
      <c r="G411" s="57">
        <f>CRM_MAGDY!N411</f>
        <v>0</v>
      </c>
      <c r="H411" s="57">
        <f>CRM_MAGDY!M411</f>
        <v>0</v>
      </c>
      <c r="I411" s="57">
        <f t="shared" si="12"/>
        <v>0</v>
      </c>
      <c r="J411" s="57" t="str">
        <f t="shared" si="13"/>
        <v>POTENCJAŁ</v>
      </c>
    </row>
    <row r="412" spans="1:10" x14ac:dyDescent="0.25">
      <c r="A412" s="57" t="str">
        <f>IF(CRM_MAGDY!H412="","","CRM-"&amp;TEXT(ROW()-4,"0000"))</f>
        <v>CRM-0408</v>
      </c>
      <c r="B412" s="57">
        <f>CRM_MAGDY!E412</f>
        <v>0</v>
      </c>
      <c r="C412" s="57">
        <f>CRM_MAGDY!H412</f>
        <v>5853</v>
      </c>
      <c r="D412" s="57">
        <f>CRM_MAGDY!I412</f>
        <v>0</v>
      </c>
      <c r="E412" s="57">
        <f>IFERROR(VALUE(CRM_MAGDY!K412),0)</f>
        <v>0</v>
      </c>
      <c r="F412" s="57">
        <f>IFERROR(IF(CRM_MAGDY!L412&gt;1,CRM_MAGDY!L412/100,CRM_MAGDY!L412),0)</f>
        <v>0</v>
      </c>
      <c r="G412" s="57">
        <f>CRM_MAGDY!N412</f>
        <v>0</v>
      </c>
      <c r="H412" s="57">
        <f>CRM_MAGDY!M412</f>
        <v>0</v>
      </c>
      <c r="I412" s="57">
        <f t="shared" si="12"/>
        <v>0</v>
      </c>
      <c r="J412" s="57" t="str">
        <f t="shared" si="13"/>
        <v>POTENCJAŁ</v>
      </c>
    </row>
    <row r="413" spans="1:10" x14ac:dyDescent="0.25">
      <c r="A413" s="57" t="str">
        <f>IF(CRM_MAGDY!H413="","","CRM-"&amp;TEXT(ROW()-4,"0000"))</f>
        <v>CRM-0409</v>
      </c>
      <c r="B413" s="57">
        <f>CRM_MAGDY!E413</f>
        <v>0</v>
      </c>
      <c r="C413" s="57">
        <f>CRM_MAGDY!H413</f>
        <v>5854</v>
      </c>
      <c r="D413" s="57">
        <f>CRM_MAGDY!I413</f>
        <v>0</v>
      </c>
      <c r="E413" s="57">
        <f>IFERROR(VALUE(CRM_MAGDY!K413),0)</f>
        <v>0</v>
      </c>
      <c r="F413" s="57">
        <f>IFERROR(IF(CRM_MAGDY!L413&gt;1,CRM_MAGDY!L413/100,CRM_MAGDY!L413),0)</f>
        <v>0</v>
      </c>
      <c r="G413" s="57">
        <f>CRM_MAGDY!N413</f>
        <v>0</v>
      </c>
      <c r="H413" s="57">
        <f>CRM_MAGDY!M413</f>
        <v>0</v>
      </c>
      <c r="I413" s="57">
        <f t="shared" si="12"/>
        <v>0</v>
      </c>
      <c r="J413" s="57" t="str">
        <f t="shared" si="13"/>
        <v>POTENCJAŁ</v>
      </c>
    </row>
    <row r="414" spans="1:10" x14ac:dyDescent="0.25">
      <c r="A414" s="57" t="str">
        <f>IF(CRM_MAGDY!H414="","","CRM-"&amp;TEXT(ROW()-4,"0000"))</f>
        <v>CRM-0410</v>
      </c>
      <c r="B414" s="57">
        <f>CRM_MAGDY!E414</f>
        <v>0</v>
      </c>
      <c r="C414" s="57">
        <f>CRM_MAGDY!H414</f>
        <v>5855</v>
      </c>
      <c r="D414" s="57">
        <f>CRM_MAGDY!I414</f>
        <v>0</v>
      </c>
      <c r="E414" s="57">
        <f>IFERROR(VALUE(CRM_MAGDY!K414),0)</f>
        <v>0</v>
      </c>
      <c r="F414" s="57">
        <f>IFERROR(IF(CRM_MAGDY!L414&gt;1,CRM_MAGDY!L414/100,CRM_MAGDY!L414),0)</f>
        <v>0</v>
      </c>
      <c r="G414" s="57">
        <f>CRM_MAGDY!N414</f>
        <v>0</v>
      </c>
      <c r="H414" s="57">
        <f>CRM_MAGDY!M414</f>
        <v>0</v>
      </c>
      <c r="I414" s="57">
        <f t="shared" si="12"/>
        <v>0</v>
      </c>
      <c r="J414" s="57" t="str">
        <f t="shared" si="13"/>
        <v>POTENCJAŁ</v>
      </c>
    </row>
    <row r="415" spans="1:10" x14ac:dyDescent="0.25">
      <c r="A415" s="57" t="str">
        <f>IF(CRM_MAGDY!H415="","","CRM-"&amp;TEXT(ROW()-4,"0000"))</f>
        <v>CRM-0411</v>
      </c>
      <c r="B415" s="57">
        <f>CRM_MAGDY!E415</f>
        <v>0</v>
      </c>
      <c r="C415" s="57">
        <f>CRM_MAGDY!H415</f>
        <v>5856</v>
      </c>
      <c r="D415" s="57">
        <f>CRM_MAGDY!I415</f>
        <v>0</v>
      </c>
      <c r="E415" s="57">
        <f>IFERROR(VALUE(CRM_MAGDY!K415),0)</f>
        <v>0</v>
      </c>
      <c r="F415" s="57">
        <f>IFERROR(IF(CRM_MAGDY!L415&gt;1,CRM_MAGDY!L415/100,CRM_MAGDY!L415),0)</f>
        <v>0</v>
      </c>
      <c r="G415" s="57">
        <f>CRM_MAGDY!N415</f>
        <v>0</v>
      </c>
      <c r="H415" s="57">
        <f>CRM_MAGDY!M415</f>
        <v>0</v>
      </c>
      <c r="I415" s="57">
        <f t="shared" si="12"/>
        <v>0</v>
      </c>
      <c r="J415" s="57" t="str">
        <f t="shared" si="13"/>
        <v>POTENCJAŁ</v>
      </c>
    </row>
    <row r="416" spans="1:10" x14ac:dyDescent="0.25">
      <c r="A416" s="57" t="str">
        <f>IF(CRM_MAGDY!H416="","","CRM-"&amp;TEXT(ROW()-4,"0000"))</f>
        <v>CRM-0412</v>
      </c>
      <c r="B416" s="57">
        <f>CRM_MAGDY!E416</f>
        <v>0</v>
      </c>
      <c r="C416" s="57">
        <f>CRM_MAGDY!H416</f>
        <v>5857</v>
      </c>
      <c r="D416" s="57">
        <f>CRM_MAGDY!I416</f>
        <v>0</v>
      </c>
      <c r="E416" s="57">
        <f>IFERROR(VALUE(CRM_MAGDY!K416),0)</f>
        <v>0</v>
      </c>
      <c r="F416" s="57">
        <f>IFERROR(IF(CRM_MAGDY!L416&gt;1,CRM_MAGDY!L416/100,CRM_MAGDY!L416),0)</f>
        <v>0</v>
      </c>
      <c r="G416" s="57">
        <f>CRM_MAGDY!N416</f>
        <v>0</v>
      </c>
      <c r="H416" s="57">
        <f>CRM_MAGDY!M416</f>
        <v>0</v>
      </c>
      <c r="I416" s="57">
        <f t="shared" si="12"/>
        <v>0</v>
      </c>
      <c r="J416" s="57" t="str">
        <f t="shared" si="13"/>
        <v>POTENCJAŁ</v>
      </c>
    </row>
    <row r="417" spans="1:10" x14ac:dyDescent="0.25">
      <c r="A417" s="57" t="str">
        <f>IF(CRM_MAGDY!H417="","","CRM-"&amp;TEXT(ROW()-4,"0000"))</f>
        <v>CRM-0413</v>
      </c>
      <c r="B417" s="57">
        <f>CRM_MAGDY!E417</f>
        <v>0</v>
      </c>
      <c r="C417" s="57">
        <f>CRM_MAGDY!H417</f>
        <v>5858</v>
      </c>
      <c r="D417" s="57">
        <f>CRM_MAGDY!I417</f>
        <v>0</v>
      </c>
      <c r="E417" s="57">
        <f>IFERROR(VALUE(CRM_MAGDY!K417),0)</f>
        <v>0</v>
      </c>
      <c r="F417" s="57">
        <f>IFERROR(IF(CRM_MAGDY!L417&gt;1,CRM_MAGDY!L417/100,CRM_MAGDY!L417),0)</f>
        <v>0</v>
      </c>
      <c r="G417" s="57">
        <f>CRM_MAGDY!N417</f>
        <v>0</v>
      </c>
      <c r="H417" s="57">
        <f>CRM_MAGDY!M417</f>
        <v>0</v>
      </c>
      <c r="I417" s="57">
        <f t="shared" si="12"/>
        <v>0</v>
      </c>
      <c r="J417" s="57" t="str">
        <f t="shared" si="13"/>
        <v>POTENCJAŁ</v>
      </c>
    </row>
    <row r="418" spans="1:10" x14ac:dyDescent="0.25">
      <c r="A418" s="57" t="str">
        <f>IF(CRM_MAGDY!H418="","","CRM-"&amp;TEXT(ROW()-4,"0000"))</f>
        <v>CRM-0414</v>
      </c>
      <c r="B418" s="57">
        <f>CRM_MAGDY!E418</f>
        <v>0</v>
      </c>
      <c r="C418" s="57">
        <f>CRM_MAGDY!H418</f>
        <v>5859</v>
      </c>
      <c r="D418" s="57">
        <f>CRM_MAGDY!I418</f>
        <v>0</v>
      </c>
      <c r="E418" s="57">
        <f>IFERROR(VALUE(CRM_MAGDY!K418),0)</f>
        <v>0</v>
      </c>
      <c r="F418" s="57">
        <f>IFERROR(IF(CRM_MAGDY!L418&gt;1,CRM_MAGDY!L418/100,CRM_MAGDY!L418),0)</f>
        <v>0</v>
      </c>
      <c r="G418" s="57">
        <f>CRM_MAGDY!N418</f>
        <v>0</v>
      </c>
      <c r="H418" s="57">
        <f>CRM_MAGDY!M418</f>
        <v>0</v>
      </c>
      <c r="I418" s="57">
        <f t="shared" si="12"/>
        <v>0</v>
      </c>
      <c r="J418" s="57" t="str">
        <f t="shared" si="13"/>
        <v>POTENCJAŁ</v>
      </c>
    </row>
    <row r="419" spans="1:10" x14ac:dyDescent="0.25">
      <c r="A419" s="57" t="str">
        <f>IF(CRM_MAGDY!H419="","","CRM-"&amp;TEXT(ROW()-4,"0000"))</f>
        <v>CRM-0415</v>
      </c>
      <c r="B419" s="57">
        <f>CRM_MAGDY!E419</f>
        <v>0</v>
      </c>
      <c r="C419" s="57">
        <f>CRM_MAGDY!H419</f>
        <v>5860</v>
      </c>
      <c r="D419" s="57">
        <f>CRM_MAGDY!I419</f>
        <v>0</v>
      </c>
      <c r="E419" s="57">
        <f>IFERROR(VALUE(CRM_MAGDY!K419),0)</f>
        <v>0</v>
      </c>
      <c r="F419" s="57">
        <f>IFERROR(IF(CRM_MAGDY!L419&gt;1,CRM_MAGDY!L419/100,CRM_MAGDY!L419),0)</f>
        <v>0</v>
      </c>
      <c r="G419" s="57">
        <f>CRM_MAGDY!N419</f>
        <v>0</v>
      </c>
      <c r="H419" s="57">
        <f>CRM_MAGDY!M419</f>
        <v>0</v>
      </c>
      <c r="I419" s="57">
        <f t="shared" si="12"/>
        <v>0</v>
      </c>
      <c r="J419" s="57" t="str">
        <f t="shared" si="13"/>
        <v>POTENCJAŁ</v>
      </c>
    </row>
    <row r="420" spans="1:10" x14ac:dyDescent="0.25">
      <c r="A420" s="57" t="str">
        <f>IF(CRM_MAGDY!H420="","","CRM-"&amp;TEXT(ROW()-4,"0000"))</f>
        <v>CRM-0416</v>
      </c>
      <c r="B420" s="57">
        <f>CRM_MAGDY!E420</f>
        <v>0</v>
      </c>
      <c r="C420" s="57">
        <f>CRM_MAGDY!H420</f>
        <v>5861</v>
      </c>
      <c r="D420" s="57">
        <f>CRM_MAGDY!I420</f>
        <v>0</v>
      </c>
      <c r="E420" s="57">
        <f>IFERROR(VALUE(CRM_MAGDY!K420),0)</f>
        <v>0</v>
      </c>
      <c r="F420" s="57">
        <f>IFERROR(IF(CRM_MAGDY!L420&gt;1,CRM_MAGDY!L420/100,CRM_MAGDY!L420),0)</f>
        <v>0</v>
      </c>
      <c r="G420" s="57">
        <f>CRM_MAGDY!N420</f>
        <v>0</v>
      </c>
      <c r="H420" s="57">
        <f>CRM_MAGDY!M420</f>
        <v>0</v>
      </c>
      <c r="I420" s="57">
        <f t="shared" si="12"/>
        <v>0</v>
      </c>
      <c r="J420" s="57" t="str">
        <f t="shared" si="13"/>
        <v>POTENCJAŁ</v>
      </c>
    </row>
    <row r="421" spans="1:10" x14ac:dyDescent="0.25">
      <c r="A421" s="57" t="str">
        <f>IF(CRM_MAGDY!H421="","","CRM-"&amp;TEXT(ROW()-4,"0000"))</f>
        <v>CRM-0417</v>
      </c>
      <c r="B421" s="57">
        <f>CRM_MAGDY!E421</f>
        <v>0</v>
      </c>
      <c r="C421" s="57">
        <f>CRM_MAGDY!H421</f>
        <v>5862</v>
      </c>
      <c r="D421" s="57">
        <f>CRM_MAGDY!I421</f>
        <v>0</v>
      </c>
      <c r="E421" s="57">
        <f>IFERROR(VALUE(CRM_MAGDY!K421),0)</f>
        <v>0</v>
      </c>
      <c r="F421" s="57">
        <f>IFERROR(IF(CRM_MAGDY!L421&gt;1,CRM_MAGDY!L421/100,CRM_MAGDY!L421),0)</f>
        <v>0</v>
      </c>
      <c r="G421" s="57">
        <f>CRM_MAGDY!N421</f>
        <v>0</v>
      </c>
      <c r="H421" s="57">
        <f>CRM_MAGDY!M421</f>
        <v>0</v>
      </c>
      <c r="I421" s="57">
        <f t="shared" si="12"/>
        <v>0</v>
      </c>
      <c r="J421" s="57" t="str">
        <f t="shared" si="13"/>
        <v>POTENCJAŁ</v>
      </c>
    </row>
    <row r="422" spans="1:10" x14ac:dyDescent="0.25">
      <c r="A422" s="57" t="str">
        <f>IF(CRM_MAGDY!H422="","","CRM-"&amp;TEXT(ROW()-4,"0000"))</f>
        <v>CRM-0418</v>
      </c>
      <c r="B422" s="57">
        <f>CRM_MAGDY!E422</f>
        <v>0</v>
      </c>
      <c r="C422" s="57">
        <f>CRM_MAGDY!H422</f>
        <v>5863</v>
      </c>
      <c r="D422" s="57">
        <f>CRM_MAGDY!I422</f>
        <v>0</v>
      </c>
      <c r="E422" s="57">
        <f>IFERROR(VALUE(CRM_MAGDY!K422),0)</f>
        <v>0</v>
      </c>
      <c r="F422" s="57">
        <f>IFERROR(IF(CRM_MAGDY!L422&gt;1,CRM_MAGDY!L422/100,CRM_MAGDY!L422),0)</f>
        <v>0</v>
      </c>
      <c r="G422" s="57">
        <f>CRM_MAGDY!N422</f>
        <v>0</v>
      </c>
      <c r="H422" s="57">
        <f>CRM_MAGDY!M422</f>
        <v>0</v>
      </c>
      <c r="I422" s="57">
        <f t="shared" si="12"/>
        <v>0</v>
      </c>
      <c r="J422" s="57" t="str">
        <f t="shared" si="13"/>
        <v>POTENCJAŁ</v>
      </c>
    </row>
    <row r="423" spans="1:10" x14ac:dyDescent="0.25">
      <c r="A423" s="57" t="str">
        <f>IF(CRM_MAGDY!H423="","","CRM-"&amp;TEXT(ROW()-4,"0000"))</f>
        <v>CRM-0419</v>
      </c>
      <c r="B423" s="57">
        <f>CRM_MAGDY!E423</f>
        <v>0</v>
      </c>
      <c r="C423" s="57">
        <f>CRM_MAGDY!H423</f>
        <v>5864</v>
      </c>
      <c r="D423" s="57">
        <f>CRM_MAGDY!I423</f>
        <v>0</v>
      </c>
      <c r="E423" s="57">
        <f>IFERROR(VALUE(CRM_MAGDY!K423),0)</f>
        <v>0</v>
      </c>
      <c r="F423" s="57">
        <f>IFERROR(IF(CRM_MAGDY!L423&gt;1,CRM_MAGDY!L423/100,CRM_MAGDY!L423),0)</f>
        <v>0</v>
      </c>
      <c r="G423" s="57">
        <f>CRM_MAGDY!N423</f>
        <v>0</v>
      </c>
      <c r="H423" s="57">
        <f>CRM_MAGDY!M423</f>
        <v>0</v>
      </c>
      <c r="I423" s="57">
        <f t="shared" si="12"/>
        <v>0</v>
      </c>
      <c r="J423" s="57" t="str">
        <f t="shared" si="13"/>
        <v>POTENCJAŁ</v>
      </c>
    </row>
    <row r="424" spans="1:10" x14ac:dyDescent="0.25">
      <c r="A424" s="57" t="str">
        <f>IF(CRM_MAGDY!H424="","","CRM-"&amp;TEXT(ROW()-4,"0000"))</f>
        <v>CRM-0420</v>
      </c>
      <c r="B424" s="57">
        <f>CRM_MAGDY!E424</f>
        <v>0</v>
      </c>
      <c r="C424" s="57">
        <f>CRM_MAGDY!H424</f>
        <v>5865</v>
      </c>
      <c r="D424" s="57">
        <f>CRM_MAGDY!I424</f>
        <v>0</v>
      </c>
      <c r="E424" s="57">
        <f>IFERROR(VALUE(CRM_MAGDY!K424),0)</f>
        <v>0</v>
      </c>
      <c r="F424" s="57">
        <f>IFERROR(IF(CRM_MAGDY!L424&gt;1,CRM_MAGDY!L424/100,CRM_MAGDY!L424),0)</f>
        <v>0</v>
      </c>
      <c r="G424" s="57">
        <f>CRM_MAGDY!N424</f>
        <v>0</v>
      </c>
      <c r="H424" s="57">
        <f>CRM_MAGDY!M424</f>
        <v>0</v>
      </c>
      <c r="I424" s="57">
        <f t="shared" si="12"/>
        <v>0</v>
      </c>
      <c r="J424" s="57" t="str">
        <f t="shared" si="13"/>
        <v>POTENCJAŁ</v>
      </c>
    </row>
    <row r="425" spans="1:10" x14ac:dyDescent="0.25">
      <c r="A425" s="57" t="str">
        <f>IF(CRM_MAGDY!H425="","","CRM-"&amp;TEXT(ROW()-4,"0000"))</f>
        <v>CRM-0421</v>
      </c>
      <c r="B425" s="57">
        <f>CRM_MAGDY!E425</f>
        <v>0</v>
      </c>
      <c r="C425" s="57">
        <f>CRM_MAGDY!H425</f>
        <v>5866</v>
      </c>
      <c r="D425" s="57">
        <f>CRM_MAGDY!I425</f>
        <v>0</v>
      </c>
      <c r="E425" s="57">
        <f>IFERROR(VALUE(CRM_MAGDY!K425),0)</f>
        <v>0</v>
      </c>
      <c r="F425" s="57">
        <f>IFERROR(IF(CRM_MAGDY!L425&gt;1,CRM_MAGDY!L425/100,CRM_MAGDY!L425),0)</f>
        <v>0</v>
      </c>
      <c r="G425" s="57">
        <f>CRM_MAGDY!N425</f>
        <v>0</v>
      </c>
      <c r="H425" s="57">
        <f>CRM_MAGDY!M425</f>
        <v>0</v>
      </c>
      <c r="I425" s="57">
        <f t="shared" si="12"/>
        <v>0</v>
      </c>
      <c r="J425" s="57" t="str">
        <f t="shared" si="13"/>
        <v>POTENCJAŁ</v>
      </c>
    </row>
    <row r="426" spans="1:10" x14ac:dyDescent="0.25">
      <c r="A426" s="57" t="str">
        <f>IF(CRM_MAGDY!H426="","","CRM-"&amp;TEXT(ROW()-4,"0000"))</f>
        <v>CRM-0422</v>
      </c>
      <c r="B426" s="57">
        <f>CRM_MAGDY!E426</f>
        <v>0</v>
      </c>
      <c r="C426" s="57">
        <f>CRM_MAGDY!H426</f>
        <v>5867</v>
      </c>
      <c r="D426" s="57">
        <f>CRM_MAGDY!I426</f>
        <v>0</v>
      </c>
      <c r="E426" s="57">
        <f>IFERROR(VALUE(CRM_MAGDY!K426),0)</f>
        <v>0</v>
      </c>
      <c r="F426" s="57">
        <f>IFERROR(IF(CRM_MAGDY!L426&gt;1,CRM_MAGDY!L426/100,CRM_MAGDY!L426),0)</f>
        <v>0</v>
      </c>
      <c r="G426" s="57">
        <f>CRM_MAGDY!N426</f>
        <v>0</v>
      </c>
      <c r="H426" s="57">
        <f>CRM_MAGDY!M426</f>
        <v>0</v>
      </c>
      <c r="I426" s="57">
        <f t="shared" si="12"/>
        <v>0</v>
      </c>
      <c r="J426" s="57" t="str">
        <f t="shared" si="13"/>
        <v>POTENCJAŁ</v>
      </c>
    </row>
    <row r="427" spans="1:10" x14ac:dyDescent="0.25">
      <c r="A427" s="57" t="str">
        <f>IF(CRM_MAGDY!H427="","","CRM-"&amp;TEXT(ROW()-4,"0000"))</f>
        <v>CRM-0423</v>
      </c>
      <c r="B427" s="57">
        <f>CRM_MAGDY!E427</f>
        <v>0</v>
      </c>
      <c r="C427" s="57">
        <f>CRM_MAGDY!H427</f>
        <v>5868</v>
      </c>
      <c r="D427" s="57">
        <f>CRM_MAGDY!I427</f>
        <v>0</v>
      </c>
      <c r="E427" s="57">
        <f>IFERROR(VALUE(CRM_MAGDY!K427),0)</f>
        <v>0</v>
      </c>
      <c r="F427" s="57">
        <f>IFERROR(IF(CRM_MAGDY!L427&gt;1,CRM_MAGDY!L427/100,CRM_MAGDY!L427),0)</f>
        <v>0</v>
      </c>
      <c r="G427" s="57">
        <f>CRM_MAGDY!N427</f>
        <v>0</v>
      </c>
      <c r="H427" s="57">
        <f>CRM_MAGDY!M427</f>
        <v>0</v>
      </c>
      <c r="I427" s="57">
        <f t="shared" si="12"/>
        <v>0</v>
      </c>
      <c r="J427" s="57" t="str">
        <f t="shared" si="13"/>
        <v>POTENCJAŁ</v>
      </c>
    </row>
    <row r="428" spans="1:10" x14ac:dyDescent="0.25">
      <c r="A428" s="57" t="str">
        <f>IF(CRM_MAGDY!H428="","","CRM-"&amp;TEXT(ROW()-4,"0000"))</f>
        <v>CRM-0424</v>
      </c>
      <c r="B428" s="57">
        <f>CRM_MAGDY!E428</f>
        <v>0</v>
      </c>
      <c r="C428" s="57">
        <f>CRM_MAGDY!H428</f>
        <v>5869</v>
      </c>
      <c r="D428" s="57">
        <f>CRM_MAGDY!I428</f>
        <v>0</v>
      </c>
      <c r="E428" s="57">
        <f>IFERROR(VALUE(CRM_MAGDY!K428),0)</f>
        <v>0</v>
      </c>
      <c r="F428" s="57">
        <f>IFERROR(IF(CRM_MAGDY!L428&gt;1,CRM_MAGDY!L428/100,CRM_MAGDY!L428),0)</f>
        <v>0</v>
      </c>
      <c r="G428" s="57">
        <f>CRM_MAGDY!N428</f>
        <v>0</v>
      </c>
      <c r="H428" s="57">
        <f>CRM_MAGDY!M428</f>
        <v>0</v>
      </c>
      <c r="I428" s="57">
        <f t="shared" si="12"/>
        <v>0</v>
      </c>
      <c r="J428" s="57" t="str">
        <f t="shared" si="13"/>
        <v>POTENCJAŁ</v>
      </c>
    </row>
    <row r="429" spans="1:10" x14ac:dyDescent="0.25">
      <c r="A429" s="57" t="str">
        <f>IF(CRM_MAGDY!H429="","","CRM-"&amp;TEXT(ROW()-4,"0000"))</f>
        <v>CRM-0425</v>
      </c>
      <c r="B429" s="57">
        <f>CRM_MAGDY!E429</f>
        <v>0</v>
      </c>
      <c r="C429" s="57">
        <f>CRM_MAGDY!H429</f>
        <v>5870</v>
      </c>
      <c r="D429" s="57">
        <f>CRM_MAGDY!I429</f>
        <v>0</v>
      </c>
      <c r="E429" s="57">
        <f>IFERROR(VALUE(CRM_MAGDY!K429),0)</f>
        <v>0</v>
      </c>
      <c r="F429" s="57">
        <f>IFERROR(IF(CRM_MAGDY!L429&gt;1,CRM_MAGDY!L429/100,CRM_MAGDY!L429),0)</f>
        <v>0</v>
      </c>
      <c r="G429" s="57">
        <f>CRM_MAGDY!N429</f>
        <v>0</v>
      </c>
      <c r="H429" s="57">
        <f>CRM_MAGDY!M429</f>
        <v>0</v>
      </c>
      <c r="I429" s="57">
        <f t="shared" si="12"/>
        <v>0</v>
      </c>
      <c r="J429" s="57" t="str">
        <f t="shared" si="13"/>
        <v>POTENCJAŁ</v>
      </c>
    </row>
    <row r="430" spans="1:10" x14ac:dyDescent="0.25">
      <c r="A430" s="57" t="str">
        <f>IF(CRM_MAGDY!H430="","","CRM-"&amp;TEXT(ROW()-4,"0000"))</f>
        <v>CRM-0426</v>
      </c>
      <c r="B430" s="57">
        <f>CRM_MAGDY!E430</f>
        <v>0</v>
      </c>
      <c r="C430" s="57">
        <f>CRM_MAGDY!H430</f>
        <v>5871</v>
      </c>
      <c r="D430" s="57">
        <f>CRM_MAGDY!I430</f>
        <v>0</v>
      </c>
      <c r="E430" s="57">
        <f>IFERROR(VALUE(CRM_MAGDY!K430),0)</f>
        <v>0</v>
      </c>
      <c r="F430" s="57">
        <f>IFERROR(IF(CRM_MAGDY!L430&gt;1,CRM_MAGDY!L430/100,CRM_MAGDY!L430),0)</f>
        <v>0</v>
      </c>
      <c r="G430" s="57">
        <f>CRM_MAGDY!N430</f>
        <v>0</v>
      </c>
      <c r="H430" s="57">
        <f>CRM_MAGDY!M430</f>
        <v>0</v>
      </c>
      <c r="I430" s="57">
        <f t="shared" si="12"/>
        <v>0</v>
      </c>
      <c r="J430" s="57" t="str">
        <f t="shared" si="13"/>
        <v>POTENCJAŁ</v>
      </c>
    </row>
    <row r="431" spans="1:10" x14ac:dyDescent="0.25">
      <c r="A431" s="57" t="str">
        <f>IF(CRM_MAGDY!H431="","","CRM-"&amp;TEXT(ROW()-4,"0000"))</f>
        <v>CRM-0427</v>
      </c>
      <c r="B431" s="57">
        <f>CRM_MAGDY!E431</f>
        <v>0</v>
      </c>
      <c r="C431" s="57">
        <f>CRM_MAGDY!H431</f>
        <v>5872</v>
      </c>
      <c r="D431" s="57">
        <f>CRM_MAGDY!I431</f>
        <v>0</v>
      </c>
      <c r="E431" s="57">
        <f>IFERROR(VALUE(CRM_MAGDY!K431),0)</f>
        <v>0</v>
      </c>
      <c r="F431" s="57">
        <f>IFERROR(IF(CRM_MAGDY!L431&gt;1,CRM_MAGDY!L431/100,CRM_MAGDY!L431),0)</f>
        <v>0</v>
      </c>
      <c r="G431" s="57">
        <f>CRM_MAGDY!N431</f>
        <v>0</v>
      </c>
      <c r="H431" s="57">
        <f>CRM_MAGDY!M431</f>
        <v>0</v>
      </c>
      <c r="I431" s="57">
        <f t="shared" si="12"/>
        <v>0</v>
      </c>
      <c r="J431" s="57" t="str">
        <f t="shared" si="13"/>
        <v>POTENCJAŁ</v>
      </c>
    </row>
    <row r="432" spans="1:10" x14ac:dyDescent="0.25">
      <c r="A432" s="57" t="str">
        <f>IF(CRM_MAGDY!H432="","","CRM-"&amp;TEXT(ROW()-4,"0000"))</f>
        <v>CRM-0428</v>
      </c>
      <c r="B432" s="57">
        <f>CRM_MAGDY!E432</f>
        <v>0</v>
      </c>
      <c r="C432" s="57">
        <f>CRM_MAGDY!H432</f>
        <v>5873</v>
      </c>
      <c r="D432" s="57">
        <f>CRM_MAGDY!I432</f>
        <v>0</v>
      </c>
      <c r="E432" s="57">
        <f>IFERROR(VALUE(CRM_MAGDY!K432),0)</f>
        <v>0</v>
      </c>
      <c r="F432" s="57">
        <f>IFERROR(IF(CRM_MAGDY!L432&gt;1,CRM_MAGDY!L432/100,CRM_MAGDY!L432),0)</f>
        <v>0</v>
      </c>
      <c r="G432" s="57">
        <f>CRM_MAGDY!N432</f>
        <v>0</v>
      </c>
      <c r="H432" s="57">
        <f>CRM_MAGDY!M432</f>
        <v>0</v>
      </c>
      <c r="I432" s="57">
        <f t="shared" si="12"/>
        <v>0</v>
      </c>
      <c r="J432" s="57" t="str">
        <f t="shared" si="13"/>
        <v>POTENCJAŁ</v>
      </c>
    </row>
    <row r="433" spans="1:10" x14ac:dyDescent="0.25">
      <c r="A433" s="57" t="str">
        <f>IF(CRM_MAGDY!H433="","","CRM-"&amp;TEXT(ROW()-4,"0000"))</f>
        <v>CRM-0429</v>
      </c>
      <c r="B433" s="57">
        <f>CRM_MAGDY!E433</f>
        <v>0</v>
      </c>
      <c r="C433" s="57">
        <f>CRM_MAGDY!H433</f>
        <v>5874</v>
      </c>
      <c r="D433" s="57">
        <f>CRM_MAGDY!I433</f>
        <v>0</v>
      </c>
      <c r="E433" s="57">
        <f>IFERROR(VALUE(CRM_MAGDY!K433),0)</f>
        <v>0</v>
      </c>
      <c r="F433" s="57">
        <f>IFERROR(IF(CRM_MAGDY!L433&gt;1,CRM_MAGDY!L433/100,CRM_MAGDY!L433),0)</f>
        <v>0</v>
      </c>
      <c r="G433" s="57">
        <f>CRM_MAGDY!N433</f>
        <v>0</v>
      </c>
      <c r="H433" s="57">
        <f>CRM_MAGDY!M433</f>
        <v>0</v>
      </c>
      <c r="I433" s="57">
        <f t="shared" si="12"/>
        <v>0</v>
      </c>
      <c r="J433" s="57" t="str">
        <f t="shared" si="13"/>
        <v>POTENCJAŁ</v>
      </c>
    </row>
    <row r="434" spans="1:10" x14ac:dyDescent="0.25">
      <c r="A434" s="57" t="str">
        <f>IF(CRM_MAGDY!H434="","","CRM-"&amp;TEXT(ROW()-4,"0000"))</f>
        <v>CRM-0430</v>
      </c>
      <c r="B434" s="57">
        <f>CRM_MAGDY!E434</f>
        <v>0</v>
      </c>
      <c r="C434" s="57">
        <f>CRM_MAGDY!H434</f>
        <v>5875</v>
      </c>
      <c r="D434" s="57">
        <f>CRM_MAGDY!I434</f>
        <v>0</v>
      </c>
      <c r="E434" s="57">
        <f>IFERROR(VALUE(CRM_MAGDY!K434),0)</f>
        <v>0</v>
      </c>
      <c r="F434" s="57">
        <f>IFERROR(IF(CRM_MAGDY!L434&gt;1,CRM_MAGDY!L434/100,CRM_MAGDY!L434),0)</f>
        <v>0</v>
      </c>
      <c r="G434" s="57">
        <f>CRM_MAGDY!N434</f>
        <v>0</v>
      </c>
      <c r="H434" s="57">
        <f>CRM_MAGDY!M434</f>
        <v>0</v>
      </c>
      <c r="I434" s="57">
        <f t="shared" si="12"/>
        <v>0</v>
      </c>
      <c r="J434" s="57" t="str">
        <f t="shared" si="13"/>
        <v>POTENCJAŁ</v>
      </c>
    </row>
    <row r="435" spans="1:10" x14ac:dyDescent="0.25">
      <c r="A435" s="57" t="str">
        <f>IF(CRM_MAGDY!H435="","","CRM-"&amp;TEXT(ROW()-4,"0000"))</f>
        <v>CRM-0431</v>
      </c>
      <c r="B435" s="57">
        <f>CRM_MAGDY!E435</f>
        <v>0</v>
      </c>
      <c r="C435" s="57">
        <f>CRM_MAGDY!H435</f>
        <v>5876</v>
      </c>
      <c r="D435" s="57">
        <f>CRM_MAGDY!I435</f>
        <v>0</v>
      </c>
      <c r="E435" s="57">
        <f>IFERROR(VALUE(CRM_MAGDY!K435),0)</f>
        <v>0</v>
      </c>
      <c r="F435" s="57">
        <f>IFERROR(IF(CRM_MAGDY!L435&gt;1,CRM_MAGDY!L435/100,CRM_MAGDY!L435),0)</f>
        <v>0</v>
      </c>
      <c r="G435" s="57">
        <f>CRM_MAGDY!N435</f>
        <v>0</v>
      </c>
      <c r="H435" s="57">
        <f>CRM_MAGDY!M435</f>
        <v>0</v>
      </c>
      <c r="I435" s="57">
        <f t="shared" si="12"/>
        <v>0</v>
      </c>
      <c r="J435" s="57" t="str">
        <f t="shared" si="13"/>
        <v>POTENCJAŁ</v>
      </c>
    </row>
    <row r="436" spans="1:10" x14ac:dyDescent="0.25">
      <c r="A436" s="57" t="str">
        <f>IF(CRM_MAGDY!H436="","","CRM-"&amp;TEXT(ROW()-4,"0000"))</f>
        <v>CRM-0432</v>
      </c>
      <c r="B436" s="57">
        <f>CRM_MAGDY!E436</f>
        <v>0</v>
      </c>
      <c r="C436" s="57">
        <f>CRM_MAGDY!H436</f>
        <v>5877</v>
      </c>
      <c r="D436" s="57">
        <f>CRM_MAGDY!I436</f>
        <v>0</v>
      </c>
      <c r="E436" s="57">
        <f>IFERROR(VALUE(CRM_MAGDY!K436),0)</f>
        <v>0</v>
      </c>
      <c r="F436" s="57">
        <f>IFERROR(IF(CRM_MAGDY!L436&gt;1,CRM_MAGDY!L436/100,CRM_MAGDY!L436),0)</f>
        <v>0</v>
      </c>
      <c r="G436" s="57">
        <f>CRM_MAGDY!N436</f>
        <v>0</v>
      </c>
      <c r="H436" s="57">
        <f>CRM_MAGDY!M436</f>
        <v>0</v>
      </c>
      <c r="I436" s="57">
        <f t="shared" si="12"/>
        <v>0</v>
      </c>
      <c r="J436" s="57" t="str">
        <f t="shared" si="13"/>
        <v>POTENCJAŁ</v>
      </c>
    </row>
    <row r="437" spans="1:10" x14ac:dyDescent="0.25">
      <c r="A437" s="57" t="str">
        <f>IF(CRM_MAGDY!H437="","","CRM-"&amp;TEXT(ROW()-4,"0000"))</f>
        <v>CRM-0433</v>
      </c>
      <c r="B437" s="57">
        <f>CRM_MAGDY!E437</f>
        <v>0</v>
      </c>
      <c r="C437" s="57">
        <f>CRM_MAGDY!H437</f>
        <v>5878</v>
      </c>
      <c r="D437" s="57">
        <f>CRM_MAGDY!I437</f>
        <v>0</v>
      </c>
      <c r="E437" s="57">
        <f>IFERROR(VALUE(CRM_MAGDY!K437),0)</f>
        <v>0</v>
      </c>
      <c r="F437" s="57">
        <f>IFERROR(IF(CRM_MAGDY!L437&gt;1,CRM_MAGDY!L437/100,CRM_MAGDY!L437),0)</f>
        <v>0</v>
      </c>
      <c r="G437" s="57">
        <f>CRM_MAGDY!N437</f>
        <v>0</v>
      </c>
      <c r="H437" s="57">
        <f>CRM_MAGDY!M437</f>
        <v>0</v>
      </c>
      <c r="I437" s="57">
        <f t="shared" si="12"/>
        <v>0</v>
      </c>
      <c r="J437" s="57" t="str">
        <f t="shared" si="13"/>
        <v>POTENCJAŁ</v>
      </c>
    </row>
    <row r="438" spans="1:10" x14ac:dyDescent="0.25">
      <c r="A438" s="57" t="str">
        <f>IF(CRM_MAGDY!H438="","","CRM-"&amp;TEXT(ROW()-4,"0000"))</f>
        <v>CRM-0434</v>
      </c>
      <c r="B438" s="57">
        <f>CRM_MAGDY!E438</f>
        <v>0</v>
      </c>
      <c r="C438" s="57">
        <f>CRM_MAGDY!H438</f>
        <v>5879</v>
      </c>
      <c r="D438" s="57">
        <f>CRM_MAGDY!I438</f>
        <v>0</v>
      </c>
      <c r="E438" s="57">
        <f>IFERROR(VALUE(CRM_MAGDY!K438),0)</f>
        <v>0</v>
      </c>
      <c r="F438" s="57">
        <f>IFERROR(IF(CRM_MAGDY!L438&gt;1,CRM_MAGDY!L438/100,CRM_MAGDY!L438),0)</f>
        <v>0</v>
      </c>
      <c r="G438" s="57">
        <f>CRM_MAGDY!N438</f>
        <v>0</v>
      </c>
      <c r="H438" s="57">
        <f>CRM_MAGDY!M438</f>
        <v>0</v>
      </c>
      <c r="I438" s="57">
        <f t="shared" si="12"/>
        <v>0</v>
      </c>
      <c r="J438" s="57" t="str">
        <f t="shared" si="13"/>
        <v>POTENCJAŁ</v>
      </c>
    </row>
    <row r="439" spans="1:10" x14ac:dyDescent="0.25">
      <c r="A439" s="57" t="str">
        <f>IF(CRM_MAGDY!H439="","","CRM-"&amp;TEXT(ROW()-4,"0000"))</f>
        <v>CRM-0435</v>
      </c>
      <c r="B439" s="57">
        <f>CRM_MAGDY!E439</f>
        <v>0</v>
      </c>
      <c r="C439" s="57">
        <f>CRM_MAGDY!H439</f>
        <v>5880</v>
      </c>
      <c r="D439" s="57">
        <f>CRM_MAGDY!I439</f>
        <v>0</v>
      </c>
      <c r="E439" s="57">
        <f>IFERROR(VALUE(CRM_MAGDY!K439),0)</f>
        <v>0</v>
      </c>
      <c r="F439" s="57">
        <f>IFERROR(IF(CRM_MAGDY!L439&gt;1,CRM_MAGDY!L439/100,CRM_MAGDY!L439),0)</f>
        <v>0</v>
      </c>
      <c r="G439" s="57">
        <f>CRM_MAGDY!N439</f>
        <v>0</v>
      </c>
      <c r="H439" s="57">
        <f>CRM_MAGDY!M439</f>
        <v>0</v>
      </c>
      <c r="I439" s="57">
        <f t="shared" si="12"/>
        <v>0</v>
      </c>
      <c r="J439" s="57" t="str">
        <f t="shared" si="13"/>
        <v>POTENCJAŁ</v>
      </c>
    </row>
    <row r="440" spans="1:10" x14ac:dyDescent="0.25">
      <c r="A440" s="57" t="str">
        <f>IF(CRM_MAGDY!H440="","","CRM-"&amp;TEXT(ROW()-4,"0000"))</f>
        <v>CRM-0436</v>
      </c>
      <c r="B440" s="57">
        <f>CRM_MAGDY!E440</f>
        <v>0</v>
      </c>
      <c r="C440" s="57">
        <f>CRM_MAGDY!H440</f>
        <v>5881</v>
      </c>
      <c r="D440" s="57">
        <f>CRM_MAGDY!I440</f>
        <v>0</v>
      </c>
      <c r="E440" s="57">
        <f>IFERROR(VALUE(CRM_MAGDY!K440),0)</f>
        <v>0</v>
      </c>
      <c r="F440" s="57">
        <f>IFERROR(IF(CRM_MAGDY!L440&gt;1,CRM_MAGDY!L440/100,CRM_MAGDY!L440),0)</f>
        <v>0</v>
      </c>
      <c r="G440" s="57">
        <f>CRM_MAGDY!N440</f>
        <v>0</v>
      </c>
      <c r="H440" s="57">
        <f>CRM_MAGDY!M440</f>
        <v>0</v>
      </c>
      <c r="I440" s="57">
        <f t="shared" si="12"/>
        <v>0</v>
      </c>
      <c r="J440" s="57" t="str">
        <f t="shared" si="13"/>
        <v>POTENCJAŁ</v>
      </c>
    </row>
    <row r="441" spans="1:10" x14ac:dyDescent="0.25">
      <c r="A441" s="57" t="str">
        <f>IF(CRM_MAGDY!H441="","","CRM-"&amp;TEXT(ROW()-4,"0000"))</f>
        <v>CRM-0437</v>
      </c>
      <c r="B441" s="57">
        <f>CRM_MAGDY!E441</f>
        <v>0</v>
      </c>
      <c r="C441" s="57">
        <f>CRM_MAGDY!H441</f>
        <v>5882</v>
      </c>
      <c r="D441" s="57">
        <f>CRM_MAGDY!I441</f>
        <v>0</v>
      </c>
      <c r="E441" s="57">
        <f>IFERROR(VALUE(CRM_MAGDY!K441),0)</f>
        <v>0</v>
      </c>
      <c r="F441" s="57">
        <f>IFERROR(IF(CRM_MAGDY!L441&gt;1,CRM_MAGDY!L441/100,CRM_MAGDY!L441),0)</f>
        <v>0</v>
      </c>
      <c r="G441" s="57">
        <f>CRM_MAGDY!N441</f>
        <v>0</v>
      </c>
      <c r="H441" s="57">
        <f>CRM_MAGDY!M441</f>
        <v>0</v>
      </c>
      <c r="I441" s="57">
        <f t="shared" si="12"/>
        <v>0</v>
      </c>
      <c r="J441" s="57" t="str">
        <f t="shared" si="13"/>
        <v>POTENCJAŁ</v>
      </c>
    </row>
    <row r="442" spans="1:10" x14ac:dyDescent="0.25">
      <c r="A442" s="57" t="str">
        <f>IF(CRM_MAGDY!H442="","","CRM-"&amp;TEXT(ROW()-4,"0000"))</f>
        <v>CRM-0438</v>
      </c>
      <c r="B442" s="57">
        <f>CRM_MAGDY!E442</f>
        <v>0</v>
      </c>
      <c r="C442" s="57">
        <f>CRM_MAGDY!H442</f>
        <v>5883</v>
      </c>
      <c r="D442" s="57">
        <f>CRM_MAGDY!I442</f>
        <v>0</v>
      </c>
      <c r="E442" s="57">
        <f>IFERROR(VALUE(CRM_MAGDY!K442),0)</f>
        <v>0</v>
      </c>
      <c r="F442" s="57">
        <f>IFERROR(IF(CRM_MAGDY!L442&gt;1,CRM_MAGDY!L442/100,CRM_MAGDY!L442),0)</f>
        <v>0</v>
      </c>
      <c r="G442" s="57">
        <f>CRM_MAGDY!N442</f>
        <v>0</v>
      </c>
      <c r="H442" s="57">
        <f>CRM_MAGDY!M442</f>
        <v>0</v>
      </c>
      <c r="I442" s="57">
        <f t="shared" si="12"/>
        <v>0</v>
      </c>
      <c r="J442" s="57" t="str">
        <f t="shared" si="13"/>
        <v>POTENCJAŁ</v>
      </c>
    </row>
    <row r="443" spans="1:10" x14ac:dyDescent="0.25">
      <c r="A443" s="57" t="str">
        <f>IF(CRM_MAGDY!H443="","","CRM-"&amp;TEXT(ROW()-4,"0000"))</f>
        <v>CRM-0439</v>
      </c>
      <c r="B443" s="57">
        <f>CRM_MAGDY!E443</f>
        <v>0</v>
      </c>
      <c r="C443" s="57">
        <f>CRM_MAGDY!H443</f>
        <v>5884</v>
      </c>
      <c r="D443" s="57">
        <f>CRM_MAGDY!I443</f>
        <v>0</v>
      </c>
      <c r="E443" s="57">
        <f>IFERROR(VALUE(CRM_MAGDY!K443),0)</f>
        <v>0</v>
      </c>
      <c r="F443" s="57">
        <f>IFERROR(IF(CRM_MAGDY!L443&gt;1,CRM_MAGDY!L443/100,CRM_MAGDY!L443),0)</f>
        <v>0</v>
      </c>
      <c r="G443" s="57">
        <f>CRM_MAGDY!N443</f>
        <v>0</v>
      </c>
      <c r="H443" s="57">
        <f>CRM_MAGDY!M443</f>
        <v>0</v>
      </c>
      <c r="I443" s="57">
        <f t="shared" si="12"/>
        <v>0</v>
      </c>
      <c r="J443" s="57" t="str">
        <f t="shared" si="13"/>
        <v>POTENCJAŁ</v>
      </c>
    </row>
    <row r="444" spans="1:10" x14ac:dyDescent="0.25">
      <c r="A444" s="57" t="str">
        <f>IF(CRM_MAGDY!H444="","","CRM-"&amp;TEXT(ROW()-4,"0000"))</f>
        <v>CRM-0440</v>
      </c>
      <c r="B444" s="57">
        <f>CRM_MAGDY!E444</f>
        <v>0</v>
      </c>
      <c r="C444" s="57">
        <f>CRM_MAGDY!H444</f>
        <v>5885</v>
      </c>
      <c r="D444" s="57">
        <f>CRM_MAGDY!I444</f>
        <v>0</v>
      </c>
      <c r="E444" s="57">
        <f>IFERROR(VALUE(CRM_MAGDY!K444),0)</f>
        <v>0</v>
      </c>
      <c r="F444" s="57">
        <f>IFERROR(IF(CRM_MAGDY!L444&gt;1,CRM_MAGDY!L444/100,CRM_MAGDY!L444),0)</f>
        <v>0</v>
      </c>
      <c r="G444" s="57">
        <f>CRM_MAGDY!N444</f>
        <v>0</v>
      </c>
      <c r="H444" s="57">
        <f>CRM_MAGDY!M444</f>
        <v>0</v>
      </c>
      <c r="I444" s="57">
        <f t="shared" si="12"/>
        <v>0</v>
      </c>
      <c r="J444" s="57" t="str">
        <f t="shared" si="13"/>
        <v>POTENCJAŁ</v>
      </c>
    </row>
    <row r="445" spans="1:10" x14ac:dyDescent="0.25">
      <c r="A445" s="57" t="str">
        <f>IF(CRM_MAGDY!H445="","","CRM-"&amp;TEXT(ROW()-4,"0000"))</f>
        <v>CRM-0441</v>
      </c>
      <c r="B445" s="57">
        <f>CRM_MAGDY!E445</f>
        <v>0</v>
      </c>
      <c r="C445" s="57">
        <f>CRM_MAGDY!H445</f>
        <v>5886</v>
      </c>
      <c r="D445" s="57">
        <f>CRM_MAGDY!I445</f>
        <v>0</v>
      </c>
      <c r="E445" s="57">
        <f>IFERROR(VALUE(CRM_MAGDY!K445),0)</f>
        <v>0</v>
      </c>
      <c r="F445" s="57">
        <f>IFERROR(IF(CRM_MAGDY!L445&gt;1,CRM_MAGDY!L445/100,CRM_MAGDY!L445),0)</f>
        <v>0</v>
      </c>
      <c r="G445" s="57">
        <f>CRM_MAGDY!N445</f>
        <v>0</v>
      </c>
      <c r="H445" s="57">
        <f>CRM_MAGDY!M445</f>
        <v>0</v>
      </c>
      <c r="I445" s="57">
        <f t="shared" si="12"/>
        <v>0</v>
      </c>
      <c r="J445" s="57" t="str">
        <f t="shared" si="13"/>
        <v>POTENCJAŁ</v>
      </c>
    </row>
    <row r="446" spans="1:10" x14ac:dyDescent="0.25">
      <c r="A446" s="57" t="str">
        <f>IF(CRM_MAGDY!H446="","","CRM-"&amp;TEXT(ROW()-4,"0000"))</f>
        <v>CRM-0442</v>
      </c>
      <c r="B446" s="57">
        <f>CRM_MAGDY!E446</f>
        <v>0</v>
      </c>
      <c r="C446" s="57">
        <f>CRM_MAGDY!H446</f>
        <v>5887</v>
      </c>
      <c r="D446" s="57">
        <f>CRM_MAGDY!I446</f>
        <v>0</v>
      </c>
      <c r="E446" s="57">
        <f>IFERROR(VALUE(CRM_MAGDY!K446),0)</f>
        <v>0</v>
      </c>
      <c r="F446" s="57">
        <f>IFERROR(IF(CRM_MAGDY!L446&gt;1,CRM_MAGDY!L446/100,CRM_MAGDY!L446),0)</f>
        <v>0</v>
      </c>
      <c r="G446" s="57">
        <f>CRM_MAGDY!N446</f>
        <v>0</v>
      </c>
      <c r="H446" s="57">
        <f>CRM_MAGDY!M446</f>
        <v>0</v>
      </c>
      <c r="I446" s="57">
        <f t="shared" si="12"/>
        <v>0</v>
      </c>
      <c r="J446" s="57" t="str">
        <f t="shared" si="13"/>
        <v>POTENCJAŁ</v>
      </c>
    </row>
    <row r="447" spans="1:10" x14ac:dyDescent="0.25">
      <c r="A447" s="57" t="str">
        <f>IF(CRM_MAGDY!H447="","","CRM-"&amp;TEXT(ROW()-4,"0000"))</f>
        <v>CRM-0443</v>
      </c>
      <c r="B447" s="57">
        <f>CRM_MAGDY!E447</f>
        <v>0</v>
      </c>
      <c r="C447" s="57">
        <f>CRM_MAGDY!H447</f>
        <v>5888</v>
      </c>
      <c r="D447" s="57">
        <f>CRM_MAGDY!I447</f>
        <v>0</v>
      </c>
      <c r="E447" s="57">
        <f>IFERROR(VALUE(CRM_MAGDY!K447),0)</f>
        <v>0</v>
      </c>
      <c r="F447" s="57">
        <f>IFERROR(IF(CRM_MAGDY!L447&gt;1,CRM_MAGDY!L447/100,CRM_MAGDY!L447),0)</f>
        <v>0</v>
      </c>
      <c r="G447" s="57">
        <f>CRM_MAGDY!N447</f>
        <v>0</v>
      </c>
      <c r="H447" s="57">
        <f>CRM_MAGDY!M447</f>
        <v>0</v>
      </c>
      <c r="I447" s="57">
        <f t="shared" si="12"/>
        <v>0</v>
      </c>
      <c r="J447" s="57" t="str">
        <f t="shared" si="13"/>
        <v>POTENCJAŁ</v>
      </c>
    </row>
    <row r="448" spans="1:10" x14ac:dyDescent="0.25">
      <c r="A448" s="57" t="str">
        <f>IF(CRM_MAGDY!H448="","","CRM-"&amp;TEXT(ROW()-4,"0000"))</f>
        <v>CRM-0444</v>
      </c>
      <c r="B448" s="57">
        <f>CRM_MAGDY!E448</f>
        <v>0</v>
      </c>
      <c r="C448" s="57">
        <f>CRM_MAGDY!H448</f>
        <v>5889</v>
      </c>
      <c r="D448" s="57">
        <f>CRM_MAGDY!I448</f>
        <v>0</v>
      </c>
      <c r="E448" s="57">
        <f>IFERROR(VALUE(CRM_MAGDY!K448),0)</f>
        <v>0</v>
      </c>
      <c r="F448" s="57">
        <f>IFERROR(IF(CRM_MAGDY!L448&gt;1,CRM_MAGDY!L448/100,CRM_MAGDY!L448),0)</f>
        <v>0</v>
      </c>
      <c r="G448" s="57">
        <f>CRM_MAGDY!N448</f>
        <v>0</v>
      </c>
      <c r="H448" s="57">
        <f>CRM_MAGDY!M448</f>
        <v>0</v>
      </c>
      <c r="I448" s="57">
        <f t="shared" si="12"/>
        <v>0</v>
      </c>
      <c r="J448" s="57" t="str">
        <f t="shared" si="13"/>
        <v>POTENCJAŁ</v>
      </c>
    </row>
    <row r="449" spans="1:10" x14ac:dyDescent="0.25">
      <c r="A449" s="57" t="str">
        <f>IF(CRM_MAGDY!H449="","","CRM-"&amp;TEXT(ROW()-4,"0000"))</f>
        <v>CRM-0445</v>
      </c>
      <c r="B449" s="57">
        <f>CRM_MAGDY!E449</f>
        <v>0</v>
      </c>
      <c r="C449" s="57">
        <f>CRM_MAGDY!H449</f>
        <v>5890</v>
      </c>
      <c r="D449" s="57">
        <f>CRM_MAGDY!I449</f>
        <v>0</v>
      </c>
      <c r="E449" s="57">
        <f>IFERROR(VALUE(CRM_MAGDY!K449),0)</f>
        <v>0</v>
      </c>
      <c r="F449" s="57">
        <f>IFERROR(IF(CRM_MAGDY!L449&gt;1,CRM_MAGDY!L449/100,CRM_MAGDY!L449),0)</f>
        <v>0</v>
      </c>
      <c r="G449" s="57">
        <f>CRM_MAGDY!N449</f>
        <v>0</v>
      </c>
      <c r="H449" s="57">
        <f>CRM_MAGDY!M449</f>
        <v>0</v>
      </c>
      <c r="I449" s="57">
        <f t="shared" si="12"/>
        <v>0</v>
      </c>
      <c r="J449" s="57" t="str">
        <f t="shared" si="13"/>
        <v>POTENCJAŁ</v>
      </c>
    </row>
    <row r="450" spans="1:10" x14ac:dyDescent="0.25">
      <c r="A450" s="57" t="str">
        <f>IF(CRM_MAGDY!H450="","","CRM-"&amp;TEXT(ROW()-4,"0000"))</f>
        <v>CRM-0446</v>
      </c>
      <c r="B450" s="57">
        <f>CRM_MAGDY!E450</f>
        <v>0</v>
      </c>
      <c r="C450" s="57">
        <f>CRM_MAGDY!H450</f>
        <v>5891</v>
      </c>
      <c r="D450" s="57">
        <f>CRM_MAGDY!I450</f>
        <v>0</v>
      </c>
      <c r="E450" s="57">
        <f>IFERROR(VALUE(CRM_MAGDY!K450),0)</f>
        <v>0</v>
      </c>
      <c r="F450" s="57">
        <f>IFERROR(IF(CRM_MAGDY!L450&gt;1,CRM_MAGDY!L450/100,CRM_MAGDY!L450),0)</f>
        <v>0</v>
      </c>
      <c r="G450" s="57">
        <f>CRM_MAGDY!N450</f>
        <v>0</v>
      </c>
      <c r="H450" s="57">
        <f>CRM_MAGDY!M450</f>
        <v>0</v>
      </c>
      <c r="I450" s="57">
        <f t="shared" si="12"/>
        <v>0</v>
      </c>
      <c r="J450" s="57" t="str">
        <f t="shared" si="13"/>
        <v>POTENCJAŁ</v>
      </c>
    </row>
    <row r="451" spans="1:10" x14ac:dyDescent="0.25">
      <c r="A451" s="57" t="str">
        <f>IF(CRM_MAGDY!H451="","","CRM-"&amp;TEXT(ROW()-4,"0000"))</f>
        <v>CRM-0447</v>
      </c>
      <c r="B451" s="57">
        <f>CRM_MAGDY!E451</f>
        <v>0</v>
      </c>
      <c r="C451" s="57">
        <f>CRM_MAGDY!H451</f>
        <v>5892</v>
      </c>
      <c r="D451" s="57">
        <f>CRM_MAGDY!I451</f>
        <v>0</v>
      </c>
      <c r="E451" s="57">
        <f>IFERROR(VALUE(CRM_MAGDY!K451),0)</f>
        <v>0</v>
      </c>
      <c r="F451" s="57">
        <f>IFERROR(IF(CRM_MAGDY!L451&gt;1,CRM_MAGDY!L451/100,CRM_MAGDY!L451),0)</f>
        <v>0</v>
      </c>
      <c r="G451" s="57">
        <f>CRM_MAGDY!N451</f>
        <v>0</v>
      </c>
      <c r="H451" s="57">
        <f>CRM_MAGDY!M451</f>
        <v>0</v>
      </c>
      <c r="I451" s="57">
        <f t="shared" si="12"/>
        <v>0</v>
      </c>
      <c r="J451" s="57" t="str">
        <f t="shared" si="13"/>
        <v>POTENCJAŁ</v>
      </c>
    </row>
    <row r="452" spans="1:10" x14ac:dyDescent="0.25">
      <c r="A452" s="57" t="str">
        <f>IF(CRM_MAGDY!H452="","","CRM-"&amp;TEXT(ROW()-4,"0000"))</f>
        <v>CRM-0448</v>
      </c>
      <c r="B452" s="57">
        <f>CRM_MAGDY!E452</f>
        <v>0</v>
      </c>
      <c r="C452" s="57">
        <f>CRM_MAGDY!H452</f>
        <v>5893</v>
      </c>
      <c r="D452" s="57">
        <f>CRM_MAGDY!I452</f>
        <v>0</v>
      </c>
      <c r="E452" s="57">
        <f>IFERROR(VALUE(CRM_MAGDY!K452),0)</f>
        <v>0</v>
      </c>
      <c r="F452" s="57">
        <f>IFERROR(IF(CRM_MAGDY!L452&gt;1,CRM_MAGDY!L452/100,CRM_MAGDY!L452),0)</f>
        <v>0</v>
      </c>
      <c r="G452" s="57">
        <f>CRM_MAGDY!N452</f>
        <v>0</v>
      </c>
      <c r="H452" s="57">
        <f>CRM_MAGDY!M452</f>
        <v>0</v>
      </c>
      <c r="I452" s="57">
        <f t="shared" si="12"/>
        <v>0</v>
      </c>
      <c r="J452" s="57" t="str">
        <f t="shared" si="13"/>
        <v>POTENCJAŁ</v>
      </c>
    </row>
    <row r="453" spans="1:10" x14ac:dyDescent="0.25">
      <c r="A453" s="57" t="str">
        <f>IF(CRM_MAGDY!H453="","","CRM-"&amp;TEXT(ROW()-4,"0000"))</f>
        <v>CRM-0449</v>
      </c>
      <c r="B453" s="57">
        <f>CRM_MAGDY!E453</f>
        <v>0</v>
      </c>
      <c r="C453" s="57">
        <f>CRM_MAGDY!H453</f>
        <v>5894</v>
      </c>
      <c r="D453" s="57">
        <f>CRM_MAGDY!I453</f>
        <v>0</v>
      </c>
      <c r="E453" s="57">
        <f>IFERROR(VALUE(CRM_MAGDY!K453),0)</f>
        <v>0</v>
      </c>
      <c r="F453" s="57">
        <f>IFERROR(IF(CRM_MAGDY!L453&gt;1,CRM_MAGDY!L453/100,CRM_MAGDY!L453),0)</f>
        <v>0</v>
      </c>
      <c r="G453" s="57">
        <f>CRM_MAGDY!N453</f>
        <v>0</v>
      </c>
      <c r="H453" s="57">
        <f>CRM_MAGDY!M453</f>
        <v>0</v>
      </c>
      <c r="I453" s="57">
        <f t="shared" ref="I453:I516" si="14">IF(OR(G453="WYGRANA",G453="PRZEGRANA"),0,E453*F453)</f>
        <v>0</v>
      </c>
      <c r="J453" s="57" t="str">
        <f t="shared" ref="J453:J516" si="15">IF(F453&gt;=0.7,"PEWNY",IF(F453&gt;=0.3,"REALNY","POTENCJAŁ"))</f>
        <v>POTENCJAŁ</v>
      </c>
    </row>
    <row r="454" spans="1:10" x14ac:dyDescent="0.25">
      <c r="A454" s="57" t="str">
        <f>IF(CRM_MAGDY!H454="","","CRM-"&amp;TEXT(ROW()-4,"0000"))</f>
        <v>CRM-0450</v>
      </c>
      <c r="B454" s="57">
        <f>CRM_MAGDY!E454</f>
        <v>0</v>
      </c>
      <c r="C454" s="57">
        <f>CRM_MAGDY!H454</f>
        <v>5895</v>
      </c>
      <c r="D454" s="57">
        <f>CRM_MAGDY!I454</f>
        <v>0</v>
      </c>
      <c r="E454" s="57">
        <f>IFERROR(VALUE(CRM_MAGDY!K454),0)</f>
        <v>0</v>
      </c>
      <c r="F454" s="57">
        <f>IFERROR(IF(CRM_MAGDY!L454&gt;1,CRM_MAGDY!L454/100,CRM_MAGDY!L454),0)</f>
        <v>0</v>
      </c>
      <c r="G454" s="57">
        <f>CRM_MAGDY!N454</f>
        <v>0</v>
      </c>
      <c r="H454" s="57">
        <f>CRM_MAGDY!M454</f>
        <v>0</v>
      </c>
      <c r="I454" s="57">
        <f t="shared" si="14"/>
        <v>0</v>
      </c>
      <c r="J454" s="57" t="str">
        <f t="shared" si="15"/>
        <v>POTENCJAŁ</v>
      </c>
    </row>
    <row r="455" spans="1:10" x14ac:dyDescent="0.25">
      <c r="A455" s="57" t="str">
        <f>IF(CRM_MAGDY!H455="","","CRM-"&amp;TEXT(ROW()-4,"0000"))</f>
        <v>CRM-0451</v>
      </c>
      <c r="B455" s="57">
        <f>CRM_MAGDY!E455</f>
        <v>0</v>
      </c>
      <c r="C455" s="57">
        <f>CRM_MAGDY!H455</f>
        <v>5896</v>
      </c>
      <c r="D455" s="57">
        <f>CRM_MAGDY!I455</f>
        <v>0</v>
      </c>
      <c r="E455" s="57">
        <f>IFERROR(VALUE(CRM_MAGDY!K455),0)</f>
        <v>0</v>
      </c>
      <c r="F455" s="57">
        <f>IFERROR(IF(CRM_MAGDY!L455&gt;1,CRM_MAGDY!L455/100,CRM_MAGDY!L455),0)</f>
        <v>0</v>
      </c>
      <c r="G455" s="57">
        <f>CRM_MAGDY!N455</f>
        <v>0</v>
      </c>
      <c r="H455" s="57">
        <f>CRM_MAGDY!M455</f>
        <v>0</v>
      </c>
      <c r="I455" s="57">
        <f t="shared" si="14"/>
        <v>0</v>
      </c>
      <c r="J455" s="57" t="str">
        <f t="shared" si="15"/>
        <v>POTENCJAŁ</v>
      </c>
    </row>
    <row r="456" spans="1:10" x14ac:dyDescent="0.25">
      <c r="A456" s="57" t="str">
        <f>IF(CRM_MAGDY!H456="","","CRM-"&amp;TEXT(ROW()-4,"0000"))</f>
        <v>CRM-0452</v>
      </c>
      <c r="B456" s="57">
        <f>CRM_MAGDY!E456</f>
        <v>0</v>
      </c>
      <c r="C456" s="57">
        <f>CRM_MAGDY!H456</f>
        <v>5897</v>
      </c>
      <c r="D456" s="57">
        <f>CRM_MAGDY!I456</f>
        <v>0</v>
      </c>
      <c r="E456" s="57">
        <f>IFERROR(VALUE(CRM_MAGDY!K456),0)</f>
        <v>0</v>
      </c>
      <c r="F456" s="57">
        <f>IFERROR(IF(CRM_MAGDY!L456&gt;1,CRM_MAGDY!L456/100,CRM_MAGDY!L456),0)</f>
        <v>0</v>
      </c>
      <c r="G456" s="57">
        <f>CRM_MAGDY!N456</f>
        <v>0</v>
      </c>
      <c r="H456" s="57">
        <f>CRM_MAGDY!M456</f>
        <v>0</v>
      </c>
      <c r="I456" s="57">
        <f t="shared" si="14"/>
        <v>0</v>
      </c>
      <c r="J456" s="57" t="str">
        <f t="shared" si="15"/>
        <v>POTENCJAŁ</v>
      </c>
    </row>
    <row r="457" spans="1:10" x14ac:dyDescent="0.25">
      <c r="A457" s="57" t="str">
        <f>IF(CRM_MAGDY!H457="","","CRM-"&amp;TEXT(ROW()-4,"0000"))</f>
        <v>CRM-0453</v>
      </c>
      <c r="B457" s="57">
        <f>CRM_MAGDY!E457</f>
        <v>0</v>
      </c>
      <c r="C457" s="57">
        <f>CRM_MAGDY!H457</f>
        <v>5898</v>
      </c>
      <c r="D457" s="57">
        <f>CRM_MAGDY!I457</f>
        <v>0</v>
      </c>
      <c r="E457" s="57">
        <f>IFERROR(VALUE(CRM_MAGDY!K457),0)</f>
        <v>0</v>
      </c>
      <c r="F457" s="57">
        <f>IFERROR(IF(CRM_MAGDY!L457&gt;1,CRM_MAGDY!L457/100,CRM_MAGDY!L457),0)</f>
        <v>0</v>
      </c>
      <c r="G457" s="57">
        <f>CRM_MAGDY!N457</f>
        <v>0</v>
      </c>
      <c r="H457" s="57">
        <f>CRM_MAGDY!M457</f>
        <v>0</v>
      </c>
      <c r="I457" s="57">
        <f t="shared" si="14"/>
        <v>0</v>
      </c>
      <c r="J457" s="57" t="str">
        <f t="shared" si="15"/>
        <v>POTENCJAŁ</v>
      </c>
    </row>
    <row r="458" spans="1:10" x14ac:dyDescent="0.25">
      <c r="A458" s="57" t="str">
        <f>IF(CRM_MAGDY!H458="","","CRM-"&amp;TEXT(ROW()-4,"0000"))</f>
        <v>CRM-0454</v>
      </c>
      <c r="B458" s="57">
        <f>CRM_MAGDY!E458</f>
        <v>0</v>
      </c>
      <c r="C458" s="57">
        <f>CRM_MAGDY!H458</f>
        <v>5899</v>
      </c>
      <c r="D458" s="57">
        <f>CRM_MAGDY!I458</f>
        <v>0</v>
      </c>
      <c r="E458" s="57">
        <f>IFERROR(VALUE(CRM_MAGDY!K458),0)</f>
        <v>0</v>
      </c>
      <c r="F458" s="57">
        <f>IFERROR(IF(CRM_MAGDY!L458&gt;1,CRM_MAGDY!L458/100,CRM_MAGDY!L458),0)</f>
        <v>0</v>
      </c>
      <c r="G458" s="57">
        <f>CRM_MAGDY!N458</f>
        <v>0</v>
      </c>
      <c r="H458" s="57">
        <f>CRM_MAGDY!M458</f>
        <v>0</v>
      </c>
      <c r="I458" s="57">
        <f t="shared" si="14"/>
        <v>0</v>
      </c>
      <c r="J458" s="57" t="str">
        <f t="shared" si="15"/>
        <v>POTENCJAŁ</v>
      </c>
    </row>
    <row r="459" spans="1:10" x14ac:dyDescent="0.25">
      <c r="A459" s="57" t="str">
        <f>IF(CRM_MAGDY!H459="","","CRM-"&amp;TEXT(ROW()-4,"0000"))</f>
        <v>CRM-0455</v>
      </c>
      <c r="B459" s="57">
        <f>CRM_MAGDY!E459</f>
        <v>0</v>
      </c>
      <c r="C459" s="57">
        <f>CRM_MAGDY!H459</f>
        <v>5900</v>
      </c>
      <c r="D459" s="57">
        <f>CRM_MAGDY!I459</f>
        <v>0</v>
      </c>
      <c r="E459" s="57">
        <f>IFERROR(VALUE(CRM_MAGDY!K459),0)</f>
        <v>0</v>
      </c>
      <c r="F459" s="57">
        <f>IFERROR(IF(CRM_MAGDY!L459&gt;1,CRM_MAGDY!L459/100,CRM_MAGDY!L459),0)</f>
        <v>0</v>
      </c>
      <c r="G459" s="57">
        <f>CRM_MAGDY!N459</f>
        <v>0</v>
      </c>
      <c r="H459" s="57">
        <f>CRM_MAGDY!M459</f>
        <v>0</v>
      </c>
      <c r="I459" s="57">
        <f t="shared" si="14"/>
        <v>0</v>
      </c>
      <c r="J459" s="57" t="str">
        <f t="shared" si="15"/>
        <v>POTENCJAŁ</v>
      </c>
    </row>
    <row r="460" spans="1:10" x14ac:dyDescent="0.25">
      <c r="A460" s="57" t="str">
        <f>IF(CRM_MAGDY!H460="","","CRM-"&amp;TEXT(ROW()-4,"0000"))</f>
        <v>CRM-0456</v>
      </c>
      <c r="B460" s="57">
        <f>CRM_MAGDY!E460</f>
        <v>0</v>
      </c>
      <c r="C460" s="57">
        <f>CRM_MAGDY!H460</f>
        <v>5901</v>
      </c>
      <c r="D460" s="57">
        <f>CRM_MAGDY!I460</f>
        <v>0</v>
      </c>
      <c r="E460" s="57">
        <f>IFERROR(VALUE(CRM_MAGDY!K460),0)</f>
        <v>0</v>
      </c>
      <c r="F460" s="57">
        <f>IFERROR(IF(CRM_MAGDY!L460&gt;1,CRM_MAGDY!L460/100,CRM_MAGDY!L460),0)</f>
        <v>0</v>
      </c>
      <c r="G460" s="57">
        <f>CRM_MAGDY!N460</f>
        <v>0</v>
      </c>
      <c r="H460" s="57">
        <f>CRM_MAGDY!M460</f>
        <v>0</v>
      </c>
      <c r="I460" s="57">
        <f t="shared" si="14"/>
        <v>0</v>
      </c>
      <c r="J460" s="57" t="str">
        <f t="shared" si="15"/>
        <v>POTENCJAŁ</v>
      </c>
    </row>
    <row r="461" spans="1:10" x14ac:dyDescent="0.25">
      <c r="A461" s="57" t="str">
        <f>IF(CRM_MAGDY!H461="","","CRM-"&amp;TEXT(ROW()-4,"0000"))</f>
        <v>CRM-0457</v>
      </c>
      <c r="B461" s="57">
        <f>CRM_MAGDY!E461</f>
        <v>0</v>
      </c>
      <c r="C461" s="57">
        <f>CRM_MAGDY!H461</f>
        <v>5902</v>
      </c>
      <c r="D461" s="57">
        <f>CRM_MAGDY!I461</f>
        <v>0</v>
      </c>
      <c r="E461" s="57">
        <f>IFERROR(VALUE(CRM_MAGDY!K461),0)</f>
        <v>0</v>
      </c>
      <c r="F461" s="57">
        <f>IFERROR(IF(CRM_MAGDY!L461&gt;1,CRM_MAGDY!L461/100,CRM_MAGDY!L461),0)</f>
        <v>0</v>
      </c>
      <c r="G461" s="57">
        <f>CRM_MAGDY!N461</f>
        <v>0</v>
      </c>
      <c r="H461" s="57">
        <f>CRM_MAGDY!M461</f>
        <v>0</v>
      </c>
      <c r="I461" s="57">
        <f t="shared" si="14"/>
        <v>0</v>
      </c>
      <c r="J461" s="57" t="str">
        <f t="shared" si="15"/>
        <v>POTENCJAŁ</v>
      </c>
    </row>
    <row r="462" spans="1:10" x14ac:dyDescent="0.25">
      <c r="A462" s="57" t="str">
        <f>IF(CRM_MAGDY!H462="","","CRM-"&amp;TEXT(ROW()-4,"0000"))</f>
        <v>CRM-0458</v>
      </c>
      <c r="B462" s="57">
        <f>CRM_MAGDY!E462</f>
        <v>0</v>
      </c>
      <c r="C462" s="57">
        <f>CRM_MAGDY!H462</f>
        <v>5903</v>
      </c>
      <c r="D462" s="57">
        <f>CRM_MAGDY!I462</f>
        <v>0</v>
      </c>
      <c r="E462" s="57">
        <f>IFERROR(VALUE(CRM_MAGDY!K462),0)</f>
        <v>0</v>
      </c>
      <c r="F462" s="57">
        <f>IFERROR(IF(CRM_MAGDY!L462&gt;1,CRM_MAGDY!L462/100,CRM_MAGDY!L462),0)</f>
        <v>0</v>
      </c>
      <c r="G462" s="57">
        <f>CRM_MAGDY!N462</f>
        <v>0</v>
      </c>
      <c r="H462" s="57">
        <f>CRM_MAGDY!M462</f>
        <v>0</v>
      </c>
      <c r="I462" s="57">
        <f t="shared" si="14"/>
        <v>0</v>
      </c>
      <c r="J462" s="57" t="str">
        <f t="shared" si="15"/>
        <v>POTENCJAŁ</v>
      </c>
    </row>
    <row r="463" spans="1:10" x14ac:dyDescent="0.25">
      <c r="A463" s="57" t="str">
        <f>IF(CRM_MAGDY!H463="","","CRM-"&amp;TEXT(ROW()-4,"0000"))</f>
        <v>CRM-0459</v>
      </c>
      <c r="B463" s="57">
        <f>CRM_MAGDY!E463</f>
        <v>0</v>
      </c>
      <c r="C463" s="57">
        <f>CRM_MAGDY!H463</f>
        <v>5904</v>
      </c>
      <c r="D463" s="57">
        <f>CRM_MAGDY!I463</f>
        <v>0</v>
      </c>
      <c r="E463" s="57">
        <f>IFERROR(VALUE(CRM_MAGDY!K463),0)</f>
        <v>0</v>
      </c>
      <c r="F463" s="57">
        <f>IFERROR(IF(CRM_MAGDY!L463&gt;1,CRM_MAGDY!L463/100,CRM_MAGDY!L463),0)</f>
        <v>0</v>
      </c>
      <c r="G463" s="57">
        <f>CRM_MAGDY!N463</f>
        <v>0</v>
      </c>
      <c r="H463" s="57">
        <f>CRM_MAGDY!M463</f>
        <v>0</v>
      </c>
      <c r="I463" s="57">
        <f t="shared" si="14"/>
        <v>0</v>
      </c>
      <c r="J463" s="57" t="str">
        <f t="shared" si="15"/>
        <v>POTENCJAŁ</v>
      </c>
    </row>
    <row r="464" spans="1:10" x14ac:dyDescent="0.25">
      <c r="A464" s="57" t="str">
        <f>IF(CRM_MAGDY!H464="","","CRM-"&amp;TEXT(ROW()-4,"0000"))</f>
        <v>CRM-0460</v>
      </c>
      <c r="B464" s="57">
        <f>CRM_MAGDY!E464</f>
        <v>0</v>
      </c>
      <c r="C464" s="57">
        <f>CRM_MAGDY!H464</f>
        <v>5905</v>
      </c>
      <c r="D464" s="57">
        <f>CRM_MAGDY!I464</f>
        <v>0</v>
      </c>
      <c r="E464" s="57">
        <f>IFERROR(VALUE(CRM_MAGDY!K464),0)</f>
        <v>0</v>
      </c>
      <c r="F464" s="57">
        <f>IFERROR(IF(CRM_MAGDY!L464&gt;1,CRM_MAGDY!L464/100,CRM_MAGDY!L464),0)</f>
        <v>0</v>
      </c>
      <c r="G464" s="57">
        <f>CRM_MAGDY!N464</f>
        <v>0</v>
      </c>
      <c r="H464" s="57">
        <f>CRM_MAGDY!M464</f>
        <v>0</v>
      </c>
      <c r="I464" s="57">
        <f t="shared" si="14"/>
        <v>0</v>
      </c>
      <c r="J464" s="57" t="str">
        <f t="shared" si="15"/>
        <v>POTENCJAŁ</v>
      </c>
    </row>
    <row r="465" spans="1:10" x14ac:dyDescent="0.25">
      <c r="A465" s="57" t="str">
        <f>IF(CRM_MAGDY!H465="","","CRM-"&amp;TEXT(ROW()-4,"0000"))</f>
        <v>CRM-0461</v>
      </c>
      <c r="B465" s="57">
        <f>CRM_MAGDY!E465</f>
        <v>0</v>
      </c>
      <c r="C465" s="57">
        <f>CRM_MAGDY!H465</f>
        <v>5906</v>
      </c>
      <c r="D465" s="57">
        <f>CRM_MAGDY!I465</f>
        <v>0</v>
      </c>
      <c r="E465" s="57">
        <f>IFERROR(VALUE(CRM_MAGDY!K465),0)</f>
        <v>0</v>
      </c>
      <c r="F465" s="57">
        <f>IFERROR(IF(CRM_MAGDY!L465&gt;1,CRM_MAGDY!L465/100,CRM_MAGDY!L465),0)</f>
        <v>0</v>
      </c>
      <c r="G465" s="57">
        <f>CRM_MAGDY!N465</f>
        <v>0</v>
      </c>
      <c r="H465" s="57">
        <f>CRM_MAGDY!M465</f>
        <v>0</v>
      </c>
      <c r="I465" s="57">
        <f t="shared" si="14"/>
        <v>0</v>
      </c>
      <c r="J465" s="57" t="str">
        <f t="shared" si="15"/>
        <v>POTENCJAŁ</v>
      </c>
    </row>
    <row r="466" spans="1:10" x14ac:dyDescent="0.25">
      <c r="A466" s="57" t="str">
        <f>IF(CRM_MAGDY!H466="","","CRM-"&amp;TEXT(ROW()-4,"0000"))</f>
        <v>CRM-0462</v>
      </c>
      <c r="B466" s="57">
        <f>CRM_MAGDY!E466</f>
        <v>0</v>
      </c>
      <c r="C466" s="57">
        <f>CRM_MAGDY!H466</f>
        <v>5907</v>
      </c>
      <c r="D466" s="57">
        <f>CRM_MAGDY!I466</f>
        <v>0</v>
      </c>
      <c r="E466" s="57">
        <f>IFERROR(VALUE(CRM_MAGDY!K466),0)</f>
        <v>0</v>
      </c>
      <c r="F466" s="57">
        <f>IFERROR(IF(CRM_MAGDY!L466&gt;1,CRM_MAGDY!L466/100,CRM_MAGDY!L466),0)</f>
        <v>0</v>
      </c>
      <c r="G466" s="57">
        <f>CRM_MAGDY!N466</f>
        <v>0</v>
      </c>
      <c r="H466" s="57">
        <f>CRM_MAGDY!M466</f>
        <v>0</v>
      </c>
      <c r="I466" s="57">
        <f t="shared" si="14"/>
        <v>0</v>
      </c>
      <c r="J466" s="57" t="str">
        <f t="shared" si="15"/>
        <v>POTENCJAŁ</v>
      </c>
    </row>
    <row r="467" spans="1:10" x14ac:dyDescent="0.25">
      <c r="A467" s="57" t="str">
        <f>IF(CRM_MAGDY!H467="","","CRM-"&amp;TEXT(ROW()-4,"0000"))</f>
        <v>CRM-0463</v>
      </c>
      <c r="B467" s="57">
        <f>CRM_MAGDY!E467</f>
        <v>0</v>
      </c>
      <c r="C467" s="57">
        <f>CRM_MAGDY!H467</f>
        <v>5908</v>
      </c>
      <c r="D467" s="57">
        <f>CRM_MAGDY!I467</f>
        <v>0</v>
      </c>
      <c r="E467" s="57">
        <f>IFERROR(VALUE(CRM_MAGDY!K467),0)</f>
        <v>0</v>
      </c>
      <c r="F467" s="57">
        <f>IFERROR(IF(CRM_MAGDY!L467&gt;1,CRM_MAGDY!L467/100,CRM_MAGDY!L467),0)</f>
        <v>0</v>
      </c>
      <c r="G467" s="57">
        <f>CRM_MAGDY!N467</f>
        <v>0</v>
      </c>
      <c r="H467" s="57">
        <f>CRM_MAGDY!M467</f>
        <v>0</v>
      </c>
      <c r="I467" s="57">
        <f t="shared" si="14"/>
        <v>0</v>
      </c>
      <c r="J467" s="57" t="str">
        <f t="shared" si="15"/>
        <v>POTENCJAŁ</v>
      </c>
    </row>
    <row r="468" spans="1:10" x14ac:dyDescent="0.25">
      <c r="A468" s="57" t="str">
        <f>IF(CRM_MAGDY!H468="","","CRM-"&amp;TEXT(ROW()-4,"0000"))</f>
        <v>CRM-0464</v>
      </c>
      <c r="B468" s="57">
        <f>CRM_MAGDY!E468</f>
        <v>0</v>
      </c>
      <c r="C468" s="57">
        <f>CRM_MAGDY!H468</f>
        <v>5909</v>
      </c>
      <c r="D468" s="57">
        <f>CRM_MAGDY!I468</f>
        <v>0</v>
      </c>
      <c r="E468" s="57">
        <f>IFERROR(VALUE(CRM_MAGDY!K468),0)</f>
        <v>0</v>
      </c>
      <c r="F468" s="57">
        <f>IFERROR(IF(CRM_MAGDY!L468&gt;1,CRM_MAGDY!L468/100,CRM_MAGDY!L468),0)</f>
        <v>0</v>
      </c>
      <c r="G468" s="57">
        <f>CRM_MAGDY!N468</f>
        <v>0</v>
      </c>
      <c r="H468" s="57">
        <f>CRM_MAGDY!M468</f>
        <v>0</v>
      </c>
      <c r="I468" s="57">
        <f t="shared" si="14"/>
        <v>0</v>
      </c>
      <c r="J468" s="57" t="str">
        <f t="shared" si="15"/>
        <v>POTENCJAŁ</v>
      </c>
    </row>
    <row r="469" spans="1:10" x14ac:dyDescent="0.25">
      <c r="A469" s="57" t="str">
        <f>IF(CRM_MAGDY!H469="","","CRM-"&amp;TEXT(ROW()-4,"0000"))</f>
        <v>CRM-0465</v>
      </c>
      <c r="B469" s="57">
        <f>CRM_MAGDY!E469</f>
        <v>0</v>
      </c>
      <c r="C469" s="57">
        <f>CRM_MAGDY!H469</f>
        <v>5910</v>
      </c>
      <c r="D469" s="57">
        <f>CRM_MAGDY!I469</f>
        <v>0</v>
      </c>
      <c r="E469" s="57">
        <f>IFERROR(VALUE(CRM_MAGDY!K469),0)</f>
        <v>0</v>
      </c>
      <c r="F469" s="57">
        <f>IFERROR(IF(CRM_MAGDY!L469&gt;1,CRM_MAGDY!L469/100,CRM_MAGDY!L469),0)</f>
        <v>0</v>
      </c>
      <c r="G469" s="57">
        <f>CRM_MAGDY!N469</f>
        <v>0</v>
      </c>
      <c r="H469" s="57">
        <f>CRM_MAGDY!M469</f>
        <v>0</v>
      </c>
      <c r="I469" s="57">
        <f t="shared" si="14"/>
        <v>0</v>
      </c>
      <c r="J469" s="57" t="str">
        <f t="shared" si="15"/>
        <v>POTENCJAŁ</v>
      </c>
    </row>
    <row r="470" spans="1:10" x14ac:dyDescent="0.25">
      <c r="A470" s="57" t="str">
        <f>IF(CRM_MAGDY!H470="","","CRM-"&amp;TEXT(ROW()-4,"0000"))</f>
        <v>CRM-0466</v>
      </c>
      <c r="B470" s="57">
        <f>CRM_MAGDY!E470</f>
        <v>0</v>
      </c>
      <c r="C470" s="57">
        <f>CRM_MAGDY!H470</f>
        <v>5911</v>
      </c>
      <c r="D470" s="57">
        <f>CRM_MAGDY!I470</f>
        <v>0</v>
      </c>
      <c r="E470" s="57">
        <f>IFERROR(VALUE(CRM_MAGDY!K470),0)</f>
        <v>0</v>
      </c>
      <c r="F470" s="57">
        <f>IFERROR(IF(CRM_MAGDY!L470&gt;1,CRM_MAGDY!L470/100,CRM_MAGDY!L470),0)</f>
        <v>0</v>
      </c>
      <c r="G470" s="57">
        <f>CRM_MAGDY!N470</f>
        <v>0</v>
      </c>
      <c r="H470" s="57">
        <f>CRM_MAGDY!M470</f>
        <v>0</v>
      </c>
      <c r="I470" s="57">
        <f t="shared" si="14"/>
        <v>0</v>
      </c>
      <c r="J470" s="57" t="str">
        <f t="shared" si="15"/>
        <v>POTENCJAŁ</v>
      </c>
    </row>
    <row r="471" spans="1:10" x14ac:dyDescent="0.25">
      <c r="A471" s="57" t="str">
        <f>IF(CRM_MAGDY!H471="","","CRM-"&amp;TEXT(ROW()-4,"0000"))</f>
        <v>CRM-0467</v>
      </c>
      <c r="B471" s="57">
        <f>CRM_MAGDY!E471</f>
        <v>0</v>
      </c>
      <c r="C471" s="57">
        <f>CRM_MAGDY!H471</f>
        <v>5912</v>
      </c>
      <c r="D471" s="57">
        <f>CRM_MAGDY!I471</f>
        <v>0</v>
      </c>
      <c r="E471" s="57">
        <f>IFERROR(VALUE(CRM_MAGDY!K471),0)</f>
        <v>0</v>
      </c>
      <c r="F471" s="57">
        <f>IFERROR(IF(CRM_MAGDY!L471&gt;1,CRM_MAGDY!L471/100,CRM_MAGDY!L471),0)</f>
        <v>0</v>
      </c>
      <c r="G471" s="57">
        <f>CRM_MAGDY!N471</f>
        <v>0</v>
      </c>
      <c r="H471" s="57">
        <f>CRM_MAGDY!M471</f>
        <v>0</v>
      </c>
      <c r="I471" s="57">
        <f t="shared" si="14"/>
        <v>0</v>
      </c>
      <c r="J471" s="57" t="str">
        <f t="shared" si="15"/>
        <v>POTENCJAŁ</v>
      </c>
    </row>
    <row r="472" spans="1:10" x14ac:dyDescent="0.25">
      <c r="A472" s="57" t="str">
        <f>IF(CRM_MAGDY!H472="","","CRM-"&amp;TEXT(ROW()-4,"0000"))</f>
        <v>CRM-0468</v>
      </c>
      <c r="B472" s="57">
        <f>CRM_MAGDY!E472</f>
        <v>0</v>
      </c>
      <c r="C472" s="57">
        <f>CRM_MAGDY!H472</f>
        <v>5913</v>
      </c>
      <c r="D472" s="57">
        <f>CRM_MAGDY!I472</f>
        <v>0</v>
      </c>
      <c r="E472" s="57">
        <f>IFERROR(VALUE(CRM_MAGDY!K472),0)</f>
        <v>0</v>
      </c>
      <c r="F472" s="57">
        <f>IFERROR(IF(CRM_MAGDY!L472&gt;1,CRM_MAGDY!L472/100,CRM_MAGDY!L472),0)</f>
        <v>0</v>
      </c>
      <c r="G472" s="57">
        <f>CRM_MAGDY!N472</f>
        <v>0</v>
      </c>
      <c r="H472" s="57">
        <f>CRM_MAGDY!M472</f>
        <v>0</v>
      </c>
      <c r="I472" s="57">
        <f t="shared" si="14"/>
        <v>0</v>
      </c>
      <c r="J472" s="57" t="str">
        <f t="shared" si="15"/>
        <v>POTENCJAŁ</v>
      </c>
    </row>
    <row r="473" spans="1:10" x14ac:dyDescent="0.25">
      <c r="A473" s="57" t="str">
        <f>IF(CRM_MAGDY!H473="","","CRM-"&amp;TEXT(ROW()-4,"0000"))</f>
        <v>CRM-0469</v>
      </c>
      <c r="B473" s="57">
        <f>CRM_MAGDY!E473</f>
        <v>0</v>
      </c>
      <c r="C473" s="57">
        <f>CRM_MAGDY!H473</f>
        <v>5914</v>
      </c>
      <c r="D473" s="57">
        <f>CRM_MAGDY!I473</f>
        <v>0</v>
      </c>
      <c r="E473" s="57">
        <f>IFERROR(VALUE(CRM_MAGDY!K473),0)</f>
        <v>0</v>
      </c>
      <c r="F473" s="57">
        <f>IFERROR(IF(CRM_MAGDY!L473&gt;1,CRM_MAGDY!L473/100,CRM_MAGDY!L473),0)</f>
        <v>0</v>
      </c>
      <c r="G473" s="57">
        <f>CRM_MAGDY!N473</f>
        <v>0</v>
      </c>
      <c r="H473" s="57">
        <f>CRM_MAGDY!M473</f>
        <v>0</v>
      </c>
      <c r="I473" s="57">
        <f t="shared" si="14"/>
        <v>0</v>
      </c>
      <c r="J473" s="57" t="str">
        <f t="shared" si="15"/>
        <v>POTENCJAŁ</v>
      </c>
    </row>
    <row r="474" spans="1:10" x14ac:dyDescent="0.25">
      <c r="A474" s="57" t="str">
        <f>IF(CRM_MAGDY!H474="","","CRM-"&amp;TEXT(ROW()-4,"0000"))</f>
        <v>CRM-0470</v>
      </c>
      <c r="B474" s="57">
        <f>CRM_MAGDY!E474</f>
        <v>0</v>
      </c>
      <c r="C474" s="57">
        <f>CRM_MAGDY!H474</f>
        <v>5915</v>
      </c>
      <c r="D474" s="57">
        <f>CRM_MAGDY!I474</f>
        <v>0</v>
      </c>
      <c r="E474" s="57">
        <f>IFERROR(VALUE(CRM_MAGDY!K474),0)</f>
        <v>0</v>
      </c>
      <c r="F474" s="57">
        <f>IFERROR(IF(CRM_MAGDY!L474&gt;1,CRM_MAGDY!L474/100,CRM_MAGDY!L474),0)</f>
        <v>0</v>
      </c>
      <c r="G474" s="57">
        <f>CRM_MAGDY!N474</f>
        <v>0</v>
      </c>
      <c r="H474" s="57">
        <f>CRM_MAGDY!M474</f>
        <v>0</v>
      </c>
      <c r="I474" s="57">
        <f t="shared" si="14"/>
        <v>0</v>
      </c>
      <c r="J474" s="57" t="str">
        <f t="shared" si="15"/>
        <v>POTENCJAŁ</v>
      </c>
    </row>
    <row r="475" spans="1:10" x14ac:dyDescent="0.25">
      <c r="A475" s="57" t="str">
        <f>IF(CRM_MAGDY!H475="","","CRM-"&amp;TEXT(ROW()-4,"0000"))</f>
        <v>CRM-0471</v>
      </c>
      <c r="B475" s="57">
        <f>CRM_MAGDY!E475</f>
        <v>0</v>
      </c>
      <c r="C475" s="57">
        <f>CRM_MAGDY!H475</f>
        <v>5916</v>
      </c>
      <c r="D475" s="57">
        <f>CRM_MAGDY!I475</f>
        <v>0</v>
      </c>
      <c r="E475" s="57">
        <f>IFERROR(VALUE(CRM_MAGDY!K475),0)</f>
        <v>0</v>
      </c>
      <c r="F475" s="57">
        <f>IFERROR(IF(CRM_MAGDY!L475&gt;1,CRM_MAGDY!L475/100,CRM_MAGDY!L475),0)</f>
        <v>0</v>
      </c>
      <c r="G475" s="57">
        <f>CRM_MAGDY!N475</f>
        <v>0</v>
      </c>
      <c r="H475" s="57">
        <f>CRM_MAGDY!M475</f>
        <v>0</v>
      </c>
      <c r="I475" s="57">
        <f t="shared" si="14"/>
        <v>0</v>
      </c>
      <c r="J475" s="57" t="str">
        <f t="shared" si="15"/>
        <v>POTENCJAŁ</v>
      </c>
    </row>
    <row r="476" spans="1:10" x14ac:dyDescent="0.25">
      <c r="A476" s="57" t="str">
        <f>IF(CRM_MAGDY!H476="","","CRM-"&amp;TEXT(ROW()-4,"0000"))</f>
        <v>CRM-0472</v>
      </c>
      <c r="B476" s="57">
        <f>CRM_MAGDY!E476</f>
        <v>0</v>
      </c>
      <c r="C476" s="57">
        <f>CRM_MAGDY!H476</f>
        <v>5917</v>
      </c>
      <c r="D476" s="57">
        <f>CRM_MAGDY!I476</f>
        <v>0</v>
      </c>
      <c r="E476" s="57">
        <f>IFERROR(VALUE(CRM_MAGDY!K476),0)</f>
        <v>0</v>
      </c>
      <c r="F476" s="57">
        <f>IFERROR(IF(CRM_MAGDY!L476&gt;1,CRM_MAGDY!L476/100,CRM_MAGDY!L476),0)</f>
        <v>0</v>
      </c>
      <c r="G476" s="57">
        <f>CRM_MAGDY!N476</f>
        <v>0</v>
      </c>
      <c r="H476" s="57">
        <f>CRM_MAGDY!M476</f>
        <v>0</v>
      </c>
      <c r="I476" s="57">
        <f t="shared" si="14"/>
        <v>0</v>
      </c>
      <c r="J476" s="57" t="str">
        <f t="shared" si="15"/>
        <v>POTENCJAŁ</v>
      </c>
    </row>
    <row r="477" spans="1:10" x14ac:dyDescent="0.25">
      <c r="A477" s="57" t="str">
        <f>IF(CRM_MAGDY!H477="","","CRM-"&amp;TEXT(ROW()-4,"0000"))</f>
        <v>CRM-0473</v>
      </c>
      <c r="B477" s="57">
        <f>CRM_MAGDY!E477</f>
        <v>0</v>
      </c>
      <c r="C477" s="57">
        <f>CRM_MAGDY!H477</f>
        <v>5918</v>
      </c>
      <c r="D477" s="57">
        <f>CRM_MAGDY!I477</f>
        <v>0</v>
      </c>
      <c r="E477" s="57">
        <f>IFERROR(VALUE(CRM_MAGDY!K477),0)</f>
        <v>0</v>
      </c>
      <c r="F477" s="57">
        <f>IFERROR(IF(CRM_MAGDY!L477&gt;1,CRM_MAGDY!L477/100,CRM_MAGDY!L477),0)</f>
        <v>0</v>
      </c>
      <c r="G477" s="57">
        <f>CRM_MAGDY!N477</f>
        <v>0</v>
      </c>
      <c r="H477" s="57">
        <f>CRM_MAGDY!M477</f>
        <v>0</v>
      </c>
      <c r="I477" s="57">
        <f t="shared" si="14"/>
        <v>0</v>
      </c>
      <c r="J477" s="57" t="str">
        <f t="shared" si="15"/>
        <v>POTENCJAŁ</v>
      </c>
    </row>
    <row r="478" spans="1:10" x14ac:dyDescent="0.25">
      <c r="A478" s="57" t="str">
        <f>IF(CRM_MAGDY!H478="","","CRM-"&amp;TEXT(ROW()-4,"0000"))</f>
        <v>CRM-0474</v>
      </c>
      <c r="B478" s="57">
        <f>CRM_MAGDY!E478</f>
        <v>0</v>
      </c>
      <c r="C478" s="57">
        <f>CRM_MAGDY!H478</f>
        <v>5919</v>
      </c>
      <c r="D478" s="57">
        <f>CRM_MAGDY!I478</f>
        <v>0</v>
      </c>
      <c r="E478" s="57">
        <f>IFERROR(VALUE(CRM_MAGDY!K478),0)</f>
        <v>0</v>
      </c>
      <c r="F478" s="57">
        <f>IFERROR(IF(CRM_MAGDY!L478&gt;1,CRM_MAGDY!L478/100,CRM_MAGDY!L478),0)</f>
        <v>0</v>
      </c>
      <c r="G478" s="57">
        <f>CRM_MAGDY!N478</f>
        <v>0</v>
      </c>
      <c r="H478" s="57">
        <f>CRM_MAGDY!M478</f>
        <v>0</v>
      </c>
      <c r="I478" s="57">
        <f t="shared" si="14"/>
        <v>0</v>
      </c>
      <c r="J478" s="57" t="str">
        <f t="shared" si="15"/>
        <v>POTENCJAŁ</v>
      </c>
    </row>
    <row r="479" spans="1:10" x14ac:dyDescent="0.25">
      <c r="A479" s="57" t="str">
        <f>IF(CRM_MAGDY!H479="","","CRM-"&amp;TEXT(ROW()-4,"0000"))</f>
        <v>CRM-0475</v>
      </c>
      <c r="B479" s="57">
        <f>CRM_MAGDY!E479</f>
        <v>0</v>
      </c>
      <c r="C479" s="57">
        <f>CRM_MAGDY!H479</f>
        <v>5920</v>
      </c>
      <c r="D479" s="57">
        <f>CRM_MAGDY!I479</f>
        <v>0</v>
      </c>
      <c r="E479" s="57">
        <f>IFERROR(VALUE(CRM_MAGDY!K479),0)</f>
        <v>0</v>
      </c>
      <c r="F479" s="57">
        <f>IFERROR(IF(CRM_MAGDY!L479&gt;1,CRM_MAGDY!L479/100,CRM_MAGDY!L479),0)</f>
        <v>0</v>
      </c>
      <c r="G479" s="57">
        <f>CRM_MAGDY!N479</f>
        <v>0</v>
      </c>
      <c r="H479" s="57">
        <f>CRM_MAGDY!M479</f>
        <v>0</v>
      </c>
      <c r="I479" s="57">
        <f t="shared" si="14"/>
        <v>0</v>
      </c>
      <c r="J479" s="57" t="str">
        <f t="shared" si="15"/>
        <v>POTENCJAŁ</v>
      </c>
    </row>
    <row r="480" spans="1:10" x14ac:dyDescent="0.25">
      <c r="A480" s="57" t="str">
        <f>IF(CRM_MAGDY!H480="","","CRM-"&amp;TEXT(ROW()-4,"0000"))</f>
        <v>CRM-0476</v>
      </c>
      <c r="B480" s="57">
        <f>CRM_MAGDY!E480</f>
        <v>0</v>
      </c>
      <c r="C480" s="57">
        <f>CRM_MAGDY!H480</f>
        <v>5921</v>
      </c>
      <c r="D480" s="57">
        <f>CRM_MAGDY!I480</f>
        <v>0</v>
      </c>
      <c r="E480" s="57">
        <f>IFERROR(VALUE(CRM_MAGDY!K480),0)</f>
        <v>0</v>
      </c>
      <c r="F480" s="57">
        <f>IFERROR(IF(CRM_MAGDY!L480&gt;1,CRM_MAGDY!L480/100,CRM_MAGDY!L480),0)</f>
        <v>0</v>
      </c>
      <c r="G480" s="57">
        <f>CRM_MAGDY!N480</f>
        <v>0</v>
      </c>
      <c r="H480" s="57">
        <f>CRM_MAGDY!M480</f>
        <v>0</v>
      </c>
      <c r="I480" s="57">
        <f t="shared" si="14"/>
        <v>0</v>
      </c>
      <c r="J480" s="57" t="str">
        <f t="shared" si="15"/>
        <v>POTENCJAŁ</v>
      </c>
    </row>
    <row r="481" spans="1:10" x14ac:dyDescent="0.25">
      <c r="A481" s="57" t="str">
        <f>IF(CRM_MAGDY!H481="","","CRM-"&amp;TEXT(ROW()-4,"0000"))</f>
        <v>CRM-0477</v>
      </c>
      <c r="B481" s="57">
        <f>CRM_MAGDY!E481</f>
        <v>0</v>
      </c>
      <c r="C481" s="57">
        <f>CRM_MAGDY!H481</f>
        <v>5922</v>
      </c>
      <c r="D481" s="57">
        <f>CRM_MAGDY!I481</f>
        <v>0</v>
      </c>
      <c r="E481" s="57">
        <f>IFERROR(VALUE(CRM_MAGDY!K481),0)</f>
        <v>0</v>
      </c>
      <c r="F481" s="57">
        <f>IFERROR(IF(CRM_MAGDY!L481&gt;1,CRM_MAGDY!L481/100,CRM_MAGDY!L481),0)</f>
        <v>0</v>
      </c>
      <c r="G481" s="57">
        <f>CRM_MAGDY!N481</f>
        <v>0</v>
      </c>
      <c r="H481" s="57">
        <f>CRM_MAGDY!M481</f>
        <v>0</v>
      </c>
      <c r="I481" s="57">
        <f t="shared" si="14"/>
        <v>0</v>
      </c>
      <c r="J481" s="57" t="str">
        <f t="shared" si="15"/>
        <v>POTENCJAŁ</v>
      </c>
    </row>
    <row r="482" spans="1:10" x14ac:dyDescent="0.25">
      <c r="A482" s="57" t="str">
        <f>IF(CRM_MAGDY!H482="","","CRM-"&amp;TEXT(ROW()-4,"0000"))</f>
        <v>CRM-0478</v>
      </c>
      <c r="B482" s="57">
        <f>CRM_MAGDY!E482</f>
        <v>0</v>
      </c>
      <c r="C482" s="57">
        <f>CRM_MAGDY!H482</f>
        <v>5923</v>
      </c>
      <c r="D482" s="57">
        <f>CRM_MAGDY!I482</f>
        <v>0</v>
      </c>
      <c r="E482" s="57">
        <f>IFERROR(VALUE(CRM_MAGDY!K482),0)</f>
        <v>0</v>
      </c>
      <c r="F482" s="57">
        <f>IFERROR(IF(CRM_MAGDY!L482&gt;1,CRM_MAGDY!L482/100,CRM_MAGDY!L482),0)</f>
        <v>0</v>
      </c>
      <c r="G482" s="57">
        <f>CRM_MAGDY!N482</f>
        <v>0</v>
      </c>
      <c r="H482" s="57">
        <f>CRM_MAGDY!M482</f>
        <v>0</v>
      </c>
      <c r="I482" s="57">
        <f t="shared" si="14"/>
        <v>0</v>
      </c>
      <c r="J482" s="57" t="str">
        <f t="shared" si="15"/>
        <v>POTENCJAŁ</v>
      </c>
    </row>
    <row r="483" spans="1:10" x14ac:dyDescent="0.25">
      <c r="A483" s="57" t="str">
        <f>IF(CRM_MAGDY!H483="","","CRM-"&amp;TEXT(ROW()-4,"0000"))</f>
        <v>CRM-0479</v>
      </c>
      <c r="B483" s="57">
        <f>CRM_MAGDY!E483</f>
        <v>0</v>
      </c>
      <c r="C483" s="57">
        <f>CRM_MAGDY!H483</f>
        <v>5924</v>
      </c>
      <c r="D483" s="57">
        <f>CRM_MAGDY!I483</f>
        <v>0</v>
      </c>
      <c r="E483" s="57">
        <f>IFERROR(VALUE(CRM_MAGDY!K483),0)</f>
        <v>0</v>
      </c>
      <c r="F483" s="57">
        <f>IFERROR(IF(CRM_MAGDY!L483&gt;1,CRM_MAGDY!L483/100,CRM_MAGDY!L483),0)</f>
        <v>0</v>
      </c>
      <c r="G483" s="57">
        <f>CRM_MAGDY!N483</f>
        <v>0</v>
      </c>
      <c r="H483" s="57">
        <f>CRM_MAGDY!M483</f>
        <v>0</v>
      </c>
      <c r="I483" s="57">
        <f t="shared" si="14"/>
        <v>0</v>
      </c>
      <c r="J483" s="57" t="str">
        <f t="shared" si="15"/>
        <v>POTENCJAŁ</v>
      </c>
    </row>
    <row r="484" spans="1:10" x14ac:dyDescent="0.25">
      <c r="A484" s="57" t="str">
        <f>IF(CRM_MAGDY!H484="","","CRM-"&amp;TEXT(ROW()-4,"0000"))</f>
        <v>CRM-0480</v>
      </c>
      <c r="B484" s="57">
        <f>CRM_MAGDY!E484</f>
        <v>0</v>
      </c>
      <c r="C484" s="57">
        <f>CRM_MAGDY!H484</f>
        <v>5925</v>
      </c>
      <c r="D484" s="57">
        <f>CRM_MAGDY!I484</f>
        <v>0</v>
      </c>
      <c r="E484" s="57">
        <f>IFERROR(VALUE(CRM_MAGDY!K484),0)</f>
        <v>0</v>
      </c>
      <c r="F484" s="57">
        <f>IFERROR(IF(CRM_MAGDY!L484&gt;1,CRM_MAGDY!L484/100,CRM_MAGDY!L484),0)</f>
        <v>0</v>
      </c>
      <c r="G484" s="57">
        <f>CRM_MAGDY!N484</f>
        <v>0</v>
      </c>
      <c r="H484" s="57">
        <f>CRM_MAGDY!M484</f>
        <v>0</v>
      </c>
      <c r="I484" s="57">
        <f t="shared" si="14"/>
        <v>0</v>
      </c>
      <c r="J484" s="57" t="str">
        <f t="shared" si="15"/>
        <v>POTENCJAŁ</v>
      </c>
    </row>
    <row r="485" spans="1:10" x14ac:dyDescent="0.25">
      <c r="A485" s="57" t="str">
        <f>IF(CRM_MAGDY!H485="","","CRM-"&amp;TEXT(ROW()-4,"0000"))</f>
        <v>CRM-0481</v>
      </c>
      <c r="B485" s="57">
        <f>CRM_MAGDY!E485</f>
        <v>0</v>
      </c>
      <c r="C485" s="57">
        <f>CRM_MAGDY!H485</f>
        <v>5926</v>
      </c>
      <c r="D485" s="57">
        <f>CRM_MAGDY!I485</f>
        <v>0</v>
      </c>
      <c r="E485" s="57">
        <f>IFERROR(VALUE(CRM_MAGDY!K485),0)</f>
        <v>0</v>
      </c>
      <c r="F485" s="57">
        <f>IFERROR(IF(CRM_MAGDY!L485&gt;1,CRM_MAGDY!L485/100,CRM_MAGDY!L485),0)</f>
        <v>0</v>
      </c>
      <c r="G485" s="57">
        <f>CRM_MAGDY!N485</f>
        <v>0</v>
      </c>
      <c r="H485" s="57">
        <f>CRM_MAGDY!M485</f>
        <v>0</v>
      </c>
      <c r="I485" s="57">
        <f t="shared" si="14"/>
        <v>0</v>
      </c>
      <c r="J485" s="57" t="str">
        <f t="shared" si="15"/>
        <v>POTENCJAŁ</v>
      </c>
    </row>
    <row r="486" spans="1:10" x14ac:dyDescent="0.25">
      <c r="A486" s="57" t="str">
        <f>IF(CRM_MAGDY!H486="","","CRM-"&amp;TEXT(ROW()-4,"0000"))</f>
        <v>CRM-0482</v>
      </c>
      <c r="B486" s="57">
        <f>CRM_MAGDY!E486</f>
        <v>0</v>
      </c>
      <c r="C486" s="57">
        <f>CRM_MAGDY!H486</f>
        <v>5927</v>
      </c>
      <c r="D486" s="57">
        <f>CRM_MAGDY!I486</f>
        <v>0</v>
      </c>
      <c r="E486" s="57">
        <f>IFERROR(VALUE(CRM_MAGDY!K486),0)</f>
        <v>0</v>
      </c>
      <c r="F486" s="57">
        <f>IFERROR(IF(CRM_MAGDY!L486&gt;1,CRM_MAGDY!L486/100,CRM_MAGDY!L486),0)</f>
        <v>0</v>
      </c>
      <c r="G486" s="57">
        <f>CRM_MAGDY!N486</f>
        <v>0</v>
      </c>
      <c r="H486" s="57">
        <f>CRM_MAGDY!M486</f>
        <v>0</v>
      </c>
      <c r="I486" s="57">
        <f t="shared" si="14"/>
        <v>0</v>
      </c>
      <c r="J486" s="57" t="str">
        <f t="shared" si="15"/>
        <v>POTENCJAŁ</v>
      </c>
    </row>
    <row r="487" spans="1:10" x14ac:dyDescent="0.25">
      <c r="A487" s="57" t="str">
        <f>IF(CRM_MAGDY!H487="","","CRM-"&amp;TEXT(ROW()-4,"0000"))</f>
        <v>CRM-0483</v>
      </c>
      <c r="B487" s="57">
        <f>CRM_MAGDY!E487</f>
        <v>0</v>
      </c>
      <c r="C487" s="57">
        <f>CRM_MAGDY!H487</f>
        <v>5928</v>
      </c>
      <c r="D487" s="57">
        <f>CRM_MAGDY!I487</f>
        <v>0</v>
      </c>
      <c r="E487" s="57">
        <f>IFERROR(VALUE(CRM_MAGDY!K487),0)</f>
        <v>0</v>
      </c>
      <c r="F487" s="57">
        <f>IFERROR(IF(CRM_MAGDY!L487&gt;1,CRM_MAGDY!L487/100,CRM_MAGDY!L487),0)</f>
        <v>0</v>
      </c>
      <c r="G487" s="57">
        <f>CRM_MAGDY!N487</f>
        <v>0</v>
      </c>
      <c r="H487" s="57">
        <f>CRM_MAGDY!M487</f>
        <v>0</v>
      </c>
      <c r="I487" s="57">
        <f t="shared" si="14"/>
        <v>0</v>
      </c>
      <c r="J487" s="57" t="str">
        <f t="shared" si="15"/>
        <v>POTENCJAŁ</v>
      </c>
    </row>
    <row r="488" spans="1:10" x14ac:dyDescent="0.25">
      <c r="A488" s="57" t="str">
        <f>IF(CRM_MAGDY!H488="","","CRM-"&amp;TEXT(ROW()-4,"0000"))</f>
        <v>CRM-0484</v>
      </c>
      <c r="B488" s="57">
        <f>CRM_MAGDY!E488</f>
        <v>0</v>
      </c>
      <c r="C488" s="57">
        <f>CRM_MAGDY!H488</f>
        <v>5929</v>
      </c>
      <c r="D488" s="57">
        <f>CRM_MAGDY!I488</f>
        <v>0</v>
      </c>
      <c r="E488" s="57">
        <f>IFERROR(VALUE(CRM_MAGDY!K488),0)</f>
        <v>0</v>
      </c>
      <c r="F488" s="57">
        <f>IFERROR(IF(CRM_MAGDY!L488&gt;1,CRM_MAGDY!L488/100,CRM_MAGDY!L488),0)</f>
        <v>0</v>
      </c>
      <c r="G488" s="57">
        <f>CRM_MAGDY!N488</f>
        <v>0</v>
      </c>
      <c r="H488" s="57">
        <f>CRM_MAGDY!M488</f>
        <v>0</v>
      </c>
      <c r="I488" s="57">
        <f t="shared" si="14"/>
        <v>0</v>
      </c>
      <c r="J488" s="57" t="str">
        <f t="shared" si="15"/>
        <v>POTENCJAŁ</v>
      </c>
    </row>
    <row r="489" spans="1:10" x14ac:dyDescent="0.25">
      <c r="A489" s="57" t="str">
        <f>IF(CRM_MAGDY!H489="","","CRM-"&amp;TEXT(ROW()-4,"0000"))</f>
        <v>CRM-0485</v>
      </c>
      <c r="B489" s="57">
        <f>CRM_MAGDY!E489</f>
        <v>0</v>
      </c>
      <c r="C489" s="57">
        <f>CRM_MAGDY!H489</f>
        <v>5930</v>
      </c>
      <c r="D489" s="57">
        <f>CRM_MAGDY!I489</f>
        <v>0</v>
      </c>
      <c r="E489" s="57">
        <f>IFERROR(VALUE(CRM_MAGDY!K489),0)</f>
        <v>0</v>
      </c>
      <c r="F489" s="57">
        <f>IFERROR(IF(CRM_MAGDY!L489&gt;1,CRM_MAGDY!L489/100,CRM_MAGDY!L489),0)</f>
        <v>0</v>
      </c>
      <c r="G489" s="57">
        <f>CRM_MAGDY!N489</f>
        <v>0</v>
      </c>
      <c r="H489" s="57">
        <f>CRM_MAGDY!M489</f>
        <v>0</v>
      </c>
      <c r="I489" s="57">
        <f t="shared" si="14"/>
        <v>0</v>
      </c>
      <c r="J489" s="57" t="str">
        <f t="shared" si="15"/>
        <v>POTENCJAŁ</v>
      </c>
    </row>
    <row r="490" spans="1:10" x14ac:dyDescent="0.25">
      <c r="A490" s="57" t="str">
        <f>IF(CRM_MAGDY!H490="","","CRM-"&amp;TEXT(ROW()-4,"0000"))</f>
        <v>CRM-0486</v>
      </c>
      <c r="B490" s="57">
        <f>CRM_MAGDY!E490</f>
        <v>0</v>
      </c>
      <c r="C490" s="57">
        <f>CRM_MAGDY!H490</f>
        <v>5931</v>
      </c>
      <c r="D490" s="57">
        <f>CRM_MAGDY!I490</f>
        <v>0</v>
      </c>
      <c r="E490" s="57">
        <f>IFERROR(VALUE(CRM_MAGDY!K490),0)</f>
        <v>0</v>
      </c>
      <c r="F490" s="57">
        <f>IFERROR(IF(CRM_MAGDY!L490&gt;1,CRM_MAGDY!L490/100,CRM_MAGDY!L490),0)</f>
        <v>0</v>
      </c>
      <c r="G490" s="57">
        <f>CRM_MAGDY!N490</f>
        <v>0</v>
      </c>
      <c r="H490" s="57">
        <f>CRM_MAGDY!M490</f>
        <v>0</v>
      </c>
      <c r="I490" s="57">
        <f t="shared" si="14"/>
        <v>0</v>
      </c>
      <c r="J490" s="57" t="str">
        <f t="shared" si="15"/>
        <v>POTENCJAŁ</v>
      </c>
    </row>
    <row r="491" spans="1:10" x14ac:dyDescent="0.25">
      <c r="A491" s="57" t="str">
        <f>IF(CRM_MAGDY!H491="","","CRM-"&amp;TEXT(ROW()-4,"0000"))</f>
        <v>CRM-0487</v>
      </c>
      <c r="B491" s="57">
        <f>CRM_MAGDY!E491</f>
        <v>0</v>
      </c>
      <c r="C491" s="57">
        <f>CRM_MAGDY!H491</f>
        <v>5932</v>
      </c>
      <c r="D491" s="57">
        <f>CRM_MAGDY!I491</f>
        <v>0</v>
      </c>
      <c r="E491" s="57">
        <f>IFERROR(VALUE(CRM_MAGDY!K491),0)</f>
        <v>0</v>
      </c>
      <c r="F491" s="57">
        <f>IFERROR(IF(CRM_MAGDY!L491&gt;1,CRM_MAGDY!L491/100,CRM_MAGDY!L491),0)</f>
        <v>0</v>
      </c>
      <c r="G491" s="57">
        <f>CRM_MAGDY!N491</f>
        <v>0</v>
      </c>
      <c r="H491" s="57">
        <f>CRM_MAGDY!M491</f>
        <v>0</v>
      </c>
      <c r="I491" s="57">
        <f t="shared" si="14"/>
        <v>0</v>
      </c>
      <c r="J491" s="57" t="str">
        <f t="shared" si="15"/>
        <v>POTENCJAŁ</v>
      </c>
    </row>
    <row r="492" spans="1:10" x14ac:dyDescent="0.25">
      <c r="A492" s="57" t="str">
        <f>IF(CRM_MAGDY!H492="","","CRM-"&amp;TEXT(ROW()-4,"0000"))</f>
        <v>CRM-0488</v>
      </c>
      <c r="B492" s="57">
        <f>CRM_MAGDY!E492</f>
        <v>0</v>
      </c>
      <c r="C492" s="57">
        <f>CRM_MAGDY!H492</f>
        <v>5933</v>
      </c>
      <c r="D492" s="57">
        <f>CRM_MAGDY!I492</f>
        <v>0</v>
      </c>
      <c r="E492" s="57">
        <f>IFERROR(VALUE(CRM_MAGDY!K492),0)</f>
        <v>0</v>
      </c>
      <c r="F492" s="57">
        <f>IFERROR(IF(CRM_MAGDY!L492&gt;1,CRM_MAGDY!L492/100,CRM_MAGDY!L492),0)</f>
        <v>0</v>
      </c>
      <c r="G492" s="57">
        <f>CRM_MAGDY!N492</f>
        <v>0</v>
      </c>
      <c r="H492" s="57">
        <f>CRM_MAGDY!M492</f>
        <v>0</v>
      </c>
      <c r="I492" s="57">
        <f t="shared" si="14"/>
        <v>0</v>
      </c>
      <c r="J492" s="57" t="str">
        <f t="shared" si="15"/>
        <v>POTENCJAŁ</v>
      </c>
    </row>
    <row r="493" spans="1:10" x14ac:dyDescent="0.25">
      <c r="A493" s="57" t="str">
        <f>IF(CRM_MAGDY!H493="","","CRM-"&amp;TEXT(ROW()-4,"0000"))</f>
        <v>CRM-0489</v>
      </c>
      <c r="B493" s="57">
        <f>CRM_MAGDY!E493</f>
        <v>0</v>
      </c>
      <c r="C493" s="57">
        <f>CRM_MAGDY!H493</f>
        <v>5934</v>
      </c>
      <c r="D493" s="57">
        <f>CRM_MAGDY!I493</f>
        <v>0</v>
      </c>
      <c r="E493" s="57">
        <f>IFERROR(VALUE(CRM_MAGDY!K493),0)</f>
        <v>0</v>
      </c>
      <c r="F493" s="57">
        <f>IFERROR(IF(CRM_MAGDY!L493&gt;1,CRM_MAGDY!L493/100,CRM_MAGDY!L493),0)</f>
        <v>0</v>
      </c>
      <c r="G493" s="57">
        <f>CRM_MAGDY!N493</f>
        <v>0</v>
      </c>
      <c r="H493" s="57">
        <f>CRM_MAGDY!M493</f>
        <v>0</v>
      </c>
      <c r="I493" s="57">
        <f t="shared" si="14"/>
        <v>0</v>
      </c>
      <c r="J493" s="57" t="str">
        <f t="shared" si="15"/>
        <v>POTENCJAŁ</v>
      </c>
    </row>
    <row r="494" spans="1:10" x14ac:dyDescent="0.25">
      <c r="A494" s="57" t="str">
        <f>IF(CRM_MAGDY!H494="","","CRM-"&amp;TEXT(ROW()-4,"0000"))</f>
        <v>CRM-0490</v>
      </c>
      <c r="B494" s="57">
        <f>CRM_MAGDY!E494</f>
        <v>0</v>
      </c>
      <c r="C494" s="57">
        <f>CRM_MAGDY!H494</f>
        <v>5935</v>
      </c>
      <c r="D494" s="57">
        <f>CRM_MAGDY!I494</f>
        <v>0</v>
      </c>
      <c r="E494" s="57">
        <f>IFERROR(VALUE(CRM_MAGDY!K494),0)</f>
        <v>0</v>
      </c>
      <c r="F494" s="57">
        <f>IFERROR(IF(CRM_MAGDY!L494&gt;1,CRM_MAGDY!L494/100,CRM_MAGDY!L494),0)</f>
        <v>0</v>
      </c>
      <c r="G494" s="57">
        <f>CRM_MAGDY!N494</f>
        <v>0</v>
      </c>
      <c r="H494" s="57">
        <f>CRM_MAGDY!M494</f>
        <v>0</v>
      </c>
      <c r="I494" s="57">
        <f t="shared" si="14"/>
        <v>0</v>
      </c>
      <c r="J494" s="57" t="str">
        <f t="shared" si="15"/>
        <v>POTENCJAŁ</v>
      </c>
    </row>
    <row r="495" spans="1:10" x14ac:dyDescent="0.25">
      <c r="A495" s="57" t="str">
        <f>IF(CRM_MAGDY!H495="","","CRM-"&amp;TEXT(ROW()-4,"0000"))</f>
        <v>CRM-0491</v>
      </c>
      <c r="B495" s="57">
        <f>CRM_MAGDY!E495</f>
        <v>0</v>
      </c>
      <c r="C495" s="57">
        <f>CRM_MAGDY!H495</f>
        <v>5936</v>
      </c>
      <c r="D495" s="57">
        <f>CRM_MAGDY!I495</f>
        <v>0</v>
      </c>
      <c r="E495" s="57">
        <f>IFERROR(VALUE(CRM_MAGDY!K495),0)</f>
        <v>0</v>
      </c>
      <c r="F495" s="57">
        <f>IFERROR(IF(CRM_MAGDY!L495&gt;1,CRM_MAGDY!L495/100,CRM_MAGDY!L495),0)</f>
        <v>0</v>
      </c>
      <c r="G495" s="57">
        <f>CRM_MAGDY!N495</f>
        <v>0</v>
      </c>
      <c r="H495" s="57">
        <f>CRM_MAGDY!M495</f>
        <v>0</v>
      </c>
      <c r="I495" s="57">
        <f t="shared" si="14"/>
        <v>0</v>
      </c>
      <c r="J495" s="57" t="str">
        <f t="shared" si="15"/>
        <v>POTENCJAŁ</v>
      </c>
    </row>
    <row r="496" spans="1:10" x14ac:dyDescent="0.25">
      <c r="A496" s="57" t="str">
        <f>IF(CRM_MAGDY!H496="","","CRM-"&amp;TEXT(ROW()-4,"0000"))</f>
        <v>CRM-0492</v>
      </c>
      <c r="B496" s="57">
        <f>CRM_MAGDY!E496</f>
        <v>0</v>
      </c>
      <c r="C496" s="57">
        <f>CRM_MAGDY!H496</f>
        <v>5937</v>
      </c>
      <c r="D496" s="57">
        <f>CRM_MAGDY!I496</f>
        <v>0</v>
      </c>
      <c r="E496" s="57">
        <f>IFERROR(VALUE(CRM_MAGDY!K496),0)</f>
        <v>0</v>
      </c>
      <c r="F496" s="57">
        <f>IFERROR(IF(CRM_MAGDY!L496&gt;1,CRM_MAGDY!L496/100,CRM_MAGDY!L496),0)</f>
        <v>0</v>
      </c>
      <c r="G496" s="57">
        <f>CRM_MAGDY!N496</f>
        <v>0</v>
      </c>
      <c r="H496" s="57">
        <f>CRM_MAGDY!M496</f>
        <v>0</v>
      </c>
      <c r="I496" s="57">
        <f t="shared" si="14"/>
        <v>0</v>
      </c>
      <c r="J496" s="57" t="str">
        <f t="shared" si="15"/>
        <v>POTENCJAŁ</v>
      </c>
    </row>
    <row r="497" spans="1:10" x14ac:dyDescent="0.25">
      <c r="A497" s="57" t="str">
        <f>IF(CRM_MAGDY!H497="","","CRM-"&amp;TEXT(ROW()-4,"0000"))</f>
        <v>CRM-0493</v>
      </c>
      <c r="B497" s="57">
        <f>CRM_MAGDY!E497</f>
        <v>0</v>
      </c>
      <c r="C497" s="57">
        <f>CRM_MAGDY!H497</f>
        <v>5938</v>
      </c>
      <c r="D497" s="57">
        <f>CRM_MAGDY!I497</f>
        <v>0</v>
      </c>
      <c r="E497" s="57">
        <f>IFERROR(VALUE(CRM_MAGDY!K497),0)</f>
        <v>0</v>
      </c>
      <c r="F497" s="57">
        <f>IFERROR(IF(CRM_MAGDY!L497&gt;1,CRM_MAGDY!L497/100,CRM_MAGDY!L497),0)</f>
        <v>0</v>
      </c>
      <c r="G497" s="57">
        <f>CRM_MAGDY!N497</f>
        <v>0</v>
      </c>
      <c r="H497" s="57">
        <f>CRM_MAGDY!M497</f>
        <v>0</v>
      </c>
      <c r="I497" s="57">
        <f t="shared" si="14"/>
        <v>0</v>
      </c>
      <c r="J497" s="57" t="str">
        <f t="shared" si="15"/>
        <v>POTENCJAŁ</v>
      </c>
    </row>
    <row r="498" spans="1:10" x14ac:dyDescent="0.25">
      <c r="A498" s="57" t="str">
        <f>IF(CRM_MAGDY!H498="","","CRM-"&amp;TEXT(ROW()-4,"0000"))</f>
        <v>CRM-0494</v>
      </c>
      <c r="B498" s="57">
        <f>CRM_MAGDY!E498</f>
        <v>0</v>
      </c>
      <c r="C498" s="57">
        <f>CRM_MAGDY!H498</f>
        <v>5939</v>
      </c>
      <c r="D498" s="57">
        <f>CRM_MAGDY!I498</f>
        <v>0</v>
      </c>
      <c r="E498" s="57">
        <f>IFERROR(VALUE(CRM_MAGDY!K498),0)</f>
        <v>0</v>
      </c>
      <c r="F498" s="57">
        <f>IFERROR(IF(CRM_MAGDY!L498&gt;1,CRM_MAGDY!L498/100,CRM_MAGDY!L498),0)</f>
        <v>0</v>
      </c>
      <c r="G498" s="57">
        <f>CRM_MAGDY!N498</f>
        <v>0</v>
      </c>
      <c r="H498" s="57">
        <f>CRM_MAGDY!M498</f>
        <v>0</v>
      </c>
      <c r="I498" s="57">
        <f t="shared" si="14"/>
        <v>0</v>
      </c>
      <c r="J498" s="57" t="str">
        <f t="shared" si="15"/>
        <v>POTENCJAŁ</v>
      </c>
    </row>
    <row r="499" spans="1:10" x14ac:dyDescent="0.25">
      <c r="A499" s="57" t="str">
        <f>IF(CRM_MAGDY!H499="","","CRM-"&amp;TEXT(ROW()-4,"0000"))</f>
        <v>CRM-0495</v>
      </c>
      <c r="B499" s="57">
        <f>CRM_MAGDY!E499</f>
        <v>0</v>
      </c>
      <c r="C499" s="57">
        <f>CRM_MAGDY!H499</f>
        <v>5940</v>
      </c>
      <c r="D499" s="57">
        <f>CRM_MAGDY!I499</f>
        <v>0</v>
      </c>
      <c r="E499" s="57">
        <f>IFERROR(VALUE(CRM_MAGDY!K499),0)</f>
        <v>0</v>
      </c>
      <c r="F499" s="57">
        <f>IFERROR(IF(CRM_MAGDY!L499&gt;1,CRM_MAGDY!L499/100,CRM_MAGDY!L499),0)</f>
        <v>0</v>
      </c>
      <c r="G499" s="57">
        <f>CRM_MAGDY!N499</f>
        <v>0</v>
      </c>
      <c r="H499" s="57">
        <f>CRM_MAGDY!M499</f>
        <v>0</v>
      </c>
      <c r="I499" s="57">
        <f t="shared" si="14"/>
        <v>0</v>
      </c>
      <c r="J499" s="57" t="str">
        <f t="shared" si="15"/>
        <v>POTENCJAŁ</v>
      </c>
    </row>
    <row r="500" spans="1:10" x14ac:dyDescent="0.25">
      <c r="A500" s="57" t="str">
        <f>IF(CRM_MAGDY!H500="","","CRM-"&amp;TEXT(ROW()-4,"0000"))</f>
        <v>CRM-0496</v>
      </c>
      <c r="B500" s="57">
        <f>CRM_MAGDY!E500</f>
        <v>0</v>
      </c>
      <c r="C500" s="57">
        <f>CRM_MAGDY!H500</f>
        <v>5941</v>
      </c>
      <c r="D500" s="57">
        <f>CRM_MAGDY!I500</f>
        <v>0</v>
      </c>
      <c r="E500" s="57">
        <f>IFERROR(VALUE(CRM_MAGDY!K500),0)</f>
        <v>0</v>
      </c>
      <c r="F500" s="57">
        <f>IFERROR(IF(CRM_MAGDY!L500&gt;1,CRM_MAGDY!L500/100,CRM_MAGDY!L500),0)</f>
        <v>0</v>
      </c>
      <c r="G500" s="57">
        <f>CRM_MAGDY!N500</f>
        <v>0</v>
      </c>
      <c r="H500" s="57">
        <f>CRM_MAGDY!M500</f>
        <v>0</v>
      </c>
      <c r="I500" s="57">
        <f t="shared" si="14"/>
        <v>0</v>
      </c>
      <c r="J500" s="57" t="str">
        <f t="shared" si="15"/>
        <v>POTENCJAŁ</v>
      </c>
    </row>
    <row r="501" spans="1:10" x14ac:dyDescent="0.25">
      <c r="A501" s="57" t="str">
        <f>IF(CRM_MAGDY!H501="","","CRM-"&amp;TEXT(ROW()-4,"0000"))</f>
        <v>CRM-0497</v>
      </c>
      <c r="B501" s="57">
        <f>CRM_MAGDY!E501</f>
        <v>0</v>
      </c>
      <c r="C501" s="57">
        <f>CRM_MAGDY!H501</f>
        <v>5942</v>
      </c>
      <c r="D501" s="57">
        <f>CRM_MAGDY!I501</f>
        <v>0</v>
      </c>
      <c r="E501" s="57">
        <f>IFERROR(VALUE(CRM_MAGDY!K501),0)</f>
        <v>0</v>
      </c>
      <c r="F501" s="57">
        <f>IFERROR(IF(CRM_MAGDY!L501&gt;1,CRM_MAGDY!L501/100,CRM_MAGDY!L501),0)</f>
        <v>0</v>
      </c>
      <c r="G501" s="57">
        <f>CRM_MAGDY!N501</f>
        <v>0</v>
      </c>
      <c r="H501" s="57">
        <f>CRM_MAGDY!M501</f>
        <v>0</v>
      </c>
      <c r="I501" s="57">
        <f t="shared" si="14"/>
        <v>0</v>
      </c>
      <c r="J501" s="57" t="str">
        <f t="shared" si="15"/>
        <v>POTENCJAŁ</v>
      </c>
    </row>
    <row r="502" spans="1:10" x14ac:dyDescent="0.25">
      <c r="A502" s="57" t="str">
        <f>IF(CRM_MAGDY!H502="","","CRM-"&amp;TEXT(ROW()-4,"0000"))</f>
        <v>CRM-0498</v>
      </c>
      <c r="B502" s="57">
        <f>CRM_MAGDY!E502</f>
        <v>0</v>
      </c>
      <c r="C502" s="57">
        <f>CRM_MAGDY!H502</f>
        <v>5943</v>
      </c>
      <c r="D502" s="57">
        <f>CRM_MAGDY!I502</f>
        <v>0</v>
      </c>
      <c r="E502" s="57">
        <f>IFERROR(VALUE(CRM_MAGDY!K502),0)</f>
        <v>0</v>
      </c>
      <c r="F502" s="57">
        <f>IFERROR(IF(CRM_MAGDY!L502&gt;1,CRM_MAGDY!L502/100,CRM_MAGDY!L502),0)</f>
        <v>0</v>
      </c>
      <c r="G502" s="57">
        <f>CRM_MAGDY!N502</f>
        <v>0</v>
      </c>
      <c r="H502" s="57">
        <f>CRM_MAGDY!M502</f>
        <v>0</v>
      </c>
      <c r="I502" s="57">
        <f t="shared" si="14"/>
        <v>0</v>
      </c>
      <c r="J502" s="57" t="str">
        <f t="shared" si="15"/>
        <v>POTENCJAŁ</v>
      </c>
    </row>
    <row r="503" spans="1:10" x14ac:dyDescent="0.25">
      <c r="A503" s="57" t="str">
        <f>IF(CRM_MAGDY!H503="","","CRM-"&amp;TEXT(ROW()-4,"0000"))</f>
        <v>CRM-0499</v>
      </c>
      <c r="B503" s="57">
        <f>CRM_MAGDY!E503</f>
        <v>0</v>
      </c>
      <c r="C503" s="57">
        <f>CRM_MAGDY!H503</f>
        <v>5944</v>
      </c>
      <c r="D503" s="57">
        <f>CRM_MAGDY!I503</f>
        <v>0</v>
      </c>
      <c r="E503" s="57">
        <f>IFERROR(VALUE(CRM_MAGDY!K503),0)</f>
        <v>0</v>
      </c>
      <c r="F503" s="57">
        <f>IFERROR(IF(CRM_MAGDY!L503&gt;1,CRM_MAGDY!L503/100,CRM_MAGDY!L503),0)</f>
        <v>0</v>
      </c>
      <c r="G503" s="57">
        <f>CRM_MAGDY!N503</f>
        <v>0</v>
      </c>
      <c r="H503" s="57">
        <f>CRM_MAGDY!M503</f>
        <v>0</v>
      </c>
      <c r="I503" s="57">
        <f t="shared" si="14"/>
        <v>0</v>
      </c>
      <c r="J503" s="57" t="str">
        <f t="shared" si="15"/>
        <v>POTENCJAŁ</v>
      </c>
    </row>
    <row r="504" spans="1:10" x14ac:dyDescent="0.25">
      <c r="A504" s="57" t="str">
        <f>IF(CRM_MAGDY!H504="","","CRM-"&amp;TEXT(ROW()-4,"0000"))</f>
        <v>CRM-0500</v>
      </c>
      <c r="B504" s="57">
        <f>CRM_MAGDY!E504</f>
        <v>0</v>
      </c>
      <c r="C504" s="57">
        <f>CRM_MAGDY!H504</f>
        <v>5945</v>
      </c>
      <c r="D504" s="57">
        <f>CRM_MAGDY!I504</f>
        <v>0</v>
      </c>
      <c r="E504" s="57">
        <f>IFERROR(VALUE(CRM_MAGDY!K504),0)</f>
        <v>0</v>
      </c>
      <c r="F504" s="57">
        <f>IFERROR(IF(CRM_MAGDY!L504&gt;1,CRM_MAGDY!L504/100,CRM_MAGDY!L504),0)</f>
        <v>0</v>
      </c>
      <c r="G504" s="57">
        <f>CRM_MAGDY!N504</f>
        <v>0</v>
      </c>
      <c r="H504" s="57">
        <f>CRM_MAGDY!M504</f>
        <v>0</v>
      </c>
      <c r="I504" s="57">
        <f t="shared" si="14"/>
        <v>0</v>
      </c>
      <c r="J504" s="57" t="str">
        <f t="shared" si="15"/>
        <v>POTENCJAŁ</v>
      </c>
    </row>
    <row r="505" spans="1:10" x14ac:dyDescent="0.25">
      <c r="A505" s="57" t="str">
        <f>IF(CRM_MAGDY!H505="","","CRM-"&amp;TEXT(ROW()-4,"0000"))</f>
        <v>CRM-0501</v>
      </c>
      <c r="B505" s="57">
        <f>CRM_MAGDY!E505</f>
        <v>0</v>
      </c>
      <c r="C505" s="57">
        <f>CRM_MAGDY!H505</f>
        <v>5946</v>
      </c>
      <c r="D505" s="57">
        <f>CRM_MAGDY!I505</f>
        <v>0</v>
      </c>
      <c r="E505" s="57">
        <f>IFERROR(VALUE(CRM_MAGDY!K505),0)</f>
        <v>0</v>
      </c>
      <c r="F505" s="57">
        <f>IFERROR(IF(CRM_MAGDY!L505&gt;1,CRM_MAGDY!L505/100,CRM_MAGDY!L505),0)</f>
        <v>0</v>
      </c>
      <c r="G505" s="57">
        <f>CRM_MAGDY!N505</f>
        <v>0</v>
      </c>
      <c r="H505" s="57">
        <f>CRM_MAGDY!M505</f>
        <v>0</v>
      </c>
      <c r="I505" s="57">
        <f t="shared" si="14"/>
        <v>0</v>
      </c>
      <c r="J505" s="57" t="str">
        <f t="shared" si="15"/>
        <v>POTENCJAŁ</v>
      </c>
    </row>
    <row r="506" spans="1:10" x14ac:dyDescent="0.25">
      <c r="A506" s="57" t="str">
        <f>IF(CRM_MAGDY!H506="","","CRM-"&amp;TEXT(ROW()-4,"0000"))</f>
        <v>CRM-0502</v>
      </c>
      <c r="B506" s="57">
        <f>CRM_MAGDY!E506</f>
        <v>0</v>
      </c>
      <c r="C506" s="57">
        <f>CRM_MAGDY!H506</f>
        <v>5947</v>
      </c>
      <c r="D506" s="57">
        <f>CRM_MAGDY!I506</f>
        <v>0</v>
      </c>
      <c r="E506" s="57">
        <f>IFERROR(VALUE(CRM_MAGDY!K506),0)</f>
        <v>0</v>
      </c>
      <c r="F506" s="57">
        <f>IFERROR(IF(CRM_MAGDY!L506&gt;1,CRM_MAGDY!L506/100,CRM_MAGDY!L506),0)</f>
        <v>0</v>
      </c>
      <c r="G506" s="57">
        <f>CRM_MAGDY!N506</f>
        <v>0</v>
      </c>
      <c r="H506" s="57">
        <f>CRM_MAGDY!M506</f>
        <v>0</v>
      </c>
      <c r="I506" s="57">
        <f t="shared" si="14"/>
        <v>0</v>
      </c>
      <c r="J506" s="57" t="str">
        <f t="shared" si="15"/>
        <v>POTENCJAŁ</v>
      </c>
    </row>
    <row r="507" spans="1:10" x14ac:dyDescent="0.25">
      <c r="A507" s="57" t="str">
        <f>IF(CRM_MAGDY!H507="","","CRM-"&amp;TEXT(ROW()-4,"0000"))</f>
        <v>CRM-0503</v>
      </c>
      <c r="B507" s="57">
        <f>CRM_MAGDY!E507</f>
        <v>0</v>
      </c>
      <c r="C507" s="57">
        <f>CRM_MAGDY!H507</f>
        <v>5948</v>
      </c>
      <c r="D507" s="57">
        <f>CRM_MAGDY!I507</f>
        <v>0</v>
      </c>
      <c r="E507" s="57">
        <f>IFERROR(VALUE(CRM_MAGDY!K507),0)</f>
        <v>0</v>
      </c>
      <c r="F507" s="57">
        <f>IFERROR(IF(CRM_MAGDY!L507&gt;1,CRM_MAGDY!L507/100,CRM_MAGDY!L507),0)</f>
        <v>0</v>
      </c>
      <c r="G507" s="57">
        <f>CRM_MAGDY!N507</f>
        <v>0</v>
      </c>
      <c r="H507" s="57">
        <f>CRM_MAGDY!M507</f>
        <v>0</v>
      </c>
      <c r="I507" s="57">
        <f t="shared" si="14"/>
        <v>0</v>
      </c>
      <c r="J507" s="57" t="str">
        <f t="shared" si="15"/>
        <v>POTENCJAŁ</v>
      </c>
    </row>
    <row r="508" spans="1:10" x14ac:dyDescent="0.25">
      <c r="A508" s="57" t="str">
        <f>IF(CRM_MAGDY!H508="","","CRM-"&amp;TEXT(ROW()-4,"0000"))</f>
        <v>CRM-0504</v>
      </c>
      <c r="B508" s="57">
        <f>CRM_MAGDY!E508</f>
        <v>0</v>
      </c>
      <c r="C508" s="57">
        <f>CRM_MAGDY!H508</f>
        <v>5949</v>
      </c>
      <c r="D508" s="57">
        <f>CRM_MAGDY!I508</f>
        <v>0</v>
      </c>
      <c r="E508" s="57">
        <f>IFERROR(VALUE(CRM_MAGDY!K508),0)</f>
        <v>0</v>
      </c>
      <c r="F508" s="57">
        <f>IFERROR(IF(CRM_MAGDY!L508&gt;1,CRM_MAGDY!L508/100,CRM_MAGDY!L508),0)</f>
        <v>0</v>
      </c>
      <c r="G508" s="57">
        <f>CRM_MAGDY!N508</f>
        <v>0</v>
      </c>
      <c r="H508" s="57">
        <f>CRM_MAGDY!M508</f>
        <v>0</v>
      </c>
      <c r="I508" s="57">
        <f t="shared" si="14"/>
        <v>0</v>
      </c>
      <c r="J508" s="57" t="str">
        <f t="shared" si="15"/>
        <v>POTENCJAŁ</v>
      </c>
    </row>
    <row r="509" spans="1:10" x14ac:dyDescent="0.25">
      <c r="A509" s="57" t="str">
        <f>IF(CRM_MAGDY!H509="","","CRM-"&amp;TEXT(ROW()-4,"0000"))</f>
        <v>CRM-0505</v>
      </c>
      <c r="B509" s="57">
        <f>CRM_MAGDY!E509</f>
        <v>0</v>
      </c>
      <c r="C509" s="57">
        <f>CRM_MAGDY!H509</f>
        <v>5950</v>
      </c>
      <c r="D509" s="57">
        <f>CRM_MAGDY!I509</f>
        <v>0</v>
      </c>
      <c r="E509" s="57">
        <f>IFERROR(VALUE(CRM_MAGDY!K509),0)</f>
        <v>0</v>
      </c>
      <c r="F509" s="57">
        <f>IFERROR(IF(CRM_MAGDY!L509&gt;1,CRM_MAGDY!L509/100,CRM_MAGDY!L509),0)</f>
        <v>0</v>
      </c>
      <c r="G509" s="57">
        <f>CRM_MAGDY!N509</f>
        <v>0</v>
      </c>
      <c r="H509" s="57">
        <f>CRM_MAGDY!M509</f>
        <v>0</v>
      </c>
      <c r="I509" s="57">
        <f t="shared" si="14"/>
        <v>0</v>
      </c>
      <c r="J509" s="57" t="str">
        <f t="shared" si="15"/>
        <v>POTENCJAŁ</v>
      </c>
    </row>
    <row r="510" spans="1:10" x14ac:dyDescent="0.25">
      <c r="A510" s="57" t="str">
        <f>IF(CRM_MAGDY!H510="","","CRM-"&amp;TEXT(ROW()-4,"0000"))</f>
        <v>CRM-0506</v>
      </c>
      <c r="B510" s="57">
        <f>CRM_MAGDY!E510</f>
        <v>0</v>
      </c>
      <c r="C510" s="57">
        <f>CRM_MAGDY!H510</f>
        <v>5951</v>
      </c>
      <c r="D510" s="57">
        <f>CRM_MAGDY!I510</f>
        <v>0</v>
      </c>
      <c r="E510" s="57">
        <f>IFERROR(VALUE(CRM_MAGDY!K510),0)</f>
        <v>0</v>
      </c>
      <c r="F510" s="57">
        <f>IFERROR(IF(CRM_MAGDY!L510&gt;1,CRM_MAGDY!L510/100,CRM_MAGDY!L510),0)</f>
        <v>0</v>
      </c>
      <c r="G510" s="57">
        <f>CRM_MAGDY!N510</f>
        <v>0</v>
      </c>
      <c r="H510" s="57">
        <f>CRM_MAGDY!M510</f>
        <v>0</v>
      </c>
      <c r="I510" s="57">
        <f t="shared" si="14"/>
        <v>0</v>
      </c>
      <c r="J510" s="57" t="str">
        <f t="shared" si="15"/>
        <v>POTENCJAŁ</v>
      </c>
    </row>
    <row r="511" spans="1:10" x14ac:dyDescent="0.25">
      <c r="A511" s="57" t="str">
        <f>IF(CRM_MAGDY!H511="","","CRM-"&amp;TEXT(ROW()-4,"0000"))</f>
        <v>CRM-0507</v>
      </c>
      <c r="B511" s="57">
        <f>CRM_MAGDY!E511</f>
        <v>0</v>
      </c>
      <c r="C511" s="57">
        <f>CRM_MAGDY!H511</f>
        <v>5952</v>
      </c>
      <c r="D511" s="57">
        <f>CRM_MAGDY!I511</f>
        <v>0</v>
      </c>
      <c r="E511" s="57">
        <f>IFERROR(VALUE(CRM_MAGDY!K511),0)</f>
        <v>0</v>
      </c>
      <c r="F511" s="57">
        <f>IFERROR(IF(CRM_MAGDY!L511&gt;1,CRM_MAGDY!L511/100,CRM_MAGDY!L511),0)</f>
        <v>0</v>
      </c>
      <c r="G511" s="57">
        <f>CRM_MAGDY!N511</f>
        <v>0</v>
      </c>
      <c r="H511" s="57">
        <f>CRM_MAGDY!M511</f>
        <v>0</v>
      </c>
      <c r="I511" s="57">
        <f t="shared" si="14"/>
        <v>0</v>
      </c>
      <c r="J511" s="57" t="str">
        <f t="shared" si="15"/>
        <v>POTENCJAŁ</v>
      </c>
    </row>
    <row r="512" spans="1:10" x14ac:dyDescent="0.25">
      <c r="A512" s="57" t="str">
        <f>IF(CRM_MAGDY!H512="","","CRM-"&amp;TEXT(ROW()-4,"0000"))</f>
        <v>CRM-0508</v>
      </c>
      <c r="B512" s="57">
        <f>CRM_MAGDY!E512</f>
        <v>0</v>
      </c>
      <c r="C512" s="57">
        <f>CRM_MAGDY!H512</f>
        <v>5953</v>
      </c>
      <c r="D512" s="57">
        <f>CRM_MAGDY!I512</f>
        <v>0</v>
      </c>
      <c r="E512" s="57">
        <f>IFERROR(VALUE(CRM_MAGDY!K512),0)</f>
        <v>0</v>
      </c>
      <c r="F512" s="57">
        <f>IFERROR(IF(CRM_MAGDY!L512&gt;1,CRM_MAGDY!L512/100,CRM_MAGDY!L512),0)</f>
        <v>0</v>
      </c>
      <c r="G512" s="57">
        <f>CRM_MAGDY!N512</f>
        <v>0</v>
      </c>
      <c r="H512" s="57">
        <f>CRM_MAGDY!M512</f>
        <v>0</v>
      </c>
      <c r="I512" s="57">
        <f t="shared" si="14"/>
        <v>0</v>
      </c>
      <c r="J512" s="57" t="str">
        <f t="shared" si="15"/>
        <v>POTENCJAŁ</v>
      </c>
    </row>
    <row r="513" spans="1:10" x14ac:dyDescent="0.25">
      <c r="A513" s="57" t="str">
        <f>IF(CRM_MAGDY!H513="","","CRM-"&amp;TEXT(ROW()-4,"0000"))</f>
        <v>CRM-0509</v>
      </c>
      <c r="B513" s="57">
        <f>CRM_MAGDY!E513</f>
        <v>0</v>
      </c>
      <c r="C513" s="57">
        <f>CRM_MAGDY!H513</f>
        <v>5954</v>
      </c>
      <c r="D513" s="57">
        <f>CRM_MAGDY!I513</f>
        <v>0</v>
      </c>
      <c r="E513" s="57">
        <f>IFERROR(VALUE(CRM_MAGDY!K513),0)</f>
        <v>0</v>
      </c>
      <c r="F513" s="57">
        <f>IFERROR(IF(CRM_MAGDY!L513&gt;1,CRM_MAGDY!L513/100,CRM_MAGDY!L513),0)</f>
        <v>0</v>
      </c>
      <c r="G513" s="57">
        <f>CRM_MAGDY!N513</f>
        <v>0</v>
      </c>
      <c r="H513" s="57">
        <f>CRM_MAGDY!M513</f>
        <v>0</v>
      </c>
      <c r="I513" s="57">
        <f t="shared" si="14"/>
        <v>0</v>
      </c>
      <c r="J513" s="57" t="str">
        <f t="shared" si="15"/>
        <v>POTENCJAŁ</v>
      </c>
    </row>
    <row r="514" spans="1:10" x14ac:dyDescent="0.25">
      <c r="A514" s="57" t="str">
        <f>IF(CRM_MAGDY!H514="","","CRM-"&amp;TEXT(ROW()-4,"0000"))</f>
        <v>CRM-0510</v>
      </c>
      <c r="B514" s="57">
        <f>CRM_MAGDY!E514</f>
        <v>0</v>
      </c>
      <c r="C514" s="57">
        <f>CRM_MAGDY!H514</f>
        <v>5955</v>
      </c>
      <c r="D514" s="57">
        <f>CRM_MAGDY!I514</f>
        <v>0</v>
      </c>
      <c r="E514" s="57">
        <f>IFERROR(VALUE(CRM_MAGDY!K514),0)</f>
        <v>0</v>
      </c>
      <c r="F514" s="57">
        <f>IFERROR(IF(CRM_MAGDY!L514&gt;1,CRM_MAGDY!L514/100,CRM_MAGDY!L514),0)</f>
        <v>0</v>
      </c>
      <c r="G514" s="57">
        <f>CRM_MAGDY!N514</f>
        <v>0</v>
      </c>
      <c r="H514" s="57">
        <f>CRM_MAGDY!M514</f>
        <v>0</v>
      </c>
      <c r="I514" s="57">
        <f t="shared" si="14"/>
        <v>0</v>
      </c>
      <c r="J514" s="57" t="str">
        <f t="shared" si="15"/>
        <v>POTENCJAŁ</v>
      </c>
    </row>
    <row r="515" spans="1:10" x14ac:dyDescent="0.25">
      <c r="A515" s="57" t="str">
        <f>IF(CRM_MAGDY!H515="","","CRM-"&amp;TEXT(ROW()-4,"0000"))</f>
        <v>CRM-0511</v>
      </c>
      <c r="B515" s="57">
        <f>CRM_MAGDY!E515</f>
        <v>0</v>
      </c>
      <c r="C515" s="57">
        <f>CRM_MAGDY!H515</f>
        <v>5956</v>
      </c>
      <c r="D515" s="57">
        <f>CRM_MAGDY!I515</f>
        <v>0</v>
      </c>
      <c r="E515" s="57">
        <f>IFERROR(VALUE(CRM_MAGDY!K515),0)</f>
        <v>0</v>
      </c>
      <c r="F515" s="57">
        <f>IFERROR(IF(CRM_MAGDY!L515&gt;1,CRM_MAGDY!L515/100,CRM_MAGDY!L515),0)</f>
        <v>0</v>
      </c>
      <c r="G515" s="57">
        <f>CRM_MAGDY!N515</f>
        <v>0</v>
      </c>
      <c r="H515" s="57">
        <f>CRM_MAGDY!M515</f>
        <v>0</v>
      </c>
      <c r="I515" s="57">
        <f t="shared" si="14"/>
        <v>0</v>
      </c>
      <c r="J515" s="57" t="str">
        <f t="shared" si="15"/>
        <v>POTENCJAŁ</v>
      </c>
    </row>
    <row r="516" spans="1:10" x14ac:dyDescent="0.25">
      <c r="A516" s="57" t="str">
        <f>IF(CRM_MAGDY!H516="","","CRM-"&amp;TEXT(ROW()-4,"0000"))</f>
        <v>CRM-0512</v>
      </c>
      <c r="B516" s="57">
        <f>CRM_MAGDY!E516</f>
        <v>0</v>
      </c>
      <c r="C516" s="57">
        <f>CRM_MAGDY!H516</f>
        <v>5957</v>
      </c>
      <c r="D516" s="57">
        <f>CRM_MAGDY!I516</f>
        <v>0</v>
      </c>
      <c r="E516" s="57">
        <f>IFERROR(VALUE(CRM_MAGDY!K516),0)</f>
        <v>0</v>
      </c>
      <c r="F516" s="57">
        <f>IFERROR(IF(CRM_MAGDY!L516&gt;1,CRM_MAGDY!L516/100,CRM_MAGDY!L516),0)</f>
        <v>0</v>
      </c>
      <c r="G516" s="57">
        <f>CRM_MAGDY!N516</f>
        <v>0</v>
      </c>
      <c r="H516" s="57">
        <f>CRM_MAGDY!M516</f>
        <v>0</v>
      </c>
      <c r="I516" s="57">
        <f t="shared" si="14"/>
        <v>0</v>
      </c>
      <c r="J516" s="57" t="str">
        <f t="shared" si="15"/>
        <v>POTENCJAŁ</v>
      </c>
    </row>
    <row r="517" spans="1:10" x14ac:dyDescent="0.25">
      <c r="A517" s="57" t="str">
        <f>IF(CRM_MAGDY!H517="","","CRM-"&amp;TEXT(ROW()-4,"0000"))</f>
        <v>CRM-0513</v>
      </c>
      <c r="B517" s="57">
        <f>CRM_MAGDY!E517</f>
        <v>0</v>
      </c>
      <c r="C517" s="57">
        <f>CRM_MAGDY!H517</f>
        <v>5958</v>
      </c>
      <c r="D517" s="57">
        <f>CRM_MAGDY!I517</f>
        <v>0</v>
      </c>
      <c r="E517" s="57">
        <f>IFERROR(VALUE(CRM_MAGDY!K517),0)</f>
        <v>0</v>
      </c>
      <c r="F517" s="57">
        <f>IFERROR(IF(CRM_MAGDY!L517&gt;1,CRM_MAGDY!L517/100,CRM_MAGDY!L517),0)</f>
        <v>0</v>
      </c>
      <c r="G517" s="57">
        <f>CRM_MAGDY!N517</f>
        <v>0</v>
      </c>
      <c r="H517" s="57">
        <f>CRM_MAGDY!M517</f>
        <v>0</v>
      </c>
      <c r="I517" s="57">
        <f t="shared" ref="I517:I580" si="16">IF(OR(G517="WYGRANA",G517="PRZEGRANA"),0,E517*F517)</f>
        <v>0</v>
      </c>
      <c r="J517" s="57" t="str">
        <f t="shared" ref="J517:J580" si="17">IF(F517&gt;=0.7,"PEWNY",IF(F517&gt;=0.3,"REALNY","POTENCJAŁ"))</f>
        <v>POTENCJAŁ</v>
      </c>
    </row>
    <row r="518" spans="1:10" x14ac:dyDescent="0.25">
      <c r="A518" s="57" t="str">
        <f>IF(CRM_MAGDY!H518="","","CRM-"&amp;TEXT(ROW()-4,"0000"))</f>
        <v>CRM-0514</v>
      </c>
      <c r="B518" s="57">
        <f>CRM_MAGDY!E518</f>
        <v>0</v>
      </c>
      <c r="C518" s="57">
        <f>CRM_MAGDY!H518</f>
        <v>5959</v>
      </c>
      <c r="D518" s="57">
        <f>CRM_MAGDY!I518</f>
        <v>0</v>
      </c>
      <c r="E518" s="57">
        <f>IFERROR(VALUE(CRM_MAGDY!K518),0)</f>
        <v>0</v>
      </c>
      <c r="F518" s="57">
        <f>IFERROR(IF(CRM_MAGDY!L518&gt;1,CRM_MAGDY!L518/100,CRM_MAGDY!L518),0)</f>
        <v>0</v>
      </c>
      <c r="G518" s="57">
        <f>CRM_MAGDY!N518</f>
        <v>0</v>
      </c>
      <c r="H518" s="57">
        <f>CRM_MAGDY!M518</f>
        <v>0</v>
      </c>
      <c r="I518" s="57">
        <f t="shared" si="16"/>
        <v>0</v>
      </c>
      <c r="J518" s="57" t="str">
        <f t="shared" si="17"/>
        <v>POTENCJAŁ</v>
      </c>
    </row>
    <row r="519" spans="1:10" x14ac:dyDescent="0.25">
      <c r="A519" s="57" t="str">
        <f>IF(CRM_MAGDY!H519="","","CRM-"&amp;TEXT(ROW()-4,"0000"))</f>
        <v>CRM-0515</v>
      </c>
      <c r="B519" s="57">
        <f>CRM_MAGDY!E519</f>
        <v>0</v>
      </c>
      <c r="C519" s="57">
        <f>CRM_MAGDY!H519</f>
        <v>5960</v>
      </c>
      <c r="D519" s="57">
        <f>CRM_MAGDY!I519</f>
        <v>0</v>
      </c>
      <c r="E519" s="57">
        <f>IFERROR(VALUE(CRM_MAGDY!K519),0)</f>
        <v>0</v>
      </c>
      <c r="F519" s="57">
        <f>IFERROR(IF(CRM_MAGDY!L519&gt;1,CRM_MAGDY!L519/100,CRM_MAGDY!L519),0)</f>
        <v>0</v>
      </c>
      <c r="G519" s="57">
        <f>CRM_MAGDY!N519</f>
        <v>0</v>
      </c>
      <c r="H519" s="57">
        <f>CRM_MAGDY!M519</f>
        <v>0</v>
      </c>
      <c r="I519" s="57">
        <f t="shared" si="16"/>
        <v>0</v>
      </c>
      <c r="J519" s="57" t="str">
        <f t="shared" si="17"/>
        <v>POTENCJAŁ</v>
      </c>
    </row>
    <row r="520" spans="1:10" x14ac:dyDescent="0.25">
      <c r="A520" s="57" t="str">
        <f>IF(CRM_MAGDY!H520="","","CRM-"&amp;TEXT(ROW()-4,"0000"))</f>
        <v>CRM-0516</v>
      </c>
      <c r="B520" s="57">
        <f>CRM_MAGDY!E520</f>
        <v>0</v>
      </c>
      <c r="C520" s="57">
        <f>CRM_MAGDY!H520</f>
        <v>5961</v>
      </c>
      <c r="D520" s="57">
        <f>CRM_MAGDY!I520</f>
        <v>0</v>
      </c>
      <c r="E520" s="57">
        <f>IFERROR(VALUE(CRM_MAGDY!K520),0)</f>
        <v>0</v>
      </c>
      <c r="F520" s="57">
        <f>IFERROR(IF(CRM_MAGDY!L520&gt;1,CRM_MAGDY!L520/100,CRM_MAGDY!L520),0)</f>
        <v>0</v>
      </c>
      <c r="G520" s="57">
        <f>CRM_MAGDY!N520</f>
        <v>0</v>
      </c>
      <c r="H520" s="57">
        <f>CRM_MAGDY!M520</f>
        <v>0</v>
      </c>
      <c r="I520" s="57">
        <f t="shared" si="16"/>
        <v>0</v>
      </c>
      <c r="J520" s="57" t="str">
        <f t="shared" si="17"/>
        <v>POTENCJAŁ</v>
      </c>
    </row>
    <row r="521" spans="1:10" x14ac:dyDescent="0.25">
      <c r="A521" s="57" t="str">
        <f>IF(CRM_MAGDY!H521="","","CRM-"&amp;TEXT(ROW()-4,"0000"))</f>
        <v>CRM-0517</v>
      </c>
      <c r="B521" s="57">
        <f>CRM_MAGDY!E521</f>
        <v>0</v>
      </c>
      <c r="C521" s="57">
        <f>CRM_MAGDY!H521</f>
        <v>5962</v>
      </c>
      <c r="D521" s="57">
        <f>CRM_MAGDY!I521</f>
        <v>0</v>
      </c>
      <c r="E521" s="57">
        <f>IFERROR(VALUE(CRM_MAGDY!K521),0)</f>
        <v>0</v>
      </c>
      <c r="F521" s="57">
        <f>IFERROR(IF(CRM_MAGDY!L521&gt;1,CRM_MAGDY!L521/100,CRM_MAGDY!L521),0)</f>
        <v>0</v>
      </c>
      <c r="G521" s="57">
        <f>CRM_MAGDY!N521</f>
        <v>0</v>
      </c>
      <c r="H521" s="57">
        <f>CRM_MAGDY!M521</f>
        <v>0</v>
      </c>
      <c r="I521" s="57">
        <f t="shared" si="16"/>
        <v>0</v>
      </c>
      <c r="J521" s="57" t="str">
        <f t="shared" si="17"/>
        <v>POTENCJAŁ</v>
      </c>
    </row>
    <row r="522" spans="1:10" x14ac:dyDescent="0.25">
      <c r="A522" s="57" t="str">
        <f>IF(CRM_MAGDY!H522="","","CRM-"&amp;TEXT(ROW()-4,"0000"))</f>
        <v>CRM-0518</v>
      </c>
      <c r="B522" s="57">
        <f>CRM_MAGDY!E522</f>
        <v>0</v>
      </c>
      <c r="C522" s="57">
        <f>CRM_MAGDY!H522</f>
        <v>5963</v>
      </c>
      <c r="D522" s="57">
        <f>CRM_MAGDY!I522</f>
        <v>0</v>
      </c>
      <c r="E522" s="57">
        <f>IFERROR(VALUE(CRM_MAGDY!K522),0)</f>
        <v>0</v>
      </c>
      <c r="F522" s="57">
        <f>IFERROR(IF(CRM_MAGDY!L522&gt;1,CRM_MAGDY!L522/100,CRM_MAGDY!L522),0)</f>
        <v>0</v>
      </c>
      <c r="G522" s="57">
        <f>CRM_MAGDY!N522</f>
        <v>0</v>
      </c>
      <c r="H522" s="57">
        <f>CRM_MAGDY!M522</f>
        <v>0</v>
      </c>
      <c r="I522" s="57">
        <f t="shared" si="16"/>
        <v>0</v>
      </c>
      <c r="J522" s="57" t="str">
        <f t="shared" si="17"/>
        <v>POTENCJAŁ</v>
      </c>
    </row>
    <row r="523" spans="1:10" x14ac:dyDescent="0.25">
      <c r="A523" s="57" t="str">
        <f>IF(CRM_MAGDY!H523="","","CRM-"&amp;TEXT(ROW()-4,"0000"))</f>
        <v>CRM-0519</v>
      </c>
      <c r="B523" s="57">
        <f>CRM_MAGDY!E523</f>
        <v>0</v>
      </c>
      <c r="C523" s="57">
        <f>CRM_MAGDY!H523</f>
        <v>5964</v>
      </c>
      <c r="D523" s="57">
        <f>CRM_MAGDY!I523</f>
        <v>0</v>
      </c>
      <c r="E523" s="57">
        <f>IFERROR(VALUE(CRM_MAGDY!K523),0)</f>
        <v>0</v>
      </c>
      <c r="F523" s="57">
        <f>IFERROR(IF(CRM_MAGDY!L523&gt;1,CRM_MAGDY!L523/100,CRM_MAGDY!L523),0)</f>
        <v>0</v>
      </c>
      <c r="G523" s="57">
        <f>CRM_MAGDY!N523</f>
        <v>0</v>
      </c>
      <c r="H523" s="57">
        <f>CRM_MAGDY!M523</f>
        <v>0</v>
      </c>
      <c r="I523" s="57">
        <f t="shared" si="16"/>
        <v>0</v>
      </c>
      <c r="J523" s="57" t="str">
        <f t="shared" si="17"/>
        <v>POTENCJAŁ</v>
      </c>
    </row>
    <row r="524" spans="1:10" x14ac:dyDescent="0.25">
      <c r="A524" s="57" t="str">
        <f>IF(CRM_MAGDY!H524="","","CRM-"&amp;TEXT(ROW()-4,"0000"))</f>
        <v>CRM-0520</v>
      </c>
      <c r="B524" s="57">
        <f>CRM_MAGDY!E524</f>
        <v>0</v>
      </c>
      <c r="C524" s="57">
        <f>CRM_MAGDY!H524</f>
        <v>5965</v>
      </c>
      <c r="D524" s="57">
        <f>CRM_MAGDY!I524</f>
        <v>0</v>
      </c>
      <c r="E524" s="57">
        <f>IFERROR(VALUE(CRM_MAGDY!K524),0)</f>
        <v>0</v>
      </c>
      <c r="F524" s="57">
        <f>IFERROR(IF(CRM_MAGDY!L524&gt;1,CRM_MAGDY!L524/100,CRM_MAGDY!L524),0)</f>
        <v>0</v>
      </c>
      <c r="G524" s="57">
        <f>CRM_MAGDY!N524</f>
        <v>0</v>
      </c>
      <c r="H524" s="57">
        <f>CRM_MAGDY!M524</f>
        <v>0</v>
      </c>
      <c r="I524" s="57">
        <f t="shared" si="16"/>
        <v>0</v>
      </c>
      <c r="J524" s="57" t="str">
        <f t="shared" si="17"/>
        <v>POTENCJAŁ</v>
      </c>
    </row>
    <row r="525" spans="1:10" x14ac:dyDescent="0.25">
      <c r="A525" s="57" t="str">
        <f>IF(CRM_MAGDY!H525="","","CRM-"&amp;TEXT(ROW()-4,"0000"))</f>
        <v>CRM-0521</v>
      </c>
      <c r="B525" s="57">
        <f>CRM_MAGDY!E525</f>
        <v>0</v>
      </c>
      <c r="C525" s="57">
        <f>CRM_MAGDY!H525</f>
        <v>5966</v>
      </c>
      <c r="D525" s="57">
        <f>CRM_MAGDY!I525</f>
        <v>0</v>
      </c>
      <c r="E525" s="57">
        <f>IFERROR(VALUE(CRM_MAGDY!K525),0)</f>
        <v>0</v>
      </c>
      <c r="F525" s="57">
        <f>IFERROR(IF(CRM_MAGDY!L525&gt;1,CRM_MAGDY!L525/100,CRM_MAGDY!L525),0)</f>
        <v>0</v>
      </c>
      <c r="G525" s="57">
        <f>CRM_MAGDY!N525</f>
        <v>0</v>
      </c>
      <c r="H525" s="57">
        <f>CRM_MAGDY!M525</f>
        <v>0</v>
      </c>
      <c r="I525" s="57">
        <f t="shared" si="16"/>
        <v>0</v>
      </c>
      <c r="J525" s="57" t="str">
        <f t="shared" si="17"/>
        <v>POTENCJAŁ</v>
      </c>
    </row>
    <row r="526" spans="1:10" x14ac:dyDescent="0.25">
      <c r="A526" s="57" t="str">
        <f>IF(CRM_MAGDY!H526="","","CRM-"&amp;TEXT(ROW()-4,"0000"))</f>
        <v>CRM-0522</v>
      </c>
      <c r="B526" s="57">
        <f>CRM_MAGDY!E526</f>
        <v>0</v>
      </c>
      <c r="C526" s="57">
        <f>CRM_MAGDY!H526</f>
        <v>5967</v>
      </c>
      <c r="D526" s="57">
        <f>CRM_MAGDY!I526</f>
        <v>0</v>
      </c>
      <c r="E526" s="57">
        <f>IFERROR(VALUE(CRM_MAGDY!K526),0)</f>
        <v>0</v>
      </c>
      <c r="F526" s="57">
        <f>IFERROR(IF(CRM_MAGDY!L526&gt;1,CRM_MAGDY!L526/100,CRM_MAGDY!L526),0)</f>
        <v>0</v>
      </c>
      <c r="G526" s="57">
        <f>CRM_MAGDY!N526</f>
        <v>0</v>
      </c>
      <c r="H526" s="57">
        <f>CRM_MAGDY!M526</f>
        <v>0</v>
      </c>
      <c r="I526" s="57">
        <f t="shared" si="16"/>
        <v>0</v>
      </c>
      <c r="J526" s="57" t="str">
        <f t="shared" si="17"/>
        <v>POTENCJAŁ</v>
      </c>
    </row>
    <row r="527" spans="1:10" x14ac:dyDescent="0.25">
      <c r="A527" s="57" t="str">
        <f>IF(CRM_MAGDY!H527="","","CRM-"&amp;TEXT(ROW()-4,"0000"))</f>
        <v>CRM-0523</v>
      </c>
      <c r="B527" s="57">
        <f>CRM_MAGDY!E527</f>
        <v>0</v>
      </c>
      <c r="C527" s="57">
        <f>CRM_MAGDY!H527</f>
        <v>5968</v>
      </c>
      <c r="D527" s="57">
        <f>CRM_MAGDY!I527</f>
        <v>0</v>
      </c>
      <c r="E527" s="57">
        <f>IFERROR(VALUE(CRM_MAGDY!K527),0)</f>
        <v>0</v>
      </c>
      <c r="F527" s="57">
        <f>IFERROR(IF(CRM_MAGDY!L527&gt;1,CRM_MAGDY!L527/100,CRM_MAGDY!L527),0)</f>
        <v>0</v>
      </c>
      <c r="G527" s="57">
        <f>CRM_MAGDY!N527</f>
        <v>0</v>
      </c>
      <c r="H527" s="57">
        <f>CRM_MAGDY!M527</f>
        <v>0</v>
      </c>
      <c r="I527" s="57">
        <f t="shared" si="16"/>
        <v>0</v>
      </c>
      <c r="J527" s="57" t="str">
        <f t="shared" si="17"/>
        <v>POTENCJAŁ</v>
      </c>
    </row>
    <row r="528" spans="1:10" x14ac:dyDescent="0.25">
      <c r="A528" s="57" t="str">
        <f>IF(CRM_MAGDY!H528="","","CRM-"&amp;TEXT(ROW()-4,"0000"))</f>
        <v>CRM-0524</v>
      </c>
      <c r="B528" s="57">
        <f>CRM_MAGDY!E528</f>
        <v>0</v>
      </c>
      <c r="C528" s="57">
        <f>CRM_MAGDY!H528</f>
        <v>5969</v>
      </c>
      <c r="D528" s="57">
        <f>CRM_MAGDY!I528</f>
        <v>0</v>
      </c>
      <c r="E528" s="57">
        <f>IFERROR(VALUE(CRM_MAGDY!K528),0)</f>
        <v>0</v>
      </c>
      <c r="F528" s="57">
        <f>IFERROR(IF(CRM_MAGDY!L528&gt;1,CRM_MAGDY!L528/100,CRM_MAGDY!L528),0)</f>
        <v>0</v>
      </c>
      <c r="G528" s="57">
        <f>CRM_MAGDY!N528</f>
        <v>0</v>
      </c>
      <c r="H528" s="57">
        <f>CRM_MAGDY!M528</f>
        <v>0</v>
      </c>
      <c r="I528" s="57">
        <f t="shared" si="16"/>
        <v>0</v>
      </c>
      <c r="J528" s="57" t="str">
        <f t="shared" si="17"/>
        <v>POTENCJAŁ</v>
      </c>
    </row>
    <row r="529" spans="1:10" x14ac:dyDescent="0.25">
      <c r="A529" s="57" t="str">
        <f>IF(CRM_MAGDY!H529="","","CRM-"&amp;TEXT(ROW()-4,"0000"))</f>
        <v>CRM-0525</v>
      </c>
      <c r="B529" s="57">
        <f>CRM_MAGDY!E529</f>
        <v>0</v>
      </c>
      <c r="C529" s="57">
        <f>CRM_MAGDY!H529</f>
        <v>5970</v>
      </c>
      <c r="D529" s="57">
        <f>CRM_MAGDY!I529</f>
        <v>0</v>
      </c>
      <c r="E529" s="57">
        <f>IFERROR(VALUE(CRM_MAGDY!K529),0)</f>
        <v>0</v>
      </c>
      <c r="F529" s="57">
        <f>IFERROR(IF(CRM_MAGDY!L529&gt;1,CRM_MAGDY!L529/100,CRM_MAGDY!L529),0)</f>
        <v>0</v>
      </c>
      <c r="G529" s="57">
        <f>CRM_MAGDY!N529</f>
        <v>0</v>
      </c>
      <c r="H529" s="57">
        <f>CRM_MAGDY!M529</f>
        <v>0</v>
      </c>
      <c r="I529" s="57">
        <f t="shared" si="16"/>
        <v>0</v>
      </c>
      <c r="J529" s="57" t="str">
        <f t="shared" si="17"/>
        <v>POTENCJAŁ</v>
      </c>
    </row>
    <row r="530" spans="1:10" x14ac:dyDescent="0.25">
      <c r="A530" s="57" t="str">
        <f>IF(CRM_MAGDY!H530="","","CRM-"&amp;TEXT(ROW()-4,"0000"))</f>
        <v>CRM-0526</v>
      </c>
      <c r="B530" s="57">
        <f>CRM_MAGDY!E530</f>
        <v>0</v>
      </c>
      <c r="C530" s="57">
        <f>CRM_MAGDY!H530</f>
        <v>5971</v>
      </c>
      <c r="D530" s="57">
        <f>CRM_MAGDY!I530</f>
        <v>0</v>
      </c>
      <c r="E530" s="57">
        <f>IFERROR(VALUE(CRM_MAGDY!K530),0)</f>
        <v>0</v>
      </c>
      <c r="F530" s="57">
        <f>IFERROR(IF(CRM_MAGDY!L530&gt;1,CRM_MAGDY!L530/100,CRM_MAGDY!L530),0)</f>
        <v>0</v>
      </c>
      <c r="G530" s="57">
        <f>CRM_MAGDY!N530</f>
        <v>0</v>
      </c>
      <c r="H530" s="57">
        <f>CRM_MAGDY!M530</f>
        <v>0</v>
      </c>
      <c r="I530" s="57">
        <f t="shared" si="16"/>
        <v>0</v>
      </c>
      <c r="J530" s="57" t="str">
        <f t="shared" si="17"/>
        <v>POTENCJAŁ</v>
      </c>
    </row>
    <row r="531" spans="1:10" x14ac:dyDescent="0.25">
      <c r="A531" s="57" t="str">
        <f>IF(CRM_MAGDY!H531="","","CRM-"&amp;TEXT(ROW()-4,"0000"))</f>
        <v>CRM-0527</v>
      </c>
      <c r="B531" s="57">
        <f>CRM_MAGDY!E531</f>
        <v>0</v>
      </c>
      <c r="C531" s="57">
        <f>CRM_MAGDY!H531</f>
        <v>5972</v>
      </c>
      <c r="D531" s="57">
        <f>CRM_MAGDY!I531</f>
        <v>0</v>
      </c>
      <c r="E531" s="57">
        <f>IFERROR(VALUE(CRM_MAGDY!K531),0)</f>
        <v>0</v>
      </c>
      <c r="F531" s="57">
        <f>IFERROR(IF(CRM_MAGDY!L531&gt;1,CRM_MAGDY!L531/100,CRM_MAGDY!L531),0)</f>
        <v>0</v>
      </c>
      <c r="G531" s="57">
        <f>CRM_MAGDY!N531</f>
        <v>0</v>
      </c>
      <c r="H531" s="57">
        <f>CRM_MAGDY!M531</f>
        <v>0</v>
      </c>
      <c r="I531" s="57">
        <f t="shared" si="16"/>
        <v>0</v>
      </c>
      <c r="J531" s="57" t="str">
        <f t="shared" si="17"/>
        <v>POTENCJAŁ</v>
      </c>
    </row>
    <row r="532" spans="1:10" x14ac:dyDescent="0.25">
      <c r="A532" s="57" t="str">
        <f>IF(CRM_MAGDY!H532="","","CRM-"&amp;TEXT(ROW()-4,"0000"))</f>
        <v>CRM-0528</v>
      </c>
      <c r="B532" s="57">
        <f>CRM_MAGDY!E532</f>
        <v>0</v>
      </c>
      <c r="C532" s="57">
        <f>CRM_MAGDY!H532</f>
        <v>5973</v>
      </c>
      <c r="D532" s="57">
        <f>CRM_MAGDY!I532</f>
        <v>0</v>
      </c>
      <c r="E532" s="57">
        <f>IFERROR(VALUE(CRM_MAGDY!K532),0)</f>
        <v>0</v>
      </c>
      <c r="F532" s="57">
        <f>IFERROR(IF(CRM_MAGDY!L532&gt;1,CRM_MAGDY!L532/100,CRM_MAGDY!L532),0)</f>
        <v>0</v>
      </c>
      <c r="G532" s="57">
        <f>CRM_MAGDY!N532</f>
        <v>0</v>
      </c>
      <c r="H532" s="57">
        <f>CRM_MAGDY!M532</f>
        <v>0</v>
      </c>
      <c r="I532" s="57">
        <f t="shared" si="16"/>
        <v>0</v>
      </c>
      <c r="J532" s="57" t="str">
        <f t="shared" si="17"/>
        <v>POTENCJAŁ</v>
      </c>
    </row>
    <row r="533" spans="1:10" x14ac:dyDescent="0.25">
      <c r="A533" s="57" t="str">
        <f>IF(CRM_MAGDY!H533="","","CRM-"&amp;TEXT(ROW()-4,"0000"))</f>
        <v>CRM-0529</v>
      </c>
      <c r="B533" s="57">
        <f>CRM_MAGDY!E533</f>
        <v>0</v>
      </c>
      <c r="C533" s="57">
        <f>CRM_MAGDY!H533</f>
        <v>5974</v>
      </c>
      <c r="D533" s="57">
        <f>CRM_MAGDY!I533</f>
        <v>0</v>
      </c>
      <c r="E533" s="57">
        <f>IFERROR(VALUE(CRM_MAGDY!K533),0)</f>
        <v>0</v>
      </c>
      <c r="F533" s="57">
        <f>IFERROR(IF(CRM_MAGDY!L533&gt;1,CRM_MAGDY!L533/100,CRM_MAGDY!L533),0)</f>
        <v>0</v>
      </c>
      <c r="G533" s="57">
        <f>CRM_MAGDY!N533</f>
        <v>0</v>
      </c>
      <c r="H533" s="57">
        <f>CRM_MAGDY!M533</f>
        <v>0</v>
      </c>
      <c r="I533" s="57">
        <f t="shared" si="16"/>
        <v>0</v>
      </c>
      <c r="J533" s="57" t="str">
        <f t="shared" si="17"/>
        <v>POTENCJAŁ</v>
      </c>
    </row>
    <row r="534" spans="1:10" x14ac:dyDescent="0.25">
      <c r="A534" s="57" t="str">
        <f>IF(CRM_MAGDY!H534="","","CRM-"&amp;TEXT(ROW()-4,"0000"))</f>
        <v>CRM-0530</v>
      </c>
      <c r="B534" s="57">
        <f>CRM_MAGDY!E534</f>
        <v>0</v>
      </c>
      <c r="C534" s="57">
        <f>CRM_MAGDY!H534</f>
        <v>5975</v>
      </c>
      <c r="D534" s="57">
        <f>CRM_MAGDY!I534</f>
        <v>0</v>
      </c>
      <c r="E534" s="57">
        <f>IFERROR(VALUE(CRM_MAGDY!K534),0)</f>
        <v>0</v>
      </c>
      <c r="F534" s="57">
        <f>IFERROR(IF(CRM_MAGDY!L534&gt;1,CRM_MAGDY!L534/100,CRM_MAGDY!L534),0)</f>
        <v>0</v>
      </c>
      <c r="G534" s="57">
        <f>CRM_MAGDY!N534</f>
        <v>0</v>
      </c>
      <c r="H534" s="57">
        <f>CRM_MAGDY!M534</f>
        <v>0</v>
      </c>
      <c r="I534" s="57">
        <f t="shared" si="16"/>
        <v>0</v>
      </c>
      <c r="J534" s="57" t="str">
        <f t="shared" si="17"/>
        <v>POTENCJAŁ</v>
      </c>
    </row>
    <row r="535" spans="1:10" x14ac:dyDescent="0.25">
      <c r="A535" s="57" t="str">
        <f>IF(CRM_MAGDY!H535="","","CRM-"&amp;TEXT(ROW()-4,"0000"))</f>
        <v>CRM-0531</v>
      </c>
      <c r="B535" s="57">
        <f>CRM_MAGDY!E535</f>
        <v>0</v>
      </c>
      <c r="C535" s="57">
        <f>CRM_MAGDY!H535</f>
        <v>5976</v>
      </c>
      <c r="D535" s="57">
        <f>CRM_MAGDY!I535</f>
        <v>0</v>
      </c>
      <c r="E535" s="57">
        <f>IFERROR(VALUE(CRM_MAGDY!K535),0)</f>
        <v>0</v>
      </c>
      <c r="F535" s="57">
        <f>IFERROR(IF(CRM_MAGDY!L535&gt;1,CRM_MAGDY!L535/100,CRM_MAGDY!L535),0)</f>
        <v>0</v>
      </c>
      <c r="G535" s="57">
        <f>CRM_MAGDY!N535</f>
        <v>0</v>
      </c>
      <c r="H535" s="57">
        <f>CRM_MAGDY!M535</f>
        <v>0</v>
      </c>
      <c r="I535" s="57">
        <f t="shared" si="16"/>
        <v>0</v>
      </c>
      <c r="J535" s="57" t="str">
        <f t="shared" si="17"/>
        <v>POTENCJAŁ</v>
      </c>
    </row>
    <row r="536" spans="1:10" x14ac:dyDescent="0.25">
      <c r="A536" s="57" t="str">
        <f>IF(CRM_MAGDY!H536="","","CRM-"&amp;TEXT(ROW()-4,"0000"))</f>
        <v>CRM-0532</v>
      </c>
      <c r="B536" s="57">
        <f>CRM_MAGDY!E536</f>
        <v>0</v>
      </c>
      <c r="C536" s="57">
        <f>CRM_MAGDY!H536</f>
        <v>5977</v>
      </c>
      <c r="D536" s="57">
        <f>CRM_MAGDY!I536</f>
        <v>0</v>
      </c>
      <c r="E536" s="57">
        <f>IFERROR(VALUE(CRM_MAGDY!K536),0)</f>
        <v>0</v>
      </c>
      <c r="F536" s="57">
        <f>IFERROR(IF(CRM_MAGDY!L536&gt;1,CRM_MAGDY!L536/100,CRM_MAGDY!L536),0)</f>
        <v>0</v>
      </c>
      <c r="G536" s="57">
        <f>CRM_MAGDY!N536</f>
        <v>0</v>
      </c>
      <c r="H536" s="57">
        <f>CRM_MAGDY!M536</f>
        <v>0</v>
      </c>
      <c r="I536" s="57">
        <f t="shared" si="16"/>
        <v>0</v>
      </c>
      <c r="J536" s="57" t="str">
        <f t="shared" si="17"/>
        <v>POTENCJAŁ</v>
      </c>
    </row>
    <row r="537" spans="1:10" x14ac:dyDescent="0.25">
      <c r="A537" s="57" t="str">
        <f>IF(CRM_MAGDY!H537="","","CRM-"&amp;TEXT(ROW()-4,"0000"))</f>
        <v>CRM-0533</v>
      </c>
      <c r="B537" s="57">
        <f>CRM_MAGDY!E537</f>
        <v>0</v>
      </c>
      <c r="C537" s="57">
        <f>CRM_MAGDY!H537</f>
        <v>5978</v>
      </c>
      <c r="D537" s="57">
        <f>CRM_MAGDY!I537</f>
        <v>0</v>
      </c>
      <c r="E537" s="57">
        <f>IFERROR(VALUE(CRM_MAGDY!K537),0)</f>
        <v>0</v>
      </c>
      <c r="F537" s="57">
        <f>IFERROR(IF(CRM_MAGDY!L537&gt;1,CRM_MAGDY!L537/100,CRM_MAGDY!L537),0)</f>
        <v>0</v>
      </c>
      <c r="G537" s="57">
        <f>CRM_MAGDY!N537</f>
        <v>0</v>
      </c>
      <c r="H537" s="57">
        <f>CRM_MAGDY!M537</f>
        <v>0</v>
      </c>
      <c r="I537" s="57">
        <f t="shared" si="16"/>
        <v>0</v>
      </c>
      <c r="J537" s="57" t="str">
        <f t="shared" si="17"/>
        <v>POTENCJAŁ</v>
      </c>
    </row>
    <row r="538" spans="1:10" x14ac:dyDescent="0.25">
      <c r="A538" s="57" t="str">
        <f>IF(CRM_MAGDY!H538="","","CRM-"&amp;TEXT(ROW()-4,"0000"))</f>
        <v>CRM-0534</v>
      </c>
      <c r="B538" s="57">
        <f>CRM_MAGDY!E538</f>
        <v>0</v>
      </c>
      <c r="C538" s="57">
        <f>CRM_MAGDY!H538</f>
        <v>5979</v>
      </c>
      <c r="D538" s="57">
        <f>CRM_MAGDY!I538</f>
        <v>0</v>
      </c>
      <c r="E538" s="57">
        <f>IFERROR(VALUE(CRM_MAGDY!K538),0)</f>
        <v>0</v>
      </c>
      <c r="F538" s="57">
        <f>IFERROR(IF(CRM_MAGDY!L538&gt;1,CRM_MAGDY!L538/100,CRM_MAGDY!L538),0)</f>
        <v>0</v>
      </c>
      <c r="G538" s="57">
        <f>CRM_MAGDY!N538</f>
        <v>0</v>
      </c>
      <c r="H538" s="57">
        <f>CRM_MAGDY!M538</f>
        <v>0</v>
      </c>
      <c r="I538" s="57">
        <f t="shared" si="16"/>
        <v>0</v>
      </c>
      <c r="J538" s="57" t="str">
        <f t="shared" si="17"/>
        <v>POTENCJAŁ</v>
      </c>
    </row>
    <row r="539" spans="1:10" x14ac:dyDescent="0.25">
      <c r="A539" s="57" t="str">
        <f>IF(CRM_MAGDY!H539="","","CRM-"&amp;TEXT(ROW()-4,"0000"))</f>
        <v>CRM-0535</v>
      </c>
      <c r="B539" s="57">
        <f>CRM_MAGDY!E539</f>
        <v>0</v>
      </c>
      <c r="C539" s="57">
        <f>CRM_MAGDY!H539</f>
        <v>5980</v>
      </c>
      <c r="D539" s="57">
        <f>CRM_MAGDY!I539</f>
        <v>0</v>
      </c>
      <c r="E539" s="57">
        <f>IFERROR(VALUE(CRM_MAGDY!K539),0)</f>
        <v>0</v>
      </c>
      <c r="F539" s="57">
        <f>IFERROR(IF(CRM_MAGDY!L539&gt;1,CRM_MAGDY!L539/100,CRM_MAGDY!L539),0)</f>
        <v>0</v>
      </c>
      <c r="G539" s="57">
        <f>CRM_MAGDY!N539</f>
        <v>0</v>
      </c>
      <c r="H539" s="57">
        <f>CRM_MAGDY!M539</f>
        <v>0</v>
      </c>
      <c r="I539" s="57">
        <f t="shared" si="16"/>
        <v>0</v>
      </c>
      <c r="J539" s="57" t="str">
        <f t="shared" si="17"/>
        <v>POTENCJAŁ</v>
      </c>
    </row>
    <row r="540" spans="1:10" x14ac:dyDescent="0.25">
      <c r="A540" s="57" t="str">
        <f>IF(CRM_MAGDY!H540="","","CRM-"&amp;TEXT(ROW()-4,"0000"))</f>
        <v>CRM-0536</v>
      </c>
      <c r="B540" s="57">
        <f>CRM_MAGDY!E540</f>
        <v>0</v>
      </c>
      <c r="C540" s="57">
        <f>CRM_MAGDY!H540</f>
        <v>5981</v>
      </c>
      <c r="D540" s="57">
        <f>CRM_MAGDY!I540</f>
        <v>0</v>
      </c>
      <c r="E540" s="57">
        <f>IFERROR(VALUE(CRM_MAGDY!K540),0)</f>
        <v>0</v>
      </c>
      <c r="F540" s="57">
        <f>IFERROR(IF(CRM_MAGDY!L540&gt;1,CRM_MAGDY!L540/100,CRM_MAGDY!L540),0)</f>
        <v>0</v>
      </c>
      <c r="G540" s="57">
        <f>CRM_MAGDY!N540</f>
        <v>0</v>
      </c>
      <c r="H540" s="57">
        <f>CRM_MAGDY!M540</f>
        <v>0</v>
      </c>
      <c r="I540" s="57">
        <f t="shared" si="16"/>
        <v>0</v>
      </c>
      <c r="J540" s="57" t="str">
        <f t="shared" si="17"/>
        <v>POTENCJAŁ</v>
      </c>
    </row>
    <row r="541" spans="1:10" x14ac:dyDescent="0.25">
      <c r="A541" s="57" t="str">
        <f>IF(CRM_MAGDY!H541="","","CRM-"&amp;TEXT(ROW()-4,"0000"))</f>
        <v>CRM-0537</v>
      </c>
      <c r="B541" s="57">
        <f>CRM_MAGDY!E541</f>
        <v>0</v>
      </c>
      <c r="C541" s="57">
        <f>CRM_MAGDY!H541</f>
        <v>5982</v>
      </c>
      <c r="D541" s="57">
        <f>CRM_MAGDY!I541</f>
        <v>0</v>
      </c>
      <c r="E541" s="57">
        <f>IFERROR(VALUE(CRM_MAGDY!K541),0)</f>
        <v>0</v>
      </c>
      <c r="F541" s="57">
        <f>IFERROR(IF(CRM_MAGDY!L541&gt;1,CRM_MAGDY!L541/100,CRM_MAGDY!L541),0)</f>
        <v>0</v>
      </c>
      <c r="G541" s="57">
        <f>CRM_MAGDY!N541</f>
        <v>0</v>
      </c>
      <c r="H541" s="57">
        <f>CRM_MAGDY!M541</f>
        <v>0</v>
      </c>
      <c r="I541" s="57">
        <f t="shared" si="16"/>
        <v>0</v>
      </c>
      <c r="J541" s="57" t="str">
        <f t="shared" si="17"/>
        <v>POTENCJAŁ</v>
      </c>
    </row>
    <row r="542" spans="1:10" x14ac:dyDescent="0.25">
      <c r="A542" s="57" t="str">
        <f>IF(CRM_MAGDY!H542="","","CRM-"&amp;TEXT(ROW()-4,"0000"))</f>
        <v>CRM-0538</v>
      </c>
      <c r="B542" s="57">
        <f>CRM_MAGDY!E542</f>
        <v>0</v>
      </c>
      <c r="C542" s="57">
        <f>CRM_MAGDY!H542</f>
        <v>5983</v>
      </c>
      <c r="D542" s="57">
        <f>CRM_MAGDY!I542</f>
        <v>0</v>
      </c>
      <c r="E542" s="57">
        <f>IFERROR(VALUE(CRM_MAGDY!K542),0)</f>
        <v>0</v>
      </c>
      <c r="F542" s="57">
        <f>IFERROR(IF(CRM_MAGDY!L542&gt;1,CRM_MAGDY!L542/100,CRM_MAGDY!L542),0)</f>
        <v>0</v>
      </c>
      <c r="G542" s="57">
        <f>CRM_MAGDY!N542</f>
        <v>0</v>
      </c>
      <c r="H542" s="57">
        <f>CRM_MAGDY!M542</f>
        <v>0</v>
      </c>
      <c r="I542" s="57">
        <f t="shared" si="16"/>
        <v>0</v>
      </c>
      <c r="J542" s="57" t="str">
        <f t="shared" si="17"/>
        <v>POTENCJAŁ</v>
      </c>
    </row>
    <row r="543" spans="1:10" x14ac:dyDescent="0.25">
      <c r="A543" s="57" t="str">
        <f>IF(CRM_MAGDY!H543="","","CRM-"&amp;TEXT(ROW()-4,"0000"))</f>
        <v>CRM-0539</v>
      </c>
      <c r="B543" s="57">
        <f>CRM_MAGDY!E543</f>
        <v>0</v>
      </c>
      <c r="C543" s="57">
        <f>CRM_MAGDY!H543</f>
        <v>5984</v>
      </c>
      <c r="D543" s="57">
        <f>CRM_MAGDY!I543</f>
        <v>0</v>
      </c>
      <c r="E543" s="57">
        <f>IFERROR(VALUE(CRM_MAGDY!K543),0)</f>
        <v>0</v>
      </c>
      <c r="F543" s="57">
        <f>IFERROR(IF(CRM_MAGDY!L543&gt;1,CRM_MAGDY!L543/100,CRM_MAGDY!L543),0)</f>
        <v>0</v>
      </c>
      <c r="G543" s="57">
        <f>CRM_MAGDY!N543</f>
        <v>0</v>
      </c>
      <c r="H543" s="57">
        <f>CRM_MAGDY!M543</f>
        <v>0</v>
      </c>
      <c r="I543" s="57">
        <f t="shared" si="16"/>
        <v>0</v>
      </c>
      <c r="J543" s="57" t="str">
        <f t="shared" si="17"/>
        <v>POTENCJAŁ</v>
      </c>
    </row>
    <row r="544" spans="1:10" x14ac:dyDescent="0.25">
      <c r="A544" s="57" t="str">
        <f>IF(CRM_MAGDY!H544="","","CRM-"&amp;TEXT(ROW()-4,"0000"))</f>
        <v>CRM-0540</v>
      </c>
      <c r="B544" s="57">
        <f>CRM_MAGDY!E544</f>
        <v>0</v>
      </c>
      <c r="C544" s="57">
        <f>CRM_MAGDY!H544</f>
        <v>5985</v>
      </c>
      <c r="D544" s="57">
        <f>CRM_MAGDY!I544</f>
        <v>0</v>
      </c>
      <c r="E544" s="57">
        <f>IFERROR(VALUE(CRM_MAGDY!K544),0)</f>
        <v>0</v>
      </c>
      <c r="F544" s="57">
        <f>IFERROR(IF(CRM_MAGDY!L544&gt;1,CRM_MAGDY!L544/100,CRM_MAGDY!L544),0)</f>
        <v>0</v>
      </c>
      <c r="G544" s="57">
        <f>CRM_MAGDY!N544</f>
        <v>0</v>
      </c>
      <c r="H544" s="57">
        <f>CRM_MAGDY!M544</f>
        <v>0</v>
      </c>
      <c r="I544" s="57">
        <f t="shared" si="16"/>
        <v>0</v>
      </c>
      <c r="J544" s="57" t="str">
        <f t="shared" si="17"/>
        <v>POTENCJAŁ</v>
      </c>
    </row>
    <row r="545" spans="1:10" x14ac:dyDescent="0.25">
      <c r="A545" s="57" t="str">
        <f>IF(CRM_MAGDY!H545="","","CRM-"&amp;TEXT(ROW()-4,"0000"))</f>
        <v>CRM-0541</v>
      </c>
      <c r="B545" s="57">
        <f>CRM_MAGDY!E545</f>
        <v>0</v>
      </c>
      <c r="C545" s="57">
        <f>CRM_MAGDY!H545</f>
        <v>5986</v>
      </c>
      <c r="D545" s="57">
        <f>CRM_MAGDY!I545</f>
        <v>0</v>
      </c>
      <c r="E545" s="57">
        <f>IFERROR(VALUE(CRM_MAGDY!K545),0)</f>
        <v>0</v>
      </c>
      <c r="F545" s="57">
        <f>IFERROR(IF(CRM_MAGDY!L545&gt;1,CRM_MAGDY!L545/100,CRM_MAGDY!L545),0)</f>
        <v>0</v>
      </c>
      <c r="G545" s="57">
        <f>CRM_MAGDY!N545</f>
        <v>0</v>
      </c>
      <c r="H545" s="57">
        <f>CRM_MAGDY!M545</f>
        <v>0</v>
      </c>
      <c r="I545" s="57">
        <f t="shared" si="16"/>
        <v>0</v>
      </c>
      <c r="J545" s="57" t="str">
        <f t="shared" si="17"/>
        <v>POTENCJAŁ</v>
      </c>
    </row>
    <row r="546" spans="1:10" x14ac:dyDescent="0.25">
      <c r="A546" s="57" t="str">
        <f>IF(CRM_MAGDY!H546="","","CRM-"&amp;TEXT(ROW()-4,"0000"))</f>
        <v>CRM-0542</v>
      </c>
      <c r="B546" s="57">
        <f>CRM_MAGDY!E546</f>
        <v>0</v>
      </c>
      <c r="C546" s="57">
        <f>CRM_MAGDY!H546</f>
        <v>5987</v>
      </c>
      <c r="D546" s="57">
        <f>CRM_MAGDY!I546</f>
        <v>0</v>
      </c>
      <c r="E546" s="57">
        <f>IFERROR(VALUE(CRM_MAGDY!K546),0)</f>
        <v>0</v>
      </c>
      <c r="F546" s="57">
        <f>IFERROR(IF(CRM_MAGDY!L546&gt;1,CRM_MAGDY!L546/100,CRM_MAGDY!L546),0)</f>
        <v>0</v>
      </c>
      <c r="G546" s="57">
        <f>CRM_MAGDY!N546</f>
        <v>0</v>
      </c>
      <c r="H546" s="57">
        <f>CRM_MAGDY!M546</f>
        <v>0</v>
      </c>
      <c r="I546" s="57">
        <f t="shared" si="16"/>
        <v>0</v>
      </c>
      <c r="J546" s="57" t="str">
        <f t="shared" si="17"/>
        <v>POTENCJAŁ</v>
      </c>
    </row>
    <row r="547" spans="1:10" x14ac:dyDescent="0.25">
      <c r="A547" s="57" t="str">
        <f>IF(CRM_MAGDY!H547="","","CRM-"&amp;TEXT(ROW()-4,"0000"))</f>
        <v>CRM-0543</v>
      </c>
      <c r="B547" s="57">
        <f>CRM_MAGDY!E547</f>
        <v>0</v>
      </c>
      <c r="C547" s="57">
        <f>CRM_MAGDY!H547</f>
        <v>5988</v>
      </c>
      <c r="D547" s="57">
        <f>CRM_MAGDY!I547</f>
        <v>0</v>
      </c>
      <c r="E547" s="57">
        <f>IFERROR(VALUE(CRM_MAGDY!K547),0)</f>
        <v>0</v>
      </c>
      <c r="F547" s="57">
        <f>IFERROR(IF(CRM_MAGDY!L547&gt;1,CRM_MAGDY!L547/100,CRM_MAGDY!L547),0)</f>
        <v>0</v>
      </c>
      <c r="G547" s="57">
        <f>CRM_MAGDY!N547</f>
        <v>0</v>
      </c>
      <c r="H547" s="57">
        <f>CRM_MAGDY!M547</f>
        <v>0</v>
      </c>
      <c r="I547" s="57">
        <f t="shared" si="16"/>
        <v>0</v>
      </c>
      <c r="J547" s="57" t="str">
        <f t="shared" si="17"/>
        <v>POTENCJAŁ</v>
      </c>
    </row>
    <row r="548" spans="1:10" x14ac:dyDescent="0.25">
      <c r="A548" s="57" t="str">
        <f>IF(CRM_MAGDY!H548="","","CRM-"&amp;TEXT(ROW()-4,"0000"))</f>
        <v>CRM-0544</v>
      </c>
      <c r="B548" s="57">
        <f>CRM_MAGDY!E548</f>
        <v>0</v>
      </c>
      <c r="C548" s="57">
        <f>CRM_MAGDY!H548</f>
        <v>5989</v>
      </c>
      <c r="D548" s="57">
        <f>CRM_MAGDY!I548</f>
        <v>0</v>
      </c>
      <c r="E548" s="57">
        <f>IFERROR(VALUE(CRM_MAGDY!K548),0)</f>
        <v>0</v>
      </c>
      <c r="F548" s="57">
        <f>IFERROR(IF(CRM_MAGDY!L548&gt;1,CRM_MAGDY!L548/100,CRM_MAGDY!L548),0)</f>
        <v>0</v>
      </c>
      <c r="G548" s="57">
        <f>CRM_MAGDY!N548</f>
        <v>0</v>
      </c>
      <c r="H548" s="57">
        <f>CRM_MAGDY!M548</f>
        <v>0</v>
      </c>
      <c r="I548" s="57">
        <f t="shared" si="16"/>
        <v>0</v>
      </c>
      <c r="J548" s="57" t="str">
        <f t="shared" si="17"/>
        <v>POTENCJAŁ</v>
      </c>
    </row>
    <row r="549" spans="1:10" x14ac:dyDescent="0.25">
      <c r="A549" s="57" t="str">
        <f>IF(CRM_MAGDY!H549="","","CRM-"&amp;TEXT(ROW()-4,"0000"))</f>
        <v>CRM-0545</v>
      </c>
      <c r="B549" s="57">
        <f>CRM_MAGDY!E549</f>
        <v>0</v>
      </c>
      <c r="C549" s="57">
        <f>CRM_MAGDY!H549</f>
        <v>5990</v>
      </c>
      <c r="D549" s="57">
        <f>CRM_MAGDY!I549</f>
        <v>0</v>
      </c>
      <c r="E549" s="57">
        <f>IFERROR(VALUE(CRM_MAGDY!K549),0)</f>
        <v>0</v>
      </c>
      <c r="F549" s="57">
        <f>IFERROR(IF(CRM_MAGDY!L549&gt;1,CRM_MAGDY!L549/100,CRM_MAGDY!L549),0)</f>
        <v>0</v>
      </c>
      <c r="G549" s="57">
        <f>CRM_MAGDY!N549</f>
        <v>0</v>
      </c>
      <c r="H549" s="57">
        <f>CRM_MAGDY!M549</f>
        <v>0</v>
      </c>
      <c r="I549" s="57">
        <f t="shared" si="16"/>
        <v>0</v>
      </c>
      <c r="J549" s="57" t="str">
        <f t="shared" si="17"/>
        <v>POTENCJAŁ</v>
      </c>
    </row>
    <row r="550" spans="1:10" x14ac:dyDescent="0.25">
      <c r="A550" s="57" t="str">
        <f>IF(CRM_MAGDY!H550="","","CRM-"&amp;TEXT(ROW()-4,"0000"))</f>
        <v>CRM-0546</v>
      </c>
      <c r="B550" s="57">
        <f>CRM_MAGDY!E550</f>
        <v>0</v>
      </c>
      <c r="C550" s="57">
        <f>CRM_MAGDY!H550</f>
        <v>5991</v>
      </c>
      <c r="D550" s="57">
        <f>CRM_MAGDY!I550</f>
        <v>0</v>
      </c>
      <c r="E550" s="57">
        <f>IFERROR(VALUE(CRM_MAGDY!K550),0)</f>
        <v>0</v>
      </c>
      <c r="F550" s="57">
        <f>IFERROR(IF(CRM_MAGDY!L550&gt;1,CRM_MAGDY!L550/100,CRM_MAGDY!L550),0)</f>
        <v>0</v>
      </c>
      <c r="G550" s="57">
        <f>CRM_MAGDY!N550</f>
        <v>0</v>
      </c>
      <c r="H550" s="57">
        <f>CRM_MAGDY!M550</f>
        <v>0</v>
      </c>
      <c r="I550" s="57">
        <f t="shared" si="16"/>
        <v>0</v>
      </c>
      <c r="J550" s="57" t="str">
        <f t="shared" si="17"/>
        <v>POTENCJAŁ</v>
      </c>
    </row>
    <row r="551" spans="1:10" x14ac:dyDescent="0.25">
      <c r="A551" s="57" t="str">
        <f>IF(CRM_MAGDY!H551="","","CRM-"&amp;TEXT(ROW()-4,"0000"))</f>
        <v>CRM-0547</v>
      </c>
      <c r="B551" s="57">
        <f>CRM_MAGDY!E551</f>
        <v>0</v>
      </c>
      <c r="C551" s="57">
        <f>CRM_MAGDY!H551</f>
        <v>5992</v>
      </c>
      <c r="D551" s="57">
        <f>CRM_MAGDY!I551</f>
        <v>0</v>
      </c>
      <c r="E551" s="57">
        <f>IFERROR(VALUE(CRM_MAGDY!K551),0)</f>
        <v>0</v>
      </c>
      <c r="F551" s="57">
        <f>IFERROR(IF(CRM_MAGDY!L551&gt;1,CRM_MAGDY!L551/100,CRM_MAGDY!L551),0)</f>
        <v>0</v>
      </c>
      <c r="G551" s="57">
        <f>CRM_MAGDY!N551</f>
        <v>0</v>
      </c>
      <c r="H551" s="57">
        <f>CRM_MAGDY!M551</f>
        <v>0</v>
      </c>
      <c r="I551" s="57">
        <f t="shared" si="16"/>
        <v>0</v>
      </c>
      <c r="J551" s="57" t="str">
        <f t="shared" si="17"/>
        <v>POTENCJAŁ</v>
      </c>
    </row>
    <row r="552" spans="1:10" x14ac:dyDescent="0.25">
      <c r="A552" s="57" t="str">
        <f>IF(CRM_MAGDY!H552="","","CRM-"&amp;TEXT(ROW()-4,"0000"))</f>
        <v>CRM-0548</v>
      </c>
      <c r="B552" s="57">
        <f>CRM_MAGDY!E552</f>
        <v>0</v>
      </c>
      <c r="C552" s="57">
        <f>CRM_MAGDY!H552</f>
        <v>5993</v>
      </c>
      <c r="D552" s="57">
        <f>CRM_MAGDY!I552</f>
        <v>0</v>
      </c>
      <c r="E552" s="57">
        <f>IFERROR(VALUE(CRM_MAGDY!K552),0)</f>
        <v>0</v>
      </c>
      <c r="F552" s="57">
        <f>IFERROR(IF(CRM_MAGDY!L552&gt;1,CRM_MAGDY!L552/100,CRM_MAGDY!L552),0)</f>
        <v>0</v>
      </c>
      <c r="G552" s="57">
        <f>CRM_MAGDY!N552</f>
        <v>0</v>
      </c>
      <c r="H552" s="57">
        <f>CRM_MAGDY!M552</f>
        <v>0</v>
      </c>
      <c r="I552" s="57">
        <f t="shared" si="16"/>
        <v>0</v>
      </c>
      <c r="J552" s="57" t="str">
        <f t="shared" si="17"/>
        <v>POTENCJAŁ</v>
      </c>
    </row>
    <row r="553" spans="1:10" x14ac:dyDescent="0.25">
      <c r="A553" s="57" t="str">
        <f>IF(CRM_MAGDY!H553="","","CRM-"&amp;TEXT(ROW()-4,"0000"))</f>
        <v>CRM-0549</v>
      </c>
      <c r="B553" s="57">
        <f>CRM_MAGDY!E553</f>
        <v>0</v>
      </c>
      <c r="C553" s="57">
        <f>CRM_MAGDY!H553</f>
        <v>5994</v>
      </c>
      <c r="D553" s="57">
        <f>CRM_MAGDY!I553</f>
        <v>0</v>
      </c>
      <c r="E553" s="57">
        <f>IFERROR(VALUE(CRM_MAGDY!K553),0)</f>
        <v>0</v>
      </c>
      <c r="F553" s="57">
        <f>IFERROR(IF(CRM_MAGDY!L553&gt;1,CRM_MAGDY!L553/100,CRM_MAGDY!L553),0)</f>
        <v>0</v>
      </c>
      <c r="G553" s="57">
        <f>CRM_MAGDY!N553</f>
        <v>0</v>
      </c>
      <c r="H553" s="57">
        <f>CRM_MAGDY!M553</f>
        <v>0</v>
      </c>
      <c r="I553" s="57">
        <f t="shared" si="16"/>
        <v>0</v>
      </c>
      <c r="J553" s="57" t="str">
        <f t="shared" si="17"/>
        <v>POTENCJAŁ</v>
      </c>
    </row>
    <row r="554" spans="1:10" x14ac:dyDescent="0.25">
      <c r="A554" s="57" t="str">
        <f>IF(CRM_MAGDY!H554="","","CRM-"&amp;TEXT(ROW()-4,"0000"))</f>
        <v>CRM-0550</v>
      </c>
      <c r="B554" s="57">
        <f>CRM_MAGDY!E554</f>
        <v>0</v>
      </c>
      <c r="C554" s="57">
        <f>CRM_MAGDY!H554</f>
        <v>5995</v>
      </c>
      <c r="D554" s="57">
        <f>CRM_MAGDY!I554</f>
        <v>0</v>
      </c>
      <c r="E554" s="57">
        <f>IFERROR(VALUE(CRM_MAGDY!K554),0)</f>
        <v>0</v>
      </c>
      <c r="F554" s="57">
        <f>IFERROR(IF(CRM_MAGDY!L554&gt;1,CRM_MAGDY!L554/100,CRM_MAGDY!L554),0)</f>
        <v>0</v>
      </c>
      <c r="G554" s="57">
        <f>CRM_MAGDY!N554</f>
        <v>0</v>
      </c>
      <c r="H554" s="57">
        <f>CRM_MAGDY!M554</f>
        <v>0</v>
      </c>
      <c r="I554" s="57">
        <f t="shared" si="16"/>
        <v>0</v>
      </c>
      <c r="J554" s="57" t="str">
        <f t="shared" si="17"/>
        <v>POTENCJAŁ</v>
      </c>
    </row>
    <row r="555" spans="1:10" x14ac:dyDescent="0.25">
      <c r="A555" s="57" t="str">
        <f>IF(CRM_MAGDY!H555="","","CRM-"&amp;TEXT(ROW()-4,"0000"))</f>
        <v>CRM-0551</v>
      </c>
      <c r="B555" s="57">
        <f>CRM_MAGDY!E555</f>
        <v>0</v>
      </c>
      <c r="C555" s="57">
        <f>CRM_MAGDY!H555</f>
        <v>5996</v>
      </c>
      <c r="D555" s="57">
        <f>CRM_MAGDY!I555</f>
        <v>0</v>
      </c>
      <c r="E555" s="57">
        <f>IFERROR(VALUE(CRM_MAGDY!K555),0)</f>
        <v>0</v>
      </c>
      <c r="F555" s="57">
        <f>IFERROR(IF(CRM_MAGDY!L555&gt;1,CRM_MAGDY!L555/100,CRM_MAGDY!L555),0)</f>
        <v>0</v>
      </c>
      <c r="G555" s="57">
        <f>CRM_MAGDY!N555</f>
        <v>0</v>
      </c>
      <c r="H555" s="57">
        <f>CRM_MAGDY!M555</f>
        <v>0</v>
      </c>
      <c r="I555" s="57">
        <f t="shared" si="16"/>
        <v>0</v>
      </c>
      <c r="J555" s="57" t="str">
        <f t="shared" si="17"/>
        <v>POTENCJAŁ</v>
      </c>
    </row>
    <row r="556" spans="1:10" x14ac:dyDescent="0.25">
      <c r="A556" s="57" t="str">
        <f>IF(CRM_MAGDY!H556="","","CRM-"&amp;TEXT(ROW()-4,"0000"))</f>
        <v>CRM-0552</v>
      </c>
      <c r="B556" s="57">
        <f>CRM_MAGDY!E556</f>
        <v>0</v>
      </c>
      <c r="C556" s="57">
        <f>CRM_MAGDY!H556</f>
        <v>5997</v>
      </c>
      <c r="D556" s="57">
        <f>CRM_MAGDY!I556</f>
        <v>0</v>
      </c>
      <c r="E556" s="57">
        <f>IFERROR(VALUE(CRM_MAGDY!K556),0)</f>
        <v>0</v>
      </c>
      <c r="F556" s="57">
        <f>IFERROR(IF(CRM_MAGDY!L556&gt;1,CRM_MAGDY!L556/100,CRM_MAGDY!L556),0)</f>
        <v>0</v>
      </c>
      <c r="G556" s="57">
        <f>CRM_MAGDY!N556</f>
        <v>0</v>
      </c>
      <c r="H556" s="57">
        <f>CRM_MAGDY!M556</f>
        <v>0</v>
      </c>
      <c r="I556" s="57">
        <f t="shared" si="16"/>
        <v>0</v>
      </c>
      <c r="J556" s="57" t="str">
        <f t="shared" si="17"/>
        <v>POTENCJAŁ</v>
      </c>
    </row>
    <row r="557" spans="1:10" x14ac:dyDescent="0.25">
      <c r="A557" s="57" t="str">
        <f>IF(CRM_MAGDY!H557="","","CRM-"&amp;TEXT(ROW()-4,"0000"))</f>
        <v>CRM-0553</v>
      </c>
      <c r="B557" s="57">
        <f>CRM_MAGDY!E557</f>
        <v>0</v>
      </c>
      <c r="C557" s="57">
        <f>CRM_MAGDY!H557</f>
        <v>5998</v>
      </c>
      <c r="D557" s="57">
        <f>CRM_MAGDY!I557</f>
        <v>0</v>
      </c>
      <c r="E557" s="57">
        <f>IFERROR(VALUE(CRM_MAGDY!K557),0)</f>
        <v>0</v>
      </c>
      <c r="F557" s="57">
        <f>IFERROR(IF(CRM_MAGDY!L557&gt;1,CRM_MAGDY!L557/100,CRM_MAGDY!L557),0)</f>
        <v>0</v>
      </c>
      <c r="G557" s="57">
        <f>CRM_MAGDY!N557</f>
        <v>0</v>
      </c>
      <c r="H557" s="57">
        <f>CRM_MAGDY!M557</f>
        <v>0</v>
      </c>
      <c r="I557" s="57">
        <f t="shared" si="16"/>
        <v>0</v>
      </c>
      <c r="J557" s="57" t="str">
        <f t="shared" si="17"/>
        <v>POTENCJAŁ</v>
      </c>
    </row>
    <row r="558" spans="1:10" x14ac:dyDescent="0.25">
      <c r="A558" s="57" t="str">
        <f>IF(CRM_MAGDY!H558="","","CRM-"&amp;TEXT(ROW()-4,"0000"))</f>
        <v>CRM-0554</v>
      </c>
      <c r="B558" s="57">
        <f>CRM_MAGDY!E558</f>
        <v>0</v>
      </c>
      <c r="C558" s="57">
        <f>CRM_MAGDY!H558</f>
        <v>5999</v>
      </c>
      <c r="D558" s="57">
        <f>CRM_MAGDY!I558</f>
        <v>0</v>
      </c>
      <c r="E558" s="57">
        <f>IFERROR(VALUE(CRM_MAGDY!K558),0)</f>
        <v>0</v>
      </c>
      <c r="F558" s="57">
        <f>IFERROR(IF(CRM_MAGDY!L558&gt;1,CRM_MAGDY!L558/100,CRM_MAGDY!L558),0)</f>
        <v>0</v>
      </c>
      <c r="G558" s="57">
        <f>CRM_MAGDY!N558</f>
        <v>0</v>
      </c>
      <c r="H558" s="57">
        <f>CRM_MAGDY!M558</f>
        <v>0</v>
      </c>
      <c r="I558" s="57">
        <f t="shared" si="16"/>
        <v>0</v>
      </c>
      <c r="J558" s="57" t="str">
        <f t="shared" si="17"/>
        <v>POTENCJAŁ</v>
      </c>
    </row>
    <row r="559" spans="1:10" x14ac:dyDescent="0.25">
      <c r="A559" s="57" t="str">
        <f>IF(CRM_MAGDY!H559="","","CRM-"&amp;TEXT(ROW()-4,"0000"))</f>
        <v>CRM-0555</v>
      </c>
      <c r="B559" s="57">
        <f>CRM_MAGDY!E559</f>
        <v>0</v>
      </c>
      <c r="C559" s="57">
        <f>CRM_MAGDY!H559</f>
        <v>6000</v>
      </c>
      <c r="D559" s="57">
        <f>CRM_MAGDY!I559</f>
        <v>0</v>
      </c>
      <c r="E559" s="57">
        <f>IFERROR(VALUE(CRM_MAGDY!K559),0)</f>
        <v>0</v>
      </c>
      <c r="F559" s="57">
        <f>IFERROR(IF(CRM_MAGDY!L559&gt;1,CRM_MAGDY!L559/100,CRM_MAGDY!L559),0)</f>
        <v>0</v>
      </c>
      <c r="G559" s="57">
        <f>CRM_MAGDY!N559</f>
        <v>0</v>
      </c>
      <c r="H559" s="57">
        <f>CRM_MAGDY!M559</f>
        <v>0</v>
      </c>
      <c r="I559" s="57">
        <f t="shared" si="16"/>
        <v>0</v>
      </c>
      <c r="J559" s="57" t="str">
        <f t="shared" si="17"/>
        <v>POTENCJAŁ</v>
      </c>
    </row>
    <row r="560" spans="1:10" x14ac:dyDescent="0.25">
      <c r="A560" s="57" t="str">
        <f>IF(CRM_MAGDY!H560="","","CRM-"&amp;TEXT(ROW()-4,"0000"))</f>
        <v>CRM-0556</v>
      </c>
      <c r="B560" s="57">
        <f>CRM_MAGDY!E560</f>
        <v>0</v>
      </c>
      <c r="C560" s="57">
        <f>CRM_MAGDY!H560</f>
        <v>6001</v>
      </c>
      <c r="D560" s="57">
        <f>CRM_MAGDY!I560</f>
        <v>0</v>
      </c>
      <c r="E560" s="57">
        <f>IFERROR(VALUE(CRM_MAGDY!K560),0)</f>
        <v>0</v>
      </c>
      <c r="F560" s="57">
        <f>IFERROR(IF(CRM_MAGDY!L560&gt;1,CRM_MAGDY!L560/100,CRM_MAGDY!L560),0)</f>
        <v>0</v>
      </c>
      <c r="G560" s="57">
        <f>CRM_MAGDY!N560</f>
        <v>0</v>
      </c>
      <c r="H560" s="57">
        <f>CRM_MAGDY!M560</f>
        <v>0</v>
      </c>
      <c r="I560" s="57">
        <f t="shared" si="16"/>
        <v>0</v>
      </c>
      <c r="J560" s="57" t="str">
        <f t="shared" si="17"/>
        <v>POTENCJAŁ</v>
      </c>
    </row>
    <row r="561" spans="1:10" x14ac:dyDescent="0.25">
      <c r="A561" s="57" t="str">
        <f>IF(CRM_MAGDY!H561="","","CRM-"&amp;TEXT(ROW()-4,"0000"))</f>
        <v>CRM-0557</v>
      </c>
      <c r="B561" s="57">
        <f>CRM_MAGDY!E561</f>
        <v>0</v>
      </c>
      <c r="C561" s="57">
        <f>CRM_MAGDY!H561</f>
        <v>6002</v>
      </c>
      <c r="D561" s="57">
        <f>CRM_MAGDY!I561</f>
        <v>0</v>
      </c>
      <c r="E561" s="57">
        <f>IFERROR(VALUE(CRM_MAGDY!K561),0)</f>
        <v>0</v>
      </c>
      <c r="F561" s="57">
        <f>IFERROR(IF(CRM_MAGDY!L561&gt;1,CRM_MAGDY!L561/100,CRM_MAGDY!L561),0)</f>
        <v>0</v>
      </c>
      <c r="G561" s="57">
        <f>CRM_MAGDY!N561</f>
        <v>0</v>
      </c>
      <c r="H561" s="57">
        <f>CRM_MAGDY!M561</f>
        <v>0</v>
      </c>
      <c r="I561" s="57">
        <f t="shared" si="16"/>
        <v>0</v>
      </c>
      <c r="J561" s="57" t="str">
        <f t="shared" si="17"/>
        <v>POTENCJAŁ</v>
      </c>
    </row>
    <row r="562" spans="1:10" x14ac:dyDescent="0.25">
      <c r="A562" s="57" t="str">
        <f>IF(CRM_MAGDY!H562="","","CRM-"&amp;TEXT(ROW()-4,"0000"))</f>
        <v>CRM-0558</v>
      </c>
      <c r="B562" s="57">
        <f>CRM_MAGDY!E562</f>
        <v>0</v>
      </c>
      <c r="C562" s="57">
        <f>CRM_MAGDY!H562</f>
        <v>6003</v>
      </c>
      <c r="D562" s="57">
        <f>CRM_MAGDY!I562</f>
        <v>0</v>
      </c>
      <c r="E562" s="57">
        <f>IFERROR(VALUE(CRM_MAGDY!K562),0)</f>
        <v>0</v>
      </c>
      <c r="F562" s="57">
        <f>IFERROR(IF(CRM_MAGDY!L562&gt;1,CRM_MAGDY!L562/100,CRM_MAGDY!L562),0)</f>
        <v>0</v>
      </c>
      <c r="G562" s="57">
        <f>CRM_MAGDY!N562</f>
        <v>0</v>
      </c>
      <c r="H562" s="57">
        <f>CRM_MAGDY!M562</f>
        <v>0</v>
      </c>
      <c r="I562" s="57">
        <f t="shared" si="16"/>
        <v>0</v>
      </c>
      <c r="J562" s="57" t="str">
        <f t="shared" si="17"/>
        <v>POTENCJAŁ</v>
      </c>
    </row>
    <row r="563" spans="1:10" x14ac:dyDescent="0.25">
      <c r="A563" s="57" t="str">
        <f>IF(CRM_MAGDY!H563="","","CRM-"&amp;TEXT(ROW()-4,"0000"))</f>
        <v>CRM-0559</v>
      </c>
      <c r="B563" s="57">
        <f>CRM_MAGDY!E563</f>
        <v>0</v>
      </c>
      <c r="C563" s="57">
        <f>CRM_MAGDY!H563</f>
        <v>6004</v>
      </c>
      <c r="D563" s="57">
        <f>CRM_MAGDY!I563</f>
        <v>0</v>
      </c>
      <c r="E563" s="57">
        <f>IFERROR(VALUE(CRM_MAGDY!K563),0)</f>
        <v>0</v>
      </c>
      <c r="F563" s="57">
        <f>IFERROR(IF(CRM_MAGDY!L563&gt;1,CRM_MAGDY!L563/100,CRM_MAGDY!L563),0)</f>
        <v>0</v>
      </c>
      <c r="G563" s="57">
        <f>CRM_MAGDY!N563</f>
        <v>0</v>
      </c>
      <c r="H563" s="57">
        <f>CRM_MAGDY!M563</f>
        <v>0</v>
      </c>
      <c r="I563" s="57">
        <f t="shared" si="16"/>
        <v>0</v>
      </c>
      <c r="J563" s="57" t="str">
        <f t="shared" si="17"/>
        <v>POTENCJAŁ</v>
      </c>
    </row>
    <row r="564" spans="1:10" x14ac:dyDescent="0.25">
      <c r="A564" s="57" t="str">
        <f>IF(CRM_MAGDY!H564="","","CRM-"&amp;TEXT(ROW()-4,"0000"))</f>
        <v>CRM-0560</v>
      </c>
      <c r="B564" s="57">
        <f>CRM_MAGDY!E564</f>
        <v>0</v>
      </c>
      <c r="C564" s="57">
        <f>CRM_MAGDY!H564</f>
        <v>6005</v>
      </c>
      <c r="D564" s="57">
        <f>CRM_MAGDY!I564</f>
        <v>0</v>
      </c>
      <c r="E564" s="57">
        <f>IFERROR(VALUE(CRM_MAGDY!K564),0)</f>
        <v>0</v>
      </c>
      <c r="F564" s="57">
        <f>IFERROR(IF(CRM_MAGDY!L564&gt;1,CRM_MAGDY!L564/100,CRM_MAGDY!L564),0)</f>
        <v>0</v>
      </c>
      <c r="G564" s="57">
        <f>CRM_MAGDY!N564</f>
        <v>0</v>
      </c>
      <c r="H564" s="57">
        <f>CRM_MAGDY!M564</f>
        <v>0</v>
      </c>
      <c r="I564" s="57">
        <f t="shared" si="16"/>
        <v>0</v>
      </c>
      <c r="J564" s="57" t="str">
        <f t="shared" si="17"/>
        <v>POTENCJAŁ</v>
      </c>
    </row>
    <row r="565" spans="1:10" x14ac:dyDescent="0.25">
      <c r="A565" s="57" t="str">
        <f>IF(CRM_MAGDY!H565="","","CRM-"&amp;TEXT(ROW()-4,"0000"))</f>
        <v>CRM-0561</v>
      </c>
      <c r="B565" s="57">
        <f>CRM_MAGDY!E565</f>
        <v>0</v>
      </c>
      <c r="C565" s="57">
        <f>CRM_MAGDY!H565</f>
        <v>6006</v>
      </c>
      <c r="D565" s="57">
        <f>CRM_MAGDY!I565</f>
        <v>0</v>
      </c>
      <c r="E565" s="57">
        <f>IFERROR(VALUE(CRM_MAGDY!K565),0)</f>
        <v>0</v>
      </c>
      <c r="F565" s="57">
        <f>IFERROR(IF(CRM_MAGDY!L565&gt;1,CRM_MAGDY!L565/100,CRM_MAGDY!L565),0)</f>
        <v>0</v>
      </c>
      <c r="G565" s="57">
        <f>CRM_MAGDY!N565</f>
        <v>0</v>
      </c>
      <c r="H565" s="57">
        <f>CRM_MAGDY!M565</f>
        <v>0</v>
      </c>
      <c r="I565" s="57">
        <f t="shared" si="16"/>
        <v>0</v>
      </c>
      <c r="J565" s="57" t="str">
        <f t="shared" si="17"/>
        <v>POTENCJAŁ</v>
      </c>
    </row>
    <row r="566" spans="1:10" x14ac:dyDescent="0.25">
      <c r="A566" s="57" t="str">
        <f>IF(CRM_MAGDY!H566="","","CRM-"&amp;TEXT(ROW()-4,"0000"))</f>
        <v>CRM-0562</v>
      </c>
      <c r="B566" s="57">
        <f>CRM_MAGDY!E566</f>
        <v>0</v>
      </c>
      <c r="C566" s="57">
        <f>CRM_MAGDY!H566</f>
        <v>6007</v>
      </c>
      <c r="D566" s="57">
        <f>CRM_MAGDY!I566</f>
        <v>0</v>
      </c>
      <c r="E566" s="57">
        <f>IFERROR(VALUE(CRM_MAGDY!K566),0)</f>
        <v>0</v>
      </c>
      <c r="F566" s="57">
        <f>IFERROR(IF(CRM_MAGDY!L566&gt;1,CRM_MAGDY!L566/100,CRM_MAGDY!L566),0)</f>
        <v>0</v>
      </c>
      <c r="G566" s="57">
        <f>CRM_MAGDY!N566</f>
        <v>0</v>
      </c>
      <c r="H566" s="57">
        <f>CRM_MAGDY!M566</f>
        <v>0</v>
      </c>
      <c r="I566" s="57">
        <f t="shared" si="16"/>
        <v>0</v>
      </c>
      <c r="J566" s="57" t="str">
        <f t="shared" si="17"/>
        <v>POTENCJAŁ</v>
      </c>
    </row>
    <row r="567" spans="1:10" x14ac:dyDescent="0.25">
      <c r="A567" s="57" t="str">
        <f>IF(CRM_MAGDY!H567="","","CRM-"&amp;TEXT(ROW()-4,"0000"))</f>
        <v>CRM-0563</v>
      </c>
      <c r="B567" s="57">
        <f>CRM_MAGDY!E567</f>
        <v>0</v>
      </c>
      <c r="C567" s="57">
        <f>CRM_MAGDY!H567</f>
        <v>6008</v>
      </c>
      <c r="D567" s="57">
        <f>CRM_MAGDY!I567</f>
        <v>0</v>
      </c>
      <c r="E567" s="57">
        <f>IFERROR(VALUE(CRM_MAGDY!K567),0)</f>
        <v>0</v>
      </c>
      <c r="F567" s="57">
        <f>IFERROR(IF(CRM_MAGDY!L567&gt;1,CRM_MAGDY!L567/100,CRM_MAGDY!L567),0)</f>
        <v>0</v>
      </c>
      <c r="G567" s="57">
        <f>CRM_MAGDY!N567</f>
        <v>0</v>
      </c>
      <c r="H567" s="57">
        <f>CRM_MAGDY!M567</f>
        <v>0</v>
      </c>
      <c r="I567" s="57">
        <f t="shared" si="16"/>
        <v>0</v>
      </c>
      <c r="J567" s="57" t="str">
        <f t="shared" si="17"/>
        <v>POTENCJAŁ</v>
      </c>
    </row>
    <row r="568" spans="1:10" x14ac:dyDescent="0.25">
      <c r="A568" s="57" t="str">
        <f>IF(CRM_MAGDY!H568="","","CRM-"&amp;TEXT(ROW()-4,"0000"))</f>
        <v>CRM-0564</v>
      </c>
      <c r="B568" s="57">
        <f>CRM_MAGDY!E568</f>
        <v>0</v>
      </c>
      <c r="C568" s="57">
        <f>CRM_MAGDY!H568</f>
        <v>6009</v>
      </c>
      <c r="D568" s="57">
        <f>CRM_MAGDY!I568</f>
        <v>0</v>
      </c>
      <c r="E568" s="57">
        <f>IFERROR(VALUE(CRM_MAGDY!K568),0)</f>
        <v>0</v>
      </c>
      <c r="F568" s="57">
        <f>IFERROR(IF(CRM_MAGDY!L568&gt;1,CRM_MAGDY!L568/100,CRM_MAGDY!L568),0)</f>
        <v>0</v>
      </c>
      <c r="G568" s="57">
        <f>CRM_MAGDY!N568</f>
        <v>0</v>
      </c>
      <c r="H568" s="57">
        <f>CRM_MAGDY!M568</f>
        <v>0</v>
      </c>
      <c r="I568" s="57">
        <f t="shared" si="16"/>
        <v>0</v>
      </c>
      <c r="J568" s="57" t="str">
        <f t="shared" si="17"/>
        <v>POTENCJAŁ</v>
      </c>
    </row>
    <row r="569" spans="1:10" x14ac:dyDescent="0.25">
      <c r="A569" s="57" t="str">
        <f>IF(CRM_MAGDY!H569="","","CRM-"&amp;TEXT(ROW()-4,"0000"))</f>
        <v>CRM-0565</v>
      </c>
      <c r="B569" s="57">
        <f>CRM_MAGDY!E569</f>
        <v>0</v>
      </c>
      <c r="C569" s="57">
        <f>CRM_MAGDY!H569</f>
        <v>6010</v>
      </c>
      <c r="D569" s="57">
        <f>CRM_MAGDY!I569</f>
        <v>0</v>
      </c>
      <c r="E569" s="57">
        <f>IFERROR(VALUE(CRM_MAGDY!K569),0)</f>
        <v>0</v>
      </c>
      <c r="F569" s="57">
        <f>IFERROR(IF(CRM_MAGDY!L569&gt;1,CRM_MAGDY!L569/100,CRM_MAGDY!L569),0)</f>
        <v>0</v>
      </c>
      <c r="G569" s="57">
        <f>CRM_MAGDY!N569</f>
        <v>0</v>
      </c>
      <c r="H569" s="57">
        <f>CRM_MAGDY!M569</f>
        <v>0</v>
      </c>
      <c r="I569" s="57">
        <f t="shared" si="16"/>
        <v>0</v>
      </c>
      <c r="J569" s="57" t="str">
        <f t="shared" si="17"/>
        <v>POTENCJAŁ</v>
      </c>
    </row>
    <row r="570" spans="1:10" x14ac:dyDescent="0.25">
      <c r="A570" s="57" t="str">
        <f>IF(CRM_MAGDY!H570="","","CRM-"&amp;TEXT(ROW()-4,"0000"))</f>
        <v>CRM-0566</v>
      </c>
      <c r="B570" s="57">
        <f>CRM_MAGDY!E570</f>
        <v>0</v>
      </c>
      <c r="C570" s="57">
        <f>CRM_MAGDY!H570</f>
        <v>6011</v>
      </c>
      <c r="D570" s="57">
        <f>CRM_MAGDY!I570</f>
        <v>0</v>
      </c>
      <c r="E570" s="57">
        <f>IFERROR(VALUE(CRM_MAGDY!K570),0)</f>
        <v>0</v>
      </c>
      <c r="F570" s="57">
        <f>IFERROR(IF(CRM_MAGDY!L570&gt;1,CRM_MAGDY!L570/100,CRM_MAGDY!L570),0)</f>
        <v>0</v>
      </c>
      <c r="G570" s="57">
        <f>CRM_MAGDY!N570</f>
        <v>0</v>
      </c>
      <c r="H570" s="57">
        <f>CRM_MAGDY!M570</f>
        <v>0</v>
      </c>
      <c r="I570" s="57">
        <f t="shared" si="16"/>
        <v>0</v>
      </c>
      <c r="J570" s="57" t="str">
        <f t="shared" si="17"/>
        <v>POTENCJAŁ</v>
      </c>
    </row>
    <row r="571" spans="1:10" x14ac:dyDescent="0.25">
      <c r="A571" s="57" t="str">
        <f>IF(CRM_MAGDY!H571="","","CRM-"&amp;TEXT(ROW()-4,"0000"))</f>
        <v>CRM-0567</v>
      </c>
      <c r="B571" s="57">
        <f>CRM_MAGDY!E571</f>
        <v>0</v>
      </c>
      <c r="C571" s="57">
        <f>CRM_MAGDY!H571</f>
        <v>6012</v>
      </c>
      <c r="D571" s="57">
        <f>CRM_MAGDY!I571</f>
        <v>0</v>
      </c>
      <c r="E571" s="57">
        <f>IFERROR(VALUE(CRM_MAGDY!K571),0)</f>
        <v>0</v>
      </c>
      <c r="F571" s="57">
        <f>IFERROR(IF(CRM_MAGDY!L571&gt;1,CRM_MAGDY!L571/100,CRM_MAGDY!L571),0)</f>
        <v>0</v>
      </c>
      <c r="G571" s="57">
        <f>CRM_MAGDY!N571</f>
        <v>0</v>
      </c>
      <c r="H571" s="57">
        <f>CRM_MAGDY!M571</f>
        <v>0</v>
      </c>
      <c r="I571" s="57">
        <f t="shared" si="16"/>
        <v>0</v>
      </c>
      <c r="J571" s="57" t="str">
        <f t="shared" si="17"/>
        <v>POTENCJAŁ</v>
      </c>
    </row>
    <row r="572" spans="1:10" x14ac:dyDescent="0.25">
      <c r="A572" s="57" t="str">
        <f>IF(CRM_MAGDY!H572="","","CRM-"&amp;TEXT(ROW()-4,"0000"))</f>
        <v>CRM-0568</v>
      </c>
      <c r="B572" s="57">
        <f>CRM_MAGDY!E572</f>
        <v>0</v>
      </c>
      <c r="C572" s="57">
        <f>CRM_MAGDY!H572</f>
        <v>6013</v>
      </c>
      <c r="D572" s="57">
        <f>CRM_MAGDY!I572</f>
        <v>0</v>
      </c>
      <c r="E572" s="57">
        <f>IFERROR(VALUE(CRM_MAGDY!K572),0)</f>
        <v>0</v>
      </c>
      <c r="F572" s="57">
        <f>IFERROR(IF(CRM_MAGDY!L572&gt;1,CRM_MAGDY!L572/100,CRM_MAGDY!L572),0)</f>
        <v>0</v>
      </c>
      <c r="G572" s="57">
        <f>CRM_MAGDY!N572</f>
        <v>0</v>
      </c>
      <c r="H572" s="57">
        <f>CRM_MAGDY!M572</f>
        <v>0</v>
      </c>
      <c r="I572" s="57">
        <f t="shared" si="16"/>
        <v>0</v>
      </c>
      <c r="J572" s="57" t="str">
        <f t="shared" si="17"/>
        <v>POTENCJAŁ</v>
      </c>
    </row>
    <row r="573" spans="1:10" x14ac:dyDescent="0.25">
      <c r="A573" s="57" t="str">
        <f>IF(CRM_MAGDY!H573="","","CRM-"&amp;TEXT(ROW()-4,"0000"))</f>
        <v>CRM-0569</v>
      </c>
      <c r="B573" s="57">
        <f>CRM_MAGDY!E573</f>
        <v>0</v>
      </c>
      <c r="C573" s="57">
        <f>CRM_MAGDY!H573</f>
        <v>6014</v>
      </c>
      <c r="D573" s="57">
        <f>CRM_MAGDY!I573</f>
        <v>0</v>
      </c>
      <c r="E573" s="57">
        <f>IFERROR(VALUE(CRM_MAGDY!K573),0)</f>
        <v>0</v>
      </c>
      <c r="F573" s="57">
        <f>IFERROR(IF(CRM_MAGDY!L573&gt;1,CRM_MAGDY!L573/100,CRM_MAGDY!L573),0)</f>
        <v>0</v>
      </c>
      <c r="G573" s="57">
        <f>CRM_MAGDY!N573</f>
        <v>0</v>
      </c>
      <c r="H573" s="57">
        <f>CRM_MAGDY!M573</f>
        <v>0</v>
      </c>
      <c r="I573" s="57">
        <f t="shared" si="16"/>
        <v>0</v>
      </c>
      <c r="J573" s="57" t="str">
        <f t="shared" si="17"/>
        <v>POTENCJAŁ</v>
      </c>
    </row>
    <row r="574" spans="1:10" x14ac:dyDescent="0.25">
      <c r="A574" s="57" t="str">
        <f>IF(CRM_MAGDY!H574="","","CRM-"&amp;TEXT(ROW()-4,"0000"))</f>
        <v>CRM-0570</v>
      </c>
      <c r="B574" s="57">
        <f>CRM_MAGDY!E574</f>
        <v>0</v>
      </c>
      <c r="C574" s="57">
        <f>CRM_MAGDY!H574</f>
        <v>6015</v>
      </c>
      <c r="D574" s="57">
        <f>CRM_MAGDY!I574</f>
        <v>0</v>
      </c>
      <c r="E574" s="57">
        <f>IFERROR(VALUE(CRM_MAGDY!K574),0)</f>
        <v>0</v>
      </c>
      <c r="F574" s="57">
        <f>IFERROR(IF(CRM_MAGDY!L574&gt;1,CRM_MAGDY!L574/100,CRM_MAGDY!L574),0)</f>
        <v>0</v>
      </c>
      <c r="G574" s="57">
        <f>CRM_MAGDY!N574</f>
        <v>0</v>
      </c>
      <c r="H574" s="57">
        <f>CRM_MAGDY!M574</f>
        <v>0</v>
      </c>
      <c r="I574" s="57">
        <f t="shared" si="16"/>
        <v>0</v>
      </c>
      <c r="J574" s="57" t="str">
        <f t="shared" si="17"/>
        <v>POTENCJAŁ</v>
      </c>
    </row>
    <row r="575" spans="1:10" x14ac:dyDescent="0.25">
      <c r="A575" s="57" t="str">
        <f>IF(CRM_MAGDY!H575="","","CRM-"&amp;TEXT(ROW()-4,"0000"))</f>
        <v>CRM-0571</v>
      </c>
      <c r="B575" s="57">
        <f>CRM_MAGDY!E575</f>
        <v>0</v>
      </c>
      <c r="C575" s="57">
        <f>CRM_MAGDY!H575</f>
        <v>6016</v>
      </c>
      <c r="D575" s="57">
        <f>CRM_MAGDY!I575</f>
        <v>0</v>
      </c>
      <c r="E575" s="57">
        <f>IFERROR(VALUE(CRM_MAGDY!K575),0)</f>
        <v>0</v>
      </c>
      <c r="F575" s="57">
        <f>IFERROR(IF(CRM_MAGDY!L575&gt;1,CRM_MAGDY!L575/100,CRM_MAGDY!L575),0)</f>
        <v>0</v>
      </c>
      <c r="G575" s="57">
        <f>CRM_MAGDY!N575</f>
        <v>0</v>
      </c>
      <c r="H575" s="57">
        <f>CRM_MAGDY!M575</f>
        <v>0</v>
      </c>
      <c r="I575" s="57">
        <f t="shared" si="16"/>
        <v>0</v>
      </c>
      <c r="J575" s="57" t="str">
        <f t="shared" si="17"/>
        <v>POTENCJAŁ</v>
      </c>
    </row>
    <row r="576" spans="1:10" x14ac:dyDescent="0.25">
      <c r="A576" s="57" t="str">
        <f>IF(CRM_MAGDY!H576="","","CRM-"&amp;TEXT(ROW()-4,"0000"))</f>
        <v>CRM-0572</v>
      </c>
      <c r="B576" s="57">
        <f>CRM_MAGDY!E576</f>
        <v>0</v>
      </c>
      <c r="C576" s="57">
        <f>CRM_MAGDY!H576</f>
        <v>6017</v>
      </c>
      <c r="D576" s="57">
        <f>CRM_MAGDY!I576</f>
        <v>0</v>
      </c>
      <c r="E576" s="57">
        <f>IFERROR(VALUE(CRM_MAGDY!K576),0)</f>
        <v>0</v>
      </c>
      <c r="F576" s="57">
        <f>IFERROR(IF(CRM_MAGDY!L576&gt;1,CRM_MAGDY!L576/100,CRM_MAGDY!L576),0)</f>
        <v>0</v>
      </c>
      <c r="G576" s="57">
        <f>CRM_MAGDY!N576</f>
        <v>0</v>
      </c>
      <c r="H576" s="57">
        <f>CRM_MAGDY!M576</f>
        <v>0</v>
      </c>
      <c r="I576" s="57">
        <f t="shared" si="16"/>
        <v>0</v>
      </c>
      <c r="J576" s="57" t="str">
        <f t="shared" si="17"/>
        <v>POTENCJAŁ</v>
      </c>
    </row>
    <row r="577" spans="1:10" x14ac:dyDescent="0.25">
      <c r="A577" s="57" t="str">
        <f>IF(CRM_MAGDY!H577="","","CRM-"&amp;TEXT(ROW()-4,"0000"))</f>
        <v>CRM-0573</v>
      </c>
      <c r="B577" s="57">
        <f>CRM_MAGDY!E577</f>
        <v>0</v>
      </c>
      <c r="C577" s="57">
        <f>CRM_MAGDY!H577</f>
        <v>6018</v>
      </c>
      <c r="D577" s="57">
        <f>CRM_MAGDY!I577</f>
        <v>0</v>
      </c>
      <c r="E577" s="57">
        <f>IFERROR(VALUE(CRM_MAGDY!K577),0)</f>
        <v>0</v>
      </c>
      <c r="F577" s="57">
        <f>IFERROR(IF(CRM_MAGDY!L577&gt;1,CRM_MAGDY!L577/100,CRM_MAGDY!L577),0)</f>
        <v>0</v>
      </c>
      <c r="G577" s="57">
        <f>CRM_MAGDY!N577</f>
        <v>0</v>
      </c>
      <c r="H577" s="57">
        <f>CRM_MAGDY!M577</f>
        <v>0</v>
      </c>
      <c r="I577" s="57">
        <f t="shared" si="16"/>
        <v>0</v>
      </c>
      <c r="J577" s="57" t="str">
        <f t="shared" si="17"/>
        <v>POTENCJAŁ</v>
      </c>
    </row>
    <row r="578" spans="1:10" x14ac:dyDescent="0.25">
      <c r="A578" s="57" t="str">
        <f>IF(CRM_MAGDY!H578="","","CRM-"&amp;TEXT(ROW()-4,"0000"))</f>
        <v>CRM-0574</v>
      </c>
      <c r="B578" s="57">
        <f>CRM_MAGDY!E578</f>
        <v>0</v>
      </c>
      <c r="C578" s="57">
        <f>CRM_MAGDY!H578</f>
        <v>6019</v>
      </c>
      <c r="D578" s="57">
        <f>CRM_MAGDY!I578</f>
        <v>0</v>
      </c>
      <c r="E578" s="57">
        <f>IFERROR(VALUE(CRM_MAGDY!K578),0)</f>
        <v>0</v>
      </c>
      <c r="F578" s="57">
        <f>IFERROR(IF(CRM_MAGDY!L578&gt;1,CRM_MAGDY!L578/100,CRM_MAGDY!L578),0)</f>
        <v>0</v>
      </c>
      <c r="G578" s="57">
        <f>CRM_MAGDY!N578</f>
        <v>0</v>
      </c>
      <c r="H578" s="57">
        <f>CRM_MAGDY!M578</f>
        <v>0</v>
      </c>
      <c r="I578" s="57">
        <f t="shared" si="16"/>
        <v>0</v>
      </c>
      <c r="J578" s="57" t="str">
        <f t="shared" si="17"/>
        <v>POTENCJAŁ</v>
      </c>
    </row>
    <row r="579" spans="1:10" x14ac:dyDescent="0.25">
      <c r="A579" s="57" t="str">
        <f>IF(CRM_MAGDY!H579="","","CRM-"&amp;TEXT(ROW()-4,"0000"))</f>
        <v>CRM-0575</v>
      </c>
      <c r="B579" s="57">
        <f>CRM_MAGDY!E579</f>
        <v>0</v>
      </c>
      <c r="C579" s="57">
        <f>CRM_MAGDY!H579</f>
        <v>6020</v>
      </c>
      <c r="D579" s="57">
        <f>CRM_MAGDY!I579</f>
        <v>0</v>
      </c>
      <c r="E579" s="57">
        <f>IFERROR(VALUE(CRM_MAGDY!K579),0)</f>
        <v>0</v>
      </c>
      <c r="F579" s="57">
        <f>IFERROR(IF(CRM_MAGDY!L579&gt;1,CRM_MAGDY!L579/100,CRM_MAGDY!L579),0)</f>
        <v>0</v>
      </c>
      <c r="G579" s="57">
        <f>CRM_MAGDY!N579</f>
        <v>0</v>
      </c>
      <c r="H579" s="57">
        <f>CRM_MAGDY!M579</f>
        <v>0</v>
      </c>
      <c r="I579" s="57">
        <f t="shared" si="16"/>
        <v>0</v>
      </c>
      <c r="J579" s="57" t="str">
        <f t="shared" si="17"/>
        <v>POTENCJAŁ</v>
      </c>
    </row>
    <row r="580" spans="1:10" x14ac:dyDescent="0.25">
      <c r="A580" s="57" t="str">
        <f>IF(CRM_MAGDY!H580="","","CRM-"&amp;TEXT(ROW()-4,"0000"))</f>
        <v>CRM-0576</v>
      </c>
      <c r="B580" s="57">
        <f>CRM_MAGDY!E580</f>
        <v>0</v>
      </c>
      <c r="C580" s="57">
        <f>CRM_MAGDY!H580</f>
        <v>6021</v>
      </c>
      <c r="D580" s="57">
        <f>CRM_MAGDY!I580</f>
        <v>0</v>
      </c>
      <c r="E580" s="57">
        <f>IFERROR(VALUE(CRM_MAGDY!K580),0)</f>
        <v>0</v>
      </c>
      <c r="F580" s="57">
        <f>IFERROR(IF(CRM_MAGDY!L580&gt;1,CRM_MAGDY!L580/100,CRM_MAGDY!L580),0)</f>
        <v>0</v>
      </c>
      <c r="G580" s="57">
        <f>CRM_MAGDY!N580</f>
        <v>0</v>
      </c>
      <c r="H580" s="57">
        <f>CRM_MAGDY!M580</f>
        <v>0</v>
      </c>
      <c r="I580" s="57">
        <f t="shared" si="16"/>
        <v>0</v>
      </c>
      <c r="J580" s="57" t="str">
        <f t="shared" si="17"/>
        <v>POTENCJAŁ</v>
      </c>
    </row>
    <row r="581" spans="1:10" x14ac:dyDescent="0.25">
      <c r="A581" s="57" t="str">
        <f>IF(CRM_MAGDY!H581="","","CRM-"&amp;TEXT(ROW()-4,"0000"))</f>
        <v>CRM-0577</v>
      </c>
      <c r="B581" s="57">
        <f>CRM_MAGDY!E581</f>
        <v>0</v>
      </c>
      <c r="C581" s="57">
        <f>CRM_MAGDY!H581</f>
        <v>6022</v>
      </c>
      <c r="D581" s="57">
        <f>CRM_MAGDY!I581</f>
        <v>0</v>
      </c>
      <c r="E581" s="57">
        <f>IFERROR(VALUE(CRM_MAGDY!K581),0)</f>
        <v>0</v>
      </c>
      <c r="F581" s="57">
        <f>IFERROR(IF(CRM_MAGDY!L581&gt;1,CRM_MAGDY!L581/100,CRM_MAGDY!L581),0)</f>
        <v>0</v>
      </c>
      <c r="G581" s="57">
        <f>CRM_MAGDY!N581</f>
        <v>0</v>
      </c>
      <c r="H581" s="57">
        <f>CRM_MAGDY!M581</f>
        <v>0</v>
      </c>
      <c r="I581" s="57">
        <f t="shared" ref="I581:I644" si="18">IF(OR(G581="WYGRANA",G581="PRZEGRANA"),0,E581*F581)</f>
        <v>0</v>
      </c>
      <c r="J581" s="57" t="str">
        <f t="shared" ref="J581:J644" si="19">IF(F581&gt;=0.7,"PEWNY",IF(F581&gt;=0.3,"REALNY","POTENCJAŁ"))</f>
        <v>POTENCJAŁ</v>
      </c>
    </row>
    <row r="582" spans="1:10" x14ac:dyDescent="0.25">
      <c r="A582" s="57" t="str">
        <f>IF(CRM_MAGDY!H582="","","CRM-"&amp;TEXT(ROW()-4,"0000"))</f>
        <v>CRM-0578</v>
      </c>
      <c r="B582" s="57">
        <f>CRM_MAGDY!E582</f>
        <v>0</v>
      </c>
      <c r="C582" s="57">
        <f>CRM_MAGDY!H582</f>
        <v>6023</v>
      </c>
      <c r="D582" s="57">
        <f>CRM_MAGDY!I582</f>
        <v>0</v>
      </c>
      <c r="E582" s="57">
        <f>IFERROR(VALUE(CRM_MAGDY!K582),0)</f>
        <v>0</v>
      </c>
      <c r="F582" s="57">
        <f>IFERROR(IF(CRM_MAGDY!L582&gt;1,CRM_MAGDY!L582/100,CRM_MAGDY!L582),0)</f>
        <v>0</v>
      </c>
      <c r="G582" s="57">
        <f>CRM_MAGDY!N582</f>
        <v>0</v>
      </c>
      <c r="H582" s="57">
        <f>CRM_MAGDY!M582</f>
        <v>0</v>
      </c>
      <c r="I582" s="57">
        <f t="shared" si="18"/>
        <v>0</v>
      </c>
      <c r="J582" s="57" t="str">
        <f t="shared" si="19"/>
        <v>POTENCJAŁ</v>
      </c>
    </row>
    <row r="583" spans="1:10" x14ac:dyDescent="0.25">
      <c r="A583" s="57" t="str">
        <f>IF(CRM_MAGDY!H583="","","CRM-"&amp;TEXT(ROW()-4,"0000"))</f>
        <v>CRM-0579</v>
      </c>
      <c r="B583" s="57">
        <f>CRM_MAGDY!E583</f>
        <v>0</v>
      </c>
      <c r="C583" s="57">
        <f>CRM_MAGDY!H583</f>
        <v>6024</v>
      </c>
      <c r="D583" s="57">
        <f>CRM_MAGDY!I583</f>
        <v>0</v>
      </c>
      <c r="E583" s="57">
        <f>IFERROR(VALUE(CRM_MAGDY!K583),0)</f>
        <v>0</v>
      </c>
      <c r="F583" s="57">
        <f>IFERROR(IF(CRM_MAGDY!L583&gt;1,CRM_MAGDY!L583/100,CRM_MAGDY!L583),0)</f>
        <v>0</v>
      </c>
      <c r="G583" s="57">
        <f>CRM_MAGDY!N583</f>
        <v>0</v>
      </c>
      <c r="H583" s="57">
        <f>CRM_MAGDY!M583</f>
        <v>0</v>
      </c>
      <c r="I583" s="57">
        <f t="shared" si="18"/>
        <v>0</v>
      </c>
      <c r="J583" s="57" t="str">
        <f t="shared" si="19"/>
        <v>POTENCJAŁ</v>
      </c>
    </row>
    <row r="584" spans="1:10" x14ac:dyDescent="0.25">
      <c r="A584" s="57" t="str">
        <f>IF(CRM_MAGDY!H584="","","CRM-"&amp;TEXT(ROW()-4,"0000"))</f>
        <v>CRM-0580</v>
      </c>
      <c r="B584" s="57">
        <f>CRM_MAGDY!E584</f>
        <v>0</v>
      </c>
      <c r="C584" s="57">
        <f>CRM_MAGDY!H584</f>
        <v>6025</v>
      </c>
      <c r="D584" s="57">
        <f>CRM_MAGDY!I584</f>
        <v>0</v>
      </c>
      <c r="E584" s="57">
        <f>IFERROR(VALUE(CRM_MAGDY!K584),0)</f>
        <v>0</v>
      </c>
      <c r="F584" s="57">
        <f>IFERROR(IF(CRM_MAGDY!L584&gt;1,CRM_MAGDY!L584/100,CRM_MAGDY!L584),0)</f>
        <v>0</v>
      </c>
      <c r="G584" s="57">
        <f>CRM_MAGDY!N584</f>
        <v>0</v>
      </c>
      <c r="H584" s="57">
        <f>CRM_MAGDY!M584</f>
        <v>0</v>
      </c>
      <c r="I584" s="57">
        <f t="shared" si="18"/>
        <v>0</v>
      </c>
      <c r="J584" s="57" t="str">
        <f t="shared" si="19"/>
        <v>POTENCJAŁ</v>
      </c>
    </row>
    <row r="585" spans="1:10" x14ac:dyDescent="0.25">
      <c r="A585" s="57" t="str">
        <f>IF(CRM_MAGDY!H585="","","CRM-"&amp;TEXT(ROW()-4,"0000"))</f>
        <v>CRM-0581</v>
      </c>
      <c r="B585" s="57">
        <f>CRM_MAGDY!E585</f>
        <v>0</v>
      </c>
      <c r="C585" s="57">
        <f>CRM_MAGDY!H585</f>
        <v>6026</v>
      </c>
      <c r="D585" s="57">
        <f>CRM_MAGDY!I585</f>
        <v>0</v>
      </c>
      <c r="E585" s="57">
        <f>IFERROR(VALUE(CRM_MAGDY!K585),0)</f>
        <v>0</v>
      </c>
      <c r="F585" s="57">
        <f>IFERROR(IF(CRM_MAGDY!L585&gt;1,CRM_MAGDY!L585/100,CRM_MAGDY!L585),0)</f>
        <v>0</v>
      </c>
      <c r="G585" s="57">
        <f>CRM_MAGDY!N585</f>
        <v>0</v>
      </c>
      <c r="H585" s="57">
        <f>CRM_MAGDY!M585</f>
        <v>0</v>
      </c>
      <c r="I585" s="57">
        <f t="shared" si="18"/>
        <v>0</v>
      </c>
      <c r="J585" s="57" t="str">
        <f t="shared" si="19"/>
        <v>POTENCJAŁ</v>
      </c>
    </row>
    <row r="586" spans="1:10" x14ac:dyDescent="0.25">
      <c r="A586" s="57" t="str">
        <f>IF(CRM_MAGDY!H586="","","CRM-"&amp;TEXT(ROW()-4,"0000"))</f>
        <v>CRM-0582</v>
      </c>
      <c r="B586" s="57">
        <f>CRM_MAGDY!E586</f>
        <v>0</v>
      </c>
      <c r="C586" s="57">
        <f>CRM_MAGDY!H586</f>
        <v>6027</v>
      </c>
      <c r="D586" s="57">
        <f>CRM_MAGDY!I586</f>
        <v>0</v>
      </c>
      <c r="E586" s="57">
        <f>IFERROR(VALUE(CRM_MAGDY!K586),0)</f>
        <v>0</v>
      </c>
      <c r="F586" s="57">
        <f>IFERROR(IF(CRM_MAGDY!L586&gt;1,CRM_MAGDY!L586/100,CRM_MAGDY!L586),0)</f>
        <v>0</v>
      </c>
      <c r="G586" s="57">
        <f>CRM_MAGDY!N586</f>
        <v>0</v>
      </c>
      <c r="H586" s="57">
        <f>CRM_MAGDY!M586</f>
        <v>0</v>
      </c>
      <c r="I586" s="57">
        <f t="shared" si="18"/>
        <v>0</v>
      </c>
      <c r="J586" s="57" t="str">
        <f t="shared" si="19"/>
        <v>POTENCJAŁ</v>
      </c>
    </row>
    <row r="587" spans="1:10" x14ac:dyDescent="0.25">
      <c r="A587" s="57" t="str">
        <f>IF(CRM_MAGDY!H587="","","CRM-"&amp;TEXT(ROW()-4,"0000"))</f>
        <v>CRM-0583</v>
      </c>
      <c r="B587" s="57">
        <f>CRM_MAGDY!E587</f>
        <v>0</v>
      </c>
      <c r="C587" s="57">
        <f>CRM_MAGDY!H587</f>
        <v>6028</v>
      </c>
      <c r="D587" s="57">
        <f>CRM_MAGDY!I587</f>
        <v>0</v>
      </c>
      <c r="E587" s="57">
        <f>IFERROR(VALUE(CRM_MAGDY!K587),0)</f>
        <v>0</v>
      </c>
      <c r="F587" s="57">
        <f>IFERROR(IF(CRM_MAGDY!L587&gt;1,CRM_MAGDY!L587/100,CRM_MAGDY!L587),0)</f>
        <v>0</v>
      </c>
      <c r="G587" s="57">
        <f>CRM_MAGDY!N587</f>
        <v>0</v>
      </c>
      <c r="H587" s="57">
        <f>CRM_MAGDY!M587</f>
        <v>0</v>
      </c>
      <c r="I587" s="57">
        <f t="shared" si="18"/>
        <v>0</v>
      </c>
      <c r="J587" s="57" t="str">
        <f t="shared" si="19"/>
        <v>POTENCJAŁ</v>
      </c>
    </row>
    <row r="588" spans="1:10" x14ac:dyDescent="0.25">
      <c r="A588" s="57" t="str">
        <f>IF(CRM_MAGDY!H588="","","CRM-"&amp;TEXT(ROW()-4,"0000"))</f>
        <v>CRM-0584</v>
      </c>
      <c r="B588" s="57">
        <f>CRM_MAGDY!E588</f>
        <v>0</v>
      </c>
      <c r="C588" s="57">
        <f>CRM_MAGDY!H588</f>
        <v>6029</v>
      </c>
      <c r="D588" s="57">
        <f>CRM_MAGDY!I588</f>
        <v>0</v>
      </c>
      <c r="E588" s="57">
        <f>IFERROR(VALUE(CRM_MAGDY!K588),0)</f>
        <v>0</v>
      </c>
      <c r="F588" s="57">
        <f>IFERROR(IF(CRM_MAGDY!L588&gt;1,CRM_MAGDY!L588/100,CRM_MAGDY!L588),0)</f>
        <v>0</v>
      </c>
      <c r="G588" s="57">
        <f>CRM_MAGDY!N588</f>
        <v>0</v>
      </c>
      <c r="H588" s="57">
        <f>CRM_MAGDY!M588</f>
        <v>0</v>
      </c>
      <c r="I588" s="57">
        <f t="shared" si="18"/>
        <v>0</v>
      </c>
      <c r="J588" s="57" t="str">
        <f t="shared" si="19"/>
        <v>POTENCJAŁ</v>
      </c>
    </row>
    <row r="589" spans="1:10" x14ac:dyDescent="0.25">
      <c r="A589" s="57" t="str">
        <f>IF(CRM_MAGDY!H589="","","CRM-"&amp;TEXT(ROW()-4,"0000"))</f>
        <v>CRM-0585</v>
      </c>
      <c r="B589" s="57">
        <f>CRM_MAGDY!E589</f>
        <v>0</v>
      </c>
      <c r="C589" s="57">
        <f>CRM_MAGDY!H589</f>
        <v>6030</v>
      </c>
      <c r="D589" s="57">
        <f>CRM_MAGDY!I589</f>
        <v>0</v>
      </c>
      <c r="E589" s="57">
        <f>IFERROR(VALUE(CRM_MAGDY!K589),0)</f>
        <v>0</v>
      </c>
      <c r="F589" s="57">
        <f>IFERROR(IF(CRM_MAGDY!L589&gt;1,CRM_MAGDY!L589/100,CRM_MAGDY!L589),0)</f>
        <v>0</v>
      </c>
      <c r="G589" s="57">
        <f>CRM_MAGDY!N589</f>
        <v>0</v>
      </c>
      <c r="H589" s="57">
        <f>CRM_MAGDY!M589</f>
        <v>0</v>
      </c>
      <c r="I589" s="57">
        <f t="shared" si="18"/>
        <v>0</v>
      </c>
      <c r="J589" s="57" t="str">
        <f t="shared" si="19"/>
        <v>POTENCJAŁ</v>
      </c>
    </row>
    <row r="590" spans="1:10" x14ac:dyDescent="0.25">
      <c r="A590" s="57" t="str">
        <f>IF(CRM_MAGDY!H590="","","CRM-"&amp;TEXT(ROW()-4,"0000"))</f>
        <v>CRM-0586</v>
      </c>
      <c r="B590" s="57">
        <f>CRM_MAGDY!E590</f>
        <v>0</v>
      </c>
      <c r="C590" s="57">
        <f>CRM_MAGDY!H590</f>
        <v>6031</v>
      </c>
      <c r="D590" s="57">
        <f>CRM_MAGDY!I590</f>
        <v>0</v>
      </c>
      <c r="E590" s="57">
        <f>IFERROR(VALUE(CRM_MAGDY!K590),0)</f>
        <v>0</v>
      </c>
      <c r="F590" s="57">
        <f>IFERROR(IF(CRM_MAGDY!L590&gt;1,CRM_MAGDY!L590/100,CRM_MAGDY!L590),0)</f>
        <v>0</v>
      </c>
      <c r="G590" s="57">
        <f>CRM_MAGDY!N590</f>
        <v>0</v>
      </c>
      <c r="H590" s="57">
        <f>CRM_MAGDY!M590</f>
        <v>0</v>
      </c>
      <c r="I590" s="57">
        <f t="shared" si="18"/>
        <v>0</v>
      </c>
      <c r="J590" s="57" t="str">
        <f t="shared" si="19"/>
        <v>POTENCJAŁ</v>
      </c>
    </row>
    <row r="591" spans="1:10" x14ac:dyDescent="0.25">
      <c r="A591" s="57" t="str">
        <f>IF(CRM_MAGDY!H591="","","CRM-"&amp;TEXT(ROW()-4,"0000"))</f>
        <v>CRM-0587</v>
      </c>
      <c r="B591" s="57">
        <f>CRM_MAGDY!E591</f>
        <v>0</v>
      </c>
      <c r="C591" s="57">
        <f>CRM_MAGDY!H591</f>
        <v>6032</v>
      </c>
      <c r="D591" s="57">
        <f>CRM_MAGDY!I591</f>
        <v>0</v>
      </c>
      <c r="E591" s="57">
        <f>IFERROR(VALUE(CRM_MAGDY!K591),0)</f>
        <v>0</v>
      </c>
      <c r="F591" s="57">
        <f>IFERROR(IF(CRM_MAGDY!L591&gt;1,CRM_MAGDY!L591/100,CRM_MAGDY!L591),0)</f>
        <v>0</v>
      </c>
      <c r="G591" s="57">
        <f>CRM_MAGDY!N591</f>
        <v>0</v>
      </c>
      <c r="H591" s="57">
        <f>CRM_MAGDY!M591</f>
        <v>0</v>
      </c>
      <c r="I591" s="57">
        <f t="shared" si="18"/>
        <v>0</v>
      </c>
      <c r="J591" s="57" t="str">
        <f t="shared" si="19"/>
        <v>POTENCJAŁ</v>
      </c>
    </row>
    <row r="592" spans="1:10" x14ac:dyDescent="0.25">
      <c r="A592" s="57" t="str">
        <f>IF(CRM_MAGDY!H592="","","CRM-"&amp;TEXT(ROW()-4,"0000"))</f>
        <v>CRM-0588</v>
      </c>
      <c r="B592" s="57">
        <f>CRM_MAGDY!E592</f>
        <v>0</v>
      </c>
      <c r="C592" s="57">
        <f>CRM_MAGDY!H592</f>
        <v>6033</v>
      </c>
      <c r="D592" s="57">
        <f>CRM_MAGDY!I592</f>
        <v>0</v>
      </c>
      <c r="E592" s="57">
        <f>IFERROR(VALUE(CRM_MAGDY!K592),0)</f>
        <v>0</v>
      </c>
      <c r="F592" s="57">
        <f>IFERROR(IF(CRM_MAGDY!L592&gt;1,CRM_MAGDY!L592/100,CRM_MAGDY!L592),0)</f>
        <v>0</v>
      </c>
      <c r="G592" s="57">
        <f>CRM_MAGDY!N592</f>
        <v>0</v>
      </c>
      <c r="H592" s="57">
        <f>CRM_MAGDY!M592</f>
        <v>0</v>
      </c>
      <c r="I592" s="57">
        <f t="shared" si="18"/>
        <v>0</v>
      </c>
      <c r="J592" s="57" t="str">
        <f t="shared" si="19"/>
        <v>POTENCJAŁ</v>
      </c>
    </row>
    <row r="593" spans="1:10" x14ac:dyDescent="0.25">
      <c r="A593" s="57" t="str">
        <f>IF(CRM_MAGDY!H593="","","CRM-"&amp;TEXT(ROW()-4,"0000"))</f>
        <v>CRM-0589</v>
      </c>
      <c r="B593" s="57">
        <f>CRM_MAGDY!E593</f>
        <v>0</v>
      </c>
      <c r="C593" s="57">
        <f>CRM_MAGDY!H593</f>
        <v>6034</v>
      </c>
      <c r="D593" s="57">
        <f>CRM_MAGDY!I593</f>
        <v>0</v>
      </c>
      <c r="E593" s="57">
        <f>IFERROR(VALUE(CRM_MAGDY!K593),0)</f>
        <v>0</v>
      </c>
      <c r="F593" s="57">
        <f>IFERROR(IF(CRM_MAGDY!L593&gt;1,CRM_MAGDY!L593/100,CRM_MAGDY!L593),0)</f>
        <v>0</v>
      </c>
      <c r="G593" s="57">
        <f>CRM_MAGDY!N593</f>
        <v>0</v>
      </c>
      <c r="H593" s="57">
        <f>CRM_MAGDY!M593</f>
        <v>0</v>
      </c>
      <c r="I593" s="57">
        <f t="shared" si="18"/>
        <v>0</v>
      </c>
      <c r="J593" s="57" t="str">
        <f t="shared" si="19"/>
        <v>POTENCJAŁ</v>
      </c>
    </row>
    <row r="594" spans="1:10" x14ac:dyDescent="0.25">
      <c r="A594" s="57" t="str">
        <f>IF(CRM_MAGDY!H594="","","CRM-"&amp;TEXT(ROW()-4,"0000"))</f>
        <v>CRM-0590</v>
      </c>
      <c r="B594" s="57">
        <f>CRM_MAGDY!E594</f>
        <v>0</v>
      </c>
      <c r="C594" s="57">
        <f>CRM_MAGDY!H594</f>
        <v>6035</v>
      </c>
      <c r="D594" s="57">
        <f>CRM_MAGDY!I594</f>
        <v>0</v>
      </c>
      <c r="E594" s="57">
        <f>IFERROR(VALUE(CRM_MAGDY!K594),0)</f>
        <v>0</v>
      </c>
      <c r="F594" s="57">
        <f>IFERROR(IF(CRM_MAGDY!L594&gt;1,CRM_MAGDY!L594/100,CRM_MAGDY!L594),0)</f>
        <v>0</v>
      </c>
      <c r="G594" s="57">
        <f>CRM_MAGDY!N594</f>
        <v>0</v>
      </c>
      <c r="H594" s="57">
        <f>CRM_MAGDY!M594</f>
        <v>0</v>
      </c>
      <c r="I594" s="57">
        <f t="shared" si="18"/>
        <v>0</v>
      </c>
      <c r="J594" s="57" t="str">
        <f t="shared" si="19"/>
        <v>POTENCJAŁ</v>
      </c>
    </row>
    <row r="595" spans="1:10" x14ac:dyDescent="0.25">
      <c r="A595" s="57" t="str">
        <f>IF(CRM_MAGDY!H595="","","CRM-"&amp;TEXT(ROW()-4,"0000"))</f>
        <v>CRM-0591</v>
      </c>
      <c r="B595" s="57">
        <f>CRM_MAGDY!E595</f>
        <v>0</v>
      </c>
      <c r="C595" s="57">
        <f>CRM_MAGDY!H595</f>
        <v>6036</v>
      </c>
      <c r="D595" s="57">
        <f>CRM_MAGDY!I595</f>
        <v>0</v>
      </c>
      <c r="E595" s="57">
        <f>IFERROR(VALUE(CRM_MAGDY!K595),0)</f>
        <v>0</v>
      </c>
      <c r="F595" s="57">
        <f>IFERROR(IF(CRM_MAGDY!L595&gt;1,CRM_MAGDY!L595/100,CRM_MAGDY!L595),0)</f>
        <v>0</v>
      </c>
      <c r="G595" s="57">
        <f>CRM_MAGDY!N595</f>
        <v>0</v>
      </c>
      <c r="H595" s="57">
        <f>CRM_MAGDY!M595</f>
        <v>0</v>
      </c>
      <c r="I595" s="57">
        <f t="shared" si="18"/>
        <v>0</v>
      </c>
      <c r="J595" s="57" t="str">
        <f t="shared" si="19"/>
        <v>POTENCJAŁ</v>
      </c>
    </row>
    <row r="596" spans="1:10" x14ac:dyDescent="0.25">
      <c r="A596" s="57" t="str">
        <f>IF(CRM_MAGDY!H596="","","CRM-"&amp;TEXT(ROW()-4,"0000"))</f>
        <v>CRM-0592</v>
      </c>
      <c r="B596" s="57">
        <f>CRM_MAGDY!E596</f>
        <v>0</v>
      </c>
      <c r="C596" s="57">
        <f>CRM_MAGDY!H596</f>
        <v>6037</v>
      </c>
      <c r="D596" s="57">
        <f>CRM_MAGDY!I596</f>
        <v>0</v>
      </c>
      <c r="E596" s="57">
        <f>IFERROR(VALUE(CRM_MAGDY!K596),0)</f>
        <v>0</v>
      </c>
      <c r="F596" s="57">
        <f>IFERROR(IF(CRM_MAGDY!L596&gt;1,CRM_MAGDY!L596/100,CRM_MAGDY!L596),0)</f>
        <v>0</v>
      </c>
      <c r="G596" s="57">
        <f>CRM_MAGDY!N596</f>
        <v>0</v>
      </c>
      <c r="H596" s="57">
        <f>CRM_MAGDY!M596</f>
        <v>0</v>
      </c>
      <c r="I596" s="57">
        <f t="shared" si="18"/>
        <v>0</v>
      </c>
      <c r="J596" s="57" t="str">
        <f t="shared" si="19"/>
        <v>POTENCJAŁ</v>
      </c>
    </row>
    <row r="597" spans="1:10" x14ac:dyDescent="0.25">
      <c r="A597" s="57" t="str">
        <f>IF(CRM_MAGDY!H597="","","CRM-"&amp;TEXT(ROW()-4,"0000"))</f>
        <v>CRM-0593</v>
      </c>
      <c r="B597" s="57">
        <f>CRM_MAGDY!E597</f>
        <v>0</v>
      </c>
      <c r="C597" s="57">
        <f>CRM_MAGDY!H597</f>
        <v>6038</v>
      </c>
      <c r="D597" s="57">
        <f>CRM_MAGDY!I597</f>
        <v>0</v>
      </c>
      <c r="E597" s="57">
        <f>IFERROR(VALUE(CRM_MAGDY!K597),0)</f>
        <v>0</v>
      </c>
      <c r="F597" s="57">
        <f>IFERROR(IF(CRM_MAGDY!L597&gt;1,CRM_MAGDY!L597/100,CRM_MAGDY!L597),0)</f>
        <v>0</v>
      </c>
      <c r="G597" s="57">
        <f>CRM_MAGDY!N597</f>
        <v>0</v>
      </c>
      <c r="H597" s="57">
        <f>CRM_MAGDY!M597</f>
        <v>0</v>
      </c>
      <c r="I597" s="57">
        <f t="shared" si="18"/>
        <v>0</v>
      </c>
      <c r="J597" s="57" t="str">
        <f t="shared" si="19"/>
        <v>POTENCJAŁ</v>
      </c>
    </row>
    <row r="598" spans="1:10" x14ac:dyDescent="0.25">
      <c r="A598" s="57" t="str">
        <f>IF(CRM_MAGDY!H598="","","CRM-"&amp;TEXT(ROW()-4,"0000"))</f>
        <v>CRM-0594</v>
      </c>
      <c r="B598" s="57">
        <f>CRM_MAGDY!E598</f>
        <v>0</v>
      </c>
      <c r="C598" s="57">
        <f>CRM_MAGDY!H598</f>
        <v>6039</v>
      </c>
      <c r="D598" s="57">
        <f>CRM_MAGDY!I598</f>
        <v>0</v>
      </c>
      <c r="E598" s="57">
        <f>IFERROR(VALUE(CRM_MAGDY!K598),0)</f>
        <v>0</v>
      </c>
      <c r="F598" s="57">
        <f>IFERROR(IF(CRM_MAGDY!L598&gt;1,CRM_MAGDY!L598/100,CRM_MAGDY!L598),0)</f>
        <v>0</v>
      </c>
      <c r="G598" s="57">
        <f>CRM_MAGDY!N598</f>
        <v>0</v>
      </c>
      <c r="H598" s="57">
        <f>CRM_MAGDY!M598</f>
        <v>0</v>
      </c>
      <c r="I598" s="57">
        <f t="shared" si="18"/>
        <v>0</v>
      </c>
      <c r="J598" s="57" t="str">
        <f t="shared" si="19"/>
        <v>POTENCJAŁ</v>
      </c>
    </row>
    <row r="599" spans="1:10" x14ac:dyDescent="0.25">
      <c r="A599" s="57" t="str">
        <f>IF(CRM_MAGDY!H599="","","CRM-"&amp;TEXT(ROW()-4,"0000"))</f>
        <v>CRM-0595</v>
      </c>
      <c r="B599" s="57">
        <f>CRM_MAGDY!E599</f>
        <v>0</v>
      </c>
      <c r="C599" s="57">
        <f>CRM_MAGDY!H599</f>
        <v>6040</v>
      </c>
      <c r="D599" s="57">
        <f>CRM_MAGDY!I599</f>
        <v>0</v>
      </c>
      <c r="E599" s="57">
        <f>IFERROR(VALUE(CRM_MAGDY!K599),0)</f>
        <v>0</v>
      </c>
      <c r="F599" s="57">
        <f>IFERROR(IF(CRM_MAGDY!L599&gt;1,CRM_MAGDY!L599/100,CRM_MAGDY!L599),0)</f>
        <v>0</v>
      </c>
      <c r="G599" s="57">
        <f>CRM_MAGDY!N599</f>
        <v>0</v>
      </c>
      <c r="H599" s="57">
        <f>CRM_MAGDY!M599</f>
        <v>0</v>
      </c>
      <c r="I599" s="57">
        <f t="shared" si="18"/>
        <v>0</v>
      </c>
      <c r="J599" s="57" t="str">
        <f t="shared" si="19"/>
        <v>POTENCJAŁ</v>
      </c>
    </row>
    <row r="600" spans="1:10" x14ac:dyDescent="0.25">
      <c r="A600" s="57" t="str">
        <f>IF(CRM_MAGDY!H600="","","CRM-"&amp;TEXT(ROW()-4,"0000"))</f>
        <v>CRM-0596</v>
      </c>
      <c r="B600" s="57">
        <f>CRM_MAGDY!E600</f>
        <v>0</v>
      </c>
      <c r="C600" s="57">
        <f>CRM_MAGDY!H600</f>
        <v>6041</v>
      </c>
      <c r="D600" s="57">
        <f>CRM_MAGDY!I600</f>
        <v>0</v>
      </c>
      <c r="E600" s="57">
        <f>IFERROR(VALUE(CRM_MAGDY!K600),0)</f>
        <v>0</v>
      </c>
      <c r="F600" s="57">
        <f>IFERROR(IF(CRM_MAGDY!L600&gt;1,CRM_MAGDY!L600/100,CRM_MAGDY!L600),0)</f>
        <v>0</v>
      </c>
      <c r="G600" s="57">
        <f>CRM_MAGDY!N600</f>
        <v>0</v>
      </c>
      <c r="H600" s="57">
        <f>CRM_MAGDY!M600</f>
        <v>0</v>
      </c>
      <c r="I600" s="57">
        <f t="shared" si="18"/>
        <v>0</v>
      </c>
      <c r="J600" s="57" t="str">
        <f t="shared" si="19"/>
        <v>POTENCJAŁ</v>
      </c>
    </row>
    <row r="601" spans="1:10" x14ac:dyDescent="0.25">
      <c r="A601" s="57" t="str">
        <f>IF(CRM_MAGDY!H601="","","CRM-"&amp;TEXT(ROW()-4,"0000"))</f>
        <v>CRM-0597</v>
      </c>
      <c r="B601" s="57">
        <f>CRM_MAGDY!E601</f>
        <v>0</v>
      </c>
      <c r="C601" s="57">
        <f>CRM_MAGDY!H601</f>
        <v>6042</v>
      </c>
      <c r="D601" s="57">
        <f>CRM_MAGDY!I601</f>
        <v>0</v>
      </c>
      <c r="E601" s="57">
        <f>IFERROR(VALUE(CRM_MAGDY!K601),0)</f>
        <v>0</v>
      </c>
      <c r="F601" s="57">
        <f>IFERROR(IF(CRM_MAGDY!L601&gt;1,CRM_MAGDY!L601/100,CRM_MAGDY!L601),0)</f>
        <v>0</v>
      </c>
      <c r="G601" s="57">
        <f>CRM_MAGDY!N601</f>
        <v>0</v>
      </c>
      <c r="H601" s="57">
        <f>CRM_MAGDY!M601</f>
        <v>0</v>
      </c>
      <c r="I601" s="57">
        <f t="shared" si="18"/>
        <v>0</v>
      </c>
      <c r="J601" s="57" t="str">
        <f t="shared" si="19"/>
        <v>POTENCJAŁ</v>
      </c>
    </row>
    <row r="602" spans="1:10" x14ac:dyDescent="0.25">
      <c r="A602" s="57" t="str">
        <f>IF(CRM_MAGDY!H602="","","CRM-"&amp;TEXT(ROW()-4,"0000"))</f>
        <v>CRM-0598</v>
      </c>
      <c r="B602" s="57">
        <f>CRM_MAGDY!E602</f>
        <v>0</v>
      </c>
      <c r="C602" s="57">
        <f>CRM_MAGDY!H602</f>
        <v>6043</v>
      </c>
      <c r="D602" s="57">
        <f>CRM_MAGDY!I602</f>
        <v>0</v>
      </c>
      <c r="E602" s="57">
        <f>IFERROR(VALUE(CRM_MAGDY!K602),0)</f>
        <v>0</v>
      </c>
      <c r="F602" s="57">
        <f>IFERROR(IF(CRM_MAGDY!L602&gt;1,CRM_MAGDY!L602/100,CRM_MAGDY!L602),0)</f>
        <v>0</v>
      </c>
      <c r="G602" s="57">
        <f>CRM_MAGDY!N602</f>
        <v>0</v>
      </c>
      <c r="H602" s="57">
        <f>CRM_MAGDY!M602</f>
        <v>0</v>
      </c>
      <c r="I602" s="57">
        <f t="shared" si="18"/>
        <v>0</v>
      </c>
      <c r="J602" s="57" t="str">
        <f t="shared" si="19"/>
        <v>POTENCJAŁ</v>
      </c>
    </row>
    <row r="603" spans="1:10" x14ac:dyDescent="0.25">
      <c r="A603" s="57" t="str">
        <f>IF(CRM_MAGDY!H603="","","CRM-"&amp;TEXT(ROW()-4,"0000"))</f>
        <v>CRM-0599</v>
      </c>
      <c r="B603" s="57">
        <f>CRM_MAGDY!E603</f>
        <v>0</v>
      </c>
      <c r="C603" s="57">
        <f>CRM_MAGDY!H603</f>
        <v>6044</v>
      </c>
      <c r="D603" s="57">
        <f>CRM_MAGDY!I603</f>
        <v>0</v>
      </c>
      <c r="E603" s="57">
        <f>IFERROR(VALUE(CRM_MAGDY!K603),0)</f>
        <v>0</v>
      </c>
      <c r="F603" s="57">
        <f>IFERROR(IF(CRM_MAGDY!L603&gt;1,CRM_MAGDY!L603/100,CRM_MAGDY!L603),0)</f>
        <v>0</v>
      </c>
      <c r="G603" s="57">
        <f>CRM_MAGDY!N603</f>
        <v>0</v>
      </c>
      <c r="H603" s="57">
        <f>CRM_MAGDY!M603</f>
        <v>0</v>
      </c>
      <c r="I603" s="57">
        <f t="shared" si="18"/>
        <v>0</v>
      </c>
      <c r="J603" s="57" t="str">
        <f t="shared" si="19"/>
        <v>POTENCJAŁ</v>
      </c>
    </row>
    <row r="604" spans="1:10" x14ac:dyDescent="0.25">
      <c r="A604" s="57" t="str">
        <f>IF(CRM_MAGDY!H604="","","CRM-"&amp;TEXT(ROW()-4,"0000"))</f>
        <v>CRM-0600</v>
      </c>
      <c r="B604" s="57">
        <f>CRM_MAGDY!E604</f>
        <v>0</v>
      </c>
      <c r="C604" s="57">
        <f>CRM_MAGDY!H604</f>
        <v>6045</v>
      </c>
      <c r="D604" s="57">
        <f>CRM_MAGDY!I604</f>
        <v>0</v>
      </c>
      <c r="E604" s="57">
        <f>IFERROR(VALUE(CRM_MAGDY!K604),0)</f>
        <v>0</v>
      </c>
      <c r="F604" s="57">
        <f>IFERROR(IF(CRM_MAGDY!L604&gt;1,CRM_MAGDY!L604/100,CRM_MAGDY!L604),0)</f>
        <v>0</v>
      </c>
      <c r="G604" s="57">
        <f>CRM_MAGDY!N604</f>
        <v>0</v>
      </c>
      <c r="H604" s="57">
        <f>CRM_MAGDY!M604</f>
        <v>0</v>
      </c>
      <c r="I604" s="57">
        <f t="shared" si="18"/>
        <v>0</v>
      </c>
      <c r="J604" s="57" t="str">
        <f t="shared" si="19"/>
        <v>POTENCJAŁ</v>
      </c>
    </row>
    <row r="605" spans="1:10" x14ac:dyDescent="0.25">
      <c r="A605" s="57" t="str">
        <f>IF(CRM_MAGDY!H605="","","CRM-"&amp;TEXT(ROW()-4,"0000"))</f>
        <v>CRM-0601</v>
      </c>
      <c r="B605" s="57">
        <f>CRM_MAGDY!E605</f>
        <v>0</v>
      </c>
      <c r="C605" s="57">
        <f>CRM_MAGDY!H605</f>
        <v>6046</v>
      </c>
      <c r="D605" s="57">
        <f>CRM_MAGDY!I605</f>
        <v>0</v>
      </c>
      <c r="E605" s="57">
        <f>IFERROR(VALUE(CRM_MAGDY!K605),0)</f>
        <v>0</v>
      </c>
      <c r="F605" s="57">
        <f>IFERROR(IF(CRM_MAGDY!L605&gt;1,CRM_MAGDY!L605/100,CRM_MAGDY!L605),0)</f>
        <v>0</v>
      </c>
      <c r="G605" s="57">
        <f>CRM_MAGDY!N605</f>
        <v>0</v>
      </c>
      <c r="H605" s="57">
        <f>CRM_MAGDY!M605</f>
        <v>0</v>
      </c>
      <c r="I605" s="57">
        <f t="shared" si="18"/>
        <v>0</v>
      </c>
      <c r="J605" s="57" t="str">
        <f t="shared" si="19"/>
        <v>POTENCJAŁ</v>
      </c>
    </row>
    <row r="606" spans="1:10" x14ac:dyDescent="0.25">
      <c r="A606" s="57" t="str">
        <f>IF(CRM_MAGDY!H606="","","CRM-"&amp;TEXT(ROW()-4,"0000"))</f>
        <v>CRM-0602</v>
      </c>
      <c r="B606" s="57">
        <f>CRM_MAGDY!E606</f>
        <v>0</v>
      </c>
      <c r="C606" s="57">
        <f>CRM_MAGDY!H606</f>
        <v>6047</v>
      </c>
      <c r="D606" s="57">
        <f>CRM_MAGDY!I606</f>
        <v>0</v>
      </c>
      <c r="E606" s="57">
        <f>IFERROR(VALUE(CRM_MAGDY!K606),0)</f>
        <v>0</v>
      </c>
      <c r="F606" s="57">
        <f>IFERROR(IF(CRM_MAGDY!L606&gt;1,CRM_MAGDY!L606/100,CRM_MAGDY!L606),0)</f>
        <v>0</v>
      </c>
      <c r="G606" s="57">
        <f>CRM_MAGDY!N606</f>
        <v>0</v>
      </c>
      <c r="H606" s="57">
        <f>CRM_MAGDY!M606</f>
        <v>0</v>
      </c>
      <c r="I606" s="57">
        <f t="shared" si="18"/>
        <v>0</v>
      </c>
      <c r="J606" s="57" t="str">
        <f t="shared" si="19"/>
        <v>POTENCJAŁ</v>
      </c>
    </row>
    <row r="607" spans="1:10" x14ac:dyDescent="0.25">
      <c r="A607" s="57" t="str">
        <f>IF(CRM_MAGDY!H607="","","CRM-"&amp;TEXT(ROW()-4,"0000"))</f>
        <v>CRM-0603</v>
      </c>
      <c r="B607" s="57">
        <f>CRM_MAGDY!E607</f>
        <v>0</v>
      </c>
      <c r="C607" s="57">
        <f>CRM_MAGDY!H607</f>
        <v>6048</v>
      </c>
      <c r="D607" s="57">
        <f>CRM_MAGDY!I607</f>
        <v>0</v>
      </c>
      <c r="E607" s="57">
        <f>IFERROR(VALUE(CRM_MAGDY!K607),0)</f>
        <v>0</v>
      </c>
      <c r="F607" s="57">
        <f>IFERROR(IF(CRM_MAGDY!L607&gt;1,CRM_MAGDY!L607/100,CRM_MAGDY!L607),0)</f>
        <v>0</v>
      </c>
      <c r="G607" s="57">
        <f>CRM_MAGDY!N607</f>
        <v>0</v>
      </c>
      <c r="H607" s="57">
        <f>CRM_MAGDY!M607</f>
        <v>0</v>
      </c>
      <c r="I607" s="57">
        <f t="shared" si="18"/>
        <v>0</v>
      </c>
      <c r="J607" s="57" t="str">
        <f t="shared" si="19"/>
        <v>POTENCJAŁ</v>
      </c>
    </row>
    <row r="608" spans="1:10" x14ac:dyDescent="0.25">
      <c r="A608" s="57" t="str">
        <f>IF(CRM_MAGDY!H608="","","CRM-"&amp;TEXT(ROW()-4,"0000"))</f>
        <v>CRM-0604</v>
      </c>
      <c r="B608" s="57">
        <f>CRM_MAGDY!E608</f>
        <v>0</v>
      </c>
      <c r="C608" s="57">
        <f>CRM_MAGDY!H608</f>
        <v>6049</v>
      </c>
      <c r="D608" s="57">
        <f>CRM_MAGDY!I608</f>
        <v>0</v>
      </c>
      <c r="E608" s="57">
        <f>IFERROR(VALUE(CRM_MAGDY!K608),0)</f>
        <v>0</v>
      </c>
      <c r="F608" s="57">
        <f>IFERROR(IF(CRM_MAGDY!L608&gt;1,CRM_MAGDY!L608/100,CRM_MAGDY!L608),0)</f>
        <v>0</v>
      </c>
      <c r="G608" s="57">
        <f>CRM_MAGDY!N608</f>
        <v>0</v>
      </c>
      <c r="H608" s="57">
        <f>CRM_MAGDY!M608</f>
        <v>0</v>
      </c>
      <c r="I608" s="57">
        <f t="shared" si="18"/>
        <v>0</v>
      </c>
      <c r="J608" s="57" t="str">
        <f t="shared" si="19"/>
        <v>POTENCJAŁ</v>
      </c>
    </row>
    <row r="609" spans="1:10" x14ac:dyDescent="0.25">
      <c r="A609" s="57" t="str">
        <f>IF(CRM_MAGDY!H609="","","CRM-"&amp;TEXT(ROW()-4,"0000"))</f>
        <v>CRM-0605</v>
      </c>
      <c r="B609" s="57">
        <f>CRM_MAGDY!E609</f>
        <v>0</v>
      </c>
      <c r="C609" s="57">
        <f>CRM_MAGDY!H609</f>
        <v>6050</v>
      </c>
      <c r="D609" s="57">
        <f>CRM_MAGDY!I609</f>
        <v>0</v>
      </c>
      <c r="E609" s="57">
        <f>IFERROR(VALUE(CRM_MAGDY!K609),0)</f>
        <v>0</v>
      </c>
      <c r="F609" s="57">
        <f>IFERROR(IF(CRM_MAGDY!L609&gt;1,CRM_MAGDY!L609/100,CRM_MAGDY!L609),0)</f>
        <v>0</v>
      </c>
      <c r="G609" s="57">
        <f>CRM_MAGDY!N609</f>
        <v>0</v>
      </c>
      <c r="H609" s="57">
        <f>CRM_MAGDY!M609</f>
        <v>0</v>
      </c>
      <c r="I609" s="57">
        <f t="shared" si="18"/>
        <v>0</v>
      </c>
      <c r="J609" s="57" t="str">
        <f t="shared" si="19"/>
        <v>POTENCJAŁ</v>
      </c>
    </row>
    <row r="610" spans="1:10" x14ac:dyDescent="0.25">
      <c r="A610" s="57" t="str">
        <f>IF(CRM_MAGDY!H610="","","CRM-"&amp;TEXT(ROW()-4,"0000"))</f>
        <v>CRM-0606</v>
      </c>
      <c r="B610" s="57">
        <f>CRM_MAGDY!E610</f>
        <v>0</v>
      </c>
      <c r="C610" s="57">
        <f>CRM_MAGDY!H610</f>
        <v>6051</v>
      </c>
      <c r="D610" s="57">
        <f>CRM_MAGDY!I610</f>
        <v>0</v>
      </c>
      <c r="E610" s="57">
        <f>IFERROR(VALUE(CRM_MAGDY!K610),0)</f>
        <v>0</v>
      </c>
      <c r="F610" s="57">
        <f>IFERROR(IF(CRM_MAGDY!L610&gt;1,CRM_MAGDY!L610/100,CRM_MAGDY!L610),0)</f>
        <v>0</v>
      </c>
      <c r="G610" s="57">
        <f>CRM_MAGDY!N610</f>
        <v>0</v>
      </c>
      <c r="H610" s="57">
        <f>CRM_MAGDY!M610</f>
        <v>0</v>
      </c>
      <c r="I610" s="57">
        <f t="shared" si="18"/>
        <v>0</v>
      </c>
      <c r="J610" s="57" t="str">
        <f t="shared" si="19"/>
        <v>POTENCJAŁ</v>
      </c>
    </row>
    <row r="611" spans="1:10" x14ac:dyDescent="0.25">
      <c r="A611" s="57" t="str">
        <f>IF(CRM_MAGDY!H611="","","CRM-"&amp;TEXT(ROW()-4,"0000"))</f>
        <v>CRM-0607</v>
      </c>
      <c r="B611" s="57">
        <f>CRM_MAGDY!E611</f>
        <v>0</v>
      </c>
      <c r="C611" s="57">
        <f>CRM_MAGDY!H611</f>
        <v>6052</v>
      </c>
      <c r="D611" s="57">
        <f>CRM_MAGDY!I611</f>
        <v>0</v>
      </c>
      <c r="E611" s="57">
        <f>IFERROR(VALUE(CRM_MAGDY!K611),0)</f>
        <v>0</v>
      </c>
      <c r="F611" s="57">
        <f>IFERROR(IF(CRM_MAGDY!L611&gt;1,CRM_MAGDY!L611/100,CRM_MAGDY!L611),0)</f>
        <v>0</v>
      </c>
      <c r="G611" s="57">
        <f>CRM_MAGDY!N611</f>
        <v>0</v>
      </c>
      <c r="H611" s="57">
        <f>CRM_MAGDY!M611</f>
        <v>0</v>
      </c>
      <c r="I611" s="57">
        <f t="shared" si="18"/>
        <v>0</v>
      </c>
      <c r="J611" s="57" t="str">
        <f t="shared" si="19"/>
        <v>POTENCJAŁ</v>
      </c>
    </row>
    <row r="612" spans="1:10" x14ac:dyDescent="0.25">
      <c r="A612" s="57" t="str">
        <f>IF(CRM_MAGDY!H612="","","CRM-"&amp;TEXT(ROW()-4,"0000"))</f>
        <v>CRM-0608</v>
      </c>
      <c r="B612" s="57">
        <f>CRM_MAGDY!E612</f>
        <v>0</v>
      </c>
      <c r="C612" s="57">
        <f>CRM_MAGDY!H612</f>
        <v>6053</v>
      </c>
      <c r="D612" s="57">
        <f>CRM_MAGDY!I612</f>
        <v>0</v>
      </c>
      <c r="E612" s="57">
        <f>IFERROR(VALUE(CRM_MAGDY!K612),0)</f>
        <v>0</v>
      </c>
      <c r="F612" s="57">
        <f>IFERROR(IF(CRM_MAGDY!L612&gt;1,CRM_MAGDY!L612/100,CRM_MAGDY!L612),0)</f>
        <v>0</v>
      </c>
      <c r="G612" s="57">
        <f>CRM_MAGDY!N612</f>
        <v>0</v>
      </c>
      <c r="H612" s="57">
        <f>CRM_MAGDY!M612</f>
        <v>0</v>
      </c>
      <c r="I612" s="57">
        <f t="shared" si="18"/>
        <v>0</v>
      </c>
      <c r="J612" s="57" t="str">
        <f t="shared" si="19"/>
        <v>POTENCJAŁ</v>
      </c>
    </row>
    <row r="613" spans="1:10" x14ac:dyDescent="0.25">
      <c r="A613" s="57" t="str">
        <f>IF(CRM_MAGDY!H613="","","CRM-"&amp;TEXT(ROW()-4,"0000"))</f>
        <v>CRM-0609</v>
      </c>
      <c r="B613" s="57">
        <f>CRM_MAGDY!E613</f>
        <v>0</v>
      </c>
      <c r="C613" s="57">
        <f>CRM_MAGDY!H613</f>
        <v>6054</v>
      </c>
      <c r="D613" s="57">
        <f>CRM_MAGDY!I613</f>
        <v>0</v>
      </c>
      <c r="E613" s="57">
        <f>IFERROR(VALUE(CRM_MAGDY!K613),0)</f>
        <v>0</v>
      </c>
      <c r="F613" s="57">
        <f>IFERROR(IF(CRM_MAGDY!L613&gt;1,CRM_MAGDY!L613/100,CRM_MAGDY!L613),0)</f>
        <v>0</v>
      </c>
      <c r="G613" s="57">
        <f>CRM_MAGDY!N613</f>
        <v>0</v>
      </c>
      <c r="H613" s="57">
        <f>CRM_MAGDY!M613</f>
        <v>0</v>
      </c>
      <c r="I613" s="57">
        <f t="shared" si="18"/>
        <v>0</v>
      </c>
      <c r="J613" s="57" t="str">
        <f t="shared" si="19"/>
        <v>POTENCJAŁ</v>
      </c>
    </row>
    <row r="614" spans="1:10" x14ac:dyDescent="0.25">
      <c r="A614" s="57" t="str">
        <f>IF(CRM_MAGDY!H614="","","CRM-"&amp;TEXT(ROW()-4,"0000"))</f>
        <v>CRM-0610</v>
      </c>
      <c r="B614" s="57">
        <f>CRM_MAGDY!E614</f>
        <v>0</v>
      </c>
      <c r="C614" s="57">
        <f>CRM_MAGDY!H614</f>
        <v>6055</v>
      </c>
      <c r="D614" s="57">
        <f>CRM_MAGDY!I614</f>
        <v>0</v>
      </c>
      <c r="E614" s="57">
        <f>IFERROR(VALUE(CRM_MAGDY!K614),0)</f>
        <v>0</v>
      </c>
      <c r="F614" s="57">
        <f>IFERROR(IF(CRM_MAGDY!L614&gt;1,CRM_MAGDY!L614/100,CRM_MAGDY!L614),0)</f>
        <v>0</v>
      </c>
      <c r="G614" s="57">
        <f>CRM_MAGDY!N614</f>
        <v>0</v>
      </c>
      <c r="H614" s="57">
        <f>CRM_MAGDY!M614</f>
        <v>0</v>
      </c>
      <c r="I614" s="57">
        <f t="shared" si="18"/>
        <v>0</v>
      </c>
      <c r="J614" s="57" t="str">
        <f t="shared" si="19"/>
        <v>POTENCJAŁ</v>
      </c>
    </row>
    <row r="615" spans="1:10" x14ac:dyDescent="0.25">
      <c r="A615" s="57" t="str">
        <f>IF(CRM_MAGDY!H615="","","CRM-"&amp;TEXT(ROW()-4,"0000"))</f>
        <v>CRM-0611</v>
      </c>
      <c r="B615" s="57">
        <f>CRM_MAGDY!E615</f>
        <v>0</v>
      </c>
      <c r="C615" s="57">
        <f>CRM_MAGDY!H615</f>
        <v>6056</v>
      </c>
      <c r="D615" s="57">
        <f>CRM_MAGDY!I615</f>
        <v>0</v>
      </c>
      <c r="E615" s="57">
        <f>IFERROR(VALUE(CRM_MAGDY!K615),0)</f>
        <v>0</v>
      </c>
      <c r="F615" s="57">
        <f>IFERROR(IF(CRM_MAGDY!L615&gt;1,CRM_MAGDY!L615/100,CRM_MAGDY!L615),0)</f>
        <v>0</v>
      </c>
      <c r="G615" s="57">
        <f>CRM_MAGDY!N615</f>
        <v>0</v>
      </c>
      <c r="H615" s="57">
        <f>CRM_MAGDY!M615</f>
        <v>0</v>
      </c>
      <c r="I615" s="57">
        <f t="shared" si="18"/>
        <v>0</v>
      </c>
      <c r="J615" s="57" t="str">
        <f t="shared" si="19"/>
        <v>POTENCJAŁ</v>
      </c>
    </row>
    <row r="616" spans="1:10" x14ac:dyDescent="0.25">
      <c r="A616" s="57" t="str">
        <f>IF(CRM_MAGDY!H616="","","CRM-"&amp;TEXT(ROW()-4,"0000"))</f>
        <v>CRM-0612</v>
      </c>
      <c r="B616" s="57">
        <f>CRM_MAGDY!E616</f>
        <v>0</v>
      </c>
      <c r="C616" s="57">
        <f>CRM_MAGDY!H616</f>
        <v>6057</v>
      </c>
      <c r="D616" s="57">
        <f>CRM_MAGDY!I616</f>
        <v>0</v>
      </c>
      <c r="E616" s="57">
        <f>IFERROR(VALUE(CRM_MAGDY!K616),0)</f>
        <v>0</v>
      </c>
      <c r="F616" s="57">
        <f>IFERROR(IF(CRM_MAGDY!L616&gt;1,CRM_MAGDY!L616/100,CRM_MAGDY!L616),0)</f>
        <v>0</v>
      </c>
      <c r="G616" s="57">
        <f>CRM_MAGDY!N616</f>
        <v>0</v>
      </c>
      <c r="H616" s="57">
        <f>CRM_MAGDY!M616</f>
        <v>0</v>
      </c>
      <c r="I616" s="57">
        <f t="shared" si="18"/>
        <v>0</v>
      </c>
      <c r="J616" s="57" t="str">
        <f t="shared" si="19"/>
        <v>POTENCJAŁ</v>
      </c>
    </row>
    <row r="617" spans="1:10" x14ac:dyDescent="0.25">
      <c r="A617" s="57" t="str">
        <f>IF(CRM_MAGDY!H617="","","CRM-"&amp;TEXT(ROW()-4,"0000"))</f>
        <v>CRM-0613</v>
      </c>
      <c r="B617" s="57">
        <f>CRM_MAGDY!E617</f>
        <v>0</v>
      </c>
      <c r="C617" s="57">
        <f>CRM_MAGDY!H617</f>
        <v>6058</v>
      </c>
      <c r="D617" s="57">
        <f>CRM_MAGDY!I617</f>
        <v>0</v>
      </c>
      <c r="E617" s="57">
        <f>IFERROR(VALUE(CRM_MAGDY!K617),0)</f>
        <v>0</v>
      </c>
      <c r="F617" s="57">
        <f>IFERROR(IF(CRM_MAGDY!L617&gt;1,CRM_MAGDY!L617/100,CRM_MAGDY!L617),0)</f>
        <v>0</v>
      </c>
      <c r="G617" s="57">
        <f>CRM_MAGDY!N617</f>
        <v>0</v>
      </c>
      <c r="H617" s="57">
        <f>CRM_MAGDY!M617</f>
        <v>0</v>
      </c>
      <c r="I617" s="57">
        <f t="shared" si="18"/>
        <v>0</v>
      </c>
      <c r="J617" s="57" t="str">
        <f t="shared" si="19"/>
        <v>POTENCJAŁ</v>
      </c>
    </row>
    <row r="618" spans="1:10" x14ac:dyDescent="0.25">
      <c r="A618" s="57" t="str">
        <f>IF(CRM_MAGDY!H618="","","CRM-"&amp;TEXT(ROW()-4,"0000"))</f>
        <v>CRM-0614</v>
      </c>
      <c r="B618" s="57">
        <f>CRM_MAGDY!E618</f>
        <v>0</v>
      </c>
      <c r="C618" s="57">
        <f>CRM_MAGDY!H618</f>
        <v>6059</v>
      </c>
      <c r="D618" s="57">
        <f>CRM_MAGDY!I618</f>
        <v>0</v>
      </c>
      <c r="E618" s="57">
        <f>IFERROR(VALUE(CRM_MAGDY!K618),0)</f>
        <v>0</v>
      </c>
      <c r="F618" s="57">
        <f>IFERROR(IF(CRM_MAGDY!L618&gt;1,CRM_MAGDY!L618/100,CRM_MAGDY!L618),0)</f>
        <v>0</v>
      </c>
      <c r="G618" s="57">
        <f>CRM_MAGDY!N618</f>
        <v>0</v>
      </c>
      <c r="H618" s="57">
        <f>CRM_MAGDY!M618</f>
        <v>0</v>
      </c>
      <c r="I618" s="57">
        <f t="shared" si="18"/>
        <v>0</v>
      </c>
      <c r="J618" s="57" t="str">
        <f t="shared" si="19"/>
        <v>POTENCJAŁ</v>
      </c>
    </row>
    <row r="619" spans="1:10" x14ac:dyDescent="0.25">
      <c r="A619" s="57" t="str">
        <f>IF(CRM_MAGDY!H619="","","CRM-"&amp;TEXT(ROW()-4,"0000"))</f>
        <v>CRM-0615</v>
      </c>
      <c r="B619" s="57">
        <f>CRM_MAGDY!E619</f>
        <v>0</v>
      </c>
      <c r="C619" s="57">
        <f>CRM_MAGDY!H619</f>
        <v>6060</v>
      </c>
      <c r="D619" s="57">
        <f>CRM_MAGDY!I619</f>
        <v>0</v>
      </c>
      <c r="E619" s="57">
        <f>IFERROR(VALUE(CRM_MAGDY!K619),0)</f>
        <v>0</v>
      </c>
      <c r="F619" s="57">
        <f>IFERROR(IF(CRM_MAGDY!L619&gt;1,CRM_MAGDY!L619/100,CRM_MAGDY!L619),0)</f>
        <v>0</v>
      </c>
      <c r="G619" s="57">
        <f>CRM_MAGDY!N619</f>
        <v>0</v>
      </c>
      <c r="H619" s="57">
        <f>CRM_MAGDY!M619</f>
        <v>0</v>
      </c>
      <c r="I619" s="57">
        <f t="shared" si="18"/>
        <v>0</v>
      </c>
      <c r="J619" s="57" t="str">
        <f t="shared" si="19"/>
        <v>POTENCJAŁ</v>
      </c>
    </row>
    <row r="620" spans="1:10" x14ac:dyDescent="0.25">
      <c r="A620" s="57" t="str">
        <f>IF(CRM_MAGDY!H620="","","CRM-"&amp;TEXT(ROW()-4,"0000"))</f>
        <v>CRM-0616</v>
      </c>
      <c r="B620" s="57">
        <f>CRM_MAGDY!E620</f>
        <v>0</v>
      </c>
      <c r="C620" s="57">
        <f>CRM_MAGDY!H620</f>
        <v>6061</v>
      </c>
      <c r="D620" s="57">
        <f>CRM_MAGDY!I620</f>
        <v>0</v>
      </c>
      <c r="E620" s="57">
        <f>IFERROR(VALUE(CRM_MAGDY!K620),0)</f>
        <v>0</v>
      </c>
      <c r="F620" s="57">
        <f>IFERROR(IF(CRM_MAGDY!L620&gt;1,CRM_MAGDY!L620/100,CRM_MAGDY!L620),0)</f>
        <v>0</v>
      </c>
      <c r="G620" s="57">
        <f>CRM_MAGDY!N620</f>
        <v>0</v>
      </c>
      <c r="H620" s="57">
        <f>CRM_MAGDY!M620</f>
        <v>0</v>
      </c>
      <c r="I620" s="57">
        <f t="shared" si="18"/>
        <v>0</v>
      </c>
      <c r="J620" s="57" t="str">
        <f t="shared" si="19"/>
        <v>POTENCJAŁ</v>
      </c>
    </row>
    <row r="621" spans="1:10" x14ac:dyDescent="0.25">
      <c r="A621" s="57" t="str">
        <f>IF(CRM_MAGDY!H621="","","CRM-"&amp;TEXT(ROW()-4,"0000"))</f>
        <v>CRM-0617</v>
      </c>
      <c r="B621" s="57">
        <f>CRM_MAGDY!E621</f>
        <v>0</v>
      </c>
      <c r="C621" s="57">
        <f>CRM_MAGDY!H621</f>
        <v>6062</v>
      </c>
      <c r="D621" s="57">
        <f>CRM_MAGDY!I621</f>
        <v>0</v>
      </c>
      <c r="E621" s="57">
        <f>IFERROR(VALUE(CRM_MAGDY!K621),0)</f>
        <v>0</v>
      </c>
      <c r="F621" s="57">
        <f>IFERROR(IF(CRM_MAGDY!L621&gt;1,CRM_MAGDY!L621/100,CRM_MAGDY!L621),0)</f>
        <v>0</v>
      </c>
      <c r="G621" s="57">
        <f>CRM_MAGDY!N621</f>
        <v>0</v>
      </c>
      <c r="H621" s="57">
        <f>CRM_MAGDY!M621</f>
        <v>0</v>
      </c>
      <c r="I621" s="57">
        <f t="shared" si="18"/>
        <v>0</v>
      </c>
      <c r="J621" s="57" t="str">
        <f t="shared" si="19"/>
        <v>POTENCJAŁ</v>
      </c>
    </row>
    <row r="622" spans="1:10" x14ac:dyDescent="0.25">
      <c r="A622" s="57" t="str">
        <f>IF(CRM_MAGDY!H622="","","CRM-"&amp;TEXT(ROW()-4,"0000"))</f>
        <v>CRM-0618</v>
      </c>
      <c r="B622" s="57">
        <f>CRM_MAGDY!E622</f>
        <v>0</v>
      </c>
      <c r="C622" s="57">
        <f>CRM_MAGDY!H622</f>
        <v>6063</v>
      </c>
      <c r="D622" s="57">
        <f>CRM_MAGDY!I622</f>
        <v>0</v>
      </c>
      <c r="E622" s="57">
        <f>IFERROR(VALUE(CRM_MAGDY!K622),0)</f>
        <v>0</v>
      </c>
      <c r="F622" s="57">
        <f>IFERROR(IF(CRM_MAGDY!L622&gt;1,CRM_MAGDY!L622/100,CRM_MAGDY!L622),0)</f>
        <v>0</v>
      </c>
      <c r="G622" s="57">
        <f>CRM_MAGDY!N622</f>
        <v>0</v>
      </c>
      <c r="H622" s="57">
        <f>CRM_MAGDY!M622</f>
        <v>0</v>
      </c>
      <c r="I622" s="57">
        <f t="shared" si="18"/>
        <v>0</v>
      </c>
      <c r="J622" s="57" t="str">
        <f t="shared" si="19"/>
        <v>POTENCJAŁ</v>
      </c>
    </row>
    <row r="623" spans="1:10" x14ac:dyDescent="0.25">
      <c r="A623" s="57" t="str">
        <f>IF(CRM_MAGDY!H623="","","CRM-"&amp;TEXT(ROW()-4,"0000"))</f>
        <v>CRM-0619</v>
      </c>
      <c r="B623" s="57">
        <f>CRM_MAGDY!E623</f>
        <v>0</v>
      </c>
      <c r="C623" s="57">
        <f>CRM_MAGDY!H623</f>
        <v>6064</v>
      </c>
      <c r="D623" s="57">
        <f>CRM_MAGDY!I623</f>
        <v>0</v>
      </c>
      <c r="E623" s="57">
        <f>IFERROR(VALUE(CRM_MAGDY!K623),0)</f>
        <v>0</v>
      </c>
      <c r="F623" s="57">
        <f>IFERROR(IF(CRM_MAGDY!L623&gt;1,CRM_MAGDY!L623/100,CRM_MAGDY!L623),0)</f>
        <v>0</v>
      </c>
      <c r="G623" s="57">
        <f>CRM_MAGDY!N623</f>
        <v>0</v>
      </c>
      <c r="H623" s="57">
        <f>CRM_MAGDY!M623</f>
        <v>0</v>
      </c>
      <c r="I623" s="57">
        <f t="shared" si="18"/>
        <v>0</v>
      </c>
      <c r="J623" s="57" t="str">
        <f t="shared" si="19"/>
        <v>POTENCJAŁ</v>
      </c>
    </row>
    <row r="624" spans="1:10" x14ac:dyDescent="0.25">
      <c r="A624" s="57" t="str">
        <f>IF(CRM_MAGDY!H624="","","CRM-"&amp;TEXT(ROW()-4,"0000"))</f>
        <v>CRM-0620</v>
      </c>
      <c r="B624" s="57">
        <f>CRM_MAGDY!E624</f>
        <v>0</v>
      </c>
      <c r="C624" s="57">
        <f>CRM_MAGDY!H624</f>
        <v>6065</v>
      </c>
      <c r="D624" s="57">
        <f>CRM_MAGDY!I624</f>
        <v>0</v>
      </c>
      <c r="E624" s="57">
        <f>IFERROR(VALUE(CRM_MAGDY!K624),0)</f>
        <v>0</v>
      </c>
      <c r="F624" s="57">
        <f>IFERROR(IF(CRM_MAGDY!L624&gt;1,CRM_MAGDY!L624/100,CRM_MAGDY!L624),0)</f>
        <v>0</v>
      </c>
      <c r="G624" s="57">
        <f>CRM_MAGDY!N624</f>
        <v>0</v>
      </c>
      <c r="H624" s="57">
        <f>CRM_MAGDY!M624</f>
        <v>0</v>
      </c>
      <c r="I624" s="57">
        <f t="shared" si="18"/>
        <v>0</v>
      </c>
      <c r="J624" s="57" t="str">
        <f t="shared" si="19"/>
        <v>POTENCJAŁ</v>
      </c>
    </row>
    <row r="625" spans="1:10" x14ac:dyDescent="0.25">
      <c r="A625" s="57" t="str">
        <f>IF(CRM_MAGDY!H625="","","CRM-"&amp;TEXT(ROW()-4,"0000"))</f>
        <v>CRM-0621</v>
      </c>
      <c r="B625" s="57">
        <f>CRM_MAGDY!E625</f>
        <v>0</v>
      </c>
      <c r="C625" s="57">
        <f>CRM_MAGDY!H625</f>
        <v>6066</v>
      </c>
      <c r="D625" s="57">
        <f>CRM_MAGDY!I625</f>
        <v>0</v>
      </c>
      <c r="E625" s="57">
        <f>IFERROR(VALUE(CRM_MAGDY!K625),0)</f>
        <v>0</v>
      </c>
      <c r="F625" s="57">
        <f>IFERROR(IF(CRM_MAGDY!L625&gt;1,CRM_MAGDY!L625/100,CRM_MAGDY!L625),0)</f>
        <v>0</v>
      </c>
      <c r="G625" s="57">
        <f>CRM_MAGDY!N625</f>
        <v>0</v>
      </c>
      <c r="H625" s="57">
        <f>CRM_MAGDY!M625</f>
        <v>0</v>
      </c>
      <c r="I625" s="57">
        <f t="shared" si="18"/>
        <v>0</v>
      </c>
      <c r="J625" s="57" t="str">
        <f t="shared" si="19"/>
        <v>POTENCJAŁ</v>
      </c>
    </row>
    <row r="626" spans="1:10" x14ac:dyDescent="0.25">
      <c r="A626" s="57" t="str">
        <f>IF(CRM_MAGDY!H626="","","CRM-"&amp;TEXT(ROW()-4,"0000"))</f>
        <v>CRM-0622</v>
      </c>
      <c r="B626" s="57">
        <f>CRM_MAGDY!E626</f>
        <v>0</v>
      </c>
      <c r="C626" s="57">
        <f>CRM_MAGDY!H626</f>
        <v>6067</v>
      </c>
      <c r="D626" s="57">
        <f>CRM_MAGDY!I626</f>
        <v>0</v>
      </c>
      <c r="E626" s="57">
        <f>IFERROR(VALUE(CRM_MAGDY!K626),0)</f>
        <v>0</v>
      </c>
      <c r="F626" s="57">
        <f>IFERROR(IF(CRM_MAGDY!L626&gt;1,CRM_MAGDY!L626/100,CRM_MAGDY!L626),0)</f>
        <v>0</v>
      </c>
      <c r="G626" s="57">
        <f>CRM_MAGDY!N626</f>
        <v>0</v>
      </c>
      <c r="H626" s="57">
        <f>CRM_MAGDY!M626</f>
        <v>0</v>
      </c>
      <c r="I626" s="57">
        <f t="shared" si="18"/>
        <v>0</v>
      </c>
      <c r="J626" s="57" t="str">
        <f t="shared" si="19"/>
        <v>POTENCJAŁ</v>
      </c>
    </row>
    <row r="627" spans="1:10" x14ac:dyDescent="0.25">
      <c r="A627" s="57" t="str">
        <f>IF(CRM_MAGDY!H627="","","CRM-"&amp;TEXT(ROW()-4,"0000"))</f>
        <v>CRM-0623</v>
      </c>
      <c r="B627" s="57">
        <f>CRM_MAGDY!E627</f>
        <v>0</v>
      </c>
      <c r="C627" s="57">
        <f>CRM_MAGDY!H627</f>
        <v>6068</v>
      </c>
      <c r="D627" s="57">
        <f>CRM_MAGDY!I627</f>
        <v>0</v>
      </c>
      <c r="E627" s="57">
        <f>IFERROR(VALUE(CRM_MAGDY!K627),0)</f>
        <v>0</v>
      </c>
      <c r="F627" s="57">
        <f>IFERROR(IF(CRM_MAGDY!L627&gt;1,CRM_MAGDY!L627/100,CRM_MAGDY!L627),0)</f>
        <v>0</v>
      </c>
      <c r="G627" s="57">
        <f>CRM_MAGDY!N627</f>
        <v>0</v>
      </c>
      <c r="H627" s="57">
        <f>CRM_MAGDY!M627</f>
        <v>0</v>
      </c>
      <c r="I627" s="57">
        <f t="shared" si="18"/>
        <v>0</v>
      </c>
      <c r="J627" s="57" t="str">
        <f t="shared" si="19"/>
        <v>POTENCJAŁ</v>
      </c>
    </row>
    <row r="628" spans="1:10" x14ac:dyDescent="0.25">
      <c r="A628" s="57" t="str">
        <f>IF(CRM_MAGDY!H628="","","CRM-"&amp;TEXT(ROW()-4,"0000"))</f>
        <v>CRM-0624</v>
      </c>
      <c r="B628" s="57">
        <f>CRM_MAGDY!E628</f>
        <v>0</v>
      </c>
      <c r="C628" s="57">
        <f>CRM_MAGDY!H628</f>
        <v>6069</v>
      </c>
      <c r="D628" s="57">
        <f>CRM_MAGDY!I628</f>
        <v>0</v>
      </c>
      <c r="E628" s="57">
        <f>IFERROR(VALUE(CRM_MAGDY!K628),0)</f>
        <v>0</v>
      </c>
      <c r="F628" s="57">
        <f>IFERROR(IF(CRM_MAGDY!L628&gt;1,CRM_MAGDY!L628/100,CRM_MAGDY!L628),0)</f>
        <v>0</v>
      </c>
      <c r="G628" s="57">
        <f>CRM_MAGDY!N628</f>
        <v>0</v>
      </c>
      <c r="H628" s="57">
        <f>CRM_MAGDY!M628</f>
        <v>0</v>
      </c>
      <c r="I628" s="57">
        <f t="shared" si="18"/>
        <v>0</v>
      </c>
      <c r="J628" s="57" t="str">
        <f t="shared" si="19"/>
        <v>POTENCJAŁ</v>
      </c>
    </row>
    <row r="629" spans="1:10" x14ac:dyDescent="0.25">
      <c r="A629" s="57" t="str">
        <f>IF(CRM_MAGDY!H629="","","CRM-"&amp;TEXT(ROW()-4,"0000"))</f>
        <v>CRM-0625</v>
      </c>
      <c r="B629" s="57">
        <f>CRM_MAGDY!E629</f>
        <v>0</v>
      </c>
      <c r="C629" s="57">
        <f>CRM_MAGDY!H629</f>
        <v>6070</v>
      </c>
      <c r="D629" s="57">
        <f>CRM_MAGDY!I629</f>
        <v>0</v>
      </c>
      <c r="E629" s="57">
        <f>IFERROR(VALUE(CRM_MAGDY!K629),0)</f>
        <v>0</v>
      </c>
      <c r="F629" s="57">
        <f>IFERROR(IF(CRM_MAGDY!L629&gt;1,CRM_MAGDY!L629/100,CRM_MAGDY!L629),0)</f>
        <v>0</v>
      </c>
      <c r="G629" s="57">
        <f>CRM_MAGDY!N629</f>
        <v>0</v>
      </c>
      <c r="H629" s="57">
        <f>CRM_MAGDY!M629</f>
        <v>0</v>
      </c>
      <c r="I629" s="57">
        <f t="shared" si="18"/>
        <v>0</v>
      </c>
      <c r="J629" s="57" t="str">
        <f t="shared" si="19"/>
        <v>POTENCJAŁ</v>
      </c>
    </row>
    <row r="630" spans="1:10" x14ac:dyDescent="0.25">
      <c r="A630" s="57" t="str">
        <f>IF(CRM_MAGDY!H630="","","CRM-"&amp;TEXT(ROW()-4,"0000"))</f>
        <v>CRM-0626</v>
      </c>
      <c r="B630" s="57">
        <f>CRM_MAGDY!E630</f>
        <v>0</v>
      </c>
      <c r="C630" s="57">
        <f>CRM_MAGDY!H630</f>
        <v>6071</v>
      </c>
      <c r="D630" s="57">
        <f>CRM_MAGDY!I630</f>
        <v>0</v>
      </c>
      <c r="E630" s="57">
        <f>IFERROR(VALUE(CRM_MAGDY!K630),0)</f>
        <v>0</v>
      </c>
      <c r="F630" s="57">
        <f>IFERROR(IF(CRM_MAGDY!L630&gt;1,CRM_MAGDY!L630/100,CRM_MAGDY!L630),0)</f>
        <v>0</v>
      </c>
      <c r="G630" s="57">
        <f>CRM_MAGDY!N630</f>
        <v>0</v>
      </c>
      <c r="H630" s="57">
        <f>CRM_MAGDY!M630</f>
        <v>0</v>
      </c>
      <c r="I630" s="57">
        <f t="shared" si="18"/>
        <v>0</v>
      </c>
      <c r="J630" s="57" t="str">
        <f t="shared" si="19"/>
        <v>POTENCJAŁ</v>
      </c>
    </row>
    <row r="631" spans="1:10" x14ac:dyDescent="0.25">
      <c r="A631" s="57" t="str">
        <f>IF(CRM_MAGDY!H631="","","CRM-"&amp;TEXT(ROW()-4,"0000"))</f>
        <v>CRM-0627</v>
      </c>
      <c r="B631" s="57">
        <f>CRM_MAGDY!E631</f>
        <v>0</v>
      </c>
      <c r="C631" s="57">
        <f>CRM_MAGDY!H631</f>
        <v>6072</v>
      </c>
      <c r="D631" s="57">
        <f>CRM_MAGDY!I631</f>
        <v>0</v>
      </c>
      <c r="E631" s="57">
        <f>IFERROR(VALUE(CRM_MAGDY!K631),0)</f>
        <v>0</v>
      </c>
      <c r="F631" s="57">
        <f>IFERROR(IF(CRM_MAGDY!L631&gt;1,CRM_MAGDY!L631/100,CRM_MAGDY!L631),0)</f>
        <v>0</v>
      </c>
      <c r="G631" s="57">
        <f>CRM_MAGDY!N631</f>
        <v>0</v>
      </c>
      <c r="H631" s="57">
        <f>CRM_MAGDY!M631</f>
        <v>0</v>
      </c>
      <c r="I631" s="57">
        <f t="shared" si="18"/>
        <v>0</v>
      </c>
      <c r="J631" s="57" t="str">
        <f t="shared" si="19"/>
        <v>POTENCJAŁ</v>
      </c>
    </row>
    <row r="632" spans="1:10" x14ac:dyDescent="0.25">
      <c r="A632" s="57" t="str">
        <f>IF(CRM_MAGDY!H632="","","CRM-"&amp;TEXT(ROW()-4,"0000"))</f>
        <v>CRM-0628</v>
      </c>
      <c r="B632" s="57">
        <f>CRM_MAGDY!E632</f>
        <v>0</v>
      </c>
      <c r="C632" s="57">
        <f>CRM_MAGDY!H632</f>
        <v>6073</v>
      </c>
      <c r="D632" s="57">
        <f>CRM_MAGDY!I632</f>
        <v>0</v>
      </c>
      <c r="E632" s="57">
        <f>IFERROR(VALUE(CRM_MAGDY!K632),0)</f>
        <v>0</v>
      </c>
      <c r="F632" s="57">
        <f>IFERROR(IF(CRM_MAGDY!L632&gt;1,CRM_MAGDY!L632/100,CRM_MAGDY!L632),0)</f>
        <v>0</v>
      </c>
      <c r="G632" s="57">
        <f>CRM_MAGDY!N632</f>
        <v>0</v>
      </c>
      <c r="H632" s="57">
        <f>CRM_MAGDY!M632</f>
        <v>0</v>
      </c>
      <c r="I632" s="57">
        <f t="shared" si="18"/>
        <v>0</v>
      </c>
      <c r="J632" s="57" t="str">
        <f t="shared" si="19"/>
        <v>POTENCJAŁ</v>
      </c>
    </row>
    <row r="633" spans="1:10" x14ac:dyDescent="0.25">
      <c r="A633" s="57" t="str">
        <f>IF(CRM_MAGDY!H633="","","CRM-"&amp;TEXT(ROW()-4,"0000"))</f>
        <v>CRM-0629</v>
      </c>
      <c r="B633" s="57">
        <f>CRM_MAGDY!E633</f>
        <v>0</v>
      </c>
      <c r="C633" s="57">
        <f>CRM_MAGDY!H633</f>
        <v>6074</v>
      </c>
      <c r="D633" s="57">
        <f>CRM_MAGDY!I633</f>
        <v>0</v>
      </c>
      <c r="E633" s="57">
        <f>IFERROR(VALUE(CRM_MAGDY!K633),0)</f>
        <v>0</v>
      </c>
      <c r="F633" s="57">
        <f>IFERROR(IF(CRM_MAGDY!L633&gt;1,CRM_MAGDY!L633/100,CRM_MAGDY!L633),0)</f>
        <v>0</v>
      </c>
      <c r="G633" s="57">
        <f>CRM_MAGDY!N633</f>
        <v>0</v>
      </c>
      <c r="H633" s="57">
        <f>CRM_MAGDY!M633</f>
        <v>0</v>
      </c>
      <c r="I633" s="57">
        <f t="shared" si="18"/>
        <v>0</v>
      </c>
      <c r="J633" s="57" t="str">
        <f t="shared" si="19"/>
        <v>POTENCJAŁ</v>
      </c>
    </row>
    <row r="634" spans="1:10" x14ac:dyDescent="0.25">
      <c r="A634" s="57" t="str">
        <f>IF(CRM_MAGDY!H634="","","CRM-"&amp;TEXT(ROW()-4,"0000"))</f>
        <v>CRM-0630</v>
      </c>
      <c r="B634" s="57">
        <f>CRM_MAGDY!E634</f>
        <v>0</v>
      </c>
      <c r="C634" s="57">
        <f>CRM_MAGDY!H634</f>
        <v>6075</v>
      </c>
      <c r="D634" s="57">
        <f>CRM_MAGDY!I634</f>
        <v>0</v>
      </c>
      <c r="E634" s="57">
        <f>IFERROR(VALUE(CRM_MAGDY!K634),0)</f>
        <v>0</v>
      </c>
      <c r="F634" s="57">
        <f>IFERROR(IF(CRM_MAGDY!L634&gt;1,CRM_MAGDY!L634/100,CRM_MAGDY!L634),0)</f>
        <v>0</v>
      </c>
      <c r="G634" s="57">
        <f>CRM_MAGDY!N634</f>
        <v>0</v>
      </c>
      <c r="H634" s="57">
        <f>CRM_MAGDY!M634</f>
        <v>0</v>
      </c>
      <c r="I634" s="57">
        <f t="shared" si="18"/>
        <v>0</v>
      </c>
      <c r="J634" s="57" t="str">
        <f t="shared" si="19"/>
        <v>POTENCJAŁ</v>
      </c>
    </row>
    <row r="635" spans="1:10" x14ac:dyDescent="0.25">
      <c r="A635" s="57" t="str">
        <f>IF(CRM_MAGDY!H635="","","CRM-"&amp;TEXT(ROW()-4,"0000"))</f>
        <v>CRM-0631</v>
      </c>
      <c r="B635" s="57">
        <f>CRM_MAGDY!E635</f>
        <v>0</v>
      </c>
      <c r="C635" s="57">
        <f>CRM_MAGDY!H635</f>
        <v>6076</v>
      </c>
      <c r="D635" s="57">
        <f>CRM_MAGDY!I635</f>
        <v>0</v>
      </c>
      <c r="E635" s="57">
        <f>IFERROR(VALUE(CRM_MAGDY!K635),0)</f>
        <v>0</v>
      </c>
      <c r="F635" s="57">
        <f>IFERROR(IF(CRM_MAGDY!L635&gt;1,CRM_MAGDY!L635/100,CRM_MAGDY!L635),0)</f>
        <v>0</v>
      </c>
      <c r="G635" s="57">
        <f>CRM_MAGDY!N635</f>
        <v>0</v>
      </c>
      <c r="H635" s="57">
        <f>CRM_MAGDY!M635</f>
        <v>0</v>
      </c>
      <c r="I635" s="57">
        <f t="shared" si="18"/>
        <v>0</v>
      </c>
      <c r="J635" s="57" t="str">
        <f t="shared" si="19"/>
        <v>POTENCJAŁ</v>
      </c>
    </row>
    <row r="636" spans="1:10" x14ac:dyDescent="0.25">
      <c r="A636" s="57" t="str">
        <f>IF(CRM_MAGDY!H636="","","CRM-"&amp;TEXT(ROW()-4,"0000"))</f>
        <v>CRM-0632</v>
      </c>
      <c r="B636" s="57">
        <f>CRM_MAGDY!E636</f>
        <v>0</v>
      </c>
      <c r="C636" s="57">
        <f>CRM_MAGDY!H636</f>
        <v>6077</v>
      </c>
      <c r="D636" s="57">
        <f>CRM_MAGDY!I636</f>
        <v>0</v>
      </c>
      <c r="E636" s="57">
        <f>IFERROR(VALUE(CRM_MAGDY!K636),0)</f>
        <v>0</v>
      </c>
      <c r="F636" s="57">
        <f>IFERROR(IF(CRM_MAGDY!L636&gt;1,CRM_MAGDY!L636/100,CRM_MAGDY!L636),0)</f>
        <v>0</v>
      </c>
      <c r="G636" s="57">
        <f>CRM_MAGDY!N636</f>
        <v>0</v>
      </c>
      <c r="H636" s="57">
        <f>CRM_MAGDY!M636</f>
        <v>0</v>
      </c>
      <c r="I636" s="57">
        <f t="shared" si="18"/>
        <v>0</v>
      </c>
      <c r="J636" s="57" t="str">
        <f t="shared" si="19"/>
        <v>POTENCJAŁ</v>
      </c>
    </row>
    <row r="637" spans="1:10" x14ac:dyDescent="0.25">
      <c r="A637" s="57" t="str">
        <f>IF(CRM_MAGDY!H637="","","CRM-"&amp;TEXT(ROW()-4,"0000"))</f>
        <v>CRM-0633</v>
      </c>
      <c r="B637" s="57">
        <f>CRM_MAGDY!E637</f>
        <v>0</v>
      </c>
      <c r="C637" s="57">
        <f>CRM_MAGDY!H637</f>
        <v>6078</v>
      </c>
      <c r="D637" s="57">
        <f>CRM_MAGDY!I637</f>
        <v>0</v>
      </c>
      <c r="E637" s="57">
        <f>IFERROR(VALUE(CRM_MAGDY!K637),0)</f>
        <v>0</v>
      </c>
      <c r="F637" s="57">
        <f>IFERROR(IF(CRM_MAGDY!L637&gt;1,CRM_MAGDY!L637/100,CRM_MAGDY!L637),0)</f>
        <v>0</v>
      </c>
      <c r="G637" s="57">
        <f>CRM_MAGDY!N637</f>
        <v>0</v>
      </c>
      <c r="H637" s="57">
        <f>CRM_MAGDY!M637</f>
        <v>0</v>
      </c>
      <c r="I637" s="57">
        <f t="shared" si="18"/>
        <v>0</v>
      </c>
      <c r="J637" s="57" t="str">
        <f t="shared" si="19"/>
        <v>POTENCJAŁ</v>
      </c>
    </row>
    <row r="638" spans="1:10" x14ac:dyDescent="0.25">
      <c r="A638" s="57" t="str">
        <f>IF(CRM_MAGDY!H638="","","CRM-"&amp;TEXT(ROW()-4,"0000"))</f>
        <v>CRM-0634</v>
      </c>
      <c r="B638" s="57">
        <f>CRM_MAGDY!E638</f>
        <v>0</v>
      </c>
      <c r="C638" s="57">
        <f>CRM_MAGDY!H638</f>
        <v>6079</v>
      </c>
      <c r="D638" s="57">
        <f>CRM_MAGDY!I638</f>
        <v>0</v>
      </c>
      <c r="E638" s="57">
        <f>IFERROR(VALUE(CRM_MAGDY!K638),0)</f>
        <v>0</v>
      </c>
      <c r="F638" s="57">
        <f>IFERROR(IF(CRM_MAGDY!L638&gt;1,CRM_MAGDY!L638/100,CRM_MAGDY!L638),0)</f>
        <v>0</v>
      </c>
      <c r="G638" s="57">
        <f>CRM_MAGDY!N638</f>
        <v>0</v>
      </c>
      <c r="H638" s="57">
        <f>CRM_MAGDY!M638</f>
        <v>0</v>
      </c>
      <c r="I638" s="57">
        <f t="shared" si="18"/>
        <v>0</v>
      </c>
      <c r="J638" s="57" t="str">
        <f t="shared" si="19"/>
        <v>POTENCJAŁ</v>
      </c>
    </row>
    <row r="639" spans="1:10" x14ac:dyDescent="0.25">
      <c r="A639" s="57" t="str">
        <f>IF(CRM_MAGDY!H639="","","CRM-"&amp;TEXT(ROW()-4,"0000"))</f>
        <v>CRM-0635</v>
      </c>
      <c r="B639" s="57">
        <f>CRM_MAGDY!E639</f>
        <v>0</v>
      </c>
      <c r="C639" s="57">
        <f>CRM_MAGDY!H639</f>
        <v>6080</v>
      </c>
      <c r="D639" s="57">
        <f>CRM_MAGDY!I639</f>
        <v>0</v>
      </c>
      <c r="E639" s="57">
        <f>IFERROR(VALUE(CRM_MAGDY!K639),0)</f>
        <v>0</v>
      </c>
      <c r="F639" s="57">
        <f>IFERROR(IF(CRM_MAGDY!L639&gt;1,CRM_MAGDY!L639/100,CRM_MAGDY!L639),0)</f>
        <v>0</v>
      </c>
      <c r="G639" s="57">
        <f>CRM_MAGDY!N639</f>
        <v>0</v>
      </c>
      <c r="H639" s="57">
        <f>CRM_MAGDY!M639</f>
        <v>0</v>
      </c>
      <c r="I639" s="57">
        <f t="shared" si="18"/>
        <v>0</v>
      </c>
      <c r="J639" s="57" t="str">
        <f t="shared" si="19"/>
        <v>POTENCJAŁ</v>
      </c>
    </row>
    <row r="640" spans="1:10" x14ac:dyDescent="0.25">
      <c r="A640" s="57" t="str">
        <f>IF(CRM_MAGDY!H640="","","CRM-"&amp;TEXT(ROW()-4,"0000"))</f>
        <v>CRM-0636</v>
      </c>
      <c r="B640" s="57">
        <f>CRM_MAGDY!E640</f>
        <v>0</v>
      </c>
      <c r="C640" s="57">
        <f>CRM_MAGDY!H640</f>
        <v>6081</v>
      </c>
      <c r="D640" s="57">
        <f>CRM_MAGDY!I640</f>
        <v>0</v>
      </c>
      <c r="E640" s="57">
        <f>IFERROR(VALUE(CRM_MAGDY!K640),0)</f>
        <v>0</v>
      </c>
      <c r="F640" s="57">
        <f>IFERROR(IF(CRM_MAGDY!L640&gt;1,CRM_MAGDY!L640/100,CRM_MAGDY!L640),0)</f>
        <v>0</v>
      </c>
      <c r="G640" s="57">
        <f>CRM_MAGDY!N640</f>
        <v>0</v>
      </c>
      <c r="H640" s="57">
        <f>CRM_MAGDY!M640</f>
        <v>0</v>
      </c>
      <c r="I640" s="57">
        <f t="shared" si="18"/>
        <v>0</v>
      </c>
      <c r="J640" s="57" t="str">
        <f t="shared" si="19"/>
        <v>POTENCJAŁ</v>
      </c>
    </row>
    <row r="641" spans="1:10" x14ac:dyDescent="0.25">
      <c r="A641" s="57" t="str">
        <f>IF(CRM_MAGDY!H641="","","CRM-"&amp;TEXT(ROW()-4,"0000"))</f>
        <v>CRM-0637</v>
      </c>
      <c r="B641" s="57">
        <f>CRM_MAGDY!E641</f>
        <v>0</v>
      </c>
      <c r="C641" s="57">
        <f>CRM_MAGDY!H641</f>
        <v>6082</v>
      </c>
      <c r="D641" s="57">
        <f>CRM_MAGDY!I641</f>
        <v>0</v>
      </c>
      <c r="E641" s="57">
        <f>IFERROR(VALUE(CRM_MAGDY!K641),0)</f>
        <v>0</v>
      </c>
      <c r="F641" s="57">
        <f>IFERROR(IF(CRM_MAGDY!L641&gt;1,CRM_MAGDY!L641/100,CRM_MAGDY!L641),0)</f>
        <v>0</v>
      </c>
      <c r="G641" s="57">
        <f>CRM_MAGDY!N641</f>
        <v>0</v>
      </c>
      <c r="H641" s="57">
        <f>CRM_MAGDY!M641</f>
        <v>0</v>
      </c>
      <c r="I641" s="57">
        <f t="shared" si="18"/>
        <v>0</v>
      </c>
      <c r="J641" s="57" t="str">
        <f t="shared" si="19"/>
        <v>POTENCJAŁ</v>
      </c>
    </row>
    <row r="642" spans="1:10" x14ac:dyDescent="0.25">
      <c r="A642" s="57" t="str">
        <f>IF(CRM_MAGDY!H642="","","CRM-"&amp;TEXT(ROW()-4,"0000"))</f>
        <v>CRM-0638</v>
      </c>
      <c r="B642" s="57">
        <f>CRM_MAGDY!E642</f>
        <v>0</v>
      </c>
      <c r="C642" s="57">
        <f>CRM_MAGDY!H642</f>
        <v>6083</v>
      </c>
      <c r="D642" s="57">
        <f>CRM_MAGDY!I642</f>
        <v>0</v>
      </c>
      <c r="E642" s="57">
        <f>IFERROR(VALUE(CRM_MAGDY!K642),0)</f>
        <v>0</v>
      </c>
      <c r="F642" s="57">
        <f>IFERROR(IF(CRM_MAGDY!L642&gt;1,CRM_MAGDY!L642/100,CRM_MAGDY!L642),0)</f>
        <v>0</v>
      </c>
      <c r="G642" s="57">
        <f>CRM_MAGDY!N642</f>
        <v>0</v>
      </c>
      <c r="H642" s="57">
        <f>CRM_MAGDY!M642</f>
        <v>0</v>
      </c>
      <c r="I642" s="57">
        <f t="shared" si="18"/>
        <v>0</v>
      </c>
      <c r="J642" s="57" t="str">
        <f t="shared" si="19"/>
        <v>POTENCJAŁ</v>
      </c>
    </row>
    <row r="643" spans="1:10" x14ac:dyDescent="0.25">
      <c r="A643" s="57" t="str">
        <f>IF(CRM_MAGDY!H643="","","CRM-"&amp;TEXT(ROW()-4,"0000"))</f>
        <v>CRM-0639</v>
      </c>
      <c r="B643" s="57">
        <f>CRM_MAGDY!E643</f>
        <v>0</v>
      </c>
      <c r="C643" s="57">
        <f>CRM_MAGDY!H643</f>
        <v>6084</v>
      </c>
      <c r="D643" s="57">
        <f>CRM_MAGDY!I643</f>
        <v>0</v>
      </c>
      <c r="E643" s="57">
        <f>IFERROR(VALUE(CRM_MAGDY!K643),0)</f>
        <v>0</v>
      </c>
      <c r="F643" s="57">
        <f>IFERROR(IF(CRM_MAGDY!L643&gt;1,CRM_MAGDY!L643/100,CRM_MAGDY!L643),0)</f>
        <v>0</v>
      </c>
      <c r="G643" s="57">
        <f>CRM_MAGDY!N643</f>
        <v>0</v>
      </c>
      <c r="H643" s="57">
        <f>CRM_MAGDY!M643</f>
        <v>0</v>
      </c>
      <c r="I643" s="57">
        <f t="shared" si="18"/>
        <v>0</v>
      </c>
      <c r="J643" s="57" t="str">
        <f t="shared" si="19"/>
        <v>POTENCJAŁ</v>
      </c>
    </row>
    <row r="644" spans="1:10" x14ac:dyDescent="0.25">
      <c r="A644" s="57" t="str">
        <f>IF(CRM_MAGDY!H644="","","CRM-"&amp;TEXT(ROW()-4,"0000"))</f>
        <v>CRM-0640</v>
      </c>
      <c r="B644" s="57">
        <f>CRM_MAGDY!E644</f>
        <v>0</v>
      </c>
      <c r="C644" s="57">
        <f>CRM_MAGDY!H644</f>
        <v>6085</v>
      </c>
      <c r="D644" s="57">
        <f>CRM_MAGDY!I644</f>
        <v>0</v>
      </c>
      <c r="E644" s="57">
        <f>IFERROR(VALUE(CRM_MAGDY!K644),0)</f>
        <v>0</v>
      </c>
      <c r="F644" s="57">
        <f>IFERROR(IF(CRM_MAGDY!L644&gt;1,CRM_MAGDY!L644/100,CRM_MAGDY!L644),0)</f>
        <v>0</v>
      </c>
      <c r="G644" s="57">
        <f>CRM_MAGDY!N644</f>
        <v>0</v>
      </c>
      <c r="H644" s="57">
        <f>CRM_MAGDY!M644</f>
        <v>0</v>
      </c>
      <c r="I644" s="57">
        <f t="shared" si="18"/>
        <v>0</v>
      </c>
      <c r="J644" s="57" t="str">
        <f t="shared" si="19"/>
        <v>POTENCJAŁ</v>
      </c>
    </row>
    <row r="645" spans="1:10" x14ac:dyDescent="0.25">
      <c r="A645" s="57" t="str">
        <f>IF(CRM_MAGDY!H645="","","CRM-"&amp;TEXT(ROW()-4,"0000"))</f>
        <v>CRM-0641</v>
      </c>
      <c r="B645" s="57">
        <f>CRM_MAGDY!E645</f>
        <v>0</v>
      </c>
      <c r="C645" s="57">
        <f>CRM_MAGDY!H645</f>
        <v>6086</v>
      </c>
      <c r="D645" s="57">
        <f>CRM_MAGDY!I645</f>
        <v>0</v>
      </c>
      <c r="E645" s="57">
        <f>IFERROR(VALUE(CRM_MAGDY!K645),0)</f>
        <v>0</v>
      </c>
      <c r="F645" s="57">
        <f>IFERROR(IF(CRM_MAGDY!L645&gt;1,CRM_MAGDY!L645/100,CRM_MAGDY!L645),0)</f>
        <v>0</v>
      </c>
      <c r="G645" s="57">
        <f>CRM_MAGDY!N645</f>
        <v>0</v>
      </c>
      <c r="H645" s="57">
        <f>CRM_MAGDY!M645</f>
        <v>0</v>
      </c>
      <c r="I645" s="57">
        <f t="shared" ref="I645:I708" si="20">IF(OR(G645="WYGRANA",G645="PRZEGRANA"),0,E645*F645)</f>
        <v>0</v>
      </c>
      <c r="J645" s="57" t="str">
        <f t="shared" ref="J645:J708" si="21">IF(F645&gt;=0.7,"PEWNY",IF(F645&gt;=0.3,"REALNY","POTENCJAŁ"))</f>
        <v>POTENCJAŁ</v>
      </c>
    </row>
    <row r="646" spans="1:10" x14ac:dyDescent="0.25">
      <c r="A646" s="57" t="str">
        <f>IF(CRM_MAGDY!H646="","","CRM-"&amp;TEXT(ROW()-4,"0000"))</f>
        <v>CRM-0642</v>
      </c>
      <c r="B646" s="57">
        <f>CRM_MAGDY!E646</f>
        <v>0</v>
      </c>
      <c r="C646" s="57">
        <f>CRM_MAGDY!H646</f>
        <v>6087</v>
      </c>
      <c r="D646" s="57">
        <f>CRM_MAGDY!I646</f>
        <v>0</v>
      </c>
      <c r="E646" s="57">
        <f>IFERROR(VALUE(CRM_MAGDY!K646),0)</f>
        <v>0</v>
      </c>
      <c r="F646" s="57">
        <f>IFERROR(IF(CRM_MAGDY!L646&gt;1,CRM_MAGDY!L646/100,CRM_MAGDY!L646),0)</f>
        <v>0</v>
      </c>
      <c r="G646" s="57">
        <f>CRM_MAGDY!N646</f>
        <v>0</v>
      </c>
      <c r="H646" s="57">
        <f>CRM_MAGDY!M646</f>
        <v>0</v>
      </c>
      <c r="I646" s="57">
        <f t="shared" si="20"/>
        <v>0</v>
      </c>
      <c r="J646" s="57" t="str">
        <f t="shared" si="21"/>
        <v>POTENCJAŁ</v>
      </c>
    </row>
    <row r="647" spans="1:10" x14ac:dyDescent="0.25">
      <c r="A647" s="57" t="str">
        <f>IF(CRM_MAGDY!H647="","","CRM-"&amp;TEXT(ROW()-4,"0000"))</f>
        <v>CRM-0643</v>
      </c>
      <c r="B647" s="57">
        <f>CRM_MAGDY!E647</f>
        <v>0</v>
      </c>
      <c r="C647" s="57">
        <f>CRM_MAGDY!H647</f>
        <v>6088</v>
      </c>
      <c r="D647" s="57">
        <f>CRM_MAGDY!I647</f>
        <v>0</v>
      </c>
      <c r="E647" s="57">
        <f>IFERROR(VALUE(CRM_MAGDY!K647),0)</f>
        <v>0</v>
      </c>
      <c r="F647" s="57">
        <f>IFERROR(IF(CRM_MAGDY!L647&gt;1,CRM_MAGDY!L647/100,CRM_MAGDY!L647),0)</f>
        <v>0</v>
      </c>
      <c r="G647" s="57">
        <f>CRM_MAGDY!N647</f>
        <v>0</v>
      </c>
      <c r="H647" s="57">
        <f>CRM_MAGDY!M647</f>
        <v>0</v>
      </c>
      <c r="I647" s="57">
        <f t="shared" si="20"/>
        <v>0</v>
      </c>
      <c r="J647" s="57" t="str">
        <f t="shared" si="21"/>
        <v>POTENCJAŁ</v>
      </c>
    </row>
    <row r="648" spans="1:10" x14ac:dyDescent="0.25">
      <c r="A648" s="57" t="str">
        <f>IF(CRM_MAGDY!H648="","","CRM-"&amp;TEXT(ROW()-4,"0000"))</f>
        <v>CRM-0644</v>
      </c>
      <c r="B648" s="57">
        <f>CRM_MAGDY!E648</f>
        <v>0</v>
      </c>
      <c r="C648" s="57">
        <f>CRM_MAGDY!H648</f>
        <v>6084</v>
      </c>
      <c r="D648" s="57">
        <f>CRM_MAGDY!I648</f>
        <v>0</v>
      </c>
      <c r="E648" s="57">
        <f>IFERROR(VALUE(CRM_MAGDY!K648),0)</f>
        <v>0</v>
      </c>
      <c r="F648" s="57">
        <f>IFERROR(IF(CRM_MAGDY!L648&gt;1,CRM_MAGDY!L648/100,CRM_MAGDY!L648),0)</f>
        <v>0</v>
      </c>
      <c r="G648" s="57">
        <f>CRM_MAGDY!N648</f>
        <v>0</v>
      </c>
      <c r="H648" s="57">
        <f>CRM_MAGDY!M648</f>
        <v>0</v>
      </c>
      <c r="I648" s="57">
        <f t="shared" si="20"/>
        <v>0</v>
      </c>
      <c r="J648" s="57" t="str">
        <f t="shared" si="21"/>
        <v>POTENCJAŁ</v>
      </c>
    </row>
    <row r="649" spans="1:10" x14ac:dyDescent="0.25">
      <c r="A649" s="57" t="str">
        <f>IF(CRM_MAGDY!H649="","","CRM-"&amp;TEXT(ROW()-4,"0000"))</f>
        <v>CRM-0645</v>
      </c>
      <c r="B649" s="57">
        <f>CRM_MAGDY!E649</f>
        <v>0</v>
      </c>
      <c r="C649" s="57">
        <f>CRM_MAGDY!H649</f>
        <v>6085</v>
      </c>
      <c r="D649" s="57">
        <f>CRM_MAGDY!I649</f>
        <v>0</v>
      </c>
      <c r="E649" s="57">
        <f>IFERROR(VALUE(CRM_MAGDY!K649),0)</f>
        <v>0</v>
      </c>
      <c r="F649" s="57">
        <f>IFERROR(IF(CRM_MAGDY!L649&gt;1,CRM_MAGDY!L649/100,CRM_MAGDY!L649),0)</f>
        <v>0</v>
      </c>
      <c r="G649" s="57">
        <f>CRM_MAGDY!N649</f>
        <v>0</v>
      </c>
      <c r="H649" s="57">
        <f>CRM_MAGDY!M649</f>
        <v>0</v>
      </c>
      <c r="I649" s="57">
        <f t="shared" si="20"/>
        <v>0</v>
      </c>
      <c r="J649" s="57" t="str">
        <f t="shared" si="21"/>
        <v>POTENCJAŁ</v>
      </c>
    </row>
    <row r="650" spans="1:10" x14ac:dyDescent="0.25">
      <c r="A650" s="57" t="str">
        <f>IF(CRM_MAGDY!H650="","","CRM-"&amp;TEXT(ROW()-4,"0000"))</f>
        <v>CRM-0646</v>
      </c>
      <c r="B650" s="57">
        <f>CRM_MAGDY!E650</f>
        <v>0</v>
      </c>
      <c r="C650" s="57">
        <f>CRM_MAGDY!H650</f>
        <v>6086</v>
      </c>
      <c r="D650" s="57">
        <f>CRM_MAGDY!I650</f>
        <v>0</v>
      </c>
      <c r="E650" s="57">
        <f>IFERROR(VALUE(CRM_MAGDY!K650),0)</f>
        <v>0</v>
      </c>
      <c r="F650" s="57">
        <f>IFERROR(IF(CRM_MAGDY!L650&gt;1,CRM_MAGDY!L650/100,CRM_MAGDY!L650),0)</f>
        <v>0</v>
      </c>
      <c r="G650" s="57">
        <f>CRM_MAGDY!N650</f>
        <v>0</v>
      </c>
      <c r="H650" s="57">
        <f>CRM_MAGDY!M650</f>
        <v>0</v>
      </c>
      <c r="I650" s="57">
        <f t="shared" si="20"/>
        <v>0</v>
      </c>
      <c r="J650" s="57" t="str">
        <f t="shared" si="21"/>
        <v>POTENCJAŁ</v>
      </c>
    </row>
    <row r="651" spans="1:10" x14ac:dyDescent="0.25">
      <c r="A651" s="57" t="str">
        <f>IF(CRM_MAGDY!H651="","","CRM-"&amp;TEXT(ROW()-4,"0000"))</f>
        <v>CRM-0647</v>
      </c>
      <c r="B651" s="57">
        <f>CRM_MAGDY!E651</f>
        <v>0</v>
      </c>
      <c r="C651" s="57">
        <f>CRM_MAGDY!H651</f>
        <v>6087</v>
      </c>
      <c r="D651" s="57">
        <f>CRM_MAGDY!I651</f>
        <v>0</v>
      </c>
      <c r="E651" s="57">
        <f>IFERROR(VALUE(CRM_MAGDY!K651),0)</f>
        <v>0</v>
      </c>
      <c r="F651" s="57">
        <f>IFERROR(IF(CRM_MAGDY!L651&gt;1,CRM_MAGDY!L651/100,CRM_MAGDY!L651),0)</f>
        <v>0</v>
      </c>
      <c r="G651" s="57">
        <f>CRM_MAGDY!N651</f>
        <v>0</v>
      </c>
      <c r="H651" s="57">
        <f>CRM_MAGDY!M651</f>
        <v>0</v>
      </c>
      <c r="I651" s="57">
        <f t="shared" si="20"/>
        <v>0</v>
      </c>
      <c r="J651" s="57" t="str">
        <f t="shared" si="21"/>
        <v>POTENCJAŁ</v>
      </c>
    </row>
    <row r="652" spans="1:10" x14ac:dyDescent="0.25">
      <c r="A652" s="57" t="str">
        <f>IF(CRM_MAGDY!H652="","","CRM-"&amp;TEXT(ROW()-4,"0000"))</f>
        <v>CRM-0648</v>
      </c>
      <c r="B652" s="57">
        <f>CRM_MAGDY!E652</f>
        <v>0</v>
      </c>
      <c r="C652" s="57">
        <f>CRM_MAGDY!H652</f>
        <v>6088</v>
      </c>
      <c r="D652" s="57">
        <f>CRM_MAGDY!I652</f>
        <v>0</v>
      </c>
      <c r="E652" s="57">
        <f>IFERROR(VALUE(CRM_MAGDY!K652),0)</f>
        <v>0</v>
      </c>
      <c r="F652" s="57">
        <f>IFERROR(IF(CRM_MAGDY!L652&gt;1,CRM_MAGDY!L652/100,CRM_MAGDY!L652),0)</f>
        <v>0</v>
      </c>
      <c r="G652" s="57">
        <f>CRM_MAGDY!N652</f>
        <v>0</v>
      </c>
      <c r="H652" s="57">
        <f>CRM_MAGDY!M652</f>
        <v>0</v>
      </c>
      <c r="I652" s="57">
        <f t="shared" si="20"/>
        <v>0</v>
      </c>
      <c r="J652" s="57" t="str">
        <f t="shared" si="21"/>
        <v>POTENCJAŁ</v>
      </c>
    </row>
    <row r="653" spans="1:10" x14ac:dyDescent="0.25">
      <c r="A653" s="57" t="str">
        <f>IF(CRM_MAGDY!H653="","","CRM-"&amp;TEXT(ROW()-4,"0000"))</f>
        <v>CRM-0649</v>
      </c>
      <c r="B653" s="57">
        <f>CRM_MAGDY!E653</f>
        <v>0</v>
      </c>
      <c r="C653" s="57">
        <f>CRM_MAGDY!H653</f>
        <v>6089</v>
      </c>
      <c r="D653" s="57">
        <f>CRM_MAGDY!I653</f>
        <v>0</v>
      </c>
      <c r="E653" s="57">
        <f>IFERROR(VALUE(CRM_MAGDY!K653),0)</f>
        <v>0</v>
      </c>
      <c r="F653" s="57">
        <f>IFERROR(IF(CRM_MAGDY!L653&gt;1,CRM_MAGDY!L653/100,CRM_MAGDY!L653),0)</f>
        <v>0</v>
      </c>
      <c r="G653" s="57">
        <f>CRM_MAGDY!N653</f>
        <v>0</v>
      </c>
      <c r="H653" s="57">
        <f>CRM_MAGDY!M653</f>
        <v>0</v>
      </c>
      <c r="I653" s="57">
        <f t="shared" si="20"/>
        <v>0</v>
      </c>
      <c r="J653" s="57" t="str">
        <f t="shared" si="21"/>
        <v>POTENCJAŁ</v>
      </c>
    </row>
    <row r="654" spans="1:10" x14ac:dyDescent="0.25">
      <c r="A654" s="57" t="str">
        <f>IF(CRM_MAGDY!H654="","","CRM-"&amp;TEXT(ROW()-4,"0000"))</f>
        <v>CRM-0650</v>
      </c>
      <c r="B654" s="57">
        <f>CRM_MAGDY!E654</f>
        <v>0</v>
      </c>
      <c r="C654" s="57">
        <f>CRM_MAGDY!H654</f>
        <v>6090</v>
      </c>
      <c r="D654" s="57">
        <f>CRM_MAGDY!I654</f>
        <v>0</v>
      </c>
      <c r="E654" s="57">
        <f>IFERROR(VALUE(CRM_MAGDY!K654),0)</f>
        <v>0</v>
      </c>
      <c r="F654" s="57">
        <f>IFERROR(IF(CRM_MAGDY!L654&gt;1,CRM_MAGDY!L654/100,CRM_MAGDY!L654),0)</f>
        <v>0</v>
      </c>
      <c r="G654" s="57">
        <f>CRM_MAGDY!N654</f>
        <v>0</v>
      </c>
      <c r="H654" s="57">
        <f>CRM_MAGDY!M654</f>
        <v>0</v>
      </c>
      <c r="I654" s="57">
        <f t="shared" si="20"/>
        <v>0</v>
      </c>
      <c r="J654" s="57" t="str">
        <f t="shared" si="21"/>
        <v>POTENCJAŁ</v>
      </c>
    </row>
    <row r="655" spans="1:10" x14ac:dyDescent="0.25">
      <c r="A655" s="57" t="str">
        <f>IF(CRM_MAGDY!H655="","","CRM-"&amp;TEXT(ROW()-4,"0000"))</f>
        <v>CRM-0651</v>
      </c>
      <c r="B655" s="57">
        <f>CRM_MAGDY!E655</f>
        <v>0</v>
      </c>
      <c r="C655" s="57">
        <f>CRM_MAGDY!H655</f>
        <v>6091</v>
      </c>
      <c r="D655" s="57">
        <f>CRM_MAGDY!I655</f>
        <v>0</v>
      </c>
      <c r="E655" s="57">
        <f>IFERROR(VALUE(CRM_MAGDY!K655),0)</f>
        <v>0</v>
      </c>
      <c r="F655" s="57">
        <f>IFERROR(IF(CRM_MAGDY!L655&gt;1,CRM_MAGDY!L655/100,CRM_MAGDY!L655),0)</f>
        <v>0</v>
      </c>
      <c r="G655" s="57">
        <f>CRM_MAGDY!N655</f>
        <v>0</v>
      </c>
      <c r="H655" s="57">
        <f>CRM_MAGDY!M655</f>
        <v>0</v>
      </c>
      <c r="I655" s="57">
        <f t="shared" si="20"/>
        <v>0</v>
      </c>
      <c r="J655" s="57" t="str">
        <f t="shared" si="21"/>
        <v>POTENCJAŁ</v>
      </c>
    </row>
    <row r="656" spans="1:10" x14ac:dyDescent="0.25">
      <c r="A656" s="57" t="str">
        <f>IF(CRM_MAGDY!H656="","","CRM-"&amp;TEXT(ROW()-4,"0000"))</f>
        <v>CRM-0652</v>
      </c>
      <c r="B656" s="57">
        <f>CRM_MAGDY!E656</f>
        <v>0</v>
      </c>
      <c r="C656" s="57">
        <f>CRM_MAGDY!H656</f>
        <v>6092</v>
      </c>
      <c r="D656" s="57">
        <f>CRM_MAGDY!I656</f>
        <v>0</v>
      </c>
      <c r="E656" s="57">
        <f>IFERROR(VALUE(CRM_MAGDY!K656),0)</f>
        <v>0</v>
      </c>
      <c r="F656" s="57">
        <f>IFERROR(IF(CRM_MAGDY!L656&gt;1,CRM_MAGDY!L656/100,CRM_MAGDY!L656),0)</f>
        <v>0</v>
      </c>
      <c r="G656" s="57">
        <f>CRM_MAGDY!N656</f>
        <v>0</v>
      </c>
      <c r="H656" s="57">
        <f>CRM_MAGDY!M656</f>
        <v>0</v>
      </c>
      <c r="I656" s="57">
        <f t="shared" si="20"/>
        <v>0</v>
      </c>
      <c r="J656" s="57" t="str">
        <f t="shared" si="21"/>
        <v>POTENCJAŁ</v>
      </c>
    </row>
    <row r="657" spans="1:10" x14ac:dyDescent="0.25">
      <c r="A657" s="57" t="str">
        <f>IF(CRM_MAGDY!H657="","","CRM-"&amp;TEXT(ROW()-4,"0000"))</f>
        <v>CRM-0653</v>
      </c>
      <c r="B657" s="57">
        <f>CRM_MAGDY!E657</f>
        <v>0</v>
      </c>
      <c r="C657" s="57">
        <f>CRM_MAGDY!H657</f>
        <v>6093</v>
      </c>
      <c r="D657" s="57">
        <f>CRM_MAGDY!I657</f>
        <v>0</v>
      </c>
      <c r="E657" s="57">
        <f>IFERROR(VALUE(CRM_MAGDY!K657),0)</f>
        <v>0</v>
      </c>
      <c r="F657" s="57">
        <f>IFERROR(IF(CRM_MAGDY!L657&gt;1,CRM_MAGDY!L657/100,CRM_MAGDY!L657),0)</f>
        <v>0</v>
      </c>
      <c r="G657" s="57">
        <f>CRM_MAGDY!N657</f>
        <v>0</v>
      </c>
      <c r="H657" s="57">
        <f>CRM_MAGDY!M657</f>
        <v>0</v>
      </c>
      <c r="I657" s="57">
        <f t="shared" si="20"/>
        <v>0</v>
      </c>
      <c r="J657" s="57" t="str">
        <f t="shared" si="21"/>
        <v>POTENCJAŁ</v>
      </c>
    </row>
    <row r="658" spans="1:10" x14ac:dyDescent="0.25">
      <c r="A658" s="57" t="str">
        <f>IF(CRM_MAGDY!H658="","","CRM-"&amp;TEXT(ROW()-4,"0000"))</f>
        <v>CRM-0654</v>
      </c>
      <c r="B658" s="57">
        <f>CRM_MAGDY!E658</f>
        <v>0</v>
      </c>
      <c r="C658" s="57">
        <f>CRM_MAGDY!H658</f>
        <v>6094</v>
      </c>
      <c r="D658" s="57">
        <f>CRM_MAGDY!I658</f>
        <v>0</v>
      </c>
      <c r="E658" s="57">
        <f>IFERROR(VALUE(CRM_MAGDY!K658),0)</f>
        <v>0</v>
      </c>
      <c r="F658" s="57">
        <f>IFERROR(IF(CRM_MAGDY!L658&gt;1,CRM_MAGDY!L658/100,CRM_MAGDY!L658),0)</f>
        <v>0</v>
      </c>
      <c r="G658" s="57">
        <f>CRM_MAGDY!N658</f>
        <v>0</v>
      </c>
      <c r="H658" s="57">
        <f>CRM_MAGDY!M658</f>
        <v>0</v>
      </c>
      <c r="I658" s="57">
        <f t="shared" si="20"/>
        <v>0</v>
      </c>
      <c r="J658" s="57" t="str">
        <f t="shared" si="21"/>
        <v>POTENCJAŁ</v>
      </c>
    </row>
    <row r="659" spans="1:10" x14ac:dyDescent="0.25">
      <c r="A659" s="57" t="str">
        <f>IF(CRM_MAGDY!H659="","","CRM-"&amp;TEXT(ROW()-4,"0000"))</f>
        <v>CRM-0655</v>
      </c>
      <c r="B659" s="57">
        <f>CRM_MAGDY!E659</f>
        <v>0</v>
      </c>
      <c r="C659" s="57">
        <f>CRM_MAGDY!H659</f>
        <v>6095</v>
      </c>
      <c r="D659" s="57">
        <f>CRM_MAGDY!I659</f>
        <v>0</v>
      </c>
      <c r="E659" s="57">
        <f>IFERROR(VALUE(CRM_MAGDY!K659),0)</f>
        <v>0</v>
      </c>
      <c r="F659" s="57">
        <f>IFERROR(IF(CRM_MAGDY!L659&gt;1,CRM_MAGDY!L659/100,CRM_MAGDY!L659),0)</f>
        <v>0</v>
      </c>
      <c r="G659" s="57">
        <f>CRM_MAGDY!N659</f>
        <v>0</v>
      </c>
      <c r="H659" s="57">
        <f>CRM_MAGDY!M659</f>
        <v>0</v>
      </c>
      <c r="I659" s="57">
        <f t="shared" si="20"/>
        <v>0</v>
      </c>
      <c r="J659" s="57" t="str">
        <f t="shared" si="21"/>
        <v>POTENCJAŁ</v>
      </c>
    </row>
    <row r="660" spans="1:10" x14ac:dyDescent="0.25">
      <c r="A660" s="57" t="str">
        <f>IF(CRM_MAGDY!H660="","","CRM-"&amp;TEXT(ROW()-4,"0000"))</f>
        <v>CRM-0656</v>
      </c>
      <c r="B660" s="57">
        <f>CRM_MAGDY!E660</f>
        <v>0</v>
      </c>
      <c r="C660" s="57">
        <f>CRM_MAGDY!H660</f>
        <v>6096</v>
      </c>
      <c r="D660" s="57">
        <f>CRM_MAGDY!I660</f>
        <v>0</v>
      </c>
      <c r="E660" s="57">
        <f>IFERROR(VALUE(CRM_MAGDY!K660),0)</f>
        <v>0</v>
      </c>
      <c r="F660" s="57">
        <f>IFERROR(IF(CRM_MAGDY!L660&gt;1,CRM_MAGDY!L660/100,CRM_MAGDY!L660),0)</f>
        <v>0</v>
      </c>
      <c r="G660" s="57">
        <f>CRM_MAGDY!N660</f>
        <v>0</v>
      </c>
      <c r="H660" s="57">
        <f>CRM_MAGDY!M660</f>
        <v>0</v>
      </c>
      <c r="I660" s="57">
        <f t="shared" si="20"/>
        <v>0</v>
      </c>
      <c r="J660" s="57" t="str">
        <f t="shared" si="21"/>
        <v>POTENCJAŁ</v>
      </c>
    </row>
    <row r="661" spans="1:10" x14ac:dyDescent="0.25">
      <c r="A661" s="57" t="str">
        <f>IF(CRM_MAGDY!H661="","","CRM-"&amp;TEXT(ROW()-4,"0000"))</f>
        <v>CRM-0657</v>
      </c>
      <c r="B661" s="57">
        <f>CRM_MAGDY!E661</f>
        <v>0</v>
      </c>
      <c r="C661" s="57">
        <f>CRM_MAGDY!H661</f>
        <v>6097</v>
      </c>
      <c r="D661" s="57">
        <f>CRM_MAGDY!I661</f>
        <v>0</v>
      </c>
      <c r="E661" s="57">
        <f>IFERROR(VALUE(CRM_MAGDY!K661),0)</f>
        <v>0</v>
      </c>
      <c r="F661" s="57">
        <f>IFERROR(IF(CRM_MAGDY!L661&gt;1,CRM_MAGDY!L661/100,CRM_MAGDY!L661),0)</f>
        <v>0</v>
      </c>
      <c r="G661" s="57">
        <f>CRM_MAGDY!N661</f>
        <v>0</v>
      </c>
      <c r="H661" s="57">
        <f>CRM_MAGDY!M661</f>
        <v>0</v>
      </c>
      <c r="I661" s="57">
        <f t="shared" si="20"/>
        <v>0</v>
      </c>
      <c r="J661" s="57" t="str">
        <f t="shared" si="21"/>
        <v>POTENCJAŁ</v>
      </c>
    </row>
    <row r="662" spans="1:10" x14ac:dyDescent="0.25">
      <c r="A662" s="57" t="str">
        <f>IF(CRM_MAGDY!H662="","","CRM-"&amp;TEXT(ROW()-4,"0000"))</f>
        <v>CRM-0658</v>
      </c>
      <c r="B662" s="57">
        <f>CRM_MAGDY!E662</f>
        <v>0</v>
      </c>
      <c r="C662" s="57">
        <f>CRM_MAGDY!H662</f>
        <v>6098</v>
      </c>
      <c r="D662" s="57">
        <f>CRM_MAGDY!I662</f>
        <v>0</v>
      </c>
      <c r="E662" s="57">
        <f>IFERROR(VALUE(CRM_MAGDY!K662),0)</f>
        <v>0</v>
      </c>
      <c r="F662" s="57">
        <f>IFERROR(IF(CRM_MAGDY!L662&gt;1,CRM_MAGDY!L662/100,CRM_MAGDY!L662),0)</f>
        <v>0</v>
      </c>
      <c r="G662" s="57">
        <f>CRM_MAGDY!N662</f>
        <v>0</v>
      </c>
      <c r="H662" s="57">
        <f>CRM_MAGDY!M662</f>
        <v>0</v>
      </c>
      <c r="I662" s="57">
        <f t="shared" si="20"/>
        <v>0</v>
      </c>
      <c r="J662" s="57" t="str">
        <f t="shared" si="21"/>
        <v>POTENCJAŁ</v>
      </c>
    </row>
    <row r="663" spans="1:10" x14ac:dyDescent="0.25">
      <c r="A663" s="57" t="str">
        <f>IF(CRM_MAGDY!H663="","","CRM-"&amp;TEXT(ROW()-4,"0000"))</f>
        <v>CRM-0659</v>
      </c>
      <c r="B663" s="57">
        <f>CRM_MAGDY!E663</f>
        <v>0</v>
      </c>
      <c r="C663" s="57">
        <f>CRM_MAGDY!H663</f>
        <v>6099</v>
      </c>
      <c r="D663" s="57">
        <f>CRM_MAGDY!I663</f>
        <v>0</v>
      </c>
      <c r="E663" s="57">
        <f>IFERROR(VALUE(CRM_MAGDY!K663),0)</f>
        <v>0</v>
      </c>
      <c r="F663" s="57">
        <f>IFERROR(IF(CRM_MAGDY!L663&gt;1,CRM_MAGDY!L663/100,CRM_MAGDY!L663),0)</f>
        <v>0</v>
      </c>
      <c r="G663" s="57">
        <f>CRM_MAGDY!N663</f>
        <v>0</v>
      </c>
      <c r="H663" s="57">
        <f>CRM_MAGDY!M663</f>
        <v>0</v>
      </c>
      <c r="I663" s="57">
        <f t="shared" si="20"/>
        <v>0</v>
      </c>
      <c r="J663" s="57" t="str">
        <f t="shared" si="21"/>
        <v>POTENCJAŁ</v>
      </c>
    </row>
    <row r="664" spans="1:10" x14ac:dyDescent="0.25">
      <c r="A664" s="57" t="str">
        <f>IF(CRM_MAGDY!H664="","","CRM-"&amp;TEXT(ROW()-4,"0000"))</f>
        <v>CRM-0660</v>
      </c>
      <c r="B664" s="57">
        <f>CRM_MAGDY!E664</f>
        <v>0</v>
      </c>
      <c r="C664" s="57">
        <f>CRM_MAGDY!H664</f>
        <v>6100</v>
      </c>
      <c r="D664" s="57">
        <f>CRM_MAGDY!I664</f>
        <v>0</v>
      </c>
      <c r="E664" s="57">
        <f>IFERROR(VALUE(CRM_MAGDY!K664),0)</f>
        <v>0</v>
      </c>
      <c r="F664" s="57">
        <f>IFERROR(IF(CRM_MAGDY!L664&gt;1,CRM_MAGDY!L664/100,CRM_MAGDY!L664),0)</f>
        <v>0</v>
      </c>
      <c r="G664" s="57">
        <f>CRM_MAGDY!N664</f>
        <v>0</v>
      </c>
      <c r="H664" s="57">
        <f>CRM_MAGDY!M664</f>
        <v>0</v>
      </c>
      <c r="I664" s="57">
        <f t="shared" si="20"/>
        <v>0</v>
      </c>
      <c r="J664" s="57" t="str">
        <f t="shared" si="21"/>
        <v>POTENCJAŁ</v>
      </c>
    </row>
    <row r="665" spans="1:10" x14ac:dyDescent="0.25">
      <c r="A665" s="57" t="str">
        <f>IF(CRM_MAGDY!H665="","","CRM-"&amp;TEXT(ROW()-4,"0000"))</f>
        <v>CRM-0661</v>
      </c>
      <c r="B665" s="57">
        <f>CRM_MAGDY!E665</f>
        <v>0</v>
      </c>
      <c r="C665" s="57">
        <f>CRM_MAGDY!H665</f>
        <v>6101</v>
      </c>
      <c r="D665" s="57">
        <f>CRM_MAGDY!I665</f>
        <v>0</v>
      </c>
      <c r="E665" s="57">
        <f>IFERROR(VALUE(CRM_MAGDY!K665),0)</f>
        <v>0</v>
      </c>
      <c r="F665" s="57">
        <f>IFERROR(IF(CRM_MAGDY!L665&gt;1,CRM_MAGDY!L665/100,CRM_MAGDY!L665),0)</f>
        <v>0</v>
      </c>
      <c r="G665" s="57">
        <f>CRM_MAGDY!N665</f>
        <v>0</v>
      </c>
      <c r="H665" s="57">
        <f>CRM_MAGDY!M665</f>
        <v>0</v>
      </c>
      <c r="I665" s="57">
        <f t="shared" si="20"/>
        <v>0</v>
      </c>
      <c r="J665" s="57" t="str">
        <f t="shared" si="21"/>
        <v>POTENCJAŁ</v>
      </c>
    </row>
    <row r="666" spans="1:10" x14ac:dyDescent="0.25">
      <c r="A666" s="57" t="str">
        <f>IF(CRM_MAGDY!H666="","","CRM-"&amp;TEXT(ROW()-4,"0000"))</f>
        <v>CRM-0662</v>
      </c>
      <c r="B666" s="57">
        <f>CRM_MAGDY!E666</f>
        <v>0</v>
      </c>
      <c r="C666" s="57">
        <f>CRM_MAGDY!H666</f>
        <v>6102</v>
      </c>
      <c r="D666" s="57">
        <f>CRM_MAGDY!I666</f>
        <v>0</v>
      </c>
      <c r="E666" s="57">
        <f>IFERROR(VALUE(CRM_MAGDY!K666),0)</f>
        <v>0</v>
      </c>
      <c r="F666" s="57">
        <f>IFERROR(IF(CRM_MAGDY!L666&gt;1,CRM_MAGDY!L666/100,CRM_MAGDY!L666),0)</f>
        <v>0</v>
      </c>
      <c r="G666" s="57">
        <f>CRM_MAGDY!N666</f>
        <v>0</v>
      </c>
      <c r="H666" s="57">
        <f>CRM_MAGDY!M666</f>
        <v>0</v>
      </c>
      <c r="I666" s="57">
        <f t="shared" si="20"/>
        <v>0</v>
      </c>
      <c r="J666" s="57" t="str">
        <f t="shared" si="21"/>
        <v>POTENCJAŁ</v>
      </c>
    </row>
    <row r="667" spans="1:10" x14ac:dyDescent="0.25">
      <c r="A667" s="57" t="str">
        <f>IF(CRM_MAGDY!H667="","","CRM-"&amp;TEXT(ROW()-4,"0000"))</f>
        <v>CRM-0663</v>
      </c>
      <c r="B667" s="57">
        <f>CRM_MAGDY!E667</f>
        <v>0</v>
      </c>
      <c r="C667" s="57">
        <f>CRM_MAGDY!H667</f>
        <v>6103</v>
      </c>
      <c r="D667" s="57">
        <f>CRM_MAGDY!I667</f>
        <v>0</v>
      </c>
      <c r="E667" s="57">
        <f>IFERROR(VALUE(CRM_MAGDY!K667),0)</f>
        <v>0</v>
      </c>
      <c r="F667" s="57">
        <f>IFERROR(IF(CRM_MAGDY!L667&gt;1,CRM_MAGDY!L667/100,CRM_MAGDY!L667),0)</f>
        <v>0</v>
      </c>
      <c r="G667" s="57">
        <f>CRM_MAGDY!N667</f>
        <v>0</v>
      </c>
      <c r="H667" s="57">
        <f>CRM_MAGDY!M667</f>
        <v>0</v>
      </c>
      <c r="I667" s="57">
        <f t="shared" si="20"/>
        <v>0</v>
      </c>
      <c r="J667" s="57" t="str">
        <f t="shared" si="21"/>
        <v>POTENCJAŁ</v>
      </c>
    </row>
    <row r="668" spans="1:10" x14ac:dyDescent="0.25">
      <c r="A668" s="57" t="str">
        <f>IF(CRM_MAGDY!H668="","","CRM-"&amp;TEXT(ROW()-4,"0000"))</f>
        <v>CRM-0664</v>
      </c>
      <c r="B668" s="57">
        <f>CRM_MAGDY!E668</f>
        <v>0</v>
      </c>
      <c r="C668" s="57">
        <f>CRM_MAGDY!H668</f>
        <v>6104</v>
      </c>
      <c r="D668" s="57">
        <f>CRM_MAGDY!I668</f>
        <v>0</v>
      </c>
      <c r="E668" s="57">
        <f>IFERROR(VALUE(CRM_MAGDY!K668),0)</f>
        <v>0</v>
      </c>
      <c r="F668" s="57">
        <f>IFERROR(IF(CRM_MAGDY!L668&gt;1,CRM_MAGDY!L668/100,CRM_MAGDY!L668),0)</f>
        <v>0</v>
      </c>
      <c r="G668" s="57">
        <f>CRM_MAGDY!N668</f>
        <v>0</v>
      </c>
      <c r="H668" s="57">
        <f>CRM_MAGDY!M668</f>
        <v>0</v>
      </c>
      <c r="I668" s="57">
        <f t="shared" si="20"/>
        <v>0</v>
      </c>
      <c r="J668" s="57" t="str">
        <f t="shared" si="21"/>
        <v>POTENCJAŁ</v>
      </c>
    </row>
    <row r="669" spans="1:10" x14ac:dyDescent="0.25">
      <c r="A669" s="57" t="str">
        <f>IF(CRM_MAGDY!H669="","","CRM-"&amp;TEXT(ROW()-4,"0000"))</f>
        <v>CRM-0665</v>
      </c>
      <c r="B669" s="57">
        <f>CRM_MAGDY!E669</f>
        <v>0</v>
      </c>
      <c r="C669" s="57">
        <f>CRM_MAGDY!H669</f>
        <v>6105</v>
      </c>
      <c r="D669" s="57">
        <f>CRM_MAGDY!I669</f>
        <v>0</v>
      </c>
      <c r="E669" s="57">
        <f>IFERROR(VALUE(CRM_MAGDY!K669),0)</f>
        <v>0</v>
      </c>
      <c r="F669" s="57">
        <f>IFERROR(IF(CRM_MAGDY!L669&gt;1,CRM_MAGDY!L669/100,CRM_MAGDY!L669),0)</f>
        <v>0</v>
      </c>
      <c r="G669" s="57">
        <f>CRM_MAGDY!N669</f>
        <v>0</v>
      </c>
      <c r="H669" s="57">
        <f>CRM_MAGDY!M669</f>
        <v>0</v>
      </c>
      <c r="I669" s="57">
        <f t="shared" si="20"/>
        <v>0</v>
      </c>
      <c r="J669" s="57" t="str">
        <f t="shared" si="21"/>
        <v>POTENCJAŁ</v>
      </c>
    </row>
    <row r="670" spans="1:10" x14ac:dyDescent="0.25">
      <c r="A670" s="57" t="str">
        <f>IF(CRM_MAGDY!H670="","","CRM-"&amp;TEXT(ROW()-4,"0000"))</f>
        <v>CRM-0666</v>
      </c>
      <c r="B670" s="57">
        <f>CRM_MAGDY!E670</f>
        <v>0</v>
      </c>
      <c r="C670" s="57">
        <f>CRM_MAGDY!H670</f>
        <v>6106</v>
      </c>
      <c r="D670" s="57">
        <f>CRM_MAGDY!I670</f>
        <v>0</v>
      </c>
      <c r="E670" s="57">
        <f>IFERROR(VALUE(CRM_MAGDY!K670),0)</f>
        <v>0</v>
      </c>
      <c r="F670" s="57">
        <f>IFERROR(IF(CRM_MAGDY!L670&gt;1,CRM_MAGDY!L670/100,CRM_MAGDY!L670),0)</f>
        <v>0</v>
      </c>
      <c r="G670" s="57">
        <f>CRM_MAGDY!N670</f>
        <v>0</v>
      </c>
      <c r="H670" s="57">
        <f>CRM_MAGDY!M670</f>
        <v>0</v>
      </c>
      <c r="I670" s="57">
        <f t="shared" si="20"/>
        <v>0</v>
      </c>
      <c r="J670" s="57" t="str">
        <f t="shared" si="21"/>
        <v>POTENCJAŁ</v>
      </c>
    </row>
    <row r="671" spans="1:10" x14ac:dyDescent="0.25">
      <c r="A671" s="57" t="str">
        <f>IF(CRM_MAGDY!H671="","","CRM-"&amp;TEXT(ROW()-4,"0000"))</f>
        <v>CRM-0667</v>
      </c>
      <c r="B671" s="57">
        <f>CRM_MAGDY!E671</f>
        <v>0</v>
      </c>
      <c r="C671" s="57">
        <f>CRM_MAGDY!H671</f>
        <v>6107</v>
      </c>
      <c r="D671" s="57">
        <f>CRM_MAGDY!I671</f>
        <v>0</v>
      </c>
      <c r="E671" s="57">
        <f>IFERROR(VALUE(CRM_MAGDY!K671),0)</f>
        <v>0</v>
      </c>
      <c r="F671" s="57">
        <f>IFERROR(IF(CRM_MAGDY!L671&gt;1,CRM_MAGDY!L671/100,CRM_MAGDY!L671),0)</f>
        <v>0</v>
      </c>
      <c r="G671" s="57">
        <f>CRM_MAGDY!N671</f>
        <v>0</v>
      </c>
      <c r="H671" s="57">
        <f>CRM_MAGDY!M671</f>
        <v>0</v>
      </c>
      <c r="I671" s="57">
        <f t="shared" si="20"/>
        <v>0</v>
      </c>
      <c r="J671" s="57" t="str">
        <f t="shared" si="21"/>
        <v>POTENCJAŁ</v>
      </c>
    </row>
    <row r="672" spans="1:10" x14ac:dyDescent="0.25">
      <c r="A672" s="57" t="str">
        <f>IF(CRM_MAGDY!H672="","","CRM-"&amp;TEXT(ROW()-4,"0000"))</f>
        <v>CRM-0668</v>
      </c>
      <c r="B672" s="57">
        <f>CRM_MAGDY!E672</f>
        <v>0</v>
      </c>
      <c r="C672" s="57">
        <f>CRM_MAGDY!H672</f>
        <v>6108</v>
      </c>
      <c r="D672" s="57">
        <f>CRM_MAGDY!I672</f>
        <v>0</v>
      </c>
      <c r="E672" s="57">
        <f>IFERROR(VALUE(CRM_MAGDY!K672),0)</f>
        <v>0</v>
      </c>
      <c r="F672" s="57">
        <f>IFERROR(IF(CRM_MAGDY!L672&gt;1,CRM_MAGDY!L672/100,CRM_MAGDY!L672),0)</f>
        <v>0</v>
      </c>
      <c r="G672" s="57">
        <f>CRM_MAGDY!N672</f>
        <v>0</v>
      </c>
      <c r="H672" s="57">
        <f>CRM_MAGDY!M672</f>
        <v>0</v>
      </c>
      <c r="I672" s="57">
        <f t="shared" si="20"/>
        <v>0</v>
      </c>
      <c r="J672" s="57" t="str">
        <f t="shared" si="21"/>
        <v>POTENCJAŁ</v>
      </c>
    </row>
    <row r="673" spans="1:10" x14ac:dyDescent="0.25">
      <c r="A673" s="57" t="str">
        <f>IF(CRM_MAGDY!H673="","","CRM-"&amp;TEXT(ROW()-4,"0000"))</f>
        <v>CRM-0669</v>
      </c>
      <c r="B673" s="57">
        <f>CRM_MAGDY!E673</f>
        <v>0</v>
      </c>
      <c r="C673" s="57">
        <f>CRM_MAGDY!H673</f>
        <v>6109</v>
      </c>
      <c r="D673" s="57">
        <f>CRM_MAGDY!I673</f>
        <v>0</v>
      </c>
      <c r="E673" s="57">
        <f>IFERROR(VALUE(CRM_MAGDY!K673),0)</f>
        <v>0</v>
      </c>
      <c r="F673" s="57">
        <f>IFERROR(IF(CRM_MAGDY!L673&gt;1,CRM_MAGDY!L673/100,CRM_MAGDY!L673),0)</f>
        <v>0</v>
      </c>
      <c r="G673" s="57">
        <f>CRM_MAGDY!N673</f>
        <v>0</v>
      </c>
      <c r="H673" s="57">
        <f>CRM_MAGDY!M673</f>
        <v>0</v>
      </c>
      <c r="I673" s="57">
        <f t="shared" si="20"/>
        <v>0</v>
      </c>
      <c r="J673" s="57" t="str">
        <f t="shared" si="21"/>
        <v>POTENCJAŁ</v>
      </c>
    </row>
    <row r="674" spans="1:10" x14ac:dyDescent="0.25">
      <c r="A674" s="57" t="str">
        <f>IF(CRM_MAGDY!H674="","","CRM-"&amp;TEXT(ROW()-4,"0000"))</f>
        <v>CRM-0670</v>
      </c>
      <c r="B674" s="57">
        <f>CRM_MAGDY!E674</f>
        <v>0</v>
      </c>
      <c r="C674" s="57">
        <f>CRM_MAGDY!H674</f>
        <v>6110</v>
      </c>
      <c r="D674" s="57">
        <f>CRM_MAGDY!I674</f>
        <v>0</v>
      </c>
      <c r="E674" s="57">
        <f>IFERROR(VALUE(CRM_MAGDY!K674),0)</f>
        <v>0</v>
      </c>
      <c r="F674" s="57">
        <f>IFERROR(IF(CRM_MAGDY!L674&gt;1,CRM_MAGDY!L674/100,CRM_MAGDY!L674),0)</f>
        <v>0</v>
      </c>
      <c r="G674" s="57">
        <f>CRM_MAGDY!N674</f>
        <v>0</v>
      </c>
      <c r="H674" s="57">
        <f>CRM_MAGDY!M674</f>
        <v>0</v>
      </c>
      <c r="I674" s="57">
        <f t="shared" si="20"/>
        <v>0</v>
      </c>
      <c r="J674" s="57" t="str">
        <f t="shared" si="21"/>
        <v>POTENCJAŁ</v>
      </c>
    </row>
    <row r="675" spans="1:10" x14ac:dyDescent="0.25">
      <c r="A675" s="57" t="str">
        <f>IF(CRM_MAGDY!H675="","","CRM-"&amp;TEXT(ROW()-4,"0000"))</f>
        <v>CRM-0671</v>
      </c>
      <c r="B675" s="57">
        <f>CRM_MAGDY!E675</f>
        <v>0</v>
      </c>
      <c r="C675" s="57">
        <f>CRM_MAGDY!H675</f>
        <v>6111</v>
      </c>
      <c r="D675" s="57">
        <f>CRM_MAGDY!I675</f>
        <v>0</v>
      </c>
      <c r="E675" s="57">
        <f>IFERROR(VALUE(CRM_MAGDY!K675),0)</f>
        <v>0</v>
      </c>
      <c r="F675" s="57">
        <f>IFERROR(IF(CRM_MAGDY!L675&gt;1,CRM_MAGDY!L675/100,CRM_MAGDY!L675),0)</f>
        <v>0</v>
      </c>
      <c r="G675" s="57">
        <f>CRM_MAGDY!N675</f>
        <v>0</v>
      </c>
      <c r="H675" s="57">
        <f>CRM_MAGDY!M675</f>
        <v>0</v>
      </c>
      <c r="I675" s="57">
        <f t="shared" si="20"/>
        <v>0</v>
      </c>
      <c r="J675" s="57" t="str">
        <f t="shared" si="21"/>
        <v>POTENCJAŁ</v>
      </c>
    </row>
    <row r="676" spans="1:10" x14ac:dyDescent="0.25">
      <c r="A676" s="57" t="str">
        <f>IF(CRM_MAGDY!H676="","","CRM-"&amp;TEXT(ROW()-4,"0000"))</f>
        <v>CRM-0672</v>
      </c>
      <c r="B676" s="57">
        <f>CRM_MAGDY!E676</f>
        <v>0</v>
      </c>
      <c r="C676" s="57">
        <f>CRM_MAGDY!H676</f>
        <v>6112</v>
      </c>
      <c r="D676" s="57">
        <f>CRM_MAGDY!I676</f>
        <v>0</v>
      </c>
      <c r="E676" s="57">
        <f>IFERROR(VALUE(CRM_MAGDY!K676),0)</f>
        <v>0</v>
      </c>
      <c r="F676" s="57">
        <f>IFERROR(IF(CRM_MAGDY!L676&gt;1,CRM_MAGDY!L676/100,CRM_MAGDY!L676),0)</f>
        <v>0</v>
      </c>
      <c r="G676" s="57">
        <f>CRM_MAGDY!N676</f>
        <v>0</v>
      </c>
      <c r="H676" s="57">
        <f>CRM_MAGDY!M676</f>
        <v>0</v>
      </c>
      <c r="I676" s="57">
        <f t="shared" si="20"/>
        <v>0</v>
      </c>
      <c r="J676" s="57" t="str">
        <f t="shared" si="21"/>
        <v>POTENCJAŁ</v>
      </c>
    </row>
    <row r="677" spans="1:10" x14ac:dyDescent="0.25">
      <c r="A677" s="57" t="str">
        <f>IF(CRM_MAGDY!H677="","","CRM-"&amp;TEXT(ROW()-4,"0000"))</f>
        <v>CRM-0673</v>
      </c>
      <c r="B677" s="57">
        <f>CRM_MAGDY!E677</f>
        <v>0</v>
      </c>
      <c r="C677" s="57">
        <f>CRM_MAGDY!H677</f>
        <v>6113</v>
      </c>
      <c r="D677" s="57">
        <f>CRM_MAGDY!I677</f>
        <v>0</v>
      </c>
      <c r="E677" s="57">
        <f>IFERROR(VALUE(CRM_MAGDY!K677),0)</f>
        <v>0</v>
      </c>
      <c r="F677" s="57">
        <f>IFERROR(IF(CRM_MAGDY!L677&gt;1,CRM_MAGDY!L677/100,CRM_MAGDY!L677),0)</f>
        <v>0</v>
      </c>
      <c r="G677" s="57">
        <f>CRM_MAGDY!N677</f>
        <v>0</v>
      </c>
      <c r="H677" s="57">
        <f>CRM_MAGDY!M677</f>
        <v>0</v>
      </c>
      <c r="I677" s="57">
        <f t="shared" si="20"/>
        <v>0</v>
      </c>
      <c r="J677" s="57" t="str">
        <f t="shared" si="21"/>
        <v>POTENCJAŁ</v>
      </c>
    </row>
    <row r="678" spans="1:10" x14ac:dyDescent="0.25">
      <c r="A678" s="57" t="str">
        <f>IF(CRM_MAGDY!H678="","","CRM-"&amp;TEXT(ROW()-4,"0000"))</f>
        <v>CRM-0674</v>
      </c>
      <c r="B678" s="57">
        <f>CRM_MAGDY!E678</f>
        <v>0</v>
      </c>
      <c r="C678" s="57">
        <f>CRM_MAGDY!H678</f>
        <v>6114</v>
      </c>
      <c r="D678" s="57">
        <f>CRM_MAGDY!I678</f>
        <v>0</v>
      </c>
      <c r="E678" s="57">
        <f>IFERROR(VALUE(CRM_MAGDY!K678),0)</f>
        <v>0</v>
      </c>
      <c r="F678" s="57">
        <f>IFERROR(IF(CRM_MAGDY!L678&gt;1,CRM_MAGDY!L678/100,CRM_MAGDY!L678),0)</f>
        <v>0</v>
      </c>
      <c r="G678" s="57">
        <f>CRM_MAGDY!N678</f>
        <v>0</v>
      </c>
      <c r="H678" s="57">
        <f>CRM_MAGDY!M678</f>
        <v>0</v>
      </c>
      <c r="I678" s="57">
        <f t="shared" si="20"/>
        <v>0</v>
      </c>
      <c r="J678" s="57" t="str">
        <f t="shared" si="21"/>
        <v>POTENCJAŁ</v>
      </c>
    </row>
    <row r="679" spans="1:10" x14ac:dyDescent="0.25">
      <c r="A679" s="57" t="str">
        <f>IF(CRM_MAGDY!H679="","","CRM-"&amp;TEXT(ROW()-4,"0000"))</f>
        <v>CRM-0675</v>
      </c>
      <c r="B679" s="57">
        <f>CRM_MAGDY!E679</f>
        <v>0</v>
      </c>
      <c r="C679" s="57">
        <f>CRM_MAGDY!H679</f>
        <v>6115</v>
      </c>
      <c r="D679" s="57">
        <f>CRM_MAGDY!I679</f>
        <v>0</v>
      </c>
      <c r="E679" s="57">
        <f>IFERROR(VALUE(CRM_MAGDY!K679),0)</f>
        <v>0</v>
      </c>
      <c r="F679" s="57">
        <f>IFERROR(IF(CRM_MAGDY!L679&gt;1,CRM_MAGDY!L679/100,CRM_MAGDY!L679),0)</f>
        <v>0</v>
      </c>
      <c r="G679" s="57">
        <f>CRM_MAGDY!N679</f>
        <v>0</v>
      </c>
      <c r="H679" s="57">
        <f>CRM_MAGDY!M679</f>
        <v>0</v>
      </c>
      <c r="I679" s="57">
        <f t="shared" si="20"/>
        <v>0</v>
      </c>
      <c r="J679" s="57" t="str">
        <f t="shared" si="21"/>
        <v>POTENCJAŁ</v>
      </c>
    </row>
    <row r="680" spans="1:10" x14ac:dyDescent="0.25">
      <c r="A680" s="57" t="str">
        <f>IF(CRM_MAGDY!H680="","","CRM-"&amp;TEXT(ROW()-4,"0000"))</f>
        <v>CRM-0676</v>
      </c>
      <c r="B680" s="57">
        <f>CRM_MAGDY!E680</f>
        <v>0</v>
      </c>
      <c r="C680" s="57">
        <f>CRM_MAGDY!H680</f>
        <v>6116</v>
      </c>
      <c r="D680" s="57">
        <f>CRM_MAGDY!I680</f>
        <v>0</v>
      </c>
      <c r="E680" s="57">
        <f>IFERROR(VALUE(CRM_MAGDY!K680),0)</f>
        <v>0</v>
      </c>
      <c r="F680" s="57">
        <f>IFERROR(IF(CRM_MAGDY!L680&gt;1,CRM_MAGDY!L680/100,CRM_MAGDY!L680),0)</f>
        <v>0</v>
      </c>
      <c r="G680" s="57">
        <f>CRM_MAGDY!N680</f>
        <v>0</v>
      </c>
      <c r="H680" s="57">
        <f>CRM_MAGDY!M680</f>
        <v>0</v>
      </c>
      <c r="I680" s="57">
        <f t="shared" si="20"/>
        <v>0</v>
      </c>
      <c r="J680" s="57" t="str">
        <f t="shared" si="21"/>
        <v>POTENCJAŁ</v>
      </c>
    </row>
    <row r="681" spans="1:10" x14ac:dyDescent="0.25">
      <c r="A681" s="57" t="str">
        <f>IF(CRM_MAGDY!H681="","","CRM-"&amp;TEXT(ROW()-4,"0000"))</f>
        <v>CRM-0677</v>
      </c>
      <c r="B681" s="57">
        <f>CRM_MAGDY!E681</f>
        <v>0</v>
      </c>
      <c r="C681" s="57">
        <f>CRM_MAGDY!H681</f>
        <v>6117</v>
      </c>
      <c r="D681" s="57">
        <f>CRM_MAGDY!I681</f>
        <v>0</v>
      </c>
      <c r="E681" s="57">
        <f>IFERROR(VALUE(CRM_MAGDY!K681),0)</f>
        <v>0</v>
      </c>
      <c r="F681" s="57">
        <f>IFERROR(IF(CRM_MAGDY!L681&gt;1,CRM_MAGDY!L681/100,CRM_MAGDY!L681),0)</f>
        <v>0</v>
      </c>
      <c r="G681" s="57">
        <f>CRM_MAGDY!N681</f>
        <v>0</v>
      </c>
      <c r="H681" s="57">
        <f>CRM_MAGDY!M681</f>
        <v>0</v>
      </c>
      <c r="I681" s="57">
        <f t="shared" si="20"/>
        <v>0</v>
      </c>
      <c r="J681" s="57" t="str">
        <f t="shared" si="21"/>
        <v>POTENCJAŁ</v>
      </c>
    </row>
    <row r="682" spans="1:10" x14ac:dyDescent="0.25">
      <c r="A682" s="57" t="str">
        <f>IF(CRM_MAGDY!H682="","","CRM-"&amp;TEXT(ROW()-4,"0000"))</f>
        <v>CRM-0678</v>
      </c>
      <c r="B682" s="57">
        <f>CRM_MAGDY!E682</f>
        <v>0</v>
      </c>
      <c r="C682" s="57">
        <f>CRM_MAGDY!H682</f>
        <v>6118</v>
      </c>
      <c r="D682" s="57">
        <f>CRM_MAGDY!I682</f>
        <v>0</v>
      </c>
      <c r="E682" s="57">
        <f>IFERROR(VALUE(CRM_MAGDY!K682),0)</f>
        <v>0</v>
      </c>
      <c r="F682" s="57">
        <f>IFERROR(IF(CRM_MAGDY!L682&gt;1,CRM_MAGDY!L682/100,CRM_MAGDY!L682),0)</f>
        <v>0</v>
      </c>
      <c r="G682" s="57">
        <f>CRM_MAGDY!N682</f>
        <v>0</v>
      </c>
      <c r="H682" s="57">
        <f>CRM_MAGDY!M682</f>
        <v>0</v>
      </c>
      <c r="I682" s="57">
        <f t="shared" si="20"/>
        <v>0</v>
      </c>
      <c r="J682" s="57" t="str">
        <f t="shared" si="21"/>
        <v>POTENCJAŁ</v>
      </c>
    </row>
    <row r="683" spans="1:10" x14ac:dyDescent="0.25">
      <c r="A683" s="57" t="str">
        <f>IF(CRM_MAGDY!H683="","","CRM-"&amp;TEXT(ROW()-4,"0000"))</f>
        <v>CRM-0679</v>
      </c>
      <c r="B683" s="57">
        <f>CRM_MAGDY!E683</f>
        <v>0</v>
      </c>
      <c r="C683" s="57">
        <f>CRM_MAGDY!H683</f>
        <v>6119</v>
      </c>
      <c r="D683" s="57">
        <f>CRM_MAGDY!I683</f>
        <v>0</v>
      </c>
      <c r="E683" s="57">
        <f>IFERROR(VALUE(CRM_MAGDY!K683),0)</f>
        <v>0</v>
      </c>
      <c r="F683" s="57">
        <f>IFERROR(IF(CRM_MAGDY!L683&gt;1,CRM_MAGDY!L683/100,CRM_MAGDY!L683),0)</f>
        <v>0</v>
      </c>
      <c r="G683" s="57">
        <f>CRM_MAGDY!N683</f>
        <v>0</v>
      </c>
      <c r="H683" s="57">
        <f>CRM_MAGDY!M683</f>
        <v>0</v>
      </c>
      <c r="I683" s="57">
        <f t="shared" si="20"/>
        <v>0</v>
      </c>
      <c r="J683" s="57" t="str">
        <f t="shared" si="21"/>
        <v>POTENCJAŁ</v>
      </c>
    </row>
    <row r="684" spans="1:10" x14ac:dyDescent="0.25">
      <c r="A684" s="57" t="str">
        <f>IF(CRM_MAGDY!H684="","","CRM-"&amp;TEXT(ROW()-4,"0000"))</f>
        <v>CRM-0680</v>
      </c>
      <c r="B684" s="57">
        <f>CRM_MAGDY!E684</f>
        <v>0</v>
      </c>
      <c r="C684" s="57">
        <f>CRM_MAGDY!H684</f>
        <v>6120</v>
      </c>
      <c r="D684" s="57">
        <f>CRM_MAGDY!I684</f>
        <v>0</v>
      </c>
      <c r="E684" s="57">
        <f>IFERROR(VALUE(CRM_MAGDY!K684),0)</f>
        <v>0</v>
      </c>
      <c r="F684" s="57">
        <f>IFERROR(IF(CRM_MAGDY!L684&gt;1,CRM_MAGDY!L684/100,CRM_MAGDY!L684),0)</f>
        <v>0</v>
      </c>
      <c r="G684" s="57">
        <f>CRM_MAGDY!N684</f>
        <v>0</v>
      </c>
      <c r="H684" s="57">
        <f>CRM_MAGDY!M684</f>
        <v>0</v>
      </c>
      <c r="I684" s="57">
        <f t="shared" si="20"/>
        <v>0</v>
      </c>
      <c r="J684" s="57" t="str">
        <f t="shared" si="21"/>
        <v>POTENCJAŁ</v>
      </c>
    </row>
    <row r="685" spans="1:10" x14ac:dyDescent="0.25">
      <c r="A685" s="57" t="str">
        <f>IF(CRM_MAGDY!H685="","","CRM-"&amp;TEXT(ROW()-4,"0000"))</f>
        <v>CRM-0681</v>
      </c>
      <c r="B685" s="57">
        <f>CRM_MAGDY!E685</f>
        <v>0</v>
      </c>
      <c r="C685" s="57">
        <f>CRM_MAGDY!H685</f>
        <v>6121</v>
      </c>
      <c r="D685" s="57">
        <f>CRM_MAGDY!I685</f>
        <v>0</v>
      </c>
      <c r="E685" s="57">
        <f>IFERROR(VALUE(CRM_MAGDY!K685),0)</f>
        <v>0</v>
      </c>
      <c r="F685" s="57">
        <f>IFERROR(IF(CRM_MAGDY!L685&gt;1,CRM_MAGDY!L685/100,CRM_MAGDY!L685),0)</f>
        <v>0</v>
      </c>
      <c r="G685" s="57">
        <f>CRM_MAGDY!N685</f>
        <v>0</v>
      </c>
      <c r="H685" s="57">
        <f>CRM_MAGDY!M685</f>
        <v>0</v>
      </c>
      <c r="I685" s="57">
        <f t="shared" si="20"/>
        <v>0</v>
      </c>
      <c r="J685" s="57" t="str">
        <f t="shared" si="21"/>
        <v>POTENCJAŁ</v>
      </c>
    </row>
    <row r="686" spans="1:10" x14ac:dyDescent="0.25">
      <c r="A686" s="57" t="str">
        <f>IF(CRM_MAGDY!H686="","","CRM-"&amp;TEXT(ROW()-4,"0000"))</f>
        <v>CRM-0682</v>
      </c>
      <c r="B686" s="57">
        <f>CRM_MAGDY!E686</f>
        <v>0</v>
      </c>
      <c r="C686" s="57">
        <f>CRM_MAGDY!H686</f>
        <v>6122</v>
      </c>
      <c r="D686" s="57">
        <f>CRM_MAGDY!I686</f>
        <v>0</v>
      </c>
      <c r="E686" s="57">
        <f>IFERROR(VALUE(CRM_MAGDY!K686),0)</f>
        <v>0</v>
      </c>
      <c r="F686" s="57">
        <f>IFERROR(IF(CRM_MAGDY!L686&gt;1,CRM_MAGDY!L686/100,CRM_MAGDY!L686),0)</f>
        <v>0</v>
      </c>
      <c r="G686" s="57">
        <f>CRM_MAGDY!N686</f>
        <v>0</v>
      </c>
      <c r="H686" s="57">
        <f>CRM_MAGDY!M686</f>
        <v>0</v>
      </c>
      <c r="I686" s="57">
        <f t="shared" si="20"/>
        <v>0</v>
      </c>
      <c r="J686" s="57" t="str">
        <f t="shared" si="21"/>
        <v>POTENCJAŁ</v>
      </c>
    </row>
    <row r="687" spans="1:10" x14ac:dyDescent="0.25">
      <c r="A687" s="57" t="str">
        <f>IF(CRM_MAGDY!H687="","","CRM-"&amp;TEXT(ROW()-4,"0000"))</f>
        <v>CRM-0683</v>
      </c>
      <c r="B687" s="57">
        <f>CRM_MAGDY!E687</f>
        <v>0</v>
      </c>
      <c r="C687" s="57">
        <f>CRM_MAGDY!H687</f>
        <v>6123</v>
      </c>
      <c r="D687" s="57">
        <f>CRM_MAGDY!I687</f>
        <v>0</v>
      </c>
      <c r="E687" s="57">
        <f>IFERROR(VALUE(CRM_MAGDY!K687),0)</f>
        <v>0</v>
      </c>
      <c r="F687" s="57">
        <f>IFERROR(IF(CRM_MAGDY!L687&gt;1,CRM_MAGDY!L687/100,CRM_MAGDY!L687),0)</f>
        <v>0</v>
      </c>
      <c r="G687" s="57">
        <f>CRM_MAGDY!N687</f>
        <v>0</v>
      </c>
      <c r="H687" s="57">
        <f>CRM_MAGDY!M687</f>
        <v>0</v>
      </c>
      <c r="I687" s="57">
        <f t="shared" si="20"/>
        <v>0</v>
      </c>
      <c r="J687" s="57" t="str">
        <f t="shared" si="21"/>
        <v>POTENCJAŁ</v>
      </c>
    </row>
    <row r="688" spans="1:10" x14ac:dyDescent="0.25">
      <c r="A688" s="57" t="str">
        <f>IF(CRM_MAGDY!H688="","","CRM-"&amp;TEXT(ROW()-4,"0000"))</f>
        <v>CRM-0684</v>
      </c>
      <c r="B688" s="57">
        <f>CRM_MAGDY!E688</f>
        <v>0</v>
      </c>
      <c r="C688" s="57">
        <f>CRM_MAGDY!H688</f>
        <v>6124</v>
      </c>
      <c r="D688" s="57">
        <f>CRM_MAGDY!I688</f>
        <v>0</v>
      </c>
      <c r="E688" s="57">
        <f>IFERROR(VALUE(CRM_MAGDY!K688),0)</f>
        <v>0</v>
      </c>
      <c r="F688" s="57">
        <f>IFERROR(IF(CRM_MAGDY!L688&gt;1,CRM_MAGDY!L688/100,CRM_MAGDY!L688),0)</f>
        <v>0</v>
      </c>
      <c r="G688" s="57">
        <f>CRM_MAGDY!N688</f>
        <v>0</v>
      </c>
      <c r="H688" s="57">
        <f>CRM_MAGDY!M688</f>
        <v>0</v>
      </c>
      <c r="I688" s="57">
        <f t="shared" si="20"/>
        <v>0</v>
      </c>
      <c r="J688" s="57" t="str">
        <f t="shared" si="21"/>
        <v>POTENCJAŁ</v>
      </c>
    </row>
    <row r="689" spans="1:10" x14ac:dyDescent="0.25">
      <c r="A689" s="57" t="str">
        <f>IF(CRM_MAGDY!H689="","","CRM-"&amp;TEXT(ROW()-4,"0000"))</f>
        <v>CRM-0685</v>
      </c>
      <c r="B689" s="57">
        <f>CRM_MAGDY!E689</f>
        <v>0</v>
      </c>
      <c r="C689" s="57">
        <f>CRM_MAGDY!H689</f>
        <v>6125</v>
      </c>
      <c r="D689" s="57">
        <f>CRM_MAGDY!I689</f>
        <v>0</v>
      </c>
      <c r="E689" s="57">
        <f>IFERROR(VALUE(CRM_MAGDY!K689),0)</f>
        <v>0</v>
      </c>
      <c r="F689" s="57">
        <f>IFERROR(IF(CRM_MAGDY!L689&gt;1,CRM_MAGDY!L689/100,CRM_MAGDY!L689),0)</f>
        <v>0</v>
      </c>
      <c r="G689" s="57">
        <f>CRM_MAGDY!N689</f>
        <v>0</v>
      </c>
      <c r="H689" s="57">
        <f>CRM_MAGDY!M689</f>
        <v>0</v>
      </c>
      <c r="I689" s="57">
        <f t="shared" si="20"/>
        <v>0</v>
      </c>
      <c r="J689" s="57" t="str">
        <f t="shared" si="21"/>
        <v>POTENCJAŁ</v>
      </c>
    </row>
    <row r="690" spans="1:10" x14ac:dyDescent="0.25">
      <c r="A690" s="57" t="str">
        <f>IF(CRM_MAGDY!H690="","","CRM-"&amp;TEXT(ROW()-4,"0000"))</f>
        <v>CRM-0686</v>
      </c>
      <c r="B690" s="57">
        <f>CRM_MAGDY!E690</f>
        <v>0</v>
      </c>
      <c r="C690" s="57">
        <f>CRM_MAGDY!H690</f>
        <v>6126</v>
      </c>
      <c r="D690" s="57">
        <f>CRM_MAGDY!I690</f>
        <v>0</v>
      </c>
      <c r="E690" s="57">
        <f>IFERROR(VALUE(CRM_MAGDY!K690),0)</f>
        <v>0</v>
      </c>
      <c r="F690" s="57">
        <f>IFERROR(IF(CRM_MAGDY!L690&gt;1,CRM_MAGDY!L690/100,CRM_MAGDY!L690),0)</f>
        <v>0</v>
      </c>
      <c r="G690" s="57">
        <f>CRM_MAGDY!N690</f>
        <v>0</v>
      </c>
      <c r="H690" s="57">
        <f>CRM_MAGDY!M690</f>
        <v>0</v>
      </c>
      <c r="I690" s="57">
        <f t="shared" si="20"/>
        <v>0</v>
      </c>
      <c r="J690" s="57" t="str">
        <f t="shared" si="21"/>
        <v>POTENCJAŁ</v>
      </c>
    </row>
    <row r="691" spans="1:10" x14ac:dyDescent="0.25">
      <c r="A691" s="57" t="str">
        <f>IF(CRM_MAGDY!H691="","","CRM-"&amp;TEXT(ROW()-4,"0000"))</f>
        <v>CRM-0687</v>
      </c>
      <c r="B691" s="57">
        <f>CRM_MAGDY!E691</f>
        <v>0</v>
      </c>
      <c r="C691" s="57">
        <f>CRM_MAGDY!H691</f>
        <v>6127</v>
      </c>
      <c r="D691" s="57">
        <f>CRM_MAGDY!I691</f>
        <v>0</v>
      </c>
      <c r="E691" s="57">
        <f>IFERROR(VALUE(CRM_MAGDY!K691),0)</f>
        <v>0</v>
      </c>
      <c r="F691" s="57">
        <f>IFERROR(IF(CRM_MAGDY!L691&gt;1,CRM_MAGDY!L691/100,CRM_MAGDY!L691),0)</f>
        <v>0</v>
      </c>
      <c r="G691" s="57">
        <f>CRM_MAGDY!N691</f>
        <v>0</v>
      </c>
      <c r="H691" s="57">
        <f>CRM_MAGDY!M691</f>
        <v>0</v>
      </c>
      <c r="I691" s="57">
        <f t="shared" si="20"/>
        <v>0</v>
      </c>
      <c r="J691" s="57" t="str">
        <f t="shared" si="21"/>
        <v>POTENCJAŁ</v>
      </c>
    </row>
    <row r="692" spans="1:10" x14ac:dyDescent="0.25">
      <c r="A692" s="57" t="str">
        <f>IF(CRM_MAGDY!H692="","","CRM-"&amp;TEXT(ROW()-4,"0000"))</f>
        <v>CRM-0688</v>
      </c>
      <c r="B692" s="57">
        <f>CRM_MAGDY!E692</f>
        <v>0</v>
      </c>
      <c r="C692" s="57">
        <f>CRM_MAGDY!H692</f>
        <v>6128</v>
      </c>
      <c r="D692" s="57">
        <f>CRM_MAGDY!I692</f>
        <v>0</v>
      </c>
      <c r="E692" s="57">
        <f>IFERROR(VALUE(CRM_MAGDY!K692),0)</f>
        <v>0</v>
      </c>
      <c r="F692" s="57">
        <f>IFERROR(IF(CRM_MAGDY!L692&gt;1,CRM_MAGDY!L692/100,CRM_MAGDY!L692),0)</f>
        <v>0</v>
      </c>
      <c r="G692" s="57">
        <f>CRM_MAGDY!N692</f>
        <v>0</v>
      </c>
      <c r="H692" s="57">
        <f>CRM_MAGDY!M692</f>
        <v>0</v>
      </c>
      <c r="I692" s="57">
        <f t="shared" si="20"/>
        <v>0</v>
      </c>
      <c r="J692" s="57" t="str">
        <f t="shared" si="21"/>
        <v>POTENCJAŁ</v>
      </c>
    </row>
    <row r="693" spans="1:10" x14ac:dyDescent="0.25">
      <c r="A693" s="57" t="str">
        <f>IF(CRM_MAGDY!H693="","","CRM-"&amp;TEXT(ROW()-4,"0000"))</f>
        <v>CRM-0689</v>
      </c>
      <c r="B693" s="57">
        <f>CRM_MAGDY!E693</f>
        <v>0</v>
      </c>
      <c r="C693" s="57">
        <f>CRM_MAGDY!H693</f>
        <v>6129</v>
      </c>
      <c r="D693" s="57">
        <f>CRM_MAGDY!I693</f>
        <v>0</v>
      </c>
      <c r="E693" s="57">
        <f>IFERROR(VALUE(CRM_MAGDY!K693),0)</f>
        <v>0</v>
      </c>
      <c r="F693" s="57">
        <f>IFERROR(IF(CRM_MAGDY!L693&gt;1,CRM_MAGDY!L693/100,CRM_MAGDY!L693),0)</f>
        <v>0</v>
      </c>
      <c r="G693" s="57">
        <f>CRM_MAGDY!N693</f>
        <v>0</v>
      </c>
      <c r="H693" s="57">
        <f>CRM_MAGDY!M693</f>
        <v>0</v>
      </c>
      <c r="I693" s="57">
        <f t="shared" si="20"/>
        <v>0</v>
      </c>
      <c r="J693" s="57" t="str">
        <f t="shared" si="21"/>
        <v>POTENCJAŁ</v>
      </c>
    </row>
    <row r="694" spans="1:10" x14ac:dyDescent="0.25">
      <c r="A694" s="57" t="str">
        <f>IF(CRM_MAGDY!H694="","","CRM-"&amp;TEXT(ROW()-4,"0000"))</f>
        <v>CRM-0690</v>
      </c>
      <c r="B694" s="57">
        <f>CRM_MAGDY!E694</f>
        <v>0</v>
      </c>
      <c r="C694" s="57">
        <f>CRM_MAGDY!H694</f>
        <v>6130</v>
      </c>
      <c r="D694" s="57">
        <f>CRM_MAGDY!I694</f>
        <v>0</v>
      </c>
      <c r="E694" s="57">
        <f>IFERROR(VALUE(CRM_MAGDY!K694),0)</f>
        <v>0</v>
      </c>
      <c r="F694" s="57">
        <f>IFERROR(IF(CRM_MAGDY!L694&gt;1,CRM_MAGDY!L694/100,CRM_MAGDY!L694),0)</f>
        <v>0</v>
      </c>
      <c r="G694" s="57">
        <f>CRM_MAGDY!N694</f>
        <v>0</v>
      </c>
      <c r="H694" s="57">
        <f>CRM_MAGDY!M694</f>
        <v>0</v>
      </c>
      <c r="I694" s="57">
        <f t="shared" si="20"/>
        <v>0</v>
      </c>
      <c r="J694" s="57" t="str">
        <f t="shared" si="21"/>
        <v>POTENCJAŁ</v>
      </c>
    </row>
    <row r="695" spans="1:10" x14ac:dyDescent="0.25">
      <c r="A695" s="57" t="str">
        <f>IF(CRM_MAGDY!H695="","","CRM-"&amp;TEXT(ROW()-4,"0000"))</f>
        <v>CRM-0691</v>
      </c>
      <c r="B695" s="57">
        <f>CRM_MAGDY!E695</f>
        <v>0</v>
      </c>
      <c r="C695" s="57">
        <f>CRM_MAGDY!H695</f>
        <v>6131</v>
      </c>
      <c r="D695" s="57">
        <f>CRM_MAGDY!I695</f>
        <v>0</v>
      </c>
      <c r="E695" s="57">
        <f>IFERROR(VALUE(CRM_MAGDY!K695),0)</f>
        <v>0</v>
      </c>
      <c r="F695" s="57">
        <f>IFERROR(IF(CRM_MAGDY!L695&gt;1,CRM_MAGDY!L695/100,CRM_MAGDY!L695),0)</f>
        <v>0</v>
      </c>
      <c r="G695" s="57">
        <f>CRM_MAGDY!N695</f>
        <v>0</v>
      </c>
      <c r="H695" s="57">
        <f>CRM_MAGDY!M695</f>
        <v>0</v>
      </c>
      <c r="I695" s="57">
        <f t="shared" si="20"/>
        <v>0</v>
      </c>
      <c r="J695" s="57" t="str">
        <f t="shared" si="21"/>
        <v>POTENCJAŁ</v>
      </c>
    </row>
    <row r="696" spans="1:10" x14ac:dyDescent="0.25">
      <c r="A696" s="57" t="str">
        <f>IF(CRM_MAGDY!H696="","","CRM-"&amp;TEXT(ROW()-4,"0000"))</f>
        <v>CRM-0692</v>
      </c>
      <c r="B696" s="57">
        <f>CRM_MAGDY!E696</f>
        <v>0</v>
      </c>
      <c r="C696" s="57">
        <f>CRM_MAGDY!H696</f>
        <v>6132</v>
      </c>
      <c r="D696" s="57">
        <f>CRM_MAGDY!I696</f>
        <v>0</v>
      </c>
      <c r="E696" s="57">
        <f>IFERROR(VALUE(CRM_MAGDY!K696),0)</f>
        <v>0</v>
      </c>
      <c r="F696" s="57">
        <f>IFERROR(IF(CRM_MAGDY!L696&gt;1,CRM_MAGDY!L696/100,CRM_MAGDY!L696),0)</f>
        <v>0</v>
      </c>
      <c r="G696" s="57">
        <f>CRM_MAGDY!N696</f>
        <v>0</v>
      </c>
      <c r="H696" s="57">
        <f>CRM_MAGDY!M696</f>
        <v>0</v>
      </c>
      <c r="I696" s="57">
        <f t="shared" si="20"/>
        <v>0</v>
      </c>
      <c r="J696" s="57" t="str">
        <f t="shared" si="21"/>
        <v>POTENCJAŁ</v>
      </c>
    </row>
    <row r="697" spans="1:10" x14ac:dyDescent="0.25">
      <c r="A697" s="57" t="str">
        <f>IF(CRM_MAGDY!H697="","","CRM-"&amp;TEXT(ROW()-4,"0000"))</f>
        <v>CRM-0693</v>
      </c>
      <c r="B697" s="57">
        <f>CRM_MAGDY!E697</f>
        <v>0</v>
      </c>
      <c r="C697" s="57">
        <f>CRM_MAGDY!H697</f>
        <v>6133</v>
      </c>
      <c r="D697" s="57">
        <f>CRM_MAGDY!I697</f>
        <v>0</v>
      </c>
      <c r="E697" s="57">
        <f>IFERROR(VALUE(CRM_MAGDY!K697),0)</f>
        <v>0</v>
      </c>
      <c r="F697" s="57">
        <f>IFERROR(IF(CRM_MAGDY!L697&gt;1,CRM_MAGDY!L697/100,CRM_MAGDY!L697),0)</f>
        <v>0</v>
      </c>
      <c r="G697" s="57">
        <f>CRM_MAGDY!N697</f>
        <v>0</v>
      </c>
      <c r="H697" s="57">
        <f>CRM_MAGDY!M697</f>
        <v>0</v>
      </c>
      <c r="I697" s="57">
        <f t="shared" si="20"/>
        <v>0</v>
      </c>
      <c r="J697" s="57" t="str">
        <f t="shared" si="21"/>
        <v>POTENCJAŁ</v>
      </c>
    </row>
    <row r="698" spans="1:10" x14ac:dyDescent="0.25">
      <c r="A698" s="57" t="str">
        <f>IF(CRM_MAGDY!H698="","","CRM-"&amp;TEXT(ROW()-4,"0000"))</f>
        <v>CRM-0694</v>
      </c>
      <c r="B698" s="57">
        <f>CRM_MAGDY!E698</f>
        <v>0</v>
      </c>
      <c r="C698" s="57">
        <f>CRM_MAGDY!H698</f>
        <v>6134</v>
      </c>
      <c r="D698" s="57">
        <f>CRM_MAGDY!I698</f>
        <v>0</v>
      </c>
      <c r="E698" s="57">
        <f>IFERROR(VALUE(CRM_MAGDY!K698),0)</f>
        <v>0</v>
      </c>
      <c r="F698" s="57">
        <f>IFERROR(IF(CRM_MAGDY!L698&gt;1,CRM_MAGDY!L698/100,CRM_MAGDY!L698),0)</f>
        <v>0</v>
      </c>
      <c r="G698" s="57">
        <f>CRM_MAGDY!N698</f>
        <v>0</v>
      </c>
      <c r="H698" s="57">
        <f>CRM_MAGDY!M698</f>
        <v>0</v>
      </c>
      <c r="I698" s="57">
        <f t="shared" si="20"/>
        <v>0</v>
      </c>
      <c r="J698" s="57" t="str">
        <f t="shared" si="21"/>
        <v>POTENCJAŁ</v>
      </c>
    </row>
    <row r="699" spans="1:10" x14ac:dyDescent="0.25">
      <c r="A699" s="57" t="str">
        <f>IF(CRM_MAGDY!H699="","","CRM-"&amp;TEXT(ROW()-4,"0000"))</f>
        <v>CRM-0695</v>
      </c>
      <c r="B699" s="57">
        <f>CRM_MAGDY!E699</f>
        <v>0</v>
      </c>
      <c r="C699" s="57">
        <f>CRM_MAGDY!H699</f>
        <v>6135</v>
      </c>
      <c r="D699" s="57">
        <f>CRM_MAGDY!I699</f>
        <v>0</v>
      </c>
      <c r="E699" s="57">
        <f>IFERROR(VALUE(CRM_MAGDY!K699),0)</f>
        <v>0</v>
      </c>
      <c r="F699" s="57">
        <f>IFERROR(IF(CRM_MAGDY!L699&gt;1,CRM_MAGDY!L699/100,CRM_MAGDY!L699),0)</f>
        <v>0</v>
      </c>
      <c r="G699" s="57">
        <f>CRM_MAGDY!N699</f>
        <v>0</v>
      </c>
      <c r="H699" s="57">
        <f>CRM_MAGDY!M699</f>
        <v>0</v>
      </c>
      <c r="I699" s="57">
        <f t="shared" si="20"/>
        <v>0</v>
      </c>
      <c r="J699" s="57" t="str">
        <f t="shared" si="21"/>
        <v>POTENCJAŁ</v>
      </c>
    </row>
    <row r="700" spans="1:10" x14ac:dyDescent="0.25">
      <c r="A700" s="57" t="str">
        <f>IF(CRM_MAGDY!H700="","","CRM-"&amp;TEXT(ROW()-4,"0000"))</f>
        <v>CRM-0696</v>
      </c>
      <c r="B700" s="57">
        <f>CRM_MAGDY!E700</f>
        <v>0</v>
      </c>
      <c r="C700" s="57">
        <f>CRM_MAGDY!H700</f>
        <v>6136</v>
      </c>
      <c r="D700" s="57">
        <f>CRM_MAGDY!I700</f>
        <v>0</v>
      </c>
      <c r="E700" s="57">
        <f>IFERROR(VALUE(CRM_MAGDY!K700),0)</f>
        <v>0</v>
      </c>
      <c r="F700" s="57">
        <f>IFERROR(IF(CRM_MAGDY!L700&gt;1,CRM_MAGDY!L700/100,CRM_MAGDY!L700),0)</f>
        <v>0</v>
      </c>
      <c r="G700" s="57">
        <f>CRM_MAGDY!N700</f>
        <v>0</v>
      </c>
      <c r="H700" s="57">
        <f>CRM_MAGDY!M700</f>
        <v>0</v>
      </c>
      <c r="I700" s="57">
        <f t="shared" si="20"/>
        <v>0</v>
      </c>
      <c r="J700" s="57" t="str">
        <f t="shared" si="21"/>
        <v>POTENCJAŁ</v>
      </c>
    </row>
    <row r="701" spans="1:10" x14ac:dyDescent="0.25">
      <c r="A701" s="57" t="str">
        <f>IF(CRM_MAGDY!H701="","","CRM-"&amp;TEXT(ROW()-4,"0000"))</f>
        <v>CRM-0697</v>
      </c>
      <c r="B701" s="57">
        <f>CRM_MAGDY!E701</f>
        <v>0</v>
      </c>
      <c r="C701" s="57">
        <f>CRM_MAGDY!H701</f>
        <v>6137</v>
      </c>
      <c r="D701" s="57">
        <f>CRM_MAGDY!I701</f>
        <v>0</v>
      </c>
      <c r="E701" s="57">
        <f>IFERROR(VALUE(CRM_MAGDY!K701),0)</f>
        <v>0</v>
      </c>
      <c r="F701" s="57">
        <f>IFERROR(IF(CRM_MAGDY!L701&gt;1,CRM_MAGDY!L701/100,CRM_MAGDY!L701),0)</f>
        <v>0</v>
      </c>
      <c r="G701" s="57">
        <f>CRM_MAGDY!N701</f>
        <v>0</v>
      </c>
      <c r="H701" s="57">
        <f>CRM_MAGDY!M701</f>
        <v>0</v>
      </c>
      <c r="I701" s="57">
        <f t="shared" si="20"/>
        <v>0</v>
      </c>
      <c r="J701" s="57" t="str">
        <f t="shared" si="21"/>
        <v>POTENCJAŁ</v>
      </c>
    </row>
    <row r="702" spans="1:10" x14ac:dyDescent="0.25">
      <c r="A702" s="57" t="str">
        <f>IF(CRM_MAGDY!H702="","","CRM-"&amp;TEXT(ROW()-4,"0000"))</f>
        <v>CRM-0698</v>
      </c>
      <c r="B702" s="57">
        <f>CRM_MAGDY!E702</f>
        <v>0</v>
      </c>
      <c r="C702" s="57">
        <f>CRM_MAGDY!H702</f>
        <v>6138</v>
      </c>
      <c r="D702" s="57">
        <f>CRM_MAGDY!I702</f>
        <v>0</v>
      </c>
      <c r="E702" s="57">
        <f>IFERROR(VALUE(CRM_MAGDY!K702),0)</f>
        <v>0</v>
      </c>
      <c r="F702" s="57">
        <f>IFERROR(IF(CRM_MAGDY!L702&gt;1,CRM_MAGDY!L702/100,CRM_MAGDY!L702),0)</f>
        <v>0</v>
      </c>
      <c r="G702" s="57">
        <f>CRM_MAGDY!N702</f>
        <v>0</v>
      </c>
      <c r="H702" s="57">
        <f>CRM_MAGDY!M702</f>
        <v>0</v>
      </c>
      <c r="I702" s="57">
        <f t="shared" si="20"/>
        <v>0</v>
      </c>
      <c r="J702" s="57" t="str">
        <f t="shared" si="21"/>
        <v>POTENCJAŁ</v>
      </c>
    </row>
    <row r="703" spans="1:10" x14ac:dyDescent="0.25">
      <c r="A703" s="57" t="str">
        <f>IF(CRM_MAGDY!H703="","","CRM-"&amp;TEXT(ROW()-4,"0000"))</f>
        <v>CRM-0699</v>
      </c>
      <c r="B703" s="57">
        <f>CRM_MAGDY!E703</f>
        <v>0</v>
      </c>
      <c r="C703" s="57">
        <f>CRM_MAGDY!H703</f>
        <v>6139</v>
      </c>
      <c r="D703" s="57">
        <f>CRM_MAGDY!I703</f>
        <v>0</v>
      </c>
      <c r="E703" s="57">
        <f>IFERROR(VALUE(CRM_MAGDY!K703),0)</f>
        <v>0</v>
      </c>
      <c r="F703" s="57">
        <f>IFERROR(IF(CRM_MAGDY!L703&gt;1,CRM_MAGDY!L703/100,CRM_MAGDY!L703),0)</f>
        <v>0</v>
      </c>
      <c r="G703" s="57">
        <f>CRM_MAGDY!N703</f>
        <v>0</v>
      </c>
      <c r="H703" s="57">
        <f>CRM_MAGDY!M703</f>
        <v>0</v>
      </c>
      <c r="I703" s="57">
        <f t="shared" si="20"/>
        <v>0</v>
      </c>
      <c r="J703" s="57" t="str">
        <f t="shared" si="21"/>
        <v>POTENCJAŁ</v>
      </c>
    </row>
    <row r="704" spans="1:10" x14ac:dyDescent="0.25">
      <c r="A704" s="57" t="str">
        <f>IF(CRM_MAGDY!H704="","","CRM-"&amp;TEXT(ROW()-4,"0000"))</f>
        <v>CRM-0700</v>
      </c>
      <c r="B704" s="57">
        <f>CRM_MAGDY!E704</f>
        <v>0</v>
      </c>
      <c r="C704" s="57">
        <f>CRM_MAGDY!H704</f>
        <v>6140</v>
      </c>
      <c r="D704" s="57">
        <f>CRM_MAGDY!I704</f>
        <v>0</v>
      </c>
      <c r="E704" s="57">
        <f>IFERROR(VALUE(CRM_MAGDY!K704),0)</f>
        <v>0</v>
      </c>
      <c r="F704" s="57">
        <f>IFERROR(IF(CRM_MAGDY!L704&gt;1,CRM_MAGDY!L704/100,CRM_MAGDY!L704),0)</f>
        <v>0</v>
      </c>
      <c r="G704" s="57">
        <f>CRM_MAGDY!N704</f>
        <v>0</v>
      </c>
      <c r="H704" s="57">
        <f>CRM_MAGDY!M704</f>
        <v>0</v>
      </c>
      <c r="I704" s="57">
        <f t="shared" si="20"/>
        <v>0</v>
      </c>
      <c r="J704" s="57" t="str">
        <f t="shared" si="21"/>
        <v>POTENCJAŁ</v>
      </c>
    </row>
    <row r="705" spans="1:10" x14ac:dyDescent="0.25">
      <c r="A705" s="57" t="str">
        <f>IF(CRM_MAGDY!H705="","","CRM-"&amp;TEXT(ROW()-4,"0000"))</f>
        <v>CRM-0701</v>
      </c>
      <c r="B705" s="57">
        <f>CRM_MAGDY!E705</f>
        <v>0</v>
      </c>
      <c r="C705" s="57">
        <f>CRM_MAGDY!H705</f>
        <v>6141</v>
      </c>
      <c r="D705" s="57">
        <f>CRM_MAGDY!I705</f>
        <v>0</v>
      </c>
      <c r="E705" s="57">
        <f>IFERROR(VALUE(CRM_MAGDY!K705),0)</f>
        <v>0</v>
      </c>
      <c r="F705" s="57">
        <f>IFERROR(IF(CRM_MAGDY!L705&gt;1,CRM_MAGDY!L705/100,CRM_MAGDY!L705),0)</f>
        <v>0</v>
      </c>
      <c r="G705" s="57">
        <f>CRM_MAGDY!N705</f>
        <v>0</v>
      </c>
      <c r="H705" s="57">
        <f>CRM_MAGDY!M705</f>
        <v>0</v>
      </c>
      <c r="I705" s="57">
        <f t="shared" si="20"/>
        <v>0</v>
      </c>
      <c r="J705" s="57" t="str">
        <f t="shared" si="21"/>
        <v>POTENCJAŁ</v>
      </c>
    </row>
    <row r="706" spans="1:10" x14ac:dyDescent="0.25">
      <c r="A706" s="57" t="str">
        <f>IF(CRM_MAGDY!H706="","","CRM-"&amp;TEXT(ROW()-4,"0000"))</f>
        <v>CRM-0702</v>
      </c>
      <c r="B706" s="57">
        <f>CRM_MAGDY!E706</f>
        <v>0</v>
      </c>
      <c r="C706" s="57">
        <f>CRM_MAGDY!H706</f>
        <v>6142</v>
      </c>
      <c r="D706" s="57">
        <f>CRM_MAGDY!I706</f>
        <v>0</v>
      </c>
      <c r="E706" s="57">
        <f>IFERROR(VALUE(CRM_MAGDY!K706),0)</f>
        <v>0</v>
      </c>
      <c r="F706" s="57">
        <f>IFERROR(IF(CRM_MAGDY!L706&gt;1,CRM_MAGDY!L706/100,CRM_MAGDY!L706),0)</f>
        <v>0</v>
      </c>
      <c r="G706" s="57">
        <f>CRM_MAGDY!N706</f>
        <v>0</v>
      </c>
      <c r="H706" s="57">
        <f>CRM_MAGDY!M706</f>
        <v>0</v>
      </c>
      <c r="I706" s="57">
        <f t="shared" si="20"/>
        <v>0</v>
      </c>
      <c r="J706" s="57" t="str">
        <f t="shared" si="21"/>
        <v>POTENCJAŁ</v>
      </c>
    </row>
    <row r="707" spans="1:10" x14ac:dyDescent="0.25">
      <c r="A707" s="57" t="str">
        <f>IF(CRM_MAGDY!H707="","","CRM-"&amp;TEXT(ROW()-4,"0000"))</f>
        <v>CRM-0703</v>
      </c>
      <c r="B707" s="57">
        <f>CRM_MAGDY!E707</f>
        <v>0</v>
      </c>
      <c r="C707" s="57">
        <f>CRM_MAGDY!H707</f>
        <v>6143</v>
      </c>
      <c r="D707" s="57">
        <f>CRM_MAGDY!I707</f>
        <v>0</v>
      </c>
      <c r="E707" s="57">
        <f>IFERROR(VALUE(CRM_MAGDY!K707),0)</f>
        <v>0</v>
      </c>
      <c r="F707" s="57">
        <f>IFERROR(IF(CRM_MAGDY!L707&gt;1,CRM_MAGDY!L707/100,CRM_MAGDY!L707),0)</f>
        <v>0</v>
      </c>
      <c r="G707" s="57">
        <f>CRM_MAGDY!N707</f>
        <v>0</v>
      </c>
      <c r="H707" s="57">
        <f>CRM_MAGDY!M707</f>
        <v>0</v>
      </c>
      <c r="I707" s="57">
        <f t="shared" si="20"/>
        <v>0</v>
      </c>
      <c r="J707" s="57" t="str">
        <f t="shared" si="21"/>
        <v>POTENCJAŁ</v>
      </c>
    </row>
    <row r="708" spans="1:10" x14ac:dyDescent="0.25">
      <c r="A708" s="57" t="str">
        <f>IF(CRM_MAGDY!H708="","","CRM-"&amp;TEXT(ROW()-4,"0000"))</f>
        <v>CRM-0704</v>
      </c>
      <c r="B708" s="57">
        <f>CRM_MAGDY!E708</f>
        <v>0</v>
      </c>
      <c r="C708" s="57">
        <f>CRM_MAGDY!H708</f>
        <v>6144</v>
      </c>
      <c r="D708" s="57">
        <f>CRM_MAGDY!I708</f>
        <v>0</v>
      </c>
      <c r="E708" s="57">
        <f>IFERROR(VALUE(CRM_MAGDY!K708),0)</f>
        <v>0</v>
      </c>
      <c r="F708" s="57">
        <f>IFERROR(IF(CRM_MAGDY!L708&gt;1,CRM_MAGDY!L708/100,CRM_MAGDY!L708),0)</f>
        <v>0</v>
      </c>
      <c r="G708" s="57">
        <f>CRM_MAGDY!N708</f>
        <v>0</v>
      </c>
      <c r="H708" s="57">
        <f>CRM_MAGDY!M708</f>
        <v>0</v>
      </c>
      <c r="I708" s="57">
        <f t="shared" si="20"/>
        <v>0</v>
      </c>
      <c r="J708" s="57" t="str">
        <f t="shared" si="21"/>
        <v>POTENCJAŁ</v>
      </c>
    </row>
    <row r="709" spans="1:10" x14ac:dyDescent="0.25">
      <c r="A709" s="57" t="str">
        <f>IF(CRM_MAGDY!H709="","","CRM-"&amp;TEXT(ROW()-4,"0000"))</f>
        <v>CRM-0705</v>
      </c>
      <c r="B709" s="57">
        <f>CRM_MAGDY!E709</f>
        <v>0</v>
      </c>
      <c r="C709" s="57">
        <f>CRM_MAGDY!H709</f>
        <v>6145</v>
      </c>
      <c r="D709" s="57">
        <f>CRM_MAGDY!I709</f>
        <v>0</v>
      </c>
      <c r="E709" s="57">
        <f>IFERROR(VALUE(CRM_MAGDY!K709),0)</f>
        <v>0</v>
      </c>
      <c r="F709" s="57">
        <f>IFERROR(IF(CRM_MAGDY!L709&gt;1,CRM_MAGDY!L709/100,CRM_MAGDY!L709),0)</f>
        <v>0</v>
      </c>
      <c r="G709" s="57">
        <f>CRM_MAGDY!N709</f>
        <v>0</v>
      </c>
      <c r="H709" s="57">
        <f>CRM_MAGDY!M709</f>
        <v>0</v>
      </c>
      <c r="I709" s="57">
        <f t="shared" ref="I709:I772" si="22">IF(OR(G709="WYGRANA",G709="PRZEGRANA"),0,E709*F709)</f>
        <v>0</v>
      </c>
      <c r="J709" s="57" t="str">
        <f t="shared" ref="J709:J772" si="23">IF(F709&gt;=0.7,"PEWNY",IF(F709&gt;=0.3,"REALNY","POTENCJAŁ"))</f>
        <v>POTENCJAŁ</v>
      </c>
    </row>
    <row r="710" spans="1:10" x14ac:dyDescent="0.25">
      <c r="A710" s="57" t="str">
        <f>IF(CRM_MAGDY!H710="","","CRM-"&amp;TEXT(ROW()-4,"0000"))</f>
        <v>CRM-0706</v>
      </c>
      <c r="B710" s="57">
        <f>CRM_MAGDY!E710</f>
        <v>0</v>
      </c>
      <c r="C710" s="57">
        <f>CRM_MAGDY!H710</f>
        <v>6146</v>
      </c>
      <c r="D710" s="57">
        <f>CRM_MAGDY!I710</f>
        <v>0</v>
      </c>
      <c r="E710" s="57">
        <f>IFERROR(VALUE(CRM_MAGDY!K710),0)</f>
        <v>0</v>
      </c>
      <c r="F710" s="57">
        <f>IFERROR(IF(CRM_MAGDY!L710&gt;1,CRM_MAGDY!L710/100,CRM_MAGDY!L710),0)</f>
        <v>0</v>
      </c>
      <c r="G710" s="57">
        <f>CRM_MAGDY!N710</f>
        <v>0</v>
      </c>
      <c r="H710" s="57">
        <f>CRM_MAGDY!M710</f>
        <v>0</v>
      </c>
      <c r="I710" s="57">
        <f t="shared" si="22"/>
        <v>0</v>
      </c>
      <c r="J710" s="57" t="str">
        <f t="shared" si="23"/>
        <v>POTENCJAŁ</v>
      </c>
    </row>
    <row r="711" spans="1:10" x14ac:dyDescent="0.25">
      <c r="A711" s="57" t="str">
        <f>IF(CRM_MAGDY!H711="","","CRM-"&amp;TEXT(ROW()-4,"0000"))</f>
        <v>CRM-0707</v>
      </c>
      <c r="B711" s="57">
        <f>CRM_MAGDY!E711</f>
        <v>0</v>
      </c>
      <c r="C711" s="57">
        <f>CRM_MAGDY!H711</f>
        <v>6147</v>
      </c>
      <c r="D711" s="57">
        <f>CRM_MAGDY!I711</f>
        <v>0</v>
      </c>
      <c r="E711" s="57">
        <f>IFERROR(VALUE(CRM_MAGDY!K711),0)</f>
        <v>0</v>
      </c>
      <c r="F711" s="57">
        <f>IFERROR(IF(CRM_MAGDY!L711&gt;1,CRM_MAGDY!L711/100,CRM_MAGDY!L711),0)</f>
        <v>0</v>
      </c>
      <c r="G711" s="57">
        <f>CRM_MAGDY!N711</f>
        <v>0</v>
      </c>
      <c r="H711" s="57">
        <f>CRM_MAGDY!M711</f>
        <v>0</v>
      </c>
      <c r="I711" s="57">
        <f t="shared" si="22"/>
        <v>0</v>
      </c>
      <c r="J711" s="57" t="str">
        <f t="shared" si="23"/>
        <v>POTENCJAŁ</v>
      </c>
    </row>
    <row r="712" spans="1:10" x14ac:dyDescent="0.25">
      <c r="A712" s="57" t="str">
        <f>IF(CRM_MAGDY!H712="","","CRM-"&amp;TEXT(ROW()-4,"0000"))</f>
        <v>CRM-0708</v>
      </c>
      <c r="B712" s="57">
        <f>CRM_MAGDY!E712</f>
        <v>0</v>
      </c>
      <c r="C712" s="57">
        <f>CRM_MAGDY!H712</f>
        <v>6148</v>
      </c>
      <c r="D712" s="57">
        <f>CRM_MAGDY!I712</f>
        <v>0</v>
      </c>
      <c r="E712" s="57">
        <f>IFERROR(VALUE(CRM_MAGDY!K712),0)</f>
        <v>0</v>
      </c>
      <c r="F712" s="57">
        <f>IFERROR(IF(CRM_MAGDY!L712&gt;1,CRM_MAGDY!L712/100,CRM_MAGDY!L712),0)</f>
        <v>0</v>
      </c>
      <c r="G712" s="57">
        <f>CRM_MAGDY!N712</f>
        <v>0</v>
      </c>
      <c r="H712" s="57">
        <f>CRM_MAGDY!M712</f>
        <v>0</v>
      </c>
      <c r="I712" s="57">
        <f t="shared" si="22"/>
        <v>0</v>
      </c>
      <c r="J712" s="57" t="str">
        <f t="shared" si="23"/>
        <v>POTENCJAŁ</v>
      </c>
    </row>
    <row r="713" spans="1:10" x14ac:dyDescent="0.25">
      <c r="A713" s="57" t="str">
        <f>IF(CRM_MAGDY!H713="","","CRM-"&amp;TEXT(ROW()-4,"0000"))</f>
        <v>CRM-0709</v>
      </c>
      <c r="B713" s="57">
        <f>CRM_MAGDY!E713</f>
        <v>0</v>
      </c>
      <c r="C713" s="57">
        <f>CRM_MAGDY!H713</f>
        <v>6149</v>
      </c>
      <c r="D713" s="57">
        <f>CRM_MAGDY!I713</f>
        <v>0</v>
      </c>
      <c r="E713" s="57">
        <f>IFERROR(VALUE(CRM_MAGDY!K713),0)</f>
        <v>0</v>
      </c>
      <c r="F713" s="57">
        <f>IFERROR(IF(CRM_MAGDY!L713&gt;1,CRM_MAGDY!L713/100,CRM_MAGDY!L713),0)</f>
        <v>0</v>
      </c>
      <c r="G713" s="57">
        <f>CRM_MAGDY!N713</f>
        <v>0</v>
      </c>
      <c r="H713" s="57">
        <f>CRM_MAGDY!M713</f>
        <v>0</v>
      </c>
      <c r="I713" s="57">
        <f t="shared" si="22"/>
        <v>0</v>
      </c>
      <c r="J713" s="57" t="str">
        <f t="shared" si="23"/>
        <v>POTENCJAŁ</v>
      </c>
    </row>
    <row r="714" spans="1:10" x14ac:dyDescent="0.25">
      <c r="A714" s="57" t="str">
        <f>IF(CRM_MAGDY!H714="","","CRM-"&amp;TEXT(ROW()-4,"0000"))</f>
        <v>CRM-0710</v>
      </c>
      <c r="B714" s="57">
        <f>CRM_MAGDY!E714</f>
        <v>0</v>
      </c>
      <c r="C714" s="57">
        <f>CRM_MAGDY!H714</f>
        <v>6150</v>
      </c>
      <c r="D714" s="57">
        <f>CRM_MAGDY!I714</f>
        <v>0</v>
      </c>
      <c r="E714" s="57">
        <f>IFERROR(VALUE(CRM_MAGDY!K714),0)</f>
        <v>0</v>
      </c>
      <c r="F714" s="57">
        <f>IFERROR(IF(CRM_MAGDY!L714&gt;1,CRM_MAGDY!L714/100,CRM_MAGDY!L714),0)</f>
        <v>0</v>
      </c>
      <c r="G714" s="57">
        <f>CRM_MAGDY!N714</f>
        <v>0</v>
      </c>
      <c r="H714" s="57">
        <f>CRM_MAGDY!M714</f>
        <v>0</v>
      </c>
      <c r="I714" s="57">
        <f t="shared" si="22"/>
        <v>0</v>
      </c>
      <c r="J714" s="57" t="str">
        <f t="shared" si="23"/>
        <v>POTENCJAŁ</v>
      </c>
    </row>
    <row r="715" spans="1:10" x14ac:dyDescent="0.25">
      <c r="A715" s="57" t="str">
        <f>IF(CRM_MAGDY!H715="","","CRM-"&amp;TEXT(ROW()-4,"0000"))</f>
        <v>CRM-0711</v>
      </c>
      <c r="B715" s="57">
        <f>CRM_MAGDY!E715</f>
        <v>0</v>
      </c>
      <c r="C715" s="57">
        <f>CRM_MAGDY!H715</f>
        <v>6151</v>
      </c>
      <c r="D715" s="57">
        <f>CRM_MAGDY!I715</f>
        <v>0</v>
      </c>
      <c r="E715" s="57">
        <f>IFERROR(VALUE(CRM_MAGDY!K715),0)</f>
        <v>0</v>
      </c>
      <c r="F715" s="57">
        <f>IFERROR(IF(CRM_MAGDY!L715&gt;1,CRM_MAGDY!L715/100,CRM_MAGDY!L715),0)</f>
        <v>0</v>
      </c>
      <c r="G715" s="57">
        <f>CRM_MAGDY!N715</f>
        <v>0</v>
      </c>
      <c r="H715" s="57">
        <f>CRM_MAGDY!M715</f>
        <v>0</v>
      </c>
      <c r="I715" s="57">
        <f t="shared" si="22"/>
        <v>0</v>
      </c>
      <c r="J715" s="57" t="str">
        <f t="shared" si="23"/>
        <v>POTENCJAŁ</v>
      </c>
    </row>
    <row r="716" spans="1:10" x14ac:dyDescent="0.25">
      <c r="A716" s="57" t="str">
        <f>IF(CRM_MAGDY!H716="","","CRM-"&amp;TEXT(ROW()-4,"0000"))</f>
        <v>CRM-0712</v>
      </c>
      <c r="B716" s="57">
        <f>CRM_MAGDY!E716</f>
        <v>0</v>
      </c>
      <c r="C716" s="57">
        <f>CRM_MAGDY!H716</f>
        <v>6152</v>
      </c>
      <c r="D716" s="57">
        <f>CRM_MAGDY!I716</f>
        <v>0</v>
      </c>
      <c r="E716" s="57">
        <f>IFERROR(VALUE(CRM_MAGDY!K716),0)</f>
        <v>0</v>
      </c>
      <c r="F716" s="57">
        <f>IFERROR(IF(CRM_MAGDY!L716&gt;1,CRM_MAGDY!L716/100,CRM_MAGDY!L716),0)</f>
        <v>0</v>
      </c>
      <c r="G716" s="57">
        <f>CRM_MAGDY!N716</f>
        <v>0</v>
      </c>
      <c r="H716" s="57">
        <f>CRM_MAGDY!M716</f>
        <v>0</v>
      </c>
      <c r="I716" s="57">
        <f t="shared" si="22"/>
        <v>0</v>
      </c>
      <c r="J716" s="57" t="str">
        <f t="shared" si="23"/>
        <v>POTENCJAŁ</v>
      </c>
    </row>
    <row r="717" spans="1:10" x14ac:dyDescent="0.25">
      <c r="A717" s="57" t="str">
        <f>IF(CRM_MAGDY!H717="","","CRM-"&amp;TEXT(ROW()-4,"0000"))</f>
        <v>CRM-0713</v>
      </c>
      <c r="B717" s="57">
        <f>CRM_MAGDY!E717</f>
        <v>0</v>
      </c>
      <c r="C717" s="57">
        <f>CRM_MAGDY!H717</f>
        <v>6153</v>
      </c>
      <c r="D717" s="57">
        <f>CRM_MAGDY!I717</f>
        <v>0</v>
      </c>
      <c r="E717" s="57">
        <f>IFERROR(VALUE(CRM_MAGDY!K717),0)</f>
        <v>0</v>
      </c>
      <c r="F717" s="57">
        <f>IFERROR(IF(CRM_MAGDY!L717&gt;1,CRM_MAGDY!L717/100,CRM_MAGDY!L717),0)</f>
        <v>0</v>
      </c>
      <c r="G717" s="57">
        <f>CRM_MAGDY!N717</f>
        <v>0</v>
      </c>
      <c r="H717" s="57">
        <f>CRM_MAGDY!M717</f>
        <v>0</v>
      </c>
      <c r="I717" s="57">
        <f t="shared" si="22"/>
        <v>0</v>
      </c>
      <c r="J717" s="57" t="str">
        <f t="shared" si="23"/>
        <v>POTENCJAŁ</v>
      </c>
    </row>
    <row r="718" spans="1:10" x14ac:dyDescent="0.25">
      <c r="A718" s="57" t="str">
        <f>IF(CRM_MAGDY!H718="","","CRM-"&amp;TEXT(ROW()-4,"0000"))</f>
        <v>CRM-0714</v>
      </c>
      <c r="B718" s="57">
        <f>CRM_MAGDY!E718</f>
        <v>0</v>
      </c>
      <c r="C718" s="57">
        <f>CRM_MAGDY!H718</f>
        <v>6154</v>
      </c>
      <c r="D718" s="57">
        <f>CRM_MAGDY!I718</f>
        <v>0</v>
      </c>
      <c r="E718" s="57">
        <f>IFERROR(VALUE(CRM_MAGDY!K718),0)</f>
        <v>0</v>
      </c>
      <c r="F718" s="57">
        <f>IFERROR(IF(CRM_MAGDY!L718&gt;1,CRM_MAGDY!L718/100,CRM_MAGDY!L718),0)</f>
        <v>0</v>
      </c>
      <c r="G718" s="57">
        <f>CRM_MAGDY!N718</f>
        <v>0</v>
      </c>
      <c r="H718" s="57">
        <f>CRM_MAGDY!M718</f>
        <v>0</v>
      </c>
      <c r="I718" s="57">
        <f t="shared" si="22"/>
        <v>0</v>
      </c>
      <c r="J718" s="57" t="str">
        <f t="shared" si="23"/>
        <v>POTENCJAŁ</v>
      </c>
    </row>
    <row r="719" spans="1:10" x14ac:dyDescent="0.25">
      <c r="A719" s="57" t="str">
        <f>IF(CRM_MAGDY!H719="","","CRM-"&amp;TEXT(ROW()-4,"0000"))</f>
        <v>CRM-0715</v>
      </c>
      <c r="B719" s="57">
        <f>CRM_MAGDY!E719</f>
        <v>0</v>
      </c>
      <c r="C719" s="57">
        <f>CRM_MAGDY!H719</f>
        <v>6155</v>
      </c>
      <c r="D719" s="57">
        <f>CRM_MAGDY!I719</f>
        <v>0</v>
      </c>
      <c r="E719" s="57">
        <f>IFERROR(VALUE(CRM_MAGDY!K719),0)</f>
        <v>0</v>
      </c>
      <c r="F719" s="57">
        <f>IFERROR(IF(CRM_MAGDY!L719&gt;1,CRM_MAGDY!L719/100,CRM_MAGDY!L719),0)</f>
        <v>0</v>
      </c>
      <c r="G719" s="57">
        <f>CRM_MAGDY!N719</f>
        <v>0</v>
      </c>
      <c r="H719" s="57">
        <f>CRM_MAGDY!M719</f>
        <v>0</v>
      </c>
      <c r="I719" s="57">
        <f t="shared" si="22"/>
        <v>0</v>
      </c>
      <c r="J719" s="57" t="str">
        <f t="shared" si="23"/>
        <v>POTENCJAŁ</v>
      </c>
    </row>
    <row r="720" spans="1:10" x14ac:dyDescent="0.25">
      <c r="A720" s="57" t="str">
        <f>IF(CRM_MAGDY!H720="","","CRM-"&amp;TEXT(ROW()-4,"0000"))</f>
        <v>CRM-0716</v>
      </c>
      <c r="B720" s="57">
        <f>CRM_MAGDY!E720</f>
        <v>0</v>
      </c>
      <c r="C720" s="57">
        <f>CRM_MAGDY!H720</f>
        <v>6156</v>
      </c>
      <c r="D720" s="57">
        <f>CRM_MAGDY!I720</f>
        <v>0</v>
      </c>
      <c r="E720" s="57">
        <f>IFERROR(VALUE(CRM_MAGDY!K720),0)</f>
        <v>0</v>
      </c>
      <c r="F720" s="57">
        <f>IFERROR(IF(CRM_MAGDY!L720&gt;1,CRM_MAGDY!L720/100,CRM_MAGDY!L720),0)</f>
        <v>0</v>
      </c>
      <c r="G720" s="57">
        <f>CRM_MAGDY!N720</f>
        <v>0</v>
      </c>
      <c r="H720" s="57">
        <f>CRM_MAGDY!M720</f>
        <v>0</v>
      </c>
      <c r="I720" s="57">
        <f t="shared" si="22"/>
        <v>0</v>
      </c>
      <c r="J720" s="57" t="str">
        <f t="shared" si="23"/>
        <v>POTENCJAŁ</v>
      </c>
    </row>
    <row r="721" spans="1:10" x14ac:dyDescent="0.25">
      <c r="A721" s="57" t="str">
        <f>IF(CRM_MAGDY!H721="","","CRM-"&amp;TEXT(ROW()-4,"0000"))</f>
        <v>CRM-0717</v>
      </c>
      <c r="B721" s="57">
        <f>CRM_MAGDY!E721</f>
        <v>0</v>
      </c>
      <c r="C721" s="57">
        <f>CRM_MAGDY!H721</f>
        <v>6157</v>
      </c>
      <c r="D721" s="57">
        <f>CRM_MAGDY!I721</f>
        <v>0</v>
      </c>
      <c r="E721" s="57">
        <f>IFERROR(VALUE(CRM_MAGDY!K721),0)</f>
        <v>0</v>
      </c>
      <c r="F721" s="57">
        <f>IFERROR(IF(CRM_MAGDY!L721&gt;1,CRM_MAGDY!L721/100,CRM_MAGDY!L721),0)</f>
        <v>0</v>
      </c>
      <c r="G721" s="57">
        <f>CRM_MAGDY!N721</f>
        <v>0</v>
      </c>
      <c r="H721" s="57">
        <f>CRM_MAGDY!M721</f>
        <v>0</v>
      </c>
      <c r="I721" s="57">
        <f t="shared" si="22"/>
        <v>0</v>
      </c>
      <c r="J721" s="57" t="str">
        <f t="shared" si="23"/>
        <v>POTENCJAŁ</v>
      </c>
    </row>
    <row r="722" spans="1:10" x14ac:dyDescent="0.25">
      <c r="A722" s="57" t="str">
        <f>IF(CRM_MAGDY!H722="","","CRM-"&amp;TEXT(ROW()-4,"0000"))</f>
        <v>CRM-0718</v>
      </c>
      <c r="B722" s="57">
        <f>CRM_MAGDY!E722</f>
        <v>0</v>
      </c>
      <c r="C722" s="57">
        <f>CRM_MAGDY!H722</f>
        <v>6158</v>
      </c>
      <c r="D722" s="57">
        <f>CRM_MAGDY!I722</f>
        <v>0</v>
      </c>
      <c r="E722" s="57">
        <f>IFERROR(VALUE(CRM_MAGDY!K722),0)</f>
        <v>0</v>
      </c>
      <c r="F722" s="57">
        <f>IFERROR(IF(CRM_MAGDY!L722&gt;1,CRM_MAGDY!L722/100,CRM_MAGDY!L722),0)</f>
        <v>0</v>
      </c>
      <c r="G722" s="57">
        <f>CRM_MAGDY!N722</f>
        <v>0</v>
      </c>
      <c r="H722" s="57">
        <f>CRM_MAGDY!M722</f>
        <v>0</v>
      </c>
      <c r="I722" s="57">
        <f t="shared" si="22"/>
        <v>0</v>
      </c>
      <c r="J722" s="57" t="str">
        <f t="shared" si="23"/>
        <v>POTENCJAŁ</v>
      </c>
    </row>
    <row r="723" spans="1:10" x14ac:dyDescent="0.25">
      <c r="A723" s="57" t="str">
        <f>IF(CRM_MAGDY!H723="","","CRM-"&amp;TEXT(ROW()-4,"0000"))</f>
        <v>CRM-0719</v>
      </c>
      <c r="B723" s="57">
        <f>CRM_MAGDY!E723</f>
        <v>0</v>
      </c>
      <c r="C723" s="57">
        <f>CRM_MAGDY!H723</f>
        <v>6159</v>
      </c>
      <c r="D723" s="57">
        <f>CRM_MAGDY!I723</f>
        <v>0</v>
      </c>
      <c r="E723" s="57">
        <f>IFERROR(VALUE(CRM_MAGDY!K723),0)</f>
        <v>0</v>
      </c>
      <c r="F723" s="57">
        <f>IFERROR(IF(CRM_MAGDY!L723&gt;1,CRM_MAGDY!L723/100,CRM_MAGDY!L723),0)</f>
        <v>0</v>
      </c>
      <c r="G723" s="57">
        <f>CRM_MAGDY!N723</f>
        <v>0</v>
      </c>
      <c r="H723" s="57">
        <f>CRM_MAGDY!M723</f>
        <v>0</v>
      </c>
      <c r="I723" s="57">
        <f t="shared" si="22"/>
        <v>0</v>
      </c>
      <c r="J723" s="57" t="str">
        <f t="shared" si="23"/>
        <v>POTENCJAŁ</v>
      </c>
    </row>
    <row r="724" spans="1:10" x14ac:dyDescent="0.25">
      <c r="A724" s="57" t="str">
        <f>IF(CRM_MAGDY!H724="","","CRM-"&amp;TEXT(ROW()-4,"0000"))</f>
        <v>CRM-0720</v>
      </c>
      <c r="B724" s="57">
        <f>CRM_MAGDY!E724</f>
        <v>0</v>
      </c>
      <c r="C724" s="57">
        <f>CRM_MAGDY!H724</f>
        <v>6160</v>
      </c>
      <c r="D724" s="57">
        <f>CRM_MAGDY!I724</f>
        <v>0</v>
      </c>
      <c r="E724" s="57">
        <f>IFERROR(VALUE(CRM_MAGDY!K724),0)</f>
        <v>0</v>
      </c>
      <c r="F724" s="57">
        <f>IFERROR(IF(CRM_MAGDY!L724&gt;1,CRM_MAGDY!L724/100,CRM_MAGDY!L724),0)</f>
        <v>0</v>
      </c>
      <c r="G724" s="57">
        <f>CRM_MAGDY!N724</f>
        <v>0</v>
      </c>
      <c r="H724" s="57">
        <f>CRM_MAGDY!M724</f>
        <v>0</v>
      </c>
      <c r="I724" s="57">
        <f t="shared" si="22"/>
        <v>0</v>
      </c>
      <c r="J724" s="57" t="str">
        <f t="shared" si="23"/>
        <v>POTENCJAŁ</v>
      </c>
    </row>
    <row r="725" spans="1:10" x14ac:dyDescent="0.25">
      <c r="A725" s="57" t="str">
        <f>IF(CRM_MAGDY!H725="","","CRM-"&amp;TEXT(ROW()-4,"0000"))</f>
        <v>CRM-0721</v>
      </c>
      <c r="B725" s="57">
        <f>CRM_MAGDY!E725</f>
        <v>0</v>
      </c>
      <c r="C725" s="57">
        <f>CRM_MAGDY!H725</f>
        <v>6161</v>
      </c>
      <c r="D725" s="57">
        <f>CRM_MAGDY!I725</f>
        <v>0</v>
      </c>
      <c r="E725" s="57">
        <f>IFERROR(VALUE(CRM_MAGDY!K725),0)</f>
        <v>0</v>
      </c>
      <c r="F725" s="57">
        <f>IFERROR(IF(CRM_MAGDY!L725&gt;1,CRM_MAGDY!L725/100,CRM_MAGDY!L725),0)</f>
        <v>0</v>
      </c>
      <c r="G725" s="57">
        <f>CRM_MAGDY!N725</f>
        <v>0</v>
      </c>
      <c r="H725" s="57">
        <f>CRM_MAGDY!M725</f>
        <v>0</v>
      </c>
      <c r="I725" s="57">
        <f t="shared" si="22"/>
        <v>0</v>
      </c>
      <c r="J725" s="57" t="str">
        <f t="shared" si="23"/>
        <v>POTENCJAŁ</v>
      </c>
    </row>
    <row r="726" spans="1:10" x14ac:dyDescent="0.25">
      <c r="A726" s="57" t="str">
        <f>IF(CRM_MAGDY!H726="","","CRM-"&amp;TEXT(ROW()-4,"0000"))</f>
        <v>CRM-0722</v>
      </c>
      <c r="B726" s="57">
        <f>CRM_MAGDY!E726</f>
        <v>0</v>
      </c>
      <c r="C726" s="57">
        <f>CRM_MAGDY!H726</f>
        <v>6162</v>
      </c>
      <c r="D726" s="57">
        <f>CRM_MAGDY!I726</f>
        <v>0</v>
      </c>
      <c r="E726" s="57">
        <f>IFERROR(VALUE(CRM_MAGDY!K726),0)</f>
        <v>0</v>
      </c>
      <c r="F726" s="57">
        <f>IFERROR(IF(CRM_MAGDY!L726&gt;1,CRM_MAGDY!L726/100,CRM_MAGDY!L726),0)</f>
        <v>0</v>
      </c>
      <c r="G726" s="57">
        <f>CRM_MAGDY!N726</f>
        <v>0</v>
      </c>
      <c r="H726" s="57">
        <f>CRM_MAGDY!M726</f>
        <v>0</v>
      </c>
      <c r="I726" s="57">
        <f t="shared" si="22"/>
        <v>0</v>
      </c>
      <c r="J726" s="57" t="str">
        <f t="shared" si="23"/>
        <v>POTENCJAŁ</v>
      </c>
    </row>
    <row r="727" spans="1:10" x14ac:dyDescent="0.25">
      <c r="A727" s="57" t="str">
        <f>IF(CRM_MAGDY!H727="","","CRM-"&amp;TEXT(ROW()-4,"0000"))</f>
        <v>CRM-0723</v>
      </c>
      <c r="B727" s="57">
        <f>CRM_MAGDY!E727</f>
        <v>0</v>
      </c>
      <c r="C727" s="57">
        <f>CRM_MAGDY!H727</f>
        <v>6163</v>
      </c>
      <c r="D727" s="57">
        <f>CRM_MAGDY!I727</f>
        <v>0</v>
      </c>
      <c r="E727" s="57">
        <f>IFERROR(VALUE(CRM_MAGDY!K727),0)</f>
        <v>0</v>
      </c>
      <c r="F727" s="57">
        <f>IFERROR(IF(CRM_MAGDY!L727&gt;1,CRM_MAGDY!L727/100,CRM_MAGDY!L727),0)</f>
        <v>0</v>
      </c>
      <c r="G727" s="57">
        <f>CRM_MAGDY!N727</f>
        <v>0</v>
      </c>
      <c r="H727" s="57">
        <f>CRM_MAGDY!M727</f>
        <v>0</v>
      </c>
      <c r="I727" s="57">
        <f t="shared" si="22"/>
        <v>0</v>
      </c>
      <c r="J727" s="57" t="str">
        <f t="shared" si="23"/>
        <v>POTENCJAŁ</v>
      </c>
    </row>
    <row r="728" spans="1:10" x14ac:dyDescent="0.25">
      <c r="A728" s="57" t="str">
        <f>IF(CRM_MAGDY!H728="","","CRM-"&amp;TEXT(ROW()-4,"0000"))</f>
        <v>CRM-0724</v>
      </c>
      <c r="B728" s="57">
        <f>CRM_MAGDY!E728</f>
        <v>0</v>
      </c>
      <c r="C728" s="57">
        <f>CRM_MAGDY!H728</f>
        <v>6164</v>
      </c>
      <c r="D728" s="57">
        <f>CRM_MAGDY!I728</f>
        <v>0</v>
      </c>
      <c r="E728" s="57">
        <f>IFERROR(VALUE(CRM_MAGDY!K728),0)</f>
        <v>0</v>
      </c>
      <c r="F728" s="57">
        <f>IFERROR(IF(CRM_MAGDY!L728&gt;1,CRM_MAGDY!L728/100,CRM_MAGDY!L728),0)</f>
        <v>0</v>
      </c>
      <c r="G728" s="57">
        <f>CRM_MAGDY!N728</f>
        <v>0</v>
      </c>
      <c r="H728" s="57">
        <f>CRM_MAGDY!M728</f>
        <v>0</v>
      </c>
      <c r="I728" s="57">
        <f t="shared" si="22"/>
        <v>0</v>
      </c>
      <c r="J728" s="57" t="str">
        <f t="shared" si="23"/>
        <v>POTENCJAŁ</v>
      </c>
    </row>
    <row r="729" spans="1:10" x14ac:dyDescent="0.25">
      <c r="A729" s="57" t="str">
        <f>IF(CRM_MAGDY!H729="","","CRM-"&amp;TEXT(ROW()-4,"0000"))</f>
        <v>CRM-0725</v>
      </c>
      <c r="B729" s="57">
        <f>CRM_MAGDY!E729</f>
        <v>0</v>
      </c>
      <c r="C729" s="57">
        <f>CRM_MAGDY!H729</f>
        <v>6165</v>
      </c>
      <c r="D729" s="57">
        <f>CRM_MAGDY!I729</f>
        <v>0</v>
      </c>
      <c r="E729" s="57">
        <f>IFERROR(VALUE(CRM_MAGDY!K729),0)</f>
        <v>0</v>
      </c>
      <c r="F729" s="57">
        <f>IFERROR(IF(CRM_MAGDY!L729&gt;1,CRM_MAGDY!L729/100,CRM_MAGDY!L729),0)</f>
        <v>0</v>
      </c>
      <c r="G729" s="57">
        <f>CRM_MAGDY!N729</f>
        <v>0</v>
      </c>
      <c r="H729" s="57">
        <f>CRM_MAGDY!M729</f>
        <v>0</v>
      </c>
      <c r="I729" s="57">
        <f t="shared" si="22"/>
        <v>0</v>
      </c>
      <c r="J729" s="57" t="str">
        <f t="shared" si="23"/>
        <v>POTENCJAŁ</v>
      </c>
    </row>
    <row r="730" spans="1:10" x14ac:dyDescent="0.25">
      <c r="A730" s="57" t="str">
        <f>IF(CRM_MAGDY!H730="","","CRM-"&amp;TEXT(ROW()-4,"0000"))</f>
        <v>CRM-0726</v>
      </c>
      <c r="B730" s="57">
        <f>CRM_MAGDY!E730</f>
        <v>0</v>
      </c>
      <c r="C730" s="57">
        <f>CRM_MAGDY!H730</f>
        <v>6166</v>
      </c>
      <c r="D730" s="57">
        <f>CRM_MAGDY!I730</f>
        <v>0</v>
      </c>
      <c r="E730" s="57">
        <f>IFERROR(VALUE(CRM_MAGDY!K730),0)</f>
        <v>0</v>
      </c>
      <c r="F730" s="57">
        <f>IFERROR(IF(CRM_MAGDY!L730&gt;1,CRM_MAGDY!L730/100,CRM_MAGDY!L730),0)</f>
        <v>0</v>
      </c>
      <c r="G730" s="57">
        <f>CRM_MAGDY!N730</f>
        <v>0</v>
      </c>
      <c r="H730" s="57">
        <f>CRM_MAGDY!M730</f>
        <v>0</v>
      </c>
      <c r="I730" s="57">
        <f t="shared" si="22"/>
        <v>0</v>
      </c>
      <c r="J730" s="57" t="str">
        <f t="shared" si="23"/>
        <v>POTENCJAŁ</v>
      </c>
    </row>
    <row r="731" spans="1:10" x14ac:dyDescent="0.25">
      <c r="A731" s="57" t="str">
        <f>IF(CRM_MAGDY!H731="","","CRM-"&amp;TEXT(ROW()-4,"0000"))</f>
        <v>CRM-0727</v>
      </c>
      <c r="B731" s="57">
        <f>CRM_MAGDY!E731</f>
        <v>0</v>
      </c>
      <c r="C731" s="57">
        <f>CRM_MAGDY!H731</f>
        <v>6167</v>
      </c>
      <c r="D731" s="57">
        <f>CRM_MAGDY!I731</f>
        <v>0</v>
      </c>
      <c r="E731" s="57">
        <f>IFERROR(VALUE(CRM_MAGDY!K731),0)</f>
        <v>0</v>
      </c>
      <c r="F731" s="57">
        <f>IFERROR(IF(CRM_MAGDY!L731&gt;1,CRM_MAGDY!L731/100,CRM_MAGDY!L731),0)</f>
        <v>0</v>
      </c>
      <c r="G731" s="57">
        <f>CRM_MAGDY!N731</f>
        <v>0</v>
      </c>
      <c r="H731" s="57">
        <f>CRM_MAGDY!M731</f>
        <v>0</v>
      </c>
      <c r="I731" s="57">
        <f t="shared" si="22"/>
        <v>0</v>
      </c>
      <c r="J731" s="57" t="str">
        <f t="shared" si="23"/>
        <v>POTENCJAŁ</v>
      </c>
    </row>
    <row r="732" spans="1:10" x14ac:dyDescent="0.25">
      <c r="A732" s="57" t="str">
        <f>IF(CRM_MAGDY!H732="","","CRM-"&amp;TEXT(ROW()-4,"0000"))</f>
        <v>CRM-0728</v>
      </c>
      <c r="B732" s="57">
        <f>CRM_MAGDY!E732</f>
        <v>0</v>
      </c>
      <c r="C732" s="57">
        <f>CRM_MAGDY!H732</f>
        <v>6168</v>
      </c>
      <c r="D732" s="57">
        <f>CRM_MAGDY!I732</f>
        <v>0</v>
      </c>
      <c r="E732" s="57">
        <f>IFERROR(VALUE(CRM_MAGDY!K732),0)</f>
        <v>0</v>
      </c>
      <c r="F732" s="57">
        <f>IFERROR(IF(CRM_MAGDY!L732&gt;1,CRM_MAGDY!L732/100,CRM_MAGDY!L732),0)</f>
        <v>0</v>
      </c>
      <c r="G732" s="57">
        <f>CRM_MAGDY!N732</f>
        <v>0</v>
      </c>
      <c r="H732" s="57">
        <f>CRM_MAGDY!M732</f>
        <v>0</v>
      </c>
      <c r="I732" s="57">
        <f t="shared" si="22"/>
        <v>0</v>
      </c>
      <c r="J732" s="57" t="str">
        <f t="shared" si="23"/>
        <v>POTENCJAŁ</v>
      </c>
    </row>
    <row r="733" spans="1:10" x14ac:dyDescent="0.25">
      <c r="A733" s="57" t="str">
        <f>IF(CRM_MAGDY!H733="","","CRM-"&amp;TEXT(ROW()-4,"0000"))</f>
        <v>CRM-0729</v>
      </c>
      <c r="B733" s="57">
        <f>CRM_MAGDY!E733</f>
        <v>0</v>
      </c>
      <c r="C733" s="57">
        <f>CRM_MAGDY!H733</f>
        <v>6169</v>
      </c>
      <c r="D733" s="57">
        <f>CRM_MAGDY!I733</f>
        <v>0</v>
      </c>
      <c r="E733" s="57">
        <f>IFERROR(VALUE(CRM_MAGDY!K733),0)</f>
        <v>0</v>
      </c>
      <c r="F733" s="57">
        <f>IFERROR(IF(CRM_MAGDY!L733&gt;1,CRM_MAGDY!L733/100,CRM_MAGDY!L733),0)</f>
        <v>0</v>
      </c>
      <c r="G733" s="57">
        <f>CRM_MAGDY!N733</f>
        <v>0</v>
      </c>
      <c r="H733" s="57">
        <f>CRM_MAGDY!M733</f>
        <v>0</v>
      </c>
      <c r="I733" s="57">
        <f t="shared" si="22"/>
        <v>0</v>
      </c>
      <c r="J733" s="57" t="str">
        <f t="shared" si="23"/>
        <v>POTENCJAŁ</v>
      </c>
    </row>
    <row r="734" spans="1:10" x14ac:dyDescent="0.25">
      <c r="A734" s="57" t="str">
        <f>IF(CRM_MAGDY!H734="","","CRM-"&amp;TEXT(ROW()-4,"0000"))</f>
        <v>CRM-0730</v>
      </c>
      <c r="B734" s="57">
        <f>CRM_MAGDY!E734</f>
        <v>0</v>
      </c>
      <c r="C734" s="57">
        <f>CRM_MAGDY!H734</f>
        <v>6170</v>
      </c>
      <c r="D734" s="57">
        <f>CRM_MAGDY!I734</f>
        <v>0</v>
      </c>
      <c r="E734" s="57">
        <f>IFERROR(VALUE(CRM_MAGDY!K734),0)</f>
        <v>0</v>
      </c>
      <c r="F734" s="57">
        <f>IFERROR(IF(CRM_MAGDY!L734&gt;1,CRM_MAGDY!L734/100,CRM_MAGDY!L734),0)</f>
        <v>0</v>
      </c>
      <c r="G734" s="57">
        <f>CRM_MAGDY!N734</f>
        <v>0</v>
      </c>
      <c r="H734" s="57">
        <f>CRM_MAGDY!M734</f>
        <v>0</v>
      </c>
      <c r="I734" s="57">
        <f t="shared" si="22"/>
        <v>0</v>
      </c>
      <c r="J734" s="57" t="str">
        <f t="shared" si="23"/>
        <v>POTENCJAŁ</v>
      </c>
    </row>
    <row r="735" spans="1:10" x14ac:dyDescent="0.25">
      <c r="A735" s="57" t="str">
        <f>IF(CRM_MAGDY!H735="","","CRM-"&amp;TEXT(ROW()-4,"0000"))</f>
        <v>CRM-0731</v>
      </c>
      <c r="B735" s="57">
        <f>CRM_MAGDY!E735</f>
        <v>0</v>
      </c>
      <c r="C735" s="57">
        <f>CRM_MAGDY!H735</f>
        <v>6171</v>
      </c>
      <c r="D735" s="57">
        <f>CRM_MAGDY!I735</f>
        <v>0</v>
      </c>
      <c r="E735" s="57">
        <f>IFERROR(VALUE(CRM_MAGDY!K735),0)</f>
        <v>0</v>
      </c>
      <c r="F735" s="57">
        <f>IFERROR(IF(CRM_MAGDY!L735&gt;1,CRM_MAGDY!L735/100,CRM_MAGDY!L735),0)</f>
        <v>0</v>
      </c>
      <c r="G735" s="57">
        <f>CRM_MAGDY!N735</f>
        <v>0</v>
      </c>
      <c r="H735" s="57">
        <f>CRM_MAGDY!M735</f>
        <v>0</v>
      </c>
      <c r="I735" s="57">
        <f t="shared" si="22"/>
        <v>0</v>
      </c>
      <c r="J735" s="57" t="str">
        <f t="shared" si="23"/>
        <v>POTENCJAŁ</v>
      </c>
    </row>
    <row r="736" spans="1:10" x14ac:dyDescent="0.25">
      <c r="A736" s="57" t="str">
        <f>IF(CRM_MAGDY!H736="","","CRM-"&amp;TEXT(ROW()-4,"0000"))</f>
        <v>CRM-0732</v>
      </c>
      <c r="B736" s="57">
        <f>CRM_MAGDY!E736</f>
        <v>0</v>
      </c>
      <c r="C736" s="57">
        <f>CRM_MAGDY!H736</f>
        <v>6172</v>
      </c>
      <c r="D736" s="57">
        <f>CRM_MAGDY!I736</f>
        <v>0</v>
      </c>
      <c r="E736" s="57">
        <f>IFERROR(VALUE(CRM_MAGDY!K736),0)</f>
        <v>0</v>
      </c>
      <c r="F736" s="57">
        <f>IFERROR(IF(CRM_MAGDY!L736&gt;1,CRM_MAGDY!L736/100,CRM_MAGDY!L736),0)</f>
        <v>0</v>
      </c>
      <c r="G736" s="57">
        <f>CRM_MAGDY!N736</f>
        <v>0</v>
      </c>
      <c r="H736" s="57">
        <f>CRM_MAGDY!M736</f>
        <v>0</v>
      </c>
      <c r="I736" s="57">
        <f t="shared" si="22"/>
        <v>0</v>
      </c>
      <c r="J736" s="57" t="str">
        <f t="shared" si="23"/>
        <v>POTENCJAŁ</v>
      </c>
    </row>
    <row r="737" spans="1:10" x14ac:dyDescent="0.25">
      <c r="A737" s="57" t="str">
        <f>IF(CRM_MAGDY!H737="","","CRM-"&amp;TEXT(ROW()-4,"0000"))</f>
        <v>CRM-0733</v>
      </c>
      <c r="B737" s="57">
        <f>CRM_MAGDY!E737</f>
        <v>0</v>
      </c>
      <c r="C737" s="57">
        <f>CRM_MAGDY!H737</f>
        <v>6173</v>
      </c>
      <c r="D737" s="57">
        <f>CRM_MAGDY!I737</f>
        <v>0</v>
      </c>
      <c r="E737" s="57">
        <f>IFERROR(VALUE(CRM_MAGDY!K737),0)</f>
        <v>0</v>
      </c>
      <c r="F737" s="57">
        <f>IFERROR(IF(CRM_MAGDY!L737&gt;1,CRM_MAGDY!L737/100,CRM_MAGDY!L737),0)</f>
        <v>0</v>
      </c>
      <c r="G737" s="57">
        <f>CRM_MAGDY!N737</f>
        <v>0</v>
      </c>
      <c r="H737" s="57">
        <f>CRM_MAGDY!M737</f>
        <v>0</v>
      </c>
      <c r="I737" s="57">
        <f t="shared" si="22"/>
        <v>0</v>
      </c>
      <c r="J737" s="57" t="str">
        <f t="shared" si="23"/>
        <v>POTENCJAŁ</v>
      </c>
    </row>
    <row r="738" spans="1:10" x14ac:dyDescent="0.25">
      <c r="A738" s="57" t="str">
        <f>IF(CRM_MAGDY!H738="","","CRM-"&amp;TEXT(ROW()-4,"0000"))</f>
        <v>CRM-0734</v>
      </c>
      <c r="B738" s="57">
        <f>CRM_MAGDY!E738</f>
        <v>0</v>
      </c>
      <c r="C738" s="57">
        <f>CRM_MAGDY!H738</f>
        <v>6174</v>
      </c>
      <c r="D738" s="57">
        <f>CRM_MAGDY!I738</f>
        <v>0</v>
      </c>
      <c r="E738" s="57">
        <f>IFERROR(VALUE(CRM_MAGDY!K738),0)</f>
        <v>0</v>
      </c>
      <c r="F738" s="57">
        <f>IFERROR(IF(CRM_MAGDY!L738&gt;1,CRM_MAGDY!L738/100,CRM_MAGDY!L738),0)</f>
        <v>0</v>
      </c>
      <c r="G738" s="57">
        <f>CRM_MAGDY!N738</f>
        <v>0</v>
      </c>
      <c r="H738" s="57">
        <f>CRM_MAGDY!M738</f>
        <v>0</v>
      </c>
      <c r="I738" s="57">
        <f t="shared" si="22"/>
        <v>0</v>
      </c>
      <c r="J738" s="57" t="str">
        <f t="shared" si="23"/>
        <v>POTENCJAŁ</v>
      </c>
    </row>
    <row r="739" spans="1:10" x14ac:dyDescent="0.25">
      <c r="A739" s="57" t="str">
        <f>IF(CRM_MAGDY!H739="","","CRM-"&amp;TEXT(ROW()-4,"0000"))</f>
        <v>CRM-0735</v>
      </c>
      <c r="B739" s="57">
        <f>CRM_MAGDY!E739</f>
        <v>0</v>
      </c>
      <c r="C739" s="57">
        <f>CRM_MAGDY!H739</f>
        <v>6175</v>
      </c>
      <c r="D739" s="57">
        <f>CRM_MAGDY!I739</f>
        <v>0</v>
      </c>
      <c r="E739" s="57">
        <f>IFERROR(VALUE(CRM_MAGDY!K739),0)</f>
        <v>0</v>
      </c>
      <c r="F739" s="57">
        <f>IFERROR(IF(CRM_MAGDY!L739&gt;1,CRM_MAGDY!L739/100,CRM_MAGDY!L739),0)</f>
        <v>0</v>
      </c>
      <c r="G739" s="57">
        <f>CRM_MAGDY!N739</f>
        <v>0</v>
      </c>
      <c r="H739" s="57">
        <f>CRM_MAGDY!M739</f>
        <v>0</v>
      </c>
      <c r="I739" s="57">
        <f t="shared" si="22"/>
        <v>0</v>
      </c>
      <c r="J739" s="57" t="str">
        <f t="shared" si="23"/>
        <v>POTENCJAŁ</v>
      </c>
    </row>
    <row r="740" spans="1:10" x14ac:dyDescent="0.25">
      <c r="A740" s="57" t="str">
        <f>IF(CRM_MAGDY!H740="","","CRM-"&amp;TEXT(ROW()-4,"0000"))</f>
        <v>CRM-0736</v>
      </c>
      <c r="B740" s="57">
        <f>CRM_MAGDY!E740</f>
        <v>0</v>
      </c>
      <c r="C740" s="57">
        <f>CRM_MAGDY!H740</f>
        <v>6176</v>
      </c>
      <c r="D740" s="57">
        <f>CRM_MAGDY!I740</f>
        <v>0</v>
      </c>
      <c r="E740" s="57">
        <f>IFERROR(VALUE(CRM_MAGDY!K740),0)</f>
        <v>0</v>
      </c>
      <c r="F740" s="57">
        <f>IFERROR(IF(CRM_MAGDY!L740&gt;1,CRM_MAGDY!L740/100,CRM_MAGDY!L740),0)</f>
        <v>0</v>
      </c>
      <c r="G740" s="57">
        <f>CRM_MAGDY!N740</f>
        <v>0</v>
      </c>
      <c r="H740" s="57">
        <f>CRM_MAGDY!M740</f>
        <v>0</v>
      </c>
      <c r="I740" s="57">
        <f t="shared" si="22"/>
        <v>0</v>
      </c>
      <c r="J740" s="57" t="str">
        <f t="shared" si="23"/>
        <v>POTENCJAŁ</v>
      </c>
    </row>
    <row r="741" spans="1:10" x14ac:dyDescent="0.25">
      <c r="A741" s="57" t="str">
        <f>IF(CRM_MAGDY!H741="","","CRM-"&amp;TEXT(ROW()-4,"0000"))</f>
        <v>CRM-0737</v>
      </c>
      <c r="B741" s="57">
        <f>CRM_MAGDY!E741</f>
        <v>0</v>
      </c>
      <c r="C741" s="57">
        <f>CRM_MAGDY!H741</f>
        <v>6177</v>
      </c>
      <c r="D741" s="57">
        <f>CRM_MAGDY!I741</f>
        <v>0</v>
      </c>
      <c r="E741" s="57">
        <f>IFERROR(VALUE(CRM_MAGDY!K741),0)</f>
        <v>0</v>
      </c>
      <c r="F741" s="57">
        <f>IFERROR(IF(CRM_MAGDY!L741&gt;1,CRM_MAGDY!L741/100,CRM_MAGDY!L741),0)</f>
        <v>0</v>
      </c>
      <c r="G741" s="57">
        <f>CRM_MAGDY!N741</f>
        <v>0</v>
      </c>
      <c r="H741" s="57">
        <f>CRM_MAGDY!M741</f>
        <v>0</v>
      </c>
      <c r="I741" s="57">
        <f t="shared" si="22"/>
        <v>0</v>
      </c>
      <c r="J741" s="57" t="str">
        <f t="shared" si="23"/>
        <v>POTENCJAŁ</v>
      </c>
    </row>
    <row r="742" spans="1:10" x14ac:dyDescent="0.25">
      <c r="A742" s="57" t="str">
        <f>IF(CRM_MAGDY!H742="","","CRM-"&amp;TEXT(ROW()-4,"0000"))</f>
        <v>CRM-0738</v>
      </c>
      <c r="B742" s="57">
        <f>CRM_MAGDY!E742</f>
        <v>0</v>
      </c>
      <c r="C742" s="57">
        <f>CRM_MAGDY!H742</f>
        <v>6178</v>
      </c>
      <c r="D742" s="57">
        <f>CRM_MAGDY!I742</f>
        <v>0</v>
      </c>
      <c r="E742" s="57">
        <f>IFERROR(VALUE(CRM_MAGDY!K742),0)</f>
        <v>0</v>
      </c>
      <c r="F742" s="57">
        <f>IFERROR(IF(CRM_MAGDY!L742&gt;1,CRM_MAGDY!L742/100,CRM_MAGDY!L742),0)</f>
        <v>0</v>
      </c>
      <c r="G742" s="57">
        <f>CRM_MAGDY!N742</f>
        <v>0</v>
      </c>
      <c r="H742" s="57">
        <f>CRM_MAGDY!M742</f>
        <v>0</v>
      </c>
      <c r="I742" s="57">
        <f t="shared" si="22"/>
        <v>0</v>
      </c>
      <c r="J742" s="57" t="str">
        <f t="shared" si="23"/>
        <v>POTENCJAŁ</v>
      </c>
    </row>
    <row r="743" spans="1:10" x14ac:dyDescent="0.25">
      <c r="A743" s="57" t="str">
        <f>IF(CRM_MAGDY!H743="","","CRM-"&amp;TEXT(ROW()-4,"0000"))</f>
        <v>CRM-0739</v>
      </c>
      <c r="B743" s="57">
        <f>CRM_MAGDY!E743</f>
        <v>0</v>
      </c>
      <c r="C743" s="57">
        <f>CRM_MAGDY!H743</f>
        <v>6179</v>
      </c>
      <c r="D743" s="57">
        <f>CRM_MAGDY!I743</f>
        <v>0</v>
      </c>
      <c r="E743" s="57">
        <f>IFERROR(VALUE(CRM_MAGDY!K743),0)</f>
        <v>0</v>
      </c>
      <c r="F743" s="57">
        <f>IFERROR(IF(CRM_MAGDY!L743&gt;1,CRM_MAGDY!L743/100,CRM_MAGDY!L743),0)</f>
        <v>0</v>
      </c>
      <c r="G743" s="57">
        <f>CRM_MAGDY!N743</f>
        <v>0</v>
      </c>
      <c r="H743" s="57">
        <f>CRM_MAGDY!M743</f>
        <v>0</v>
      </c>
      <c r="I743" s="57">
        <f t="shared" si="22"/>
        <v>0</v>
      </c>
      <c r="J743" s="57" t="str">
        <f t="shared" si="23"/>
        <v>POTENCJAŁ</v>
      </c>
    </row>
    <row r="744" spans="1:10" x14ac:dyDescent="0.25">
      <c r="A744" s="57" t="str">
        <f>IF(CRM_MAGDY!H744="","","CRM-"&amp;TEXT(ROW()-4,"0000"))</f>
        <v>CRM-0740</v>
      </c>
      <c r="B744" s="57">
        <f>CRM_MAGDY!E744</f>
        <v>0</v>
      </c>
      <c r="C744" s="57">
        <f>CRM_MAGDY!H744</f>
        <v>6180</v>
      </c>
      <c r="D744" s="57">
        <f>CRM_MAGDY!I744</f>
        <v>0</v>
      </c>
      <c r="E744" s="57">
        <f>IFERROR(VALUE(CRM_MAGDY!K744),0)</f>
        <v>0</v>
      </c>
      <c r="F744" s="57">
        <f>IFERROR(IF(CRM_MAGDY!L744&gt;1,CRM_MAGDY!L744/100,CRM_MAGDY!L744),0)</f>
        <v>0</v>
      </c>
      <c r="G744" s="57">
        <f>CRM_MAGDY!N744</f>
        <v>0</v>
      </c>
      <c r="H744" s="57">
        <f>CRM_MAGDY!M744</f>
        <v>0</v>
      </c>
      <c r="I744" s="57">
        <f t="shared" si="22"/>
        <v>0</v>
      </c>
      <c r="J744" s="57" t="str">
        <f t="shared" si="23"/>
        <v>POTENCJAŁ</v>
      </c>
    </row>
    <row r="745" spans="1:10" x14ac:dyDescent="0.25">
      <c r="A745" s="57" t="str">
        <f>IF(CRM_MAGDY!H745="","","CRM-"&amp;TEXT(ROW()-4,"0000"))</f>
        <v>CRM-0741</v>
      </c>
      <c r="B745" s="57">
        <f>CRM_MAGDY!E745</f>
        <v>0</v>
      </c>
      <c r="C745" s="57">
        <f>CRM_MAGDY!H745</f>
        <v>6181</v>
      </c>
      <c r="D745" s="57">
        <f>CRM_MAGDY!I745</f>
        <v>0</v>
      </c>
      <c r="E745" s="57">
        <f>IFERROR(VALUE(CRM_MAGDY!K745),0)</f>
        <v>0</v>
      </c>
      <c r="F745" s="57">
        <f>IFERROR(IF(CRM_MAGDY!L745&gt;1,CRM_MAGDY!L745/100,CRM_MAGDY!L745),0)</f>
        <v>0</v>
      </c>
      <c r="G745" s="57">
        <f>CRM_MAGDY!N745</f>
        <v>0</v>
      </c>
      <c r="H745" s="57">
        <f>CRM_MAGDY!M745</f>
        <v>0</v>
      </c>
      <c r="I745" s="57">
        <f t="shared" si="22"/>
        <v>0</v>
      </c>
      <c r="J745" s="57" t="str">
        <f t="shared" si="23"/>
        <v>POTENCJAŁ</v>
      </c>
    </row>
    <row r="746" spans="1:10" x14ac:dyDescent="0.25">
      <c r="A746" s="57" t="str">
        <f>IF(CRM_MAGDY!H746="","","CRM-"&amp;TEXT(ROW()-4,"0000"))</f>
        <v>CRM-0742</v>
      </c>
      <c r="B746" s="57">
        <f>CRM_MAGDY!E746</f>
        <v>0</v>
      </c>
      <c r="C746" s="57">
        <f>CRM_MAGDY!H746</f>
        <v>6182</v>
      </c>
      <c r="D746" s="57">
        <f>CRM_MAGDY!I746</f>
        <v>0</v>
      </c>
      <c r="E746" s="57">
        <f>IFERROR(VALUE(CRM_MAGDY!K746),0)</f>
        <v>0</v>
      </c>
      <c r="F746" s="57">
        <f>IFERROR(IF(CRM_MAGDY!L746&gt;1,CRM_MAGDY!L746/100,CRM_MAGDY!L746),0)</f>
        <v>0</v>
      </c>
      <c r="G746" s="57">
        <f>CRM_MAGDY!N746</f>
        <v>0</v>
      </c>
      <c r="H746" s="57">
        <f>CRM_MAGDY!M746</f>
        <v>0</v>
      </c>
      <c r="I746" s="57">
        <f t="shared" si="22"/>
        <v>0</v>
      </c>
      <c r="J746" s="57" t="str">
        <f t="shared" si="23"/>
        <v>POTENCJAŁ</v>
      </c>
    </row>
    <row r="747" spans="1:10" x14ac:dyDescent="0.25">
      <c r="A747" s="57" t="str">
        <f>IF(CRM_MAGDY!H747="","","CRM-"&amp;TEXT(ROW()-4,"0000"))</f>
        <v>CRM-0743</v>
      </c>
      <c r="B747" s="57">
        <f>CRM_MAGDY!E747</f>
        <v>0</v>
      </c>
      <c r="C747" s="57">
        <f>CRM_MAGDY!H747</f>
        <v>6183</v>
      </c>
      <c r="D747" s="57">
        <f>CRM_MAGDY!I747</f>
        <v>0</v>
      </c>
      <c r="E747" s="57">
        <f>IFERROR(VALUE(CRM_MAGDY!K747),0)</f>
        <v>0</v>
      </c>
      <c r="F747" s="57">
        <f>IFERROR(IF(CRM_MAGDY!L747&gt;1,CRM_MAGDY!L747/100,CRM_MAGDY!L747),0)</f>
        <v>0</v>
      </c>
      <c r="G747" s="57">
        <f>CRM_MAGDY!N747</f>
        <v>0</v>
      </c>
      <c r="H747" s="57">
        <f>CRM_MAGDY!M747</f>
        <v>0</v>
      </c>
      <c r="I747" s="57">
        <f t="shared" si="22"/>
        <v>0</v>
      </c>
      <c r="J747" s="57" t="str">
        <f t="shared" si="23"/>
        <v>POTENCJAŁ</v>
      </c>
    </row>
    <row r="748" spans="1:10" x14ac:dyDescent="0.25">
      <c r="A748" s="57" t="str">
        <f>IF(CRM_MAGDY!H748="","","CRM-"&amp;TEXT(ROW()-4,"0000"))</f>
        <v>CRM-0744</v>
      </c>
      <c r="B748" s="57">
        <f>CRM_MAGDY!E748</f>
        <v>0</v>
      </c>
      <c r="C748" s="57">
        <f>CRM_MAGDY!H748</f>
        <v>6184</v>
      </c>
      <c r="D748" s="57">
        <f>CRM_MAGDY!I748</f>
        <v>0</v>
      </c>
      <c r="E748" s="57">
        <f>IFERROR(VALUE(CRM_MAGDY!K748),0)</f>
        <v>0</v>
      </c>
      <c r="F748" s="57">
        <f>IFERROR(IF(CRM_MAGDY!L748&gt;1,CRM_MAGDY!L748/100,CRM_MAGDY!L748),0)</f>
        <v>0</v>
      </c>
      <c r="G748" s="57">
        <f>CRM_MAGDY!N748</f>
        <v>0</v>
      </c>
      <c r="H748" s="57">
        <f>CRM_MAGDY!M748</f>
        <v>0</v>
      </c>
      <c r="I748" s="57">
        <f t="shared" si="22"/>
        <v>0</v>
      </c>
      <c r="J748" s="57" t="str">
        <f t="shared" si="23"/>
        <v>POTENCJAŁ</v>
      </c>
    </row>
    <row r="749" spans="1:10" x14ac:dyDescent="0.25">
      <c r="A749" s="57" t="str">
        <f>IF(CRM_MAGDY!H749="","","CRM-"&amp;TEXT(ROW()-4,"0000"))</f>
        <v>CRM-0745</v>
      </c>
      <c r="B749" s="57">
        <f>CRM_MAGDY!E749</f>
        <v>0</v>
      </c>
      <c r="C749" s="57">
        <f>CRM_MAGDY!H749</f>
        <v>6185</v>
      </c>
      <c r="D749" s="57">
        <f>CRM_MAGDY!I749</f>
        <v>0</v>
      </c>
      <c r="E749" s="57">
        <f>IFERROR(VALUE(CRM_MAGDY!K749),0)</f>
        <v>0</v>
      </c>
      <c r="F749" s="57">
        <f>IFERROR(IF(CRM_MAGDY!L749&gt;1,CRM_MAGDY!L749/100,CRM_MAGDY!L749),0)</f>
        <v>0</v>
      </c>
      <c r="G749" s="57">
        <f>CRM_MAGDY!N749</f>
        <v>0</v>
      </c>
      <c r="H749" s="57">
        <f>CRM_MAGDY!M749</f>
        <v>0</v>
      </c>
      <c r="I749" s="57">
        <f t="shared" si="22"/>
        <v>0</v>
      </c>
      <c r="J749" s="57" t="str">
        <f t="shared" si="23"/>
        <v>POTENCJAŁ</v>
      </c>
    </row>
    <row r="750" spans="1:10" x14ac:dyDescent="0.25">
      <c r="A750" s="57" t="str">
        <f>IF(CRM_MAGDY!H750="","","CRM-"&amp;TEXT(ROW()-4,"0000"))</f>
        <v>CRM-0746</v>
      </c>
      <c r="B750" s="57">
        <f>CRM_MAGDY!E750</f>
        <v>0</v>
      </c>
      <c r="C750" s="57">
        <f>CRM_MAGDY!H750</f>
        <v>6186</v>
      </c>
      <c r="D750" s="57">
        <f>CRM_MAGDY!I750</f>
        <v>0</v>
      </c>
      <c r="E750" s="57">
        <f>IFERROR(VALUE(CRM_MAGDY!K750),0)</f>
        <v>0</v>
      </c>
      <c r="F750" s="57">
        <f>IFERROR(IF(CRM_MAGDY!L750&gt;1,CRM_MAGDY!L750/100,CRM_MAGDY!L750),0)</f>
        <v>0</v>
      </c>
      <c r="G750" s="57">
        <f>CRM_MAGDY!N750</f>
        <v>0</v>
      </c>
      <c r="H750" s="57">
        <f>CRM_MAGDY!M750</f>
        <v>0</v>
      </c>
      <c r="I750" s="57">
        <f t="shared" si="22"/>
        <v>0</v>
      </c>
      <c r="J750" s="57" t="str">
        <f t="shared" si="23"/>
        <v>POTENCJAŁ</v>
      </c>
    </row>
    <row r="751" spans="1:10" x14ac:dyDescent="0.25">
      <c r="A751" s="57" t="str">
        <f>IF(CRM_MAGDY!H751="","","CRM-"&amp;TEXT(ROW()-4,"0000"))</f>
        <v>CRM-0747</v>
      </c>
      <c r="B751" s="57">
        <f>CRM_MAGDY!E751</f>
        <v>0</v>
      </c>
      <c r="C751" s="57">
        <f>CRM_MAGDY!H751</f>
        <v>6187</v>
      </c>
      <c r="D751" s="57">
        <f>CRM_MAGDY!I751</f>
        <v>0</v>
      </c>
      <c r="E751" s="57">
        <f>IFERROR(VALUE(CRM_MAGDY!K751),0)</f>
        <v>0</v>
      </c>
      <c r="F751" s="57">
        <f>IFERROR(IF(CRM_MAGDY!L751&gt;1,CRM_MAGDY!L751/100,CRM_MAGDY!L751),0)</f>
        <v>0</v>
      </c>
      <c r="G751" s="57">
        <f>CRM_MAGDY!N751</f>
        <v>0</v>
      </c>
      <c r="H751" s="57">
        <f>CRM_MAGDY!M751</f>
        <v>0</v>
      </c>
      <c r="I751" s="57">
        <f t="shared" si="22"/>
        <v>0</v>
      </c>
      <c r="J751" s="57" t="str">
        <f t="shared" si="23"/>
        <v>POTENCJAŁ</v>
      </c>
    </row>
    <row r="752" spans="1:10" x14ac:dyDescent="0.25">
      <c r="A752" s="57" t="str">
        <f>IF(CRM_MAGDY!H752="","","CRM-"&amp;TEXT(ROW()-4,"0000"))</f>
        <v>CRM-0748</v>
      </c>
      <c r="B752" s="57">
        <f>CRM_MAGDY!E752</f>
        <v>0</v>
      </c>
      <c r="C752" s="57">
        <f>CRM_MAGDY!H752</f>
        <v>6188</v>
      </c>
      <c r="D752" s="57">
        <f>CRM_MAGDY!I752</f>
        <v>0</v>
      </c>
      <c r="E752" s="57">
        <f>IFERROR(VALUE(CRM_MAGDY!K752),0)</f>
        <v>0</v>
      </c>
      <c r="F752" s="57">
        <f>IFERROR(IF(CRM_MAGDY!L752&gt;1,CRM_MAGDY!L752/100,CRM_MAGDY!L752),0)</f>
        <v>0</v>
      </c>
      <c r="G752" s="57">
        <f>CRM_MAGDY!N752</f>
        <v>0</v>
      </c>
      <c r="H752" s="57">
        <f>CRM_MAGDY!M752</f>
        <v>0</v>
      </c>
      <c r="I752" s="57">
        <f t="shared" si="22"/>
        <v>0</v>
      </c>
      <c r="J752" s="57" t="str">
        <f t="shared" si="23"/>
        <v>POTENCJAŁ</v>
      </c>
    </row>
    <row r="753" spans="1:10" x14ac:dyDescent="0.25">
      <c r="A753" s="57" t="str">
        <f>IF(CRM_MAGDY!H753="","","CRM-"&amp;TEXT(ROW()-4,"0000"))</f>
        <v>CRM-0749</v>
      </c>
      <c r="B753" s="57">
        <f>CRM_MAGDY!E753</f>
        <v>0</v>
      </c>
      <c r="C753" s="57">
        <f>CRM_MAGDY!H753</f>
        <v>6189</v>
      </c>
      <c r="D753" s="57">
        <f>CRM_MAGDY!I753</f>
        <v>0</v>
      </c>
      <c r="E753" s="57">
        <f>IFERROR(VALUE(CRM_MAGDY!K753),0)</f>
        <v>0</v>
      </c>
      <c r="F753" s="57">
        <f>IFERROR(IF(CRM_MAGDY!L753&gt;1,CRM_MAGDY!L753/100,CRM_MAGDY!L753),0)</f>
        <v>0</v>
      </c>
      <c r="G753" s="57">
        <f>CRM_MAGDY!N753</f>
        <v>0</v>
      </c>
      <c r="H753" s="57">
        <f>CRM_MAGDY!M753</f>
        <v>0</v>
      </c>
      <c r="I753" s="57">
        <f t="shared" si="22"/>
        <v>0</v>
      </c>
      <c r="J753" s="57" t="str">
        <f t="shared" si="23"/>
        <v>POTENCJAŁ</v>
      </c>
    </row>
    <row r="754" spans="1:10" x14ac:dyDescent="0.25">
      <c r="A754" s="57" t="str">
        <f>IF(CRM_MAGDY!H754="","","CRM-"&amp;TEXT(ROW()-4,"0000"))</f>
        <v>CRM-0750</v>
      </c>
      <c r="B754" s="57">
        <f>CRM_MAGDY!E754</f>
        <v>0</v>
      </c>
      <c r="C754" s="57">
        <f>CRM_MAGDY!H754</f>
        <v>6190</v>
      </c>
      <c r="D754" s="57">
        <f>CRM_MAGDY!I754</f>
        <v>0</v>
      </c>
      <c r="E754" s="57">
        <f>IFERROR(VALUE(CRM_MAGDY!K754),0)</f>
        <v>0</v>
      </c>
      <c r="F754" s="57">
        <f>IFERROR(IF(CRM_MAGDY!L754&gt;1,CRM_MAGDY!L754/100,CRM_MAGDY!L754),0)</f>
        <v>0</v>
      </c>
      <c r="G754" s="57">
        <f>CRM_MAGDY!N754</f>
        <v>0</v>
      </c>
      <c r="H754" s="57">
        <f>CRM_MAGDY!M754</f>
        <v>0</v>
      </c>
      <c r="I754" s="57">
        <f t="shared" si="22"/>
        <v>0</v>
      </c>
      <c r="J754" s="57" t="str">
        <f t="shared" si="23"/>
        <v>POTENCJAŁ</v>
      </c>
    </row>
    <row r="755" spans="1:10" x14ac:dyDescent="0.25">
      <c r="A755" s="57" t="str">
        <f>IF(CRM_MAGDY!H755="","","CRM-"&amp;TEXT(ROW()-4,"0000"))</f>
        <v>CRM-0751</v>
      </c>
      <c r="B755" s="57">
        <f>CRM_MAGDY!E755</f>
        <v>0</v>
      </c>
      <c r="C755" s="57">
        <f>CRM_MAGDY!H755</f>
        <v>6191</v>
      </c>
      <c r="D755" s="57">
        <f>CRM_MAGDY!I755</f>
        <v>0</v>
      </c>
      <c r="E755" s="57">
        <f>IFERROR(VALUE(CRM_MAGDY!K755),0)</f>
        <v>0</v>
      </c>
      <c r="F755" s="57">
        <f>IFERROR(IF(CRM_MAGDY!L755&gt;1,CRM_MAGDY!L755/100,CRM_MAGDY!L755),0)</f>
        <v>0</v>
      </c>
      <c r="G755" s="57">
        <f>CRM_MAGDY!N755</f>
        <v>0</v>
      </c>
      <c r="H755" s="57">
        <f>CRM_MAGDY!M755</f>
        <v>0</v>
      </c>
      <c r="I755" s="57">
        <f t="shared" si="22"/>
        <v>0</v>
      </c>
      <c r="J755" s="57" t="str">
        <f t="shared" si="23"/>
        <v>POTENCJAŁ</v>
      </c>
    </row>
    <row r="756" spans="1:10" x14ac:dyDescent="0.25">
      <c r="A756" s="57" t="str">
        <f>IF(CRM_MAGDY!H756="","","CRM-"&amp;TEXT(ROW()-4,"0000"))</f>
        <v>CRM-0752</v>
      </c>
      <c r="B756" s="57">
        <f>CRM_MAGDY!E756</f>
        <v>0</v>
      </c>
      <c r="C756" s="57">
        <f>CRM_MAGDY!H756</f>
        <v>6192</v>
      </c>
      <c r="D756" s="57">
        <f>CRM_MAGDY!I756</f>
        <v>0</v>
      </c>
      <c r="E756" s="57">
        <f>IFERROR(VALUE(CRM_MAGDY!K756),0)</f>
        <v>0</v>
      </c>
      <c r="F756" s="57">
        <f>IFERROR(IF(CRM_MAGDY!L756&gt;1,CRM_MAGDY!L756/100,CRM_MAGDY!L756),0)</f>
        <v>0</v>
      </c>
      <c r="G756" s="57">
        <f>CRM_MAGDY!N756</f>
        <v>0</v>
      </c>
      <c r="H756" s="57">
        <f>CRM_MAGDY!M756</f>
        <v>0</v>
      </c>
      <c r="I756" s="57">
        <f t="shared" si="22"/>
        <v>0</v>
      </c>
      <c r="J756" s="57" t="str">
        <f t="shared" si="23"/>
        <v>POTENCJAŁ</v>
      </c>
    </row>
    <row r="757" spans="1:10" x14ac:dyDescent="0.25">
      <c r="A757" s="57" t="str">
        <f>IF(CRM_MAGDY!H757="","","CRM-"&amp;TEXT(ROW()-4,"0000"))</f>
        <v>CRM-0753</v>
      </c>
      <c r="B757" s="57">
        <f>CRM_MAGDY!E757</f>
        <v>0</v>
      </c>
      <c r="C757" s="57">
        <f>CRM_MAGDY!H757</f>
        <v>6193</v>
      </c>
      <c r="D757" s="57">
        <f>CRM_MAGDY!I757</f>
        <v>0</v>
      </c>
      <c r="E757" s="57">
        <f>IFERROR(VALUE(CRM_MAGDY!K757),0)</f>
        <v>0</v>
      </c>
      <c r="F757" s="57">
        <f>IFERROR(IF(CRM_MAGDY!L757&gt;1,CRM_MAGDY!L757/100,CRM_MAGDY!L757),0)</f>
        <v>0</v>
      </c>
      <c r="G757" s="57">
        <f>CRM_MAGDY!N757</f>
        <v>0</v>
      </c>
      <c r="H757" s="57">
        <f>CRM_MAGDY!M757</f>
        <v>0</v>
      </c>
      <c r="I757" s="57">
        <f t="shared" si="22"/>
        <v>0</v>
      </c>
      <c r="J757" s="57" t="str">
        <f t="shared" si="23"/>
        <v>POTENCJAŁ</v>
      </c>
    </row>
    <row r="758" spans="1:10" x14ac:dyDescent="0.25">
      <c r="A758" s="57" t="str">
        <f>IF(CRM_MAGDY!H758="","","CRM-"&amp;TEXT(ROW()-4,"0000"))</f>
        <v>CRM-0754</v>
      </c>
      <c r="B758" s="57">
        <f>CRM_MAGDY!E758</f>
        <v>0</v>
      </c>
      <c r="C758" s="57">
        <f>CRM_MAGDY!H758</f>
        <v>6194</v>
      </c>
      <c r="D758" s="57">
        <f>CRM_MAGDY!I758</f>
        <v>0</v>
      </c>
      <c r="E758" s="57">
        <f>IFERROR(VALUE(CRM_MAGDY!K758),0)</f>
        <v>0</v>
      </c>
      <c r="F758" s="57">
        <f>IFERROR(IF(CRM_MAGDY!L758&gt;1,CRM_MAGDY!L758/100,CRM_MAGDY!L758),0)</f>
        <v>0</v>
      </c>
      <c r="G758" s="57">
        <f>CRM_MAGDY!N758</f>
        <v>0</v>
      </c>
      <c r="H758" s="57">
        <f>CRM_MAGDY!M758</f>
        <v>0</v>
      </c>
      <c r="I758" s="57">
        <f t="shared" si="22"/>
        <v>0</v>
      </c>
      <c r="J758" s="57" t="str">
        <f t="shared" si="23"/>
        <v>POTENCJAŁ</v>
      </c>
    </row>
    <row r="759" spans="1:10" x14ac:dyDescent="0.25">
      <c r="A759" s="57" t="str">
        <f>IF(CRM_MAGDY!H759="","","CRM-"&amp;TEXT(ROW()-4,"0000"))</f>
        <v>CRM-0755</v>
      </c>
      <c r="B759" s="57">
        <f>CRM_MAGDY!E759</f>
        <v>0</v>
      </c>
      <c r="C759" s="57">
        <f>CRM_MAGDY!H759</f>
        <v>6195</v>
      </c>
      <c r="D759" s="57">
        <f>CRM_MAGDY!I759</f>
        <v>0</v>
      </c>
      <c r="E759" s="57">
        <f>IFERROR(VALUE(CRM_MAGDY!K759),0)</f>
        <v>0</v>
      </c>
      <c r="F759" s="57">
        <f>IFERROR(IF(CRM_MAGDY!L759&gt;1,CRM_MAGDY!L759/100,CRM_MAGDY!L759),0)</f>
        <v>0</v>
      </c>
      <c r="G759" s="57">
        <f>CRM_MAGDY!N759</f>
        <v>0</v>
      </c>
      <c r="H759" s="57">
        <f>CRM_MAGDY!M759</f>
        <v>0</v>
      </c>
      <c r="I759" s="57">
        <f t="shared" si="22"/>
        <v>0</v>
      </c>
      <c r="J759" s="57" t="str">
        <f t="shared" si="23"/>
        <v>POTENCJAŁ</v>
      </c>
    </row>
    <row r="760" spans="1:10" x14ac:dyDescent="0.25">
      <c r="A760" s="57" t="str">
        <f>IF(CRM_MAGDY!H760="","","CRM-"&amp;TEXT(ROW()-4,"0000"))</f>
        <v>CRM-0756</v>
      </c>
      <c r="B760" s="57">
        <f>CRM_MAGDY!E760</f>
        <v>0</v>
      </c>
      <c r="C760" s="57">
        <f>CRM_MAGDY!H760</f>
        <v>6196</v>
      </c>
      <c r="D760" s="57">
        <f>CRM_MAGDY!I760</f>
        <v>0</v>
      </c>
      <c r="E760" s="57">
        <f>IFERROR(VALUE(CRM_MAGDY!K760),0)</f>
        <v>0</v>
      </c>
      <c r="F760" s="57">
        <f>IFERROR(IF(CRM_MAGDY!L760&gt;1,CRM_MAGDY!L760/100,CRM_MAGDY!L760),0)</f>
        <v>0</v>
      </c>
      <c r="G760" s="57">
        <f>CRM_MAGDY!N760</f>
        <v>0</v>
      </c>
      <c r="H760" s="57">
        <f>CRM_MAGDY!M760</f>
        <v>0</v>
      </c>
      <c r="I760" s="57">
        <f t="shared" si="22"/>
        <v>0</v>
      </c>
      <c r="J760" s="57" t="str">
        <f t="shared" si="23"/>
        <v>POTENCJAŁ</v>
      </c>
    </row>
    <row r="761" spans="1:10" x14ac:dyDescent="0.25">
      <c r="A761" s="57" t="str">
        <f>IF(CRM_MAGDY!H761="","","CRM-"&amp;TEXT(ROW()-4,"0000"))</f>
        <v>CRM-0757</v>
      </c>
      <c r="B761" s="57">
        <f>CRM_MAGDY!E761</f>
        <v>0</v>
      </c>
      <c r="C761" s="57">
        <f>CRM_MAGDY!H761</f>
        <v>6197</v>
      </c>
      <c r="D761" s="57">
        <f>CRM_MAGDY!I761</f>
        <v>0</v>
      </c>
      <c r="E761" s="57">
        <f>IFERROR(VALUE(CRM_MAGDY!K761),0)</f>
        <v>0</v>
      </c>
      <c r="F761" s="57">
        <f>IFERROR(IF(CRM_MAGDY!L761&gt;1,CRM_MAGDY!L761/100,CRM_MAGDY!L761),0)</f>
        <v>0</v>
      </c>
      <c r="G761" s="57">
        <f>CRM_MAGDY!N761</f>
        <v>0</v>
      </c>
      <c r="H761" s="57">
        <f>CRM_MAGDY!M761</f>
        <v>0</v>
      </c>
      <c r="I761" s="57">
        <f t="shared" si="22"/>
        <v>0</v>
      </c>
      <c r="J761" s="57" t="str">
        <f t="shared" si="23"/>
        <v>POTENCJAŁ</v>
      </c>
    </row>
    <row r="762" spans="1:10" x14ac:dyDescent="0.25">
      <c r="A762" s="57" t="str">
        <f>IF(CRM_MAGDY!H762="","","CRM-"&amp;TEXT(ROW()-4,"0000"))</f>
        <v>CRM-0758</v>
      </c>
      <c r="B762" s="57">
        <f>CRM_MAGDY!E762</f>
        <v>0</v>
      </c>
      <c r="C762" s="57">
        <f>CRM_MAGDY!H762</f>
        <v>6198</v>
      </c>
      <c r="D762" s="57">
        <f>CRM_MAGDY!I762</f>
        <v>0</v>
      </c>
      <c r="E762" s="57">
        <f>IFERROR(VALUE(CRM_MAGDY!K762),0)</f>
        <v>0</v>
      </c>
      <c r="F762" s="57">
        <f>IFERROR(IF(CRM_MAGDY!L762&gt;1,CRM_MAGDY!L762/100,CRM_MAGDY!L762),0)</f>
        <v>0</v>
      </c>
      <c r="G762" s="57">
        <f>CRM_MAGDY!N762</f>
        <v>0</v>
      </c>
      <c r="H762" s="57">
        <f>CRM_MAGDY!M762</f>
        <v>0</v>
      </c>
      <c r="I762" s="57">
        <f t="shared" si="22"/>
        <v>0</v>
      </c>
      <c r="J762" s="57" t="str">
        <f t="shared" si="23"/>
        <v>POTENCJAŁ</v>
      </c>
    </row>
    <row r="763" spans="1:10" x14ac:dyDescent="0.25">
      <c r="A763" s="57" t="str">
        <f>IF(CRM_MAGDY!H763="","","CRM-"&amp;TEXT(ROW()-4,"0000"))</f>
        <v>CRM-0759</v>
      </c>
      <c r="B763" s="57">
        <f>CRM_MAGDY!E763</f>
        <v>0</v>
      </c>
      <c r="C763" s="57">
        <f>CRM_MAGDY!H763</f>
        <v>6199</v>
      </c>
      <c r="D763" s="57">
        <f>CRM_MAGDY!I763</f>
        <v>0</v>
      </c>
      <c r="E763" s="57">
        <f>IFERROR(VALUE(CRM_MAGDY!K763),0)</f>
        <v>0</v>
      </c>
      <c r="F763" s="57">
        <f>IFERROR(IF(CRM_MAGDY!L763&gt;1,CRM_MAGDY!L763/100,CRM_MAGDY!L763),0)</f>
        <v>0</v>
      </c>
      <c r="G763" s="57">
        <f>CRM_MAGDY!N763</f>
        <v>0</v>
      </c>
      <c r="H763" s="57">
        <f>CRM_MAGDY!M763</f>
        <v>0</v>
      </c>
      <c r="I763" s="57">
        <f t="shared" si="22"/>
        <v>0</v>
      </c>
      <c r="J763" s="57" t="str">
        <f t="shared" si="23"/>
        <v>POTENCJAŁ</v>
      </c>
    </row>
    <row r="764" spans="1:10" x14ac:dyDescent="0.25">
      <c r="A764" s="57" t="str">
        <f>IF(CRM_MAGDY!H764="","","CRM-"&amp;TEXT(ROW()-4,"0000"))</f>
        <v>CRM-0760</v>
      </c>
      <c r="B764" s="57">
        <f>CRM_MAGDY!E764</f>
        <v>0</v>
      </c>
      <c r="C764" s="57">
        <f>CRM_MAGDY!H764</f>
        <v>6200</v>
      </c>
      <c r="D764" s="57">
        <f>CRM_MAGDY!I764</f>
        <v>0</v>
      </c>
      <c r="E764" s="57">
        <f>IFERROR(VALUE(CRM_MAGDY!K764),0)</f>
        <v>0</v>
      </c>
      <c r="F764" s="57">
        <f>IFERROR(IF(CRM_MAGDY!L764&gt;1,CRM_MAGDY!L764/100,CRM_MAGDY!L764),0)</f>
        <v>0</v>
      </c>
      <c r="G764" s="57">
        <f>CRM_MAGDY!N764</f>
        <v>0</v>
      </c>
      <c r="H764" s="57">
        <f>CRM_MAGDY!M764</f>
        <v>0</v>
      </c>
      <c r="I764" s="57">
        <f t="shared" si="22"/>
        <v>0</v>
      </c>
      <c r="J764" s="57" t="str">
        <f t="shared" si="23"/>
        <v>POTENCJAŁ</v>
      </c>
    </row>
    <row r="765" spans="1:10" x14ac:dyDescent="0.25">
      <c r="A765" s="57" t="str">
        <f>IF(CRM_MAGDY!H765="","","CRM-"&amp;TEXT(ROW()-4,"0000"))</f>
        <v>CRM-0761</v>
      </c>
      <c r="B765" s="57">
        <f>CRM_MAGDY!E765</f>
        <v>0</v>
      </c>
      <c r="C765" s="57">
        <f>CRM_MAGDY!H765</f>
        <v>6201</v>
      </c>
      <c r="D765" s="57">
        <f>CRM_MAGDY!I765</f>
        <v>0</v>
      </c>
      <c r="E765" s="57">
        <f>IFERROR(VALUE(CRM_MAGDY!K765),0)</f>
        <v>0</v>
      </c>
      <c r="F765" s="57">
        <f>IFERROR(IF(CRM_MAGDY!L765&gt;1,CRM_MAGDY!L765/100,CRM_MAGDY!L765),0)</f>
        <v>0</v>
      </c>
      <c r="G765" s="57">
        <f>CRM_MAGDY!N765</f>
        <v>0</v>
      </c>
      <c r="H765" s="57">
        <f>CRM_MAGDY!M765</f>
        <v>0</v>
      </c>
      <c r="I765" s="57">
        <f t="shared" si="22"/>
        <v>0</v>
      </c>
      <c r="J765" s="57" t="str">
        <f t="shared" si="23"/>
        <v>POTENCJAŁ</v>
      </c>
    </row>
    <row r="766" spans="1:10" x14ac:dyDescent="0.25">
      <c r="A766" s="57" t="str">
        <f>IF(CRM_MAGDY!H766="","","CRM-"&amp;TEXT(ROW()-4,"0000"))</f>
        <v>CRM-0762</v>
      </c>
      <c r="B766" s="57">
        <f>CRM_MAGDY!E766</f>
        <v>0</v>
      </c>
      <c r="C766" s="57">
        <f>CRM_MAGDY!H766</f>
        <v>6202</v>
      </c>
      <c r="D766" s="57">
        <f>CRM_MAGDY!I766</f>
        <v>0</v>
      </c>
      <c r="E766" s="57">
        <f>IFERROR(VALUE(CRM_MAGDY!K766),0)</f>
        <v>0</v>
      </c>
      <c r="F766" s="57">
        <f>IFERROR(IF(CRM_MAGDY!L766&gt;1,CRM_MAGDY!L766/100,CRM_MAGDY!L766),0)</f>
        <v>0</v>
      </c>
      <c r="G766" s="57">
        <f>CRM_MAGDY!N766</f>
        <v>0</v>
      </c>
      <c r="H766" s="57">
        <f>CRM_MAGDY!M766</f>
        <v>0</v>
      </c>
      <c r="I766" s="57">
        <f t="shared" si="22"/>
        <v>0</v>
      </c>
      <c r="J766" s="57" t="str">
        <f t="shared" si="23"/>
        <v>POTENCJAŁ</v>
      </c>
    </row>
    <row r="767" spans="1:10" x14ac:dyDescent="0.25">
      <c r="A767" s="57" t="str">
        <f>IF(CRM_MAGDY!H767="","","CRM-"&amp;TEXT(ROW()-4,"0000"))</f>
        <v>CRM-0763</v>
      </c>
      <c r="B767" s="57">
        <f>CRM_MAGDY!E767</f>
        <v>0</v>
      </c>
      <c r="C767" s="57">
        <f>CRM_MAGDY!H767</f>
        <v>6203</v>
      </c>
      <c r="D767" s="57">
        <f>CRM_MAGDY!I767</f>
        <v>0</v>
      </c>
      <c r="E767" s="57">
        <f>IFERROR(VALUE(CRM_MAGDY!K767),0)</f>
        <v>0</v>
      </c>
      <c r="F767" s="57">
        <f>IFERROR(IF(CRM_MAGDY!L767&gt;1,CRM_MAGDY!L767/100,CRM_MAGDY!L767),0)</f>
        <v>0</v>
      </c>
      <c r="G767" s="57">
        <f>CRM_MAGDY!N767</f>
        <v>0</v>
      </c>
      <c r="H767" s="57">
        <f>CRM_MAGDY!M767</f>
        <v>0</v>
      </c>
      <c r="I767" s="57">
        <f t="shared" si="22"/>
        <v>0</v>
      </c>
      <c r="J767" s="57" t="str">
        <f t="shared" si="23"/>
        <v>POTENCJAŁ</v>
      </c>
    </row>
    <row r="768" spans="1:10" x14ac:dyDescent="0.25">
      <c r="A768" s="57" t="str">
        <f>IF(CRM_MAGDY!H768="","","CRM-"&amp;TEXT(ROW()-4,"0000"))</f>
        <v>CRM-0764</v>
      </c>
      <c r="B768" s="57">
        <f>CRM_MAGDY!E768</f>
        <v>0</v>
      </c>
      <c r="C768" s="57">
        <f>CRM_MAGDY!H768</f>
        <v>6204</v>
      </c>
      <c r="D768" s="57">
        <f>CRM_MAGDY!I768</f>
        <v>0</v>
      </c>
      <c r="E768" s="57">
        <f>IFERROR(VALUE(CRM_MAGDY!K768),0)</f>
        <v>0</v>
      </c>
      <c r="F768" s="57">
        <f>IFERROR(IF(CRM_MAGDY!L768&gt;1,CRM_MAGDY!L768/100,CRM_MAGDY!L768),0)</f>
        <v>0</v>
      </c>
      <c r="G768" s="57">
        <f>CRM_MAGDY!N768</f>
        <v>0</v>
      </c>
      <c r="H768" s="57">
        <f>CRM_MAGDY!M768</f>
        <v>0</v>
      </c>
      <c r="I768" s="57">
        <f t="shared" si="22"/>
        <v>0</v>
      </c>
      <c r="J768" s="57" t="str">
        <f t="shared" si="23"/>
        <v>POTENCJAŁ</v>
      </c>
    </row>
    <row r="769" spans="1:10" x14ac:dyDescent="0.25">
      <c r="A769" s="57" t="str">
        <f>IF(CRM_MAGDY!H769="","","CRM-"&amp;TEXT(ROW()-4,"0000"))</f>
        <v>CRM-0765</v>
      </c>
      <c r="B769" s="57">
        <f>CRM_MAGDY!E769</f>
        <v>0</v>
      </c>
      <c r="C769" s="57">
        <f>CRM_MAGDY!H769</f>
        <v>6205</v>
      </c>
      <c r="D769" s="57">
        <f>CRM_MAGDY!I769</f>
        <v>0</v>
      </c>
      <c r="E769" s="57">
        <f>IFERROR(VALUE(CRM_MAGDY!K769),0)</f>
        <v>0</v>
      </c>
      <c r="F769" s="57">
        <f>IFERROR(IF(CRM_MAGDY!L769&gt;1,CRM_MAGDY!L769/100,CRM_MAGDY!L769),0)</f>
        <v>0</v>
      </c>
      <c r="G769" s="57">
        <f>CRM_MAGDY!N769</f>
        <v>0</v>
      </c>
      <c r="H769" s="57">
        <f>CRM_MAGDY!M769</f>
        <v>0</v>
      </c>
      <c r="I769" s="57">
        <f t="shared" si="22"/>
        <v>0</v>
      </c>
      <c r="J769" s="57" t="str">
        <f t="shared" si="23"/>
        <v>POTENCJAŁ</v>
      </c>
    </row>
    <row r="770" spans="1:10" x14ac:dyDescent="0.25">
      <c r="A770" s="57" t="str">
        <f>IF(CRM_MAGDY!H770="","","CRM-"&amp;TEXT(ROW()-4,"0000"))</f>
        <v>CRM-0766</v>
      </c>
      <c r="B770" s="57">
        <f>CRM_MAGDY!E770</f>
        <v>0</v>
      </c>
      <c r="C770" s="57">
        <f>CRM_MAGDY!H770</f>
        <v>6206</v>
      </c>
      <c r="D770" s="57">
        <f>CRM_MAGDY!I770</f>
        <v>0</v>
      </c>
      <c r="E770" s="57">
        <f>IFERROR(VALUE(CRM_MAGDY!K770),0)</f>
        <v>0</v>
      </c>
      <c r="F770" s="57">
        <f>IFERROR(IF(CRM_MAGDY!L770&gt;1,CRM_MAGDY!L770/100,CRM_MAGDY!L770),0)</f>
        <v>0</v>
      </c>
      <c r="G770" s="57">
        <f>CRM_MAGDY!N770</f>
        <v>0</v>
      </c>
      <c r="H770" s="57">
        <f>CRM_MAGDY!M770</f>
        <v>0</v>
      </c>
      <c r="I770" s="57">
        <f t="shared" si="22"/>
        <v>0</v>
      </c>
      <c r="J770" s="57" t="str">
        <f t="shared" si="23"/>
        <v>POTENCJAŁ</v>
      </c>
    </row>
    <row r="771" spans="1:10" x14ac:dyDescent="0.25">
      <c r="A771" s="57" t="str">
        <f>IF(CRM_MAGDY!H771="","","CRM-"&amp;TEXT(ROW()-4,"0000"))</f>
        <v>CRM-0767</v>
      </c>
      <c r="B771" s="57">
        <f>CRM_MAGDY!E771</f>
        <v>0</v>
      </c>
      <c r="C771" s="57">
        <f>CRM_MAGDY!H771</f>
        <v>6207</v>
      </c>
      <c r="D771" s="57">
        <f>CRM_MAGDY!I771</f>
        <v>0</v>
      </c>
      <c r="E771" s="57">
        <f>IFERROR(VALUE(CRM_MAGDY!K771),0)</f>
        <v>0</v>
      </c>
      <c r="F771" s="57">
        <f>IFERROR(IF(CRM_MAGDY!L771&gt;1,CRM_MAGDY!L771/100,CRM_MAGDY!L771),0)</f>
        <v>0</v>
      </c>
      <c r="G771" s="57">
        <f>CRM_MAGDY!N771</f>
        <v>0</v>
      </c>
      <c r="H771" s="57">
        <f>CRM_MAGDY!M771</f>
        <v>0</v>
      </c>
      <c r="I771" s="57">
        <f t="shared" si="22"/>
        <v>0</v>
      </c>
      <c r="J771" s="57" t="str">
        <f t="shared" si="23"/>
        <v>POTENCJAŁ</v>
      </c>
    </row>
    <row r="772" spans="1:10" x14ac:dyDescent="0.25">
      <c r="A772" s="57" t="str">
        <f>IF(CRM_MAGDY!H772="","","CRM-"&amp;TEXT(ROW()-4,"0000"))</f>
        <v>CRM-0768</v>
      </c>
      <c r="B772" s="57">
        <f>CRM_MAGDY!E772</f>
        <v>0</v>
      </c>
      <c r="C772" s="57">
        <f>CRM_MAGDY!H772</f>
        <v>6208</v>
      </c>
      <c r="D772" s="57">
        <f>CRM_MAGDY!I772</f>
        <v>0</v>
      </c>
      <c r="E772" s="57">
        <f>IFERROR(VALUE(CRM_MAGDY!K772),0)</f>
        <v>0</v>
      </c>
      <c r="F772" s="57">
        <f>IFERROR(IF(CRM_MAGDY!L772&gt;1,CRM_MAGDY!L772/100,CRM_MAGDY!L772),0)</f>
        <v>0</v>
      </c>
      <c r="G772" s="57">
        <f>CRM_MAGDY!N772</f>
        <v>0</v>
      </c>
      <c r="H772" s="57">
        <f>CRM_MAGDY!M772</f>
        <v>0</v>
      </c>
      <c r="I772" s="57">
        <f t="shared" si="22"/>
        <v>0</v>
      </c>
      <c r="J772" s="57" t="str">
        <f t="shared" si="23"/>
        <v>POTENCJAŁ</v>
      </c>
    </row>
    <row r="773" spans="1:10" x14ac:dyDescent="0.25">
      <c r="A773" s="57" t="str">
        <f>IF(CRM_MAGDY!H773="","","CRM-"&amp;TEXT(ROW()-4,"0000"))</f>
        <v>CRM-0769</v>
      </c>
      <c r="B773" s="57">
        <f>CRM_MAGDY!E773</f>
        <v>0</v>
      </c>
      <c r="C773" s="57">
        <f>CRM_MAGDY!H773</f>
        <v>6209</v>
      </c>
      <c r="D773" s="57">
        <f>CRM_MAGDY!I773</f>
        <v>0</v>
      </c>
      <c r="E773" s="57">
        <f>IFERROR(VALUE(CRM_MAGDY!K773),0)</f>
        <v>0</v>
      </c>
      <c r="F773" s="57">
        <f>IFERROR(IF(CRM_MAGDY!L773&gt;1,CRM_MAGDY!L773/100,CRM_MAGDY!L773),0)</f>
        <v>0</v>
      </c>
      <c r="G773" s="57">
        <f>CRM_MAGDY!N773</f>
        <v>0</v>
      </c>
      <c r="H773" s="57">
        <f>CRM_MAGDY!M773</f>
        <v>0</v>
      </c>
      <c r="I773" s="57">
        <f t="shared" ref="I773:I836" si="24">IF(OR(G773="WYGRANA",G773="PRZEGRANA"),0,E773*F773)</f>
        <v>0</v>
      </c>
      <c r="J773" s="57" t="str">
        <f t="shared" ref="J773:J836" si="25">IF(F773&gt;=0.7,"PEWNY",IF(F773&gt;=0.3,"REALNY","POTENCJAŁ"))</f>
        <v>POTENCJAŁ</v>
      </c>
    </row>
    <row r="774" spans="1:10" x14ac:dyDescent="0.25">
      <c r="A774" s="57" t="str">
        <f>IF(CRM_MAGDY!H774="","","CRM-"&amp;TEXT(ROW()-4,"0000"))</f>
        <v>CRM-0770</v>
      </c>
      <c r="B774" s="57">
        <f>CRM_MAGDY!E774</f>
        <v>0</v>
      </c>
      <c r="C774" s="57">
        <f>CRM_MAGDY!H774</f>
        <v>6210</v>
      </c>
      <c r="D774" s="57">
        <f>CRM_MAGDY!I774</f>
        <v>0</v>
      </c>
      <c r="E774" s="57">
        <f>IFERROR(VALUE(CRM_MAGDY!K774),0)</f>
        <v>0</v>
      </c>
      <c r="F774" s="57">
        <f>IFERROR(IF(CRM_MAGDY!L774&gt;1,CRM_MAGDY!L774/100,CRM_MAGDY!L774),0)</f>
        <v>0</v>
      </c>
      <c r="G774" s="57">
        <f>CRM_MAGDY!N774</f>
        <v>0</v>
      </c>
      <c r="H774" s="57">
        <f>CRM_MAGDY!M774</f>
        <v>0</v>
      </c>
      <c r="I774" s="57">
        <f t="shared" si="24"/>
        <v>0</v>
      </c>
      <c r="J774" s="57" t="str">
        <f t="shared" si="25"/>
        <v>POTENCJAŁ</v>
      </c>
    </row>
    <row r="775" spans="1:10" x14ac:dyDescent="0.25">
      <c r="A775" s="57" t="str">
        <f>IF(CRM_MAGDY!H775="","","CRM-"&amp;TEXT(ROW()-4,"0000"))</f>
        <v>CRM-0771</v>
      </c>
      <c r="B775" s="57">
        <f>CRM_MAGDY!E775</f>
        <v>0</v>
      </c>
      <c r="C775" s="57">
        <f>CRM_MAGDY!H775</f>
        <v>6211</v>
      </c>
      <c r="D775" s="57">
        <f>CRM_MAGDY!I775</f>
        <v>0</v>
      </c>
      <c r="E775" s="57">
        <f>IFERROR(VALUE(CRM_MAGDY!K775),0)</f>
        <v>0</v>
      </c>
      <c r="F775" s="57">
        <f>IFERROR(IF(CRM_MAGDY!L775&gt;1,CRM_MAGDY!L775/100,CRM_MAGDY!L775),0)</f>
        <v>0</v>
      </c>
      <c r="G775" s="57">
        <f>CRM_MAGDY!N775</f>
        <v>0</v>
      </c>
      <c r="H775" s="57">
        <f>CRM_MAGDY!M775</f>
        <v>0</v>
      </c>
      <c r="I775" s="57">
        <f t="shared" si="24"/>
        <v>0</v>
      </c>
      <c r="J775" s="57" t="str">
        <f t="shared" si="25"/>
        <v>POTENCJAŁ</v>
      </c>
    </row>
    <row r="776" spans="1:10" x14ac:dyDescent="0.25">
      <c r="A776" s="57" t="str">
        <f>IF(CRM_MAGDY!H776="","","CRM-"&amp;TEXT(ROW()-4,"0000"))</f>
        <v>CRM-0772</v>
      </c>
      <c r="B776" s="57">
        <f>CRM_MAGDY!E776</f>
        <v>0</v>
      </c>
      <c r="C776" s="57">
        <f>CRM_MAGDY!H776</f>
        <v>6212</v>
      </c>
      <c r="D776" s="57">
        <f>CRM_MAGDY!I776</f>
        <v>0</v>
      </c>
      <c r="E776" s="57">
        <f>IFERROR(VALUE(CRM_MAGDY!K776),0)</f>
        <v>0</v>
      </c>
      <c r="F776" s="57">
        <f>IFERROR(IF(CRM_MAGDY!L776&gt;1,CRM_MAGDY!L776/100,CRM_MAGDY!L776),0)</f>
        <v>0</v>
      </c>
      <c r="G776" s="57">
        <f>CRM_MAGDY!N776</f>
        <v>0</v>
      </c>
      <c r="H776" s="57">
        <f>CRM_MAGDY!M776</f>
        <v>0</v>
      </c>
      <c r="I776" s="57">
        <f t="shared" si="24"/>
        <v>0</v>
      </c>
      <c r="J776" s="57" t="str">
        <f t="shared" si="25"/>
        <v>POTENCJAŁ</v>
      </c>
    </row>
    <row r="777" spans="1:10" x14ac:dyDescent="0.25">
      <c r="A777" s="57" t="str">
        <f>IF(CRM_MAGDY!H777="","","CRM-"&amp;TEXT(ROW()-4,"0000"))</f>
        <v>CRM-0773</v>
      </c>
      <c r="B777" s="57">
        <f>CRM_MAGDY!E777</f>
        <v>0</v>
      </c>
      <c r="C777" s="57">
        <f>CRM_MAGDY!H777</f>
        <v>6213</v>
      </c>
      <c r="D777" s="57">
        <f>CRM_MAGDY!I777</f>
        <v>0</v>
      </c>
      <c r="E777" s="57">
        <f>IFERROR(VALUE(CRM_MAGDY!K777),0)</f>
        <v>0</v>
      </c>
      <c r="F777" s="57">
        <f>IFERROR(IF(CRM_MAGDY!L777&gt;1,CRM_MAGDY!L777/100,CRM_MAGDY!L777),0)</f>
        <v>0</v>
      </c>
      <c r="G777" s="57">
        <f>CRM_MAGDY!N777</f>
        <v>0</v>
      </c>
      <c r="H777" s="57">
        <f>CRM_MAGDY!M777</f>
        <v>0</v>
      </c>
      <c r="I777" s="57">
        <f t="shared" si="24"/>
        <v>0</v>
      </c>
      <c r="J777" s="57" t="str">
        <f t="shared" si="25"/>
        <v>POTENCJAŁ</v>
      </c>
    </row>
    <row r="778" spans="1:10" x14ac:dyDescent="0.25">
      <c r="A778" s="57" t="str">
        <f>IF(CRM_MAGDY!H778="","","CRM-"&amp;TEXT(ROW()-4,"0000"))</f>
        <v>CRM-0774</v>
      </c>
      <c r="B778" s="57">
        <f>CRM_MAGDY!E778</f>
        <v>0</v>
      </c>
      <c r="C778" s="57">
        <f>CRM_MAGDY!H778</f>
        <v>6214</v>
      </c>
      <c r="D778" s="57">
        <f>CRM_MAGDY!I778</f>
        <v>0</v>
      </c>
      <c r="E778" s="57">
        <f>IFERROR(VALUE(CRM_MAGDY!K778),0)</f>
        <v>0</v>
      </c>
      <c r="F778" s="57">
        <f>IFERROR(IF(CRM_MAGDY!L778&gt;1,CRM_MAGDY!L778/100,CRM_MAGDY!L778),0)</f>
        <v>0</v>
      </c>
      <c r="G778" s="57">
        <f>CRM_MAGDY!N778</f>
        <v>0</v>
      </c>
      <c r="H778" s="57">
        <f>CRM_MAGDY!M778</f>
        <v>0</v>
      </c>
      <c r="I778" s="57">
        <f t="shared" si="24"/>
        <v>0</v>
      </c>
      <c r="J778" s="57" t="str">
        <f t="shared" si="25"/>
        <v>POTENCJAŁ</v>
      </c>
    </row>
    <row r="779" spans="1:10" x14ac:dyDescent="0.25">
      <c r="A779" s="57" t="str">
        <f>IF(CRM_MAGDY!H779="","","CRM-"&amp;TEXT(ROW()-4,"0000"))</f>
        <v>CRM-0775</v>
      </c>
      <c r="B779" s="57">
        <f>CRM_MAGDY!E779</f>
        <v>0</v>
      </c>
      <c r="C779" s="57">
        <f>CRM_MAGDY!H779</f>
        <v>6215</v>
      </c>
      <c r="D779" s="57">
        <f>CRM_MAGDY!I779</f>
        <v>0</v>
      </c>
      <c r="E779" s="57">
        <f>IFERROR(VALUE(CRM_MAGDY!K779),0)</f>
        <v>0</v>
      </c>
      <c r="F779" s="57">
        <f>IFERROR(IF(CRM_MAGDY!L779&gt;1,CRM_MAGDY!L779/100,CRM_MAGDY!L779),0)</f>
        <v>0</v>
      </c>
      <c r="G779" s="57">
        <f>CRM_MAGDY!N779</f>
        <v>0</v>
      </c>
      <c r="H779" s="57">
        <f>CRM_MAGDY!M779</f>
        <v>0</v>
      </c>
      <c r="I779" s="57">
        <f t="shared" si="24"/>
        <v>0</v>
      </c>
      <c r="J779" s="57" t="str">
        <f t="shared" si="25"/>
        <v>POTENCJAŁ</v>
      </c>
    </row>
    <row r="780" spans="1:10" x14ac:dyDescent="0.25">
      <c r="A780" s="57" t="str">
        <f>IF(CRM_MAGDY!H780="","","CRM-"&amp;TEXT(ROW()-4,"0000"))</f>
        <v>CRM-0776</v>
      </c>
      <c r="B780" s="57">
        <f>CRM_MAGDY!E780</f>
        <v>0</v>
      </c>
      <c r="C780" s="57">
        <f>CRM_MAGDY!H780</f>
        <v>6216</v>
      </c>
      <c r="D780" s="57">
        <f>CRM_MAGDY!I780</f>
        <v>0</v>
      </c>
      <c r="E780" s="57">
        <f>IFERROR(VALUE(CRM_MAGDY!K780),0)</f>
        <v>0</v>
      </c>
      <c r="F780" s="57">
        <f>IFERROR(IF(CRM_MAGDY!L780&gt;1,CRM_MAGDY!L780/100,CRM_MAGDY!L780),0)</f>
        <v>0</v>
      </c>
      <c r="G780" s="57">
        <f>CRM_MAGDY!N780</f>
        <v>0</v>
      </c>
      <c r="H780" s="57">
        <f>CRM_MAGDY!M780</f>
        <v>0</v>
      </c>
      <c r="I780" s="57">
        <f t="shared" si="24"/>
        <v>0</v>
      </c>
      <c r="J780" s="57" t="str">
        <f t="shared" si="25"/>
        <v>POTENCJAŁ</v>
      </c>
    </row>
    <row r="781" spans="1:10" x14ac:dyDescent="0.25">
      <c r="A781" s="57" t="str">
        <f>IF(CRM_MAGDY!H781="","","CRM-"&amp;TEXT(ROW()-4,"0000"))</f>
        <v>CRM-0777</v>
      </c>
      <c r="B781" s="57">
        <f>CRM_MAGDY!E781</f>
        <v>0</v>
      </c>
      <c r="C781" s="57">
        <f>CRM_MAGDY!H781</f>
        <v>6217</v>
      </c>
      <c r="D781" s="57">
        <f>CRM_MAGDY!I781</f>
        <v>0</v>
      </c>
      <c r="E781" s="57">
        <f>IFERROR(VALUE(CRM_MAGDY!K781),0)</f>
        <v>0</v>
      </c>
      <c r="F781" s="57">
        <f>IFERROR(IF(CRM_MAGDY!L781&gt;1,CRM_MAGDY!L781/100,CRM_MAGDY!L781),0)</f>
        <v>0</v>
      </c>
      <c r="G781" s="57">
        <f>CRM_MAGDY!N781</f>
        <v>0</v>
      </c>
      <c r="H781" s="57">
        <f>CRM_MAGDY!M781</f>
        <v>0</v>
      </c>
      <c r="I781" s="57">
        <f t="shared" si="24"/>
        <v>0</v>
      </c>
      <c r="J781" s="57" t="str">
        <f t="shared" si="25"/>
        <v>POTENCJAŁ</v>
      </c>
    </row>
    <row r="782" spans="1:10" x14ac:dyDescent="0.25">
      <c r="A782" s="57" t="str">
        <f>IF(CRM_MAGDY!H782="","","CRM-"&amp;TEXT(ROW()-4,"0000"))</f>
        <v>CRM-0778</v>
      </c>
      <c r="B782" s="57">
        <f>CRM_MAGDY!E782</f>
        <v>0</v>
      </c>
      <c r="C782" s="57">
        <f>CRM_MAGDY!H782</f>
        <v>6218</v>
      </c>
      <c r="D782" s="57">
        <f>CRM_MAGDY!I782</f>
        <v>0</v>
      </c>
      <c r="E782" s="57">
        <f>IFERROR(VALUE(CRM_MAGDY!K782),0)</f>
        <v>0</v>
      </c>
      <c r="F782" s="57">
        <f>IFERROR(IF(CRM_MAGDY!L782&gt;1,CRM_MAGDY!L782/100,CRM_MAGDY!L782),0)</f>
        <v>0</v>
      </c>
      <c r="G782" s="57">
        <f>CRM_MAGDY!N782</f>
        <v>0</v>
      </c>
      <c r="H782" s="57">
        <f>CRM_MAGDY!M782</f>
        <v>0</v>
      </c>
      <c r="I782" s="57">
        <f t="shared" si="24"/>
        <v>0</v>
      </c>
      <c r="J782" s="57" t="str">
        <f t="shared" si="25"/>
        <v>POTENCJAŁ</v>
      </c>
    </row>
    <row r="783" spans="1:10" x14ac:dyDescent="0.25">
      <c r="A783" s="57" t="str">
        <f>IF(CRM_MAGDY!H783="","","CRM-"&amp;TEXT(ROW()-4,"0000"))</f>
        <v>CRM-0779</v>
      </c>
      <c r="B783" s="57">
        <f>CRM_MAGDY!E783</f>
        <v>0</v>
      </c>
      <c r="C783" s="57">
        <f>CRM_MAGDY!H783</f>
        <v>6219</v>
      </c>
      <c r="D783" s="57">
        <f>CRM_MAGDY!I783</f>
        <v>0</v>
      </c>
      <c r="E783" s="57">
        <f>IFERROR(VALUE(CRM_MAGDY!K783),0)</f>
        <v>0</v>
      </c>
      <c r="F783" s="57">
        <f>IFERROR(IF(CRM_MAGDY!L783&gt;1,CRM_MAGDY!L783/100,CRM_MAGDY!L783),0)</f>
        <v>0</v>
      </c>
      <c r="G783" s="57">
        <f>CRM_MAGDY!N783</f>
        <v>0</v>
      </c>
      <c r="H783" s="57">
        <f>CRM_MAGDY!M783</f>
        <v>0</v>
      </c>
      <c r="I783" s="57">
        <f t="shared" si="24"/>
        <v>0</v>
      </c>
      <c r="J783" s="57" t="str">
        <f t="shared" si="25"/>
        <v>POTENCJAŁ</v>
      </c>
    </row>
    <row r="784" spans="1:10" x14ac:dyDescent="0.25">
      <c r="A784" s="57" t="str">
        <f>IF(CRM_MAGDY!H784="","","CRM-"&amp;TEXT(ROW()-4,"0000"))</f>
        <v>CRM-0780</v>
      </c>
      <c r="B784" s="57">
        <f>CRM_MAGDY!E784</f>
        <v>0</v>
      </c>
      <c r="C784" s="57">
        <f>CRM_MAGDY!H784</f>
        <v>6220</v>
      </c>
      <c r="D784" s="57">
        <f>CRM_MAGDY!I784</f>
        <v>0</v>
      </c>
      <c r="E784" s="57">
        <f>IFERROR(VALUE(CRM_MAGDY!K784),0)</f>
        <v>0</v>
      </c>
      <c r="F784" s="57">
        <f>IFERROR(IF(CRM_MAGDY!L784&gt;1,CRM_MAGDY!L784/100,CRM_MAGDY!L784),0)</f>
        <v>0</v>
      </c>
      <c r="G784" s="57">
        <f>CRM_MAGDY!N784</f>
        <v>0</v>
      </c>
      <c r="H784" s="57">
        <f>CRM_MAGDY!M784</f>
        <v>0</v>
      </c>
      <c r="I784" s="57">
        <f t="shared" si="24"/>
        <v>0</v>
      </c>
      <c r="J784" s="57" t="str">
        <f t="shared" si="25"/>
        <v>POTENCJAŁ</v>
      </c>
    </row>
    <row r="785" spans="1:10" x14ac:dyDescent="0.25">
      <c r="A785" s="57" t="str">
        <f>IF(CRM_MAGDY!H785="","","CRM-"&amp;TEXT(ROW()-4,"0000"))</f>
        <v>CRM-0781</v>
      </c>
      <c r="B785" s="57">
        <f>CRM_MAGDY!E785</f>
        <v>0</v>
      </c>
      <c r="C785" s="57">
        <f>CRM_MAGDY!H785</f>
        <v>6221</v>
      </c>
      <c r="D785" s="57">
        <f>CRM_MAGDY!I785</f>
        <v>0</v>
      </c>
      <c r="E785" s="57">
        <f>IFERROR(VALUE(CRM_MAGDY!K785),0)</f>
        <v>0</v>
      </c>
      <c r="F785" s="57">
        <f>IFERROR(IF(CRM_MAGDY!L785&gt;1,CRM_MAGDY!L785/100,CRM_MAGDY!L785),0)</f>
        <v>0</v>
      </c>
      <c r="G785" s="57">
        <f>CRM_MAGDY!N785</f>
        <v>0</v>
      </c>
      <c r="H785" s="57">
        <f>CRM_MAGDY!M785</f>
        <v>0</v>
      </c>
      <c r="I785" s="57">
        <f t="shared" si="24"/>
        <v>0</v>
      </c>
      <c r="J785" s="57" t="str">
        <f t="shared" si="25"/>
        <v>POTENCJAŁ</v>
      </c>
    </row>
    <row r="786" spans="1:10" x14ac:dyDescent="0.25">
      <c r="A786" s="57" t="str">
        <f>IF(CRM_MAGDY!H786="","","CRM-"&amp;TEXT(ROW()-4,"0000"))</f>
        <v>CRM-0782</v>
      </c>
      <c r="B786" s="57">
        <f>CRM_MAGDY!E786</f>
        <v>0</v>
      </c>
      <c r="C786" s="57">
        <f>CRM_MAGDY!H786</f>
        <v>6222</v>
      </c>
      <c r="D786" s="57">
        <f>CRM_MAGDY!I786</f>
        <v>0</v>
      </c>
      <c r="E786" s="57">
        <f>IFERROR(VALUE(CRM_MAGDY!K786),0)</f>
        <v>0</v>
      </c>
      <c r="F786" s="57">
        <f>IFERROR(IF(CRM_MAGDY!L786&gt;1,CRM_MAGDY!L786/100,CRM_MAGDY!L786),0)</f>
        <v>0</v>
      </c>
      <c r="G786" s="57">
        <f>CRM_MAGDY!N786</f>
        <v>0</v>
      </c>
      <c r="H786" s="57">
        <f>CRM_MAGDY!M786</f>
        <v>0</v>
      </c>
      <c r="I786" s="57">
        <f t="shared" si="24"/>
        <v>0</v>
      </c>
      <c r="J786" s="57" t="str">
        <f t="shared" si="25"/>
        <v>POTENCJAŁ</v>
      </c>
    </row>
    <row r="787" spans="1:10" x14ac:dyDescent="0.25">
      <c r="A787" s="57" t="str">
        <f>IF(CRM_MAGDY!H787="","","CRM-"&amp;TEXT(ROW()-4,"0000"))</f>
        <v>CRM-0783</v>
      </c>
      <c r="B787" s="57">
        <f>CRM_MAGDY!E787</f>
        <v>0</v>
      </c>
      <c r="C787" s="57">
        <f>CRM_MAGDY!H787</f>
        <v>6223</v>
      </c>
      <c r="D787" s="57">
        <f>CRM_MAGDY!I787</f>
        <v>0</v>
      </c>
      <c r="E787" s="57">
        <f>IFERROR(VALUE(CRM_MAGDY!K787),0)</f>
        <v>0</v>
      </c>
      <c r="F787" s="57">
        <f>IFERROR(IF(CRM_MAGDY!L787&gt;1,CRM_MAGDY!L787/100,CRM_MAGDY!L787),0)</f>
        <v>0</v>
      </c>
      <c r="G787" s="57">
        <f>CRM_MAGDY!N787</f>
        <v>0</v>
      </c>
      <c r="H787" s="57">
        <f>CRM_MAGDY!M787</f>
        <v>0</v>
      </c>
      <c r="I787" s="57">
        <f t="shared" si="24"/>
        <v>0</v>
      </c>
      <c r="J787" s="57" t="str">
        <f t="shared" si="25"/>
        <v>POTENCJAŁ</v>
      </c>
    </row>
    <row r="788" spans="1:10" x14ac:dyDescent="0.25">
      <c r="A788" s="57" t="str">
        <f>IF(CRM_MAGDY!H788="","","CRM-"&amp;TEXT(ROW()-4,"0000"))</f>
        <v>CRM-0784</v>
      </c>
      <c r="B788" s="57">
        <f>CRM_MAGDY!E788</f>
        <v>0</v>
      </c>
      <c r="C788" s="57">
        <f>CRM_MAGDY!H788</f>
        <v>6224</v>
      </c>
      <c r="D788" s="57">
        <f>CRM_MAGDY!I788</f>
        <v>0</v>
      </c>
      <c r="E788" s="57">
        <f>IFERROR(VALUE(CRM_MAGDY!K788),0)</f>
        <v>0</v>
      </c>
      <c r="F788" s="57">
        <f>IFERROR(IF(CRM_MAGDY!L788&gt;1,CRM_MAGDY!L788/100,CRM_MAGDY!L788),0)</f>
        <v>0</v>
      </c>
      <c r="G788" s="57">
        <f>CRM_MAGDY!N788</f>
        <v>0</v>
      </c>
      <c r="H788" s="57">
        <f>CRM_MAGDY!M788</f>
        <v>0</v>
      </c>
      <c r="I788" s="57">
        <f t="shared" si="24"/>
        <v>0</v>
      </c>
      <c r="J788" s="57" t="str">
        <f t="shared" si="25"/>
        <v>POTENCJAŁ</v>
      </c>
    </row>
    <row r="789" spans="1:10" x14ac:dyDescent="0.25">
      <c r="A789" s="57" t="str">
        <f>IF(CRM_MAGDY!H789="","","CRM-"&amp;TEXT(ROW()-4,"0000"))</f>
        <v>CRM-0785</v>
      </c>
      <c r="B789" s="57">
        <f>CRM_MAGDY!E789</f>
        <v>0</v>
      </c>
      <c r="C789" s="57">
        <f>CRM_MAGDY!H789</f>
        <v>6225</v>
      </c>
      <c r="D789" s="57">
        <f>CRM_MAGDY!I789</f>
        <v>0</v>
      </c>
      <c r="E789" s="57">
        <f>IFERROR(VALUE(CRM_MAGDY!K789),0)</f>
        <v>0</v>
      </c>
      <c r="F789" s="57">
        <f>IFERROR(IF(CRM_MAGDY!L789&gt;1,CRM_MAGDY!L789/100,CRM_MAGDY!L789),0)</f>
        <v>0</v>
      </c>
      <c r="G789" s="57">
        <f>CRM_MAGDY!N789</f>
        <v>0</v>
      </c>
      <c r="H789" s="57">
        <f>CRM_MAGDY!M789</f>
        <v>0</v>
      </c>
      <c r="I789" s="57">
        <f t="shared" si="24"/>
        <v>0</v>
      </c>
      <c r="J789" s="57" t="str">
        <f t="shared" si="25"/>
        <v>POTENCJAŁ</v>
      </c>
    </row>
    <row r="790" spans="1:10" x14ac:dyDescent="0.25">
      <c r="A790" s="57" t="str">
        <f>IF(CRM_MAGDY!H790="","","CRM-"&amp;TEXT(ROW()-4,"0000"))</f>
        <v>CRM-0786</v>
      </c>
      <c r="B790" s="57">
        <f>CRM_MAGDY!E790</f>
        <v>0</v>
      </c>
      <c r="C790" s="57">
        <f>CRM_MAGDY!H790</f>
        <v>6226</v>
      </c>
      <c r="D790" s="57">
        <f>CRM_MAGDY!I790</f>
        <v>0</v>
      </c>
      <c r="E790" s="57">
        <f>IFERROR(VALUE(CRM_MAGDY!K790),0)</f>
        <v>0</v>
      </c>
      <c r="F790" s="57">
        <f>IFERROR(IF(CRM_MAGDY!L790&gt;1,CRM_MAGDY!L790/100,CRM_MAGDY!L790),0)</f>
        <v>0</v>
      </c>
      <c r="G790" s="57">
        <f>CRM_MAGDY!N790</f>
        <v>0</v>
      </c>
      <c r="H790" s="57">
        <f>CRM_MAGDY!M790</f>
        <v>0</v>
      </c>
      <c r="I790" s="57">
        <f t="shared" si="24"/>
        <v>0</v>
      </c>
      <c r="J790" s="57" t="str">
        <f t="shared" si="25"/>
        <v>POTENCJAŁ</v>
      </c>
    </row>
    <row r="791" spans="1:10" x14ac:dyDescent="0.25">
      <c r="A791" s="57" t="str">
        <f>IF(CRM_MAGDY!H791="","","CRM-"&amp;TEXT(ROW()-4,"0000"))</f>
        <v>CRM-0787</v>
      </c>
      <c r="B791" s="57">
        <f>CRM_MAGDY!E791</f>
        <v>0</v>
      </c>
      <c r="C791" s="57">
        <f>CRM_MAGDY!H791</f>
        <v>6227</v>
      </c>
      <c r="D791" s="57">
        <f>CRM_MAGDY!I791</f>
        <v>0</v>
      </c>
      <c r="E791" s="57">
        <f>IFERROR(VALUE(CRM_MAGDY!K791),0)</f>
        <v>0</v>
      </c>
      <c r="F791" s="57">
        <f>IFERROR(IF(CRM_MAGDY!L791&gt;1,CRM_MAGDY!L791/100,CRM_MAGDY!L791),0)</f>
        <v>0</v>
      </c>
      <c r="G791" s="57">
        <f>CRM_MAGDY!N791</f>
        <v>0</v>
      </c>
      <c r="H791" s="57">
        <f>CRM_MAGDY!M791</f>
        <v>0</v>
      </c>
      <c r="I791" s="57">
        <f t="shared" si="24"/>
        <v>0</v>
      </c>
      <c r="J791" s="57" t="str">
        <f t="shared" si="25"/>
        <v>POTENCJAŁ</v>
      </c>
    </row>
    <row r="792" spans="1:10" x14ac:dyDescent="0.25">
      <c r="A792" s="57" t="str">
        <f>IF(CRM_MAGDY!H792="","","CRM-"&amp;TEXT(ROW()-4,"0000"))</f>
        <v>CRM-0788</v>
      </c>
      <c r="B792" s="57">
        <f>CRM_MAGDY!E792</f>
        <v>0</v>
      </c>
      <c r="C792" s="57">
        <f>CRM_MAGDY!H792</f>
        <v>6228</v>
      </c>
      <c r="D792" s="57">
        <f>CRM_MAGDY!I792</f>
        <v>0</v>
      </c>
      <c r="E792" s="57">
        <f>IFERROR(VALUE(CRM_MAGDY!K792),0)</f>
        <v>0</v>
      </c>
      <c r="F792" s="57">
        <f>IFERROR(IF(CRM_MAGDY!L792&gt;1,CRM_MAGDY!L792/100,CRM_MAGDY!L792),0)</f>
        <v>0</v>
      </c>
      <c r="G792" s="57">
        <f>CRM_MAGDY!N792</f>
        <v>0</v>
      </c>
      <c r="H792" s="57">
        <f>CRM_MAGDY!M792</f>
        <v>0</v>
      </c>
      <c r="I792" s="57">
        <f t="shared" si="24"/>
        <v>0</v>
      </c>
      <c r="J792" s="57" t="str">
        <f t="shared" si="25"/>
        <v>POTENCJAŁ</v>
      </c>
    </row>
    <row r="793" spans="1:10" x14ac:dyDescent="0.25">
      <c r="A793" s="57" t="str">
        <f>IF(CRM_MAGDY!H793="","","CRM-"&amp;TEXT(ROW()-4,"0000"))</f>
        <v>CRM-0789</v>
      </c>
      <c r="B793" s="57">
        <f>CRM_MAGDY!E793</f>
        <v>0</v>
      </c>
      <c r="C793" s="57">
        <f>CRM_MAGDY!H793</f>
        <v>6229</v>
      </c>
      <c r="D793" s="57">
        <f>CRM_MAGDY!I793</f>
        <v>0</v>
      </c>
      <c r="E793" s="57">
        <f>IFERROR(VALUE(CRM_MAGDY!K793),0)</f>
        <v>0</v>
      </c>
      <c r="F793" s="57">
        <f>IFERROR(IF(CRM_MAGDY!L793&gt;1,CRM_MAGDY!L793/100,CRM_MAGDY!L793),0)</f>
        <v>0</v>
      </c>
      <c r="G793" s="57">
        <f>CRM_MAGDY!N793</f>
        <v>0</v>
      </c>
      <c r="H793" s="57">
        <f>CRM_MAGDY!M793</f>
        <v>0</v>
      </c>
      <c r="I793" s="57">
        <f t="shared" si="24"/>
        <v>0</v>
      </c>
      <c r="J793" s="57" t="str">
        <f t="shared" si="25"/>
        <v>POTENCJAŁ</v>
      </c>
    </row>
    <row r="794" spans="1:10" x14ac:dyDescent="0.25">
      <c r="A794" s="57" t="str">
        <f>IF(CRM_MAGDY!H794="","","CRM-"&amp;TEXT(ROW()-4,"0000"))</f>
        <v>CRM-0790</v>
      </c>
      <c r="B794" s="57">
        <f>CRM_MAGDY!E794</f>
        <v>0</v>
      </c>
      <c r="C794" s="57">
        <f>CRM_MAGDY!H794</f>
        <v>6230</v>
      </c>
      <c r="D794" s="57">
        <f>CRM_MAGDY!I794</f>
        <v>0</v>
      </c>
      <c r="E794" s="57">
        <f>IFERROR(VALUE(CRM_MAGDY!K794),0)</f>
        <v>0</v>
      </c>
      <c r="F794" s="57">
        <f>IFERROR(IF(CRM_MAGDY!L794&gt;1,CRM_MAGDY!L794/100,CRM_MAGDY!L794),0)</f>
        <v>0</v>
      </c>
      <c r="G794" s="57">
        <f>CRM_MAGDY!N794</f>
        <v>0</v>
      </c>
      <c r="H794" s="57">
        <f>CRM_MAGDY!M794</f>
        <v>0</v>
      </c>
      <c r="I794" s="57">
        <f t="shared" si="24"/>
        <v>0</v>
      </c>
      <c r="J794" s="57" t="str">
        <f t="shared" si="25"/>
        <v>POTENCJAŁ</v>
      </c>
    </row>
    <row r="795" spans="1:10" x14ac:dyDescent="0.25">
      <c r="A795" s="57" t="str">
        <f>IF(CRM_MAGDY!H795="","","CRM-"&amp;TEXT(ROW()-4,"0000"))</f>
        <v>CRM-0791</v>
      </c>
      <c r="B795" s="57">
        <f>CRM_MAGDY!E795</f>
        <v>0</v>
      </c>
      <c r="C795" s="57">
        <f>CRM_MAGDY!H795</f>
        <v>6231</v>
      </c>
      <c r="D795" s="57">
        <f>CRM_MAGDY!I795</f>
        <v>0</v>
      </c>
      <c r="E795" s="57">
        <f>IFERROR(VALUE(CRM_MAGDY!K795),0)</f>
        <v>0</v>
      </c>
      <c r="F795" s="57">
        <f>IFERROR(IF(CRM_MAGDY!L795&gt;1,CRM_MAGDY!L795/100,CRM_MAGDY!L795),0)</f>
        <v>0</v>
      </c>
      <c r="G795" s="57">
        <f>CRM_MAGDY!N795</f>
        <v>0</v>
      </c>
      <c r="H795" s="57">
        <f>CRM_MAGDY!M795</f>
        <v>0</v>
      </c>
      <c r="I795" s="57">
        <f t="shared" si="24"/>
        <v>0</v>
      </c>
      <c r="J795" s="57" t="str">
        <f t="shared" si="25"/>
        <v>POTENCJAŁ</v>
      </c>
    </row>
    <row r="796" spans="1:10" x14ac:dyDescent="0.25">
      <c r="A796" s="57" t="str">
        <f>IF(CRM_MAGDY!H796="","","CRM-"&amp;TEXT(ROW()-4,"0000"))</f>
        <v>CRM-0792</v>
      </c>
      <c r="B796" s="57">
        <f>CRM_MAGDY!E796</f>
        <v>0</v>
      </c>
      <c r="C796" s="57">
        <f>CRM_MAGDY!H796</f>
        <v>6232</v>
      </c>
      <c r="D796" s="57">
        <f>CRM_MAGDY!I796</f>
        <v>0</v>
      </c>
      <c r="E796" s="57">
        <f>IFERROR(VALUE(CRM_MAGDY!K796),0)</f>
        <v>0</v>
      </c>
      <c r="F796" s="57">
        <f>IFERROR(IF(CRM_MAGDY!L796&gt;1,CRM_MAGDY!L796/100,CRM_MAGDY!L796),0)</f>
        <v>0</v>
      </c>
      <c r="G796" s="57">
        <f>CRM_MAGDY!N796</f>
        <v>0</v>
      </c>
      <c r="H796" s="57">
        <f>CRM_MAGDY!M796</f>
        <v>0</v>
      </c>
      <c r="I796" s="57">
        <f t="shared" si="24"/>
        <v>0</v>
      </c>
      <c r="J796" s="57" t="str">
        <f t="shared" si="25"/>
        <v>POTENCJAŁ</v>
      </c>
    </row>
    <row r="797" spans="1:10" x14ac:dyDescent="0.25">
      <c r="A797" s="57" t="str">
        <f>IF(CRM_MAGDY!H797="","","CRM-"&amp;TEXT(ROW()-4,"0000"))</f>
        <v>CRM-0793</v>
      </c>
      <c r="B797" s="57">
        <f>CRM_MAGDY!E797</f>
        <v>0</v>
      </c>
      <c r="C797" s="57">
        <f>CRM_MAGDY!H797</f>
        <v>6233</v>
      </c>
      <c r="D797" s="57">
        <f>CRM_MAGDY!I797</f>
        <v>0</v>
      </c>
      <c r="E797" s="57">
        <f>IFERROR(VALUE(CRM_MAGDY!K797),0)</f>
        <v>0</v>
      </c>
      <c r="F797" s="57">
        <f>IFERROR(IF(CRM_MAGDY!L797&gt;1,CRM_MAGDY!L797/100,CRM_MAGDY!L797),0)</f>
        <v>0</v>
      </c>
      <c r="G797" s="57">
        <f>CRM_MAGDY!N797</f>
        <v>0</v>
      </c>
      <c r="H797" s="57">
        <f>CRM_MAGDY!M797</f>
        <v>0</v>
      </c>
      <c r="I797" s="57">
        <f t="shared" si="24"/>
        <v>0</v>
      </c>
      <c r="J797" s="57" t="str">
        <f t="shared" si="25"/>
        <v>POTENCJAŁ</v>
      </c>
    </row>
    <row r="798" spans="1:10" x14ac:dyDescent="0.25">
      <c r="A798" s="57" t="str">
        <f>IF(CRM_MAGDY!H798="","","CRM-"&amp;TEXT(ROW()-4,"0000"))</f>
        <v>CRM-0794</v>
      </c>
      <c r="B798" s="57">
        <f>CRM_MAGDY!E798</f>
        <v>0</v>
      </c>
      <c r="C798" s="57">
        <f>CRM_MAGDY!H798</f>
        <v>6234</v>
      </c>
      <c r="D798" s="57">
        <f>CRM_MAGDY!I798</f>
        <v>0</v>
      </c>
      <c r="E798" s="57">
        <f>IFERROR(VALUE(CRM_MAGDY!K798),0)</f>
        <v>0</v>
      </c>
      <c r="F798" s="57">
        <f>IFERROR(IF(CRM_MAGDY!L798&gt;1,CRM_MAGDY!L798/100,CRM_MAGDY!L798),0)</f>
        <v>0</v>
      </c>
      <c r="G798" s="57">
        <f>CRM_MAGDY!N798</f>
        <v>0</v>
      </c>
      <c r="H798" s="57">
        <f>CRM_MAGDY!M798</f>
        <v>0</v>
      </c>
      <c r="I798" s="57">
        <f t="shared" si="24"/>
        <v>0</v>
      </c>
      <c r="J798" s="57" t="str">
        <f t="shared" si="25"/>
        <v>POTENCJAŁ</v>
      </c>
    </row>
    <row r="799" spans="1:10" x14ac:dyDescent="0.25">
      <c r="A799" s="57" t="str">
        <f>IF(CRM_MAGDY!H799="","","CRM-"&amp;TEXT(ROW()-4,"0000"))</f>
        <v>CRM-0795</v>
      </c>
      <c r="B799" s="57">
        <f>CRM_MAGDY!E799</f>
        <v>0</v>
      </c>
      <c r="C799" s="57">
        <f>CRM_MAGDY!H799</f>
        <v>6235</v>
      </c>
      <c r="D799" s="57">
        <f>CRM_MAGDY!I799</f>
        <v>0</v>
      </c>
      <c r="E799" s="57">
        <f>IFERROR(VALUE(CRM_MAGDY!K799),0)</f>
        <v>0</v>
      </c>
      <c r="F799" s="57">
        <f>IFERROR(IF(CRM_MAGDY!L799&gt;1,CRM_MAGDY!L799/100,CRM_MAGDY!L799),0)</f>
        <v>0</v>
      </c>
      <c r="G799" s="57">
        <f>CRM_MAGDY!N799</f>
        <v>0</v>
      </c>
      <c r="H799" s="57">
        <f>CRM_MAGDY!M799</f>
        <v>0</v>
      </c>
      <c r="I799" s="57">
        <f t="shared" si="24"/>
        <v>0</v>
      </c>
      <c r="J799" s="57" t="str">
        <f t="shared" si="25"/>
        <v>POTENCJAŁ</v>
      </c>
    </row>
    <row r="800" spans="1:10" x14ac:dyDescent="0.25">
      <c r="A800" s="57" t="str">
        <f>IF(CRM_MAGDY!H800="","","CRM-"&amp;TEXT(ROW()-4,"0000"))</f>
        <v>CRM-0796</v>
      </c>
      <c r="B800" s="57">
        <f>CRM_MAGDY!E800</f>
        <v>0</v>
      </c>
      <c r="C800" s="57">
        <f>CRM_MAGDY!H800</f>
        <v>6236</v>
      </c>
      <c r="D800" s="57">
        <f>CRM_MAGDY!I800</f>
        <v>0</v>
      </c>
      <c r="E800" s="57">
        <f>IFERROR(VALUE(CRM_MAGDY!K800),0)</f>
        <v>0</v>
      </c>
      <c r="F800" s="57">
        <f>IFERROR(IF(CRM_MAGDY!L800&gt;1,CRM_MAGDY!L800/100,CRM_MAGDY!L800),0)</f>
        <v>0</v>
      </c>
      <c r="G800" s="57">
        <f>CRM_MAGDY!N800</f>
        <v>0</v>
      </c>
      <c r="H800" s="57">
        <f>CRM_MAGDY!M800</f>
        <v>0</v>
      </c>
      <c r="I800" s="57">
        <f t="shared" si="24"/>
        <v>0</v>
      </c>
      <c r="J800" s="57" t="str">
        <f t="shared" si="25"/>
        <v>POTENCJAŁ</v>
      </c>
    </row>
    <row r="801" spans="1:10" x14ac:dyDescent="0.25">
      <c r="A801" s="57" t="str">
        <f>IF(CRM_MAGDY!H801="","","CRM-"&amp;TEXT(ROW()-4,"0000"))</f>
        <v>CRM-0797</v>
      </c>
      <c r="B801" s="57">
        <f>CRM_MAGDY!E801</f>
        <v>0</v>
      </c>
      <c r="C801" s="57">
        <f>CRM_MAGDY!H801</f>
        <v>6237</v>
      </c>
      <c r="D801" s="57">
        <f>CRM_MAGDY!I801</f>
        <v>0</v>
      </c>
      <c r="E801" s="57">
        <f>IFERROR(VALUE(CRM_MAGDY!K801),0)</f>
        <v>0</v>
      </c>
      <c r="F801" s="57">
        <f>IFERROR(IF(CRM_MAGDY!L801&gt;1,CRM_MAGDY!L801/100,CRM_MAGDY!L801),0)</f>
        <v>0</v>
      </c>
      <c r="G801" s="57">
        <f>CRM_MAGDY!N801</f>
        <v>0</v>
      </c>
      <c r="H801" s="57">
        <f>CRM_MAGDY!M801</f>
        <v>0</v>
      </c>
      <c r="I801" s="57">
        <f t="shared" si="24"/>
        <v>0</v>
      </c>
      <c r="J801" s="57" t="str">
        <f t="shared" si="25"/>
        <v>POTENCJAŁ</v>
      </c>
    </row>
    <row r="802" spans="1:10" x14ac:dyDescent="0.25">
      <c r="A802" s="57" t="str">
        <f>IF(CRM_MAGDY!H802="","","CRM-"&amp;TEXT(ROW()-4,"0000"))</f>
        <v>CRM-0798</v>
      </c>
      <c r="B802" s="57">
        <f>CRM_MAGDY!E802</f>
        <v>0</v>
      </c>
      <c r="C802" s="57">
        <f>CRM_MAGDY!H802</f>
        <v>6238</v>
      </c>
      <c r="D802" s="57">
        <f>CRM_MAGDY!I802</f>
        <v>0</v>
      </c>
      <c r="E802" s="57">
        <f>IFERROR(VALUE(CRM_MAGDY!K802),0)</f>
        <v>0</v>
      </c>
      <c r="F802" s="57">
        <f>IFERROR(IF(CRM_MAGDY!L802&gt;1,CRM_MAGDY!L802/100,CRM_MAGDY!L802),0)</f>
        <v>0</v>
      </c>
      <c r="G802" s="57">
        <f>CRM_MAGDY!N802</f>
        <v>0</v>
      </c>
      <c r="H802" s="57">
        <f>CRM_MAGDY!M802</f>
        <v>0</v>
      </c>
      <c r="I802" s="57">
        <f t="shared" si="24"/>
        <v>0</v>
      </c>
      <c r="J802" s="57" t="str">
        <f t="shared" si="25"/>
        <v>POTENCJAŁ</v>
      </c>
    </row>
    <row r="803" spans="1:10" x14ac:dyDescent="0.25">
      <c r="A803" s="57" t="str">
        <f>IF(CRM_MAGDY!H803="","","CRM-"&amp;TEXT(ROW()-4,"0000"))</f>
        <v>CRM-0799</v>
      </c>
      <c r="B803" s="57">
        <f>CRM_MAGDY!E803</f>
        <v>0</v>
      </c>
      <c r="C803" s="57">
        <f>CRM_MAGDY!H803</f>
        <v>6239</v>
      </c>
      <c r="D803" s="57">
        <f>CRM_MAGDY!I803</f>
        <v>0</v>
      </c>
      <c r="E803" s="57">
        <f>IFERROR(VALUE(CRM_MAGDY!K803),0)</f>
        <v>0</v>
      </c>
      <c r="F803" s="57">
        <f>IFERROR(IF(CRM_MAGDY!L803&gt;1,CRM_MAGDY!L803/100,CRM_MAGDY!L803),0)</f>
        <v>0</v>
      </c>
      <c r="G803" s="57">
        <f>CRM_MAGDY!N803</f>
        <v>0</v>
      </c>
      <c r="H803" s="57">
        <f>CRM_MAGDY!M803</f>
        <v>0</v>
      </c>
      <c r="I803" s="57">
        <f t="shared" si="24"/>
        <v>0</v>
      </c>
      <c r="J803" s="57" t="str">
        <f t="shared" si="25"/>
        <v>POTENCJAŁ</v>
      </c>
    </row>
    <row r="804" spans="1:10" x14ac:dyDescent="0.25">
      <c r="A804" s="57" t="str">
        <f>IF(CRM_MAGDY!H804="","","CRM-"&amp;TEXT(ROW()-4,"0000"))</f>
        <v>CRM-0800</v>
      </c>
      <c r="B804" s="57">
        <f>CRM_MAGDY!E804</f>
        <v>0</v>
      </c>
      <c r="C804" s="57">
        <f>CRM_MAGDY!H804</f>
        <v>6240</v>
      </c>
      <c r="D804" s="57">
        <f>CRM_MAGDY!I804</f>
        <v>0</v>
      </c>
      <c r="E804" s="57">
        <f>IFERROR(VALUE(CRM_MAGDY!K804),0)</f>
        <v>0</v>
      </c>
      <c r="F804" s="57">
        <f>IFERROR(IF(CRM_MAGDY!L804&gt;1,CRM_MAGDY!L804/100,CRM_MAGDY!L804),0)</f>
        <v>0</v>
      </c>
      <c r="G804" s="57">
        <f>CRM_MAGDY!N804</f>
        <v>0</v>
      </c>
      <c r="H804" s="57">
        <f>CRM_MAGDY!M804</f>
        <v>0</v>
      </c>
      <c r="I804" s="57">
        <f t="shared" si="24"/>
        <v>0</v>
      </c>
      <c r="J804" s="57" t="str">
        <f t="shared" si="25"/>
        <v>POTENCJAŁ</v>
      </c>
    </row>
    <row r="805" spans="1:10" x14ac:dyDescent="0.25">
      <c r="A805" s="57" t="str">
        <f>IF(CRM_MAGDY!H805="","","CRM-"&amp;TEXT(ROW()-4,"0000"))</f>
        <v>CRM-0801</v>
      </c>
      <c r="B805" s="57">
        <f>CRM_MAGDY!E805</f>
        <v>0</v>
      </c>
      <c r="C805" s="57">
        <f>CRM_MAGDY!H805</f>
        <v>6241</v>
      </c>
      <c r="D805" s="57">
        <f>CRM_MAGDY!I805</f>
        <v>0</v>
      </c>
      <c r="E805" s="57">
        <f>IFERROR(VALUE(CRM_MAGDY!K805),0)</f>
        <v>0</v>
      </c>
      <c r="F805" s="57">
        <f>IFERROR(IF(CRM_MAGDY!L805&gt;1,CRM_MAGDY!L805/100,CRM_MAGDY!L805),0)</f>
        <v>0</v>
      </c>
      <c r="G805" s="57">
        <f>CRM_MAGDY!N805</f>
        <v>0</v>
      </c>
      <c r="H805" s="57">
        <f>CRM_MAGDY!M805</f>
        <v>0</v>
      </c>
      <c r="I805" s="57">
        <f t="shared" si="24"/>
        <v>0</v>
      </c>
      <c r="J805" s="57" t="str">
        <f t="shared" si="25"/>
        <v>POTENCJAŁ</v>
      </c>
    </row>
    <row r="806" spans="1:10" x14ac:dyDescent="0.25">
      <c r="A806" s="57" t="str">
        <f>IF(CRM_MAGDY!H806="","","CRM-"&amp;TEXT(ROW()-4,"0000"))</f>
        <v>CRM-0802</v>
      </c>
      <c r="B806" s="57">
        <f>CRM_MAGDY!E806</f>
        <v>0</v>
      </c>
      <c r="C806" s="57">
        <f>CRM_MAGDY!H806</f>
        <v>6242</v>
      </c>
      <c r="D806" s="57">
        <f>CRM_MAGDY!I806</f>
        <v>0</v>
      </c>
      <c r="E806" s="57">
        <f>IFERROR(VALUE(CRM_MAGDY!K806),0)</f>
        <v>0</v>
      </c>
      <c r="F806" s="57">
        <f>IFERROR(IF(CRM_MAGDY!L806&gt;1,CRM_MAGDY!L806/100,CRM_MAGDY!L806),0)</f>
        <v>0</v>
      </c>
      <c r="G806" s="57">
        <f>CRM_MAGDY!N806</f>
        <v>0</v>
      </c>
      <c r="H806" s="57">
        <f>CRM_MAGDY!M806</f>
        <v>0</v>
      </c>
      <c r="I806" s="57">
        <f t="shared" si="24"/>
        <v>0</v>
      </c>
      <c r="J806" s="57" t="str">
        <f t="shared" si="25"/>
        <v>POTENCJAŁ</v>
      </c>
    </row>
    <row r="807" spans="1:10" x14ac:dyDescent="0.25">
      <c r="A807" s="57" t="str">
        <f>IF(CRM_MAGDY!H807="","","CRM-"&amp;TEXT(ROW()-4,"0000"))</f>
        <v>CRM-0803</v>
      </c>
      <c r="B807" s="57">
        <f>CRM_MAGDY!E807</f>
        <v>0</v>
      </c>
      <c r="C807" s="57">
        <f>CRM_MAGDY!H807</f>
        <v>6243</v>
      </c>
      <c r="D807" s="57">
        <f>CRM_MAGDY!I807</f>
        <v>0</v>
      </c>
      <c r="E807" s="57">
        <f>IFERROR(VALUE(CRM_MAGDY!K807),0)</f>
        <v>0</v>
      </c>
      <c r="F807" s="57">
        <f>IFERROR(IF(CRM_MAGDY!L807&gt;1,CRM_MAGDY!L807/100,CRM_MAGDY!L807),0)</f>
        <v>0</v>
      </c>
      <c r="G807" s="57">
        <f>CRM_MAGDY!N807</f>
        <v>0</v>
      </c>
      <c r="H807" s="57">
        <f>CRM_MAGDY!M807</f>
        <v>0</v>
      </c>
      <c r="I807" s="57">
        <f t="shared" si="24"/>
        <v>0</v>
      </c>
      <c r="J807" s="57" t="str">
        <f t="shared" si="25"/>
        <v>POTENCJAŁ</v>
      </c>
    </row>
    <row r="808" spans="1:10" x14ac:dyDescent="0.25">
      <c r="A808" s="57" t="str">
        <f>IF(CRM_MAGDY!H808="","","CRM-"&amp;TEXT(ROW()-4,"0000"))</f>
        <v>CRM-0804</v>
      </c>
      <c r="B808" s="57">
        <f>CRM_MAGDY!E808</f>
        <v>0</v>
      </c>
      <c r="C808" s="57">
        <f>CRM_MAGDY!H808</f>
        <v>6244</v>
      </c>
      <c r="D808" s="57">
        <f>CRM_MAGDY!I808</f>
        <v>0</v>
      </c>
      <c r="E808" s="57">
        <f>IFERROR(VALUE(CRM_MAGDY!K808),0)</f>
        <v>0</v>
      </c>
      <c r="F808" s="57">
        <f>IFERROR(IF(CRM_MAGDY!L808&gt;1,CRM_MAGDY!L808/100,CRM_MAGDY!L808),0)</f>
        <v>0</v>
      </c>
      <c r="G808" s="57">
        <f>CRM_MAGDY!N808</f>
        <v>0</v>
      </c>
      <c r="H808" s="57">
        <f>CRM_MAGDY!M808</f>
        <v>0</v>
      </c>
      <c r="I808" s="57">
        <f t="shared" si="24"/>
        <v>0</v>
      </c>
      <c r="J808" s="57" t="str">
        <f t="shared" si="25"/>
        <v>POTENCJAŁ</v>
      </c>
    </row>
    <row r="809" spans="1:10" x14ac:dyDescent="0.25">
      <c r="A809" s="57" t="str">
        <f>IF(CRM_MAGDY!H809="","","CRM-"&amp;TEXT(ROW()-4,"0000"))</f>
        <v>CRM-0805</v>
      </c>
      <c r="B809" s="57">
        <f>CRM_MAGDY!E809</f>
        <v>0</v>
      </c>
      <c r="C809" s="57">
        <f>CRM_MAGDY!H809</f>
        <v>6245</v>
      </c>
      <c r="D809" s="57">
        <f>CRM_MAGDY!I809</f>
        <v>0</v>
      </c>
      <c r="E809" s="57">
        <f>IFERROR(VALUE(CRM_MAGDY!K809),0)</f>
        <v>0</v>
      </c>
      <c r="F809" s="57">
        <f>IFERROR(IF(CRM_MAGDY!L809&gt;1,CRM_MAGDY!L809/100,CRM_MAGDY!L809),0)</f>
        <v>0</v>
      </c>
      <c r="G809" s="57">
        <f>CRM_MAGDY!N809</f>
        <v>0</v>
      </c>
      <c r="H809" s="57">
        <f>CRM_MAGDY!M809</f>
        <v>0</v>
      </c>
      <c r="I809" s="57">
        <f t="shared" si="24"/>
        <v>0</v>
      </c>
      <c r="J809" s="57" t="str">
        <f t="shared" si="25"/>
        <v>POTENCJAŁ</v>
      </c>
    </row>
    <row r="810" spans="1:10" x14ac:dyDescent="0.25">
      <c r="A810" s="57" t="str">
        <f>IF(CRM_MAGDY!H810="","","CRM-"&amp;TEXT(ROW()-4,"0000"))</f>
        <v>CRM-0806</v>
      </c>
      <c r="B810" s="57">
        <f>CRM_MAGDY!E810</f>
        <v>0</v>
      </c>
      <c r="C810" s="57">
        <f>CRM_MAGDY!H810</f>
        <v>6246</v>
      </c>
      <c r="D810" s="57">
        <f>CRM_MAGDY!I810</f>
        <v>0</v>
      </c>
      <c r="E810" s="57">
        <f>IFERROR(VALUE(CRM_MAGDY!K810),0)</f>
        <v>0</v>
      </c>
      <c r="F810" s="57">
        <f>IFERROR(IF(CRM_MAGDY!L810&gt;1,CRM_MAGDY!L810/100,CRM_MAGDY!L810),0)</f>
        <v>0</v>
      </c>
      <c r="G810" s="57">
        <f>CRM_MAGDY!N810</f>
        <v>0</v>
      </c>
      <c r="H810" s="57">
        <f>CRM_MAGDY!M810</f>
        <v>0</v>
      </c>
      <c r="I810" s="57">
        <f t="shared" si="24"/>
        <v>0</v>
      </c>
      <c r="J810" s="57" t="str">
        <f t="shared" si="25"/>
        <v>POTENCJAŁ</v>
      </c>
    </row>
    <row r="811" spans="1:10" x14ac:dyDescent="0.25">
      <c r="A811" s="57" t="str">
        <f>IF(CRM_MAGDY!H811="","","CRM-"&amp;TEXT(ROW()-4,"0000"))</f>
        <v>CRM-0807</v>
      </c>
      <c r="B811" s="57">
        <f>CRM_MAGDY!E811</f>
        <v>0</v>
      </c>
      <c r="C811" s="57">
        <f>CRM_MAGDY!H811</f>
        <v>6247</v>
      </c>
      <c r="D811" s="57">
        <f>CRM_MAGDY!I811</f>
        <v>0</v>
      </c>
      <c r="E811" s="57">
        <f>IFERROR(VALUE(CRM_MAGDY!K811),0)</f>
        <v>0</v>
      </c>
      <c r="F811" s="57">
        <f>IFERROR(IF(CRM_MAGDY!L811&gt;1,CRM_MAGDY!L811/100,CRM_MAGDY!L811),0)</f>
        <v>0</v>
      </c>
      <c r="G811" s="57">
        <f>CRM_MAGDY!N811</f>
        <v>0</v>
      </c>
      <c r="H811" s="57">
        <f>CRM_MAGDY!M811</f>
        <v>0</v>
      </c>
      <c r="I811" s="57">
        <f t="shared" si="24"/>
        <v>0</v>
      </c>
      <c r="J811" s="57" t="str">
        <f t="shared" si="25"/>
        <v>POTENCJAŁ</v>
      </c>
    </row>
    <row r="812" spans="1:10" x14ac:dyDescent="0.25">
      <c r="A812" s="57" t="str">
        <f>IF(CRM_MAGDY!H812="","","CRM-"&amp;TEXT(ROW()-4,"0000"))</f>
        <v>CRM-0808</v>
      </c>
      <c r="B812" s="57">
        <f>CRM_MAGDY!E812</f>
        <v>0</v>
      </c>
      <c r="C812" s="57">
        <f>CRM_MAGDY!H812</f>
        <v>6248</v>
      </c>
      <c r="D812" s="57">
        <f>CRM_MAGDY!I812</f>
        <v>0</v>
      </c>
      <c r="E812" s="57">
        <f>IFERROR(VALUE(CRM_MAGDY!K812),0)</f>
        <v>0</v>
      </c>
      <c r="F812" s="57">
        <f>IFERROR(IF(CRM_MAGDY!L812&gt;1,CRM_MAGDY!L812/100,CRM_MAGDY!L812),0)</f>
        <v>0</v>
      </c>
      <c r="G812" s="57">
        <f>CRM_MAGDY!N812</f>
        <v>0</v>
      </c>
      <c r="H812" s="57">
        <f>CRM_MAGDY!M812</f>
        <v>0</v>
      </c>
      <c r="I812" s="57">
        <f t="shared" si="24"/>
        <v>0</v>
      </c>
      <c r="J812" s="57" t="str">
        <f t="shared" si="25"/>
        <v>POTENCJAŁ</v>
      </c>
    </row>
    <row r="813" spans="1:10" x14ac:dyDescent="0.25">
      <c r="A813" s="57" t="str">
        <f>IF(CRM_MAGDY!H813="","","CRM-"&amp;TEXT(ROW()-4,"0000"))</f>
        <v>CRM-0809</v>
      </c>
      <c r="B813" s="57">
        <f>CRM_MAGDY!E813</f>
        <v>0</v>
      </c>
      <c r="C813" s="57">
        <f>CRM_MAGDY!H813</f>
        <v>6249</v>
      </c>
      <c r="D813" s="57">
        <f>CRM_MAGDY!I813</f>
        <v>0</v>
      </c>
      <c r="E813" s="57">
        <f>IFERROR(VALUE(CRM_MAGDY!K813),0)</f>
        <v>0</v>
      </c>
      <c r="F813" s="57">
        <f>IFERROR(IF(CRM_MAGDY!L813&gt;1,CRM_MAGDY!L813/100,CRM_MAGDY!L813),0)</f>
        <v>0</v>
      </c>
      <c r="G813" s="57">
        <f>CRM_MAGDY!N813</f>
        <v>0</v>
      </c>
      <c r="H813" s="57">
        <f>CRM_MAGDY!M813</f>
        <v>0</v>
      </c>
      <c r="I813" s="57">
        <f t="shared" si="24"/>
        <v>0</v>
      </c>
      <c r="J813" s="57" t="str">
        <f t="shared" si="25"/>
        <v>POTENCJAŁ</v>
      </c>
    </row>
    <row r="814" spans="1:10" x14ac:dyDescent="0.25">
      <c r="A814" s="57" t="str">
        <f>IF(CRM_MAGDY!H814="","","CRM-"&amp;TEXT(ROW()-4,"0000"))</f>
        <v>CRM-0810</v>
      </c>
      <c r="B814" s="57">
        <f>CRM_MAGDY!E814</f>
        <v>0</v>
      </c>
      <c r="C814" s="57">
        <f>CRM_MAGDY!H814</f>
        <v>6250</v>
      </c>
      <c r="D814" s="57">
        <f>CRM_MAGDY!I814</f>
        <v>0</v>
      </c>
      <c r="E814" s="57">
        <f>IFERROR(VALUE(CRM_MAGDY!K814),0)</f>
        <v>0</v>
      </c>
      <c r="F814" s="57">
        <f>IFERROR(IF(CRM_MAGDY!L814&gt;1,CRM_MAGDY!L814/100,CRM_MAGDY!L814),0)</f>
        <v>0</v>
      </c>
      <c r="G814" s="57">
        <f>CRM_MAGDY!N814</f>
        <v>0</v>
      </c>
      <c r="H814" s="57">
        <f>CRM_MAGDY!M814</f>
        <v>0</v>
      </c>
      <c r="I814" s="57">
        <f t="shared" si="24"/>
        <v>0</v>
      </c>
      <c r="J814" s="57" t="str">
        <f t="shared" si="25"/>
        <v>POTENCJAŁ</v>
      </c>
    </row>
    <row r="815" spans="1:10" x14ac:dyDescent="0.25">
      <c r="A815" s="57" t="str">
        <f>IF(CRM_MAGDY!H815="","","CRM-"&amp;TEXT(ROW()-4,"0000"))</f>
        <v>CRM-0811</v>
      </c>
      <c r="B815" s="57">
        <f>CRM_MAGDY!E815</f>
        <v>0</v>
      </c>
      <c r="C815" s="57">
        <f>CRM_MAGDY!H815</f>
        <v>6251</v>
      </c>
      <c r="D815" s="57">
        <f>CRM_MAGDY!I815</f>
        <v>0</v>
      </c>
      <c r="E815" s="57">
        <f>IFERROR(VALUE(CRM_MAGDY!K815),0)</f>
        <v>0</v>
      </c>
      <c r="F815" s="57">
        <f>IFERROR(IF(CRM_MAGDY!L815&gt;1,CRM_MAGDY!L815/100,CRM_MAGDY!L815),0)</f>
        <v>0</v>
      </c>
      <c r="G815" s="57">
        <f>CRM_MAGDY!N815</f>
        <v>0</v>
      </c>
      <c r="H815" s="57">
        <f>CRM_MAGDY!M815</f>
        <v>0</v>
      </c>
      <c r="I815" s="57">
        <f t="shared" si="24"/>
        <v>0</v>
      </c>
      <c r="J815" s="57" t="str">
        <f t="shared" si="25"/>
        <v>POTENCJAŁ</v>
      </c>
    </row>
    <row r="816" spans="1:10" x14ac:dyDescent="0.25">
      <c r="A816" s="57" t="str">
        <f>IF(CRM_MAGDY!H816="","","CRM-"&amp;TEXT(ROW()-4,"0000"))</f>
        <v>CRM-0812</v>
      </c>
      <c r="B816" s="57">
        <f>CRM_MAGDY!E816</f>
        <v>0</v>
      </c>
      <c r="C816" s="57">
        <f>CRM_MAGDY!H816</f>
        <v>6252</v>
      </c>
      <c r="D816" s="57">
        <f>CRM_MAGDY!I816</f>
        <v>0</v>
      </c>
      <c r="E816" s="57">
        <f>IFERROR(VALUE(CRM_MAGDY!K816),0)</f>
        <v>0</v>
      </c>
      <c r="F816" s="57">
        <f>IFERROR(IF(CRM_MAGDY!L816&gt;1,CRM_MAGDY!L816/100,CRM_MAGDY!L816),0)</f>
        <v>0</v>
      </c>
      <c r="G816" s="57">
        <f>CRM_MAGDY!N816</f>
        <v>0</v>
      </c>
      <c r="H816" s="57">
        <f>CRM_MAGDY!M816</f>
        <v>0</v>
      </c>
      <c r="I816" s="57">
        <f t="shared" si="24"/>
        <v>0</v>
      </c>
      <c r="J816" s="57" t="str">
        <f t="shared" si="25"/>
        <v>POTENCJAŁ</v>
      </c>
    </row>
    <row r="817" spans="1:10" x14ac:dyDescent="0.25">
      <c r="A817" s="57" t="str">
        <f>IF(CRM_MAGDY!H817="","","CRM-"&amp;TEXT(ROW()-4,"0000"))</f>
        <v>CRM-0813</v>
      </c>
      <c r="B817" s="57">
        <f>CRM_MAGDY!E817</f>
        <v>0</v>
      </c>
      <c r="C817" s="57">
        <f>CRM_MAGDY!H817</f>
        <v>6253</v>
      </c>
      <c r="D817" s="57">
        <f>CRM_MAGDY!I817</f>
        <v>0</v>
      </c>
      <c r="E817" s="57">
        <f>IFERROR(VALUE(CRM_MAGDY!K817),0)</f>
        <v>0</v>
      </c>
      <c r="F817" s="57">
        <f>IFERROR(IF(CRM_MAGDY!L817&gt;1,CRM_MAGDY!L817/100,CRM_MAGDY!L817),0)</f>
        <v>0</v>
      </c>
      <c r="G817" s="57">
        <f>CRM_MAGDY!N817</f>
        <v>0</v>
      </c>
      <c r="H817" s="57">
        <f>CRM_MAGDY!M817</f>
        <v>0</v>
      </c>
      <c r="I817" s="57">
        <f t="shared" si="24"/>
        <v>0</v>
      </c>
      <c r="J817" s="57" t="str">
        <f t="shared" si="25"/>
        <v>POTENCJAŁ</v>
      </c>
    </row>
    <row r="818" spans="1:10" x14ac:dyDescent="0.25">
      <c r="A818" s="57" t="str">
        <f>IF(CRM_MAGDY!H818="","","CRM-"&amp;TEXT(ROW()-4,"0000"))</f>
        <v>CRM-0814</v>
      </c>
      <c r="B818" s="57">
        <f>CRM_MAGDY!E818</f>
        <v>0</v>
      </c>
      <c r="C818" s="57">
        <f>CRM_MAGDY!H818</f>
        <v>6254</v>
      </c>
      <c r="D818" s="57">
        <f>CRM_MAGDY!I818</f>
        <v>0</v>
      </c>
      <c r="E818" s="57">
        <f>IFERROR(VALUE(CRM_MAGDY!K818),0)</f>
        <v>0</v>
      </c>
      <c r="F818" s="57">
        <f>IFERROR(IF(CRM_MAGDY!L818&gt;1,CRM_MAGDY!L818/100,CRM_MAGDY!L818),0)</f>
        <v>0</v>
      </c>
      <c r="G818" s="57">
        <f>CRM_MAGDY!N818</f>
        <v>0</v>
      </c>
      <c r="H818" s="57">
        <f>CRM_MAGDY!M818</f>
        <v>0</v>
      </c>
      <c r="I818" s="57">
        <f t="shared" si="24"/>
        <v>0</v>
      </c>
      <c r="J818" s="57" t="str">
        <f t="shared" si="25"/>
        <v>POTENCJAŁ</v>
      </c>
    </row>
    <row r="819" spans="1:10" x14ac:dyDescent="0.25">
      <c r="A819" s="57" t="str">
        <f>IF(CRM_MAGDY!H819="","","CRM-"&amp;TEXT(ROW()-4,"0000"))</f>
        <v>CRM-0815</v>
      </c>
      <c r="B819" s="57">
        <f>CRM_MAGDY!E819</f>
        <v>0</v>
      </c>
      <c r="C819" s="57">
        <f>CRM_MAGDY!H819</f>
        <v>6255</v>
      </c>
      <c r="D819" s="57">
        <f>CRM_MAGDY!I819</f>
        <v>0</v>
      </c>
      <c r="E819" s="57">
        <f>IFERROR(VALUE(CRM_MAGDY!K819),0)</f>
        <v>0</v>
      </c>
      <c r="F819" s="57">
        <f>IFERROR(IF(CRM_MAGDY!L819&gt;1,CRM_MAGDY!L819/100,CRM_MAGDY!L819),0)</f>
        <v>0</v>
      </c>
      <c r="G819" s="57">
        <f>CRM_MAGDY!N819</f>
        <v>0</v>
      </c>
      <c r="H819" s="57">
        <f>CRM_MAGDY!M819</f>
        <v>0</v>
      </c>
      <c r="I819" s="57">
        <f t="shared" si="24"/>
        <v>0</v>
      </c>
      <c r="J819" s="57" t="str">
        <f t="shared" si="25"/>
        <v>POTENCJAŁ</v>
      </c>
    </row>
    <row r="820" spans="1:10" x14ac:dyDescent="0.25">
      <c r="A820" s="57" t="str">
        <f>IF(CRM_MAGDY!H820="","","CRM-"&amp;TEXT(ROW()-4,"0000"))</f>
        <v>CRM-0816</v>
      </c>
      <c r="B820" s="57">
        <f>CRM_MAGDY!E820</f>
        <v>0</v>
      </c>
      <c r="C820" s="57">
        <f>CRM_MAGDY!H820</f>
        <v>6256</v>
      </c>
      <c r="D820" s="57">
        <f>CRM_MAGDY!I820</f>
        <v>0</v>
      </c>
      <c r="E820" s="57">
        <f>IFERROR(VALUE(CRM_MAGDY!K820),0)</f>
        <v>0</v>
      </c>
      <c r="F820" s="57">
        <f>IFERROR(IF(CRM_MAGDY!L820&gt;1,CRM_MAGDY!L820/100,CRM_MAGDY!L820),0)</f>
        <v>0</v>
      </c>
      <c r="G820" s="57">
        <f>CRM_MAGDY!N820</f>
        <v>0</v>
      </c>
      <c r="H820" s="57">
        <f>CRM_MAGDY!M820</f>
        <v>0</v>
      </c>
      <c r="I820" s="57">
        <f t="shared" si="24"/>
        <v>0</v>
      </c>
      <c r="J820" s="57" t="str">
        <f t="shared" si="25"/>
        <v>POTENCJAŁ</v>
      </c>
    </row>
    <row r="821" spans="1:10" x14ac:dyDescent="0.25">
      <c r="A821" s="57" t="str">
        <f>IF(CRM_MAGDY!H821="","","CRM-"&amp;TEXT(ROW()-4,"0000"))</f>
        <v>CRM-0817</v>
      </c>
      <c r="B821" s="57">
        <f>CRM_MAGDY!E821</f>
        <v>0</v>
      </c>
      <c r="C821" s="57">
        <f>CRM_MAGDY!H821</f>
        <v>6257</v>
      </c>
      <c r="D821" s="57">
        <f>CRM_MAGDY!I821</f>
        <v>0</v>
      </c>
      <c r="E821" s="57">
        <f>IFERROR(VALUE(CRM_MAGDY!K821),0)</f>
        <v>0</v>
      </c>
      <c r="F821" s="57">
        <f>IFERROR(IF(CRM_MAGDY!L821&gt;1,CRM_MAGDY!L821/100,CRM_MAGDY!L821),0)</f>
        <v>0</v>
      </c>
      <c r="G821" s="57">
        <f>CRM_MAGDY!N821</f>
        <v>0</v>
      </c>
      <c r="H821" s="57">
        <f>CRM_MAGDY!M821</f>
        <v>0</v>
      </c>
      <c r="I821" s="57">
        <f t="shared" si="24"/>
        <v>0</v>
      </c>
      <c r="J821" s="57" t="str">
        <f t="shared" si="25"/>
        <v>POTENCJAŁ</v>
      </c>
    </row>
    <row r="822" spans="1:10" x14ac:dyDescent="0.25">
      <c r="A822" s="57" t="str">
        <f>IF(CRM_MAGDY!H822="","","CRM-"&amp;TEXT(ROW()-4,"0000"))</f>
        <v>CRM-0818</v>
      </c>
      <c r="B822" s="57">
        <f>CRM_MAGDY!E822</f>
        <v>0</v>
      </c>
      <c r="C822" s="57">
        <f>CRM_MAGDY!H822</f>
        <v>6258</v>
      </c>
      <c r="D822" s="57">
        <f>CRM_MAGDY!I822</f>
        <v>0</v>
      </c>
      <c r="E822" s="57">
        <f>IFERROR(VALUE(CRM_MAGDY!K822),0)</f>
        <v>0</v>
      </c>
      <c r="F822" s="57">
        <f>IFERROR(IF(CRM_MAGDY!L822&gt;1,CRM_MAGDY!L822/100,CRM_MAGDY!L822),0)</f>
        <v>0</v>
      </c>
      <c r="G822" s="57">
        <f>CRM_MAGDY!N822</f>
        <v>0</v>
      </c>
      <c r="H822" s="57">
        <f>CRM_MAGDY!M822</f>
        <v>0</v>
      </c>
      <c r="I822" s="57">
        <f t="shared" si="24"/>
        <v>0</v>
      </c>
      <c r="J822" s="57" t="str">
        <f t="shared" si="25"/>
        <v>POTENCJAŁ</v>
      </c>
    </row>
    <row r="823" spans="1:10" x14ac:dyDescent="0.25">
      <c r="A823" s="57" t="str">
        <f>IF(CRM_MAGDY!H823="","","CRM-"&amp;TEXT(ROW()-4,"0000"))</f>
        <v>CRM-0819</v>
      </c>
      <c r="B823" s="57">
        <f>CRM_MAGDY!E823</f>
        <v>0</v>
      </c>
      <c r="C823" s="57">
        <f>CRM_MAGDY!H823</f>
        <v>6259</v>
      </c>
      <c r="D823" s="57">
        <f>CRM_MAGDY!I823</f>
        <v>0</v>
      </c>
      <c r="E823" s="57">
        <f>IFERROR(VALUE(CRM_MAGDY!K823),0)</f>
        <v>0</v>
      </c>
      <c r="F823" s="57">
        <f>IFERROR(IF(CRM_MAGDY!L823&gt;1,CRM_MAGDY!L823/100,CRM_MAGDY!L823),0)</f>
        <v>0</v>
      </c>
      <c r="G823" s="57">
        <f>CRM_MAGDY!N823</f>
        <v>0</v>
      </c>
      <c r="H823" s="57">
        <f>CRM_MAGDY!M823</f>
        <v>0</v>
      </c>
      <c r="I823" s="57">
        <f t="shared" si="24"/>
        <v>0</v>
      </c>
      <c r="J823" s="57" t="str">
        <f t="shared" si="25"/>
        <v>POTENCJAŁ</v>
      </c>
    </row>
    <row r="824" spans="1:10" x14ac:dyDescent="0.25">
      <c r="A824" s="57" t="str">
        <f>IF(CRM_MAGDY!H824="","","CRM-"&amp;TEXT(ROW()-4,"0000"))</f>
        <v>CRM-0820</v>
      </c>
      <c r="B824" s="57">
        <f>CRM_MAGDY!E824</f>
        <v>0</v>
      </c>
      <c r="C824" s="57">
        <f>CRM_MAGDY!H824</f>
        <v>6260</v>
      </c>
      <c r="D824" s="57">
        <f>CRM_MAGDY!I824</f>
        <v>0</v>
      </c>
      <c r="E824" s="57">
        <f>IFERROR(VALUE(CRM_MAGDY!K824),0)</f>
        <v>0</v>
      </c>
      <c r="F824" s="57">
        <f>IFERROR(IF(CRM_MAGDY!L824&gt;1,CRM_MAGDY!L824/100,CRM_MAGDY!L824),0)</f>
        <v>0</v>
      </c>
      <c r="G824" s="57">
        <f>CRM_MAGDY!N824</f>
        <v>0</v>
      </c>
      <c r="H824" s="57">
        <f>CRM_MAGDY!M824</f>
        <v>0</v>
      </c>
      <c r="I824" s="57">
        <f t="shared" si="24"/>
        <v>0</v>
      </c>
      <c r="J824" s="57" t="str">
        <f t="shared" si="25"/>
        <v>POTENCJAŁ</v>
      </c>
    </row>
    <row r="825" spans="1:10" x14ac:dyDescent="0.25">
      <c r="A825" s="57" t="str">
        <f>IF(CRM_MAGDY!H825="","","CRM-"&amp;TEXT(ROW()-4,"0000"))</f>
        <v>CRM-0821</v>
      </c>
      <c r="B825" s="57">
        <f>CRM_MAGDY!E825</f>
        <v>0</v>
      </c>
      <c r="C825" s="57">
        <f>CRM_MAGDY!H825</f>
        <v>6261</v>
      </c>
      <c r="D825" s="57">
        <f>CRM_MAGDY!I825</f>
        <v>0</v>
      </c>
      <c r="E825" s="57">
        <f>IFERROR(VALUE(CRM_MAGDY!K825),0)</f>
        <v>0</v>
      </c>
      <c r="F825" s="57">
        <f>IFERROR(IF(CRM_MAGDY!L825&gt;1,CRM_MAGDY!L825/100,CRM_MAGDY!L825),0)</f>
        <v>0</v>
      </c>
      <c r="G825" s="57">
        <f>CRM_MAGDY!N825</f>
        <v>0</v>
      </c>
      <c r="H825" s="57">
        <f>CRM_MAGDY!M825</f>
        <v>0</v>
      </c>
      <c r="I825" s="57">
        <f t="shared" si="24"/>
        <v>0</v>
      </c>
      <c r="J825" s="57" t="str">
        <f t="shared" si="25"/>
        <v>POTENCJAŁ</v>
      </c>
    </row>
    <row r="826" spans="1:10" x14ac:dyDescent="0.25">
      <c r="A826" s="57" t="str">
        <f>IF(CRM_MAGDY!H826="","","CRM-"&amp;TEXT(ROW()-4,"0000"))</f>
        <v>CRM-0822</v>
      </c>
      <c r="B826" s="57">
        <f>CRM_MAGDY!E826</f>
        <v>0</v>
      </c>
      <c r="C826" s="57">
        <f>CRM_MAGDY!H826</f>
        <v>6262</v>
      </c>
      <c r="D826" s="57">
        <f>CRM_MAGDY!I826</f>
        <v>0</v>
      </c>
      <c r="E826" s="57">
        <f>IFERROR(VALUE(CRM_MAGDY!K826),0)</f>
        <v>0</v>
      </c>
      <c r="F826" s="57">
        <f>IFERROR(IF(CRM_MAGDY!L826&gt;1,CRM_MAGDY!L826/100,CRM_MAGDY!L826),0)</f>
        <v>0</v>
      </c>
      <c r="G826" s="57">
        <f>CRM_MAGDY!N826</f>
        <v>0</v>
      </c>
      <c r="H826" s="57">
        <f>CRM_MAGDY!M826</f>
        <v>0</v>
      </c>
      <c r="I826" s="57">
        <f t="shared" si="24"/>
        <v>0</v>
      </c>
      <c r="J826" s="57" t="str">
        <f t="shared" si="25"/>
        <v>POTENCJAŁ</v>
      </c>
    </row>
    <row r="827" spans="1:10" x14ac:dyDescent="0.25">
      <c r="A827" s="57" t="str">
        <f>IF(CRM_MAGDY!H827="","","CRM-"&amp;TEXT(ROW()-4,"0000"))</f>
        <v>CRM-0823</v>
      </c>
      <c r="B827" s="57">
        <f>CRM_MAGDY!E827</f>
        <v>0</v>
      </c>
      <c r="C827" s="57">
        <f>CRM_MAGDY!H827</f>
        <v>6263</v>
      </c>
      <c r="D827" s="57">
        <f>CRM_MAGDY!I827</f>
        <v>0</v>
      </c>
      <c r="E827" s="57">
        <f>IFERROR(VALUE(CRM_MAGDY!K827),0)</f>
        <v>0</v>
      </c>
      <c r="F827" s="57">
        <f>IFERROR(IF(CRM_MAGDY!L827&gt;1,CRM_MAGDY!L827/100,CRM_MAGDY!L827),0)</f>
        <v>0</v>
      </c>
      <c r="G827" s="57">
        <f>CRM_MAGDY!N827</f>
        <v>0</v>
      </c>
      <c r="H827" s="57">
        <f>CRM_MAGDY!M827</f>
        <v>0</v>
      </c>
      <c r="I827" s="57">
        <f t="shared" si="24"/>
        <v>0</v>
      </c>
      <c r="J827" s="57" t="str">
        <f t="shared" si="25"/>
        <v>POTENCJAŁ</v>
      </c>
    </row>
    <row r="828" spans="1:10" x14ac:dyDescent="0.25">
      <c r="A828" s="57" t="str">
        <f>IF(CRM_MAGDY!H828="","","CRM-"&amp;TEXT(ROW()-4,"0000"))</f>
        <v>CRM-0824</v>
      </c>
      <c r="B828" s="57">
        <f>CRM_MAGDY!E828</f>
        <v>0</v>
      </c>
      <c r="C828" s="57">
        <f>CRM_MAGDY!H828</f>
        <v>6264</v>
      </c>
      <c r="D828" s="57">
        <f>CRM_MAGDY!I828</f>
        <v>0</v>
      </c>
      <c r="E828" s="57">
        <f>IFERROR(VALUE(CRM_MAGDY!K828),0)</f>
        <v>0</v>
      </c>
      <c r="F828" s="57">
        <f>IFERROR(IF(CRM_MAGDY!L828&gt;1,CRM_MAGDY!L828/100,CRM_MAGDY!L828),0)</f>
        <v>0</v>
      </c>
      <c r="G828" s="57">
        <f>CRM_MAGDY!N828</f>
        <v>0</v>
      </c>
      <c r="H828" s="57">
        <f>CRM_MAGDY!M828</f>
        <v>0</v>
      </c>
      <c r="I828" s="57">
        <f t="shared" si="24"/>
        <v>0</v>
      </c>
      <c r="J828" s="57" t="str">
        <f t="shared" si="25"/>
        <v>POTENCJAŁ</v>
      </c>
    </row>
    <row r="829" spans="1:10" x14ac:dyDescent="0.25">
      <c r="A829" s="57" t="str">
        <f>IF(CRM_MAGDY!H829="","","CRM-"&amp;TEXT(ROW()-4,"0000"))</f>
        <v>CRM-0825</v>
      </c>
      <c r="B829" s="57">
        <f>CRM_MAGDY!E829</f>
        <v>0</v>
      </c>
      <c r="C829" s="57">
        <f>CRM_MAGDY!H829</f>
        <v>6265</v>
      </c>
      <c r="D829" s="57">
        <f>CRM_MAGDY!I829</f>
        <v>0</v>
      </c>
      <c r="E829" s="57">
        <f>IFERROR(VALUE(CRM_MAGDY!K829),0)</f>
        <v>0</v>
      </c>
      <c r="F829" s="57">
        <f>IFERROR(IF(CRM_MAGDY!L829&gt;1,CRM_MAGDY!L829/100,CRM_MAGDY!L829),0)</f>
        <v>0</v>
      </c>
      <c r="G829" s="57">
        <f>CRM_MAGDY!N829</f>
        <v>0</v>
      </c>
      <c r="H829" s="57">
        <f>CRM_MAGDY!M829</f>
        <v>0</v>
      </c>
      <c r="I829" s="57">
        <f t="shared" si="24"/>
        <v>0</v>
      </c>
      <c r="J829" s="57" t="str">
        <f t="shared" si="25"/>
        <v>POTENCJAŁ</v>
      </c>
    </row>
    <row r="830" spans="1:10" x14ac:dyDescent="0.25">
      <c r="A830" s="57" t="str">
        <f>IF(CRM_MAGDY!H830="","","CRM-"&amp;TEXT(ROW()-4,"0000"))</f>
        <v>CRM-0826</v>
      </c>
      <c r="B830" s="57">
        <f>CRM_MAGDY!E830</f>
        <v>0</v>
      </c>
      <c r="C830" s="57">
        <f>CRM_MAGDY!H830</f>
        <v>6266</v>
      </c>
      <c r="D830" s="57">
        <f>CRM_MAGDY!I830</f>
        <v>0</v>
      </c>
      <c r="E830" s="57">
        <f>IFERROR(VALUE(CRM_MAGDY!K830),0)</f>
        <v>0</v>
      </c>
      <c r="F830" s="57">
        <f>IFERROR(IF(CRM_MAGDY!L830&gt;1,CRM_MAGDY!L830/100,CRM_MAGDY!L830),0)</f>
        <v>0</v>
      </c>
      <c r="G830" s="57">
        <f>CRM_MAGDY!N830</f>
        <v>0</v>
      </c>
      <c r="H830" s="57">
        <f>CRM_MAGDY!M830</f>
        <v>0</v>
      </c>
      <c r="I830" s="57">
        <f t="shared" si="24"/>
        <v>0</v>
      </c>
      <c r="J830" s="57" t="str">
        <f t="shared" si="25"/>
        <v>POTENCJAŁ</v>
      </c>
    </row>
    <row r="831" spans="1:10" x14ac:dyDescent="0.25">
      <c r="A831" s="57" t="str">
        <f>IF(CRM_MAGDY!H831="","","CRM-"&amp;TEXT(ROW()-4,"0000"))</f>
        <v>CRM-0827</v>
      </c>
      <c r="B831" s="57">
        <f>CRM_MAGDY!E831</f>
        <v>0</v>
      </c>
      <c r="C831" s="57">
        <f>CRM_MAGDY!H831</f>
        <v>6267</v>
      </c>
      <c r="D831" s="57">
        <f>CRM_MAGDY!I831</f>
        <v>0</v>
      </c>
      <c r="E831" s="57">
        <f>IFERROR(VALUE(CRM_MAGDY!K831),0)</f>
        <v>0</v>
      </c>
      <c r="F831" s="57">
        <f>IFERROR(IF(CRM_MAGDY!L831&gt;1,CRM_MAGDY!L831/100,CRM_MAGDY!L831),0)</f>
        <v>0</v>
      </c>
      <c r="G831" s="57">
        <f>CRM_MAGDY!N831</f>
        <v>0</v>
      </c>
      <c r="H831" s="57">
        <f>CRM_MAGDY!M831</f>
        <v>0</v>
      </c>
      <c r="I831" s="57">
        <f t="shared" si="24"/>
        <v>0</v>
      </c>
      <c r="J831" s="57" t="str">
        <f t="shared" si="25"/>
        <v>POTENCJAŁ</v>
      </c>
    </row>
    <row r="832" spans="1:10" x14ac:dyDescent="0.25">
      <c r="A832" s="57" t="str">
        <f>IF(CRM_MAGDY!H832="","","CRM-"&amp;TEXT(ROW()-4,"0000"))</f>
        <v>CRM-0828</v>
      </c>
      <c r="B832" s="57">
        <f>CRM_MAGDY!E832</f>
        <v>0</v>
      </c>
      <c r="C832" s="57">
        <f>CRM_MAGDY!H832</f>
        <v>6268</v>
      </c>
      <c r="D832" s="57">
        <f>CRM_MAGDY!I832</f>
        <v>0</v>
      </c>
      <c r="E832" s="57">
        <f>IFERROR(VALUE(CRM_MAGDY!K832),0)</f>
        <v>0</v>
      </c>
      <c r="F832" s="57">
        <f>IFERROR(IF(CRM_MAGDY!L832&gt;1,CRM_MAGDY!L832/100,CRM_MAGDY!L832),0)</f>
        <v>0</v>
      </c>
      <c r="G832" s="57">
        <f>CRM_MAGDY!N832</f>
        <v>0</v>
      </c>
      <c r="H832" s="57">
        <f>CRM_MAGDY!M832</f>
        <v>0</v>
      </c>
      <c r="I832" s="57">
        <f t="shared" si="24"/>
        <v>0</v>
      </c>
      <c r="J832" s="57" t="str">
        <f t="shared" si="25"/>
        <v>POTENCJAŁ</v>
      </c>
    </row>
    <row r="833" spans="1:10" x14ac:dyDescent="0.25">
      <c r="A833" s="57" t="str">
        <f>IF(CRM_MAGDY!H833="","","CRM-"&amp;TEXT(ROW()-4,"0000"))</f>
        <v>CRM-0829</v>
      </c>
      <c r="B833" s="57">
        <f>CRM_MAGDY!E833</f>
        <v>0</v>
      </c>
      <c r="C833" s="57">
        <f>CRM_MAGDY!H833</f>
        <v>6269</v>
      </c>
      <c r="D833" s="57">
        <f>CRM_MAGDY!I833</f>
        <v>0</v>
      </c>
      <c r="E833" s="57">
        <f>IFERROR(VALUE(CRM_MAGDY!K833),0)</f>
        <v>0</v>
      </c>
      <c r="F833" s="57">
        <f>IFERROR(IF(CRM_MAGDY!L833&gt;1,CRM_MAGDY!L833/100,CRM_MAGDY!L833),0)</f>
        <v>0</v>
      </c>
      <c r="G833" s="57">
        <f>CRM_MAGDY!N833</f>
        <v>0</v>
      </c>
      <c r="H833" s="57">
        <f>CRM_MAGDY!M833</f>
        <v>0</v>
      </c>
      <c r="I833" s="57">
        <f t="shared" si="24"/>
        <v>0</v>
      </c>
      <c r="J833" s="57" t="str">
        <f t="shared" si="25"/>
        <v>POTENCJAŁ</v>
      </c>
    </row>
    <row r="834" spans="1:10" x14ac:dyDescent="0.25">
      <c r="A834" s="57" t="str">
        <f>IF(CRM_MAGDY!H834="","","CRM-"&amp;TEXT(ROW()-4,"0000"))</f>
        <v>CRM-0830</v>
      </c>
      <c r="B834" s="57">
        <f>CRM_MAGDY!E834</f>
        <v>0</v>
      </c>
      <c r="C834" s="57">
        <f>CRM_MAGDY!H834</f>
        <v>6270</v>
      </c>
      <c r="D834" s="57">
        <f>CRM_MAGDY!I834</f>
        <v>0</v>
      </c>
      <c r="E834" s="57">
        <f>IFERROR(VALUE(CRM_MAGDY!K834),0)</f>
        <v>0</v>
      </c>
      <c r="F834" s="57">
        <f>IFERROR(IF(CRM_MAGDY!L834&gt;1,CRM_MAGDY!L834/100,CRM_MAGDY!L834),0)</f>
        <v>0</v>
      </c>
      <c r="G834" s="57">
        <f>CRM_MAGDY!N834</f>
        <v>0</v>
      </c>
      <c r="H834" s="57">
        <f>CRM_MAGDY!M834</f>
        <v>0</v>
      </c>
      <c r="I834" s="57">
        <f t="shared" si="24"/>
        <v>0</v>
      </c>
      <c r="J834" s="57" t="str">
        <f t="shared" si="25"/>
        <v>POTENCJAŁ</v>
      </c>
    </row>
    <row r="835" spans="1:10" x14ac:dyDescent="0.25">
      <c r="A835" s="57" t="str">
        <f>IF(CRM_MAGDY!H835="","","CRM-"&amp;TEXT(ROW()-4,"0000"))</f>
        <v>CRM-0831</v>
      </c>
      <c r="B835" s="57">
        <f>CRM_MAGDY!E835</f>
        <v>0</v>
      </c>
      <c r="C835" s="57">
        <f>CRM_MAGDY!H835</f>
        <v>6271</v>
      </c>
      <c r="D835" s="57">
        <f>CRM_MAGDY!I835</f>
        <v>0</v>
      </c>
      <c r="E835" s="57">
        <f>IFERROR(VALUE(CRM_MAGDY!K835),0)</f>
        <v>0</v>
      </c>
      <c r="F835" s="57">
        <f>IFERROR(IF(CRM_MAGDY!L835&gt;1,CRM_MAGDY!L835/100,CRM_MAGDY!L835),0)</f>
        <v>0</v>
      </c>
      <c r="G835" s="57">
        <f>CRM_MAGDY!N835</f>
        <v>0</v>
      </c>
      <c r="H835" s="57">
        <f>CRM_MAGDY!M835</f>
        <v>0</v>
      </c>
      <c r="I835" s="57">
        <f t="shared" si="24"/>
        <v>0</v>
      </c>
      <c r="J835" s="57" t="str">
        <f t="shared" si="25"/>
        <v>POTENCJAŁ</v>
      </c>
    </row>
    <row r="836" spans="1:10" x14ac:dyDescent="0.25">
      <c r="A836" s="57" t="str">
        <f>IF(CRM_MAGDY!H836="","","CRM-"&amp;TEXT(ROW()-4,"0000"))</f>
        <v>CRM-0832</v>
      </c>
      <c r="B836" s="57">
        <f>CRM_MAGDY!E836</f>
        <v>0</v>
      </c>
      <c r="C836" s="57">
        <f>CRM_MAGDY!H836</f>
        <v>6272</v>
      </c>
      <c r="D836" s="57">
        <f>CRM_MAGDY!I836</f>
        <v>0</v>
      </c>
      <c r="E836" s="57">
        <f>IFERROR(VALUE(CRM_MAGDY!K836),0)</f>
        <v>0</v>
      </c>
      <c r="F836" s="57">
        <f>IFERROR(IF(CRM_MAGDY!L836&gt;1,CRM_MAGDY!L836/100,CRM_MAGDY!L836),0)</f>
        <v>0</v>
      </c>
      <c r="G836" s="57">
        <f>CRM_MAGDY!N836</f>
        <v>0</v>
      </c>
      <c r="H836" s="57">
        <f>CRM_MAGDY!M836</f>
        <v>0</v>
      </c>
      <c r="I836" s="57">
        <f t="shared" si="24"/>
        <v>0</v>
      </c>
      <c r="J836" s="57" t="str">
        <f t="shared" si="25"/>
        <v>POTENCJAŁ</v>
      </c>
    </row>
    <row r="837" spans="1:10" x14ac:dyDescent="0.25">
      <c r="A837" s="57" t="str">
        <f>IF(CRM_MAGDY!H837="","","CRM-"&amp;TEXT(ROW()-4,"0000"))</f>
        <v>CRM-0833</v>
      </c>
      <c r="B837" s="57">
        <f>CRM_MAGDY!E837</f>
        <v>0</v>
      </c>
      <c r="C837" s="57">
        <f>CRM_MAGDY!H837</f>
        <v>6273</v>
      </c>
      <c r="D837" s="57">
        <f>CRM_MAGDY!I837</f>
        <v>0</v>
      </c>
      <c r="E837" s="57">
        <f>IFERROR(VALUE(CRM_MAGDY!K837),0)</f>
        <v>0</v>
      </c>
      <c r="F837" s="57">
        <f>IFERROR(IF(CRM_MAGDY!L837&gt;1,CRM_MAGDY!L837/100,CRM_MAGDY!L837),0)</f>
        <v>0</v>
      </c>
      <c r="G837" s="57">
        <f>CRM_MAGDY!N837</f>
        <v>0</v>
      </c>
      <c r="H837" s="57">
        <f>CRM_MAGDY!M837</f>
        <v>0</v>
      </c>
      <c r="I837" s="57">
        <f t="shared" ref="I837:I900" si="26">IF(OR(G837="WYGRANA",G837="PRZEGRANA"),0,E837*F837)</f>
        <v>0</v>
      </c>
      <c r="J837" s="57" t="str">
        <f t="shared" ref="J837:J900" si="27">IF(F837&gt;=0.7,"PEWNY",IF(F837&gt;=0.3,"REALNY","POTENCJAŁ"))</f>
        <v>POTENCJAŁ</v>
      </c>
    </row>
    <row r="838" spans="1:10" x14ac:dyDescent="0.25">
      <c r="A838" s="57" t="str">
        <f>IF(CRM_MAGDY!H838="","","CRM-"&amp;TEXT(ROW()-4,"0000"))</f>
        <v>CRM-0834</v>
      </c>
      <c r="B838" s="57">
        <f>CRM_MAGDY!E838</f>
        <v>0</v>
      </c>
      <c r="C838" s="57">
        <f>CRM_MAGDY!H838</f>
        <v>6274</v>
      </c>
      <c r="D838" s="57">
        <f>CRM_MAGDY!I838</f>
        <v>0</v>
      </c>
      <c r="E838" s="57">
        <f>IFERROR(VALUE(CRM_MAGDY!K838),0)</f>
        <v>0</v>
      </c>
      <c r="F838" s="57">
        <f>IFERROR(IF(CRM_MAGDY!L838&gt;1,CRM_MAGDY!L838/100,CRM_MAGDY!L838),0)</f>
        <v>0</v>
      </c>
      <c r="G838" s="57">
        <f>CRM_MAGDY!N838</f>
        <v>0</v>
      </c>
      <c r="H838" s="57">
        <f>CRM_MAGDY!M838</f>
        <v>0</v>
      </c>
      <c r="I838" s="57">
        <f t="shared" si="26"/>
        <v>0</v>
      </c>
      <c r="J838" s="57" t="str">
        <f t="shared" si="27"/>
        <v>POTENCJAŁ</v>
      </c>
    </row>
    <row r="839" spans="1:10" x14ac:dyDescent="0.25">
      <c r="A839" s="57" t="str">
        <f>IF(CRM_MAGDY!H839="","","CRM-"&amp;TEXT(ROW()-4,"0000"))</f>
        <v>CRM-0835</v>
      </c>
      <c r="B839" s="57">
        <f>CRM_MAGDY!E839</f>
        <v>0</v>
      </c>
      <c r="C839" s="57">
        <f>CRM_MAGDY!H839</f>
        <v>6275</v>
      </c>
      <c r="D839" s="57">
        <f>CRM_MAGDY!I839</f>
        <v>0</v>
      </c>
      <c r="E839" s="57">
        <f>IFERROR(VALUE(CRM_MAGDY!K839),0)</f>
        <v>0</v>
      </c>
      <c r="F839" s="57">
        <f>IFERROR(IF(CRM_MAGDY!L839&gt;1,CRM_MAGDY!L839/100,CRM_MAGDY!L839),0)</f>
        <v>0</v>
      </c>
      <c r="G839" s="57">
        <f>CRM_MAGDY!N839</f>
        <v>0</v>
      </c>
      <c r="H839" s="57">
        <f>CRM_MAGDY!M839</f>
        <v>0</v>
      </c>
      <c r="I839" s="57">
        <f t="shared" si="26"/>
        <v>0</v>
      </c>
      <c r="J839" s="57" t="str">
        <f t="shared" si="27"/>
        <v>POTENCJAŁ</v>
      </c>
    </row>
    <row r="840" spans="1:10" x14ac:dyDescent="0.25">
      <c r="A840" s="57" t="str">
        <f>IF(CRM_MAGDY!H840="","","CRM-"&amp;TEXT(ROW()-4,"0000"))</f>
        <v>CRM-0836</v>
      </c>
      <c r="B840" s="57">
        <f>CRM_MAGDY!E840</f>
        <v>0</v>
      </c>
      <c r="C840" s="57">
        <f>CRM_MAGDY!H840</f>
        <v>6276</v>
      </c>
      <c r="D840" s="57">
        <f>CRM_MAGDY!I840</f>
        <v>0</v>
      </c>
      <c r="E840" s="57">
        <f>IFERROR(VALUE(CRM_MAGDY!K840),0)</f>
        <v>0</v>
      </c>
      <c r="F840" s="57">
        <f>IFERROR(IF(CRM_MAGDY!L840&gt;1,CRM_MAGDY!L840/100,CRM_MAGDY!L840),0)</f>
        <v>0</v>
      </c>
      <c r="G840" s="57">
        <f>CRM_MAGDY!N840</f>
        <v>0</v>
      </c>
      <c r="H840" s="57">
        <f>CRM_MAGDY!M840</f>
        <v>0</v>
      </c>
      <c r="I840" s="57">
        <f t="shared" si="26"/>
        <v>0</v>
      </c>
      <c r="J840" s="57" t="str">
        <f t="shared" si="27"/>
        <v>POTENCJAŁ</v>
      </c>
    </row>
    <row r="841" spans="1:10" x14ac:dyDescent="0.25">
      <c r="A841" s="57" t="str">
        <f>IF(CRM_MAGDY!H841="","","CRM-"&amp;TEXT(ROW()-4,"0000"))</f>
        <v>CRM-0837</v>
      </c>
      <c r="B841" s="57">
        <f>CRM_MAGDY!E841</f>
        <v>0</v>
      </c>
      <c r="C841" s="57">
        <f>CRM_MAGDY!H841</f>
        <v>6277</v>
      </c>
      <c r="D841" s="57">
        <f>CRM_MAGDY!I841</f>
        <v>0</v>
      </c>
      <c r="E841" s="57">
        <f>IFERROR(VALUE(CRM_MAGDY!K841),0)</f>
        <v>0</v>
      </c>
      <c r="F841" s="57">
        <f>IFERROR(IF(CRM_MAGDY!L841&gt;1,CRM_MAGDY!L841/100,CRM_MAGDY!L841),0)</f>
        <v>0</v>
      </c>
      <c r="G841" s="57">
        <f>CRM_MAGDY!N841</f>
        <v>0</v>
      </c>
      <c r="H841" s="57">
        <f>CRM_MAGDY!M841</f>
        <v>0</v>
      </c>
      <c r="I841" s="57">
        <f t="shared" si="26"/>
        <v>0</v>
      </c>
      <c r="J841" s="57" t="str">
        <f t="shared" si="27"/>
        <v>POTENCJAŁ</v>
      </c>
    </row>
    <row r="842" spans="1:10" x14ac:dyDescent="0.25">
      <c r="A842" s="57" t="str">
        <f>IF(CRM_MAGDY!H842="","","CRM-"&amp;TEXT(ROW()-4,"0000"))</f>
        <v>CRM-0838</v>
      </c>
      <c r="B842" s="57">
        <f>CRM_MAGDY!E842</f>
        <v>0</v>
      </c>
      <c r="C842" s="57">
        <f>CRM_MAGDY!H842</f>
        <v>6278</v>
      </c>
      <c r="D842" s="57">
        <f>CRM_MAGDY!I842</f>
        <v>0</v>
      </c>
      <c r="E842" s="57">
        <f>IFERROR(VALUE(CRM_MAGDY!K842),0)</f>
        <v>0</v>
      </c>
      <c r="F842" s="57">
        <f>IFERROR(IF(CRM_MAGDY!L842&gt;1,CRM_MAGDY!L842/100,CRM_MAGDY!L842),0)</f>
        <v>0</v>
      </c>
      <c r="G842" s="57">
        <f>CRM_MAGDY!N842</f>
        <v>0</v>
      </c>
      <c r="H842" s="57">
        <f>CRM_MAGDY!M842</f>
        <v>0</v>
      </c>
      <c r="I842" s="57">
        <f t="shared" si="26"/>
        <v>0</v>
      </c>
      <c r="J842" s="57" t="str">
        <f t="shared" si="27"/>
        <v>POTENCJAŁ</v>
      </c>
    </row>
    <row r="843" spans="1:10" x14ac:dyDescent="0.25">
      <c r="A843" s="57" t="str">
        <f>IF(CRM_MAGDY!H843="","","CRM-"&amp;TEXT(ROW()-4,"0000"))</f>
        <v>CRM-0839</v>
      </c>
      <c r="B843" s="57">
        <f>CRM_MAGDY!E843</f>
        <v>0</v>
      </c>
      <c r="C843" s="57">
        <f>CRM_MAGDY!H843</f>
        <v>6279</v>
      </c>
      <c r="D843" s="57">
        <f>CRM_MAGDY!I843</f>
        <v>0</v>
      </c>
      <c r="E843" s="57">
        <f>IFERROR(VALUE(CRM_MAGDY!K843),0)</f>
        <v>0</v>
      </c>
      <c r="F843" s="57">
        <f>IFERROR(IF(CRM_MAGDY!L843&gt;1,CRM_MAGDY!L843/100,CRM_MAGDY!L843),0)</f>
        <v>0</v>
      </c>
      <c r="G843" s="57">
        <f>CRM_MAGDY!N843</f>
        <v>0</v>
      </c>
      <c r="H843" s="57">
        <f>CRM_MAGDY!M843</f>
        <v>0</v>
      </c>
      <c r="I843" s="57">
        <f t="shared" si="26"/>
        <v>0</v>
      </c>
      <c r="J843" s="57" t="str">
        <f t="shared" si="27"/>
        <v>POTENCJAŁ</v>
      </c>
    </row>
    <row r="844" spans="1:10" x14ac:dyDescent="0.25">
      <c r="A844" s="57" t="str">
        <f>IF(CRM_MAGDY!H844="","","CRM-"&amp;TEXT(ROW()-4,"0000"))</f>
        <v>CRM-0840</v>
      </c>
      <c r="B844" s="57">
        <f>CRM_MAGDY!E844</f>
        <v>0</v>
      </c>
      <c r="C844" s="57">
        <f>CRM_MAGDY!H844</f>
        <v>6280</v>
      </c>
      <c r="D844" s="57">
        <f>CRM_MAGDY!I844</f>
        <v>0</v>
      </c>
      <c r="E844" s="57">
        <f>IFERROR(VALUE(CRM_MAGDY!K844),0)</f>
        <v>0</v>
      </c>
      <c r="F844" s="57">
        <f>IFERROR(IF(CRM_MAGDY!L844&gt;1,CRM_MAGDY!L844/100,CRM_MAGDY!L844),0)</f>
        <v>0</v>
      </c>
      <c r="G844" s="57">
        <f>CRM_MAGDY!N844</f>
        <v>0</v>
      </c>
      <c r="H844" s="57">
        <f>CRM_MAGDY!M844</f>
        <v>0</v>
      </c>
      <c r="I844" s="57">
        <f t="shared" si="26"/>
        <v>0</v>
      </c>
      <c r="J844" s="57" t="str">
        <f t="shared" si="27"/>
        <v>POTENCJAŁ</v>
      </c>
    </row>
    <row r="845" spans="1:10" x14ac:dyDescent="0.25">
      <c r="A845" s="57" t="str">
        <f>IF(CRM_MAGDY!H845="","","CRM-"&amp;TEXT(ROW()-4,"0000"))</f>
        <v>CRM-0841</v>
      </c>
      <c r="B845" s="57">
        <f>CRM_MAGDY!E845</f>
        <v>0</v>
      </c>
      <c r="C845" s="57">
        <f>CRM_MAGDY!H845</f>
        <v>6281</v>
      </c>
      <c r="D845" s="57">
        <f>CRM_MAGDY!I845</f>
        <v>0</v>
      </c>
      <c r="E845" s="57">
        <f>IFERROR(VALUE(CRM_MAGDY!K845),0)</f>
        <v>0</v>
      </c>
      <c r="F845" s="57">
        <f>IFERROR(IF(CRM_MAGDY!L845&gt;1,CRM_MAGDY!L845/100,CRM_MAGDY!L845),0)</f>
        <v>0</v>
      </c>
      <c r="G845" s="57">
        <f>CRM_MAGDY!N845</f>
        <v>0</v>
      </c>
      <c r="H845" s="57">
        <f>CRM_MAGDY!M845</f>
        <v>0</v>
      </c>
      <c r="I845" s="57">
        <f t="shared" si="26"/>
        <v>0</v>
      </c>
      <c r="J845" s="57" t="str">
        <f t="shared" si="27"/>
        <v>POTENCJAŁ</v>
      </c>
    </row>
    <row r="846" spans="1:10" x14ac:dyDescent="0.25">
      <c r="A846" s="57" t="str">
        <f>IF(CRM_MAGDY!H846="","","CRM-"&amp;TEXT(ROW()-4,"0000"))</f>
        <v>CRM-0842</v>
      </c>
      <c r="B846" s="57">
        <f>CRM_MAGDY!E846</f>
        <v>0</v>
      </c>
      <c r="C846" s="57">
        <f>CRM_MAGDY!H846</f>
        <v>6282</v>
      </c>
      <c r="D846" s="57">
        <f>CRM_MAGDY!I846</f>
        <v>0</v>
      </c>
      <c r="E846" s="57">
        <f>IFERROR(VALUE(CRM_MAGDY!K846),0)</f>
        <v>0</v>
      </c>
      <c r="F846" s="57">
        <f>IFERROR(IF(CRM_MAGDY!L846&gt;1,CRM_MAGDY!L846/100,CRM_MAGDY!L846),0)</f>
        <v>0</v>
      </c>
      <c r="G846" s="57">
        <f>CRM_MAGDY!N846</f>
        <v>0</v>
      </c>
      <c r="H846" s="57">
        <f>CRM_MAGDY!M846</f>
        <v>0</v>
      </c>
      <c r="I846" s="57">
        <f t="shared" si="26"/>
        <v>0</v>
      </c>
      <c r="J846" s="57" t="str">
        <f t="shared" si="27"/>
        <v>POTENCJAŁ</v>
      </c>
    </row>
    <row r="847" spans="1:10" x14ac:dyDescent="0.25">
      <c r="A847" s="57" t="str">
        <f>IF(CRM_MAGDY!H847="","","CRM-"&amp;TEXT(ROW()-4,"0000"))</f>
        <v>CRM-0843</v>
      </c>
      <c r="B847" s="57">
        <f>CRM_MAGDY!E847</f>
        <v>0</v>
      </c>
      <c r="C847" s="57">
        <f>CRM_MAGDY!H847</f>
        <v>6283</v>
      </c>
      <c r="D847" s="57">
        <f>CRM_MAGDY!I847</f>
        <v>0</v>
      </c>
      <c r="E847" s="57">
        <f>IFERROR(VALUE(CRM_MAGDY!K847),0)</f>
        <v>0</v>
      </c>
      <c r="F847" s="57">
        <f>IFERROR(IF(CRM_MAGDY!L847&gt;1,CRM_MAGDY!L847/100,CRM_MAGDY!L847),0)</f>
        <v>0</v>
      </c>
      <c r="G847" s="57">
        <f>CRM_MAGDY!N847</f>
        <v>0</v>
      </c>
      <c r="H847" s="57">
        <f>CRM_MAGDY!M847</f>
        <v>0</v>
      </c>
      <c r="I847" s="57">
        <f t="shared" si="26"/>
        <v>0</v>
      </c>
      <c r="J847" s="57" t="str">
        <f t="shared" si="27"/>
        <v>POTENCJAŁ</v>
      </c>
    </row>
    <row r="848" spans="1:10" x14ac:dyDescent="0.25">
      <c r="A848" s="57" t="str">
        <f>IF(CRM_MAGDY!H848="","","CRM-"&amp;TEXT(ROW()-4,"0000"))</f>
        <v>CRM-0844</v>
      </c>
      <c r="B848" s="57">
        <f>CRM_MAGDY!E848</f>
        <v>0</v>
      </c>
      <c r="C848" s="57">
        <f>CRM_MAGDY!H848</f>
        <v>6284</v>
      </c>
      <c r="D848" s="57">
        <f>CRM_MAGDY!I848</f>
        <v>0</v>
      </c>
      <c r="E848" s="57">
        <f>IFERROR(VALUE(CRM_MAGDY!K848),0)</f>
        <v>0</v>
      </c>
      <c r="F848" s="57">
        <f>IFERROR(IF(CRM_MAGDY!L848&gt;1,CRM_MAGDY!L848/100,CRM_MAGDY!L848),0)</f>
        <v>0</v>
      </c>
      <c r="G848" s="57">
        <f>CRM_MAGDY!N848</f>
        <v>0</v>
      </c>
      <c r="H848" s="57">
        <f>CRM_MAGDY!M848</f>
        <v>0</v>
      </c>
      <c r="I848" s="57">
        <f t="shared" si="26"/>
        <v>0</v>
      </c>
      <c r="J848" s="57" t="str">
        <f t="shared" si="27"/>
        <v>POTENCJAŁ</v>
      </c>
    </row>
    <row r="849" spans="1:10" x14ac:dyDescent="0.25">
      <c r="A849" s="57" t="str">
        <f>IF(CRM_MAGDY!H849="","","CRM-"&amp;TEXT(ROW()-4,"0000"))</f>
        <v>CRM-0845</v>
      </c>
      <c r="B849" s="57">
        <f>CRM_MAGDY!E849</f>
        <v>0</v>
      </c>
      <c r="C849" s="57">
        <f>CRM_MAGDY!H849</f>
        <v>6285</v>
      </c>
      <c r="D849" s="57">
        <f>CRM_MAGDY!I849</f>
        <v>0</v>
      </c>
      <c r="E849" s="57">
        <f>IFERROR(VALUE(CRM_MAGDY!K849),0)</f>
        <v>0</v>
      </c>
      <c r="F849" s="57">
        <f>IFERROR(IF(CRM_MAGDY!L849&gt;1,CRM_MAGDY!L849/100,CRM_MAGDY!L849),0)</f>
        <v>0</v>
      </c>
      <c r="G849" s="57">
        <f>CRM_MAGDY!N849</f>
        <v>0</v>
      </c>
      <c r="H849" s="57">
        <f>CRM_MAGDY!M849</f>
        <v>0</v>
      </c>
      <c r="I849" s="57">
        <f t="shared" si="26"/>
        <v>0</v>
      </c>
      <c r="J849" s="57" t="str">
        <f t="shared" si="27"/>
        <v>POTENCJAŁ</v>
      </c>
    </row>
    <row r="850" spans="1:10" x14ac:dyDescent="0.25">
      <c r="A850" s="57" t="str">
        <f>IF(CRM_MAGDY!H850="","","CRM-"&amp;TEXT(ROW()-4,"0000"))</f>
        <v>CRM-0846</v>
      </c>
      <c r="B850" s="57">
        <f>CRM_MAGDY!E850</f>
        <v>0</v>
      </c>
      <c r="C850" s="57">
        <f>CRM_MAGDY!H850</f>
        <v>6286</v>
      </c>
      <c r="D850" s="57">
        <f>CRM_MAGDY!I850</f>
        <v>0</v>
      </c>
      <c r="E850" s="57">
        <f>IFERROR(VALUE(CRM_MAGDY!K850),0)</f>
        <v>0</v>
      </c>
      <c r="F850" s="57">
        <f>IFERROR(IF(CRM_MAGDY!L850&gt;1,CRM_MAGDY!L850/100,CRM_MAGDY!L850),0)</f>
        <v>0</v>
      </c>
      <c r="G850" s="57">
        <f>CRM_MAGDY!N850</f>
        <v>0</v>
      </c>
      <c r="H850" s="57">
        <f>CRM_MAGDY!M850</f>
        <v>0</v>
      </c>
      <c r="I850" s="57">
        <f t="shared" si="26"/>
        <v>0</v>
      </c>
      <c r="J850" s="57" t="str">
        <f t="shared" si="27"/>
        <v>POTENCJAŁ</v>
      </c>
    </row>
    <row r="851" spans="1:10" x14ac:dyDescent="0.25">
      <c r="A851" s="57" t="str">
        <f>IF(CRM_MAGDY!H851="","","CRM-"&amp;TEXT(ROW()-4,"0000"))</f>
        <v>CRM-0847</v>
      </c>
      <c r="B851" s="57">
        <f>CRM_MAGDY!E851</f>
        <v>0</v>
      </c>
      <c r="C851" s="57">
        <f>CRM_MAGDY!H851</f>
        <v>6287</v>
      </c>
      <c r="D851" s="57">
        <f>CRM_MAGDY!I851</f>
        <v>0</v>
      </c>
      <c r="E851" s="57">
        <f>IFERROR(VALUE(CRM_MAGDY!K851),0)</f>
        <v>0</v>
      </c>
      <c r="F851" s="57">
        <f>IFERROR(IF(CRM_MAGDY!L851&gt;1,CRM_MAGDY!L851/100,CRM_MAGDY!L851),0)</f>
        <v>0</v>
      </c>
      <c r="G851" s="57">
        <f>CRM_MAGDY!N851</f>
        <v>0</v>
      </c>
      <c r="H851" s="57">
        <f>CRM_MAGDY!M851</f>
        <v>0</v>
      </c>
      <c r="I851" s="57">
        <f t="shared" si="26"/>
        <v>0</v>
      </c>
      <c r="J851" s="57" t="str">
        <f t="shared" si="27"/>
        <v>POTENCJAŁ</v>
      </c>
    </row>
    <row r="852" spans="1:10" x14ac:dyDescent="0.25">
      <c r="A852" s="57" t="str">
        <f>IF(CRM_MAGDY!H852="","","CRM-"&amp;TEXT(ROW()-4,"0000"))</f>
        <v>CRM-0848</v>
      </c>
      <c r="B852" s="57">
        <f>CRM_MAGDY!E852</f>
        <v>0</v>
      </c>
      <c r="C852" s="57">
        <f>CRM_MAGDY!H852</f>
        <v>6288</v>
      </c>
      <c r="D852" s="57">
        <f>CRM_MAGDY!I852</f>
        <v>0</v>
      </c>
      <c r="E852" s="57">
        <f>IFERROR(VALUE(CRM_MAGDY!K852),0)</f>
        <v>0</v>
      </c>
      <c r="F852" s="57">
        <f>IFERROR(IF(CRM_MAGDY!L852&gt;1,CRM_MAGDY!L852/100,CRM_MAGDY!L852),0)</f>
        <v>0</v>
      </c>
      <c r="G852" s="57">
        <f>CRM_MAGDY!N852</f>
        <v>0</v>
      </c>
      <c r="H852" s="57">
        <f>CRM_MAGDY!M852</f>
        <v>0</v>
      </c>
      <c r="I852" s="57">
        <f t="shared" si="26"/>
        <v>0</v>
      </c>
      <c r="J852" s="57" t="str">
        <f t="shared" si="27"/>
        <v>POTENCJAŁ</v>
      </c>
    </row>
    <row r="853" spans="1:10" x14ac:dyDescent="0.25">
      <c r="A853" s="57" t="str">
        <f>IF(CRM_MAGDY!H853="","","CRM-"&amp;TEXT(ROW()-4,"0000"))</f>
        <v>CRM-0849</v>
      </c>
      <c r="B853" s="57">
        <f>CRM_MAGDY!E853</f>
        <v>0</v>
      </c>
      <c r="C853" s="57">
        <f>CRM_MAGDY!H853</f>
        <v>6289</v>
      </c>
      <c r="D853" s="57">
        <f>CRM_MAGDY!I853</f>
        <v>0</v>
      </c>
      <c r="E853" s="57">
        <f>IFERROR(VALUE(CRM_MAGDY!K853),0)</f>
        <v>0</v>
      </c>
      <c r="F853" s="57">
        <f>IFERROR(IF(CRM_MAGDY!L853&gt;1,CRM_MAGDY!L853/100,CRM_MAGDY!L853),0)</f>
        <v>0</v>
      </c>
      <c r="G853" s="57">
        <f>CRM_MAGDY!N853</f>
        <v>0</v>
      </c>
      <c r="H853" s="57">
        <f>CRM_MAGDY!M853</f>
        <v>0</v>
      </c>
      <c r="I853" s="57">
        <f t="shared" si="26"/>
        <v>0</v>
      </c>
      <c r="J853" s="57" t="str">
        <f t="shared" si="27"/>
        <v>POTENCJAŁ</v>
      </c>
    </row>
    <row r="854" spans="1:10" x14ac:dyDescent="0.25">
      <c r="A854" s="57" t="str">
        <f>IF(CRM_MAGDY!H854="","","CRM-"&amp;TEXT(ROW()-4,"0000"))</f>
        <v>CRM-0850</v>
      </c>
      <c r="B854" s="57">
        <f>CRM_MAGDY!E854</f>
        <v>0</v>
      </c>
      <c r="C854" s="57">
        <f>CRM_MAGDY!H854</f>
        <v>6290</v>
      </c>
      <c r="D854" s="57">
        <f>CRM_MAGDY!I854</f>
        <v>0</v>
      </c>
      <c r="E854" s="57">
        <f>IFERROR(VALUE(CRM_MAGDY!K854),0)</f>
        <v>0</v>
      </c>
      <c r="F854" s="57">
        <f>IFERROR(IF(CRM_MAGDY!L854&gt;1,CRM_MAGDY!L854/100,CRM_MAGDY!L854),0)</f>
        <v>0</v>
      </c>
      <c r="G854" s="57">
        <f>CRM_MAGDY!N854</f>
        <v>0</v>
      </c>
      <c r="H854" s="57">
        <f>CRM_MAGDY!M854</f>
        <v>0</v>
      </c>
      <c r="I854" s="57">
        <f t="shared" si="26"/>
        <v>0</v>
      </c>
      <c r="J854" s="57" t="str">
        <f t="shared" si="27"/>
        <v>POTENCJAŁ</v>
      </c>
    </row>
    <row r="855" spans="1:10" x14ac:dyDescent="0.25">
      <c r="A855" s="57" t="str">
        <f>IF(CRM_MAGDY!H855="","","CRM-"&amp;TEXT(ROW()-4,"0000"))</f>
        <v>CRM-0851</v>
      </c>
      <c r="B855" s="57">
        <f>CRM_MAGDY!E855</f>
        <v>0</v>
      </c>
      <c r="C855" s="57">
        <f>CRM_MAGDY!H855</f>
        <v>6291</v>
      </c>
      <c r="D855" s="57">
        <f>CRM_MAGDY!I855</f>
        <v>0</v>
      </c>
      <c r="E855" s="57">
        <f>IFERROR(VALUE(CRM_MAGDY!K855),0)</f>
        <v>0</v>
      </c>
      <c r="F855" s="57">
        <f>IFERROR(IF(CRM_MAGDY!L855&gt;1,CRM_MAGDY!L855/100,CRM_MAGDY!L855),0)</f>
        <v>0</v>
      </c>
      <c r="G855" s="57">
        <f>CRM_MAGDY!N855</f>
        <v>0</v>
      </c>
      <c r="H855" s="57">
        <f>CRM_MAGDY!M855</f>
        <v>0</v>
      </c>
      <c r="I855" s="57">
        <f t="shared" si="26"/>
        <v>0</v>
      </c>
      <c r="J855" s="57" t="str">
        <f t="shared" si="27"/>
        <v>POTENCJAŁ</v>
      </c>
    </row>
    <row r="856" spans="1:10" x14ac:dyDescent="0.25">
      <c r="A856" s="57" t="str">
        <f>IF(CRM_MAGDY!H856="","","CRM-"&amp;TEXT(ROW()-4,"0000"))</f>
        <v>CRM-0852</v>
      </c>
      <c r="B856" s="57">
        <f>CRM_MAGDY!E856</f>
        <v>0</v>
      </c>
      <c r="C856" s="57">
        <f>CRM_MAGDY!H856</f>
        <v>6292</v>
      </c>
      <c r="D856" s="57">
        <f>CRM_MAGDY!I856</f>
        <v>0</v>
      </c>
      <c r="E856" s="57">
        <f>IFERROR(VALUE(CRM_MAGDY!K856),0)</f>
        <v>0</v>
      </c>
      <c r="F856" s="57">
        <f>IFERROR(IF(CRM_MAGDY!L856&gt;1,CRM_MAGDY!L856/100,CRM_MAGDY!L856),0)</f>
        <v>0</v>
      </c>
      <c r="G856" s="57">
        <f>CRM_MAGDY!N856</f>
        <v>0</v>
      </c>
      <c r="H856" s="57">
        <f>CRM_MAGDY!M856</f>
        <v>0</v>
      </c>
      <c r="I856" s="57">
        <f t="shared" si="26"/>
        <v>0</v>
      </c>
      <c r="J856" s="57" t="str">
        <f t="shared" si="27"/>
        <v>POTENCJAŁ</v>
      </c>
    </row>
    <row r="857" spans="1:10" x14ac:dyDescent="0.25">
      <c r="A857" s="57" t="str">
        <f>IF(CRM_MAGDY!H857="","","CRM-"&amp;TEXT(ROW()-4,"0000"))</f>
        <v>CRM-0853</v>
      </c>
      <c r="B857" s="57">
        <f>CRM_MAGDY!E857</f>
        <v>0</v>
      </c>
      <c r="C857" s="57">
        <f>CRM_MAGDY!H857</f>
        <v>6293</v>
      </c>
      <c r="D857" s="57">
        <f>CRM_MAGDY!I857</f>
        <v>0</v>
      </c>
      <c r="E857" s="57">
        <f>IFERROR(VALUE(CRM_MAGDY!K857),0)</f>
        <v>0</v>
      </c>
      <c r="F857" s="57">
        <f>IFERROR(IF(CRM_MAGDY!L857&gt;1,CRM_MAGDY!L857/100,CRM_MAGDY!L857),0)</f>
        <v>0</v>
      </c>
      <c r="G857" s="57">
        <f>CRM_MAGDY!N857</f>
        <v>0</v>
      </c>
      <c r="H857" s="57">
        <f>CRM_MAGDY!M857</f>
        <v>0</v>
      </c>
      <c r="I857" s="57">
        <f t="shared" si="26"/>
        <v>0</v>
      </c>
      <c r="J857" s="57" t="str">
        <f t="shared" si="27"/>
        <v>POTENCJAŁ</v>
      </c>
    </row>
    <row r="858" spans="1:10" x14ac:dyDescent="0.25">
      <c r="A858" s="57" t="str">
        <f>IF(CRM_MAGDY!H858="","","CRM-"&amp;TEXT(ROW()-4,"0000"))</f>
        <v>CRM-0854</v>
      </c>
      <c r="B858" s="57">
        <f>CRM_MAGDY!E858</f>
        <v>0</v>
      </c>
      <c r="C858" s="57">
        <f>CRM_MAGDY!H858</f>
        <v>6294</v>
      </c>
      <c r="D858" s="57">
        <f>CRM_MAGDY!I858</f>
        <v>0</v>
      </c>
      <c r="E858" s="57">
        <f>IFERROR(VALUE(CRM_MAGDY!K858),0)</f>
        <v>0</v>
      </c>
      <c r="F858" s="57">
        <f>IFERROR(IF(CRM_MAGDY!L858&gt;1,CRM_MAGDY!L858/100,CRM_MAGDY!L858),0)</f>
        <v>0</v>
      </c>
      <c r="G858" s="57">
        <f>CRM_MAGDY!N858</f>
        <v>0</v>
      </c>
      <c r="H858" s="57">
        <f>CRM_MAGDY!M858</f>
        <v>0</v>
      </c>
      <c r="I858" s="57">
        <f t="shared" si="26"/>
        <v>0</v>
      </c>
      <c r="J858" s="57" t="str">
        <f t="shared" si="27"/>
        <v>POTENCJAŁ</v>
      </c>
    </row>
    <row r="859" spans="1:10" x14ac:dyDescent="0.25">
      <c r="A859" s="57" t="str">
        <f>IF(CRM_MAGDY!H859="","","CRM-"&amp;TEXT(ROW()-4,"0000"))</f>
        <v>CRM-0855</v>
      </c>
      <c r="B859" s="57">
        <f>CRM_MAGDY!E859</f>
        <v>0</v>
      </c>
      <c r="C859" s="57">
        <f>CRM_MAGDY!H859</f>
        <v>6295</v>
      </c>
      <c r="D859" s="57">
        <f>CRM_MAGDY!I859</f>
        <v>0</v>
      </c>
      <c r="E859" s="57">
        <f>IFERROR(VALUE(CRM_MAGDY!K859),0)</f>
        <v>0</v>
      </c>
      <c r="F859" s="57">
        <f>IFERROR(IF(CRM_MAGDY!L859&gt;1,CRM_MAGDY!L859/100,CRM_MAGDY!L859),0)</f>
        <v>0</v>
      </c>
      <c r="G859" s="57">
        <f>CRM_MAGDY!N859</f>
        <v>0</v>
      </c>
      <c r="H859" s="57">
        <f>CRM_MAGDY!M859</f>
        <v>0</v>
      </c>
      <c r="I859" s="57">
        <f t="shared" si="26"/>
        <v>0</v>
      </c>
      <c r="J859" s="57" t="str">
        <f t="shared" si="27"/>
        <v>POTENCJAŁ</v>
      </c>
    </row>
    <row r="860" spans="1:10" x14ac:dyDescent="0.25">
      <c r="A860" s="57" t="str">
        <f>IF(CRM_MAGDY!H860="","","CRM-"&amp;TEXT(ROW()-4,"0000"))</f>
        <v>CRM-0856</v>
      </c>
      <c r="B860" s="57">
        <f>CRM_MAGDY!E860</f>
        <v>0</v>
      </c>
      <c r="C860" s="57">
        <f>CRM_MAGDY!H860</f>
        <v>6296</v>
      </c>
      <c r="D860" s="57">
        <f>CRM_MAGDY!I860</f>
        <v>0</v>
      </c>
      <c r="E860" s="57">
        <f>IFERROR(VALUE(CRM_MAGDY!K860),0)</f>
        <v>0</v>
      </c>
      <c r="F860" s="57">
        <f>IFERROR(IF(CRM_MAGDY!L860&gt;1,CRM_MAGDY!L860/100,CRM_MAGDY!L860),0)</f>
        <v>0</v>
      </c>
      <c r="G860" s="57">
        <f>CRM_MAGDY!N860</f>
        <v>0</v>
      </c>
      <c r="H860" s="57">
        <f>CRM_MAGDY!M860</f>
        <v>0</v>
      </c>
      <c r="I860" s="57">
        <f t="shared" si="26"/>
        <v>0</v>
      </c>
      <c r="J860" s="57" t="str">
        <f t="shared" si="27"/>
        <v>POTENCJAŁ</v>
      </c>
    </row>
    <row r="861" spans="1:10" x14ac:dyDescent="0.25">
      <c r="A861" s="57" t="str">
        <f>IF(CRM_MAGDY!H861="","","CRM-"&amp;TEXT(ROW()-4,"0000"))</f>
        <v>CRM-0857</v>
      </c>
      <c r="B861" s="57">
        <f>CRM_MAGDY!E861</f>
        <v>0</v>
      </c>
      <c r="C861" s="57">
        <f>CRM_MAGDY!H861</f>
        <v>6297</v>
      </c>
      <c r="D861" s="57">
        <f>CRM_MAGDY!I861</f>
        <v>0</v>
      </c>
      <c r="E861" s="57">
        <f>IFERROR(VALUE(CRM_MAGDY!K861),0)</f>
        <v>0</v>
      </c>
      <c r="F861" s="57">
        <f>IFERROR(IF(CRM_MAGDY!L861&gt;1,CRM_MAGDY!L861/100,CRM_MAGDY!L861),0)</f>
        <v>0</v>
      </c>
      <c r="G861" s="57">
        <f>CRM_MAGDY!N861</f>
        <v>0</v>
      </c>
      <c r="H861" s="57">
        <f>CRM_MAGDY!M861</f>
        <v>0</v>
      </c>
      <c r="I861" s="57">
        <f t="shared" si="26"/>
        <v>0</v>
      </c>
      <c r="J861" s="57" t="str">
        <f t="shared" si="27"/>
        <v>POTENCJAŁ</v>
      </c>
    </row>
    <row r="862" spans="1:10" x14ac:dyDescent="0.25">
      <c r="A862" s="57" t="str">
        <f>IF(CRM_MAGDY!H862="","","CRM-"&amp;TEXT(ROW()-4,"0000"))</f>
        <v>CRM-0858</v>
      </c>
      <c r="B862" s="57">
        <f>CRM_MAGDY!E862</f>
        <v>0</v>
      </c>
      <c r="C862" s="57">
        <f>CRM_MAGDY!H862</f>
        <v>6298</v>
      </c>
      <c r="D862" s="57">
        <f>CRM_MAGDY!I862</f>
        <v>0</v>
      </c>
      <c r="E862" s="57">
        <f>IFERROR(VALUE(CRM_MAGDY!K862),0)</f>
        <v>0</v>
      </c>
      <c r="F862" s="57">
        <f>IFERROR(IF(CRM_MAGDY!L862&gt;1,CRM_MAGDY!L862/100,CRM_MAGDY!L862),0)</f>
        <v>0</v>
      </c>
      <c r="G862" s="57">
        <f>CRM_MAGDY!N862</f>
        <v>0</v>
      </c>
      <c r="H862" s="57">
        <f>CRM_MAGDY!M862</f>
        <v>0</v>
      </c>
      <c r="I862" s="57">
        <f t="shared" si="26"/>
        <v>0</v>
      </c>
      <c r="J862" s="57" t="str">
        <f t="shared" si="27"/>
        <v>POTENCJAŁ</v>
      </c>
    </row>
    <row r="863" spans="1:10" x14ac:dyDescent="0.25">
      <c r="A863" s="57" t="str">
        <f>IF(CRM_MAGDY!H863="","","CRM-"&amp;TEXT(ROW()-4,"0000"))</f>
        <v>CRM-0859</v>
      </c>
      <c r="B863" s="57">
        <f>CRM_MAGDY!E863</f>
        <v>0</v>
      </c>
      <c r="C863" s="57">
        <f>CRM_MAGDY!H863</f>
        <v>6299</v>
      </c>
      <c r="D863" s="57">
        <f>CRM_MAGDY!I863</f>
        <v>0</v>
      </c>
      <c r="E863" s="57">
        <f>IFERROR(VALUE(CRM_MAGDY!K863),0)</f>
        <v>0</v>
      </c>
      <c r="F863" s="57">
        <f>IFERROR(IF(CRM_MAGDY!L863&gt;1,CRM_MAGDY!L863/100,CRM_MAGDY!L863),0)</f>
        <v>0</v>
      </c>
      <c r="G863" s="57">
        <f>CRM_MAGDY!N863</f>
        <v>0</v>
      </c>
      <c r="H863" s="57">
        <f>CRM_MAGDY!M863</f>
        <v>0</v>
      </c>
      <c r="I863" s="57">
        <f t="shared" si="26"/>
        <v>0</v>
      </c>
      <c r="J863" s="57" t="str">
        <f t="shared" si="27"/>
        <v>POTENCJAŁ</v>
      </c>
    </row>
    <row r="864" spans="1:10" x14ac:dyDescent="0.25">
      <c r="A864" s="57" t="str">
        <f>IF(CRM_MAGDY!H864="","","CRM-"&amp;TEXT(ROW()-4,"0000"))</f>
        <v>CRM-0860</v>
      </c>
      <c r="B864" s="57">
        <f>CRM_MAGDY!E864</f>
        <v>0</v>
      </c>
      <c r="C864" s="57">
        <f>CRM_MAGDY!H864</f>
        <v>6300</v>
      </c>
      <c r="D864" s="57">
        <f>CRM_MAGDY!I864</f>
        <v>0</v>
      </c>
      <c r="E864" s="57">
        <f>IFERROR(VALUE(CRM_MAGDY!K864),0)</f>
        <v>0</v>
      </c>
      <c r="F864" s="57">
        <f>IFERROR(IF(CRM_MAGDY!L864&gt;1,CRM_MAGDY!L864/100,CRM_MAGDY!L864),0)</f>
        <v>0</v>
      </c>
      <c r="G864" s="57">
        <f>CRM_MAGDY!N864</f>
        <v>0</v>
      </c>
      <c r="H864" s="57">
        <f>CRM_MAGDY!M864</f>
        <v>0</v>
      </c>
      <c r="I864" s="57">
        <f t="shared" si="26"/>
        <v>0</v>
      </c>
      <c r="J864" s="57" t="str">
        <f t="shared" si="27"/>
        <v>POTENCJAŁ</v>
      </c>
    </row>
    <row r="865" spans="1:10" x14ac:dyDescent="0.25">
      <c r="A865" s="57" t="str">
        <f>IF(CRM_MAGDY!H865="","","CRM-"&amp;TEXT(ROW()-4,"0000"))</f>
        <v>CRM-0861</v>
      </c>
      <c r="B865" s="57">
        <f>CRM_MAGDY!E865</f>
        <v>0</v>
      </c>
      <c r="C865" s="57">
        <f>CRM_MAGDY!H865</f>
        <v>6301</v>
      </c>
      <c r="D865" s="57">
        <f>CRM_MAGDY!I865</f>
        <v>0</v>
      </c>
      <c r="E865" s="57">
        <f>IFERROR(VALUE(CRM_MAGDY!K865),0)</f>
        <v>0</v>
      </c>
      <c r="F865" s="57">
        <f>IFERROR(IF(CRM_MAGDY!L865&gt;1,CRM_MAGDY!L865/100,CRM_MAGDY!L865),0)</f>
        <v>0</v>
      </c>
      <c r="G865" s="57">
        <f>CRM_MAGDY!N865</f>
        <v>0</v>
      </c>
      <c r="H865" s="57">
        <f>CRM_MAGDY!M865</f>
        <v>0</v>
      </c>
      <c r="I865" s="57">
        <f t="shared" si="26"/>
        <v>0</v>
      </c>
      <c r="J865" s="57" t="str">
        <f t="shared" si="27"/>
        <v>POTENCJAŁ</v>
      </c>
    </row>
    <row r="866" spans="1:10" x14ac:dyDescent="0.25">
      <c r="A866" s="57" t="str">
        <f>IF(CRM_MAGDY!H866="","","CRM-"&amp;TEXT(ROW()-4,"0000"))</f>
        <v>CRM-0862</v>
      </c>
      <c r="B866" s="57">
        <f>CRM_MAGDY!E866</f>
        <v>0</v>
      </c>
      <c r="C866" s="57">
        <f>CRM_MAGDY!H866</f>
        <v>6302</v>
      </c>
      <c r="D866" s="57">
        <f>CRM_MAGDY!I866</f>
        <v>0</v>
      </c>
      <c r="E866" s="57">
        <f>IFERROR(VALUE(CRM_MAGDY!K866),0)</f>
        <v>0</v>
      </c>
      <c r="F866" s="57">
        <f>IFERROR(IF(CRM_MAGDY!L866&gt;1,CRM_MAGDY!L866/100,CRM_MAGDY!L866),0)</f>
        <v>0</v>
      </c>
      <c r="G866" s="57">
        <f>CRM_MAGDY!N866</f>
        <v>0</v>
      </c>
      <c r="H866" s="57">
        <f>CRM_MAGDY!M866</f>
        <v>0</v>
      </c>
      <c r="I866" s="57">
        <f t="shared" si="26"/>
        <v>0</v>
      </c>
      <c r="J866" s="57" t="str">
        <f t="shared" si="27"/>
        <v>POTENCJAŁ</v>
      </c>
    </row>
    <row r="867" spans="1:10" x14ac:dyDescent="0.25">
      <c r="A867" s="57" t="str">
        <f>IF(CRM_MAGDY!H867="","","CRM-"&amp;TEXT(ROW()-4,"0000"))</f>
        <v>CRM-0863</v>
      </c>
      <c r="B867" s="57">
        <f>CRM_MAGDY!E867</f>
        <v>0</v>
      </c>
      <c r="C867" s="57">
        <f>CRM_MAGDY!H867</f>
        <v>6303</v>
      </c>
      <c r="D867" s="57">
        <f>CRM_MAGDY!I867</f>
        <v>0</v>
      </c>
      <c r="E867" s="57">
        <f>IFERROR(VALUE(CRM_MAGDY!K867),0)</f>
        <v>0</v>
      </c>
      <c r="F867" s="57">
        <f>IFERROR(IF(CRM_MAGDY!L867&gt;1,CRM_MAGDY!L867/100,CRM_MAGDY!L867),0)</f>
        <v>0</v>
      </c>
      <c r="G867" s="57">
        <f>CRM_MAGDY!N867</f>
        <v>0</v>
      </c>
      <c r="H867" s="57">
        <f>CRM_MAGDY!M867</f>
        <v>0</v>
      </c>
      <c r="I867" s="57">
        <f t="shared" si="26"/>
        <v>0</v>
      </c>
      <c r="J867" s="57" t="str">
        <f t="shared" si="27"/>
        <v>POTENCJAŁ</v>
      </c>
    </row>
    <row r="868" spans="1:10" x14ac:dyDescent="0.25">
      <c r="A868" s="57" t="str">
        <f>IF(CRM_MAGDY!H868="","","CRM-"&amp;TEXT(ROW()-4,"0000"))</f>
        <v>CRM-0864</v>
      </c>
      <c r="B868" s="57">
        <f>CRM_MAGDY!E868</f>
        <v>0</v>
      </c>
      <c r="C868" s="57">
        <f>CRM_MAGDY!H868</f>
        <v>6304</v>
      </c>
      <c r="D868" s="57">
        <f>CRM_MAGDY!I868</f>
        <v>0</v>
      </c>
      <c r="E868" s="57">
        <f>IFERROR(VALUE(CRM_MAGDY!K868),0)</f>
        <v>0</v>
      </c>
      <c r="F868" s="57">
        <f>IFERROR(IF(CRM_MAGDY!L868&gt;1,CRM_MAGDY!L868/100,CRM_MAGDY!L868),0)</f>
        <v>0</v>
      </c>
      <c r="G868" s="57">
        <f>CRM_MAGDY!N868</f>
        <v>0</v>
      </c>
      <c r="H868" s="57">
        <f>CRM_MAGDY!M868</f>
        <v>0</v>
      </c>
      <c r="I868" s="57">
        <f t="shared" si="26"/>
        <v>0</v>
      </c>
      <c r="J868" s="57" t="str">
        <f t="shared" si="27"/>
        <v>POTENCJAŁ</v>
      </c>
    </row>
    <row r="869" spans="1:10" x14ac:dyDescent="0.25">
      <c r="A869" s="57" t="str">
        <f>IF(CRM_MAGDY!H869="","","CRM-"&amp;TEXT(ROW()-4,"0000"))</f>
        <v>CRM-0865</v>
      </c>
      <c r="B869" s="57">
        <f>CRM_MAGDY!E869</f>
        <v>0</v>
      </c>
      <c r="C869" s="57">
        <f>CRM_MAGDY!H869</f>
        <v>6305</v>
      </c>
      <c r="D869" s="57">
        <f>CRM_MAGDY!I869</f>
        <v>0</v>
      </c>
      <c r="E869" s="57">
        <f>IFERROR(VALUE(CRM_MAGDY!K869),0)</f>
        <v>0</v>
      </c>
      <c r="F869" s="57">
        <f>IFERROR(IF(CRM_MAGDY!L869&gt;1,CRM_MAGDY!L869/100,CRM_MAGDY!L869),0)</f>
        <v>0</v>
      </c>
      <c r="G869" s="57">
        <f>CRM_MAGDY!N869</f>
        <v>0</v>
      </c>
      <c r="H869" s="57">
        <f>CRM_MAGDY!M869</f>
        <v>0</v>
      </c>
      <c r="I869" s="57">
        <f t="shared" si="26"/>
        <v>0</v>
      </c>
      <c r="J869" s="57" t="str">
        <f t="shared" si="27"/>
        <v>POTENCJAŁ</v>
      </c>
    </row>
    <row r="870" spans="1:10" x14ac:dyDescent="0.25">
      <c r="A870" s="57" t="str">
        <f>IF(CRM_MAGDY!H870="","","CRM-"&amp;TEXT(ROW()-4,"0000"))</f>
        <v>CRM-0866</v>
      </c>
      <c r="B870" s="57">
        <f>CRM_MAGDY!E870</f>
        <v>0</v>
      </c>
      <c r="C870" s="57">
        <f>CRM_MAGDY!H870</f>
        <v>6306</v>
      </c>
      <c r="D870" s="57">
        <f>CRM_MAGDY!I870</f>
        <v>0</v>
      </c>
      <c r="E870" s="57">
        <f>IFERROR(VALUE(CRM_MAGDY!K870),0)</f>
        <v>0</v>
      </c>
      <c r="F870" s="57">
        <f>IFERROR(IF(CRM_MAGDY!L870&gt;1,CRM_MAGDY!L870/100,CRM_MAGDY!L870),0)</f>
        <v>0</v>
      </c>
      <c r="G870" s="57">
        <f>CRM_MAGDY!N870</f>
        <v>0</v>
      </c>
      <c r="H870" s="57">
        <f>CRM_MAGDY!M870</f>
        <v>0</v>
      </c>
      <c r="I870" s="57">
        <f t="shared" si="26"/>
        <v>0</v>
      </c>
      <c r="J870" s="57" t="str">
        <f t="shared" si="27"/>
        <v>POTENCJAŁ</v>
      </c>
    </row>
    <row r="871" spans="1:10" x14ac:dyDescent="0.25">
      <c r="A871" s="57" t="str">
        <f>IF(CRM_MAGDY!H871="","","CRM-"&amp;TEXT(ROW()-4,"0000"))</f>
        <v>CRM-0867</v>
      </c>
      <c r="B871" s="57">
        <f>CRM_MAGDY!E871</f>
        <v>0</v>
      </c>
      <c r="C871" s="57">
        <f>CRM_MAGDY!H871</f>
        <v>6307</v>
      </c>
      <c r="D871" s="57">
        <f>CRM_MAGDY!I871</f>
        <v>0</v>
      </c>
      <c r="E871" s="57">
        <f>IFERROR(VALUE(CRM_MAGDY!K871),0)</f>
        <v>0</v>
      </c>
      <c r="F871" s="57">
        <f>IFERROR(IF(CRM_MAGDY!L871&gt;1,CRM_MAGDY!L871/100,CRM_MAGDY!L871),0)</f>
        <v>0</v>
      </c>
      <c r="G871" s="57">
        <f>CRM_MAGDY!N871</f>
        <v>0</v>
      </c>
      <c r="H871" s="57">
        <f>CRM_MAGDY!M871</f>
        <v>0</v>
      </c>
      <c r="I871" s="57">
        <f t="shared" si="26"/>
        <v>0</v>
      </c>
      <c r="J871" s="57" t="str">
        <f t="shared" si="27"/>
        <v>POTENCJAŁ</v>
      </c>
    </row>
    <row r="872" spans="1:10" x14ac:dyDescent="0.25">
      <c r="A872" s="57" t="str">
        <f>IF(CRM_MAGDY!H872="","","CRM-"&amp;TEXT(ROW()-4,"0000"))</f>
        <v>CRM-0868</v>
      </c>
      <c r="B872" s="57">
        <f>CRM_MAGDY!E872</f>
        <v>0</v>
      </c>
      <c r="C872" s="57">
        <f>CRM_MAGDY!H872</f>
        <v>6308</v>
      </c>
      <c r="D872" s="57">
        <f>CRM_MAGDY!I872</f>
        <v>0</v>
      </c>
      <c r="E872" s="57">
        <f>IFERROR(VALUE(CRM_MAGDY!K872),0)</f>
        <v>0</v>
      </c>
      <c r="F872" s="57">
        <f>IFERROR(IF(CRM_MAGDY!L872&gt;1,CRM_MAGDY!L872/100,CRM_MAGDY!L872),0)</f>
        <v>0</v>
      </c>
      <c r="G872" s="57">
        <f>CRM_MAGDY!N872</f>
        <v>0</v>
      </c>
      <c r="H872" s="57">
        <f>CRM_MAGDY!M872</f>
        <v>0</v>
      </c>
      <c r="I872" s="57">
        <f t="shared" si="26"/>
        <v>0</v>
      </c>
      <c r="J872" s="57" t="str">
        <f t="shared" si="27"/>
        <v>POTENCJAŁ</v>
      </c>
    </row>
    <row r="873" spans="1:10" x14ac:dyDescent="0.25">
      <c r="A873" s="57" t="str">
        <f>IF(CRM_MAGDY!H873="","","CRM-"&amp;TEXT(ROW()-4,"0000"))</f>
        <v>CRM-0869</v>
      </c>
      <c r="B873" s="57">
        <f>CRM_MAGDY!E873</f>
        <v>0</v>
      </c>
      <c r="C873" s="57">
        <f>CRM_MAGDY!H873</f>
        <v>6309</v>
      </c>
      <c r="D873" s="57">
        <f>CRM_MAGDY!I873</f>
        <v>0</v>
      </c>
      <c r="E873" s="57">
        <f>IFERROR(VALUE(CRM_MAGDY!K873),0)</f>
        <v>0</v>
      </c>
      <c r="F873" s="57">
        <f>IFERROR(IF(CRM_MAGDY!L873&gt;1,CRM_MAGDY!L873/100,CRM_MAGDY!L873),0)</f>
        <v>0</v>
      </c>
      <c r="G873" s="57">
        <f>CRM_MAGDY!N873</f>
        <v>0</v>
      </c>
      <c r="H873" s="57">
        <f>CRM_MAGDY!M873</f>
        <v>0</v>
      </c>
      <c r="I873" s="57">
        <f t="shared" si="26"/>
        <v>0</v>
      </c>
      <c r="J873" s="57" t="str">
        <f t="shared" si="27"/>
        <v>POTENCJAŁ</v>
      </c>
    </row>
    <row r="874" spans="1:10" x14ac:dyDescent="0.25">
      <c r="A874" s="57" t="str">
        <f>IF(CRM_MAGDY!H874="","","CRM-"&amp;TEXT(ROW()-4,"0000"))</f>
        <v>CRM-0870</v>
      </c>
      <c r="B874" s="57">
        <f>CRM_MAGDY!E874</f>
        <v>0</v>
      </c>
      <c r="C874" s="57">
        <f>CRM_MAGDY!H874</f>
        <v>6310</v>
      </c>
      <c r="D874" s="57">
        <f>CRM_MAGDY!I874</f>
        <v>0</v>
      </c>
      <c r="E874" s="57">
        <f>IFERROR(VALUE(CRM_MAGDY!K874),0)</f>
        <v>0</v>
      </c>
      <c r="F874" s="57">
        <f>IFERROR(IF(CRM_MAGDY!L874&gt;1,CRM_MAGDY!L874/100,CRM_MAGDY!L874),0)</f>
        <v>0</v>
      </c>
      <c r="G874" s="57">
        <f>CRM_MAGDY!N874</f>
        <v>0</v>
      </c>
      <c r="H874" s="57">
        <f>CRM_MAGDY!M874</f>
        <v>0</v>
      </c>
      <c r="I874" s="57">
        <f t="shared" si="26"/>
        <v>0</v>
      </c>
      <c r="J874" s="57" t="str">
        <f t="shared" si="27"/>
        <v>POTENCJAŁ</v>
      </c>
    </row>
    <row r="875" spans="1:10" x14ac:dyDescent="0.25">
      <c r="A875" s="57" t="str">
        <f>IF(CRM_MAGDY!H875="","","CRM-"&amp;TEXT(ROW()-4,"0000"))</f>
        <v>CRM-0871</v>
      </c>
      <c r="B875" s="57">
        <f>CRM_MAGDY!E875</f>
        <v>0</v>
      </c>
      <c r="C875" s="57">
        <f>CRM_MAGDY!H875</f>
        <v>6311</v>
      </c>
      <c r="D875" s="57">
        <f>CRM_MAGDY!I875</f>
        <v>0</v>
      </c>
      <c r="E875" s="57">
        <f>IFERROR(VALUE(CRM_MAGDY!K875),0)</f>
        <v>0</v>
      </c>
      <c r="F875" s="57">
        <f>IFERROR(IF(CRM_MAGDY!L875&gt;1,CRM_MAGDY!L875/100,CRM_MAGDY!L875),0)</f>
        <v>0</v>
      </c>
      <c r="G875" s="57">
        <f>CRM_MAGDY!N875</f>
        <v>0</v>
      </c>
      <c r="H875" s="57">
        <f>CRM_MAGDY!M875</f>
        <v>0</v>
      </c>
      <c r="I875" s="57">
        <f t="shared" si="26"/>
        <v>0</v>
      </c>
      <c r="J875" s="57" t="str">
        <f t="shared" si="27"/>
        <v>POTENCJAŁ</v>
      </c>
    </row>
    <row r="876" spans="1:10" x14ac:dyDescent="0.25">
      <c r="A876" s="57" t="str">
        <f>IF(CRM_MAGDY!H876="","","CRM-"&amp;TEXT(ROW()-4,"0000"))</f>
        <v>CRM-0872</v>
      </c>
      <c r="B876" s="57">
        <f>CRM_MAGDY!E876</f>
        <v>0</v>
      </c>
      <c r="C876" s="57">
        <f>CRM_MAGDY!H876</f>
        <v>6312</v>
      </c>
      <c r="D876" s="57">
        <f>CRM_MAGDY!I876</f>
        <v>0</v>
      </c>
      <c r="E876" s="57">
        <f>IFERROR(VALUE(CRM_MAGDY!K876),0)</f>
        <v>0</v>
      </c>
      <c r="F876" s="57">
        <f>IFERROR(IF(CRM_MAGDY!L876&gt;1,CRM_MAGDY!L876/100,CRM_MAGDY!L876),0)</f>
        <v>0</v>
      </c>
      <c r="G876" s="57">
        <f>CRM_MAGDY!N876</f>
        <v>0</v>
      </c>
      <c r="H876" s="57">
        <f>CRM_MAGDY!M876</f>
        <v>0</v>
      </c>
      <c r="I876" s="57">
        <f t="shared" si="26"/>
        <v>0</v>
      </c>
      <c r="J876" s="57" t="str">
        <f t="shared" si="27"/>
        <v>POTENCJAŁ</v>
      </c>
    </row>
    <row r="877" spans="1:10" x14ac:dyDescent="0.25">
      <c r="A877" s="57" t="str">
        <f>IF(CRM_MAGDY!H877="","","CRM-"&amp;TEXT(ROW()-4,"0000"))</f>
        <v>CRM-0873</v>
      </c>
      <c r="B877" s="57">
        <f>CRM_MAGDY!E877</f>
        <v>0</v>
      </c>
      <c r="C877" s="57">
        <f>CRM_MAGDY!H877</f>
        <v>6313</v>
      </c>
      <c r="D877" s="57">
        <f>CRM_MAGDY!I877</f>
        <v>0</v>
      </c>
      <c r="E877" s="57">
        <f>IFERROR(VALUE(CRM_MAGDY!K877),0)</f>
        <v>0</v>
      </c>
      <c r="F877" s="57">
        <f>IFERROR(IF(CRM_MAGDY!L877&gt;1,CRM_MAGDY!L877/100,CRM_MAGDY!L877),0)</f>
        <v>0</v>
      </c>
      <c r="G877" s="57">
        <f>CRM_MAGDY!N877</f>
        <v>0</v>
      </c>
      <c r="H877" s="57">
        <f>CRM_MAGDY!M877</f>
        <v>0</v>
      </c>
      <c r="I877" s="57">
        <f t="shared" si="26"/>
        <v>0</v>
      </c>
      <c r="J877" s="57" t="str">
        <f t="shared" si="27"/>
        <v>POTENCJAŁ</v>
      </c>
    </row>
    <row r="878" spans="1:10" x14ac:dyDescent="0.25">
      <c r="A878" s="57" t="str">
        <f>IF(CRM_MAGDY!H878="","","CRM-"&amp;TEXT(ROW()-4,"0000"))</f>
        <v>CRM-0874</v>
      </c>
      <c r="B878" s="57">
        <f>CRM_MAGDY!E878</f>
        <v>0</v>
      </c>
      <c r="C878" s="57">
        <f>CRM_MAGDY!H878</f>
        <v>6314</v>
      </c>
      <c r="D878" s="57">
        <f>CRM_MAGDY!I878</f>
        <v>0</v>
      </c>
      <c r="E878" s="57">
        <f>IFERROR(VALUE(CRM_MAGDY!K878),0)</f>
        <v>0</v>
      </c>
      <c r="F878" s="57">
        <f>IFERROR(IF(CRM_MAGDY!L878&gt;1,CRM_MAGDY!L878/100,CRM_MAGDY!L878),0)</f>
        <v>0</v>
      </c>
      <c r="G878" s="57">
        <f>CRM_MAGDY!N878</f>
        <v>0</v>
      </c>
      <c r="H878" s="57">
        <f>CRM_MAGDY!M878</f>
        <v>0</v>
      </c>
      <c r="I878" s="57">
        <f t="shared" si="26"/>
        <v>0</v>
      </c>
      <c r="J878" s="57" t="str">
        <f t="shared" si="27"/>
        <v>POTENCJAŁ</v>
      </c>
    </row>
    <row r="879" spans="1:10" x14ac:dyDescent="0.25">
      <c r="A879" s="57" t="str">
        <f>IF(CRM_MAGDY!H879="","","CRM-"&amp;TEXT(ROW()-4,"0000"))</f>
        <v>CRM-0875</v>
      </c>
      <c r="B879" s="57">
        <f>CRM_MAGDY!E879</f>
        <v>0</v>
      </c>
      <c r="C879" s="57">
        <f>CRM_MAGDY!H879</f>
        <v>6315</v>
      </c>
      <c r="D879" s="57">
        <f>CRM_MAGDY!I879</f>
        <v>0</v>
      </c>
      <c r="E879" s="57">
        <f>IFERROR(VALUE(CRM_MAGDY!K879),0)</f>
        <v>0</v>
      </c>
      <c r="F879" s="57">
        <f>IFERROR(IF(CRM_MAGDY!L879&gt;1,CRM_MAGDY!L879/100,CRM_MAGDY!L879),0)</f>
        <v>0</v>
      </c>
      <c r="G879" s="57">
        <f>CRM_MAGDY!N879</f>
        <v>0</v>
      </c>
      <c r="H879" s="57">
        <f>CRM_MAGDY!M879</f>
        <v>0</v>
      </c>
      <c r="I879" s="57">
        <f t="shared" si="26"/>
        <v>0</v>
      </c>
      <c r="J879" s="57" t="str">
        <f t="shared" si="27"/>
        <v>POTENCJAŁ</v>
      </c>
    </row>
    <row r="880" spans="1:10" x14ac:dyDescent="0.25">
      <c r="A880" s="57" t="str">
        <f>IF(CRM_MAGDY!H880="","","CRM-"&amp;TEXT(ROW()-4,"0000"))</f>
        <v>CRM-0876</v>
      </c>
      <c r="B880" s="57">
        <f>CRM_MAGDY!E880</f>
        <v>0</v>
      </c>
      <c r="C880" s="57">
        <f>CRM_MAGDY!H880</f>
        <v>6316</v>
      </c>
      <c r="D880" s="57">
        <f>CRM_MAGDY!I880</f>
        <v>0</v>
      </c>
      <c r="E880" s="57">
        <f>IFERROR(VALUE(CRM_MAGDY!K880),0)</f>
        <v>0</v>
      </c>
      <c r="F880" s="57">
        <f>IFERROR(IF(CRM_MAGDY!L880&gt;1,CRM_MAGDY!L880/100,CRM_MAGDY!L880),0)</f>
        <v>0</v>
      </c>
      <c r="G880" s="57">
        <f>CRM_MAGDY!N880</f>
        <v>0</v>
      </c>
      <c r="H880" s="57">
        <f>CRM_MAGDY!M880</f>
        <v>0</v>
      </c>
      <c r="I880" s="57">
        <f t="shared" si="26"/>
        <v>0</v>
      </c>
      <c r="J880" s="57" t="str">
        <f t="shared" si="27"/>
        <v>POTENCJAŁ</v>
      </c>
    </row>
    <row r="881" spans="1:10" x14ac:dyDescent="0.25">
      <c r="A881" s="57" t="str">
        <f>IF(CRM_MAGDY!H881="","","CRM-"&amp;TEXT(ROW()-4,"0000"))</f>
        <v>CRM-0877</v>
      </c>
      <c r="B881" s="57">
        <f>CRM_MAGDY!E881</f>
        <v>0</v>
      </c>
      <c r="C881" s="57">
        <f>CRM_MAGDY!H881</f>
        <v>6317</v>
      </c>
      <c r="D881" s="57">
        <f>CRM_MAGDY!I881</f>
        <v>0</v>
      </c>
      <c r="E881" s="57">
        <f>IFERROR(VALUE(CRM_MAGDY!K881),0)</f>
        <v>0</v>
      </c>
      <c r="F881" s="57">
        <f>IFERROR(IF(CRM_MAGDY!L881&gt;1,CRM_MAGDY!L881/100,CRM_MAGDY!L881),0)</f>
        <v>0</v>
      </c>
      <c r="G881" s="57">
        <f>CRM_MAGDY!N881</f>
        <v>0</v>
      </c>
      <c r="H881" s="57">
        <f>CRM_MAGDY!M881</f>
        <v>0</v>
      </c>
      <c r="I881" s="57">
        <f t="shared" si="26"/>
        <v>0</v>
      </c>
      <c r="J881" s="57" t="str">
        <f t="shared" si="27"/>
        <v>POTENCJAŁ</v>
      </c>
    </row>
    <row r="882" spans="1:10" x14ac:dyDescent="0.25">
      <c r="A882" s="57" t="str">
        <f>IF(CRM_MAGDY!H882="","","CRM-"&amp;TEXT(ROW()-4,"0000"))</f>
        <v>CRM-0878</v>
      </c>
      <c r="B882" s="57">
        <f>CRM_MAGDY!E882</f>
        <v>0</v>
      </c>
      <c r="C882" s="57">
        <f>CRM_MAGDY!H882</f>
        <v>6318</v>
      </c>
      <c r="D882" s="57">
        <f>CRM_MAGDY!I882</f>
        <v>0</v>
      </c>
      <c r="E882" s="57">
        <f>IFERROR(VALUE(CRM_MAGDY!K882),0)</f>
        <v>0</v>
      </c>
      <c r="F882" s="57">
        <f>IFERROR(IF(CRM_MAGDY!L882&gt;1,CRM_MAGDY!L882/100,CRM_MAGDY!L882),0)</f>
        <v>0</v>
      </c>
      <c r="G882" s="57">
        <f>CRM_MAGDY!N882</f>
        <v>0</v>
      </c>
      <c r="H882" s="57">
        <f>CRM_MAGDY!M882</f>
        <v>0</v>
      </c>
      <c r="I882" s="57">
        <f t="shared" si="26"/>
        <v>0</v>
      </c>
      <c r="J882" s="57" t="str">
        <f t="shared" si="27"/>
        <v>POTENCJAŁ</v>
      </c>
    </row>
    <row r="883" spans="1:10" x14ac:dyDescent="0.25">
      <c r="A883" s="57" t="str">
        <f>IF(CRM_MAGDY!H883="","","CRM-"&amp;TEXT(ROW()-4,"0000"))</f>
        <v>CRM-0879</v>
      </c>
      <c r="B883" s="57">
        <f>CRM_MAGDY!E883</f>
        <v>0</v>
      </c>
      <c r="C883" s="57">
        <f>CRM_MAGDY!H883</f>
        <v>6319</v>
      </c>
      <c r="D883" s="57">
        <f>CRM_MAGDY!I883</f>
        <v>0</v>
      </c>
      <c r="E883" s="57">
        <f>IFERROR(VALUE(CRM_MAGDY!K883),0)</f>
        <v>0</v>
      </c>
      <c r="F883" s="57">
        <f>IFERROR(IF(CRM_MAGDY!L883&gt;1,CRM_MAGDY!L883/100,CRM_MAGDY!L883),0)</f>
        <v>0</v>
      </c>
      <c r="G883" s="57">
        <f>CRM_MAGDY!N883</f>
        <v>0</v>
      </c>
      <c r="H883" s="57">
        <f>CRM_MAGDY!M883</f>
        <v>0</v>
      </c>
      <c r="I883" s="57">
        <f t="shared" si="26"/>
        <v>0</v>
      </c>
      <c r="J883" s="57" t="str">
        <f t="shared" si="27"/>
        <v>POTENCJAŁ</v>
      </c>
    </row>
    <row r="884" spans="1:10" x14ac:dyDescent="0.25">
      <c r="A884" s="57" t="str">
        <f>IF(CRM_MAGDY!H884="","","CRM-"&amp;TEXT(ROW()-4,"0000"))</f>
        <v>CRM-0880</v>
      </c>
      <c r="B884" s="57">
        <f>CRM_MAGDY!E884</f>
        <v>0</v>
      </c>
      <c r="C884" s="57">
        <f>CRM_MAGDY!H884</f>
        <v>6320</v>
      </c>
      <c r="D884" s="57">
        <f>CRM_MAGDY!I884</f>
        <v>0</v>
      </c>
      <c r="E884" s="57">
        <f>IFERROR(VALUE(CRM_MAGDY!K884),0)</f>
        <v>0</v>
      </c>
      <c r="F884" s="57">
        <f>IFERROR(IF(CRM_MAGDY!L884&gt;1,CRM_MAGDY!L884/100,CRM_MAGDY!L884),0)</f>
        <v>0</v>
      </c>
      <c r="G884" s="57">
        <f>CRM_MAGDY!N884</f>
        <v>0</v>
      </c>
      <c r="H884" s="57">
        <f>CRM_MAGDY!M884</f>
        <v>0</v>
      </c>
      <c r="I884" s="57">
        <f t="shared" si="26"/>
        <v>0</v>
      </c>
      <c r="J884" s="57" t="str">
        <f t="shared" si="27"/>
        <v>POTENCJAŁ</v>
      </c>
    </row>
    <row r="885" spans="1:10" x14ac:dyDescent="0.25">
      <c r="A885" s="57" t="str">
        <f>IF(CRM_MAGDY!H885="","","CRM-"&amp;TEXT(ROW()-4,"0000"))</f>
        <v>CRM-0881</v>
      </c>
      <c r="B885" s="57">
        <f>CRM_MAGDY!E885</f>
        <v>0</v>
      </c>
      <c r="C885" s="57">
        <f>CRM_MAGDY!H885</f>
        <v>6321</v>
      </c>
      <c r="D885" s="57">
        <f>CRM_MAGDY!I885</f>
        <v>0</v>
      </c>
      <c r="E885" s="57">
        <f>IFERROR(VALUE(CRM_MAGDY!K885),0)</f>
        <v>0</v>
      </c>
      <c r="F885" s="57">
        <f>IFERROR(IF(CRM_MAGDY!L885&gt;1,CRM_MAGDY!L885/100,CRM_MAGDY!L885),0)</f>
        <v>0</v>
      </c>
      <c r="G885" s="57">
        <f>CRM_MAGDY!N885</f>
        <v>0</v>
      </c>
      <c r="H885" s="57">
        <f>CRM_MAGDY!M885</f>
        <v>0</v>
      </c>
      <c r="I885" s="57">
        <f t="shared" si="26"/>
        <v>0</v>
      </c>
      <c r="J885" s="57" t="str">
        <f t="shared" si="27"/>
        <v>POTENCJAŁ</v>
      </c>
    </row>
    <row r="886" spans="1:10" x14ac:dyDescent="0.25">
      <c r="A886" s="57" t="str">
        <f>IF(CRM_MAGDY!H886="","","CRM-"&amp;TEXT(ROW()-4,"0000"))</f>
        <v>CRM-0882</v>
      </c>
      <c r="B886" s="57">
        <f>CRM_MAGDY!E886</f>
        <v>0</v>
      </c>
      <c r="C886" s="57">
        <f>CRM_MAGDY!H886</f>
        <v>6322</v>
      </c>
      <c r="D886" s="57">
        <f>CRM_MAGDY!I886</f>
        <v>0</v>
      </c>
      <c r="E886" s="57">
        <f>IFERROR(VALUE(CRM_MAGDY!K886),0)</f>
        <v>0</v>
      </c>
      <c r="F886" s="57">
        <f>IFERROR(IF(CRM_MAGDY!L886&gt;1,CRM_MAGDY!L886/100,CRM_MAGDY!L886),0)</f>
        <v>0</v>
      </c>
      <c r="G886" s="57">
        <f>CRM_MAGDY!N886</f>
        <v>0</v>
      </c>
      <c r="H886" s="57">
        <f>CRM_MAGDY!M886</f>
        <v>0</v>
      </c>
      <c r="I886" s="57">
        <f t="shared" si="26"/>
        <v>0</v>
      </c>
      <c r="J886" s="57" t="str">
        <f t="shared" si="27"/>
        <v>POTENCJAŁ</v>
      </c>
    </row>
    <row r="887" spans="1:10" x14ac:dyDescent="0.25">
      <c r="A887" s="57" t="str">
        <f>IF(CRM_MAGDY!H887="","","CRM-"&amp;TEXT(ROW()-4,"0000"))</f>
        <v>CRM-0883</v>
      </c>
      <c r="B887" s="57">
        <f>CRM_MAGDY!E887</f>
        <v>0</v>
      </c>
      <c r="C887" s="57">
        <f>CRM_MAGDY!H887</f>
        <v>6323</v>
      </c>
      <c r="D887" s="57">
        <f>CRM_MAGDY!I887</f>
        <v>0</v>
      </c>
      <c r="E887" s="57">
        <f>IFERROR(VALUE(CRM_MAGDY!K887),0)</f>
        <v>0</v>
      </c>
      <c r="F887" s="57">
        <f>IFERROR(IF(CRM_MAGDY!L887&gt;1,CRM_MAGDY!L887/100,CRM_MAGDY!L887),0)</f>
        <v>0</v>
      </c>
      <c r="G887" s="57">
        <f>CRM_MAGDY!N887</f>
        <v>0</v>
      </c>
      <c r="H887" s="57">
        <f>CRM_MAGDY!M887</f>
        <v>0</v>
      </c>
      <c r="I887" s="57">
        <f t="shared" si="26"/>
        <v>0</v>
      </c>
      <c r="J887" s="57" t="str">
        <f t="shared" si="27"/>
        <v>POTENCJAŁ</v>
      </c>
    </row>
    <row r="888" spans="1:10" x14ac:dyDescent="0.25">
      <c r="A888" s="57" t="str">
        <f>IF(CRM_MAGDY!H888="","","CRM-"&amp;TEXT(ROW()-4,"0000"))</f>
        <v>CRM-0884</v>
      </c>
      <c r="B888" s="57">
        <f>CRM_MAGDY!E888</f>
        <v>0</v>
      </c>
      <c r="C888" s="57">
        <f>CRM_MAGDY!H888</f>
        <v>6324</v>
      </c>
      <c r="D888" s="57">
        <f>CRM_MAGDY!I888</f>
        <v>0</v>
      </c>
      <c r="E888" s="57">
        <f>IFERROR(VALUE(CRM_MAGDY!K888),0)</f>
        <v>0</v>
      </c>
      <c r="F888" s="57">
        <f>IFERROR(IF(CRM_MAGDY!L888&gt;1,CRM_MAGDY!L888/100,CRM_MAGDY!L888),0)</f>
        <v>0</v>
      </c>
      <c r="G888" s="57">
        <f>CRM_MAGDY!N888</f>
        <v>0</v>
      </c>
      <c r="H888" s="57">
        <f>CRM_MAGDY!M888</f>
        <v>0</v>
      </c>
      <c r="I888" s="57">
        <f t="shared" si="26"/>
        <v>0</v>
      </c>
      <c r="J888" s="57" t="str">
        <f t="shared" si="27"/>
        <v>POTENCJAŁ</v>
      </c>
    </row>
    <row r="889" spans="1:10" x14ac:dyDescent="0.25">
      <c r="A889" s="57" t="str">
        <f>IF(CRM_MAGDY!H889="","","CRM-"&amp;TEXT(ROW()-4,"0000"))</f>
        <v>CRM-0885</v>
      </c>
      <c r="B889" s="57">
        <f>CRM_MAGDY!E889</f>
        <v>0</v>
      </c>
      <c r="C889" s="57">
        <f>CRM_MAGDY!H889</f>
        <v>6325</v>
      </c>
      <c r="D889" s="57">
        <f>CRM_MAGDY!I889</f>
        <v>0</v>
      </c>
      <c r="E889" s="57">
        <f>IFERROR(VALUE(CRM_MAGDY!K889),0)</f>
        <v>0</v>
      </c>
      <c r="F889" s="57">
        <f>IFERROR(IF(CRM_MAGDY!L889&gt;1,CRM_MAGDY!L889/100,CRM_MAGDY!L889),0)</f>
        <v>0</v>
      </c>
      <c r="G889" s="57">
        <f>CRM_MAGDY!N889</f>
        <v>0</v>
      </c>
      <c r="H889" s="57">
        <f>CRM_MAGDY!M889</f>
        <v>0</v>
      </c>
      <c r="I889" s="57">
        <f t="shared" si="26"/>
        <v>0</v>
      </c>
      <c r="J889" s="57" t="str">
        <f t="shared" si="27"/>
        <v>POTENCJAŁ</v>
      </c>
    </row>
    <row r="890" spans="1:10" x14ac:dyDescent="0.25">
      <c r="A890" s="57" t="str">
        <f>IF(CRM_MAGDY!H890="","","CRM-"&amp;TEXT(ROW()-4,"0000"))</f>
        <v>CRM-0886</v>
      </c>
      <c r="B890" s="57">
        <f>CRM_MAGDY!E890</f>
        <v>0</v>
      </c>
      <c r="C890" s="57">
        <f>CRM_MAGDY!H890</f>
        <v>6326</v>
      </c>
      <c r="D890" s="57">
        <f>CRM_MAGDY!I890</f>
        <v>0</v>
      </c>
      <c r="E890" s="57">
        <f>IFERROR(VALUE(CRM_MAGDY!K890),0)</f>
        <v>0</v>
      </c>
      <c r="F890" s="57">
        <f>IFERROR(IF(CRM_MAGDY!L890&gt;1,CRM_MAGDY!L890/100,CRM_MAGDY!L890),0)</f>
        <v>0</v>
      </c>
      <c r="G890" s="57">
        <f>CRM_MAGDY!N890</f>
        <v>0</v>
      </c>
      <c r="H890" s="57">
        <f>CRM_MAGDY!M890</f>
        <v>0</v>
      </c>
      <c r="I890" s="57">
        <f t="shared" si="26"/>
        <v>0</v>
      </c>
      <c r="J890" s="57" t="str">
        <f t="shared" si="27"/>
        <v>POTENCJAŁ</v>
      </c>
    </row>
    <row r="891" spans="1:10" x14ac:dyDescent="0.25">
      <c r="A891" s="57" t="str">
        <f>IF(CRM_MAGDY!H891="","","CRM-"&amp;TEXT(ROW()-4,"0000"))</f>
        <v>CRM-0887</v>
      </c>
      <c r="B891" s="57">
        <f>CRM_MAGDY!E891</f>
        <v>0</v>
      </c>
      <c r="C891" s="57">
        <f>CRM_MAGDY!H891</f>
        <v>6327</v>
      </c>
      <c r="D891" s="57">
        <f>CRM_MAGDY!I891</f>
        <v>0</v>
      </c>
      <c r="E891" s="57">
        <f>IFERROR(VALUE(CRM_MAGDY!K891),0)</f>
        <v>0</v>
      </c>
      <c r="F891" s="57">
        <f>IFERROR(IF(CRM_MAGDY!L891&gt;1,CRM_MAGDY!L891/100,CRM_MAGDY!L891),0)</f>
        <v>0</v>
      </c>
      <c r="G891" s="57">
        <f>CRM_MAGDY!N891</f>
        <v>0</v>
      </c>
      <c r="H891" s="57">
        <f>CRM_MAGDY!M891</f>
        <v>0</v>
      </c>
      <c r="I891" s="57">
        <f t="shared" si="26"/>
        <v>0</v>
      </c>
      <c r="J891" s="57" t="str">
        <f t="shared" si="27"/>
        <v>POTENCJAŁ</v>
      </c>
    </row>
    <row r="892" spans="1:10" x14ac:dyDescent="0.25">
      <c r="A892" s="57" t="str">
        <f>IF(CRM_MAGDY!H892="","","CRM-"&amp;TEXT(ROW()-4,"0000"))</f>
        <v>CRM-0888</v>
      </c>
      <c r="B892" s="57">
        <f>CRM_MAGDY!E892</f>
        <v>0</v>
      </c>
      <c r="C892" s="57">
        <f>CRM_MAGDY!H892</f>
        <v>6328</v>
      </c>
      <c r="D892" s="57">
        <f>CRM_MAGDY!I892</f>
        <v>0</v>
      </c>
      <c r="E892" s="57">
        <f>IFERROR(VALUE(CRM_MAGDY!K892),0)</f>
        <v>0</v>
      </c>
      <c r="F892" s="57">
        <f>IFERROR(IF(CRM_MAGDY!L892&gt;1,CRM_MAGDY!L892/100,CRM_MAGDY!L892),0)</f>
        <v>0</v>
      </c>
      <c r="G892" s="57">
        <f>CRM_MAGDY!N892</f>
        <v>0</v>
      </c>
      <c r="H892" s="57">
        <f>CRM_MAGDY!M892</f>
        <v>0</v>
      </c>
      <c r="I892" s="57">
        <f t="shared" si="26"/>
        <v>0</v>
      </c>
      <c r="J892" s="57" t="str">
        <f t="shared" si="27"/>
        <v>POTENCJAŁ</v>
      </c>
    </row>
    <row r="893" spans="1:10" x14ac:dyDescent="0.25">
      <c r="A893" s="57" t="str">
        <f>IF(CRM_MAGDY!H893="","","CRM-"&amp;TEXT(ROW()-4,"0000"))</f>
        <v>CRM-0889</v>
      </c>
      <c r="B893" s="57">
        <f>CRM_MAGDY!E893</f>
        <v>0</v>
      </c>
      <c r="C893" s="57">
        <f>CRM_MAGDY!H893</f>
        <v>6329</v>
      </c>
      <c r="D893" s="57">
        <f>CRM_MAGDY!I893</f>
        <v>0</v>
      </c>
      <c r="E893" s="57">
        <f>IFERROR(VALUE(CRM_MAGDY!K893),0)</f>
        <v>0</v>
      </c>
      <c r="F893" s="57">
        <f>IFERROR(IF(CRM_MAGDY!L893&gt;1,CRM_MAGDY!L893/100,CRM_MAGDY!L893),0)</f>
        <v>0</v>
      </c>
      <c r="G893" s="57">
        <f>CRM_MAGDY!N893</f>
        <v>0</v>
      </c>
      <c r="H893" s="57">
        <f>CRM_MAGDY!M893</f>
        <v>0</v>
      </c>
      <c r="I893" s="57">
        <f t="shared" si="26"/>
        <v>0</v>
      </c>
      <c r="J893" s="57" t="str">
        <f t="shared" si="27"/>
        <v>POTENCJAŁ</v>
      </c>
    </row>
    <row r="894" spans="1:10" x14ac:dyDescent="0.25">
      <c r="A894" s="57" t="str">
        <f>IF(CRM_MAGDY!H894="","","CRM-"&amp;TEXT(ROW()-4,"0000"))</f>
        <v>CRM-0890</v>
      </c>
      <c r="B894" s="57">
        <f>CRM_MAGDY!E894</f>
        <v>0</v>
      </c>
      <c r="C894" s="57">
        <f>CRM_MAGDY!H894</f>
        <v>6330</v>
      </c>
      <c r="D894" s="57">
        <f>CRM_MAGDY!I894</f>
        <v>0</v>
      </c>
      <c r="E894" s="57">
        <f>IFERROR(VALUE(CRM_MAGDY!K894),0)</f>
        <v>0</v>
      </c>
      <c r="F894" s="57">
        <f>IFERROR(IF(CRM_MAGDY!L894&gt;1,CRM_MAGDY!L894/100,CRM_MAGDY!L894),0)</f>
        <v>0</v>
      </c>
      <c r="G894" s="57">
        <f>CRM_MAGDY!N894</f>
        <v>0</v>
      </c>
      <c r="H894" s="57">
        <f>CRM_MAGDY!M894</f>
        <v>0</v>
      </c>
      <c r="I894" s="57">
        <f t="shared" si="26"/>
        <v>0</v>
      </c>
      <c r="J894" s="57" t="str">
        <f t="shared" si="27"/>
        <v>POTENCJAŁ</v>
      </c>
    </row>
    <row r="895" spans="1:10" x14ac:dyDescent="0.25">
      <c r="A895" s="57" t="str">
        <f>IF(CRM_MAGDY!H895="","","CRM-"&amp;TEXT(ROW()-4,"0000"))</f>
        <v>CRM-0891</v>
      </c>
      <c r="B895" s="57">
        <f>CRM_MAGDY!E895</f>
        <v>0</v>
      </c>
      <c r="C895" s="57">
        <f>CRM_MAGDY!H895</f>
        <v>6331</v>
      </c>
      <c r="D895" s="57">
        <f>CRM_MAGDY!I895</f>
        <v>0</v>
      </c>
      <c r="E895" s="57">
        <f>IFERROR(VALUE(CRM_MAGDY!K895),0)</f>
        <v>0</v>
      </c>
      <c r="F895" s="57">
        <f>IFERROR(IF(CRM_MAGDY!L895&gt;1,CRM_MAGDY!L895/100,CRM_MAGDY!L895),0)</f>
        <v>0</v>
      </c>
      <c r="G895" s="57">
        <f>CRM_MAGDY!N895</f>
        <v>0</v>
      </c>
      <c r="H895" s="57">
        <f>CRM_MAGDY!M895</f>
        <v>0</v>
      </c>
      <c r="I895" s="57">
        <f t="shared" si="26"/>
        <v>0</v>
      </c>
      <c r="J895" s="57" t="str">
        <f t="shared" si="27"/>
        <v>POTENCJAŁ</v>
      </c>
    </row>
    <row r="896" spans="1:10" x14ac:dyDescent="0.25">
      <c r="A896" s="57" t="str">
        <f>IF(CRM_MAGDY!H896="","","CRM-"&amp;TEXT(ROW()-4,"0000"))</f>
        <v>CRM-0892</v>
      </c>
      <c r="B896" s="57">
        <f>CRM_MAGDY!E896</f>
        <v>0</v>
      </c>
      <c r="C896" s="57">
        <f>CRM_MAGDY!H896</f>
        <v>6332</v>
      </c>
      <c r="D896" s="57">
        <f>CRM_MAGDY!I896</f>
        <v>0</v>
      </c>
      <c r="E896" s="57">
        <f>IFERROR(VALUE(CRM_MAGDY!K896),0)</f>
        <v>0</v>
      </c>
      <c r="F896" s="57">
        <f>IFERROR(IF(CRM_MAGDY!L896&gt;1,CRM_MAGDY!L896/100,CRM_MAGDY!L896),0)</f>
        <v>0</v>
      </c>
      <c r="G896" s="57">
        <f>CRM_MAGDY!N896</f>
        <v>0</v>
      </c>
      <c r="H896" s="57">
        <f>CRM_MAGDY!M896</f>
        <v>0</v>
      </c>
      <c r="I896" s="57">
        <f t="shared" si="26"/>
        <v>0</v>
      </c>
      <c r="J896" s="57" t="str">
        <f t="shared" si="27"/>
        <v>POTENCJAŁ</v>
      </c>
    </row>
    <row r="897" spans="1:10" x14ac:dyDescent="0.25">
      <c r="A897" s="57" t="str">
        <f>IF(CRM_MAGDY!H897="","","CRM-"&amp;TEXT(ROW()-4,"0000"))</f>
        <v>CRM-0893</v>
      </c>
      <c r="B897" s="57">
        <f>CRM_MAGDY!E897</f>
        <v>0</v>
      </c>
      <c r="C897" s="57">
        <f>CRM_MAGDY!H897</f>
        <v>6333</v>
      </c>
      <c r="D897" s="57">
        <f>CRM_MAGDY!I897</f>
        <v>0</v>
      </c>
      <c r="E897" s="57">
        <f>IFERROR(VALUE(CRM_MAGDY!K897),0)</f>
        <v>0</v>
      </c>
      <c r="F897" s="57">
        <f>IFERROR(IF(CRM_MAGDY!L897&gt;1,CRM_MAGDY!L897/100,CRM_MAGDY!L897),0)</f>
        <v>0</v>
      </c>
      <c r="G897" s="57">
        <f>CRM_MAGDY!N897</f>
        <v>0</v>
      </c>
      <c r="H897" s="57">
        <f>CRM_MAGDY!M897</f>
        <v>0</v>
      </c>
      <c r="I897" s="57">
        <f t="shared" si="26"/>
        <v>0</v>
      </c>
      <c r="J897" s="57" t="str">
        <f t="shared" si="27"/>
        <v>POTENCJAŁ</v>
      </c>
    </row>
    <row r="898" spans="1:10" x14ac:dyDescent="0.25">
      <c r="A898" s="57" t="str">
        <f>IF(CRM_MAGDY!H898="","","CRM-"&amp;TEXT(ROW()-4,"0000"))</f>
        <v>CRM-0894</v>
      </c>
      <c r="B898" s="57">
        <f>CRM_MAGDY!E898</f>
        <v>0</v>
      </c>
      <c r="C898" s="57">
        <f>CRM_MAGDY!H898</f>
        <v>6334</v>
      </c>
      <c r="D898" s="57">
        <f>CRM_MAGDY!I898</f>
        <v>0</v>
      </c>
      <c r="E898" s="57">
        <f>IFERROR(VALUE(CRM_MAGDY!K898),0)</f>
        <v>0</v>
      </c>
      <c r="F898" s="57">
        <f>IFERROR(IF(CRM_MAGDY!L898&gt;1,CRM_MAGDY!L898/100,CRM_MAGDY!L898),0)</f>
        <v>0</v>
      </c>
      <c r="G898" s="57">
        <f>CRM_MAGDY!N898</f>
        <v>0</v>
      </c>
      <c r="H898" s="57">
        <f>CRM_MAGDY!M898</f>
        <v>0</v>
      </c>
      <c r="I898" s="57">
        <f t="shared" si="26"/>
        <v>0</v>
      </c>
      <c r="J898" s="57" t="str">
        <f t="shared" si="27"/>
        <v>POTENCJAŁ</v>
      </c>
    </row>
    <row r="899" spans="1:10" x14ac:dyDescent="0.25">
      <c r="A899" s="57" t="str">
        <f>IF(CRM_MAGDY!H899="","","CRM-"&amp;TEXT(ROW()-4,"0000"))</f>
        <v>CRM-0895</v>
      </c>
      <c r="B899" s="57">
        <f>CRM_MAGDY!E899</f>
        <v>0</v>
      </c>
      <c r="C899" s="57">
        <f>CRM_MAGDY!H899</f>
        <v>6335</v>
      </c>
      <c r="D899" s="57">
        <f>CRM_MAGDY!I899</f>
        <v>0</v>
      </c>
      <c r="E899" s="57">
        <f>IFERROR(VALUE(CRM_MAGDY!K899),0)</f>
        <v>0</v>
      </c>
      <c r="F899" s="57">
        <f>IFERROR(IF(CRM_MAGDY!L899&gt;1,CRM_MAGDY!L899/100,CRM_MAGDY!L899),0)</f>
        <v>0</v>
      </c>
      <c r="G899" s="57">
        <f>CRM_MAGDY!N899</f>
        <v>0</v>
      </c>
      <c r="H899" s="57">
        <f>CRM_MAGDY!M899</f>
        <v>0</v>
      </c>
      <c r="I899" s="57">
        <f t="shared" si="26"/>
        <v>0</v>
      </c>
      <c r="J899" s="57" t="str">
        <f t="shared" si="27"/>
        <v>POTENCJAŁ</v>
      </c>
    </row>
    <row r="900" spans="1:10" x14ac:dyDescent="0.25">
      <c r="A900" s="57" t="str">
        <f>IF(CRM_MAGDY!H900="","","CRM-"&amp;TEXT(ROW()-4,"0000"))</f>
        <v>CRM-0896</v>
      </c>
      <c r="B900" s="57">
        <f>CRM_MAGDY!E900</f>
        <v>0</v>
      </c>
      <c r="C900" s="57">
        <f>CRM_MAGDY!H900</f>
        <v>6336</v>
      </c>
      <c r="D900" s="57">
        <f>CRM_MAGDY!I900</f>
        <v>0</v>
      </c>
      <c r="E900" s="57">
        <f>IFERROR(VALUE(CRM_MAGDY!K900),0)</f>
        <v>0</v>
      </c>
      <c r="F900" s="57">
        <f>IFERROR(IF(CRM_MAGDY!L900&gt;1,CRM_MAGDY!L900/100,CRM_MAGDY!L900),0)</f>
        <v>0</v>
      </c>
      <c r="G900" s="57">
        <f>CRM_MAGDY!N900</f>
        <v>0</v>
      </c>
      <c r="H900" s="57">
        <f>CRM_MAGDY!M900</f>
        <v>0</v>
      </c>
      <c r="I900" s="57">
        <f t="shared" si="26"/>
        <v>0</v>
      </c>
      <c r="J900" s="57" t="str">
        <f t="shared" si="27"/>
        <v>POTENCJAŁ</v>
      </c>
    </row>
    <row r="901" spans="1:10" x14ac:dyDescent="0.25">
      <c r="A901" s="57" t="str">
        <f>IF(CRM_MAGDY!H901="","","CRM-"&amp;TEXT(ROW()-4,"0000"))</f>
        <v>CRM-0897</v>
      </c>
      <c r="B901" s="57">
        <f>CRM_MAGDY!E901</f>
        <v>0</v>
      </c>
      <c r="C901" s="57">
        <f>CRM_MAGDY!H901</f>
        <v>6337</v>
      </c>
      <c r="D901" s="57">
        <f>CRM_MAGDY!I901</f>
        <v>0</v>
      </c>
      <c r="E901" s="57">
        <f>IFERROR(VALUE(CRM_MAGDY!K901),0)</f>
        <v>0</v>
      </c>
      <c r="F901" s="57">
        <f>IFERROR(IF(CRM_MAGDY!L901&gt;1,CRM_MAGDY!L901/100,CRM_MAGDY!L901),0)</f>
        <v>0</v>
      </c>
      <c r="G901" s="57">
        <f>CRM_MAGDY!N901</f>
        <v>0</v>
      </c>
      <c r="H901" s="57">
        <f>CRM_MAGDY!M901</f>
        <v>0</v>
      </c>
      <c r="I901" s="57">
        <f t="shared" ref="I901:I964" si="28">IF(OR(G901="WYGRANA",G901="PRZEGRANA"),0,E901*F901)</f>
        <v>0</v>
      </c>
      <c r="J901" s="57" t="str">
        <f t="shared" ref="J901:J964" si="29">IF(F901&gt;=0.7,"PEWNY",IF(F901&gt;=0.3,"REALNY","POTENCJAŁ"))</f>
        <v>POTENCJAŁ</v>
      </c>
    </row>
    <row r="902" spans="1:10" x14ac:dyDescent="0.25">
      <c r="A902" s="57" t="str">
        <f>IF(CRM_MAGDY!H902="","","CRM-"&amp;TEXT(ROW()-4,"0000"))</f>
        <v>CRM-0898</v>
      </c>
      <c r="B902" s="57">
        <f>CRM_MAGDY!E902</f>
        <v>0</v>
      </c>
      <c r="C902" s="57">
        <f>CRM_MAGDY!H902</f>
        <v>6338</v>
      </c>
      <c r="D902" s="57">
        <f>CRM_MAGDY!I902</f>
        <v>0</v>
      </c>
      <c r="E902" s="57">
        <f>IFERROR(VALUE(CRM_MAGDY!K902),0)</f>
        <v>0</v>
      </c>
      <c r="F902" s="57">
        <f>IFERROR(IF(CRM_MAGDY!L902&gt;1,CRM_MAGDY!L902/100,CRM_MAGDY!L902),0)</f>
        <v>0</v>
      </c>
      <c r="G902" s="57">
        <f>CRM_MAGDY!N902</f>
        <v>0</v>
      </c>
      <c r="H902" s="57">
        <f>CRM_MAGDY!M902</f>
        <v>0</v>
      </c>
      <c r="I902" s="57">
        <f t="shared" si="28"/>
        <v>0</v>
      </c>
      <c r="J902" s="57" t="str">
        <f t="shared" si="29"/>
        <v>POTENCJAŁ</v>
      </c>
    </row>
    <row r="903" spans="1:10" x14ac:dyDescent="0.25">
      <c r="A903" s="57" t="str">
        <f>IF(CRM_MAGDY!H903="","","CRM-"&amp;TEXT(ROW()-4,"0000"))</f>
        <v>CRM-0899</v>
      </c>
      <c r="B903" s="57">
        <f>CRM_MAGDY!E903</f>
        <v>0</v>
      </c>
      <c r="C903" s="57">
        <f>CRM_MAGDY!H903</f>
        <v>6339</v>
      </c>
      <c r="D903" s="57">
        <f>CRM_MAGDY!I903</f>
        <v>0</v>
      </c>
      <c r="E903" s="57">
        <f>IFERROR(VALUE(CRM_MAGDY!K903),0)</f>
        <v>0</v>
      </c>
      <c r="F903" s="57">
        <f>IFERROR(IF(CRM_MAGDY!L903&gt;1,CRM_MAGDY!L903/100,CRM_MAGDY!L903),0)</f>
        <v>0</v>
      </c>
      <c r="G903" s="57">
        <f>CRM_MAGDY!N903</f>
        <v>0</v>
      </c>
      <c r="H903" s="57">
        <f>CRM_MAGDY!M903</f>
        <v>0</v>
      </c>
      <c r="I903" s="57">
        <f t="shared" si="28"/>
        <v>0</v>
      </c>
      <c r="J903" s="57" t="str">
        <f t="shared" si="29"/>
        <v>POTENCJAŁ</v>
      </c>
    </row>
    <row r="904" spans="1:10" x14ac:dyDescent="0.25">
      <c r="A904" s="57" t="str">
        <f>IF(CRM_MAGDY!H904="","","CRM-"&amp;TEXT(ROW()-4,"0000"))</f>
        <v>CRM-0900</v>
      </c>
      <c r="B904" s="57">
        <f>CRM_MAGDY!E904</f>
        <v>0</v>
      </c>
      <c r="C904" s="57">
        <f>CRM_MAGDY!H904</f>
        <v>6340</v>
      </c>
      <c r="D904" s="57">
        <f>CRM_MAGDY!I904</f>
        <v>0</v>
      </c>
      <c r="E904" s="57">
        <f>IFERROR(VALUE(CRM_MAGDY!K904),0)</f>
        <v>0</v>
      </c>
      <c r="F904" s="57">
        <f>IFERROR(IF(CRM_MAGDY!L904&gt;1,CRM_MAGDY!L904/100,CRM_MAGDY!L904),0)</f>
        <v>0</v>
      </c>
      <c r="G904" s="57">
        <f>CRM_MAGDY!N904</f>
        <v>0</v>
      </c>
      <c r="H904" s="57">
        <f>CRM_MAGDY!M904</f>
        <v>0</v>
      </c>
      <c r="I904" s="57">
        <f t="shared" si="28"/>
        <v>0</v>
      </c>
      <c r="J904" s="57" t="str">
        <f t="shared" si="29"/>
        <v>POTENCJAŁ</v>
      </c>
    </row>
    <row r="905" spans="1:10" x14ac:dyDescent="0.25">
      <c r="A905" s="57" t="str">
        <f>IF(CRM_MAGDY!H905="","","CRM-"&amp;TEXT(ROW()-4,"0000"))</f>
        <v>CRM-0901</v>
      </c>
      <c r="B905" s="57">
        <f>CRM_MAGDY!E905</f>
        <v>0</v>
      </c>
      <c r="C905" s="57">
        <f>CRM_MAGDY!H905</f>
        <v>6341</v>
      </c>
      <c r="D905" s="57">
        <f>CRM_MAGDY!I905</f>
        <v>0</v>
      </c>
      <c r="E905" s="57">
        <f>IFERROR(VALUE(CRM_MAGDY!K905),0)</f>
        <v>0</v>
      </c>
      <c r="F905" s="57">
        <f>IFERROR(IF(CRM_MAGDY!L905&gt;1,CRM_MAGDY!L905/100,CRM_MAGDY!L905),0)</f>
        <v>0</v>
      </c>
      <c r="G905" s="57">
        <f>CRM_MAGDY!N905</f>
        <v>0</v>
      </c>
      <c r="H905" s="57">
        <f>CRM_MAGDY!M905</f>
        <v>0</v>
      </c>
      <c r="I905" s="57">
        <f t="shared" si="28"/>
        <v>0</v>
      </c>
      <c r="J905" s="57" t="str">
        <f t="shared" si="29"/>
        <v>POTENCJAŁ</v>
      </c>
    </row>
    <row r="906" spans="1:10" x14ac:dyDescent="0.25">
      <c r="A906" s="57" t="str">
        <f>IF(CRM_MAGDY!H906="","","CRM-"&amp;TEXT(ROW()-4,"0000"))</f>
        <v>CRM-0902</v>
      </c>
      <c r="B906" s="57">
        <f>CRM_MAGDY!E906</f>
        <v>0</v>
      </c>
      <c r="C906" s="57">
        <f>CRM_MAGDY!H906</f>
        <v>6342</v>
      </c>
      <c r="D906" s="57">
        <f>CRM_MAGDY!I906</f>
        <v>0</v>
      </c>
      <c r="E906" s="57">
        <f>IFERROR(VALUE(CRM_MAGDY!K906),0)</f>
        <v>0</v>
      </c>
      <c r="F906" s="57">
        <f>IFERROR(IF(CRM_MAGDY!L906&gt;1,CRM_MAGDY!L906/100,CRM_MAGDY!L906),0)</f>
        <v>0</v>
      </c>
      <c r="G906" s="57">
        <f>CRM_MAGDY!N906</f>
        <v>0</v>
      </c>
      <c r="H906" s="57">
        <f>CRM_MAGDY!M906</f>
        <v>0</v>
      </c>
      <c r="I906" s="57">
        <f t="shared" si="28"/>
        <v>0</v>
      </c>
      <c r="J906" s="57" t="str">
        <f t="shared" si="29"/>
        <v>POTENCJAŁ</v>
      </c>
    </row>
    <row r="907" spans="1:10" x14ac:dyDescent="0.25">
      <c r="A907" s="57" t="str">
        <f>IF(CRM_MAGDY!H907="","","CRM-"&amp;TEXT(ROW()-4,"0000"))</f>
        <v>CRM-0903</v>
      </c>
      <c r="B907" s="57">
        <f>CRM_MAGDY!E907</f>
        <v>0</v>
      </c>
      <c r="C907" s="57">
        <f>CRM_MAGDY!H907</f>
        <v>6343</v>
      </c>
      <c r="D907" s="57">
        <f>CRM_MAGDY!I907</f>
        <v>0</v>
      </c>
      <c r="E907" s="57">
        <f>IFERROR(VALUE(CRM_MAGDY!K907),0)</f>
        <v>0</v>
      </c>
      <c r="F907" s="57">
        <f>IFERROR(IF(CRM_MAGDY!L907&gt;1,CRM_MAGDY!L907/100,CRM_MAGDY!L907),0)</f>
        <v>0</v>
      </c>
      <c r="G907" s="57">
        <f>CRM_MAGDY!N907</f>
        <v>0</v>
      </c>
      <c r="H907" s="57">
        <f>CRM_MAGDY!M907</f>
        <v>0</v>
      </c>
      <c r="I907" s="57">
        <f t="shared" si="28"/>
        <v>0</v>
      </c>
      <c r="J907" s="57" t="str">
        <f t="shared" si="29"/>
        <v>POTENCJAŁ</v>
      </c>
    </row>
    <row r="908" spans="1:10" x14ac:dyDescent="0.25">
      <c r="A908" s="57" t="str">
        <f>IF(CRM_MAGDY!H908="","","CRM-"&amp;TEXT(ROW()-4,"0000"))</f>
        <v>CRM-0904</v>
      </c>
      <c r="B908" s="57">
        <f>CRM_MAGDY!E908</f>
        <v>0</v>
      </c>
      <c r="C908" s="57">
        <f>CRM_MAGDY!H908</f>
        <v>6344</v>
      </c>
      <c r="D908" s="57">
        <f>CRM_MAGDY!I908</f>
        <v>0</v>
      </c>
      <c r="E908" s="57">
        <f>IFERROR(VALUE(CRM_MAGDY!K908),0)</f>
        <v>0</v>
      </c>
      <c r="F908" s="57">
        <f>IFERROR(IF(CRM_MAGDY!L908&gt;1,CRM_MAGDY!L908/100,CRM_MAGDY!L908),0)</f>
        <v>0</v>
      </c>
      <c r="G908" s="57">
        <f>CRM_MAGDY!N908</f>
        <v>0</v>
      </c>
      <c r="H908" s="57">
        <f>CRM_MAGDY!M908</f>
        <v>0</v>
      </c>
      <c r="I908" s="57">
        <f t="shared" si="28"/>
        <v>0</v>
      </c>
      <c r="J908" s="57" t="str">
        <f t="shared" si="29"/>
        <v>POTENCJAŁ</v>
      </c>
    </row>
    <row r="909" spans="1:10" x14ac:dyDescent="0.25">
      <c r="A909" s="57" t="str">
        <f>IF(CRM_MAGDY!H909="","","CRM-"&amp;TEXT(ROW()-4,"0000"))</f>
        <v>CRM-0905</v>
      </c>
      <c r="B909" s="57">
        <f>CRM_MAGDY!E909</f>
        <v>0</v>
      </c>
      <c r="C909" s="57">
        <f>CRM_MAGDY!H909</f>
        <v>6345</v>
      </c>
      <c r="D909" s="57">
        <f>CRM_MAGDY!I909</f>
        <v>0</v>
      </c>
      <c r="E909" s="57">
        <f>IFERROR(VALUE(CRM_MAGDY!K909),0)</f>
        <v>0</v>
      </c>
      <c r="F909" s="57">
        <f>IFERROR(IF(CRM_MAGDY!L909&gt;1,CRM_MAGDY!L909/100,CRM_MAGDY!L909),0)</f>
        <v>0</v>
      </c>
      <c r="G909" s="57">
        <f>CRM_MAGDY!N909</f>
        <v>0</v>
      </c>
      <c r="H909" s="57">
        <f>CRM_MAGDY!M909</f>
        <v>0</v>
      </c>
      <c r="I909" s="57">
        <f t="shared" si="28"/>
        <v>0</v>
      </c>
      <c r="J909" s="57" t="str">
        <f t="shared" si="29"/>
        <v>POTENCJAŁ</v>
      </c>
    </row>
    <row r="910" spans="1:10" x14ac:dyDescent="0.25">
      <c r="A910" s="57" t="str">
        <f>IF(CRM_MAGDY!H910="","","CRM-"&amp;TEXT(ROW()-4,"0000"))</f>
        <v>CRM-0906</v>
      </c>
      <c r="B910" s="57">
        <f>CRM_MAGDY!E910</f>
        <v>0</v>
      </c>
      <c r="C910" s="57">
        <f>CRM_MAGDY!H910</f>
        <v>6346</v>
      </c>
      <c r="D910" s="57">
        <f>CRM_MAGDY!I910</f>
        <v>0</v>
      </c>
      <c r="E910" s="57">
        <f>IFERROR(VALUE(CRM_MAGDY!K910),0)</f>
        <v>0</v>
      </c>
      <c r="F910" s="57">
        <f>IFERROR(IF(CRM_MAGDY!L910&gt;1,CRM_MAGDY!L910/100,CRM_MAGDY!L910),0)</f>
        <v>0</v>
      </c>
      <c r="G910" s="57">
        <f>CRM_MAGDY!N910</f>
        <v>0</v>
      </c>
      <c r="H910" s="57">
        <f>CRM_MAGDY!M910</f>
        <v>0</v>
      </c>
      <c r="I910" s="57">
        <f t="shared" si="28"/>
        <v>0</v>
      </c>
      <c r="J910" s="57" t="str">
        <f t="shared" si="29"/>
        <v>POTENCJAŁ</v>
      </c>
    </row>
    <row r="911" spans="1:10" x14ac:dyDescent="0.25">
      <c r="A911" s="57" t="str">
        <f>IF(CRM_MAGDY!H911="","","CRM-"&amp;TEXT(ROW()-4,"0000"))</f>
        <v>CRM-0907</v>
      </c>
      <c r="B911" s="57">
        <f>CRM_MAGDY!E911</f>
        <v>0</v>
      </c>
      <c r="C911" s="57">
        <f>CRM_MAGDY!H911</f>
        <v>6347</v>
      </c>
      <c r="D911" s="57">
        <f>CRM_MAGDY!I911</f>
        <v>0</v>
      </c>
      <c r="E911" s="57">
        <f>IFERROR(VALUE(CRM_MAGDY!K911),0)</f>
        <v>0</v>
      </c>
      <c r="F911" s="57">
        <f>IFERROR(IF(CRM_MAGDY!L911&gt;1,CRM_MAGDY!L911/100,CRM_MAGDY!L911),0)</f>
        <v>0</v>
      </c>
      <c r="G911" s="57">
        <f>CRM_MAGDY!N911</f>
        <v>0</v>
      </c>
      <c r="H911" s="57">
        <f>CRM_MAGDY!M911</f>
        <v>0</v>
      </c>
      <c r="I911" s="57">
        <f t="shared" si="28"/>
        <v>0</v>
      </c>
      <c r="J911" s="57" t="str">
        <f t="shared" si="29"/>
        <v>POTENCJAŁ</v>
      </c>
    </row>
    <row r="912" spans="1:10" x14ac:dyDescent="0.25">
      <c r="A912" s="57" t="str">
        <f>IF(CRM_MAGDY!H912="","","CRM-"&amp;TEXT(ROW()-4,"0000"))</f>
        <v>CRM-0908</v>
      </c>
      <c r="B912" s="57">
        <f>CRM_MAGDY!E912</f>
        <v>0</v>
      </c>
      <c r="C912" s="57">
        <f>CRM_MAGDY!H912</f>
        <v>6348</v>
      </c>
      <c r="D912" s="57">
        <f>CRM_MAGDY!I912</f>
        <v>0</v>
      </c>
      <c r="E912" s="57">
        <f>IFERROR(VALUE(CRM_MAGDY!K912),0)</f>
        <v>0</v>
      </c>
      <c r="F912" s="57">
        <f>IFERROR(IF(CRM_MAGDY!L912&gt;1,CRM_MAGDY!L912/100,CRM_MAGDY!L912),0)</f>
        <v>0</v>
      </c>
      <c r="G912" s="57">
        <f>CRM_MAGDY!N912</f>
        <v>0</v>
      </c>
      <c r="H912" s="57">
        <f>CRM_MAGDY!M912</f>
        <v>0</v>
      </c>
      <c r="I912" s="57">
        <f t="shared" si="28"/>
        <v>0</v>
      </c>
      <c r="J912" s="57" t="str">
        <f t="shared" si="29"/>
        <v>POTENCJAŁ</v>
      </c>
    </row>
    <row r="913" spans="1:10" x14ac:dyDescent="0.25">
      <c r="A913" s="57" t="str">
        <f>IF(CRM_MAGDY!H913="","","CRM-"&amp;TEXT(ROW()-4,"0000"))</f>
        <v>CRM-0909</v>
      </c>
      <c r="B913" s="57">
        <f>CRM_MAGDY!E913</f>
        <v>0</v>
      </c>
      <c r="C913" s="57">
        <f>CRM_MAGDY!H913</f>
        <v>6349</v>
      </c>
      <c r="D913" s="57">
        <f>CRM_MAGDY!I913</f>
        <v>0</v>
      </c>
      <c r="E913" s="57">
        <f>IFERROR(VALUE(CRM_MAGDY!K913),0)</f>
        <v>0</v>
      </c>
      <c r="F913" s="57">
        <f>IFERROR(IF(CRM_MAGDY!L913&gt;1,CRM_MAGDY!L913/100,CRM_MAGDY!L913),0)</f>
        <v>0</v>
      </c>
      <c r="G913" s="57">
        <f>CRM_MAGDY!N913</f>
        <v>0</v>
      </c>
      <c r="H913" s="57">
        <f>CRM_MAGDY!M913</f>
        <v>0</v>
      </c>
      <c r="I913" s="57">
        <f t="shared" si="28"/>
        <v>0</v>
      </c>
      <c r="J913" s="57" t="str">
        <f t="shared" si="29"/>
        <v>POTENCJAŁ</v>
      </c>
    </row>
    <row r="914" spans="1:10" x14ac:dyDescent="0.25">
      <c r="A914" s="57" t="str">
        <f>IF(CRM_MAGDY!H914="","","CRM-"&amp;TEXT(ROW()-4,"0000"))</f>
        <v>CRM-0910</v>
      </c>
      <c r="B914" s="57">
        <f>CRM_MAGDY!E914</f>
        <v>0</v>
      </c>
      <c r="C914" s="57">
        <f>CRM_MAGDY!H914</f>
        <v>6350</v>
      </c>
      <c r="D914" s="57">
        <f>CRM_MAGDY!I914</f>
        <v>0</v>
      </c>
      <c r="E914" s="57">
        <f>IFERROR(VALUE(CRM_MAGDY!K914),0)</f>
        <v>0</v>
      </c>
      <c r="F914" s="57">
        <f>IFERROR(IF(CRM_MAGDY!L914&gt;1,CRM_MAGDY!L914/100,CRM_MAGDY!L914),0)</f>
        <v>0</v>
      </c>
      <c r="G914" s="57">
        <f>CRM_MAGDY!N914</f>
        <v>0</v>
      </c>
      <c r="H914" s="57">
        <f>CRM_MAGDY!M914</f>
        <v>0</v>
      </c>
      <c r="I914" s="57">
        <f t="shared" si="28"/>
        <v>0</v>
      </c>
      <c r="J914" s="57" t="str">
        <f t="shared" si="29"/>
        <v>POTENCJAŁ</v>
      </c>
    </row>
    <row r="915" spans="1:10" x14ac:dyDescent="0.25">
      <c r="A915" s="57" t="str">
        <f>IF(CRM_MAGDY!H915="","","CRM-"&amp;TEXT(ROW()-4,"0000"))</f>
        <v>CRM-0911</v>
      </c>
      <c r="B915" s="57">
        <f>CRM_MAGDY!E915</f>
        <v>0</v>
      </c>
      <c r="C915" s="57">
        <f>CRM_MAGDY!H915</f>
        <v>6351</v>
      </c>
      <c r="D915" s="57">
        <f>CRM_MAGDY!I915</f>
        <v>0</v>
      </c>
      <c r="E915" s="57">
        <f>IFERROR(VALUE(CRM_MAGDY!K915),0)</f>
        <v>0</v>
      </c>
      <c r="F915" s="57">
        <f>IFERROR(IF(CRM_MAGDY!L915&gt;1,CRM_MAGDY!L915/100,CRM_MAGDY!L915),0)</f>
        <v>0</v>
      </c>
      <c r="G915" s="57">
        <f>CRM_MAGDY!N915</f>
        <v>0</v>
      </c>
      <c r="H915" s="57">
        <f>CRM_MAGDY!M915</f>
        <v>0</v>
      </c>
      <c r="I915" s="57">
        <f t="shared" si="28"/>
        <v>0</v>
      </c>
      <c r="J915" s="57" t="str">
        <f t="shared" si="29"/>
        <v>POTENCJAŁ</v>
      </c>
    </row>
    <row r="916" spans="1:10" x14ac:dyDescent="0.25">
      <c r="A916" s="57" t="str">
        <f>IF(CRM_MAGDY!H916="","","CRM-"&amp;TEXT(ROW()-4,"0000"))</f>
        <v>CRM-0912</v>
      </c>
      <c r="B916" s="57">
        <f>CRM_MAGDY!E916</f>
        <v>0</v>
      </c>
      <c r="C916" s="57">
        <f>CRM_MAGDY!H916</f>
        <v>6352</v>
      </c>
      <c r="D916" s="57">
        <f>CRM_MAGDY!I916</f>
        <v>0</v>
      </c>
      <c r="E916" s="57">
        <f>IFERROR(VALUE(CRM_MAGDY!K916),0)</f>
        <v>0</v>
      </c>
      <c r="F916" s="57">
        <f>IFERROR(IF(CRM_MAGDY!L916&gt;1,CRM_MAGDY!L916/100,CRM_MAGDY!L916),0)</f>
        <v>0</v>
      </c>
      <c r="G916" s="57">
        <f>CRM_MAGDY!N916</f>
        <v>0</v>
      </c>
      <c r="H916" s="57">
        <f>CRM_MAGDY!M916</f>
        <v>0</v>
      </c>
      <c r="I916" s="57">
        <f t="shared" si="28"/>
        <v>0</v>
      </c>
      <c r="J916" s="57" t="str">
        <f t="shared" si="29"/>
        <v>POTENCJAŁ</v>
      </c>
    </row>
    <row r="917" spans="1:10" x14ac:dyDescent="0.25">
      <c r="A917" s="57" t="str">
        <f>IF(CRM_MAGDY!H917="","","CRM-"&amp;TEXT(ROW()-4,"0000"))</f>
        <v>CRM-0913</v>
      </c>
      <c r="B917" s="57">
        <f>CRM_MAGDY!E917</f>
        <v>0</v>
      </c>
      <c r="C917" s="57">
        <f>CRM_MAGDY!H917</f>
        <v>6353</v>
      </c>
      <c r="D917" s="57">
        <f>CRM_MAGDY!I917</f>
        <v>0</v>
      </c>
      <c r="E917" s="57">
        <f>IFERROR(VALUE(CRM_MAGDY!K917),0)</f>
        <v>0</v>
      </c>
      <c r="F917" s="57">
        <f>IFERROR(IF(CRM_MAGDY!L917&gt;1,CRM_MAGDY!L917/100,CRM_MAGDY!L917),0)</f>
        <v>0</v>
      </c>
      <c r="G917" s="57">
        <f>CRM_MAGDY!N917</f>
        <v>0</v>
      </c>
      <c r="H917" s="57">
        <f>CRM_MAGDY!M917</f>
        <v>0</v>
      </c>
      <c r="I917" s="57">
        <f t="shared" si="28"/>
        <v>0</v>
      </c>
      <c r="J917" s="57" t="str">
        <f t="shared" si="29"/>
        <v>POTENCJAŁ</v>
      </c>
    </row>
    <row r="918" spans="1:10" x14ac:dyDescent="0.25">
      <c r="A918" s="57" t="str">
        <f>IF(CRM_MAGDY!H918="","","CRM-"&amp;TEXT(ROW()-4,"0000"))</f>
        <v>CRM-0914</v>
      </c>
      <c r="B918" s="57">
        <f>CRM_MAGDY!E918</f>
        <v>0</v>
      </c>
      <c r="C918" s="57">
        <f>CRM_MAGDY!H918</f>
        <v>6354</v>
      </c>
      <c r="D918" s="57">
        <f>CRM_MAGDY!I918</f>
        <v>0</v>
      </c>
      <c r="E918" s="57">
        <f>IFERROR(VALUE(CRM_MAGDY!K918),0)</f>
        <v>0</v>
      </c>
      <c r="F918" s="57">
        <f>IFERROR(IF(CRM_MAGDY!L918&gt;1,CRM_MAGDY!L918/100,CRM_MAGDY!L918),0)</f>
        <v>0</v>
      </c>
      <c r="G918" s="57">
        <f>CRM_MAGDY!N918</f>
        <v>0</v>
      </c>
      <c r="H918" s="57">
        <f>CRM_MAGDY!M918</f>
        <v>0</v>
      </c>
      <c r="I918" s="57">
        <f t="shared" si="28"/>
        <v>0</v>
      </c>
      <c r="J918" s="57" t="str">
        <f t="shared" si="29"/>
        <v>POTENCJAŁ</v>
      </c>
    </row>
    <row r="919" spans="1:10" x14ac:dyDescent="0.25">
      <c r="A919" s="57" t="str">
        <f>IF(CRM_MAGDY!H919="","","CRM-"&amp;TEXT(ROW()-4,"0000"))</f>
        <v>CRM-0915</v>
      </c>
      <c r="B919" s="57">
        <f>CRM_MAGDY!E919</f>
        <v>0</v>
      </c>
      <c r="C919" s="57">
        <f>CRM_MAGDY!H919</f>
        <v>6355</v>
      </c>
      <c r="D919" s="57">
        <f>CRM_MAGDY!I919</f>
        <v>0</v>
      </c>
      <c r="E919" s="57">
        <f>IFERROR(VALUE(CRM_MAGDY!K919),0)</f>
        <v>0</v>
      </c>
      <c r="F919" s="57">
        <f>IFERROR(IF(CRM_MAGDY!L919&gt;1,CRM_MAGDY!L919/100,CRM_MAGDY!L919),0)</f>
        <v>0</v>
      </c>
      <c r="G919" s="57">
        <f>CRM_MAGDY!N919</f>
        <v>0</v>
      </c>
      <c r="H919" s="57">
        <f>CRM_MAGDY!M919</f>
        <v>0</v>
      </c>
      <c r="I919" s="57">
        <f t="shared" si="28"/>
        <v>0</v>
      </c>
      <c r="J919" s="57" t="str">
        <f t="shared" si="29"/>
        <v>POTENCJAŁ</v>
      </c>
    </row>
    <row r="920" spans="1:10" x14ac:dyDescent="0.25">
      <c r="A920" s="57" t="str">
        <f>IF(CRM_MAGDY!H920="","","CRM-"&amp;TEXT(ROW()-4,"0000"))</f>
        <v>CRM-0916</v>
      </c>
      <c r="B920" s="57">
        <f>CRM_MAGDY!E920</f>
        <v>0</v>
      </c>
      <c r="C920" s="57">
        <f>CRM_MAGDY!H920</f>
        <v>6356</v>
      </c>
      <c r="D920" s="57">
        <f>CRM_MAGDY!I920</f>
        <v>0</v>
      </c>
      <c r="E920" s="57">
        <f>IFERROR(VALUE(CRM_MAGDY!K920),0)</f>
        <v>0</v>
      </c>
      <c r="F920" s="57">
        <f>IFERROR(IF(CRM_MAGDY!L920&gt;1,CRM_MAGDY!L920/100,CRM_MAGDY!L920),0)</f>
        <v>0</v>
      </c>
      <c r="G920" s="57">
        <f>CRM_MAGDY!N920</f>
        <v>0</v>
      </c>
      <c r="H920" s="57">
        <f>CRM_MAGDY!M920</f>
        <v>0</v>
      </c>
      <c r="I920" s="57">
        <f t="shared" si="28"/>
        <v>0</v>
      </c>
      <c r="J920" s="57" t="str">
        <f t="shared" si="29"/>
        <v>POTENCJAŁ</v>
      </c>
    </row>
    <row r="921" spans="1:10" x14ac:dyDescent="0.25">
      <c r="A921" s="57" t="str">
        <f>IF(CRM_MAGDY!H921="","","CRM-"&amp;TEXT(ROW()-4,"0000"))</f>
        <v>CRM-0917</v>
      </c>
      <c r="B921" s="57">
        <f>CRM_MAGDY!E921</f>
        <v>0</v>
      </c>
      <c r="C921" s="57">
        <f>CRM_MAGDY!H921</f>
        <v>6357</v>
      </c>
      <c r="D921" s="57">
        <f>CRM_MAGDY!I921</f>
        <v>0</v>
      </c>
      <c r="E921" s="57">
        <f>IFERROR(VALUE(CRM_MAGDY!K921),0)</f>
        <v>0</v>
      </c>
      <c r="F921" s="57">
        <f>IFERROR(IF(CRM_MAGDY!L921&gt;1,CRM_MAGDY!L921/100,CRM_MAGDY!L921),0)</f>
        <v>0</v>
      </c>
      <c r="G921" s="57">
        <f>CRM_MAGDY!N921</f>
        <v>0</v>
      </c>
      <c r="H921" s="57">
        <f>CRM_MAGDY!M921</f>
        <v>0</v>
      </c>
      <c r="I921" s="57">
        <f t="shared" si="28"/>
        <v>0</v>
      </c>
      <c r="J921" s="57" t="str">
        <f t="shared" si="29"/>
        <v>POTENCJAŁ</v>
      </c>
    </row>
    <row r="922" spans="1:10" x14ac:dyDescent="0.25">
      <c r="A922" s="57" t="str">
        <f>IF(CRM_MAGDY!H922="","","CRM-"&amp;TEXT(ROW()-4,"0000"))</f>
        <v>CRM-0918</v>
      </c>
      <c r="B922" s="57">
        <f>CRM_MAGDY!E922</f>
        <v>0</v>
      </c>
      <c r="C922" s="57">
        <f>CRM_MAGDY!H922</f>
        <v>6358</v>
      </c>
      <c r="D922" s="57">
        <f>CRM_MAGDY!I922</f>
        <v>0</v>
      </c>
      <c r="E922" s="57">
        <f>IFERROR(VALUE(CRM_MAGDY!K922),0)</f>
        <v>0</v>
      </c>
      <c r="F922" s="57">
        <f>IFERROR(IF(CRM_MAGDY!L922&gt;1,CRM_MAGDY!L922/100,CRM_MAGDY!L922),0)</f>
        <v>0</v>
      </c>
      <c r="G922" s="57">
        <f>CRM_MAGDY!N922</f>
        <v>0</v>
      </c>
      <c r="H922" s="57">
        <f>CRM_MAGDY!M922</f>
        <v>0</v>
      </c>
      <c r="I922" s="57">
        <f t="shared" si="28"/>
        <v>0</v>
      </c>
      <c r="J922" s="57" t="str">
        <f t="shared" si="29"/>
        <v>POTENCJAŁ</v>
      </c>
    </row>
    <row r="923" spans="1:10" x14ac:dyDescent="0.25">
      <c r="A923" s="57" t="str">
        <f>IF(CRM_MAGDY!H923="","","CRM-"&amp;TEXT(ROW()-4,"0000"))</f>
        <v>CRM-0919</v>
      </c>
      <c r="B923" s="57">
        <f>CRM_MAGDY!E923</f>
        <v>0</v>
      </c>
      <c r="C923" s="57">
        <f>CRM_MAGDY!H923</f>
        <v>6359</v>
      </c>
      <c r="D923" s="57">
        <f>CRM_MAGDY!I923</f>
        <v>0</v>
      </c>
      <c r="E923" s="57">
        <f>IFERROR(VALUE(CRM_MAGDY!K923),0)</f>
        <v>0</v>
      </c>
      <c r="F923" s="57">
        <f>IFERROR(IF(CRM_MAGDY!L923&gt;1,CRM_MAGDY!L923/100,CRM_MAGDY!L923),0)</f>
        <v>0</v>
      </c>
      <c r="G923" s="57">
        <f>CRM_MAGDY!N923</f>
        <v>0</v>
      </c>
      <c r="H923" s="57">
        <f>CRM_MAGDY!M923</f>
        <v>0</v>
      </c>
      <c r="I923" s="57">
        <f t="shared" si="28"/>
        <v>0</v>
      </c>
      <c r="J923" s="57" t="str">
        <f t="shared" si="29"/>
        <v>POTENCJAŁ</v>
      </c>
    </row>
    <row r="924" spans="1:10" x14ac:dyDescent="0.25">
      <c r="A924" s="57" t="str">
        <f>IF(CRM_MAGDY!H924="","","CRM-"&amp;TEXT(ROW()-4,"0000"))</f>
        <v>CRM-0920</v>
      </c>
      <c r="B924" s="57">
        <f>CRM_MAGDY!E924</f>
        <v>0</v>
      </c>
      <c r="C924" s="57">
        <f>CRM_MAGDY!H924</f>
        <v>6360</v>
      </c>
      <c r="D924" s="57">
        <f>CRM_MAGDY!I924</f>
        <v>0</v>
      </c>
      <c r="E924" s="57">
        <f>IFERROR(VALUE(CRM_MAGDY!K924),0)</f>
        <v>0</v>
      </c>
      <c r="F924" s="57">
        <f>IFERROR(IF(CRM_MAGDY!L924&gt;1,CRM_MAGDY!L924/100,CRM_MAGDY!L924),0)</f>
        <v>0</v>
      </c>
      <c r="G924" s="57">
        <f>CRM_MAGDY!N924</f>
        <v>0</v>
      </c>
      <c r="H924" s="57">
        <f>CRM_MAGDY!M924</f>
        <v>0</v>
      </c>
      <c r="I924" s="57">
        <f t="shared" si="28"/>
        <v>0</v>
      </c>
      <c r="J924" s="57" t="str">
        <f t="shared" si="29"/>
        <v>POTENCJAŁ</v>
      </c>
    </row>
    <row r="925" spans="1:10" x14ac:dyDescent="0.25">
      <c r="A925" s="57" t="str">
        <f>IF(CRM_MAGDY!H925="","","CRM-"&amp;TEXT(ROW()-4,"0000"))</f>
        <v>CRM-0921</v>
      </c>
      <c r="B925" s="57">
        <f>CRM_MAGDY!E925</f>
        <v>0</v>
      </c>
      <c r="C925" s="57">
        <f>CRM_MAGDY!H925</f>
        <v>6361</v>
      </c>
      <c r="D925" s="57">
        <f>CRM_MAGDY!I925</f>
        <v>0</v>
      </c>
      <c r="E925" s="57">
        <f>IFERROR(VALUE(CRM_MAGDY!K925),0)</f>
        <v>0</v>
      </c>
      <c r="F925" s="57">
        <f>IFERROR(IF(CRM_MAGDY!L925&gt;1,CRM_MAGDY!L925/100,CRM_MAGDY!L925),0)</f>
        <v>0</v>
      </c>
      <c r="G925" s="57">
        <f>CRM_MAGDY!N925</f>
        <v>0</v>
      </c>
      <c r="H925" s="57">
        <f>CRM_MAGDY!M925</f>
        <v>0</v>
      </c>
      <c r="I925" s="57">
        <f t="shared" si="28"/>
        <v>0</v>
      </c>
      <c r="J925" s="57" t="str">
        <f t="shared" si="29"/>
        <v>POTENCJAŁ</v>
      </c>
    </row>
    <row r="926" spans="1:10" x14ac:dyDescent="0.25">
      <c r="A926" s="57" t="str">
        <f>IF(CRM_MAGDY!H926="","","CRM-"&amp;TEXT(ROW()-4,"0000"))</f>
        <v>CRM-0922</v>
      </c>
      <c r="B926" s="57">
        <f>CRM_MAGDY!E926</f>
        <v>0</v>
      </c>
      <c r="C926" s="57">
        <f>CRM_MAGDY!H926</f>
        <v>6362</v>
      </c>
      <c r="D926" s="57">
        <f>CRM_MAGDY!I926</f>
        <v>0</v>
      </c>
      <c r="E926" s="57">
        <f>IFERROR(VALUE(CRM_MAGDY!K926),0)</f>
        <v>0</v>
      </c>
      <c r="F926" s="57">
        <f>IFERROR(IF(CRM_MAGDY!L926&gt;1,CRM_MAGDY!L926/100,CRM_MAGDY!L926),0)</f>
        <v>0</v>
      </c>
      <c r="G926" s="57">
        <f>CRM_MAGDY!N926</f>
        <v>0</v>
      </c>
      <c r="H926" s="57">
        <f>CRM_MAGDY!M926</f>
        <v>0</v>
      </c>
      <c r="I926" s="57">
        <f t="shared" si="28"/>
        <v>0</v>
      </c>
      <c r="J926" s="57" t="str">
        <f t="shared" si="29"/>
        <v>POTENCJAŁ</v>
      </c>
    </row>
    <row r="927" spans="1:10" x14ac:dyDescent="0.25">
      <c r="A927" s="57" t="str">
        <f>IF(CRM_MAGDY!H927="","","CRM-"&amp;TEXT(ROW()-4,"0000"))</f>
        <v>CRM-0923</v>
      </c>
      <c r="B927" s="57">
        <f>CRM_MAGDY!E927</f>
        <v>0</v>
      </c>
      <c r="C927" s="57">
        <f>CRM_MAGDY!H927</f>
        <v>6363</v>
      </c>
      <c r="D927" s="57">
        <f>CRM_MAGDY!I927</f>
        <v>0</v>
      </c>
      <c r="E927" s="57">
        <f>IFERROR(VALUE(CRM_MAGDY!K927),0)</f>
        <v>0</v>
      </c>
      <c r="F927" s="57">
        <f>IFERROR(IF(CRM_MAGDY!L927&gt;1,CRM_MAGDY!L927/100,CRM_MAGDY!L927),0)</f>
        <v>0</v>
      </c>
      <c r="G927" s="57">
        <f>CRM_MAGDY!N927</f>
        <v>0</v>
      </c>
      <c r="H927" s="57">
        <f>CRM_MAGDY!M927</f>
        <v>0</v>
      </c>
      <c r="I927" s="57">
        <f t="shared" si="28"/>
        <v>0</v>
      </c>
      <c r="J927" s="57" t="str">
        <f t="shared" si="29"/>
        <v>POTENCJAŁ</v>
      </c>
    </row>
    <row r="928" spans="1:10" x14ac:dyDescent="0.25">
      <c r="A928" s="57" t="str">
        <f>IF(CRM_MAGDY!H928="","","CRM-"&amp;TEXT(ROW()-4,"0000"))</f>
        <v>CRM-0924</v>
      </c>
      <c r="B928" s="57">
        <f>CRM_MAGDY!E928</f>
        <v>0</v>
      </c>
      <c r="C928" s="57">
        <f>CRM_MAGDY!H928</f>
        <v>6364</v>
      </c>
      <c r="D928" s="57">
        <f>CRM_MAGDY!I928</f>
        <v>0</v>
      </c>
      <c r="E928" s="57">
        <f>IFERROR(VALUE(CRM_MAGDY!K928),0)</f>
        <v>0</v>
      </c>
      <c r="F928" s="57">
        <f>IFERROR(IF(CRM_MAGDY!L928&gt;1,CRM_MAGDY!L928/100,CRM_MAGDY!L928),0)</f>
        <v>0</v>
      </c>
      <c r="G928" s="57">
        <f>CRM_MAGDY!N928</f>
        <v>0</v>
      </c>
      <c r="H928" s="57">
        <f>CRM_MAGDY!M928</f>
        <v>0</v>
      </c>
      <c r="I928" s="57">
        <f t="shared" si="28"/>
        <v>0</v>
      </c>
      <c r="J928" s="57" t="str">
        <f t="shared" si="29"/>
        <v>POTENCJAŁ</v>
      </c>
    </row>
    <row r="929" spans="1:10" x14ac:dyDescent="0.25">
      <c r="A929" s="57" t="str">
        <f>IF(CRM_MAGDY!H929="","","CRM-"&amp;TEXT(ROW()-4,"0000"))</f>
        <v>CRM-0925</v>
      </c>
      <c r="B929" s="57">
        <f>CRM_MAGDY!E929</f>
        <v>0</v>
      </c>
      <c r="C929" s="57">
        <f>CRM_MAGDY!H929</f>
        <v>6365</v>
      </c>
      <c r="D929" s="57">
        <f>CRM_MAGDY!I929</f>
        <v>0</v>
      </c>
      <c r="E929" s="57">
        <f>IFERROR(VALUE(CRM_MAGDY!K929),0)</f>
        <v>0</v>
      </c>
      <c r="F929" s="57">
        <f>IFERROR(IF(CRM_MAGDY!L929&gt;1,CRM_MAGDY!L929/100,CRM_MAGDY!L929),0)</f>
        <v>0</v>
      </c>
      <c r="G929" s="57">
        <f>CRM_MAGDY!N929</f>
        <v>0</v>
      </c>
      <c r="H929" s="57">
        <f>CRM_MAGDY!M929</f>
        <v>0</v>
      </c>
      <c r="I929" s="57">
        <f t="shared" si="28"/>
        <v>0</v>
      </c>
      <c r="J929" s="57" t="str">
        <f t="shared" si="29"/>
        <v>POTENCJAŁ</v>
      </c>
    </row>
    <row r="930" spans="1:10" x14ac:dyDescent="0.25">
      <c r="A930" s="57" t="str">
        <f>IF(CRM_MAGDY!H930="","","CRM-"&amp;TEXT(ROW()-4,"0000"))</f>
        <v>CRM-0926</v>
      </c>
      <c r="B930" s="57">
        <f>CRM_MAGDY!E930</f>
        <v>0</v>
      </c>
      <c r="C930" s="57">
        <f>CRM_MAGDY!H930</f>
        <v>6366</v>
      </c>
      <c r="D930" s="57">
        <f>CRM_MAGDY!I930</f>
        <v>0</v>
      </c>
      <c r="E930" s="57">
        <f>IFERROR(VALUE(CRM_MAGDY!K930),0)</f>
        <v>0</v>
      </c>
      <c r="F930" s="57">
        <f>IFERROR(IF(CRM_MAGDY!L930&gt;1,CRM_MAGDY!L930/100,CRM_MAGDY!L930),0)</f>
        <v>0</v>
      </c>
      <c r="G930" s="57">
        <f>CRM_MAGDY!N930</f>
        <v>0</v>
      </c>
      <c r="H930" s="57">
        <f>CRM_MAGDY!M930</f>
        <v>0</v>
      </c>
      <c r="I930" s="57">
        <f t="shared" si="28"/>
        <v>0</v>
      </c>
      <c r="J930" s="57" t="str">
        <f t="shared" si="29"/>
        <v>POTENCJAŁ</v>
      </c>
    </row>
    <row r="931" spans="1:10" x14ac:dyDescent="0.25">
      <c r="A931" s="57" t="str">
        <f>IF(CRM_MAGDY!H931="","","CRM-"&amp;TEXT(ROW()-4,"0000"))</f>
        <v>CRM-0927</v>
      </c>
      <c r="B931" s="57">
        <f>CRM_MAGDY!E931</f>
        <v>0</v>
      </c>
      <c r="C931" s="57">
        <f>CRM_MAGDY!H931</f>
        <v>6367</v>
      </c>
      <c r="D931" s="57">
        <f>CRM_MAGDY!I931</f>
        <v>0</v>
      </c>
      <c r="E931" s="57">
        <f>IFERROR(VALUE(CRM_MAGDY!K931),0)</f>
        <v>0</v>
      </c>
      <c r="F931" s="57">
        <f>IFERROR(IF(CRM_MAGDY!L931&gt;1,CRM_MAGDY!L931/100,CRM_MAGDY!L931),0)</f>
        <v>0</v>
      </c>
      <c r="G931" s="57">
        <f>CRM_MAGDY!N931</f>
        <v>0</v>
      </c>
      <c r="H931" s="57">
        <f>CRM_MAGDY!M931</f>
        <v>0</v>
      </c>
      <c r="I931" s="57">
        <f t="shared" si="28"/>
        <v>0</v>
      </c>
      <c r="J931" s="57" t="str">
        <f t="shared" si="29"/>
        <v>POTENCJAŁ</v>
      </c>
    </row>
    <row r="932" spans="1:10" x14ac:dyDescent="0.25">
      <c r="A932" s="57" t="str">
        <f>IF(CRM_MAGDY!H932="","","CRM-"&amp;TEXT(ROW()-4,"0000"))</f>
        <v>CRM-0928</v>
      </c>
      <c r="B932" s="57">
        <f>CRM_MAGDY!E932</f>
        <v>0</v>
      </c>
      <c r="C932" s="57">
        <f>CRM_MAGDY!H932</f>
        <v>6368</v>
      </c>
      <c r="D932" s="57">
        <f>CRM_MAGDY!I932</f>
        <v>0</v>
      </c>
      <c r="E932" s="57">
        <f>IFERROR(VALUE(CRM_MAGDY!K932),0)</f>
        <v>0</v>
      </c>
      <c r="F932" s="57">
        <f>IFERROR(IF(CRM_MAGDY!L932&gt;1,CRM_MAGDY!L932/100,CRM_MAGDY!L932),0)</f>
        <v>0</v>
      </c>
      <c r="G932" s="57">
        <f>CRM_MAGDY!N932</f>
        <v>0</v>
      </c>
      <c r="H932" s="57">
        <f>CRM_MAGDY!M932</f>
        <v>0</v>
      </c>
      <c r="I932" s="57">
        <f t="shared" si="28"/>
        <v>0</v>
      </c>
      <c r="J932" s="57" t="str">
        <f t="shared" si="29"/>
        <v>POTENCJAŁ</v>
      </c>
    </row>
    <row r="933" spans="1:10" x14ac:dyDescent="0.25">
      <c r="A933" s="57" t="str">
        <f>IF(CRM_MAGDY!H933="","","CRM-"&amp;TEXT(ROW()-4,"0000"))</f>
        <v>CRM-0929</v>
      </c>
      <c r="B933" s="57">
        <f>CRM_MAGDY!E933</f>
        <v>0</v>
      </c>
      <c r="C933" s="57">
        <f>CRM_MAGDY!H933</f>
        <v>6369</v>
      </c>
      <c r="D933" s="57">
        <f>CRM_MAGDY!I933</f>
        <v>0</v>
      </c>
      <c r="E933" s="57">
        <f>IFERROR(VALUE(CRM_MAGDY!K933),0)</f>
        <v>0</v>
      </c>
      <c r="F933" s="57">
        <f>IFERROR(IF(CRM_MAGDY!L933&gt;1,CRM_MAGDY!L933/100,CRM_MAGDY!L933),0)</f>
        <v>0</v>
      </c>
      <c r="G933" s="57">
        <f>CRM_MAGDY!N933</f>
        <v>0</v>
      </c>
      <c r="H933" s="57">
        <f>CRM_MAGDY!M933</f>
        <v>0</v>
      </c>
      <c r="I933" s="57">
        <f t="shared" si="28"/>
        <v>0</v>
      </c>
      <c r="J933" s="57" t="str">
        <f t="shared" si="29"/>
        <v>POTENCJAŁ</v>
      </c>
    </row>
    <row r="934" spans="1:10" x14ac:dyDescent="0.25">
      <c r="A934" s="57" t="str">
        <f>IF(CRM_MAGDY!H934="","","CRM-"&amp;TEXT(ROW()-4,"0000"))</f>
        <v>CRM-0930</v>
      </c>
      <c r="B934" s="57">
        <f>CRM_MAGDY!E934</f>
        <v>0</v>
      </c>
      <c r="C934" s="57">
        <f>CRM_MAGDY!H934</f>
        <v>6370</v>
      </c>
      <c r="D934" s="57">
        <f>CRM_MAGDY!I934</f>
        <v>0</v>
      </c>
      <c r="E934" s="57">
        <f>IFERROR(VALUE(CRM_MAGDY!K934),0)</f>
        <v>0</v>
      </c>
      <c r="F934" s="57">
        <f>IFERROR(IF(CRM_MAGDY!L934&gt;1,CRM_MAGDY!L934/100,CRM_MAGDY!L934),0)</f>
        <v>0</v>
      </c>
      <c r="G934" s="57">
        <f>CRM_MAGDY!N934</f>
        <v>0</v>
      </c>
      <c r="H934" s="57">
        <f>CRM_MAGDY!M934</f>
        <v>0</v>
      </c>
      <c r="I934" s="57">
        <f t="shared" si="28"/>
        <v>0</v>
      </c>
      <c r="J934" s="57" t="str">
        <f t="shared" si="29"/>
        <v>POTENCJAŁ</v>
      </c>
    </row>
    <row r="935" spans="1:10" x14ac:dyDescent="0.25">
      <c r="A935" s="57" t="str">
        <f>IF(CRM_MAGDY!H935="","","CRM-"&amp;TEXT(ROW()-4,"0000"))</f>
        <v>CRM-0931</v>
      </c>
      <c r="B935" s="57">
        <f>CRM_MAGDY!E935</f>
        <v>0</v>
      </c>
      <c r="C935" s="57">
        <f>CRM_MAGDY!H935</f>
        <v>6371</v>
      </c>
      <c r="D935" s="57">
        <f>CRM_MAGDY!I935</f>
        <v>0</v>
      </c>
      <c r="E935" s="57">
        <f>IFERROR(VALUE(CRM_MAGDY!K935),0)</f>
        <v>0</v>
      </c>
      <c r="F935" s="57">
        <f>IFERROR(IF(CRM_MAGDY!L935&gt;1,CRM_MAGDY!L935/100,CRM_MAGDY!L935),0)</f>
        <v>0</v>
      </c>
      <c r="G935" s="57">
        <f>CRM_MAGDY!N935</f>
        <v>0</v>
      </c>
      <c r="H935" s="57">
        <f>CRM_MAGDY!M935</f>
        <v>0</v>
      </c>
      <c r="I935" s="57">
        <f t="shared" si="28"/>
        <v>0</v>
      </c>
      <c r="J935" s="57" t="str">
        <f t="shared" si="29"/>
        <v>POTENCJAŁ</v>
      </c>
    </row>
    <row r="936" spans="1:10" x14ac:dyDescent="0.25">
      <c r="A936" s="57" t="str">
        <f>IF(CRM_MAGDY!H936="","","CRM-"&amp;TEXT(ROW()-4,"0000"))</f>
        <v>CRM-0932</v>
      </c>
      <c r="B936" s="57">
        <f>CRM_MAGDY!E936</f>
        <v>0</v>
      </c>
      <c r="C936" s="57">
        <f>CRM_MAGDY!H936</f>
        <v>6372</v>
      </c>
      <c r="D936" s="57">
        <f>CRM_MAGDY!I936</f>
        <v>0</v>
      </c>
      <c r="E936" s="57">
        <f>IFERROR(VALUE(CRM_MAGDY!K936),0)</f>
        <v>0</v>
      </c>
      <c r="F936" s="57">
        <f>IFERROR(IF(CRM_MAGDY!L936&gt;1,CRM_MAGDY!L936/100,CRM_MAGDY!L936),0)</f>
        <v>0</v>
      </c>
      <c r="G936" s="57">
        <f>CRM_MAGDY!N936</f>
        <v>0</v>
      </c>
      <c r="H936" s="57">
        <f>CRM_MAGDY!M936</f>
        <v>0</v>
      </c>
      <c r="I936" s="57">
        <f t="shared" si="28"/>
        <v>0</v>
      </c>
      <c r="J936" s="57" t="str">
        <f t="shared" si="29"/>
        <v>POTENCJAŁ</v>
      </c>
    </row>
    <row r="937" spans="1:10" x14ac:dyDescent="0.25">
      <c r="A937" s="57" t="str">
        <f>IF(CRM_MAGDY!H937="","","CRM-"&amp;TEXT(ROW()-4,"0000"))</f>
        <v>CRM-0933</v>
      </c>
      <c r="B937" s="57">
        <f>CRM_MAGDY!E937</f>
        <v>0</v>
      </c>
      <c r="C937" s="57">
        <f>CRM_MAGDY!H937</f>
        <v>6373</v>
      </c>
      <c r="D937" s="57">
        <f>CRM_MAGDY!I937</f>
        <v>0</v>
      </c>
      <c r="E937" s="57">
        <f>IFERROR(VALUE(CRM_MAGDY!K937),0)</f>
        <v>0</v>
      </c>
      <c r="F937" s="57">
        <f>IFERROR(IF(CRM_MAGDY!L937&gt;1,CRM_MAGDY!L937/100,CRM_MAGDY!L937),0)</f>
        <v>0</v>
      </c>
      <c r="G937" s="57">
        <f>CRM_MAGDY!N937</f>
        <v>0</v>
      </c>
      <c r="H937" s="57">
        <f>CRM_MAGDY!M937</f>
        <v>0</v>
      </c>
      <c r="I937" s="57">
        <f t="shared" si="28"/>
        <v>0</v>
      </c>
      <c r="J937" s="57" t="str">
        <f t="shared" si="29"/>
        <v>POTENCJAŁ</v>
      </c>
    </row>
    <row r="938" spans="1:10" x14ac:dyDescent="0.25">
      <c r="A938" s="57" t="str">
        <f>IF(CRM_MAGDY!H938="","","CRM-"&amp;TEXT(ROW()-4,"0000"))</f>
        <v>CRM-0934</v>
      </c>
      <c r="B938" s="57">
        <f>CRM_MAGDY!E938</f>
        <v>0</v>
      </c>
      <c r="C938" s="57">
        <f>CRM_MAGDY!H938</f>
        <v>6374</v>
      </c>
      <c r="D938" s="57">
        <f>CRM_MAGDY!I938</f>
        <v>0</v>
      </c>
      <c r="E938" s="57">
        <f>IFERROR(VALUE(CRM_MAGDY!K938),0)</f>
        <v>0</v>
      </c>
      <c r="F938" s="57">
        <f>IFERROR(IF(CRM_MAGDY!L938&gt;1,CRM_MAGDY!L938/100,CRM_MAGDY!L938),0)</f>
        <v>0</v>
      </c>
      <c r="G938" s="57">
        <f>CRM_MAGDY!N938</f>
        <v>0</v>
      </c>
      <c r="H938" s="57">
        <f>CRM_MAGDY!M938</f>
        <v>0</v>
      </c>
      <c r="I938" s="57">
        <f t="shared" si="28"/>
        <v>0</v>
      </c>
      <c r="J938" s="57" t="str">
        <f t="shared" si="29"/>
        <v>POTENCJAŁ</v>
      </c>
    </row>
    <row r="939" spans="1:10" x14ac:dyDescent="0.25">
      <c r="A939" s="57" t="str">
        <f>IF(CRM_MAGDY!H939="","","CRM-"&amp;TEXT(ROW()-4,"0000"))</f>
        <v>CRM-0935</v>
      </c>
      <c r="B939" s="57">
        <f>CRM_MAGDY!E939</f>
        <v>0</v>
      </c>
      <c r="C939" s="57">
        <f>CRM_MAGDY!H939</f>
        <v>6375</v>
      </c>
      <c r="D939" s="57">
        <f>CRM_MAGDY!I939</f>
        <v>0</v>
      </c>
      <c r="E939" s="57">
        <f>IFERROR(VALUE(CRM_MAGDY!K939),0)</f>
        <v>0</v>
      </c>
      <c r="F939" s="57">
        <f>IFERROR(IF(CRM_MAGDY!L939&gt;1,CRM_MAGDY!L939/100,CRM_MAGDY!L939),0)</f>
        <v>0</v>
      </c>
      <c r="G939" s="57">
        <f>CRM_MAGDY!N939</f>
        <v>0</v>
      </c>
      <c r="H939" s="57">
        <f>CRM_MAGDY!M939</f>
        <v>0</v>
      </c>
      <c r="I939" s="57">
        <f t="shared" si="28"/>
        <v>0</v>
      </c>
      <c r="J939" s="57" t="str">
        <f t="shared" si="29"/>
        <v>POTENCJAŁ</v>
      </c>
    </row>
    <row r="940" spans="1:10" x14ac:dyDescent="0.25">
      <c r="A940" s="57" t="str">
        <f>IF(CRM_MAGDY!H940="","","CRM-"&amp;TEXT(ROW()-4,"0000"))</f>
        <v>CRM-0936</v>
      </c>
      <c r="B940" s="57">
        <f>CRM_MAGDY!E940</f>
        <v>0</v>
      </c>
      <c r="C940" s="57">
        <f>CRM_MAGDY!H940</f>
        <v>6376</v>
      </c>
      <c r="D940" s="57">
        <f>CRM_MAGDY!I940</f>
        <v>0</v>
      </c>
      <c r="E940" s="57">
        <f>IFERROR(VALUE(CRM_MAGDY!K940),0)</f>
        <v>0</v>
      </c>
      <c r="F940" s="57">
        <f>IFERROR(IF(CRM_MAGDY!L940&gt;1,CRM_MAGDY!L940/100,CRM_MAGDY!L940),0)</f>
        <v>0</v>
      </c>
      <c r="G940" s="57">
        <f>CRM_MAGDY!N940</f>
        <v>0</v>
      </c>
      <c r="H940" s="57">
        <f>CRM_MAGDY!M940</f>
        <v>0</v>
      </c>
      <c r="I940" s="57">
        <f t="shared" si="28"/>
        <v>0</v>
      </c>
      <c r="J940" s="57" t="str">
        <f t="shared" si="29"/>
        <v>POTENCJAŁ</v>
      </c>
    </row>
    <row r="941" spans="1:10" x14ac:dyDescent="0.25">
      <c r="A941" s="57" t="str">
        <f>IF(CRM_MAGDY!H941="","","CRM-"&amp;TEXT(ROW()-4,"0000"))</f>
        <v>CRM-0937</v>
      </c>
      <c r="B941" s="57">
        <f>CRM_MAGDY!E941</f>
        <v>0</v>
      </c>
      <c r="C941" s="57">
        <f>CRM_MAGDY!H941</f>
        <v>6377</v>
      </c>
      <c r="D941" s="57">
        <f>CRM_MAGDY!I941</f>
        <v>0</v>
      </c>
      <c r="E941" s="57">
        <f>IFERROR(VALUE(CRM_MAGDY!K941),0)</f>
        <v>0</v>
      </c>
      <c r="F941" s="57">
        <f>IFERROR(IF(CRM_MAGDY!L941&gt;1,CRM_MAGDY!L941/100,CRM_MAGDY!L941),0)</f>
        <v>0</v>
      </c>
      <c r="G941" s="57">
        <f>CRM_MAGDY!N941</f>
        <v>0</v>
      </c>
      <c r="H941" s="57">
        <f>CRM_MAGDY!M941</f>
        <v>0</v>
      </c>
      <c r="I941" s="57">
        <f t="shared" si="28"/>
        <v>0</v>
      </c>
      <c r="J941" s="57" t="str">
        <f t="shared" si="29"/>
        <v>POTENCJAŁ</v>
      </c>
    </row>
    <row r="942" spans="1:10" x14ac:dyDescent="0.25">
      <c r="A942" s="57" t="str">
        <f>IF(CRM_MAGDY!H942="","","CRM-"&amp;TEXT(ROW()-4,"0000"))</f>
        <v>CRM-0938</v>
      </c>
      <c r="B942" s="57">
        <f>CRM_MAGDY!E942</f>
        <v>0</v>
      </c>
      <c r="C942" s="57">
        <f>CRM_MAGDY!H942</f>
        <v>6378</v>
      </c>
      <c r="D942" s="57">
        <f>CRM_MAGDY!I942</f>
        <v>0</v>
      </c>
      <c r="E942" s="57">
        <f>IFERROR(VALUE(CRM_MAGDY!K942),0)</f>
        <v>0</v>
      </c>
      <c r="F942" s="57">
        <f>IFERROR(IF(CRM_MAGDY!L942&gt;1,CRM_MAGDY!L942/100,CRM_MAGDY!L942),0)</f>
        <v>0</v>
      </c>
      <c r="G942" s="57">
        <f>CRM_MAGDY!N942</f>
        <v>0</v>
      </c>
      <c r="H942" s="57">
        <f>CRM_MAGDY!M942</f>
        <v>0</v>
      </c>
      <c r="I942" s="57">
        <f t="shared" si="28"/>
        <v>0</v>
      </c>
      <c r="J942" s="57" t="str">
        <f t="shared" si="29"/>
        <v>POTENCJAŁ</v>
      </c>
    </row>
    <row r="943" spans="1:10" x14ac:dyDescent="0.25">
      <c r="A943" s="57" t="str">
        <f>IF(CRM_MAGDY!H943="","","CRM-"&amp;TEXT(ROW()-4,"0000"))</f>
        <v>CRM-0939</v>
      </c>
      <c r="B943" s="57">
        <f>CRM_MAGDY!E943</f>
        <v>0</v>
      </c>
      <c r="C943" s="57">
        <f>CRM_MAGDY!H943</f>
        <v>6379</v>
      </c>
      <c r="D943" s="57">
        <f>CRM_MAGDY!I943</f>
        <v>0</v>
      </c>
      <c r="E943" s="57">
        <f>IFERROR(VALUE(CRM_MAGDY!K943),0)</f>
        <v>0</v>
      </c>
      <c r="F943" s="57">
        <f>IFERROR(IF(CRM_MAGDY!L943&gt;1,CRM_MAGDY!L943/100,CRM_MAGDY!L943),0)</f>
        <v>0</v>
      </c>
      <c r="G943" s="57">
        <f>CRM_MAGDY!N943</f>
        <v>0</v>
      </c>
      <c r="H943" s="57">
        <f>CRM_MAGDY!M943</f>
        <v>0</v>
      </c>
      <c r="I943" s="57">
        <f t="shared" si="28"/>
        <v>0</v>
      </c>
      <c r="J943" s="57" t="str">
        <f t="shared" si="29"/>
        <v>POTENCJAŁ</v>
      </c>
    </row>
    <row r="944" spans="1:10" x14ac:dyDescent="0.25">
      <c r="A944" s="57" t="str">
        <f>IF(CRM_MAGDY!H944="","","CRM-"&amp;TEXT(ROW()-4,"0000"))</f>
        <v>CRM-0940</v>
      </c>
      <c r="B944" s="57">
        <f>CRM_MAGDY!E944</f>
        <v>0</v>
      </c>
      <c r="C944" s="57">
        <f>CRM_MAGDY!H944</f>
        <v>6380</v>
      </c>
      <c r="D944" s="57">
        <f>CRM_MAGDY!I944</f>
        <v>0</v>
      </c>
      <c r="E944" s="57">
        <f>IFERROR(VALUE(CRM_MAGDY!K944),0)</f>
        <v>0</v>
      </c>
      <c r="F944" s="57">
        <f>IFERROR(IF(CRM_MAGDY!L944&gt;1,CRM_MAGDY!L944/100,CRM_MAGDY!L944),0)</f>
        <v>0</v>
      </c>
      <c r="G944" s="57">
        <f>CRM_MAGDY!N944</f>
        <v>0</v>
      </c>
      <c r="H944" s="57">
        <f>CRM_MAGDY!M944</f>
        <v>0</v>
      </c>
      <c r="I944" s="57">
        <f t="shared" si="28"/>
        <v>0</v>
      </c>
      <c r="J944" s="57" t="str">
        <f t="shared" si="29"/>
        <v>POTENCJAŁ</v>
      </c>
    </row>
    <row r="945" spans="1:10" x14ac:dyDescent="0.25">
      <c r="A945" s="57" t="str">
        <f>IF(CRM_MAGDY!H945="","","CRM-"&amp;TEXT(ROW()-4,"0000"))</f>
        <v>CRM-0941</v>
      </c>
      <c r="B945" s="57">
        <f>CRM_MAGDY!E945</f>
        <v>0</v>
      </c>
      <c r="C945" s="57">
        <f>CRM_MAGDY!H945</f>
        <v>6381</v>
      </c>
      <c r="D945" s="57">
        <f>CRM_MAGDY!I945</f>
        <v>0</v>
      </c>
      <c r="E945" s="57">
        <f>IFERROR(VALUE(CRM_MAGDY!K945),0)</f>
        <v>0</v>
      </c>
      <c r="F945" s="57">
        <f>IFERROR(IF(CRM_MAGDY!L945&gt;1,CRM_MAGDY!L945/100,CRM_MAGDY!L945),0)</f>
        <v>0</v>
      </c>
      <c r="G945" s="57">
        <f>CRM_MAGDY!N945</f>
        <v>0</v>
      </c>
      <c r="H945" s="57">
        <f>CRM_MAGDY!M945</f>
        <v>0</v>
      </c>
      <c r="I945" s="57">
        <f t="shared" si="28"/>
        <v>0</v>
      </c>
      <c r="J945" s="57" t="str">
        <f t="shared" si="29"/>
        <v>POTENCJAŁ</v>
      </c>
    </row>
    <row r="946" spans="1:10" x14ac:dyDescent="0.25">
      <c r="A946" s="57" t="str">
        <f>IF(CRM_MAGDY!H946="","","CRM-"&amp;TEXT(ROW()-4,"0000"))</f>
        <v>CRM-0942</v>
      </c>
      <c r="B946" s="57">
        <f>CRM_MAGDY!E946</f>
        <v>0</v>
      </c>
      <c r="C946" s="57">
        <f>CRM_MAGDY!H946</f>
        <v>6382</v>
      </c>
      <c r="D946" s="57">
        <f>CRM_MAGDY!I946</f>
        <v>0</v>
      </c>
      <c r="E946" s="57">
        <f>IFERROR(VALUE(CRM_MAGDY!K946),0)</f>
        <v>0</v>
      </c>
      <c r="F946" s="57">
        <f>IFERROR(IF(CRM_MAGDY!L946&gt;1,CRM_MAGDY!L946/100,CRM_MAGDY!L946),0)</f>
        <v>0</v>
      </c>
      <c r="G946" s="57">
        <f>CRM_MAGDY!N946</f>
        <v>0</v>
      </c>
      <c r="H946" s="57">
        <f>CRM_MAGDY!M946</f>
        <v>0</v>
      </c>
      <c r="I946" s="57">
        <f t="shared" si="28"/>
        <v>0</v>
      </c>
      <c r="J946" s="57" t="str">
        <f t="shared" si="29"/>
        <v>POTENCJAŁ</v>
      </c>
    </row>
    <row r="947" spans="1:10" x14ac:dyDescent="0.25">
      <c r="A947" s="57" t="str">
        <f>IF(CRM_MAGDY!H947="","","CRM-"&amp;TEXT(ROW()-4,"0000"))</f>
        <v>CRM-0943</v>
      </c>
      <c r="B947" s="57">
        <f>CRM_MAGDY!E947</f>
        <v>0</v>
      </c>
      <c r="C947" s="57">
        <f>CRM_MAGDY!H947</f>
        <v>6383</v>
      </c>
      <c r="D947" s="57">
        <f>CRM_MAGDY!I947</f>
        <v>0</v>
      </c>
      <c r="E947" s="57">
        <f>IFERROR(VALUE(CRM_MAGDY!K947),0)</f>
        <v>0</v>
      </c>
      <c r="F947" s="57">
        <f>IFERROR(IF(CRM_MAGDY!L947&gt;1,CRM_MAGDY!L947/100,CRM_MAGDY!L947),0)</f>
        <v>0</v>
      </c>
      <c r="G947" s="57">
        <f>CRM_MAGDY!N947</f>
        <v>0</v>
      </c>
      <c r="H947" s="57">
        <f>CRM_MAGDY!M947</f>
        <v>0</v>
      </c>
      <c r="I947" s="57">
        <f t="shared" si="28"/>
        <v>0</v>
      </c>
      <c r="J947" s="57" t="str">
        <f t="shared" si="29"/>
        <v>POTENCJAŁ</v>
      </c>
    </row>
    <row r="948" spans="1:10" x14ac:dyDescent="0.25">
      <c r="A948" s="57" t="str">
        <f>IF(CRM_MAGDY!H948="","","CRM-"&amp;TEXT(ROW()-4,"0000"))</f>
        <v>CRM-0944</v>
      </c>
      <c r="B948" s="57">
        <f>CRM_MAGDY!E948</f>
        <v>0</v>
      </c>
      <c r="C948" s="57">
        <f>CRM_MAGDY!H948</f>
        <v>6384</v>
      </c>
      <c r="D948" s="57">
        <f>CRM_MAGDY!I948</f>
        <v>0</v>
      </c>
      <c r="E948" s="57">
        <f>IFERROR(VALUE(CRM_MAGDY!K948),0)</f>
        <v>0</v>
      </c>
      <c r="F948" s="57">
        <f>IFERROR(IF(CRM_MAGDY!L948&gt;1,CRM_MAGDY!L948/100,CRM_MAGDY!L948),0)</f>
        <v>0</v>
      </c>
      <c r="G948" s="57">
        <f>CRM_MAGDY!N948</f>
        <v>0</v>
      </c>
      <c r="H948" s="57">
        <f>CRM_MAGDY!M948</f>
        <v>0</v>
      </c>
      <c r="I948" s="57">
        <f t="shared" si="28"/>
        <v>0</v>
      </c>
      <c r="J948" s="57" t="str">
        <f t="shared" si="29"/>
        <v>POTENCJAŁ</v>
      </c>
    </row>
    <row r="949" spans="1:10" x14ac:dyDescent="0.25">
      <c r="A949" s="57" t="str">
        <f>IF(CRM_MAGDY!H949="","","CRM-"&amp;TEXT(ROW()-4,"0000"))</f>
        <v>CRM-0945</v>
      </c>
      <c r="B949" s="57">
        <f>CRM_MAGDY!E949</f>
        <v>0</v>
      </c>
      <c r="C949" s="57">
        <f>CRM_MAGDY!H949</f>
        <v>6385</v>
      </c>
      <c r="D949" s="57">
        <f>CRM_MAGDY!I949</f>
        <v>0</v>
      </c>
      <c r="E949" s="57">
        <f>IFERROR(VALUE(CRM_MAGDY!K949),0)</f>
        <v>0</v>
      </c>
      <c r="F949" s="57">
        <f>IFERROR(IF(CRM_MAGDY!L949&gt;1,CRM_MAGDY!L949/100,CRM_MAGDY!L949),0)</f>
        <v>0</v>
      </c>
      <c r="G949" s="57">
        <f>CRM_MAGDY!N949</f>
        <v>0</v>
      </c>
      <c r="H949" s="57">
        <f>CRM_MAGDY!M949</f>
        <v>0</v>
      </c>
      <c r="I949" s="57">
        <f t="shared" si="28"/>
        <v>0</v>
      </c>
      <c r="J949" s="57" t="str">
        <f t="shared" si="29"/>
        <v>POTENCJAŁ</v>
      </c>
    </row>
    <row r="950" spans="1:10" x14ac:dyDescent="0.25">
      <c r="A950" s="57" t="str">
        <f>IF(CRM_MAGDY!H950="","","CRM-"&amp;TEXT(ROW()-4,"0000"))</f>
        <v>CRM-0946</v>
      </c>
      <c r="B950" s="57">
        <f>CRM_MAGDY!E950</f>
        <v>0</v>
      </c>
      <c r="C950" s="57">
        <f>CRM_MAGDY!H950</f>
        <v>6386</v>
      </c>
      <c r="D950" s="57">
        <f>CRM_MAGDY!I950</f>
        <v>0</v>
      </c>
      <c r="E950" s="57">
        <f>IFERROR(VALUE(CRM_MAGDY!K950),0)</f>
        <v>0</v>
      </c>
      <c r="F950" s="57">
        <f>IFERROR(IF(CRM_MAGDY!L950&gt;1,CRM_MAGDY!L950/100,CRM_MAGDY!L950),0)</f>
        <v>0</v>
      </c>
      <c r="G950" s="57">
        <f>CRM_MAGDY!N950</f>
        <v>0</v>
      </c>
      <c r="H950" s="57">
        <f>CRM_MAGDY!M950</f>
        <v>0</v>
      </c>
      <c r="I950" s="57">
        <f t="shared" si="28"/>
        <v>0</v>
      </c>
      <c r="J950" s="57" t="str">
        <f t="shared" si="29"/>
        <v>POTENCJAŁ</v>
      </c>
    </row>
    <row r="951" spans="1:10" x14ac:dyDescent="0.25">
      <c r="A951" s="57" t="str">
        <f>IF(CRM_MAGDY!H951="","","CRM-"&amp;TEXT(ROW()-4,"0000"))</f>
        <v>CRM-0947</v>
      </c>
      <c r="B951" s="57">
        <f>CRM_MAGDY!E951</f>
        <v>0</v>
      </c>
      <c r="C951" s="57">
        <f>CRM_MAGDY!H951</f>
        <v>6387</v>
      </c>
      <c r="D951" s="57">
        <f>CRM_MAGDY!I951</f>
        <v>0</v>
      </c>
      <c r="E951" s="57">
        <f>IFERROR(VALUE(CRM_MAGDY!K951),0)</f>
        <v>0</v>
      </c>
      <c r="F951" s="57">
        <f>IFERROR(IF(CRM_MAGDY!L951&gt;1,CRM_MAGDY!L951/100,CRM_MAGDY!L951),0)</f>
        <v>0</v>
      </c>
      <c r="G951" s="57">
        <f>CRM_MAGDY!N951</f>
        <v>0</v>
      </c>
      <c r="H951" s="57">
        <f>CRM_MAGDY!M951</f>
        <v>0</v>
      </c>
      <c r="I951" s="57">
        <f t="shared" si="28"/>
        <v>0</v>
      </c>
      <c r="J951" s="57" t="str">
        <f t="shared" si="29"/>
        <v>POTENCJAŁ</v>
      </c>
    </row>
    <row r="952" spans="1:10" x14ac:dyDescent="0.25">
      <c r="A952" s="57" t="str">
        <f>IF(CRM_MAGDY!H952="","","CRM-"&amp;TEXT(ROW()-4,"0000"))</f>
        <v>CRM-0948</v>
      </c>
      <c r="B952" s="57">
        <f>CRM_MAGDY!E952</f>
        <v>0</v>
      </c>
      <c r="C952" s="57">
        <f>CRM_MAGDY!H952</f>
        <v>6388</v>
      </c>
      <c r="D952" s="57">
        <f>CRM_MAGDY!I952</f>
        <v>0</v>
      </c>
      <c r="E952" s="57">
        <f>IFERROR(VALUE(CRM_MAGDY!K952),0)</f>
        <v>0</v>
      </c>
      <c r="F952" s="57">
        <f>IFERROR(IF(CRM_MAGDY!L952&gt;1,CRM_MAGDY!L952/100,CRM_MAGDY!L952),0)</f>
        <v>0</v>
      </c>
      <c r="G952" s="57">
        <f>CRM_MAGDY!N952</f>
        <v>0</v>
      </c>
      <c r="H952" s="57">
        <f>CRM_MAGDY!M952</f>
        <v>0</v>
      </c>
      <c r="I952" s="57">
        <f t="shared" si="28"/>
        <v>0</v>
      </c>
      <c r="J952" s="57" t="str">
        <f t="shared" si="29"/>
        <v>POTENCJAŁ</v>
      </c>
    </row>
    <row r="953" spans="1:10" x14ac:dyDescent="0.25">
      <c r="A953" s="57" t="str">
        <f>IF(CRM_MAGDY!H953="","","CRM-"&amp;TEXT(ROW()-4,"0000"))</f>
        <v>CRM-0949</v>
      </c>
      <c r="B953" s="57">
        <f>CRM_MAGDY!E953</f>
        <v>0</v>
      </c>
      <c r="C953" s="57">
        <f>CRM_MAGDY!H953</f>
        <v>6389</v>
      </c>
      <c r="D953" s="57">
        <f>CRM_MAGDY!I953</f>
        <v>0</v>
      </c>
      <c r="E953" s="57">
        <f>IFERROR(VALUE(CRM_MAGDY!K953),0)</f>
        <v>0</v>
      </c>
      <c r="F953" s="57">
        <f>IFERROR(IF(CRM_MAGDY!L953&gt;1,CRM_MAGDY!L953/100,CRM_MAGDY!L953),0)</f>
        <v>0</v>
      </c>
      <c r="G953" s="57">
        <f>CRM_MAGDY!N953</f>
        <v>0</v>
      </c>
      <c r="H953" s="57">
        <f>CRM_MAGDY!M953</f>
        <v>0</v>
      </c>
      <c r="I953" s="57">
        <f t="shared" si="28"/>
        <v>0</v>
      </c>
      <c r="J953" s="57" t="str">
        <f t="shared" si="29"/>
        <v>POTENCJAŁ</v>
      </c>
    </row>
    <row r="954" spans="1:10" x14ac:dyDescent="0.25">
      <c r="A954" s="57" t="str">
        <f>IF(CRM_MAGDY!H954="","","CRM-"&amp;TEXT(ROW()-4,"0000"))</f>
        <v>CRM-0950</v>
      </c>
      <c r="B954" s="57">
        <f>CRM_MAGDY!E954</f>
        <v>0</v>
      </c>
      <c r="C954" s="57">
        <f>CRM_MAGDY!H954</f>
        <v>6390</v>
      </c>
      <c r="D954" s="57">
        <f>CRM_MAGDY!I954</f>
        <v>0</v>
      </c>
      <c r="E954" s="57">
        <f>IFERROR(VALUE(CRM_MAGDY!K954),0)</f>
        <v>0</v>
      </c>
      <c r="F954" s="57">
        <f>IFERROR(IF(CRM_MAGDY!L954&gt;1,CRM_MAGDY!L954/100,CRM_MAGDY!L954),0)</f>
        <v>0</v>
      </c>
      <c r="G954" s="57">
        <f>CRM_MAGDY!N954</f>
        <v>0</v>
      </c>
      <c r="H954" s="57">
        <f>CRM_MAGDY!M954</f>
        <v>0</v>
      </c>
      <c r="I954" s="57">
        <f t="shared" si="28"/>
        <v>0</v>
      </c>
      <c r="J954" s="57" t="str">
        <f t="shared" si="29"/>
        <v>POTENCJAŁ</v>
      </c>
    </row>
    <row r="955" spans="1:10" x14ac:dyDescent="0.25">
      <c r="A955" s="57" t="str">
        <f>IF(CRM_MAGDY!H955="","","CRM-"&amp;TEXT(ROW()-4,"0000"))</f>
        <v>CRM-0951</v>
      </c>
      <c r="B955" s="57">
        <f>CRM_MAGDY!E955</f>
        <v>0</v>
      </c>
      <c r="C955" s="57">
        <f>CRM_MAGDY!H955</f>
        <v>6391</v>
      </c>
      <c r="D955" s="57">
        <f>CRM_MAGDY!I955</f>
        <v>0</v>
      </c>
      <c r="E955" s="57">
        <f>IFERROR(VALUE(CRM_MAGDY!K955),0)</f>
        <v>0</v>
      </c>
      <c r="F955" s="57">
        <f>IFERROR(IF(CRM_MAGDY!L955&gt;1,CRM_MAGDY!L955/100,CRM_MAGDY!L955),0)</f>
        <v>0</v>
      </c>
      <c r="G955" s="57">
        <f>CRM_MAGDY!N955</f>
        <v>0</v>
      </c>
      <c r="H955" s="57">
        <f>CRM_MAGDY!M955</f>
        <v>0</v>
      </c>
      <c r="I955" s="57">
        <f t="shared" si="28"/>
        <v>0</v>
      </c>
      <c r="J955" s="57" t="str">
        <f t="shared" si="29"/>
        <v>POTENCJAŁ</v>
      </c>
    </row>
    <row r="956" spans="1:10" x14ac:dyDescent="0.25">
      <c r="A956" s="57" t="str">
        <f>IF(CRM_MAGDY!H956="","","CRM-"&amp;TEXT(ROW()-4,"0000"))</f>
        <v>CRM-0952</v>
      </c>
      <c r="B956" s="57">
        <f>CRM_MAGDY!E956</f>
        <v>0</v>
      </c>
      <c r="C956" s="57">
        <f>CRM_MAGDY!H956</f>
        <v>6392</v>
      </c>
      <c r="D956" s="57">
        <f>CRM_MAGDY!I956</f>
        <v>0</v>
      </c>
      <c r="E956" s="57">
        <f>IFERROR(VALUE(CRM_MAGDY!K956),0)</f>
        <v>0</v>
      </c>
      <c r="F956" s="57">
        <f>IFERROR(IF(CRM_MAGDY!L956&gt;1,CRM_MAGDY!L956/100,CRM_MAGDY!L956),0)</f>
        <v>0</v>
      </c>
      <c r="G956" s="57">
        <f>CRM_MAGDY!N956</f>
        <v>0</v>
      </c>
      <c r="H956" s="57">
        <f>CRM_MAGDY!M956</f>
        <v>0</v>
      </c>
      <c r="I956" s="57">
        <f t="shared" si="28"/>
        <v>0</v>
      </c>
      <c r="J956" s="57" t="str">
        <f t="shared" si="29"/>
        <v>POTENCJAŁ</v>
      </c>
    </row>
    <row r="957" spans="1:10" x14ac:dyDescent="0.25">
      <c r="A957" s="57" t="str">
        <f>IF(CRM_MAGDY!H957="","","CRM-"&amp;TEXT(ROW()-4,"0000"))</f>
        <v>CRM-0953</v>
      </c>
      <c r="B957" s="57">
        <f>CRM_MAGDY!E957</f>
        <v>0</v>
      </c>
      <c r="C957" s="57">
        <f>CRM_MAGDY!H957</f>
        <v>6393</v>
      </c>
      <c r="D957" s="57">
        <f>CRM_MAGDY!I957</f>
        <v>0</v>
      </c>
      <c r="E957" s="57">
        <f>IFERROR(VALUE(CRM_MAGDY!K957),0)</f>
        <v>0</v>
      </c>
      <c r="F957" s="57">
        <f>IFERROR(IF(CRM_MAGDY!L957&gt;1,CRM_MAGDY!L957/100,CRM_MAGDY!L957),0)</f>
        <v>0</v>
      </c>
      <c r="G957" s="57">
        <f>CRM_MAGDY!N957</f>
        <v>0</v>
      </c>
      <c r="H957" s="57">
        <f>CRM_MAGDY!M957</f>
        <v>0</v>
      </c>
      <c r="I957" s="57">
        <f t="shared" si="28"/>
        <v>0</v>
      </c>
      <c r="J957" s="57" t="str">
        <f t="shared" si="29"/>
        <v>POTENCJAŁ</v>
      </c>
    </row>
    <row r="958" spans="1:10" x14ac:dyDescent="0.25">
      <c r="A958" s="57" t="str">
        <f>IF(CRM_MAGDY!H958="","","CRM-"&amp;TEXT(ROW()-4,"0000"))</f>
        <v>CRM-0954</v>
      </c>
      <c r="B958" s="57">
        <f>CRM_MAGDY!E958</f>
        <v>0</v>
      </c>
      <c r="C958" s="57">
        <f>CRM_MAGDY!H958</f>
        <v>6394</v>
      </c>
      <c r="D958" s="57">
        <f>CRM_MAGDY!I958</f>
        <v>0</v>
      </c>
      <c r="E958" s="57">
        <f>IFERROR(VALUE(CRM_MAGDY!K958),0)</f>
        <v>0</v>
      </c>
      <c r="F958" s="57">
        <f>IFERROR(IF(CRM_MAGDY!L958&gt;1,CRM_MAGDY!L958/100,CRM_MAGDY!L958),0)</f>
        <v>0</v>
      </c>
      <c r="G958" s="57">
        <f>CRM_MAGDY!N958</f>
        <v>0</v>
      </c>
      <c r="H958" s="57">
        <f>CRM_MAGDY!M958</f>
        <v>0</v>
      </c>
      <c r="I958" s="57">
        <f t="shared" si="28"/>
        <v>0</v>
      </c>
      <c r="J958" s="57" t="str">
        <f t="shared" si="29"/>
        <v>POTENCJAŁ</v>
      </c>
    </row>
    <row r="959" spans="1:10" x14ac:dyDescent="0.25">
      <c r="A959" s="57" t="str">
        <f>IF(CRM_MAGDY!H959="","","CRM-"&amp;TEXT(ROW()-4,"0000"))</f>
        <v>CRM-0955</v>
      </c>
      <c r="B959" s="57">
        <f>CRM_MAGDY!E959</f>
        <v>0</v>
      </c>
      <c r="C959" s="57">
        <f>CRM_MAGDY!H959</f>
        <v>6395</v>
      </c>
      <c r="D959" s="57">
        <f>CRM_MAGDY!I959</f>
        <v>0</v>
      </c>
      <c r="E959" s="57">
        <f>IFERROR(VALUE(CRM_MAGDY!K959),0)</f>
        <v>0</v>
      </c>
      <c r="F959" s="57">
        <f>IFERROR(IF(CRM_MAGDY!L959&gt;1,CRM_MAGDY!L959/100,CRM_MAGDY!L959),0)</f>
        <v>0</v>
      </c>
      <c r="G959" s="57">
        <f>CRM_MAGDY!N959</f>
        <v>0</v>
      </c>
      <c r="H959" s="57">
        <f>CRM_MAGDY!M959</f>
        <v>0</v>
      </c>
      <c r="I959" s="57">
        <f t="shared" si="28"/>
        <v>0</v>
      </c>
      <c r="J959" s="57" t="str">
        <f t="shared" si="29"/>
        <v>POTENCJAŁ</v>
      </c>
    </row>
    <row r="960" spans="1:10" x14ac:dyDescent="0.25">
      <c r="A960" s="57" t="str">
        <f>IF(CRM_MAGDY!H960="","","CRM-"&amp;TEXT(ROW()-4,"0000"))</f>
        <v>CRM-0956</v>
      </c>
      <c r="B960" s="57">
        <f>CRM_MAGDY!E960</f>
        <v>0</v>
      </c>
      <c r="C960" s="57">
        <f>CRM_MAGDY!H960</f>
        <v>6396</v>
      </c>
      <c r="D960" s="57">
        <f>CRM_MAGDY!I960</f>
        <v>0</v>
      </c>
      <c r="E960" s="57">
        <f>IFERROR(VALUE(CRM_MAGDY!K960),0)</f>
        <v>0</v>
      </c>
      <c r="F960" s="57">
        <f>IFERROR(IF(CRM_MAGDY!L960&gt;1,CRM_MAGDY!L960/100,CRM_MAGDY!L960),0)</f>
        <v>0</v>
      </c>
      <c r="G960" s="57">
        <f>CRM_MAGDY!N960</f>
        <v>0</v>
      </c>
      <c r="H960" s="57">
        <f>CRM_MAGDY!M960</f>
        <v>0</v>
      </c>
      <c r="I960" s="57">
        <f t="shared" si="28"/>
        <v>0</v>
      </c>
      <c r="J960" s="57" t="str">
        <f t="shared" si="29"/>
        <v>POTENCJAŁ</v>
      </c>
    </row>
    <row r="961" spans="1:10" x14ac:dyDescent="0.25">
      <c r="A961" s="57" t="str">
        <f>IF(CRM_MAGDY!H961="","","CRM-"&amp;TEXT(ROW()-4,"0000"))</f>
        <v>CRM-0957</v>
      </c>
      <c r="B961" s="57">
        <f>CRM_MAGDY!E961</f>
        <v>0</v>
      </c>
      <c r="C961" s="57">
        <f>CRM_MAGDY!H961</f>
        <v>6397</v>
      </c>
      <c r="D961" s="57">
        <f>CRM_MAGDY!I961</f>
        <v>0</v>
      </c>
      <c r="E961" s="57">
        <f>IFERROR(VALUE(CRM_MAGDY!K961),0)</f>
        <v>0</v>
      </c>
      <c r="F961" s="57">
        <f>IFERROR(IF(CRM_MAGDY!L961&gt;1,CRM_MAGDY!L961/100,CRM_MAGDY!L961),0)</f>
        <v>0</v>
      </c>
      <c r="G961" s="57">
        <f>CRM_MAGDY!N961</f>
        <v>0</v>
      </c>
      <c r="H961" s="57">
        <f>CRM_MAGDY!M961</f>
        <v>0</v>
      </c>
      <c r="I961" s="57">
        <f t="shared" si="28"/>
        <v>0</v>
      </c>
      <c r="J961" s="57" t="str">
        <f t="shared" si="29"/>
        <v>POTENCJAŁ</v>
      </c>
    </row>
    <row r="962" spans="1:10" x14ac:dyDescent="0.25">
      <c r="A962" s="57" t="str">
        <f>IF(CRM_MAGDY!H962="","","CRM-"&amp;TEXT(ROW()-4,"0000"))</f>
        <v>CRM-0958</v>
      </c>
      <c r="B962" s="57">
        <f>CRM_MAGDY!E962</f>
        <v>0</v>
      </c>
      <c r="C962" s="57">
        <f>CRM_MAGDY!H962</f>
        <v>6398</v>
      </c>
      <c r="D962" s="57">
        <f>CRM_MAGDY!I962</f>
        <v>0</v>
      </c>
      <c r="E962" s="57">
        <f>IFERROR(VALUE(CRM_MAGDY!K962),0)</f>
        <v>0</v>
      </c>
      <c r="F962" s="57">
        <f>IFERROR(IF(CRM_MAGDY!L962&gt;1,CRM_MAGDY!L962/100,CRM_MAGDY!L962),0)</f>
        <v>0</v>
      </c>
      <c r="G962" s="57">
        <f>CRM_MAGDY!N962</f>
        <v>0</v>
      </c>
      <c r="H962" s="57">
        <f>CRM_MAGDY!M962</f>
        <v>0</v>
      </c>
      <c r="I962" s="57">
        <f t="shared" si="28"/>
        <v>0</v>
      </c>
      <c r="J962" s="57" t="str">
        <f t="shared" si="29"/>
        <v>POTENCJAŁ</v>
      </c>
    </row>
    <row r="963" spans="1:10" x14ac:dyDescent="0.25">
      <c r="A963" s="57" t="str">
        <f>IF(CRM_MAGDY!H963="","","CRM-"&amp;TEXT(ROW()-4,"0000"))</f>
        <v>CRM-0959</v>
      </c>
      <c r="B963" s="57">
        <f>CRM_MAGDY!E963</f>
        <v>0</v>
      </c>
      <c r="C963" s="57">
        <f>CRM_MAGDY!H963</f>
        <v>6399</v>
      </c>
      <c r="D963" s="57">
        <f>CRM_MAGDY!I963</f>
        <v>0</v>
      </c>
      <c r="E963" s="57">
        <f>IFERROR(VALUE(CRM_MAGDY!K963),0)</f>
        <v>0</v>
      </c>
      <c r="F963" s="57">
        <f>IFERROR(IF(CRM_MAGDY!L963&gt;1,CRM_MAGDY!L963/100,CRM_MAGDY!L963),0)</f>
        <v>0</v>
      </c>
      <c r="G963" s="57">
        <f>CRM_MAGDY!N963</f>
        <v>0</v>
      </c>
      <c r="H963" s="57">
        <f>CRM_MAGDY!M963</f>
        <v>0</v>
      </c>
      <c r="I963" s="57">
        <f t="shared" si="28"/>
        <v>0</v>
      </c>
      <c r="J963" s="57" t="str">
        <f t="shared" si="29"/>
        <v>POTENCJAŁ</v>
      </c>
    </row>
    <row r="964" spans="1:10" x14ac:dyDescent="0.25">
      <c r="A964" s="57" t="str">
        <f>IF(CRM_MAGDY!H964="","","CRM-"&amp;TEXT(ROW()-4,"0000"))</f>
        <v>CRM-0960</v>
      </c>
      <c r="B964" s="57">
        <f>CRM_MAGDY!E964</f>
        <v>0</v>
      </c>
      <c r="C964" s="57">
        <f>CRM_MAGDY!H964</f>
        <v>6400</v>
      </c>
      <c r="D964" s="57">
        <f>CRM_MAGDY!I964</f>
        <v>0</v>
      </c>
      <c r="E964" s="57">
        <f>IFERROR(VALUE(CRM_MAGDY!K964),0)</f>
        <v>0</v>
      </c>
      <c r="F964" s="57">
        <f>IFERROR(IF(CRM_MAGDY!L964&gt;1,CRM_MAGDY!L964/100,CRM_MAGDY!L964),0)</f>
        <v>0</v>
      </c>
      <c r="G964" s="57">
        <f>CRM_MAGDY!N964</f>
        <v>0</v>
      </c>
      <c r="H964" s="57">
        <f>CRM_MAGDY!M964</f>
        <v>0</v>
      </c>
      <c r="I964" s="57">
        <f t="shared" si="28"/>
        <v>0</v>
      </c>
      <c r="J964" s="57" t="str">
        <f t="shared" si="29"/>
        <v>POTENCJAŁ</v>
      </c>
    </row>
    <row r="965" spans="1:10" x14ac:dyDescent="0.25">
      <c r="A965" s="57" t="str">
        <f>IF(CRM_MAGDY!H965="","","CRM-"&amp;TEXT(ROW()-4,"0000"))</f>
        <v>CRM-0961</v>
      </c>
      <c r="B965" s="57">
        <f>CRM_MAGDY!E965</f>
        <v>0</v>
      </c>
      <c r="C965" s="57">
        <f>CRM_MAGDY!H965</f>
        <v>6401</v>
      </c>
      <c r="D965" s="57">
        <f>CRM_MAGDY!I965</f>
        <v>0</v>
      </c>
      <c r="E965" s="57">
        <f>IFERROR(VALUE(CRM_MAGDY!K965),0)</f>
        <v>0</v>
      </c>
      <c r="F965" s="57">
        <f>IFERROR(IF(CRM_MAGDY!L965&gt;1,CRM_MAGDY!L965/100,CRM_MAGDY!L965),0)</f>
        <v>0</v>
      </c>
      <c r="G965" s="57">
        <f>CRM_MAGDY!N965</f>
        <v>0</v>
      </c>
      <c r="H965" s="57">
        <f>CRM_MAGDY!M965</f>
        <v>0</v>
      </c>
      <c r="I965" s="57">
        <f t="shared" ref="I965:I1028" si="30">IF(OR(G965="WYGRANA",G965="PRZEGRANA"),0,E965*F965)</f>
        <v>0</v>
      </c>
      <c r="J965" s="57" t="str">
        <f t="shared" ref="J965:J1028" si="31">IF(F965&gt;=0.7,"PEWNY",IF(F965&gt;=0.3,"REALNY","POTENCJAŁ"))</f>
        <v>POTENCJAŁ</v>
      </c>
    </row>
    <row r="966" spans="1:10" x14ac:dyDescent="0.25">
      <c r="A966" s="57" t="str">
        <f>IF(CRM_MAGDY!H966="","","CRM-"&amp;TEXT(ROW()-4,"0000"))</f>
        <v>CRM-0962</v>
      </c>
      <c r="B966" s="57">
        <f>CRM_MAGDY!E966</f>
        <v>0</v>
      </c>
      <c r="C966" s="57">
        <f>CRM_MAGDY!H966</f>
        <v>6402</v>
      </c>
      <c r="D966" s="57">
        <f>CRM_MAGDY!I966</f>
        <v>0</v>
      </c>
      <c r="E966" s="57">
        <f>IFERROR(VALUE(CRM_MAGDY!K966),0)</f>
        <v>0</v>
      </c>
      <c r="F966" s="57">
        <f>IFERROR(IF(CRM_MAGDY!L966&gt;1,CRM_MAGDY!L966/100,CRM_MAGDY!L966),0)</f>
        <v>0</v>
      </c>
      <c r="G966" s="57">
        <f>CRM_MAGDY!N966</f>
        <v>0</v>
      </c>
      <c r="H966" s="57">
        <f>CRM_MAGDY!M966</f>
        <v>0</v>
      </c>
      <c r="I966" s="57">
        <f t="shared" si="30"/>
        <v>0</v>
      </c>
      <c r="J966" s="57" t="str">
        <f t="shared" si="31"/>
        <v>POTENCJAŁ</v>
      </c>
    </row>
    <row r="967" spans="1:10" x14ac:dyDescent="0.25">
      <c r="A967" s="57" t="str">
        <f>IF(CRM_MAGDY!H967="","","CRM-"&amp;TEXT(ROW()-4,"0000"))</f>
        <v>CRM-0963</v>
      </c>
      <c r="B967" s="57">
        <f>CRM_MAGDY!E967</f>
        <v>0</v>
      </c>
      <c r="C967" s="57">
        <f>CRM_MAGDY!H967</f>
        <v>6403</v>
      </c>
      <c r="D967" s="57">
        <f>CRM_MAGDY!I967</f>
        <v>0</v>
      </c>
      <c r="E967" s="57">
        <f>IFERROR(VALUE(CRM_MAGDY!K967),0)</f>
        <v>0</v>
      </c>
      <c r="F967" s="57">
        <f>IFERROR(IF(CRM_MAGDY!L967&gt;1,CRM_MAGDY!L967/100,CRM_MAGDY!L967),0)</f>
        <v>0</v>
      </c>
      <c r="G967" s="57">
        <f>CRM_MAGDY!N967</f>
        <v>0</v>
      </c>
      <c r="H967" s="57">
        <f>CRM_MAGDY!M967</f>
        <v>0</v>
      </c>
      <c r="I967" s="57">
        <f t="shared" si="30"/>
        <v>0</v>
      </c>
      <c r="J967" s="57" t="str">
        <f t="shared" si="31"/>
        <v>POTENCJAŁ</v>
      </c>
    </row>
    <row r="968" spans="1:10" x14ac:dyDescent="0.25">
      <c r="A968" s="57" t="str">
        <f>IF(CRM_MAGDY!H968="","","CRM-"&amp;TEXT(ROW()-4,"0000"))</f>
        <v>CRM-0964</v>
      </c>
      <c r="B968" s="57">
        <f>CRM_MAGDY!E968</f>
        <v>0</v>
      </c>
      <c r="C968" s="57">
        <f>CRM_MAGDY!H968</f>
        <v>6404</v>
      </c>
      <c r="D968" s="57">
        <f>CRM_MAGDY!I968</f>
        <v>0</v>
      </c>
      <c r="E968" s="57">
        <f>IFERROR(VALUE(CRM_MAGDY!K968),0)</f>
        <v>0</v>
      </c>
      <c r="F968" s="57">
        <f>IFERROR(IF(CRM_MAGDY!L968&gt;1,CRM_MAGDY!L968/100,CRM_MAGDY!L968),0)</f>
        <v>0</v>
      </c>
      <c r="G968" s="57">
        <f>CRM_MAGDY!N968</f>
        <v>0</v>
      </c>
      <c r="H968" s="57">
        <f>CRM_MAGDY!M968</f>
        <v>0</v>
      </c>
      <c r="I968" s="57">
        <f t="shared" si="30"/>
        <v>0</v>
      </c>
      <c r="J968" s="57" t="str">
        <f t="shared" si="31"/>
        <v>POTENCJAŁ</v>
      </c>
    </row>
    <row r="969" spans="1:10" x14ac:dyDescent="0.25">
      <c r="A969" s="57" t="str">
        <f>IF(CRM_MAGDY!H969="","","CRM-"&amp;TEXT(ROW()-4,"0000"))</f>
        <v>CRM-0965</v>
      </c>
      <c r="B969" s="57">
        <f>CRM_MAGDY!E969</f>
        <v>0</v>
      </c>
      <c r="C969" s="57">
        <f>CRM_MAGDY!H969</f>
        <v>6405</v>
      </c>
      <c r="D969" s="57">
        <f>CRM_MAGDY!I969</f>
        <v>0</v>
      </c>
      <c r="E969" s="57">
        <f>IFERROR(VALUE(CRM_MAGDY!K969),0)</f>
        <v>0</v>
      </c>
      <c r="F969" s="57">
        <f>IFERROR(IF(CRM_MAGDY!L969&gt;1,CRM_MAGDY!L969/100,CRM_MAGDY!L969),0)</f>
        <v>0</v>
      </c>
      <c r="G969" s="57">
        <f>CRM_MAGDY!N969</f>
        <v>0</v>
      </c>
      <c r="H969" s="57">
        <f>CRM_MAGDY!M969</f>
        <v>0</v>
      </c>
      <c r="I969" s="57">
        <f t="shared" si="30"/>
        <v>0</v>
      </c>
      <c r="J969" s="57" t="str">
        <f t="shared" si="31"/>
        <v>POTENCJAŁ</v>
      </c>
    </row>
    <row r="970" spans="1:10" x14ac:dyDescent="0.25">
      <c r="A970" s="57" t="str">
        <f>IF(CRM_MAGDY!H970="","","CRM-"&amp;TEXT(ROW()-4,"0000"))</f>
        <v>CRM-0966</v>
      </c>
      <c r="B970" s="57">
        <f>CRM_MAGDY!E970</f>
        <v>0</v>
      </c>
      <c r="C970" s="57">
        <f>CRM_MAGDY!H970</f>
        <v>6406</v>
      </c>
      <c r="D970" s="57">
        <f>CRM_MAGDY!I970</f>
        <v>0</v>
      </c>
      <c r="E970" s="57">
        <f>IFERROR(VALUE(CRM_MAGDY!K970),0)</f>
        <v>0</v>
      </c>
      <c r="F970" s="57">
        <f>IFERROR(IF(CRM_MAGDY!L970&gt;1,CRM_MAGDY!L970/100,CRM_MAGDY!L970),0)</f>
        <v>0</v>
      </c>
      <c r="G970" s="57">
        <f>CRM_MAGDY!N970</f>
        <v>0</v>
      </c>
      <c r="H970" s="57">
        <f>CRM_MAGDY!M970</f>
        <v>0</v>
      </c>
      <c r="I970" s="57">
        <f t="shared" si="30"/>
        <v>0</v>
      </c>
      <c r="J970" s="57" t="str">
        <f t="shared" si="31"/>
        <v>POTENCJAŁ</v>
      </c>
    </row>
    <row r="971" spans="1:10" x14ac:dyDescent="0.25">
      <c r="A971" s="57" t="str">
        <f>IF(CRM_MAGDY!H971="","","CRM-"&amp;TEXT(ROW()-4,"0000"))</f>
        <v>CRM-0967</v>
      </c>
      <c r="B971" s="57">
        <f>CRM_MAGDY!E971</f>
        <v>0</v>
      </c>
      <c r="C971" s="57">
        <f>CRM_MAGDY!H971</f>
        <v>6407</v>
      </c>
      <c r="D971" s="57">
        <f>CRM_MAGDY!I971</f>
        <v>0</v>
      </c>
      <c r="E971" s="57">
        <f>IFERROR(VALUE(CRM_MAGDY!K971),0)</f>
        <v>0</v>
      </c>
      <c r="F971" s="57">
        <f>IFERROR(IF(CRM_MAGDY!L971&gt;1,CRM_MAGDY!L971/100,CRM_MAGDY!L971),0)</f>
        <v>0</v>
      </c>
      <c r="G971" s="57">
        <f>CRM_MAGDY!N971</f>
        <v>0</v>
      </c>
      <c r="H971" s="57">
        <f>CRM_MAGDY!M971</f>
        <v>0</v>
      </c>
      <c r="I971" s="57">
        <f t="shared" si="30"/>
        <v>0</v>
      </c>
      <c r="J971" s="57" t="str">
        <f t="shared" si="31"/>
        <v>POTENCJAŁ</v>
      </c>
    </row>
    <row r="972" spans="1:10" x14ac:dyDescent="0.25">
      <c r="A972" s="57" t="str">
        <f>IF(CRM_MAGDY!H972="","","CRM-"&amp;TEXT(ROW()-4,"0000"))</f>
        <v>CRM-0968</v>
      </c>
      <c r="B972" s="57">
        <f>CRM_MAGDY!E972</f>
        <v>0</v>
      </c>
      <c r="C972" s="57">
        <f>CRM_MAGDY!H972</f>
        <v>6408</v>
      </c>
      <c r="D972" s="57">
        <f>CRM_MAGDY!I972</f>
        <v>0</v>
      </c>
      <c r="E972" s="57">
        <f>IFERROR(VALUE(CRM_MAGDY!K972),0)</f>
        <v>0</v>
      </c>
      <c r="F972" s="57">
        <f>IFERROR(IF(CRM_MAGDY!L972&gt;1,CRM_MAGDY!L972/100,CRM_MAGDY!L972),0)</f>
        <v>0</v>
      </c>
      <c r="G972" s="57">
        <f>CRM_MAGDY!N972</f>
        <v>0</v>
      </c>
      <c r="H972" s="57">
        <f>CRM_MAGDY!M972</f>
        <v>0</v>
      </c>
      <c r="I972" s="57">
        <f t="shared" si="30"/>
        <v>0</v>
      </c>
      <c r="J972" s="57" t="str">
        <f t="shared" si="31"/>
        <v>POTENCJAŁ</v>
      </c>
    </row>
    <row r="973" spans="1:10" x14ac:dyDescent="0.25">
      <c r="A973" s="57" t="str">
        <f>IF(CRM_MAGDY!H973="","","CRM-"&amp;TEXT(ROW()-4,"0000"))</f>
        <v>CRM-0969</v>
      </c>
      <c r="B973" s="57">
        <f>CRM_MAGDY!E973</f>
        <v>0</v>
      </c>
      <c r="C973" s="57">
        <f>CRM_MAGDY!H973</f>
        <v>6409</v>
      </c>
      <c r="D973" s="57">
        <f>CRM_MAGDY!I973</f>
        <v>0</v>
      </c>
      <c r="E973" s="57">
        <f>IFERROR(VALUE(CRM_MAGDY!K973),0)</f>
        <v>0</v>
      </c>
      <c r="F973" s="57">
        <f>IFERROR(IF(CRM_MAGDY!L973&gt;1,CRM_MAGDY!L973/100,CRM_MAGDY!L973),0)</f>
        <v>0</v>
      </c>
      <c r="G973" s="57">
        <f>CRM_MAGDY!N973</f>
        <v>0</v>
      </c>
      <c r="H973" s="57">
        <f>CRM_MAGDY!M973</f>
        <v>0</v>
      </c>
      <c r="I973" s="57">
        <f t="shared" si="30"/>
        <v>0</v>
      </c>
      <c r="J973" s="57" t="str">
        <f t="shared" si="31"/>
        <v>POTENCJAŁ</v>
      </c>
    </row>
    <row r="974" spans="1:10" x14ac:dyDescent="0.25">
      <c r="A974" s="57" t="str">
        <f>IF(CRM_MAGDY!H974="","","CRM-"&amp;TEXT(ROW()-4,"0000"))</f>
        <v>CRM-0970</v>
      </c>
      <c r="B974" s="57">
        <f>CRM_MAGDY!E974</f>
        <v>0</v>
      </c>
      <c r="C974" s="57">
        <f>CRM_MAGDY!H974</f>
        <v>6410</v>
      </c>
      <c r="D974" s="57">
        <f>CRM_MAGDY!I974</f>
        <v>0</v>
      </c>
      <c r="E974" s="57">
        <f>IFERROR(VALUE(CRM_MAGDY!K974),0)</f>
        <v>0</v>
      </c>
      <c r="F974" s="57">
        <f>IFERROR(IF(CRM_MAGDY!L974&gt;1,CRM_MAGDY!L974/100,CRM_MAGDY!L974),0)</f>
        <v>0</v>
      </c>
      <c r="G974" s="57">
        <f>CRM_MAGDY!N974</f>
        <v>0</v>
      </c>
      <c r="H974" s="57">
        <f>CRM_MAGDY!M974</f>
        <v>0</v>
      </c>
      <c r="I974" s="57">
        <f t="shared" si="30"/>
        <v>0</v>
      </c>
      <c r="J974" s="57" t="str">
        <f t="shared" si="31"/>
        <v>POTENCJAŁ</v>
      </c>
    </row>
    <row r="975" spans="1:10" x14ac:dyDescent="0.25">
      <c r="A975" s="57" t="str">
        <f>IF(CRM_MAGDY!H975="","","CRM-"&amp;TEXT(ROW()-4,"0000"))</f>
        <v>CRM-0971</v>
      </c>
      <c r="B975" s="57">
        <f>CRM_MAGDY!E975</f>
        <v>0</v>
      </c>
      <c r="C975" s="57">
        <f>CRM_MAGDY!H975</f>
        <v>6411</v>
      </c>
      <c r="D975" s="57">
        <f>CRM_MAGDY!I975</f>
        <v>0</v>
      </c>
      <c r="E975" s="57">
        <f>IFERROR(VALUE(CRM_MAGDY!K975),0)</f>
        <v>0</v>
      </c>
      <c r="F975" s="57">
        <f>IFERROR(IF(CRM_MAGDY!L975&gt;1,CRM_MAGDY!L975/100,CRM_MAGDY!L975),0)</f>
        <v>0</v>
      </c>
      <c r="G975" s="57">
        <f>CRM_MAGDY!N975</f>
        <v>0</v>
      </c>
      <c r="H975" s="57">
        <f>CRM_MAGDY!M975</f>
        <v>0</v>
      </c>
      <c r="I975" s="57">
        <f t="shared" si="30"/>
        <v>0</v>
      </c>
      <c r="J975" s="57" t="str">
        <f t="shared" si="31"/>
        <v>POTENCJAŁ</v>
      </c>
    </row>
    <row r="976" spans="1:10" x14ac:dyDescent="0.25">
      <c r="A976" s="57" t="str">
        <f>IF(CRM_MAGDY!H976="","","CRM-"&amp;TEXT(ROW()-4,"0000"))</f>
        <v>CRM-0972</v>
      </c>
      <c r="B976" s="57">
        <f>CRM_MAGDY!E976</f>
        <v>0</v>
      </c>
      <c r="C976" s="57">
        <f>CRM_MAGDY!H976</f>
        <v>6412</v>
      </c>
      <c r="D976" s="57">
        <f>CRM_MAGDY!I976</f>
        <v>0</v>
      </c>
      <c r="E976" s="57">
        <f>IFERROR(VALUE(CRM_MAGDY!K976),0)</f>
        <v>0</v>
      </c>
      <c r="F976" s="57">
        <f>IFERROR(IF(CRM_MAGDY!L976&gt;1,CRM_MAGDY!L976/100,CRM_MAGDY!L976),0)</f>
        <v>0</v>
      </c>
      <c r="G976" s="57">
        <f>CRM_MAGDY!N976</f>
        <v>0</v>
      </c>
      <c r="H976" s="57">
        <f>CRM_MAGDY!M976</f>
        <v>0</v>
      </c>
      <c r="I976" s="57">
        <f t="shared" si="30"/>
        <v>0</v>
      </c>
      <c r="J976" s="57" t="str">
        <f t="shared" si="31"/>
        <v>POTENCJAŁ</v>
      </c>
    </row>
    <row r="977" spans="1:10" x14ac:dyDescent="0.25">
      <c r="A977" s="57" t="str">
        <f>IF(CRM_MAGDY!H977="","","CRM-"&amp;TEXT(ROW()-4,"0000"))</f>
        <v>CRM-0973</v>
      </c>
      <c r="B977" s="57">
        <f>CRM_MAGDY!E977</f>
        <v>0</v>
      </c>
      <c r="C977" s="57">
        <f>CRM_MAGDY!H977</f>
        <v>6413</v>
      </c>
      <c r="D977" s="57">
        <f>CRM_MAGDY!I977</f>
        <v>0</v>
      </c>
      <c r="E977" s="57">
        <f>IFERROR(VALUE(CRM_MAGDY!K977),0)</f>
        <v>0</v>
      </c>
      <c r="F977" s="57">
        <f>IFERROR(IF(CRM_MAGDY!L977&gt;1,CRM_MAGDY!L977/100,CRM_MAGDY!L977),0)</f>
        <v>0</v>
      </c>
      <c r="G977" s="57">
        <f>CRM_MAGDY!N977</f>
        <v>0</v>
      </c>
      <c r="H977" s="57">
        <f>CRM_MAGDY!M977</f>
        <v>0</v>
      </c>
      <c r="I977" s="57">
        <f t="shared" si="30"/>
        <v>0</v>
      </c>
      <c r="J977" s="57" t="str">
        <f t="shared" si="31"/>
        <v>POTENCJAŁ</v>
      </c>
    </row>
    <row r="978" spans="1:10" x14ac:dyDescent="0.25">
      <c r="A978" s="57" t="str">
        <f>IF(CRM_MAGDY!H978="","","CRM-"&amp;TEXT(ROW()-4,"0000"))</f>
        <v>CRM-0974</v>
      </c>
      <c r="B978" s="57">
        <f>CRM_MAGDY!E978</f>
        <v>0</v>
      </c>
      <c r="C978" s="57">
        <f>CRM_MAGDY!H978</f>
        <v>6414</v>
      </c>
      <c r="D978" s="57">
        <f>CRM_MAGDY!I978</f>
        <v>0</v>
      </c>
      <c r="E978" s="57">
        <f>IFERROR(VALUE(CRM_MAGDY!K978),0)</f>
        <v>0</v>
      </c>
      <c r="F978" s="57">
        <f>IFERROR(IF(CRM_MAGDY!L978&gt;1,CRM_MAGDY!L978/100,CRM_MAGDY!L978),0)</f>
        <v>0</v>
      </c>
      <c r="G978" s="57">
        <f>CRM_MAGDY!N978</f>
        <v>0</v>
      </c>
      <c r="H978" s="57">
        <f>CRM_MAGDY!M978</f>
        <v>0</v>
      </c>
      <c r="I978" s="57">
        <f t="shared" si="30"/>
        <v>0</v>
      </c>
      <c r="J978" s="57" t="str">
        <f t="shared" si="31"/>
        <v>POTENCJAŁ</v>
      </c>
    </row>
    <row r="979" spans="1:10" x14ac:dyDescent="0.25">
      <c r="A979" s="57" t="str">
        <f>IF(CRM_MAGDY!H979="","","CRM-"&amp;TEXT(ROW()-4,"0000"))</f>
        <v>CRM-0975</v>
      </c>
      <c r="B979" s="57">
        <f>CRM_MAGDY!E979</f>
        <v>0</v>
      </c>
      <c r="C979" s="57">
        <f>CRM_MAGDY!H979</f>
        <v>6415</v>
      </c>
      <c r="D979" s="57">
        <f>CRM_MAGDY!I979</f>
        <v>0</v>
      </c>
      <c r="E979" s="57">
        <f>IFERROR(VALUE(CRM_MAGDY!K979),0)</f>
        <v>0</v>
      </c>
      <c r="F979" s="57">
        <f>IFERROR(IF(CRM_MAGDY!L979&gt;1,CRM_MAGDY!L979/100,CRM_MAGDY!L979),0)</f>
        <v>0</v>
      </c>
      <c r="G979" s="57">
        <f>CRM_MAGDY!N979</f>
        <v>0</v>
      </c>
      <c r="H979" s="57">
        <f>CRM_MAGDY!M979</f>
        <v>0</v>
      </c>
      <c r="I979" s="57">
        <f t="shared" si="30"/>
        <v>0</v>
      </c>
      <c r="J979" s="57" t="str">
        <f t="shared" si="31"/>
        <v>POTENCJAŁ</v>
      </c>
    </row>
    <row r="980" spans="1:10" x14ac:dyDescent="0.25">
      <c r="A980" s="57" t="str">
        <f>IF(CRM_MAGDY!H980="","","CRM-"&amp;TEXT(ROW()-4,"0000"))</f>
        <v>CRM-0976</v>
      </c>
      <c r="B980" s="57">
        <f>CRM_MAGDY!E980</f>
        <v>0</v>
      </c>
      <c r="C980" s="57">
        <f>CRM_MAGDY!H980</f>
        <v>6416</v>
      </c>
      <c r="D980" s="57">
        <f>CRM_MAGDY!I980</f>
        <v>0</v>
      </c>
      <c r="E980" s="57">
        <f>IFERROR(VALUE(CRM_MAGDY!K980),0)</f>
        <v>0</v>
      </c>
      <c r="F980" s="57">
        <f>IFERROR(IF(CRM_MAGDY!L980&gt;1,CRM_MAGDY!L980/100,CRM_MAGDY!L980),0)</f>
        <v>0</v>
      </c>
      <c r="G980" s="57">
        <f>CRM_MAGDY!N980</f>
        <v>0</v>
      </c>
      <c r="H980" s="57">
        <f>CRM_MAGDY!M980</f>
        <v>0</v>
      </c>
      <c r="I980" s="57">
        <f t="shared" si="30"/>
        <v>0</v>
      </c>
      <c r="J980" s="57" t="str">
        <f t="shared" si="31"/>
        <v>POTENCJAŁ</v>
      </c>
    </row>
    <row r="981" spans="1:10" x14ac:dyDescent="0.25">
      <c r="A981" s="57" t="str">
        <f>IF(CRM_MAGDY!H981="","","CRM-"&amp;TEXT(ROW()-4,"0000"))</f>
        <v>CRM-0977</v>
      </c>
      <c r="B981" s="57">
        <f>CRM_MAGDY!E981</f>
        <v>0</v>
      </c>
      <c r="C981" s="57">
        <f>CRM_MAGDY!H981</f>
        <v>6417</v>
      </c>
      <c r="D981" s="57">
        <f>CRM_MAGDY!I981</f>
        <v>0</v>
      </c>
      <c r="E981" s="57">
        <f>IFERROR(VALUE(CRM_MAGDY!K981),0)</f>
        <v>0</v>
      </c>
      <c r="F981" s="57">
        <f>IFERROR(IF(CRM_MAGDY!L981&gt;1,CRM_MAGDY!L981/100,CRM_MAGDY!L981),0)</f>
        <v>0</v>
      </c>
      <c r="G981" s="57">
        <f>CRM_MAGDY!N981</f>
        <v>0</v>
      </c>
      <c r="H981" s="57">
        <f>CRM_MAGDY!M981</f>
        <v>0</v>
      </c>
      <c r="I981" s="57">
        <f t="shared" si="30"/>
        <v>0</v>
      </c>
      <c r="J981" s="57" t="str">
        <f t="shared" si="31"/>
        <v>POTENCJAŁ</v>
      </c>
    </row>
    <row r="982" spans="1:10" x14ac:dyDescent="0.25">
      <c r="A982" s="57" t="str">
        <f>IF(CRM_MAGDY!H982="","","CRM-"&amp;TEXT(ROW()-4,"0000"))</f>
        <v>CRM-0978</v>
      </c>
      <c r="B982" s="57">
        <f>CRM_MAGDY!E982</f>
        <v>0</v>
      </c>
      <c r="C982" s="57">
        <f>CRM_MAGDY!H982</f>
        <v>6418</v>
      </c>
      <c r="D982" s="57">
        <f>CRM_MAGDY!I982</f>
        <v>0</v>
      </c>
      <c r="E982" s="57">
        <f>IFERROR(VALUE(CRM_MAGDY!K982),0)</f>
        <v>0</v>
      </c>
      <c r="F982" s="57">
        <f>IFERROR(IF(CRM_MAGDY!L982&gt;1,CRM_MAGDY!L982/100,CRM_MAGDY!L982),0)</f>
        <v>0</v>
      </c>
      <c r="G982" s="57">
        <f>CRM_MAGDY!N982</f>
        <v>0</v>
      </c>
      <c r="H982" s="57">
        <f>CRM_MAGDY!M982</f>
        <v>0</v>
      </c>
      <c r="I982" s="57">
        <f t="shared" si="30"/>
        <v>0</v>
      </c>
      <c r="J982" s="57" t="str">
        <f t="shared" si="31"/>
        <v>POTENCJAŁ</v>
      </c>
    </row>
    <row r="983" spans="1:10" x14ac:dyDescent="0.25">
      <c r="A983" s="57" t="str">
        <f>IF(CRM_MAGDY!H983="","","CRM-"&amp;TEXT(ROW()-4,"0000"))</f>
        <v>CRM-0979</v>
      </c>
      <c r="B983" s="57">
        <f>CRM_MAGDY!E983</f>
        <v>0</v>
      </c>
      <c r="C983" s="57">
        <f>CRM_MAGDY!H983</f>
        <v>6419</v>
      </c>
      <c r="D983" s="57">
        <f>CRM_MAGDY!I983</f>
        <v>0</v>
      </c>
      <c r="E983" s="57">
        <f>IFERROR(VALUE(CRM_MAGDY!K983),0)</f>
        <v>0</v>
      </c>
      <c r="F983" s="57">
        <f>IFERROR(IF(CRM_MAGDY!L983&gt;1,CRM_MAGDY!L983/100,CRM_MAGDY!L983),0)</f>
        <v>0</v>
      </c>
      <c r="G983" s="57">
        <f>CRM_MAGDY!N983</f>
        <v>0</v>
      </c>
      <c r="H983" s="57">
        <f>CRM_MAGDY!M983</f>
        <v>0</v>
      </c>
      <c r="I983" s="57">
        <f t="shared" si="30"/>
        <v>0</v>
      </c>
      <c r="J983" s="57" t="str">
        <f t="shared" si="31"/>
        <v>POTENCJAŁ</v>
      </c>
    </row>
    <row r="984" spans="1:10" x14ac:dyDescent="0.25">
      <c r="A984" s="57" t="str">
        <f>IF(CRM_MAGDY!H984="","","CRM-"&amp;TEXT(ROW()-4,"0000"))</f>
        <v>CRM-0980</v>
      </c>
      <c r="B984" s="57">
        <f>CRM_MAGDY!E984</f>
        <v>0</v>
      </c>
      <c r="C984" s="57">
        <f>CRM_MAGDY!H984</f>
        <v>6420</v>
      </c>
      <c r="D984" s="57">
        <f>CRM_MAGDY!I984</f>
        <v>0</v>
      </c>
      <c r="E984" s="57">
        <f>IFERROR(VALUE(CRM_MAGDY!K984),0)</f>
        <v>0</v>
      </c>
      <c r="F984" s="57">
        <f>IFERROR(IF(CRM_MAGDY!L984&gt;1,CRM_MAGDY!L984/100,CRM_MAGDY!L984),0)</f>
        <v>0</v>
      </c>
      <c r="G984" s="57">
        <f>CRM_MAGDY!N984</f>
        <v>0</v>
      </c>
      <c r="H984" s="57">
        <f>CRM_MAGDY!M984</f>
        <v>0</v>
      </c>
      <c r="I984" s="57">
        <f t="shared" si="30"/>
        <v>0</v>
      </c>
      <c r="J984" s="57" t="str">
        <f t="shared" si="31"/>
        <v>POTENCJAŁ</v>
      </c>
    </row>
    <row r="985" spans="1:10" x14ac:dyDescent="0.25">
      <c r="A985" s="57" t="str">
        <f>IF(CRM_MAGDY!H985="","","CRM-"&amp;TEXT(ROW()-4,"0000"))</f>
        <v>CRM-0981</v>
      </c>
      <c r="B985" s="57">
        <f>CRM_MAGDY!E985</f>
        <v>0</v>
      </c>
      <c r="C985" s="57">
        <f>CRM_MAGDY!H985</f>
        <v>6421</v>
      </c>
      <c r="D985" s="57">
        <f>CRM_MAGDY!I985</f>
        <v>0</v>
      </c>
      <c r="E985" s="57">
        <f>IFERROR(VALUE(CRM_MAGDY!K985),0)</f>
        <v>0</v>
      </c>
      <c r="F985" s="57">
        <f>IFERROR(IF(CRM_MAGDY!L985&gt;1,CRM_MAGDY!L985/100,CRM_MAGDY!L985),0)</f>
        <v>0</v>
      </c>
      <c r="G985" s="57">
        <f>CRM_MAGDY!N985</f>
        <v>0</v>
      </c>
      <c r="H985" s="57">
        <f>CRM_MAGDY!M985</f>
        <v>0</v>
      </c>
      <c r="I985" s="57">
        <f t="shared" si="30"/>
        <v>0</v>
      </c>
      <c r="J985" s="57" t="str">
        <f t="shared" si="31"/>
        <v>POTENCJAŁ</v>
      </c>
    </row>
    <row r="986" spans="1:10" x14ac:dyDescent="0.25">
      <c r="A986" s="57" t="str">
        <f>IF(CRM_MAGDY!H986="","","CRM-"&amp;TEXT(ROW()-4,"0000"))</f>
        <v>CRM-0982</v>
      </c>
      <c r="B986" s="57">
        <f>CRM_MAGDY!E986</f>
        <v>0</v>
      </c>
      <c r="C986" s="57">
        <f>CRM_MAGDY!H986</f>
        <v>6422</v>
      </c>
      <c r="D986" s="57">
        <f>CRM_MAGDY!I986</f>
        <v>0</v>
      </c>
      <c r="E986" s="57">
        <f>IFERROR(VALUE(CRM_MAGDY!K986),0)</f>
        <v>0</v>
      </c>
      <c r="F986" s="57">
        <f>IFERROR(IF(CRM_MAGDY!L986&gt;1,CRM_MAGDY!L986/100,CRM_MAGDY!L986),0)</f>
        <v>0</v>
      </c>
      <c r="G986" s="57">
        <f>CRM_MAGDY!N986</f>
        <v>0</v>
      </c>
      <c r="H986" s="57">
        <f>CRM_MAGDY!M986</f>
        <v>0</v>
      </c>
      <c r="I986" s="57">
        <f t="shared" si="30"/>
        <v>0</v>
      </c>
      <c r="J986" s="57" t="str">
        <f t="shared" si="31"/>
        <v>POTENCJAŁ</v>
      </c>
    </row>
    <row r="987" spans="1:10" x14ac:dyDescent="0.25">
      <c r="A987" s="57" t="str">
        <f>IF(CRM_MAGDY!H987="","","CRM-"&amp;TEXT(ROW()-4,"0000"))</f>
        <v>CRM-0983</v>
      </c>
      <c r="B987" s="57">
        <f>CRM_MAGDY!E987</f>
        <v>0</v>
      </c>
      <c r="C987" s="57">
        <f>CRM_MAGDY!H987</f>
        <v>6423</v>
      </c>
      <c r="D987" s="57">
        <f>CRM_MAGDY!I987</f>
        <v>0</v>
      </c>
      <c r="E987" s="57">
        <f>IFERROR(VALUE(CRM_MAGDY!K987),0)</f>
        <v>0</v>
      </c>
      <c r="F987" s="57">
        <f>IFERROR(IF(CRM_MAGDY!L987&gt;1,CRM_MAGDY!L987/100,CRM_MAGDY!L987),0)</f>
        <v>0</v>
      </c>
      <c r="G987" s="57">
        <f>CRM_MAGDY!N987</f>
        <v>0</v>
      </c>
      <c r="H987" s="57">
        <f>CRM_MAGDY!M987</f>
        <v>0</v>
      </c>
      <c r="I987" s="57">
        <f t="shared" si="30"/>
        <v>0</v>
      </c>
      <c r="J987" s="57" t="str">
        <f t="shared" si="31"/>
        <v>POTENCJAŁ</v>
      </c>
    </row>
    <row r="988" spans="1:10" x14ac:dyDescent="0.25">
      <c r="A988" s="57" t="str">
        <f>IF(CRM_MAGDY!H988="","","CRM-"&amp;TEXT(ROW()-4,"0000"))</f>
        <v>CRM-0984</v>
      </c>
      <c r="B988" s="57">
        <f>CRM_MAGDY!E988</f>
        <v>0</v>
      </c>
      <c r="C988" s="57">
        <f>CRM_MAGDY!H988</f>
        <v>6424</v>
      </c>
      <c r="D988" s="57">
        <f>CRM_MAGDY!I988</f>
        <v>0</v>
      </c>
      <c r="E988" s="57">
        <f>IFERROR(VALUE(CRM_MAGDY!K988),0)</f>
        <v>0</v>
      </c>
      <c r="F988" s="57">
        <f>IFERROR(IF(CRM_MAGDY!L988&gt;1,CRM_MAGDY!L988/100,CRM_MAGDY!L988),0)</f>
        <v>0</v>
      </c>
      <c r="G988" s="57">
        <f>CRM_MAGDY!N988</f>
        <v>0</v>
      </c>
      <c r="H988" s="57">
        <f>CRM_MAGDY!M988</f>
        <v>0</v>
      </c>
      <c r="I988" s="57">
        <f t="shared" si="30"/>
        <v>0</v>
      </c>
      <c r="J988" s="57" t="str">
        <f t="shared" si="31"/>
        <v>POTENCJAŁ</v>
      </c>
    </row>
    <row r="989" spans="1:10" x14ac:dyDescent="0.25">
      <c r="A989" s="57" t="str">
        <f>IF(CRM_MAGDY!H989="","","CRM-"&amp;TEXT(ROW()-4,"0000"))</f>
        <v>CRM-0985</v>
      </c>
      <c r="B989" s="57">
        <f>CRM_MAGDY!E989</f>
        <v>0</v>
      </c>
      <c r="C989" s="57">
        <f>CRM_MAGDY!H989</f>
        <v>6425</v>
      </c>
      <c r="D989" s="57">
        <f>CRM_MAGDY!I989</f>
        <v>0</v>
      </c>
      <c r="E989" s="57">
        <f>IFERROR(VALUE(CRM_MAGDY!K989),0)</f>
        <v>0</v>
      </c>
      <c r="F989" s="57">
        <f>IFERROR(IF(CRM_MAGDY!L989&gt;1,CRM_MAGDY!L989/100,CRM_MAGDY!L989),0)</f>
        <v>0</v>
      </c>
      <c r="G989" s="57">
        <f>CRM_MAGDY!N989</f>
        <v>0</v>
      </c>
      <c r="H989" s="57">
        <f>CRM_MAGDY!M989</f>
        <v>0</v>
      </c>
      <c r="I989" s="57">
        <f t="shared" si="30"/>
        <v>0</v>
      </c>
      <c r="J989" s="57" t="str">
        <f t="shared" si="31"/>
        <v>POTENCJAŁ</v>
      </c>
    </row>
    <row r="990" spans="1:10" x14ac:dyDescent="0.25">
      <c r="A990" s="57" t="str">
        <f>IF(CRM_MAGDY!H990="","","CRM-"&amp;TEXT(ROW()-4,"0000"))</f>
        <v>CRM-0986</v>
      </c>
      <c r="B990" s="57">
        <f>CRM_MAGDY!E990</f>
        <v>0</v>
      </c>
      <c r="C990" s="57">
        <f>CRM_MAGDY!H990</f>
        <v>6426</v>
      </c>
      <c r="D990" s="57">
        <f>CRM_MAGDY!I990</f>
        <v>0</v>
      </c>
      <c r="E990" s="57">
        <f>IFERROR(VALUE(CRM_MAGDY!K990),0)</f>
        <v>0</v>
      </c>
      <c r="F990" s="57">
        <f>IFERROR(IF(CRM_MAGDY!L990&gt;1,CRM_MAGDY!L990/100,CRM_MAGDY!L990),0)</f>
        <v>0</v>
      </c>
      <c r="G990" s="57">
        <f>CRM_MAGDY!N990</f>
        <v>0</v>
      </c>
      <c r="H990" s="57">
        <f>CRM_MAGDY!M990</f>
        <v>0</v>
      </c>
      <c r="I990" s="57">
        <f t="shared" si="30"/>
        <v>0</v>
      </c>
      <c r="J990" s="57" t="str">
        <f t="shared" si="31"/>
        <v>POTENCJAŁ</v>
      </c>
    </row>
    <row r="991" spans="1:10" x14ac:dyDescent="0.25">
      <c r="A991" s="57" t="str">
        <f>IF(CRM_MAGDY!H991="","","CRM-"&amp;TEXT(ROW()-4,"0000"))</f>
        <v>CRM-0987</v>
      </c>
      <c r="B991" s="57">
        <f>CRM_MAGDY!E991</f>
        <v>0</v>
      </c>
      <c r="C991" s="57">
        <f>CRM_MAGDY!H991</f>
        <v>6427</v>
      </c>
      <c r="D991" s="57">
        <f>CRM_MAGDY!I991</f>
        <v>0</v>
      </c>
      <c r="E991" s="57">
        <f>IFERROR(VALUE(CRM_MAGDY!K991),0)</f>
        <v>0</v>
      </c>
      <c r="F991" s="57">
        <f>IFERROR(IF(CRM_MAGDY!L991&gt;1,CRM_MAGDY!L991/100,CRM_MAGDY!L991),0)</f>
        <v>0</v>
      </c>
      <c r="G991" s="57">
        <f>CRM_MAGDY!N991</f>
        <v>0</v>
      </c>
      <c r="H991" s="57">
        <f>CRM_MAGDY!M991</f>
        <v>0</v>
      </c>
      <c r="I991" s="57">
        <f t="shared" si="30"/>
        <v>0</v>
      </c>
      <c r="J991" s="57" t="str">
        <f t="shared" si="31"/>
        <v>POTENCJAŁ</v>
      </c>
    </row>
    <row r="992" spans="1:10" x14ac:dyDescent="0.25">
      <c r="A992" s="57" t="str">
        <f>IF(CRM_MAGDY!H992="","","CRM-"&amp;TEXT(ROW()-4,"0000"))</f>
        <v>CRM-0988</v>
      </c>
      <c r="B992" s="57">
        <f>CRM_MAGDY!E992</f>
        <v>0</v>
      </c>
      <c r="C992" s="57">
        <f>CRM_MAGDY!H992</f>
        <v>6428</v>
      </c>
      <c r="D992" s="57">
        <f>CRM_MAGDY!I992</f>
        <v>0</v>
      </c>
      <c r="E992" s="57">
        <f>IFERROR(VALUE(CRM_MAGDY!K992),0)</f>
        <v>0</v>
      </c>
      <c r="F992" s="57">
        <f>IFERROR(IF(CRM_MAGDY!L992&gt;1,CRM_MAGDY!L992/100,CRM_MAGDY!L992),0)</f>
        <v>0</v>
      </c>
      <c r="G992" s="57">
        <f>CRM_MAGDY!N992</f>
        <v>0</v>
      </c>
      <c r="H992" s="57">
        <f>CRM_MAGDY!M992</f>
        <v>0</v>
      </c>
      <c r="I992" s="57">
        <f t="shared" si="30"/>
        <v>0</v>
      </c>
      <c r="J992" s="57" t="str">
        <f t="shared" si="31"/>
        <v>POTENCJAŁ</v>
      </c>
    </row>
    <row r="993" spans="1:10" x14ac:dyDescent="0.25">
      <c r="A993" s="57" t="str">
        <f>IF(CRM_MAGDY!H993="","","CRM-"&amp;TEXT(ROW()-4,"0000"))</f>
        <v>CRM-0989</v>
      </c>
      <c r="B993" s="57">
        <f>CRM_MAGDY!E993</f>
        <v>0</v>
      </c>
      <c r="C993" s="57">
        <f>CRM_MAGDY!H993</f>
        <v>6429</v>
      </c>
      <c r="D993" s="57">
        <f>CRM_MAGDY!I993</f>
        <v>0</v>
      </c>
      <c r="E993" s="57">
        <f>IFERROR(VALUE(CRM_MAGDY!K993),0)</f>
        <v>0</v>
      </c>
      <c r="F993" s="57">
        <f>IFERROR(IF(CRM_MAGDY!L993&gt;1,CRM_MAGDY!L993/100,CRM_MAGDY!L993),0)</f>
        <v>0</v>
      </c>
      <c r="G993" s="57">
        <f>CRM_MAGDY!N993</f>
        <v>0</v>
      </c>
      <c r="H993" s="57">
        <f>CRM_MAGDY!M993</f>
        <v>0</v>
      </c>
      <c r="I993" s="57">
        <f t="shared" si="30"/>
        <v>0</v>
      </c>
      <c r="J993" s="57" t="str">
        <f t="shared" si="31"/>
        <v>POTENCJAŁ</v>
      </c>
    </row>
    <row r="994" spans="1:10" x14ac:dyDescent="0.25">
      <c r="A994" s="57" t="str">
        <f>IF(CRM_MAGDY!H994="","","CRM-"&amp;TEXT(ROW()-4,"0000"))</f>
        <v>CRM-0990</v>
      </c>
      <c r="B994" s="57">
        <f>CRM_MAGDY!E994</f>
        <v>0</v>
      </c>
      <c r="C994" s="57">
        <f>CRM_MAGDY!H994</f>
        <v>6430</v>
      </c>
      <c r="D994" s="57">
        <f>CRM_MAGDY!I994</f>
        <v>0</v>
      </c>
      <c r="E994" s="57">
        <f>IFERROR(VALUE(CRM_MAGDY!K994),0)</f>
        <v>0</v>
      </c>
      <c r="F994" s="57">
        <f>IFERROR(IF(CRM_MAGDY!L994&gt;1,CRM_MAGDY!L994/100,CRM_MAGDY!L994),0)</f>
        <v>0</v>
      </c>
      <c r="G994" s="57">
        <f>CRM_MAGDY!N994</f>
        <v>0</v>
      </c>
      <c r="H994" s="57">
        <f>CRM_MAGDY!M994</f>
        <v>0</v>
      </c>
      <c r="I994" s="57">
        <f t="shared" si="30"/>
        <v>0</v>
      </c>
      <c r="J994" s="57" t="str">
        <f t="shared" si="31"/>
        <v>POTENCJAŁ</v>
      </c>
    </row>
    <row r="995" spans="1:10" x14ac:dyDescent="0.25">
      <c r="A995" s="57" t="str">
        <f>IF(CRM_MAGDY!H995="","","CRM-"&amp;TEXT(ROW()-4,"0000"))</f>
        <v>CRM-0991</v>
      </c>
      <c r="B995" s="57">
        <f>CRM_MAGDY!E995</f>
        <v>0</v>
      </c>
      <c r="C995" s="57">
        <f>CRM_MAGDY!H995</f>
        <v>6431</v>
      </c>
      <c r="D995" s="57">
        <f>CRM_MAGDY!I995</f>
        <v>0</v>
      </c>
      <c r="E995" s="57">
        <f>IFERROR(VALUE(CRM_MAGDY!K995),0)</f>
        <v>0</v>
      </c>
      <c r="F995" s="57">
        <f>IFERROR(IF(CRM_MAGDY!L995&gt;1,CRM_MAGDY!L995/100,CRM_MAGDY!L995),0)</f>
        <v>0</v>
      </c>
      <c r="G995" s="57">
        <f>CRM_MAGDY!N995</f>
        <v>0</v>
      </c>
      <c r="H995" s="57">
        <f>CRM_MAGDY!M995</f>
        <v>0</v>
      </c>
      <c r="I995" s="57">
        <f t="shared" si="30"/>
        <v>0</v>
      </c>
      <c r="J995" s="57" t="str">
        <f t="shared" si="31"/>
        <v>POTENCJAŁ</v>
      </c>
    </row>
    <row r="996" spans="1:10" x14ac:dyDescent="0.25">
      <c r="A996" s="57" t="str">
        <f>IF(CRM_MAGDY!H996="","","CRM-"&amp;TEXT(ROW()-4,"0000"))</f>
        <v>CRM-0992</v>
      </c>
      <c r="B996" s="57">
        <f>CRM_MAGDY!E996</f>
        <v>0</v>
      </c>
      <c r="C996" s="57">
        <f>CRM_MAGDY!H996</f>
        <v>6432</v>
      </c>
      <c r="D996" s="57">
        <f>CRM_MAGDY!I996</f>
        <v>0</v>
      </c>
      <c r="E996" s="57">
        <f>IFERROR(VALUE(CRM_MAGDY!K996),0)</f>
        <v>0</v>
      </c>
      <c r="F996" s="57">
        <f>IFERROR(IF(CRM_MAGDY!L996&gt;1,CRM_MAGDY!L996/100,CRM_MAGDY!L996),0)</f>
        <v>0</v>
      </c>
      <c r="G996" s="57">
        <f>CRM_MAGDY!N996</f>
        <v>0</v>
      </c>
      <c r="H996" s="57">
        <f>CRM_MAGDY!M996</f>
        <v>0</v>
      </c>
      <c r="I996" s="57">
        <f t="shared" si="30"/>
        <v>0</v>
      </c>
      <c r="J996" s="57" t="str">
        <f t="shared" si="31"/>
        <v>POTENCJAŁ</v>
      </c>
    </row>
    <row r="997" spans="1:10" x14ac:dyDescent="0.25">
      <c r="A997" s="57" t="str">
        <f>IF(CRM_MAGDY!H997="","","CRM-"&amp;TEXT(ROW()-4,"0000"))</f>
        <v>CRM-0993</v>
      </c>
      <c r="B997" s="57">
        <f>CRM_MAGDY!E997</f>
        <v>0</v>
      </c>
      <c r="C997" s="57">
        <f>CRM_MAGDY!H997</f>
        <v>6433</v>
      </c>
      <c r="D997" s="57">
        <f>CRM_MAGDY!I997</f>
        <v>0</v>
      </c>
      <c r="E997" s="57">
        <f>IFERROR(VALUE(CRM_MAGDY!K997),0)</f>
        <v>0</v>
      </c>
      <c r="F997" s="57">
        <f>IFERROR(IF(CRM_MAGDY!L997&gt;1,CRM_MAGDY!L997/100,CRM_MAGDY!L997),0)</f>
        <v>0</v>
      </c>
      <c r="G997" s="57">
        <f>CRM_MAGDY!N997</f>
        <v>0</v>
      </c>
      <c r="H997" s="57">
        <f>CRM_MAGDY!M997</f>
        <v>0</v>
      </c>
      <c r="I997" s="57">
        <f t="shared" si="30"/>
        <v>0</v>
      </c>
      <c r="J997" s="57" t="str">
        <f t="shared" si="31"/>
        <v>POTENCJAŁ</v>
      </c>
    </row>
    <row r="998" spans="1:10" x14ac:dyDescent="0.25">
      <c r="A998" s="57" t="str">
        <f>IF(CRM_MAGDY!H998="","","CRM-"&amp;TEXT(ROW()-4,"0000"))</f>
        <v>CRM-0994</v>
      </c>
      <c r="B998" s="57">
        <f>CRM_MAGDY!E998</f>
        <v>0</v>
      </c>
      <c r="C998" s="57">
        <f>CRM_MAGDY!H998</f>
        <v>6434</v>
      </c>
      <c r="D998" s="57">
        <f>CRM_MAGDY!I998</f>
        <v>0</v>
      </c>
      <c r="E998" s="57">
        <f>IFERROR(VALUE(CRM_MAGDY!K998),0)</f>
        <v>0</v>
      </c>
      <c r="F998" s="57">
        <f>IFERROR(IF(CRM_MAGDY!L998&gt;1,CRM_MAGDY!L998/100,CRM_MAGDY!L998),0)</f>
        <v>0</v>
      </c>
      <c r="G998" s="57">
        <f>CRM_MAGDY!N998</f>
        <v>0</v>
      </c>
      <c r="H998" s="57">
        <f>CRM_MAGDY!M998</f>
        <v>0</v>
      </c>
      <c r="I998" s="57">
        <f t="shared" si="30"/>
        <v>0</v>
      </c>
      <c r="J998" s="57" t="str">
        <f t="shared" si="31"/>
        <v>POTENCJAŁ</v>
      </c>
    </row>
    <row r="999" spans="1:10" x14ac:dyDescent="0.25">
      <c r="A999" s="57" t="str">
        <f>IF(CRM_MAGDY!H999="","","CRM-"&amp;TEXT(ROW()-4,"0000"))</f>
        <v>CRM-0995</v>
      </c>
      <c r="B999" s="57">
        <f>CRM_MAGDY!E999</f>
        <v>0</v>
      </c>
      <c r="C999" s="57">
        <f>CRM_MAGDY!H999</f>
        <v>6435</v>
      </c>
      <c r="D999" s="57">
        <f>CRM_MAGDY!I999</f>
        <v>0</v>
      </c>
      <c r="E999" s="57">
        <f>IFERROR(VALUE(CRM_MAGDY!K999),0)</f>
        <v>0</v>
      </c>
      <c r="F999" s="57">
        <f>IFERROR(IF(CRM_MAGDY!L999&gt;1,CRM_MAGDY!L999/100,CRM_MAGDY!L999),0)</f>
        <v>0</v>
      </c>
      <c r="G999" s="57">
        <f>CRM_MAGDY!N999</f>
        <v>0</v>
      </c>
      <c r="H999" s="57">
        <f>CRM_MAGDY!M999</f>
        <v>0</v>
      </c>
      <c r="I999" s="57">
        <f t="shared" si="30"/>
        <v>0</v>
      </c>
      <c r="J999" s="57" t="str">
        <f t="shared" si="31"/>
        <v>POTENCJAŁ</v>
      </c>
    </row>
    <row r="1000" spans="1:10" x14ac:dyDescent="0.25">
      <c r="A1000" s="57" t="str">
        <f>IF(CRM_MAGDY!H1000="","","CRM-"&amp;TEXT(ROW()-4,"0000"))</f>
        <v>CRM-0996</v>
      </c>
      <c r="B1000" s="57">
        <f>CRM_MAGDY!E1000</f>
        <v>0</v>
      </c>
      <c r="C1000" s="57">
        <f>CRM_MAGDY!H1000</f>
        <v>6436</v>
      </c>
      <c r="D1000" s="57">
        <f>CRM_MAGDY!I1000</f>
        <v>0</v>
      </c>
      <c r="E1000" s="57">
        <f>IFERROR(VALUE(CRM_MAGDY!K1000),0)</f>
        <v>0</v>
      </c>
      <c r="F1000" s="57">
        <f>IFERROR(IF(CRM_MAGDY!L1000&gt;1,CRM_MAGDY!L1000/100,CRM_MAGDY!L1000),0)</f>
        <v>0</v>
      </c>
      <c r="G1000" s="57">
        <f>CRM_MAGDY!N1000</f>
        <v>0</v>
      </c>
      <c r="H1000" s="57">
        <f>CRM_MAGDY!M1000</f>
        <v>0</v>
      </c>
      <c r="I1000" s="57">
        <f t="shared" si="30"/>
        <v>0</v>
      </c>
      <c r="J1000" s="57" t="str">
        <f t="shared" si="31"/>
        <v>POTENCJAŁ</v>
      </c>
    </row>
    <row r="1001" spans="1:10" x14ac:dyDescent="0.25">
      <c r="A1001" s="57" t="str">
        <f>IF(CRM_MAGDY!H1001="","","CRM-"&amp;TEXT(ROW()-4,"0000"))</f>
        <v>CRM-0997</v>
      </c>
      <c r="B1001" s="57">
        <f>CRM_MAGDY!E1001</f>
        <v>0</v>
      </c>
      <c r="C1001" s="57">
        <f>CRM_MAGDY!H1001</f>
        <v>6437</v>
      </c>
      <c r="D1001" s="57">
        <f>CRM_MAGDY!I1001</f>
        <v>0</v>
      </c>
      <c r="E1001" s="57">
        <f>IFERROR(VALUE(CRM_MAGDY!K1001),0)</f>
        <v>0</v>
      </c>
      <c r="F1001" s="57">
        <f>IFERROR(IF(CRM_MAGDY!L1001&gt;1,CRM_MAGDY!L1001/100,CRM_MAGDY!L1001),0)</f>
        <v>0</v>
      </c>
      <c r="G1001" s="57">
        <f>CRM_MAGDY!N1001</f>
        <v>0</v>
      </c>
      <c r="H1001" s="57">
        <f>CRM_MAGDY!M1001</f>
        <v>0</v>
      </c>
      <c r="I1001" s="57">
        <f t="shared" si="30"/>
        <v>0</v>
      </c>
      <c r="J1001" s="57" t="str">
        <f t="shared" si="31"/>
        <v>POTENCJAŁ</v>
      </c>
    </row>
    <row r="1002" spans="1:10" x14ac:dyDescent="0.25">
      <c r="A1002" s="57" t="str">
        <f>IF(CRM_MAGDY!H1002="","","CRM-"&amp;TEXT(ROW()-4,"0000"))</f>
        <v>CRM-0998</v>
      </c>
      <c r="B1002" s="57">
        <f>CRM_MAGDY!E1002</f>
        <v>0</v>
      </c>
      <c r="C1002" s="57">
        <f>CRM_MAGDY!H1002</f>
        <v>6438</v>
      </c>
      <c r="D1002" s="57">
        <f>CRM_MAGDY!I1002</f>
        <v>0</v>
      </c>
      <c r="E1002" s="57">
        <f>IFERROR(VALUE(CRM_MAGDY!K1002),0)</f>
        <v>0</v>
      </c>
      <c r="F1002" s="57">
        <f>IFERROR(IF(CRM_MAGDY!L1002&gt;1,CRM_MAGDY!L1002/100,CRM_MAGDY!L1002),0)</f>
        <v>0</v>
      </c>
      <c r="G1002" s="57">
        <f>CRM_MAGDY!N1002</f>
        <v>0</v>
      </c>
      <c r="H1002" s="57">
        <f>CRM_MAGDY!M1002</f>
        <v>0</v>
      </c>
      <c r="I1002" s="57">
        <f t="shared" si="30"/>
        <v>0</v>
      </c>
      <c r="J1002" s="57" t="str">
        <f t="shared" si="31"/>
        <v>POTENCJAŁ</v>
      </c>
    </row>
    <row r="1003" spans="1:10" x14ac:dyDescent="0.25">
      <c r="A1003" s="57" t="str">
        <f>IF(CRM_MAGDY!H1003="","","CRM-"&amp;TEXT(ROW()-4,"0000"))</f>
        <v>CRM-0999</v>
      </c>
      <c r="B1003" s="57">
        <f>CRM_MAGDY!E1003</f>
        <v>0</v>
      </c>
      <c r="C1003" s="57">
        <f>CRM_MAGDY!H1003</f>
        <v>6439</v>
      </c>
      <c r="D1003" s="57">
        <f>CRM_MAGDY!I1003</f>
        <v>0</v>
      </c>
      <c r="E1003" s="57">
        <f>IFERROR(VALUE(CRM_MAGDY!K1003),0)</f>
        <v>0</v>
      </c>
      <c r="F1003" s="57">
        <f>IFERROR(IF(CRM_MAGDY!L1003&gt;1,CRM_MAGDY!L1003/100,CRM_MAGDY!L1003),0)</f>
        <v>0</v>
      </c>
      <c r="G1003" s="57">
        <f>CRM_MAGDY!N1003</f>
        <v>0</v>
      </c>
      <c r="H1003" s="57">
        <f>CRM_MAGDY!M1003</f>
        <v>0</v>
      </c>
      <c r="I1003" s="57">
        <f t="shared" si="30"/>
        <v>0</v>
      </c>
      <c r="J1003" s="57" t="str">
        <f t="shared" si="31"/>
        <v>POTENCJAŁ</v>
      </c>
    </row>
    <row r="1004" spans="1:10" x14ac:dyDescent="0.25">
      <c r="A1004" s="57" t="str">
        <f>IF(CRM_MAGDY!H1004="","","CRM-"&amp;TEXT(ROW()-4,"0000"))</f>
        <v>CRM-1000</v>
      </c>
      <c r="B1004" s="57">
        <f>CRM_MAGDY!E1004</f>
        <v>0</v>
      </c>
      <c r="C1004" s="57">
        <f>CRM_MAGDY!H1004</f>
        <v>6440</v>
      </c>
      <c r="D1004" s="57">
        <f>CRM_MAGDY!I1004</f>
        <v>0</v>
      </c>
      <c r="E1004" s="57">
        <f>IFERROR(VALUE(CRM_MAGDY!K1004),0)</f>
        <v>0</v>
      </c>
      <c r="F1004" s="57">
        <f>IFERROR(IF(CRM_MAGDY!L1004&gt;1,CRM_MAGDY!L1004/100,CRM_MAGDY!L1004),0)</f>
        <v>0</v>
      </c>
      <c r="G1004" s="57">
        <f>CRM_MAGDY!N1004</f>
        <v>0</v>
      </c>
      <c r="H1004" s="57">
        <f>CRM_MAGDY!M1004</f>
        <v>0</v>
      </c>
      <c r="I1004" s="57">
        <f t="shared" si="30"/>
        <v>0</v>
      </c>
      <c r="J1004" s="57" t="str">
        <f t="shared" si="31"/>
        <v>POTENCJAŁ</v>
      </c>
    </row>
    <row r="1005" spans="1:10" x14ac:dyDescent="0.25">
      <c r="A1005" s="57" t="str">
        <f>IF(CRM_MAGDY!H1005="","","CRM-"&amp;TEXT(ROW()-4,"0000"))</f>
        <v>CRM-1001</v>
      </c>
      <c r="B1005" s="57">
        <f>CRM_MAGDY!E1005</f>
        <v>0</v>
      </c>
      <c r="C1005" s="57">
        <f>CRM_MAGDY!H1005</f>
        <v>6441</v>
      </c>
      <c r="D1005" s="57">
        <f>CRM_MAGDY!I1005</f>
        <v>0</v>
      </c>
      <c r="E1005" s="57">
        <f>IFERROR(VALUE(CRM_MAGDY!K1005),0)</f>
        <v>0</v>
      </c>
      <c r="F1005" s="57">
        <f>IFERROR(IF(CRM_MAGDY!L1005&gt;1,CRM_MAGDY!L1005/100,CRM_MAGDY!L1005),0)</f>
        <v>0</v>
      </c>
      <c r="G1005" s="57">
        <f>CRM_MAGDY!N1005</f>
        <v>0</v>
      </c>
      <c r="H1005" s="57">
        <f>CRM_MAGDY!M1005</f>
        <v>0</v>
      </c>
      <c r="I1005" s="57">
        <f t="shared" si="30"/>
        <v>0</v>
      </c>
      <c r="J1005" s="57" t="str">
        <f t="shared" si="31"/>
        <v>POTENCJAŁ</v>
      </c>
    </row>
    <row r="1006" spans="1:10" x14ac:dyDescent="0.25">
      <c r="A1006" s="57" t="str">
        <f>IF(CRM_MAGDY!H1006="","","CRM-"&amp;TEXT(ROW()-4,"0000"))</f>
        <v>CRM-1002</v>
      </c>
      <c r="B1006" s="57">
        <f>CRM_MAGDY!E1006</f>
        <v>0</v>
      </c>
      <c r="C1006" s="57">
        <f>CRM_MAGDY!H1006</f>
        <v>6442</v>
      </c>
      <c r="D1006" s="57">
        <f>CRM_MAGDY!I1006</f>
        <v>0</v>
      </c>
      <c r="E1006" s="57">
        <f>IFERROR(VALUE(CRM_MAGDY!K1006),0)</f>
        <v>0</v>
      </c>
      <c r="F1006" s="57">
        <f>IFERROR(IF(CRM_MAGDY!L1006&gt;1,CRM_MAGDY!L1006/100,CRM_MAGDY!L1006),0)</f>
        <v>0</v>
      </c>
      <c r="G1006" s="57">
        <f>CRM_MAGDY!N1006</f>
        <v>0</v>
      </c>
      <c r="H1006" s="57">
        <f>CRM_MAGDY!M1006</f>
        <v>0</v>
      </c>
      <c r="I1006" s="57">
        <f t="shared" si="30"/>
        <v>0</v>
      </c>
      <c r="J1006" s="57" t="str">
        <f t="shared" si="31"/>
        <v>POTENCJAŁ</v>
      </c>
    </row>
    <row r="1007" spans="1:10" x14ac:dyDescent="0.25">
      <c r="A1007" s="57" t="str">
        <f>IF(CRM_MAGDY!H1007="","","CRM-"&amp;TEXT(ROW()-4,"0000"))</f>
        <v>CRM-1003</v>
      </c>
      <c r="B1007" s="57">
        <f>CRM_MAGDY!E1007</f>
        <v>0</v>
      </c>
      <c r="C1007" s="57">
        <f>CRM_MAGDY!H1007</f>
        <v>6443</v>
      </c>
      <c r="D1007" s="57">
        <f>CRM_MAGDY!I1007</f>
        <v>0</v>
      </c>
      <c r="E1007" s="57">
        <f>IFERROR(VALUE(CRM_MAGDY!K1007),0)</f>
        <v>0</v>
      </c>
      <c r="F1007" s="57">
        <f>IFERROR(IF(CRM_MAGDY!L1007&gt;1,CRM_MAGDY!L1007/100,CRM_MAGDY!L1007),0)</f>
        <v>0</v>
      </c>
      <c r="G1007" s="57">
        <f>CRM_MAGDY!N1007</f>
        <v>0</v>
      </c>
      <c r="H1007" s="57">
        <f>CRM_MAGDY!M1007</f>
        <v>0</v>
      </c>
      <c r="I1007" s="57">
        <f t="shared" si="30"/>
        <v>0</v>
      </c>
      <c r="J1007" s="57" t="str">
        <f t="shared" si="31"/>
        <v>POTENCJAŁ</v>
      </c>
    </row>
    <row r="1008" spans="1:10" x14ac:dyDescent="0.25">
      <c r="A1008" s="57" t="str">
        <f>IF(CRM_MAGDY!H1008="","","CRM-"&amp;TEXT(ROW()-4,"0000"))</f>
        <v>CRM-1004</v>
      </c>
      <c r="B1008" s="57">
        <f>CRM_MAGDY!E1008</f>
        <v>0</v>
      </c>
      <c r="C1008" s="57">
        <f>CRM_MAGDY!H1008</f>
        <v>6444</v>
      </c>
      <c r="D1008" s="57">
        <f>CRM_MAGDY!I1008</f>
        <v>0</v>
      </c>
      <c r="E1008" s="57">
        <f>IFERROR(VALUE(CRM_MAGDY!K1008),0)</f>
        <v>0</v>
      </c>
      <c r="F1008" s="57">
        <f>IFERROR(IF(CRM_MAGDY!L1008&gt;1,CRM_MAGDY!L1008/100,CRM_MAGDY!L1008),0)</f>
        <v>0</v>
      </c>
      <c r="G1008" s="57">
        <f>CRM_MAGDY!N1008</f>
        <v>0</v>
      </c>
      <c r="H1008" s="57">
        <f>CRM_MAGDY!M1008</f>
        <v>0</v>
      </c>
      <c r="I1008" s="57">
        <f t="shared" si="30"/>
        <v>0</v>
      </c>
      <c r="J1008" s="57" t="str">
        <f t="shared" si="31"/>
        <v>POTENCJAŁ</v>
      </c>
    </row>
    <row r="1009" spans="1:10" x14ac:dyDescent="0.25">
      <c r="A1009" s="57" t="str">
        <f>IF(CRM_MAGDY!H1009="","","CRM-"&amp;TEXT(ROW()-4,"0000"))</f>
        <v>CRM-1005</v>
      </c>
      <c r="B1009" s="57">
        <f>CRM_MAGDY!E1009</f>
        <v>0</v>
      </c>
      <c r="C1009" s="57">
        <f>CRM_MAGDY!H1009</f>
        <v>6445</v>
      </c>
      <c r="D1009" s="57">
        <f>CRM_MAGDY!I1009</f>
        <v>0</v>
      </c>
      <c r="E1009" s="57">
        <f>IFERROR(VALUE(CRM_MAGDY!K1009),0)</f>
        <v>0</v>
      </c>
      <c r="F1009" s="57">
        <f>IFERROR(IF(CRM_MAGDY!L1009&gt;1,CRM_MAGDY!L1009/100,CRM_MAGDY!L1009),0)</f>
        <v>0</v>
      </c>
      <c r="G1009" s="57">
        <f>CRM_MAGDY!N1009</f>
        <v>0</v>
      </c>
      <c r="H1009" s="57">
        <f>CRM_MAGDY!M1009</f>
        <v>0</v>
      </c>
      <c r="I1009" s="57">
        <f t="shared" si="30"/>
        <v>0</v>
      </c>
      <c r="J1009" s="57" t="str">
        <f t="shared" si="31"/>
        <v>POTENCJAŁ</v>
      </c>
    </row>
    <row r="1010" spans="1:10" x14ac:dyDescent="0.25">
      <c r="A1010" s="57" t="str">
        <f>IF(CRM_MAGDY!H1010="","","CRM-"&amp;TEXT(ROW()-4,"0000"))</f>
        <v>CRM-1006</v>
      </c>
      <c r="B1010" s="57">
        <f>CRM_MAGDY!E1010</f>
        <v>0</v>
      </c>
      <c r="C1010" s="57">
        <f>CRM_MAGDY!H1010</f>
        <v>6446</v>
      </c>
      <c r="D1010" s="57">
        <f>CRM_MAGDY!I1010</f>
        <v>0</v>
      </c>
      <c r="E1010" s="57">
        <f>IFERROR(VALUE(CRM_MAGDY!K1010),0)</f>
        <v>0</v>
      </c>
      <c r="F1010" s="57">
        <f>IFERROR(IF(CRM_MAGDY!L1010&gt;1,CRM_MAGDY!L1010/100,CRM_MAGDY!L1010),0)</f>
        <v>0</v>
      </c>
      <c r="G1010" s="57">
        <f>CRM_MAGDY!N1010</f>
        <v>0</v>
      </c>
      <c r="H1010" s="57">
        <f>CRM_MAGDY!M1010</f>
        <v>0</v>
      </c>
      <c r="I1010" s="57">
        <f t="shared" si="30"/>
        <v>0</v>
      </c>
      <c r="J1010" s="57" t="str">
        <f t="shared" si="31"/>
        <v>POTENCJAŁ</v>
      </c>
    </row>
    <row r="1011" spans="1:10" x14ac:dyDescent="0.25">
      <c r="A1011" s="57" t="str">
        <f>IF(CRM_MAGDY!H1011="","","CRM-"&amp;TEXT(ROW()-4,"0000"))</f>
        <v>CRM-1007</v>
      </c>
      <c r="B1011" s="57">
        <f>CRM_MAGDY!E1011</f>
        <v>0</v>
      </c>
      <c r="C1011" s="57">
        <f>CRM_MAGDY!H1011</f>
        <v>6447</v>
      </c>
      <c r="D1011" s="57">
        <f>CRM_MAGDY!I1011</f>
        <v>0</v>
      </c>
      <c r="E1011" s="57">
        <f>IFERROR(VALUE(CRM_MAGDY!K1011),0)</f>
        <v>0</v>
      </c>
      <c r="F1011" s="57">
        <f>IFERROR(IF(CRM_MAGDY!L1011&gt;1,CRM_MAGDY!L1011/100,CRM_MAGDY!L1011),0)</f>
        <v>0</v>
      </c>
      <c r="G1011" s="57">
        <f>CRM_MAGDY!N1011</f>
        <v>0</v>
      </c>
      <c r="H1011" s="57">
        <f>CRM_MAGDY!M1011</f>
        <v>0</v>
      </c>
      <c r="I1011" s="57">
        <f t="shared" si="30"/>
        <v>0</v>
      </c>
      <c r="J1011" s="57" t="str">
        <f t="shared" si="31"/>
        <v>POTENCJAŁ</v>
      </c>
    </row>
    <row r="1012" spans="1:10" x14ac:dyDescent="0.25">
      <c r="A1012" s="57" t="str">
        <f>IF(CRM_MAGDY!H1012="","","CRM-"&amp;TEXT(ROW()-4,"0000"))</f>
        <v>CRM-1008</v>
      </c>
      <c r="B1012" s="57">
        <f>CRM_MAGDY!E1012</f>
        <v>0</v>
      </c>
      <c r="C1012" s="57">
        <f>CRM_MAGDY!H1012</f>
        <v>6448</v>
      </c>
      <c r="D1012" s="57">
        <f>CRM_MAGDY!I1012</f>
        <v>0</v>
      </c>
      <c r="E1012" s="57">
        <f>IFERROR(VALUE(CRM_MAGDY!K1012),0)</f>
        <v>0</v>
      </c>
      <c r="F1012" s="57">
        <f>IFERROR(IF(CRM_MAGDY!L1012&gt;1,CRM_MAGDY!L1012/100,CRM_MAGDY!L1012),0)</f>
        <v>0</v>
      </c>
      <c r="G1012" s="57">
        <f>CRM_MAGDY!N1012</f>
        <v>0</v>
      </c>
      <c r="H1012" s="57">
        <f>CRM_MAGDY!M1012</f>
        <v>0</v>
      </c>
      <c r="I1012" s="57">
        <f t="shared" si="30"/>
        <v>0</v>
      </c>
      <c r="J1012" s="57" t="str">
        <f t="shared" si="31"/>
        <v>POTENCJAŁ</v>
      </c>
    </row>
    <row r="1013" spans="1:10" x14ac:dyDescent="0.25">
      <c r="A1013" s="57" t="str">
        <f>IF(CRM_MAGDY!H1013="","","CRM-"&amp;TEXT(ROW()-4,"0000"))</f>
        <v>CRM-1009</v>
      </c>
      <c r="B1013" s="57">
        <f>CRM_MAGDY!E1013</f>
        <v>0</v>
      </c>
      <c r="C1013" s="57">
        <f>CRM_MAGDY!H1013</f>
        <v>6449</v>
      </c>
      <c r="D1013" s="57">
        <f>CRM_MAGDY!I1013</f>
        <v>0</v>
      </c>
      <c r="E1013" s="57">
        <f>IFERROR(VALUE(CRM_MAGDY!K1013),0)</f>
        <v>0</v>
      </c>
      <c r="F1013" s="57">
        <f>IFERROR(IF(CRM_MAGDY!L1013&gt;1,CRM_MAGDY!L1013/100,CRM_MAGDY!L1013),0)</f>
        <v>0</v>
      </c>
      <c r="G1013" s="57">
        <f>CRM_MAGDY!N1013</f>
        <v>0</v>
      </c>
      <c r="H1013" s="57">
        <f>CRM_MAGDY!M1013</f>
        <v>0</v>
      </c>
      <c r="I1013" s="57">
        <f t="shared" si="30"/>
        <v>0</v>
      </c>
      <c r="J1013" s="57" t="str">
        <f t="shared" si="31"/>
        <v>POTENCJAŁ</v>
      </c>
    </row>
    <row r="1014" spans="1:10" x14ac:dyDescent="0.25">
      <c r="A1014" s="57" t="str">
        <f>IF(CRM_MAGDY!H1014="","","CRM-"&amp;TEXT(ROW()-4,"0000"))</f>
        <v>CRM-1010</v>
      </c>
      <c r="B1014" s="57">
        <f>CRM_MAGDY!E1014</f>
        <v>0</v>
      </c>
      <c r="C1014" s="57">
        <f>CRM_MAGDY!H1014</f>
        <v>6450</v>
      </c>
      <c r="D1014" s="57">
        <f>CRM_MAGDY!I1014</f>
        <v>0</v>
      </c>
      <c r="E1014" s="57">
        <f>IFERROR(VALUE(CRM_MAGDY!K1014),0)</f>
        <v>0</v>
      </c>
      <c r="F1014" s="57">
        <f>IFERROR(IF(CRM_MAGDY!L1014&gt;1,CRM_MAGDY!L1014/100,CRM_MAGDY!L1014),0)</f>
        <v>0</v>
      </c>
      <c r="G1014" s="57">
        <f>CRM_MAGDY!N1014</f>
        <v>0</v>
      </c>
      <c r="H1014" s="57">
        <f>CRM_MAGDY!M1014</f>
        <v>0</v>
      </c>
      <c r="I1014" s="57">
        <f t="shared" si="30"/>
        <v>0</v>
      </c>
      <c r="J1014" s="57" t="str">
        <f t="shared" si="31"/>
        <v>POTENCJAŁ</v>
      </c>
    </row>
    <row r="1015" spans="1:10" x14ac:dyDescent="0.25">
      <c r="A1015" s="57" t="str">
        <f>IF(CRM_MAGDY!H1015="","","CRM-"&amp;TEXT(ROW()-4,"0000"))</f>
        <v>CRM-1011</v>
      </c>
      <c r="B1015" s="57">
        <f>CRM_MAGDY!E1015</f>
        <v>0</v>
      </c>
      <c r="C1015" s="57">
        <f>CRM_MAGDY!H1015</f>
        <v>6451</v>
      </c>
      <c r="D1015" s="57">
        <f>CRM_MAGDY!I1015</f>
        <v>0</v>
      </c>
      <c r="E1015" s="57">
        <f>IFERROR(VALUE(CRM_MAGDY!K1015),0)</f>
        <v>0</v>
      </c>
      <c r="F1015" s="57">
        <f>IFERROR(IF(CRM_MAGDY!L1015&gt;1,CRM_MAGDY!L1015/100,CRM_MAGDY!L1015),0)</f>
        <v>0</v>
      </c>
      <c r="G1015" s="57">
        <f>CRM_MAGDY!N1015</f>
        <v>0</v>
      </c>
      <c r="H1015" s="57">
        <f>CRM_MAGDY!M1015</f>
        <v>0</v>
      </c>
      <c r="I1015" s="57">
        <f t="shared" si="30"/>
        <v>0</v>
      </c>
      <c r="J1015" s="57" t="str">
        <f t="shared" si="31"/>
        <v>POTENCJAŁ</v>
      </c>
    </row>
    <row r="1016" spans="1:10" x14ac:dyDescent="0.25">
      <c r="A1016" s="57" t="str">
        <f>IF(CRM_MAGDY!H1016="","","CRM-"&amp;TEXT(ROW()-4,"0000"))</f>
        <v>CRM-1012</v>
      </c>
      <c r="B1016" s="57">
        <f>CRM_MAGDY!E1016</f>
        <v>0</v>
      </c>
      <c r="C1016" s="57">
        <f>CRM_MAGDY!H1016</f>
        <v>6452</v>
      </c>
      <c r="D1016" s="57">
        <f>CRM_MAGDY!I1016</f>
        <v>0</v>
      </c>
      <c r="E1016" s="57">
        <f>IFERROR(VALUE(CRM_MAGDY!K1016),0)</f>
        <v>0</v>
      </c>
      <c r="F1016" s="57">
        <f>IFERROR(IF(CRM_MAGDY!L1016&gt;1,CRM_MAGDY!L1016/100,CRM_MAGDY!L1016),0)</f>
        <v>0</v>
      </c>
      <c r="G1016" s="57">
        <f>CRM_MAGDY!N1016</f>
        <v>0</v>
      </c>
      <c r="H1016" s="57">
        <f>CRM_MAGDY!M1016</f>
        <v>0</v>
      </c>
      <c r="I1016" s="57">
        <f t="shared" si="30"/>
        <v>0</v>
      </c>
      <c r="J1016" s="57" t="str">
        <f t="shared" si="31"/>
        <v>POTENCJAŁ</v>
      </c>
    </row>
    <row r="1017" spans="1:10" x14ac:dyDescent="0.25">
      <c r="A1017" s="57" t="str">
        <f>IF(CRM_MAGDY!H1017="","","CRM-"&amp;TEXT(ROW()-4,"0000"))</f>
        <v>CRM-1013</v>
      </c>
      <c r="B1017" s="57">
        <f>CRM_MAGDY!E1017</f>
        <v>0</v>
      </c>
      <c r="C1017" s="57">
        <f>CRM_MAGDY!H1017</f>
        <v>6453</v>
      </c>
      <c r="D1017" s="57">
        <f>CRM_MAGDY!I1017</f>
        <v>0</v>
      </c>
      <c r="E1017" s="57">
        <f>IFERROR(VALUE(CRM_MAGDY!K1017),0)</f>
        <v>0</v>
      </c>
      <c r="F1017" s="57">
        <f>IFERROR(IF(CRM_MAGDY!L1017&gt;1,CRM_MAGDY!L1017/100,CRM_MAGDY!L1017),0)</f>
        <v>0</v>
      </c>
      <c r="G1017" s="57">
        <f>CRM_MAGDY!N1017</f>
        <v>0</v>
      </c>
      <c r="H1017" s="57">
        <f>CRM_MAGDY!M1017</f>
        <v>0</v>
      </c>
      <c r="I1017" s="57">
        <f t="shared" si="30"/>
        <v>0</v>
      </c>
      <c r="J1017" s="57" t="str">
        <f t="shared" si="31"/>
        <v>POTENCJAŁ</v>
      </c>
    </row>
    <row r="1018" spans="1:10" x14ac:dyDescent="0.25">
      <c r="A1018" s="57" t="str">
        <f>IF(CRM_MAGDY!H1018="","","CRM-"&amp;TEXT(ROW()-4,"0000"))</f>
        <v>CRM-1014</v>
      </c>
      <c r="B1018" s="57">
        <f>CRM_MAGDY!E1018</f>
        <v>0</v>
      </c>
      <c r="C1018" s="57">
        <f>CRM_MAGDY!H1018</f>
        <v>6454</v>
      </c>
      <c r="D1018" s="57">
        <f>CRM_MAGDY!I1018</f>
        <v>0</v>
      </c>
      <c r="E1018" s="57">
        <f>IFERROR(VALUE(CRM_MAGDY!K1018),0)</f>
        <v>0</v>
      </c>
      <c r="F1018" s="57">
        <f>IFERROR(IF(CRM_MAGDY!L1018&gt;1,CRM_MAGDY!L1018/100,CRM_MAGDY!L1018),0)</f>
        <v>0</v>
      </c>
      <c r="G1018" s="57">
        <f>CRM_MAGDY!N1018</f>
        <v>0</v>
      </c>
      <c r="H1018" s="57">
        <f>CRM_MAGDY!M1018</f>
        <v>0</v>
      </c>
      <c r="I1018" s="57">
        <f t="shared" si="30"/>
        <v>0</v>
      </c>
      <c r="J1018" s="57" t="str">
        <f t="shared" si="31"/>
        <v>POTENCJAŁ</v>
      </c>
    </row>
    <row r="1019" spans="1:10" x14ac:dyDescent="0.25">
      <c r="A1019" s="57" t="str">
        <f>IF(CRM_MAGDY!H1019="","","CRM-"&amp;TEXT(ROW()-4,"0000"))</f>
        <v>CRM-1015</v>
      </c>
      <c r="B1019" s="57">
        <f>CRM_MAGDY!E1019</f>
        <v>0</v>
      </c>
      <c r="C1019" s="57">
        <f>CRM_MAGDY!H1019</f>
        <v>6455</v>
      </c>
      <c r="D1019" s="57">
        <f>CRM_MAGDY!I1019</f>
        <v>0</v>
      </c>
      <c r="E1019" s="57">
        <f>IFERROR(VALUE(CRM_MAGDY!K1019),0)</f>
        <v>0</v>
      </c>
      <c r="F1019" s="57">
        <f>IFERROR(IF(CRM_MAGDY!L1019&gt;1,CRM_MAGDY!L1019/100,CRM_MAGDY!L1019),0)</f>
        <v>0</v>
      </c>
      <c r="G1019" s="57">
        <f>CRM_MAGDY!N1019</f>
        <v>0</v>
      </c>
      <c r="H1019" s="57">
        <f>CRM_MAGDY!M1019</f>
        <v>0</v>
      </c>
      <c r="I1019" s="57">
        <f t="shared" si="30"/>
        <v>0</v>
      </c>
      <c r="J1019" s="57" t="str">
        <f t="shared" si="31"/>
        <v>POTENCJAŁ</v>
      </c>
    </row>
    <row r="1020" spans="1:10" x14ac:dyDescent="0.25">
      <c r="A1020" s="57" t="str">
        <f>IF(CRM_MAGDY!H1020="","","CRM-"&amp;TEXT(ROW()-4,"0000"))</f>
        <v>CRM-1016</v>
      </c>
      <c r="B1020" s="57">
        <f>CRM_MAGDY!E1020</f>
        <v>0</v>
      </c>
      <c r="C1020" s="57">
        <f>CRM_MAGDY!H1020</f>
        <v>6456</v>
      </c>
      <c r="D1020" s="57">
        <f>CRM_MAGDY!I1020</f>
        <v>0</v>
      </c>
      <c r="E1020" s="57">
        <f>IFERROR(VALUE(CRM_MAGDY!K1020),0)</f>
        <v>0</v>
      </c>
      <c r="F1020" s="57">
        <f>IFERROR(IF(CRM_MAGDY!L1020&gt;1,CRM_MAGDY!L1020/100,CRM_MAGDY!L1020),0)</f>
        <v>0</v>
      </c>
      <c r="G1020" s="57">
        <f>CRM_MAGDY!N1020</f>
        <v>0</v>
      </c>
      <c r="H1020" s="57">
        <f>CRM_MAGDY!M1020</f>
        <v>0</v>
      </c>
      <c r="I1020" s="57">
        <f t="shared" si="30"/>
        <v>0</v>
      </c>
      <c r="J1020" s="57" t="str">
        <f t="shared" si="31"/>
        <v>POTENCJAŁ</v>
      </c>
    </row>
    <row r="1021" spans="1:10" x14ac:dyDescent="0.25">
      <c r="A1021" s="57" t="str">
        <f>IF(CRM_MAGDY!H1021="","","CRM-"&amp;TEXT(ROW()-4,"0000"))</f>
        <v>CRM-1017</v>
      </c>
      <c r="B1021" s="57">
        <f>CRM_MAGDY!E1021</f>
        <v>0</v>
      </c>
      <c r="C1021" s="57">
        <f>CRM_MAGDY!H1021</f>
        <v>6457</v>
      </c>
      <c r="D1021" s="57">
        <f>CRM_MAGDY!I1021</f>
        <v>0</v>
      </c>
      <c r="E1021" s="57">
        <f>IFERROR(VALUE(CRM_MAGDY!K1021),0)</f>
        <v>0</v>
      </c>
      <c r="F1021" s="57">
        <f>IFERROR(IF(CRM_MAGDY!L1021&gt;1,CRM_MAGDY!L1021/100,CRM_MAGDY!L1021),0)</f>
        <v>0</v>
      </c>
      <c r="G1021" s="57">
        <f>CRM_MAGDY!N1021</f>
        <v>0</v>
      </c>
      <c r="H1021" s="57">
        <f>CRM_MAGDY!M1021</f>
        <v>0</v>
      </c>
      <c r="I1021" s="57">
        <f t="shared" si="30"/>
        <v>0</v>
      </c>
      <c r="J1021" s="57" t="str">
        <f t="shared" si="31"/>
        <v>POTENCJAŁ</v>
      </c>
    </row>
    <row r="1022" spans="1:10" x14ac:dyDescent="0.25">
      <c r="A1022" s="57" t="str">
        <f>IF(CRM_MAGDY!H1022="","","CRM-"&amp;TEXT(ROW()-4,"0000"))</f>
        <v>CRM-1018</v>
      </c>
      <c r="B1022" s="57">
        <f>CRM_MAGDY!E1022</f>
        <v>0</v>
      </c>
      <c r="C1022" s="57">
        <f>CRM_MAGDY!H1022</f>
        <v>6458</v>
      </c>
      <c r="D1022" s="57">
        <f>CRM_MAGDY!I1022</f>
        <v>0</v>
      </c>
      <c r="E1022" s="57">
        <f>IFERROR(VALUE(CRM_MAGDY!K1022),0)</f>
        <v>0</v>
      </c>
      <c r="F1022" s="57">
        <f>IFERROR(IF(CRM_MAGDY!L1022&gt;1,CRM_MAGDY!L1022/100,CRM_MAGDY!L1022),0)</f>
        <v>0</v>
      </c>
      <c r="G1022" s="57">
        <f>CRM_MAGDY!N1022</f>
        <v>0</v>
      </c>
      <c r="H1022" s="57">
        <f>CRM_MAGDY!M1022</f>
        <v>0</v>
      </c>
      <c r="I1022" s="57">
        <f t="shared" si="30"/>
        <v>0</v>
      </c>
      <c r="J1022" s="57" t="str">
        <f t="shared" si="31"/>
        <v>POTENCJAŁ</v>
      </c>
    </row>
    <row r="1023" spans="1:10" x14ac:dyDescent="0.25">
      <c r="A1023" s="57" t="str">
        <f>IF(CRM_MAGDY!H1023="","","CRM-"&amp;TEXT(ROW()-4,"0000"))</f>
        <v>CRM-1019</v>
      </c>
      <c r="B1023" s="57">
        <f>CRM_MAGDY!E1023</f>
        <v>0</v>
      </c>
      <c r="C1023" s="57">
        <f>CRM_MAGDY!H1023</f>
        <v>6459</v>
      </c>
      <c r="D1023" s="57">
        <f>CRM_MAGDY!I1023</f>
        <v>0</v>
      </c>
      <c r="E1023" s="57">
        <f>IFERROR(VALUE(CRM_MAGDY!K1023),0)</f>
        <v>0</v>
      </c>
      <c r="F1023" s="57">
        <f>IFERROR(IF(CRM_MAGDY!L1023&gt;1,CRM_MAGDY!L1023/100,CRM_MAGDY!L1023),0)</f>
        <v>0</v>
      </c>
      <c r="G1023" s="57">
        <f>CRM_MAGDY!N1023</f>
        <v>0</v>
      </c>
      <c r="H1023" s="57">
        <f>CRM_MAGDY!M1023</f>
        <v>0</v>
      </c>
      <c r="I1023" s="57">
        <f t="shared" si="30"/>
        <v>0</v>
      </c>
      <c r="J1023" s="57" t="str">
        <f t="shared" si="31"/>
        <v>POTENCJAŁ</v>
      </c>
    </row>
    <row r="1024" spans="1:10" x14ac:dyDescent="0.25">
      <c r="A1024" s="57" t="str">
        <f>IF(CRM_MAGDY!H1024="","","CRM-"&amp;TEXT(ROW()-4,"0000"))</f>
        <v>CRM-1020</v>
      </c>
      <c r="B1024" s="57">
        <f>CRM_MAGDY!E1024</f>
        <v>0</v>
      </c>
      <c r="C1024" s="57">
        <f>CRM_MAGDY!H1024</f>
        <v>6460</v>
      </c>
      <c r="D1024" s="57">
        <f>CRM_MAGDY!I1024</f>
        <v>0</v>
      </c>
      <c r="E1024" s="57">
        <f>IFERROR(VALUE(CRM_MAGDY!K1024),0)</f>
        <v>0</v>
      </c>
      <c r="F1024" s="57">
        <f>IFERROR(IF(CRM_MAGDY!L1024&gt;1,CRM_MAGDY!L1024/100,CRM_MAGDY!L1024),0)</f>
        <v>0</v>
      </c>
      <c r="G1024" s="57">
        <f>CRM_MAGDY!N1024</f>
        <v>0</v>
      </c>
      <c r="H1024" s="57">
        <f>CRM_MAGDY!M1024</f>
        <v>0</v>
      </c>
      <c r="I1024" s="57">
        <f t="shared" si="30"/>
        <v>0</v>
      </c>
      <c r="J1024" s="57" t="str">
        <f t="shared" si="31"/>
        <v>POTENCJAŁ</v>
      </c>
    </row>
    <row r="1025" spans="1:10" x14ac:dyDescent="0.25">
      <c r="A1025" s="57" t="str">
        <f>IF(CRM_MAGDY!H1025="","","CRM-"&amp;TEXT(ROW()-4,"0000"))</f>
        <v>CRM-1021</v>
      </c>
      <c r="B1025" s="57">
        <f>CRM_MAGDY!E1025</f>
        <v>0</v>
      </c>
      <c r="C1025" s="57">
        <f>CRM_MAGDY!H1025</f>
        <v>6461</v>
      </c>
      <c r="D1025" s="57">
        <f>CRM_MAGDY!I1025</f>
        <v>0</v>
      </c>
      <c r="E1025" s="57">
        <f>IFERROR(VALUE(CRM_MAGDY!K1025),0)</f>
        <v>0</v>
      </c>
      <c r="F1025" s="57">
        <f>IFERROR(IF(CRM_MAGDY!L1025&gt;1,CRM_MAGDY!L1025/100,CRM_MAGDY!L1025),0)</f>
        <v>0</v>
      </c>
      <c r="G1025" s="57">
        <f>CRM_MAGDY!N1025</f>
        <v>0</v>
      </c>
      <c r="H1025" s="57">
        <f>CRM_MAGDY!M1025</f>
        <v>0</v>
      </c>
      <c r="I1025" s="57">
        <f t="shared" si="30"/>
        <v>0</v>
      </c>
      <c r="J1025" s="57" t="str">
        <f t="shared" si="31"/>
        <v>POTENCJAŁ</v>
      </c>
    </row>
    <row r="1026" spans="1:10" x14ac:dyDescent="0.25">
      <c r="A1026" s="57" t="str">
        <f>IF(CRM_MAGDY!H1026="","","CRM-"&amp;TEXT(ROW()-4,"0000"))</f>
        <v>CRM-1022</v>
      </c>
      <c r="B1026" s="57">
        <f>CRM_MAGDY!E1026</f>
        <v>0</v>
      </c>
      <c r="C1026" s="57">
        <f>CRM_MAGDY!H1026</f>
        <v>6462</v>
      </c>
      <c r="D1026" s="57">
        <f>CRM_MAGDY!I1026</f>
        <v>0</v>
      </c>
      <c r="E1026" s="57">
        <f>IFERROR(VALUE(CRM_MAGDY!K1026),0)</f>
        <v>0</v>
      </c>
      <c r="F1026" s="57">
        <f>IFERROR(IF(CRM_MAGDY!L1026&gt;1,CRM_MAGDY!L1026/100,CRM_MAGDY!L1026),0)</f>
        <v>0</v>
      </c>
      <c r="G1026" s="57">
        <f>CRM_MAGDY!N1026</f>
        <v>0</v>
      </c>
      <c r="H1026" s="57">
        <f>CRM_MAGDY!M1026</f>
        <v>0</v>
      </c>
      <c r="I1026" s="57">
        <f t="shared" si="30"/>
        <v>0</v>
      </c>
      <c r="J1026" s="57" t="str">
        <f t="shared" si="31"/>
        <v>POTENCJAŁ</v>
      </c>
    </row>
    <row r="1027" spans="1:10" x14ac:dyDescent="0.25">
      <c r="A1027" s="57" t="str">
        <f>IF(CRM_MAGDY!H1027="","","CRM-"&amp;TEXT(ROW()-4,"0000"))</f>
        <v>CRM-1023</v>
      </c>
      <c r="B1027" s="57">
        <f>CRM_MAGDY!E1027</f>
        <v>0</v>
      </c>
      <c r="C1027" s="57">
        <f>CRM_MAGDY!H1027</f>
        <v>6463</v>
      </c>
      <c r="D1027" s="57">
        <f>CRM_MAGDY!I1027</f>
        <v>0</v>
      </c>
      <c r="E1027" s="57">
        <f>IFERROR(VALUE(CRM_MAGDY!K1027),0)</f>
        <v>0</v>
      </c>
      <c r="F1027" s="57">
        <f>IFERROR(IF(CRM_MAGDY!L1027&gt;1,CRM_MAGDY!L1027/100,CRM_MAGDY!L1027),0)</f>
        <v>0</v>
      </c>
      <c r="G1027" s="57">
        <f>CRM_MAGDY!N1027</f>
        <v>0</v>
      </c>
      <c r="H1027" s="57">
        <f>CRM_MAGDY!M1027</f>
        <v>0</v>
      </c>
      <c r="I1027" s="57">
        <f t="shared" si="30"/>
        <v>0</v>
      </c>
      <c r="J1027" s="57" t="str">
        <f t="shared" si="31"/>
        <v>POTENCJAŁ</v>
      </c>
    </row>
    <row r="1028" spans="1:10" x14ac:dyDescent="0.25">
      <c r="A1028" s="57" t="str">
        <f>IF(CRM_MAGDY!H1028="","","CRM-"&amp;TEXT(ROW()-4,"0000"))</f>
        <v>CRM-1024</v>
      </c>
      <c r="B1028" s="57">
        <f>CRM_MAGDY!E1028</f>
        <v>0</v>
      </c>
      <c r="C1028" s="57">
        <f>CRM_MAGDY!H1028</f>
        <v>6464</v>
      </c>
      <c r="D1028" s="57">
        <f>CRM_MAGDY!I1028</f>
        <v>0</v>
      </c>
      <c r="E1028" s="57">
        <f>IFERROR(VALUE(CRM_MAGDY!K1028),0)</f>
        <v>0</v>
      </c>
      <c r="F1028" s="57">
        <f>IFERROR(IF(CRM_MAGDY!L1028&gt;1,CRM_MAGDY!L1028/100,CRM_MAGDY!L1028),0)</f>
        <v>0</v>
      </c>
      <c r="G1028" s="57">
        <f>CRM_MAGDY!N1028</f>
        <v>0</v>
      </c>
      <c r="H1028" s="57">
        <f>CRM_MAGDY!M1028</f>
        <v>0</v>
      </c>
      <c r="I1028" s="57">
        <f t="shared" si="30"/>
        <v>0</v>
      </c>
      <c r="J1028" s="57" t="str">
        <f t="shared" si="31"/>
        <v>POTENCJAŁ</v>
      </c>
    </row>
    <row r="1029" spans="1:10" x14ac:dyDescent="0.25">
      <c r="A1029" s="57" t="str">
        <f>IF(CRM_MAGDY!H1029="","","CRM-"&amp;TEXT(ROW()-4,"0000"))</f>
        <v>CRM-1025</v>
      </c>
      <c r="B1029" s="57">
        <f>CRM_MAGDY!E1029</f>
        <v>0</v>
      </c>
      <c r="C1029" s="57">
        <f>CRM_MAGDY!H1029</f>
        <v>6465</v>
      </c>
      <c r="D1029" s="57">
        <f>CRM_MAGDY!I1029</f>
        <v>0</v>
      </c>
      <c r="E1029" s="57">
        <f>IFERROR(VALUE(CRM_MAGDY!K1029),0)</f>
        <v>0</v>
      </c>
      <c r="F1029" s="57">
        <f>IFERROR(IF(CRM_MAGDY!L1029&gt;1,CRM_MAGDY!L1029/100,CRM_MAGDY!L1029),0)</f>
        <v>0</v>
      </c>
      <c r="G1029" s="57">
        <f>CRM_MAGDY!N1029</f>
        <v>0</v>
      </c>
      <c r="H1029" s="57">
        <f>CRM_MAGDY!M1029</f>
        <v>0</v>
      </c>
      <c r="I1029" s="57">
        <f t="shared" ref="I1029:I1092" si="32">IF(OR(G1029="WYGRANA",G1029="PRZEGRANA"),0,E1029*F1029)</f>
        <v>0</v>
      </c>
      <c r="J1029" s="57" t="str">
        <f t="shared" ref="J1029:J1092" si="33">IF(F1029&gt;=0.7,"PEWNY",IF(F1029&gt;=0.3,"REALNY","POTENCJAŁ"))</f>
        <v>POTENCJAŁ</v>
      </c>
    </row>
    <row r="1030" spans="1:10" x14ac:dyDescent="0.25">
      <c r="A1030" s="57" t="str">
        <f>IF(CRM_MAGDY!H1030="","","CRM-"&amp;TEXT(ROW()-4,"0000"))</f>
        <v>CRM-1026</v>
      </c>
      <c r="B1030" s="57">
        <f>CRM_MAGDY!E1030</f>
        <v>0</v>
      </c>
      <c r="C1030" s="57">
        <f>CRM_MAGDY!H1030</f>
        <v>6466</v>
      </c>
      <c r="D1030" s="57">
        <f>CRM_MAGDY!I1030</f>
        <v>0</v>
      </c>
      <c r="E1030" s="57">
        <f>IFERROR(VALUE(CRM_MAGDY!K1030),0)</f>
        <v>0</v>
      </c>
      <c r="F1030" s="57">
        <f>IFERROR(IF(CRM_MAGDY!L1030&gt;1,CRM_MAGDY!L1030/100,CRM_MAGDY!L1030),0)</f>
        <v>0</v>
      </c>
      <c r="G1030" s="57">
        <f>CRM_MAGDY!N1030</f>
        <v>0</v>
      </c>
      <c r="H1030" s="57">
        <f>CRM_MAGDY!M1030</f>
        <v>0</v>
      </c>
      <c r="I1030" s="57">
        <f t="shared" si="32"/>
        <v>0</v>
      </c>
      <c r="J1030" s="57" t="str">
        <f t="shared" si="33"/>
        <v>POTENCJAŁ</v>
      </c>
    </row>
    <row r="1031" spans="1:10" x14ac:dyDescent="0.25">
      <c r="A1031" s="57" t="str">
        <f>IF(CRM_MAGDY!H1031="","","CRM-"&amp;TEXT(ROW()-4,"0000"))</f>
        <v>CRM-1027</v>
      </c>
      <c r="B1031" s="57">
        <f>CRM_MAGDY!E1031</f>
        <v>0</v>
      </c>
      <c r="C1031" s="57">
        <f>CRM_MAGDY!H1031</f>
        <v>6467</v>
      </c>
      <c r="D1031" s="57">
        <f>CRM_MAGDY!I1031</f>
        <v>0</v>
      </c>
      <c r="E1031" s="57">
        <f>IFERROR(VALUE(CRM_MAGDY!K1031),0)</f>
        <v>0</v>
      </c>
      <c r="F1031" s="57">
        <f>IFERROR(IF(CRM_MAGDY!L1031&gt;1,CRM_MAGDY!L1031/100,CRM_MAGDY!L1031),0)</f>
        <v>0</v>
      </c>
      <c r="G1031" s="57">
        <f>CRM_MAGDY!N1031</f>
        <v>0</v>
      </c>
      <c r="H1031" s="57">
        <f>CRM_MAGDY!M1031</f>
        <v>0</v>
      </c>
      <c r="I1031" s="57">
        <f t="shared" si="32"/>
        <v>0</v>
      </c>
      <c r="J1031" s="57" t="str">
        <f t="shared" si="33"/>
        <v>POTENCJAŁ</v>
      </c>
    </row>
    <row r="1032" spans="1:10" x14ac:dyDescent="0.25">
      <c r="A1032" s="57" t="str">
        <f>IF(CRM_MAGDY!H1032="","","CRM-"&amp;TEXT(ROW()-4,"0000"))</f>
        <v>CRM-1028</v>
      </c>
      <c r="B1032" s="57">
        <f>CRM_MAGDY!E1032</f>
        <v>0</v>
      </c>
      <c r="C1032" s="57">
        <f>CRM_MAGDY!H1032</f>
        <v>6468</v>
      </c>
      <c r="D1032" s="57">
        <f>CRM_MAGDY!I1032</f>
        <v>0</v>
      </c>
      <c r="E1032" s="57">
        <f>IFERROR(VALUE(CRM_MAGDY!K1032),0)</f>
        <v>0</v>
      </c>
      <c r="F1032" s="57">
        <f>IFERROR(IF(CRM_MAGDY!L1032&gt;1,CRM_MAGDY!L1032/100,CRM_MAGDY!L1032),0)</f>
        <v>0</v>
      </c>
      <c r="G1032" s="57">
        <f>CRM_MAGDY!N1032</f>
        <v>0</v>
      </c>
      <c r="H1032" s="57">
        <f>CRM_MAGDY!M1032</f>
        <v>0</v>
      </c>
      <c r="I1032" s="57">
        <f t="shared" si="32"/>
        <v>0</v>
      </c>
      <c r="J1032" s="57" t="str">
        <f t="shared" si="33"/>
        <v>POTENCJAŁ</v>
      </c>
    </row>
    <row r="1033" spans="1:10" x14ac:dyDescent="0.25">
      <c r="A1033" s="57" t="str">
        <f>IF(CRM_MAGDY!H1033="","","CRM-"&amp;TEXT(ROW()-4,"0000"))</f>
        <v>CRM-1029</v>
      </c>
      <c r="B1033" s="57">
        <f>CRM_MAGDY!E1033</f>
        <v>0</v>
      </c>
      <c r="C1033" s="57">
        <f>CRM_MAGDY!H1033</f>
        <v>6469</v>
      </c>
      <c r="D1033" s="57">
        <f>CRM_MAGDY!I1033</f>
        <v>0</v>
      </c>
      <c r="E1033" s="57">
        <f>IFERROR(VALUE(CRM_MAGDY!K1033),0)</f>
        <v>0</v>
      </c>
      <c r="F1033" s="57">
        <f>IFERROR(IF(CRM_MAGDY!L1033&gt;1,CRM_MAGDY!L1033/100,CRM_MAGDY!L1033),0)</f>
        <v>0</v>
      </c>
      <c r="G1033" s="57">
        <f>CRM_MAGDY!N1033</f>
        <v>0</v>
      </c>
      <c r="H1033" s="57">
        <f>CRM_MAGDY!M1033</f>
        <v>0</v>
      </c>
      <c r="I1033" s="57">
        <f t="shared" si="32"/>
        <v>0</v>
      </c>
      <c r="J1033" s="57" t="str">
        <f t="shared" si="33"/>
        <v>POTENCJAŁ</v>
      </c>
    </row>
    <row r="1034" spans="1:10" x14ac:dyDescent="0.25">
      <c r="A1034" s="57" t="str">
        <f>IF(CRM_MAGDY!H1034="","","CRM-"&amp;TEXT(ROW()-4,"0000"))</f>
        <v>CRM-1030</v>
      </c>
      <c r="B1034" s="57">
        <f>CRM_MAGDY!E1034</f>
        <v>0</v>
      </c>
      <c r="C1034" s="57">
        <f>CRM_MAGDY!H1034</f>
        <v>6470</v>
      </c>
      <c r="D1034" s="57">
        <f>CRM_MAGDY!I1034</f>
        <v>0</v>
      </c>
      <c r="E1034" s="57">
        <f>IFERROR(VALUE(CRM_MAGDY!K1034),0)</f>
        <v>0</v>
      </c>
      <c r="F1034" s="57">
        <f>IFERROR(IF(CRM_MAGDY!L1034&gt;1,CRM_MAGDY!L1034/100,CRM_MAGDY!L1034),0)</f>
        <v>0</v>
      </c>
      <c r="G1034" s="57">
        <f>CRM_MAGDY!N1034</f>
        <v>0</v>
      </c>
      <c r="H1034" s="57">
        <f>CRM_MAGDY!M1034</f>
        <v>0</v>
      </c>
      <c r="I1034" s="57">
        <f t="shared" si="32"/>
        <v>0</v>
      </c>
      <c r="J1034" s="57" t="str">
        <f t="shared" si="33"/>
        <v>POTENCJAŁ</v>
      </c>
    </row>
    <row r="1035" spans="1:10" x14ac:dyDescent="0.25">
      <c r="A1035" s="57" t="str">
        <f>IF(CRM_MAGDY!H1035="","","CRM-"&amp;TEXT(ROW()-4,"0000"))</f>
        <v>CRM-1031</v>
      </c>
      <c r="B1035" s="57">
        <f>CRM_MAGDY!E1035</f>
        <v>0</v>
      </c>
      <c r="C1035" s="57">
        <f>CRM_MAGDY!H1035</f>
        <v>6471</v>
      </c>
      <c r="D1035" s="57">
        <f>CRM_MAGDY!I1035</f>
        <v>0</v>
      </c>
      <c r="E1035" s="57">
        <f>IFERROR(VALUE(CRM_MAGDY!K1035),0)</f>
        <v>0</v>
      </c>
      <c r="F1035" s="57">
        <f>IFERROR(IF(CRM_MAGDY!L1035&gt;1,CRM_MAGDY!L1035/100,CRM_MAGDY!L1035),0)</f>
        <v>0</v>
      </c>
      <c r="G1035" s="57">
        <f>CRM_MAGDY!N1035</f>
        <v>0</v>
      </c>
      <c r="H1035" s="57">
        <f>CRM_MAGDY!M1035</f>
        <v>0</v>
      </c>
      <c r="I1035" s="57">
        <f t="shared" si="32"/>
        <v>0</v>
      </c>
      <c r="J1035" s="57" t="str">
        <f t="shared" si="33"/>
        <v>POTENCJAŁ</v>
      </c>
    </row>
    <row r="1036" spans="1:10" x14ac:dyDescent="0.25">
      <c r="A1036" s="57" t="str">
        <f>IF(CRM_MAGDY!H1036="","","CRM-"&amp;TEXT(ROW()-4,"0000"))</f>
        <v>CRM-1032</v>
      </c>
      <c r="B1036" s="57">
        <f>CRM_MAGDY!E1036</f>
        <v>0</v>
      </c>
      <c r="C1036" s="57">
        <f>CRM_MAGDY!H1036</f>
        <v>6472</v>
      </c>
      <c r="D1036" s="57">
        <f>CRM_MAGDY!I1036</f>
        <v>0</v>
      </c>
      <c r="E1036" s="57">
        <f>IFERROR(VALUE(CRM_MAGDY!K1036),0)</f>
        <v>0</v>
      </c>
      <c r="F1036" s="57">
        <f>IFERROR(IF(CRM_MAGDY!L1036&gt;1,CRM_MAGDY!L1036/100,CRM_MAGDY!L1036),0)</f>
        <v>0</v>
      </c>
      <c r="G1036" s="57">
        <f>CRM_MAGDY!N1036</f>
        <v>0</v>
      </c>
      <c r="H1036" s="57">
        <f>CRM_MAGDY!M1036</f>
        <v>0</v>
      </c>
      <c r="I1036" s="57">
        <f t="shared" si="32"/>
        <v>0</v>
      </c>
      <c r="J1036" s="57" t="str">
        <f t="shared" si="33"/>
        <v>POTENCJAŁ</v>
      </c>
    </row>
    <row r="1037" spans="1:10" x14ac:dyDescent="0.25">
      <c r="A1037" s="57" t="str">
        <f>IF(CRM_MAGDY!H1037="","","CRM-"&amp;TEXT(ROW()-4,"0000"))</f>
        <v>CRM-1033</v>
      </c>
      <c r="B1037" s="57">
        <f>CRM_MAGDY!E1037</f>
        <v>0</v>
      </c>
      <c r="C1037" s="57">
        <f>CRM_MAGDY!H1037</f>
        <v>6473</v>
      </c>
      <c r="D1037" s="57">
        <f>CRM_MAGDY!I1037</f>
        <v>0</v>
      </c>
      <c r="E1037" s="57">
        <f>IFERROR(VALUE(CRM_MAGDY!K1037),0)</f>
        <v>0</v>
      </c>
      <c r="F1037" s="57">
        <f>IFERROR(IF(CRM_MAGDY!L1037&gt;1,CRM_MAGDY!L1037/100,CRM_MAGDY!L1037),0)</f>
        <v>0</v>
      </c>
      <c r="G1037" s="57">
        <f>CRM_MAGDY!N1037</f>
        <v>0</v>
      </c>
      <c r="H1037" s="57">
        <f>CRM_MAGDY!M1037</f>
        <v>0</v>
      </c>
      <c r="I1037" s="57">
        <f t="shared" si="32"/>
        <v>0</v>
      </c>
      <c r="J1037" s="57" t="str">
        <f t="shared" si="33"/>
        <v>POTENCJAŁ</v>
      </c>
    </row>
    <row r="1038" spans="1:10" x14ac:dyDescent="0.25">
      <c r="A1038" s="57" t="str">
        <f>IF(CRM_MAGDY!H1038="","","CRM-"&amp;TEXT(ROW()-4,"0000"))</f>
        <v>CRM-1034</v>
      </c>
      <c r="B1038" s="57">
        <f>CRM_MAGDY!E1038</f>
        <v>0</v>
      </c>
      <c r="C1038" s="57">
        <f>CRM_MAGDY!H1038</f>
        <v>6474</v>
      </c>
      <c r="D1038" s="57">
        <f>CRM_MAGDY!I1038</f>
        <v>0</v>
      </c>
      <c r="E1038" s="57">
        <f>IFERROR(VALUE(CRM_MAGDY!K1038),0)</f>
        <v>0</v>
      </c>
      <c r="F1038" s="57">
        <f>IFERROR(IF(CRM_MAGDY!L1038&gt;1,CRM_MAGDY!L1038/100,CRM_MAGDY!L1038),0)</f>
        <v>0</v>
      </c>
      <c r="G1038" s="57">
        <f>CRM_MAGDY!N1038</f>
        <v>0</v>
      </c>
      <c r="H1038" s="57">
        <f>CRM_MAGDY!M1038</f>
        <v>0</v>
      </c>
      <c r="I1038" s="57">
        <f t="shared" si="32"/>
        <v>0</v>
      </c>
      <c r="J1038" s="57" t="str">
        <f t="shared" si="33"/>
        <v>POTENCJAŁ</v>
      </c>
    </row>
    <row r="1039" spans="1:10" x14ac:dyDescent="0.25">
      <c r="A1039" s="57" t="str">
        <f>IF(CRM_MAGDY!H1039="","","CRM-"&amp;TEXT(ROW()-4,"0000"))</f>
        <v>CRM-1035</v>
      </c>
      <c r="B1039" s="57">
        <f>CRM_MAGDY!E1039</f>
        <v>0</v>
      </c>
      <c r="C1039" s="57">
        <f>CRM_MAGDY!H1039</f>
        <v>6475</v>
      </c>
      <c r="D1039" s="57">
        <f>CRM_MAGDY!I1039</f>
        <v>0</v>
      </c>
      <c r="E1039" s="57">
        <f>IFERROR(VALUE(CRM_MAGDY!K1039),0)</f>
        <v>0</v>
      </c>
      <c r="F1039" s="57">
        <f>IFERROR(IF(CRM_MAGDY!L1039&gt;1,CRM_MAGDY!L1039/100,CRM_MAGDY!L1039),0)</f>
        <v>0</v>
      </c>
      <c r="G1039" s="57">
        <f>CRM_MAGDY!N1039</f>
        <v>0</v>
      </c>
      <c r="H1039" s="57">
        <f>CRM_MAGDY!M1039</f>
        <v>0</v>
      </c>
      <c r="I1039" s="57">
        <f t="shared" si="32"/>
        <v>0</v>
      </c>
      <c r="J1039" s="57" t="str">
        <f t="shared" si="33"/>
        <v>POTENCJAŁ</v>
      </c>
    </row>
    <row r="1040" spans="1:10" x14ac:dyDescent="0.25">
      <c r="A1040" s="57" t="str">
        <f>IF(CRM_MAGDY!H1040="","","CRM-"&amp;TEXT(ROW()-4,"0000"))</f>
        <v>CRM-1036</v>
      </c>
      <c r="B1040" s="57">
        <f>CRM_MAGDY!E1040</f>
        <v>0</v>
      </c>
      <c r="C1040" s="57">
        <f>CRM_MAGDY!H1040</f>
        <v>6476</v>
      </c>
      <c r="D1040" s="57">
        <f>CRM_MAGDY!I1040</f>
        <v>0</v>
      </c>
      <c r="E1040" s="57">
        <f>IFERROR(VALUE(CRM_MAGDY!K1040),0)</f>
        <v>0</v>
      </c>
      <c r="F1040" s="57">
        <f>IFERROR(IF(CRM_MAGDY!L1040&gt;1,CRM_MAGDY!L1040/100,CRM_MAGDY!L1040),0)</f>
        <v>0</v>
      </c>
      <c r="G1040" s="57">
        <f>CRM_MAGDY!N1040</f>
        <v>0</v>
      </c>
      <c r="H1040" s="57">
        <f>CRM_MAGDY!M1040</f>
        <v>0</v>
      </c>
      <c r="I1040" s="57">
        <f t="shared" si="32"/>
        <v>0</v>
      </c>
      <c r="J1040" s="57" t="str">
        <f t="shared" si="33"/>
        <v>POTENCJAŁ</v>
      </c>
    </row>
    <row r="1041" spans="1:10" x14ac:dyDescent="0.25">
      <c r="A1041" s="57" t="str">
        <f>IF(CRM_MAGDY!H1041="","","CRM-"&amp;TEXT(ROW()-4,"0000"))</f>
        <v>CRM-1037</v>
      </c>
      <c r="B1041" s="57">
        <f>CRM_MAGDY!E1041</f>
        <v>0</v>
      </c>
      <c r="C1041" s="57">
        <f>CRM_MAGDY!H1041</f>
        <v>6477</v>
      </c>
      <c r="D1041" s="57">
        <f>CRM_MAGDY!I1041</f>
        <v>0</v>
      </c>
      <c r="E1041" s="57">
        <f>IFERROR(VALUE(CRM_MAGDY!K1041),0)</f>
        <v>0</v>
      </c>
      <c r="F1041" s="57">
        <f>IFERROR(IF(CRM_MAGDY!L1041&gt;1,CRM_MAGDY!L1041/100,CRM_MAGDY!L1041),0)</f>
        <v>0</v>
      </c>
      <c r="G1041" s="57">
        <f>CRM_MAGDY!N1041</f>
        <v>0</v>
      </c>
      <c r="H1041" s="57">
        <f>CRM_MAGDY!M1041</f>
        <v>0</v>
      </c>
      <c r="I1041" s="57">
        <f t="shared" si="32"/>
        <v>0</v>
      </c>
      <c r="J1041" s="57" t="str">
        <f t="shared" si="33"/>
        <v>POTENCJAŁ</v>
      </c>
    </row>
    <row r="1042" spans="1:10" x14ac:dyDescent="0.25">
      <c r="A1042" s="57" t="str">
        <f>IF(CRM_MAGDY!H1042="","","CRM-"&amp;TEXT(ROW()-4,"0000"))</f>
        <v>CRM-1038</v>
      </c>
      <c r="B1042" s="57">
        <f>CRM_MAGDY!E1042</f>
        <v>0</v>
      </c>
      <c r="C1042" s="57">
        <f>CRM_MAGDY!H1042</f>
        <v>6478</v>
      </c>
      <c r="D1042" s="57">
        <f>CRM_MAGDY!I1042</f>
        <v>0</v>
      </c>
      <c r="E1042" s="57">
        <f>IFERROR(VALUE(CRM_MAGDY!K1042),0)</f>
        <v>0</v>
      </c>
      <c r="F1042" s="57">
        <f>IFERROR(IF(CRM_MAGDY!L1042&gt;1,CRM_MAGDY!L1042/100,CRM_MAGDY!L1042),0)</f>
        <v>0</v>
      </c>
      <c r="G1042" s="57">
        <f>CRM_MAGDY!N1042</f>
        <v>0</v>
      </c>
      <c r="H1042" s="57">
        <f>CRM_MAGDY!M1042</f>
        <v>0</v>
      </c>
      <c r="I1042" s="57">
        <f t="shared" si="32"/>
        <v>0</v>
      </c>
      <c r="J1042" s="57" t="str">
        <f t="shared" si="33"/>
        <v>POTENCJAŁ</v>
      </c>
    </row>
    <row r="1043" spans="1:10" x14ac:dyDescent="0.25">
      <c r="A1043" s="57" t="str">
        <f>IF(CRM_MAGDY!H1043="","","CRM-"&amp;TEXT(ROW()-4,"0000"))</f>
        <v>CRM-1039</v>
      </c>
      <c r="B1043" s="57">
        <f>CRM_MAGDY!E1043</f>
        <v>0</v>
      </c>
      <c r="C1043" s="57">
        <f>CRM_MAGDY!H1043</f>
        <v>6479</v>
      </c>
      <c r="D1043" s="57">
        <f>CRM_MAGDY!I1043</f>
        <v>0</v>
      </c>
      <c r="E1043" s="57">
        <f>IFERROR(VALUE(CRM_MAGDY!K1043),0)</f>
        <v>0</v>
      </c>
      <c r="F1043" s="57">
        <f>IFERROR(IF(CRM_MAGDY!L1043&gt;1,CRM_MAGDY!L1043/100,CRM_MAGDY!L1043),0)</f>
        <v>0</v>
      </c>
      <c r="G1043" s="57">
        <f>CRM_MAGDY!N1043</f>
        <v>0</v>
      </c>
      <c r="H1043" s="57">
        <f>CRM_MAGDY!M1043</f>
        <v>0</v>
      </c>
      <c r="I1043" s="57">
        <f t="shared" si="32"/>
        <v>0</v>
      </c>
      <c r="J1043" s="57" t="str">
        <f t="shared" si="33"/>
        <v>POTENCJAŁ</v>
      </c>
    </row>
    <row r="1044" spans="1:10" x14ac:dyDescent="0.25">
      <c r="A1044" s="57" t="str">
        <f>IF(CRM_MAGDY!H1044="","","CRM-"&amp;TEXT(ROW()-4,"0000"))</f>
        <v>CRM-1040</v>
      </c>
      <c r="B1044" s="57">
        <f>CRM_MAGDY!E1044</f>
        <v>0</v>
      </c>
      <c r="C1044" s="57">
        <f>CRM_MAGDY!H1044</f>
        <v>6480</v>
      </c>
      <c r="D1044" s="57">
        <f>CRM_MAGDY!I1044</f>
        <v>0</v>
      </c>
      <c r="E1044" s="57">
        <f>IFERROR(VALUE(CRM_MAGDY!K1044),0)</f>
        <v>0</v>
      </c>
      <c r="F1044" s="57">
        <f>IFERROR(IF(CRM_MAGDY!L1044&gt;1,CRM_MAGDY!L1044/100,CRM_MAGDY!L1044),0)</f>
        <v>0</v>
      </c>
      <c r="G1044" s="57">
        <f>CRM_MAGDY!N1044</f>
        <v>0</v>
      </c>
      <c r="H1044" s="57">
        <f>CRM_MAGDY!M1044</f>
        <v>0</v>
      </c>
      <c r="I1044" s="57">
        <f t="shared" si="32"/>
        <v>0</v>
      </c>
      <c r="J1044" s="57" t="str">
        <f t="shared" si="33"/>
        <v>POTENCJAŁ</v>
      </c>
    </row>
    <row r="1045" spans="1:10" x14ac:dyDescent="0.25">
      <c r="A1045" s="57" t="str">
        <f>IF(CRM_MAGDY!H1045="","","CRM-"&amp;TEXT(ROW()-4,"0000"))</f>
        <v>CRM-1041</v>
      </c>
      <c r="B1045" s="57">
        <f>CRM_MAGDY!E1045</f>
        <v>0</v>
      </c>
      <c r="C1045" s="57">
        <f>CRM_MAGDY!H1045</f>
        <v>6481</v>
      </c>
      <c r="D1045" s="57">
        <f>CRM_MAGDY!I1045</f>
        <v>0</v>
      </c>
      <c r="E1045" s="57">
        <f>IFERROR(VALUE(CRM_MAGDY!K1045),0)</f>
        <v>0</v>
      </c>
      <c r="F1045" s="57">
        <f>IFERROR(IF(CRM_MAGDY!L1045&gt;1,CRM_MAGDY!L1045/100,CRM_MAGDY!L1045),0)</f>
        <v>0</v>
      </c>
      <c r="G1045" s="57">
        <f>CRM_MAGDY!N1045</f>
        <v>0</v>
      </c>
      <c r="H1045" s="57">
        <f>CRM_MAGDY!M1045</f>
        <v>0</v>
      </c>
      <c r="I1045" s="57">
        <f t="shared" si="32"/>
        <v>0</v>
      </c>
      <c r="J1045" s="57" t="str">
        <f t="shared" si="33"/>
        <v>POTENCJAŁ</v>
      </c>
    </row>
    <row r="1046" spans="1:10" x14ac:dyDescent="0.25">
      <c r="A1046" s="57" t="str">
        <f>IF(CRM_MAGDY!H1046="","","CRM-"&amp;TEXT(ROW()-4,"0000"))</f>
        <v>CRM-1042</v>
      </c>
      <c r="B1046" s="57">
        <f>CRM_MAGDY!E1046</f>
        <v>0</v>
      </c>
      <c r="C1046" s="57">
        <f>CRM_MAGDY!H1046</f>
        <v>6482</v>
      </c>
      <c r="D1046" s="57">
        <f>CRM_MAGDY!I1046</f>
        <v>0</v>
      </c>
      <c r="E1046" s="57">
        <f>IFERROR(VALUE(CRM_MAGDY!K1046),0)</f>
        <v>0</v>
      </c>
      <c r="F1046" s="57">
        <f>IFERROR(IF(CRM_MAGDY!L1046&gt;1,CRM_MAGDY!L1046/100,CRM_MAGDY!L1046),0)</f>
        <v>0</v>
      </c>
      <c r="G1046" s="57">
        <f>CRM_MAGDY!N1046</f>
        <v>0</v>
      </c>
      <c r="H1046" s="57">
        <f>CRM_MAGDY!M1046</f>
        <v>0</v>
      </c>
      <c r="I1046" s="57">
        <f t="shared" si="32"/>
        <v>0</v>
      </c>
      <c r="J1046" s="57" t="str">
        <f t="shared" si="33"/>
        <v>POTENCJAŁ</v>
      </c>
    </row>
    <row r="1047" spans="1:10" x14ac:dyDescent="0.25">
      <c r="A1047" s="57" t="str">
        <f>IF(CRM_MAGDY!H1047="","","CRM-"&amp;TEXT(ROW()-4,"0000"))</f>
        <v>CRM-1043</v>
      </c>
      <c r="B1047" s="57">
        <f>CRM_MAGDY!E1047</f>
        <v>0</v>
      </c>
      <c r="C1047" s="57">
        <f>CRM_MAGDY!H1047</f>
        <v>6483</v>
      </c>
      <c r="D1047" s="57">
        <f>CRM_MAGDY!I1047</f>
        <v>0</v>
      </c>
      <c r="E1047" s="57">
        <f>IFERROR(VALUE(CRM_MAGDY!K1047),0)</f>
        <v>0</v>
      </c>
      <c r="F1047" s="57">
        <f>IFERROR(IF(CRM_MAGDY!L1047&gt;1,CRM_MAGDY!L1047/100,CRM_MAGDY!L1047),0)</f>
        <v>0</v>
      </c>
      <c r="G1047" s="57">
        <f>CRM_MAGDY!N1047</f>
        <v>0</v>
      </c>
      <c r="H1047" s="57">
        <f>CRM_MAGDY!M1047</f>
        <v>0</v>
      </c>
      <c r="I1047" s="57">
        <f t="shared" si="32"/>
        <v>0</v>
      </c>
      <c r="J1047" s="57" t="str">
        <f t="shared" si="33"/>
        <v>POTENCJAŁ</v>
      </c>
    </row>
    <row r="1048" spans="1:10" x14ac:dyDescent="0.25">
      <c r="A1048" s="57" t="str">
        <f>IF(CRM_MAGDY!H1048="","","CRM-"&amp;TEXT(ROW()-4,"0000"))</f>
        <v>CRM-1044</v>
      </c>
      <c r="B1048" s="57">
        <f>CRM_MAGDY!E1048</f>
        <v>0</v>
      </c>
      <c r="C1048" s="57">
        <f>CRM_MAGDY!H1048</f>
        <v>6484</v>
      </c>
      <c r="D1048" s="57">
        <f>CRM_MAGDY!I1048</f>
        <v>0</v>
      </c>
      <c r="E1048" s="57">
        <f>IFERROR(VALUE(CRM_MAGDY!K1048),0)</f>
        <v>0</v>
      </c>
      <c r="F1048" s="57">
        <f>IFERROR(IF(CRM_MAGDY!L1048&gt;1,CRM_MAGDY!L1048/100,CRM_MAGDY!L1048),0)</f>
        <v>0</v>
      </c>
      <c r="G1048" s="57">
        <f>CRM_MAGDY!N1048</f>
        <v>0</v>
      </c>
      <c r="H1048" s="57">
        <f>CRM_MAGDY!M1048</f>
        <v>0</v>
      </c>
      <c r="I1048" s="57">
        <f t="shared" si="32"/>
        <v>0</v>
      </c>
      <c r="J1048" s="57" t="str">
        <f t="shared" si="33"/>
        <v>POTENCJAŁ</v>
      </c>
    </row>
    <row r="1049" spans="1:10" x14ac:dyDescent="0.25">
      <c r="A1049" s="57" t="str">
        <f>IF(CRM_MAGDY!H1049="","","CRM-"&amp;TEXT(ROW()-4,"0000"))</f>
        <v>CRM-1045</v>
      </c>
      <c r="B1049" s="57">
        <f>CRM_MAGDY!E1049</f>
        <v>0</v>
      </c>
      <c r="C1049" s="57">
        <f>CRM_MAGDY!H1049</f>
        <v>6485</v>
      </c>
      <c r="D1049" s="57">
        <f>CRM_MAGDY!I1049</f>
        <v>0</v>
      </c>
      <c r="E1049" s="57">
        <f>IFERROR(VALUE(CRM_MAGDY!K1049),0)</f>
        <v>0</v>
      </c>
      <c r="F1049" s="57">
        <f>IFERROR(IF(CRM_MAGDY!L1049&gt;1,CRM_MAGDY!L1049/100,CRM_MAGDY!L1049),0)</f>
        <v>0</v>
      </c>
      <c r="G1049" s="57">
        <f>CRM_MAGDY!N1049</f>
        <v>0</v>
      </c>
      <c r="H1049" s="57">
        <f>CRM_MAGDY!M1049</f>
        <v>0</v>
      </c>
      <c r="I1049" s="57">
        <f t="shared" si="32"/>
        <v>0</v>
      </c>
      <c r="J1049" s="57" t="str">
        <f t="shared" si="33"/>
        <v>POTENCJAŁ</v>
      </c>
    </row>
    <row r="1050" spans="1:10" x14ac:dyDescent="0.25">
      <c r="A1050" s="57" t="str">
        <f>IF(CRM_MAGDY!H1050="","","CRM-"&amp;TEXT(ROW()-4,"0000"))</f>
        <v>CRM-1046</v>
      </c>
      <c r="B1050" s="57">
        <f>CRM_MAGDY!E1050</f>
        <v>0</v>
      </c>
      <c r="C1050" s="57">
        <f>CRM_MAGDY!H1050</f>
        <v>6486</v>
      </c>
      <c r="D1050" s="57">
        <f>CRM_MAGDY!I1050</f>
        <v>0</v>
      </c>
      <c r="E1050" s="57">
        <f>IFERROR(VALUE(CRM_MAGDY!K1050),0)</f>
        <v>0</v>
      </c>
      <c r="F1050" s="57">
        <f>IFERROR(IF(CRM_MAGDY!L1050&gt;1,CRM_MAGDY!L1050/100,CRM_MAGDY!L1050),0)</f>
        <v>0</v>
      </c>
      <c r="G1050" s="57">
        <f>CRM_MAGDY!N1050</f>
        <v>0</v>
      </c>
      <c r="H1050" s="57">
        <f>CRM_MAGDY!M1050</f>
        <v>0</v>
      </c>
      <c r="I1050" s="57">
        <f t="shared" si="32"/>
        <v>0</v>
      </c>
      <c r="J1050" s="57" t="str">
        <f t="shared" si="33"/>
        <v>POTENCJAŁ</v>
      </c>
    </row>
    <row r="1051" spans="1:10" x14ac:dyDescent="0.25">
      <c r="A1051" s="57" t="str">
        <f>IF(CRM_MAGDY!H1051="","","CRM-"&amp;TEXT(ROW()-4,"0000"))</f>
        <v>CRM-1047</v>
      </c>
      <c r="B1051" s="57">
        <f>CRM_MAGDY!E1051</f>
        <v>0</v>
      </c>
      <c r="C1051" s="57">
        <f>CRM_MAGDY!H1051</f>
        <v>6487</v>
      </c>
      <c r="D1051" s="57">
        <f>CRM_MAGDY!I1051</f>
        <v>0</v>
      </c>
      <c r="E1051" s="57">
        <f>IFERROR(VALUE(CRM_MAGDY!K1051),0)</f>
        <v>0</v>
      </c>
      <c r="F1051" s="57">
        <f>IFERROR(IF(CRM_MAGDY!L1051&gt;1,CRM_MAGDY!L1051/100,CRM_MAGDY!L1051),0)</f>
        <v>0</v>
      </c>
      <c r="G1051" s="57">
        <f>CRM_MAGDY!N1051</f>
        <v>0</v>
      </c>
      <c r="H1051" s="57">
        <f>CRM_MAGDY!M1051</f>
        <v>0</v>
      </c>
      <c r="I1051" s="57">
        <f t="shared" si="32"/>
        <v>0</v>
      </c>
      <c r="J1051" s="57" t="str">
        <f t="shared" si="33"/>
        <v>POTENCJAŁ</v>
      </c>
    </row>
    <row r="1052" spans="1:10" x14ac:dyDescent="0.25">
      <c r="A1052" s="57" t="str">
        <f>IF(CRM_MAGDY!H1052="","","CRM-"&amp;TEXT(ROW()-4,"0000"))</f>
        <v>CRM-1048</v>
      </c>
      <c r="B1052" s="57">
        <f>CRM_MAGDY!E1052</f>
        <v>0</v>
      </c>
      <c r="C1052" s="57">
        <f>CRM_MAGDY!H1052</f>
        <v>6488</v>
      </c>
      <c r="D1052" s="57">
        <f>CRM_MAGDY!I1052</f>
        <v>0</v>
      </c>
      <c r="E1052" s="57">
        <f>IFERROR(VALUE(CRM_MAGDY!K1052),0)</f>
        <v>0</v>
      </c>
      <c r="F1052" s="57">
        <f>IFERROR(IF(CRM_MAGDY!L1052&gt;1,CRM_MAGDY!L1052/100,CRM_MAGDY!L1052),0)</f>
        <v>0</v>
      </c>
      <c r="G1052" s="57">
        <f>CRM_MAGDY!N1052</f>
        <v>0</v>
      </c>
      <c r="H1052" s="57">
        <f>CRM_MAGDY!M1052</f>
        <v>0</v>
      </c>
      <c r="I1052" s="57">
        <f t="shared" si="32"/>
        <v>0</v>
      </c>
      <c r="J1052" s="57" t="str">
        <f t="shared" si="33"/>
        <v>POTENCJAŁ</v>
      </c>
    </row>
    <row r="1053" spans="1:10" x14ac:dyDescent="0.25">
      <c r="A1053" s="57" t="str">
        <f>IF(CRM_MAGDY!H1053="","","CRM-"&amp;TEXT(ROW()-4,"0000"))</f>
        <v>CRM-1049</v>
      </c>
      <c r="B1053" s="57">
        <f>CRM_MAGDY!E1053</f>
        <v>0</v>
      </c>
      <c r="C1053" s="57">
        <f>CRM_MAGDY!H1053</f>
        <v>6489</v>
      </c>
      <c r="D1053" s="57">
        <f>CRM_MAGDY!I1053</f>
        <v>0</v>
      </c>
      <c r="E1053" s="57">
        <f>IFERROR(VALUE(CRM_MAGDY!K1053),0)</f>
        <v>0</v>
      </c>
      <c r="F1053" s="57">
        <f>IFERROR(IF(CRM_MAGDY!L1053&gt;1,CRM_MAGDY!L1053/100,CRM_MAGDY!L1053),0)</f>
        <v>0</v>
      </c>
      <c r="G1053" s="57">
        <f>CRM_MAGDY!N1053</f>
        <v>0</v>
      </c>
      <c r="H1053" s="57">
        <f>CRM_MAGDY!M1053</f>
        <v>0</v>
      </c>
      <c r="I1053" s="57">
        <f t="shared" si="32"/>
        <v>0</v>
      </c>
      <c r="J1053" s="57" t="str">
        <f t="shared" si="33"/>
        <v>POTENCJAŁ</v>
      </c>
    </row>
    <row r="1054" spans="1:10" x14ac:dyDescent="0.25">
      <c r="A1054" s="57" t="str">
        <f>IF(CRM_MAGDY!H1054="","","CRM-"&amp;TEXT(ROW()-4,"0000"))</f>
        <v>CRM-1050</v>
      </c>
      <c r="B1054" s="57">
        <f>CRM_MAGDY!E1054</f>
        <v>0</v>
      </c>
      <c r="C1054" s="57">
        <f>CRM_MAGDY!H1054</f>
        <v>6490</v>
      </c>
      <c r="D1054" s="57">
        <f>CRM_MAGDY!I1054</f>
        <v>0</v>
      </c>
      <c r="E1054" s="57">
        <f>IFERROR(VALUE(CRM_MAGDY!K1054),0)</f>
        <v>0</v>
      </c>
      <c r="F1054" s="57">
        <f>IFERROR(IF(CRM_MAGDY!L1054&gt;1,CRM_MAGDY!L1054/100,CRM_MAGDY!L1054),0)</f>
        <v>0</v>
      </c>
      <c r="G1054" s="57">
        <f>CRM_MAGDY!N1054</f>
        <v>0</v>
      </c>
      <c r="H1054" s="57">
        <f>CRM_MAGDY!M1054</f>
        <v>0</v>
      </c>
      <c r="I1054" s="57">
        <f t="shared" si="32"/>
        <v>0</v>
      </c>
      <c r="J1054" s="57" t="str">
        <f t="shared" si="33"/>
        <v>POTENCJAŁ</v>
      </c>
    </row>
    <row r="1055" spans="1:10" x14ac:dyDescent="0.25">
      <c r="A1055" s="57" t="str">
        <f>IF(CRM_MAGDY!H1055="","","CRM-"&amp;TEXT(ROW()-4,"0000"))</f>
        <v>CRM-1051</v>
      </c>
      <c r="B1055" s="57">
        <f>CRM_MAGDY!E1055</f>
        <v>0</v>
      </c>
      <c r="C1055" s="57">
        <f>CRM_MAGDY!H1055</f>
        <v>6491</v>
      </c>
      <c r="D1055" s="57">
        <f>CRM_MAGDY!I1055</f>
        <v>0</v>
      </c>
      <c r="E1055" s="57">
        <f>IFERROR(VALUE(CRM_MAGDY!K1055),0)</f>
        <v>0</v>
      </c>
      <c r="F1055" s="57">
        <f>IFERROR(IF(CRM_MAGDY!L1055&gt;1,CRM_MAGDY!L1055/100,CRM_MAGDY!L1055),0)</f>
        <v>0</v>
      </c>
      <c r="G1055" s="57">
        <f>CRM_MAGDY!N1055</f>
        <v>0</v>
      </c>
      <c r="H1055" s="57">
        <f>CRM_MAGDY!M1055</f>
        <v>0</v>
      </c>
      <c r="I1055" s="57">
        <f t="shared" si="32"/>
        <v>0</v>
      </c>
      <c r="J1055" s="57" t="str">
        <f t="shared" si="33"/>
        <v>POTENCJAŁ</v>
      </c>
    </row>
    <row r="1056" spans="1:10" x14ac:dyDescent="0.25">
      <c r="A1056" s="57" t="str">
        <f>IF(CRM_MAGDY!H1056="","","CRM-"&amp;TEXT(ROW()-4,"0000"))</f>
        <v>CRM-1052</v>
      </c>
      <c r="B1056" s="57">
        <f>CRM_MAGDY!E1056</f>
        <v>0</v>
      </c>
      <c r="C1056" s="57">
        <f>CRM_MAGDY!H1056</f>
        <v>6492</v>
      </c>
      <c r="D1056" s="57">
        <f>CRM_MAGDY!I1056</f>
        <v>0</v>
      </c>
      <c r="E1056" s="57">
        <f>IFERROR(VALUE(CRM_MAGDY!K1056),0)</f>
        <v>0</v>
      </c>
      <c r="F1056" s="57">
        <f>IFERROR(IF(CRM_MAGDY!L1056&gt;1,CRM_MAGDY!L1056/100,CRM_MAGDY!L1056),0)</f>
        <v>0</v>
      </c>
      <c r="G1056" s="57">
        <f>CRM_MAGDY!N1056</f>
        <v>0</v>
      </c>
      <c r="H1056" s="57">
        <f>CRM_MAGDY!M1056</f>
        <v>0</v>
      </c>
      <c r="I1056" s="57">
        <f t="shared" si="32"/>
        <v>0</v>
      </c>
      <c r="J1056" s="57" t="str">
        <f t="shared" si="33"/>
        <v>POTENCJAŁ</v>
      </c>
    </row>
    <row r="1057" spans="1:10" x14ac:dyDescent="0.25">
      <c r="A1057" s="57" t="str">
        <f>IF(CRM_MAGDY!H1057="","","CRM-"&amp;TEXT(ROW()-4,"0000"))</f>
        <v>CRM-1053</v>
      </c>
      <c r="B1057" s="57">
        <f>CRM_MAGDY!E1057</f>
        <v>0</v>
      </c>
      <c r="C1057" s="57">
        <f>CRM_MAGDY!H1057</f>
        <v>6493</v>
      </c>
      <c r="D1057" s="57">
        <f>CRM_MAGDY!I1057</f>
        <v>0</v>
      </c>
      <c r="E1057" s="57">
        <f>IFERROR(VALUE(CRM_MAGDY!K1057),0)</f>
        <v>0</v>
      </c>
      <c r="F1057" s="57">
        <f>IFERROR(IF(CRM_MAGDY!L1057&gt;1,CRM_MAGDY!L1057/100,CRM_MAGDY!L1057),0)</f>
        <v>0</v>
      </c>
      <c r="G1057" s="57">
        <f>CRM_MAGDY!N1057</f>
        <v>0</v>
      </c>
      <c r="H1057" s="57">
        <f>CRM_MAGDY!M1057</f>
        <v>0</v>
      </c>
      <c r="I1057" s="57">
        <f t="shared" si="32"/>
        <v>0</v>
      </c>
      <c r="J1057" s="57" t="str">
        <f t="shared" si="33"/>
        <v>POTENCJAŁ</v>
      </c>
    </row>
    <row r="1058" spans="1:10" x14ac:dyDescent="0.25">
      <c r="A1058" s="57" t="str">
        <f>IF(CRM_MAGDY!H1058="","","CRM-"&amp;TEXT(ROW()-4,"0000"))</f>
        <v>CRM-1054</v>
      </c>
      <c r="B1058" s="57">
        <f>CRM_MAGDY!E1058</f>
        <v>0</v>
      </c>
      <c r="C1058" s="57">
        <f>CRM_MAGDY!H1058</f>
        <v>6494</v>
      </c>
      <c r="D1058" s="57">
        <f>CRM_MAGDY!I1058</f>
        <v>0</v>
      </c>
      <c r="E1058" s="57">
        <f>IFERROR(VALUE(CRM_MAGDY!K1058),0)</f>
        <v>0</v>
      </c>
      <c r="F1058" s="57">
        <f>IFERROR(IF(CRM_MAGDY!L1058&gt;1,CRM_MAGDY!L1058/100,CRM_MAGDY!L1058),0)</f>
        <v>0</v>
      </c>
      <c r="G1058" s="57">
        <f>CRM_MAGDY!N1058</f>
        <v>0</v>
      </c>
      <c r="H1058" s="57">
        <f>CRM_MAGDY!M1058</f>
        <v>0</v>
      </c>
      <c r="I1058" s="57">
        <f t="shared" si="32"/>
        <v>0</v>
      </c>
      <c r="J1058" s="57" t="str">
        <f t="shared" si="33"/>
        <v>POTENCJAŁ</v>
      </c>
    </row>
    <row r="1059" spans="1:10" x14ac:dyDescent="0.25">
      <c r="A1059" s="57" t="str">
        <f>IF(CRM_MAGDY!H1059="","","CRM-"&amp;TEXT(ROW()-4,"0000"))</f>
        <v>CRM-1055</v>
      </c>
      <c r="B1059" s="57">
        <f>CRM_MAGDY!E1059</f>
        <v>0</v>
      </c>
      <c r="C1059" s="57">
        <f>CRM_MAGDY!H1059</f>
        <v>6495</v>
      </c>
      <c r="D1059" s="57">
        <f>CRM_MAGDY!I1059</f>
        <v>0</v>
      </c>
      <c r="E1059" s="57">
        <f>IFERROR(VALUE(CRM_MAGDY!K1059),0)</f>
        <v>0</v>
      </c>
      <c r="F1059" s="57">
        <f>IFERROR(IF(CRM_MAGDY!L1059&gt;1,CRM_MAGDY!L1059/100,CRM_MAGDY!L1059),0)</f>
        <v>0</v>
      </c>
      <c r="G1059" s="57">
        <f>CRM_MAGDY!N1059</f>
        <v>0</v>
      </c>
      <c r="H1059" s="57">
        <f>CRM_MAGDY!M1059</f>
        <v>0</v>
      </c>
      <c r="I1059" s="57">
        <f t="shared" si="32"/>
        <v>0</v>
      </c>
      <c r="J1059" s="57" t="str">
        <f t="shared" si="33"/>
        <v>POTENCJAŁ</v>
      </c>
    </row>
    <row r="1060" spans="1:10" ht="30" x14ac:dyDescent="0.25">
      <c r="A1060" s="57" t="str">
        <f>IF(CRM_MAGDY!H1060="","","CRM-"&amp;TEXT(ROW()-4,"0000"))</f>
        <v>CRM-1056</v>
      </c>
      <c r="B1060" s="57" t="str">
        <f>CRM_MAGDY!E1060</f>
        <v>Bjorn van Nieuwkerk</v>
      </c>
      <c r="C1060" s="57">
        <f>CRM_MAGDY!H1060</f>
        <v>5314</v>
      </c>
      <c r="D1060" s="57" t="str">
        <f>CRM_MAGDY!I1060</f>
        <v>Magda B</v>
      </c>
      <c r="E1060" s="57">
        <f>IFERROR(VALUE(CRM_MAGDY!K1060),0)</f>
        <v>0</v>
      </c>
      <c r="F1060" s="57">
        <f>IFERROR(IF(CRM_MAGDY!L1060&gt;1,CRM_MAGDY!L1060/100,CRM_MAGDY!L1060),0)</f>
        <v>0</v>
      </c>
      <c r="G1060" s="57">
        <f>CRM_MAGDY!N1060</f>
        <v>0</v>
      </c>
      <c r="H1060" s="57">
        <f>CRM_MAGDY!M1060</f>
        <v>0</v>
      </c>
      <c r="I1060" s="57">
        <f t="shared" si="32"/>
        <v>0</v>
      </c>
      <c r="J1060" s="57" t="str">
        <f t="shared" si="33"/>
        <v>POTENCJAŁ</v>
      </c>
    </row>
    <row r="1061" spans="1:10" ht="30" x14ac:dyDescent="0.25">
      <c r="A1061" s="57" t="str">
        <f>IF(CRM_MAGDY!H1061="","","CRM-"&amp;TEXT(ROW()-4,"0000"))</f>
        <v>CRM-1057</v>
      </c>
      <c r="B1061" s="57" t="str">
        <f>CRM_MAGDY!E1061</f>
        <v>Jarosław Malinowski</v>
      </c>
      <c r="C1061" s="57">
        <f>CRM_MAGDY!H1061</f>
        <v>5315</v>
      </c>
      <c r="D1061" s="57" t="str">
        <f>CRM_MAGDY!I1061</f>
        <v>Magda K</v>
      </c>
      <c r="E1061" s="57">
        <f>IFERROR(VALUE(CRM_MAGDY!K1061),0)</f>
        <v>0</v>
      </c>
      <c r="F1061" s="57">
        <f>IFERROR(IF(CRM_MAGDY!L1061&gt;1,CRM_MAGDY!L1061/100,CRM_MAGDY!L1061),0)</f>
        <v>0</v>
      </c>
      <c r="G1061" s="57">
        <f>CRM_MAGDY!N1061</f>
        <v>0</v>
      </c>
      <c r="H1061" s="57">
        <f>CRM_MAGDY!M1061</f>
        <v>0</v>
      </c>
      <c r="I1061" s="57">
        <f t="shared" si="32"/>
        <v>0</v>
      </c>
      <c r="J1061" s="57" t="str">
        <f t="shared" si="33"/>
        <v>POTENCJAŁ</v>
      </c>
    </row>
    <row r="1062" spans="1:10" x14ac:dyDescent="0.25">
      <c r="A1062" s="57" t="str">
        <f>IF(CRM_MAGDY!H1062="","","CRM-"&amp;TEXT(ROW()-4,"0000"))</f>
        <v>CRM-1058</v>
      </c>
      <c r="B1062" s="57">
        <f>CRM_MAGDY!E1062</f>
        <v>0</v>
      </c>
      <c r="C1062" s="57">
        <f>CRM_MAGDY!H1062</f>
        <v>5316</v>
      </c>
      <c r="D1062" s="57">
        <f>CRM_MAGDY!I1062</f>
        <v>0</v>
      </c>
      <c r="E1062" s="57">
        <f>IFERROR(VALUE(CRM_MAGDY!K1062),0)</f>
        <v>0</v>
      </c>
      <c r="F1062" s="57">
        <f>IFERROR(IF(CRM_MAGDY!L1062&gt;1,CRM_MAGDY!L1062/100,CRM_MAGDY!L1062),0)</f>
        <v>0</v>
      </c>
      <c r="G1062" s="57">
        <f>CRM_MAGDY!N1062</f>
        <v>0</v>
      </c>
      <c r="H1062" s="57">
        <f>CRM_MAGDY!M1062</f>
        <v>0</v>
      </c>
      <c r="I1062" s="57">
        <f t="shared" si="32"/>
        <v>0</v>
      </c>
      <c r="J1062" s="57" t="str">
        <f t="shared" si="33"/>
        <v>POTENCJAŁ</v>
      </c>
    </row>
    <row r="1063" spans="1:10" x14ac:dyDescent="0.25">
      <c r="A1063" s="57" t="str">
        <f>IF(CRM_MAGDY!H1063="","","CRM-"&amp;TEXT(ROW()-4,"0000"))</f>
        <v>CRM-1059</v>
      </c>
      <c r="B1063" s="57">
        <f>CRM_MAGDY!E1063</f>
        <v>0</v>
      </c>
      <c r="C1063" s="57">
        <f>CRM_MAGDY!H1063</f>
        <v>5317</v>
      </c>
      <c r="D1063" s="57">
        <f>CRM_MAGDY!I1063</f>
        <v>0</v>
      </c>
      <c r="E1063" s="57">
        <f>IFERROR(VALUE(CRM_MAGDY!K1063),0)</f>
        <v>0</v>
      </c>
      <c r="F1063" s="57">
        <f>IFERROR(IF(CRM_MAGDY!L1063&gt;1,CRM_MAGDY!L1063/100,CRM_MAGDY!L1063),0)</f>
        <v>0</v>
      </c>
      <c r="G1063" s="57">
        <f>CRM_MAGDY!N1063</f>
        <v>0</v>
      </c>
      <c r="H1063" s="57">
        <f>CRM_MAGDY!M1063</f>
        <v>0</v>
      </c>
      <c r="I1063" s="57">
        <f t="shared" si="32"/>
        <v>0</v>
      </c>
      <c r="J1063" s="57" t="str">
        <f t="shared" si="33"/>
        <v>POTENCJAŁ</v>
      </c>
    </row>
    <row r="1064" spans="1:10" x14ac:dyDescent="0.25">
      <c r="A1064" s="57" t="str">
        <f>IF(CRM_MAGDY!H1064="","","CRM-"&amp;TEXT(ROW()-4,"0000"))</f>
        <v>CRM-1060</v>
      </c>
      <c r="B1064" s="57">
        <f>CRM_MAGDY!E1064</f>
        <v>0</v>
      </c>
      <c r="C1064" s="57">
        <f>CRM_MAGDY!H1064</f>
        <v>5318</v>
      </c>
      <c r="D1064" s="57">
        <f>CRM_MAGDY!I1064</f>
        <v>0</v>
      </c>
      <c r="E1064" s="57">
        <f>IFERROR(VALUE(CRM_MAGDY!K1064),0)</f>
        <v>0</v>
      </c>
      <c r="F1064" s="57">
        <f>IFERROR(IF(CRM_MAGDY!L1064&gt;1,CRM_MAGDY!L1064/100,CRM_MAGDY!L1064),0)</f>
        <v>0</v>
      </c>
      <c r="G1064" s="57">
        <f>CRM_MAGDY!N1064</f>
        <v>0</v>
      </c>
      <c r="H1064" s="57">
        <f>CRM_MAGDY!M1064</f>
        <v>0</v>
      </c>
      <c r="I1064" s="57">
        <f t="shared" si="32"/>
        <v>0</v>
      </c>
      <c r="J1064" s="57" t="str">
        <f t="shared" si="33"/>
        <v>POTENCJAŁ</v>
      </c>
    </row>
    <row r="1065" spans="1:10" x14ac:dyDescent="0.25">
      <c r="A1065" s="57" t="str">
        <f>IF(CRM_MAGDY!H1065="","","CRM-"&amp;TEXT(ROW()-4,"0000"))</f>
        <v>CRM-1061</v>
      </c>
      <c r="B1065" s="57">
        <f>CRM_MAGDY!E1065</f>
        <v>0</v>
      </c>
      <c r="C1065" s="57">
        <f>CRM_MAGDY!H1065</f>
        <v>5319</v>
      </c>
      <c r="D1065" s="57">
        <f>CRM_MAGDY!I1065</f>
        <v>0</v>
      </c>
      <c r="E1065" s="57">
        <f>IFERROR(VALUE(CRM_MAGDY!K1065),0)</f>
        <v>0</v>
      </c>
      <c r="F1065" s="57">
        <f>IFERROR(IF(CRM_MAGDY!L1065&gt;1,CRM_MAGDY!L1065/100,CRM_MAGDY!L1065),0)</f>
        <v>0</v>
      </c>
      <c r="G1065" s="57">
        <f>CRM_MAGDY!N1065</f>
        <v>0</v>
      </c>
      <c r="H1065" s="57">
        <f>CRM_MAGDY!M1065</f>
        <v>0</v>
      </c>
      <c r="I1065" s="57">
        <f t="shared" si="32"/>
        <v>0</v>
      </c>
      <c r="J1065" s="57" t="str">
        <f t="shared" si="33"/>
        <v>POTENCJAŁ</v>
      </c>
    </row>
    <row r="1066" spans="1:10" x14ac:dyDescent="0.25">
      <c r="A1066" s="57" t="str">
        <f>IF(CRM_MAGDY!H1066="","","CRM-"&amp;TEXT(ROW()-4,"0000"))</f>
        <v>CRM-1062</v>
      </c>
      <c r="B1066" s="57">
        <f>CRM_MAGDY!E1066</f>
        <v>0</v>
      </c>
      <c r="C1066" s="57">
        <f>CRM_MAGDY!H1066</f>
        <v>5320</v>
      </c>
      <c r="D1066" s="57">
        <f>CRM_MAGDY!I1066</f>
        <v>0</v>
      </c>
      <c r="E1066" s="57">
        <f>IFERROR(VALUE(CRM_MAGDY!K1066),0)</f>
        <v>0</v>
      </c>
      <c r="F1066" s="57">
        <f>IFERROR(IF(CRM_MAGDY!L1066&gt;1,CRM_MAGDY!L1066/100,CRM_MAGDY!L1066),0)</f>
        <v>0</v>
      </c>
      <c r="G1066" s="57">
        <f>CRM_MAGDY!N1066</f>
        <v>0</v>
      </c>
      <c r="H1066" s="57">
        <f>CRM_MAGDY!M1066</f>
        <v>0</v>
      </c>
      <c r="I1066" s="57">
        <f t="shared" si="32"/>
        <v>0</v>
      </c>
      <c r="J1066" s="57" t="str">
        <f t="shared" si="33"/>
        <v>POTENCJAŁ</v>
      </c>
    </row>
    <row r="1067" spans="1:10" x14ac:dyDescent="0.25">
      <c r="A1067" s="57" t="str">
        <f>IF(CRM_MAGDY!H1067="","","CRM-"&amp;TEXT(ROW()-4,"0000"))</f>
        <v>CRM-1063</v>
      </c>
      <c r="B1067" s="57">
        <f>CRM_MAGDY!E1067</f>
        <v>0</v>
      </c>
      <c r="C1067" s="57">
        <f>CRM_MAGDY!H1067</f>
        <v>5321</v>
      </c>
      <c r="D1067" s="57">
        <f>CRM_MAGDY!I1067</f>
        <v>0</v>
      </c>
      <c r="E1067" s="57">
        <f>IFERROR(VALUE(CRM_MAGDY!K1067),0)</f>
        <v>0</v>
      </c>
      <c r="F1067" s="57">
        <f>IFERROR(IF(CRM_MAGDY!L1067&gt;1,CRM_MAGDY!L1067/100,CRM_MAGDY!L1067),0)</f>
        <v>0</v>
      </c>
      <c r="G1067" s="57">
        <f>CRM_MAGDY!N1067</f>
        <v>0</v>
      </c>
      <c r="H1067" s="57">
        <f>CRM_MAGDY!M1067</f>
        <v>0</v>
      </c>
      <c r="I1067" s="57">
        <f t="shared" si="32"/>
        <v>0</v>
      </c>
      <c r="J1067" s="57" t="str">
        <f t="shared" si="33"/>
        <v>POTENCJAŁ</v>
      </c>
    </row>
    <row r="1068" spans="1:10" x14ac:dyDescent="0.25">
      <c r="A1068" s="57" t="str">
        <f>IF(CRM_MAGDY!H1068="","","CRM-"&amp;TEXT(ROW()-4,"0000"))</f>
        <v>CRM-1064</v>
      </c>
      <c r="B1068" s="57">
        <f>CRM_MAGDY!E1068</f>
        <v>0</v>
      </c>
      <c r="C1068" s="57">
        <f>CRM_MAGDY!H1068</f>
        <v>5322</v>
      </c>
      <c r="D1068" s="57">
        <f>CRM_MAGDY!I1068</f>
        <v>0</v>
      </c>
      <c r="E1068" s="57">
        <f>IFERROR(VALUE(CRM_MAGDY!K1068),0)</f>
        <v>0</v>
      </c>
      <c r="F1068" s="57">
        <f>IFERROR(IF(CRM_MAGDY!L1068&gt;1,CRM_MAGDY!L1068/100,CRM_MAGDY!L1068),0)</f>
        <v>0</v>
      </c>
      <c r="G1068" s="57">
        <f>CRM_MAGDY!N1068</f>
        <v>0</v>
      </c>
      <c r="H1068" s="57">
        <f>CRM_MAGDY!M1068</f>
        <v>0</v>
      </c>
      <c r="I1068" s="57">
        <f t="shared" si="32"/>
        <v>0</v>
      </c>
      <c r="J1068" s="57" t="str">
        <f t="shared" si="33"/>
        <v>POTENCJAŁ</v>
      </c>
    </row>
    <row r="1069" spans="1:10" x14ac:dyDescent="0.25">
      <c r="A1069" s="57" t="str">
        <f>IF(CRM_MAGDY!H1069="","","CRM-"&amp;TEXT(ROW()-4,"0000"))</f>
        <v>CRM-1065</v>
      </c>
      <c r="B1069" s="57">
        <f>CRM_MAGDY!E1069</f>
        <v>0</v>
      </c>
      <c r="C1069" s="57">
        <f>CRM_MAGDY!H1069</f>
        <v>5323</v>
      </c>
      <c r="D1069" s="57">
        <f>CRM_MAGDY!I1069</f>
        <v>0</v>
      </c>
      <c r="E1069" s="57">
        <f>IFERROR(VALUE(CRM_MAGDY!K1069),0)</f>
        <v>0</v>
      </c>
      <c r="F1069" s="57">
        <f>IFERROR(IF(CRM_MAGDY!L1069&gt;1,CRM_MAGDY!L1069/100,CRM_MAGDY!L1069),0)</f>
        <v>0</v>
      </c>
      <c r="G1069" s="57">
        <f>CRM_MAGDY!N1069</f>
        <v>0</v>
      </c>
      <c r="H1069" s="57">
        <f>CRM_MAGDY!M1069</f>
        <v>0</v>
      </c>
      <c r="I1069" s="57">
        <f t="shared" si="32"/>
        <v>0</v>
      </c>
      <c r="J1069" s="57" t="str">
        <f t="shared" si="33"/>
        <v>POTENCJAŁ</v>
      </c>
    </row>
    <row r="1070" spans="1:10" x14ac:dyDescent="0.25">
      <c r="A1070" s="57" t="str">
        <f>IF(CRM_MAGDY!H1070="","","CRM-"&amp;TEXT(ROW()-4,"0000"))</f>
        <v>CRM-1066</v>
      </c>
      <c r="B1070" s="57">
        <f>CRM_MAGDY!E1070</f>
        <v>0</v>
      </c>
      <c r="C1070" s="57">
        <f>CRM_MAGDY!H1070</f>
        <v>5324</v>
      </c>
      <c r="D1070" s="57">
        <f>CRM_MAGDY!I1070</f>
        <v>0</v>
      </c>
      <c r="E1070" s="57">
        <f>IFERROR(VALUE(CRM_MAGDY!K1070),0)</f>
        <v>0</v>
      </c>
      <c r="F1070" s="57">
        <f>IFERROR(IF(CRM_MAGDY!L1070&gt;1,CRM_MAGDY!L1070/100,CRM_MAGDY!L1070),0)</f>
        <v>0</v>
      </c>
      <c r="G1070" s="57">
        <f>CRM_MAGDY!N1070</f>
        <v>0</v>
      </c>
      <c r="H1070" s="57">
        <f>CRM_MAGDY!M1070</f>
        <v>0</v>
      </c>
      <c r="I1070" s="57">
        <f t="shared" si="32"/>
        <v>0</v>
      </c>
      <c r="J1070" s="57" t="str">
        <f t="shared" si="33"/>
        <v>POTENCJAŁ</v>
      </c>
    </row>
    <row r="1071" spans="1:10" x14ac:dyDescent="0.25">
      <c r="A1071" s="57" t="str">
        <f>IF(CRM_MAGDY!H1071="","","CRM-"&amp;TEXT(ROW()-4,"0000"))</f>
        <v>CRM-1067</v>
      </c>
      <c r="B1071" s="57">
        <f>CRM_MAGDY!E1071</f>
        <v>0</v>
      </c>
      <c r="C1071" s="57">
        <f>CRM_MAGDY!H1071</f>
        <v>5325</v>
      </c>
      <c r="D1071" s="57">
        <f>CRM_MAGDY!I1071</f>
        <v>0</v>
      </c>
      <c r="E1071" s="57">
        <f>IFERROR(VALUE(CRM_MAGDY!K1071),0)</f>
        <v>0</v>
      </c>
      <c r="F1071" s="57">
        <f>IFERROR(IF(CRM_MAGDY!L1071&gt;1,CRM_MAGDY!L1071/100,CRM_MAGDY!L1071),0)</f>
        <v>0</v>
      </c>
      <c r="G1071" s="57">
        <f>CRM_MAGDY!N1071</f>
        <v>0</v>
      </c>
      <c r="H1071" s="57">
        <f>CRM_MAGDY!M1071</f>
        <v>0</v>
      </c>
      <c r="I1071" s="57">
        <f t="shared" si="32"/>
        <v>0</v>
      </c>
      <c r="J1071" s="57" t="str">
        <f t="shared" si="33"/>
        <v>POTENCJAŁ</v>
      </c>
    </row>
    <row r="1072" spans="1:10" x14ac:dyDescent="0.25">
      <c r="A1072" s="57" t="str">
        <f>IF(CRM_MAGDY!H1072="","","CRM-"&amp;TEXT(ROW()-4,"0000"))</f>
        <v/>
      </c>
      <c r="B1072" s="57">
        <f>CRM_MAGDY!E1072</f>
        <v>0</v>
      </c>
      <c r="C1072" s="57">
        <f>CRM_MAGDY!H1072</f>
        <v>0</v>
      </c>
      <c r="D1072" s="57">
        <f>CRM_MAGDY!I1072</f>
        <v>0</v>
      </c>
      <c r="E1072" s="57">
        <f>IFERROR(VALUE(CRM_MAGDY!K1072),0)</f>
        <v>0</v>
      </c>
      <c r="F1072" s="57">
        <f>IFERROR(IF(CRM_MAGDY!L1072&gt;1,CRM_MAGDY!L1072/100,CRM_MAGDY!L1072),0)</f>
        <v>0</v>
      </c>
      <c r="G1072" s="57">
        <f>CRM_MAGDY!N1072</f>
        <v>0</v>
      </c>
      <c r="H1072" s="57">
        <f>CRM_MAGDY!M1072</f>
        <v>0</v>
      </c>
      <c r="I1072" s="57">
        <f t="shared" si="32"/>
        <v>0</v>
      </c>
      <c r="J1072" s="57" t="str">
        <f t="shared" si="33"/>
        <v>POTENCJAŁ</v>
      </c>
    </row>
    <row r="1073" spans="1:10" x14ac:dyDescent="0.25">
      <c r="A1073" s="57" t="str">
        <f>IF(CRM_MAGDY!H1073="","","CRM-"&amp;TEXT(ROW()-4,"0000"))</f>
        <v/>
      </c>
      <c r="B1073" s="57">
        <f>CRM_MAGDY!E1073</f>
        <v>0</v>
      </c>
      <c r="C1073" s="57">
        <f>CRM_MAGDY!H1073</f>
        <v>0</v>
      </c>
      <c r="D1073" s="57">
        <f>CRM_MAGDY!I1073</f>
        <v>0</v>
      </c>
      <c r="E1073" s="57">
        <f>IFERROR(VALUE(CRM_MAGDY!K1073),0)</f>
        <v>0</v>
      </c>
      <c r="F1073" s="57">
        <f>IFERROR(IF(CRM_MAGDY!L1073&gt;1,CRM_MAGDY!L1073/100,CRM_MAGDY!L1073),0)</f>
        <v>0</v>
      </c>
      <c r="G1073" s="57">
        <f>CRM_MAGDY!N1073</f>
        <v>0</v>
      </c>
      <c r="H1073" s="57">
        <f>CRM_MAGDY!M1073</f>
        <v>0</v>
      </c>
      <c r="I1073" s="57">
        <f t="shared" si="32"/>
        <v>0</v>
      </c>
      <c r="J1073" s="57" t="str">
        <f t="shared" si="33"/>
        <v>POTENCJAŁ</v>
      </c>
    </row>
    <row r="1074" spans="1:10" x14ac:dyDescent="0.25">
      <c r="A1074" s="57" t="str">
        <f>IF(CRM_MAGDY!H1074="","","CRM-"&amp;TEXT(ROW()-4,"0000"))</f>
        <v/>
      </c>
      <c r="B1074" s="57">
        <f>CRM_MAGDY!E1074</f>
        <v>0</v>
      </c>
      <c r="C1074" s="57">
        <f>CRM_MAGDY!H1074</f>
        <v>0</v>
      </c>
      <c r="D1074" s="57">
        <f>CRM_MAGDY!I1074</f>
        <v>0</v>
      </c>
      <c r="E1074" s="57">
        <f>IFERROR(VALUE(CRM_MAGDY!K1074),0)</f>
        <v>0</v>
      </c>
      <c r="F1074" s="57">
        <f>IFERROR(IF(CRM_MAGDY!L1074&gt;1,CRM_MAGDY!L1074/100,CRM_MAGDY!L1074),0)</f>
        <v>0</v>
      </c>
      <c r="G1074" s="57">
        <f>CRM_MAGDY!N1074</f>
        <v>0</v>
      </c>
      <c r="H1074" s="57">
        <f>CRM_MAGDY!M1074</f>
        <v>0</v>
      </c>
      <c r="I1074" s="57">
        <f t="shared" si="32"/>
        <v>0</v>
      </c>
      <c r="J1074" s="57" t="str">
        <f t="shared" si="33"/>
        <v>POTENCJAŁ</v>
      </c>
    </row>
    <row r="1075" spans="1:10" x14ac:dyDescent="0.25">
      <c r="A1075" s="57" t="str">
        <f>IF(CRM_MAGDY!H1075="","","CRM-"&amp;TEXT(ROW()-4,"0000"))</f>
        <v/>
      </c>
      <c r="B1075" s="57">
        <f>CRM_MAGDY!E1075</f>
        <v>0</v>
      </c>
      <c r="C1075" s="57">
        <f>CRM_MAGDY!H1075</f>
        <v>0</v>
      </c>
      <c r="D1075" s="57">
        <f>CRM_MAGDY!I1075</f>
        <v>0</v>
      </c>
      <c r="E1075" s="57">
        <f>IFERROR(VALUE(CRM_MAGDY!K1075),0)</f>
        <v>0</v>
      </c>
      <c r="F1075" s="57">
        <f>IFERROR(IF(CRM_MAGDY!L1075&gt;1,CRM_MAGDY!L1075/100,CRM_MAGDY!L1075),0)</f>
        <v>0</v>
      </c>
      <c r="G1075" s="57">
        <f>CRM_MAGDY!N1075</f>
        <v>0</v>
      </c>
      <c r="H1075" s="57">
        <f>CRM_MAGDY!M1075</f>
        <v>0</v>
      </c>
      <c r="I1075" s="57">
        <f t="shared" si="32"/>
        <v>0</v>
      </c>
      <c r="J1075" s="57" t="str">
        <f t="shared" si="33"/>
        <v>POTENCJAŁ</v>
      </c>
    </row>
    <row r="1076" spans="1:10" x14ac:dyDescent="0.25">
      <c r="A1076" s="57" t="str">
        <f>IF(CRM_MAGDY!H1076="","","CRM-"&amp;TEXT(ROW()-4,"0000"))</f>
        <v/>
      </c>
      <c r="B1076" s="57">
        <f>CRM_MAGDY!E1076</f>
        <v>0</v>
      </c>
      <c r="C1076" s="57">
        <f>CRM_MAGDY!H1076</f>
        <v>0</v>
      </c>
      <c r="D1076" s="57">
        <f>CRM_MAGDY!I1076</f>
        <v>0</v>
      </c>
      <c r="E1076" s="57">
        <f>IFERROR(VALUE(CRM_MAGDY!K1076),0)</f>
        <v>0</v>
      </c>
      <c r="F1076" s="57">
        <f>IFERROR(IF(CRM_MAGDY!L1076&gt;1,CRM_MAGDY!L1076/100,CRM_MAGDY!L1076),0)</f>
        <v>0</v>
      </c>
      <c r="G1076" s="57">
        <f>CRM_MAGDY!N1076</f>
        <v>0</v>
      </c>
      <c r="H1076" s="57">
        <f>CRM_MAGDY!M1076</f>
        <v>0</v>
      </c>
      <c r="I1076" s="57">
        <f t="shared" si="32"/>
        <v>0</v>
      </c>
      <c r="J1076" s="57" t="str">
        <f t="shared" si="33"/>
        <v>POTENCJAŁ</v>
      </c>
    </row>
    <row r="1077" spans="1:10" x14ac:dyDescent="0.25">
      <c r="A1077" s="57" t="str">
        <f>IF(CRM_MAGDY!H1077="","","CRM-"&amp;TEXT(ROW()-4,"0000"))</f>
        <v/>
      </c>
      <c r="B1077" s="57">
        <f>CRM_MAGDY!E1077</f>
        <v>0</v>
      </c>
      <c r="C1077" s="57">
        <f>CRM_MAGDY!H1077</f>
        <v>0</v>
      </c>
      <c r="D1077" s="57">
        <f>CRM_MAGDY!I1077</f>
        <v>0</v>
      </c>
      <c r="E1077" s="57">
        <f>IFERROR(VALUE(CRM_MAGDY!K1077),0)</f>
        <v>0</v>
      </c>
      <c r="F1077" s="57">
        <f>IFERROR(IF(CRM_MAGDY!L1077&gt;1,CRM_MAGDY!L1077/100,CRM_MAGDY!L1077),0)</f>
        <v>0</v>
      </c>
      <c r="G1077" s="57">
        <f>CRM_MAGDY!N1077</f>
        <v>0</v>
      </c>
      <c r="H1077" s="57">
        <f>CRM_MAGDY!M1077</f>
        <v>0</v>
      </c>
      <c r="I1077" s="57">
        <f t="shared" si="32"/>
        <v>0</v>
      </c>
      <c r="J1077" s="57" t="str">
        <f t="shared" si="33"/>
        <v>POTENCJAŁ</v>
      </c>
    </row>
    <row r="1078" spans="1:10" x14ac:dyDescent="0.25">
      <c r="A1078" s="57" t="str">
        <f>IF(CRM_MAGDY!H1078="","","CRM-"&amp;TEXT(ROW()-4,"0000"))</f>
        <v/>
      </c>
      <c r="B1078" s="57">
        <f>CRM_MAGDY!E1078</f>
        <v>0</v>
      </c>
      <c r="C1078" s="57">
        <f>CRM_MAGDY!H1078</f>
        <v>0</v>
      </c>
      <c r="D1078" s="57">
        <f>CRM_MAGDY!I1078</f>
        <v>0</v>
      </c>
      <c r="E1078" s="57">
        <f>IFERROR(VALUE(CRM_MAGDY!K1078),0)</f>
        <v>0</v>
      </c>
      <c r="F1078" s="57">
        <f>IFERROR(IF(CRM_MAGDY!L1078&gt;1,CRM_MAGDY!L1078/100,CRM_MAGDY!L1078),0)</f>
        <v>0</v>
      </c>
      <c r="G1078" s="57">
        <f>CRM_MAGDY!N1078</f>
        <v>0</v>
      </c>
      <c r="H1078" s="57">
        <f>CRM_MAGDY!M1078</f>
        <v>0</v>
      </c>
      <c r="I1078" s="57">
        <f t="shared" si="32"/>
        <v>0</v>
      </c>
      <c r="J1078" s="57" t="str">
        <f t="shared" si="33"/>
        <v>POTENCJAŁ</v>
      </c>
    </row>
    <row r="1079" spans="1:10" x14ac:dyDescent="0.25">
      <c r="A1079" s="57" t="str">
        <f>IF(CRM_MAGDY!H1079="","","CRM-"&amp;TEXT(ROW()-4,"0000"))</f>
        <v/>
      </c>
      <c r="B1079" s="57">
        <f>CRM_MAGDY!E1079</f>
        <v>0</v>
      </c>
      <c r="C1079" s="57">
        <f>CRM_MAGDY!H1079</f>
        <v>0</v>
      </c>
      <c r="D1079" s="57">
        <f>CRM_MAGDY!I1079</f>
        <v>0</v>
      </c>
      <c r="E1079" s="57">
        <f>IFERROR(VALUE(CRM_MAGDY!K1079),0)</f>
        <v>0</v>
      </c>
      <c r="F1079" s="57">
        <f>IFERROR(IF(CRM_MAGDY!L1079&gt;1,CRM_MAGDY!L1079/100,CRM_MAGDY!L1079),0)</f>
        <v>0</v>
      </c>
      <c r="G1079" s="57">
        <f>CRM_MAGDY!N1079</f>
        <v>0</v>
      </c>
      <c r="H1079" s="57">
        <f>CRM_MAGDY!M1079</f>
        <v>0</v>
      </c>
      <c r="I1079" s="57">
        <f t="shared" si="32"/>
        <v>0</v>
      </c>
      <c r="J1079" s="57" t="str">
        <f t="shared" si="33"/>
        <v>POTENCJAŁ</v>
      </c>
    </row>
    <row r="1080" spans="1:10" x14ac:dyDescent="0.25">
      <c r="A1080" s="57" t="str">
        <f>IF(CRM_MAGDY!H1080="","","CRM-"&amp;TEXT(ROW()-4,"0000"))</f>
        <v/>
      </c>
      <c r="B1080" s="57">
        <f>CRM_MAGDY!E1080</f>
        <v>0</v>
      </c>
      <c r="C1080" s="57">
        <f>CRM_MAGDY!H1080</f>
        <v>0</v>
      </c>
      <c r="D1080" s="57">
        <f>CRM_MAGDY!I1080</f>
        <v>0</v>
      </c>
      <c r="E1080" s="57">
        <f>IFERROR(VALUE(CRM_MAGDY!K1080),0)</f>
        <v>0</v>
      </c>
      <c r="F1080" s="57">
        <f>IFERROR(IF(CRM_MAGDY!L1080&gt;1,CRM_MAGDY!L1080/100,CRM_MAGDY!L1080),0)</f>
        <v>0</v>
      </c>
      <c r="G1080" s="57">
        <f>CRM_MAGDY!N1080</f>
        <v>0</v>
      </c>
      <c r="H1080" s="57">
        <f>CRM_MAGDY!M1080</f>
        <v>0</v>
      </c>
      <c r="I1080" s="57">
        <f t="shared" si="32"/>
        <v>0</v>
      </c>
      <c r="J1080" s="57" t="str">
        <f t="shared" si="33"/>
        <v>POTENCJAŁ</v>
      </c>
    </row>
    <row r="1081" spans="1:10" x14ac:dyDescent="0.25">
      <c r="A1081" s="57" t="str">
        <f>IF(CRM_MAGDY!H1081="","","CRM-"&amp;TEXT(ROW()-4,"0000"))</f>
        <v/>
      </c>
      <c r="B1081" s="57">
        <f>CRM_MAGDY!E1081</f>
        <v>0</v>
      </c>
      <c r="C1081" s="57">
        <f>CRM_MAGDY!H1081</f>
        <v>0</v>
      </c>
      <c r="D1081" s="57">
        <f>CRM_MAGDY!I1081</f>
        <v>0</v>
      </c>
      <c r="E1081" s="57">
        <f>IFERROR(VALUE(CRM_MAGDY!K1081),0)</f>
        <v>0</v>
      </c>
      <c r="F1081" s="57">
        <f>IFERROR(IF(CRM_MAGDY!L1081&gt;1,CRM_MAGDY!L1081/100,CRM_MAGDY!L1081),0)</f>
        <v>0</v>
      </c>
      <c r="G1081" s="57">
        <f>CRM_MAGDY!N1081</f>
        <v>0</v>
      </c>
      <c r="H1081" s="57">
        <f>CRM_MAGDY!M1081</f>
        <v>0</v>
      </c>
      <c r="I1081" s="57">
        <f t="shared" si="32"/>
        <v>0</v>
      </c>
      <c r="J1081" s="57" t="str">
        <f t="shared" si="33"/>
        <v>POTENCJAŁ</v>
      </c>
    </row>
    <row r="1082" spans="1:10" x14ac:dyDescent="0.25">
      <c r="A1082" s="57" t="str">
        <f>IF(CRM_MAGDY!H1082="","","CRM-"&amp;TEXT(ROW()-4,"0000"))</f>
        <v/>
      </c>
      <c r="B1082" s="57">
        <f>CRM_MAGDY!E1082</f>
        <v>0</v>
      </c>
      <c r="C1082" s="57">
        <f>CRM_MAGDY!H1082</f>
        <v>0</v>
      </c>
      <c r="D1082" s="57">
        <f>CRM_MAGDY!I1082</f>
        <v>0</v>
      </c>
      <c r="E1082" s="57">
        <f>IFERROR(VALUE(CRM_MAGDY!K1082),0)</f>
        <v>0</v>
      </c>
      <c r="F1082" s="57">
        <f>IFERROR(IF(CRM_MAGDY!L1082&gt;1,CRM_MAGDY!L1082/100,CRM_MAGDY!L1082),0)</f>
        <v>0</v>
      </c>
      <c r="G1082" s="57">
        <f>CRM_MAGDY!N1082</f>
        <v>0</v>
      </c>
      <c r="H1082" s="57">
        <f>CRM_MAGDY!M1082</f>
        <v>0</v>
      </c>
      <c r="I1082" s="57">
        <f t="shared" si="32"/>
        <v>0</v>
      </c>
      <c r="J1082" s="57" t="str">
        <f t="shared" si="33"/>
        <v>POTENCJAŁ</v>
      </c>
    </row>
    <row r="1083" spans="1:10" x14ac:dyDescent="0.25">
      <c r="A1083" s="57" t="str">
        <f>IF(CRM_MAGDY!H1083="","","CRM-"&amp;TEXT(ROW()-4,"0000"))</f>
        <v/>
      </c>
      <c r="B1083" s="57">
        <f>CRM_MAGDY!E1083</f>
        <v>0</v>
      </c>
      <c r="C1083" s="57">
        <f>CRM_MAGDY!H1083</f>
        <v>0</v>
      </c>
      <c r="D1083" s="57">
        <f>CRM_MAGDY!I1083</f>
        <v>0</v>
      </c>
      <c r="E1083" s="57">
        <f>IFERROR(VALUE(CRM_MAGDY!K1083),0)</f>
        <v>0</v>
      </c>
      <c r="F1083" s="57">
        <f>IFERROR(IF(CRM_MAGDY!L1083&gt;1,CRM_MAGDY!L1083/100,CRM_MAGDY!L1083),0)</f>
        <v>0</v>
      </c>
      <c r="G1083" s="57">
        <f>CRM_MAGDY!N1083</f>
        <v>0</v>
      </c>
      <c r="H1083" s="57">
        <f>CRM_MAGDY!M1083</f>
        <v>0</v>
      </c>
      <c r="I1083" s="57">
        <f t="shared" si="32"/>
        <v>0</v>
      </c>
      <c r="J1083" s="57" t="str">
        <f t="shared" si="33"/>
        <v>POTENCJAŁ</v>
      </c>
    </row>
    <row r="1084" spans="1:10" x14ac:dyDescent="0.25">
      <c r="A1084" s="57" t="str">
        <f>IF(CRM_MAGDY!H1084="","","CRM-"&amp;TEXT(ROW()-4,"0000"))</f>
        <v/>
      </c>
      <c r="B1084" s="57">
        <f>CRM_MAGDY!E1084</f>
        <v>0</v>
      </c>
      <c r="C1084" s="57">
        <f>CRM_MAGDY!H1084</f>
        <v>0</v>
      </c>
      <c r="D1084" s="57">
        <f>CRM_MAGDY!I1084</f>
        <v>0</v>
      </c>
      <c r="E1084" s="57">
        <f>IFERROR(VALUE(CRM_MAGDY!K1084),0)</f>
        <v>0</v>
      </c>
      <c r="F1084" s="57">
        <f>IFERROR(IF(CRM_MAGDY!L1084&gt;1,CRM_MAGDY!L1084/100,CRM_MAGDY!L1084),0)</f>
        <v>0</v>
      </c>
      <c r="G1084" s="57">
        <f>CRM_MAGDY!N1084</f>
        <v>0</v>
      </c>
      <c r="H1084" s="57">
        <f>CRM_MAGDY!M1084</f>
        <v>0</v>
      </c>
      <c r="I1084" s="57">
        <f t="shared" si="32"/>
        <v>0</v>
      </c>
      <c r="J1084" s="57" t="str">
        <f t="shared" si="33"/>
        <v>POTENCJAŁ</v>
      </c>
    </row>
    <row r="1085" spans="1:10" x14ac:dyDescent="0.25">
      <c r="A1085" s="57" t="str">
        <f>IF(CRM_MAGDY!H1085="","","CRM-"&amp;TEXT(ROW()-4,"0000"))</f>
        <v/>
      </c>
      <c r="B1085" s="57">
        <f>CRM_MAGDY!E1085</f>
        <v>0</v>
      </c>
      <c r="C1085" s="57">
        <f>CRM_MAGDY!H1085</f>
        <v>0</v>
      </c>
      <c r="D1085" s="57">
        <f>CRM_MAGDY!I1085</f>
        <v>0</v>
      </c>
      <c r="E1085" s="57">
        <f>IFERROR(VALUE(CRM_MAGDY!K1085),0)</f>
        <v>0</v>
      </c>
      <c r="F1085" s="57">
        <f>IFERROR(IF(CRM_MAGDY!L1085&gt;1,CRM_MAGDY!L1085/100,CRM_MAGDY!L1085),0)</f>
        <v>0</v>
      </c>
      <c r="G1085" s="57">
        <f>CRM_MAGDY!N1085</f>
        <v>0</v>
      </c>
      <c r="H1085" s="57">
        <f>CRM_MAGDY!M1085</f>
        <v>0</v>
      </c>
      <c r="I1085" s="57">
        <f t="shared" si="32"/>
        <v>0</v>
      </c>
      <c r="J1085" s="57" t="str">
        <f t="shared" si="33"/>
        <v>POTENCJAŁ</v>
      </c>
    </row>
    <row r="1086" spans="1:10" x14ac:dyDescent="0.25">
      <c r="A1086" s="57" t="str">
        <f>IF(CRM_MAGDY!H1086="","","CRM-"&amp;TEXT(ROW()-4,"0000"))</f>
        <v/>
      </c>
      <c r="B1086" s="57">
        <f>CRM_MAGDY!E1086</f>
        <v>0</v>
      </c>
      <c r="C1086" s="57">
        <f>CRM_MAGDY!H1086</f>
        <v>0</v>
      </c>
      <c r="D1086" s="57">
        <f>CRM_MAGDY!I1086</f>
        <v>0</v>
      </c>
      <c r="E1086" s="57">
        <f>IFERROR(VALUE(CRM_MAGDY!K1086),0)</f>
        <v>0</v>
      </c>
      <c r="F1086" s="57">
        <f>IFERROR(IF(CRM_MAGDY!L1086&gt;1,CRM_MAGDY!L1086/100,CRM_MAGDY!L1086),0)</f>
        <v>0</v>
      </c>
      <c r="G1086" s="57">
        <f>CRM_MAGDY!N1086</f>
        <v>0</v>
      </c>
      <c r="H1086" s="57">
        <f>CRM_MAGDY!M1086</f>
        <v>0</v>
      </c>
      <c r="I1086" s="57">
        <f t="shared" si="32"/>
        <v>0</v>
      </c>
      <c r="J1086" s="57" t="str">
        <f t="shared" si="33"/>
        <v>POTENCJAŁ</v>
      </c>
    </row>
    <row r="1087" spans="1:10" x14ac:dyDescent="0.25">
      <c r="A1087" s="57" t="str">
        <f>IF(CRM_MAGDY!H1087="","","CRM-"&amp;TEXT(ROW()-4,"0000"))</f>
        <v/>
      </c>
      <c r="B1087" s="57">
        <f>CRM_MAGDY!E1087</f>
        <v>0</v>
      </c>
      <c r="C1087" s="57">
        <f>CRM_MAGDY!H1087</f>
        <v>0</v>
      </c>
      <c r="D1087" s="57">
        <f>CRM_MAGDY!I1087</f>
        <v>0</v>
      </c>
      <c r="E1087" s="57">
        <f>IFERROR(VALUE(CRM_MAGDY!K1087),0)</f>
        <v>0</v>
      </c>
      <c r="F1087" s="57">
        <f>IFERROR(IF(CRM_MAGDY!L1087&gt;1,CRM_MAGDY!L1087/100,CRM_MAGDY!L1087),0)</f>
        <v>0</v>
      </c>
      <c r="G1087" s="57">
        <f>CRM_MAGDY!N1087</f>
        <v>0</v>
      </c>
      <c r="H1087" s="57">
        <f>CRM_MAGDY!M1087</f>
        <v>0</v>
      </c>
      <c r="I1087" s="57">
        <f t="shared" si="32"/>
        <v>0</v>
      </c>
      <c r="J1087" s="57" t="str">
        <f t="shared" si="33"/>
        <v>POTENCJAŁ</v>
      </c>
    </row>
    <row r="1088" spans="1:10" x14ac:dyDescent="0.25">
      <c r="A1088" s="57" t="str">
        <f>IF(CRM_MAGDY!H1088="","","CRM-"&amp;TEXT(ROW()-4,"0000"))</f>
        <v/>
      </c>
      <c r="B1088" s="57">
        <f>CRM_MAGDY!E1088</f>
        <v>0</v>
      </c>
      <c r="C1088" s="57">
        <f>CRM_MAGDY!H1088</f>
        <v>0</v>
      </c>
      <c r="D1088" s="57">
        <f>CRM_MAGDY!I1088</f>
        <v>0</v>
      </c>
      <c r="E1088" s="57">
        <f>IFERROR(VALUE(CRM_MAGDY!K1088),0)</f>
        <v>0</v>
      </c>
      <c r="F1088" s="57">
        <f>IFERROR(IF(CRM_MAGDY!L1088&gt;1,CRM_MAGDY!L1088/100,CRM_MAGDY!L1088),0)</f>
        <v>0</v>
      </c>
      <c r="G1088" s="57">
        <f>CRM_MAGDY!N1088</f>
        <v>0</v>
      </c>
      <c r="H1088" s="57">
        <f>CRM_MAGDY!M1088</f>
        <v>0</v>
      </c>
      <c r="I1088" s="57">
        <f t="shared" si="32"/>
        <v>0</v>
      </c>
      <c r="J1088" s="57" t="str">
        <f t="shared" si="33"/>
        <v>POTENCJAŁ</v>
      </c>
    </row>
    <row r="1089" spans="1:10" x14ac:dyDescent="0.25">
      <c r="A1089" s="57" t="str">
        <f>IF(CRM_MAGDY!H1089="","","CRM-"&amp;TEXT(ROW()-4,"0000"))</f>
        <v/>
      </c>
      <c r="B1089" s="57">
        <f>CRM_MAGDY!E1089</f>
        <v>0</v>
      </c>
      <c r="C1089" s="57">
        <f>CRM_MAGDY!H1089</f>
        <v>0</v>
      </c>
      <c r="D1089" s="57">
        <f>CRM_MAGDY!I1089</f>
        <v>0</v>
      </c>
      <c r="E1089" s="57">
        <f>IFERROR(VALUE(CRM_MAGDY!K1089),0)</f>
        <v>0</v>
      </c>
      <c r="F1089" s="57">
        <f>IFERROR(IF(CRM_MAGDY!L1089&gt;1,CRM_MAGDY!L1089/100,CRM_MAGDY!L1089),0)</f>
        <v>0</v>
      </c>
      <c r="G1089" s="57">
        <f>CRM_MAGDY!N1089</f>
        <v>0</v>
      </c>
      <c r="H1089" s="57">
        <f>CRM_MAGDY!M1089</f>
        <v>0</v>
      </c>
      <c r="I1089" s="57">
        <f t="shared" si="32"/>
        <v>0</v>
      </c>
      <c r="J1089" s="57" t="str">
        <f t="shared" si="33"/>
        <v>POTENCJAŁ</v>
      </c>
    </row>
    <row r="1090" spans="1:10" x14ac:dyDescent="0.25">
      <c r="A1090" s="57" t="str">
        <f>IF(CRM_MAGDY!H1090="","","CRM-"&amp;TEXT(ROW()-4,"0000"))</f>
        <v/>
      </c>
      <c r="B1090" s="57">
        <f>CRM_MAGDY!E1090</f>
        <v>0</v>
      </c>
      <c r="C1090" s="57">
        <f>CRM_MAGDY!H1090</f>
        <v>0</v>
      </c>
      <c r="D1090" s="57">
        <f>CRM_MAGDY!I1090</f>
        <v>0</v>
      </c>
      <c r="E1090" s="57">
        <f>IFERROR(VALUE(CRM_MAGDY!K1090),0)</f>
        <v>0</v>
      </c>
      <c r="F1090" s="57">
        <f>IFERROR(IF(CRM_MAGDY!L1090&gt;1,CRM_MAGDY!L1090/100,CRM_MAGDY!L1090),0)</f>
        <v>0</v>
      </c>
      <c r="G1090" s="57">
        <f>CRM_MAGDY!N1090</f>
        <v>0</v>
      </c>
      <c r="H1090" s="57">
        <f>CRM_MAGDY!M1090</f>
        <v>0</v>
      </c>
      <c r="I1090" s="57">
        <f t="shared" si="32"/>
        <v>0</v>
      </c>
      <c r="J1090" s="57" t="str">
        <f t="shared" si="33"/>
        <v>POTENCJAŁ</v>
      </c>
    </row>
    <row r="1091" spans="1:10" x14ac:dyDescent="0.25">
      <c r="A1091" s="57" t="str">
        <f>IF(CRM_MAGDY!H1091="","","CRM-"&amp;TEXT(ROW()-4,"0000"))</f>
        <v/>
      </c>
      <c r="B1091" s="57">
        <f>CRM_MAGDY!E1091</f>
        <v>0</v>
      </c>
      <c r="C1091" s="57">
        <f>CRM_MAGDY!H1091</f>
        <v>0</v>
      </c>
      <c r="D1091" s="57">
        <f>CRM_MAGDY!I1091</f>
        <v>0</v>
      </c>
      <c r="E1091" s="57">
        <f>IFERROR(VALUE(CRM_MAGDY!K1091),0)</f>
        <v>0</v>
      </c>
      <c r="F1091" s="57">
        <f>IFERROR(IF(CRM_MAGDY!L1091&gt;1,CRM_MAGDY!L1091/100,CRM_MAGDY!L1091),0)</f>
        <v>0</v>
      </c>
      <c r="G1091" s="57">
        <f>CRM_MAGDY!N1091</f>
        <v>0</v>
      </c>
      <c r="H1091" s="57">
        <f>CRM_MAGDY!M1091</f>
        <v>0</v>
      </c>
      <c r="I1091" s="57">
        <f t="shared" si="32"/>
        <v>0</v>
      </c>
      <c r="J1091" s="57" t="str">
        <f t="shared" si="33"/>
        <v>POTENCJAŁ</v>
      </c>
    </row>
    <row r="1092" spans="1:10" x14ac:dyDescent="0.25">
      <c r="A1092" s="57" t="str">
        <f>IF(CRM_MAGDY!H1092="","","CRM-"&amp;TEXT(ROW()-4,"0000"))</f>
        <v/>
      </c>
      <c r="B1092" s="57">
        <f>CRM_MAGDY!E1092</f>
        <v>0</v>
      </c>
      <c r="C1092" s="57">
        <f>CRM_MAGDY!H1092</f>
        <v>0</v>
      </c>
      <c r="D1092" s="57">
        <f>CRM_MAGDY!I1092</f>
        <v>0</v>
      </c>
      <c r="E1092" s="57">
        <f>IFERROR(VALUE(CRM_MAGDY!K1092),0)</f>
        <v>0</v>
      </c>
      <c r="F1092" s="57">
        <f>IFERROR(IF(CRM_MAGDY!L1092&gt;1,CRM_MAGDY!L1092/100,CRM_MAGDY!L1092),0)</f>
        <v>0</v>
      </c>
      <c r="G1092" s="57">
        <f>CRM_MAGDY!N1092</f>
        <v>0</v>
      </c>
      <c r="H1092" s="57">
        <f>CRM_MAGDY!M1092</f>
        <v>0</v>
      </c>
      <c r="I1092" s="57">
        <f t="shared" si="32"/>
        <v>0</v>
      </c>
      <c r="J1092" s="57" t="str">
        <f t="shared" si="33"/>
        <v>POTENCJAŁ</v>
      </c>
    </row>
    <row r="1093" spans="1:10" x14ac:dyDescent="0.25">
      <c r="A1093" s="57" t="str">
        <f>IF(CRM_MAGDY!H1093="","","CRM-"&amp;TEXT(ROW()-4,"0000"))</f>
        <v/>
      </c>
      <c r="B1093" s="57">
        <f>CRM_MAGDY!E1093</f>
        <v>0</v>
      </c>
      <c r="C1093" s="57">
        <f>CRM_MAGDY!H1093</f>
        <v>0</v>
      </c>
      <c r="D1093" s="57">
        <f>CRM_MAGDY!I1093</f>
        <v>0</v>
      </c>
      <c r="E1093" s="57">
        <f>IFERROR(VALUE(CRM_MAGDY!K1093),0)</f>
        <v>0</v>
      </c>
      <c r="F1093" s="57">
        <f>IFERROR(IF(CRM_MAGDY!L1093&gt;1,CRM_MAGDY!L1093/100,CRM_MAGDY!L1093),0)</f>
        <v>0</v>
      </c>
      <c r="G1093" s="57">
        <f>CRM_MAGDY!N1093</f>
        <v>0</v>
      </c>
      <c r="H1093" s="57">
        <f>CRM_MAGDY!M1093</f>
        <v>0</v>
      </c>
      <c r="I1093" s="57">
        <f t="shared" ref="I1093:I1156" si="34">IF(OR(G1093="WYGRANA",G1093="PRZEGRANA"),0,E1093*F1093)</f>
        <v>0</v>
      </c>
      <c r="J1093" s="57" t="str">
        <f t="shared" ref="J1093:J1156" si="35">IF(F1093&gt;=0.7,"PEWNY",IF(F1093&gt;=0.3,"REALNY","POTENCJAŁ"))</f>
        <v>POTENCJAŁ</v>
      </c>
    </row>
    <row r="1094" spans="1:10" x14ac:dyDescent="0.25">
      <c r="A1094" s="57" t="str">
        <f>IF(CRM_MAGDY!H1094="","","CRM-"&amp;TEXT(ROW()-4,"0000"))</f>
        <v/>
      </c>
      <c r="B1094" s="57">
        <f>CRM_MAGDY!E1094</f>
        <v>0</v>
      </c>
      <c r="C1094" s="57">
        <f>CRM_MAGDY!H1094</f>
        <v>0</v>
      </c>
      <c r="D1094" s="57">
        <f>CRM_MAGDY!I1094</f>
        <v>0</v>
      </c>
      <c r="E1094" s="57">
        <f>IFERROR(VALUE(CRM_MAGDY!K1094),0)</f>
        <v>0</v>
      </c>
      <c r="F1094" s="57">
        <f>IFERROR(IF(CRM_MAGDY!L1094&gt;1,CRM_MAGDY!L1094/100,CRM_MAGDY!L1094),0)</f>
        <v>0</v>
      </c>
      <c r="G1094" s="57">
        <f>CRM_MAGDY!N1094</f>
        <v>0</v>
      </c>
      <c r="H1094" s="57">
        <f>CRM_MAGDY!M1094</f>
        <v>0</v>
      </c>
      <c r="I1094" s="57">
        <f t="shared" si="34"/>
        <v>0</v>
      </c>
      <c r="J1094" s="57" t="str">
        <f t="shared" si="35"/>
        <v>POTENCJAŁ</v>
      </c>
    </row>
    <row r="1095" spans="1:10" x14ac:dyDescent="0.25">
      <c r="A1095" s="57" t="str">
        <f>IF(CRM_MAGDY!H1095="","","CRM-"&amp;TEXT(ROW()-4,"0000"))</f>
        <v/>
      </c>
      <c r="B1095" s="57">
        <f>CRM_MAGDY!E1095</f>
        <v>0</v>
      </c>
      <c r="C1095" s="57">
        <f>CRM_MAGDY!H1095</f>
        <v>0</v>
      </c>
      <c r="D1095" s="57">
        <f>CRM_MAGDY!I1095</f>
        <v>0</v>
      </c>
      <c r="E1095" s="57">
        <f>IFERROR(VALUE(CRM_MAGDY!K1095),0)</f>
        <v>0</v>
      </c>
      <c r="F1095" s="57">
        <f>IFERROR(IF(CRM_MAGDY!L1095&gt;1,CRM_MAGDY!L1095/100,CRM_MAGDY!L1095),0)</f>
        <v>0</v>
      </c>
      <c r="G1095" s="57">
        <f>CRM_MAGDY!N1095</f>
        <v>0</v>
      </c>
      <c r="H1095" s="57">
        <f>CRM_MAGDY!M1095</f>
        <v>0</v>
      </c>
      <c r="I1095" s="57">
        <f t="shared" si="34"/>
        <v>0</v>
      </c>
      <c r="J1095" s="57" t="str">
        <f t="shared" si="35"/>
        <v>POTENCJAŁ</v>
      </c>
    </row>
    <row r="1096" spans="1:10" x14ac:dyDescent="0.25">
      <c r="A1096" s="57" t="str">
        <f>IF(CRM_MAGDY!H1096="","","CRM-"&amp;TEXT(ROW()-4,"0000"))</f>
        <v/>
      </c>
      <c r="B1096" s="57">
        <f>CRM_MAGDY!E1096</f>
        <v>0</v>
      </c>
      <c r="C1096" s="57">
        <f>CRM_MAGDY!H1096</f>
        <v>0</v>
      </c>
      <c r="D1096" s="57">
        <f>CRM_MAGDY!I1096</f>
        <v>0</v>
      </c>
      <c r="E1096" s="57">
        <f>IFERROR(VALUE(CRM_MAGDY!K1096),0)</f>
        <v>0</v>
      </c>
      <c r="F1096" s="57">
        <f>IFERROR(IF(CRM_MAGDY!L1096&gt;1,CRM_MAGDY!L1096/100,CRM_MAGDY!L1096),0)</f>
        <v>0</v>
      </c>
      <c r="G1096" s="57">
        <f>CRM_MAGDY!N1096</f>
        <v>0</v>
      </c>
      <c r="H1096" s="57">
        <f>CRM_MAGDY!M1096</f>
        <v>0</v>
      </c>
      <c r="I1096" s="57">
        <f t="shared" si="34"/>
        <v>0</v>
      </c>
      <c r="J1096" s="57" t="str">
        <f t="shared" si="35"/>
        <v>POTENCJAŁ</v>
      </c>
    </row>
    <row r="1097" spans="1:10" x14ac:dyDescent="0.25">
      <c r="A1097" s="57" t="str">
        <f>IF(CRM_MAGDY!H1097="","","CRM-"&amp;TEXT(ROW()-4,"0000"))</f>
        <v/>
      </c>
      <c r="B1097" s="57">
        <f>CRM_MAGDY!E1097</f>
        <v>0</v>
      </c>
      <c r="C1097" s="57">
        <f>CRM_MAGDY!H1097</f>
        <v>0</v>
      </c>
      <c r="D1097" s="57">
        <f>CRM_MAGDY!I1097</f>
        <v>0</v>
      </c>
      <c r="E1097" s="57">
        <f>IFERROR(VALUE(CRM_MAGDY!K1097),0)</f>
        <v>0</v>
      </c>
      <c r="F1097" s="57">
        <f>IFERROR(IF(CRM_MAGDY!L1097&gt;1,CRM_MAGDY!L1097/100,CRM_MAGDY!L1097),0)</f>
        <v>0</v>
      </c>
      <c r="G1097" s="57">
        <f>CRM_MAGDY!N1097</f>
        <v>0</v>
      </c>
      <c r="H1097" s="57">
        <f>CRM_MAGDY!M1097</f>
        <v>0</v>
      </c>
      <c r="I1097" s="57">
        <f t="shared" si="34"/>
        <v>0</v>
      </c>
      <c r="J1097" s="57" t="str">
        <f t="shared" si="35"/>
        <v>POTENCJAŁ</v>
      </c>
    </row>
    <row r="1098" spans="1:10" x14ac:dyDescent="0.25">
      <c r="A1098" s="57" t="str">
        <f>IF(CRM_MAGDY!H1098="","","CRM-"&amp;TEXT(ROW()-4,"0000"))</f>
        <v/>
      </c>
      <c r="B1098" s="57">
        <f>CRM_MAGDY!E1098</f>
        <v>0</v>
      </c>
      <c r="C1098" s="57">
        <f>CRM_MAGDY!H1098</f>
        <v>0</v>
      </c>
      <c r="D1098" s="57">
        <f>CRM_MAGDY!I1098</f>
        <v>0</v>
      </c>
      <c r="E1098" s="57">
        <f>IFERROR(VALUE(CRM_MAGDY!K1098),0)</f>
        <v>0</v>
      </c>
      <c r="F1098" s="57">
        <f>IFERROR(IF(CRM_MAGDY!L1098&gt;1,CRM_MAGDY!L1098/100,CRM_MAGDY!L1098),0)</f>
        <v>0</v>
      </c>
      <c r="G1098" s="57">
        <f>CRM_MAGDY!N1098</f>
        <v>0</v>
      </c>
      <c r="H1098" s="57">
        <f>CRM_MAGDY!M1098</f>
        <v>0</v>
      </c>
      <c r="I1098" s="57">
        <f t="shared" si="34"/>
        <v>0</v>
      </c>
      <c r="J1098" s="57" t="str">
        <f t="shared" si="35"/>
        <v>POTENCJAŁ</v>
      </c>
    </row>
    <row r="1099" spans="1:10" x14ac:dyDescent="0.25">
      <c r="A1099" s="57" t="str">
        <f>IF(CRM_MAGDY!H1099="","","CRM-"&amp;TEXT(ROW()-4,"0000"))</f>
        <v/>
      </c>
      <c r="B1099" s="57">
        <f>CRM_MAGDY!E1099</f>
        <v>0</v>
      </c>
      <c r="C1099" s="57">
        <f>CRM_MAGDY!H1099</f>
        <v>0</v>
      </c>
      <c r="D1099" s="57">
        <f>CRM_MAGDY!I1099</f>
        <v>0</v>
      </c>
      <c r="E1099" s="57">
        <f>IFERROR(VALUE(CRM_MAGDY!K1099),0)</f>
        <v>0</v>
      </c>
      <c r="F1099" s="57">
        <f>IFERROR(IF(CRM_MAGDY!L1099&gt;1,CRM_MAGDY!L1099/100,CRM_MAGDY!L1099),0)</f>
        <v>0</v>
      </c>
      <c r="G1099" s="57">
        <f>CRM_MAGDY!N1099</f>
        <v>0</v>
      </c>
      <c r="H1099" s="57">
        <f>CRM_MAGDY!M1099</f>
        <v>0</v>
      </c>
      <c r="I1099" s="57">
        <f t="shared" si="34"/>
        <v>0</v>
      </c>
      <c r="J1099" s="57" t="str">
        <f t="shared" si="35"/>
        <v>POTENCJAŁ</v>
      </c>
    </row>
    <row r="1100" spans="1:10" x14ac:dyDescent="0.25">
      <c r="A1100" s="57" t="str">
        <f>IF(CRM_MAGDY!H1100="","","CRM-"&amp;TEXT(ROW()-4,"0000"))</f>
        <v/>
      </c>
      <c r="B1100" s="57">
        <f>CRM_MAGDY!E1100</f>
        <v>0</v>
      </c>
      <c r="C1100" s="57">
        <f>CRM_MAGDY!H1100</f>
        <v>0</v>
      </c>
      <c r="D1100" s="57">
        <f>CRM_MAGDY!I1100</f>
        <v>0</v>
      </c>
      <c r="E1100" s="57">
        <f>IFERROR(VALUE(CRM_MAGDY!K1100),0)</f>
        <v>0</v>
      </c>
      <c r="F1100" s="57">
        <f>IFERROR(IF(CRM_MAGDY!L1100&gt;1,CRM_MAGDY!L1100/100,CRM_MAGDY!L1100),0)</f>
        <v>0</v>
      </c>
      <c r="G1100" s="57">
        <f>CRM_MAGDY!N1100</f>
        <v>0</v>
      </c>
      <c r="H1100" s="57">
        <f>CRM_MAGDY!M1100</f>
        <v>0</v>
      </c>
      <c r="I1100" s="57">
        <f t="shared" si="34"/>
        <v>0</v>
      </c>
      <c r="J1100" s="57" t="str">
        <f t="shared" si="35"/>
        <v>POTENCJAŁ</v>
      </c>
    </row>
    <row r="1101" spans="1:10" x14ac:dyDescent="0.25">
      <c r="A1101" s="57" t="str">
        <f>IF(CRM_MAGDY!H1101="","","CRM-"&amp;TEXT(ROW()-4,"0000"))</f>
        <v/>
      </c>
      <c r="B1101" s="57">
        <f>CRM_MAGDY!E1101</f>
        <v>0</v>
      </c>
      <c r="C1101" s="57">
        <f>CRM_MAGDY!H1101</f>
        <v>0</v>
      </c>
      <c r="D1101" s="57">
        <f>CRM_MAGDY!I1101</f>
        <v>0</v>
      </c>
      <c r="E1101" s="57">
        <f>IFERROR(VALUE(CRM_MAGDY!K1101),0)</f>
        <v>0</v>
      </c>
      <c r="F1101" s="57">
        <f>IFERROR(IF(CRM_MAGDY!L1101&gt;1,CRM_MAGDY!L1101/100,CRM_MAGDY!L1101),0)</f>
        <v>0</v>
      </c>
      <c r="G1101" s="57">
        <f>CRM_MAGDY!N1101</f>
        <v>0</v>
      </c>
      <c r="H1101" s="57">
        <f>CRM_MAGDY!M1101</f>
        <v>0</v>
      </c>
      <c r="I1101" s="57">
        <f t="shared" si="34"/>
        <v>0</v>
      </c>
      <c r="J1101" s="57" t="str">
        <f t="shared" si="35"/>
        <v>POTENCJAŁ</v>
      </c>
    </row>
    <row r="1102" spans="1:10" x14ac:dyDescent="0.25">
      <c r="A1102" s="57" t="str">
        <f>IF(CRM_MAGDY!H1102="","","CRM-"&amp;TEXT(ROW()-4,"0000"))</f>
        <v/>
      </c>
      <c r="B1102" s="57">
        <f>CRM_MAGDY!E1102</f>
        <v>0</v>
      </c>
      <c r="C1102" s="57">
        <f>CRM_MAGDY!H1102</f>
        <v>0</v>
      </c>
      <c r="D1102" s="57">
        <f>CRM_MAGDY!I1102</f>
        <v>0</v>
      </c>
      <c r="E1102" s="57">
        <f>IFERROR(VALUE(CRM_MAGDY!K1102),0)</f>
        <v>0</v>
      </c>
      <c r="F1102" s="57">
        <f>IFERROR(IF(CRM_MAGDY!L1102&gt;1,CRM_MAGDY!L1102/100,CRM_MAGDY!L1102),0)</f>
        <v>0</v>
      </c>
      <c r="G1102" s="57">
        <f>CRM_MAGDY!N1102</f>
        <v>0</v>
      </c>
      <c r="H1102" s="57">
        <f>CRM_MAGDY!M1102</f>
        <v>0</v>
      </c>
      <c r="I1102" s="57">
        <f t="shared" si="34"/>
        <v>0</v>
      </c>
      <c r="J1102" s="57" t="str">
        <f t="shared" si="35"/>
        <v>POTENCJAŁ</v>
      </c>
    </row>
    <row r="1103" spans="1:10" x14ac:dyDescent="0.25">
      <c r="A1103" s="57" t="str">
        <f>IF(CRM_MAGDY!H1103="","","CRM-"&amp;TEXT(ROW()-4,"0000"))</f>
        <v/>
      </c>
      <c r="B1103" s="57">
        <f>CRM_MAGDY!E1103</f>
        <v>0</v>
      </c>
      <c r="C1103" s="57">
        <f>CRM_MAGDY!H1103</f>
        <v>0</v>
      </c>
      <c r="D1103" s="57">
        <f>CRM_MAGDY!I1103</f>
        <v>0</v>
      </c>
      <c r="E1103" s="57">
        <f>IFERROR(VALUE(CRM_MAGDY!K1103),0)</f>
        <v>0</v>
      </c>
      <c r="F1103" s="57">
        <f>IFERROR(IF(CRM_MAGDY!L1103&gt;1,CRM_MAGDY!L1103/100,CRM_MAGDY!L1103),0)</f>
        <v>0</v>
      </c>
      <c r="G1103" s="57">
        <f>CRM_MAGDY!N1103</f>
        <v>0</v>
      </c>
      <c r="H1103" s="57">
        <f>CRM_MAGDY!M1103</f>
        <v>0</v>
      </c>
      <c r="I1103" s="57">
        <f t="shared" si="34"/>
        <v>0</v>
      </c>
      <c r="J1103" s="57" t="str">
        <f t="shared" si="35"/>
        <v>POTENCJAŁ</v>
      </c>
    </row>
    <row r="1104" spans="1:10" x14ac:dyDescent="0.25">
      <c r="A1104" s="57" t="str">
        <f>IF(CRM_MAGDY!H1104="","","CRM-"&amp;TEXT(ROW()-4,"0000"))</f>
        <v/>
      </c>
      <c r="B1104" s="57">
        <f>CRM_MAGDY!E1104</f>
        <v>0</v>
      </c>
      <c r="C1104" s="57">
        <f>CRM_MAGDY!H1104</f>
        <v>0</v>
      </c>
      <c r="D1104" s="57">
        <f>CRM_MAGDY!I1104</f>
        <v>0</v>
      </c>
      <c r="E1104" s="57">
        <f>IFERROR(VALUE(CRM_MAGDY!K1104),0)</f>
        <v>0</v>
      </c>
      <c r="F1104" s="57">
        <f>IFERROR(IF(CRM_MAGDY!L1104&gt;1,CRM_MAGDY!L1104/100,CRM_MAGDY!L1104),0)</f>
        <v>0</v>
      </c>
      <c r="G1104" s="57">
        <f>CRM_MAGDY!N1104</f>
        <v>0</v>
      </c>
      <c r="H1104" s="57">
        <f>CRM_MAGDY!M1104</f>
        <v>0</v>
      </c>
      <c r="I1104" s="57">
        <f t="shared" si="34"/>
        <v>0</v>
      </c>
      <c r="J1104" s="57" t="str">
        <f t="shared" si="35"/>
        <v>POTENCJAŁ</v>
      </c>
    </row>
    <row r="1105" spans="1:10" x14ac:dyDescent="0.25">
      <c r="A1105" s="57" t="str">
        <f>IF(CRM_MAGDY!H1105="","","CRM-"&amp;TEXT(ROW()-4,"0000"))</f>
        <v/>
      </c>
      <c r="B1105" s="57">
        <f>CRM_MAGDY!E1105</f>
        <v>0</v>
      </c>
      <c r="C1105" s="57">
        <f>CRM_MAGDY!H1105</f>
        <v>0</v>
      </c>
      <c r="D1105" s="57">
        <f>CRM_MAGDY!I1105</f>
        <v>0</v>
      </c>
      <c r="E1105" s="57">
        <f>IFERROR(VALUE(CRM_MAGDY!K1105),0)</f>
        <v>0</v>
      </c>
      <c r="F1105" s="57">
        <f>IFERROR(IF(CRM_MAGDY!L1105&gt;1,CRM_MAGDY!L1105/100,CRM_MAGDY!L1105),0)</f>
        <v>0</v>
      </c>
      <c r="G1105" s="57">
        <f>CRM_MAGDY!N1105</f>
        <v>0</v>
      </c>
      <c r="H1105" s="57">
        <f>CRM_MAGDY!M1105</f>
        <v>0</v>
      </c>
      <c r="I1105" s="57">
        <f t="shared" si="34"/>
        <v>0</v>
      </c>
      <c r="J1105" s="57" t="str">
        <f t="shared" si="35"/>
        <v>POTENCJAŁ</v>
      </c>
    </row>
    <row r="1106" spans="1:10" x14ac:dyDescent="0.25">
      <c r="A1106" s="57" t="str">
        <f>IF(CRM_MAGDY!H1106="","","CRM-"&amp;TEXT(ROW()-4,"0000"))</f>
        <v/>
      </c>
      <c r="B1106" s="57">
        <f>CRM_MAGDY!E1106</f>
        <v>0</v>
      </c>
      <c r="C1106" s="57">
        <f>CRM_MAGDY!H1106</f>
        <v>0</v>
      </c>
      <c r="D1106" s="57">
        <f>CRM_MAGDY!I1106</f>
        <v>0</v>
      </c>
      <c r="E1106" s="57">
        <f>IFERROR(VALUE(CRM_MAGDY!K1106),0)</f>
        <v>0</v>
      </c>
      <c r="F1106" s="57">
        <f>IFERROR(IF(CRM_MAGDY!L1106&gt;1,CRM_MAGDY!L1106/100,CRM_MAGDY!L1106),0)</f>
        <v>0</v>
      </c>
      <c r="G1106" s="57">
        <f>CRM_MAGDY!N1106</f>
        <v>0</v>
      </c>
      <c r="H1106" s="57">
        <f>CRM_MAGDY!M1106</f>
        <v>0</v>
      </c>
      <c r="I1106" s="57">
        <f t="shared" si="34"/>
        <v>0</v>
      </c>
      <c r="J1106" s="57" t="str">
        <f t="shared" si="35"/>
        <v>POTENCJAŁ</v>
      </c>
    </row>
    <row r="1107" spans="1:10" x14ac:dyDescent="0.25">
      <c r="A1107" s="57" t="str">
        <f>IF(CRM_MAGDY!H1107="","","CRM-"&amp;TEXT(ROW()-4,"0000"))</f>
        <v/>
      </c>
      <c r="B1107" s="57">
        <f>CRM_MAGDY!E1107</f>
        <v>0</v>
      </c>
      <c r="C1107" s="57">
        <f>CRM_MAGDY!H1107</f>
        <v>0</v>
      </c>
      <c r="D1107" s="57">
        <f>CRM_MAGDY!I1107</f>
        <v>0</v>
      </c>
      <c r="E1107" s="57">
        <f>IFERROR(VALUE(CRM_MAGDY!K1107),0)</f>
        <v>0</v>
      </c>
      <c r="F1107" s="57">
        <f>IFERROR(IF(CRM_MAGDY!L1107&gt;1,CRM_MAGDY!L1107/100,CRM_MAGDY!L1107),0)</f>
        <v>0</v>
      </c>
      <c r="G1107" s="57">
        <f>CRM_MAGDY!N1107</f>
        <v>0</v>
      </c>
      <c r="H1107" s="57">
        <f>CRM_MAGDY!M1107</f>
        <v>0</v>
      </c>
      <c r="I1107" s="57">
        <f t="shared" si="34"/>
        <v>0</v>
      </c>
      <c r="J1107" s="57" t="str">
        <f t="shared" si="35"/>
        <v>POTENCJAŁ</v>
      </c>
    </row>
    <row r="1108" spans="1:10" x14ac:dyDescent="0.25">
      <c r="A1108" s="57" t="str">
        <f>IF(CRM_MAGDY!H1108="","","CRM-"&amp;TEXT(ROW()-4,"0000"))</f>
        <v/>
      </c>
      <c r="B1108" s="57">
        <f>CRM_MAGDY!E1108</f>
        <v>0</v>
      </c>
      <c r="C1108" s="57">
        <f>CRM_MAGDY!H1108</f>
        <v>0</v>
      </c>
      <c r="D1108" s="57">
        <f>CRM_MAGDY!I1108</f>
        <v>0</v>
      </c>
      <c r="E1108" s="57">
        <f>IFERROR(VALUE(CRM_MAGDY!K1108),0)</f>
        <v>0</v>
      </c>
      <c r="F1108" s="57">
        <f>IFERROR(IF(CRM_MAGDY!L1108&gt;1,CRM_MAGDY!L1108/100,CRM_MAGDY!L1108),0)</f>
        <v>0</v>
      </c>
      <c r="G1108" s="57">
        <f>CRM_MAGDY!N1108</f>
        <v>0</v>
      </c>
      <c r="H1108" s="57">
        <f>CRM_MAGDY!M1108</f>
        <v>0</v>
      </c>
      <c r="I1108" s="57">
        <f t="shared" si="34"/>
        <v>0</v>
      </c>
      <c r="J1108" s="57" t="str">
        <f t="shared" si="35"/>
        <v>POTENCJAŁ</v>
      </c>
    </row>
    <row r="1109" spans="1:10" x14ac:dyDescent="0.25">
      <c r="A1109" s="57" t="str">
        <f>IF(CRM_MAGDY!H1109="","","CRM-"&amp;TEXT(ROW()-4,"0000"))</f>
        <v/>
      </c>
      <c r="B1109" s="57">
        <f>CRM_MAGDY!E1109</f>
        <v>0</v>
      </c>
      <c r="C1109" s="57">
        <f>CRM_MAGDY!H1109</f>
        <v>0</v>
      </c>
      <c r="D1109" s="57">
        <f>CRM_MAGDY!I1109</f>
        <v>0</v>
      </c>
      <c r="E1109" s="57">
        <f>IFERROR(VALUE(CRM_MAGDY!K1109),0)</f>
        <v>0</v>
      </c>
      <c r="F1109" s="57">
        <f>IFERROR(IF(CRM_MAGDY!L1109&gt;1,CRM_MAGDY!L1109/100,CRM_MAGDY!L1109),0)</f>
        <v>0</v>
      </c>
      <c r="G1109" s="57">
        <f>CRM_MAGDY!N1109</f>
        <v>0</v>
      </c>
      <c r="H1109" s="57">
        <f>CRM_MAGDY!M1109</f>
        <v>0</v>
      </c>
      <c r="I1109" s="57">
        <f t="shared" si="34"/>
        <v>0</v>
      </c>
      <c r="J1109" s="57" t="str">
        <f t="shared" si="35"/>
        <v>POTENCJAŁ</v>
      </c>
    </row>
    <row r="1110" spans="1:10" x14ac:dyDescent="0.25">
      <c r="A1110" s="57" t="str">
        <f>IF(CRM_MAGDY!H1110="","","CRM-"&amp;TEXT(ROW()-4,"0000"))</f>
        <v/>
      </c>
      <c r="B1110" s="57">
        <f>CRM_MAGDY!E1110</f>
        <v>0</v>
      </c>
      <c r="C1110" s="57">
        <f>CRM_MAGDY!H1110</f>
        <v>0</v>
      </c>
      <c r="D1110" s="57">
        <f>CRM_MAGDY!I1110</f>
        <v>0</v>
      </c>
      <c r="E1110" s="57">
        <f>IFERROR(VALUE(CRM_MAGDY!K1110),0)</f>
        <v>0</v>
      </c>
      <c r="F1110" s="57">
        <f>IFERROR(IF(CRM_MAGDY!L1110&gt;1,CRM_MAGDY!L1110/100,CRM_MAGDY!L1110),0)</f>
        <v>0</v>
      </c>
      <c r="G1110" s="57">
        <f>CRM_MAGDY!N1110</f>
        <v>0</v>
      </c>
      <c r="H1110" s="57">
        <f>CRM_MAGDY!M1110</f>
        <v>0</v>
      </c>
      <c r="I1110" s="57">
        <f t="shared" si="34"/>
        <v>0</v>
      </c>
      <c r="J1110" s="57" t="str">
        <f t="shared" si="35"/>
        <v>POTENCJAŁ</v>
      </c>
    </row>
    <row r="1111" spans="1:10" x14ac:dyDescent="0.25">
      <c r="A1111" s="57" t="str">
        <f>IF(CRM_MAGDY!H1111="","","CRM-"&amp;TEXT(ROW()-4,"0000"))</f>
        <v/>
      </c>
      <c r="B1111" s="57">
        <f>CRM_MAGDY!E1111</f>
        <v>0</v>
      </c>
      <c r="C1111" s="57">
        <f>CRM_MAGDY!H1111</f>
        <v>0</v>
      </c>
      <c r="D1111" s="57">
        <f>CRM_MAGDY!I1111</f>
        <v>0</v>
      </c>
      <c r="E1111" s="57">
        <f>IFERROR(VALUE(CRM_MAGDY!K1111),0)</f>
        <v>0</v>
      </c>
      <c r="F1111" s="57">
        <f>IFERROR(IF(CRM_MAGDY!L1111&gt;1,CRM_MAGDY!L1111/100,CRM_MAGDY!L1111),0)</f>
        <v>0</v>
      </c>
      <c r="G1111" s="57">
        <f>CRM_MAGDY!N1111</f>
        <v>0</v>
      </c>
      <c r="H1111" s="57">
        <f>CRM_MAGDY!M1111</f>
        <v>0</v>
      </c>
      <c r="I1111" s="57">
        <f t="shared" si="34"/>
        <v>0</v>
      </c>
      <c r="J1111" s="57" t="str">
        <f t="shared" si="35"/>
        <v>POTENCJAŁ</v>
      </c>
    </row>
    <row r="1112" spans="1:10" x14ac:dyDescent="0.25">
      <c r="A1112" s="57" t="str">
        <f>IF(CRM_MAGDY!H1112="","","CRM-"&amp;TEXT(ROW()-4,"0000"))</f>
        <v/>
      </c>
      <c r="B1112" s="57">
        <f>CRM_MAGDY!E1112</f>
        <v>0</v>
      </c>
      <c r="C1112" s="57">
        <f>CRM_MAGDY!H1112</f>
        <v>0</v>
      </c>
      <c r="D1112" s="57">
        <f>CRM_MAGDY!I1112</f>
        <v>0</v>
      </c>
      <c r="E1112" s="57">
        <f>IFERROR(VALUE(CRM_MAGDY!K1112),0)</f>
        <v>0</v>
      </c>
      <c r="F1112" s="57">
        <f>IFERROR(IF(CRM_MAGDY!L1112&gt;1,CRM_MAGDY!L1112/100,CRM_MAGDY!L1112),0)</f>
        <v>0</v>
      </c>
      <c r="G1112" s="57">
        <f>CRM_MAGDY!N1112</f>
        <v>0</v>
      </c>
      <c r="H1112" s="57">
        <f>CRM_MAGDY!M1112</f>
        <v>0</v>
      </c>
      <c r="I1112" s="57">
        <f t="shared" si="34"/>
        <v>0</v>
      </c>
      <c r="J1112" s="57" t="str">
        <f t="shared" si="35"/>
        <v>POTENCJAŁ</v>
      </c>
    </row>
    <row r="1113" spans="1:10" x14ac:dyDescent="0.25">
      <c r="A1113" s="57" t="str">
        <f>IF(CRM_MAGDY!H1113="","","CRM-"&amp;TEXT(ROW()-4,"0000"))</f>
        <v/>
      </c>
      <c r="B1113" s="57">
        <f>CRM_MAGDY!E1113</f>
        <v>0</v>
      </c>
      <c r="C1113" s="57">
        <f>CRM_MAGDY!H1113</f>
        <v>0</v>
      </c>
      <c r="D1113" s="57">
        <f>CRM_MAGDY!I1113</f>
        <v>0</v>
      </c>
      <c r="E1113" s="57">
        <f>IFERROR(VALUE(CRM_MAGDY!K1113),0)</f>
        <v>0</v>
      </c>
      <c r="F1113" s="57">
        <f>IFERROR(IF(CRM_MAGDY!L1113&gt;1,CRM_MAGDY!L1113/100,CRM_MAGDY!L1113),0)</f>
        <v>0</v>
      </c>
      <c r="G1113" s="57">
        <f>CRM_MAGDY!N1113</f>
        <v>0</v>
      </c>
      <c r="H1113" s="57">
        <f>CRM_MAGDY!M1113</f>
        <v>0</v>
      </c>
      <c r="I1113" s="57">
        <f t="shared" si="34"/>
        <v>0</v>
      </c>
      <c r="J1113" s="57" t="str">
        <f t="shared" si="35"/>
        <v>POTENCJAŁ</v>
      </c>
    </row>
    <row r="1114" spans="1:10" x14ac:dyDescent="0.25">
      <c r="A1114" s="57" t="str">
        <f>IF(CRM_MAGDY!H1114="","","CRM-"&amp;TEXT(ROW()-4,"0000"))</f>
        <v/>
      </c>
      <c r="B1114" s="57">
        <f>CRM_MAGDY!E1114</f>
        <v>0</v>
      </c>
      <c r="C1114" s="57">
        <f>CRM_MAGDY!H1114</f>
        <v>0</v>
      </c>
      <c r="D1114" s="57">
        <f>CRM_MAGDY!I1114</f>
        <v>0</v>
      </c>
      <c r="E1114" s="57">
        <f>IFERROR(VALUE(CRM_MAGDY!K1114),0)</f>
        <v>0</v>
      </c>
      <c r="F1114" s="57">
        <f>IFERROR(IF(CRM_MAGDY!L1114&gt;1,CRM_MAGDY!L1114/100,CRM_MAGDY!L1114),0)</f>
        <v>0</v>
      </c>
      <c r="G1114" s="57">
        <f>CRM_MAGDY!N1114</f>
        <v>0</v>
      </c>
      <c r="H1114" s="57">
        <f>CRM_MAGDY!M1114</f>
        <v>0</v>
      </c>
      <c r="I1114" s="57">
        <f t="shared" si="34"/>
        <v>0</v>
      </c>
      <c r="J1114" s="57" t="str">
        <f t="shared" si="35"/>
        <v>POTENCJAŁ</v>
      </c>
    </row>
    <row r="1115" spans="1:10" x14ac:dyDescent="0.25">
      <c r="A1115" s="57" t="str">
        <f>IF(CRM_MAGDY!H1115="","","CRM-"&amp;TEXT(ROW()-4,"0000"))</f>
        <v/>
      </c>
      <c r="B1115" s="57">
        <f>CRM_MAGDY!E1115</f>
        <v>0</v>
      </c>
      <c r="C1115" s="57">
        <f>CRM_MAGDY!H1115</f>
        <v>0</v>
      </c>
      <c r="D1115" s="57">
        <f>CRM_MAGDY!I1115</f>
        <v>0</v>
      </c>
      <c r="E1115" s="57">
        <f>IFERROR(VALUE(CRM_MAGDY!K1115),0)</f>
        <v>0</v>
      </c>
      <c r="F1115" s="57">
        <f>IFERROR(IF(CRM_MAGDY!L1115&gt;1,CRM_MAGDY!L1115/100,CRM_MAGDY!L1115),0)</f>
        <v>0</v>
      </c>
      <c r="G1115" s="57">
        <f>CRM_MAGDY!N1115</f>
        <v>0</v>
      </c>
      <c r="H1115" s="57">
        <f>CRM_MAGDY!M1115</f>
        <v>0</v>
      </c>
      <c r="I1115" s="57">
        <f t="shared" si="34"/>
        <v>0</v>
      </c>
      <c r="J1115" s="57" t="str">
        <f t="shared" si="35"/>
        <v>POTENCJAŁ</v>
      </c>
    </row>
    <row r="1116" spans="1:10" x14ac:dyDescent="0.25">
      <c r="A1116" s="57" t="str">
        <f>IF(CRM_MAGDY!H1116="","","CRM-"&amp;TEXT(ROW()-4,"0000"))</f>
        <v/>
      </c>
      <c r="B1116" s="57">
        <f>CRM_MAGDY!E1116</f>
        <v>0</v>
      </c>
      <c r="C1116" s="57">
        <f>CRM_MAGDY!H1116</f>
        <v>0</v>
      </c>
      <c r="D1116" s="57">
        <f>CRM_MAGDY!I1116</f>
        <v>0</v>
      </c>
      <c r="E1116" s="57">
        <f>IFERROR(VALUE(CRM_MAGDY!K1116),0)</f>
        <v>0</v>
      </c>
      <c r="F1116" s="57">
        <f>IFERROR(IF(CRM_MAGDY!L1116&gt;1,CRM_MAGDY!L1116/100,CRM_MAGDY!L1116),0)</f>
        <v>0</v>
      </c>
      <c r="G1116" s="57">
        <f>CRM_MAGDY!N1116</f>
        <v>0</v>
      </c>
      <c r="H1116" s="57">
        <f>CRM_MAGDY!M1116</f>
        <v>0</v>
      </c>
      <c r="I1116" s="57">
        <f t="shared" si="34"/>
        <v>0</v>
      </c>
      <c r="J1116" s="57" t="str">
        <f t="shared" si="35"/>
        <v>POTENCJAŁ</v>
      </c>
    </row>
    <row r="1117" spans="1:10" x14ac:dyDescent="0.25">
      <c r="A1117" s="57" t="str">
        <f>IF(CRM_MAGDY!H1117="","","CRM-"&amp;TEXT(ROW()-4,"0000"))</f>
        <v/>
      </c>
      <c r="B1117" s="57">
        <f>CRM_MAGDY!E1117</f>
        <v>0</v>
      </c>
      <c r="C1117" s="57">
        <f>CRM_MAGDY!H1117</f>
        <v>0</v>
      </c>
      <c r="D1117" s="57">
        <f>CRM_MAGDY!I1117</f>
        <v>0</v>
      </c>
      <c r="E1117" s="57">
        <f>IFERROR(VALUE(CRM_MAGDY!K1117),0)</f>
        <v>0</v>
      </c>
      <c r="F1117" s="57">
        <f>IFERROR(IF(CRM_MAGDY!L1117&gt;1,CRM_MAGDY!L1117/100,CRM_MAGDY!L1117),0)</f>
        <v>0</v>
      </c>
      <c r="G1117" s="57">
        <f>CRM_MAGDY!N1117</f>
        <v>0</v>
      </c>
      <c r="H1117" s="57">
        <f>CRM_MAGDY!M1117</f>
        <v>0</v>
      </c>
      <c r="I1117" s="57">
        <f t="shared" si="34"/>
        <v>0</v>
      </c>
      <c r="J1117" s="57" t="str">
        <f t="shared" si="35"/>
        <v>POTENCJAŁ</v>
      </c>
    </row>
    <row r="1118" spans="1:10" x14ac:dyDescent="0.25">
      <c r="A1118" s="57" t="str">
        <f>IF(CRM_MAGDY!H1118="","","CRM-"&amp;TEXT(ROW()-4,"0000"))</f>
        <v/>
      </c>
      <c r="B1118" s="57">
        <f>CRM_MAGDY!E1118</f>
        <v>0</v>
      </c>
      <c r="C1118" s="57">
        <f>CRM_MAGDY!H1118</f>
        <v>0</v>
      </c>
      <c r="D1118" s="57">
        <f>CRM_MAGDY!I1118</f>
        <v>0</v>
      </c>
      <c r="E1118" s="57">
        <f>IFERROR(VALUE(CRM_MAGDY!K1118),0)</f>
        <v>0</v>
      </c>
      <c r="F1118" s="57">
        <f>IFERROR(IF(CRM_MAGDY!L1118&gt;1,CRM_MAGDY!L1118/100,CRM_MAGDY!L1118),0)</f>
        <v>0</v>
      </c>
      <c r="G1118" s="57">
        <f>CRM_MAGDY!N1118</f>
        <v>0</v>
      </c>
      <c r="H1118" s="57">
        <f>CRM_MAGDY!M1118</f>
        <v>0</v>
      </c>
      <c r="I1118" s="57">
        <f t="shared" si="34"/>
        <v>0</v>
      </c>
      <c r="J1118" s="57" t="str">
        <f t="shared" si="35"/>
        <v>POTENCJAŁ</v>
      </c>
    </row>
    <row r="1119" spans="1:10" x14ac:dyDescent="0.25">
      <c r="A1119" s="57" t="str">
        <f>IF(CRM_MAGDY!H1119="","","CRM-"&amp;TEXT(ROW()-4,"0000"))</f>
        <v/>
      </c>
      <c r="B1119" s="57">
        <f>CRM_MAGDY!E1119</f>
        <v>0</v>
      </c>
      <c r="C1119" s="57">
        <f>CRM_MAGDY!H1119</f>
        <v>0</v>
      </c>
      <c r="D1119" s="57">
        <f>CRM_MAGDY!I1119</f>
        <v>0</v>
      </c>
      <c r="E1119" s="57">
        <f>IFERROR(VALUE(CRM_MAGDY!K1119),0)</f>
        <v>0</v>
      </c>
      <c r="F1119" s="57">
        <f>IFERROR(IF(CRM_MAGDY!L1119&gt;1,CRM_MAGDY!L1119/100,CRM_MAGDY!L1119),0)</f>
        <v>0</v>
      </c>
      <c r="G1119" s="57">
        <f>CRM_MAGDY!N1119</f>
        <v>0</v>
      </c>
      <c r="H1119" s="57">
        <f>CRM_MAGDY!M1119</f>
        <v>0</v>
      </c>
      <c r="I1119" s="57">
        <f t="shared" si="34"/>
        <v>0</v>
      </c>
      <c r="J1119" s="57" t="str">
        <f t="shared" si="35"/>
        <v>POTENCJAŁ</v>
      </c>
    </row>
    <row r="1120" spans="1:10" x14ac:dyDescent="0.25">
      <c r="A1120" s="57" t="str">
        <f>IF(CRM_MAGDY!H1120="","","CRM-"&amp;TEXT(ROW()-4,"0000"))</f>
        <v/>
      </c>
      <c r="B1120" s="57">
        <f>CRM_MAGDY!E1120</f>
        <v>0</v>
      </c>
      <c r="C1120" s="57">
        <f>CRM_MAGDY!H1120</f>
        <v>0</v>
      </c>
      <c r="D1120" s="57">
        <f>CRM_MAGDY!I1120</f>
        <v>0</v>
      </c>
      <c r="E1120" s="57">
        <f>IFERROR(VALUE(CRM_MAGDY!K1120),0)</f>
        <v>0</v>
      </c>
      <c r="F1120" s="57">
        <f>IFERROR(IF(CRM_MAGDY!L1120&gt;1,CRM_MAGDY!L1120/100,CRM_MAGDY!L1120),0)</f>
        <v>0</v>
      </c>
      <c r="G1120" s="57">
        <f>CRM_MAGDY!N1120</f>
        <v>0</v>
      </c>
      <c r="H1120" s="57">
        <f>CRM_MAGDY!M1120</f>
        <v>0</v>
      </c>
      <c r="I1120" s="57">
        <f t="shared" si="34"/>
        <v>0</v>
      </c>
      <c r="J1120" s="57" t="str">
        <f t="shared" si="35"/>
        <v>POTENCJAŁ</v>
      </c>
    </row>
    <row r="1121" spans="1:10" x14ac:dyDescent="0.25">
      <c r="A1121" s="57" t="str">
        <f>IF(CRM_MAGDY!H1121="","","CRM-"&amp;TEXT(ROW()-4,"0000"))</f>
        <v/>
      </c>
      <c r="B1121" s="57">
        <f>CRM_MAGDY!E1121</f>
        <v>0</v>
      </c>
      <c r="C1121" s="57">
        <f>CRM_MAGDY!H1121</f>
        <v>0</v>
      </c>
      <c r="D1121" s="57">
        <f>CRM_MAGDY!I1121</f>
        <v>0</v>
      </c>
      <c r="E1121" s="57">
        <f>IFERROR(VALUE(CRM_MAGDY!K1121),0)</f>
        <v>0</v>
      </c>
      <c r="F1121" s="57">
        <f>IFERROR(IF(CRM_MAGDY!L1121&gt;1,CRM_MAGDY!L1121/100,CRM_MAGDY!L1121),0)</f>
        <v>0</v>
      </c>
      <c r="G1121" s="57">
        <f>CRM_MAGDY!N1121</f>
        <v>0</v>
      </c>
      <c r="H1121" s="57">
        <f>CRM_MAGDY!M1121</f>
        <v>0</v>
      </c>
      <c r="I1121" s="57">
        <f t="shared" si="34"/>
        <v>0</v>
      </c>
      <c r="J1121" s="57" t="str">
        <f t="shared" si="35"/>
        <v>POTENCJAŁ</v>
      </c>
    </row>
    <row r="1122" spans="1:10" x14ac:dyDescent="0.25">
      <c r="A1122" s="57" t="str">
        <f>IF(CRM_MAGDY!H1122="","","CRM-"&amp;TEXT(ROW()-4,"0000"))</f>
        <v/>
      </c>
      <c r="B1122" s="57">
        <f>CRM_MAGDY!E1122</f>
        <v>0</v>
      </c>
      <c r="C1122" s="57">
        <f>CRM_MAGDY!H1122</f>
        <v>0</v>
      </c>
      <c r="D1122" s="57">
        <f>CRM_MAGDY!I1122</f>
        <v>0</v>
      </c>
      <c r="E1122" s="57">
        <f>IFERROR(VALUE(CRM_MAGDY!K1122),0)</f>
        <v>0</v>
      </c>
      <c r="F1122" s="57">
        <f>IFERROR(IF(CRM_MAGDY!L1122&gt;1,CRM_MAGDY!L1122/100,CRM_MAGDY!L1122),0)</f>
        <v>0</v>
      </c>
      <c r="G1122" s="57">
        <f>CRM_MAGDY!N1122</f>
        <v>0</v>
      </c>
      <c r="H1122" s="57">
        <f>CRM_MAGDY!M1122</f>
        <v>0</v>
      </c>
      <c r="I1122" s="57">
        <f t="shared" si="34"/>
        <v>0</v>
      </c>
      <c r="J1122" s="57" t="str">
        <f t="shared" si="35"/>
        <v>POTENCJAŁ</v>
      </c>
    </row>
    <row r="1123" spans="1:10" x14ac:dyDescent="0.25">
      <c r="A1123" s="57" t="str">
        <f>IF(CRM_MAGDY!H1123="","","CRM-"&amp;TEXT(ROW()-4,"0000"))</f>
        <v/>
      </c>
      <c r="B1123" s="57">
        <f>CRM_MAGDY!E1123</f>
        <v>0</v>
      </c>
      <c r="C1123" s="57">
        <f>CRM_MAGDY!H1123</f>
        <v>0</v>
      </c>
      <c r="D1123" s="57">
        <f>CRM_MAGDY!I1123</f>
        <v>0</v>
      </c>
      <c r="E1123" s="57">
        <f>IFERROR(VALUE(CRM_MAGDY!K1123),0)</f>
        <v>0</v>
      </c>
      <c r="F1123" s="57">
        <f>IFERROR(IF(CRM_MAGDY!L1123&gt;1,CRM_MAGDY!L1123/100,CRM_MAGDY!L1123),0)</f>
        <v>0</v>
      </c>
      <c r="G1123" s="57">
        <f>CRM_MAGDY!N1123</f>
        <v>0</v>
      </c>
      <c r="H1123" s="57">
        <f>CRM_MAGDY!M1123</f>
        <v>0</v>
      </c>
      <c r="I1123" s="57">
        <f t="shared" si="34"/>
        <v>0</v>
      </c>
      <c r="J1123" s="57" t="str">
        <f t="shared" si="35"/>
        <v>POTENCJAŁ</v>
      </c>
    </row>
    <row r="1124" spans="1:10" x14ac:dyDescent="0.25">
      <c r="A1124" s="57" t="str">
        <f>IF(CRM_MAGDY!H1124="","","CRM-"&amp;TEXT(ROW()-4,"0000"))</f>
        <v/>
      </c>
      <c r="B1124" s="57">
        <f>CRM_MAGDY!E1124</f>
        <v>0</v>
      </c>
      <c r="C1124" s="57">
        <f>CRM_MAGDY!H1124</f>
        <v>0</v>
      </c>
      <c r="D1124" s="57">
        <f>CRM_MAGDY!I1124</f>
        <v>0</v>
      </c>
      <c r="E1124" s="57">
        <f>IFERROR(VALUE(CRM_MAGDY!K1124),0)</f>
        <v>0</v>
      </c>
      <c r="F1124" s="57">
        <f>IFERROR(IF(CRM_MAGDY!L1124&gt;1,CRM_MAGDY!L1124/100,CRM_MAGDY!L1124),0)</f>
        <v>0</v>
      </c>
      <c r="G1124" s="57">
        <f>CRM_MAGDY!N1124</f>
        <v>0</v>
      </c>
      <c r="H1124" s="57">
        <f>CRM_MAGDY!M1124</f>
        <v>0</v>
      </c>
      <c r="I1124" s="57">
        <f t="shared" si="34"/>
        <v>0</v>
      </c>
      <c r="J1124" s="57" t="str">
        <f t="shared" si="35"/>
        <v>POTENCJAŁ</v>
      </c>
    </row>
    <row r="1125" spans="1:10" x14ac:dyDescent="0.25">
      <c r="A1125" s="57" t="str">
        <f>IF(CRM_MAGDY!H1125="","","CRM-"&amp;TEXT(ROW()-4,"0000"))</f>
        <v/>
      </c>
      <c r="B1125" s="57">
        <f>CRM_MAGDY!E1125</f>
        <v>0</v>
      </c>
      <c r="C1125" s="57">
        <f>CRM_MAGDY!H1125</f>
        <v>0</v>
      </c>
      <c r="D1125" s="57">
        <f>CRM_MAGDY!I1125</f>
        <v>0</v>
      </c>
      <c r="E1125" s="57">
        <f>IFERROR(VALUE(CRM_MAGDY!K1125),0)</f>
        <v>0</v>
      </c>
      <c r="F1125" s="57">
        <f>IFERROR(IF(CRM_MAGDY!L1125&gt;1,CRM_MAGDY!L1125/100,CRM_MAGDY!L1125),0)</f>
        <v>0</v>
      </c>
      <c r="G1125" s="57">
        <f>CRM_MAGDY!N1125</f>
        <v>0</v>
      </c>
      <c r="H1125" s="57">
        <f>CRM_MAGDY!M1125</f>
        <v>0</v>
      </c>
      <c r="I1125" s="57">
        <f t="shared" si="34"/>
        <v>0</v>
      </c>
      <c r="J1125" s="57" t="str">
        <f t="shared" si="35"/>
        <v>POTENCJAŁ</v>
      </c>
    </row>
    <row r="1126" spans="1:10" x14ac:dyDescent="0.25">
      <c r="A1126" s="57" t="str">
        <f>IF(CRM_MAGDY!H1126="","","CRM-"&amp;TEXT(ROW()-4,"0000"))</f>
        <v/>
      </c>
      <c r="B1126" s="57">
        <f>CRM_MAGDY!E1126</f>
        <v>0</v>
      </c>
      <c r="C1126" s="57">
        <f>CRM_MAGDY!H1126</f>
        <v>0</v>
      </c>
      <c r="D1126" s="57">
        <f>CRM_MAGDY!I1126</f>
        <v>0</v>
      </c>
      <c r="E1126" s="57">
        <f>IFERROR(VALUE(CRM_MAGDY!K1126),0)</f>
        <v>0</v>
      </c>
      <c r="F1126" s="57">
        <f>IFERROR(IF(CRM_MAGDY!L1126&gt;1,CRM_MAGDY!L1126/100,CRM_MAGDY!L1126),0)</f>
        <v>0</v>
      </c>
      <c r="G1126" s="57">
        <f>CRM_MAGDY!N1126</f>
        <v>0</v>
      </c>
      <c r="H1126" s="57">
        <f>CRM_MAGDY!M1126</f>
        <v>0</v>
      </c>
      <c r="I1126" s="57">
        <f t="shared" si="34"/>
        <v>0</v>
      </c>
      <c r="J1126" s="57" t="str">
        <f t="shared" si="35"/>
        <v>POTENCJAŁ</v>
      </c>
    </row>
    <row r="1127" spans="1:10" x14ac:dyDescent="0.25">
      <c r="A1127" s="57" t="str">
        <f>IF(CRM_MAGDY!H1127="","","CRM-"&amp;TEXT(ROW()-4,"0000"))</f>
        <v/>
      </c>
      <c r="B1127" s="57">
        <f>CRM_MAGDY!E1127</f>
        <v>0</v>
      </c>
      <c r="C1127" s="57">
        <f>CRM_MAGDY!H1127</f>
        <v>0</v>
      </c>
      <c r="D1127" s="57">
        <f>CRM_MAGDY!I1127</f>
        <v>0</v>
      </c>
      <c r="E1127" s="57">
        <f>IFERROR(VALUE(CRM_MAGDY!K1127),0)</f>
        <v>0</v>
      </c>
      <c r="F1127" s="57">
        <f>IFERROR(IF(CRM_MAGDY!L1127&gt;1,CRM_MAGDY!L1127/100,CRM_MAGDY!L1127),0)</f>
        <v>0</v>
      </c>
      <c r="G1127" s="57">
        <f>CRM_MAGDY!N1127</f>
        <v>0</v>
      </c>
      <c r="H1127" s="57">
        <f>CRM_MAGDY!M1127</f>
        <v>0</v>
      </c>
      <c r="I1127" s="57">
        <f t="shared" si="34"/>
        <v>0</v>
      </c>
      <c r="J1127" s="57" t="str">
        <f t="shared" si="35"/>
        <v>POTENCJAŁ</v>
      </c>
    </row>
    <row r="1128" spans="1:10" x14ac:dyDescent="0.25">
      <c r="A1128" s="57" t="str">
        <f>IF(CRM_MAGDY!H1128="","","CRM-"&amp;TEXT(ROW()-4,"0000"))</f>
        <v/>
      </c>
      <c r="B1128" s="57">
        <f>CRM_MAGDY!E1128</f>
        <v>0</v>
      </c>
      <c r="C1128" s="57">
        <f>CRM_MAGDY!H1128</f>
        <v>0</v>
      </c>
      <c r="D1128" s="57">
        <f>CRM_MAGDY!I1128</f>
        <v>0</v>
      </c>
      <c r="E1128" s="57">
        <f>IFERROR(VALUE(CRM_MAGDY!K1128),0)</f>
        <v>0</v>
      </c>
      <c r="F1128" s="57">
        <f>IFERROR(IF(CRM_MAGDY!L1128&gt;1,CRM_MAGDY!L1128/100,CRM_MAGDY!L1128),0)</f>
        <v>0</v>
      </c>
      <c r="G1128" s="57">
        <f>CRM_MAGDY!N1128</f>
        <v>0</v>
      </c>
      <c r="H1128" s="57">
        <f>CRM_MAGDY!M1128</f>
        <v>0</v>
      </c>
      <c r="I1128" s="57">
        <f t="shared" si="34"/>
        <v>0</v>
      </c>
      <c r="J1128" s="57" t="str">
        <f t="shared" si="35"/>
        <v>POTENCJAŁ</v>
      </c>
    </row>
    <row r="1129" spans="1:10" x14ac:dyDescent="0.25">
      <c r="A1129" s="57" t="str">
        <f>IF(CRM_MAGDY!H1129="","","CRM-"&amp;TEXT(ROW()-4,"0000"))</f>
        <v/>
      </c>
      <c r="B1129" s="57">
        <f>CRM_MAGDY!E1129</f>
        <v>0</v>
      </c>
      <c r="C1129" s="57">
        <f>CRM_MAGDY!H1129</f>
        <v>0</v>
      </c>
      <c r="D1129" s="57">
        <f>CRM_MAGDY!I1129</f>
        <v>0</v>
      </c>
      <c r="E1129" s="57">
        <f>IFERROR(VALUE(CRM_MAGDY!K1129),0)</f>
        <v>0</v>
      </c>
      <c r="F1129" s="57">
        <f>IFERROR(IF(CRM_MAGDY!L1129&gt;1,CRM_MAGDY!L1129/100,CRM_MAGDY!L1129),0)</f>
        <v>0</v>
      </c>
      <c r="G1129" s="57">
        <f>CRM_MAGDY!N1129</f>
        <v>0</v>
      </c>
      <c r="H1129" s="57">
        <f>CRM_MAGDY!M1129</f>
        <v>0</v>
      </c>
      <c r="I1129" s="57">
        <f t="shared" si="34"/>
        <v>0</v>
      </c>
      <c r="J1129" s="57" t="str">
        <f t="shared" si="35"/>
        <v>POTENCJAŁ</v>
      </c>
    </row>
    <row r="1130" spans="1:10" x14ac:dyDescent="0.25">
      <c r="A1130" s="57" t="str">
        <f>IF(CRM_MAGDY!H1130="","","CRM-"&amp;TEXT(ROW()-4,"0000"))</f>
        <v/>
      </c>
      <c r="B1130" s="57">
        <f>CRM_MAGDY!E1130</f>
        <v>0</v>
      </c>
      <c r="C1130" s="57">
        <f>CRM_MAGDY!H1130</f>
        <v>0</v>
      </c>
      <c r="D1130" s="57">
        <f>CRM_MAGDY!I1130</f>
        <v>0</v>
      </c>
      <c r="E1130" s="57">
        <f>IFERROR(VALUE(CRM_MAGDY!K1130),0)</f>
        <v>0</v>
      </c>
      <c r="F1130" s="57">
        <f>IFERROR(IF(CRM_MAGDY!L1130&gt;1,CRM_MAGDY!L1130/100,CRM_MAGDY!L1130),0)</f>
        <v>0</v>
      </c>
      <c r="G1130" s="57">
        <f>CRM_MAGDY!N1130</f>
        <v>0</v>
      </c>
      <c r="H1130" s="57">
        <f>CRM_MAGDY!M1130</f>
        <v>0</v>
      </c>
      <c r="I1130" s="57">
        <f t="shared" si="34"/>
        <v>0</v>
      </c>
      <c r="J1130" s="57" t="str">
        <f t="shared" si="35"/>
        <v>POTENCJAŁ</v>
      </c>
    </row>
    <row r="1131" spans="1:10" x14ac:dyDescent="0.25">
      <c r="A1131" s="57" t="str">
        <f>IF(CRM_MAGDY!H1131="","","CRM-"&amp;TEXT(ROW()-4,"0000"))</f>
        <v/>
      </c>
      <c r="B1131" s="57">
        <f>CRM_MAGDY!E1131</f>
        <v>0</v>
      </c>
      <c r="C1131" s="57">
        <f>CRM_MAGDY!H1131</f>
        <v>0</v>
      </c>
      <c r="D1131" s="57">
        <f>CRM_MAGDY!I1131</f>
        <v>0</v>
      </c>
      <c r="E1131" s="57">
        <f>IFERROR(VALUE(CRM_MAGDY!K1131),0)</f>
        <v>0</v>
      </c>
      <c r="F1131" s="57">
        <f>IFERROR(IF(CRM_MAGDY!L1131&gt;1,CRM_MAGDY!L1131/100,CRM_MAGDY!L1131),0)</f>
        <v>0</v>
      </c>
      <c r="G1131" s="57">
        <f>CRM_MAGDY!N1131</f>
        <v>0</v>
      </c>
      <c r="H1131" s="57">
        <f>CRM_MAGDY!M1131</f>
        <v>0</v>
      </c>
      <c r="I1131" s="57">
        <f t="shared" si="34"/>
        <v>0</v>
      </c>
      <c r="J1131" s="57" t="str">
        <f t="shared" si="35"/>
        <v>POTENCJAŁ</v>
      </c>
    </row>
    <row r="1132" spans="1:10" x14ac:dyDescent="0.25">
      <c r="A1132" s="57" t="str">
        <f>IF(CRM_MAGDY!H1132="","","CRM-"&amp;TEXT(ROW()-4,"0000"))</f>
        <v/>
      </c>
      <c r="B1132" s="57">
        <f>CRM_MAGDY!E1132</f>
        <v>0</v>
      </c>
      <c r="C1132" s="57">
        <f>CRM_MAGDY!H1132</f>
        <v>0</v>
      </c>
      <c r="D1132" s="57">
        <f>CRM_MAGDY!I1132</f>
        <v>0</v>
      </c>
      <c r="E1132" s="57">
        <f>IFERROR(VALUE(CRM_MAGDY!K1132),0)</f>
        <v>0</v>
      </c>
      <c r="F1132" s="57">
        <f>IFERROR(IF(CRM_MAGDY!L1132&gt;1,CRM_MAGDY!L1132/100,CRM_MAGDY!L1132),0)</f>
        <v>0</v>
      </c>
      <c r="G1132" s="57">
        <f>CRM_MAGDY!N1132</f>
        <v>0</v>
      </c>
      <c r="H1132" s="57">
        <f>CRM_MAGDY!M1132</f>
        <v>0</v>
      </c>
      <c r="I1132" s="57">
        <f t="shared" si="34"/>
        <v>0</v>
      </c>
      <c r="J1132" s="57" t="str">
        <f t="shared" si="35"/>
        <v>POTENCJAŁ</v>
      </c>
    </row>
    <row r="1133" spans="1:10" x14ac:dyDescent="0.25">
      <c r="A1133" s="57" t="str">
        <f>IF(CRM_MAGDY!H1133="","","CRM-"&amp;TEXT(ROW()-4,"0000"))</f>
        <v/>
      </c>
      <c r="B1133" s="57">
        <f>CRM_MAGDY!E1133</f>
        <v>0</v>
      </c>
      <c r="C1133" s="57">
        <f>CRM_MAGDY!H1133</f>
        <v>0</v>
      </c>
      <c r="D1133" s="57">
        <f>CRM_MAGDY!I1133</f>
        <v>0</v>
      </c>
      <c r="E1133" s="57">
        <f>IFERROR(VALUE(CRM_MAGDY!K1133),0)</f>
        <v>0</v>
      </c>
      <c r="F1133" s="57">
        <f>IFERROR(IF(CRM_MAGDY!L1133&gt;1,CRM_MAGDY!L1133/100,CRM_MAGDY!L1133),0)</f>
        <v>0</v>
      </c>
      <c r="G1133" s="57">
        <f>CRM_MAGDY!N1133</f>
        <v>0</v>
      </c>
      <c r="H1133" s="57">
        <f>CRM_MAGDY!M1133</f>
        <v>0</v>
      </c>
      <c r="I1133" s="57">
        <f t="shared" si="34"/>
        <v>0</v>
      </c>
      <c r="J1133" s="57" t="str">
        <f t="shared" si="35"/>
        <v>POTENCJAŁ</v>
      </c>
    </row>
    <row r="1134" spans="1:10" x14ac:dyDescent="0.25">
      <c r="A1134" s="57" t="str">
        <f>IF(CRM_MAGDY!H1134="","","CRM-"&amp;TEXT(ROW()-4,"0000"))</f>
        <v/>
      </c>
      <c r="B1134" s="57">
        <f>CRM_MAGDY!E1134</f>
        <v>0</v>
      </c>
      <c r="C1134" s="57">
        <f>CRM_MAGDY!H1134</f>
        <v>0</v>
      </c>
      <c r="D1134" s="57">
        <f>CRM_MAGDY!I1134</f>
        <v>0</v>
      </c>
      <c r="E1134" s="57">
        <f>IFERROR(VALUE(CRM_MAGDY!K1134),0)</f>
        <v>0</v>
      </c>
      <c r="F1134" s="57">
        <f>IFERROR(IF(CRM_MAGDY!L1134&gt;1,CRM_MAGDY!L1134/100,CRM_MAGDY!L1134),0)</f>
        <v>0</v>
      </c>
      <c r="G1134" s="57">
        <f>CRM_MAGDY!N1134</f>
        <v>0</v>
      </c>
      <c r="H1134" s="57">
        <f>CRM_MAGDY!M1134</f>
        <v>0</v>
      </c>
      <c r="I1134" s="57">
        <f t="shared" si="34"/>
        <v>0</v>
      </c>
      <c r="J1134" s="57" t="str">
        <f t="shared" si="35"/>
        <v>POTENCJAŁ</v>
      </c>
    </row>
    <row r="1135" spans="1:10" x14ac:dyDescent="0.25">
      <c r="A1135" s="57" t="str">
        <f>IF(CRM_MAGDY!H1135="","","CRM-"&amp;TEXT(ROW()-4,"0000"))</f>
        <v/>
      </c>
      <c r="B1135" s="57">
        <f>CRM_MAGDY!E1135</f>
        <v>0</v>
      </c>
      <c r="C1135" s="57">
        <f>CRM_MAGDY!H1135</f>
        <v>0</v>
      </c>
      <c r="D1135" s="57">
        <f>CRM_MAGDY!I1135</f>
        <v>0</v>
      </c>
      <c r="E1135" s="57">
        <f>IFERROR(VALUE(CRM_MAGDY!K1135),0)</f>
        <v>0</v>
      </c>
      <c r="F1135" s="57">
        <f>IFERROR(IF(CRM_MAGDY!L1135&gt;1,CRM_MAGDY!L1135/100,CRM_MAGDY!L1135),0)</f>
        <v>0</v>
      </c>
      <c r="G1135" s="57">
        <f>CRM_MAGDY!N1135</f>
        <v>0</v>
      </c>
      <c r="H1135" s="57">
        <f>CRM_MAGDY!M1135</f>
        <v>0</v>
      </c>
      <c r="I1135" s="57">
        <f t="shared" si="34"/>
        <v>0</v>
      </c>
      <c r="J1135" s="57" t="str">
        <f t="shared" si="35"/>
        <v>POTENCJAŁ</v>
      </c>
    </row>
    <row r="1136" spans="1:10" x14ac:dyDescent="0.25">
      <c r="A1136" s="57" t="str">
        <f>IF(CRM_MAGDY!H1136="","","CRM-"&amp;TEXT(ROW()-4,"0000"))</f>
        <v/>
      </c>
      <c r="B1136" s="57">
        <f>CRM_MAGDY!E1136</f>
        <v>0</v>
      </c>
      <c r="C1136" s="57">
        <f>CRM_MAGDY!H1136</f>
        <v>0</v>
      </c>
      <c r="D1136" s="57">
        <f>CRM_MAGDY!I1136</f>
        <v>0</v>
      </c>
      <c r="E1136" s="57">
        <f>IFERROR(VALUE(CRM_MAGDY!K1136),0)</f>
        <v>0</v>
      </c>
      <c r="F1136" s="57">
        <f>IFERROR(IF(CRM_MAGDY!L1136&gt;1,CRM_MAGDY!L1136/100,CRM_MAGDY!L1136),0)</f>
        <v>0</v>
      </c>
      <c r="G1136" s="57">
        <f>CRM_MAGDY!N1136</f>
        <v>0</v>
      </c>
      <c r="H1136" s="57">
        <f>CRM_MAGDY!M1136</f>
        <v>0</v>
      </c>
      <c r="I1136" s="57">
        <f t="shared" si="34"/>
        <v>0</v>
      </c>
      <c r="J1136" s="57" t="str">
        <f t="shared" si="35"/>
        <v>POTENCJAŁ</v>
      </c>
    </row>
    <row r="1137" spans="1:10" x14ac:dyDescent="0.25">
      <c r="A1137" s="57" t="str">
        <f>IF(CRM_MAGDY!H1137="","","CRM-"&amp;TEXT(ROW()-4,"0000"))</f>
        <v/>
      </c>
      <c r="B1137" s="57">
        <f>CRM_MAGDY!E1137</f>
        <v>0</v>
      </c>
      <c r="C1137" s="57">
        <f>CRM_MAGDY!H1137</f>
        <v>0</v>
      </c>
      <c r="D1137" s="57">
        <f>CRM_MAGDY!I1137</f>
        <v>0</v>
      </c>
      <c r="E1137" s="57">
        <f>IFERROR(VALUE(CRM_MAGDY!K1137),0)</f>
        <v>0</v>
      </c>
      <c r="F1137" s="57">
        <f>IFERROR(IF(CRM_MAGDY!L1137&gt;1,CRM_MAGDY!L1137/100,CRM_MAGDY!L1137),0)</f>
        <v>0</v>
      </c>
      <c r="G1137" s="57">
        <f>CRM_MAGDY!N1137</f>
        <v>0</v>
      </c>
      <c r="H1137" s="57">
        <f>CRM_MAGDY!M1137</f>
        <v>0</v>
      </c>
      <c r="I1137" s="57">
        <f t="shared" si="34"/>
        <v>0</v>
      </c>
      <c r="J1137" s="57" t="str">
        <f t="shared" si="35"/>
        <v>POTENCJAŁ</v>
      </c>
    </row>
    <row r="1138" spans="1:10" x14ac:dyDescent="0.25">
      <c r="A1138" s="57" t="str">
        <f>IF(CRM_MAGDY!H1138="","","CRM-"&amp;TEXT(ROW()-4,"0000"))</f>
        <v/>
      </c>
      <c r="B1138" s="57">
        <f>CRM_MAGDY!E1138</f>
        <v>0</v>
      </c>
      <c r="C1138" s="57">
        <f>CRM_MAGDY!H1138</f>
        <v>0</v>
      </c>
      <c r="D1138" s="57">
        <f>CRM_MAGDY!I1138</f>
        <v>0</v>
      </c>
      <c r="E1138" s="57">
        <f>IFERROR(VALUE(CRM_MAGDY!K1138),0)</f>
        <v>0</v>
      </c>
      <c r="F1138" s="57">
        <f>IFERROR(IF(CRM_MAGDY!L1138&gt;1,CRM_MAGDY!L1138/100,CRM_MAGDY!L1138),0)</f>
        <v>0</v>
      </c>
      <c r="G1138" s="57">
        <f>CRM_MAGDY!N1138</f>
        <v>0</v>
      </c>
      <c r="H1138" s="57">
        <f>CRM_MAGDY!M1138</f>
        <v>0</v>
      </c>
      <c r="I1138" s="57">
        <f t="shared" si="34"/>
        <v>0</v>
      </c>
      <c r="J1138" s="57" t="str">
        <f t="shared" si="35"/>
        <v>POTENCJAŁ</v>
      </c>
    </row>
    <row r="1139" spans="1:10" x14ac:dyDescent="0.25">
      <c r="A1139" s="57" t="str">
        <f>IF(CRM_MAGDY!H1139="","","CRM-"&amp;TEXT(ROW()-4,"0000"))</f>
        <v/>
      </c>
      <c r="B1139" s="57">
        <f>CRM_MAGDY!E1139</f>
        <v>0</v>
      </c>
      <c r="C1139" s="57">
        <f>CRM_MAGDY!H1139</f>
        <v>0</v>
      </c>
      <c r="D1139" s="57">
        <f>CRM_MAGDY!I1139</f>
        <v>0</v>
      </c>
      <c r="E1139" s="57">
        <f>IFERROR(VALUE(CRM_MAGDY!K1139),0)</f>
        <v>0</v>
      </c>
      <c r="F1139" s="57">
        <f>IFERROR(IF(CRM_MAGDY!L1139&gt;1,CRM_MAGDY!L1139/100,CRM_MAGDY!L1139),0)</f>
        <v>0</v>
      </c>
      <c r="G1139" s="57">
        <f>CRM_MAGDY!N1139</f>
        <v>0</v>
      </c>
      <c r="H1139" s="57">
        <f>CRM_MAGDY!M1139</f>
        <v>0</v>
      </c>
      <c r="I1139" s="57">
        <f t="shared" si="34"/>
        <v>0</v>
      </c>
      <c r="J1139" s="57" t="str">
        <f t="shared" si="35"/>
        <v>POTENCJAŁ</v>
      </c>
    </row>
    <row r="1140" spans="1:10" x14ac:dyDescent="0.25">
      <c r="A1140" s="57" t="str">
        <f>IF(CRM_MAGDY!H1140="","","CRM-"&amp;TEXT(ROW()-4,"0000"))</f>
        <v/>
      </c>
      <c r="B1140" s="57">
        <f>CRM_MAGDY!E1140</f>
        <v>0</v>
      </c>
      <c r="C1140" s="57">
        <f>CRM_MAGDY!H1140</f>
        <v>0</v>
      </c>
      <c r="D1140" s="57">
        <f>CRM_MAGDY!I1140</f>
        <v>0</v>
      </c>
      <c r="E1140" s="57">
        <f>IFERROR(VALUE(CRM_MAGDY!K1140),0)</f>
        <v>0</v>
      </c>
      <c r="F1140" s="57">
        <f>IFERROR(IF(CRM_MAGDY!L1140&gt;1,CRM_MAGDY!L1140/100,CRM_MAGDY!L1140),0)</f>
        <v>0</v>
      </c>
      <c r="G1140" s="57">
        <f>CRM_MAGDY!N1140</f>
        <v>0</v>
      </c>
      <c r="H1140" s="57">
        <f>CRM_MAGDY!M1140</f>
        <v>0</v>
      </c>
      <c r="I1140" s="57">
        <f t="shared" si="34"/>
        <v>0</v>
      </c>
      <c r="J1140" s="57" t="str">
        <f t="shared" si="35"/>
        <v>POTENCJAŁ</v>
      </c>
    </row>
    <row r="1141" spans="1:10" x14ac:dyDescent="0.25">
      <c r="A1141" s="57" t="str">
        <f>IF(CRM_MAGDY!H1141="","","CRM-"&amp;TEXT(ROW()-4,"0000"))</f>
        <v/>
      </c>
      <c r="B1141" s="57">
        <f>CRM_MAGDY!E1141</f>
        <v>0</v>
      </c>
      <c r="C1141" s="57">
        <f>CRM_MAGDY!H1141</f>
        <v>0</v>
      </c>
      <c r="D1141" s="57">
        <f>CRM_MAGDY!I1141</f>
        <v>0</v>
      </c>
      <c r="E1141" s="57">
        <f>IFERROR(VALUE(CRM_MAGDY!K1141),0)</f>
        <v>0</v>
      </c>
      <c r="F1141" s="57">
        <f>IFERROR(IF(CRM_MAGDY!L1141&gt;1,CRM_MAGDY!L1141/100,CRM_MAGDY!L1141),0)</f>
        <v>0</v>
      </c>
      <c r="G1141" s="57">
        <f>CRM_MAGDY!N1141</f>
        <v>0</v>
      </c>
      <c r="H1141" s="57">
        <f>CRM_MAGDY!M1141</f>
        <v>0</v>
      </c>
      <c r="I1141" s="57">
        <f t="shared" si="34"/>
        <v>0</v>
      </c>
      <c r="J1141" s="57" t="str">
        <f t="shared" si="35"/>
        <v>POTENCJAŁ</v>
      </c>
    </row>
    <row r="1142" spans="1:10" x14ac:dyDescent="0.25">
      <c r="A1142" s="57" t="str">
        <f>IF(CRM_MAGDY!H1142="","","CRM-"&amp;TEXT(ROW()-4,"0000"))</f>
        <v/>
      </c>
      <c r="B1142" s="57">
        <f>CRM_MAGDY!E1142</f>
        <v>0</v>
      </c>
      <c r="C1142" s="57">
        <f>CRM_MAGDY!H1142</f>
        <v>0</v>
      </c>
      <c r="D1142" s="57">
        <f>CRM_MAGDY!I1142</f>
        <v>0</v>
      </c>
      <c r="E1142" s="57">
        <f>IFERROR(VALUE(CRM_MAGDY!K1142),0)</f>
        <v>0</v>
      </c>
      <c r="F1142" s="57">
        <f>IFERROR(IF(CRM_MAGDY!L1142&gt;1,CRM_MAGDY!L1142/100,CRM_MAGDY!L1142),0)</f>
        <v>0</v>
      </c>
      <c r="G1142" s="57">
        <f>CRM_MAGDY!N1142</f>
        <v>0</v>
      </c>
      <c r="H1142" s="57">
        <f>CRM_MAGDY!M1142</f>
        <v>0</v>
      </c>
      <c r="I1142" s="57">
        <f t="shared" si="34"/>
        <v>0</v>
      </c>
      <c r="J1142" s="57" t="str">
        <f t="shared" si="35"/>
        <v>POTENCJAŁ</v>
      </c>
    </row>
    <row r="1143" spans="1:10" x14ac:dyDescent="0.25">
      <c r="A1143" s="57" t="str">
        <f>IF(CRM_MAGDY!H1143="","","CRM-"&amp;TEXT(ROW()-4,"0000"))</f>
        <v/>
      </c>
      <c r="B1143" s="57">
        <f>CRM_MAGDY!E1143</f>
        <v>0</v>
      </c>
      <c r="C1143" s="57">
        <f>CRM_MAGDY!H1143</f>
        <v>0</v>
      </c>
      <c r="D1143" s="57">
        <f>CRM_MAGDY!I1143</f>
        <v>0</v>
      </c>
      <c r="E1143" s="57">
        <f>IFERROR(VALUE(CRM_MAGDY!K1143),0)</f>
        <v>0</v>
      </c>
      <c r="F1143" s="57">
        <f>IFERROR(IF(CRM_MAGDY!L1143&gt;1,CRM_MAGDY!L1143/100,CRM_MAGDY!L1143),0)</f>
        <v>0</v>
      </c>
      <c r="G1143" s="57">
        <f>CRM_MAGDY!N1143</f>
        <v>0</v>
      </c>
      <c r="H1143" s="57">
        <f>CRM_MAGDY!M1143</f>
        <v>0</v>
      </c>
      <c r="I1143" s="57">
        <f t="shared" si="34"/>
        <v>0</v>
      </c>
      <c r="J1143" s="57" t="str">
        <f t="shared" si="35"/>
        <v>POTENCJAŁ</v>
      </c>
    </row>
    <row r="1144" spans="1:10" x14ac:dyDescent="0.25">
      <c r="A1144" s="57" t="str">
        <f>IF(CRM_MAGDY!H1144="","","CRM-"&amp;TEXT(ROW()-4,"0000"))</f>
        <v/>
      </c>
      <c r="B1144" s="57">
        <f>CRM_MAGDY!E1144</f>
        <v>0</v>
      </c>
      <c r="C1144" s="57">
        <f>CRM_MAGDY!H1144</f>
        <v>0</v>
      </c>
      <c r="D1144" s="57">
        <f>CRM_MAGDY!I1144</f>
        <v>0</v>
      </c>
      <c r="E1144" s="57">
        <f>IFERROR(VALUE(CRM_MAGDY!K1144),0)</f>
        <v>0</v>
      </c>
      <c r="F1144" s="57">
        <f>IFERROR(IF(CRM_MAGDY!L1144&gt;1,CRM_MAGDY!L1144/100,CRM_MAGDY!L1144),0)</f>
        <v>0</v>
      </c>
      <c r="G1144" s="57">
        <f>CRM_MAGDY!N1144</f>
        <v>0</v>
      </c>
      <c r="H1144" s="57">
        <f>CRM_MAGDY!M1144</f>
        <v>0</v>
      </c>
      <c r="I1144" s="57">
        <f t="shared" si="34"/>
        <v>0</v>
      </c>
      <c r="J1144" s="57" t="str">
        <f t="shared" si="35"/>
        <v>POTENCJAŁ</v>
      </c>
    </row>
    <row r="1145" spans="1:10" x14ac:dyDescent="0.25">
      <c r="A1145" s="57" t="str">
        <f>IF(CRM_MAGDY!H1145="","","CRM-"&amp;TEXT(ROW()-4,"0000"))</f>
        <v/>
      </c>
      <c r="B1145" s="57">
        <f>CRM_MAGDY!E1145</f>
        <v>0</v>
      </c>
      <c r="C1145" s="57">
        <f>CRM_MAGDY!H1145</f>
        <v>0</v>
      </c>
      <c r="D1145" s="57">
        <f>CRM_MAGDY!I1145</f>
        <v>0</v>
      </c>
      <c r="E1145" s="57">
        <f>IFERROR(VALUE(CRM_MAGDY!K1145),0)</f>
        <v>0</v>
      </c>
      <c r="F1145" s="57">
        <f>IFERROR(IF(CRM_MAGDY!L1145&gt;1,CRM_MAGDY!L1145/100,CRM_MAGDY!L1145),0)</f>
        <v>0</v>
      </c>
      <c r="G1145" s="57">
        <f>CRM_MAGDY!N1145</f>
        <v>0</v>
      </c>
      <c r="H1145" s="57">
        <f>CRM_MAGDY!M1145</f>
        <v>0</v>
      </c>
      <c r="I1145" s="57">
        <f t="shared" si="34"/>
        <v>0</v>
      </c>
      <c r="J1145" s="57" t="str">
        <f t="shared" si="35"/>
        <v>POTENCJAŁ</v>
      </c>
    </row>
    <row r="1146" spans="1:10" x14ac:dyDescent="0.25">
      <c r="A1146" s="57" t="str">
        <f>IF(CRM_MAGDY!H1146="","","CRM-"&amp;TEXT(ROW()-4,"0000"))</f>
        <v/>
      </c>
      <c r="B1146" s="57">
        <f>CRM_MAGDY!E1146</f>
        <v>0</v>
      </c>
      <c r="C1146" s="57">
        <f>CRM_MAGDY!H1146</f>
        <v>0</v>
      </c>
      <c r="D1146" s="57">
        <f>CRM_MAGDY!I1146</f>
        <v>0</v>
      </c>
      <c r="E1146" s="57">
        <f>IFERROR(VALUE(CRM_MAGDY!K1146),0)</f>
        <v>0</v>
      </c>
      <c r="F1146" s="57">
        <f>IFERROR(IF(CRM_MAGDY!L1146&gt;1,CRM_MAGDY!L1146/100,CRM_MAGDY!L1146),0)</f>
        <v>0</v>
      </c>
      <c r="G1146" s="57">
        <f>CRM_MAGDY!N1146</f>
        <v>0</v>
      </c>
      <c r="H1146" s="57">
        <f>CRM_MAGDY!M1146</f>
        <v>0</v>
      </c>
      <c r="I1146" s="57">
        <f t="shared" si="34"/>
        <v>0</v>
      </c>
      <c r="J1146" s="57" t="str">
        <f t="shared" si="35"/>
        <v>POTENCJAŁ</v>
      </c>
    </row>
    <row r="1147" spans="1:10" x14ac:dyDescent="0.25">
      <c r="A1147" s="57" t="str">
        <f>IF(CRM_MAGDY!H1147="","","CRM-"&amp;TEXT(ROW()-4,"0000"))</f>
        <v/>
      </c>
      <c r="B1147" s="57">
        <f>CRM_MAGDY!E1147</f>
        <v>0</v>
      </c>
      <c r="C1147" s="57">
        <f>CRM_MAGDY!H1147</f>
        <v>0</v>
      </c>
      <c r="D1147" s="57">
        <f>CRM_MAGDY!I1147</f>
        <v>0</v>
      </c>
      <c r="E1147" s="57">
        <f>IFERROR(VALUE(CRM_MAGDY!K1147),0)</f>
        <v>0</v>
      </c>
      <c r="F1147" s="57">
        <f>IFERROR(IF(CRM_MAGDY!L1147&gt;1,CRM_MAGDY!L1147/100,CRM_MAGDY!L1147),0)</f>
        <v>0</v>
      </c>
      <c r="G1147" s="57">
        <f>CRM_MAGDY!N1147</f>
        <v>0</v>
      </c>
      <c r="H1147" s="57">
        <f>CRM_MAGDY!M1147</f>
        <v>0</v>
      </c>
      <c r="I1147" s="57">
        <f t="shared" si="34"/>
        <v>0</v>
      </c>
      <c r="J1147" s="57" t="str">
        <f t="shared" si="35"/>
        <v>POTENCJAŁ</v>
      </c>
    </row>
    <row r="1148" spans="1:10" x14ac:dyDescent="0.25">
      <c r="A1148" s="57" t="str">
        <f>IF(CRM_MAGDY!H1148="","","CRM-"&amp;TEXT(ROW()-4,"0000"))</f>
        <v/>
      </c>
      <c r="B1148" s="57">
        <f>CRM_MAGDY!E1148</f>
        <v>0</v>
      </c>
      <c r="C1148" s="57">
        <f>CRM_MAGDY!H1148</f>
        <v>0</v>
      </c>
      <c r="D1148" s="57">
        <f>CRM_MAGDY!I1148</f>
        <v>0</v>
      </c>
      <c r="E1148" s="57">
        <f>IFERROR(VALUE(CRM_MAGDY!K1148),0)</f>
        <v>0</v>
      </c>
      <c r="F1148" s="57">
        <f>IFERROR(IF(CRM_MAGDY!L1148&gt;1,CRM_MAGDY!L1148/100,CRM_MAGDY!L1148),0)</f>
        <v>0</v>
      </c>
      <c r="G1148" s="57">
        <f>CRM_MAGDY!N1148</f>
        <v>0</v>
      </c>
      <c r="H1148" s="57">
        <f>CRM_MAGDY!M1148</f>
        <v>0</v>
      </c>
      <c r="I1148" s="57">
        <f t="shared" si="34"/>
        <v>0</v>
      </c>
      <c r="J1148" s="57" t="str">
        <f t="shared" si="35"/>
        <v>POTENCJAŁ</v>
      </c>
    </row>
    <row r="1149" spans="1:10" x14ac:dyDescent="0.25">
      <c r="A1149" s="57" t="str">
        <f>IF(CRM_MAGDY!H1149="","","CRM-"&amp;TEXT(ROW()-4,"0000"))</f>
        <v/>
      </c>
      <c r="B1149" s="57">
        <f>CRM_MAGDY!E1149</f>
        <v>0</v>
      </c>
      <c r="C1149" s="57">
        <f>CRM_MAGDY!H1149</f>
        <v>0</v>
      </c>
      <c r="D1149" s="57">
        <f>CRM_MAGDY!I1149</f>
        <v>0</v>
      </c>
      <c r="E1149" s="57">
        <f>IFERROR(VALUE(CRM_MAGDY!K1149),0)</f>
        <v>0</v>
      </c>
      <c r="F1149" s="57">
        <f>IFERROR(IF(CRM_MAGDY!L1149&gt;1,CRM_MAGDY!L1149/100,CRM_MAGDY!L1149),0)</f>
        <v>0</v>
      </c>
      <c r="G1149" s="57">
        <f>CRM_MAGDY!N1149</f>
        <v>0</v>
      </c>
      <c r="H1149" s="57">
        <f>CRM_MAGDY!M1149</f>
        <v>0</v>
      </c>
      <c r="I1149" s="57">
        <f t="shared" si="34"/>
        <v>0</v>
      </c>
      <c r="J1149" s="57" t="str">
        <f t="shared" si="35"/>
        <v>POTENCJAŁ</v>
      </c>
    </row>
    <row r="1150" spans="1:10" x14ac:dyDescent="0.25">
      <c r="A1150" s="57" t="str">
        <f>IF(CRM_MAGDY!H1150="","","CRM-"&amp;TEXT(ROW()-4,"0000"))</f>
        <v/>
      </c>
      <c r="B1150" s="57">
        <f>CRM_MAGDY!E1150</f>
        <v>0</v>
      </c>
      <c r="C1150" s="57">
        <f>CRM_MAGDY!H1150</f>
        <v>0</v>
      </c>
      <c r="D1150" s="57">
        <f>CRM_MAGDY!I1150</f>
        <v>0</v>
      </c>
      <c r="E1150" s="57">
        <f>IFERROR(VALUE(CRM_MAGDY!K1150),0)</f>
        <v>0</v>
      </c>
      <c r="F1150" s="57">
        <f>IFERROR(IF(CRM_MAGDY!L1150&gt;1,CRM_MAGDY!L1150/100,CRM_MAGDY!L1150),0)</f>
        <v>0</v>
      </c>
      <c r="G1150" s="57">
        <f>CRM_MAGDY!N1150</f>
        <v>0</v>
      </c>
      <c r="H1150" s="57">
        <f>CRM_MAGDY!M1150</f>
        <v>0</v>
      </c>
      <c r="I1150" s="57">
        <f t="shared" si="34"/>
        <v>0</v>
      </c>
      <c r="J1150" s="57" t="str">
        <f t="shared" si="35"/>
        <v>POTENCJAŁ</v>
      </c>
    </row>
    <row r="1151" spans="1:10" x14ac:dyDescent="0.25">
      <c r="A1151" s="57" t="str">
        <f>IF(CRM_MAGDY!H1151="","","CRM-"&amp;TEXT(ROW()-4,"0000"))</f>
        <v/>
      </c>
      <c r="B1151" s="57">
        <f>CRM_MAGDY!E1151</f>
        <v>0</v>
      </c>
      <c r="C1151" s="57">
        <f>CRM_MAGDY!H1151</f>
        <v>0</v>
      </c>
      <c r="D1151" s="57">
        <f>CRM_MAGDY!I1151</f>
        <v>0</v>
      </c>
      <c r="E1151" s="57">
        <f>IFERROR(VALUE(CRM_MAGDY!K1151),0)</f>
        <v>0</v>
      </c>
      <c r="F1151" s="57">
        <f>IFERROR(IF(CRM_MAGDY!L1151&gt;1,CRM_MAGDY!L1151/100,CRM_MAGDY!L1151),0)</f>
        <v>0</v>
      </c>
      <c r="G1151" s="57">
        <f>CRM_MAGDY!N1151</f>
        <v>0</v>
      </c>
      <c r="H1151" s="57">
        <f>CRM_MAGDY!M1151</f>
        <v>0</v>
      </c>
      <c r="I1151" s="57">
        <f t="shared" si="34"/>
        <v>0</v>
      </c>
      <c r="J1151" s="57" t="str">
        <f t="shared" si="35"/>
        <v>POTENCJAŁ</v>
      </c>
    </row>
    <row r="1152" spans="1:10" x14ac:dyDescent="0.25">
      <c r="A1152" s="57" t="str">
        <f>IF(CRM_MAGDY!H1152="","","CRM-"&amp;TEXT(ROW()-4,"0000"))</f>
        <v/>
      </c>
      <c r="B1152" s="57">
        <f>CRM_MAGDY!E1152</f>
        <v>0</v>
      </c>
      <c r="C1152" s="57">
        <f>CRM_MAGDY!H1152</f>
        <v>0</v>
      </c>
      <c r="D1152" s="57">
        <f>CRM_MAGDY!I1152</f>
        <v>0</v>
      </c>
      <c r="E1152" s="57">
        <f>IFERROR(VALUE(CRM_MAGDY!K1152),0)</f>
        <v>0</v>
      </c>
      <c r="F1152" s="57">
        <f>IFERROR(IF(CRM_MAGDY!L1152&gt;1,CRM_MAGDY!L1152/100,CRM_MAGDY!L1152),0)</f>
        <v>0</v>
      </c>
      <c r="G1152" s="57">
        <f>CRM_MAGDY!N1152</f>
        <v>0</v>
      </c>
      <c r="H1152" s="57">
        <f>CRM_MAGDY!M1152</f>
        <v>0</v>
      </c>
      <c r="I1152" s="57">
        <f t="shared" si="34"/>
        <v>0</v>
      </c>
      <c r="J1152" s="57" t="str">
        <f t="shared" si="35"/>
        <v>POTENCJAŁ</v>
      </c>
    </row>
    <row r="1153" spans="1:10" x14ac:dyDescent="0.25">
      <c r="A1153" s="57" t="str">
        <f>IF(CRM_MAGDY!H1153="","","CRM-"&amp;TEXT(ROW()-4,"0000"))</f>
        <v/>
      </c>
      <c r="B1153" s="57">
        <f>CRM_MAGDY!E1153</f>
        <v>0</v>
      </c>
      <c r="C1153" s="57">
        <f>CRM_MAGDY!H1153</f>
        <v>0</v>
      </c>
      <c r="D1153" s="57">
        <f>CRM_MAGDY!I1153</f>
        <v>0</v>
      </c>
      <c r="E1153" s="57">
        <f>IFERROR(VALUE(CRM_MAGDY!K1153),0)</f>
        <v>0</v>
      </c>
      <c r="F1153" s="57">
        <f>IFERROR(IF(CRM_MAGDY!L1153&gt;1,CRM_MAGDY!L1153/100,CRM_MAGDY!L1153),0)</f>
        <v>0</v>
      </c>
      <c r="G1153" s="57">
        <f>CRM_MAGDY!N1153</f>
        <v>0</v>
      </c>
      <c r="H1153" s="57">
        <f>CRM_MAGDY!M1153</f>
        <v>0</v>
      </c>
      <c r="I1153" s="57">
        <f t="shared" si="34"/>
        <v>0</v>
      </c>
      <c r="J1153" s="57" t="str">
        <f t="shared" si="35"/>
        <v>POTENCJAŁ</v>
      </c>
    </row>
    <row r="1154" spans="1:10" x14ac:dyDescent="0.25">
      <c r="A1154" s="57" t="str">
        <f>IF(CRM_MAGDY!H1154="","","CRM-"&amp;TEXT(ROW()-4,"0000"))</f>
        <v/>
      </c>
      <c r="B1154" s="57">
        <f>CRM_MAGDY!E1154</f>
        <v>0</v>
      </c>
      <c r="C1154" s="57">
        <f>CRM_MAGDY!H1154</f>
        <v>0</v>
      </c>
      <c r="D1154" s="57">
        <f>CRM_MAGDY!I1154</f>
        <v>0</v>
      </c>
      <c r="E1154" s="57">
        <f>IFERROR(VALUE(CRM_MAGDY!K1154),0)</f>
        <v>0</v>
      </c>
      <c r="F1154" s="57">
        <f>IFERROR(IF(CRM_MAGDY!L1154&gt;1,CRM_MAGDY!L1154/100,CRM_MAGDY!L1154),0)</f>
        <v>0</v>
      </c>
      <c r="G1154" s="57">
        <f>CRM_MAGDY!N1154</f>
        <v>0</v>
      </c>
      <c r="H1154" s="57">
        <f>CRM_MAGDY!M1154</f>
        <v>0</v>
      </c>
      <c r="I1154" s="57">
        <f t="shared" si="34"/>
        <v>0</v>
      </c>
      <c r="J1154" s="57" t="str">
        <f t="shared" si="35"/>
        <v>POTENCJAŁ</v>
      </c>
    </row>
    <row r="1155" spans="1:10" x14ac:dyDescent="0.25">
      <c r="A1155" s="57" t="str">
        <f>IF(CRM_MAGDY!H1155="","","CRM-"&amp;TEXT(ROW()-4,"0000"))</f>
        <v/>
      </c>
      <c r="B1155" s="57">
        <f>CRM_MAGDY!E1155</f>
        <v>0</v>
      </c>
      <c r="C1155" s="57">
        <f>CRM_MAGDY!H1155</f>
        <v>0</v>
      </c>
      <c r="D1155" s="57">
        <f>CRM_MAGDY!I1155</f>
        <v>0</v>
      </c>
      <c r="E1155" s="57">
        <f>IFERROR(VALUE(CRM_MAGDY!K1155),0)</f>
        <v>0</v>
      </c>
      <c r="F1155" s="57">
        <f>IFERROR(IF(CRM_MAGDY!L1155&gt;1,CRM_MAGDY!L1155/100,CRM_MAGDY!L1155),0)</f>
        <v>0</v>
      </c>
      <c r="G1155" s="57">
        <f>CRM_MAGDY!N1155</f>
        <v>0</v>
      </c>
      <c r="H1155" s="57">
        <f>CRM_MAGDY!M1155</f>
        <v>0</v>
      </c>
      <c r="I1155" s="57">
        <f t="shared" si="34"/>
        <v>0</v>
      </c>
      <c r="J1155" s="57" t="str">
        <f t="shared" si="35"/>
        <v>POTENCJAŁ</v>
      </c>
    </row>
    <row r="1156" spans="1:10" x14ac:dyDescent="0.25">
      <c r="A1156" s="57" t="str">
        <f>IF(CRM_MAGDY!H1156="","","CRM-"&amp;TEXT(ROW()-4,"0000"))</f>
        <v/>
      </c>
      <c r="B1156" s="57">
        <f>CRM_MAGDY!E1156</f>
        <v>0</v>
      </c>
      <c r="C1156" s="57">
        <f>CRM_MAGDY!H1156</f>
        <v>0</v>
      </c>
      <c r="D1156" s="57">
        <f>CRM_MAGDY!I1156</f>
        <v>0</v>
      </c>
      <c r="E1156" s="57">
        <f>IFERROR(VALUE(CRM_MAGDY!K1156),0)</f>
        <v>0</v>
      </c>
      <c r="F1156" s="57">
        <f>IFERROR(IF(CRM_MAGDY!L1156&gt;1,CRM_MAGDY!L1156/100,CRM_MAGDY!L1156),0)</f>
        <v>0</v>
      </c>
      <c r="G1156" s="57">
        <f>CRM_MAGDY!N1156</f>
        <v>0</v>
      </c>
      <c r="H1156" s="57">
        <f>CRM_MAGDY!M1156</f>
        <v>0</v>
      </c>
      <c r="I1156" s="57">
        <f t="shared" si="34"/>
        <v>0</v>
      </c>
      <c r="J1156" s="57" t="str">
        <f t="shared" si="35"/>
        <v>POTENCJAŁ</v>
      </c>
    </row>
    <row r="1157" spans="1:10" x14ac:dyDescent="0.25">
      <c r="A1157" s="57" t="str">
        <f>IF(CRM_MAGDY!H1157="","","CRM-"&amp;TEXT(ROW()-4,"0000"))</f>
        <v/>
      </c>
      <c r="B1157" s="57">
        <f>CRM_MAGDY!E1157</f>
        <v>0</v>
      </c>
      <c r="C1157" s="57">
        <f>CRM_MAGDY!H1157</f>
        <v>0</v>
      </c>
      <c r="D1157" s="57">
        <f>CRM_MAGDY!I1157</f>
        <v>0</v>
      </c>
      <c r="E1157" s="57">
        <f>IFERROR(VALUE(CRM_MAGDY!K1157),0)</f>
        <v>0</v>
      </c>
      <c r="F1157" s="57">
        <f>IFERROR(IF(CRM_MAGDY!L1157&gt;1,CRM_MAGDY!L1157/100,CRM_MAGDY!L1157),0)</f>
        <v>0</v>
      </c>
      <c r="G1157" s="57">
        <f>CRM_MAGDY!N1157</f>
        <v>0</v>
      </c>
      <c r="H1157" s="57">
        <f>CRM_MAGDY!M1157</f>
        <v>0</v>
      </c>
      <c r="I1157" s="57">
        <f t="shared" ref="I1157:I1200" si="36">IF(OR(G1157="WYGRANA",G1157="PRZEGRANA"),0,E1157*F1157)</f>
        <v>0</v>
      </c>
      <c r="J1157" s="57" t="str">
        <f t="shared" ref="J1157:J1200" si="37">IF(F1157&gt;=0.7,"PEWNY",IF(F1157&gt;=0.3,"REALNY","POTENCJAŁ"))</f>
        <v>POTENCJAŁ</v>
      </c>
    </row>
    <row r="1158" spans="1:10" x14ac:dyDescent="0.25">
      <c r="A1158" s="57" t="str">
        <f>IF(CRM_MAGDY!H1158="","","CRM-"&amp;TEXT(ROW()-4,"0000"))</f>
        <v/>
      </c>
      <c r="B1158" s="57">
        <f>CRM_MAGDY!E1158</f>
        <v>0</v>
      </c>
      <c r="C1158" s="57">
        <f>CRM_MAGDY!H1158</f>
        <v>0</v>
      </c>
      <c r="D1158" s="57">
        <f>CRM_MAGDY!I1158</f>
        <v>0</v>
      </c>
      <c r="E1158" s="57">
        <f>IFERROR(VALUE(CRM_MAGDY!K1158),0)</f>
        <v>0</v>
      </c>
      <c r="F1158" s="57">
        <f>IFERROR(IF(CRM_MAGDY!L1158&gt;1,CRM_MAGDY!L1158/100,CRM_MAGDY!L1158),0)</f>
        <v>0</v>
      </c>
      <c r="G1158" s="57">
        <f>CRM_MAGDY!N1158</f>
        <v>0</v>
      </c>
      <c r="H1158" s="57">
        <f>CRM_MAGDY!M1158</f>
        <v>0</v>
      </c>
      <c r="I1158" s="57">
        <f t="shared" si="36"/>
        <v>0</v>
      </c>
      <c r="J1158" s="57" t="str">
        <f t="shared" si="37"/>
        <v>POTENCJAŁ</v>
      </c>
    </row>
    <row r="1159" spans="1:10" x14ac:dyDescent="0.25">
      <c r="A1159" s="57" t="str">
        <f>IF(CRM_MAGDY!H1159="","","CRM-"&amp;TEXT(ROW()-4,"0000"))</f>
        <v/>
      </c>
      <c r="B1159" s="57">
        <f>CRM_MAGDY!E1159</f>
        <v>0</v>
      </c>
      <c r="C1159" s="57">
        <f>CRM_MAGDY!H1159</f>
        <v>0</v>
      </c>
      <c r="D1159" s="57">
        <f>CRM_MAGDY!I1159</f>
        <v>0</v>
      </c>
      <c r="E1159" s="57">
        <f>IFERROR(VALUE(CRM_MAGDY!K1159),0)</f>
        <v>0</v>
      </c>
      <c r="F1159" s="57">
        <f>IFERROR(IF(CRM_MAGDY!L1159&gt;1,CRM_MAGDY!L1159/100,CRM_MAGDY!L1159),0)</f>
        <v>0</v>
      </c>
      <c r="G1159" s="57">
        <f>CRM_MAGDY!N1159</f>
        <v>0</v>
      </c>
      <c r="H1159" s="57">
        <f>CRM_MAGDY!M1159</f>
        <v>0</v>
      </c>
      <c r="I1159" s="57">
        <f t="shared" si="36"/>
        <v>0</v>
      </c>
      <c r="J1159" s="57" t="str">
        <f t="shared" si="37"/>
        <v>POTENCJAŁ</v>
      </c>
    </row>
    <row r="1160" spans="1:10" x14ac:dyDescent="0.25">
      <c r="A1160" s="57" t="str">
        <f>IF(CRM_MAGDY!H1160="","","CRM-"&amp;TEXT(ROW()-4,"0000"))</f>
        <v/>
      </c>
      <c r="B1160" s="57">
        <f>CRM_MAGDY!E1160</f>
        <v>0</v>
      </c>
      <c r="C1160" s="57">
        <f>CRM_MAGDY!H1160</f>
        <v>0</v>
      </c>
      <c r="D1160" s="57">
        <f>CRM_MAGDY!I1160</f>
        <v>0</v>
      </c>
      <c r="E1160" s="57">
        <f>IFERROR(VALUE(CRM_MAGDY!K1160),0)</f>
        <v>0</v>
      </c>
      <c r="F1160" s="57">
        <f>IFERROR(IF(CRM_MAGDY!L1160&gt;1,CRM_MAGDY!L1160/100,CRM_MAGDY!L1160),0)</f>
        <v>0</v>
      </c>
      <c r="G1160" s="57">
        <f>CRM_MAGDY!N1160</f>
        <v>0</v>
      </c>
      <c r="H1160" s="57">
        <f>CRM_MAGDY!M1160</f>
        <v>0</v>
      </c>
      <c r="I1160" s="57">
        <f t="shared" si="36"/>
        <v>0</v>
      </c>
      <c r="J1160" s="57" t="str">
        <f t="shared" si="37"/>
        <v>POTENCJAŁ</v>
      </c>
    </row>
    <row r="1161" spans="1:10" x14ac:dyDescent="0.25">
      <c r="A1161" s="57" t="str">
        <f>IF(CRM_MAGDY!H1161="","","CRM-"&amp;TEXT(ROW()-4,"0000"))</f>
        <v/>
      </c>
      <c r="B1161" s="57">
        <f>CRM_MAGDY!E1161</f>
        <v>0</v>
      </c>
      <c r="C1161" s="57">
        <f>CRM_MAGDY!H1161</f>
        <v>0</v>
      </c>
      <c r="D1161" s="57">
        <f>CRM_MAGDY!I1161</f>
        <v>0</v>
      </c>
      <c r="E1161" s="57">
        <f>IFERROR(VALUE(CRM_MAGDY!K1161),0)</f>
        <v>0</v>
      </c>
      <c r="F1161" s="57">
        <f>IFERROR(IF(CRM_MAGDY!L1161&gt;1,CRM_MAGDY!L1161/100,CRM_MAGDY!L1161),0)</f>
        <v>0</v>
      </c>
      <c r="G1161" s="57">
        <f>CRM_MAGDY!N1161</f>
        <v>0</v>
      </c>
      <c r="H1161" s="57">
        <f>CRM_MAGDY!M1161</f>
        <v>0</v>
      </c>
      <c r="I1161" s="57">
        <f t="shared" si="36"/>
        <v>0</v>
      </c>
      <c r="J1161" s="57" t="str">
        <f t="shared" si="37"/>
        <v>POTENCJAŁ</v>
      </c>
    </row>
    <row r="1162" spans="1:10" x14ac:dyDescent="0.25">
      <c r="A1162" s="57" t="str">
        <f>IF(CRM_MAGDY!H1162="","","CRM-"&amp;TEXT(ROW()-4,"0000"))</f>
        <v/>
      </c>
      <c r="B1162" s="57">
        <f>CRM_MAGDY!E1162</f>
        <v>0</v>
      </c>
      <c r="C1162" s="57">
        <f>CRM_MAGDY!H1162</f>
        <v>0</v>
      </c>
      <c r="D1162" s="57">
        <f>CRM_MAGDY!I1162</f>
        <v>0</v>
      </c>
      <c r="E1162" s="57">
        <f>IFERROR(VALUE(CRM_MAGDY!K1162),0)</f>
        <v>0</v>
      </c>
      <c r="F1162" s="57">
        <f>IFERROR(IF(CRM_MAGDY!L1162&gt;1,CRM_MAGDY!L1162/100,CRM_MAGDY!L1162),0)</f>
        <v>0</v>
      </c>
      <c r="G1162" s="57">
        <f>CRM_MAGDY!N1162</f>
        <v>0</v>
      </c>
      <c r="H1162" s="57">
        <f>CRM_MAGDY!M1162</f>
        <v>0</v>
      </c>
      <c r="I1162" s="57">
        <f t="shared" si="36"/>
        <v>0</v>
      </c>
      <c r="J1162" s="57" t="str">
        <f t="shared" si="37"/>
        <v>POTENCJAŁ</v>
      </c>
    </row>
    <row r="1163" spans="1:10" x14ac:dyDescent="0.25">
      <c r="A1163" s="57" t="str">
        <f>IF(CRM_MAGDY!H1163="","","CRM-"&amp;TEXT(ROW()-4,"0000"))</f>
        <v/>
      </c>
      <c r="B1163" s="57">
        <f>CRM_MAGDY!E1163</f>
        <v>0</v>
      </c>
      <c r="C1163" s="57">
        <f>CRM_MAGDY!H1163</f>
        <v>0</v>
      </c>
      <c r="D1163" s="57">
        <f>CRM_MAGDY!I1163</f>
        <v>0</v>
      </c>
      <c r="E1163" s="57">
        <f>IFERROR(VALUE(CRM_MAGDY!K1163),0)</f>
        <v>0</v>
      </c>
      <c r="F1163" s="57">
        <f>IFERROR(IF(CRM_MAGDY!L1163&gt;1,CRM_MAGDY!L1163/100,CRM_MAGDY!L1163),0)</f>
        <v>0</v>
      </c>
      <c r="G1163" s="57">
        <f>CRM_MAGDY!N1163</f>
        <v>0</v>
      </c>
      <c r="H1163" s="57">
        <f>CRM_MAGDY!M1163</f>
        <v>0</v>
      </c>
      <c r="I1163" s="57">
        <f t="shared" si="36"/>
        <v>0</v>
      </c>
      <c r="J1163" s="57" t="str">
        <f t="shared" si="37"/>
        <v>POTENCJAŁ</v>
      </c>
    </row>
    <row r="1164" spans="1:10" x14ac:dyDescent="0.25">
      <c r="A1164" s="57" t="str">
        <f>IF(CRM_MAGDY!H1164="","","CRM-"&amp;TEXT(ROW()-4,"0000"))</f>
        <v/>
      </c>
      <c r="B1164" s="57">
        <f>CRM_MAGDY!E1164</f>
        <v>0</v>
      </c>
      <c r="C1164" s="57">
        <f>CRM_MAGDY!H1164</f>
        <v>0</v>
      </c>
      <c r="D1164" s="57">
        <f>CRM_MAGDY!I1164</f>
        <v>0</v>
      </c>
      <c r="E1164" s="57">
        <f>IFERROR(VALUE(CRM_MAGDY!K1164),0)</f>
        <v>0</v>
      </c>
      <c r="F1164" s="57">
        <f>IFERROR(IF(CRM_MAGDY!L1164&gt;1,CRM_MAGDY!L1164/100,CRM_MAGDY!L1164),0)</f>
        <v>0</v>
      </c>
      <c r="G1164" s="57">
        <f>CRM_MAGDY!N1164</f>
        <v>0</v>
      </c>
      <c r="H1164" s="57">
        <f>CRM_MAGDY!M1164</f>
        <v>0</v>
      </c>
      <c r="I1164" s="57">
        <f t="shared" si="36"/>
        <v>0</v>
      </c>
      <c r="J1164" s="57" t="str">
        <f t="shared" si="37"/>
        <v>POTENCJAŁ</v>
      </c>
    </row>
    <row r="1165" spans="1:10" x14ac:dyDescent="0.25">
      <c r="A1165" s="57" t="str">
        <f>IF(CRM_MAGDY!H1165="","","CRM-"&amp;TEXT(ROW()-4,"0000"))</f>
        <v/>
      </c>
      <c r="B1165" s="57">
        <f>CRM_MAGDY!E1165</f>
        <v>0</v>
      </c>
      <c r="C1165" s="57">
        <f>CRM_MAGDY!H1165</f>
        <v>0</v>
      </c>
      <c r="D1165" s="57">
        <f>CRM_MAGDY!I1165</f>
        <v>0</v>
      </c>
      <c r="E1165" s="57">
        <f>IFERROR(VALUE(CRM_MAGDY!K1165),0)</f>
        <v>0</v>
      </c>
      <c r="F1165" s="57">
        <f>IFERROR(IF(CRM_MAGDY!L1165&gt;1,CRM_MAGDY!L1165/100,CRM_MAGDY!L1165),0)</f>
        <v>0</v>
      </c>
      <c r="G1165" s="57">
        <f>CRM_MAGDY!N1165</f>
        <v>0</v>
      </c>
      <c r="H1165" s="57">
        <f>CRM_MAGDY!M1165</f>
        <v>0</v>
      </c>
      <c r="I1165" s="57">
        <f t="shared" si="36"/>
        <v>0</v>
      </c>
      <c r="J1165" s="57" t="str">
        <f t="shared" si="37"/>
        <v>POTENCJAŁ</v>
      </c>
    </row>
    <row r="1166" spans="1:10" x14ac:dyDescent="0.25">
      <c r="A1166" s="57" t="str">
        <f>IF(CRM_MAGDY!H1166="","","CRM-"&amp;TEXT(ROW()-4,"0000"))</f>
        <v/>
      </c>
      <c r="B1166" s="57">
        <f>CRM_MAGDY!E1166</f>
        <v>0</v>
      </c>
      <c r="C1166" s="57">
        <f>CRM_MAGDY!H1166</f>
        <v>0</v>
      </c>
      <c r="D1166" s="57">
        <f>CRM_MAGDY!I1166</f>
        <v>0</v>
      </c>
      <c r="E1166" s="57">
        <f>IFERROR(VALUE(CRM_MAGDY!K1166),0)</f>
        <v>0</v>
      </c>
      <c r="F1166" s="57">
        <f>IFERROR(IF(CRM_MAGDY!L1166&gt;1,CRM_MAGDY!L1166/100,CRM_MAGDY!L1166),0)</f>
        <v>0</v>
      </c>
      <c r="G1166" s="57">
        <f>CRM_MAGDY!N1166</f>
        <v>0</v>
      </c>
      <c r="H1166" s="57">
        <f>CRM_MAGDY!M1166</f>
        <v>0</v>
      </c>
      <c r="I1166" s="57">
        <f t="shared" si="36"/>
        <v>0</v>
      </c>
      <c r="J1166" s="57" t="str">
        <f t="shared" si="37"/>
        <v>POTENCJAŁ</v>
      </c>
    </row>
    <row r="1167" spans="1:10" x14ac:dyDescent="0.25">
      <c r="A1167" s="57" t="str">
        <f>IF(CRM_MAGDY!H1167="","","CRM-"&amp;TEXT(ROW()-4,"0000"))</f>
        <v/>
      </c>
      <c r="B1167" s="57">
        <f>CRM_MAGDY!E1167</f>
        <v>0</v>
      </c>
      <c r="C1167" s="57">
        <f>CRM_MAGDY!H1167</f>
        <v>0</v>
      </c>
      <c r="D1167" s="57">
        <f>CRM_MAGDY!I1167</f>
        <v>0</v>
      </c>
      <c r="E1167" s="57">
        <f>IFERROR(VALUE(CRM_MAGDY!K1167),0)</f>
        <v>0</v>
      </c>
      <c r="F1167" s="57">
        <f>IFERROR(IF(CRM_MAGDY!L1167&gt;1,CRM_MAGDY!L1167/100,CRM_MAGDY!L1167),0)</f>
        <v>0</v>
      </c>
      <c r="G1167" s="57">
        <f>CRM_MAGDY!N1167</f>
        <v>0</v>
      </c>
      <c r="H1167" s="57">
        <f>CRM_MAGDY!M1167</f>
        <v>0</v>
      </c>
      <c r="I1167" s="57">
        <f t="shared" si="36"/>
        <v>0</v>
      </c>
      <c r="J1167" s="57" t="str">
        <f t="shared" si="37"/>
        <v>POTENCJAŁ</v>
      </c>
    </row>
    <row r="1168" spans="1:10" x14ac:dyDescent="0.25">
      <c r="A1168" s="57" t="str">
        <f>IF(CRM_MAGDY!H1168="","","CRM-"&amp;TEXT(ROW()-4,"0000"))</f>
        <v/>
      </c>
      <c r="B1168" s="57">
        <f>CRM_MAGDY!E1168</f>
        <v>0</v>
      </c>
      <c r="C1168" s="57">
        <f>CRM_MAGDY!H1168</f>
        <v>0</v>
      </c>
      <c r="D1168" s="57">
        <f>CRM_MAGDY!I1168</f>
        <v>0</v>
      </c>
      <c r="E1168" s="57">
        <f>IFERROR(VALUE(CRM_MAGDY!K1168),0)</f>
        <v>0</v>
      </c>
      <c r="F1168" s="57">
        <f>IFERROR(IF(CRM_MAGDY!L1168&gt;1,CRM_MAGDY!L1168/100,CRM_MAGDY!L1168),0)</f>
        <v>0</v>
      </c>
      <c r="G1168" s="57">
        <f>CRM_MAGDY!N1168</f>
        <v>0</v>
      </c>
      <c r="H1168" s="57">
        <f>CRM_MAGDY!M1168</f>
        <v>0</v>
      </c>
      <c r="I1168" s="57">
        <f t="shared" si="36"/>
        <v>0</v>
      </c>
      <c r="J1168" s="57" t="str">
        <f t="shared" si="37"/>
        <v>POTENCJAŁ</v>
      </c>
    </row>
    <row r="1169" spans="1:10" x14ac:dyDescent="0.25">
      <c r="A1169" s="57" t="str">
        <f>IF(CRM_MAGDY!H1169="","","CRM-"&amp;TEXT(ROW()-4,"0000"))</f>
        <v/>
      </c>
      <c r="B1169" s="57">
        <f>CRM_MAGDY!E1169</f>
        <v>0</v>
      </c>
      <c r="C1169" s="57">
        <f>CRM_MAGDY!H1169</f>
        <v>0</v>
      </c>
      <c r="D1169" s="57">
        <f>CRM_MAGDY!I1169</f>
        <v>0</v>
      </c>
      <c r="E1169" s="57">
        <f>IFERROR(VALUE(CRM_MAGDY!K1169),0)</f>
        <v>0</v>
      </c>
      <c r="F1169" s="57">
        <f>IFERROR(IF(CRM_MAGDY!L1169&gt;1,CRM_MAGDY!L1169/100,CRM_MAGDY!L1169),0)</f>
        <v>0</v>
      </c>
      <c r="G1169" s="57">
        <f>CRM_MAGDY!N1169</f>
        <v>0</v>
      </c>
      <c r="H1169" s="57">
        <f>CRM_MAGDY!M1169</f>
        <v>0</v>
      </c>
      <c r="I1169" s="57">
        <f t="shared" si="36"/>
        <v>0</v>
      </c>
      <c r="J1169" s="57" t="str">
        <f t="shared" si="37"/>
        <v>POTENCJAŁ</v>
      </c>
    </row>
    <row r="1170" spans="1:10" x14ac:dyDescent="0.25">
      <c r="A1170" s="57" t="str">
        <f>IF(CRM_MAGDY!H1170="","","CRM-"&amp;TEXT(ROW()-4,"0000"))</f>
        <v/>
      </c>
      <c r="B1170" s="57">
        <f>CRM_MAGDY!E1170</f>
        <v>0</v>
      </c>
      <c r="C1170" s="57">
        <f>CRM_MAGDY!H1170</f>
        <v>0</v>
      </c>
      <c r="D1170" s="57">
        <f>CRM_MAGDY!I1170</f>
        <v>0</v>
      </c>
      <c r="E1170" s="57">
        <f>IFERROR(VALUE(CRM_MAGDY!K1170),0)</f>
        <v>0</v>
      </c>
      <c r="F1170" s="57">
        <f>IFERROR(IF(CRM_MAGDY!L1170&gt;1,CRM_MAGDY!L1170/100,CRM_MAGDY!L1170),0)</f>
        <v>0</v>
      </c>
      <c r="G1170" s="57">
        <f>CRM_MAGDY!N1170</f>
        <v>0</v>
      </c>
      <c r="H1170" s="57">
        <f>CRM_MAGDY!M1170</f>
        <v>0</v>
      </c>
      <c r="I1170" s="57">
        <f t="shared" si="36"/>
        <v>0</v>
      </c>
      <c r="J1170" s="57" t="str">
        <f t="shared" si="37"/>
        <v>POTENCJAŁ</v>
      </c>
    </row>
    <row r="1171" spans="1:10" x14ac:dyDescent="0.25">
      <c r="A1171" s="57" t="str">
        <f>IF(CRM_MAGDY!H1171="","","CRM-"&amp;TEXT(ROW()-4,"0000"))</f>
        <v/>
      </c>
      <c r="B1171" s="57">
        <f>CRM_MAGDY!E1171</f>
        <v>0</v>
      </c>
      <c r="C1171" s="57">
        <f>CRM_MAGDY!H1171</f>
        <v>0</v>
      </c>
      <c r="D1171" s="57">
        <f>CRM_MAGDY!I1171</f>
        <v>0</v>
      </c>
      <c r="E1171" s="57">
        <f>IFERROR(VALUE(CRM_MAGDY!K1171),0)</f>
        <v>0</v>
      </c>
      <c r="F1171" s="57">
        <f>IFERROR(IF(CRM_MAGDY!L1171&gt;1,CRM_MAGDY!L1171/100,CRM_MAGDY!L1171),0)</f>
        <v>0</v>
      </c>
      <c r="G1171" s="57">
        <f>CRM_MAGDY!N1171</f>
        <v>0</v>
      </c>
      <c r="H1171" s="57">
        <f>CRM_MAGDY!M1171</f>
        <v>0</v>
      </c>
      <c r="I1171" s="57">
        <f t="shared" si="36"/>
        <v>0</v>
      </c>
      <c r="J1171" s="57" t="str">
        <f t="shared" si="37"/>
        <v>POTENCJAŁ</v>
      </c>
    </row>
    <row r="1172" spans="1:10" x14ac:dyDescent="0.25">
      <c r="A1172" s="57" t="str">
        <f>IF(CRM_MAGDY!H1172="","","CRM-"&amp;TEXT(ROW()-4,"0000"))</f>
        <v/>
      </c>
      <c r="B1172" s="57">
        <f>CRM_MAGDY!E1172</f>
        <v>0</v>
      </c>
      <c r="C1172" s="57">
        <f>CRM_MAGDY!H1172</f>
        <v>0</v>
      </c>
      <c r="D1172" s="57">
        <f>CRM_MAGDY!I1172</f>
        <v>0</v>
      </c>
      <c r="E1172" s="57">
        <f>IFERROR(VALUE(CRM_MAGDY!K1172),0)</f>
        <v>0</v>
      </c>
      <c r="F1172" s="57">
        <f>IFERROR(IF(CRM_MAGDY!L1172&gt;1,CRM_MAGDY!L1172/100,CRM_MAGDY!L1172),0)</f>
        <v>0</v>
      </c>
      <c r="G1172" s="57">
        <f>CRM_MAGDY!N1172</f>
        <v>0</v>
      </c>
      <c r="H1172" s="57">
        <f>CRM_MAGDY!M1172</f>
        <v>0</v>
      </c>
      <c r="I1172" s="57">
        <f t="shared" si="36"/>
        <v>0</v>
      </c>
      <c r="J1172" s="57" t="str">
        <f t="shared" si="37"/>
        <v>POTENCJAŁ</v>
      </c>
    </row>
    <row r="1173" spans="1:10" x14ac:dyDescent="0.25">
      <c r="A1173" s="57" t="str">
        <f>IF(CRM_MAGDY!H1173="","","CRM-"&amp;TEXT(ROW()-4,"0000"))</f>
        <v/>
      </c>
      <c r="B1173" s="57">
        <f>CRM_MAGDY!E1173</f>
        <v>0</v>
      </c>
      <c r="C1173" s="57">
        <f>CRM_MAGDY!H1173</f>
        <v>0</v>
      </c>
      <c r="D1173" s="57">
        <f>CRM_MAGDY!I1173</f>
        <v>0</v>
      </c>
      <c r="E1173" s="57">
        <f>IFERROR(VALUE(CRM_MAGDY!K1173),0)</f>
        <v>0</v>
      </c>
      <c r="F1173" s="57">
        <f>IFERROR(IF(CRM_MAGDY!L1173&gt;1,CRM_MAGDY!L1173/100,CRM_MAGDY!L1173),0)</f>
        <v>0</v>
      </c>
      <c r="G1173" s="57">
        <f>CRM_MAGDY!N1173</f>
        <v>0</v>
      </c>
      <c r="H1173" s="57">
        <f>CRM_MAGDY!M1173</f>
        <v>0</v>
      </c>
      <c r="I1173" s="57">
        <f t="shared" si="36"/>
        <v>0</v>
      </c>
      <c r="J1173" s="57" t="str">
        <f t="shared" si="37"/>
        <v>POTENCJAŁ</v>
      </c>
    </row>
    <row r="1174" spans="1:10" x14ac:dyDescent="0.25">
      <c r="A1174" s="57" t="str">
        <f>IF(CRM_MAGDY!H1174="","","CRM-"&amp;TEXT(ROW()-4,"0000"))</f>
        <v/>
      </c>
      <c r="B1174" s="57">
        <f>CRM_MAGDY!E1174</f>
        <v>0</v>
      </c>
      <c r="C1174" s="57">
        <f>CRM_MAGDY!H1174</f>
        <v>0</v>
      </c>
      <c r="D1174" s="57">
        <f>CRM_MAGDY!I1174</f>
        <v>0</v>
      </c>
      <c r="E1174" s="57">
        <f>IFERROR(VALUE(CRM_MAGDY!K1174),0)</f>
        <v>0</v>
      </c>
      <c r="F1174" s="57">
        <f>IFERROR(IF(CRM_MAGDY!L1174&gt;1,CRM_MAGDY!L1174/100,CRM_MAGDY!L1174),0)</f>
        <v>0</v>
      </c>
      <c r="G1174" s="57">
        <f>CRM_MAGDY!N1174</f>
        <v>0</v>
      </c>
      <c r="H1174" s="57">
        <f>CRM_MAGDY!M1174</f>
        <v>0</v>
      </c>
      <c r="I1174" s="57">
        <f t="shared" si="36"/>
        <v>0</v>
      </c>
      <c r="J1174" s="57" t="str">
        <f t="shared" si="37"/>
        <v>POTENCJAŁ</v>
      </c>
    </row>
    <row r="1175" spans="1:10" x14ac:dyDescent="0.25">
      <c r="A1175" s="57" t="str">
        <f>IF(CRM_MAGDY!H1175="","","CRM-"&amp;TEXT(ROW()-4,"0000"))</f>
        <v/>
      </c>
      <c r="B1175" s="57">
        <f>CRM_MAGDY!E1175</f>
        <v>0</v>
      </c>
      <c r="C1175" s="57">
        <f>CRM_MAGDY!H1175</f>
        <v>0</v>
      </c>
      <c r="D1175" s="57">
        <f>CRM_MAGDY!I1175</f>
        <v>0</v>
      </c>
      <c r="E1175" s="57">
        <f>IFERROR(VALUE(CRM_MAGDY!K1175),0)</f>
        <v>0</v>
      </c>
      <c r="F1175" s="57">
        <f>IFERROR(IF(CRM_MAGDY!L1175&gt;1,CRM_MAGDY!L1175/100,CRM_MAGDY!L1175),0)</f>
        <v>0</v>
      </c>
      <c r="G1175" s="57">
        <f>CRM_MAGDY!N1175</f>
        <v>0</v>
      </c>
      <c r="H1175" s="57">
        <f>CRM_MAGDY!M1175</f>
        <v>0</v>
      </c>
      <c r="I1175" s="57">
        <f t="shared" si="36"/>
        <v>0</v>
      </c>
      <c r="J1175" s="57" t="str">
        <f t="shared" si="37"/>
        <v>POTENCJAŁ</v>
      </c>
    </row>
    <row r="1176" spans="1:10" x14ac:dyDescent="0.25">
      <c r="A1176" s="57" t="str">
        <f>IF(CRM_MAGDY!H1176="","","CRM-"&amp;TEXT(ROW()-4,"0000"))</f>
        <v/>
      </c>
      <c r="B1176" s="57">
        <f>CRM_MAGDY!E1176</f>
        <v>0</v>
      </c>
      <c r="C1176" s="57">
        <f>CRM_MAGDY!H1176</f>
        <v>0</v>
      </c>
      <c r="D1176" s="57">
        <f>CRM_MAGDY!I1176</f>
        <v>0</v>
      </c>
      <c r="E1176" s="57">
        <f>IFERROR(VALUE(CRM_MAGDY!K1176),0)</f>
        <v>0</v>
      </c>
      <c r="F1176" s="57">
        <f>IFERROR(IF(CRM_MAGDY!L1176&gt;1,CRM_MAGDY!L1176/100,CRM_MAGDY!L1176),0)</f>
        <v>0</v>
      </c>
      <c r="G1176" s="57">
        <f>CRM_MAGDY!N1176</f>
        <v>0</v>
      </c>
      <c r="H1176" s="57">
        <f>CRM_MAGDY!M1176</f>
        <v>0</v>
      </c>
      <c r="I1176" s="57">
        <f t="shared" si="36"/>
        <v>0</v>
      </c>
      <c r="J1176" s="57" t="str">
        <f t="shared" si="37"/>
        <v>POTENCJAŁ</v>
      </c>
    </row>
    <row r="1177" spans="1:10" x14ac:dyDescent="0.25">
      <c r="A1177" s="57" t="str">
        <f>IF(CRM_MAGDY!H1177="","","CRM-"&amp;TEXT(ROW()-4,"0000"))</f>
        <v/>
      </c>
      <c r="B1177" s="57">
        <f>CRM_MAGDY!E1177</f>
        <v>0</v>
      </c>
      <c r="C1177" s="57">
        <f>CRM_MAGDY!H1177</f>
        <v>0</v>
      </c>
      <c r="D1177" s="57">
        <f>CRM_MAGDY!I1177</f>
        <v>0</v>
      </c>
      <c r="E1177" s="57">
        <f>IFERROR(VALUE(CRM_MAGDY!K1177),0)</f>
        <v>0</v>
      </c>
      <c r="F1177" s="57">
        <f>IFERROR(IF(CRM_MAGDY!L1177&gt;1,CRM_MAGDY!L1177/100,CRM_MAGDY!L1177),0)</f>
        <v>0</v>
      </c>
      <c r="G1177" s="57">
        <f>CRM_MAGDY!N1177</f>
        <v>0</v>
      </c>
      <c r="H1177" s="57">
        <f>CRM_MAGDY!M1177</f>
        <v>0</v>
      </c>
      <c r="I1177" s="57">
        <f t="shared" si="36"/>
        <v>0</v>
      </c>
      <c r="J1177" s="57" t="str">
        <f t="shared" si="37"/>
        <v>POTENCJAŁ</v>
      </c>
    </row>
    <row r="1178" spans="1:10" x14ac:dyDescent="0.25">
      <c r="A1178" s="57" t="str">
        <f>IF(CRM_MAGDY!H1178="","","CRM-"&amp;TEXT(ROW()-4,"0000"))</f>
        <v/>
      </c>
      <c r="B1178" s="57">
        <f>CRM_MAGDY!E1178</f>
        <v>0</v>
      </c>
      <c r="C1178" s="57">
        <f>CRM_MAGDY!H1178</f>
        <v>0</v>
      </c>
      <c r="D1178" s="57">
        <f>CRM_MAGDY!I1178</f>
        <v>0</v>
      </c>
      <c r="E1178" s="57">
        <f>IFERROR(VALUE(CRM_MAGDY!K1178),0)</f>
        <v>0</v>
      </c>
      <c r="F1178" s="57">
        <f>IFERROR(IF(CRM_MAGDY!L1178&gt;1,CRM_MAGDY!L1178/100,CRM_MAGDY!L1178),0)</f>
        <v>0</v>
      </c>
      <c r="G1178" s="57">
        <f>CRM_MAGDY!N1178</f>
        <v>0</v>
      </c>
      <c r="H1178" s="57">
        <f>CRM_MAGDY!M1178</f>
        <v>0</v>
      </c>
      <c r="I1178" s="57">
        <f t="shared" si="36"/>
        <v>0</v>
      </c>
      <c r="J1178" s="57" t="str">
        <f t="shared" si="37"/>
        <v>POTENCJAŁ</v>
      </c>
    </row>
    <row r="1179" spans="1:10" x14ac:dyDescent="0.25">
      <c r="A1179" s="57" t="str">
        <f>IF(CRM_MAGDY!H1179="","","CRM-"&amp;TEXT(ROW()-4,"0000"))</f>
        <v/>
      </c>
      <c r="B1179" s="57">
        <f>CRM_MAGDY!E1179</f>
        <v>0</v>
      </c>
      <c r="C1179" s="57">
        <f>CRM_MAGDY!H1179</f>
        <v>0</v>
      </c>
      <c r="D1179" s="57">
        <f>CRM_MAGDY!I1179</f>
        <v>0</v>
      </c>
      <c r="E1179" s="57">
        <f>IFERROR(VALUE(CRM_MAGDY!K1179),0)</f>
        <v>0</v>
      </c>
      <c r="F1179" s="57">
        <f>IFERROR(IF(CRM_MAGDY!L1179&gt;1,CRM_MAGDY!L1179/100,CRM_MAGDY!L1179),0)</f>
        <v>0</v>
      </c>
      <c r="G1179" s="57">
        <f>CRM_MAGDY!N1179</f>
        <v>0</v>
      </c>
      <c r="H1179" s="57">
        <f>CRM_MAGDY!M1179</f>
        <v>0</v>
      </c>
      <c r="I1179" s="57">
        <f t="shared" si="36"/>
        <v>0</v>
      </c>
      <c r="J1179" s="57" t="str">
        <f t="shared" si="37"/>
        <v>POTENCJAŁ</v>
      </c>
    </row>
    <row r="1180" spans="1:10" x14ac:dyDescent="0.25">
      <c r="A1180" s="57" t="str">
        <f>IF(CRM_MAGDY!H1180="","","CRM-"&amp;TEXT(ROW()-4,"0000"))</f>
        <v/>
      </c>
      <c r="B1180" s="57">
        <f>CRM_MAGDY!E1180</f>
        <v>0</v>
      </c>
      <c r="C1180" s="57">
        <f>CRM_MAGDY!H1180</f>
        <v>0</v>
      </c>
      <c r="D1180" s="57">
        <f>CRM_MAGDY!I1180</f>
        <v>0</v>
      </c>
      <c r="E1180" s="57">
        <f>IFERROR(VALUE(CRM_MAGDY!K1180),0)</f>
        <v>0</v>
      </c>
      <c r="F1180" s="57">
        <f>IFERROR(IF(CRM_MAGDY!L1180&gt;1,CRM_MAGDY!L1180/100,CRM_MAGDY!L1180),0)</f>
        <v>0</v>
      </c>
      <c r="G1180" s="57">
        <f>CRM_MAGDY!N1180</f>
        <v>0</v>
      </c>
      <c r="H1180" s="57">
        <f>CRM_MAGDY!M1180</f>
        <v>0</v>
      </c>
      <c r="I1180" s="57">
        <f t="shared" si="36"/>
        <v>0</v>
      </c>
      <c r="J1180" s="57" t="str">
        <f t="shared" si="37"/>
        <v>POTENCJAŁ</v>
      </c>
    </row>
    <row r="1181" spans="1:10" x14ac:dyDescent="0.25">
      <c r="A1181" s="57" t="str">
        <f>IF(CRM_MAGDY!H1181="","","CRM-"&amp;TEXT(ROW()-4,"0000"))</f>
        <v/>
      </c>
      <c r="B1181" s="57">
        <f>CRM_MAGDY!E1181</f>
        <v>0</v>
      </c>
      <c r="C1181" s="57">
        <f>CRM_MAGDY!H1181</f>
        <v>0</v>
      </c>
      <c r="D1181" s="57">
        <f>CRM_MAGDY!I1181</f>
        <v>0</v>
      </c>
      <c r="E1181" s="57">
        <f>IFERROR(VALUE(CRM_MAGDY!K1181),0)</f>
        <v>0</v>
      </c>
      <c r="F1181" s="57">
        <f>IFERROR(IF(CRM_MAGDY!L1181&gt;1,CRM_MAGDY!L1181/100,CRM_MAGDY!L1181),0)</f>
        <v>0</v>
      </c>
      <c r="G1181" s="57">
        <f>CRM_MAGDY!N1181</f>
        <v>0</v>
      </c>
      <c r="H1181" s="57">
        <f>CRM_MAGDY!M1181</f>
        <v>0</v>
      </c>
      <c r="I1181" s="57">
        <f t="shared" si="36"/>
        <v>0</v>
      </c>
      <c r="J1181" s="57" t="str">
        <f t="shared" si="37"/>
        <v>POTENCJAŁ</v>
      </c>
    </row>
    <row r="1182" spans="1:10" x14ac:dyDescent="0.25">
      <c r="A1182" s="57" t="str">
        <f>IF(CRM_MAGDY!H1182="","","CRM-"&amp;TEXT(ROW()-4,"0000"))</f>
        <v/>
      </c>
      <c r="B1182" s="57">
        <f>CRM_MAGDY!E1182</f>
        <v>0</v>
      </c>
      <c r="C1182" s="57">
        <f>CRM_MAGDY!H1182</f>
        <v>0</v>
      </c>
      <c r="D1182" s="57">
        <f>CRM_MAGDY!I1182</f>
        <v>0</v>
      </c>
      <c r="E1182" s="57">
        <f>IFERROR(VALUE(CRM_MAGDY!K1182),0)</f>
        <v>0</v>
      </c>
      <c r="F1182" s="57">
        <f>IFERROR(IF(CRM_MAGDY!L1182&gt;1,CRM_MAGDY!L1182/100,CRM_MAGDY!L1182),0)</f>
        <v>0</v>
      </c>
      <c r="G1182" s="57">
        <f>CRM_MAGDY!N1182</f>
        <v>0</v>
      </c>
      <c r="H1182" s="57">
        <f>CRM_MAGDY!M1182</f>
        <v>0</v>
      </c>
      <c r="I1182" s="57">
        <f t="shared" si="36"/>
        <v>0</v>
      </c>
      <c r="J1182" s="57" t="str">
        <f t="shared" si="37"/>
        <v>POTENCJAŁ</v>
      </c>
    </row>
    <row r="1183" spans="1:10" x14ac:dyDescent="0.25">
      <c r="A1183" s="57" t="str">
        <f>IF(CRM_MAGDY!H1183="","","CRM-"&amp;TEXT(ROW()-4,"0000"))</f>
        <v/>
      </c>
      <c r="B1183" s="57">
        <f>CRM_MAGDY!E1183</f>
        <v>0</v>
      </c>
      <c r="C1183" s="57">
        <f>CRM_MAGDY!H1183</f>
        <v>0</v>
      </c>
      <c r="D1183" s="57">
        <f>CRM_MAGDY!I1183</f>
        <v>0</v>
      </c>
      <c r="E1183" s="57">
        <f>IFERROR(VALUE(CRM_MAGDY!K1183),0)</f>
        <v>0</v>
      </c>
      <c r="F1183" s="57">
        <f>IFERROR(IF(CRM_MAGDY!L1183&gt;1,CRM_MAGDY!L1183/100,CRM_MAGDY!L1183),0)</f>
        <v>0</v>
      </c>
      <c r="G1183" s="57">
        <f>CRM_MAGDY!N1183</f>
        <v>0</v>
      </c>
      <c r="H1183" s="57">
        <f>CRM_MAGDY!M1183</f>
        <v>0</v>
      </c>
      <c r="I1183" s="57">
        <f t="shared" si="36"/>
        <v>0</v>
      </c>
      <c r="J1183" s="57" t="str">
        <f t="shared" si="37"/>
        <v>POTENCJAŁ</v>
      </c>
    </row>
    <row r="1184" spans="1:10" x14ac:dyDescent="0.25">
      <c r="A1184" s="57" t="str">
        <f>IF(CRM_MAGDY!H1184="","","CRM-"&amp;TEXT(ROW()-4,"0000"))</f>
        <v/>
      </c>
      <c r="B1184" s="57">
        <f>CRM_MAGDY!E1184</f>
        <v>0</v>
      </c>
      <c r="C1184" s="57">
        <f>CRM_MAGDY!H1184</f>
        <v>0</v>
      </c>
      <c r="D1184" s="57">
        <f>CRM_MAGDY!I1184</f>
        <v>0</v>
      </c>
      <c r="E1184" s="57">
        <f>IFERROR(VALUE(CRM_MAGDY!K1184),0)</f>
        <v>0</v>
      </c>
      <c r="F1184" s="57">
        <f>IFERROR(IF(CRM_MAGDY!L1184&gt;1,CRM_MAGDY!L1184/100,CRM_MAGDY!L1184),0)</f>
        <v>0</v>
      </c>
      <c r="G1184" s="57">
        <f>CRM_MAGDY!N1184</f>
        <v>0</v>
      </c>
      <c r="H1184" s="57">
        <f>CRM_MAGDY!M1184</f>
        <v>0</v>
      </c>
      <c r="I1184" s="57">
        <f t="shared" si="36"/>
        <v>0</v>
      </c>
      <c r="J1184" s="57" t="str">
        <f t="shared" si="37"/>
        <v>POTENCJAŁ</v>
      </c>
    </row>
    <row r="1185" spans="1:10" x14ac:dyDescent="0.25">
      <c r="A1185" s="57" t="str">
        <f>IF(CRM_MAGDY!H1185="","","CRM-"&amp;TEXT(ROW()-4,"0000"))</f>
        <v/>
      </c>
      <c r="B1185" s="57">
        <f>CRM_MAGDY!E1185</f>
        <v>0</v>
      </c>
      <c r="C1185" s="57">
        <f>CRM_MAGDY!H1185</f>
        <v>0</v>
      </c>
      <c r="D1185" s="57">
        <f>CRM_MAGDY!I1185</f>
        <v>0</v>
      </c>
      <c r="E1185" s="57">
        <f>IFERROR(VALUE(CRM_MAGDY!K1185),0)</f>
        <v>0</v>
      </c>
      <c r="F1185" s="57">
        <f>IFERROR(IF(CRM_MAGDY!L1185&gt;1,CRM_MAGDY!L1185/100,CRM_MAGDY!L1185),0)</f>
        <v>0</v>
      </c>
      <c r="G1185" s="57">
        <f>CRM_MAGDY!N1185</f>
        <v>0</v>
      </c>
      <c r="H1185" s="57">
        <f>CRM_MAGDY!M1185</f>
        <v>0</v>
      </c>
      <c r="I1185" s="57">
        <f t="shared" si="36"/>
        <v>0</v>
      </c>
      <c r="J1185" s="57" t="str">
        <f t="shared" si="37"/>
        <v>POTENCJAŁ</v>
      </c>
    </row>
    <row r="1186" spans="1:10" x14ac:dyDescent="0.25">
      <c r="A1186" s="57" t="str">
        <f>IF(CRM_MAGDY!H1186="","","CRM-"&amp;TEXT(ROW()-4,"0000"))</f>
        <v/>
      </c>
      <c r="B1186" s="57">
        <f>CRM_MAGDY!E1186</f>
        <v>0</v>
      </c>
      <c r="C1186" s="57">
        <f>CRM_MAGDY!H1186</f>
        <v>0</v>
      </c>
      <c r="D1186" s="57">
        <f>CRM_MAGDY!I1186</f>
        <v>0</v>
      </c>
      <c r="E1186" s="57">
        <f>IFERROR(VALUE(CRM_MAGDY!K1186),0)</f>
        <v>0</v>
      </c>
      <c r="F1186" s="57">
        <f>IFERROR(IF(CRM_MAGDY!L1186&gt;1,CRM_MAGDY!L1186/100,CRM_MAGDY!L1186),0)</f>
        <v>0</v>
      </c>
      <c r="G1186" s="57">
        <f>CRM_MAGDY!N1186</f>
        <v>0</v>
      </c>
      <c r="H1186" s="57">
        <f>CRM_MAGDY!M1186</f>
        <v>0</v>
      </c>
      <c r="I1186" s="57">
        <f t="shared" si="36"/>
        <v>0</v>
      </c>
      <c r="J1186" s="57" t="str">
        <f t="shared" si="37"/>
        <v>POTENCJAŁ</v>
      </c>
    </row>
    <row r="1187" spans="1:10" x14ac:dyDescent="0.25">
      <c r="A1187" s="57" t="str">
        <f>IF(CRM_MAGDY!H1187="","","CRM-"&amp;TEXT(ROW()-4,"0000"))</f>
        <v/>
      </c>
      <c r="B1187" s="57">
        <f>CRM_MAGDY!E1187</f>
        <v>0</v>
      </c>
      <c r="C1187" s="57">
        <f>CRM_MAGDY!H1187</f>
        <v>0</v>
      </c>
      <c r="D1187" s="57">
        <f>CRM_MAGDY!I1187</f>
        <v>0</v>
      </c>
      <c r="E1187" s="57">
        <f>IFERROR(VALUE(CRM_MAGDY!K1187),0)</f>
        <v>0</v>
      </c>
      <c r="F1187" s="57">
        <f>IFERROR(IF(CRM_MAGDY!L1187&gt;1,CRM_MAGDY!L1187/100,CRM_MAGDY!L1187),0)</f>
        <v>0</v>
      </c>
      <c r="G1187" s="57">
        <f>CRM_MAGDY!N1187</f>
        <v>0</v>
      </c>
      <c r="H1187" s="57">
        <f>CRM_MAGDY!M1187</f>
        <v>0</v>
      </c>
      <c r="I1187" s="57">
        <f t="shared" si="36"/>
        <v>0</v>
      </c>
      <c r="J1187" s="57" t="str">
        <f t="shared" si="37"/>
        <v>POTENCJAŁ</v>
      </c>
    </row>
    <row r="1188" spans="1:10" x14ac:dyDescent="0.25">
      <c r="A1188" s="57" t="str">
        <f>IF(CRM_MAGDY!H1188="","","CRM-"&amp;TEXT(ROW()-4,"0000"))</f>
        <v/>
      </c>
      <c r="B1188" s="57">
        <f>CRM_MAGDY!E1188</f>
        <v>0</v>
      </c>
      <c r="C1188" s="57">
        <f>CRM_MAGDY!H1188</f>
        <v>0</v>
      </c>
      <c r="D1188" s="57">
        <f>CRM_MAGDY!I1188</f>
        <v>0</v>
      </c>
      <c r="E1188" s="57">
        <f>IFERROR(VALUE(CRM_MAGDY!K1188),0)</f>
        <v>0</v>
      </c>
      <c r="F1188" s="57">
        <f>IFERROR(IF(CRM_MAGDY!L1188&gt;1,CRM_MAGDY!L1188/100,CRM_MAGDY!L1188),0)</f>
        <v>0</v>
      </c>
      <c r="G1188" s="57">
        <f>CRM_MAGDY!N1188</f>
        <v>0</v>
      </c>
      <c r="H1188" s="57">
        <f>CRM_MAGDY!M1188</f>
        <v>0</v>
      </c>
      <c r="I1188" s="57">
        <f t="shared" si="36"/>
        <v>0</v>
      </c>
      <c r="J1188" s="57" t="str">
        <f t="shared" si="37"/>
        <v>POTENCJAŁ</v>
      </c>
    </row>
    <row r="1189" spans="1:10" x14ac:dyDescent="0.25">
      <c r="A1189" s="57" t="str">
        <f>IF(CRM_MAGDY!H1189="","","CRM-"&amp;TEXT(ROW()-4,"0000"))</f>
        <v/>
      </c>
      <c r="B1189" s="57">
        <f>CRM_MAGDY!E1189</f>
        <v>0</v>
      </c>
      <c r="C1189" s="57">
        <f>CRM_MAGDY!H1189</f>
        <v>0</v>
      </c>
      <c r="D1189" s="57">
        <f>CRM_MAGDY!I1189</f>
        <v>0</v>
      </c>
      <c r="E1189" s="57">
        <f>IFERROR(VALUE(CRM_MAGDY!K1189),0)</f>
        <v>0</v>
      </c>
      <c r="F1189" s="57">
        <f>IFERROR(IF(CRM_MAGDY!L1189&gt;1,CRM_MAGDY!L1189/100,CRM_MAGDY!L1189),0)</f>
        <v>0</v>
      </c>
      <c r="G1189" s="57">
        <f>CRM_MAGDY!N1189</f>
        <v>0</v>
      </c>
      <c r="H1189" s="57">
        <f>CRM_MAGDY!M1189</f>
        <v>0</v>
      </c>
      <c r="I1189" s="57">
        <f t="shared" si="36"/>
        <v>0</v>
      </c>
      <c r="J1189" s="57" t="str">
        <f t="shared" si="37"/>
        <v>POTENCJAŁ</v>
      </c>
    </row>
    <row r="1190" spans="1:10" x14ac:dyDescent="0.25">
      <c r="A1190" s="57" t="str">
        <f>IF(CRM_MAGDY!H1190="","","CRM-"&amp;TEXT(ROW()-4,"0000"))</f>
        <v/>
      </c>
      <c r="B1190" s="57">
        <f>CRM_MAGDY!E1190</f>
        <v>0</v>
      </c>
      <c r="C1190" s="57">
        <f>CRM_MAGDY!H1190</f>
        <v>0</v>
      </c>
      <c r="D1190" s="57">
        <f>CRM_MAGDY!I1190</f>
        <v>0</v>
      </c>
      <c r="E1190" s="57">
        <f>IFERROR(VALUE(CRM_MAGDY!K1190),0)</f>
        <v>0</v>
      </c>
      <c r="F1190" s="57">
        <f>IFERROR(IF(CRM_MAGDY!L1190&gt;1,CRM_MAGDY!L1190/100,CRM_MAGDY!L1190),0)</f>
        <v>0</v>
      </c>
      <c r="G1190" s="57">
        <f>CRM_MAGDY!N1190</f>
        <v>0</v>
      </c>
      <c r="H1190" s="57">
        <f>CRM_MAGDY!M1190</f>
        <v>0</v>
      </c>
      <c r="I1190" s="57">
        <f t="shared" si="36"/>
        <v>0</v>
      </c>
      <c r="J1190" s="57" t="str">
        <f t="shared" si="37"/>
        <v>POTENCJAŁ</v>
      </c>
    </row>
    <row r="1191" spans="1:10" x14ac:dyDescent="0.25">
      <c r="A1191" s="57" t="str">
        <f>IF(CRM_MAGDY!H1191="","","CRM-"&amp;TEXT(ROW()-4,"0000"))</f>
        <v/>
      </c>
      <c r="B1191" s="57">
        <f>CRM_MAGDY!E1191</f>
        <v>0</v>
      </c>
      <c r="C1191" s="57">
        <f>CRM_MAGDY!H1191</f>
        <v>0</v>
      </c>
      <c r="D1191" s="57">
        <f>CRM_MAGDY!I1191</f>
        <v>0</v>
      </c>
      <c r="E1191" s="57">
        <f>IFERROR(VALUE(CRM_MAGDY!K1191),0)</f>
        <v>0</v>
      </c>
      <c r="F1191" s="57">
        <f>IFERROR(IF(CRM_MAGDY!L1191&gt;1,CRM_MAGDY!L1191/100,CRM_MAGDY!L1191),0)</f>
        <v>0</v>
      </c>
      <c r="G1191" s="57">
        <f>CRM_MAGDY!N1191</f>
        <v>0</v>
      </c>
      <c r="H1191" s="57">
        <f>CRM_MAGDY!M1191</f>
        <v>0</v>
      </c>
      <c r="I1191" s="57">
        <f t="shared" si="36"/>
        <v>0</v>
      </c>
      <c r="J1191" s="57" t="str">
        <f t="shared" si="37"/>
        <v>POTENCJAŁ</v>
      </c>
    </row>
    <row r="1192" spans="1:10" x14ac:dyDescent="0.25">
      <c r="A1192" s="57" t="str">
        <f>IF(CRM_MAGDY!H1192="","","CRM-"&amp;TEXT(ROW()-4,"0000"))</f>
        <v/>
      </c>
      <c r="B1192" s="57">
        <f>CRM_MAGDY!E1192</f>
        <v>0</v>
      </c>
      <c r="C1192" s="57">
        <f>CRM_MAGDY!H1192</f>
        <v>0</v>
      </c>
      <c r="D1192" s="57">
        <f>CRM_MAGDY!I1192</f>
        <v>0</v>
      </c>
      <c r="E1192" s="57">
        <f>IFERROR(VALUE(CRM_MAGDY!K1192),0)</f>
        <v>0</v>
      </c>
      <c r="F1192" s="57">
        <f>IFERROR(IF(CRM_MAGDY!L1192&gt;1,CRM_MAGDY!L1192/100,CRM_MAGDY!L1192),0)</f>
        <v>0</v>
      </c>
      <c r="G1192" s="57">
        <f>CRM_MAGDY!N1192</f>
        <v>0</v>
      </c>
      <c r="H1192" s="57">
        <f>CRM_MAGDY!M1192</f>
        <v>0</v>
      </c>
      <c r="I1192" s="57">
        <f t="shared" si="36"/>
        <v>0</v>
      </c>
      <c r="J1192" s="57" t="str">
        <f t="shared" si="37"/>
        <v>POTENCJAŁ</v>
      </c>
    </row>
    <row r="1193" spans="1:10" x14ac:dyDescent="0.25">
      <c r="A1193" s="57" t="str">
        <f>IF(CRM_MAGDY!H1193="","","CRM-"&amp;TEXT(ROW()-4,"0000"))</f>
        <v/>
      </c>
      <c r="B1193" s="57">
        <f>CRM_MAGDY!E1193</f>
        <v>0</v>
      </c>
      <c r="C1193" s="57">
        <f>CRM_MAGDY!H1193</f>
        <v>0</v>
      </c>
      <c r="D1193" s="57">
        <f>CRM_MAGDY!I1193</f>
        <v>0</v>
      </c>
      <c r="E1193" s="57">
        <f>IFERROR(VALUE(CRM_MAGDY!K1193),0)</f>
        <v>0</v>
      </c>
      <c r="F1193" s="57">
        <f>IFERROR(IF(CRM_MAGDY!L1193&gt;1,CRM_MAGDY!L1193/100,CRM_MAGDY!L1193),0)</f>
        <v>0</v>
      </c>
      <c r="G1193" s="57">
        <f>CRM_MAGDY!N1193</f>
        <v>0</v>
      </c>
      <c r="H1193" s="57">
        <f>CRM_MAGDY!M1193</f>
        <v>0</v>
      </c>
      <c r="I1193" s="57">
        <f t="shared" si="36"/>
        <v>0</v>
      </c>
      <c r="J1193" s="57" t="str">
        <f t="shared" si="37"/>
        <v>POTENCJAŁ</v>
      </c>
    </row>
    <row r="1194" spans="1:10" x14ac:dyDescent="0.25">
      <c r="A1194" s="57" t="str">
        <f>IF(CRM_MAGDY!H1194="","","CRM-"&amp;TEXT(ROW()-4,"0000"))</f>
        <v/>
      </c>
      <c r="B1194" s="57">
        <f>CRM_MAGDY!E1194</f>
        <v>0</v>
      </c>
      <c r="C1194" s="57">
        <f>CRM_MAGDY!H1194</f>
        <v>0</v>
      </c>
      <c r="D1194" s="57">
        <f>CRM_MAGDY!I1194</f>
        <v>0</v>
      </c>
      <c r="E1194" s="57">
        <f>IFERROR(VALUE(CRM_MAGDY!K1194),0)</f>
        <v>0</v>
      </c>
      <c r="F1194" s="57">
        <f>IFERROR(IF(CRM_MAGDY!L1194&gt;1,CRM_MAGDY!L1194/100,CRM_MAGDY!L1194),0)</f>
        <v>0</v>
      </c>
      <c r="G1194" s="57">
        <f>CRM_MAGDY!N1194</f>
        <v>0</v>
      </c>
      <c r="H1194" s="57">
        <f>CRM_MAGDY!M1194</f>
        <v>0</v>
      </c>
      <c r="I1194" s="57">
        <f t="shared" si="36"/>
        <v>0</v>
      </c>
      <c r="J1194" s="57" t="str">
        <f t="shared" si="37"/>
        <v>POTENCJAŁ</v>
      </c>
    </row>
    <row r="1195" spans="1:10" x14ac:dyDescent="0.25">
      <c r="A1195" s="57" t="str">
        <f>IF(CRM_MAGDY!H1195="","","CRM-"&amp;TEXT(ROW()-4,"0000"))</f>
        <v/>
      </c>
      <c r="B1195" s="57">
        <f>CRM_MAGDY!E1195</f>
        <v>0</v>
      </c>
      <c r="C1195" s="57">
        <f>CRM_MAGDY!H1195</f>
        <v>0</v>
      </c>
      <c r="D1195" s="57">
        <f>CRM_MAGDY!I1195</f>
        <v>0</v>
      </c>
      <c r="E1195" s="57">
        <f>IFERROR(VALUE(CRM_MAGDY!K1195),0)</f>
        <v>0</v>
      </c>
      <c r="F1195" s="57">
        <f>IFERROR(IF(CRM_MAGDY!L1195&gt;1,CRM_MAGDY!L1195/100,CRM_MAGDY!L1195),0)</f>
        <v>0</v>
      </c>
      <c r="G1195" s="57">
        <f>CRM_MAGDY!N1195</f>
        <v>0</v>
      </c>
      <c r="H1195" s="57">
        <f>CRM_MAGDY!M1195</f>
        <v>0</v>
      </c>
      <c r="I1195" s="57">
        <f t="shared" si="36"/>
        <v>0</v>
      </c>
      <c r="J1195" s="57" t="str">
        <f t="shared" si="37"/>
        <v>POTENCJAŁ</v>
      </c>
    </row>
    <row r="1196" spans="1:10" x14ac:dyDescent="0.25">
      <c r="A1196" s="57" t="str">
        <f>IF(CRM_MAGDY!H1196="","","CRM-"&amp;TEXT(ROW()-4,"0000"))</f>
        <v/>
      </c>
      <c r="B1196" s="57">
        <f>CRM_MAGDY!E1196</f>
        <v>0</v>
      </c>
      <c r="C1196" s="57">
        <f>CRM_MAGDY!H1196</f>
        <v>0</v>
      </c>
      <c r="D1196" s="57">
        <f>CRM_MAGDY!I1196</f>
        <v>0</v>
      </c>
      <c r="E1196" s="57">
        <f>IFERROR(VALUE(CRM_MAGDY!K1196),0)</f>
        <v>0</v>
      </c>
      <c r="F1196" s="57">
        <f>IFERROR(IF(CRM_MAGDY!L1196&gt;1,CRM_MAGDY!L1196/100,CRM_MAGDY!L1196),0)</f>
        <v>0</v>
      </c>
      <c r="G1196" s="57">
        <f>CRM_MAGDY!N1196</f>
        <v>0</v>
      </c>
      <c r="H1196" s="57">
        <f>CRM_MAGDY!M1196</f>
        <v>0</v>
      </c>
      <c r="I1196" s="57">
        <f t="shared" si="36"/>
        <v>0</v>
      </c>
      <c r="J1196" s="57" t="str">
        <f t="shared" si="37"/>
        <v>POTENCJAŁ</v>
      </c>
    </row>
    <row r="1197" spans="1:10" x14ac:dyDescent="0.25">
      <c r="A1197" s="57" t="str">
        <f>IF(CRM_MAGDY!H1197="","","CRM-"&amp;TEXT(ROW()-4,"0000"))</f>
        <v/>
      </c>
      <c r="B1197" s="57">
        <f>CRM_MAGDY!E1197</f>
        <v>0</v>
      </c>
      <c r="C1197" s="57">
        <f>CRM_MAGDY!H1197</f>
        <v>0</v>
      </c>
      <c r="D1197" s="57">
        <f>CRM_MAGDY!I1197</f>
        <v>0</v>
      </c>
      <c r="E1197" s="57">
        <f>IFERROR(VALUE(CRM_MAGDY!K1197),0)</f>
        <v>0</v>
      </c>
      <c r="F1197" s="57">
        <f>IFERROR(IF(CRM_MAGDY!L1197&gt;1,CRM_MAGDY!L1197/100,CRM_MAGDY!L1197),0)</f>
        <v>0</v>
      </c>
      <c r="G1197" s="57">
        <f>CRM_MAGDY!N1197</f>
        <v>0</v>
      </c>
      <c r="H1197" s="57">
        <f>CRM_MAGDY!M1197</f>
        <v>0</v>
      </c>
      <c r="I1197" s="57">
        <f t="shared" si="36"/>
        <v>0</v>
      </c>
      <c r="J1197" s="57" t="str">
        <f t="shared" si="37"/>
        <v>POTENCJAŁ</v>
      </c>
    </row>
    <row r="1198" spans="1:10" x14ac:dyDescent="0.25">
      <c r="A1198" s="57" t="str">
        <f>IF(CRM_MAGDY!H1198="","","CRM-"&amp;TEXT(ROW()-4,"0000"))</f>
        <v/>
      </c>
      <c r="B1198" s="57">
        <f>CRM_MAGDY!E1198</f>
        <v>0</v>
      </c>
      <c r="C1198" s="57">
        <f>CRM_MAGDY!H1198</f>
        <v>0</v>
      </c>
      <c r="D1198" s="57">
        <f>CRM_MAGDY!I1198</f>
        <v>0</v>
      </c>
      <c r="E1198" s="57">
        <f>IFERROR(VALUE(CRM_MAGDY!K1198),0)</f>
        <v>0</v>
      </c>
      <c r="F1198" s="57">
        <f>IFERROR(IF(CRM_MAGDY!L1198&gt;1,CRM_MAGDY!L1198/100,CRM_MAGDY!L1198),0)</f>
        <v>0</v>
      </c>
      <c r="G1198" s="57">
        <f>CRM_MAGDY!N1198</f>
        <v>0</v>
      </c>
      <c r="H1198" s="57">
        <f>CRM_MAGDY!M1198</f>
        <v>0</v>
      </c>
      <c r="I1198" s="57">
        <f t="shared" si="36"/>
        <v>0</v>
      </c>
      <c r="J1198" s="57" t="str">
        <f t="shared" si="37"/>
        <v>POTENCJAŁ</v>
      </c>
    </row>
    <row r="1199" spans="1:10" x14ac:dyDescent="0.25">
      <c r="A1199" s="57" t="str">
        <f>IF(CRM_MAGDY!H1199="","","CRM-"&amp;TEXT(ROW()-4,"0000"))</f>
        <v/>
      </c>
      <c r="B1199" s="57">
        <f>CRM_MAGDY!E1199</f>
        <v>0</v>
      </c>
      <c r="C1199" s="57">
        <f>CRM_MAGDY!H1199</f>
        <v>0</v>
      </c>
      <c r="D1199" s="57">
        <f>CRM_MAGDY!I1199</f>
        <v>0</v>
      </c>
      <c r="E1199" s="57">
        <f>IFERROR(VALUE(CRM_MAGDY!K1199),0)</f>
        <v>0</v>
      </c>
      <c r="F1199" s="57">
        <f>IFERROR(IF(CRM_MAGDY!L1199&gt;1,CRM_MAGDY!L1199/100,CRM_MAGDY!L1199),0)</f>
        <v>0</v>
      </c>
      <c r="G1199" s="57">
        <f>CRM_MAGDY!N1199</f>
        <v>0</v>
      </c>
      <c r="H1199" s="57">
        <f>CRM_MAGDY!M1199</f>
        <v>0</v>
      </c>
      <c r="I1199" s="57">
        <f t="shared" si="36"/>
        <v>0</v>
      </c>
      <c r="J1199" s="57" t="str">
        <f t="shared" si="37"/>
        <v>POTENCJAŁ</v>
      </c>
    </row>
    <row r="1200" spans="1:10" x14ac:dyDescent="0.25">
      <c r="A1200" s="57" t="str">
        <f>IF(CRM_MAGDY!H1200="","","CRM-"&amp;TEXT(ROW()-4,"0000"))</f>
        <v/>
      </c>
      <c r="B1200" s="57">
        <f>CRM_MAGDY!E1200</f>
        <v>0</v>
      </c>
      <c r="C1200" s="57">
        <f>CRM_MAGDY!H1200</f>
        <v>0</v>
      </c>
      <c r="D1200" s="57">
        <f>CRM_MAGDY!I1200</f>
        <v>0</v>
      </c>
      <c r="E1200" s="57">
        <f>IFERROR(VALUE(CRM_MAGDY!K1200),0)</f>
        <v>0</v>
      </c>
      <c r="F1200" s="57">
        <f>IFERROR(IF(CRM_MAGDY!L1200&gt;1,CRM_MAGDY!L1200/100,CRM_MAGDY!L1200),0)</f>
        <v>0</v>
      </c>
      <c r="G1200" s="57">
        <f>CRM_MAGDY!N1200</f>
        <v>0</v>
      </c>
      <c r="H1200" s="57">
        <f>CRM_MAGDY!M1200</f>
        <v>0</v>
      </c>
      <c r="I1200" s="57">
        <f t="shared" si="36"/>
        <v>0</v>
      </c>
      <c r="J1200" s="57" t="str">
        <f t="shared" si="37"/>
        <v>POTENCJAŁ</v>
      </c>
    </row>
  </sheetData>
  <autoFilter ref="A1:J1200" xr:uid="{00000000-0009-0000-0000-000008000000}"/>
  <mergeCells count="2">
    <mergeCell ref="A1:I1"/>
    <mergeCell ref="A2:I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</sheetPr>
  <dimension ref="A1:K4392"/>
  <sheetViews>
    <sheetView showGridLines="0" workbookViewId="0">
      <selection sqref="A1:J1"/>
    </sheetView>
  </sheetViews>
  <sheetFormatPr defaultRowHeight="15" x14ac:dyDescent="0.25"/>
  <cols>
    <col min="1" max="1" width="8.28515625" bestFit="1" customWidth="1"/>
    <col min="2" max="2" width="10.7109375" bestFit="1" customWidth="1"/>
    <col min="3" max="3" width="10.42578125" bestFit="1" customWidth="1"/>
    <col min="4" max="4" width="9.5703125" bestFit="1" customWidth="1"/>
    <col min="5" max="5" width="25.85546875" bestFit="1" customWidth="1"/>
    <col min="6" max="6" width="10.7109375" bestFit="1" customWidth="1"/>
    <col min="7" max="7" width="18.42578125" bestFit="1" customWidth="1"/>
    <col min="8" max="8" width="10.85546875" bestFit="1" customWidth="1"/>
    <col min="9" max="9" width="13.85546875" bestFit="1" customWidth="1"/>
    <col min="10" max="10" width="40.28515625" bestFit="1" customWidth="1"/>
    <col min="11" max="11" width="49.7109375" bestFit="1" customWidth="1"/>
  </cols>
  <sheetData>
    <row r="1" spans="1:11" ht="32.1" customHeight="1" x14ac:dyDescent="0.25">
      <c r="A1" s="87" t="s">
        <v>393</v>
      </c>
      <c r="B1" s="64"/>
      <c r="C1" s="64"/>
      <c r="D1" s="64"/>
      <c r="E1" s="64"/>
      <c r="F1" s="64"/>
      <c r="G1" s="64"/>
      <c r="H1" s="64"/>
      <c r="I1" s="64"/>
      <c r="J1" s="64"/>
      <c r="K1" s="16" t="s">
        <v>394</v>
      </c>
    </row>
    <row r="2" spans="1:11" x14ac:dyDescent="0.25">
      <c r="A2" s="70" t="s">
        <v>1472</v>
      </c>
      <c r="B2" s="64"/>
      <c r="C2" s="64"/>
      <c r="D2" s="64"/>
      <c r="E2" s="64"/>
      <c r="F2" s="64"/>
      <c r="G2" s="64"/>
      <c r="H2" s="64"/>
      <c r="I2" s="64"/>
      <c r="J2" s="64"/>
    </row>
    <row r="4" spans="1:11" ht="33.950000000000003" customHeight="1" x14ac:dyDescent="0.25">
      <c r="A4" s="17" t="s">
        <v>1473</v>
      </c>
      <c r="B4" s="17" t="s">
        <v>396</v>
      </c>
      <c r="C4" s="17" t="s">
        <v>339</v>
      </c>
      <c r="D4" s="17" t="s">
        <v>112</v>
      </c>
      <c r="E4" s="17" t="s">
        <v>108</v>
      </c>
      <c r="F4" s="17" t="s">
        <v>111</v>
      </c>
      <c r="G4" s="17" t="s">
        <v>340</v>
      </c>
      <c r="H4" s="17" t="s">
        <v>341</v>
      </c>
      <c r="I4" s="17" t="s">
        <v>1474</v>
      </c>
      <c r="J4" s="17" t="s">
        <v>1475</v>
      </c>
      <c r="K4" s="18" t="s">
        <v>1476</v>
      </c>
    </row>
    <row r="5" spans="1:11" x14ac:dyDescent="0.25">
      <c r="A5" s="1" t="s">
        <v>1477</v>
      </c>
      <c r="B5" s="1" t="s">
        <v>399</v>
      </c>
      <c r="C5" s="19">
        <v>46182</v>
      </c>
      <c r="D5" s="1" t="s">
        <v>21</v>
      </c>
      <c r="E5" s="1" t="s">
        <v>77</v>
      </c>
      <c r="F5" s="1">
        <v>5443</v>
      </c>
      <c r="G5" s="1" t="s">
        <v>345</v>
      </c>
      <c r="H5" s="1" t="s">
        <v>346</v>
      </c>
      <c r="I5" s="1" t="s">
        <v>347</v>
      </c>
      <c r="J5" s="1" t="s">
        <v>348</v>
      </c>
    </row>
    <row r="6" spans="1:11" x14ac:dyDescent="0.25">
      <c r="A6" s="1" t="s">
        <v>1478</v>
      </c>
      <c r="B6" s="1" t="s">
        <v>399</v>
      </c>
      <c r="C6" s="19">
        <v>46182</v>
      </c>
      <c r="D6" s="1" t="s">
        <v>21</v>
      </c>
      <c r="E6" s="1" t="s">
        <v>77</v>
      </c>
      <c r="F6" s="1">
        <v>5443</v>
      </c>
      <c r="G6" s="1" t="s">
        <v>349</v>
      </c>
      <c r="H6" s="1" t="s">
        <v>350</v>
      </c>
      <c r="I6" s="1" t="s">
        <v>347</v>
      </c>
      <c r="J6" s="1" t="s">
        <v>351</v>
      </c>
    </row>
    <row r="7" spans="1:11" x14ac:dyDescent="0.25">
      <c r="A7" s="1" t="s">
        <v>1479</v>
      </c>
      <c r="B7" s="1" t="s">
        <v>399</v>
      </c>
      <c r="C7" s="19">
        <v>46182</v>
      </c>
      <c r="D7" s="1" t="s">
        <v>21</v>
      </c>
      <c r="E7" s="1" t="s">
        <v>77</v>
      </c>
      <c r="F7" s="1">
        <v>5443</v>
      </c>
      <c r="G7" s="1" t="s">
        <v>352</v>
      </c>
      <c r="H7" s="1" t="s">
        <v>353</v>
      </c>
      <c r="I7" s="1" t="s">
        <v>347</v>
      </c>
      <c r="J7" s="1" t="s">
        <v>354</v>
      </c>
    </row>
    <row r="8" spans="1:11" x14ac:dyDescent="0.25">
      <c r="A8" s="1" t="s">
        <v>1480</v>
      </c>
      <c r="B8" s="1" t="s">
        <v>410</v>
      </c>
      <c r="C8" s="19">
        <v>46182</v>
      </c>
      <c r="D8" s="1" t="s">
        <v>22</v>
      </c>
      <c r="E8" s="1" t="s">
        <v>81</v>
      </c>
      <c r="F8" s="1">
        <v>5453</v>
      </c>
      <c r="G8" s="1" t="s">
        <v>355</v>
      </c>
      <c r="H8" s="1" t="s">
        <v>346</v>
      </c>
      <c r="I8" s="1" t="s">
        <v>347</v>
      </c>
      <c r="J8" s="1" t="s">
        <v>356</v>
      </c>
    </row>
    <row r="9" spans="1:11" x14ac:dyDescent="0.25">
      <c r="A9" s="1" t="s">
        <v>1481</v>
      </c>
      <c r="B9" s="1" t="s">
        <v>410</v>
      </c>
      <c r="C9" s="19">
        <v>46182</v>
      </c>
      <c r="D9" s="1" t="s">
        <v>22</v>
      </c>
      <c r="E9" s="1" t="s">
        <v>81</v>
      </c>
      <c r="F9" s="1">
        <v>5453</v>
      </c>
      <c r="G9" s="1" t="s">
        <v>345</v>
      </c>
      <c r="H9" s="1" t="s">
        <v>346</v>
      </c>
      <c r="I9" s="1" t="s">
        <v>347</v>
      </c>
      <c r="J9" s="1" t="s">
        <v>348</v>
      </c>
    </row>
    <row r="10" spans="1:11" x14ac:dyDescent="0.25">
      <c r="A10" s="1" t="s">
        <v>1482</v>
      </c>
      <c r="B10" s="1" t="s">
        <v>410</v>
      </c>
      <c r="C10" s="19">
        <v>46182</v>
      </c>
      <c r="D10" s="1" t="s">
        <v>22</v>
      </c>
      <c r="E10" s="1" t="s">
        <v>81</v>
      </c>
      <c r="F10" s="1">
        <v>5453</v>
      </c>
      <c r="G10" s="1" t="s">
        <v>349</v>
      </c>
      <c r="H10" s="1" t="s">
        <v>350</v>
      </c>
      <c r="I10" s="1" t="s">
        <v>347</v>
      </c>
      <c r="J10" s="1" t="s">
        <v>351</v>
      </c>
    </row>
    <row r="11" spans="1:11" x14ac:dyDescent="0.25">
      <c r="A11" s="1" t="s">
        <v>1483</v>
      </c>
      <c r="B11" s="1" t="s">
        <v>410</v>
      </c>
      <c r="C11" s="19">
        <v>46182</v>
      </c>
      <c r="D11" s="1" t="s">
        <v>22</v>
      </c>
      <c r="E11" s="1" t="s">
        <v>81</v>
      </c>
      <c r="F11" s="1">
        <v>5453</v>
      </c>
      <c r="G11" s="1" t="s">
        <v>352</v>
      </c>
      <c r="H11" s="1" t="s">
        <v>353</v>
      </c>
      <c r="I11" s="1" t="s">
        <v>347</v>
      </c>
      <c r="J11" s="1" t="s">
        <v>354</v>
      </c>
    </row>
    <row r="12" spans="1:11" x14ac:dyDescent="0.25">
      <c r="A12" s="1" t="s">
        <v>1484</v>
      </c>
      <c r="B12" s="1" t="s">
        <v>412</v>
      </c>
      <c r="C12" s="19">
        <v>46182</v>
      </c>
      <c r="D12" s="1" t="s">
        <v>22</v>
      </c>
      <c r="E12" s="1" t="s">
        <v>81</v>
      </c>
      <c r="F12" s="1">
        <v>5455</v>
      </c>
      <c r="G12" s="1" t="s">
        <v>345</v>
      </c>
      <c r="H12" s="1" t="s">
        <v>346</v>
      </c>
      <c r="I12" s="1" t="s">
        <v>347</v>
      </c>
      <c r="J12" s="1" t="s">
        <v>348</v>
      </c>
    </row>
    <row r="13" spans="1:11" x14ac:dyDescent="0.25">
      <c r="A13" s="1" t="s">
        <v>1485</v>
      </c>
      <c r="B13" s="1" t="s">
        <v>412</v>
      </c>
      <c r="C13" s="19">
        <v>46182</v>
      </c>
      <c r="D13" s="1" t="s">
        <v>22</v>
      </c>
      <c r="E13" s="1" t="s">
        <v>81</v>
      </c>
      <c r="F13" s="1">
        <v>5455</v>
      </c>
      <c r="G13" s="1" t="s">
        <v>349</v>
      </c>
      <c r="H13" s="1" t="s">
        <v>350</v>
      </c>
      <c r="I13" s="1" t="s">
        <v>347</v>
      </c>
      <c r="J13" s="1" t="s">
        <v>351</v>
      </c>
    </row>
    <row r="14" spans="1:11" x14ac:dyDescent="0.25">
      <c r="A14" s="1" t="s">
        <v>1486</v>
      </c>
      <c r="B14" s="1" t="s">
        <v>412</v>
      </c>
      <c r="C14" s="19">
        <v>46182</v>
      </c>
      <c r="D14" s="1" t="s">
        <v>22</v>
      </c>
      <c r="E14" s="1" t="s">
        <v>81</v>
      </c>
      <c r="F14" s="1">
        <v>5455</v>
      </c>
      <c r="G14" s="1" t="s">
        <v>352</v>
      </c>
      <c r="H14" s="1" t="s">
        <v>353</v>
      </c>
      <c r="I14" s="1" t="s">
        <v>347</v>
      </c>
      <c r="J14" s="1" t="s">
        <v>354</v>
      </c>
    </row>
    <row r="15" spans="1:11" x14ac:dyDescent="0.25">
      <c r="A15" s="1" t="s">
        <v>1487</v>
      </c>
      <c r="B15" s="1" t="s">
        <v>414</v>
      </c>
      <c r="C15" s="19">
        <v>46182</v>
      </c>
      <c r="D15" s="1" t="s">
        <v>21</v>
      </c>
      <c r="E15" s="1" t="s">
        <v>149</v>
      </c>
      <c r="F15" s="1">
        <v>5457</v>
      </c>
      <c r="G15" s="1" t="s">
        <v>345</v>
      </c>
      <c r="H15" s="1" t="s">
        <v>346</v>
      </c>
      <c r="I15" s="1" t="s">
        <v>347</v>
      </c>
      <c r="J15" s="1" t="s">
        <v>348</v>
      </c>
    </row>
    <row r="16" spans="1:11" x14ac:dyDescent="0.25">
      <c r="A16" s="1" t="s">
        <v>1488</v>
      </c>
      <c r="B16" s="1" t="s">
        <v>414</v>
      </c>
      <c r="C16" s="19">
        <v>46182</v>
      </c>
      <c r="D16" s="1" t="s">
        <v>21</v>
      </c>
      <c r="E16" s="1" t="s">
        <v>149</v>
      </c>
      <c r="F16" s="1">
        <v>5457</v>
      </c>
      <c r="G16" s="1" t="s">
        <v>349</v>
      </c>
      <c r="H16" s="1" t="s">
        <v>350</v>
      </c>
      <c r="I16" s="1" t="s">
        <v>347</v>
      </c>
      <c r="J16" s="1" t="s">
        <v>351</v>
      </c>
    </row>
    <row r="17" spans="1:10" x14ac:dyDescent="0.25">
      <c r="A17" s="1" t="s">
        <v>1489</v>
      </c>
      <c r="B17" s="1" t="s">
        <v>414</v>
      </c>
      <c r="C17" s="19">
        <v>46182</v>
      </c>
      <c r="D17" s="1" t="s">
        <v>21</v>
      </c>
      <c r="E17" s="1" t="s">
        <v>149</v>
      </c>
      <c r="F17" s="1">
        <v>5457</v>
      </c>
      <c r="G17" s="1" t="s">
        <v>352</v>
      </c>
      <c r="H17" s="1" t="s">
        <v>353</v>
      </c>
      <c r="I17" s="1" t="s">
        <v>347</v>
      </c>
      <c r="J17" s="1" t="s">
        <v>354</v>
      </c>
    </row>
    <row r="18" spans="1:10" x14ac:dyDescent="0.25">
      <c r="A18" s="1" t="s">
        <v>1490</v>
      </c>
      <c r="B18" s="1" t="s">
        <v>416</v>
      </c>
      <c r="C18" s="19">
        <v>46182</v>
      </c>
      <c r="D18" s="1" t="s">
        <v>22</v>
      </c>
      <c r="E18" s="1" t="s">
        <v>81</v>
      </c>
      <c r="F18" s="1">
        <v>5459</v>
      </c>
      <c r="G18" s="1" t="s">
        <v>345</v>
      </c>
      <c r="H18" s="1" t="s">
        <v>346</v>
      </c>
      <c r="I18" s="1" t="s">
        <v>347</v>
      </c>
      <c r="J18" s="1" t="s">
        <v>348</v>
      </c>
    </row>
    <row r="19" spans="1:10" x14ac:dyDescent="0.25">
      <c r="A19" s="1" t="s">
        <v>1491</v>
      </c>
      <c r="B19" s="1" t="s">
        <v>416</v>
      </c>
      <c r="C19" s="19">
        <v>46182</v>
      </c>
      <c r="D19" s="1" t="s">
        <v>22</v>
      </c>
      <c r="E19" s="1" t="s">
        <v>81</v>
      </c>
      <c r="F19" s="1">
        <v>5459</v>
      </c>
      <c r="G19" s="1" t="s">
        <v>349</v>
      </c>
      <c r="H19" s="1" t="s">
        <v>350</v>
      </c>
      <c r="I19" s="1" t="s">
        <v>347</v>
      </c>
      <c r="J19" s="1" t="s">
        <v>351</v>
      </c>
    </row>
    <row r="20" spans="1:10" x14ac:dyDescent="0.25">
      <c r="A20" s="1" t="s">
        <v>1492</v>
      </c>
      <c r="B20" s="1" t="s">
        <v>416</v>
      </c>
      <c r="C20" s="19">
        <v>46182</v>
      </c>
      <c r="D20" s="1" t="s">
        <v>22</v>
      </c>
      <c r="E20" s="1" t="s">
        <v>81</v>
      </c>
      <c r="F20" s="1">
        <v>5459</v>
      </c>
      <c r="G20" s="1" t="s">
        <v>352</v>
      </c>
      <c r="H20" s="1" t="s">
        <v>353</v>
      </c>
      <c r="I20" s="1" t="s">
        <v>347</v>
      </c>
      <c r="J20" s="1" t="s">
        <v>354</v>
      </c>
    </row>
    <row r="21" spans="1:10" x14ac:dyDescent="0.25">
      <c r="A21" s="1" t="s">
        <v>1493</v>
      </c>
      <c r="B21" s="1" t="s">
        <v>417</v>
      </c>
      <c r="C21" s="19">
        <v>46182</v>
      </c>
      <c r="D21" s="1" t="s">
        <v>22</v>
      </c>
      <c r="E21" s="1" t="s">
        <v>81</v>
      </c>
      <c r="F21" s="1">
        <v>5460</v>
      </c>
      <c r="G21" s="1" t="s">
        <v>345</v>
      </c>
      <c r="H21" s="1" t="s">
        <v>346</v>
      </c>
      <c r="I21" s="1" t="s">
        <v>347</v>
      </c>
      <c r="J21" s="1" t="s">
        <v>348</v>
      </c>
    </row>
    <row r="22" spans="1:10" x14ac:dyDescent="0.25">
      <c r="A22" s="1" t="s">
        <v>1494</v>
      </c>
      <c r="B22" s="1" t="s">
        <v>417</v>
      </c>
      <c r="C22" s="19">
        <v>46182</v>
      </c>
      <c r="D22" s="1" t="s">
        <v>22</v>
      </c>
      <c r="E22" s="1" t="s">
        <v>81</v>
      </c>
      <c r="F22" s="1">
        <v>5460</v>
      </c>
      <c r="G22" s="1" t="s">
        <v>349</v>
      </c>
      <c r="H22" s="1" t="s">
        <v>350</v>
      </c>
      <c r="I22" s="1" t="s">
        <v>347</v>
      </c>
      <c r="J22" s="1" t="s">
        <v>351</v>
      </c>
    </row>
    <row r="23" spans="1:10" x14ac:dyDescent="0.25">
      <c r="A23" s="1" t="s">
        <v>1495</v>
      </c>
      <c r="B23" s="1" t="s">
        <v>417</v>
      </c>
      <c r="C23" s="19">
        <v>46182</v>
      </c>
      <c r="D23" s="1" t="s">
        <v>22</v>
      </c>
      <c r="E23" s="1" t="s">
        <v>81</v>
      </c>
      <c r="F23" s="1">
        <v>5460</v>
      </c>
      <c r="G23" s="1" t="s">
        <v>352</v>
      </c>
      <c r="H23" s="1" t="s">
        <v>353</v>
      </c>
      <c r="I23" s="1" t="s">
        <v>347</v>
      </c>
      <c r="J23" s="1" t="s">
        <v>354</v>
      </c>
    </row>
    <row r="24" spans="1:10" x14ac:dyDescent="0.25">
      <c r="A24" s="1" t="s">
        <v>1496</v>
      </c>
      <c r="B24" s="1" t="s">
        <v>420</v>
      </c>
      <c r="C24" s="19">
        <v>46182</v>
      </c>
      <c r="D24" s="1" t="s">
        <v>22</v>
      </c>
      <c r="E24" s="1" t="s">
        <v>153</v>
      </c>
      <c r="F24" s="1">
        <v>5463</v>
      </c>
      <c r="G24" s="1" t="s">
        <v>345</v>
      </c>
      <c r="H24" s="1" t="s">
        <v>346</v>
      </c>
      <c r="I24" s="1" t="s">
        <v>347</v>
      </c>
      <c r="J24" s="1" t="s">
        <v>348</v>
      </c>
    </row>
    <row r="25" spans="1:10" x14ac:dyDescent="0.25">
      <c r="A25" s="1" t="s">
        <v>1497</v>
      </c>
      <c r="B25" s="1" t="s">
        <v>420</v>
      </c>
      <c r="C25" s="19">
        <v>46182</v>
      </c>
      <c r="D25" s="1" t="s">
        <v>22</v>
      </c>
      <c r="E25" s="1" t="s">
        <v>153</v>
      </c>
      <c r="F25" s="1">
        <v>5463</v>
      </c>
      <c r="G25" s="1" t="s">
        <v>349</v>
      </c>
      <c r="H25" s="1" t="s">
        <v>350</v>
      </c>
      <c r="I25" s="1" t="s">
        <v>347</v>
      </c>
      <c r="J25" s="1" t="s">
        <v>351</v>
      </c>
    </row>
    <row r="26" spans="1:10" x14ac:dyDescent="0.25">
      <c r="A26" s="1" t="s">
        <v>1498</v>
      </c>
      <c r="B26" s="1" t="s">
        <v>420</v>
      </c>
      <c r="C26" s="19">
        <v>46182</v>
      </c>
      <c r="D26" s="1" t="s">
        <v>22</v>
      </c>
      <c r="E26" s="1" t="s">
        <v>153</v>
      </c>
      <c r="F26" s="1">
        <v>5463</v>
      </c>
      <c r="G26" s="1" t="s">
        <v>352</v>
      </c>
      <c r="H26" s="1" t="s">
        <v>353</v>
      </c>
      <c r="I26" s="1" t="s">
        <v>347</v>
      </c>
      <c r="J26" s="1" t="s">
        <v>354</v>
      </c>
    </row>
    <row r="27" spans="1:10" x14ac:dyDescent="0.25">
      <c r="A27" s="1" t="s">
        <v>1499</v>
      </c>
      <c r="B27" s="1" t="s">
        <v>423</v>
      </c>
      <c r="C27" s="19">
        <v>46182</v>
      </c>
      <c r="D27" s="1" t="s">
        <v>22</v>
      </c>
      <c r="E27" s="1" t="s">
        <v>159</v>
      </c>
      <c r="F27" s="1">
        <v>5466</v>
      </c>
      <c r="G27" s="1" t="s">
        <v>345</v>
      </c>
      <c r="H27" s="1" t="s">
        <v>346</v>
      </c>
      <c r="I27" s="1" t="s">
        <v>347</v>
      </c>
      <c r="J27" s="1" t="s">
        <v>348</v>
      </c>
    </row>
    <row r="28" spans="1:10" x14ac:dyDescent="0.25">
      <c r="A28" s="1" t="s">
        <v>1500</v>
      </c>
      <c r="B28" s="1" t="s">
        <v>423</v>
      </c>
      <c r="C28" s="19">
        <v>46182</v>
      </c>
      <c r="D28" s="1" t="s">
        <v>22</v>
      </c>
      <c r="E28" s="1" t="s">
        <v>159</v>
      </c>
      <c r="F28" s="1">
        <v>5466</v>
      </c>
      <c r="G28" s="1" t="s">
        <v>349</v>
      </c>
      <c r="H28" s="1" t="s">
        <v>350</v>
      </c>
      <c r="I28" s="1" t="s">
        <v>347</v>
      </c>
      <c r="J28" s="1" t="s">
        <v>351</v>
      </c>
    </row>
    <row r="29" spans="1:10" x14ac:dyDescent="0.25">
      <c r="A29" s="1" t="s">
        <v>1501</v>
      </c>
      <c r="B29" s="1" t="s">
        <v>423</v>
      </c>
      <c r="C29" s="19">
        <v>46182</v>
      </c>
      <c r="D29" s="1" t="s">
        <v>22</v>
      </c>
      <c r="E29" s="1" t="s">
        <v>159</v>
      </c>
      <c r="F29" s="1">
        <v>5466</v>
      </c>
      <c r="G29" s="1" t="s">
        <v>352</v>
      </c>
      <c r="H29" s="1" t="s">
        <v>353</v>
      </c>
      <c r="I29" s="1" t="s">
        <v>347</v>
      </c>
      <c r="J29" s="1" t="s">
        <v>354</v>
      </c>
    </row>
    <row r="30" spans="1:10" x14ac:dyDescent="0.25">
      <c r="A30" s="1" t="s">
        <v>1502</v>
      </c>
      <c r="B30" s="1" t="s">
        <v>424</v>
      </c>
      <c r="C30" s="19">
        <v>46182</v>
      </c>
      <c r="D30" s="1" t="s">
        <v>22</v>
      </c>
      <c r="E30" s="1" t="s">
        <v>81</v>
      </c>
      <c r="F30" s="1">
        <v>5467</v>
      </c>
      <c r="G30" s="1" t="s">
        <v>345</v>
      </c>
      <c r="H30" s="1" t="s">
        <v>346</v>
      </c>
      <c r="I30" s="1" t="s">
        <v>347</v>
      </c>
      <c r="J30" s="1" t="s">
        <v>348</v>
      </c>
    </row>
    <row r="31" spans="1:10" x14ac:dyDescent="0.25">
      <c r="A31" s="1" t="s">
        <v>1503</v>
      </c>
      <c r="B31" s="1" t="s">
        <v>424</v>
      </c>
      <c r="C31" s="19">
        <v>46182</v>
      </c>
      <c r="D31" s="1" t="s">
        <v>22</v>
      </c>
      <c r="E31" s="1" t="s">
        <v>81</v>
      </c>
      <c r="F31" s="1">
        <v>5467</v>
      </c>
      <c r="G31" s="1" t="s">
        <v>349</v>
      </c>
      <c r="H31" s="1" t="s">
        <v>350</v>
      </c>
      <c r="I31" s="1" t="s">
        <v>347</v>
      </c>
      <c r="J31" s="1" t="s">
        <v>351</v>
      </c>
    </row>
    <row r="32" spans="1:10" x14ac:dyDescent="0.25">
      <c r="A32" s="1" t="s">
        <v>1504</v>
      </c>
      <c r="B32" s="1" t="s">
        <v>424</v>
      </c>
      <c r="C32" s="19">
        <v>46182</v>
      </c>
      <c r="D32" s="1" t="s">
        <v>22</v>
      </c>
      <c r="E32" s="1" t="s">
        <v>81</v>
      </c>
      <c r="F32" s="1">
        <v>5467</v>
      </c>
      <c r="G32" s="1" t="s">
        <v>352</v>
      </c>
      <c r="H32" s="1" t="s">
        <v>353</v>
      </c>
      <c r="I32" s="1" t="s">
        <v>347</v>
      </c>
      <c r="J32" s="1" t="s">
        <v>354</v>
      </c>
    </row>
    <row r="33" spans="1:10" x14ac:dyDescent="0.25">
      <c r="A33" s="1" t="s">
        <v>1505</v>
      </c>
      <c r="B33" s="1" t="s">
        <v>425</v>
      </c>
      <c r="C33" s="19">
        <v>46182</v>
      </c>
      <c r="D33" s="1" t="s">
        <v>22</v>
      </c>
      <c r="E33" s="1" t="s">
        <v>160</v>
      </c>
      <c r="F33" s="1">
        <v>5468</v>
      </c>
      <c r="G33" s="1" t="s">
        <v>345</v>
      </c>
      <c r="H33" s="1" t="s">
        <v>346</v>
      </c>
      <c r="I33" s="1" t="s">
        <v>347</v>
      </c>
      <c r="J33" s="1" t="s">
        <v>348</v>
      </c>
    </row>
    <row r="34" spans="1:10" x14ac:dyDescent="0.25">
      <c r="A34" s="1" t="s">
        <v>1506</v>
      </c>
      <c r="B34" s="1" t="s">
        <v>425</v>
      </c>
      <c r="C34" s="19">
        <v>46182</v>
      </c>
      <c r="D34" s="1" t="s">
        <v>22</v>
      </c>
      <c r="E34" s="1" t="s">
        <v>160</v>
      </c>
      <c r="F34" s="1">
        <v>5468</v>
      </c>
      <c r="G34" s="1" t="s">
        <v>349</v>
      </c>
      <c r="H34" s="1" t="s">
        <v>350</v>
      </c>
      <c r="I34" s="1" t="s">
        <v>347</v>
      </c>
      <c r="J34" s="1" t="s">
        <v>351</v>
      </c>
    </row>
    <row r="35" spans="1:10" x14ac:dyDescent="0.25">
      <c r="A35" s="1" t="s">
        <v>1507</v>
      </c>
      <c r="B35" s="1" t="s">
        <v>425</v>
      </c>
      <c r="C35" s="19">
        <v>46182</v>
      </c>
      <c r="D35" s="1" t="s">
        <v>22</v>
      </c>
      <c r="E35" s="1" t="s">
        <v>160</v>
      </c>
      <c r="F35" s="1">
        <v>5468</v>
      </c>
      <c r="G35" s="1" t="s">
        <v>352</v>
      </c>
      <c r="H35" s="1" t="s">
        <v>353</v>
      </c>
      <c r="I35" s="1" t="s">
        <v>347</v>
      </c>
      <c r="J35" s="1" t="s">
        <v>354</v>
      </c>
    </row>
    <row r="36" spans="1:10" x14ac:dyDescent="0.25">
      <c r="A36" s="1" t="s">
        <v>1508</v>
      </c>
      <c r="B36" s="1" t="s">
        <v>426</v>
      </c>
      <c r="C36" s="19">
        <v>46182</v>
      </c>
      <c r="D36" s="1" t="s">
        <v>22</v>
      </c>
      <c r="E36" s="1" t="s">
        <v>161</v>
      </c>
      <c r="F36" s="1">
        <v>5469</v>
      </c>
      <c r="G36" s="1" t="s">
        <v>345</v>
      </c>
      <c r="H36" s="1" t="s">
        <v>346</v>
      </c>
      <c r="I36" s="1" t="s">
        <v>347</v>
      </c>
      <c r="J36" s="1" t="s">
        <v>348</v>
      </c>
    </row>
    <row r="37" spans="1:10" x14ac:dyDescent="0.25">
      <c r="A37" s="1" t="s">
        <v>1509</v>
      </c>
      <c r="B37" s="1" t="s">
        <v>426</v>
      </c>
      <c r="C37" s="19">
        <v>46182</v>
      </c>
      <c r="D37" s="1" t="s">
        <v>22</v>
      </c>
      <c r="E37" s="1" t="s">
        <v>161</v>
      </c>
      <c r="F37" s="1">
        <v>5469</v>
      </c>
      <c r="G37" s="1" t="s">
        <v>349</v>
      </c>
      <c r="H37" s="1" t="s">
        <v>350</v>
      </c>
      <c r="I37" s="1" t="s">
        <v>347</v>
      </c>
      <c r="J37" s="1" t="s">
        <v>351</v>
      </c>
    </row>
    <row r="38" spans="1:10" x14ac:dyDescent="0.25">
      <c r="A38" s="1" t="s">
        <v>1510</v>
      </c>
      <c r="B38" s="1" t="s">
        <v>426</v>
      </c>
      <c r="C38" s="19">
        <v>46182</v>
      </c>
      <c r="D38" s="1" t="s">
        <v>22</v>
      </c>
      <c r="E38" s="1" t="s">
        <v>161</v>
      </c>
      <c r="F38" s="1">
        <v>5469</v>
      </c>
      <c r="G38" s="1" t="s">
        <v>352</v>
      </c>
      <c r="H38" s="1" t="s">
        <v>353</v>
      </c>
      <c r="I38" s="1" t="s">
        <v>347</v>
      </c>
      <c r="J38" s="1" t="s">
        <v>354</v>
      </c>
    </row>
    <row r="39" spans="1:10" x14ac:dyDescent="0.25">
      <c r="A39" s="1" t="s">
        <v>1511</v>
      </c>
      <c r="B39" s="1" t="s">
        <v>435</v>
      </c>
      <c r="C39" s="19">
        <v>46182</v>
      </c>
      <c r="D39" s="1" t="s">
        <v>22</v>
      </c>
      <c r="E39" s="1" t="s">
        <v>153</v>
      </c>
      <c r="F39" s="1">
        <v>5478</v>
      </c>
      <c r="G39" s="1" t="s">
        <v>345</v>
      </c>
      <c r="H39" s="1" t="s">
        <v>346</v>
      </c>
      <c r="I39" s="1" t="s">
        <v>347</v>
      </c>
      <c r="J39" s="1" t="s">
        <v>348</v>
      </c>
    </row>
    <row r="40" spans="1:10" x14ac:dyDescent="0.25">
      <c r="A40" s="1" t="s">
        <v>1512</v>
      </c>
      <c r="B40" s="1" t="s">
        <v>435</v>
      </c>
      <c r="C40" s="19">
        <v>46182</v>
      </c>
      <c r="D40" s="1" t="s">
        <v>22</v>
      </c>
      <c r="E40" s="1" t="s">
        <v>153</v>
      </c>
      <c r="F40" s="1">
        <v>5478</v>
      </c>
      <c r="G40" s="1" t="s">
        <v>349</v>
      </c>
      <c r="H40" s="1" t="s">
        <v>350</v>
      </c>
      <c r="I40" s="1" t="s">
        <v>347</v>
      </c>
      <c r="J40" s="1" t="s">
        <v>351</v>
      </c>
    </row>
    <row r="41" spans="1:10" x14ac:dyDescent="0.25">
      <c r="A41" s="1" t="s">
        <v>1513</v>
      </c>
      <c r="B41" s="1" t="s">
        <v>435</v>
      </c>
      <c r="C41" s="19">
        <v>46182</v>
      </c>
      <c r="D41" s="1" t="s">
        <v>22</v>
      </c>
      <c r="E41" s="1" t="s">
        <v>153</v>
      </c>
      <c r="F41" s="1">
        <v>5478</v>
      </c>
      <c r="G41" s="1" t="s">
        <v>352</v>
      </c>
      <c r="H41" s="1" t="s">
        <v>353</v>
      </c>
      <c r="I41" s="1" t="s">
        <v>347</v>
      </c>
      <c r="J41" s="1" t="s">
        <v>354</v>
      </c>
    </row>
    <row r="42" spans="1:10" x14ac:dyDescent="0.25">
      <c r="A42" s="1" t="s">
        <v>1514</v>
      </c>
      <c r="B42" s="1" t="s">
        <v>436</v>
      </c>
      <c r="C42" s="19">
        <v>46182</v>
      </c>
      <c r="D42" s="1" t="s">
        <v>22</v>
      </c>
      <c r="E42" s="1" t="s">
        <v>81</v>
      </c>
      <c r="F42" s="1">
        <v>5479</v>
      </c>
      <c r="G42" s="1" t="s">
        <v>345</v>
      </c>
      <c r="H42" s="1" t="s">
        <v>346</v>
      </c>
      <c r="I42" s="1" t="s">
        <v>347</v>
      </c>
      <c r="J42" s="1" t="s">
        <v>348</v>
      </c>
    </row>
    <row r="43" spans="1:10" x14ac:dyDescent="0.25">
      <c r="A43" s="1" t="s">
        <v>1515</v>
      </c>
      <c r="B43" s="1" t="s">
        <v>436</v>
      </c>
      <c r="C43" s="19">
        <v>46182</v>
      </c>
      <c r="D43" s="1" t="s">
        <v>22</v>
      </c>
      <c r="E43" s="1" t="s">
        <v>81</v>
      </c>
      <c r="F43" s="1">
        <v>5479</v>
      </c>
      <c r="G43" s="1" t="s">
        <v>349</v>
      </c>
      <c r="H43" s="1" t="s">
        <v>350</v>
      </c>
      <c r="I43" s="1" t="s">
        <v>347</v>
      </c>
      <c r="J43" s="1" t="s">
        <v>351</v>
      </c>
    </row>
    <row r="44" spans="1:10" x14ac:dyDescent="0.25">
      <c r="A44" s="1" t="s">
        <v>1516</v>
      </c>
      <c r="B44" s="1" t="s">
        <v>436</v>
      </c>
      <c r="C44" s="19">
        <v>46182</v>
      </c>
      <c r="D44" s="1" t="s">
        <v>22</v>
      </c>
      <c r="E44" s="1" t="s">
        <v>81</v>
      </c>
      <c r="F44" s="1">
        <v>5479</v>
      </c>
      <c r="G44" s="1" t="s">
        <v>352</v>
      </c>
      <c r="H44" s="1" t="s">
        <v>353</v>
      </c>
      <c r="I44" s="1" t="s">
        <v>347</v>
      </c>
      <c r="J44" s="1" t="s">
        <v>354</v>
      </c>
    </row>
    <row r="45" spans="1:10" x14ac:dyDescent="0.25">
      <c r="A45" s="1" t="s">
        <v>1517</v>
      </c>
      <c r="B45" s="1" t="s">
        <v>437</v>
      </c>
      <c r="C45" s="19">
        <v>46182</v>
      </c>
      <c r="D45" s="1" t="s">
        <v>21</v>
      </c>
      <c r="E45" s="1" t="s">
        <v>175</v>
      </c>
      <c r="F45" s="1">
        <v>5480</v>
      </c>
      <c r="G45" s="1" t="s">
        <v>345</v>
      </c>
      <c r="H45" s="1" t="s">
        <v>346</v>
      </c>
      <c r="I45" s="1" t="s">
        <v>347</v>
      </c>
      <c r="J45" s="1" t="s">
        <v>348</v>
      </c>
    </row>
    <row r="46" spans="1:10" x14ac:dyDescent="0.25">
      <c r="A46" s="1" t="s">
        <v>1518</v>
      </c>
      <c r="B46" s="1" t="s">
        <v>437</v>
      </c>
      <c r="C46" s="19">
        <v>46182</v>
      </c>
      <c r="D46" s="1" t="s">
        <v>21</v>
      </c>
      <c r="E46" s="1" t="s">
        <v>175</v>
      </c>
      <c r="F46" s="1">
        <v>5480</v>
      </c>
      <c r="G46" s="1" t="s">
        <v>349</v>
      </c>
      <c r="H46" s="1" t="s">
        <v>350</v>
      </c>
      <c r="I46" s="1" t="s">
        <v>347</v>
      </c>
      <c r="J46" s="1" t="s">
        <v>351</v>
      </c>
    </row>
    <row r="47" spans="1:10" x14ac:dyDescent="0.25">
      <c r="A47" s="1" t="s">
        <v>1519</v>
      </c>
      <c r="B47" s="1" t="s">
        <v>437</v>
      </c>
      <c r="C47" s="19">
        <v>46182</v>
      </c>
      <c r="D47" s="1" t="s">
        <v>21</v>
      </c>
      <c r="E47" s="1" t="s">
        <v>175</v>
      </c>
      <c r="F47" s="1">
        <v>5480</v>
      </c>
      <c r="G47" s="1" t="s">
        <v>352</v>
      </c>
      <c r="H47" s="1" t="s">
        <v>353</v>
      </c>
      <c r="I47" s="1" t="s">
        <v>347</v>
      </c>
      <c r="J47" s="1" t="s">
        <v>354</v>
      </c>
    </row>
    <row r="48" spans="1:10" x14ac:dyDescent="0.25">
      <c r="A48" s="1" t="s">
        <v>1520</v>
      </c>
      <c r="B48" s="1" t="s">
        <v>438</v>
      </c>
      <c r="C48" s="19">
        <v>46182</v>
      </c>
      <c r="D48" s="1" t="s">
        <v>22</v>
      </c>
      <c r="E48" s="1" t="s">
        <v>81</v>
      </c>
      <c r="F48" s="1">
        <v>5481</v>
      </c>
      <c r="G48" s="1" t="s">
        <v>355</v>
      </c>
      <c r="H48" s="1" t="s">
        <v>346</v>
      </c>
      <c r="I48" s="1" t="s">
        <v>347</v>
      </c>
      <c r="J48" s="1" t="s">
        <v>356</v>
      </c>
    </row>
    <row r="49" spans="1:10" x14ac:dyDescent="0.25">
      <c r="A49" s="1" t="s">
        <v>1521</v>
      </c>
      <c r="B49" s="1" t="s">
        <v>438</v>
      </c>
      <c r="C49" s="19">
        <v>46182</v>
      </c>
      <c r="D49" s="1" t="s">
        <v>22</v>
      </c>
      <c r="E49" s="1" t="s">
        <v>81</v>
      </c>
      <c r="F49" s="1">
        <v>5481</v>
      </c>
      <c r="G49" s="1" t="s">
        <v>345</v>
      </c>
      <c r="H49" s="1" t="s">
        <v>346</v>
      </c>
      <c r="I49" s="1" t="s">
        <v>347</v>
      </c>
      <c r="J49" s="1" t="s">
        <v>348</v>
      </c>
    </row>
    <row r="50" spans="1:10" x14ac:dyDescent="0.25">
      <c r="A50" s="1" t="s">
        <v>1522</v>
      </c>
      <c r="B50" s="1" t="s">
        <v>438</v>
      </c>
      <c r="C50" s="19">
        <v>46182</v>
      </c>
      <c r="D50" s="1" t="s">
        <v>22</v>
      </c>
      <c r="E50" s="1" t="s">
        <v>81</v>
      </c>
      <c r="F50" s="1">
        <v>5481</v>
      </c>
      <c r="G50" s="1" t="s">
        <v>349</v>
      </c>
      <c r="H50" s="1" t="s">
        <v>350</v>
      </c>
      <c r="I50" s="1" t="s">
        <v>347</v>
      </c>
      <c r="J50" s="1" t="s">
        <v>351</v>
      </c>
    </row>
    <row r="51" spans="1:10" x14ac:dyDescent="0.25">
      <c r="A51" s="1" t="s">
        <v>1523</v>
      </c>
      <c r="B51" s="1" t="s">
        <v>438</v>
      </c>
      <c r="C51" s="19">
        <v>46182</v>
      </c>
      <c r="D51" s="1" t="s">
        <v>22</v>
      </c>
      <c r="E51" s="1" t="s">
        <v>81</v>
      </c>
      <c r="F51" s="1">
        <v>5481</v>
      </c>
      <c r="G51" s="1" t="s">
        <v>352</v>
      </c>
      <c r="H51" s="1" t="s">
        <v>353</v>
      </c>
      <c r="I51" s="1" t="s">
        <v>347</v>
      </c>
      <c r="J51" s="1" t="s">
        <v>354</v>
      </c>
    </row>
    <row r="52" spans="1:10" x14ac:dyDescent="0.25">
      <c r="A52" s="1" t="s">
        <v>1524</v>
      </c>
      <c r="B52" s="1" t="s">
        <v>440</v>
      </c>
      <c r="C52" s="19">
        <v>46182</v>
      </c>
      <c r="D52" s="1" t="s">
        <v>22</v>
      </c>
      <c r="E52" s="1" t="s">
        <v>178</v>
      </c>
      <c r="F52" s="1">
        <v>5483</v>
      </c>
      <c r="G52" s="1" t="s">
        <v>345</v>
      </c>
      <c r="H52" s="1" t="s">
        <v>346</v>
      </c>
      <c r="I52" s="1" t="s">
        <v>347</v>
      </c>
      <c r="J52" s="1" t="s">
        <v>348</v>
      </c>
    </row>
    <row r="53" spans="1:10" x14ac:dyDescent="0.25">
      <c r="A53" s="1" t="s">
        <v>1525</v>
      </c>
      <c r="B53" s="1" t="s">
        <v>440</v>
      </c>
      <c r="C53" s="19">
        <v>46182</v>
      </c>
      <c r="D53" s="1" t="s">
        <v>22</v>
      </c>
      <c r="E53" s="1" t="s">
        <v>178</v>
      </c>
      <c r="F53" s="1">
        <v>5483</v>
      </c>
      <c r="G53" s="1" t="s">
        <v>349</v>
      </c>
      <c r="H53" s="1" t="s">
        <v>350</v>
      </c>
      <c r="I53" s="1" t="s">
        <v>347</v>
      </c>
      <c r="J53" s="1" t="s">
        <v>351</v>
      </c>
    </row>
    <row r="54" spans="1:10" x14ac:dyDescent="0.25">
      <c r="A54" s="1" t="s">
        <v>1526</v>
      </c>
      <c r="B54" s="1" t="s">
        <v>440</v>
      </c>
      <c r="C54" s="19">
        <v>46182</v>
      </c>
      <c r="D54" s="1" t="s">
        <v>22</v>
      </c>
      <c r="E54" s="1" t="s">
        <v>178</v>
      </c>
      <c r="F54" s="1">
        <v>5483</v>
      </c>
      <c r="G54" s="1" t="s">
        <v>352</v>
      </c>
      <c r="H54" s="1" t="s">
        <v>353</v>
      </c>
      <c r="I54" s="1" t="s">
        <v>347</v>
      </c>
      <c r="J54" s="1" t="s">
        <v>354</v>
      </c>
    </row>
    <row r="55" spans="1:10" x14ac:dyDescent="0.25">
      <c r="A55" s="1" t="s">
        <v>1527</v>
      </c>
      <c r="B55" s="1" t="s">
        <v>441</v>
      </c>
      <c r="C55" s="19">
        <v>46182</v>
      </c>
      <c r="D55" s="1" t="s">
        <v>22</v>
      </c>
      <c r="E55" s="1" t="s">
        <v>179</v>
      </c>
      <c r="F55" s="1">
        <v>5484</v>
      </c>
      <c r="G55" s="1" t="s">
        <v>345</v>
      </c>
      <c r="H55" s="1" t="s">
        <v>346</v>
      </c>
      <c r="I55" s="1" t="s">
        <v>347</v>
      </c>
      <c r="J55" s="1" t="s">
        <v>348</v>
      </c>
    </row>
    <row r="56" spans="1:10" x14ac:dyDescent="0.25">
      <c r="A56" s="1" t="s">
        <v>1528</v>
      </c>
      <c r="B56" s="1" t="s">
        <v>441</v>
      </c>
      <c r="C56" s="19">
        <v>46182</v>
      </c>
      <c r="D56" s="1" t="s">
        <v>22</v>
      </c>
      <c r="E56" s="1" t="s">
        <v>179</v>
      </c>
      <c r="F56" s="1">
        <v>5484</v>
      </c>
      <c r="G56" s="1" t="s">
        <v>349</v>
      </c>
      <c r="H56" s="1" t="s">
        <v>350</v>
      </c>
      <c r="I56" s="1" t="s">
        <v>347</v>
      </c>
      <c r="J56" s="1" t="s">
        <v>351</v>
      </c>
    </row>
    <row r="57" spans="1:10" x14ac:dyDescent="0.25">
      <c r="A57" s="1" t="s">
        <v>1529</v>
      </c>
      <c r="B57" s="1" t="s">
        <v>441</v>
      </c>
      <c r="C57" s="19">
        <v>46182</v>
      </c>
      <c r="D57" s="1" t="s">
        <v>22</v>
      </c>
      <c r="E57" s="1" t="s">
        <v>179</v>
      </c>
      <c r="F57" s="1">
        <v>5484</v>
      </c>
      <c r="G57" s="1" t="s">
        <v>352</v>
      </c>
      <c r="H57" s="1" t="s">
        <v>353</v>
      </c>
      <c r="I57" s="1" t="s">
        <v>347</v>
      </c>
      <c r="J57" s="1" t="s">
        <v>354</v>
      </c>
    </row>
    <row r="58" spans="1:10" x14ac:dyDescent="0.25">
      <c r="A58" s="1" t="s">
        <v>1530</v>
      </c>
      <c r="B58" s="1" t="s">
        <v>442</v>
      </c>
      <c r="C58" s="19">
        <v>46182</v>
      </c>
      <c r="D58" s="1" t="s">
        <v>22</v>
      </c>
      <c r="E58" s="1" t="s">
        <v>180</v>
      </c>
      <c r="F58" s="1">
        <v>5485</v>
      </c>
      <c r="G58" s="1" t="s">
        <v>345</v>
      </c>
      <c r="H58" s="1" t="s">
        <v>346</v>
      </c>
      <c r="I58" s="1" t="s">
        <v>347</v>
      </c>
      <c r="J58" s="1" t="s">
        <v>348</v>
      </c>
    </row>
    <row r="59" spans="1:10" x14ac:dyDescent="0.25">
      <c r="A59" s="1" t="s">
        <v>1531</v>
      </c>
      <c r="B59" s="1" t="s">
        <v>442</v>
      </c>
      <c r="C59" s="19">
        <v>46182</v>
      </c>
      <c r="D59" s="1" t="s">
        <v>22</v>
      </c>
      <c r="E59" s="1" t="s">
        <v>180</v>
      </c>
      <c r="F59" s="1">
        <v>5485</v>
      </c>
      <c r="G59" s="1" t="s">
        <v>349</v>
      </c>
      <c r="H59" s="1" t="s">
        <v>350</v>
      </c>
      <c r="I59" s="1" t="s">
        <v>347</v>
      </c>
      <c r="J59" s="1" t="s">
        <v>351</v>
      </c>
    </row>
    <row r="60" spans="1:10" x14ac:dyDescent="0.25">
      <c r="A60" s="1" t="s">
        <v>1532</v>
      </c>
      <c r="B60" s="1" t="s">
        <v>442</v>
      </c>
      <c r="C60" s="19">
        <v>46182</v>
      </c>
      <c r="D60" s="1" t="s">
        <v>22</v>
      </c>
      <c r="E60" s="1" t="s">
        <v>180</v>
      </c>
      <c r="F60" s="1">
        <v>5485</v>
      </c>
      <c r="G60" s="1" t="s">
        <v>352</v>
      </c>
      <c r="H60" s="1" t="s">
        <v>353</v>
      </c>
      <c r="I60" s="1" t="s">
        <v>347</v>
      </c>
      <c r="J60" s="1" t="s">
        <v>354</v>
      </c>
    </row>
    <row r="61" spans="1:10" x14ac:dyDescent="0.25">
      <c r="A61" s="1" t="s">
        <v>1533</v>
      </c>
      <c r="B61" s="1" t="s">
        <v>443</v>
      </c>
      <c r="C61" s="19">
        <v>46182</v>
      </c>
      <c r="D61" s="1" t="s">
        <v>22</v>
      </c>
      <c r="E61" s="1" t="s">
        <v>181</v>
      </c>
      <c r="F61" s="1">
        <v>5486</v>
      </c>
      <c r="G61" s="1" t="s">
        <v>345</v>
      </c>
      <c r="H61" s="1" t="s">
        <v>346</v>
      </c>
      <c r="I61" s="1" t="s">
        <v>347</v>
      </c>
      <c r="J61" s="1" t="s">
        <v>348</v>
      </c>
    </row>
    <row r="62" spans="1:10" x14ac:dyDescent="0.25">
      <c r="A62" s="1" t="s">
        <v>1534</v>
      </c>
      <c r="B62" s="1" t="s">
        <v>443</v>
      </c>
      <c r="C62" s="19">
        <v>46182</v>
      </c>
      <c r="D62" s="1" t="s">
        <v>22</v>
      </c>
      <c r="E62" s="1" t="s">
        <v>181</v>
      </c>
      <c r="F62" s="1">
        <v>5486</v>
      </c>
      <c r="G62" s="1" t="s">
        <v>349</v>
      </c>
      <c r="H62" s="1" t="s">
        <v>350</v>
      </c>
      <c r="I62" s="1" t="s">
        <v>347</v>
      </c>
      <c r="J62" s="1" t="s">
        <v>351</v>
      </c>
    </row>
    <row r="63" spans="1:10" x14ac:dyDescent="0.25">
      <c r="A63" s="1" t="s">
        <v>1535</v>
      </c>
      <c r="B63" s="1" t="s">
        <v>443</v>
      </c>
      <c r="C63" s="19">
        <v>46182</v>
      </c>
      <c r="D63" s="1" t="s">
        <v>22</v>
      </c>
      <c r="E63" s="1" t="s">
        <v>181</v>
      </c>
      <c r="F63" s="1">
        <v>5486</v>
      </c>
      <c r="G63" s="1" t="s">
        <v>352</v>
      </c>
      <c r="H63" s="1" t="s">
        <v>353</v>
      </c>
      <c r="I63" s="1" t="s">
        <v>347</v>
      </c>
      <c r="J63" s="1" t="s">
        <v>354</v>
      </c>
    </row>
    <row r="64" spans="1:10" x14ac:dyDescent="0.25">
      <c r="A64" s="1" t="s">
        <v>1536</v>
      </c>
      <c r="B64" s="1" t="s">
        <v>444</v>
      </c>
      <c r="C64" s="19">
        <v>46182</v>
      </c>
      <c r="D64" s="1" t="s">
        <v>22</v>
      </c>
      <c r="E64" s="1" t="s">
        <v>182</v>
      </c>
      <c r="F64" s="1">
        <v>5487</v>
      </c>
      <c r="G64" s="1" t="s">
        <v>345</v>
      </c>
      <c r="H64" s="1" t="s">
        <v>346</v>
      </c>
      <c r="I64" s="1" t="s">
        <v>347</v>
      </c>
      <c r="J64" s="1" t="s">
        <v>348</v>
      </c>
    </row>
    <row r="65" spans="1:10" x14ac:dyDescent="0.25">
      <c r="A65" s="1" t="s">
        <v>1537</v>
      </c>
      <c r="B65" s="1" t="s">
        <v>444</v>
      </c>
      <c r="C65" s="19">
        <v>46182</v>
      </c>
      <c r="D65" s="1" t="s">
        <v>22</v>
      </c>
      <c r="E65" s="1" t="s">
        <v>182</v>
      </c>
      <c r="F65" s="1">
        <v>5487</v>
      </c>
      <c r="G65" s="1" t="s">
        <v>349</v>
      </c>
      <c r="H65" s="1" t="s">
        <v>350</v>
      </c>
      <c r="I65" s="1" t="s">
        <v>347</v>
      </c>
      <c r="J65" s="1" t="s">
        <v>351</v>
      </c>
    </row>
    <row r="66" spans="1:10" x14ac:dyDescent="0.25">
      <c r="A66" s="1" t="s">
        <v>1538</v>
      </c>
      <c r="B66" s="1" t="s">
        <v>444</v>
      </c>
      <c r="C66" s="19">
        <v>46182</v>
      </c>
      <c r="D66" s="1" t="s">
        <v>22</v>
      </c>
      <c r="E66" s="1" t="s">
        <v>182</v>
      </c>
      <c r="F66" s="1">
        <v>5487</v>
      </c>
      <c r="G66" s="1" t="s">
        <v>352</v>
      </c>
      <c r="H66" s="1" t="s">
        <v>353</v>
      </c>
      <c r="I66" s="1" t="s">
        <v>347</v>
      </c>
      <c r="J66" s="1" t="s">
        <v>354</v>
      </c>
    </row>
    <row r="67" spans="1:10" x14ac:dyDescent="0.25">
      <c r="A67" s="1" t="s">
        <v>1539</v>
      </c>
      <c r="B67" s="1" t="s">
        <v>445</v>
      </c>
      <c r="C67" s="19">
        <v>46182</v>
      </c>
      <c r="D67" s="1" t="s">
        <v>22</v>
      </c>
      <c r="E67" s="1" t="s">
        <v>183</v>
      </c>
      <c r="F67" s="1">
        <v>5488</v>
      </c>
      <c r="G67" s="1" t="s">
        <v>345</v>
      </c>
      <c r="H67" s="1" t="s">
        <v>346</v>
      </c>
      <c r="I67" s="1" t="s">
        <v>347</v>
      </c>
      <c r="J67" s="1" t="s">
        <v>348</v>
      </c>
    </row>
    <row r="68" spans="1:10" x14ac:dyDescent="0.25">
      <c r="A68" s="1" t="s">
        <v>1540</v>
      </c>
      <c r="B68" s="1" t="s">
        <v>445</v>
      </c>
      <c r="C68" s="19">
        <v>46182</v>
      </c>
      <c r="D68" s="1" t="s">
        <v>22</v>
      </c>
      <c r="E68" s="1" t="s">
        <v>183</v>
      </c>
      <c r="F68" s="1">
        <v>5488</v>
      </c>
      <c r="G68" s="1" t="s">
        <v>349</v>
      </c>
      <c r="H68" s="1" t="s">
        <v>350</v>
      </c>
      <c r="I68" s="1" t="s">
        <v>347</v>
      </c>
      <c r="J68" s="1" t="s">
        <v>351</v>
      </c>
    </row>
    <row r="69" spans="1:10" x14ac:dyDescent="0.25">
      <c r="A69" s="1" t="s">
        <v>1541</v>
      </c>
      <c r="B69" s="1" t="s">
        <v>445</v>
      </c>
      <c r="C69" s="19">
        <v>46182</v>
      </c>
      <c r="D69" s="1" t="s">
        <v>22</v>
      </c>
      <c r="E69" s="1" t="s">
        <v>183</v>
      </c>
      <c r="F69" s="1">
        <v>5488</v>
      </c>
      <c r="G69" s="1" t="s">
        <v>352</v>
      </c>
      <c r="H69" s="1" t="s">
        <v>353</v>
      </c>
      <c r="I69" s="1" t="s">
        <v>347</v>
      </c>
      <c r="J69" s="1" t="s">
        <v>354</v>
      </c>
    </row>
    <row r="70" spans="1:10" x14ac:dyDescent="0.25">
      <c r="A70" s="1" t="s">
        <v>1542</v>
      </c>
      <c r="B70" s="1" t="s">
        <v>452</v>
      </c>
      <c r="C70" s="19">
        <v>46182</v>
      </c>
      <c r="D70" s="1" t="s">
        <v>21</v>
      </c>
      <c r="E70" s="1" t="s">
        <v>191</v>
      </c>
      <c r="F70" s="1">
        <v>5494</v>
      </c>
      <c r="G70" s="1" t="s">
        <v>345</v>
      </c>
      <c r="H70" s="1" t="s">
        <v>346</v>
      </c>
      <c r="I70" s="1" t="s">
        <v>347</v>
      </c>
      <c r="J70" s="1" t="s">
        <v>348</v>
      </c>
    </row>
    <row r="71" spans="1:10" x14ac:dyDescent="0.25">
      <c r="A71" s="1" t="s">
        <v>1543</v>
      </c>
      <c r="B71" s="1" t="s">
        <v>452</v>
      </c>
      <c r="C71" s="19">
        <v>46182</v>
      </c>
      <c r="D71" s="1" t="s">
        <v>21</v>
      </c>
      <c r="E71" s="1" t="s">
        <v>191</v>
      </c>
      <c r="F71" s="1">
        <v>5494</v>
      </c>
      <c r="G71" s="1" t="s">
        <v>349</v>
      </c>
      <c r="H71" s="1" t="s">
        <v>350</v>
      </c>
      <c r="I71" s="1" t="s">
        <v>347</v>
      </c>
      <c r="J71" s="1" t="s">
        <v>351</v>
      </c>
    </row>
    <row r="72" spans="1:10" x14ac:dyDescent="0.25">
      <c r="A72" s="1" t="s">
        <v>1544</v>
      </c>
      <c r="B72" s="1" t="s">
        <v>452</v>
      </c>
      <c r="C72" s="19">
        <v>46182</v>
      </c>
      <c r="D72" s="1" t="s">
        <v>21</v>
      </c>
      <c r="E72" s="1" t="s">
        <v>191</v>
      </c>
      <c r="F72" s="1">
        <v>5494</v>
      </c>
      <c r="G72" s="1" t="s">
        <v>352</v>
      </c>
      <c r="H72" s="1" t="s">
        <v>353</v>
      </c>
      <c r="I72" s="1" t="s">
        <v>347</v>
      </c>
      <c r="J72" s="1" t="s">
        <v>354</v>
      </c>
    </row>
    <row r="73" spans="1:10" x14ac:dyDescent="0.25">
      <c r="A73" s="1" t="s">
        <v>1545</v>
      </c>
      <c r="B73" s="1" t="s">
        <v>453</v>
      </c>
      <c r="C73" s="19">
        <v>46182</v>
      </c>
      <c r="D73" s="1" t="s">
        <v>21</v>
      </c>
      <c r="E73" s="1" t="s">
        <v>192</v>
      </c>
      <c r="F73" s="1">
        <v>5495</v>
      </c>
      <c r="G73" s="1" t="s">
        <v>345</v>
      </c>
      <c r="H73" s="1" t="s">
        <v>346</v>
      </c>
      <c r="I73" s="1" t="s">
        <v>347</v>
      </c>
      <c r="J73" s="1" t="s">
        <v>348</v>
      </c>
    </row>
    <row r="74" spans="1:10" x14ac:dyDescent="0.25">
      <c r="A74" s="1" t="s">
        <v>1546</v>
      </c>
      <c r="B74" s="1" t="s">
        <v>453</v>
      </c>
      <c r="C74" s="19">
        <v>46182</v>
      </c>
      <c r="D74" s="1" t="s">
        <v>21</v>
      </c>
      <c r="E74" s="1" t="s">
        <v>192</v>
      </c>
      <c r="F74" s="1">
        <v>5495</v>
      </c>
      <c r="G74" s="1" t="s">
        <v>349</v>
      </c>
      <c r="H74" s="1" t="s">
        <v>350</v>
      </c>
      <c r="I74" s="1" t="s">
        <v>347</v>
      </c>
      <c r="J74" s="1" t="s">
        <v>351</v>
      </c>
    </row>
    <row r="75" spans="1:10" x14ac:dyDescent="0.25">
      <c r="A75" s="1" t="s">
        <v>1547</v>
      </c>
      <c r="B75" s="1" t="s">
        <v>453</v>
      </c>
      <c r="C75" s="19">
        <v>46182</v>
      </c>
      <c r="D75" s="1" t="s">
        <v>21</v>
      </c>
      <c r="E75" s="1" t="s">
        <v>192</v>
      </c>
      <c r="F75" s="1">
        <v>5495</v>
      </c>
      <c r="G75" s="1" t="s">
        <v>352</v>
      </c>
      <c r="H75" s="1" t="s">
        <v>353</v>
      </c>
      <c r="I75" s="1" t="s">
        <v>347</v>
      </c>
      <c r="J75" s="1" t="s">
        <v>354</v>
      </c>
    </row>
    <row r="76" spans="1:10" x14ac:dyDescent="0.25">
      <c r="A76" s="1" t="s">
        <v>1548</v>
      </c>
      <c r="B76" s="1" t="s">
        <v>455</v>
      </c>
      <c r="C76" s="19">
        <v>46182</v>
      </c>
      <c r="D76" s="1" t="s">
        <v>22</v>
      </c>
      <c r="E76" s="1" t="s">
        <v>81</v>
      </c>
      <c r="F76" s="1">
        <v>5497</v>
      </c>
      <c r="G76" s="1" t="s">
        <v>345</v>
      </c>
      <c r="H76" s="1" t="s">
        <v>346</v>
      </c>
      <c r="I76" s="1" t="s">
        <v>347</v>
      </c>
      <c r="J76" s="1" t="s">
        <v>348</v>
      </c>
    </row>
    <row r="77" spans="1:10" x14ac:dyDescent="0.25">
      <c r="A77" s="1" t="s">
        <v>1549</v>
      </c>
      <c r="B77" s="1" t="s">
        <v>455</v>
      </c>
      <c r="C77" s="19">
        <v>46182</v>
      </c>
      <c r="D77" s="1" t="s">
        <v>22</v>
      </c>
      <c r="E77" s="1" t="s">
        <v>81</v>
      </c>
      <c r="F77" s="1">
        <v>5497</v>
      </c>
      <c r="G77" s="1" t="s">
        <v>349</v>
      </c>
      <c r="H77" s="1" t="s">
        <v>350</v>
      </c>
      <c r="I77" s="1" t="s">
        <v>347</v>
      </c>
      <c r="J77" s="1" t="s">
        <v>351</v>
      </c>
    </row>
    <row r="78" spans="1:10" x14ac:dyDescent="0.25">
      <c r="A78" s="1" t="s">
        <v>1550</v>
      </c>
      <c r="B78" s="1" t="s">
        <v>455</v>
      </c>
      <c r="C78" s="19">
        <v>46182</v>
      </c>
      <c r="D78" s="1" t="s">
        <v>22</v>
      </c>
      <c r="E78" s="1" t="s">
        <v>81</v>
      </c>
      <c r="F78" s="1">
        <v>5497</v>
      </c>
      <c r="G78" s="1" t="s">
        <v>352</v>
      </c>
      <c r="H78" s="1" t="s">
        <v>353</v>
      </c>
      <c r="I78" s="1" t="s">
        <v>347</v>
      </c>
      <c r="J78" s="1" t="s">
        <v>354</v>
      </c>
    </row>
    <row r="79" spans="1:10" x14ac:dyDescent="0.25">
      <c r="A79" s="1" t="s">
        <v>1551</v>
      </c>
      <c r="B79" s="1" t="s">
        <v>456</v>
      </c>
      <c r="C79" s="19">
        <v>46182</v>
      </c>
      <c r="D79" s="1" t="s">
        <v>22</v>
      </c>
      <c r="E79" s="1" t="s">
        <v>194</v>
      </c>
      <c r="F79" s="1">
        <v>5498</v>
      </c>
      <c r="G79" s="1" t="s">
        <v>345</v>
      </c>
      <c r="H79" s="1" t="s">
        <v>346</v>
      </c>
      <c r="I79" s="1" t="s">
        <v>347</v>
      </c>
      <c r="J79" s="1" t="s">
        <v>348</v>
      </c>
    </row>
    <row r="80" spans="1:10" x14ac:dyDescent="0.25">
      <c r="A80" s="1" t="s">
        <v>1552</v>
      </c>
      <c r="B80" s="1" t="s">
        <v>456</v>
      </c>
      <c r="C80" s="19">
        <v>46182</v>
      </c>
      <c r="D80" s="1" t="s">
        <v>22</v>
      </c>
      <c r="E80" s="1" t="s">
        <v>194</v>
      </c>
      <c r="F80" s="1">
        <v>5498</v>
      </c>
      <c r="G80" s="1" t="s">
        <v>349</v>
      </c>
      <c r="H80" s="1" t="s">
        <v>350</v>
      </c>
      <c r="I80" s="1" t="s">
        <v>347</v>
      </c>
      <c r="J80" s="1" t="s">
        <v>351</v>
      </c>
    </row>
    <row r="81" spans="1:10" x14ac:dyDescent="0.25">
      <c r="A81" s="1" t="s">
        <v>1553</v>
      </c>
      <c r="B81" s="1" t="s">
        <v>456</v>
      </c>
      <c r="C81" s="19">
        <v>46182</v>
      </c>
      <c r="D81" s="1" t="s">
        <v>22</v>
      </c>
      <c r="E81" s="1" t="s">
        <v>194</v>
      </c>
      <c r="F81" s="1">
        <v>5498</v>
      </c>
      <c r="G81" s="1" t="s">
        <v>352</v>
      </c>
      <c r="H81" s="1" t="s">
        <v>353</v>
      </c>
      <c r="I81" s="1" t="s">
        <v>347</v>
      </c>
      <c r="J81" s="1" t="s">
        <v>354</v>
      </c>
    </row>
    <row r="82" spans="1:10" x14ac:dyDescent="0.25">
      <c r="A82" s="1" t="s">
        <v>1554</v>
      </c>
      <c r="B82" s="1" t="s">
        <v>457</v>
      </c>
      <c r="C82" s="19">
        <v>46182</v>
      </c>
      <c r="D82" s="1" t="s">
        <v>22</v>
      </c>
      <c r="E82" s="1" t="s">
        <v>195</v>
      </c>
      <c r="F82" s="1">
        <v>5499</v>
      </c>
      <c r="G82" s="1" t="s">
        <v>345</v>
      </c>
      <c r="H82" s="1" t="s">
        <v>346</v>
      </c>
      <c r="I82" s="1" t="s">
        <v>347</v>
      </c>
      <c r="J82" s="1" t="s">
        <v>348</v>
      </c>
    </row>
    <row r="83" spans="1:10" x14ac:dyDescent="0.25">
      <c r="A83" s="1" t="s">
        <v>1555</v>
      </c>
      <c r="B83" s="1" t="s">
        <v>457</v>
      </c>
      <c r="C83" s="19">
        <v>46182</v>
      </c>
      <c r="D83" s="1" t="s">
        <v>22</v>
      </c>
      <c r="E83" s="1" t="s">
        <v>195</v>
      </c>
      <c r="F83" s="1">
        <v>5499</v>
      </c>
      <c r="G83" s="1" t="s">
        <v>349</v>
      </c>
      <c r="H83" s="1" t="s">
        <v>350</v>
      </c>
      <c r="I83" s="1" t="s">
        <v>347</v>
      </c>
      <c r="J83" s="1" t="s">
        <v>351</v>
      </c>
    </row>
    <row r="84" spans="1:10" x14ac:dyDescent="0.25">
      <c r="A84" s="1" t="s">
        <v>1556</v>
      </c>
      <c r="B84" s="1" t="s">
        <v>457</v>
      </c>
      <c r="C84" s="19">
        <v>46182</v>
      </c>
      <c r="D84" s="1" t="s">
        <v>22</v>
      </c>
      <c r="E84" s="1" t="s">
        <v>195</v>
      </c>
      <c r="F84" s="1">
        <v>5499</v>
      </c>
      <c r="G84" s="1" t="s">
        <v>352</v>
      </c>
      <c r="H84" s="1" t="s">
        <v>353</v>
      </c>
      <c r="I84" s="1" t="s">
        <v>347</v>
      </c>
      <c r="J84" s="1" t="s">
        <v>354</v>
      </c>
    </row>
    <row r="85" spans="1:10" x14ac:dyDescent="0.25">
      <c r="A85" s="1" t="s">
        <v>1557</v>
      </c>
      <c r="B85" s="1" t="s">
        <v>458</v>
      </c>
      <c r="C85" s="19">
        <v>46182</v>
      </c>
      <c r="D85" s="1" t="s">
        <v>22</v>
      </c>
      <c r="E85" s="1" t="s">
        <v>196</v>
      </c>
      <c r="F85" s="1">
        <v>5500</v>
      </c>
      <c r="G85" s="1" t="s">
        <v>345</v>
      </c>
      <c r="H85" s="1" t="s">
        <v>346</v>
      </c>
      <c r="I85" s="1" t="s">
        <v>347</v>
      </c>
      <c r="J85" s="1" t="s">
        <v>348</v>
      </c>
    </row>
    <row r="86" spans="1:10" x14ac:dyDescent="0.25">
      <c r="A86" s="1" t="s">
        <v>1558</v>
      </c>
      <c r="B86" s="1" t="s">
        <v>458</v>
      </c>
      <c r="C86" s="19">
        <v>46182</v>
      </c>
      <c r="D86" s="1" t="s">
        <v>22</v>
      </c>
      <c r="E86" s="1" t="s">
        <v>196</v>
      </c>
      <c r="F86" s="1">
        <v>5500</v>
      </c>
      <c r="G86" s="1" t="s">
        <v>352</v>
      </c>
      <c r="H86" s="1" t="s">
        <v>353</v>
      </c>
      <c r="I86" s="1" t="s">
        <v>347</v>
      </c>
      <c r="J86" s="1" t="s">
        <v>354</v>
      </c>
    </row>
    <row r="87" spans="1:10" x14ac:dyDescent="0.25">
      <c r="A87" s="1" t="s">
        <v>1559</v>
      </c>
      <c r="B87" s="1" t="s">
        <v>460</v>
      </c>
      <c r="C87" s="19">
        <v>46182</v>
      </c>
      <c r="D87" s="1" t="s">
        <v>21</v>
      </c>
      <c r="E87" s="1" t="s">
        <v>81</v>
      </c>
      <c r="F87" s="1">
        <v>5502</v>
      </c>
      <c r="G87" s="1" t="s">
        <v>355</v>
      </c>
      <c r="H87" s="1" t="s">
        <v>346</v>
      </c>
      <c r="I87" s="1" t="s">
        <v>347</v>
      </c>
      <c r="J87" s="1" t="s">
        <v>356</v>
      </c>
    </row>
    <row r="88" spans="1:10" x14ac:dyDescent="0.25">
      <c r="A88" s="1" t="s">
        <v>1560</v>
      </c>
      <c r="B88" s="1" t="s">
        <v>460</v>
      </c>
      <c r="C88" s="19">
        <v>46182</v>
      </c>
      <c r="D88" s="1" t="s">
        <v>21</v>
      </c>
      <c r="E88" s="1" t="s">
        <v>81</v>
      </c>
      <c r="F88" s="1">
        <v>5502</v>
      </c>
      <c r="G88" s="1" t="s">
        <v>345</v>
      </c>
      <c r="H88" s="1" t="s">
        <v>346</v>
      </c>
      <c r="I88" s="1" t="s">
        <v>347</v>
      </c>
      <c r="J88" s="1" t="s">
        <v>348</v>
      </c>
    </row>
    <row r="89" spans="1:10" x14ac:dyDescent="0.25">
      <c r="A89" s="1" t="s">
        <v>1561</v>
      </c>
      <c r="B89" s="1" t="s">
        <v>460</v>
      </c>
      <c r="C89" s="19">
        <v>46182</v>
      </c>
      <c r="D89" s="1" t="s">
        <v>21</v>
      </c>
      <c r="E89" s="1" t="s">
        <v>81</v>
      </c>
      <c r="F89" s="1">
        <v>5502</v>
      </c>
      <c r="G89" s="1" t="s">
        <v>349</v>
      </c>
      <c r="H89" s="1" t="s">
        <v>350</v>
      </c>
      <c r="I89" s="1" t="s">
        <v>347</v>
      </c>
      <c r="J89" s="1" t="s">
        <v>351</v>
      </c>
    </row>
    <row r="90" spans="1:10" x14ac:dyDescent="0.25">
      <c r="A90" s="1" t="s">
        <v>1562</v>
      </c>
      <c r="B90" s="1" t="s">
        <v>460</v>
      </c>
      <c r="C90" s="19">
        <v>46182</v>
      </c>
      <c r="D90" s="1" t="s">
        <v>21</v>
      </c>
      <c r="E90" s="1" t="s">
        <v>81</v>
      </c>
      <c r="F90" s="1">
        <v>5502</v>
      </c>
      <c r="G90" s="1" t="s">
        <v>352</v>
      </c>
      <c r="H90" s="1" t="s">
        <v>353</v>
      </c>
      <c r="I90" s="1" t="s">
        <v>347</v>
      </c>
      <c r="J90" s="1" t="s">
        <v>354</v>
      </c>
    </row>
    <row r="91" spans="1:10" x14ac:dyDescent="0.25">
      <c r="A91" s="1" t="s">
        <v>1563</v>
      </c>
      <c r="B91" s="1" t="s">
        <v>463</v>
      </c>
      <c r="C91" s="19">
        <v>46182</v>
      </c>
      <c r="D91" s="1" t="s">
        <v>21</v>
      </c>
      <c r="E91" s="1" t="s">
        <v>203</v>
      </c>
      <c r="F91" s="1">
        <v>5505</v>
      </c>
      <c r="G91" s="1" t="s">
        <v>345</v>
      </c>
      <c r="H91" s="1" t="s">
        <v>346</v>
      </c>
      <c r="I91" s="1" t="s">
        <v>347</v>
      </c>
      <c r="J91" s="1" t="s">
        <v>348</v>
      </c>
    </row>
    <row r="92" spans="1:10" x14ac:dyDescent="0.25">
      <c r="A92" s="1" t="s">
        <v>1564</v>
      </c>
      <c r="B92" s="1" t="s">
        <v>463</v>
      </c>
      <c r="C92" s="19">
        <v>46182</v>
      </c>
      <c r="D92" s="1" t="s">
        <v>21</v>
      </c>
      <c r="E92" s="1" t="s">
        <v>203</v>
      </c>
      <c r="F92" s="1">
        <v>5505</v>
      </c>
      <c r="G92" s="1" t="s">
        <v>349</v>
      </c>
      <c r="H92" s="1" t="s">
        <v>350</v>
      </c>
      <c r="I92" s="1" t="s">
        <v>347</v>
      </c>
      <c r="J92" s="1" t="s">
        <v>351</v>
      </c>
    </row>
    <row r="93" spans="1:10" x14ac:dyDescent="0.25">
      <c r="A93" s="1" t="s">
        <v>1565</v>
      </c>
      <c r="B93" s="1" t="s">
        <v>463</v>
      </c>
      <c r="C93" s="19">
        <v>46182</v>
      </c>
      <c r="D93" s="1" t="s">
        <v>21</v>
      </c>
      <c r="E93" s="1" t="s">
        <v>203</v>
      </c>
      <c r="F93" s="1">
        <v>5505</v>
      </c>
      <c r="G93" s="1" t="s">
        <v>352</v>
      </c>
      <c r="H93" s="1" t="s">
        <v>353</v>
      </c>
      <c r="I93" s="1" t="s">
        <v>347</v>
      </c>
      <c r="J93" s="1" t="s">
        <v>354</v>
      </c>
    </row>
    <row r="94" spans="1:10" x14ac:dyDescent="0.25">
      <c r="A94" s="1" t="s">
        <v>1566</v>
      </c>
      <c r="B94" s="1" t="s">
        <v>464</v>
      </c>
      <c r="C94" s="19">
        <v>46182</v>
      </c>
      <c r="D94" s="1" t="s">
        <v>22</v>
      </c>
      <c r="E94" s="1" t="s">
        <v>204</v>
      </c>
      <c r="F94" s="1">
        <v>5506</v>
      </c>
      <c r="G94" s="1" t="s">
        <v>345</v>
      </c>
      <c r="H94" s="1" t="s">
        <v>346</v>
      </c>
      <c r="I94" s="1" t="s">
        <v>347</v>
      </c>
      <c r="J94" s="1" t="s">
        <v>348</v>
      </c>
    </row>
    <row r="95" spans="1:10" x14ac:dyDescent="0.25">
      <c r="A95" s="1" t="s">
        <v>1567</v>
      </c>
      <c r="B95" s="1" t="s">
        <v>464</v>
      </c>
      <c r="C95" s="19">
        <v>46182</v>
      </c>
      <c r="D95" s="1" t="s">
        <v>22</v>
      </c>
      <c r="E95" s="1" t="s">
        <v>204</v>
      </c>
      <c r="F95" s="1">
        <v>5506</v>
      </c>
      <c r="G95" s="1" t="s">
        <v>349</v>
      </c>
      <c r="H95" s="1" t="s">
        <v>350</v>
      </c>
      <c r="I95" s="1" t="s">
        <v>347</v>
      </c>
      <c r="J95" s="1" t="s">
        <v>351</v>
      </c>
    </row>
    <row r="96" spans="1:10" x14ac:dyDescent="0.25">
      <c r="A96" s="1" t="s">
        <v>1568</v>
      </c>
      <c r="B96" s="1" t="s">
        <v>464</v>
      </c>
      <c r="C96" s="19">
        <v>46182</v>
      </c>
      <c r="D96" s="1" t="s">
        <v>22</v>
      </c>
      <c r="E96" s="1" t="s">
        <v>204</v>
      </c>
      <c r="F96" s="1">
        <v>5506</v>
      </c>
      <c r="G96" s="1" t="s">
        <v>352</v>
      </c>
      <c r="H96" s="1" t="s">
        <v>353</v>
      </c>
      <c r="I96" s="1" t="s">
        <v>347</v>
      </c>
      <c r="J96" s="1" t="s">
        <v>354</v>
      </c>
    </row>
    <row r="97" spans="1:10" x14ac:dyDescent="0.25">
      <c r="A97" s="1" t="s">
        <v>1569</v>
      </c>
      <c r="B97" s="1" t="s">
        <v>465</v>
      </c>
      <c r="C97" s="19">
        <v>46182</v>
      </c>
      <c r="D97" s="1" t="s">
        <v>21</v>
      </c>
      <c r="E97" s="1" t="s">
        <v>205</v>
      </c>
      <c r="F97" s="1">
        <v>5507</v>
      </c>
      <c r="G97" s="1" t="s">
        <v>345</v>
      </c>
      <c r="H97" s="1" t="s">
        <v>346</v>
      </c>
      <c r="I97" s="1" t="s">
        <v>347</v>
      </c>
      <c r="J97" s="1" t="s">
        <v>348</v>
      </c>
    </row>
    <row r="98" spans="1:10" x14ac:dyDescent="0.25">
      <c r="A98" s="1" t="s">
        <v>1570</v>
      </c>
      <c r="B98" s="1" t="s">
        <v>465</v>
      </c>
      <c r="C98" s="19">
        <v>46182</v>
      </c>
      <c r="D98" s="1" t="s">
        <v>21</v>
      </c>
      <c r="E98" s="1" t="s">
        <v>205</v>
      </c>
      <c r="F98" s="1">
        <v>5507</v>
      </c>
      <c r="G98" s="1" t="s">
        <v>349</v>
      </c>
      <c r="H98" s="1" t="s">
        <v>350</v>
      </c>
      <c r="I98" s="1" t="s">
        <v>347</v>
      </c>
      <c r="J98" s="1" t="s">
        <v>351</v>
      </c>
    </row>
    <row r="99" spans="1:10" x14ac:dyDescent="0.25">
      <c r="A99" s="1" t="s">
        <v>1571</v>
      </c>
      <c r="B99" s="1" t="s">
        <v>465</v>
      </c>
      <c r="C99" s="19">
        <v>46182</v>
      </c>
      <c r="D99" s="1" t="s">
        <v>21</v>
      </c>
      <c r="E99" s="1" t="s">
        <v>205</v>
      </c>
      <c r="F99" s="1">
        <v>5507</v>
      </c>
      <c r="G99" s="1" t="s">
        <v>352</v>
      </c>
      <c r="H99" s="1" t="s">
        <v>353</v>
      </c>
      <c r="I99" s="1" t="s">
        <v>347</v>
      </c>
      <c r="J99" s="1" t="s">
        <v>354</v>
      </c>
    </row>
    <row r="100" spans="1:10" x14ac:dyDescent="0.25">
      <c r="A100" s="1" t="s">
        <v>1572</v>
      </c>
      <c r="B100" s="1" t="s">
        <v>467</v>
      </c>
      <c r="C100" s="19">
        <v>46182</v>
      </c>
      <c r="D100" s="1" t="s">
        <v>21</v>
      </c>
      <c r="E100" s="1" t="s">
        <v>206</v>
      </c>
      <c r="F100" s="1">
        <v>5509</v>
      </c>
      <c r="G100" s="1" t="s">
        <v>345</v>
      </c>
      <c r="H100" s="1" t="s">
        <v>346</v>
      </c>
      <c r="I100" s="1" t="s">
        <v>347</v>
      </c>
      <c r="J100" s="1" t="s">
        <v>348</v>
      </c>
    </row>
    <row r="101" spans="1:10" x14ac:dyDescent="0.25">
      <c r="A101" s="1" t="s">
        <v>1573</v>
      </c>
      <c r="B101" s="1" t="s">
        <v>467</v>
      </c>
      <c r="C101" s="19">
        <v>46182</v>
      </c>
      <c r="D101" s="1" t="s">
        <v>21</v>
      </c>
      <c r="E101" s="1" t="s">
        <v>206</v>
      </c>
      <c r="F101" s="1">
        <v>5509</v>
      </c>
      <c r="G101" s="1" t="s">
        <v>349</v>
      </c>
      <c r="H101" s="1" t="s">
        <v>350</v>
      </c>
      <c r="I101" s="1" t="s">
        <v>347</v>
      </c>
      <c r="J101" s="1" t="s">
        <v>351</v>
      </c>
    </row>
    <row r="102" spans="1:10" x14ac:dyDescent="0.25">
      <c r="A102" s="1" t="s">
        <v>1574</v>
      </c>
      <c r="B102" s="1" t="s">
        <v>467</v>
      </c>
      <c r="C102" s="19">
        <v>46182</v>
      </c>
      <c r="D102" s="1" t="s">
        <v>21</v>
      </c>
      <c r="E102" s="1" t="s">
        <v>206</v>
      </c>
      <c r="F102" s="1">
        <v>5509</v>
      </c>
      <c r="G102" s="1" t="s">
        <v>352</v>
      </c>
      <c r="H102" s="1" t="s">
        <v>353</v>
      </c>
      <c r="I102" s="1" t="s">
        <v>347</v>
      </c>
      <c r="J102" s="1" t="s">
        <v>354</v>
      </c>
    </row>
    <row r="103" spans="1:10" x14ac:dyDescent="0.25">
      <c r="A103" s="1" t="s">
        <v>1575</v>
      </c>
      <c r="B103" s="1" t="s">
        <v>469</v>
      </c>
      <c r="C103" s="19">
        <v>46182</v>
      </c>
      <c r="D103" s="1" t="s">
        <v>22</v>
      </c>
      <c r="E103" s="1" t="s">
        <v>81</v>
      </c>
      <c r="F103" s="1">
        <v>5511</v>
      </c>
      <c r="G103" s="1" t="s">
        <v>355</v>
      </c>
      <c r="H103" s="1" t="s">
        <v>346</v>
      </c>
      <c r="I103" s="1" t="s">
        <v>347</v>
      </c>
      <c r="J103" s="1" t="s">
        <v>356</v>
      </c>
    </row>
    <row r="104" spans="1:10" x14ac:dyDescent="0.25">
      <c r="A104" s="1" t="s">
        <v>1576</v>
      </c>
      <c r="B104" s="1" t="s">
        <v>469</v>
      </c>
      <c r="C104" s="19">
        <v>46182</v>
      </c>
      <c r="D104" s="1" t="s">
        <v>22</v>
      </c>
      <c r="E104" s="1" t="s">
        <v>81</v>
      </c>
      <c r="F104" s="1">
        <v>5511</v>
      </c>
      <c r="G104" s="1" t="s">
        <v>345</v>
      </c>
      <c r="H104" s="1" t="s">
        <v>346</v>
      </c>
      <c r="I104" s="1" t="s">
        <v>347</v>
      </c>
      <c r="J104" s="1" t="s">
        <v>348</v>
      </c>
    </row>
    <row r="105" spans="1:10" x14ac:dyDescent="0.25">
      <c r="A105" s="1" t="s">
        <v>1577</v>
      </c>
      <c r="B105" s="1" t="s">
        <v>469</v>
      </c>
      <c r="C105" s="19">
        <v>46182</v>
      </c>
      <c r="D105" s="1" t="s">
        <v>22</v>
      </c>
      <c r="E105" s="1" t="s">
        <v>81</v>
      </c>
      <c r="F105" s="1">
        <v>5511</v>
      </c>
      <c r="G105" s="1" t="s">
        <v>349</v>
      </c>
      <c r="H105" s="1" t="s">
        <v>350</v>
      </c>
      <c r="I105" s="1" t="s">
        <v>347</v>
      </c>
      <c r="J105" s="1" t="s">
        <v>351</v>
      </c>
    </row>
    <row r="106" spans="1:10" x14ac:dyDescent="0.25">
      <c r="A106" s="1" t="s">
        <v>1578</v>
      </c>
      <c r="B106" s="1" t="s">
        <v>469</v>
      </c>
      <c r="C106" s="19">
        <v>46182</v>
      </c>
      <c r="D106" s="1" t="s">
        <v>22</v>
      </c>
      <c r="E106" s="1" t="s">
        <v>81</v>
      </c>
      <c r="F106" s="1">
        <v>5511</v>
      </c>
      <c r="G106" s="1" t="s">
        <v>352</v>
      </c>
      <c r="H106" s="1" t="s">
        <v>353</v>
      </c>
      <c r="I106" s="1" t="s">
        <v>347</v>
      </c>
      <c r="J106" s="1" t="s">
        <v>354</v>
      </c>
    </row>
    <row r="107" spans="1:10" x14ac:dyDescent="0.25">
      <c r="A107" s="1" t="s">
        <v>1579</v>
      </c>
      <c r="B107" s="1" t="s">
        <v>470</v>
      </c>
      <c r="C107" s="19">
        <v>46182</v>
      </c>
      <c r="D107" s="1" t="s">
        <v>21</v>
      </c>
      <c r="E107" s="1" t="s">
        <v>209</v>
      </c>
      <c r="F107" s="1">
        <v>5512</v>
      </c>
      <c r="G107" s="1" t="s">
        <v>345</v>
      </c>
      <c r="H107" s="1" t="s">
        <v>346</v>
      </c>
      <c r="I107" s="1" t="s">
        <v>347</v>
      </c>
      <c r="J107" s="1" t="s">
        <v>348</v>
      </c>
    </row>
    <row r="108" spans="1:10" x14ac:dyDescent="0.25">
      <c r="A108" s="1" t="s">
        <v>1580</v>
      </c>
      <c r="B108" s="1" t="s">
        <v>470</v>
      </c>
      <c r="C108" s="19">
        <v>46182</v>
      </c>
      <c r="D108" s="1" t="s">
        <v>21</v>
      </c>
      <c r="E108" s="1" t="s">
        <v>209</v>
      </c>
      <c r="F108" s="1">
        <v>5512</v>
      </c>
      <c r="G108" s="1" t="s">
        <v>349</v>
      </c>
      <c r="H108" s="1" t="s">
        <v>350</v>
      </c>
      <c r="I108" s="1" t="s">
        <v>347</v>
      </c>
      <c r="J108" s="1" t="s">
        <v>351</v>
      </c>
    </row>
    <row r="109" spans="1:10" x14ac:dyDescent="0.25">
      <c r="A109" s="1" t="s">
        <v>1581</v>
      </c>
      <c r="B109" s="1" t="s">
        <v>470</v>
      </c>
      <c r="C109" s="19">
        <v>46182</v>
      </c>
      <c r="D109" s="1" t="s">
        <v>21</v>
      </c>
      <c r="E109" s="1" t="s">
        <v>209</v>
      </c>
      <c r="F109" s="1">
        <v>5512</v>
      </c>
      <c r="G109" s="1" t="s">
        <v>352</v>
      </c>
      <c r="H109" s="1" t="s">
        <v>353</v>
      </c>
      <c r="I109" s="1" t="s">
        <v>347</v>
      </c>
      <c r="J109" s="1" t="s">
        <v>354</v>
      </c>
    </row>
    <row r="110" spans="1:10" x14ac:dyDescent="0.25">
      <c r="A110" s="1" t="s">
        <v>1582</v>
      </c>
      <c r="B110" s="1" t="s">
        <v>471</v>
      </c>
      <c r="C110" s="19">
        <v>46182</v>
      </c>
      <c r="D110" s="1" t="s">
        <v>21</v>
      </c>
      <c r="E110" s="1" t="s">
        <v>210</v>
      </c>
      <c r="F110" s="1">
        <v>5513</v>
      </c>
      <c r="G110" s="1" t="s">
        <v>345</v>
      </c>
      <c r="H110" s="1" t="s">
        <v>346</v>
      </c>
      <c r="I110" s="1" t="s">
        <v>347</v>
      </c>
      <c r="J110" s="1" t="s">
        <v>348</v>
      </c>
    </row>
    <row r="111" spans="1:10" x14ac:dyDescent="0.25">
      <c r="A111" s="1" t="s">
        <v>1583</v>
      </c>
      <c r="B111" s="1" t="s">
        <v>471</v>
      </c>
      <c r="C111" s="19">
        <v>46182</v>
      </c>
      <c r="D111" s="1" t="s">
        <v>21</v>
      </c>
      <c r="E111" s="1" t="s">
        <v>210</v>
      </c>
      <c r="F111" s="1">
        <v>5513</v>
      </c>
      <c r="G111" s="1" t="s">
        <v>349</v>
      </c>
      <c r="H111" s="1" t="s">
        <v>350</v>
      </c>
      <c r="I111" s="1" t="s">
        <v>347</v>
      </c>
      <c r="J111" s="1" t="s">
        <v>351</v>
      </c>
    </row>
    <row r="112" spans="1:10" x14ac:dyDescent="0.25">
      <c r="A112" s="1" t="s">
        <v>1584</v>
      </c>
      <c r="B112" s="1" t="s">
        <v>471</v>
      </c>
      <c r="C112" s="19">
        <v>46182</v>
      </c>
      <c r="D112" s="1" t="s">
        <v>21</v>
      </c>
      <c r="E112" s="1" t="s">
        <v>210</v>
      </c>
      <c r="F112" s="1">
        <v>5513</v>
      </c>
      <c r="G112" s="1" t="s">
        <v>352</v>
      </c>
      <c r="H112" s="1" t="s">
        <v>353</v>
      </c>
      <c r="I112" s="1" t="s">
        <v>347</v>
      </c>
      <c r="J112" s="1" t="s">
        <v>354</v>
      </c>
    </row>
    <row r="113" spans="1:10" x14ac:dyDescent="0.25">
      <c r="A113" s="1" t="s">
        <v>1585</v>
      </c>
      <c r="B113" s="1" t="s">
        <v>472</v>
      </c>
      <c r="C113" s="19">
        <v>46182</v>
      </c>
      <c r="D113" s="1" t="s">
        <v>21</v>
      </c>
      <c r="E113" s="1" t="s">
        <v>81</v>
      </c>
      <c r="F113" s="1">
        <v>5514</v>
      </c>
      <c r="G113" s="1" t="s">
        <v>345</v>
      </c>
      <c r="H113" s="1" t="s">
        <v>346</v>
      </c>
      <c r="I113" s="1" t="s">
        <v>347</v>
      </c>
      <c r="J113" s="1" t="s">
        <v>348</v>
      </c>
    </row>
    <row r="114" spans="1:10" x14ac:dyDescent="0.25">
      <c r="A114" s="1" t="s">
        <v>1586</v>
      </c>
      <c r="B114" s="1" t="s">
        <v>472</v>
      </c>
      <c r="C114" s="19">
        <v>46182</v>
      </c>
      <c r="D114" s="1" t="s">
        <v>21</v>
      </c>
      <c r="E114" s="1" t="s">
        <v>81</v>
      </c>
      <c r="F114" s="1">
        <v>5514</v>
      </c>
      <c r="G114" s="1" t="s">
        <v>349</v>
      </c>
      <c r="H114" s="1" t="s">
        <v>350</v>
      </c>
      <c r="I114" s="1" t="s">
        <v>347</v>
      </c>
      <c r="J114" s="1" t="s">
        <v>351</v>
      </c>
    </row>
    <row r="115" spans="1:10" x14ac:dyDescent="0.25">
      <c r="A115" s="1" t="s">
        <v>1587</v>
      </c>
      <c r="B115" s="1" t="s">
        <v>472</v>
      </c>
      <c r="C115" s="19">
        <v>46182</v>
      </c>
      <c r="D115" s="1" t="s">
        <v>21</v>
      </c>
      <c r="E115" s="1" t="s">
        <v>81</v>
      </c>
      <c r="F115" s="1">
        <v>5514</v>
      </c>
      <c r="G115" s="1" t="s">
        <v>352</v>
      </c>
      <c r="H115" s="1" t="s">
        <v>353</v>
      </c>
      <c r="I115" s="1" t="s">
        <v>347</v>
      </c>
      <c r="J115" s="1" t="s">
        <v>354</v>
      </c>
    </row>
    <row r="116" spans="1:10" x14ac:dyDescent="0.25">
      <c r="A116" s="1" t="s">
        <v>1588</v>
      </c>
      <c r="B116" s="1" t="s">
        <v>474</v>
      </c>
      <c r="C116" s="19">
        <v>46182</v>
      </c>
      <c r="D116" s="1" t="s">
        <v>21</v>
      </c>
      <c r="E116" s="1" t="s">
        <v>212</v>
      </c>
      <c r="F116" s="1">
        <v>5516</v>
      </c>
      <c r="G116" s="1" t="s">
        <v>345</v>
      </c>
      <c r="H116" s="1" t="s">
        <v>346</v>
      </c>
      <c r="I116" s="1" t="s">
        <v>347</v>
      </c>
      <c r="J116" s="1" t="s">
        <v>348</v>
      </c>
    </row>
    <row r="117" spans="1:10" x14ac:dyDescent="0.25">
      <c r="A117" s="1" t="s">
        <v>1589</v>
      </c>
      <c r="B117" s="1" t="s">
        <v>474</v>
      </c>
      <c r="C117" s="19">
        <v>46182</v>
      </c>
      <c r="D117" s="1" t="s">
        <v>21</v>
      </c>
      <c r="E117" s="1" t="s">
        <v>212</v>
      </c>
      <c r="F117" s="1">
        <v>5516</v>
      </c>
      <c r="G117" s="1" t="s">
        <v>349</v>
      </c>
      <c r="H117" s="1" t="s">
        <v>350</v>
      </c>
      <c r="I117" s="1" t="s">
        <v>347</v>
      </c>
      <c r="J117" s="1" t="s">
        <v>351</v>
      </c>
    </row>
    <row r="118" spans="1:10" x14ac:dyDescent="0.25">
      <c r="A118" s="1" t="s">
        <v>1590</v>
      </c>
      <c r="B118" s="1" t="s">
        <v>474</v>
      </c>
      <c r="C118" s="19">
        <v>46182</v>
      </c>
      <c r="D118" s="1" t="s">
        <v>21</v>
      </c>
      <c r="E118" s="1" t="s">
        <v>212</v>
      </c>
      <c r="F118" s="1">
        <v>5516</v>
      </c>
      <c r="G118" s="1" t="s">
        <v>352</v>
      </c>
      <c r="H118" s="1" t="s">
        <v>353</v>
      </c>
      <c r="I118" s="1" t="s">
        <v>347</v>
      </c>
      <c r="J118" s="1" t="s">
        <v>354</v>
      </c>
    </row>
    <row r="119" spans="1:10" x14ac:dyDescent="0.25">
      <c r="A119" s="1" t="s">
        <v>1591</v>
      </c>
      <c r="B119" s="1" t="s">
        <v>477</v>
      </c>
      <c r="C119" s="19">
        <v>46182</v>
      </c>
      <c r="D119" s="1" t="s">
        <v>22</v>
      </c>
      <c r="E119" s="1" t="s">
        <v>216</v>
      </c>
      <c r="F119" s="1">
        <v>5519</v>
      </c>
      <c r="G119" s="1" t="s">
        <v>345</v>
      </c>
      <c r="H119" s="1" t="s">
        <v>346</v>
      </c>
      <c r="I119" s="1" t="s">
        <v>347</v>
      </c>
      <c r="J119" s="1" t="s">
        <v>348</v>
      </c>
    </row>
    <row r="120" spans="1:10" x14ac:dyDescent="0.25">
      <c r="A120" s="1" t="s">
        <v>1592</v>
      </c>
      <c r="B120" s="1" t="s">
        <v>477</v>
      </c>
      <c r="C120" s="19">
        <v>46182</v>
      </c>
      <c r="D120" s="1" t="s">
        <v>22</v>
      </c>
      <c r="E120" s="1" t="s">
        <v>216</v>
      </c>
      <c r="F120" s="1">
        <v>5519</v>
      </c>
      <c r="G120" s="1" t="s">
        <v>349</v>
      </c>
      <c r="H120" s="1" t="s">
        <v>350</v>
      </c>
      <c r="I120" s="1" t="s">
        <v>347</v>
      </c>
      <c r="J120" s="1" t="s">
        <v>351</v>
      </c>
    </row>
    <row r="121" spans="1:10" x14ac:dyDescent="0.25">
      <c r="A121" s="1" t="s">
        <v>1593</v>
      </c>
      <c r="B121" s="1" t="s">
        <v>477</v>
      </c>
      <c r="C121" s="19">
        <v>46182</v>
      </c>
      <c r="D121" s="1" t="s">
        <v>22</v>
      </c>
      <c r="E121" s="1" t="s">
        <v>216</v>
      </c>
      <c r="F121" s="1">
        <v>5519</v>
      </c>
      <c r="G121" s="1" t="s">
        <v>352</v>
      </c>
      <c r="H121" s="1" t="s">
        <v>353</v>
      </c>
      <c r="I121" s="1" t="s">
        <v>347</v>
      </c>
      <c r="J121" s="1" t="s">
        <v>354</v>
      </c>
    </row>
    <row r="122" spans="1:10" x14ac:dyDescent="0.25">
      <c r="A122" s="1" t="s">
        <v>1594</v>
      </c>
      <c r="B122" s="1" t="s">
        <v>478</v>
      </c>
      <c r="C122" s="19">
        <v>46182</v>
      </c>
      <c r="D122" s="1" t="s">
        <v>21</v>
      </c>
      <c r="E122" s="1" t="s">
        <v>217</v>
      </c>
      <c r="F122" s="1">
        <v>5520</v>
      </c>
      <c r="G122" s="1" t="s">
        <v>345</v>
      </c>
      <c r="H122" s="1" t="s">
        <v>346</v>
      </c>
      <c r="I122" s="1" t="s">
        <v>347</v>
      </c>
      <c r="J122" s="1" t="s">
        <v>348</v>
      </c>
    </row>
    <row r="123" spans="1:10" x14ac:dyDescent="0.25">
      <c r="A123" s="1" t="s">
        <v>1595</v>
      </c>
      <c r="B123" s="1" t="s">
        <v>478</v>
      </c>
      <c r="C123" s="19">
        <v>46182</v>
      </c>
      <c r="D123" s="1" t="s">
        <v>21</v>
      </c>
      <c r="E123" s="1" t="s">
        <v>217</v>
      </c>
      <c r="F123" s="1">
        <v>5520</v>
      </c>
      <c r="G123" s="1" t="s">
        <v>349</v>
      </c>
      <c r="H123" s="1" t="s">
        <v>350</v>
      </c>
      <c r="I123" s="1" t="s">
        <v>347</v>
      </c>
      <c r="J123" s="1" t="s">
        <v>351</v>
      </c>
    </row>
    <row r="124" spans="1:10" x14ac:dyDescent="0.25">
      <c r="A124" s="1" t="s">
        <v>1596</v>
      </c>
      <c r="B124" s="1" t="s">
        <v>478</v>
      </c>
      <c r="C124" s="19">
        <v>46182</v>
      </c>
      <c r="D124" s="1" t="s">
        <v>21</v>
      </c>
      <c r="E124" s="1" t="s">
        <v>217</v>
      </c>
      <c r="F124" s="1">
        <v>5520</v>
      </c>
      <c r="G124" s="1" t="s">
        <v>352</v>
      </c>
      <c r="H124" s="1" t="s">
        <v>353</v>
      </c>
      <c r="I124" s="1" t="s">
        <v>347</v>
      </c>
      <c r="J124" s="1" t="s">
        <v>354</v>
      </c>
    </row>
    <row r="125" spans="1:10" x14ac:dyDescent="0.25">
      <c r="A125" s="1" t="s">
        <v>1597</v>
      </c>
      <c r="B125" s="1" t="s">
        <v>479</v>
      </c>
      <c r="C125" s="19">
        <v>46182</v>
      </c>
      <c r="D125" s="1" t="s">
        <v>22</v>
      </c>
      <c r="E125" s="1" t="s">
        <v>81</v>
      </c>
      <c r="F125" s="1">
        <v>5521</v>
      </c>
      <c r="G125" s="1" t="s">
        <v>355</v>
      </c>
      <c r="H125" s="1" t="s">
        <v>346</v>
      </c>
      <c r="I125" s="1" t="s">
        <v>347</v>
      </c>
      <c r="J125" s="1" t="s">
        <v>356</v>
      </c>
    </row>
    <row r="126" spans="1:10" x14ac:dyDescent="0.25">
      <c r="A126" s="1" t="s">
        <v>1598</v>
      </c>
      <c r="B126" s="1" t="s">
        <v>479</v>
      </c>
      <c r="C126" s="19">
        <v>46182</v>
      </c>
      <c r="D126" s="1" t="s">
        <v>22</v>
      </c>
      <c r="E126" s="1" t="s">
        <v>81</v>
      </c>
      <c r="F126" s="1">
        <v>5521</v>
      </c>
      <c r="G126" s="1" t="s">
        <v>345</v>
      </c>
      <c r="H126" s="1" t="s">
        <v>346</v>
      </c>
      <c r="I126" s="1" t="s">
        <v>347</v>
      </c>
      <c r="J126" s="1" t="s">
        <v>348</v>
      </c>
    </row>
    <row r="127" spans="1:10" x14ac:dyDescent="0.25">
      <c r="A127" s="1" t="s">
        <v>1599</v>
      </c>
      <c r="B127" s="1" t="s">
        <v>479</v>
      </c>
      <c r="C127" s="19">
        <v>46182</v>
      </c>
      <c r="D127" s="1" t="s">
        <v>22</v>
      </c>
      <c r="E127" s="1" t="s">
        <v>81</v>
      </c>
      <c r="F127" s="1">
        <v>5521</v>
      </c>
      <c r="G127" s="1" t="s">
        <v>349</v>
      </c>
      <c r="H127" s="1" t="s">
        <v>350</v>
      </c>
      <c r="I127" s="1" t="s">
        <v>347</v>
      </c>
      <c r="J127" s="1" t="s">
        <v>351</v>
      </c>
    </row>
    <row r="128" spans="1:10" x14ac:dyDescent="0.25">
      <c r="A128" s="1" t="s">
        <v>1600</v>
      </c>
      <c r="B128" s="1" t="s">
        <v>479</v>
      </c>
      <c r="C128" s="19">
        <v>46182</v>
      </c>
      <c r="D128" s="1" t="s">
        <v>22</v>
      </c>
      <c r="E128" s="1" t="s">
        <v>81</v>
      </c>
      <c r="F128" s="1">
        <v>5521</v>
      </c>
      <c r="G128" s="1" t="s">
        <v>352</v>
      </c>
      <c r="H128" s="1" t="s">
        <v>353</v>
      </c>
      <c r="I128" s="1" t="s">
        <v>347</v>
      </c>
      <c r="J128" s="1" t="s">
        <v>354</v>
      </c>
    </row>
    <row r="129" spans="1:10" x14ac:dyDescent="0.25">
      <c r="A129" s="1" t="s">
        <v>1601</v>
      </c>
      <c r="B129" s="1" t="s">
        <v>480</v>
      </c>
      <c r="C129" s="19">
        <v>46182</v>
      </c>
      <c r="D129" s="1" t="s">
        <v>21</v>
      </c>
      <c r="E129" s="1" t="s">
        <v>219</v>
      </c>
      <c r="F129" s="1">
        <v>5522</v>
      </c>
      <c r="G129" s="1" t="s">
        <v>345</v>
      </c>
      <c r="H129" s="1" t="s">
        <v>346</v>
      </c>
      <c r="I129" s="1" t="s">
        <v>347</v>
      </c>
      <c r="J129" s="1" t="s">
        <v>348</v>
      </c>
    </row>
    <row r="130" spans="1:10" x14ac:dyDescent="0.25">
      <c r="A130" s="1" t="s">
        <v>1602</v>
      </c>
      <c r="B130" s="1" t="s">
        <v>480</v>
      </c>
      <c r="C130" s="19">
        <v>46182</v>
      </c>
      <c r="D130" s="1" t="s">
        <v>21</v>
      </c>
      <c r="E130" s="1" t="s">
        <v>219</v>
      </c>
      <c r="F130" s="1">
        <v>5522</v>
      </c>
      <c r="G130" s="1" t="s">
        <v>349</v>
      </c>
      <c r="H130" s="1" t="s">
        <v>350</v>
      </c>
      <c r="I130" s="1" t="s">
        <v>347</v>
      </c>
      <c r="J130" s="1" t="s">
        <v>351</v>
      </c>
    </row>
    <row r="131" spans="1:10" x14ac:dyDescent="0.25">
      <c r="A131" s="1" t="s">
        <v>1603</v>
      </c>
      <c r="B131" s="1" t="s">
        <v>480</v>
      </c>
      <c r="C131" s="19">
        <v>46182</v>
      </c>
      <c r="D131" s="1" t="s">
        <v>21</v>
      </c>
      <c r="E131" s="1" t="s">
        <v>219</v>
      </c>
      <c r="F131" s="1">
        <v>5522</v>
      </c>
      <c r="G131" s="1" t="s">
        <v>352</v>
      </c>
      <c r="H131" s="1" t="s">
        <v>353</v>
      </c>
      <c r="I131" s="1" t="s">
        <v>347</v>
      </c>
      <c r="J131" s="1" t="s">
        <v>354</v>
      </c>
    </row>
    <row r="132" spans="1:10" x14ac:dyDescent="0.25">
      <c r="A132" s="1" t="s">
        <v>1604</v>
      </c>
      <c r="B132" s="1" t="s">
        <v>482</v>
      </c>
      <c r="C132" s="19">
        <v>46182</v>
      </c>
      <c r="D132" s="1" t="s">
        <v>21</v>
      </c>
      <c r="E132" s="1" t="s">
        <v>221</v>
      </c>
      <c r="F132" s="1">
        <v>5524</v>
      </c>
      <c r="G132" s="1" t="s">
        <v>345</v>
      </c>
      <c r="H132" s="1" t="s">
        <v>346</v>
      </c>
      <c r="I132" s="1" t="s">
        <v>347</v>
      </c>
      <c r="J132" s="1" t="s">
        <v>348</v>
      </c>
    </row>
    <row r="133" spans="1:10" x14ac:dyDescent="0.25">
      <c r="A133" s="1" t="s">
        <v>1605</v>
      </c>
      <c r="B133" s="1" t="s">
        <v>482</v>
      </c>
      <c r="C133" s="19">
        <v>46182</v>
      </c>
      <c r="D133" s="1" t="s">
        <v>21</v>
      </c>
      <c r="E133" s="1" t="s">
        <v>221</v>
      </c>
      <c r="F133" s="1">
        <v>5524</v>
      </c>
      <c r="G133" s="1" t="s">
        <v>349</v>
      </c>
      <c r="H133" s="1" t="s">
        <v>350</v>
      </c>
      <c r="I133" s="1" t="s">
        <v>347</v>
      </c>
      <c r="J133" s="1" t="s">
        <v>351</v>
      </c>
    </row>
    <row r="134" spans="1:10" x14ac:dyDescent="0.25">
      <c r="A134" s="1" t="s">
        <v>1606</v>
      </c>
      <c r="B134" s="1" t="s">
        <v>482</v>
      </c>
      <c r="C134" s="19">
        <v>46182</v>
      </c>
      <c r="D134" s="1" t="s">
        <v>21</v>
      </c>
      <c r="E134" s="1" t="s">
        <v>221</v>
      </c>
      <c r="F134" s="1">
        <v>5524</v>
      </c>
      <c r="G134" s="1" t="s">
        <v>352</v>
      </c>
      <c r="H134" s="1" t="s">
        <v>353</v>
      </c>
      <c r="I134" s="1" t="s">
        <v>347</v>
      </c>
      <c r="J134" s="1" t="s">
        <v>354</v>
      </c>
    </row>
    <row r="135" spans="1:10" x14ac:dyDescent="0.25">
      <c r="A135" s="1" t="s">
        <v>1607</v>
      </c>
      <c r="B135" s="1" t="s">
        <v>483</v>
      </c>
      <c r="C135" s="19">
        <v>46182</v>
      </c>
      <c r="D135" s="1" t="s">
        <v>22</v>
      </c>
      <c r="E135" s="1" t="s">
        <v>222</v>
      </c>
      <c r="F135" s="1">
        <v>5525</v>
      </c>
      <c r="G135" s="1" t="s">
        <v>345</v>
      </c>
      <c r="H135" s="1" t="s">
        <v>346</v>
      </c>
      <c r="I135" s="1" t="s">
        <v>347</v>
      </c>
      <c r="J135" s="1" t="s">
        <v>348</v>
      </c>
    </row>
    <row r="136" spans="1:10" x14ac:dyDescent="0.25">
      <c r="A136" s="1" t="s">
        <v>1608</v>
      </c>
      <c r="B136" s="1" t="s">
        <v>483</v>
      </c>
      <c r="C136" s="19">
        <v>46182</v>
      </c>
      <c r="D136" s="1" t="s">
        <v>22</v>
      </c>
      <c r="E136" s="1" t="s">
        <v>222</v>
      </c>
      <c r="F136" s="1">
        <v>5525</v>
      </c>
      <c r="G136" s="1" t="s">
        <v>349</v>
      </c>
      <c r="H136" s="1" t="s">
        <v>350</v>
      </c>
      <c r="I136" s="1" t="s">
        <v>347</v>
      </c>
      <c r="J136" s="1" t="s">
        <v>351</v>
      </c>
    </row>
    <row r="137" spans="1:10" x14ac:dyDescent="0.25">
      <c r="A137" s="1" t="s">
        <v>1609</v>
      </c>
      <c r="B137" s="1" t="s">
        <v>483</v>
      </c>
      <c r="C137" s="19">
        <v>46182</v>
      </c>
      <c r="D137" s="1" t="s">
        <v>22</v>
      </c>
      <c r="E137" s="1" t="s">
        <v>222</v>
      </c>
      <c r="F137" s="1">
        <v>5525</v>
      </c>
      <c r="G137" s="1" t="s">
        <v>352</v>
      </c>
      <c r="H137" s="1" t="s">
        <v>353</v>
      </c>
      <c r="I137" s="1" t="s">
        <v>347</v>
      </c>
      <c r="J137" s="1" t="s">
        <v>354</v>
      </c>
    </row>
    <row r="138" spans="1:10" x14ac:dyDescent="0.25">
      <c r="A138" s="1" t="s">
        <v>1610</v>
      </c>
      <c r="B138" s="1" t="s">
        <v>484</v>
      </c>
      <c r="C138" s="19">
        <v>46182</v>
      </c>
      <c r="D138" s="1" t="s">
        <v>22</v>
      </c>
      <c r="E138" s="1" t="s">
        <v>225</v>
      </c>
      <c r="F138" s="1">
        <v>5526</v>
      </c>
      <c r="G138" s="1" t="s">
        <v>345</v>
      </c>
      <c r="H138" s="1" t="s">
        <v>346</v>
      </c>
      <c r="I138" s="1" t="s">
        <v>347</v>
      </c>
      <c r="J138" s="1" t="s">
        <v>348</v>
      </c>
    </row>
    <row r="139" spans="1:10" x14ac:dyDescent="0.25">
      <c r="A139" s="1" t="s">
        <v>1611</v>
      </c>
      <c r="B139" s="1" t="s">
        <v>484</v>
      </c>
      <c r="C139" s="19">
        <v>46182</v>
      </c>
      <c r="D139" s="1" t="s">
        <v>22</v>
      </c>
      <c r="E139" s="1" t="s">
        <v>225</v>
      </c>
      <c r="F139" s="1">
        <v>5526</v>
      </c>
      <c r="G139" s="1" t="s">
        <v>349</v>
      </c>
      <c r="H139" s="1" t="s">
        <v>350</v>
      </c>
      <c r="I139" s="1" t="s">
        <v>347</v>
      </c>
      <c r="J139" s="1" t="s">
        <v>351</v>
      </c>
    </row>
    <row r="140" spans="1:10" x14ac:dyDescent="0.25">
      <c r="A140" s="1" t="s">
        <v>1612</v>
      </c>
      <c r="B140" s="1" t="s">
        <v>484</v>
      </c>
      <c r="C140" s="19">
        <v>46182</v>
      </c>
      <c r="D140" s="1" t="s">
        <v>22</v>
      </c>
      <c r="E140" s="1" t="s">
        <v>225</v>
      </c>
      <c r="F140" s="1">
        <v>5526</v>
      </c>
      <c r="G140" s="1" t="s">
        <v>352</v>
      </c>
      <c r="H140" s="1" t="s">
        <v>353</v>
      </c>
      <c r="I140" s="1" t="s">
        <v>347</v>
      </c>
      <c r="J140" s="1" t="s">
        <v>354</v>
      </c>
    </row>
    <row r="141" spans="1:10" x14ac:dyDescent="0.25">
      <c r="A141" s="1" t="s">
        <v>1613</v>
      </c>
      <c r="B141" s="1" t="s">
        <v>486</v>
      </c>
      <c r="C141" s="19">
        <v>46182</v>
      </c>
      <c r="D141" s="1" t="s">
        <v>21</v>
      </c>
      <c r="E141" s="1" t="s">
        <v>166</v>
      </c>
      <c r="F141" s="1">
        <v>5528</v>
      </c>
      <c r="G141" s="1" t="s">
        <v>345</v>
      </c>
      <c r="H141" s="1" t="s">
        <v>346</v>
      </c>
      <c r="I141" s="1" t="s">
        <v>347</v>
      </c>
      <c r="J141" s="1" t="s">
        <v>348</v>
      </c>
    </row>
    <row r="142" spans="1:10" x14ac:dyDescent="0.25">
      <c r="A142" s="1" t="s">
        <v>1614</v>
      </c>
      <c r="B142" s="1" t="s">
        <v>486</v>
      </c>
      <c r="C142" s="19">
        <v>46182</v>
      </c>
      <c r="D142" s="1" t="s">
        <v>21</v>
      </c>
      <c r="E142" s="1" t="s">
        <v>166</v>
      </c>
      <c r="F142" s="1">
        <v>5528</v>
      </c>
      <c r="G142" s="1" t="s">
        <v>349</v>
      </c>
      <c r="H142" s="1" t="s">
        <v>350</v>
      </c>
      <c r="I142" s="1" t="s">
        <v>347</v>
      </c>
      <c r="J142" s="1" t="s">
        <v>351</v>
      </c>
    </row>
    <row r="143" spans="1:10" x14ac:dyDescent="0.25">
      <c r="A143" s="1" t="s">
        <v>1615</v>
      </c>
      <c r="B143" s="1" t="s">
        <v>486</v>
      </c>
      <c r="C143" s="19">
        <v>46182</v>
      </c>
      <c r="D143" s="1" t="s">
        <v>21</v>
      </c>
      <c r="E143" s="1" t="s">
        <v>166</v>
      </c>
      <c r="F143" s="1">
        <v>5528</v>
      </c>
      <c r="G143" s="1" t="s">
        <v>352</v>
      </c>
      <c r="H143" s="1" t="s">
        <v>353</v>
      </c>
      <c r="I143" s="1" t="s">
        <v>347</v>
      </c>
      <c r="J143" s="1" t="s">
        <v>354</v>
      </c>
    </row>
    <row r="144" spans="1:10" x14ac:dyDescent="0.25">
      <c r="A144" s="1" t="s">
        <v>1616</v>
      </c>
      <c r="B144" s="1" t="s">
        <v>487</v>
      </c>
      <c r="C144" s="19">
        <v>46182</v>
      </c>
      <c r="D144" s="1" t="s">
        <v>21</v>
      </c>
      <c r="E144" s="1" t="s">
        <v>143</v>
      </c>
      <c r="F144" s="1">
        <v>5529</v>
      </c>
      <c r="G144" s="1" t="s">
        <v>345</v>
      </c>
      <c r="H144" s="1" t="s">
        <v>346</v>
      </c>
      <c r="I144" s="1" t="s">
        <v>347</v>
      </c>
      <c r="J144" s="1" t="s">
        <v>348</v>
      </c>
    </row>
    <row r="145" spans="1:10" x14ac:dyDescent="0.25">
      <c r="A145" s="1" t="s">
        <v>1617</v>
      </c>
      <c r="B145" s="1" t="s">
        <v>487</v>
      </c>
      <c r="C145" s="19">
        <v>46182</v>
      </c>
      <c r="D145" s="1" t="s">
        <v>21</v>
      </c>
      <c r="E145" s="1" t="s">
        <v>143</v>
      </c>
      <c r="F145" s="1">
        <v>5529</v>
      </c>
      <c r="G145" s="1" t="s">
        <v>349</v>
      </c>
      <c r="H145" s="1" t="s">
        <v>350</v>
      </c>
      <c r="I145" s="1" t="s">
        <v>347</v>
      </c>
      <c r="J145" s="1" t="s">
        <v>351</v>
      </c>
    </row>
    <row r="146" spans="1:10" x14ac:dyDescent="0.25">
      <c r="A146" s="1" t="s">
        <v>1618</v>
      </c>
      <c r="B146" s="1" t="s">
        <v>487</v>
      </c>
      <c r="C146" s="19">
        <v>46182</v>
      </c>
      <c r="D146" s="1" t="s">
        <v>21</v>
      </c>
      <c r="E146" s="1" t="s">
        <v>143</v>
      </c>
      <c r="F146" s="1">
        <v>5529</v>
      </c>
      <c r="G146" s="1" t="s">
        <v>352</v>
      </c>
      <c r="H146" s="1" t="s">
        <v>353</v>
      </c>
      <c r="I146" s="1" t="s">
        <v>347</v>
      </c>
      <c r="J146" s="1" t="s">
        <v>354</v>
      </c>
    </row>
    <row r="147" spans="1:10" x14ac:dyDescent="0.25">
      <c r="A147" s="1" t="s">
        <v>1619</v>
      </c>
      <c r="B147" s="1" t="s">
        <v>488</v>
      </c>
      <c r="C147" s="19">
        <v>46182</v>
      </c>
      <c r="D147" s="1" t="s">
        <v>21</v>
      </c>
      <c r="E147" s="1" t="s">
        <v>227</v>
      </c>
      <c r="F147" s="1">
        <v>5530</v>
      </c>
      <c r="G147" s="1" t="s">
        <v>345</v>
      </c>
      <c r="H147" s="1" t="s">
        <v>346</v>
      </c>
      <c r="I147" s="1" t="s">
        <v>347</v>
      </c>
      <c r="J147" s="1" t="s">
        <v>348</v>
      </c>
    </row>
    <row r="148" spans="1:10" x14ac:dyDescent="0.25">
      <c r="A148" s="1" t="s">
        <v>1620</v>
      </c>
      <c r="B148" s="1" t="s">
        <v>488</v>
      </c>
      <c r="C148" s="19">
        <v>46182</v>
      </c>
      <c r="D148" s="1" t="s">
        <v>21</v>
      </c>
      <c r="E148" s="1" t="s">
        <v>227</v>
      </c>
      <c r="F148" s="1">
        <v>5530</v>
      </c>
      <c r="G148" s="1" t="s">
        <v>349</v>
      </c>
      <c r="H148" s="1" t="s">
        <v>350</v>
      </c>
      <c r="I148" s="1" t="s">
        <v>347</v>
      </c>
      <c r="J148" s="1" t="s">
        <v>351</v>
      </c>
    </row>
    <row r="149" spans="1:10" x14ac:dyDescent="0.25">
      <c r="A149" s="1" t="s">
        <v>1621</v>
      </c>
      <c r="B149" s="1" t="s">
        <v>488</v>
      </c>
      <c r="C149" s="19">
        <v>46182</v>
      </c>
      <c r="D149" s="1" t="s">
        <v>21</v>
      </c>
      <c r="E149" s="1" t="s">
        <v>227</v>
      </c>
      <c r="F149" s="1">
        <v>5530</v>
      </c>
      <c r="G149" s="1" t="s">
        <v>352</v>
      </c>
      <c r="H149" s="1" t="s">
        <v>353</v>
      </c>
      <c r="I149" s="1" t="s">
        <v>347</v>
      </c>
      <c r="J149" s="1" t="s">
        <v>354</v>
      </c>
    </row>
    <row r="150" spans="1:10" x14ac:dyDescent="0.25">
      <c r="A150" s="1" t="s">
        <v>1622</v>
      </c>
      <c r="B150" s="1" t="s">
        <v>489</v>
      </c>
      <c r="C150" s="19">
        <v>46182</v>
      </c>
      <c r="D150" s="1" t="s">
        <v>21</v>
      </c>
      <c r="E150" s="1" t="s">
        <v>229</v>
      </c>
      <c r="F150" s="1">
        <v>5531</v>
      </c>
      <c r="G150" s="1" t="s">
        <v>345</v>
      </c>
      <c r="H150" s="1" t="s">
        <v>346</v>
      </c>
      <c r="I150" s="1" t="s">
        <v>347</v>
      </c>
      <c r="J150" s="1" t="s">
        <v>348</v>
      </c>
    </row>
    <row r="151" spans="1:10" x14ac:dyDescent="0.25">
      <c r="A151" s="1" t="s">
        <v>1623</v>
      </c>
      <c r="B151" s="1" t="s">
        <v>489</v>
      </c>
      <c r="C151" s="19">
        <v>46182</v>
      </c>
      <c r="D151" s="1" t="s">
        <v>21</v>
      </c>
      <c r="E151" s="1" t="s">
        <v>229</v>
      </c>
      <c r="F151" s="1">
        <v>5531</v>
      </c>
      <c r="G151" s="1" t="s">
        <v>349</v>
      </c>
      <c r="H151" s="1" t="s">
        <v>350</v>
      </c>
      <c r="I151" s="1" t="s">
        <v>347</v>
      </c>
      <c r="J151" s="1" t="s">
        <v>351</v>
      </c>
    </row>
    <row r="152" spans="1:10" x14ac:dyDescent="0.25">
      <c r="A152" s="1" t="s">
        <v>1624</v>
      </c>
      <c r="B152" s="1" t="s">
        <v>489</v>
      </c>
      <c r="C152" s="19">
        <v>46182</v>
      </c>
      <c r="D152" s="1" t="s">
        <v>21</v>
      </c>
      <c r="E152" s="1" t="s">
        <v>229</v>
      </c>
      <c r="F152" s="1">
        <v>5531</v>
      </c>
      <c r="G152" s="1" t="s">
        <v>352</v>
      </c>
      <c r="H152" s="1" t="s">
        <v>353</v>
      </c>
      <c r="I152" s="1" t="s">
        <v>347</v>
      </c>
      <c r="J152" s="1" t="s">
        <v>354</v>
      </c>
    </row>
    <row r="153" spans="1:10" x14ac:dyDescent="0.25">
      <c r="A153" s="1" t="s">
        <v>1625</v>
      </c>
      <c r="B153" s="1" t="s">
        <v>490</v>
      </c>
      <c r="C153" s="19">
        <v>46182</v>
      </c>
      <c r="D153" s="1" t="s">
        <v>21</v>
      </c>
      <c r="E153" s="1" t="s">
        <v>230</v>
      </c>
      <c r="F153" s="1">
        <v>5532</v>
      </c>
      <c r="G153" s="1" t="s">
        <v>345</v>
      </c>
      <c r="H153" s="1" t="s">
        <v>346</v>
      </c>
      <c r="I153" s="1" t="s">
        <v>347</v>
      </c>
      <c r="J153" s="1" t="s">
        <v>348</v>
      </c>
    </row>
    <row r="154" spans="1:10" x14ac:dyDescent="0.25">
      <c r="A154" s="1" t="s">
        <v>1626</v>
      </c>
      <c r="B154" s="1" t="s">
        <v>490</v>
      </c>
      <c r="C154" s="19">
        <v>46182</v>
      </c>
      <c r="D154" s="1" t="s">
        <v>21</v>
      </c>
      <c r="E154" s="1" t="s">
        <v>230</v>
      </c>
      <c r="F154" s="1">
        <v>5532</v>
      </c>
      <c r="G154" s="1" t="s">
        <v>349</v>
      </c>
      <c r="H154" s="1" t="s">
        <v>350</v>
      </c>
      <c r="I154" s="1" t="s">
        <v>347</v>
      </c>
      <c r="J154" s="1" t="s">
        <v>351</v>
      </c>
    </row>
    <row r="155" spans="1:10" x14ac:dyDescent="0.25">
      <c r="A155" s="1" t="s">
        <v>1627</v>
      </c>
      <c r="B155" s="1" t="s">
        <v>490</v>
      </c>
      <c r="C155" s="19">
        <v>46182</v>
      </c>
      <c r="D155" s="1" t="s">
        <v>21</v>
      </c>
      <c r="E155" s="1" t="s">
        <v>230</v>
      </c>
      <c r="F155" s="1">
        <v>5532</v>
      </c>
      <c r="G155" s="1" t="s">
        <v>352</v>
      </c>
      <c r="H155" s="1" t="s">
        <v>353</v>
      </c>
      <c r="I155" s="1" t="s">
        <v>347</v>
      </c>
      <c r="J155" s="1" t="s">
        <v>354</v>
      </c>
    </row>
    <row r="156" spans="1:10" x14ac:dyDescent="0.25">
      <c r="A156" s="1" t="s">
        <v>1628</v>
      </c>
      <c r="B156" s="1" t="s">
        <v>492</v>
      </c>
      <c r="C156" s="19">
        <v>46182</v>
      </c>
      <c r="D156" s="1" t="s">
        <v>22</v>
      </c>
      <c r="E156" s="1" t="s">
        <v>81</v>
      </c>
      <c r="F156" s="1">
        <v>5534</v>
      </c>
      <c r="G156" s="1" t="s">
        <v>355</v>
      </c>
      <c r="H156" s="1" t="s">
        <v>346</v>
      </c>
      <c r="I156" s="1" t="s">
        <v>347</v>
      </c>
      <c r="J156" s="1" t="s">
        <v>356</v>
      </c>
    </row>
    <row r="157" spans="1:10" x14ac:dyDescent="0.25">
      <c r="A157" s="1" t="s">
        <v>1629</v>
      </c>
      <c r="B157" s="1" t="s">
        <v>492</v>
      </c>
      <c r="C157" s="19">
        <v>46182</v>
      </c>
      <c r="D157" s="1" t="s">
        <v>22</v>
      </c>
      <c r="E157" s="1" t="s">
        <v>81</v>
      </c>
      <c r="F157" s="1">
        <v>5534</v>
      </c>
      <c r="G157" s="1" t="s">
        <v>345</v>
      </c>
      <c r="H157" s="1" t="s">
        <v>346</v>
      </c>
      <c r="I157" s="1" t="s">
        <v>347</v>
      </c>
      <c r="J157" s="1" t="s">
        <v>348</v>
      </c>
    </row>
    <row r="158" spans="1:10" x14ac:dyDescent="0.25">
      <c r="A158" s="1" t="s">
        <v>1630</v>
      </c>
      <c r="B158" s="1" t="s">
        <v>492</v>
      </c>
      <c r="C158" s="19">
        <v>46182</v>
      </c>
      <c r="D158" s="1" t="s">
        <v>22</v>
      </c>
      <c r="E158" s="1" t="s">
        <v>81</v>
      </c>
      <c r="F158" s="1">
        <v>5534</v>
      </c>
      <c r="G158" s="1" t="s">
        <v>349</v>
      </c>
      <c r="H158" s="1" t="s">
        <v>350</v>
      </c>
      <c r="I158" s="1" t="s">
        <v>347</v>
      </c>
      <c r="J158" s="1" t="s">
        <v>351</v>
      </c>
    </row>
    <row r="159" spans="1:10" x14ac:dyDescent="0.25">
      <c r="A159" s="1" t="s">
        <v>1631</v>
      </c>
      <c r="B159" s="1" t="s">
        <v>492</v>
      </c>
      <c r="C159" s="19">
        <v>46182</v>
      </c>
      <c r="D159" s="1" t="s">
        <v>22</v>
      </c>
      <c r="E159" s="1" t="s">
        <v>81</v>
      </c>
      <c r="F159" s="1">
        <v>5534</v>
      </c>
      <c r="G159" s="1" t="s">
        <v>352</v>
      </c>
      <c r="H159" s="1" t="s">
        <v>353</v>
      </c>
      <c r="I159" s="1" t="s">
        <v>347</v>
      </c>
      <c r="J159" s="1" t="s">
        <v>354</v>
      </c>
    </row>
    <row r="160" spans="1:10" x14ac:dyDescent="0.25">
      <c r="A160" s="1" t="s">
        <v>1632</v>
      </c>
      <c r="B160" s="1" t="s">
        <v>493</v>
      </c>
      <c r="C160" s="19">
        <v>46182</v>
      </c>
      <c r="D160" s="1" t="s">
        <v>21</v>
      </c>
      <c r="E160" s="1" t="s">
        <v>232</v>
      </c>
      <c r="F160" s="1">
        <v>5535</v>
      </c>
      <c r="G160" s="1" t="s">
        <v>345</v>
      </c>
      <c r="H160" s="1" t="s">
        <v>346</v>
      </c>
      <c r="I160" s="1" t="s">
        <v>347</v>
      </c>
      <c r="J160" s="1" t="s">
        <v>348</v>
      </c>
    </row>
    <row r="161" spans="1:10" x14ac:dyDescent="0.25">
      <c r="A161" s="1" t="s">
        <v>1633</v>
      </c>
      <c r="B161" s="1" t="s">
        <v>493</v>
      </c>
      <c r="C161" s="19">
        <v>46182</v>
      </c>
      <c r="D161" s="1" t="s">
        <v>21</v>
      </c>
      <c r="E161" s="1" t="s">
        <v>232</v>
      </c>
      <c r="F161" s="1">
        <v>5535</v>
      </c>
      <c r="G161" s="1" t="s">
        <v>349</v>
      </c>
      <c r="H161" s="1" t="s">
        <v>350</v>
      </c>
      <c r="I161" s="1" t="s">
        <v>347</v>
      </c>
      <c r="J161" s="1" t="s">
        <v>351</v>
      </c>
    </row>
    <row r="162" spans="1:10" x14ac:dyDescent="0.25">
      <c r="A162" s="1" t="s">
        <v>1634</v>
      </c>
      <c r="B162" s="1" t="s">
        <v>493</v>
      </c>
      <c r="C162" s="19">
        <v>46182</v>
      </c>
      <c r="D162" s="1" t="s">
        <v>21</v>
      </c>
      <c r="E162" s="1" t="s">
        <v>232</v>
      </c>
      <c r="F162" s="1">
        <v>5535</v>
      </c>
      <c r="G162" s="1" t="s">
        <v>352</v>
      </c>
      <c r="H162" s="1" t="s">
        <v>353</v>
      </c>
      <c r="I162" s="1" t="s">
        <v>347</v>
      </c>
      <c r="J162" s="1" t="s">
        <v>354</v>
      </c>
    </row>
    <row r="163" spans="1:10" x14ac:dyDescent="0.25">
      <c r="A163" s="1" t="s">
        <v>1635</v>
      </c>
      <c r="B163" s="1" t="s">
        <v>494</v>
      </c>
      <c r="C163" s="19">
        <v>46182</v>
      </c>
      <c r="D163" s="1" t="s">
        <v>21</v>
      </c>
      <c r="E163" s="1" t="s">
        <v>233</v>
      </c>
      <c r="F163" s="1">
        <v>5536</v>
      </c>
      <c r="G163" s="1" t="s">
        <v>355</v>
      </c>
      <c r="H163" s="1" t="s">
        <v>346</v>
      </c>
      <c r="I163" s="1" t="s">
        <v>347</v>
      </c>
      <c r="J163" s="1" t="s">
        <v>356</v>
      </c>
    </row>
    <row r="164" spans="1:10" x14ac:dyDescent="0.25">
      <c r="A164" s="1" t="s">
        <v>1636</v>
      </c>
      <c r="B164" s="1" t="s">
        <v>494</v>
      </c>
      <c r="C164" s="19">
        <v>46182</v>
      </c>
      <c r="D164" s="1" t="s">
        <v>21</v>
      </c>
      <c r="E164" s="1" t="s">
        <v>233</v>
      </c>
      <c r="F164" s="1">
        <v>5536</v>
      </c>
      <c r="G164" s="1" t="s">
        <v>345</v>
      </c>
      <c r="H164" s="1" t="s">
        <v>346</v>
      </c>
      <c r="I164" s="1" t="s">
        <v>347</v>
      </c>
      <c r="J164" s="1" t="s">
        <v>348</v>
      </c>
    </row>
    <row r="165" spans="1:10" x14ac:dyDescent="0.25">
      <c r="A165" s="1" t="s">
        <v>1637</v>
      </c>
      <c r="B165" s="1" t="s">
        <v>494</v>
      </c>
      <c r="C165" s="19">
        <v>46182</v>
      </c>
      <c r="D165" s="1" t="s">
        <v>21</v>
      </c>
      <c r="E165" s="1" t="s">
        <v>233</v>
      </c>
      <c r="F165" s="1">
        <v>5536</v>
      </c>
      <c r="G165" s="1" t="s">
        <v>349</v>
      </c>
      <c r="H165" s="1" t="s">
        <v>350</v>
      </c>
      <c r="I165" s="1" t="s">
        <v>347</v>
      </c>
      <c r="J165" s="1" t="s">
        <v>351</v>
      </c>
    </row>
    <row r="166" spans="1:10" x14ac:dyDescent="0.25">
      <c r="A166" s="1" t="s">
        <v>1638</v>
      </c>
      <c r="B166" s="1" t="s">
        <v>494</v>
      </c>
      <c r="C166" s="19">
        <v>46182</v>
      </c>
      <c r="D166" s="1" t="s">
        <v>21</v>
      </c>
      <c r="E166" s="1" t="s">
        <v>233</v>
      </c>
      <c r="F166" s="1">
        <v>5536</v>
      </c>
      <c r="G166" s="1" t="s">
        <v>352</v>
      </c>
      <c r="H166" s="1" t="s">
        <v>353</v>
      </c>
      <c r="I166" s="1" t="s">
        <v>347</v>
      </c>
      <c r="J166" s="1" t="s">
        <v>354</v>
      </c>
    </row>
    <row r="167" spans="1:10" x14ac:dyDescent="0.25">
      <c r="A167" s="1" t="s">
        <v>1639</v>
      </c>
      <c r="B167" s="1" t="s">
        <v>495</v>
      </c>
      <c r="C167" s="19">
        <v>46182</v>
      </c>
      <c r="D167" s="1" t="s">
        <v>21</v>
      </c>
      <c r="E167" s="1" t="s">
        <v>234</v>
      </c>
      <c r="F167" s="1">
        <v>5537</v>
      </c>
      <c r="G167" s="1" t="s">
        <v>355</v>
      </c>
      <c r="H167" s="1" t="s">
        <v>346</v>
      </c>
      <c r="I167" s="1" t="s">
        <v>347</v>
      </c>
      <c r="J167" s="1" t="s">
        <v>356</v>
      </c>
    </row>
    <row r="168" spans="1:10" x14ac:dyDescent="0.25">
      <c r="A168" s="1" t="s">
        <v>1640</v>
      </c>
      <c r="B168" s="1" t="s">
        <v>495</v>
      </c>
      <c r="C168" s="19">
        <v>46182</v>
      </c>
      <c r="D168" s="1" t="s">
        <v>21</v>
      </c>
      <c r="E168" s="1" t="s">
        <v>234</v>
      </c>
      <c r="F168" s="1">
        <v>5537</v>
      </c>
      <c r="G168" s="1" t="s">
        <v>345</v>
      </c>
      <c r="H168" s="1" t="s">
        <v>346</v>
      </c>
      <c r="I168" s="1" t="s">
        <v>347</v>
      </c>
      <c r="J168" s="1" t="s">
        <v>348</v>
      </c>
    </row>
    <row r="169" spans="1:10" x14ac:dyDescent="0.25">
      <c r="A169" s="1" t="s">
        <v>1641</v>
      </c>
      <c r="B169" s="1" t="s">
        <v>495</v>
      </c>
      <c r="C169" s="19">
        <v>46182</v>
      </c>
      <c r="D169" s="1" t="s">
        <v>21</v>
      </c>
      <c r="E169" s="1" t="s">
        <v>234</v>
      </c>
      <c r="F169" s="1">
        <v>5537</v>
      </c>
      <c r="G169" s="1" t="s">
        <v>349</v>
      </c>
      <c r="H169" s="1" t="s">
        <v>350</v>
      </c>
      <c r="I169" s="1" t="s">
        <v>347</v>
      </c>
      <c r="J169" s="1" t="s">
        <v>351</v>
      </c>
    </row>
    <row r="170" spans="1:10" x14ac:dyDescent="0.25">
      <c r="A170" s="1" t="s">
        <v>1642</v>
      </c>
      <c r="B170" s="1" t="s">
        <v>495</v>
      </c>
      <c r="C170" s="19">
        <v>46182</v>
      </c>
      <c r="D170" s="1" t="s">
        <v>21</v>
      </c>
      <c r="E170" s="1" t="s">
        <v>234</v>
      </c>
      <c r="F170" s="1">
        <v>5537</v>
      </c>
      <c r="G170" s="1" t="s">
        <v>352</v>
      </c>
      <c r="H170" s="1" t="s">
        <v>353</v>
      </c>
      <c r="I170" s="1" t="s">
        <v>347</v>
      </c>
      <c r="J170" s="1" t="s">
        <v>354</v>
      </c>
    </row>
    <row r="171" spans="1:10" x14ac:dyDescent="0.25">
      <c r="A171" s="1" t="s">
        <v>1643</v>
      </c>
      <c r="B171" s="1" t="s">
        <v>496</v>
      </c>
      <c r="C171" s="19">
        <v>46182</v>
      </c>
      <c r="D171" s="1" t="s">
        <v>21</v>
      </c>
      <c r="E171" s="1" t="s">
        <v>235</v>
      </c>
      <c r="F171" s="1">
        <v>5538</v>
      </c>
      <c r="G171" s="1" t="s">
        <v>345</v>
      </c>
      <c r="H171" s="1" t="s">
        <v>346</v>
      </c>
      <c r="I171" s="1" t="s">
        <v>347</v>
      </c>
      <c r="J171" s="1" t="s">
        <v>348</v>
      </c>
    </row>
    <row r="172" spans="1:10" x14ac:dyDescent="0.25">
      <c r="A172" s="1" t="s">
        <v>1644</v>
      </c>
      <c r="B172" s="1" t="s">
        <v>496</v>
      </c>
      <c r="C172" s="19">
        <v>46182</v>
      </c>
      <c r="D172" s="1" t="s">
        <v>21</v>
      </c>
      <c r="E172" s="1" t="s">
        <v>235</v>
      </c>
      <c r="F172" s="1">
        <v>5538</v>
      </c>
      <c r="G172" s="1" t="s">
        <v>349</v>
      </c>
      <c r="H172" s="1" t="s">
        <v>350</v>
      </c>
      <c r="I172" s="1" t="s">
        <v>347</v>
      </c>
      <c r="J172" s="1" t="s">
        <v>351</v>
      </c>
    </row>
    <row r="173" spans="1:10" x14ac:dyDescent="0.25">
      <c r="A173" s="1" t="s">
        <v>1645</v>
      </c>
      <c r="B173" s="1" t="s">
        <v>496</v>
      </c>
      <c r="C173" s="19">
        <v>46182</v>
      </c>
      <c r="D173" s="1" t="s">
        <v>21</v>
      </c>
      <c r="E173" s="1" t="s">
        <v>235</v>
      </c>
      <c r="F173" s="1">
        <v>5538</v>
      </c>
      <c r="G173" s="1" t="s">
        <v>352</v>
      </c>
      <c r="H173" s="1" t="s">
        <v>353</v>
      </c>
      <c r="I173" s="1" t="s">
        <v>347</v>
      </c>
      <c r="J173" s="1" t="s">
        <v>354</v>
      </c>
    </row>
    <row r="174" spans="1:10" x14ac:dyDescent="0.25">
      <c r="A174" s="1" t="s">
        <v>1646</v>
      </c>
      <c r="B174" s="1" t="s">
        <v>497</v>
      </c>
      <c r="C174" s="19">
        <v>46182</v>
      </c>
      <c r="D174" s="1" t="s">
        <v>21</v>
      </c>
      <c r="E174" s="1" t="s">
        <v>236</v>
      </c>
      <c r="F174" s="1">
        <v>5539</v>
      </c>
      <c r="G174" s="1" t="s">
        <v>345</v>
      </c>
      <c r="H174" s="1" t="s">
        <v>346</v>
      </c>
      <c r="I174" s="1" t="s">
        <v>347</v>
      </c>
      <c r="J174" s="1" t="s">
        <v>348</v>
      </c>
    </row>
    <row r="175" spans="1:10" x14ac:dyDescent="0.25">
      <c r="A175" s="1" t="s">
        <v>1647</v>
      </c>
      <c r="B175" s="1" t="s">
        <v>497</v>
      </c>
      <c r="C175" s="19">
        <v>46182</v>
      </c>
      <c r="D175" s="1" t="s">
        <v>21</v>
      </c>
      <c r="E175" s="1" t="s">
        <v>236</v>
      </c>
      <c r="F175" s="1">
        <v>5539</v>
      </c>
      <c r="G175" s="1" t="s">
        <v>349</v>
      </c>
      <c r="H175" s="1" t="s">
        <v>350</v>
      </c>
      <c r="I175" s="1" t="s">
        <v>347</v>
      </c>
      <c r="J175" s="1" t="s">
        <v>351</v>
      </c>
    </row>
    <row r="176" spans="1:10" x14ac:dyDescent="0.25">
      <c r="A176" s="1" t="s">
        <v>1648</v>
      </c>
      <c r="B176" s="1" t="s">
        <v>497</v>
      </c>
      <c r="C176" s="19">
        <v>46182</v>
      </c>
      <c r="D176" s="1" t="s">
        <v>21</v>
      </c>
      <c r="E176" s="1" t="s">
        <v>236</v>
      </c>
      <c r="F176" s="1">
        <v>5539</v>
      </c>
      <c r="G176" s="1" t="s">
        <v>352</v>
      </c>
      <c r="H176" s="1" t="s">
        <v>353</v>
      </c>
      <c r="I176" s="1" t="s">
        <v>347</v>
      </c>
      <c r="J176" s="1" t="s">
        <v>354</v>
      </c>
    </row>
    <row r="177" spans="1:10" x14ac:dyDescent="0.25">
      <c r="A177" s="1" t="s">
        <v>1649</v>
      </c>
      <c r="B177" s="1" t="s">
        <v>498</v>
      </c>
      <c r="C177" s="19">
        <v>46182</v>
      </c>
      <c r="D177" s="1" t="s">
        <v>21</v>
      </c>
      <c r="E177" s="1" t="s">
        <v>237</v>
      </c>
      <c r="F177" s="1">
        <v>5540</v>
      </c>
      <c r="G177" s="1" t="s">
        <v>345</v>
      </c>
      <c r="H177" s="1" t="s">
        <v>346</v>
      </c>
      <c r="I177" s="1" t="s">
        <v>347</v>
      </c>
      <c r="J177" s="1" t="s">
        <v>348</v>
      </c>
    </row>
    <row r="178" spans="1:10" x14ac:dyDescent="0.25">
      <c r="A178" s="1" t="s">
        <v>1650</v>
      </c>
      <c r="B178" s="1" t="s">
        <v>498</v>
      </c>
      <c r="C178" s="19">
        <v>46182</v>
      </c>
      <c r="D178" s="1" t="s">
        <v>21</v>
      </c>
      <c r="E178" s="1" t="s">
        <v>237</v>
      </c>
      <c r="F178" s="1">
        <v>5540</v>
      </c>
      <c r="G178" s="1" t="s">
        <v>349</v>
      </c>
      <c r="H178" s="1" t="s">
        <v>350</v>
      </c>
      <c r="I178" s="1" t="s">
        <v>347</v>
      </c>
      <c r="J178" s="1" t="s">
        <v>351</v>
      </c>
    </row>
    <row r="179" spans="1:10" x14ac:dyDescent="0.25">
      <c r="A179" s="1" t="s">
        <v>1651</v>
      </c>
      <c r="B179" s="1" t="s">
        <v>498</v>
      </c>
      <c r="C179" s="19">
        <v>46182</v>
      </c>
      <c r="D179" s="1" t="s">
        <v>21</v>
      </c>
      <c r="E179" s="1" t="s">
        <v>237</v>
      </c>
      <c r="F179" s="1">
        <v>5540</v>
      </c>
      <c r="G179" s="1" t="s">
        <v>357</v>
      </c>
      <c r="H179" s="1" t="s">
        <v>346</v>
      </c>
      <c r="I179" s="1" t="s">
        <v>347</v>
      </c>
      <c r="J179" s="1" t="s">
        <v>358</v>
      </c>
    </row>
    <row r="180" spans="1:10" x14ac:dyDescent="0.25">
      <c r="A180" s="1" t="s">
        <v>1652</v>
      </c>
      <c r="B180" s="1" t="s">
        <v>499</v>
      </c>
      <c r="C180" s="19">
        <v>46182</v>
      </c>
      <c r="D180" s="1" t="s">
        <v>21</v>
      </c>
      <c r="E180" s="1" t="s">
        <v>238</v>
      </c>
      <c r="F180" s="1">
        <v>5541</v>
      </c>
      <c r="G180" s="1" t="s">
        <v>345</v>
      </c>
      <c r="H180" s="1" t="s">
        <v>346</v>
      </c>
      <c r="I180" s="1" t="s">
        <v>347</v>
      </c>
      <c r="J180" s="1" t="s">
        <v>348</v>
      </c>
    </row>
    <row r="181" spans="1:10" x14ac:dyDescent="0.25">
      <c r="A181" s="1" t="s">
        <v>1653</v>
      </c>
      <c r="B181" s="1" t="s">
        <v>499</v>
      </c>
      <c r="C181" s="19">
        <v>46182</v>
      </c>
      <c r="D181" s="1" t="s">
        <v>21</v>
      </c>
      <c r="E181" s="1" t="s">
        <v>238</v>
      </c>
      <c r="F181" s="1">
        <v>5541</v>
      </c>
      <c r="G181" s="1" t="s">
        <v>349</v>
      </c>
      <c r="H181" s="1" t="s">
        <v>350</v>
      </c>
      <c r="I181" s="1" t="s">
        <v>347</v>
      </c>
      <c r="J181" s="1" t="s">
        <v>351</v>
      </c>
    </row>
    <row r="182" spans="1:10" x14ac:dyDescent="0.25">
      <c r="A182" s="1" t="s">
        <v>1654</v>
      </c>
      <c r="B182" s="1" t="s">
        <v>499</v>
      </c>
      <c r="C182" s="19">
        <v>46182</v>
      </c>
      <c r="D182" s="1" t="s">
        <v>21</v>
      </c>
      <c r="E182" s="1" t="s">
        <v>238</v>
      </c>
      <c r="F182" s="1">
        <v>5541</v>
      </c>
      <c r="G182" s="1" t="s">
        <v>357</v>
      </c>
      <c r="H182" s="1" t="s">
        <v>346</v>
      </c>
      <c r="I182" s="1" t="s">
        <v>347</v>
      </c>
      <c r="J182" s="1" t="s">
        <v>358</v>
      </c>
    </row>
    <row r="183" spans="1:10" x14ac:dyDescent="0.25">
      <c r="A183" s="1" t="s">
        <v>1655</v>
      </c>
      <c r="B183" s="1" t="s">
        <v>500</v>
      </c>
      <c r="C183" s="19">
        <v>46182</v>
      </c>
      <c r="D183" s="1" t="s">
        <v>22</v>
      </c>
      <c r="E183" s="1" t="s">
        <v>181</v>
      </c>
      <c r="F183" s="1">
        <v>5543</v>
      </c>
      <c r="G183" s="1" t="s">
        <v>345</v>
      </c>
      <c r="H183" s="1" t="s">
        <v>346</v>
      </c>
      <c r="I183" s="1" t="s">
        <v>347</v>
      </c>
      <c r="J183" s="1" t="s">
        <v>348</v>
      </c>
    </row>
    <row r="184" spans="1:10" x14ac:dyDescent="0.25">
      <c r="A184" s="1" t="s">
        <v>1656</v>
      </c>
      <c r="B184" s="1" t="s">
        <v>500</v>
      </c>
      <c r="C184" s="19">
        <v>46182</v>
      </c>
      <c r="D184" s="1" t="s">
        <v>22</v>
      </c>
      <c r="E184" s="1" t="s">
        <v>181</v>
      </c>
      <c r="F184" s="1">
        <v>5543</v>
      </c>
      <c r="G184" s="1" t="s">
        <v>349</v>
      </c>
      <c r="H184" s="1" t="s">
        <v>350</v>
      </c>
      <c r="I184" s="1" t="s">
        <v>347</v>
      </c>
      <c r="J184" s="1" t="s">
        <v>351</v>
      </c>
    </row>
    <row r="185" spans="1:10" x14ac:dyDescent="0.25">
      <c r="A185" s="1" t="s">
        <v>1657</v>
      </c>
      <c r="B185" s="1" t="s">
        <v>500</v>
      </c>
      <c r="C185" s="19">
        <v>46182</v>
      </c>
      <c r="D185" s="1" t="s">
        <v>22</v>
      </c>
      <c r="E185" s="1" t="s">
        <v>181</v>
      </c>
      <c r="F185" s="1">
        <v>5543</v>
      </c>
      <c r="G185" s="1" t="s">
        <v>357</v>
      </c>
      <c r="H185" s="1" t="s">
        <v>346</v>
      </c>
      <c r="I185" s="1" t="s">
        <v>347</v>
      </c>
      <c r="J185" s="1" t="s">
        <v>358</v>
      </c>
    </row>
    <row r="186" spans="1:10" x14ac:dyDescent="0.25">
      <c r="A186" s="1" t="s">
        <v>1658</v>
      </c>
      <c r="B186" s="1" t="s">
        <v>501</v>
      </c>
      <c r="C186" s="19">
        <v>46182</v>
      </c>
      <c r="D186" s="1" t="s">
        <v>22</v>
      </c>
      <c r="E186" s="1" t="s">
        <v>240</v>
      </c>
      <c r="F186" s="1">
        <v>5544</v>
      </c>
      <c r="G186" s="1" t="s">
        <v>355</v>
      </c>
      <c r="H186" s="1" t="s">
        <v>346</v>
      </c>
      <c r="I186" s="1" t="s">
        <v>347</v>
      </c>
      <c r="J186" s="1" t="s">
        <v>356</v>
      </c>
    </row>
    <row r="187" spans="1:10" x14ac:dyDescent="0.25">
      <c r="A187" s="1" t="s">
        <v>1659</v>
      </c>
      <c r="B187" s="1" t="s">
        <v>501</v>
      </c>
      <c r="C187" s="19">
        <v>46182</v>
      </c>
      <c r="D187" s="1" t="s">
        <v>22</v>
      </c>
      <c r="E187" s="1" t="s">
        <v>240</v>
      </c>
      <c r="F187" s="1">
        <v>5544</v>
      </c>
      <c r="G187" s="1" t="s">
        <v>345</v>
      </c>
      <c r="H187" s="1" t="s">
        <v>346</v>
      </c>
      <c r="I187" s="1" t="s">
        <v>347</v>
      </c>
      <c r="J187" s="1" t="s">
        <v>348</v>
      </c>
    </row>
    <row r="188" spans="1:10" x14ac:dyDescent="0.25">
      <c r="A188" s="1" t="s">
        <v>1660</v>
      </c>
      <c r="B188" s="1" t="s">
        <v>501</v>
      </c>
      <c r="C188" s="19">
        <v>46182</v>
      </c>
      <c r="D188" s="1" t="s">
        <v>22</v>
      </c>
      <c r="E188" s="1" t="s">
        <v>240</v>
      </c>
      <c r="F188" s="1">
        <v>5544</v>
      </c>
      <c r="G188" s="1" t="s">
        <v>349</v>
      </c>
      <c r="H188" s="1" t="s">
        <v>350</v>
      </c>
      <c r="I188" s="1" t="s">
        <v>347</v>
      </c>
      <c r="J188" s="1" t="s">
        <v>351</v>
      </c>
    </row>
    <row r="189" spans="1:10" x14ac:dyDescent="0.25">
      <c r="A189" s="1" t="s">
        <v>1661</v>
      </c>
      <c r="B189" s="1" t="s">
        <v>501</v>
      </c>
      <c r="C189" s="19">
        <v>46182</v>
      </c>
      <c r="D189" s="1" t="s">
        <v>22</v>
      </c>
      <c r="E189" s="1" t="s">
        <v>240</v>
      </c>
      <c r="F189" s="1">
        <v>5544</v>
      </c>
      <c r="G189" s="1" t="s">
        <v>357</v>
      </c>
      <c r="H189" s="1" t="s">
        <v>346</v>
      </c>
      <c r="I189" s="1" t="s">
        <v>347</v>
      </c>
      <c r="J189" s="1" t="s">
        <v>358</v>
      </c>
    </row>
    <row r="190" spans="1:10" x14ac:dyDescent="0.25">
      <c r="A190" s="1" t="s">
        <v>1662</v>
      </c>
      <c r="B190" s="1" t="s">
        <v>502</v>
      </c>
      <c r="C190" s="19">
        <v>46182</v>
      </c>
      <c r="D190" s="1" t="s">
        <v>21</v>
      </c>
      <c r="E190" s="1" t="s">
        <v>241</v>
      </c>
      <c r="F190" s="1">
        <v>5545</v>
      </c>
      <c r="G190" s="1" t="s">
        <v>355</v>
      </c>
      <c r="H190" s="1" t="s">
        <v>346</v>
      </c>
      <c r="I190" s="1" t="s">
        <v>347</v>
      </c>
      <c r="J190" s="1" t="s">
        <v>356</v>
      </c>
    </row>
    <row r="191" spans="1:10" x14ac:dyDescent="0.25">
      <c r="A191" s="1" t="s">
        <v>1663</v>
      </c>
      <c r="B191" s="1" t="s">
        <v>502</v>
      </c>
      <c r="C191" s="19">
        <v>46182</v>
      </c>
      <c r="D191" s="1" t="s">
        <v>21</v>
      </c>
      <c r="E191" s="1" t="s">
        <v>241</v>
      </c>
      <c r="F191" s="1">
        <v>5545</v>
      </c>
      <c r="G191" s="1" t="s">
        <v>345</v>
      </c>
      <c r="H191" s="1" t="s">
        <v>346</v>
      </c>
      <c r="I191" s="1" t="s">
        <v>347</v>
      </c>
      <c r="J191" s="1" t="s">
        <v>348</v>
      </c>
    </row>
    <row r="192" spans="1:10" x14ac:dyDescent="0.25">
      <c r="A192" s="1" t="s">
        <v>1664</v>
      </c>
      <c r="B192" s="1" t="s">
        <v>502</v>
      </c>
      <c r="C192" s="19">
        <v>46182</v>
      </c>
      <c r="D192" s="1" t="s">
        <v>21</v>
      </c>
      <c r="E192" s="1" t="s">
        <v>241</v>
      </c>
      <c r="F192" s="1">
        <v>5545</v>
      </c>
      <c r="G192" s="1" t="s">
        <v>349</v>
      </c>
      <c r="H192" s="1" t="s">
        <v>350</v>
      </c>
      <c r="I192" s="1" t="s">
        <v>347</v>
      </c>
      <c r="J192" s="1" t="s">
        <v>351</v>
      </c>
    </row>
    <row r="193" spans="1:10" x14ac:dyDescent="0.25">
      <c r="A193" s="1" t="s">
        <v>1665</v>
      </c>
      <c r="B193" s="1" t="s">
        <v>502</v>
      </c>
      <c r="C193" s="19">
        <v>46182</v>
      </c>
      <c r="D193" s="1" t="s">
        <v>21</v>
      </c>
      <c r="E193" s="1" t="s">
        <v>241</v>
      </c>
      <c r="F193" s="1">
        <v>5545</v>
      </c>
      <c r="G193" s="1" t="s">
        <v>357</v>
      </c>
      <c r="H193" s="1" t="s">
        <v>346</v>
      </c>
      <c r="I193" s="1" t="s">
        <v>347</v>
      </c>
      <c r="J193" s="1" t="s">
        <v>358</v>
      </c>
    </row>
    <row r="194" spans="1:10" x14ac:dyDescent="0.25">
      <c r="A194" s="1" t="s">
        <v>1666</v>
      </c>
      <c r="B194" s="1" t="s">
        <v>504</v>
      </c>
      <c r="C194" s="19">
        <v>46182</v>
      </c>
      <c r="D194" s="1" t="s">
        <v>21</v>
      </c>
      <c r="E194" s="1" t="s">
        <v>242</v>
      </c>
      <c r="F194" s="1">
        <v>5547</v>
      </c>
      <c r="G194" s="1" t="s">
        <v>355</v>
      </c>
      <c r="H194" s="1" t="s">
        <v>346</v>
      </c>
      <c r="I194" s="1" t="s">
        <v>347</v>
      </c>
      <c r="J194" s="1" t="s">
        <v>356</v>
      </c>
    </row>
    <row r="195" spans="1:10" x14ac:dyDescent="0.25">
      <c r="A195" s="1" t="s">
        <v>1667</v>
      </c>
      <c r="B195" s="1" t="s">
        <v>504</v>
      </c>
      <c r="C195" s="19">
        <v>46182</v>
      </c>
      <c r="D195" s="1" t="s">
        <v>21</v>
      </c>
      <c r="E195" s="1" t="s">
        <v>242</v>
      </c>
      <c r="F195" s="1">
        <v>5547</v>
      </c>
      <c r="G195" s="1" t="s">
        <v>345</v>
      </c>
      <c r="H195" s="1" t="s">
        <v>346</v>
      </c>
      <c r="I195" s="1" t="s">
        <v>347</v>
      </c>
      <c r="J195" s="1" t="s">
        <v>348</v>
      </c>
    </row>
    <row r="196" spans="1:10" x14ac:dyDescent="0.25">
      <c r="A196" s="1" t="s">
        <v>1668</v>
      </c>
      <c r="B196" s="1" t="s">
        <v>504</v>
      </c>
      <c r="C196" s="19">
        <v>46182</v>
      </c>
      <c r="D196" s="1" t="s">
        <v>21</v>
      </c>
      <c r="E196" s="1" t="s">
        <v>242</v>
      </c>
      <c r="F196" s="1">
        <v>5547</v>
      </c>
      <c r="G196" s="1" t="s">
        <v>349</v>
      </c>
      <c r="H196" s="1" t="s">
        <v>350</v>
      </c>
      <c r="I196" s="1" t="s">
        <v>347</v>
      </c>
      <c r="J196" s="1" t="s">
        <v>351</v>
      </c>
    </row>
    <row r="197" spans="1:10" x14ac:dyDescent="0.25">
      <c r="A197" s="1" t="s">
        <v>1669</v>
      </c>
      <c r="B197" s="1" t="s">
        <v>504</v>
      </c>
      <c r="C197" s="19">
        <v>46182</v>
      </c>
      <c r="D197" s="1" t="s">
        <v>21</v>
      </c>
      <c r="E197" s="1" t="s">
        <v>242</v>
      </c>
      <c r="F197" s="1">
        <v>5547</v>
      </c>
      <c r="G197" s="1" t="s">
        <v>357</v>
      </c>
      <c r="H197" s="1" t="s">
        <v>346</v>
      </c>
      <c r="I197" s="1" t="s">
        <v>347</v>
      </c>
      <c r="J197" s="1" t="s">
        <v>358</v>
      </c>
    </row>
    <row r="198" spans="1:10" x14ac:dyDescent="0.25">
      <c r="A198" s="1" t="s">
        <v>1670</v>
      </c>
      <c r="B198" s="1" t="s">
        <v>505</v>
      </c>
      <c r="C198" s="19">
        <v>46182</v>
      </c>
      <c r="D198" s="1" t="s">
        <v>21</v>
      </c>
      <c r="E198" s="1" t="s">
        <v>81</v>
      </c>
      <c r="F198" s="1">
        <v>5548</v>
      </c>
      <c r="G198" s="1" t="s">
        <v>355</v>
      </c>
      <c r="H198" s="1" t="s">
        <v>346</v>
      </c>
      <c r="I198" s="1" t="s">
        <v>347</v>
      </c>
      <c r="J198" s="1" t="s">
        <v>356</v>
      </c>
    </row>
    <row r="199" spans="1:10" x14ac:dyDescent="0.25">
      <c r="A199" s="1" t="s">
        <v>1671</v>
      </c>
      <c r="B199" s="1" t="s">
        <v>505</v>
      </c>
      <c r="C199" s="19">
        <v>46182</v>
      </c>
      <c r="D199" s="1" t="s">
        <v>21</v>
      </c>
      <c r="E199" s="1" t="s">
        <v>81</v>
      </c>
      <c r="F199" s="1">
        <v>5548</v>
      </c>
      <c r="G199" s="1" t="s">
        <v>345</v>
      </c>
      <c r="H199" s="1" t="s">
        <v>346</v>
      </c>
      <c r="I199" s="1" t="s">
        <v>347</v>
      </c>
      <c r="J199" s="1" t="s">
        <v>348</v>
      </c>
    </row>
    <row r="200" spans="1:10" x14ac:dyDescent="0.25">
      <c r="A200" s="1" t="s">
        <v>1672</v>
      </c>
      <c r="B200" s="1" t="s">
        <v>505</v>
      </c>
      <c r="C200" s="19">
        <v>46182</v>
      </c>
      <c r="D200" s="1" t="s">
        <v>21</v>
      </c>
      <c r="E200" s="1" t="s">
        <v>81</v>
      </c>
      <c r="F200" s="1">
        <v>5548</v>
      </c>
      <c r="G200" s="1" t="s">
        <v>349</v>
      </c>
      <c r="H200" s="1" t="s">
        <v>350</v>
      </c>
      <c r="I200" s="1" t="s">
        <v>347</v>
      </c>
      <c r="J200" s="1" t="s">
        <v>351</v>
      </c>
    </row>
    <row r="201" spans="1:10" x14ac:dyDescent="0.25">
      <c r="A201" s="1" t="s">
        <v>1673</v>
      </c>
      <c r="B201" s="1" t="s">
        <v>505</v>
      </c>
      <c r="C201" s="19">
        <v>46182</v>
      </c>
      <c r="D201" s="1" t="s">
        <v>21</v>
      </c>
      <c r="E201" s="1" t="s">
        <v>81</v>
      </c>
      <c r="F201" s="1">
        <v>5548</v>
      </c>
      <c r="G201" s="1" t="s">
        <v>357</v>
      </c>
      <c r="H201" s="1" t="s">
        <v>346</v>
      </c>
      <c r="I201" s="1" t="s">
        <v>347</v>
      </c>
      <c r="J201" s="1" t="s">
        <v>358</v>
      </c>
    </row>
    <row r="202" spans="1:10" x14ac:dyDescent="0.25">
      <c r="A202" s="1" t="s">
        <v>1674</v>
      </c>
      <c r="B202" s="1" t="s">
        <v>506</v>
      </c>
      <c r="C202" s="19">
        <v>46182</v>
      </c>
      <c r="D202" s="1" t="s">
        <v>21</v>
      </c>
      <c r="E202" s="1" t="s">
        <v>245</v>
      </c>
      <c r="F202" s="1">
        <v>5549</v>
      </c>
      <c r="G202" s="1" t="s">
        <v>345</v>
      </c>
      <c r="H202" s="1" t="s">
        <v>346</v>
      </c>
      <c r="I202" s="1" t="s">
        <v>347</v>
      </c>
      <c r="J202" s="1" t="s">
        <v>348</v>
      </c>
    </row>
    <row r="203" spans="1:10" x14ac:dyDescent="0.25">
      <c r="A203" s="1" t="s">
        <v>1675</v>
      </c>
      <c r="B203" s="1" t="s">
        <v>506</v>
      </c>
      <c r="C203" s="19">
        <v>46182</v>
      </c>
      <c r="D203" s="1" t="s">
        <v>21</v>
      </c>
      <c r="E203" s="1" t="s">
        <v>245</v>
      </c>
      <c r="F203" s="1">
        <v>5549</v>
      </c>
      <c r="G203" s="1" t="s">
        <v>349</v>
      </c>
      <c r="H203" s="1" t="s">
        <v>350</v>
      </c>
      <c r="I203" s="1" t="s">
        <v>347</v>
      </c>
      <c r="J203" s="1" t="s">
        <v>351</v>
      </c>
    </row>
    <row r="204" spans="1:10" x14ac:dyDescent="0.25">
      <c r="A204" s="1" t="s">
        <v>1676</v>
      </c>
      <c r="B204" s="1" t="s">
        <v>506</v>
      </c>
      <c r="C204" s="19">
        <v>46182</v>
      </c>
      <c r="D204" s="1" t="s">
        <v>21</v>
      </c>
      <c r="E204" s="1" t="s">
        <v>245</v>
      </c>
      <c r="F204" s="1">
        <v>5549</v>
      </c>
      <c r="G204" s="1" t="s">
        <v>357</v>
      </c>
      <c r="H204" s="1" t="s">
        <v>346</v>
      </c>
      <c r="I204" s="1" t="s">
        <v>347</v>
      </c>
      <c r="J204" s="1" t="s">
        <v>358</v>
      </c>
    </row>
    <row r="205" spans="1:10" x14ac:dyDescent="0.25">
      <c r="A205" s="1" t="s">
        <v>1677</v>
      </c>
      <c r="B205" s="1" t="s">
        <v>507</v>
      </c>
      <c r="C205" s="19">
        <v>46182</v>
      </c>
      <c r="D205" s="1" t="s">
        <v>22</v>
      </c>
      <c r="E205" s="1" t="s">
        <v>81</v>
      </c>
      <c r="F205" s="1">
        <v>5550</v>
      </c>
      <c r="G205" s="1" t="s">
        <v>345</v>
      </c>
      <c r="H205" s="1" t="s">
        <v>346</v>
      </c>
      <c r="I205" s="1" t="s">
        <v>347</v>
      </c>
      <c r="J205" s="1" t="s">
        <v>348</v>
      </c>
    </row>
    <row r="206" spans="1:10" x14ac:dyDescent="0.25">
      <c r="A206" s="1" t="s">
        <v>1678</v>
      </c>
      <c r="B206" s="1" t="s">
        <v>507</v>
      </c>
      <c r="C206" s="19">
        <v>46182</v>
      </c>
      <c r="D206" s="1" t="s">
        <v>22</v>
      </c>
      <c r="E206" s="1" t="s">
        <v>81</v>
      </c>
      <c r="F206" s="1">
        <v>5550</v>
      </c>
      <c r="G206" s="1" t="s">
        <v>349</v>
      </c>
      <c r="H206" s="1" t="s">
        <v>350</v>
      </c>
      <c r="I206" s="1" t="s">
        <v>347</v>
      </c>
      <c r="J206" s="1" t="s">
        <v>351</v>
      </c>
    </row>
    <row r="207" spans="1:10" x14ac:dyDescent="0.25">
      <c r="A207" s="1" t="s">
        <v>1679</v>
      </c>
      <c r="B207" s="1" t="s">
        <v>507</v>
      </c>
      <c r="C207" s="19">
        <v>46182</v>
      </c>
      <c r="D207" s="1" t="s">
        <v>22</v>
      </c>
      <c r="E207" s="1" t="s">
        <v>81</v>
      </c>
      <c r="F207" s="1">
        <v>5550</v>
      </c>
      <c r="G207" s="1" t="s">
        <v>357</v>
      </c>
      <c r="H207" s="1" t="s">
        <v>346</v>
      </c>
      <c r="I207" s="1" t="s">
        <v>347</v>
      </c>
      <c r="J207" s="1" t="s">
        <v>358</v>
      </c>
    </row>
    <row r="208" spans="1:10" x14ac:dyDescent="0.25">
      <c r="A208" s="1" t="s">
        <v>1680</v>
      </c>
      <c r="B208" s="1" t="s">
        <v>508</v>
      </c>
      <c r="C208" s="19">
        <v>46182</v>
      </c>
      <c r="D208" s="1" t="s">
        <v>21</v>
      </c>
      <c r="E208" s="1" t="s">
        <v>246</v>
      </c>
      <c r="F208" s="1">
        <v>5551</v>
      </c>
      <c r="G208" s="1" t="s">
        <v>345</v>
      </c>
      <c r="H208" s="1" t="s">
        <v>346</v>
      </c>
      <c r="I208" s="1" t="s">
        <v>347</v>
      </c>
      <c r="J208" s="1" t="s">
        <v>348</v>
      </c>
    </row>
    <row r="209" spans="1:10" x14ac:dyDescent="0.25">
      <c r="A209" s="1" t="s">
        <v>1681</v>
      </c>
      <c r="B209" s="1" t="s">
        <v>508</v>
      </c>
      <c r="C209" s="19">
        <v>46182</v>
      </c>
      <c r="D209" s="1" t="s">
        <v>21</v>
      </c>
      <c r="E209" s="1" t="s">
        <v>246</v>
      </c>
      <c r="F209" s="1">
        <v>5551</v>
      </c>
      <c r="G209" s="1" t="s">
        <v>349</v>
      </c>
      <c r="H209" s="1" t="s">
        <v>350</v>
      </c>
      <c r="I209" s="1" t="s">
        <v>347</v>
      </c>
      <c r="J209" s="1" t="s">
        <v>351</v>
      </c>
    </row>
    <row r="210" spans="1:10" x14ac:dyDescent="0.25">
      <c r="A210" s="1" t="s">
        <v>1682</v>
      </c>
      <c r="B210" s="1" t="s">
        <v>508</v>
      </c>
      <c r="C210" s="19">
        <v>46182</v>
      </c>
      <c r="D210" s="1" t="s">
        <v>21</v>
      </c>
      <c r="E210" s="1" t="s">
        <v>246</v>
      </c>
      <c r="F210" s="1">
        <v>5551</v>
      </c>
      <c r="G210" s="1" t="s">
        <v>357</v>
      </c>
      <c r="H210" s="1" t="s">
        <v>346</v>
      </c>
      <c r="I210" s="1" t="s">
        <v>347</v>
      </c>
      <c r="J210" s="1" t="s">
        <v>358</v>
      </c>
    </row>
    <row r="211" spans="1:10" x14ac:dyDescent="0.25">
      <c r="A211" s="1" t="s">
        <v>1683</v>
      </c>
      <c r="B211" s="1" t="s">
        <v>509</v>
      </c>
      <c r="C211" s="19">
        <v>46182</v>
      </c>
      <c r="D211" s="1" t="s">
        <v>21</v>
      </c>
      <c r="E211" s="1" t="s">
        <v>247</v>
      </c>
      <c r="F211" s="1">
        <v>5552</v>
      </c>
      <c r="G211" s="1" t="s">
        <v>345</v>
      </c>
      <c r="H211" s="1" t="s">
        <v>346</v>
      </c>
      <c r="I211" s="1" t="s">
        <v>347</v>
      </c>
      <c r="J211" s="1" t="s">
        <v>348</v>
      </c>
    </row>
    <row r="212" spans="1:10" x14ac:dyDescent="0.25">
      <c r="A212" s="1" t="s">
        <v>1684</v>
      </c>
      <c r="B212" s="1" t="s">
        <v>509</v>
      </c>
      <c r="C212" s="19">
        <v>46182</v>
      </c>
      <c r="D212" s="1" t="s">
        <v>21</v>
      </c>
      <c r="E212" s="1" t="s">
        <v>247</v>
      </c>
      <c r="F212" s="1">
        <v>5552</v>
      </c>
      <c r="G212" s="1" t="s">
        <v>349</v>
      </c>
      <c r="H212" s="1" t="s">
        <v>350</v>
      </c>
      <c r="I212" s="1" t="s">
        <v>347</v>
      </c>
      <c r="J212" s="1" t="s">
        <v>351</v>
      </c>
    </row>
    <row r="213" spans="1:10" x14ac:dyDescent="0.25">
      <c r="A213" s="1" t="s">
        <v>1685</v>
      </c>
      <c r="B213" s="1" t="s">
        <v>509</v>
      </c>
      <c r="C213" s="19">
        <v>46182</v>
      </c>
      <c r="D213" s="1" t="s">
        <v>21</v>
      </c>
      <c r="E213" s="1" t="s">
        <v>247</v>
      </c>
      <c r="F213" s="1">
        <v>5552</v>
      </c>
      <c r="G213" s="1" t="s">
        <v>357</v>
      </c>
      <c r="H213" s="1" t="s">
        <v>346</v>
      </c>
      <c r="I213" s="1" t="s">
        <v>347</v>
      </c>
      <c r="J213" s="1" t="s">
        <v>358</v>
      </c>
    </row>
    <row r="214" spans="1:10" x14ac:dyDescent="0.25">
      <c r="A214" s="1" t="s">
        <v>1686</v>
      </c>
      <c r="B214" s="1" t="s">
        <v>510</v>
      </c>
      <c r="C214" s="19">
        <v>46182</v>
      </c>
      <c r="D214" s="1" t="s">
        <v>21</v>
      </c>
      <c r="E214" s="1" t="s">
        <v>248</v>
      </c>
      <c r="F214" s="1">
        <v>5553</v>
      </c>
      <c r="G214" s="1" t="s">
        <v>345</v>
      </c>
      <c r="H214" s="1" t="s">
        <v>346</v>
      </c>
      <c r="I214" s="1" t="s">
        <v>347</v>
      </c>
      <c r="J214" s="1" t="s">
        <v>348</v>
      </c>
    </row>
    <row r="215" spans="1:10" x14ac:dyDescent="0.25">
      <c r="A215" s="1" t="s">
        <v>1687</v>
      </c>
      <c r="B215" s="1" t="s">
        <v>510</v>
      </c>
      <c r="C215" s="19">
        <v>46182</v>
      </c>
      <c r="D215" s="1" t="s">
        <v>21</v>
      </c>
      <c r="E215" s="1" t="s">
        <v>248</v>
      </c>
      <c r="F215" s="1">
        <v>5553</v>
      </c>
      <c r="G215" s="1" t="s">
        <v>349</v>
      </c>
      <c r="H215" s="1" t="s">
        <v>350</v>
      </c>
      <c r="I215" s="1" t="s">
        <v>347</v>
      </c>
      <c r="J215" s="1" t="s">
        <v>351</v>
      </c>
    </row>
    <row r="216" spans="1:10" x14ac:dyDescent="0.25">
      <c r="A216" s="1" t="s">
        <v>1688</v>
      </c>
      <c r="B216" s="1" t="s">
        <v>510</v>
      </c>
      <c r="C216" s="19">
        <v>46182</v>
      </c>
      <c r="D216" s="1" t="s">
        <v>21</v>
      </c>
      <c r="E216" s="1" t="s">
        <v>248</v>
      </c>
      <c r="F216" s="1">
        <v>5553</v>
      </c>
      <c r="G216" s="1" t="s">
        <v>357</v>
      </c>
      <c r="H216" s="1" t="s">
        <v>346</v>
      </c>
      <c r="I216" s="1" t="s">
        <v>347</v>
      </c>
      <c r="J216" s="1" t="s">
        <v>358</v>
      </c>
    </row>
    <row r="217" spans="1:10" x14ac:dyDescent="0.25">
      <c r="A217" s="1" t="s">
        <v>1689</v>
      </c>
      <c r="B217" s="1" t="s">
        <v>511</v>
      </c>
      <c r="C217" s="19">
        <v>46182</v>
      </c>
      <c r="D217" s="1" t="s">
        <v>21</v>
      </c>
      <c r="E217" s="1" t="s">
        <v>249</v>
      </c>
      <c r="F217" s="1">
        <v>5554</v>
      </c>
      <c r="G217" s="1" t="s">
        <v>355</v>
      </c>
      <c r="H217" s="1" t="s">
        <v>346</v>
      </c>
      <c r="I217" s="1" t="s">
        <v>347</v>
      </c>
      <c r="J217" s="1" t="s">
        <v>356</v>
      </c>
    </row>
    <row r="218" spans="1:10" x14ac:dyDescent="0.25">
      <c r="A218" s="1" t="s">
        <v>1690</v>
      </c>
      <c r="B218" s="1" t="s">
        <v>511</v>
      </c>
      <c r="C218" s="19">
        <v>46182</v>
      </c>
      <c r="D218" s="1" t="s">
        <v>21</v>
      </c>
      <c r="E218" s="1" t="s">
        <v>249</v>
      </c>
      <c r="F218" s="1">
        <v>5554</v>
      </c>
      <c r="G218" s="1" t="s">
        <v>345</v>
      </c>
      <c r="H218" s="1" t="s">
        <v>346</v>
      </c>
      <c r="I218" s="1" t="s">
        <v>347</v>
      </c>
      <c r="J218" s="1" t="s">
        <v>348</v>
      </c>
    </row>
    <row r="219" spans="1:10" x14ac:dyDescent="0.25">
      <c r="A219" s="1" t="s">
        <v>1691</v>
      </c>
      <c r="B219" s="1" t="s">
        <v>511</v>
      </c>
      <c r="C219" s="19">
        <v>46182</v>
      </c>
      <c r="D219" s="1" t="s">
        <v>21</v>
      </c>
      <c r="E219" s="1" t="s">
        <v>249</v>
      </c>
      <c r="F219" s="1">
        <v>5554</v>
      </c>
      <c r="G219" s="1" t="s">
        <v>349</v>
      </c>
      <c r="H219" s="1" t="s">
        <v>350</v>
      </c>
      <c r="I219" s="1" t="s">
        <v>347</v>
      </c>
      <c r="J219" s="1" t="s">
        <v>351</v>
      </c>
    </row>
    <row r="220" spans="1:10" x14ac:dyDescent="0.25">
      <c r="A220" s="1" t="s">
        <v>1692</v>
      </c>
      <c r="B220" s="1" t="s">
        <v>511</v>
      </c>
      <c r="C220" s="19">
        <v>46182</v>
      </c>
      <c r="D220" s="1" t="s">
        <v>21</v>
      </c>
      <c r="E220" s="1" t="s">
        <v>249</v>
      </c>
      <c r="F220" s="1">
        <v>5554</v>
      </c>
      <c r="G220" s="1" t="s">
        <v>357</v>
      </c>
      <c r="H220" s="1" t="s">
        <v>346</v>
      </c>
      <c r="I220" s="1" t="s">
        <v>347</v>
      </c>
      <c r="J220" s="1" t="s">
        <v>358</v>
      </c>
    </row>
    <row r="221" spans="1:10" x14ac:dyDescent="0.25">
      <c r="A221" s="1" t="s">
        <v>1693</v>
      </c>
      <c r="B221" s="1" t="s">
        <v>512</v>
      </c>
      <c r="C221" s="19">
        <v>46182</v>
      </c>
      <c r="D221" s="1" t="s">
        <v>22</v>
      </c>
      <c r="E221" s="1" t="s">
        <v>250</v>
      </c>
      <c r="F221" s="1">
        <v>5555</v>
      </c>
      <c r="G221" s="1" t="s">
        <v>345</v>
      </c>
      <c r="H221" s="1" t="s">
        <v>346</v>
      </c>
      <c r="I221" s="1" t="s">
        <v>347</v>
      </c>
      <c r="J221" s="1" t="s">
        <v>348</v>
      </c>
    </row>
    <row r="222" spans="1:10" x14ac:dyDescent="0.25">
      <c r="A222" s="1" t="s">
        <v>1694</v>
      </c>
      <c r="B222" s="1" t="s">
        <v>512</v>
      </c>
      <c r="C222" s="19">
        <v>46182</v>
      </c>
      <c r="D222" s="1" t="s">
        <v>22</v>
      </c>
      <c r="E222" s="1" t="s">
        <v>250</v>
      </c>
      <c r="F222" s="1">
        <v>5555</v>
      </c>
      <c r="G222" s="1" t="s">
        <v>349</v>
      </c>
      <c r="H222" s="1" t="s">
        <v>350</v>
      </c>
      <c r="I222" s="1" t="s">
        <v>347</v>
      </c>
      <c r="J222" s="1" t="s">
        <v>351</v>
      </c>
    </row>
    <row r="223" spans="1:10" x14ac:dyDescent="0.25">
      <c r="A223" s="1" t="s">
        <v>1695</v>
      </c>
      <c r="B223" s="1" t="s">
        <v>512</v>
      </c>
      <c r="C223" s="19">
        <v>46182</v>
      </c>
      <c r="D223" s="1" t="s">
        <v>22</v>
      </c>
      <c r="E223" s="1" t="s">
        <v>250</v>
      </c>
      <c r="F223" s="1">
        <v>5555</v>
      </c>
      <c r="G223" s="1" t="s">
        <v>357</v>
      </c>
      <c r="H223" s="1" t="s">
        <v>346</v>
      </c>
      <c r="I223" s="1" t="s">
        <v>347</v>
      </c>
      <c r="J223" s="1" t="s">
        <v>358</v>
      </c>
    </row>
    <row r="224" spans="1:10" x14ac:dyDescent="0.25">
      <c r="A224" s="1" t="s">
        <v>1696</v>
      </c>
      <c r="B224" s="1" t="s">
        <v>513</v>
      </c>
      <c r="C224" s="19">
        <v>46182</v>
      </c>
      <c r="D224" s="1" t="s">
        <v>22</v>
      </c>
      <c r="E224" s="1" t="s">
        <v>81</v>
      </c>
      <c r="F224" s="1">
        <v>5556</v>
      </c>
      <c r="G224" s="1" t="s">
        <v>345</v>
      </c>
      <c r="H224" s="1" t="s">
        <v>346</v>
      </c>
      <c r="I224" s="1" t="s">
        <v>347</v>
      </c>
      <c r="J224" s="1" t="s">
        <v>348</v>
      </c>
    </row>
    <row r="225" spans="1:10" x14ac:dyDescent="0.25">
      <c r="A225" s="1" t="s">
        <v>1697</v>
      </c>
      <c r="B225" s="1" t="s">
        <v>513</v>
      </c>
      <c r="C225" s="19">
        <v>46182</v>
      </c>
      <c r="D225" s="1" t="s">
        <v>22</v>
      </c>
      <c r="E225" s="1" t="s">
        <v>81</v>
      </c>
      <c r="F225" s="1">
        <v>5556</v>
      </c>
      <c r="G225" s="1" t="s">
        <v>349</v>
      </c>
      <c r="H225" s="1" t="s">
        <v>350</v>
      </c>
      <c r="I225" s="1" t="s">
        <v>347</v>
      </c>
      <c r="J225" s="1" t="s">
        <v>351</v>
      </c>
    </row>
    <row r="226" spans="1:10" x14ac:dyDescent="0.25">
      <c r="A226" s="1" t="s">
        <v>1698</v>
      </c>
      <c r="B226" s="1" t="s">
        <v>513</v>
      </c>
      <c r="C226" s="19">
        <v>46182</v>
      </c>
      <c r="D226" s="1" t="s">
        <v>22</v>
      </c>
      <c r="E226" s="1" t="s">
        <v>81</v>
      </c>
      <c r="F226" s="1">
        <v>5556</v>
      </c>
      <c r="G226" s="1" t="s">
        <v>357</v>
      </c>
      <c r="H226" s="1" t="s">
        <v>346</v>
      </c>
      <c r="I226" s="1" t="s">
        <v>347</v>
      </c>
      <c r="J226" s="1" t="s">
        <v>358</v>
      </c>
    </row>
    <row r="227" spans="1:10" x14ac:dyDescent="0.25">
      <c r="A227" s="1" t="s">
        <v>1699</v>
      </c>
      <c r="B227" s="1" t="s">
        <v>514</v>
      </c>
      <c r="C227" s="19">
        <v>46182</v>
      </c>
      <c r="D227" s="1" t="s">
        <v>21</v>
      </c>
      <c r="E227" s="1" t="s">
        <v>247</v>
      </c>
      <c r="F227" s="1">
        <v>5557</v>
      </c>
      <c r="G227" s="1" t="s">
        <v>345</v>
      </c>
      <c r="H227" s="1" t="s">
        <v>346</v>
      </c>
      <c r="I227" s="1" t="s">
        <v>347</v>
      </c>
      <c r="J227" s="1" t="s">
        <v>348</v>
      </c>
    </row>
    <row r="228" spans="1:10" x14ac:dyDescent="0.25">
      <c r="A228" s="1" t="s">
        <v>1700</v>
      </c>
      <c r="B228" s="1" t="s">
        <v>514</v>
      </c>
      <c r="C228" s="19">
        <v>46182</v>
      </c>
      <c r="D228" s="1" t="s">
        <v>21</v>
      </c>
      <c r="E228" s="1" t="s">
        <v>247</v>
      </c>
      <c r="F228" s="1">
        <v>5557</v>
      </c>
      <c r="G228" s="1" t="s">
        <v>349</v>
      </c>
      <c r="H228" s="1" t="s">
        <v>350</v>
      </c>
      <c r="I228" s="1" t="s">
        <v>347</v>
      </c>
      <c r="J228" s="1" t="s">
        <v>351</v>
      </c>
    </row>
    <row r="229" spans="1:10" x14ac:dyDescent="0.25">
      <c r="A229" s="1" t="s">
        <v>1701</v>
      </c>
      <c r="B229" s="1" t="s">
        <v>514</v>
      </c>
      <c r="C229" s="19">
        <v>46182</v>
      </c>
      <c r="D229" s="1" t="s">
        <v>21</v>
      </c>
      <c r="E229" s="1" t="s">
        <v>247</v>
      </c>
      <c r="F229" s="1">
        <v>5557</v>
      </c>
      <c r="G229" s="1" t="s">
        <v>357</v>
      </c>
      <c r="H229" s="1" t="s">
        <v>346</v>
      </c>
      <c r="I229" s="1" t="s">
        <v>347</v>
      </c>
      <c r="J229" s="1" t="s">
        <v>358</v>
      </c>
    </row>
    <row r="230" spans="1:10" x14ac:dyDescent="0.25">
      <c r="A230" s="1" t="s">
        <v>1702</v>
      </c>
      <c r="B230" s="1" t="s">
        <v>515</v>
      </c>
      <c r="C230" s="19">
        <v>46182</v>
      </c>
      <c r="D230" s="1" t="s">
        <v>21</v>
      </c>
      <c r="E230" s="1" t="s">
        <v>252</v>
      </c>
      <c r="F230" s="1">
        <v>5558</v>
      </c>
      <c r="G230" s="1" t="s">
        <v>345</v>
      </c>
      <c r="H230" s="1" t="s">
        <v>346</v>
      </c>
      <c r="I230" s="1" t="s">
        <v>347</v>
      </c>
      <c r="J230" s="1" t="s">
        <v>348</v>
      </c>
    </row>
    <row r="231" spans="1:10" x14ac:dyDescent="0.25">
      <c r="A231" s="1" t="s">
        <v>1703</v>
      </c>
      <c r="B231" s="1" t="s">
        <v>515</v>
      </c>
      <c r="C231" s="19">
        <v>46182</v>
      </c>
      <c r="D231" s="1" t="s">
        <v>21</v>
      </c>
      <c r="E231" s="1" t="s">
        <v>252</v>
      </c>
      <c r="F231" s="1">
        <v>5558</v>
      </c>
      <c r="G231" s="1" t="s">
        <v>349</v>
      </c>
      <c r="H231" s="1" t="s">
        <v>350</v>
      </c>
      <c r="I231" s="1" t="s">
        <v>347</v>
      </c>
      <c r="J231" s="1" t="s">
        <v>351</v>
      </c>
    </row>
    <row r="232" spans="1:10" x14ac:dyDescent="0.25">
      <c r="A232" s="1" t="s">
        <v>1704</v>
      </c>
      <c r="B232" s="1" t="s">
        <v>515</v>
      </c>
      <c r="C232" s="19">
        <v>46182</v>
      </c>
      <c r="D232" s="1" t="s">
        <v>21</v>
      </c>
      <c r="E232" s="1" t="s">
        <v>252</v>
      </c>
      <c r="F232" s="1">
        <v>5558</v>
      </c>
      <c r="G232" s="1" t="s">
        <v>357</v>
      </c>
      <c r="H232" s="1" t="s">
        <v>346</v>
      </c>
      <c r="I232" s="1" t="s">
        <v>347</v>
      </c>
      <c r="J232" s="1" t="s">
        <v>358</v>
      </c>
    </row>
    <row r="233" spans="1:10" x14ac:dyDescent="0.25">
      <c r="A233" s="1" t="s">
        <v>1705</v>
      </c>
      <c r="B233" s="1" t="s">
        <v>516</v>
      </c>
      <c r="C233" s="19">
        <v>46182</v>
      </c>
      <c r="D233" s="1" t="s">
        <v>21</v>
      </c>
      <c r="E233" s="1" t="s">
        <v>253</v>
      </c>
      <c r="F233" s="1">
        <v>5559</v>
      </c>
      <c r="G233" s="1" t="s">
        <v>345</v>
      </c>
      <c r="H233" s="1" t="s">
        <v>346</v>
      </c>
      <c r="I233" s="1" t="s">
        <v>347</v>
      </c>
      <c r="J233" s="1" t="s">
        <v>348</v>
      </c>
    </row>
    <row r="234" spans="1:10" x14ac:dyDescent="0.25">
      <c r="A234" s="1" t="s">
        <v>1706</v>
      </c>
      <c r="B234" s="1" t="s">
        <v>516</v>
      </c>
      <c r="C234" s="19">
        <v>46182</v>
      </c>
      <c r="D234" s="1" t="s">
        <v>21</v>
      </c>
      <c r="E234" s="1" t="s">
        <v>253</v>
      </c>
      <c r="F234" s="1">
        <v>5559</v>
      </c>
      <c r="G234" s="1" t="s">
        <v>349</v>
      </c>
      <c r="H234" s="1" t="s">
        <v>350</v>
      </c>
      <c r="I234" s="1" t="s">
        <v>347</v>
      </c>
      <c r="J234" s="1" t="s">
        <v>351</v>
      </c>
    </row>
    <row r="235" spans="1:10" x14ac:dyDescent="0.25">
      <c r="A235" s="1" t="s">
        <v>1707</v>
      </c>
      <c r="B235" s="1" t="s">
        <v>516</v>
      </c>
      <c r="C235" s="19">
        <v>46182</v>
      </c>
      <c r="D235" s="1" t="s">
        <v>21</v>
      </c>
      <c r="E235" s="1" t="s">
        <v>253</v>
      </c>
      <c r="F235" s="1">
        <v>5559</v>
      </c>
      <c r="G235" s="1" t="s">
        <v>357</v>
      </c>
      <c r="H235" s="1" t="s">
        <v>346</v>
      </c>
      <c r="I235" s="1" t="s">
        <v>347</v>
      </c>
      <c r="J235" s="1" t="s">
        <v>358</v>
      </c>
    </row>
    <row r="236" spans="1:10" x14ac:dyDescent="0.25">
      <c r="A236" s="1" t="s">
        <v>1708</v>
      </c>
      <c r="B236" s="1" t="s">
        <v>517</v>
      </c>
      <c r="C236" s="19">
        <v>46182</v>
      </c>
      <c r="D236" s="1" t="s">
        <v>21</v>
      </c>
      <c r="E236" s="1" t="s">
        <v>254</v>
      </c>
      <c r="F236" s="1">
        <v>5560</v>
      </c>
      <c r="G236" s="1" t="s">
        <v>345</v>
      </c>
      <c r="H236" s="1" t="s">
        <v>346</v>
      </c>
      <c r="I236" s="1" t="s">
        <v>347</v>
      </c>
      <c r="J236" s="1" t="s">
        <v>348</v>
      </c>
    </row>
    <row r="237" spans="1:10" x14ac:dyDescent="0.25">
      <c r="A237" s="1" t="s">
        <v>1709</v>
      </c>
      <c r="B237" s="1" t="s">
        <v>517</v>
      </c>
      <c r="C237" s="19">
        <v>46182</v>
      </c>
      <c r="D237" s="1" t="s">
        <v>21</v>
      </c>
      <c r="E237" s="1" t="s">
        <v>254</v>
      </c>
      <c r="F237" s="1">
        <v>5560</v>
      </c>
      <c r="G237" s="1" t="s">
        <v>349</v>
      </c>
      <c r="H237" s="1" t="s">
        <v>350</v>
      </c>
      <c r="I237" s="1" t="s">
        <v>347</v>
      </c>
      <c r="J237" s="1" t="s">
        <v>351</v>
      </c>
    </row>
    <row r="238" spans="1:10" x14ac:dyDescent="0.25">
      <c r="A238" s="1" t="s">
        <v>1710</v>
      </c>
      <c r="B238" s="1" t="s">
        <v>517</v>
      </c>
      <c r="C238" s="19">
        <v>46182</v>
      </c>
      <c r="D238" s="1" t="s">
        <v>21</v>
      </c>
      <c r="E238" s="1" t="s">
        <v>254</v>
      </c>
      <c r="F238" s="1">
        <v>5560</v>
      </c>
      <c r="G238" s="1" t="s">
        <v>357</v>
      </c>
      <c r="H238" s="1" t="s">
        <v>346</v>
      </c>
      <c r="I238" s="1" t="s">
        <v>347</v>
      </c>
      <c r="J238" s="1" t="s">
        <v>358</v>
      </c>
    </row>
    <row r="239" spans="1:10" x14ac:dyDescent="0.25">
      <c r="A239" s="1" t="s">
        <v>1711</v>
      </c>
      <c r="B239" s="1" t="s">
        <v>518</v>
      </c>
      <c r="C239" s="19">
        <v>46182</v>
      </c>
      <c r="D239" s="1" t="s">
        <v>21</v>
      </c>
      <c r="E239" s="1" t="s">
        <v>255</v>
      </c>
      <c r="F239" s="1">
        <v>5561</v>
      </c>
      <c r="G239" s="1" t="s">
        <v>345</v>
      </c>
      <c r="H239" s="1" t="s">
        <v>346</v>
      </c>
      <c r="I239" s="1" t="s">
        <v>347</v>
      </c>
      <c r="J239" s="1" t="s">
        <v>348</v>
      </c>
    </row>
    <row r="240" spans="1:10" x14ac:dyDescent="0.25">
      <c r="A240" s="1" t="s">
        <v>1712</v>
      </c>
      <c r="B240" s="1" t="s">
        <v>518</v>
      </c>
      <c r="C240" s="19">
        <v>46182</v>
      </c>
      <c r="D240" s="1" t="s">
        <v>21</v>
      </c>
      <c r="E240" s="1" t="s">
        <v>255</v>
      </c>
      <c r="F240" s="1">
        <v>5561</v>
      </c>
      <c r="G240" s="1" t="s">
        <v>349</v>
      </c>
      <c r="H240" s="1" t="s">
        <v>350</v>
      </c>
      <c r="I240" s="1" t="s">
        <v>347</v>
      </c>
      <c r="J240" s="1" t="s">
        <v>351</v>
      </c>
    </row>
    <row r="241" spans="1:10" x14ac:dyDescent="0.25">
      <c r="A241" s="1" t="s">
        <v>1713</v>
      </c>
      <c r="B241" s="1" t="s">
        <v>518</v>
      </c>
      <c r="C241" s="19">
        <v>46182</v>
      </c>
      <c r="D241" s="1" t="s">
        <v>21</v>
      </c>
      <c r="E241" s="1" t="s">
        <v>255</v>
      </c>
      <c r="F241" s="1">
        <v>5561</v>
      </c>
      <c r="G241" s="1" t="s">
        <v>357</v>
      </c>
      <c r="H241" s="1" t="s">
        <v>346</v>
      </c>
      <c r="I241" s="1" t="s">
        <v>347</v>
      </c>
      <c r="J241" s="1" t="s">
        <v>358</v>
      </c>
    </row>
    <row r="242" spans="1:10" x14ac:dyDescent="0.25">
      <c r="A242" s="1" t="s">
        <v>1714</v>
      </c>
      <c r="B242" s="1" t="s">
        <v>520</v>
      </c>
      <c r="C242" s="19">
        <v>46182</v>
      </c>
      <c r="D242" s="1" t="s">
        <v>21</v>
      </c>
      <c r="E242" s="1" t="s">
        <v>257</v>
      </c>
      <c r="F242" s="1">
        <v>5563</v>
      </c>
      <c r="G242" s="1" t="s">
        <v>345</v>
      </c>
      <c r="H242" s="1" t="s">
        <v>346</v>
      </c>
      <c r="I242" s="1" t="s">
        <v>347</v>
      </c>
      <c r="J242" s="1" t="s">
        <v>348</v>
      </c>
    </row>
    <row r="243" spans="1:10" x14ac:dyDescent="0.25">
      <c r="A243" s="1" t="s">
        <v>1715</v>
      </c>
      <c r="B243" s="1" t="s">
        <v>520</v>
      </c>
      <c r="C243" s="19">
        <v>46182</v>
      </c>
      <c r="D243" s="1" t="s">
        <v>21</v>
      </c>
      <c r="E243" s="1" t="s">
        <v>257</v>
      </c>
      <c r="F243" s="1">
        <v>5563</v>
      </c>
      <c r="G243" s="1" t="s">
        <v>349</v>
      </c>
      <c r="H243" s="1" t="s">
        <v>350</v>
      </c>
      <c r="I243" s="1" t="s">
        <v>347</v>
      </c>
      <c r="J243" s="1" t="s">
        <v>351</v>
      </c>
    </row>
    <row r="244" spans="1:10" x14ac:dyDescent="0.25">
      <c r="A244" s="1" t="s">
        <v>1716</v>
      </c>
      <c r="B244" s="1" t="s">
        <v>520</v>
      </c>
      <c r="C244" s="19">
        <v>46182</v>
      </c>
      <c r="D244" s="1" t="s">
        <v>21</v>
      </c>
      <c r="E244" s="1" t="s">
        <v>257</v>
      </c>
      <c r="F244" s="1">
        <v>5563</v>
      </c>
      <c r="G244" s="1" t="s">
        <v>357</v>
      </c>
      <c r="H244" s="1" t="s">
        <v>346</v>
      </c>
      <c r="I244" s="1" t="s">
        <v>347</v>
      </c>
      <c r="J244" s="1" t="s">
        <v>358</v>
      </c>
    </row>
    <row r="245" spans="1:10" x14ac:dyDescent="0.25">
      <c r="A245" s="1" t="s">
        <v>1717</v>
      </c>
      <c r="B245" s="1" t="s">
        <v>521</v>
      </c>
      <c r="C245" s="19">
        <v>46182</v>
      </c>
      <c r="D245" s="1" t="s">
        <v>22</v>
      </c>
      <c r="E245" s="1" t="s">
        <v>81</v>
      </c>
      <c r="F245" s="1">
        <v>5564</v>
      </c>
      <c r="G245" s="1" t="s">
        <v>355</v>
      </c>
      <c r="H245" s="1" t="s">
        <v>346</v>
      </c>
      <c r="I245" s="1" t="s">
        <v>347</v>
      </c>
      <c r="J245" s="1" t="s">
        <v>356</v>
      </c>
    </row>
    <row r="246" spans="1:10" x14ac:dyDescent="0.25">
      <c r="A246" s="1" t="s">
        <v>1718</v>
      </c>
      <c r="B246" s="1" t="s">
        <v>521</v>
      </c>
      <c r="C246" s="19">
        <v>46182</v>
      </c>
      <c r="D246" s="1" t="s">
        <v>22</v>
      </c>
      <c r="E246" s="1" t="s">
        <v>81</v>
      </c>
      <c r="F246" s="1">
        <v>5564</v>
      </c>
      <c r="G246" s="1" t="s">
        <v>345</v>
      </c>
      <c r="H246" s="1" t="s">
        <v>346</v>
      </c>
      <c r="I246" s="1" t="s">
        <v>347</v>
      </c>
      <c r="J246" s="1" t="s">
        <v>348</v>
      </c>
    </row>
    <row r="247" spans="1:10" x14ac:dyDescent="0.25">
      <c r="A247" s="1" t="s">
        <v>1719</v>
      </c>
      <c r="B247" s="1" t="s">
        <v>521</v>
      </c>
      <c r="C247" s="19">
        <v>46182</v>
      </c>
      <c r="D247" s="1" t="s">
        <v>22</v>
      </c>
      <c r="E247" s="1" t="s">
        <v>81</v>
      </c>
      <c r="F247" s="1">
        <v>5564</v>
      </c>
      <c r="G247" s="1" t="s">
        <v>349</v>
      </c>
      <c r="H247" s="1" t="s">
        <v>350</v>
      </c>
      <c r="I247" s="1" t="s">
        <v>347</v>
      </c>
      <c r="J247" s="1" t="s">
        <v>351</v>
      </c>
    </row>
    <row r="248" spans="1:10" x14ac:dyDescent="0.25">
      <c r="A248" s="1" t="s">
        <v>1720</v>
      </c>
      <c r="B248" s="1" t="s">
        <v>521</v>
      </c>
      <c r="C248" s="19">
        <v>46182</v>
      </c>
      <c r="D248" s="1" t="s">
        <v>22</v>
      </c>
      <c r="E248" s="1" t="s">
        <v>81</v>
      </c>
      <c r="F248" s="1">
        <v>5564</v>
      </c>
      <c r="G248" s="1" t="s">
        <v>357</v>
      </c>
      <c r="H248" s="1" t="s">
        <v>346</v>
      </c>
      <c r="I248" s="1" t="s">
        <v>347</v>
      </c>
      <c r="J248" s="1" t="s">
        <v>358</v>
      </c>
    </row>
    <row r="249" spans="1:10" x14ac:dyDescent="0.25">
      <c r="A249" s="1" t="s">
        <v>1721</v>
      </c>
      <c r="B249" s="1" t="s">
        <v>522</v>
      </c>
      <c r="C249" s="19">
        <v>46182</v>
      </c>
      <c r="D249" s="1" t="s">
        <v>22</v>
      </c>
      <c r="E249" s="1" t="s">
        <v>258</v>
      </c>
      <c r="F249" s="1">
        <v>5565</v>
      </c>
      <c r="G249" s="1" t="s">
        <v>345</v>
      </c>
      <c r="H249" s="1" t="s">
        <v>346</v>
      </c>
      <c r="I249" s="1" t="s">
        <v>347</v>
      </c>
      <c r="J249" s="1" t="s">
        <v>348</v>
      </c>
    </row>
    <row r="250" spans="1:10" x14ac:dyDescent="0.25">
      <c r="A250" s="1" t="s">
        <v>1722</v>
      </c>
      <c r="B250" s="1" t="s">
        <v>522</v>
      </c>
      <c r="C250" s="19">
        <v>46182</v>
      </c>
      <c r="D250" s="1" t="s">
        <v>22</v>
      </c>
      <c r="E250" s="1" t="s">
        <v>258</v>
      </c>
      <c r="F250" s="1">
        <v>5565</v>
      </c>
      <c r="G250" s="1" t="s">
        <v>349</v>
      </c>
      <c r="H250" s="1" t="s">
        <v>350</v>
      </c>
      <c r="I250" s="1" t="s">
        <v>347</v>
      </c>
      <c r="J250" s="1" t="s">
        <v>351</v>
      </c>
    </row>
    <row r="251" spans="1:10" x14ac:dyDescent="0.25">
      <c r="A251" s="1" t="s">
        <v>1723</v>
      </c>
      <c r="B251" s="1" t="s">
        <v>522</v>
      </c>
      <c r="C251" s="19">
        <v>46182</v>
      </c>
      <c r="D251" s="1" t="s">
        <v>22</v>
      </c>
      <c r="E251" s="1" t="s">
        <v>258</v>
      </c>
      <c r="F251" s="1">
        <v>5565</v>
      </c>
      <c r="G251" s="1" t="s">
        <v>357</v>
      </c>
      <c r="H251" s="1" t="s">
        <v>346</v>
      </c>
      <c r="I251" s="1" t="s">
        <v>347</v>
      </c>
      <c r="J251" s="1" t="s">
        <v>358</v>
      </c>
    </row>
    <row r="252" spans="1:10" x14ac:dyDescent="0.25">
      <c r="A252" s="1" t="s">
        <v>1724</v>
      </c>
      <c r="B252" s="1" t="s">
        <v>523</v>
      </c>
      <c r="C252" s="19">
        <v>46182</v>
      </c>
      <c r="D252" s="1" t="s">
        <v>21</v>
      </c>
      <c r="E252" s="1" t="s">
        <v>259</v>
      </c>
      <c r="F252" s="1">
        <v>5566</v>
      </c>
      <c r="G252" s="1" t="s">
        <v>345</v>
      </c>
      <c r="H252" s="1" t="s">
        <v>346</v>
      </c>
      <c r="I252" s="1" t="s">
        <v>347</v>
      </c>
      <c r="J252" s="1" t="s">
        <v>348</v>
      </c>
    </row>
    <row r="253" spans="1:10" x14ac:dyDescent="0.25">
      <c r="A253" s="1" t="s">
        <v>1725</v>
      </c>
      <c r="B253" s="1" t="s">
        <v>523</v>
      </c>
      <c r="C253" s="19">
        <v>46182</v>
      </c>
      <c r="D253" s="1" t="s">
        <v>21</v>
      </c>
      <c r="E253" s="1" t="s">
        <v>259</v>
      </c>
      <c r="F253" s="1">
        <v>5566</v>
      </c>
      <c r="G253" s="1" t="s">
        <v>349</v>
      </c>
      <c r="H253" s="1" t="s">
        <v>350</v>
      </c>
      <c r="I253" s="1" t="s">
        <v>347</v>
      </c>
      <c r="J253" s="1" t="s">
        <v>351</v>
      </c>
    </row>
    <row r="254" spans="1:10" x14ac:dyDescent="0.25">
      <c r="A254" s="1" t="s">
        <v>1726</v>
      </c>
      <c r="B254" s="1" t="s">
        <v>523</v>
      </c>
      <c r="C254" s="19">
        <v>46182</v>
      </c>
      <c r="D254" s="1" t="s">
        <v>21</v>
      </c>
      <c r="E254" s="1" t="s">
        <v>259</v>
      </c>
      <c r="F254" s="1">
        <v>5566</v>
      </c>
      <c r="G254" s="1" t="s">
        <v>357</v>
      </c>
      <c r="H254" s="1" t="s">
        <v>346</v>
      </c>
      <c r="I254" s="1" t="s">
        <v>347</v>
      </c>
      <c r="J254" s="1" t="s">
        <v>358</v>
      </c>
    </row>
    <row r="255" spans="1:10" x14ac:dyDescent="0.25">
      <c r="A255" s="1" t="s">
        <v>1727</v>
      </c>
      <c r="B255" s="1" t="s">
        <v>524</v>
      </c>
      <c r="C255" s="19">
        <v>46182</v>
      </c>
      <c r="D255" s="1" t="s">
        <v>21</v>
      </c>
      <c r="E255" s="1" t="s">
        <v>260</v>
      </c>
      <c r="F255" s="1">
        <v>5567</v>
      </c>
      <c r="G255" s="1" t="s">
        <v>345</v>
      </c>
      <c r="H255" s="1" t="s">
        <v>346</v>
      </c>
      <c r="I255" s="1" t="s">
        <v>347</v>
      </c>
      <c r="J255" s="1" t="s">
        <v>348</v>
      </c>
    </row>
    <row r="256" spans="1:10" x14ac:dyDescent="0.25">
      <c r="A256" s="1" t="s">
        <v>1728</v>
      </c>
      <c r="B256" s="1" t="s">
        <v>524</v>
      </c>
      <c r="C256" s="19">
        <v>46182</v>
      </c>
      <c r="D256" s="1" t="s">
        <v>21</v>
      </c>
      <c r="E256" s="1" t="s">
        <v>260</v>
      </c>
      <c r="F256" s="1">
        <v>5567</v>
      </c>
      <c r="G256" s="1" t="s">
        <v>349</v>
      </c>
      <c r="H256" s="1" t="s">
        <v>350</v>
      </c>
      <c r="I256" s="1" t="s">
        <v>347</v>
      </c>
      <c r="J256" s="1" t="s">
        <v>351</v>
      </c>
    </row>
    <row r="257" spans="1:10" x14ac:dyDescent="0.25">
      <c r="A257" s="1" t="s">
        <v>1729</v>
      </c>
      <c r="B257" s="1" t="s">
        <v>524</v>
      </c>
      <c r="C257" s="19">
        <v>46182</v>
      </c>
      <c r="D257" s="1" t="s">
        <v>21</v>
      </c>
      <c r="E257" s="1" t="s">
        <v>260</v>
      </c>
      <c r="F257" s="1">
        <v>5567</v>
      </c>
      <c r="G257" s="1" t="s">
        <v>357</v>
      </c>
      <c r="H257" s="1" t="s">
        <v>346</v>
      </c>
      <c r="I257" s="1" t="s">
        <v>347</v>
      </c>
      <c r="J257" s="1" t="s">
        <v>358</v>
      </c>
    </row>
    <row r="258" spans="1:10" x14ac:dyDescent="0.25">
      <c r="A258" s="1" t="s">
        <v>1730</v>
      </c>
      <c r="B258" s="1" t="s">
        <v>525</v>
      </c>
      <c r="C258" s="19">
        <v>46182</v>
      </c>
      <c r="D258" s="1" t="s">
        <v>21</v>
      </c>
      <c r="E258" s="1" t="s">
        <v>261</v>
      </c>
      <c r="F258" s="1">
        <v>5568</v>
      </c>
      <c r="G258" s="1" t="s">
        <v>345</v>
      </c>
      <c r="H258" s="1" t="s">
        <v>346</v>
      </c>
      <c r="I258" s="1" t="s">
        <v>347</v>
      </c>
      <c r="J258" s="1" t="s">
        <v>348</v>
      </c>
    </row>
    <row r="259" spans="1:10" x14ac:dyDescent="0.25">
      <c r="A259" s="1" t="s">
        <v>1731</v>
      </c>
      <c r="B259" s="1" t="s">
        <v>525</v>
      </c>
      <c r="C259" s="19">
        <v>46182</v>
      </c>
      <c r="D259" s="1" t="s">
        <v>21</v>
      </c>
      <c r="E259" s="1" t="s">
        <v>261</v>
      </c>
      <c r="F259" s="1">
        <v>5568</v>
      </c>
      <c r="G259" s="1" t="s">
        <v>349</v>
      </c>
      <c r="H259" s="1" t="s">
        <v>350</v>
      </c>
      <c r="I259" s="1" t="s">
        <v>347</v>
      </c>
      <c r="J259" s="1" t="s">
        <v>351</v>
      </c>
    </row>
    <row r="260" spans="1:10" x14ac:dyDescent="0.25">
      <c r="A260" s="1" t="s">
        <v>1732</v>
      </c>
      <c r="B260" s="1" t="s">
        <v>525</v>
      </c>
      <c r="C260" s="19">
        <v>46182</v>
      </c>
      <c r="D260" s="1" t="s">
        <v>21</v>
      </c>
      <c r="E260" s="1" t="s">
        <v>261</v>
      </c>
      <c r="F260" s="1">
        <v>5568</v>
      </c>
      <c r="G260" s="1" t="s">
        <v>357</v>
      </c>
      <c r="H260" s="1" t="s">
        <v>346</v>
      </c>
      <c r="I260" s="1" t="s">
        <v>347</v>
      </c>
      <c r="J260" s="1" t="s">
        <v>358</v>
      </c>
    </row>
    <row r="261" spans="1:10" x14ac:dyDescent="0.25">
      <c r="A261" s="1" t="s">
        <v>1733</v>
      </c>
      <c r="B261" s="1" t="s">
        <v>526</v>
      </c>
      <c r="C261" s="19">
        <v>46182</v>
      </c>
      <c r="D261" s="1" t="s">
        <v>21</v>
      </c>
      <c r="E261" s="1" t="s">
        <v>262</v>
      </c>
      <c r="F261" s="1">
        <v>5569</v>
      </c>
      <c r="G261" s="1" t="s">
        <v>345</v>
      </c>
      <c r="H261" s="1" t="s">
        <v>346</v>
      </c>
      <c r="I261" s="1" t="s">
        <v>347</v>
      </c>
      <c r="J261" s="1" t="s">
        <v>348</v>
      </c>
    </row>
    <row r="262" spans="1:10" x14ac:dyDescent="0.25">
      <c r="A262" s="1" t="s">
        <v>1734</v>
      </c>
      <c r="B262" s="1" t="s">
        <v>526</v>
      </c>
      <c r="C262" s="19">
        <v>46182</v>
      </c>
      <c r="D262" s="1" t="s">
        <v>21</v>
      </c>
      <c r="E262" s="1" t="s">
        <v>262</v>
      </c>
      <c r="F262" s="1">
        <v>5569</v>
      </c>
      <c r="G262" s="1" t="s">
        <v>349</v>
      </c>
      <c r="H262" s="1" t="s">
        <v>350</v>
      </c>
      <c r="I262" s="1" t="s">
        <v>347</v>
      </c>
      <c r="J262" s="1" t="s">
        <v>351</v>
      </c>
    </row>
    <row r="263" spans="1:10" x14ac:dyDescent="0.25">
      <c r="A263" s="1" t="s">
        <v>1735</v>
      </c>
      <c r="B263" s="1" t="s">
        <v>526</v>
      </c>
      <c r="C263" s="19">
        <v>46182</v>
      </c>
      <c r="D263" s="1" t="s">
        <v>21</v>
      </c>
      <c r="E263" s="1" t="s">
        <v>262</v>
      </c>
      <c r="F263" s="1">
        <v>5569</v>
      </c>
      <c r="G263" s="1" t="s">
        <v>357</v>
      </c>
      <c r="H263" s="1" t="s">
        <v>346</v>
      </c>
      <c r="I263" s="1" t="s">
        <v>347</v>
      </c>
      <c r="J263" s="1" t="s">
        <v>358</v>
      </c>
    </row>
    <row r="264" spans="1:10" x14ac:dyDescent="0.25">
      <c r="A264" s="1" t="s">
        <v>1736</v>
      </c>
      <c r="B264" s="1" t="s">
        <v>528</v>
      </c>
      <c r="C264" s="19">
        <v>46182</v>
      </c>
      <c r="D264" s="1" t="s">
        <v>22</v>
      </c>
      <c r="E264" s="1" t="s">
        <v>81</v>
      </c>
      <c r="F264" s="1">
        <v>5571</v>
      </c>
      <c r="G264" s="1" t="s">
        <v>345</v>
      </c>
      <c r="H264" s="1" t="s">
        <v>346</v>
      </c>
      <c r="I264" s="1" t="s">
        <v>347</v>
      </c>
      <c r="J264" s="1" t="s">
        <v>348</v>
      </c>
    </row>
    <row r="265" spans="1:10" x14ac:dyDescent="0.25">
      <c r="A265" s="1" t="s">
        <v>1737</v>
      </c>
      <c r="B265" s="1" t="s">
        <v>528</v>
      </c>
      <c r="C265" s="19">
        <v>46182</v>
      </c>
      <c r="D265" s="1" t="s">
        <v>22</v>
      </c>
      <c r="E265" s="1" t="s">
        <v>81</v>
      </c>
      <c r="F265" s="1">
        <v>5571</v>
      </c>
      <c r="G265" s="1" t="s">
        <v>349</v>
      </c>
      <c r="H265" s="1" t="s">
        <v>350</v>
      </c>
      <c r="I265" s="1" t="s">
        <v>347</v>
      </c>
      <c r="J265" s="1" t="s">
        <v>351</v>
      </c>
    </row>
    <row r="266" spans="1:10" x14ac:dyDescent="0.25">
      <c r="A266" s="1" t="s">
        <v>1738</v>
      </c>
      <c r="B266" s="1" t="s">
        <v>528</v>
      </c>
      <c r="C266" s="19">
        <v>46182</v>
      </c>
      <c r="D266" s="1" t="s">
        <v>22</v>
      </c>
      <c r="E266" s="1" t="s">
        <v>81</v>
      </c>
      <c r="F266" s="1">
        <v>5571</v>
      </c>
      <c r="G266" s="1" t="s">
        <v>357</v>
      </c>
      <c r="H266" s="1" t="s">
        <v>346</v>
      </c>
      <c r="I266" s="1" t="s">
        <v>347</v>
      </c>
      <c r="J266" s="1" t="s">
        <v>358</v>
      </c>
    </row>
    <row r="267" spans="1:10" x14ac:dyDescent="0.25">
      <c r="A267" s="1" t="s">
        <v>1739</v>
      </c>
      <c r="B267" s="1" t="s">
        <v>529</v>
      </c>
      <c r="C267" s="19">
        <v>46182</v>
      </c>
      <c r="D267" s="1" t="s">
        <v>22</v>
      </c>
      <c r="E267" s="1" t="s">
        <v>265</v>
      </c>
      <c r="F267" s="1">
        <v>5572</v>
      </c>
      <c r="G267" s="1" t="s">
        <v>345</v>
      </c>
      <c r="H267" s="1" t="s">
        <v>346</v>
      </c>
      <c r="I267" s="1" t="s">
        <v>347</v>
      </c>
      <c r="J267" s="1" t="s">
        <v>348</v>
      </c>
    </row>
    <row r="268" spans="1:10" x14ac:dyDescent="0.25">
      <c r="A268" s="1" t="s">
        <v>1740</v>
      </c>
      <c r="B268" s="1" t="s">
        <v>529</v>
      </c>
      <c r="C268" s="19">
        <v>46182</v>
      </c>
      <c r="D268" s="1" t="s">
        <v>22</v>
      </c>
      <c r="E268" s="1" t="s">
        <v>265</v>
      </c>
      <c r="F268" s="1">
        <v>5572</v>
      </c>
      <c r="G268" s="1" t="s">
        <v>349</v>
      </c>
      <c r="H268" s="1" t="s">
        <v>350</v>
      </c>
      <c r="I268" s="1" t="s">
        <v>347</v>
      </c>
      <c r="J268" s="1" t="s">
        <v>351</v>
      </c>
    </row>
    <row r="269" spans="1:10" x14ac:dyDescent="0.25">
      <c r="A269" s="1" t="s">
        <v>1741</v>
      </c>
      <c r="B269" s="1" t="s">
        <v>529</v>
      </c>
      <c r="C269" s="19">
        <v>46182</v>
      </c>
      <c r="D269" s="1" t="s">
        <v>22</v>
      </c>
      <c r="E269" s="1" t="s">
        <v>265</v>
      </c>
      <c r="F269" s="1">
        <v>5572</v>
      </c>
      <c r="G269" s="1" t="s">
        <v>357</v>
      </c>
      <c r="H269" s="1" t="s">
        <v>346</v>
      </c>
      <c r="I269" s="1" t="s">
        <v>347</v>
      </c>
      <c r="J269" s="1" t="s">
        <v>358</v>
      </c>
    </row>
    <row r="270" spans="1:10" x14ac:dyDescent="0.25">
      <c r="A270" s="1" t="s">
        <v>1742</v>
      </c>
      <c r="B270" s="1" t="s">
        <v>530</v>
      </c>
      <c r="C270" s="19">
        <v>46182</v>
      </c>
      <c r="D270" s="1" t="s">
        <v>21</v>
      </c>
      <c r="E270" s="1" t="s">
        <v>81</v>
      </c>
      <c r="F270" s="1">
        <v>5573</v>
      </c>
      <c r="G270" s="1" t="s">
        <v>355</v>
      </c>
      <c r="H270" s="1" t="s">
        <v>346</v>
      </c>
      <c r="I270" s="1" t="s">
        <v>347</v>
      </c>
      <c r="J270" s="1" t="s">
        <v>356</v>
      </c>
    </row>
    <row r="271" spans="1:10" x14ac:dyDescent="0.25">
      <c r="A271" s="1" t="s">
        <v>1743</v>
      </c>
      <c r="B271" s="1" t="s">
        <v>530</v>
      </c>
      <c r="C271" s="19">
        <v>46182</v>
      </c>
      <c r="D271" s="1" t="s">
        <v>21</v>
      </c>
      <c r="E271" s="1" t="s">
        <v>81</v>
      </c>
      <c r="F271" s="1">
        <v>5573</v>
      </c>
      <c r="G271" s="1" t="s">
        <v>345</v>
      </c>
      <c r="H271" s="1" t="s">
        <v>346</v>
      </c>
      <c r="I271" s="1" t="s">
        <v>347</v>
      </c>
      <c r="J271" s="1" t="s">
        <v>348</v>
      </c>
    </row>
    <row r="272" spans="1:10" x14ac:dyDescent="0.25">
      <c r="A272" s="1" t="s">
        <v>1744</v>
      </c>
      <c r="B272" s="1" t="s">
        <v>530</v>
      </c>
      <c r="C272" s="19">
        <v>46182</v>
      </c>
      <c r="D272" s="1" t="s">
        <v>21</v>
      </c>
      <c r="E272" s="1" t="s">
        <v>81</v>
      </c>
      <c r="F272" s="1">
        <v>5573</v>
      </c>
      <c r="G272" s="1" t="s">
        <v>349</v>
      </c>
      <c r="H272" s="1" t="s">
        <v>350</v>
      </c>
      <c r="I272" s="1" t="s">
        <v>347</v>
      </c>
      <c r="J272" s="1" t="s">
        <v>351</v>
      </c>
    </row>
    <row r="273" spans="1:10" x14ac:dyDescent="0.25">
      <c r="A273" s="1" t="s">
        <v>1745</v>
      </c>
      <c r="B273" s="1" t="s">
        <v>530</v>
      </c>
      <c r="C273" s="19">
        <v>46182</v>
      </c>
      <c r="D273" s="1" t="s">
        <v>21</v>
      </c>
      <c r="E273" s="1" t="s">
        <v>81</v>
      </c>
      <c r="F273" s="1">
        <v>5573</v>
      </c>
      <c r="G273" s="1" t="s">
        <v>357</v>
      </c>
      <c r="H273" s="1" t="s">
        <v>346</v>
      </c>
      <c r="I273" s="1" t="s">
        <v>347</v>
      </c>
      <c r="J273" s="1" t="s">
        <v>358</v>
      </c>
    </row>
    <row r="274" spans="1:10" x14ac:dyDescent="0.25">
      <c r="A274" s="1" t="s">
        <v>1746</v>
      </c>
      <c r="B274" s="1" t="s">
        <v>531</v>
      </c>
      <c r="C274" s="19">
        <v>46182</v>
      </c>
      <c r="D274" s="1" t="s">
        <v>22</v>
      </c>
      <c r="E274" s="1" t="s">
        <v>81</v>
      </c>
      <c r="F274" s="1">
        <v>5574</v>
      </c>
      <c r="G274" s="1" t="s">
        <v>355</v>
      </c>
      <c r="H274" s="1" t="s">
        <v>346</v>
      </c>
      <c r="I274" s="1" t="s">
        <v>347</v>
      </c>
      <c r="J274" s="1" t="s">
        <v>356</v>
      </c>
    </row>
    <row r="275" spans="1:10" x14ac:dyDescent="0.25">
      <c r="A275" s="1" t="s">
        <v>1747</v>
      </c>
      <c r="B275" s="1" t="s">
        <v>531</v>
      </c>
      <c r="C275" s="19">
        <v>46182</v>
      </c>
      <c r="D275" s="1" t="s">
        <v>22</v>
      </c>
      <c r="E275" s="1" t="s">
        <v>81</v>
      </c>
      <c r="F275" s="1">
        <v>5574</v>
      </c>
      <c r="G275" s="1" t="s">
        <v>345</v>
      </c>
      <c r="H275" s="1" t="s">
        <v>346</v>
      </c>
      <c r="I275" s="1" t="s">
        <v>347</v>
      </c>
      <c r="J275" s="1" t="s">
        <v>348</v>
      </c>
    </row>
    <row r="276" spans="1:10" x14ac:dyDescent="0.25">
      <c r="A276" s="1" t="s">
        <v>1748</v>
      </c>
      <c r="B276" s="1" t="s">
        <v>531</v>
      </c>
      <c r="C276" s="19">
        <v>46182</v>
      </c>
      <c r="D276" s="1" t="s">
        <v>22</v>
      </c>
      <c r="E276" s="1" t="s">
        <v>81</v>
      </c>
      <c r="F276" s="1">
        <v>5574</v>
      </c>
      <c r="G276" s="1" t="s">
        <v>349</v>
      </c>
      <c r="H276" s="1" t="s">
        <v>350</v>
      </c>
      <c r="I276" s="1" t="s">
        <v>347</v>
      </c>
      <c r="J276" s="1" t="s">
        <v>351</v>
      </c>
    </row>
    <row r="277" spans="1:10" x14ac:dyDescent="0.25">
      <c r="A277" s="1" t="s">
        <v>1749</v>
      </c>
      <c r="B277" s="1" t="s">
        <v>531</v>
      </c>
      <c r="C277" s="19">
        <v>46182</v>
      </c>
      <c r="D277" s="1" t="s">
        <v>22</v>
      </c>
      <c r="E277" s="1" t="s">
        <v>81</v>
      </c>
      <c r="F277" s="1">
        <v>5574</v>
      </c>
      <c r="G277" s="1" t="s">
        <v>357</v>
      </c>
      <c r="H277" s="1" t="s">
        <v>346</v>
      </c>
      <c r="I277" s="1" t="s">
        <v>347</v>
      </c>
      <c r="J277" s="1" t="s">
        <v>358</v>
      </c>
    </row>
    <row r="278" spans="1:10" x14ac:dyDescent="0.25">
      <c r="A278" s="1" t="s">
        <v>1750</v>
      </c>
      <c r="B278" s="1" t="s">
        <v>532</v>
      </c>
      <c r="C278" s="19">
        <v>46182</v>
      </c>
      <c r="D278" s="1" t="s">
        <v>22</v>
      </c>
      <c r="E278" s="1" t="s">
        <v>266</v>
      </c>
      <c r="F278" s="1">
        <v>5575</v>
      </c>
      <c r="G278" s="1" t="s">
        <v>345</v>
      </c>
      <c r="H278" s="1" t="s">
        <v>346</v>
      </c>
      <c r="I278" s="1" t="s">
        <v>347</v>
      </c>
      <c r="J278" s="1" t="s">
        <v>348</v>
      </c>
    </row>
    <row r="279" spans="1:10" x14ac:dyDescent="0.25">
      <c r="A279" s="1" t="s">
        <v>1751</v>
      </c>
      <c r="B279" s="1" t="s">
        <v>532</v>
      </c>
      <c r="C279" s="19">
        <v>46182</v>
      </c>
      <c r="D279" s="1" t="s">
        <v>22</v>
      </c>
      <c r="E279" s="1" t="s">
        <v>266</v>
      </c>
      <c r="F279" s="1">
        <v>5575</v>
      </c>
      <c r="G279" s="1" t="s">
        <v>349</v>
      </c>
      <c r="H279" s="1" t="s">
        <v>350</v>
      </c>
      <c r="I279" s="1" t="s">
        <v>347</v>
      </c>
      <c r="J279" s="1" t="s">
        <v>351</v>
      </c>
    </row>
    <row r="280" spans="1:10" x14ac:dyDescent="0.25">
      <c r="A280" s="1" t="s">
        <v>1752</v>
      </c>
      <c r="B280" s="1" t="s">
        <v>532</v>
      </c>
      <c r="C280" s="19">
        <v>46182</v>
      </c>
      <c r="D280" s="1" t="s">
        <v>22</v>
      </c>
      <c r="E280" s="1" t="s">
        <v>266</v>
      </c>
      <c r="F280" s="1">
        <v>5575</v>
      </c>
      <c r="G280" s="1" t="s">
        <v>357</v>
      </c>
      <c r="H280" s="1" t="s">
        <v>346</v>
      </c>
      <c r="I280" s="1" t="s">
        <v>347</v>
      </c>
      <c r="J280" s="1" t="s">
        <v>358</v>
      </c>
    </row>
    <row r="281" spans="1:10" x14ac:dyDescent="0.25">
      <c r="A281" s="1" t="s">
        <v>1753</v>
      </c>
      <c r="B281" s="1" t="s">
        <v>534</v>
      </c>
      <c r="C281" s="19">
        <v>46182</v>
      </c>
      <c r="D281" s="1" t="s">
        <v>22</v>
      </c>
      <c r="E281" s="1" t="s">
        <v>268</v>
      </c>
      <c r="F281" s="1">
        <v>5577</v>
      </c>
      <c r="G281" s="1" t="s">
        <v>345</v>
      </c>
      <c r="H281" s="1" t="s">
        <v>346</v>
      </c>
      <c r="I281" s="1" t="s">
        <v>347</v>
      </c>
      <c r="J281" s="1" t="s">
        <v>348</v>
      </c>
    </row>
    <row r="282" spans="1:10" x14ac:dyDescent="0.25">
      <c r="A282" s="1" t="s">
        <v>1754</v>
      </c>
      <c r="B282" s="1" t="s">
        <v>534</v>
      </c>
      <c r="C282" s="19">
        <v>46182</v>
      </c>
      <c r="D282" s="1" t="s">
        <v>22</v>
      </c>
      <c r="E282" s="1" t="s">
        <v>268</v>
      </c>
      <c r="F282" s="1">
        <v>5577</v>
      </c>
      <c r="G282" s="1" t="s">
        <v>349</v>
      </c>
      <c r="H282" s="1" t="s">
        <v>350</v>
      </c>
      <c r="I282" s="1" t="s">
        <v>347</v>
      </c>
      <c r="J282" s="1" t="s">
        <v>351</v>
      </c>
    </row>
    <row r="283" spans="1:10" x14ac:dyDescent="0.25">
      <c r="A283" s="1" t="s">
        <v>1755</v>
      </c>
      <c r="B283" s="1" t="s">
        <v>534</v>
      </c>
      <c r="C283" s="19">
        <v>46182</v>
      </c>
      <c r="D283" s="1" t="s">
        <v>22</v>
      </c>
      <c r="E283" s="1" t="s">
        <v>268</v>
      </c>
      <c r="F283" s="1">
        <v>5577</v>
      </c>
      <c r="G283" s="1" t="s">
        <v>357</v>
      </c>
      <c r="H283" s="1" t="s">
        <v>346</v>
      </c>
      <c r="I283" s="1" t="s">
        <v>347</v>
      </c>
      <c r="J283" s="1" t="s">
        <v>358</v>
      </c>
    </row>
    <row r="284" spans="1:10" x14ac:dyDescent="0.25">
      <c r="A284" s="1" t="s">
        <v>1756</v>
      </c>
      <c r="B284" s="1" t="s">
        <v>535</v>
      </c>
      <c r="C284" s="19">
        <v>46182</v>
      </c>
      <c r="D284" s="1" t="s">
        <v>22</v>
      </c>
      <c r="E284" s="1" t="s">
        <v>250</v>
      </c>
      <c r="F284" s="1">
        <v>5578</v>
      </c>
      <c r="G284" s="1" t="s">
        <v>345</v>
      </c>
      <c r="H284" s="1" t="s">
        <v>346</v>
      </c>
      <c r="I284" s="1" t="s">
        <v>347</v>
      </c>
      <c r="J284" s="1" t="s">
        <v>348</v>
      </c>
    </row>
    <row r="285" spans="1:10" x14ac:dyDescent="0.25">
      <c r="A285" s="1" t="s">
        <v>1757</v>
      </c>
      <c r="B285" s="1" t="s">
        <v>535</v>
      </c>
      <c r="C285" s="19">
        <v>46182</v>
      </c>
      <c r="D285" s="1" t="s">
        <v>22</v>
      </c>
      <c r="E285" s="1" t="s">
        <v>250</v>
      </c>
      <c r="F285" s="1">
        <v>5578</v>
      </c>
      <c r="G285" s="1" t="s">
        <v>349</v>
      </c>
      <c r="H285" s="1" t="s">
        <v>350</v>
      </c>
      <c r="I285" s="1" t="s">
        <v>347</v>
      </c>
      <c r="J285" s="1" t="s">
        <v>351</v>
      </c>
    </row>
    <row r="286" spans="1:10" x14ac:dyDescent="0.25">
      <c r="A286" s="1" t="s">
        <v>1758</v>
      </c>
      <c r="B286" s="1" t="s">
        <v>535</v>
      </c>
      <c r="C286" s="19">
        <v>46182</v>
      </c>
      <c r="D286" s="1" t="s">
        <v>22</v>
      </c>
      <c r="E286" s="1" t="s">
        <v>250</v>
      </c>
      <c r="F286" s="1">
        <v>5578</v>
      </c>
      <c r="G286" s="1" t="s">
        <v>357</v>
      </c>
      <c r="H286" s="1" t="s">
        <v>346</v>
      </c>
      <c r="I286" s="1" t="s">
        <v>347</v>
      </c>
      <c r="J286" s="1" t="s">
        <v>358</v>
      </c>
    </row>
    <row r="287" spans="1:10" x14ac:dyDescent="0.25">
      <c r="A287" s="1" t="s">
        <v>1759</v>
      </c>
      <c r="B287" s="1" t="s">
        <v>537</v>
      </c>
      <c r="C287" s="19">
        <v>46182</v>
      </c>
      <c r="D287" s="1" t="s">
        <v>21</v>
      </c>
      <c r="E287" s="1" t="s">
        <v>269</v>
      </c>
      <c r="F287" s="1">
        <v>5580</v>
      </c>
      <c r="G287" s="1" t="s">
        <v>345</v>
      </c>
      <c r="H287" s="1" t="s">
        <v>346</v>
      </c>
      <c r="I287" s="1" t="s">
        <v>347</v>
      </c>
      <c r="J287" s="1" t="s">
        <v>348</v>
      </c>
    </row>
    <row r="288" spans="1:10" x14ac:dyDescent="0.25">
      <c r="A288" s="1" t="s">
        <v>1760</v>
      </c>
      <c r="B288" s="1" t="s">
        <v>537</v>
      </c>
      <c r="C288" s="19">
        <v>46182</v>
      </c>
      <c r="D288" s="1" t="s">
        <v>21</v>
      </c>
      <c r="E288" s="1" t="s">
        <v>269</v>
      </c>
      <c r="F288" s="1">
        <v>5580</v>
      </c>
      <c r="G288" s="1" t="s">
        <v>349</v>
      </c>
      <c r="H288" s="1" t="s">
        <v>350</v>
      </c>
      <c r="I288" s="1" t="s">
        <v>347</v>
      </c>
      <c r="J288" s="1" t="s">
        <v>351</v>
      </c>
    </row>
    <row r="289" spans="1:10" x14ac:dyDescent="0.25">
      <c r="A289" s="1" t="s">
        <v>1761</v>
      </c>
      <c r="B289" s="1" t="s">
        <v>537</v>
      </c>
      <c r="C289" s="19">
        <v>46182</v>
      </c>
      <c r="D289" s="1" t="s">
        <v>21</v>
      </c>
      <c r="E289" s="1" t="s">
        <v>269</v>
      </c>
      <c r="F289" s="1">
        <v>5580</v>
      </c>
      <c r="G289" s="1" t="s">
        <v>357</v>
      </c>
      <c r="H289" s="1" t="s">
        <v>346</v>
      </c>
      <c r="I289" s="1" t="s">
        <v>347</v>
      </c>
      <c r="J289" s="1" t="s">
        <v>358</v>
      </c>
    </row>
    <row r="290" spans="1:10" x14ac:dyDescent="0.25">
      <c r="A290" s="1" t="s">
        <v>1762</v>
      </c>
      <c r="B290" s="1" t="s">
        <v>538</v>
      </c>
      <c r="C290" s="19">
        <v>46182</v>
      </c>
      <c r="D290" s="1" t="s">
        <v>21</v>
      </c>
      <c r="E290" s="1" t="s">
        <v>81</v>
      </c>
      <c r="F290" s="1">
        <v>5581</v>
      </c>
      <c r="G290" s="1" t="s">
        <v>345</v>
      </c>
      <c r="H290" s="1" t="s">
        <v>346</v>
      </c>
      <c r="I290" s="1" t="s">
        <v>347</v>
      </c>
      <c r="J290" s="1" t="s">
        <v>348</v>
      </c>
    </row>
    <row r="291" spans="1:10" x14ac:dyDescent="0.25">
      <c r="A291" s="1" t="s">
        <v>1763</v>
      </c>
      <c r="B291" s="1" t="s">
        <v>538</v>
      </c>
      <c r="C291" s="19">
        <v>46182</v>
      </c>
      <c r="D291" s="1" t="s">
        <v>21</v>
      </c>
      <c r="E291" s="1" t="s">
        <v>81</v>
      </c>
      <c r="F291" s="1">
        <v>5581</v>
      </c>
      <c r="G291" s="1" t="s">
        <v>349</v>
      </c>
      <c r="H291" s="1" t="s">
        <v>350</v>
      </c>
      <c r="I291" s="1" t="s">
        <v>347</v>
      </c>
      <c r="J291" s="1" t="s">
        <v>351</v>
      </c>
    </row>
    <row r="292" spans="1:10" x14ac:dyDescent="0.25">
      <c r="A292" s="1" t="s">
        <v>1764</v>
      </c>
      <c r="B292" s="1" t="s">
        <v>538</v>
      </c>
      <c r="C292" s="19">
        <v>46182</v>
      </c>
      <c r="D292" s="1" t="s">
        <v>21</v>
      </c>
      <c r="E292" s="1" t="s">
        <v>81</v>
      </c>
      <c r="F292" s="1">
        <v>5581</v>
      </c>
      <c r="G292" s="1" t="s">
        <v>357</v>
      </c>
      <c r="H292" s="1" t="s">
        <v>346</v>
      </c>
      <c r="I292" s="1" t="s">
        <v>347</v>
      </c>
      <c r="J292" s="1" t="s">
        <v>358</v>
      </c>
    </row>
    <row r="293" spans="1:10" x14ac:dyDescent="0.25">
      <c r="A293" s="1" t="s">
        <v>1765</v>
      </c>
      <c r="B293" s="1" t="s">
        <v>540</v>
      </c>
      <c r="C293" s="19">
        <v>46182</v>
      </c>
      <c r="D293" s="1" t="s">
        <v>21</v>
      </c>
      <c r="E293" s="1" t="s">
        <v>271</v>
      </c>
      <c r="F293" s="1">
        <v>5583</v>
      </c>
      <c r="G293" s="1" t="s">
        <v>355</v>
      </c>
      <c r="H293" s="1" t="s">
        <v>346</v>
      </c>
      <c r="I293" s="1" t="s">
        <v>347</v>
      </c>
      <c r="J293" s="1" t="s">
        <v>356</v>
      </c>
    </row>
    <row r="294" spans="1:10" x14ac:dyDescent="0.25">
      <c r="A294" s="1" t="s">
        <v>1766</v>
      </c>
      <c r="B294" s="1" t="s">
        <v>540</v>
      </c>
      <c r="C294" s="19">
        <v>46182</v>
      </c>
      <c r="D294" s="1" t="s">
        <v>21</v>
      </c>
      <c r="E294" s="1" t="s">
        <v>271</v>
      </c>
      <c r="F294" s="1">
        <v>5583</v>
      </c>
      <c r="G294" s="1" t="s">
        <v>345</v>
      </c>
      <c r="H294" s="1" t="s">
        <v>346</v>
      </c>
      <c r="I294" s="1" t="s">
        <v>347</v>
      </c>
      <c r="J294" s="1" t="s">
        <v>348</v>
      </c>
    </row>
    <row r="295" spans="1:10" x14ac:dyDescent="0.25">
      <c r="A295" s="1" t="s">
        <v>1767</v>
      </c>
      <c r="B295" s="1" t="s">
        <v>540</v>
      </c>
      <c r="C295" s="19">
        <v>46182</v>
      </c>
      <c r="D295" s="1" t="s">
        <v>21</v>
      </c>
      <c r="E295" s="1" t="s">
        <v>271</v>
      </c>
      <c r="F295" s="1">
        <v>5583</v>
      </c>
      <c r="G295" s="1" t="s">
        <v>349</v>
      </c>
      <c r="H295" s="1" t="s">
        <v>350</v>
      </c>
      <c r="I295" s="1" t="s">
        <v>347</v>
      </c>
      <c r="J295" s="1" t="s">
        <v>351</v>
      </c>
    </row>
    <row r="296" spans="1:10" x14ac:dyDescent="0.25">
      <c r="A296" s="1" t="s">
        <v>1768</v>
      </c>
      <c r="B296" s="1" t="s">
        <v>540</v>
      </c>
      <c r="C296" s="19">
        <v>46182</v>
      </c>
      <c r="D296" s="1" t="s">
        <v>21</v>
      </c>
      <c r="E296" s="1" t="s">
        <v>271</v>
      </c>
      <c r="F296" s="1">
        <v>5583</v>
      </c>
      <c r="G296" s="1" t="s">
        <v>357</v>
      </c>
      <c r="H296" s="1" t="s">
        <v>346</v>
      </c>
      <c r="I296" s="1" t="s">
        <v>347</v>
      </c>
      <c r="J296" s="1" t="s">
        <v>358</v>
      </c>
    </row>
    <row r="297" spans="1:10" x14ac:dyDescent="0.25">
      <c r="A297" s="1" t="s">
        <v>1769</v>
      </c>
      <c r="B297" s="1" t="s">
        <v>542</v>
      </c>
      <c r="C297" s="19">
        <v>46182</v>
      </c>
      <c r="D297" s="1" t="s">
        <v>21</v>
      </c>
      <c r="E297" s="1" t="s">
        <v>273</v>
      </c>
      <c r="F297" s="1">
        <v>5585</v>
      </c>
      <c r="G297" s="1" t="s">
        <v>345</v>
      </c>
      <c r="H297" s="1" t="s">
        <v>346</v>
      </c>
      <c r="I297" s="1" t="s">
        <v>347</v>
      </c>
      <c r="J297" s="1" t="s">
        <v>348</v>
      </c>
    </row>
    <row r="298" spans="1:10" x14ac:dyDescent="0.25">
      <c r="A298" s="1" t="s">
        <v>1770</v>
      </c>
      <c r="B298" s="1" t="s">
        <v>542</v>
      </c>
      <c r="C298" s="19">
        <v>46182</v>
      </c>
      <c r="D298" s="1" t="s">
        <v>21</v>
      </c>
      <c r="E298" s="1" t="s">
        <v>273</v>
      </c>
      <c r="F298" s="1">
        <v>5585</v>
      </c>
      <c r="G298" s="1" t="s">
        <v>349</v>
      </c>
      <c r="H298" s="1" t="s">
        <v>350</v>
      </c>
      <c r="I298" s="1" t="s">
        <v>347</v>
      </c>
      <c r="J298" s="1" t="s">
        <v>351</v>
      </c>
    </row>
    <row r="299" spans="1:10" x14ac:dyDescent="0.25">
      <c r="A299" s="1" t="s">
        <v>1771</v>
      </c>
      <c r="B299" s="1" t="s">
        <v>542</v>
      </c>
      <c r="C299" s="19">
        <v>46182</v>
      </c>
      <c r="D299" s="1" t="s">
        <v>21</v>
      </c>
      <c r="E299" s="1" t="s">
        <v>273</v>
      </c>
      <c r="F299" s="1">
        <v>5585</v>
      </c>
      <c r="G299" s="1" t="s">
        <v>357</v>
      </c>
      <c r="H299" s="1" t="s">
        <v>346</v>
      </c>
      <c r="I299" s="1" t="s">
        <v>347</v>
      </c>
      <c r="J299" s="1" t="s">
        <v>358</v>
      </c>
    </row>
    <row r="300" spans="1:10" x14ac:dyDescent="0.25">
      <c r="A300" s="1" t="s">
        <v>1772</v>
      </c>
      <c r="B300" s="1" t="s">
        <v>543</v>
      </c>
      <c r="C300" s="19">
        <v>46182</v>
      </c>
      <c r="D300" s="1" t="s">
        <v>21</v>
      </c>
      <c r="E300" s="1" t="s">
        <v>274</v>
      </c>
      <c r="F300" s="1">
        <v>5586</v>
      </c>
      <c r="G300" s="1" t="s">
        <v>345</v>
      </c>
      <c r="H300" s="1" t="s">
        <v>346</v>
      </c>
      <c r="I300" s="1" t="s">
        <v>347</v>
      </c>
      <c r="J300" s="1" t="s">
        <v>348</v>
      </c>
    </row>
    <row r="301" spans="1:10" x14ac:dyDescent="0.25">
      <c r="A301" s="1" t="s">
        <v>1773</v>
      </c>
      <c r="B301" s="1" t="s">
        <v>543</v>
      </c>
      <c r="C301" s="19">
        <v>46182</v>
      </c>
      <c r="D301" s="1" t="s">
        <v>21</v>
      </c>
      <c r="E301" s="1" t="s">
        <v>274</v>
      </c>
      <c r="F301" s="1">
        <v>5586</v>
      </c>
      <c r="G301" s="1" t="s">
        <v>349</v>
      </c>
      <c r="H301" s="1" t="s">
        <v>350</v>
      </c>
      <c r="I301" s="1" t="s">
        <v>347</v>
      </c>
      <c r="J301" s="1" t="s">
        <v>351</v>
      </c>
    </row>
    <row r="302" spans="1:10" x14ac:dyDescent="0.25">
      <c r="A302" s="1" t="s">
        <v>1774</v>
      </c>
      <c r="B302" s="1" t="s">
        <v>543</v>
      </c>
      <c r="C302" s="19">
        <v>46182</v>
      </c>
      <c r="D302" s="1" t="s">
        <v>21</v>
      </c>
      <c r="E302" s="1" t="s">
        <v>274</v>
      </c>
      <c r="F302" s="1">
        <v>5586</v>
      </c>
      <c r="G302" s="1" t="s">
        <v>357</v>
      </c>
      <c r="H302" s="1" t="s">
        <v>346</v>
      </c>
      <c r="I302" s="1" t="s">
        <v>347</v>
      </c>
      <c r="J302" s="1" t="s">
        <v>358</v>
      </c>
    </row>
    <row r="303" spans="1:10" x14ac:dyDescent="0.25">
      <c r="A303" s="1" t="s">
        <v>1775</v>
      </c>
      <c r="B303" s="1" t="s">
        <v>544</v>
      </c>
      <c r="C303" s="19">
        <v>46182</v>
      </c>
      <c r="D303" s="1" t="s">
        <v>21</v>
      </c>
      <c r="E303" s="1" t="s">
        <v>275</v>
      </c>
      <c r="F303" s="1">
        <v>5587</v>
      </c>
      <c r="G303" s="1" t="s">
        <v>345</v>
      </c>
      <c r="H303" s="1" t="s">
        <v>346</v>
      </c>
      <c r="I303" s="1" t="s">
        <v>347</v>
      </c>
      <c r="J303" s="1" t="s">
        <v>348</v>
      </c>
    </row>
    <row r="304" spans="1:10" x14ac:dyDescent="0.25">
      <c r="A304" s="1" t="s">
        <v>1776</v>
      </c>
      <c r="B304" s="1" t="s">
        <v>544</v>
      </c>
      <c r="C304" s="19">
        <v>46182</v>
      </c>
      <c r="D304" s="1" t="s">
        <v>21</v>
      </c>
      <c r="E304" s="1" t="s">
        <v>275</v>
      </c>
      <c r="F304" s="1">
        <v>5587</v>
      </c>
      <c r="G304" s="1" t="s">
        <v>349</v>
      </c>
      <c r="H304" s="1" t="s">
        <v>350</v>
      </c>
      <c r="I304" s="1" t="s">
        <v>347</v>
      </c>
      <c r="J304" s="1" t="s">
        <v>351</v>
      </c>
    </row>
    <row r="305" spans="1:10" x14ac:dyDescent="0.25">
      <c r="A305" s="1" t="s">
        <v>1777</v>
      </c>
      <c r="B305" s="1" t="s">
        <v>544</v>
      </c>
      <c r="C305" s="19">
        <v>46182</v>
      </c>
      <c r="D305" s="1" t="s">
        <v>21</v>
      </c>
      <c r="E305" s="1" t="s">
        <v>275</v>
      </c>
      <c r="F305" s="1">
        <v>5587</v>
      </c>
      <c r="G305" s="1" t="s">
        <v>357</v>
      </c>
      <c r="H305" s="1" t="s">
        <v>346</v>
      </c>
      <c r="I305" s="1" t="s">
        <v>347</v>
      </c>
      <c r="J305" s="1" t="s">
        <v>358</v>
      </c>
    </row>
    <row r="306" spans="1:10" x14ac:dyDescent="0.25">
      <c r="A306" s="1" t="s">
        <v>1778</v>
      </c>
      <c r="B306" s="1" t="s">
        <v>545</v>
      </c>
      <c r="C306" s="19">
        <v>46182</v>
      </c>
      <c r="D306" s="1" t="s">
        <v>21</v>
      </c>
      <c r="E306" s="1" t="s">
        <v>81</v>
      </c>
      <c r="F306" s="1">
        <v>5588</v>
      </c>
      <c r="G306" s="1" t="s">
        <v>355</v>
      </c>
      <c r="H306" s="1" t="s">
        <v>346</v>
      </c>
      <c r="I306" s="1" t="s">
        <v>347</v>
      </c>
      <c r="J306" s="1" t="s">
        <v>356</v>
      </c>
    </row>
    <row r="307" spans="1:10" x14ac:dyDescent="0.25">
      <c r="A307" s="1" t="s">
        <v>1779</v>
      </c>
      <c r="B307" s="1" t="s">
        <v>545</v>
      </c>
      <c r="C307" s="19">
        <v>46182</v>
      </c>
      <c r="D307" s="1" t="s">
        <v>21</v>
      </c>
      <c r="E307" s="1" t="s">
        <v>81</v>
      </c>
      <c r="F307" s="1">
        <v>5588</v>
      </c>
      <c r="G307" s="1" t="s">
        <v>345</v>
      </c>
      <c r="H307" s="1" t="s">
        <v>346</v>
      </c>
      <c r="I307" s="1" t="s">
        <v>347</v>
      </c>
      <c r="J307" s="1" t="s">
        <v>348</v>
      </c>
    </row>
    <row r="308" spans="1:10" x14ac:dyDescent="0.25">
      <c r="A308" s="1" t="s">
        <v>1780</v>
      </c>
      <c r="B308" s="1" t="s">
        <v>545</v>
      </c>
      <c r="C308" s="19">
        <v>46182</v>
      </c>
      <c r="D308" s="1" t="s">
        <v>21</v>
      </c>
      <c r="E308" s="1" t="s">
        <v>81</v>
      </c>
      <c r="F308" s="1">
        <v>5588</v>
      </c>
      <c r="G308" s="1" t="s">
        <v>349</v>
      </c>
      <c r="H308" s="1" t="s">
        <v>350</v>
      </c>
      <c r="I308" s="1" t="s">
        <v>347</v>
      </c>
      <c r="J308" s="1" t="s">
        <v>351</v>
      </c>
    </row>
    <row r="309" spans="1:10" x14ac:dyDescent="0.25">
      <c r="A309" s="1" t="s">
        <v>1781</v>
      </c>
      <c r="B309" s="1" t="s">
        <v>545</v>
      </c>
      <c r="C309" s="19">
        <v>46182</v>
      </c>
      <c r="D309" s="1" t="s">
        <v>21</v>
      </c>
      <c r="E309" s="1" t="s">
        <v>81</v>
      </c>
      <c r="F309" s="1">
        <v>5588</v>
      </c>
      <c r="G309" s="1" t="s">
        <v>357</v>
      </c>
      <c r="H309" s="1" t="s">
        <v>346</v>
      </c>
      <c r="I309" s="1" t="s">
        <v>347</v>
      </c>
      <c r="J309" s="1" t="s">
        <v>358</v>
      </c>
    </row>
    <row r="310" spans="1:10" x14ac:dyDescent="0.25">
      <c r="A310" s="1" t="s">
        <v>1782</v>
      </c>
      <c r="B310" s="1" t="s">
        <v>546</v>
      </c>
      <c r="C310" s="19">
        <v>46182</v>
      </c>
      <c r="D310" s="1" t="s">
        <v>21</v>
      </c>
      <c r="E310" s="1" t="s">
        <v>81</v>
      </c>
      <c r="F310" s="1">
        <v>5593</v>
      </c>
      <c r="G310" s="1" t="s">
        <v>345</v>
      </c>
      <c r="H310" s="1" t="s">
        <v>346</v>
      </c>
      <c r="I310" s="1" t="s">
        <v>347</v>
      </c>
      <c r="J310" s="1" t="s">
        <v>348</v>
      </c>
    </row>
    <row r="311" spans="1:10" x14ac:dyDescent="0.25">
      <c r="A311" s="1" t="s">
        <v>1783</v>
      </c>
      <c r="B311" s="1" t="s">
        <v>546</v>
      </c>
      <c r="C311" s="19">
        <v>46182</v>
      </c>
      <c r="D311" s="1" t="s">
        <v>21</v>
      </c>
      <c r="E311" s="1" t="s">
        <v>81</v>
      </c>
      <c r="F311" s="1">
        <v>5593</v>
      </c>
      <c r="G311" s="1" t="s">
        <v>349</v>
      </c>
      <c r="H311" s="1" t="s">
        <v>350</v>
      </c>
      <c r="I311" s="1" t="s">
        <v>347</v>
      </c>
      <c r="J311" s="1" t="s">
        <v>351</v>
      </c>
    </row>
    <row r="312" spans="1:10" x14ac:dyDescent="0.25">
      <c r="A312" s="1" t="s">
        <v>1784</v>
      </c>
      <c r="B312" s="1" t="s">
        <v>546</v>
      </c>
      <c r="C312" s="19">
        <v>46182</v>
      </c>
      <c r="D312" s="1" t="s">
        <v>21</v>
      </c>
      <c r="E312" s="1" t="s">
        <v>81</v>
      </c>
      <c r="F312" s="1">
        <v>5593</v>
      </c>
      <c r="G312" s="1" t="s">
        <v>357</v>
      </c>
      <c r="H312" s="1" t="s">
        <v>346</v>
      </c>
      <c r="I312" s="1" t="s">
        <v>347</v>
      </c>
      <c r="J312" s="1" t="s">
        <v>358</v>
      </c>
    </row>
    <row r="313" spans="1:10" x14ac:dyDescent="0.25">
      <c r="A313" s="1" t="s">
        <v>1785</v>
      </c>
      <c r="B313" s="1" t="s">
        <v>547</v>
      </c>
      <c r="C313" s="19">
        <v>46182</v>
      </c>
      <c r="D313" s="1" t="s">
        <v>21</v>
      </c>
      <c r="E313" s="1" t="s">
        <v>278</v>
      </c>
      <c r="F313" s="1">
        <v>5590</v>
      </c>
      <c r="G313" s="1" t="s">
        <v>345</v>
      </c>
      <c r="H313" s="1" t="s">
        <v>346</v>
      </c>
      <c r="I313" s="1" t="s">
        <v>347</v>
      </c>
      <c r="J313" s="1" t="s">
        <v>348</v>
      </c>
    </row>
    <row r="314" spans="1:10" x14ac:dyDescent="0.25">
      <c r="A314" s="1" t="s">
        <v>1786</v>
      </c>
      <c r="B314" s="1" t="s">
        <v>547</v>
      </c>
      <c r="C314" s="19">
        <v>46182</v>
      </c>
      <c r="D314" s="1" t="s">
        <v>21</v>
      </c>
      <c r="E314" s="1" t="s">
        <v>278</v>
      </c>
      <c r="F314" s="1">
        <v>5590</v>
      </c>
      <c r="G314" s="1" t="s">
        <v>349</v>
      </c>
      <c r="H314" s="1" t="s">
        <v>350</v>
      </c>
      <c r="I314" s="1" t="s">
        <v>347</v>
      </c>
      <c r="J314" s="1" t="s">
        <v>351</v>
      </c>
    </row>
    <row r="315" spans="1:10" x14ac:dyDescent="0.25">
      <c r="A315" s="1" t="s">
        <v>1787</v>
      </c>
      <c r="B315" s="1" t="s">
        <v>547</v>
      </c>
      <c r="C315" s="19">
        <v>46182</v>
      </c>
      <c r="D315" s="1" t="s">
        <v>21</v>
      </c>
      <c r="E315" s="1" t="s">
        <v>278</v>
      </c>
      <c r="F315" s="1">
        <v>5590</v>
      </c>
      <c r="G315" s="1" t="s">
        <v>357</v>
      </c>
      <c r="H315" s="1" t="s">
        <v>346</v>
      </c>
      <c r="I315" s="1" t="s">
        <v>347</v>
      </c>
      <c r="J315" s="1" t="s">
        <v>358</v>
      </c>
    </row>
    <row r="316" spans="1:10" x14ac:dyDescent="0.25">
      <c r="A316" s="1" t="s">
        <v>1788</v>
      </c>
      <c r="B316" s="1" t="s">
        <v>548</v>
      </c>
      <c r="C316" s="19">
        <v>46182</v>
      </c>
      <c r="D316" s="1" t="s">
        <v>21</v>
      </c>
      <c r="E316" s="1" t="s">
        <v>279</v>
      </c>
      <c r="F316" s="1">
        <v>5591</v>
      </c>
      <c r="G316" s="1" t="s">
        <v>345</v>
      </c>
      <c r="H316" s="1" t="s">
        <v>346</v>
      </c>
      <c r="I316" s="1" t="s">
        <v>347</v>
      </c>
      <c r="J316" s="1" t="s">
        <v>348</v>
      </c>
    </row>
    <row r="317" spans="1:10" x14ac:dyDescent="0.25">
      <c r="A317" s="1" t="s">
        <v>1789</v>
      </c>
      <c r="B317" s="1" t="s">
        <v>548</v>
      </c>
      <c r="C317" s="19">
        <v>46182</v>
      </c>
      <c r="D317" s="1" t="s">
        <v>21</v>
      </c>
      <c r="E317" s="1" t="s">
        <v>279</v>
      </c>
      <c r="F317" s="1">
        <v>5591</v>
      </c>
      <c r="G317" s="1" t="s">
        <v>349</v>
      </c>
      <c r="H317" s="1" t="s">
        <v>350</v>
      </c>
      <c r="I317" s="1" t="s">
        <v>347</v>
      </c>
      <c r="J317" s="1" t="s">
        <v>351</v>
      </c>
    </row>
    <row r="318" spans="1:10" x14ac:dyDescent="0.25">
      <c r="A318" s="1" t="s">
        <v>1790</v>
      </c>
      <c r="B318" s="1" t="s">
        <v>548</v>
      </c>
      <c r="C318" s="19">
        <v>46182</v>
      </c>
      <c r="D318" s="1" t="s">
        <v>21</v>
      </c>
      <c r="E318" s="1" t="s">
        <v>279</v>
      </c>
      <c r="F318" s="1">
        <v>5591</v>
      </c>
      <c r="G318" s="1" t="s">
        <v>357</v>
      </c>
      <c r="H318" s="1" t="s">
        <v>346</v>
      </c>
      <c r="I318" s="1" t="s">
        <v>347</v>
      </c>
      <c r="J318" s="1" t="s">
        <v>358</v>
      </c>
    </row>
    <row r="319" spans="1:10" x14ac:dyDescent="0.25">
      <c r="A319" s="1" t="s">
        <v>1791</v>
      </c>
      <c r="B319" s="1" t="s">
        <v>549</v>
      </c>
      <c r="C319" s="19">
        <v>46182</v>
      </c>
      <c r="D319" s="1" t="s">
        <v>21</v>
      </c>
      <c r="E319" s="1" t="s">
        <v>270</v>
      </c>
      <c r="F319" s="1">
        <v>5592</v>
      </c>
      <c r="G319" s="1" t="s">
        <v>345</v>
      </c>
      <c r="H319" s="1" t="s">
        <v>346</v>
      </c>
      <c r="I319" s="1" t="s">
        <v>347</v>
      </c>
      <c r="J319" s="1" t="s">
        <v>348</v>
      </c>
    </row>
    <row r="320" spans="1:10" x14ac:dyDescent="0.25">
      <c r="A320" s="1" t="s">
        <v>1792</v>
      </c>
      <c r="B320" s="1" t="s">
        <v>549</v>
      </c>
      <c r="C320" s="19">
        <v>46182</v>
      </c>
      <c r="D320" s="1" t="s">
        <v>21</v>
      </c>
      <c r="E320" s="1" t="s">
        <v>270</v>
      </c>
      <c r="F320" s="1">
        <v>5592</v>
      </c>
      <c r="G320" s="1" t="s">
        <v>349</v>
      </c>
      <c r="H320" s="1" t="s">
        <v>350</v>
      </c>
      <c r="I320" s="1" t="s">
        <v>347</v>
      </c>
      <c r="J320" s="1" t="s">
        <v>351</v>
      </c>
    </row>
    <row r="321" spans="1:10" x14ac:dyDescent="0.25">
      <c r="A321" s="1" t="s">
        <v>1793</v>
      </c>
      <c r="B321" s="1" t="s">
        <v>549</v>
      </c>
      <c r="C321" s="19">
        <v>46182</v>
      </c>
      <c r="D321" s="1" t="s">
        <v>21</v>
      </c>
      <c r="E321" s="1" t="s">
        <v>270</v>
      </c>
      <c r="F321" s="1">
        <v>5592</v>
      </c>
      <c r="G321" s="1" t="s">
        <v>357</v>
      </c>
      <c r="H321" s="1" t="s">
        <v>346</v>
      </c>
      <c r="I321" s="1" t="s">
        <v>347</v>
      </c>
      <c r="J321" s="1" t="s">
        <v>358</v>
      </c>
    </row>
    <row r="322" spans="1:10" x14ac:dyDescent="0.25">
      <c r="A322" s="1" t="s">
        <v>1794</v>
      </c>
      <c r="B322" s="1" t="s">
        <v>550</v>
      </c>
      <c r="C322" s="19">
        <v>46182</v>
      </c>
      <c r="D322" s="1" t="s">
        <v>21</v>
      </c>
      <c r="E322" s="1" t="s">
        <v>81</v>
      </c>
      <c r="F322" s="1">
        <v>5593</v>
      </c>
      <c r="G322" s="1" t="s">
        <v>345</v>
      </c>
      <c r="H322" s="1" t="s">
        <v>346</v>
      </c>
      <c r="I322" s="1" t="s">
        <v>347</v>
      </c>
      <c r="J322" s="1" t="s">
        <v>348</v>
      </c>
    </row>
    <row r="323" spans="1:10" x14ac:dyDescent="0.25">
      <c r="A323" s="1" t="s">
        <v>1795</v>
      </c>
      <c r="B323" s="1" t="s">
        <v>550</v>
      </c>
      <c r="C323" s="19">
        <v>46182</v>
      </c>
      <c r="D323" s="1" t="s">
        <v>21</v>
      </c>
      <c r="E323" s="1" t="s">
        <v>81</v>
      </c>
      <c r="F323" s="1">
        <v>5593</v>
      </c>
      <c r="G323" s="1" t="s">
        <v>349</v>
      </c>
      <c r="H323" s="1" t="s">
        <v>350</v>
      </c>
      <c r="I323" s="1" t="s">
        <v>347</v>
      </c>
      <c r="J323" s="1" t="s">
        <v>351</v>
      </c>
    </row>
    <row r="324" spans="1:10" x14ac:dyDescent="0.25">
      <c r="A324" s="1" t="s">
        <v>1796</v>
      </c>
      <c r="B324" s="1" t="s">
        <v>550</v>
      </c>
      <c r="C324" s="19">
        <v>46182</v>
      </c>
      <c r="D324" s="1" t="s">
        <v>21</v>
      </c>
      <c r="E324" s="1" t="s">
        <v>81</v>
      </c>
      <c r="F324" s="1">
        <v>5593</v>
      </c>
      <c r="G324" s="1" t="s">
        <v>357</v>
      </c>
      <c r="H324" s="1" t="s">
        <v>346</v>
      </c>
      <c r="I324" s="1" t="s">
        <v>347</v>
      </c>
      <c r="J324" s="1" t="s">
        <v>358</v>
      </c>
    </row>
    <row r="325" spans="1:10" x14ac:dyDescent="0.25">
      <c r="A325" s="1" t="s">
        <v>1797</v>
      </c>
      <c r="B325" s="1" t="s">
        <v>551</v>
      </c>
      <c r="C325" s="19">
        <v>46182</v>
      </c>
      <c r="D325" s="1" t="s">
        <v>21</v>
      </c>
      <c r="E325" s="1" t="s">
        <v>81</v>
      </c>
      <c r="F325" s="1">
        <v>5594</v>
      </c>
      <c r="G325" s="1" t="s">
        <v>355</v>
      </c>
      <c r="H325" s="1" t="s">
        <v>346</v>
      </c>
      <c r="I325" s="1" t="s">
        <v>347</v>
      </c>
      <c r="J325" s="1" t="s">
        <v>356</v>
      </c>
    </row>
    <row r="326" spans="1:10" x14ac:dyDescent="0.25">
      <c r="A326" s="1" t="s">
        <v>1798</v>
      </c>
      <c r="B326" s="1" t="s">
        <v>551</v>
      </c>
      <c r="C326" s="19">
        <v>46182</v>
      </c>
      <c r="D326" s="1" t="s">
        <v>21</v>
      </c>
      <c r="E326" s="1" t="s">
        <v>81</v>
      </c>
      <c r="F326" s="1">
        <v>5594</v>
      </c>
      <c r="G326" s="1" t="s">
        <v>345</v>
      </c>
      <c r="H326" s="1" t="s">
        <v>346</v>
      </c>
      <c r="I326" s="1" t="s">
        <v>347</v>
      </c>
      <c r="J326" s="1" t="s">
        <v>348</v>
      </c>
    </row>
    <row r="327" spans="1:10" x14ac:dyDescent="0.25">
      <c r="A327" s="1" t="s">
        <v>1799</v>
      </c>
      <c r="B327" s="1" t="s">
        <v>551</v>
      </c>
      <c r="C327" s="19">
        <v>46182</v>
      </c>
      <c r="D327" s="1" t="s">
        <v>21</v>
      </c>
      <c r="E327" s="1" t="s">
        <v>81</v>
      </c>
      <c r="F327" s="1">
        <v>5594</v>
      </c>
      <c r="G327" s="1" t="s">
        <v>349</v>
      </c>
      <c r="H327" s="1" t="s">
        <v>350</v>
      </c>
      <c r="I327" s="1" t="s">
        <v>347</v>
      </c>
      <c r="J327" s="1" t="s">
        <v>351</v>
      </c>
    </row>
    <row r="328" spans="1:10" x14ac:dyDescent="0.25">
      <c r="A328" s="1" t="s">
        <v>1800</v>
      </c>
      <c r="B328" s="1" t="s">
        <v>551</v>
      </c>
      <c r="C328" s="19">
        <v>46182</v>
      </c>
      <c r="D328" s="1" t="s">
        <v>21</v>
      </c>
      <c r="E328" s="1" t="s">
        <v>81</v>
      </c>
      <c r="F328" s="1">
        <v>5594</v>
      </c>
      <c r="G328" s="1" t="s">
        <v>357</v>
      </c>
      <c r="H328" s="1" t="s">
        <v>346</v>
      </c>
      <c r="I328" s="1" t="s">
        <v>347</v>
      </c>
      <c r="J328" s="1" t="s">
        <v>358</v>
      </c>
    </row>
    <row r="329" spans="1:10" x14ac:dyDescent="0.25">
      <c r="A329" s="1" t="s">
        <v>1801</v>
      </c>
      <c r="B329" s="1" t="s">
        <v>552</v>
      </c>
      <c r="C329" s="19">
        <v>46182</v>
      </c>
      <c r="D329" s="1" t="s">
        <v>22</v>
      </c>
      <c r="E329" s="1" t="s">
        <v>267</v>
      </c>
      <c r="F329" s="1">
        <v>5595</v>
      </c>
      <c r="G329" s="1" t="s">
        <v>345</v>
      </c>
      <c r="H329" s="1" t="s">
        <v>346</v>
      </c>
      <c r="I329" s="1" t="s">
        <v>347</v>
      </c>
      <c r="J329" s="1" t="s">
        <v>348</v>
      </c>
    </row>
    <row r="330" spans="1:10" x14ac:dyDescent="0.25">
      <c r="A330" s="1" t="s">
        <v>1802</v>
      </c>
      <c r="B330" s="1" t="s">
        <v>552</v>
      </c>
      <c r="C330" s="19">
        <v>46182</v>
      </c>
      <c r="D330" s="1" t="s">
        <v>22</v>
      </c>
      <c r="E330" s="1" t="s">
        <v>267</v>
      </c>
      <c r="F330" s="1">
        <v>5595</v>
      </c>
      <c r="G330" s="1" t="s">
        <v>349</v>
      </c>
      <c r="H330" s="1" t="s">
        <v>350</v>
      </c>
      <c r="I330" s="1" t="s">
        <v>347</v>
      </c>
      <c r="J330" s="1" t="s">
        <v>351</v>
      </c>
    </row>
    <row r="331" spans="1:10" x14ac:dyDescent="0.25">
      <c r="A331" s="1" t="s">
        <v>1803</v>
      </c>
      <c r="B331" s="1" t="s">
        <v>552</v>
      </c>
      <c r="C331" s="19">
        <v>46182</v>
      </c>
      <c r="D331" s="1" t="s">
        <v>22</v>
      </c>
      <c r="E331" s="1" t="s">
        <v>267</v>
      </c>
      <c r="F331" s="1">
        <v>5595</v>
      </c>
      <c r="G331" s="1" t="s">
        <v>357</v>
      </c>
      <c r="H331" s="1" t="s">
        <v>346</v>
      </c>
      <c r="I331" s="1" t="s">
        <v>347</v>
      </c>
      <c r="J331" s="1" t="s">
        <v>358</v>
      </c>
    </row>
    <row r="332" spans="1:10" x14ac:dyDescent="0.25">
      <c r="A332" s="1" t="s">
        <v>1804</v>
      </c>
      <c r="B332" s="1" t="s">
        <v>553</v>
      </c>
      <c r="C332" s="19">
        <v>46182</v>
      </c>
      <c r="D332" s="1" t="s">
        <v>22</v>
      </c>
      <c r="E332" s="1" t="s">
        <v>81</v>
      </c>
      <c r="F332" s="1">
        <v>5596</v>
      </c>
      <c r="G332" s="1" t="s">
        <v>355</v>
      </c>
      <c r="H332" s="1" t="s">
        <v>346</v>
      </c>
      <c r="I332" s="1" t="s">
        <v>347</v>
      </c>
      <c r="J332" s="1" t="s">
        <v>356</v>
      </c>
    </row>
    <row r="333" spans="1:10" x14ac:dyDescent="0.25">
      <c r="A333" s="1" t="s">
        <v>1805</v>
      </c>
      <c r="B333" s="1" t="s">
        <v>553</v>
      </c>
      <c r="C333" s="19">
        <v>46182</v>
      </c>
      <c r="D333" s="1" t="s">
        <v>22</v>
      </c>
      <c r="E333" s="1" t="s">
        <v>81</v>
      </c>
      <c r="F333" s="1">
        <v>5596</v>
      </c>
      <c r="G333" s="1" t="s">
        <v>345</v>
      </c>
      <c r="H333" s="1" t="s">
        <v>346</v>
      </c>
      <c r="I333" s="1" t="s">
        <v>347</v>
      </c>
      <c r="J333" s="1" t="s">
        <v>348</v>
      </c>
    </row>
    <row r="334" spans="1:10" x14ac:dyDescent="0.25">
      <c r="A334" s="1" t="s">
        <v>1806</v>
      </c>
      <c r="B334" s="1" t="s">
        <v>553</v>
      </c>
      <c r="C334" s="19">
        <v>46182</v>
      </c>
      <c r="D334" s="1" t="s">
        <v>22</v>
      </c>
      <c r="E334" s="1" t="s">
        <v>81</v>
      </c>
      <c r="F334" s="1">
        <v>5596</v>
      </c>
      <c r="G334" s="1" t="s">
        <v>349</v>
      </c>
      <c r="H334" s="1" t="s">
        <v>350</v>
      </c>
      <c r="I334" s="1" t="s">
        <v>347</v>
      </c>
      <c r="J334" s="1" t="s">
        <v>351</v>
      </c>
    </row>
    <row r="335" spans="1:10" x14ac:dyDescent="0.25">
      <c r="A335" s="1" t="s">
        <v>1807</v>
      </c>
      <c r="B335" s="1" t="s">
        <v>553</v>
      </c>
      <c r="C335" s="19">
        <v>46182</v>
      </c>
      <c r="D335" s="1" t="s">
        <v>22</v>
      </c>
      <c r="E335" s="1" t="s">
        <v>81</v>
      </c>
      <c r="F335" s="1">
        <v>5596</v>
      </c>
      <c r="G335" s="1" t="s">
        <v>357</v>
      </c>
      <c r="H335" s="1" t="s">
        <v>346</v>
      </c>
      <c r="I335" s="1" t="s">
        <v>347</v>
      </c>
      <c r="J335" s="1" t="s">
        <v>358</v>
      </c>
    </row>
    <row r="336" spans="1:10" x14ac:dyDescent="0.25">
      <c r="A336" s="1" t="s">
        <v>1808</v>
      </c>
      <c r="B336" s="1" t="s">
        <v>554</v>
      </c>
      <c r="C336" s="19">
        <v>46182</v>
      </c>
      <c r="D336" s="1" t="s">
        <v>21</v>
      </c>
      <c r="E336" s="1" t="s">
        <v>283</v>
      </c>
      <c r="F336" s="1">
        <v>5597</v>
      </c>
      <c r="G336" s="1" t="s">
        <v>345</v>
      </c>
      <c r="H336" s="1" t="s">
        <v>346</v>
      </c>
      <c r="I336" s="1" t="s">
        <v>347</v>
      </c>
      <c r="J336" s="1" t="s">
        <v>348</v>
      </c>
    </row>
    <row r="337" spans="1:10" x14ac:dyDescent="0.25">
      <c r="A337" s="1" t="s">
        <v>1809</v>
      </c>
      <c r="B337" s="1" t="s">
        <v>554</v>
      </c>
      <c r="C337" s="19">
        <v>46182</v>
      </c>
      <c r="D337" s="1" t="s">
        <v>21</v>
      </c>
      <c r="E337" s="1" t="s">
        <v>283</v>
      </c>
      <c r="F337" s="1">
        <v>5597</v>
      </c>
      <c r="G337" s="1" t="s">
        <v>349</v>
      </c>
      <c r="H337" s="1" t="s">
        <v>350</v>
      </c>
      <c r="I337" s="1" t="s">
        <v>347</v>
      </c>
      <c r="J337" s="1" t="s">
        <v>351</v>
      </c>
    </row>
    <row r="338" spans="1:10" x14ac:dyDescent="0.25">
      <c r="A338" s="1" t="s">
        <v>1810</v>
      </c>
      <c r="B338" s="1" t="s">
        <v>554</v>
      </c>
      <c r="C338" s="19">
        <v>46182</v>
      </c>
      <c r="D338" s="1" t="s">
        <v>21</v>
      </c>
      <c r="E338" s="1" t="s">
        <v>283</v>
      </c>
      <c r="F338" s="1">
        <v>5597</v>
      </c>
      <c r="G338" s="1" t="s">
        <v>357</v>
      </c>
      <c r="H338" s="1" t="s">
        <v>346</v>
      </c>
      <c r="I338" s="1" t="s">
        <v>347</v>
      </c>
      <c r="J338" s="1" t="s">
        <v>358</v>
      </c>
    </row>
    <row r="339" spans="1:10" x14ac:dyDescent="0.25">
      <c r="A339" s="1" t="s">
        <v>1811</v>
      </c>
      <c r="B339" s="1" t="s">
        <v>555</v>
      </c>
      <c r="C339" s="19">
        <v>46182</v>
      </c>
      <c r="D339" s="1" t="s">
        <v>21</v>
      </c>
      <c r="E339" s="1" t="s">
        <v>284</v>
      </c>
      <c r="F339" s="1">
        <v>5598</v>
      </c>
      <c r="G339" s="1" t="s">
        <v>345</v>
      </c>
      <c r="H339" s="1" t="s">
        <v>346</v>
      </c>
      <c r="I339" s="1" t="s">
        <v>347</v>
      </c>
      <c r="J339" s="1" t="s">
        <v>348</v>
      </c>
    </row>
    <row r="340" spans="1:10" x14ac:dyDescent="0.25">
      <c r="A340" s="1" t="s">
        <v>1812</v>
      </c>
      <c r="B340" s="1" t="s">
        <v>555</v>
      </c>
      <c r="C340" s="19">
        <v>46182</v>
      </c>
      <c r="D340" s="1" t="s">
        <v>21</v>
      </c>
      <c r="E340" s="1" t="s">
        <v>284</v>
      </c>
      <c r="F340" s="1">
        <v>5598</v>
      </c>
      <c r="G340" s="1" t="s">
        <v>349</v>
      </c>
      <c r="H340" s="1" t="s">
        <v>350</v>
      </c>
      <c r="I340" s="1" t="s">
        <v>347</v>
      </c>
      <c r="J340" s="1" t="s">
        <v>351</v>
      </c>
    </row>
    <row r="341" spans="1:10" x14ac:dyDescent="0.25">
      <c r="A341" s="1" t="s">
        <v>1813</v>
      </c>
      <c r="B341" s="1" t="s">
        <v>555</v>
      </c>
      <c r="C341" s="19">
        <v>46182</v>
      </c>
      <c r="D341" s="1" t="s">
        <v>21</v>
      </c>
      <c r="E341" s="1" t="s">
        <v>284</v>
      </c>
      <c r="F341" s="1">
        <v>5598</v>
      </c>
      <c r="G341" s="1" t="s">
        <v>357</v>
      </c>
      <c r="H341" s="1" t="s">
        <v>346</v>
      </c>
      <c r="I341" s="1" t="s">
        <v>347</v>
      </c>
      <c r="J341" s="1" t="s">
        <v>358</v>
      </c>
    </row>
    <row r="342" spans="1:10" x14ac:dyDescent="0.25">
      <c r="A342" s="1" t="s">
        <v>1814</v>
      </c>
      <c r="B342" s="1" t="s">
        <v>556</v>
      </c>
      <c r="C342" s="19">
        <v>46182</v>
      </c>
      <c r="D342" s="1" t="s">
        <v>22</v>
      </c>
      <c r="E342" s="1" t="s">
        <v>286</v>
      </c>
      <c r="F342" s="1">
        <v>5599</v>
      </c>
      <c r="G342" s="1" t="s">
        <v>345</v>
      </c>
      <c r="H342" s="1" t="s">
        <v>346</v>
      </c>
      <c r="I342" s="1" t="s">
        <v>347</v>
      </c>
      <c r="J342" s="1" t="s">
        <v>348</v>
      </c>
    </row>
    <row r="343" spans="1:10" x14ac:dyDescent="0.25">
      <c r="A343" s="1" t="s">
        <v>1815</v>
      </c>
      <c r="B343" s="1" t="s">
        <v>556</v>
      </c>
      <c r="C343" s="19">
        <v>46182</v>
      </c>
      <c r="D343" s="1" t="s">
        <v>22</v>
      </c>
      <c r="E343" s="1" t="s">
        <v>286</v>
      </c>
      <c r="F343" s="1">
        <v>5599</v>
      </c>
      <c r="G343" s="1" t="s">
        <v>349</v>
      </c>
      <c r="H343" s="1" t="s">
        <v>350</v>
      </c>
      <c r="I343" s="1" t="s">
        <v>347</v>
      </c>
      <c r="J343" s="1" t="s">
        <v>351</v>
      </c>
    </row>
    <row r="344" spans="1:10" x14ac:dyDescent="0.25">
      <c r="A344" s="1" t="s">
        <v>1816</v>
      </c>
      <c r="B344" s="1" t="s">
        <v>556</v>
      </c>
      <c r="C344" s="19">
        <v>46182</v>
      </c>
      <c r="D344" s="1" t="s">
        <v>22</v>
      </c>
      <c r="E344" s="1" t="s">
        <v>286</v>
      </c>
      <c r="F344" s="1">
        <v>5599</v>
      </c>
      <c r="G344" s="1" t="s">
        <v>357</v>
      </c>
      <c r="H344" s="1" t="s">
        <v>346</v>
      </c>
      <c r="I344" s="1" t="s">
        <v>347</v>
      </c>
      <c r="J344" s="1" t="s">
        <v>358</v>
      </c>
    </row>
    <row r="345" spans="1:10" x14ac:dyDescent="0.25">
      <c r="A345" s="1" t="s">
        <v>1817</v>
      </c>
      <c r="B345" s="1" t="s">
        <v>557</v>
      </c>
      <c r="C345" s="19">
        <v>46182</v>
      </c>
      <c r="D345" s="1" t="s">
        <v>21</v>
      </c>
      <c r="E345" s="1" t="s">
        <v>81</v>
      </c>
      <c r="F345" s="1">
        <v>5600</v>
      </c>
      <c r="G345" s="1" t="s">
        <v>355</v>
      </c>
      <c r="H345" s="1" t="s">
        <v>346</v>
      </c>
      <c r="I345" s="1" t="s">
        <v>347</v>
      </c>
      <c r="J345" s="1" t="s">
        <v>356</v>
      </c>
    </row>
    <row r="346" spans="1:10" x14ac:dyDescent="0.25">
      <c r="A346" s="1" t="s">
        <v>1818</v>
      </c>
      <c r="B346" s="1" t="s">
        <v>557</v>
      </c>
      <c r="C346" s="19">
        <v>46182</v>
      </c>
      <c r="D346" s="1" t="s">
        <v>21</v>
      </c>
      <c r="E346" s="1" t="s">
        <v>81</v>
      </c>
      <c r="F346" s="1">
        <v>5600</v>
      </c>
      <c r="G346" s="1" t="s">
        <v>345</v>
      </c>
      <c r="H346" s="1" t="s">
        <v>346</v>
      </c>
      <c r="I346" s="1" t="s">
        <v>347</v>
      </c>
      <c r="J346" s="1" t="s">
        <v>348</v>
      </c>
    </row>
    <row r="347" spans="1:10" x14ac:dyDescent="0.25">
      <c r="A347" s="1" t="s">
        <v>1819</v>
      </c>
      <c r="B347" s="1" t="s">
        <v>557</v>
      </c>
      <c r="C347" s="19">
        <v>46182</v>
      </c>
      <c r="D347" s="1" t="s">
        <v>21</v>
      </c>
      <c r="E347" s="1" t="s">
        <v>81</v>
      </c>
      <c r="F347" s="1">
        <v>5600</v>
      </c>
      <c r="G347" s="1" t="s">
        <v>349</v>
      </c>
      <c r="H347" s="1" t="s">
        <v>350</v>
      </c>
      <c r="I347" s="1" t="s">
        <v>347</v>
      </c>
      <c r="J347" s="1" t="s">
        <v>351</v>
      </c>
    </row>
    <row r="348" spans="1:10" x14ac:dyDescent="0.25">
      <c r="A348" s="1" t="s">
        <v>1820</v>
      </c>
      <c r="B348" s="1" t="s">
        <v>557</v>
      </c>
      <c r="C348" s="19">
        <v>46182</v>
      </c>
      <c r="D348" s="1" t="s">
        <v>21</v>
      </c>
      <c r="E348" s="1" t="s">
        <v>81</v>
      </c>
      <c r="F348" s="1">
        <v>5600</v>
      </c>
      <c r="G348" s="1" t="s">
        <v>357</v>
      </c>
      <c r="H348" s="1" t="s">
        <v>346</v>
      </c>
      <c r="I348" s="1" t="s">
        <v>347</v>
      </c>
      <c r="J348" s="1" t="s">
        <v>358</v>
      </c>
    </row>
    <row r="349" spans="1:10" x14ac:dyDescent="0.25">
      <c r="A349" s="1" t="s">
        <v>1821</v>
      </c>
      <c r="B349" s="1" t="s">
        <v>558</v>
      </c>
      <c r="C349" s="19">
        <v>46182</v>
      </c>
      <c r="D349" s="1" t="s">
        <v>22</v>
      </c>
      <c r="E349" s="1" t="s">
        <v>247</v>
      </c>
      <c r="F349" s="1">
        <v>5601</v>
      </c>
      <c r="G349" s="1" t="s">
        <v>345</v>
      </c>
      <c r="H349" s="1" t="s">
        <v>346</v>
      </c>
      <c r="I349" s="1" t="s">
        <v>347</v>
      </c>
      <c r="J349" s="1" t="s">
        <v>348</v>
      </c>
    </row>
    <row r="350" spans="1:10" x14ac:dyDescent="0.25">
      <c r="A350" s="1" t="s">
        <v>1822</v>
      </c>
      <c r="B350" s="1" t="s">
        <v>558</v>
      </c>
      <c r="C350" s="19">
        <v>46182</v>
      </c>
      <c r="D350" s="1" t="s">
        <v>22</v>
      </c>
      <c r="E350" s="1" t="s">
        <v>247</v>
      </c>
      <c r="F350" s="1">
        <v>5601</v>
      </c>
      <c r="G350" s="1" t="s">
        <v>349</v>
      </c>
      <c r="H350" s="1" t="s">
        <v>350</v>
      </c>
      <c r="I350" s="1" t="s">
        <v>347</v>
      </c>
      <c r="J350" s="1" t="s">
        <v>351</v>
      </c>
    </row>
    <row r="351" spans="1:10" x14ac:dyDescent="0.25">
      <c r="A351" s="1" t="s">
        <v>1823</v>
      </c>
      <c r="B351" s="1" t="s">
        <v>558</v>
      </c>
      <c r="C351" s="19">
        <v>46182</v>
      </c>
      <c r="D351" s="1" t="s">
        <v>22</v>
      </c>
      <c r="E351" s="1" t="s">
        <v>247</v>
      </c>
      <c r="F351" s="1">
        <v>5601</v>
      </c>
      <c r="G351" s="1" t="s">
        <v>357</v>
      </c>
      <c r="H351" s="1" t="s">
        <v>346</v>
      </c>
      <c r="I351" s="1" t="s">
        <v>347</v>
      </c>
      <c r="J351" s="1" t="s">
        <v>358</v>
      </c>
    </row>
    <row r="352" spans="1:10" x14ac:dyDescent="0.25">
      <c r="A352" s="1" t="s">
        <v>1824</v>
      </c>
      <c r="B352" s="1" t="s">
        <v>559</v>
      </c>
      <c r="C352" s="19">
        <v>46182</v>
      </c>
      <c r="D352" s="1" t="s">
        <v>21</v>
      </c>
      <c r="E352" s="1" t="s">
        <v>81</v>
      </c>
      <c r="F352" s="1">
        <v>5602</v>
      </c>
      <c r="G352" s="1" t="s">
        <v>355</v>
      </c>
      <c r="H352" s="1" t="s">
        <v>346</v>
      </c>
      <c r="I352" s="1" t="s">
        <v>347</v>
      </c>
      <c r="J352" s="1" t="s">
        <v>356</v>
      </c>
    </row>
    <row r="353" spans="1:10" x14ac:dyDescent="0.25">
      <c r="A353" s="1" t="s">
        <v>1825</v>
      </c>
      <c r="B353" s="1" t="s">
        <v>559</v>
      </c>
      <c r="C353" s="19">
        <v>46182</v>
      </c>
      <c r="D353" s="1" t="s">
        <v>21</v>
      </c>
      <c r="E353" s="1" t="s">
        <v>81</v>
      </c>
      <c r="F353" s="1">
        <v>5602</v>
      </c>
      <c r="G353" s="1" t="s">
        <v>345</v>
      </c>
      <c r="H353" s="1" t="s">
        <v>346</v>
      </c>
      <c r="I353" s="1" t="s">
        <v>347</v>
      </c>
      <c r="J353" s="1" t="s">
        <v>348</v>
      </c>
    </row>
    <row r="354" spans="1:10" x14ac:dyDescent="0.25">
      <c r="A354" s="1" t="s">
        <v>1826</v>
      </c>
      <c r="B354" s="1" t="s">
        <v>559</v>
      </c>
      <c r="C354" s="19">
        <v>46182</v>
      </c>
      <c r="D354" s="1" t="s">
        <v>21</v>
      </c>
      <c r="E354" s="1" t="s">
        <v>81</v>
      </c>
      <c r="F354" s="1">
        <v>5602</v>
      </c>
      <c r="G354" s="1" t="s">
        <v>349</v>
      </c>
      <c r="H354" s="1" t="s">
        <v>350</v>
      </c>
      <c r="I354" s="1" t="s">
        <v>347</v>
      </c>
      <c r="J354" s="1" t="s">
        <v>351</v>
      </c>
    </row>
    <row r="355" spans="1:10" x14ac:dyDescent="0.25">
      <c r="A355" s="1" t="s">
        <v>1827</v>
      </c>
      <c r="B355" s="1" t="s">
        <v>559</v>
      </c>
      <c r="C355" s="19">
        <v>46182</v>
      </c>
      <c r="D355" s="1" t="s">
        <v>21</v>
      </c>
      <c r="E355" s="1" t="s">
        <v>81</v>
      </c>
      <c r="F355" s="1">
        <v>5602</v>
      </c>
      <c r="G355" s="1" t="s">
        <v>357</v>
      </c>
      <c r="H355" s="1" t="s">
        <v>346</v>
      </c>
      <c r="I355" s="1" t="s">
        <v>347</v>
      </c>
      <c r="J355" s="1" t="s">
        <v>358</v>
      </c>
    </row>
    <row r="356" spans="1:10" x14ac:dyDescent="0.25">
      <c r="A356" s="1" t="s">
        <v>1828</v>
      </c>
      <c r="B356" s="1" t="s">
        <v>560</v>
      </c>
      <c r="C356" s="19">
        <v>46182</v>
      </c>
      <c r="D356" s="1" t="s">
        <v>22</v>
      </c>
      <c r="E356" s="1" t="s">
        <v>225</v>
      </c>
      <c r="F356" s="1">
        <v>5603</v>
      </c>
      <c r="G356" s="1" t="s">
        <v>345</v>
      </c>
      <c r="H356" s="1" t="s">
        <v>346</v>
      </c>
      <c r="I356" s="1" t="s">
        <v>347</v>
      </c>
      <c r="J356" s="1" t="s">
        <v>348</v>
      </c>
    </row>
    <row r="357" spans="1:10" x14ac:dyDescent="0.25">
      <c r="A357" s="1" t="s">
        <v>1829</v>
      </c>
      <c r="B357" s="1" t="s">
        <v>560</v>
      </c>
      <c r="C357" s="19">
        <v>46182</v>
      </c>
      <c r="D357" s="1" t="s">
        <v>22</v>
      </c>
      <c r="E357" s="1" t="s">
        <v>225</v>
      </c>
      <c r="F357" s="1">
        <v>5603</v>
      </c>
      <c r="G357" s="1" t="s">
        <v>349</v>
      </c>
      <c r="H357" s="1" t="s">
        <v>350</v>
      </c>
      <c r="I357" s="1" t="s">
        <v>347</v>
      </c>
      <c r="J357" s="1" t="s">
        <v>351</v>
      </c>
    </row>
    <row r="358" spans="1:10" x14ac:dyDescent="0.25">
      <c r="A358" s="1" t="s">
        <v>1830</v>
      </c>
      <c r="B358" s="1" t="s">
        <v>560</v>
      </c>
      <c r="C358" s="19">
        <v>46182</v>
      </c>
      <c r="D358" s="1" t="s">
        <v>22</v>
      </c>
      <c r="E358" s="1" t="s">
        <v>225</v>
      </c>
      <c r="F358" s="1">
        <v>5603</v>
      </c>
      <c r="G358" s="1" t="s">
        <v>357</v>
      </c>
      <c r="H358" s="1" t="s">
        <v>346</v>
      </c>
      <c r="I358" s="1" t="s">
        <v>347</v>
      </c>
      <c r="J358" s="1" t="s">
        <v>358</v>
      </c>
    </row>
    <row r="359" spans="1:10" x14ac:dyDescent="0.25">
      <c r="A359" s="1" t="s">
        <v>1831</v>
      </c>
      <c r="B359" s="1" t="s">
        <v>561</v>
      </c>
      <c r="C359" s="19">
        <v>46182</v>
      </c>
      <c r="D359" s="1" t="s">
        <v>22</v>
      </c>
      <c r="E359" s="1" t="s">
        <v>288</v>
      </c>
      <c r="F359" s="1">
        <v>5604</v>
      </c>
      <c r="G359" s="1" t="s">
        <v>345</v>
      </c>
      <c r="H359" s="1" t="s">
        <v>346</v>
      </c>
      <c r="I359" s="1" t="s">
        <v>347</v>
      </c>
      <c r="J359" s="1" t="s">
        <v>348</v>
      </c>
    </row>
    <row r="360" spans="1:10" x14ac:dyDescent="0.25">
      <c r="A360" s="1" t="s">
        <v>1832</v>
      </c>
      <c r="B360" s="1" t="s">
        <v>561</v>
      </c>
      <c r="C360" s="19">
        <v>46182</v>
      </c>
      <c r="D360" s="1" t="s">
        <v>22</v>
      </c>
      <c r="E360" s="1" t="s">
        <v>288</v>
      </c>
      <c r="F360" s="1">
        <v>5604</v>
      </c>
      <c r="G360" s="1" t="s">
        <v>349</v>
      </c>
      <c r="H360" s="1" t="s">
        <v>350</v>
      </c>
      <c r="I360" s="1" t="s">
        <v>347</v>
      </c>
      <c r="J360" s="1" t="s">
        <v>351</v>
      </c>
    </row>
    <row r="361" spans="1:10" x14ac:dyDescent="0.25">
      <c r="A361" s="1" t="s">
        <v>1833</v>
      </c>
      <c r="B361" s="1" t="s">
        <v>561</v>
      </c>
      <c r="C361" s="19">
        <v>46182</v>
      </c>
      <c r="D361" s="1" t="s">
        <v>22</v>
      </c>
      <c r="E361" s="1" t="s">
        <v>288</v>
      </c>
      <c r="F361" s="1">
        <v>5604</v>
      </c>
      <c r="G361" s="1" t="s">
        <v>357</v>
      </c>
      <c r="H361" s="1" t="s">
        <v>346</v>
      </c>
      <c r="I361" s="1" t="s">
        <v>347</v>
      </c>
      <c r="J361" s="1" t="s">
        <v>358</v>
      </c>
    </row>
    <row r="362" spans="1:10" x14ac:dyDescent="0.25">
      <c r="A362" s="1" t="s">
        <v>1834</v>
      </c>
      <c r="B362" s="1" t="s">
        <v>563</v>
      </c>
      <c r="C362" s="19">
        <v>46182</v>
      </c>
      <c r="D362" s="1" t="s">
        <v>21</v>
      </c>
      <c r="E362" s="1" t="s">
        <v>81</v>
      </c>
      <c r="F362" s="1">
        <v>5606</v>
      </c>
      <c r="G362" s="1" t="s">
        <v>355</v>
      </c>
      <c r="H362" s="1" t="s">
        <v>346</v>
      </c>
      <c r="I362" s="1" t="s">
        <v>347</v>
      </c>
      <c r="J362" s="1" t="s">
        <v>356</v>
      </c>
    </row>
    <row r="363" spans="1:10" x14ac:dyDescent="0.25">
      <c r="A363" s="1" t="s">
        <v>1835</v>
      </c>
      <c r="B363" s="1" t="s">
        <v>563</v>
      </c>
      <c r="C363" s="19">
        <v>46182</v>
      </c>
      <c r="D363" s="1" t="s">
        <v>21</v>
      </c>
      <c r="E363" s="1" t="s">
        <v>81</v>
      </c>
      <c r="F363" s="1">
        <v>5606</v>
      </c>
      <c r="G363" s="1" t="s">
        <v>345</v>
      </c>
      <c r="H363" s="1" t="s">
        <v>346</v>
      </c>
      <c r="I363" s="1" t="s">
        <v>347</v>
      </c>
      <c r="J363" s="1" t="s">
        <v>348</v>
      </c>
    </row>
    <row r="364" spans="1:10" x14ac:dyDescent="0.25">
      <c r="A364" s="1" t="s">
        <v>1836</v>
      </c>
      <c r="B364" s="1" t="s">
        <v>563</v>
      </c>
      <c r="C364" s="19">
        <v>46182</v>
      </c>
      <c r="D364" s="1" t="s">
        <v>21</v>
      </c>
      <c r="E364" s="1" t="s">
        <v>81</v>
      </c>
      <c r="F364" s="1">
        <v>5606</v>
      </c>
      <c r="G364" s="1" t="s">
        <v>349</v>
      </c>
      <c r="H364" s="1" t="s">
        <v>350</v>
      </c>
      <c r="I364" s="1" t="s">
        <v>347</v>
      </c>
      <c r="J364" s="1" t="s">
        <v>351</v>
      </c>
    </row>
    <row r="365" spans="1:10" x14ac:dyDescent="0.25">
      <c r="A365" s="1" t="s">
        <v>1837</v>
      </c>
      <c r="B365" s="1" t="s">
        <v>563</v>
      </c>
      <c r="C365" s="19">
        <v>46182</v>
      </c>
      <c r="D365" s="1" t="s">
        <v>21</v>
      </c>
      <c r="E365" s="1" t="s">
        <v>81</v>
      </c>
      <c r="F365" s="1">
        <v>5606</v>
      </c>
      <c r="G365" s="1" t="s">
        <v>357</v>
      </c>
      <c r="H365" s="1" t="s">
        <v>346</v>
      </c>
      <c r="I365" s="1" t="s">
        <v>347</v>
      </c>
      <c r="J365" s="1" t="s">
        <v>358</v>
      </c>
    </row>
    <row r="366" spans="1:10" x14ac:dyDescent="0.25">
      <c r="A366" s="1" t="s">
        <v>1838</v>
      </c>
      <c r="B366" s="1" t="s">
        <v>564</v>
      </c>
      <c r="C366" s="19">
        <v>46182</v>
      </c>
      <c r="D366" s="1" t="s">
        <v>21</v>
      </c>
      <c r="E366" s="1" t="s">
        <v>290</v>
      </c>
      <c r="F366" s="1">
        <v>5607</v>
      </c>
      <c r="G366" s="1" t="s">
        <v>345</v>
      </c>
      <c r="H366" s="1" t="s">
        <v>346</v>
      </c>
      <c r="I366" s="1" t="s">
        <v>347</v>
      </c>
      <c r="J366" s="1" t="s">
        <v>348</v>
      </c>
    </row>
    <row r="367" spans="1:10" x14ac:dyDescent="0.25">
      <c r="A367" s="1" t="s">
        <v>1839</v>
      </c>
      <c r="B367" s="1" t="s">
        <v>564</v>
      </c>
      <c r="C367" s="19">
        <v>46182</v>
      </c>
      <c r="D367" s="1" t="s">
        <v>21</v>
      </c>
      <c r="E367" s="1" t="s">
        <v>290</v>
      </c>
      <c r="F367" s="1">
        <v>5607</v>
      </c>
      <c r="G367" s="1" t="s">
        <v>349</v>
      </c>
      <c r="H367" s="1" t="s">
        <v>350</v>
      </c>
      <c r="I367" s="1" t="s">
        <v>347</v>
      </c>
      <c r="J367" s="1" t="s">
        <v>351</v>
      </c>
    </row>
    <row r="368" spans="1:10" x14ac:dyDescent="0.25">
      <c r="A368" s="1" t="s">
        <v>1840</v>
      </c>
      <c r="B368" s="1" t="s">
        <v>564</v>
      </c>
      <c r="C368" s="19">
        <v>46182</v>
      </c>
      <c r="D368" s="1" t="s">
        <v>21</v>
      </c>
      <c r="E368" s="1" t="s">
        <v>290</v>
      </c>
      <c r="F368" s="1">
        <v>5607</v>
      </c>
      <c r="G368" s="1" t="s">
        <v>357</v>
      </c>
      <c r="H368" s="1" t="s">
        <v>346</v>
      </c>
      <c r="I368" s="1" t="s">
        <v>347</v>
      </c>
      <c r="J368" s="1" t="s">
        <v>358</v>
      </c>
    </row>
    <row r="369" spans="1:10" x14ac:dyDescent="0.25">
      <c r="A369" s="1" t="s">
        <v>1841</v>
      </c>
      <c r="B369" s="1" t="s">
        <v>565</v>
      </c>
      <c r="C369" s="19">
        <v>46182</v>
      </c>
      <c r="D369" s="1" t="s">
        <v>21</v>
      </c>
      <c r="E369" s="1" t="s">
        <v>291</v>
      </c>
      <c r="F369" s="1">
        <v>5608</v>
      </c>
      <c r="G369" s="1" t="s">
        <v>345</v>
      </c>
      <c r="H369" s="1" t="s">
        <v>346</v>
      </c>
      <c r="I369" s="1" t="s">
        <v>347</v>
      </c>
      <c r="J369" s="1" t="s">
        <v>348</v>
      </c>
    </row>
    <row r="370" spans="1:10" x14ac:dyDescent="0.25">
      <c r="A370" s="1" t="s">
        <v>1842</v>
      </c>
      <c r="B370" s="1" t="s">
        <v>565</v>
      </c>
      <c r="C370" s="19">
        <v>46182</v>
      </c>
      <c r="D370" s="1" t="s">
        <v>21</v>
      </c>
      <c r="E370" s="1" t="s">
        <v>291</v>
      </c>
      <c r="F370" s="1">
        <v>5608</v>
      </c>
      <c r="G370" s="1" t="s">
        <v>349</v>
      </c>
      <c r="H370" s="1" t="s">
        <v>350</v>
      </c>
      <c r="I370" s="1" t="s">
        <v>347</v>
      </c>
      <c r="J370" s="1" t="s">
        <v>351</v>
      </c>
    </row>
    <row r="371" spans="1:10" x14ac:dyDescent="0.25">
      <c r="A371" s="1" t="s">
        <v>1843</v>
      </c>
      <c r="B371" s="1" t="s">
        <v>565</v>
      </c>
      <c r="C371" s="19">
        <v>46182</v>
      </c>
      <c r="D371" s="1" t="s">
        <v>21</v>
      </c>
      <c r="E371" s="1" t="s">
        <v>291</v>
      </c>
      <c r="F371" s="1">
        <v>5608</v>
      </c>
      <c r="G371" s="1" t="s">
        <v>357</v>
      </c>
      <c r="H371" s="1" t="s">
        <v>346</v>
      </c>
      <c r="I371" s="1" t="s">
        <v>347</v>
      </c>
      <c r="J371" s="1" t="s">
        <v>358</v>
      </c>
    </row>
    <row r="372" spans="1:10" x14ac:dyDescent="0.25">
      <c r="A372" s="1" t="s">
        <v>1844</v>
      </c>
      <c r="B372" s="1" t="s">
        <v>566</v>
      </c>
      <c r="C372" s="19">
        <v>46182</v>
      </c>
      <c r="D372" s="1" t="s">
        <v>21</v>
      </c>
      <c r="E372" s="1" t="s">
        <v>247</v>
      </c>
      <c r="F372" s="1">
        <v>5609</v>
      </c>
      <c r="G372" s="1" t="s">
        <v>345</v>
      </c>
      <c r="H372" s="1" t="s">
        <v>346</v>
      </c>
      <c r="I372" s="1" t="s">
        <v>347</v>
      </c>
      <c r="J372" s="1" t="s">
        <v>348</v>
      </c>
    </row>
    <row r="373" spans="1:10" x14ac:dyDescent="0.25">
      <c r="A373" s="1" t="s">
        <v>1845</v>
      </c>
      <c r="B373" s="1" t="s">
        <v>566</v>
      </c>
      <c r="C373" s="19">
        <v>46182</v>
      </c>
      <c r="D373" s="1" t="s">
        <v>21</v>
      </c>
      <c r="E373" s="1" t="s">
        <v>247</v>
      </c>
      <c r="F373" s="1">
        <v>5609</v>
      </c>
      <c r="G373" s="1" t="s">
        <v>349</v>
      </c>
      <c r="H373" s="1" t="s">
        <v>350</v>
      </c>
      <c r="I373" s="1" t="s">
        <v>347</v>
      </c>
      <c r="J373" s="1" t="s">
        <v>351</v>
      </c>
    </row>
    <row r="374" spans="1:10" x14ac:dyDescent="0.25">
      <c r="A374" s="1" t="s">
        <v>1846</v>
      </c>
      <c r="B374" s="1" t="s">
        <v>566</v>
      </c>
      <c r="C374" s="19">
        <v>46182</v>
      </c>
      <c r="D374" s="1" t="s">
        <v>21</v>
      </c>
      <c r="E374" s="1" t="s">
        <v>247</v>
      </c>
      <c r="F374" s="1">
        <v>5609</v>
      </c>
      <c r="G374" s="1" t="s">
        <v>357</v>
      </c>
      <c r="H374" s="1" t="s">
        <v>346</v>
      </c>
      <c r="I374" s="1" t="s">
        <v>347</v>
      </c>
      <c r="J374" s="1" t="s">
        <v>358</v>
      </c>
    </row>
    <row r="375" spans="1:10" x14ac:dyDescent="0.25">
      <c r="A375" s="1" t="s">
        <v>1847</v>
      </c>
      <c r="B375" s="1" t="s">
        <v>567</v>
      </c>
      <c r="C375" s="19">
        <v>46182</v>
      </c>
      <c r="D375" s="1" t="s">
        <v>21</v>
      </c>
      <c r="E375" s="1" t="s">
        <v>292</v>
      </c>
      <c r="F375" s="1">
        <v>5610</v>
      </c>
      <c r="G375" s="1" t="s">
        <v>345</v>
      </c>
      <c r="H375" s="1" t="s">
        <v>346</v>
      </c>
      <c r="I375" s="1" t="s">
        <v>347</v>
      </c>
      <c r="J375" s="1" t="s">
        <v>348</v>
      </c>
    </row>
    <row r="376" spans="1:10" x14ac:dyDescent="0.25">
      <c r="A376" s="1" t="s">
        <v>1848</v>
      </c>
      <c r="B376" s="1" t="s">
        <v>567</v>
      </c>
      <c r="C376" s="19">
        <v>46182</v>
      </c>
      <c r="D376" s="1" t="s">
        <v>21</v>
      </c>
      <c r="E376" s="1" t="s">
        <v>292</v>
      </c>
      <c r="F376" s="1">
        <v>5610</v>
      </c>
      <c r="G376" s="1" t="s">
        <v>349</v>
      </c>
      <c r="H376" s="1" t="s">
        <v>350</v>
      </c>
      <c r="I376" s="1" t="s">
        <v>347</v>
      </c>
      <c r="J376" s="1" t="s">
        <v>351</v>
      </c>
    </row>
    <row r="377" spans="1:10" x14ac:dyDescent="0.25">
      <c r="A377" s="1" t="s">
        <v>1849</v>
      </c>
      <c r="B377" s="1" t="s">
        <v>567</v>
      </c>
      <c r="C377" s="19">
        <v>46182</v>
      </c>
      <c r="D377" s="1" t="s">
        <v>21</v>
      </c>
      <c r="E377" s="1" t="s">
        <v>292</v>
      </c>
      <c r="F377" s="1">
        <v>5610</v>
      </c>
      <c r="G377" s="1" t="s">
        <v>357</v>
      </c>
      <c r="H377" s="1" t="s">
        <v>346</v>
      </c>
      <c r="I377" s="1" t="s">
        <v>347</v>
      </c>
      <c r="J377" s="1" t="s">
        <v>358</v>
      </c>
    </row>
    <row r="378" spans="1:10" x14ac:dyDescent="0.25">
      <c r="A378" s="1" t="s">
        <v>1850</v>
      </c>
      <c r="B378" s="1" t="s">
        <v>568</v>
      </c>
      <c r="C378" s="19">
        <v>46182</v>
      </c>
      <c r="D378" s="1" t="s">
        <v>22</v>
      </c>
      <c r="E378" s="1" t="s">
        <v>247</v>
      </c>
      <c r="F378" s="1">
        <v>5611</v>
      </c>
      <c r="G378" s="1" t="s">
        <v>345</v>
      </c>
      <c r="H378" s="1" t="s">
        <v>346</v>
      </c>
      <c r="I378" s="1" t="s">
        <v>347</v>
      </c>
      <c r="J378" s="1" t="s">
        <v>348</v>
      </c>
    </row>
    <row r="379" spans="1:10" x14ac:dyDescent="0.25">
      <c r="A379" s="1" t="s">
        <v>1851</v>
      </c>
      <c r="B379" s="1" t="s">
        <v>569</v>
      </c>
      <c r="C379" s="19">
        <v>46182</v>
      </c>
      <c r="D379" s="1" t="s">
        <v>22</v>
      </c>
      <c r="E379" s="1" t="s">
        <v>247</v>
      </c>
      <c r="F379" s="1">
        <v>5612</v>
      </c>
      <c r="G379" s="1" t="s">
        <v>345</v>
      </c>
      <c r="H379" s="1" t="s">
        <v>346</v>
      </c>
      <c r="I379" s="1" t="s">
        <v>347</v>
      </c>
      <c r="J379" s="1" t="s">
        <v>348</v>
      </c>
    </row>
    <row r="380" spans="1:10" x14ac:dyDescent="0.25">
      <c r="A380" s="1" t="s">
        <v>1852</v>
      </c>
      <c r="B380" s="1" t="s">
        <v>569</v>
      </c>
      <c r="C380" s="19">
        <v>46182</v>
      </c>
      <c r="D380" s="1" t="s">
        <v>22</v>
      </c>
      <c r="E380" s="1" t="s">
        <v>247</v>
      </c>
      <c r="F380" s="1">
        <v>5612</v>
      </c>
      <c r="G380" s="1" t="s">
        <v>349</v>
      </c>
      <c r="H380" s="1" t="s">
        <v>350</v>
      </c>
      <c r="I380" s="1" t="s">
        <v>347</v>
      </c>
      <c r="J380" s="1" t="s">
        <v>351</v>
      </c>
    </row>
    <row r="381" spans="1:10" x14ac:dyDescent="0.25">
      <c r="A381" s="1" t="s">
        <v>1853</v>
      </c>
      <c r="B381" s="1" t="s">
        <v>569</v>
      </c>
      <c r="C381" s="19">
        <v>46182</v>
      </c>
      <c r="D381" s="1" t="s">
        <v>22</v>
      </c>
      <c r="E381" s="1" t="s">
        <v>247</v>
      </c>
      <c r="F381" s="1">
        <v>5612</v>
      </c>
      <c r="G381" s="1" t="s">
        <v>357</v>
      </c>
      <c r="H381" s="1" t="s">
        <v>346</v>
      </c>
      <c r="I381" s="1" t="s">
        <v>347</v>
      </c>
      <c r="J381" s="1" t="s">
        <v>358</v>
      </c>
    </row>
    <row r="382" spans="1:10" x14ac:dyDescent="0.25">
      <c r="A382" s="1" t="s">
        <v>1854</v>
      </c>
      <c r="B382" s="1" t="s">
        <v>571</v>
      </c>
      <c r="C382" s="19">
        <v>46182</v>
      </c>
      <c r="D382" s="1" t="s">
        <v>22</v>
      </c>
      <c r="E382" s="1" t="s">
        <v>267</v>
      </c>
      <c r="F382" s="1">
        <v>5614</v>
      </c>
      <c r="G382" s="1" t="s">
        <v>345</v>
      </c>
      <c r="H382" s="1" t="s">
        <v>346</v>
      </c>
      <c r="I382" s="1" t="s">
        <v>347</v>
      </c>
      <c r="J382" s="1" t="s">
        <v>348</v>
      </c>
    </row>
    <row r="383" spans="1:10" x14ac:dyDescent="0.25">
      <c r="A383" s="1" t="s">
        <v>1855</v>
      </c>
      <c r="B383" s="1" t="s">
        <v>571</v>
      </c>
      <c r="C383" s="19">
        <v>46182</v>
      </c>
      <c r="D383" s="1" t="s">
        <v>22</v>
      </c>
      <c r="E383" s="1" t="s">
        <v>267</v>
      </c>
      <c r="F383" s="1">
        <v>5614</v>
      </c>
      <c r="G383" s="1" t="s">
        <v>357</v>
      </c>
      <c r="H383" s="1" t="s">
        <v>346</v>
      </c>
      <c r="I383" s="1" t="s">
        <v>347</v>
      </c>
      <c r="J383" s="1" t="s">
        <v>358</v>
      </c>
    </row>
    <row r="384" spans="1:10" x14ac:dyDescent="0.25">
      <c r="A384" s="1" t="s">
        <v>1856</v>
      </c>
      <c r="B384" s="1" t="s">
        <v>572</v>
      </c>
      <c r="C384" s="19">
        <v>46182</v>
      </c>
      <c r="D384" s="1" t="s">
        <v>22</v>
      </c>
      <c r="E384" s="1" t="s">
        <v>81</v>
      </c>
      <c r="F384" s="1">
        <v>5615</v>
      </c>
      <c r="G384" s="1" t="s">
        <v>355</v>
      </c>
      <c r="H384" s="1" t="s">
        <v>346</v>
      </c>
      <c r="I384" s="1" t="s">
        <v>347</v>
      </c>
      <c r="J384" s="1" t="s">
        <v>356</v>
      </c>
    </row>
    <row r="385" spans="1:10" x14ac:dyDescent="0.25">
      <c r="A385" s="1" t="s">
        <v>1857</v>
      </c>
      <c r="B385" s="1" t="s">
        <v>572</v>
      </c>
      <c r="C385" s="19">
        <v>46182</v>
      </c>
      <c r="D385" s="1" t="s">
        <v>22</v>
      </c>
      <c r="E385" s="1" t="s">
        <v>81</v>
      </c>
      <c r="F385" s="1">
        <v>5615</v>
      </c>
      <c r="G385" s="1" t="s">
        <v>345</v>
      </c>
      <c r="H385" s="1" t="s">
        <v>346</v>
      </c>
      <c r="I385" s="1" t="s">
        <v>347</v>
      </c>
      <c r="J385" s="1" t="s">
        <v>348</v>
      </c>
    </row>
    <row r="386" spans="1:10" x14ac:dyDescent="0.25">
      <c r="A386" s="1" t="s">
        <v>1858</v>
      </c>
      <c r="B386" s="1" t="s">
        <v>572</v>
      </c>
      <c r="C386" s="19">
        <v>46182</v>
      </c>
      <c r="D386" s="1" t="s">
        <v>22</v>
      </c>
      <c r="E386" s="1" t="s">
        <v>81</v>
      </c>
      <c r="F386" s="1">
        <v>5615</v>
      </c>
      <c r="G386" s="1" t="s">
        <v>349</v>
      </c>
      <c r="H386" s="1" t="s">
        <v>350</v>
      </c>
      <c r="I386" s="1" t="s">
        <v>347</v>
      </c>
      <c r="J386" s="1" t="s">
        <v>351</v>
      </c>
    </row>
    <row r="387" spans="1:10" x14ac:dyDescent="0.25">
      <c r="A387" s="1" t="s">
        <v>1859</v>
      </c>
      <c r="B387" s="1" t="s">
        <v>572</v>
      </c>
      <c r="C387" s="19">
        <v>46182</v>
      </c>
      <c r="D387" s="1" t="s">
        <v>22</v>
      </c>
      <c r="E387" s="1" t="s">
        <v>81</v>
      </c>
      <c r="F387" s="1">
        <v>5615</v>
      </c>
      <c r="G387" s="1" t="s">
        <v>357</v>
      </c>
      <c r="H387" s="1" t="s">
        <v>346</v>
      </c>
      <c r="I387" s="1" t="s">
        <v>347</v>
      </c>
      <c r="J387" s="1" t="s">
        <v>358</v>
      </c>
    </row>
    <row r="388" spans="1:10" x14ac:dyDescent="0.25">
      <c r="A388" s="1" t="s">
        <v>1860</v>
      </c>
      <c r="B388" s="1" t="s">
        <v>573</v>
      </c>
      <c r="C388" s="19">
        <v>46182</v>
      </c>
      <c r="D388" s="1" t="s">
        <v>21</v>
      </c>
      <c r="E388" s="1" t="s">
        <v>295</v>
      </c>
      <c r="F388" s="1">
        <v>5616</v>
      </c>
      <c r="G388" s="1" t="s">
        <v>345</v>
      </c>
      <c r="H388" s="1" t="s">
        <v>346</v>
      </c>
      <c r="I388" s="1" t="s">
        <v>347</v>
      </c>
      <c r="J388" s="1" t="s">
        <v>348</v>
      </c>
    </row>
    <row r="389" spans="1:10" x14ac:dyDescent="0.25">
      <c r="A389" s="1" t="s">
        <v>1861</v>
      </c>
      <c r="B389" s="1" t="s">
        <v>573</v>
      </c>
      <c r="C389" s="19">
        <v>46182</v>
      </c>
      <c r="D389" s="1" t="s">
        <v>21</v>
      </c>
      <c r="E389" s="1" t="s">
        <v>295</v>
      </c>
      <c r="F389" s="1">
        <v>5616</v>
      </c>
      <c r="G389" s="1" t="s">
        <v>349</v>
      </c>
      <c r="H389" s="1" t="s">
        <v>350</v>
      </c>
      <c r="I389" s="1" t="s">
        <v>347</v>
      </c>
      <c r="J389" s="1" t="s">
        <v>351</v>
      </c>
    </row>
    <row r="390" spans="1:10" x14ac:dyDescent="0.25">
      <c r="A390" s="1" t="s">
        <v>1862</v>
      </c>
      <c r="B390" s="1" t="s">
        <v>573</v>
      </c>
      <c r="C390" s="19">
        <v>46182</v>
      </c>
      <c r="D390" s="1" t="s">
        <v>21</v>
      </c>
      <c r="E390" s="1" t="s">
        <v>295</v>
      </c>
      <c r="F390" s="1">
        <v>5616</v>
      </c>
      <c r="G390" s="1" t="s">
        <v>357</v>
      </c>
      <c r="H390" s="1" t="s">
        <v>346</v>
      </c>
      <c r="I390" s="1" t="s">
        <v>347</v>
      </c>
      <c r="J390" s="1" t="s">
        <v>358</v>
      </c>
    </row>
    <row r="391" spans="1:10" x14ac:dyDescent="0.25">
      <c r="A391" s="1" t="s">
        <v>1863</v>
      </c>
      <c r="B391" s="1" t="s">
        <v>574</v>
      </c>
      <c r="C391" s="19">
        <v>46182</v>
      </c>
      <c r="D391" s="1" t="s">
        <v>21</v>
      </c>
      <c r="E391" s="1" t="s">
        <v>296</v>
      </c>
      <c r="F391" s="1">
        <v>5617</v>
      </c>
      <c r="G391" s="1" t="s">
        <v>345</v>
      </c>
      <c r="H391" s="1" t="s">
        <v>346</v>
      </c>
      <c r="I391" s="1" t="s">
        <v>347</v>
      </c>
      <c r="J391" s="1" t="s">
        <v>348</v>
      </c>
    </row>
    <row r="392" spans="1:10" x14ac:dyDescent="0.25">
      <c r="A392" s="1" t="s">
        <v>1864</v>
      </c>
      <c r="B392" s="1" t="s">
        <v>574</v>
      </c>
      <c r="C392" s="19">
        <v>46182</v>
      </c>
      <c r="D392" s="1" t="s">
        <v>21</v>
      </c>
      <c r="E392" s="1" t="s">
        <v>296</v>
      </c>
      <c r="F392" s="1">
        <v>5617</v>
      </c>
      <c r="G392" s="1" t="s">
        <v>349</v>
      </c>
      <c r="H392" s="1" t="s">
        <v>350</v>
      </c>
      <c r="I392" s="1" t="s">
        <v>347</v>
      </c>
      <c r="J392" s="1" t="s">
        <v>351</v>
      </c>
    </row>
    <row r="393" spans="1:10" x14ac:dyDescent="0.25">
      <c r="A393" s="1" t="s">
        <v>1865</v>
      </c>
      <c r="B393" s="1" t="s">
        <v>574</v>
      </c>
      <c r="C393" s="19">
        <v>46182</v>
      </c>
      <c r="D393" s="1" t="s">
        <v>21</v>
      </c>
      <c r="E393" s="1" t="s">
        <v>296</v>
      </c>
      <c r="F393" s="1">
        <v>5617</v>
      </c>
      <c r="G393" s="1" t="s">
        <v>357</v>
      </c>
      <c r="H393" s="1" t="s">
        <v>346</v>
      </c>
      <c r="I393" s="1" t="s">
        <v>347</v>
      </c>
      <c r="J393" s="1" t="s">
        <v>358</v>
      </c>
    </row>
    <row r="394" spans="1:10" x14ac:dyDescent="0.25">
      <c r="A394" s="1" t="s">
        <v>1866</v>
      </c>
      <c r="B394" s="1" t="s">
        <v>575</v>
      </c>
      <c r="C394" s="19">
        <v>46182</v>
      </c>
      <c r="D394" s="1" t="s">
        <v>21</v>
      </c>
      <c r="E394" s="1" t="s">
        <v>297</v>
      </c>
      <c r="F394" s="1">
        <v>5618</v>
      </c>
      <c r="G394" s="1" t="s">
        <v>355</v>
      </c>
      <c r="H394" s="1" t="s">
        <v>346</v>
      </c>
      <c r="I394" s="1" t="s">
        <v>347</v>
      </c>
      <c r="J394" s="1" t="s">
        <v>356</v>
      </c>
    </row>
    <row r="395" spans="1:10" x14ac:dyDescent="0.25">
      <c r="A395" s="1" t="s">
        <v>1867</v>
      </c>
      <c r="B395" s="1" t="s">
        <v>575</v>
      </c>
      <c r="C395" s="19">
        <v>46182</v>
      </c>
      <c r="D395" s="1" t="s">
        <v>21</v>
      </c>
      <c r="E395" s="1" t="s">
        <v>297</v>
      </c>
      <c r="F395" s="1">
        <v>5618</v>
      </c>
      <c r="G395" s="1" t="s">
        <v>345</v>
      </c>
      <c r="H395" s="1" t="s">
        <v>346</v>
      </c>
      <c r="I395" s="1" t="s">
        <v>347</v>
      </c>
      <c r="J395" s="1" t="s">
        <v>348</v>
      </c>
    </row>
    <row r="396" spans="1:10" x14ac:dyDescent="0.25">
      <c r="A396" s="1" t="s">
        <v>1868</v>
      </c>
      <c r="B396" s="1" t="s">
        <v>575</v>
      </c>
      <c r="C396" s="19">
        <v>46182</v>
      </c>
      <c r="D396" s="1" t="s">
        <v>21</v>
      </c>
      <c r="E396" s="1" t="s">
        <v>297</v>
      </c>
      <c r="F396" s="1">
        <v>5618</v>
      </c>
      <c r="G396" s="1" t="s">
        <v>349</v>
      </c>
      <c r="H396" s="1" t="s">
        <v>350</v>
      </c>
      <c r="I396" s="1" t="s">
        <v>347</v>
      </c>
      <c r="J396" s="1" t="s">
        <v>351</v>
      </c>
    </row>
    <row r="397" spans="1:10" x14ac:dyDescent="0.25">
      <c r="A397" s="1" t="s">
        <v>1869</v>
      </c>
      <c r="B397" s="1" t="s">
        <v>575</v>
      </c>
      <c r="C397" s="19">
        <v>46182</v>
      </c>
      <c r="D397" s="1" t="s">
        <v>21</v>
      </c>
      <c r="E397" s="1" t="s">
        <v>297</v>
      </c>
      <c r="F397" s="1">
        <v>5618</v>
      </c>
      <c r="G397" s="1" t="s">
        <v>357</v>
      </c>
      <c r="H397" s="1" t="s">
        <v>346</v>
      </c>
      <c r="I397" s="1" t="s">
        <v>347</v>
      </c>
      <c r="J397" s="1" t="s">
        <v>358</v>
      </c>
    </row>
    <row r="398" spans="1:10" x14ac:dyDescent="0.25">
      <c r="A398" s="1" t="s">
        <v>1870</v>
      </c>
      <c r="B398" s="1" t="s">
        <v>576</v>
      </c>
      <c r="C398" s="19">
        <v>46182</v>
      </c>
      <c r="D398" s="1" t="s">
        <v>21</v>
      </c>
      <c r="E398" s="1" t="s">
        <v>81</v>
      </c>
      <c r="F398" s="1">
        <v>5619</v>
      </c>
      <c r="G398" s="1" t="s">
        <v>345</v>
      </c>
      <c r="H398" s="1" t="s">
        <v>346</v>
      </c>
      <c r="I398" s="1" t="s">
        <v>347</v>
      </c>
      <c r="J398" s="1" t="s">
        <v>348</v>
      </c>
    </row>
    <row r="399" spans="1:10" x14ac:dyDescent="0.25">
      <c r="A399" s="1" t="s">
        <v>1871</v>
      </c>
      <c r="B399" s="1" t="s">
        <v>576</v>
      </c>
      <c r="C399" s="19">
        <v>46182</v>
      </c>
      <c r="D399" s="1" t="s">
        <v>21</v>
      </c>
      <c r="E399" s="1" t="s">
        <v>81</v>
      </c>
      <c r="F399" s="1">
        <v>5619</v>
      </c>
      <c r="G399" s="1" t="s">
        <v>349</v>
      </c>
      <c r="H399" s="1" t="s">
        <v>350</v>
      </c>
      <c r="I399" s="1" t="s">
        <v>347</v>
      </c>
      <c r="J399" s="1" t="s">
        <v>351</v>
      </c>
    </row>
    <row r="400" spans="1:10" x14ac:dyDescent="0.25">
      <c r="A400" s="1" t="s">
        <v>1872</v>
      </c>
      <c r="B400" s="1" t="s">
        <v>576</v>
      </c>
      <c r="C400" s="19">
        <v>46182</v>
      </c>
      <c r="D400" s="1" t="s">
        <v>21</v>
      </c>
      <c r="E400" s="1" t="s">
        <v>81</v>
      </c>
      <c r="F400" s="1">
        <v>5619</v>
      </c>
      <c r="G400" s="1" t="s">
        <v>357</v>
      </c>
      <c r="H400" s="1" t="s">
        <v>346</v>
      </c>
      <c r="I400" s="1" t="s">
        <v>347</v>
      </c>
      <c r="J400" s="1" t="s">
        <v>358</v>
      </c>
    </row>
    <row r="401" spans="1:10" x14ac:dyDescent="0.25">
      <c r="A401" s="1" t="s">
        <v>1873</v>
      </c>
      <c r="B401" s="1" t="s">
        <v>578</v>
      </c>
      <c r="C401" s="19">
        <v>46182</v>
      </c>
      <c r="D401" s="1" t="s">
        <v>22</v>
      </c>
      <c r="E401" s="1" t="s">
        <v>81</v>
      </c>
      <c r="F401" s="1">
        <v>5621</v>
      </c>
      <c r="G401" s="1" t="s">
        <v>345</v>
      </c>
      <c r="H401" s="1" t="s">
        <v>346</v>
      </c>
      <c r="I401" s="1" t="s">
        <v>347</v>
      </c>
      <c r="J401" s="1" t="s">
        <v>348</v>
      </c>
    </row>
    <row r="402" spans="1:10" x14ac:dyDescent="0.25">
      <c r="A402" s="1" t="s">
        <v>1874</v>
      </c>
      <c r="B402" s="1" t="s">
        <v>578</v>
      </c>
      <c r="C402" s="19">
        <v>46182</v>
      </c>
      <c r="D402" s="1" t="s">
        <v>22</v>
      </c>
      <c r="E402" s="1" t="s">
        <v>81</v>
      </c>
      <c r="F402" s="1">
        <v>5621</v>
      </c>
      <c r="G402" s="1" t="s">
        <v>357</v>
      </c>
      <c r="H402" s="1" t="s">
        <v>346</v>
      </c>
      <c r="I402" s="1" t="s">
        <v>347</v>
      </c>
      <c r="J402" s="1" t="s">
        <v>358</v>
      </c>
    </row>
    <row r="403" spans="1:10" x14ac:dyDescent="0.25">
      <c r="A403" s="1" t="s">
        <v>1875</v>
      </c>
      <c r="B403" s="1" t="s">
        <v>579</v>
      </c>
      <c r="C403" s="19">
        <v>46182</v>
      </c>
      <c r="D403" s="1" t="s">
        <v>21</v>
      </c>
      <c r="E403" s="1" t="s">
        <v>301</v>
      </c>
      <c r="F403" s="1">
        <v>5622</v>
      </c>
      <c r="G403" s="1" t="s">
        <v>345</v>
      </c>
      <c r="H403" s="1" t="s">
        <v>346</v>
      </c>
      <c r="I403" s="1" t="s">
        <v>347</v>
      </c>
      <c r="J403" s="1" t="s">
        <v>348</v>
      </c>
    </row>
    <row r="404" spans="1:10" x14ac:dyDescent="0.25">
      <c r="A404" s="1" t="s">
        <v>1876</v>
      </c>
      <c r="B404" s="1" t="s">
        <v>579</v>
      </c>
      <c r="C404" s="19">
        <v>46182</v>
      </c>
      <c r="D404" s="1" t="s">
        <v>21</v>
      </c>
      <c r="E404" s="1" t="s">
        <v>301</v>
      </c>
      <c r="F404" s="1">
        <v>5622</v>
      </c>
      <c r="G404" s="1" t="s">
        <v>349</v>
      </c>
      <c r="H404" s="1" t="s">
        <v>350</v>
      </c>
      <c r="I404" s="1" t="s">
        <v>347</v>
      </c>
      <c r="J404" s="1" t="s">
        <v>351</v>
      </c>
    </row>
    <row r="405" spans="1:10" x14ac:dyDescent="0.25">
      <c r="A405" s="1" t="s">
        <v>1877</v>
      </c>
      <c r="B405" s="1" t="s">
        <v>579</v>
      </c>
      <c r="C405" s="19">
        <v>46182</v>
      </c>
      <c r="D405" s="1" t="s">
        <v>21</v>
      </c>
      <c r="E405" s="1" t="s">
        <v>301</v>
      </c>
      <c r="F405" s="1">
        <v>5622</v>
      </c>
      <c r="G405" s="1" t="s">
        <v>357</v>
      </c>
      <c r="H405" s="1" t="s">
        <v>346</v>
      </c>
      <c r="I405" s="1" t="s">
        <v>347</v>
      </c>
      <c r="J405" s="1" t="s">
        <v>358</v>
      </c>
    </row>
    <row r="406" spans="1:10" x14ac:dyDescent="0.25">
      <c r="A406" s="1" t="s">
        <v>1878</v>
      </c>
      <c r="B406" s="1" t="s">
        <v>580</v>
      </c>
      <c r="C406" s="19">
        <v>46182</v>
      </c>
      <c r="D406" s="1" t="s">
        <v>21</v>
      </c>
      <c r="E406" s="1" t="s">
        <v>302</v>
      </c>
      <c r="F406" s="1">
        <v>5623</v>
      </c>
      <c r="G406" s="1" t="s">
        <v>345</v>
      </c>
      <c r="H406" s="1" t="s">
        <v>346</v>
      </c>
      <c r="I406" s="1" t="s">
        <v>347</v>
      </c>
      <c r="J406" s="1" t="s">
        <v>348</v>
      </c>
    </row>
    <row r="407" spans="1:10" x14ac:dyDescent="0.25">
      <c r="A407" s="1" t="s">
        <v>1879</v>
      </c>
      <c r="B407" s="1" t="s">
        <v>580</v>
      </c>
      <c r="C407" s="19">
        <v>46182</v>
      </c>
      <c r="D407" s="1" t="s">
        <v>21</v>
      </c>
      <c r="E407" s="1" t="s">
        <v>302</v>
      </c>
      <c r="F407" s="1">
        <v>5623</v>
      </c>
      <c r="G407" s="1" t="s">
        <v>349</v>
      </c>
      <c r="H407" s="1" t="s">
        <v>350</v>
      </c>
      <c r="I407" s="1" t="s">
        <v>347</v>
      </c>
      <c r="J407" s="1" t="s">
        <v>351</v>
      </c>
    </row>
    <row r="408" spans="1:10" x14ac:dyDescent="0.25">
      <c r="A408" s="1" t="s">
        <v>1880</v>
      </c>
      <c r="B408" s="1" t="s">
        <v>580</v>
      </c>
      <c r="C408" s="19">
        <v>46182</v>
      </c>
      <c r="D408" s="1" t="s">
        <v>21</v>
      </c>
      <c r="E408" s="1" t="s">
        <v>302</v>
      </c>
      <c r="F408" s="1">
        <v>5623</v>
      </c>
      <c r="G408" s="1" t="s">
        <v>357</v>
      </c>
      <c r="H408" s="1" t="s">
        <v>346</v>
      </c>
      <c r="I408" s="1" t="s">
        <v>347</v>
      </c>
      <c r="J408" s="1" t="s">
        <v>358</v>
      </c>
    </row>
    <row r="409" spans="1:10" x14ac:dyDescent="0.25">
      <c r="A409" s="1" t="s">
        <v>1881</v>
      </c>
      <c r="B409" s="1" t="s">
        <v>581</v>
      </c>
      <c r="C409" s="19">
        <v>46182</v>
      </c>
      <c r="D409" s="1" t="s">
        <v>21</v>
      </c>
      <c r="E409" s="1" t="s">
        <v>304</v>
      </c>
      <c r="F409" s="1">
        <v>5624</v>
      </c>
      <c r="G409" s="1" t="s">
        <v>345</v>
      </c>
      <c r="H409" s="1" t="s">
        <v>346</v>
      </c>
      <c r="I409" s="1" t="s">
        <v>347</v>
      </c>
      <c r="J409" s="1" t="s">
        <v>348</v>
      </c>
    </row>
    <row r="410" spans="1:10" x14ac:dyDescent="0.25">
      <c r="A410" s="1" t="s">
        <v>1882</v>
      </c>
      <c r="B410" s="1" t="s">
        <v>581</v>
      </c>
      <c r="C410" s="19">
        <v>46182</v>
      </c>
      <c r="D410" s="1" t="s">
        <v>21</v>
      </c>
      <c r="E410" s="1" t="s">
        <v>304</v>
      </c>
      <c r="F410" s="1">
        <v>5624</v>
      </c>
      <c r="G410" s="1" t="s">
        <v>359</v>
      </c>
      <c r="H410" s="1" t="s">
        <v>353</v>
      </c>
      <c r="I410" s="1" t="s">
        <v>347</v>
      </c>
      <c r="J410" s="1" t="s">
        <v>360</v>
      </c>
    </row>
    <row r="411" spans="1:10" x14ac:dyDescent="0.25">
      <c r="A411" s="1" t="s">
        <v>1883</v>
      </c>
      <c r="B411" s="1" t="s">
        <v>582</v>
      </c>
      <c r="C411" s="19">
        <v>46182</v>
      </c>
      <c r="D411" s="1" t="s">
        <v>22</v>
      </c>
      <c r="E411" s="1" t="s">
        <v>81</v>
      </c>
      <c r="F411" s="1">
        <v>5625</v>
      </c>
      <c r="G411" s="1" t="s">
        <v>355</v>
      </c>
      <c r="H411" s="1" t="s">
        <v>346</v>
      </c>
      <c r="I411" s="1" t="s">
        <v>347</v>
      </c>
      <c r="J411" s="1" t="s">
        <v>356</v>
      </c>
    </row>
    <row r="412" spans="1:10" x14ac:dyDescent="0.25">
      <c r="A412" s="1" t="s">
        <v>1884</v>
      </c>
      <c r="B412" s="1" t="s">
        <v>582</v>
      </c>
      <c r="C412" s="19">
        <v>46182</v>
      </c>
      <c r="D412" s="1" t="s">
        <v>22</v>
      </c>
      <c r="E412" s="1" t="s">
        <v>81</v>
      </c>
      <c r="F412" s="1">
        <v>5625</v>
      </c>
      <c r="G412" s="1" t="s">
        <v>345</v>
      </c>
      <c r="H412" s="1" t="s">
        <v>346</v>
      </c>
      <c r="I412" s="1" t="s">
        <v>347</v>
      </c>
      <c r="J412" s="1" t="s">
        <v>348</v>
      </c>
    </row>
    <row r="413" spans="1:10" x14ac:dyDescent="0.25">
      <c r="A413" s="1" t="s">
        <v>1885</v>
      </c>
      <c r="B413" s="1" t="s">
        <v>582</v>
      </c>
      <c r="C413" s="19">
        <v>46182</v>
      </c>
      <c r="D413" s="1" t="s">
        <v>22</v>
      </c>
      <c r="E413" s="1" t="s">
        <v>81</v>
      </c>
      <c r="F413" s="1">
        <v>5625</v>
      </c>
      <c r="G413" s="1" t="s">
        <v>359</v>
      </c>
      <c r="H413" s="1" t="s">
        <v>346</v>
      </c>
      <c r="I413" s="1" t="s">
        <v>347</v>
      </c>
      <c r="J413" s="1" t="s">
        <v>360</v>
      </c>
    </row>
    <row r="414" spans="1:10" x14ac:dyDescent="0.25">
      <c r="A414" s="1" t="s">
        <v>1886</v>
      </c>
      <c r="B414" s="1" t="s">
        <v>583</v>
      </c>
      <c r="C414" s="19">
        <v>46182</v>
      </c>
      <c r="D414" s="1" t="s">
        <v>22</v>
      </c>
      <c r="E414" s="1" t="s">
        <v>267</v>
      </c>
      <c r="F414" s="1">
        <v>5626</v>
      </c>
      <c r="G414" s="1" t="s">
        <v>345</v>
      </c>
      <c r="H414" s="1" t="s">
        <v>346</v>
      </c>
      <c r="I414" s="1" t="s">
        <v>347</v>
      </c>
      <c r="J414" s="1" t="s">
        <v>348</v>
      </c>
    </row>
    <row r="415" spans="1:10" x14ac:dyDescent="0.25">
      <c r="A415" s="1" t="s">
        <v>1887</v>
      </c>
      <c r="B415" s="1" t="s">
        <v>583</v>
      </c>
      <c r="C415" s="19">
        <v>46182</v>
      </c>
      <c r="D415" s="1" t="s">
        <v>22</v>
      </c>
      <c r="E415" s="1" t="s">
        <v>267</v>
      </c>
      <c r="F415" s="1">
        <v>5626</v>
      </c>
      <c r="G415" s="1" t="s">
        <v>349</v>
      </c>
      <c r="H415" s="1" t="s">
        <v>350</v>
      </c>
      <c r="I415" s="1" t="s">
        <v>347</v>
      </c>
      <c r="J415" s="1" t="s">
        <v>351</v>
      </c>
    </row>
    <row r="416" spans="1:10" x14ac:dyDescent="0.25">
      <c r="A416" s="1" t="s">
        <v>1888</v>
      </c>
      <c r="B416" s="1" t="s">
        <v>583</v>
      </c>
      <c r="C416" s="19">
        <v>46182</v>
      </c>
      <c r="D416" s="1" t="s">
        <v>22</v>
      </c>
      <c r="E416" s="1" t="s">
        <v>267</v>
      </c>
      <c r="F416" s="1">
        <v>5626</v>
      </c>
      <c r="G416" s="1" t="s">
        <v>357</v>
      </c>
      <c r="H416" s="1" t="s">
        <v>346</v>
      </c>
      <c r="I416" s="1" t="s">
        <v>347</v>
      </c>
      <c r="J416" s="1" t="s">
        <v>358</v>
      </c>
    </row>
    <row r="417" spans="1:10" x14ac:dyDescent="0.25">
      <c r="A417" s="1" t="s">
        <v>1889</v>
      </c>
      <c r="B417" s="1" t="s">
        <v>584</v>
      </c>
      <c r="C417" s="19">
        <v>46182</v>
      </c>
      <c r="D417" s="1" t="s">
        <v>21</v>
      </c>
      <c r="E417" s="1" t="s">
        <v>278</v>
      </c>
      <c r="F417" s="1">
        <v>5627</v>
      </c>
      <c r="G417" s="1" t="s">
        <v>345</v>
      </c>
      <c r="H417" s="1" t="s">
        <v>346</v>
      </c>
      <c r="I417" s="1" t="s">
        <v>347</v>
      </c>
      <c r="J417" s="1" t="s">
        <v>348</v>
      </c>
    </row>
    <row r="418" spans="1:10" x14ac:dyDescent="0.25">
      <c r="A418" s="1" t="s">
        <v>1890</v>
      </c>
      <c r="B418" s="1" t="s">
        <v>584</v>
      </c>
      <c r="C418" s="19">
        <v>46182</v>
      </c>
      <c r="D418" s="1" t="s">
        <v>21</v>
      </c>
      <c r="E418" s="1" t="s">
        <v>278</v>
      </c>
      <c r="F418" s="1">
        <v>5627</v>
      </c>
      <c r="G418" s="1" t="s">
        <v>349</v>
      </c>
      <c r="H418" s="1" t="s">
        <v>350</v>
      </c>
      <c r="I418" s="1" t="s">
        <v>347</v>
      </c>
      <c r="J418" s="1" t="s">
        <v>351</v>
      </c>
    </row>
    <row r="419" spans="1:10" x14ac:dyDescent="0.25">
      <c r="A419" s="1" t="s">
        <v>1891</v>
      </c>
      <c r="B419" s="1" t="s">
        <v>584</v>
      </c>
      <c r="C419" s="19">
        <v>46182</v>
      </c>
      <c r="D419" s="1" t="s">
        <v>21</v>
      </c>
      <c r="E419" s="1" t="s">
        <v>278</v>
      </c>
      <c r="F419" s="1">
        <v>5627</v>
      </c>
      <c r="G419" s="1" t="s">
        <v>359</v>
      </c>
      <c r="H419" s="1" t="s">
        <v>346</v>
      </c>
      <c r="I419" s="1" t="s">
        <v>347</v>
      </c>
      <c r="J419" s="1" t="s">
        <v>360</v>
      </c>
    </row>
    <row r="420" spans="1:10" x14ac:dyDescent="0.25">
      <c r="A420" s="1" t="s">
        <v>1892</v>
      </c>
      <c r="B420" s="1" t="s">
        <v>585</v>
      </c>
      <c r="C420" s="19">
        <v>46182</v>
      </c>
      <c r="D420" s="1" t="s">
        <v>22</v>
      </c>
      <c r="E420" s="1" t="s">
        <v>81</v>
      </c>
      <c r="F420" s="1">
        <v>5628</v>
      </c>
      <c r="G420" s="1" t="s">
        <v>345</v>
      </c>
      <c r="H420" s="1" t="s">
        <v>346</v>
      </c>
      <c r="I420" s="1" t="s">
        <v>347</v>
      </c>
      <c r="J420" s="1" t="s">
        <v>348</v>
      </c>
    </row>
    <row r="421" spans="1:10" x14ac:dyDescent="0.25">
      <c r="A421" s="1" t="s">
        <v>1893</v>
      </c>
      <c r="B421" s="1" t="s">
        <v>585</v>
      </c>
      <c r="C421" s="19">
        <v>46182</v>
      </c>
      <c r="D421" s="1" t="s">
        <v>22</v>
      </c>
      <c r="E421" s="1" t="s">
        <v>81</v>
      </c>
      <c r="F421" s="1">
        <v>5628</v>
      </c>
      <c r="G421" s="1" t="s">
        <v>359</v>
      </c>
      <c r="H421" s="1" t="s">
        <v>353</v>
      </c>
      <c r="I421" s="1" t="s">
        <v>347</v>
      </c>
      <c r="J421" s="1" t="s">
        <v>360</v>
      </c>
    </row>
    <row r="422" spans="1:10" x14ac:dyDescent="0.25">
      <c r="A422" s="1" t="s">
        <v>1894</v>
      </c>
      <c r="B422" s="1" t="s">
        <v>586</v>
      </c>
      <c r="C422" s="19">
        <v>46182</v>
      </c>
      <c r="D422" s="1" t="s">
        <v>21</v>
      </c>
      <c r="E422" s="1" t="s">
        <v>306</v>
      </c>
      <c r="F422" s="1">
        <v>5629</v>
      </c>
      <c r="G422" s="1" t="s">
        <v>345</v>
      </c>
      <c r="H422" s="1" t="s">
        <v>346</v>
      </c>
      <c r="I422" s="1" t="s">
        <v>347</v>
      </c>
      <c r="J422" s="1" t="s">
        <v>348</v>
      </c>
    </row>
    <row r="423" spans="1:10" x14ac:dyDescent="0.25">
      <c r="A423" s="1" t="s">
        <v>1895</v>
      </c>
      <c r="B423" s="1" t="s">
        <v>586</v>
      </c>
      <c r="C423" s="19">
        <v>46182</v>
      </c>
      <c r="D423" s="1" t="s">
        <v>21</v>
      </c>
      <c r="E423" s="1" t="s">
        <v>306</v>
      </c>
      <c r="F423" s="1">
        <v>5629</v>
      </c>
      <c r="G423" s="1" t="s">
        <v>349</v>
      </c>
      <c r="H423" s="1" t="s">
        <v>350</v>
      </c>
      <c r="I423" s="1" t="s">
        <v>347</v>
      </c>
      <c r="J423" s="1" t="s">
        <v>351</v>
      </c>
    </row>
    <row r="424" spans="1:10" x14ac:dyDescent="0.25">
      <c r="A424" s="1" t="s">
        <v>1896</v>
      </c>
      <c r="B424" s="1" t="s">
        <v>586</v>
      </c>
      <c r="C424" s="19">
        <v>46182</v>
      </c>
      <c r="D424" s="1" t="s">
        <v>21</v>
      </c>
      <c r="E424" s="1" t="s">
        <v>306</v>
      </c>
      <c r="F424" s="1">
        <v>5629</v>
      </c>
      <c r="G424" s="1" t="s">
        <v>359</v>
      </c>
      <c r="H424" s="1" t="s">
        <v>346</v>
      </c>
      <c r="I424" s="1" t="s">
        <v>347</v>
      </c>
      <c r="J424" s="1" t="s">
        <v>360</v>
      </c>
    </row>
    <row r="425" spans="1:10" x14ac:dyDescent="0.25">
      <c r="A425" s="1" t="s">
        <v>1897</v>
      </c>
      <c r="B425" s="1" t="s">
        <v>587</v>
      </c>
      <c r="C425" s="19">
        <v>46182</v>
      </c>
      <c r="D425" s="1" t="s">
        <v>22</v>
      </c>
      <c r="E425" s="1" t="s">
        <v>81</v>
      </c>
      <c r="F425" s="1">
        <v>5630</v>
      </c>
      <c r="G425" s="1" t="s">
        <v>355</v>
      </c>
      <c r="H425" s="1" t="s">
        <v>346</v>
      </c>
      <c r="I425" s="1" t="s">
        <v>347</v>
      </c>
      <c r="J425" s="1" t="s">
        <v>356</v>
      </c>
    </row>
    <row r="426" spans="1:10" x14ac:dyDescent="0.25">
      <c r="A426" s="1" t="s">
        <v>1898</v>
      </c>
      <c r="B426" s="1" t="s">
        <v>587</v>
      </c>
      <c r="C426" s="19">
        <v>46182</v>
      </c>
      <c r="D426" s="1" t="s">
        <v>22</v>
      </c>
      <c r="E426" s="1" t="s">
        <v>81</v>
      </c>
      <c r="F426" s="1">
        <v>5630</v>
      </c>
      <c r="G426" s="1" t="s">
        <v>345</v>
      </c>
      <c r="H426" s="1" t="s">
        <v>346</v>
      </c>
      <c r="I426" s="1" t="s">
        <v>347</v>
      </c>
      <c r="J426" s="1" t="s">
        <v>348</v>
      </c>
    </row>
    <row r="427" spans="1:10" x14ac:dyDescent="0.25">
      <c r="A427" s="1" t="s">
        <v>1899</v>
      </c>
      <c r="B427" s="1" t="s">
        <v>587</v>
      </c>
      <c r="C427" s="19">
        <v>46182</v>
      </c>
      <c r="D427" s="1" t="s">
        <v>22</v>
      </c>
      <c r="E427" s="1" t="s">
        <v>81</v>
      </c>
      <c r="F427" s="1">
        <v>5630</v>
      </c>
      <c r="G427" s="1" t="s">
        <v>349</v>
      </c>
      <c r="H427" s="1" t="s">
        <v>350</v>
      </c>
      <c r="I427" s="1" t="s">
        <v>347</v>
      </c>
      <c r="J427" s="1" t="s">
        <v>351</v>
      </c>
    </row>
    <row r="428" spans="1:10" x14ac:dyDescent="0.25">
      <c r="A428" s="1" t="s">
        <v>1900</v>
      </c>
      <c r="B428" s="1" t="s">
        <v>587</v>
      </c>
      <c r="C428" s="19">
        <v>46182</v>
      </c>
      <c r="D428" s="1" t="s">
        <v>22</v>
      </c>
      <c r="E428" s="1" t="s">
        <v>81</v>
      </c>
      <c r="F428" s="1">
        <v>5630</v>
      </c>
      <c r="G428" s="1" t="s">
        <v>359</v>
      </c>
      <c r="H428" s="1" t="s">
        <v>346</v>
      </c>
      <c r="I428" s="1" t="s">
        <v>347</v>
      </c>
      <c r="J428" s="1" t="s">
        <v>360</v>
      </c>
    </row>
    <row r="429" spans="1:10" x14ac:dyDescent="0.25">
      <c r="A429" s="1" t="s">
        <v>1901</v>
      </c>
      <c r="B429" s="1" t="s">
        <v>589</v>
      </c>
      <c r="C429" s="19">
        <v>46182</v>
      </c>
      <c r="D429" s="1" t="s">
        <v>22</v>
      </c>
      <c r="E429" s="1" t="s">
        <v>247</v>
      </c>
      <c r="F429" s="1">
        <v>5632</v>
      </c>
      <c r="G429" s="1" t="s">
        <v>345</v>
      </c>
      <c r="H429" s="1" t="s">
        <v>346</v>
      </c>
      <c r="I429" s="1" t="s">
        <v>347</v>
      </c>
      <c r="J429" s="1" t="s">
        <v>348</v>
      </c>
    </row>
    <row r="430" spans="1:10" x14ac:dyDescent="0.25">
      <c r="A430" s="1" t="s">
        <v>1902</v>
      </c>
      <c r="B430" s="1" t="s">
        <v>589</v>
      </c>
      <c r="C430" s="19">
        <v>46182</v>
      </c>
      <c r="D430" s="1" t="s">
        <v>22</v>
      </c>
      <c r="E430" s="1" t="s">
        <v>247</v>
      </c>
      <c r="F430" s="1">
        <v>5632</v>
      </c>
      <c r="G430" s="1" t="s">
        <v>359</v>
      </c>
      <c r="H430" s="1" t="s">
        <v>353</v>
      </c>
      <c r="I430" s="1" t="s">
        <v>347</v>
      </c>
      <c r="J430" s="1" t="s">
        <v>360</v>
      </c>
    </row>
    <row r="431" spans="1:10" x14ac:dyDescent="0.25">
      <c r="A431" s="1" t="s">
        <v>1903</v>
      </c>
      <c r="B431" s="1" t="s">
        <v>590</v>
      </c>
      <c r="C431" s="19">
        <v>46182</v>
      </c>
      <c r="D431" s="1" t="s">
        <v>22</v>
      </c>
      <c r="E431" s="1" t="s">
        <v>81</v>
      </c>
      <c r="F431" s="1">
        <v>5633</v>
      </c>
      <c r="G431" s="1" t="s">
        <v>345</v>
      </c>
      <c r="H431" s="1" t="s">
        <v>346</v>
      </c>
      <c r="I431" s="1" t="s">
        <v>347</v>
      </c>
      <c r="J431" s="1" t="s">
        <v>348</v>
      </c>
    </row>
    <row r="432" spans="1:10" x14ac:dyDescent="0.25">
      <c r="A432" s="1" t="s">
        <v>1904</v>
      </c>
      <c r="B432" s="1" t="s">
        <v>590</v>
      </c>
      <c r="C432" s="19">
        <v>46182</v>
      </c>
      <c r="D432" s="1" t="s">
        <v>22</v>
      </c>
      <c r="E432" s="1" t="s">
        <v>81</v>
      </c>
      <c r="F432" s="1">
        <v>5633</v>
      </c>
      <c r="G432" s="1" t="s">
        <v>359</v>
      </c>
      <c r="H432" s="1" t="s">
        <v>346</v>
      </c>
      <c r="I432" s="1" t="s">
        <v>347</v>
      </c>
      <c r="J432" s="1" t="s">
        <v>360</v>
      </c>
    </row>
    <row r="433" spans="1:10" x14ac:dyDescent="0.25">
      <c r="A433" s="1" t="s">
        <v>1905</v>
      </c>
      <c r="B433" s="1" t="s">
        <v>591</v>
      </c>
      <c r="C433" s="19">
        <v>46182</v>
      </c>
      <c r="D433" s="1" t="s">
        <v>22</v>
      </c>
      <c r="E433" s="1" t="s">
        <v>267</v>
      </c>
      <c r="F433" s="1">
        <v>5634</v>
      </c>
      <c r="G433" s="1" t="s">
        <v>345</v>
      </c>
      <c r="H433" s="1" t="s">
        <v>346</v>
      </c>
      <c r="I433" s="1" t="s">
        <v>347</v>
      </c>
      <c r="J433" s="1" t="s">
        <v>348</v>
      </c>
    </row>
    <row r="434" spans="1:10" x14ac:dyDescent="0.25">
      <c r="A434" s="1" t="s">
        <v>1906</v>
      </c>
      <c r="B434" s="1" t="s">
        <v>591</v>
      </c>
      <c r="C434" s="19">
        <v>46182</v>
      </c>
      <c r="D434" s="1" t="s">
        <v>22</v>
      </c>
      <c r="E434" s="1" t="s">
        <v>267</v>
      </c>
      <c r="F434" s="1">
        <v>5634</v>
      </c>
      <c r="G434" s="1" t="s">
        <v>359</v>
      </c>
      <c r="H434" s="1" t="s">
        <v>346</v>
      </c>
      <c r="I434" s="1" t="s">
        <v>347</v>
      </c>
      <c r="J434" s="1" t="s">
        <v>360</v>
      </c>
    </row>
    <row r="435" spans="1:10" x14ac:dyDescent="0.25">
      <c r="A435" s="1" t="s">
        <v>1907</v>
      </c>
      <c r="B435" s="1" t="s">
        <v>592</v>
      </c>
      <c r="C435" s="19">
        <v>46182</v>
      </c>
      <c r="D435" s="1" t="s">
        <v>21</v>
      </c>
      <c r="E435" s="1" t="s">
        <v>308</v>
      </c>
      <c r="F435" s="1">
        <v>5635</v>
      </c>
      <c r="G435" s="1" t="s">
        <v>345</v>
      </c>
      <c r="H435" s="1" t="s">
        <v>346</v>
      </c>
      <c r="I435" s="1" t="s">
        <v>347</v>
      </c>
      <c r="J435" s="1" t="s">
        <v>348</v>
      </c>
    </row>
    <row r="436" spans="1:10" x14ac:dyDescent="0.25">
      <c r="A436" s="1" t="s">
        <v>1908</v>
      </c>
      <c r="B436" s="1" t="s">
        <v>592</v>
      </c>
      <c r="C436" s="19">
        <v>46182</v>
      </c>
      <c r="D436" s="1" t="s">
        <v>21</v>
      </c>
      <c r="E436" s="1" t="s">
        <v>308</v>
      </c>
      <c r="F436" s="1">
        <v>5635</v>
      </c>
      <c r="G436" s="1" t="s">
        <v>349</v>
      </c>
      <c r="H436" s="1" t="s">
        <v>350</v>
      </c>
      <c r="I436" s="1" t="s">
        <v>347</v>
      </c>
      <c r="J436" s="1" t="s">
        <v>351</v>
      </c>
    </row>
    <row r="437" spans="1:10" x14ac:dyDescent="0.25">
      <c r="A437" s="1" t="s">
        <v>1909</v>
      </c>
      <c r="B437" s="1" t="s">
        <v>592</v>
      </c>
      <c r="C437" s="19">
        <v>46182</v>
      </c>
      <c r="D437" s="1" t="s">
        <v>21</v>
      </c>
      <c r="E437" s="1" t="s">
        <v>308</v>
      </c>
      <c r="F437" s="1">
        <v>5635</v>
      </c>
      <c r="G437" s="1" t="s">
        <v>359</v>
      </c>
      <c r="H437" s="1" t="s">
        <v>346</v>
      </c>
      <c r="I437" s="1" t="s">
        <v>347</v>
      </c>
      <c r="J437" s="1" t="s">
        <v>360</v>
      </c>
    </row>
    <row r="438" spans="1:10" x14ac:dyDescent="0.25">
      <c r="A438" s="1" t="s">
        <v>1910</v>
      </c>
      <c r="B438" s="1" t="s">
        <v>593</v>
      </c>
      <c r="C438" s="19">
        <v>46182</v>
      </c>
      <c r="D438" s="1" t="s">
        <v>21</v>
      </c>
      <c r="E438" s="1" t="s">
        <v>309</v>
      </c>
      <c r="F438" s="1">
        <v>5636</v>
      </c>
      <c r="G438" s="1" t="s">
        <v>345</v>
      </c>
      <c r="H438" s="1" t="s">
        <v>346</v>
      </c>
      <c r="I438" s="1" t="s">
        <v>347</v>
      </c>
      <c r="J438" s="1" t="s">
        <v>348</v>
      </c>
    </row>
    <row r="439" spans="1:10" x14ac:dyDescent="0.25">
      <c r="A439" s="1" t="s">
        <v>1911</v>
      </c>
      <c r="B439" s="1" t="s">
        <v>593</v>
      </c>
      <c r="C439" s="19">
        <v>46182</v>
      </c>
      <c r="D439" s="1" t="s">
        <v>21</v>
      </c>
      <c r="E439" s="1" t="s">
        <v>309</v>
      </c>
      <c r="F439" s="1">
        <v>5636</v>
      </c>
      <c r="G439" s="1" t="s">
        <v>349</v>
      </c>
      <c r="H439" s="1" t="s">
        <v>350</v>
      </c>
      <c r="I439" s="1" t="s">
        <v>347</v>
      </c>
      <c r="J439" s="1" t="s">
        <v>351</v>
      </c>
    </row>
    <row r="440" spans="1:10" x14ac:dyDescent="0.25">
      <c r="A440" s="1" t="s">
        <v>1912</v>
      </c>
      <c r="B440" s="1" t="s">
        <v>593</v>
      </c>
      <c r="C440" s="19">
        <v>46182</v>
      </c>
      <c r="D440" s="1" t="s">
        <v>21</v>
      </c>
      <c r="E440" s="1" t="s">
        <v>309</v>
      </c>
      <c r="F440" s="1">
        <v>5636</v>
      </c>
      <c r="G440" s="1" t="s">
        <v>359</v>
      </c>
      <c r="H440" s="1" t="s">
        <v>346</v>
      </c>
      <c r="I440" s="1" t="s">
        <v>347</v>
      </c>
      <c r="J440" s="1" t="s">
        <v>360</v>
      </c>
    </row>
    <row r="441" spans="1:10" x14ac:dyDescent="0.25">
      <c r="A441" s="1" t="s">
        <v>1913</v>
      </c>
      <c r="B441" s="1" t="s">
        <v>594</v>
      </c>
      <c r="C441" s="19">
        <v>46182</v>
      </c>
      <c r="D441" s="1" t="s">
        <v>22</v>
      </c>
      <c r="E441" s="1" t="s">
        <v>267</v>
      </c>
      <c r="F441" s="1">
        <v>5637</v>
      </c>
      <c r="G441" s="1" t="s">
        <v>345</v>
      </c>
      <c r="H441" s="1" t="s">
        <v>346</v>
      </c>
      <c r="I441" s="1" t="s">
        <v>347</v>
      </c>
      <c r="J441" s="1" t="s">
        <v>348</v>
      </c>
    </row>
    <row r="442" spans="1:10" x14ac:dyDescent="0.25">
      <c r="A442" s="1" t="s">
        <v>1914</v>
      </c>
      <c r="B442" s="1" t="s">
        <v>594</v>
      </c>
      <c r="C442" s="19">
        <v>46182</v>
      </c>
      <c r="D442" s="1" t="s">
        <v>22</v>
      </c>
      <c r="E442" s="1" t="s">
        <v>267</v>
      </c>
      <c r="F442" s="1">
        <v>5637</v>
      </c>
      <c r="G442" s="1" t="s">
        <v>359</v>
      </c>
      <c r="H442" s="1" t="s">
        <v>346</v>
      </c>
      <c r="I442" s="1" t="s">
        <v>347</v>
      </c>
      <c r="J442" s="1" t="s">
        <v>360</v>
      </c>
    </row>
    <row r="443" spans="1:10" x14ac:dyDescent="0.25">
      <c r="A443" s="1" t="s">
        <v>1915</v>
      </c>
      <c r="B443" s="1" t="s">
        <v>595</v>
      </c>
      <c r="C443" s="19">
        <v>46182</v>
      </c>
      <c r="D443" s="1" t="s">
        <v>22</v>
      </c>
      <c r="E443" s="1" t="s">
        <v>267</v>
      </c>
      <c r="F443" s="1">
        <v>5638</v>
      </c>
      <c r="G443" s="1" t="s">
        <v>345</v>
      </c>
      <c r="H443" s="1" t="s">
        <v>346</v>
      </c>
      <c r="I443" s="1" t="s">
        <v>347</v>
      </c>
      <c r="J443" s="1" t="s">
        <v>348</v>
      </c>
    </row>
    <row r="444" spans="1:10" x14ac:dyDescent="0.25">
      <c r="A444" s="1" t="s">
        <v>1916</v>
      </c>
      <c r="B444" s="1" t="s">
        <v>595</v>
      </c>
      <c r="C444" s="19">
        <v>46182</v>
      </c>
      <c r="D444" s="1" t="s">
        <v>22</v>
      </c>
      <c r="E444" s="1" t="s">
        <v>267</v>
      </c>
      <c r="F444" s="1">
        <v>5638</v>
      </c>
      <c r="G444" s="1" t="s">
        <v>359</v>
      </c>
      <c r="H444" s="1" t="s">
        <v>346</v>
      </c>
      <c r="I444" s="1" t="s">
        <v>347</v>
      </c>
      <c r="J444" s="1" t="s">
        <v>360</v>
      </c>
    </row>
    <row r="445" spans="1:10" x14ac:dyDescent="0.25">
      <c r="A445" s="1" t="s">
        <v>1917</v>
      </c>
      <c r="B445" s="1" t="s">
        <v>597</v>
      </c>
      <c r="C445" s="19">
        <v>46182</v>
      </c>
      <c r="D445" s="1" t="s">
        <v>22</v>
      </c>
      <c r="E445" s="1" t="s">
        <v>314</v>
      </c>
      <c r="F445" s="1">
        <v>5640</v>
      </c>
      <c r="G445" s="1" t="s">
        <v>345</v>
      </c>
      <c r="H445" s="1" t="s">
        <v>346</v>
      </c>
      <c r="I445" s="1" t="s">
        <v>347</v>
      </c>
      <c r="J445" s="1" t="s">
        <v>348</v>
      </c>
    </row>
    <row r="446" spans="1:10" x14ac:dyDescent="0.25">
      <c r="A446" s="1" t="s">
        <v>1918</v>
      </c>
      <c r="B446" s="1" t="s">
        <v>597</v>
      </c>
      <c r="C446" s="19">
        <v>46182</v>
      </c>
      <c r="D446" s="1" t="s">
        <v>22</v>
      </c>
      <c r="E446" s="1" t="s">
        <v>314</v>
      </c>
      <c r="F446" s="1">
        <v>5640</v>
      </c>
      <c r="G446" s="1" t="s">
        <v>359</v>
      </c>
      <c r="H446" s="1" t="s">
        <v>346</v>
      </c>
      <c r="I446" s="1" t="s">
        <v>347</v>
      </c>
      <c r="J446" s="1" t="s">
        <v>360</v>
      </c>
    </row>
    <row r="447" spans="1:10" x14ac:dyDescent="0.25">
      <c r="A447" s="1" t="s">
        <v>1919</v>
      </c>
      <c r="B447" s="1" t="s">
        <v>598</v>
      </c>
      <c r="C447" s="19">
        <v>46182</v>
      </c>
      <c r="D447" s="1" t="s">
        <v>21</v>
      </c>
      <c r="E447" s="1" t="s">
        <v>81</v>
      </c>
      <c r="F447" s="1">
        <v>5641</v>
      </c>
      <c r="G447" s="1" t="s">
        <v>345</v>
      </c>
      <c r="H447" s="1" t="s">
        <v>346</v>
      </c>
      <c r="I447" s="1" t="s">
        <v>347</v>
      </c>
      <c r="J447" s="1" t="s">
        <v>348</v>
      </c>
    </row>
    <row r="448" spans="1:10" x14ac:dyDescent="0.25">
      <c r="A448" s="1" t="s">
        <v>1920</v>
      </c>
      <c r="B448" s="1" t="s">
        <v>598</v>
      </c>
      <c r="C448" s="19">
        <v>46182</v>
      </c>
      <c r="D448" s="1" t="s">
        <v>21</v>
      </c>
      <c r="E448" s="1" t="s">
        <v>81</v>
      </c>
      <c r="F448" s="1">
        <v>5641</v>
      </c>
      <c r="G448" s="1" t="s">
        <v>349</v>
      </c>
      <c r="H448" s="1" t="s">
        <v>350</v>
      </c>
      <c r="I448" s="1" t="s">
        <v>347</v>
      </c>
      <c r="J448" s="1" t="s">
        <v>351</v>
      </c>
    </row>
    <row r="449" spans="1:10" x14ac:dyDescent="0.25">
      <c r="A449" s="1" t="s">
        <v>1921</v>
      </c>
      <c r="B449" s="1" t="s">
        <v>598</v>
      </c>
      <c r="C449" s="19">
        <v>46182</v>
      </c>
      <c r="D449" s="1" t="s">
        <v>21</v>
      </c>
      <c r="E449" s="1" t="s">
        <v>81</v>
      </c>
      <c r="F449" s="1">
        <v>5641</v>
      </c>
      <c r="G449" s="1" t="s">
        <v>359</v>
      </c>
      <c r="H449" s="1" t="s">
        <v>346</v>
      </c>
      <c r="I449" s="1" t="s">
        <v>347</v>
      </c>
      <c r="J449" s="1" t="s">
        <v>360</v>
      </c>
    </row>
    <row r="450" spans="1:10" x14ac:dyDescent="0.25">
      <c r="A450" s="1" t="s">
        <v>1922</v>
      </c>
      <c r="B450" s="1" t="s">
        <v>599</v>
      </c>
      <c r="C450" s="19">
        <v>46182</v>
      </c>
      <c r="D450" s="1" t="s">
        <v>21</v>
      </c>
      <c r="E450" s="1" t="s">
        <v>315</v>
      </c>
      <c r="F450" s="1">
        <v>5642</v>
      </c>
      <c r="G450" s="1" t="s">
        <v>345</v>
      </c>
      <c r="H450" s="1" t="s">
        <v>346</v>
      </c>
      <c r="I450" s="1" t="s">
        <v>347</v>
      </c>
      <c r="J450" s="1" t="s">
        <v>348</v>
      </c>
    </row>
    <row r="451" spans="1:10" x14ac:dyDescent="0.25">
      <c r="A451" s="1" t="s">
        <v>1923</v>
      </c>
      <c r="B451" s="1" t="s">
        <v>599</v>
      </c>
      <c r="C451" s="19">
        <v>46182</v>
      </c>
      <c r="D451" s="1" t="s">
        <v>21</v>
      </c>
      <c r="E451" s="1" t="s">
        <v>315</v>
      </c>
      <c r="F451" s="1">
        <v>5642</v>
      </c>
      <c r="G451" s="1" t="s">
        <v>349</v>
      </c>
      <c r="H451" s="1" t="s">
        <v>350</v>
      </c>
      <c r="I451" s="1" t="s">
        <v>347</v>
      </c>
      <c r="J451" s="1" t="s">
        <v>351</v>
      </c>
    </row>
    <row r="452" spans="1:10" x14ac:dyDescent="0.25">
      <c r="A452" s="1" t="s">
        <v>1924</v>
      </c>
      <c r="B452" s="1" t="s">
        <v>599</v>
      </c>
      <c r="C452" s="19">
        <v>46182</v>
      </c>
      <c r="D452" s="1" t="s">
        <v>21</v>
      </c>
      <c r="E452" s="1" t="s">
        <v>315</v>
      </c>
      <c r="F452" s="1">
        <v>5642</v>
      </c>
      <c r="G452" s="1" t="s">
        <v>359</v>
      </c>
      <c r="H452" s="1" t="s">
        <v>346</v>
      </c>
      <c r="I452" s="1" t="s">
        <v>347</v>
      </c>
      <c r="J452" s="1" t="s">
        <v>360</v>
      </c>
    </row>
    <row r="453" spans="1:10" x14ac:dyDescent="0.25">
      <c r="A453" s="1" t="s">
        <v>1925</v>
      </c>
      <c r="B453" s="1" t="s">
        <v>600</v>
      </c>
      <c r="C453" s="19">
        <v>46182</v>
      </c>
      <c r="D453" s="1" t="s">
        <v>21</v>
      </c>
      <c r="E453" s="1" t="s">
        <v>316</v>
      </c>
      <c r="F453" s="1">
        <v>5643</v>
      </c>
      <c r="G453" s="1" t="s">
        <v>345</v>
      </c>
      <c r="H453" s="1" t="s">
        <v>346</v>
      </c>
      <c r="I453" s="1" t="s">
        <v>347</v>
      </c>
      <c r="J453" s="1" t="s">
        <v>348</v>
      </c>
    </row>
    <row r="454" spans="1:10" x14ac:dyDescent="0.25">
      <c r="A454" s="1" t="s">
        <v>1926</v>
      </c>
      <c r="B454" s="1" t="s">
        <v>600</v>
      </c>
      <c r="C454" s="19">
        <v>46182</v>
      </c>
      <c r="D454" s="1" t="s">
        <v>21</v>
      </c>
      <c r="E454" s="1" t="s">
        <v>316</v>
      </c>
      <c r="F454" s="1">
        <v>5643</v>
      </c>
      <c r="G454" s="1" t="s">
        <v>349</v>
      </c>
      <c r="H454" s="1" t="s">
        <v>350</v>
      </c>
      <c r="I454" s="1" t="s">
        <v>347</v>
      </c>
      <c r="J454" s="1" t="s">
        <v>351</v>
      </c>
    </row>
    <row r="455" spans="1:10" x14ac:dyDescent="0.25">
      <c r="A455" s="1" t="s">
        <v>1927</v>
      </c>
      <c r="B455" s="1" t="s">
        <v>600</v>
      </c>
      <c r="C455" s="19">
        <v>46182</v>
      </c>
      <c r="D455" s="1" t="s">
        <v>21</v>
      </c>
      <c r="E455" s="1" t="s">
        <v>316</v>
      </c>
      <c r="F455" s="1">
        <v>5643</v>
      </c>
      <c r="G455" s="1" t="s">
        <v>359</v>
      </c>
      <c r="H455" s="1" t="s">
        <v>346</v>
      </c>
      <c r="I455" s="1" t="s">
        <v>347</v>
      </c>
      <c r="J455" s="1" t="s">
        <v>360</v>
      </c>
    </row>
    <row r="456" spans="1:10" x14ac:dyDescent="0.25">
      <c r="A456" s="1" t="s">
        <v>1928</v>
      </c>
      <c r="B456" s="1" t="s">
        <v>601</v>
      </c>
      <c r="C456" s="19">
        <v>46182</v>
      </c>
      <c r="D456" s="1" t="s">
        <v>22</v>
      </c>
      <c r="E456" s="1" t="s">
        <v>317</v>
      </c>
      <c r="F456" s="1">
        <v>5644</v>
      </c>
      <c r="G456" s="1" t="s">
        <v>345</v>
      </c>
      <c r="H456" s="1" t="s">
        <v>346</v>
      </c>
      <c r="I456" s="1" t="s">
        <v>347</v>
      </c>
      <c r="J456" s="1" t="s">
        <v>348</v>
      </c>
    </row>
    <row r="457" spans="1:10" x14ac:dyDescent="0.25">
      <c r="A457" s="1" t="s">
        <v>1929</v>
      </c>
      <c r="B457" s="1" t="s">
        <v>601</v>
      </c>
      <c r="C457" s="19">
        <v>46182</v>
      </c>
      <c r="D457" s="1" t="s">
        <v>22</v>
      </c>
      <c r="E457" s="1" t="s">
        <v>317</v>
      </c>
      <c r="F457" s="1">
        <v>5644</v>
      </c>
      <c r="G457" s="1" t="s">
        <v>349</v>
      </c>
      <c r="H457" s="1" t="s">
        <v>350</v>
      </c>
      <c r="I457" s="1" t="s">
        <v>347</v>
      </c>
      <c r="J457" s="1" t="s">
        <v>351</v>
      </c>
    </row>
    <row r="458" spans="1:10" x14ac:dyDescent="0.25">
      <c r="A458" s="1" t="s">
        <v>1930</v>
      </c>
      <c r="B458" s="1" t="s">
        <v>601</v>
      </c>
      <c r="C458" s="19">
        <v>46182</v>
      </c>
      <c r="D458" s="1" t="s">
        <v>22</v>
      </c>
      <c r="E458" s="1" t="s">
        <v>317</v>
      </c>
      <c r="F458" s="1">
        <v>5644</v>
      </c>
      <c r="G458" s="1" t="s">
        <v>359</v>
      </c>
      <c r="H458" s="1" t="s">
        <v>353</v>
      </c>
      <c r="I458" s="1" t="s">
        <v>347</v>
      </c>
      <c r="J458" s="1" t="s">
        <v>360</v>
      </c>
    </row>
    <row r="459" spans="1:10" x14ac:dyDescent="0.25">
      <c r="A459" s="1" t="s">
        <v>1931</v>
      </c>
      <c r="B459" s="1" t="s">
        <v>602</v>
      </c>
      <c r="C459" s="19">
        <v>46182</v>
      </c>
      <c r="D459" s="1" t="s">
        <v>21</v>
      </c>
      <c r="E459" s="1" t="s">
        <v>318</v>
      </c>
      <c r="F459" s="1">
        <v>5645</v>
      </c>
      <c r="G459" s="1" t="s">
        <v>345</v>
      </c>
      <c r="H459" s="1" t="s">
        <v>346</v>
      </c>
      <c r="I459" s="1" t="s">
        <v>347</v>
      </c>
      <c r="J459" s="1" t="s">
        <v>348</v>
      </c>
    </row>
    <row r="460" spans="1:10" x14ac:dyDescent="0.25">
      <c r="A460" s="1" t="s">
        <v>1932</v>
      </c>
      <c r="B460" s="1" t="s">
        <v>602</v>
      </c>
      <c r="C460" s="19">
        <v>46182</v>
      </c>
      <c r="D460" s="1" t="s">
        <v>21</v>
      </c>
      <c r="E460" s="1" t="s">
        <v>318</v>
      </c>
      <c r="F460" s="1">
        <v>5645</v>
      </c>
      <c r="G460" s="1" t="s">
        <v>349</v>
      </c>
      <c r="H460" s="1" t="s">
        <v>350</v>
      </c>
      <c r="I460" s="1" t="s">
        <v>347</v>
      </c>
      <c r="J460" s="1" t="s">
        <v>351</v>
      </c>
    </row>
    <row r="461" spans="1:10" x14ac:dyDescent="0.25">
      <c r="A461" s="1" t="s">
        <v>1933</v>
      </c>
      <c r="B461" s="1" t="s">
        <v>602</v>
      </c>
      <c r="C461" s="19">
        <v>46182</v>
      </c>
      <c r="D461" s="1" t="s">
        <v>21</v>
      </c>
      <c r="E461" s="1" t="s">
        <v>318</v>
      </c>
      <c r="F461" s="1">
        <v>5645</v>
      </c>
      <c r="G461" s="1" t="s">
        <v>359</v>
      </c>
      <c r="H461" s="1" t="s">
        <v>346</v>
      </c>
      <c r="I461" s="1" t="s">
        <v>347</v>
      </c>
      <c r="J461" s="1" t="s">
        <v>360</v>
      </c>
    </row>
    <row r="462" spans="1:10" x14ac:dyDescent="0.25">
      <c r="A462" s="1" t="s">
        <v>1934</v>
      </c>
      <c r="B462" s="1" t="s">
        <v>603</v>
      </c>
      <c r="C462" s="19">
        <v>46182</v>
      </c>
      <c r="D462" s="1" t="s">
        <v>21</v>
      </c>
      <c r="E462" s="1" t="s">
        <v>319</v>
      </c>
      <c r="F462" s="1">
        <v>5646</v>
      </c>
      <c r="G462" s="1" t="s">
        <v>345</v>
      </c>
      <c r="H462" s="1" t="s">
        <v>346</v>
      </c>
      <c r="I462" s="1" t="s">
        <v>347</v>
      </c>
      <c r="J462" s="1" t="s">
        <v>348</v>
      </c>
    </row>
    <row r="463" spans="1:10" x14ac:dyDescent="0.25">
      <c r="A463" s="1" t="s">
        <v>1935</v>
      </c>
      <c r="B463" s="1" t="s">
        <v>603</v>
      </c>
      <c r="C463" s="19">
        <v>46182</v>
      </c>
      <c r="D463" s="1" t="s">
        <v>21</v>
      </c>
      <c r="E463" s="1" t="s">
        <v>319</v>
      </c>
      <c r="F463" s="1">
        <v>5646</v>
      </c>
      <c r="G463" s="1" t="s">
        <v>349</v>
      </c>
      <c r="H463" s="1" t="s">
        <v>350</v>
      </c>
      <c r="I463" s="1" t="s">
        <v>347</v>
      </c>
      <c r="J463" s="1" t="s">
        <v>351</v>
      </c>
    </row>
    <row r="464" spans="1:10" x14ac:dyDescent="0.25">
      <c r="A464" s="1" t="s">
        <v>1936</v>
      </c>
      <c r="B464" s="1" t="s">
        <v>603</v>
      </c>
      <c r="C464" s="19">
        <v>46182</v>
      </c>
      <c r="D464" s="1" t="s">
        <v>21</v>
      </c>
      <c r="E464" s="1" t="s">
        <v>319</v>
      </c>
      <c r="F464" s="1">
        <v>5646</v>
      </c>
      <c r="G464" s="1" t="s">
        <v>359</v>
      </c>
      <c r="H464" s="1" t="s">
        <v>353</v>
      </c>
      <c r="I464" s="1" t="s">
        <v>347</v>
      </c>
      <c r="J464" s="1" t="s">
        <v>360</v>
      </c>
    </row>
    <row r="465" spans="1:10" x14ac:dyDescent="0.25">
      <c r="A465" s="1" t="s">
        <v>1937</v>
      </c>
      <c r="B465" s="1" t="s">
        <v>604</v>
      </c>
      <c r="C465" s="19">
        <v>46182</v>
      </c>
      <c r="D465" s="1" t="s">
        <v>22</v>
      </c>
      <c r="E465" s="1" t="s">
        <v>321</v>
      </c>
      <c r="F465" s="1">
        <v>5647</v>
      </c>
      <c r="G465" s="1" t="s">
        <v>345</v>
      </c>
      <c r="H465" s="1" t="s">
        <v>346</v>
      </c>
      <c r="I465" s="1" t="s">
        <v>347</v>
      </c>
      <c r="J465" s="1" t="s">
        <v>348</v>
      </c>
    </row>
    <row r="466" spans="1:10" x14ac:dyDescent="0.25">
      <c r="A466" s="1" t="s">
        <v>1938</v>
      </c>
      <c r="B466" s="1" t="s">
        <v>604</v>
      </c>
      <c r="C466" s="19">
        <v>46182</v>
      </c>
      <c r="D466" s="1" t="s">
        <v>22</v>
      </c>
      <c r="E466" s="1" t="s">
        <v>321</v>
      </c>
      <c r="F466" s="1">
        <v>5647</v>
      </c>
      <c r="G466" s="1" t="s">
        <v>359</v>
      </c>
      <c r="H466" s="1" t="s">
        <v>353</v>
      </c>
      <c r="I466" s="1" t="s">
        <v>347</v>
      </c>
      <c r="J466" s="1" t="s">
        <v>360</v>
      </c>
    </row>
    <row r="467" spans="1:10" x14ac:dyDescent="0.25">
      <c r="A467" s="1" t="s">
        <v>1939</v>
      </c>
      <c r="B467" s="1" t="s">
        <v>605</v>
      </c>
      <c r="C467" s="19">
        <v>46182</v>
      </c>
      <c r="D467" s="1" t="s">
        <v>22</v>
      </c>
      <c r="E467" s="1" t="s">
        <v>322</v>
      </c>
      <c r="F467" s="1">
        <v>5648</v>
      </c>
      <c r="G467" s="1" t="s">
        <v>345</v>
      </c>
      <c r="H467" s="1" t="s">
        <v>346</v>
      </c>
      <c r="I467" s="1" t="s">
        <v>347</v>
      </c>
      <c r="J467" s="1" t="s">
        <v>348</v>
      </c>
    </row>
    <row r="468" spans="1:10" x14ac:dyDescent="0.25">
      <c r="A468" s="1" t="s">
        <v>1940</v>
      </c>
      <c r="B468" s="1" t="s">
        <v>605</v>
      </c>
      <c r="C468" s="19">
        <v>46182</v>
      </c>
      <c r="D468" s="1" t="s">
        <v>22</v>
      </c>
      <c r="E468" s="1" t="s">
        <v>322</v>
      </c>
      <c r="F468" s="1">
        <v>5648</v>
      </c>
      <c r="G468" s="1" t="s">
        <v>359</v>
      </c>
      <c r="H468" s="1" t="s">
        <v>346</v>
      </c>
      <c r="I468" s="1" t="s">
        <v>347</v>
      </c>
      <c r="J468" s="1" t="s">
        <v>360</v>
      </c>
    </row>
    <row r="469" spans="1:10" x14ac:dyDescent="0.25">
      <c r="A469" s="1" t="s">
        <v>1941</v>
      </c>
      <c r="B469" s="1" t="s">
        <v>606</v>
      </c>
      <c r="C469" s="19">
        <v>46182</v>
      </c>
      <c r="D469" s="1" t="s">
        <v>21</v>
      </c>
      <c r="E469" s="1" t="s">
        <v>323</v>
      </c>
      <c r="F469" s="1">
        <v>5650</v>
      </c>
      <c r="G469" s="1" t="s">
        <v>345</v>
      </c>
      <c r="H469" s="1" t="s">
        <v>346</v>
      </c>
      <c r="I469" s="1" t="s">
        <v>347</v>
      </c>
      <c r="J469" s="1" t="s">
        <v>348</v>
      </c>
    </row>
    <row r="470" spans="1:10" x14ac:dyDescent="0.25">
      <c r="A470" s="1" t="s">
        <v>1942</v>
      </c>
      <c r="B470" s="1" t="s">
        <v>606</v>
      </c>
      <c r="C470" s="19">
        <v>46182</v>
      </c>
      <c r="D470" s="1" t="s">
        <v>21</v>
      </c>
      <c r="E470" s="1" t="s">
        <v>323</v>
      </c>
      <c r="F470" s="1">
        <v>5650</v>
      </c>
      <c r="G470" s="1" t="s">
        <v>349</v>
      </c>
      <c r="H470" s="1" t="s">
        <v>350</v>
      </c>
      <c r="I470" s="1" t="s">
        <v>347</v>
      </c>
      <c r="J470" s="1" t="s">
        <v>351</v>
      </c>
    </row>
    <row r="471" spans="1:10" x14ac:dyDescent="0.25">
      <c r="A471" s="1" t="s">
        <v>1943</v>
      </c>
      <c r="B471" s="1" t="s">
        <v>606</v>
      </c>
      <c r="C471" s="19">
        <v>46182</v>
      </c>
      <c r="D471" s="1" t="s">
        <v>21</v>
      </c>
      <c r="E471" s="1" t="s">
        <v>323</v>
      </c>
      <c r="F471" s="1">
        <v>5650</v>
      </c>
      <c r="G471" s="1" t="s">
        <v>359</v>
      </c>
      <c r="H471" s="1" t="s">
        <v>346</v>
      </c>
      <c r="I471" s="1" t="s">
        <v>347</v>
      </c>
      <c r="J471" s="1" t="s">
        <v>360</v>
      </c>
    </row>
    <row r="472" spans="1:10" x14ac:dyDescent="0.25">
      <c r="A472" s="1" t="s">
        <v>1944</v>
      </c>
      <c r="B472" s="1" t="s">
        <v>607</v>
      </c>
      <c r="C472" s="19">
        <v>46182</v>
      </c>
      <c r="D472" s="1" t="s">
        <v>22</v>
      </c>
      <c r="E472" s="1" t="s">
        <v>324</v>
      </c>
      <c r="F472" s="1">
        <v>5651</v>
      </c>
      <c r="G472" s="1" t="s">
        <v>345</v>
      </c>
      <c r="H472" s="1" t="s">
        <v>346</v>
      </c>
      <c r="I472" s="1" t="s">
        <v>347</v>
      </c>
      <c r="J472" s="1" t="s">
        <v>348</v>
      </c>
    </row>
    <row r="473" spans="1:10" x14ac:dyDescent="0.25">
      <c r="A473" s="1" t="s">
        <v>1945</v>
      </c>
      <c r="B473" s="1" t="s">
        <v>607</v>
      </c>
      <c r="C473" s="19">
        <v>46182</v>
      </c>
      <c r="D473" s="1" t="s">
        <v>22</v>
      </c>
      <c r="E473" s="1" t="s">
        <v>324</v>
      </c>
      <c r="F473" s="1">
        <v>5651</v>
      </c>
      <c r="G473" s="1" t="s">
        <v>359</v>
      </c>
      <c r="H473" s="1" t="s">
        <v>353</v>
      </c>
      <c r="I473" s="1" t="s">
        <v>347</v>
      </c>
      <c r="J473" s="1" t="s">
        <v>360</v>
      </c>
    </row>
    <row r="474" spans="1:10" x14ac:dyDescent="0.25">
      <c r="A474" s="1" t="s">
        <v>1946</v>
      </c>
      <c r="B474" s="1" t="s">
        <v>608</v>
      </c>
      <c r="C474" s="19">
        <v>46182</v>
      </c>
      <c r="D474" s="1" t="s">
        <v>22</v>
      </c>
      <c r="E474" s="1" t="s">
        <v>325</v>
      </c>
      <c r="F474" s="1">
        <v>5652</v>
      </c>
      <c r="G474" s="1" t="s">
        <v>345</v>
      </c>
      <c r="H474" s="1" t="s">
        <v>346</v>
      </c>
      <c r="I474" s="1" t="s">
        <v>347</v>
      </c>
      <c r="J474" s="1" t="s">
        <v>348</v>
      </c>
    </row>
    <row r="475" spans="1:10" x14ac:dyDescent="0.25">
      <c r="A475" s="1" t="s">
        <v>1947</v>
      </c>
      <c r="B475" s="1" t="s">
        <v>608</v>
      </c>
      <c r="C475" s="19">
        <v>46182</v>
      </c>
      <c r="D475" s="1" t="s">
        <v>22</v>
      </c>
      <c r="E475" s="1" t="s">
        <v>325</v>
      </c>
      <c r="F475" s="1">
        <v>5652</v>
      </c>
      <c r="G475" s="1" t="s">
        <v>375</v>
      </c>
      <c r="H475" s="1" t="s">
        <v>350</v>
      </c>
      <c r="I475" s="1" t="s">
        <v>347</v>
      </c>
      <c r="J475" s="1" t="s">
        <v>376</v>
      </c>
    </row>
    <row r="476" spans="1:10" x14ac:dyDescent="0.25">
      <c r="A476" s="1" t="s">
        <v>1948</v>
      </c>
      <c r="B476" s="1" t="s">
        <v>610</v>
      </c>
      <c r="C476" s="19">
        <v>46182</v>
      </c>
      <c r="D476" s="1" t="s">
        <v>22</v>
      </c>
      <c r="E476" s="1" t="s">
        <v>328</v>
      </c>
      <c r="F476" s="1">
        <v>5654</v>
      </c>
      <c r="G476" s="1" t="s">
        <v>345</v>
      </c>
      <c r="H476" s="1" t="s">
        <v>346</v>
      </c>
      <c r="I476" s="1" t="s">
        <v>347</v>
      </c>
      <c r="J476" s="1" t="s">
        <v>348</v>
      </c>
    </row>
    <row r="477" spans="1:10" x14ac:dyDescent="0.25">
      <c r="A477" s="1" t="s">
        <v>1949</v>
      </c>
      <c r="B477" s="1" t="s">
        <v>610</v>
      </c>
      <c r="C477" s="19">
        <v>46182</v>
      </c>
      <c r="D477" s="1" t="s">
        <v>22</v>
      </c>
      <c r="E477" s="1" t="s">
        <v>328</v>
      </c>
      <c r="F477" s="1">
        <v>5654</v>
      </c>
      <c r="G477" s="1" t="s">
        <v>375</v>
      </c>
      <c r="H477" s="1" t="s">
        <v>350</v>
      </c>
      <c r="I477" s="1" t="s">
        <v>347</v>
      </c>
      <c r="J477" s="1" t="s">
        <v>376</v>
      </c>
    </row>
    <row r="478" spans="1:10" x14ac:dyDescent="0.25">
      <c r="A478" s="1" t="s">
        <v>1950</v>
      </c>
      <c r="B478" s="1" t="s">
        <v>611</v>
      </c>
      <c r="C478" s="19">
        <v>46182</v>
      </c>
      <c r="D478" s="1" t="s">
        <v>21</v>
      </c>
      <c r="E478" s="1" t="s">
        <v>329</v>
      </c>
      <c r="F478" s="1">
        <v>5655</v>
      </c>
      <c r="G478" s="1" t="s">
        <v>345</v>
      </c>
      <c r="H478" s="1" t="s">
        <v>346</v>
      </c>
      <c r="I478" s="1" t="s">
        <v>347</v>
      </c>
      <c r="J478" s="1" t="s">
        <v>348</v>
      </c>
    </row>
    <row r="479" spans="1:10" x14ac:dyDescent="0.25">
      <c r="A479" s="1" t="s">
        <v>1951</v>
      </c>
      <c r="B479" s="1" t="s">
        <v>611</v>
      </c>
      <c r="C479" s="19">
        <v>46182</v>
      </c>
      <c r="D479" s="1" t="s">
        <v>21</v>
      </c>
      <c r="E479" s="1" t="s">
        <v>329</v>
      </c>
      <c r="F479" s="1">
        <v>5655</v>
      </c>
      <c r="G479" s="1" t="s">
        <v>349</v>
      </c>
      <c r="H479" s="1" t="s">
        <v>350</v>
      </c>
      <c r="I479" s="1" t="s">
        <v>347</v>
      </c>
      <c r="J479" s="1" t="s">
        <v>351</v>
      </c>
    </row>
    <row r="480" spans="1:10" x14ac:dyDescent="0.25">
      <c r="A480" s="1" t="s">
        <v>1952</v>
      </c>
      <c r="B480" s="1" t="s">
        <v>612</v>
      </c>
      <c r="C480" s="19">
        <v>46182</v>
      </c>
      <c r="D480" s="1" t="s">
        <v>22</v>
      </c>
      <c r="E480" s="1" t="s">
        <v>330</v>
      </c>
      <c r="F480" s="1">
        <v>5656</v>
      </c>
      <c r="G480" s="1" t="s">
        <v>345</v>
      </c>
      <c r="H480" s="1" t="s">
        <v>346</v>
      </c>
      <c r="I480" s="1" t="s">
        <v>347</v>
      </c>
      <c r="J480" s="1" t="s">
        <v>348</v>
      </c>
    </row>
    <row r="481" spans="1:10" x14ac:dyDescent="0.25">
      <c r="A481" s="1" t="s">
        <v>1953</v>
      </c>
      <c r="B481" s="1" t="s">
        <v>613</v>
      </c>
      <c r="C481" s="19">
        <v>46182</v>
      </c>
      <c r="D481" s="1" t="s">
        <v>22</v>
      </c>
      <c r="E481" s="1" t="s">
        <v>331</v>
      </c>
      <c r="F481" s="1">
        <v>5657</v>
      </c>
      <c r="G481" s="1" t="s">
        <v>345</v>
      </c>
      <c r="H481" s="1" t="s">
        <v>346</v>
      </c>
      <c r="I481" s="1" t="s">
        <v>347</v>
      </c>
      <c r="J481" s="1" t="s">
        <v>348</v>
      </c>
    </row>
    <row r="482" spans="1:10" x14ac:dyDescent="0.25">
      <c r="A482" s="1" t="s">
        <v>1954</v>
      </c>
      <c r="B482" s="1" t="s">
        <v>614</v>
      </c>
      <c r="C482" s="19">
        <v>46182</v>
      </c>
      <c r="D482" s="1" t="s">
        <v>22</v>
      </c>
      <c r="E482" s="1" t="s">
        <v>332</v>
      </c>
      <c r="F482" s="1">
        <v>5658</v>
      </c>
      <c r="G482" s="1" t="s">
        <v>345</v>
      </c>
      <c r="H482" s="1" t="s">
        <v>346</v>
      </c>
      <c r="I482" s="1" t="s">
        <v>347</v>
      </c>
      <c r="J482" s="1" t="s">
        <v>348</v>
      </c>
    </row>
    <row r="483" spans="1:10" x14ac:dyDescent="0.25">
      <c r="A483" s="1" t="s">
        <v>1955</v>
      </c>
      <c r="B483" s="1" t="s">
        <v>614</v>
      </c>
      <c r="C483" s="19">
        <v>46182</v>
      </c>
      <c r="D483" s="1" t="s">
        <v>22</v>
      </c>
      <c r="E483" s="1" t="s">
        <v>332</v>
      </c>
      <c r="F483" s="1">
        <v>5658</v>
      </c>
      <c r="G483" s="1" t="s">
        <v>349</v>
      </c>
      <c r="H483" s="1" t="s">
        <v>350</v>
      </c>
      <c r="I483" s="1" t="s">
        <v>347</v>
      </c>
      <c r="J483" s="1" t="s">
        <v>351</v>
      </c>
    </row>
    <row r="484" spans="1:10" x14ac:dyDescent="0.25">
      <c r="A484" s="1" t="s">
        <v>1956</v>
      </c>
      <c r="B484" s="1" t="s">
        <v>615</v>
      </c>
      <c r="C484" s="19">
        <v>46182</v>
      </c>
      <c r="D484" s="1" t="s">
        <v>21</v>
      </c>
      <c r="E484" s="1" t="s">
        <v>81</v>
      </c>
      <c r="F484" s="1">
        <v>5659</v>
      </c>
      <c r="G484" s="1" t="s">
        <v>355</v>
      </c>
      <c r="H484" s="1" t="s">
        <v>346</v>
      </c>
      <c r="I484" s="1" t="s">
        <v>347</v>
      </c>
      <c r="J484" s="1" t="s">
        <v>356</v>
      </c>
    </row>
    <row r="485" spans="1:10" x14ac:dyDescent="0.25">
      <c r="A485" s="1" t="s">
        <v>1957</v>
      </c>
      <c r="B485" s="1" t="s">
        <v>615</v>
      </c>
      <c r="C485" s="19">
        <v>46182</v>
      </c>
      <c r="D485" s="1" t="s">
        <v>21</v>
      </c>
      <c r="E485" s="1" t="s">
        <v>81</v>
      </c>
      <c r="F485" s="1">
        <v>5659</v>
      </c>
      <c r="G485" s="1" t="s">
        <v>345</v>
      </c>
      <c r="H485" s="1" t="s">
        <v>346</v>
      </c>
      <c r="I485" s="1" t="s">
        <v>347</v>
      </c>
      <c r="J485" s="1" t="s">
        <v>348</v>
      </c>
    </row>
    <row r="486" spans="1:10" x14ac:dyDescent="0.25">
      <c r="A486" s="1" t="s">
        <v>1958</v>
      </c>
      <c r="B486" s="1" t="s">
        <v>615</v>
      </c>
      <c r="C486" s="19">
        <v>46182</v>
      </c>
      <c r="D486" s="1" t="s">
        <v>21</v>
      </c>
      <c r="E486" s="1" t="s">
        <v>81</v>
      </c>
      <c r="F486" s="1">
        <v>5659</v>
      </c>
      <c r="G486" s="1" t="s">
        <v>349</v>
      </c>
      <c r="H486" s="1" t="s">
        <v>350</v>
      </c>
      <c r="I486" s="1" t="s">
        <v>347</v>
      </c>
      <c r="J486" s="1" t="s">
        <v>351</v>
      </c>
    </row>
    <row r="487" spans="1:10" x14ac:dyDescent="0.25">
      <c r="A487" s="1" t="s">
        <v>1959</v>
      </c>
      <c r="B487" s="1" t="s">
        <v>615</v>
      </c>
      <c r="C487" s="19">
        <v>46182</v>
      </c>
      <c r="D487" s="1" t="s">
        <v>21</v>
      </c>
      <c r="E487" s="1" t="s">
        <v>81</v>
      </c>
      <c r="F487" s="1">
        <v>5659</v>
      </c>
      <c r="G487" s="1" t="s">
        <v>361</v>
      </c>
      <c r="H487" s="1" t="s">
        <v>353</v>
      </c>
      <c r="I487" s="1" t="s">
        <v>347</v>
      </c>
      <c r="J487" s="1" t="s">
        <v>362</v>
      </c>
    </row>
    <row r="488" spans="1:10" x14ac:dyDescent="0.25">
      <c r="A488" s="1" t="s">
        <v>1960</v>
      </c>
      <c r="B488" s="1" t="s">
        <v>616</v>
      </c>
      <c r="C488" s="19">
        <v>46182</v>
      </c>
      <c r="D488" s="1" t="s">
        <v>21</v>
      </c>
      <c r="E488" s="1" t="s">
        <v>81</v>
      </c>
      <c r="F488" s="1">
        <v>5660</v>
      </c>
      <c r="G488" s="1" t="s">
        <v>355</v>
      </c>
      <c r="H488" s="1" t="s">
        <v>346</v>
      </c>
      <c r="I488" s="1" t="s">
        <v>347</v>
      </c>
      <c r="J488" s="1" t="s">
        <v>356</v>
      </c>
    </row>
    <row r="489" spans="1:10" x14ac:dyDescent="0.25">
      <c r="A489" s="1" t="s">
        <v>1961</v>
      </c>
      <c r="B489" s="1" t="s">
        <v>616</v>
      </c>
      <c r="C489" s="19">
        <v>46182</v>
      </c>
      <c r="D489" s="1" t="s">
        <v>21</v>
      </c>
      <c r="E489" s="1" t="s">
        <v>81</v>
      </c>
      <c r="F489" s="1">
        <v>5660</v>
      </c>
      <c r="G489" s="1" t="s">
        <v>345</v>
      </c>
      <c r="H489" s="1" t="s">
        <v>346</v>
      </c>
      <c r="I489" s="1" t="s">
        <v>347</v>
      </c>
      <c r="J489" s="1" t="s">
        <v>348</v>
      </c>
    </row>
    <row r="490" spans="1:10" x14ac:dyDescent="0.25">
      <c r="A490" s="1" t="s">
        <v>1962</v>
      </c>
      <c r="B490" s="1" t="s">
        <v>616</v>
      </c>
      <c r="C490" s="19">
        <v>46182</v>
      </c>
      <c r="D490" s="1" t="s">
        <v>21</v>
      </c>
      <c r="E490" s="1" t="s">
        <v>81</v>
      </c>
      <c r="F490" s="1">
        <v>5660</v>
      </c>
      <c r="G490" s="1" t="s">
        <v>349</v>
      </c>
      <c r="H490" s="1" t="s">
        <v>350</v>
      </c>
      <c r="I490" s="1" t="s">
        <v>347</v>
      </c>
      <c r="J490" s="1" t="s">
        <v>351</v>
      </c>
    </row>
    <row r="491" spans="1:10" x14ac:dyDescent="0.25">
      <c r="A491" s="1" t="s">
        <v>1963</v>
      </c>
      <c r="B491" s="1" t="s">
        <v>616</v>
      </c>
      <c r="C491" s="19">
        <v>46182</v>
      </c>
      <c r="D491" s="1" t="s">
        <v>21</v>
      </c>
      <c r="E491" s="1" t="s">
        <v>81</v>
      </c>
      <c r="F491" s="1">
        <v>5660</v>
      </c>
      <c r="G491" s="1" t="s">
        <v>361</v>
      </c>
      <c r="H491" s="1" t="s">
        <v>353</v>
      </c>
      <c r="I491" s="1" t="s">
        <v>347</v>
      </c>
      <c r="J491" s="1" t="s">
        <v>362</v>
      </c>
    </row>
    <row r="492" spans="1:10" x14ac:dyDescent="0.25">
      <c r="A492" s="1" t="s">
        <v>1964</v>
      </c>
      <c r="B492" s="1" t="s">
        <v>617</v>
      </c>
      <c r="C492" s="19">
        <v>46182</v>
      </c>
      <c r="D492" s="1" t="s">
        <v>21</v>
      </c>
      <c r="E492" s="1" t="s">
        <v>81</v>
      </c>
      <c r="F492" s="1">
        <v>5661</v>
      </c>
      <c r="G492" s="1" t="s">
        <v>355</v>
      </c>
      <c r="H492" s="1" t="s">
        <v>346</v>
      </c>
      <c r="I492" s="1" t="s">
        <v>347</v>
      </c>
      <c r="J492" s="1" t="s">
        <v>356</v>
      </c>
    </row>
    <row r="493" spans="1:10" x14ac:dyDescent="0.25">
      <c r="A493" s="1" t="s">
        <v>1965</v>
      </c>
      <c r="B493" s="1" t="s">
        <v>617</v>
      </c>
      <c r="C493" s="19">
        <v>46182</v>
      </c>
      <c r="D493" s="1" t="s">
        <v>21</v>
      </c>
      <c r="E493" s="1" t="s">
        <v>81</v>
      </c>
      <c r="F493" s="1">
        <v>5661</v>
      </c>
      <c r="G493" s="1" t="s">
        <v>345</v>
      </c>
      <c r="H493" s="1" t="s">
        <v>346</v>
      </c>
      <c r="I493" s="1" t="s">
        <v>347</v>
      </c>
      <c r="J493" s="1" t="s">
        <v>348</v>
      </c>
    </row>
    <row r="494" spans="1:10" x14ac:dyDescent="0.25">
      <c r="A494" s="1" t="s">
        <v>1966</v>
      </c>
      <c r="B494" s="1" t="s">
        <v>617</v>
      </c>
      <c r="C494" s="19">
        <v>46182</v>
      </c>
      <c r="D494" s="1" t="s">
        <v>21</v>
      </c>
      <c r="E494" s="1" t="s">
        <v>81</v>
      </c>
      <c r="F494" s="1">
        <v>5661</v>
      </c>
      <c r="G494" s="1" t="s">
        <v>349</v>
      </c>
      <c r="H494" s="1" t="s">
        <v>350</v>
      </c>
      <c r="I494" s="1" t="s">
        <v>347</v>
      </c>
      <c r="J494" s="1" t="s">
        <v>351</v>
      </c>
    </row>
    <row r="495" spans="1:10" x14ac:dyDescent="0.25">
      <c r="A495" s="1" t="s">
        <v>1967</v>
      </c>
      <c r="B495" s="1" t="s">
        <v>617</v>
      </c>
      <c r="C495" s="19">
        <v>46182</v>
      </c>
      <c r="D495" s="1" t="s">
        <v>21</v>
      </c>
      <c r="E495" s="1" t="s">
        <v>81</v>
      </c>
      <c r="F495" s="1">
        <v>5661</v>
      </c>
      <c r="G495" s="1" t="s">
        <v>361</v>
      </c>
      <c r="H495" s="1" t="s">
        <v>353</v>
      </c>
      <c r="I495" s="1" t="s">
        <v>347</v>
      </c>
      <c r="J495" s="1" t="s">
        <v>362</v>
      </c>
    </row>
    <row r="496" spans="1:10" x14ac:dyDescent="0.25">
      <c r="A496" s="1" t="s">
        <v>1968</v>
      </c>
      <c r="B496" s="1" t="s">
        <v>618</v>
      </c>
      <c r="C496" s="19">
        <v>46182</v>
      </c>
      <c r="D496" s="1" t="s">
        <v>21</v>
      </c>
      <c r="E496" s="1" t="s">
        <v>81</v>
      </c>
      <c r="F496" s="1">
        <v>5662</v>
      </c>
      <c r="G496" s="1" t="s">
        <v>355</v>
      </c>
      <c r="H496" s="1" t="s">
        <v>346</v>
      </c>
      <c r="I496" s="1" t="s">
        <v>347</v>
      </c>
      <c r="J496" s="1" t="s">
        <v>356</v>
      </c>
    </row>
    <row r="497" spans="1:10" x14ac:dyDescent="0.25">
      <c r="A497" s="1" t="s">
        <v>1969</v>
      </c>
      <c r="B497" s="1" t="s">
        <v>618</v>
      </c>
      <c r="C497" s="19">
        <v>46182</v>
      </c>
      <c r="D497" s="1" t="s">
        <v>21</v>
      </c>
      <c r="E497" s="1" t="s">
        <v>81</v>
      </c>
      <c r="F497" s="1">
        <v>5662</v>
      </c>
      <c r="G497" s="1" t="s">
        <v>345</v>
      </c>
      <c r="H497" s="1" t="s">
        <v>346</v>
      </c>
      <c r="I497" s="1" t="s">
        <v>347</v>
      </c>
      <c r="J497" s="1" t="s">
        <v>348</v>
      </c>
    </row>
    <row r="498" spans="1:10" x14ac:dyDescent="0.25">
      <c r="A498" s="1" t="s">
        <v>1970</v>
      </c>
      <c r="B498" s="1" t="s">
        <v>618</v>
      </c>
      <c r="C498" s="19">
        <v>46182</v>
      </c>
      <c r="D498" s="1" t="s">
        <v>21</v>
      </c>
      <c r="E498" s="1" t="s">
        <v>81</v>
      </c>
      <c r="F498" s="1">
        <v>5662</v>
      </c>
      <c r="G498" s="1" t="s">
        <v>349</v>
      </c>
      <c r="H498" s="1" t="s">
        <v>350</v>
      </c>
      <c r="I498" s="1" t="s">
        <v>347</v>
      </c>
      <c r="J498" s="1" t="s">
        <v>351</v>
      </c>
    </row>
    <row r="499" spans="1:10" x14ac:dyDescent="0.25">
      <c r="A499" s="1" t="s">
        <v>1971</v>
      </c>
      <c r="B499" s="1" t="s">
        <v>618</v>
      </c>
      <c r="C499" s="19">
        <v>46182</v>
      </c>
      <c r="D499" s="1" t="s">
        <v>21</v>
      </c>
      <c r="E499" s="1" t="s">
        <v>81</v>
      </c>
      <c r="F499" s="1">
        <v>5662</v>
      </c>
      <c r="G499" s="1" t="s">
        <v>361</v>
      </c>
      <c r="H499" s="1" t="s">
        <v>353</v>
      </c>
      <c r="I499" s="1" t="s">
        <v>347</v>
      </c>
      <c r="J499" s="1" t="s">
        <v>362</v>
      </c>
    </row>
    <row r="500" spans="1:10" x14ac:dyDescent="0.25">
      <c r="A500" s="1" t="s">
        <v>1972</v>
      </c>
      <c r="B500" s="1" t="s">
        <v>619</v>
      </c>
      <c r="C500" s="19">
        <v>46182</v>
      </c>
      <c r="D500" s="1" t="s">
        <v>21</v>
      </c>
      <c r="E500" s="1" t="s">
        <v>81</v>
      </c>
      <c r="F500" s="1">
        <v>5663</v>
      </c>
      <c r="G500" s="1" t="s">
        <v>355</v>
      </c>
      <c r="H500" s="1" t="s">
        <v>346</v>
      </c>
      <c r="I500" s="1" t="s">
        <v>347</v>
      </c>
      <c r="J500" s="1" t="s">
        <v>356</v>
      </c>
    </row>
    <row r="501" spans="1:10" x14ac:dyDescent="0.25">
      <c r="A501" s="1" t="s">
        <v>1973</v>
      </c>
      <c r="B501" s="1" t="s">
        <v>619</v>
      </c>
      <c r="C501" s="19">
        <v>46182</v>
      </c>
      <c r="D501" s="1" t="s">
        <v>21</v>
      </c>
      <c r="E501" s="1" t="s">
        <v>81</v>
      </c>
      <c r="F501" s="1">
        <v>5663</v>
      </c>
      <c r="G501" s="1" t="s">
        <v>345</v>
      </c>
      <c r="H501" s="1" t="s">
        <v>346</v>
      </c>
      <c r="I501" s="1" t="s">
        <v>347</v>
      </c>
      <c r="J501" s="1" t="s">
        <v>348</v>
      </c>
    </row>
    <row r="502" spans="1:10" x14ac:dyDescent="0.25">
      <c r="A502" s="1" t="s">
        <v>1974</v>
      </c>
      <c r="B502" s="1" t="s">
        <v>619</v>
      </c>
      <c r="C502" s="19">
        <v>46182</v>
      </c>
      <c r="D502" s="1" t="s">
        <v>21</v>
      </c>
      <c r="E502" s="1" t="s">
        <v>81</v>
      </c>
      <c r="F502" s="1">
        <v>5663</v>
      </c>
      <c r="G502" s="1" t="s">
        <v>349</v>
      </c>
      <c r="H502" s="1" t="s">
        <v>350</v>
      </c>
      <c r="I502" s="1" t="s">
        <v>347</v>
      </c>
      <c r="J502" s="1" t="s">
        <v>351</v>
      </c>
    </row>
    <row r="503" spans="1:10" x14ac:dyDescent="0.25">
      <c r="A503" s="1" t="s">
        <v>1975</v>
      </c>
      <c r="B503" s="1" t="s">
        <v>619</v>
      </c>
      <c r="C503" s="19">
        <v>46182</v>
      </c>
      <c r="D503" s="1" t="s">
        <v>21</v>
      </c>
      <c r="E503" s="1" t="s">
        <v>81</v>
      </c>
      <c r="F503" s="1">
        <v>5663</v>
      </c>
      <c r="G503" s="1" t="s">
        <v>361</v>
      </c>
      <c r="H503" s="1" t="s">
        <v>353</v>
      </c>
      <c r="I503" s="1" t="s">
        <v>347</v>
      </c>
      <c r="J503" s="1" t="s">
        <v>362</v>
      </c>
    </row>
    <row r="504" spans="1:10" x14ac:dyDescent="0.25">
      <c r="A504" s="1" t="s">
        <v>1976</v>
      </c>
      <c r="B504" s="1" t="s">
        <v>620</v>
      </c>
      <c r="C504" s="19">
        <v>46182</v>
      </c>
      <c r="D504" s="1" t="s">
        <v>21</v>
      </c>
      <c r="E504" s="1" t="s">
        <v>81</v>
      </c>
      <c r="F504" s="1">
        <v>5664</v>
      </c>
      <c r="G504" s="1" t="s">
        <v>355</v>
      </c>
      <c r="H504" s="1" t="s">
        <v>346</v>
      </c>
      <c r="I504" s="1" t="s">
        <v>347</v>
      </c>
      <c r="J504" s="1" t="s">
        <v>356</v>
      </c>
    </row>
    <row r="505" spans="1:10" x14ac:dyDescent="0.25">
      <c r="A505" s="1" t="s">
        <v>1977</v>
      </c>
      <c r="B505" s="1" t="s">
        <v>620</v>
      </c>
      <c r="C505" s="19">
        <v>46182</v>
      </c>
      <c r="D505" s="1" t="s">
        <v>21</v>
      </c>
      <c r="E505" s="1" t="s">
        <v>81</v>
      </c>
      <c r="F505" s="1">
        <v>5664</v>
      </c>
      <c r="G505" s="1" t="s">
        <v>345</v>
      </c>
      <c r="H505" s="1" t="s">
        <v>346</v>
      </c>
      <c r="I505" s="1" t="s">
        <v>347</v>
      </c>
      <c r="J505" s="1" t="s">
        <v>348</v>
      </c>
    </row>
    <row r="506" spans="1:10" x14ac:dyDescent="0.25">
      <c r="A506" s="1" t="s">
        <v>1978</v>
      </c>
      <c r="B506" s="1" t="s">
        <v>620</v>
      </c>
      <c r="C506" s="19">
        <v>46182</v>
      </c>
      <c r="D506" s="1" t="s">
        <v>21</v>
      </c>
      <c r="E506" s="1" t="s">
        <v>81</v>
      </c>
      <c r="F506" s="1">
        <v>5664</v>
      </c>
      <c r="G506" s="1" t="s">
        <v>349</v>
      </c>
      <c r="H506" s="1" t="s">
        <v>350</v>
      </c>
      <c r="I506" s="1" t="s">
        <v>347</v>
      </c>
      <c r="J506" s="1" t="s">
        <v>351</v>
      </c>
    </row>
    <row r="507" spans="1:10" x14ac:dyDescent="0.25">
      <c r="A507" s="1" t="s">
        <v>1979</v>
      </c>
      <c r="B507" s="1" t="s">
        <v>620</v>
      </c>
      <c r="C507" s="19">
        <v>46182</v>
      </c>
      <c r="D507" s="1" t="s">
        <v>21</v>
      </c>
      <c r="E507" s="1" t="s">
        <v>81</v>
      </c>
      <c r="F507" s="1">
        <v>5664</v>
      </c>
      <c r="G507" s="1" t="s">
        <v>361</v>
      </c>
      <c r="H507" s="1" t="s">
        <v>353</v>
      </c>
      <c r="I507" s="1" t="s">
        <v>347</v>
      </c>
      <c r="J507" s="1" t="s">
        <v>362</v>
      </c>
    </row>
    <row r="508" spans="1:10" x14ac:dyDescent="0.25">
      <c r="A508" s="1" t="s">
        <v>1980</v>
      </c>
      <c r="B508" s="1" t="s">
        <v>621</v>
      </c>
      <c r="C508" s="19">
        <v>46182</v>
      </c>
      <c r="D508" s="1" t="s">
        <v>21</v>
      </c>
      <c r="E508" s="1" t="s">
        <v>81</v>
      </c>
      <c r="F508" s="1">
        <v>5665</v>
      </c>
      <c r="G508" s="1" t="s">
        <v>355</v>
      </c>
      <c r="H508" s="1" t="s">
        <v>346</v>
      </c>
      <c r="I508" s="1" t="s">
        <v>347</v>
      </c>
      <c r="J508" s="1" t="s">
        <v>356</v>
      </c>
    </row>
    <row r="509" spans="1:10" x14ac:dyDescent="0.25">
      <c r="A509" s="1" t="s">
        <v>1981</v>
      </c>
      <c r="B509" s="1" t="s">
        <v>621</v>
      </c>
      <c r="C509" s="19">
        <v>46182</v>
      </c>
      <c r="D509" s="1" t="s">
        <v>21</v>
      </c>
      <c r="E509" s="1" t="s">
        <v>81</v>
      </c>
      <c r="F509" s="1">
        <v>5665</v>
      </c>
      <c r="G509" s="1" t="s">
        <v>345</v>
      </c>
      <c r="H509" s="1" t="s">
        <v>346</v>
      </c>
      <c r="I509" s="1" t="s">
        <v>347</v>
      </c>
      <c r="J509" s="1" t="s">
        <v>348</v>
      </c>
    </row>
    <row r="510" spans="1:10" x14ac:dyDescent="0.25">
      <c r="A510" s="1" t="s">
        <v>1982</v>
      </c>
      <c r="B510" s="1" t="s">
        <v>621</v>
      </c>
      <c r="C510" s="19">
        <v>46182</v>
      </c>
      <c r="D510" s="1" t="s">
        <v>21</v>
      </c>
      <c r="E510" s="1" t="s">
        <v>81</v>
      </c>
      <c r="F510" s="1">
        <v>5665</v>
      </c>
      <c r="G510" s="1" t="s">
        <v>349</v>
      </c>
      <c r="H510" s="1" t="s">
        <v>350</v>
      </c>
      <c r="I510" s="1" t="s">
        <v>347</v>
      </c>
      <c r="J510" s="1" t="s">
        <v>351</v>
      </c>
    </row>
    <row r="511" spans="1:10" x14ac:dyDescent="0.25">
      <c r="A511" s="1" t="s">
        <v>1983</v>
      </c>
      <c r="B511" s="1" t="s">
        <v>621</v>
      </c>
      <c r="C511" s="19">
        <v>46182</v>
      </c>
      <c r="D511" s="1" t="s">
        <v>21</v>
      </c>
      <c r="E511" s="1" t="s">
        <v>81</v>
      </c>
      <c r="F511" s="1">
        <v>5665</v>
      </c>
      <c r="G511" s="1" t="s">
        <v>361</v>
      </c>
      <c r="H511" s="1" t="s">
        <v>353</v>
      </c>
      <c r="I511" s="1" t="s">
        <v>347</v>
      </c>
      <c r="J511" s="1" t="s">
        <v>362</v>
      </c>
    </row>
    <row r="512" spans="1:10" x14ac:dyDescent="0.25">
      <c r="A512" s="1" t="s">
        <v>1984</v>
      </c>
      <c r="B512" s="1" t="s">
        <v>622</v>
      </c>
      <c r="C512" s="19">
        <v>46182</v>
      </c>
      <c r="D512" s="1" t="s">
        <v>21</v>
      </c>
      <c r="E512" s="1" t="s">
        <v>81</v>
      </c>
      <c r="F512" s="1">
        <v>5666</v>
      </c>
      <c r="G512" s="1" t="s">
        <v>355</v>
      </c>
      <c r="H512" s="1" t="s">
        <v>346</v>
      </c>
      <c r="I512" s="1" t="s">
        <v>347</v>
      </c>
      <c r="J512" s="1" t="s">
        <v>356</v>
      </c>
    </row>
    <row r="513" spans="1:10" x14ac:dyDescent="0.25">
      <c r="A513" s="1" t="s">
        <v>1985</v>
      </c>
      <c r="B513" s="1" t="s">
        <v>622</v>
      </c>
      <c r="C513" s="19">
        <v>46182</v>
      </c>
      <c r="D513" s="1" t="s">
        <v>21</v>
      </c>
      <c r="E513" s="1" t="s">
        <v>81</v>
      </c>
      <c r="F513" s="1">
        <v>5666</v>
      </c>
      <c r="G513" s="1" t="s">
        <v>345</v>
      </c>
      <c r="H513" s="1" t="s">
        <v>346</v>
      </c>
      <c r="I513" s="1" t="s">
        <v>347</v>
      </c>
      <c r="J513" s="1" t="s">
        <v>348</v>
      </c>
    </row>
    <row r="514" spans="1:10" x14ac:dyDescent="0.25">
      <c r="A514" s="1" t="s">
        <v>1986</v>
      </c>
      <c r="B514" s="1" t="s">
        <v>622</v>
      </c>
      <c r="C514" s="19">
        <v>46182</v>
      </c>
      <c r="D514" s="1" t="s">
        <v>21</v>
      </c>
      <c r="E514" s="1" t="s">
        <v>81</v>
      </c>
      <c r="F514" s="1">
        <v>5666</v>
      </c>
      <c r="G514" s="1" t="s">
        <v>349</v>
      </c>
      <c r="H514" s="1" t="s">
        <v>350</v>
      </c>
      <c r="I514" s="1" t="s">
        <v>347</v>
      </c>
      <c r="J514" s="1" t="s">
        <v>351</v>
      </c>
    </row>
    <row r="515" spans="1:10" x14ac:dyDescent="0.25">
      <c r="A515" s="1" t="s">
        <v>1987</v>
      </c>
      <c r="B515" s="1" t="s">
        <v>622</v>
      </c>
      <c r="C515" s="19">
        <v>46182</v>
      </c>
      <c r="D515" s="1" t="s">
        <v>21</v>
      </c>
      <c r="E515" s="1" t="s">
        <v>81</v>
      </c>
      <c r="F515" s="1">
        <v>5666</v>
      </c>
      <c r="G515" s="1" t="s">
        <v>361</v>
      </c>
      <c r="H515" s="1" t="s">
        <v>353</v>
      </c>
      <c r="I515" s="1" t="s">
        <v>347</v>
      </c>
      <c r="J515" s="1" t="s">
        <v>362</v>
      </c>
    </row>
    <row r="516" spans="1:10" x14ac:dyDescent="0.25">
      <c r="A516" s="1" t="s">
        <v>1988</v>
      </c>
      <c r="B516" s="1" t="s">
        <v>623</v>
      </c>
      <c r="C516" s="19">
        <v>46182</v>
      </c>
      <c r="D516" s="1" t="s">
        <v>21</v>
      </c>
      <c r="E516" s="1" t="s">
        <v>81</v>
      </c>
      <c r="F516" s="1">
        <v>5667</v>
      </c>
      <c r="G516" s="1" t="s">
        <v>355</v>
      </c>
      <c r="H516" s="1" t="s">
        <v>346</v>
      </c>
      <c r="I516" s="1" t="s">
        <v>347</v>
      </c>
      <c r="J516" s="1" t="s">
        <v>356</v>
      </c>
    </row>
    <row r="517" spans="1:10" x14ac:dyDescent="0.25">
      <c r="A517" s="1" t="s">
        <v>1989</v>
      </c>
      <c r="B517" s="1" t="s">
        <v>623</v>
      </c>
      <c r="C517" s="19">
        <v>46182</v>
      </c>
      <c r="D517" s="1" t="s">
        <v>21</v>
      </c>
      <c r="E517" s="1" t="s">
        <v>81</v>
      </c>
      <c r="F517" s="1">
        <v>5667</v>
      </c>
      <c r="G517" s="1" t="s">
        <v>345</v>
      </c>
      <c r="H517" s="1" t="s">
        <v>346</v>
      </c>
      <c r="I517" s="1" t="s">
        <v>347</v>
      </c>
      <c r="J517" s="1" t="s">
        <v>348</v>
      </c>
    </row>
    <row r="518" spans="1:10" x14ac:dyDescent="0.25">
      <c r="A518" s="1" t="s">
        <v>1990</v>
      </c>
      <c r="B518" s="1" t="s">
        <v>623</v>
      </c>
      <c r="C518" s="19">
        <v>46182</v>
      </c>
      <c r="D518" s="1" t="s">
        <v>21</v>
      </c>
      <c r="E518" s="1" t="s">
        <v>81</v>
      </c>
      <c r="F518" s="1">
        <v>5667</v>
      </c>
      <c r="G518" s="1" t="s">
        <v>349</v>
      </c>
      <c r="H518" s="1" t="s">
        <v>350</v>
      </c>
      <c r="I518" s="1" t="s">
        <v>347</v>
      </c>
      <c r="J518" s="1" t="s">
        <v>351</v>
      </c>
    </row>
    <row r="519" spans="1:10" x14ac:dyDescent="0.25">
      <c r="A519" s="1" t="s">
        <v>1991</v>
      </c>
      <c r="B519" s="1" t="s">
        <v>623</v>
      </c>
      <c r="C519" s="19">
        <v>46182</v>
      </c>
      <c r="D519" s="1" t="s">
        <v>21</v>
      </c>
      <c r="E519" s="1" t="s">
        <v>81</v>
      </c>
      <c r="F519" s="1">
        <v>5667</v>
      </c>
      <c r="G519" s="1" t="s">
        <v>361</v>
      </c>
      <c r="H519" s="1" t="s">
        <v>353</v>
      </c>
      <c r="I519" s="1" t="s">
        <v>347</v>
      </c>
      <c r="J519" s="1" t="s">
        <v>362</v>
      </c>
    </row>
    <row r="520" spans="1:10" x14ac:dyDescent="0.25">
      <c r="A520" s="1" t="s">
        <v>1992</v>
      </c>
      <c r="B520" s="1" t="s">
        <v>624</v>
      </c>
      <c r="C520" s="19">
        <v>46182</v>
      </c>
      <c r="D520" s="1" t="s">
        <v>21</v>
      </c>
      <c r="E520" s="1" t="s">
        <v>81</v>
      </c>
      <c r="F520" s="1">
        <v>5668</v>
      </c>
      <c r="G520" s="1" t="s">
        <v>355</v>
      </c>
      <c r="H520" s="1" t="s">
        <v>346</v>
      </c>
      <c r="I520" s="1" t="s">
        <v>347</v>
      </c>
      <c r="J520" s="1" t="s">
        <v>356</v>
      </c>
    </row>
    <row r="521" spans="1:10" x14ac:dyDescent="0.25">
      <c r="A521" s="1" t="s">
        <v>1993</v>
      </c>
      <c r="B521" s="1" t="s">
        <v>624</v>
      </c>
      <c r="C521" s="19">
        <v>46182</v>
      </c>
      <c r="D521" s="1" t="s">
        <v>21</v>
      </c>
      <c r="E521" s="1" t="s">
        <v>81</v>
      </c>
      <c r="F521" s="1">
        <v>5668</v>
      </c>
      <c r="G521" s="1" t="s">
        <v>345</v>
      </c>
      <c r="H521" s="1" t="s">
        <v>346</v>
      </c>
      <c r="I521" s="1" t="s">
        <v>347</v>
      </c>
      <c r="J521" s="1" t="s">
        <v>348</v>
      </c>
    </row>
    <row r="522" spans="1:10" x14ac:dyDescent="0.25">
      <c r="A522" s="1" t="s">
        <v>1994</v>
      </c>
      <c r="B522" s="1" t="s">
        <v>624</v>
      </c>
      <c r="C522" s="19">
        <v>46182</v>
      </c>
      <c r="D522" s="1" t="s">
        <v>21</v>
      </c>
      <c r="E522" s="1" t="s">
        <v>81</v>
      </c>
      <c r="F522" s="1">
        <v>5668</v>
      </c>
      <c r="G522" s="1" t="s">
        <v>349</v>
      </c>
      <c r="H522" s="1" t="s">
        <v>350</v>
      </c>
      <c r="I522" s="1" t="s">
        <v>347</v>
      </c>
      <c r="J522" s="1" t="s">
        <v>351</v>
      </c>
    </row>
    <row r="523" spans="1:10" x14ac:dyDescent="0.25">
      <c r="A523" s="1" t="s">
        <v>1995</v>
      </c>
      <c r="B523" s="1" t="s">
        <v>624</v>
      </c>
      <c r="C523" s="19">
        <v>46182</v>
      </c>
      <c r="D523" s="1" t="s">
        <v>21</v>
      </c>
      <c r="E523" s="1" t="s">
        <v>81</v>
      </c>
      <c r="F523" s="1">
        <v>5668</v>
      </c>
      <c r="G523" s="1" t="s">
        <v>361</v>
      </c>
      <c r="H523" s="1" t="s">
        <v>353</v>
      </c>
      <c r="I523" s="1" t="s">
        <v>347</v>
      </c>
      <c r="J523" s="1" t="s">
        <v>362</v>
      </c>
    </row>
    <row r="524" spans="1:10" x14ac:dyDescent="0.25">
      <c r="A524" s="1" t="s">
        <v>1996</v>
      </c>
      <c r="B524" s="1" t="s">
        <v>625</v>
      </c>
      <c r="C524" s="19">
        <v>46182</v>
      </c>
      <c r="D524" s="1" t="s">
        <v>21</v>
      </c>
      <c r="E524" s="1" t="s">
        <v>81</v>
      </c>
      <c r="F524" s="1">
        <v>5669</v>
      </c>
      <c r="G524" s="1" t="s">
        <v>355</v>
      </c>
      <c r="H524" s="1" t="s">
        <v>346</v>
      </c>
      <c r="I524" s="1" t="s">
        <v>347</v>
      </c>
      <c r="J524" s="1" t="s">
        <v>356</v>
      </c>
    </row>
    <row r="525" spans="1:10" x14ac:dyDescent="0.25">
      <c r="A525" s="1" t="s">
        <v>1997</v>
      </c>
      <c r="B525" s="1" t="s">
        <v>625</v>
      </c>
      <c r="C525" s="19">
        <v>46182</v>
      </c>
      <c r="D525" s="1" t="s">
        <v>21</v>
      </c>
      <c r="E525" s="1" t="s">
        <v>81</v>
      </c>
      <c r="F525" s="1">
        <v>5669</v>
      </c>
      <c r="G525" s="1" t="s">
        <v>345</v>
      </c>
      <c r="H525" s="1" t="s">
        <v>346</v>
      </c>
      <c r="I525" s="1" t="s">
        <v>347</v>
      </c>
      <c r="J525" s="1" t="s">
        <v>348</v>
      </c>
    </row>
    <row r="526" spans="1:10" x14ac:dyDescent="0.25">
      <c r="A526" s="1" t="s">
        <v>1998</v>
      </c>
      <c r="B526" s="1" t="s">
        <v>625</v>
      </c>
      <c r="C526" s="19">
        <v>46182</v>
      </c>
      <c r="D526" s="1" t="s">
        <v>21</v>
      </c>
      <c r="E526" s="1" t="s">
        <v>81</v>
      </c>
      <c r="F526" s="1">
        <v>5669</v>
      </c>
      <c r="G526" s="1" t="s">
        <v>349</v>
      </c>
      <c r="H526" s="1" t="s">
        <v>350</v>
      </c>
      <c r="I526" s="1" t="s">
        <v>347</v>
      </c>
      <c r="J526" s="1" t="s">
        <v>351</v>
      </c>
    </row>
    <row r="527" spans="1:10" x14ac:dyDescent="0.25">
      <c r="A527" s="1" t="s">
        <v>1999</v>
      </c>
      <c r="B527" s="1" t="s">
        <v>625</v>
      </c>
      <c r="C527" s="19">
        <v>46182</v>
      </c>
      <c r="D527" s="1" t="s">
        <v>21</v>
      </c>
      <c r="E527" s="1" t="s">
        <v>81</v>
      </c>
      <c r="F527" s="1">
        <v>5669</v>
      </c>
      <c r="G527" s="1" t="s">
        <v>361</v>
      </c>
      <c r="H527" s="1" t="s">
        <v>353</v>
      </c>
      <c r="I527" s="1" t="s">
        <v>347</v>
      </c>
      <c r="J527" s="1" t="s">
        <v>362</v>
      </c>
    </row>
    <row r="528" spans="1:10" x14ac:dyDescent="0.25">
      <c r="A528" s="1" t="s">
        <v>2000</v>
      </c>
      <c r="B528" s="1" t="s">
        <v>626</v>
      </c>
      <c r="C528" s="19">
        <v>46182</v>
      </c>
      <c r="D528" s="1" t="s">
        <v>21</v>
      </c>
      <c r="E528" s="1" t="s">
        <v>81</v>
      </c>
      <c r="F528" s="1">
        <v>5670</v>
      </c>
      <c r="G528" s="1" t="s">
        <v>355</v>
      </c>
      <c r="H528" s="1" t="s">
        <v>346</v>
      </c>
      <c r="I528" s="1" t="s">
        <v>347</v>
      </c>
      <c r="J528" s="1" t="s">
        <v>356</v>
      </c>
    </row>
    <row r="529" spans="1:10" x14ac:dyDescent="0.25">
      <c r="A529" s="1" t="s">
        <v>2001</v>
      </c>
      <c r="B529" s="1" t="s">
        <v>626</v>
      </c>
      <c r="C529" s="19">
        <v>46182</v>
      </c>
      <c r="D529" s="1" t="s">
        <v>21</v>
      </c>
      <c r="E529" s="1" t="s">
        <v>81</v>
      </c>
      <c r="F529" s="1">
        <v>5670</v>
      </c>
      <c r="G529" s="1" t="s">
        <v>345</v>
      </c>
      <c r="H529" s="1" t="s">
        <v>346</v>
      </c>
      <c r="I529" s="1" t="s">
        <v>347</v>
      </c>
      <c r="J529" s="1" t="s">
        <v>348</v>
      </c>
    </row>
    <row r="530" spans="1:10" x14ac:dyDescent="0.25">
      <c r="A530" s="1" t="s">
        <v>2002</v>
      </c>
      <c r="B530" s="1" t="s">
        <v>626</v>
      </c>
      <c r="C530" s="19">
        <v>46182</v>
      </c>
      <c r="D530" s="1" t="s">
        <v>21</v>
      </c>
      <c r="E530" s="1" t="s">
        <v>81</v>
      </c>
      <c r="F530" s="1">
        <v>5670</v>
      </c>
      <c r="G530" s="1" t="s">
        <v>349</v>
      </c>
      <c r="H530" s="1" t="s">
        <v>350</v>
      </c>
      <c r="I530" s="1" t="s">
        <v>347</v>
      </c>
      <c r="J530" s="1" t="s">
        <v>351</v>
      </c>
    </row>
    <row r="531" spans="1:10" x14ac:dyDescent="0.25">
      <c r="A531" s="1" t="s">
        <v>2003</v>
      </c>
      <c r="B531" s="1" t="s">
        <v>626</v>
      </c>
      <c r="C531" s="19">
        <v>46182</v>
      </c>
      <c r="D531" s="1" t="s">
        <v>21</v>
      </c>
      <c r="E531" s="1" t="s">
        <v>81</v>
      </c>
      <c r="F531" s="1">
        <v>5670</v>
      </c>
      <c r="G531" s="1" t="s">
        <v>361</v>
      </c>
      <c r="H531" s="1" t="s">
        <v>353</v>
      </c>
      <c r="I531" s="1" t="s">
        <v>347</v>
      </c>
      <c r="J531" s="1" t="s">
        <v>362</v>
      </c>
    </row>
    <row r="532" spans="1:10" x14ac:dyDescent="0.25">
      <c r="A532" s="1" t="s">
        <v>2004</v>
      </c>
      <c r="B532" s="1" t="s">
        <v>627</v>
      </c>
      <c r="C532" s="19">
        <v>46182</v>
      </c>
      <c r="D532" s="1" t="s">
        <v>21</v>
      </c>
      <c r="E532" s="1" t="s">
        <v>81</v>
      </c>
      <c r="F532" s="1">
        <v>5671</v>
      </c>
      <c r="G532" s="1" t="s">
        <v>355</v>
      </c>
      <c r="H532" s="1" t="s">
        <v>346</v>
      </c>
      <c r="I532" s="1" t="s">
        <v>347</v>
      </c>
      <c r="J532" s="1" t="s">
        <v>356</v>
      </c>
    </row>
    <row r="533" spans="1:10" x14ac:dyDescent="0.25">
      <c r="A533" s="1" t="s">
        <v>2005</v>
      </c>
      <c r="B533" s="1" t="s">
        <v>627</v>
      </c>
      <c r="C533" s="19">
        <v>46182</v>
      </c>
      <c r="D533" s="1" t="s">
        <v>21</v>
      </c>
      <c r="E533" s="1" t="s">
        <v>81</v>
      </c>
      <c r="F533" s="1">
        <v>5671</v>
      </c>
      <c r="G533" s="1" t="s">
        <v>345</v>
      </c>
      <c r="H533" s="1" t="s">
        <v>346</v>
      </c>
      <c r="I533" s="1" t="s">
        <v>347</v>
      </c>
      <c r="J533" s="1" t="s">
        <v>348</v>
      </c>
    </row>
    <row r="534" spans="1:10" x14ac:dyDescent="0.25">
      <c r="A534" s="1" t="s">
        <v>2006</v>
      </c>
      <c r="B534" s="1" t="s">
        <v>627</v>
      </c>
      <c r="C534" s="19">
        <v>46182</v>
      </c>
      <c r="D534" s="1" t="s">
        <v>21</v>
      </c>
      <c r="E534" s="1" t="s">
        <v>81</v>
      </c>
      <c r="F534" s="1">
        <v>5671</v>
      </c>
      <c r="G534" s="1" t="s">
        <v>349</v>
      </c>
      <c r="H534" s="1" t="s">
        <v>350</v>
      </c>
      <c r="I534" s="1" t="s">
        <v>347</v>
      </c>
      <c r="J534" s="1" t="s">
        <v>351</v>
      </c>
    </row>
    <row r="535" spans="1:10" x14ac:dyDescent="0.25">
      <c r="A535" s="1" t="s">
        <v>2007</v>
      </c>
      <c r="B535" s="1" t="s">
        <v>627</v>
      </c>
      <c r="C535" s="19">
        <v>46182</v>
      </c>
      <c r="D535" s="1" t="s">
        <v>21</v>
      </c>
      <c r="E535" s="1" t="s">
        <v>81</v>
      </c>
      <c r="F535" s="1">
        <v>5671</v>
      </c>
      <c r="G535" s="1" t="s">
        <v>361</v>
      </c>
      <c r="H535" s="1" t="s">
        <v>353</v>
      </c>
      <c r="I535" s="1" t="s">
        <v>347</v>
      </c>
      <c r="J535" s="1" t="s">
        <v>362</v>
      </c>
    </row>
    <row r="536" spans="1:10" x14ac:dyDescent="0.25">
      <c r="A536" s="1" t="s">
        <v>2008</v>
      </c>
      <c r="B536" s="1" t="s">
        <v>628</v>
      </c>
      <c r="C536" s="19">
        <v>46182</v>
      </c>
      <c r="D536" s="1" t="s">
        <v>21</v>
      </c>
      <c r="E536" s="1" t="s">
        <v>81</v>
      </c>
      <c r="F536" s="1">
        <v>5672</v>
      </c>
      <c r="G536" s="1" t="s">
        <v>355</v>
      </c>
      <c r="H536" s="1" t="s">
        <v>346</v>
      </c>
      <c r="I536" s="1" t="s">
        <v>347</v>
      </c>
      <c r="J536" s="1" t="s">
        <v>356</v>
      </c>
    </row>
    <row r="537" spans="1:10" x14ac:dyDescent="0.25">
      <c r="A537" s="1" t="s">
        <v>2009</v>
      </c>
      <c r="B537" s="1" t="s">
        <v>628</v>
      </c>
      <c r="C537" s="19">
        <v>46182</v>
      </c>
      <c r="D537" s="1" t="s">
        <v>21</v>
      </c>
      <c r="E537" s="1" t="s">
        <v>81</v>
      </c>
      <c r="F537" s="1">
        <v>5672</v>
      </c>
      <c r="G537" s="1" t="s">
        <v>345</v>
      </c>
      <c r="H537" s="1" t="s">
        <v>346</v>
      </c>
      <c r="I537" s="1" t="s">
        <v>347</v>
      </c>
      <c r="J537" s="1" t="s">
        <v>348</v>
      </c>
    </row>
    <row r="538" spans="1:10" x14ac:dyDescent="0.25">
      <c r="A538" s="1" t="s">
        <v>2010</v>
      </c>
      <c r="B538" s="1" t="s">
        <v>628</v>
      </c>
      <c r="C538" s="19">
        <v>46182</v>
      </c>
      <c r="D538" s="1" t="s">
        <v>21</v>
      </c>
      <c r="E538" s="1" t="s">
        <v>81</v>
      </c>
      <c r="F538" s="1">
        <v>5672</v>
      </c>
      <c r="G538" s="1" t="s">
        <v>349</v>
      </c>
      <c r="H538" s="1" t="s">
        <v>350</v>
      </c>
      <c r="I538" s="1" t="s">
        <v>347</v>
      </c>
      <c r="J538" s="1" t="s">
        <v>351</v>
      </c>
    </row>
    <row r="539" spans="1:10" x14ac:dyDescent="0.25">
      <c r="A539" s="1" t="s">
        <v>2011</v>
      </c>
      <c r="B539" s="1" t="s">
        <v>628</v>
      </c>
      <c r="C539" s="19">
        <v>46182</v>
      </c>
      <c r="D539" s="1" t="s">
        <v>21</v>
      </c>
      <c r="E539" s="1" t="s">
        <v>81</v>
      </c>
      <c r="F539" s="1">
        <v>5672</v>
      </c>
      <c r="G539" s="1" t="s">
        <v>361</v>
      </c>
      <c r="H539" s="1" t="s">
        <v>353</v>
      </c>
      <c r="I539" s="1" t="s">
        <v>347</v>
      </c>
      <c r="J539" s="1" t="s">
        <v>362</v>
      </c>
    </row>
    <row r="540" spans="1:10" x14ac:dyDescent="0.25">
      <c r="A540" s="1" t="s">
        <v>2012</v>
      </c>
      <c r="B540" s="1" t="s">
        <v>629</v>
      </c>
      <c r="C540" s="19">
        <v>46182</v>
      </c>
      <c r="D540" s="1" t="s">
        <v>21</v>
      </c>
      <c r="E540" s="1" t="s">
        <v>81</v>
      </c>
      <c r="F540" s="1">
        <v>5673</v>
      </c>
      <c r="G540" s="1" t="s">
        <v>355</v>
      </c>
      <c r="H540" s="1" t="s">
        <v>346</v>
      </c>
      <c r="I540" s="1" t="s">
        <v>347</v>
      </c>
      <c r="J540" s="1" t="s">
        <v>356</v>
      </c>
    </row>
    <row r="541" spans="1:10" x14ac:dyDescent="0.25">
      <c r="A541" s="1" t="s">
        <v>2013</v>
      </c>
      <c r="B541" s="1" t="s">
        <v>629</v>
      </c>
      <c r="C541" s="19">
        <v>46182</v>
      </c>
      <c r="D541" s="1" t="s">
        <v>21</v>
      </c>
      <c r="E541" s="1" t="s">
        <v>81</v>
      </c>
      <c r="F541" s="1">
        <v>5673</v>
      </c>
      <c r="G541" s="1" t="s">
        <v>345</v>
      </c>
      <c r="H541" s="1" t="s">
        <v>346</v>
      </c>
      <c r="I541" s="1" t="s">
        <v>347</v>
      </c>
      <c r="J541" s="1" t="s">
        <v>348</v>
      </c>
    </row>
    <row r="542" spans="1:10" x14ac:dyDescent="0.25">
      <c r="A542" s="1" t="s">
        <v>2014</v>
      </c>
      <c r="B542" s="1" t="s">
        <v>629</v>
      </c>
      <c r="C542" s="19">
        <v>46182</v>
      </c>
      <c r="D542" s="1" t="s">
        <v>21</v>
      </c>
      <c r="E542" s="1" t="s">
        <v>81</v>
      </c>
      <c r="F542" s="1">
        <v>5673</v>
      </c>
      <c r="G542" s="1" t="s">
        <v>349</v>
      </c>
      <c r="H542" s="1" t="s">
        <v>350</v>
      </c>
      <c r="I542" s="1" t="s">
        <v>347</v>
      </c>
      <c r="J542" s="1" t="s">
        <v>351</v>
      </c>
    </row>
    <row r="543" spans="1:10" x14ac:dyDescent="0.25">
      <c r="A543" s="1" t="s">
        <v>2015</v>
      </c>
      <c r="B543" s="1" t="s">
        <v>629</v>
      </c>
      <c r="C543" s="19">
        <v>46182</v>
      </c>
      <c r="D543" s="1" t="s">
        <v>21</v>
      </c>
      <c r="E543" s="1" t="s">
        <v>81</v>
      </c>
      <c r="F543" s="1">
        <v>5673</v>
      </c>
      <c r="G543" s="1" t="s">
        <v>361</v>
      </c>
      <c r="H543" s="1" t="s">
        <v>353</v>
      </c>
      <c r="I543" s="1" t="s">
        <v>347</v>
      </c>
      <c r="J543" s="1" t="s">
        <v>362</v>
      </c>
    </row>
    <row r="544" spans="1:10" x14ac:dyDescent="0.25">
      <c r="A544" s="1" t="s">
        <v>2016</v>
      </c>
      <c r="B544" s="1" t="s">
        <v>630</v>
      </c>
      <c r="C544" s="19">
        <v>46182</v>
      </c>
      <c r="D544" s="1" t="s">
        <v>21</v>
      </c>
      <c r="E544" s="1" t="s">
        <v>81</v>
      </c>
      <c r="F544" s="1">
        <v>5674</v>
      </c>
      <c r="G544" s="1" t="s">
        <v>355</v>
      </c>
      <c r="H544" s="1" t="s">
        <v>346</v>
      </c>
      <c r="I544" s="1" t="s">
        <v>347</v>
      </c>
      <c r="J544" s="1" t="s">
        <v>356</v>
      </c>
    </row>
    <row r="545" spans="1:10" x14ac:dyDescent="0.25">
      <c r="A545" s="1" t="s">
        <v>2017</v>
      </c>
      <c r="B545" s="1" t="s">
        <v>630</v>
      </c>
      <c r="C545" s="19">
        <v>46182</v>
      </c>
      <c r="D545" s="1" t="s">
        <v>21</v>
      </c>
      <c r="E545" s="1" t="s">
        <v>81</v>
      </c>
      <c r="F545" s="1">
        <v>5674</v>
      </c>
      <c r="G545" s="1" t="s">
        <v>345</v>
      </c>
      <c r="H545" s="1" t="s">
        <v>346</v>
      </c>
      <c r="I545" s="1" t="s">
        <v>347</v>
      </c>
      <c r="J545" s="1" t="s">
        <v>348</v>
      </c>
    </row>
    <row r="546" spans="1:10" x14ac:dyDescent="0.25">
      <c r="A546" s="1" t="s">
        <v>2018</v>
      </c>
      <c r="B546" s="1" t="s">
        <v>630</v>
      </c>
      <c r="C546" s="19">
        <v>46182</v>
      </c>
      <c r="D546" s="1" t="s">
        <v>21</v>
      </c>
      <c r="E546" s="1" t="s">
        <v>81</v>
      </c>
      <c r="F546" s="1">
        <v>5674</v>
      </c>
      <c r="G546" s="1" t="s">
        <v>349</v>
      </c>
      <c r="H546" s="1" t="s">
        <v>350</v>
      </c>
      <c r="I546" s="1" t="s">
        <v>347</v>
      </c>
      <c r="J546" s="1" t="s">
        <v>351</v>
      </c>
    </row>
    <row r="547" spans="1:10" x14ac:dyDescent="0.25">
      <c r="A547" s="1" t="s">
        <v>2019</v>
      </c>
      <c r="B547" s="1" t="s">
        <v>630</v>
      </c>
      <c r="C547" s="19">
        <v>46182</v>
      </c>
      <c r="D547" s="1" t="s">
        <v>21</v>
      </c>
      <c r="E547" s="1" t="s">
        <v>81</v>
      </c>
      <c r="F547" s="1">
        <v>5674</v>
      </c>
      <c r="G547" s="1" t="s">
        <v>361</v>
      </c>
      <c r="H547" s="1" t="s">
        <v>353</v>
      </c>
      <c r="I547" s="1" t="s">
        <v>347</v>
      </c>
      <c r="J547" s="1" t="s">
        <v>362</v>
      </c>
    </row>
    <row r="548" spans="1:10" x14ac:dyDescent="0.25">
      <c r="A548" s="1" t="s">
        <v>2020</v>
      </c>
      <c r="B548" s="1" t="s">
        <v>631</v>
      </c>
      <c r="C548" s="19">
        <v>46182</v>
      </c>
      <c r="D548" s="1" t="s">
        <v>21</v>
      </c>
      <c r="E548" s="1" t="s">
        <v>81</v>
      </c>
      <c r="F548" s="1">
        <v>5675</v>
      </c>
      <c r="G548" s="1" t="s">
        <v>355</v>
      </c>
      <c r="H548" s="1" t="s">
        <v>346</v>
      </c>
      <c r="I548" s="1" t="s">
        <v>347</v>
      </c>
      <c r="J548" s="1" t="s">
        <v>356</v>
      </c>
    </row>
    <row r="549" spans="1:10" x14ac:dyDescent="0.25">
      <c r="A549" s="1" t="s">
        <v>2021</v>
      </c>
      <c r="B549" s="1" t="s">
        <v>631</v>
      </c>
      <c r="C549" s="19">
        <v>46182</v>
      </c>
      <c r="D549" s="1" t="s">
        <v>21</v>
      </c>
      <c r="E549" s="1" t="s">
        <v>81</v>
      </c>
      <c r="F549" s="1">
        <v>5675</v>
      </c>
      <c r="G549" s="1" t="s">
        <v>345</v>
      </c>
      <c r="H549" s="1" t="s">
        <v>346</v>
      </c>
      <c r="I549" s="1" t="s">
        <v>347</v>
      </c>
      <c r="J549" s="1" t="s">
        <v>348</v>
      </c>
    </row>
    <row r="550" spans="1:10" x14ac:dyDescent="0.25">
      <c r="A550" s="1" t="s">
        <v>2022</v>
      </c>
      <c r="B550" s="1" t="s">
        <v>631</v>
      </c>
      <c r="C550" s="19">
        <v>46182</v>
      </c>
      <c r="D550" s="1" t="s">
        <v>21</v>
      </c>
      <c r="E550" s="1" t="s">
        <v>81</v>
      </c>
      <c r="F550" s="1">
        <v>5675</v>
      </c>
      <c r="G550" s="1" t="s">
        <v>349</v>
      </c>
      <c r="H550" s="1" t="s">
        <v>350</v>
      </c>
      <c r="I550" s="1" t="s">
        <v>347</v>
      </c>
      <c r="J550" s="1" t="s">
        <v>351</v>
      </c>
    </row>
    <row r="551" spans="1:10" x14ac:dyDescent="0.25">
      <c r="A551" s="1" t="s">
        <v>2023</v>
      </c>
      <c r="B551" s="1" t="s">
        <v>631</v>
      </c>
      <c r="C551" s="19">
        <v>46182</v>
      </c>
      <c r="D551" s="1" t="s">
        <v>21</v>
      </c>
      <c r="E551" s="1" t="s">
        <v>81</v>
      </c>
      <c r="F551" s="1">
        <v>5675</v>
      </c>
      <c r="G551" s="1" t="s">
        <v>361</v>
      </c>
      <c r="H551" s="1" t="s">
        <v>353</v>
      </c>
      <c r="I551" s="1" t="s">
        <v>347</v>
      </c>
      <c r="J551" s="1" t="s">
        <v>362</v>
      </c>
    </row>
    <row r="552" spans="1:10" x14ac:dyDescent="0.25">
      <c r="A552" s="1" t="s">
        <v>2024</v>
      </c>
      <c r="B552" s="1" t="s">
        <v>632</v>
      </c>
      <c r="C552" s="19">
        <v>46182</v>
      </c>
      <c r="D552" s="1" t="s">
        <v>21</v>
      </c>
      <c r="E552" s="1" t="s">
        <v>81</v>
      </c>
      <c r="F552" s="1">
        <v>5676</v>
      </c>
      <c r="G552" s="1" t="s">
        <v>355</v>
      </c>
      <c r="H552" s="1" t="s">
        <v>346</v>
      </c>
      <c r="I552" s="1" t="s">
        <v>347</v>
      </c>
      <c r="J552" s="1" t="s">
        <v>356</v>
      </c>
    </row>
    <row r="553" spans="1:10" x14ac:dyDescent="0.25">
      <c r="A553" s="1" t="s">
        <v>2025</v>
      </c>
      <c r="B553" s="1" t="s">
        <v>632</v>
      </c>
      <c r="C553" s="19">
        <v>46182</v>
      </c>
      <c r="D553" s="1" t="s">
        <v>21</v>
      </c>
      <c r="E553" s="1" t="s">
        <v>81</v>
      </c>
      <c r="F553" s="1">
        <v>5676</v>
      </c>
      <c r="G553" s="1" t="s">
        <v>345</v>
      </c>
      <c r="H553" s="1" t="s">
        <v>346</v>
      </c>
      <c r="I553" s="1" t="s">
        <v>347</v>
      </c>
      <c r="J553" s="1" t="s">
        <v>348</v>
      </c>
    </row>
    <row r="554" spans="1:10" x14ac:dyDescent="0.25">
      <c r="A554" s="1" t="s">
        <v>2026</v>
      </c>
      <c r="B554" s="1" t="s">
        <v>632</v>
      </c>
      <c r="C554" s="19">
        <v>46182</v>
      </c>
      <c r="D554" s="1" t="s">
        <v>21</v>
      </c>
      <c r="E554" s="1" t="s">
        <v>81</v>
      </c>
      <c r="F554" s="1">
        <v>5676</v>
      </c>
      <c r="G554" s="1" t="s">
        <v>349</v>
      </c>
      <c r="H554" s="1" t="s">
        <v>350</v>
      </c>
      <c r="I554" s="1" t="s">
        <v>347</v>
      </c>
      <c r="J554" s="1" t="s">
        <v>351</v>
      </c>
    </row>
    <row r="555" spans="1:10" x14ac:dyDescent="0.25">
      <c r="A555" s="1" t="s">
        <v>2027</v>
      </c>
      <c r="B555" s="1" t="s">
        <v>632</v>
      </c>
      <c r="C555" s="19">
        <v>46182</v>
      </c>
      <c r="D555" s="1" t="s">
        <v>21</v>
      </c>
      <c r="E555" s="1" t="s">
        <v>81</v>
      </c>
      <c r="F555" s="1">
        <v>5676</v>
      </c>
      <c r="G555" s="1" t="s">
        <v>361</v>
      </c>
      <c r="H555" s="1" t="s">
        <v>353</v>
      </c>
      <c r="I555" s="1" t="s">
        <v>347</v>
      </c>
      <c r="J555" s="1" t="s">
        <v>362</v>
      </c>
    </row>
    <row r="556" spans="1:10" x14ac:dyDescent="0.25">
      <c r="A556" s="1" t="s">
        <v>2028</v>
      </c>
      <c r="B556" s="1" t="s">
        <v>633</v>
      </c>
      <c r="C556" s="19">
        <v>46182</v>
      </c>
      <c r="D556" s="1" t="s">
        <v>21</v>
      </c>
      <c r="E556" s="1" t="s">
        <v>81</v>
      </c>
      <c r="F556" s="1">
        <v>5677</v>
      </c>
      <c r="G556" s="1" t="s">
        <v>355</v>
      </c>
      <c r="H556" s="1" t="s">
        <v>346</v>
      </c>
      <c r="I556" s="1" t="s">
        <v>347</v>
      </c>
      <c r="J556" s="1" t="s">
        <v>356</v>
      </c>
    </row>
    <row r="557" spans="1:10" x14ac:dyDescent="0.25">
      <c r="A557" s="1" t="s">
        <v>2029</v>
      </c>
      <c r="B557" s="1" t="s">
        <v>633</v>
      </c>
      <c r="C557" s="19">
        <v>46182</v>
      </c>
      <c r="D557" s="1" t="s">
        <v>21</v>
      </c>
      <c r="E557" s="1" t="s">
        <v>81</v>
      </c>
      <c r="F557" s="1">
        <v>5677</v>
      </c>
      <c r="G557" s="1" t="s">
        <v>345</v>
      </c>
      <c r="H557" s="1" t="s">
        <v>346</v>
      </c>
      <c r="I557" s="1" t="s">
        <v>347</v>
      </c>
      <c r="J557" s="1" t="s">
        <v>348</v>
      </c>
    </row>
    <row r="558" spans="1:10" x14ac:dyDescent="0.25">
      <c r="A558" s="1" t="s">
        <v>2030</v>
      </c>
      <c r="B558" s="1" t="s">
        <v>633</v>
      </c>
      <c r="C558" s="19">
        <v>46182</v>
      </c>
      <c r="D558" s="1" t="s">
        <v>21</v>
      </c>
      <c r="E558" s="1" t="s">
        <v>81</v>
      </c>
      <c r="F558" s="1">
        <v>5677</v>
      </c>
      <c r="G558" s="1" t="s">
        <v>349</v>
      </c>
      <c r="H558" s="1" t="s">
        <v>350</v>
      </c>
      <c r="I558" s="1" t="s">
        <v>347</v>
      </c>
      <c r="J558" s="1" t="s">
        <v>351</v>
      </c>
    </row>
    <row r="559" spans="1:10" x14ac:dyDescent="0.25">
      <c r="A559" s="1" t="s">
        <v>2031</v>
      </c>
      <c r="B559" s="1" t="s">
        <v>633</v>
      </c>
      <c r="C559" s="19">
        <v>46182</v>
      </c>
      <c r="D559" s="1" t="s">
        <v>21</v>
      </c>
      <c r="E559" s="1" t="s">
        <v>81</v>
      </c>
      <c r="F559" s="1">
        <v>5677</v>
      </c>
      <c r="G559" s="1" t="s">
        <v>361</v>
      </c>
      <c r="H559" s="1" t="s">
        <v>353</v>
      </c>
      <c r="I559" s="1" t="s">
        <v>347</v>
      </c>
      <c r="J559" s="1" t="s">
        <v>362</v>
      </c>
    </row>
    <row r="560" spans="1:10" x14ac:dyDescent="0.25">
      <c r="A560" s="1" t="s">
        <v>2032</v>
      </c>
      <c r="B560" s="1" t="s">
        <v>634</v>
      </c>
      <c r="C560" s="19">
        <v>46182</v>
      </c>
      <c r="D560" s="1" t="s">
        <v>21</v>
      </c>
      <c r="E560" s="1" t="s">
        <v>81</v>
      </c>
      <c r="F560" s="1">
        <v>5678</v>
      </c>
      <c r="G560" s="1" t="s">
        <v>355</v>
      </c>
      <c r="H560" s="1" t="s">
        <v>346</v>
      </c>
      <c r="I560" s="1" t="s">
        <v>347</v>
      </c>
      <c r="J560" s="1" t="s">
        <v>356</v>
      </c>
    </row>
    <row r="561" spans="1:10" x14ac:dyDescent="0.25">
      <c r="A561" s="1" t="s">
        <v>2033</v>
      </c>
      <c r="B561" s="1" t="s">
        <v>634</v>
      </c>
      <c r="C561" s="19">
        <v>46182</v>
      </c>
      <c r="D561" s="1" t="s">
        <v>21</v>
      </c>
      <c r="E561" s="1" t="s">
        <v>81</v>
      </c>
      <c r="F561" s="1">
        <v>5678</v>
      </c>
      <c r="G561" s="1" t="s">
        <v>345</v>
      </c>
      <c r="H561" s="1" t="s">
        <v>346</v>
      </c>
      <c r="I561" s="1" t="s">
        <v>347</v>
      </c>
      <c r="J561" s="1" t="s">
        <v>348</v>
      </c>
    </row>
    <row r="562" spans="1:10" x14ac:dyDescent="0.25">
      <c r="A562" s="1" t="s">
        <v>2034</v>
      </c>
      <c r="B562" s="1" t="s">
        <v>634</v>
      </c>
      <c r="C562" s="19">
        <v>46182</v>
      </c>
      <c r="D562" s="1" t="s">
        <v>21</v>
      </c>
      <c r="E562" s="1" t="s">
        <v>81</v>
      </c>
      <c r="F562" s="1">
        <v>5678</v>
      </c>
      <c r="G562" s="1" t="s">
        <v>349</v>
      </c>
      <c r="H562" s="1" t="s">
        <v>350</v>
      </c>
      <c r="I562" s="1" t="s">
        <v>347</v>
      </c>
      <c r="J562" s="1" t="s">
        <v>351</v>
      </c>
    </row>
    <row r="563" spans="1:10" x14ac:dyDescent="0.25">
      <c r="A563" s="1" t="s">
        <v>2035</v>
      </c>
      <c r="B563" s="1" t="s">
        <v>634</v>
      </c>
      <c r="C563" s="19">
        <v>46182</v>
      </c>
      <c r="D563" s="1" t="s">
        <v>21</v>
      </c>
      <c r="E563" s="1" t="s">
        <v>81</v>
      </c>
      <c r="F563" s="1">
        <v>5678</v>
      </c>
      <c r="G563" s="1" t="s">
        <v>361</v>
      </c>
      <c r="H563" s="1" t="s">
        <v>353</v>
      </c>
      <c r="I563" s="1" t="s">
        <v>347</v>
      </c>
      <c r="J563" s="1" t="s">
        <v>362</v>
      </c>
    </row>
    <row r="564" spans="1:10" x14ac:dyDescent="0.25">
      <c r="A564" s="1" t="s">
        <v>2036</v>
      </c>
      <c r="B564" s="1" t="s">
        <v>635</v>
      </c>
      <c r="C564" s="19">
        <v>46182</v>
      </c>
      <c r="D564" s="1" t="s">
        <v>21</v>
      </c>
      <c r="E564" s="1" t="s">
        <v>81</v>
      </c>
      <c r="F564" s="1">
        <v>5679</v>
      </c>
      <c r="G564" s="1" t="s">
        <v>355</v>
      </c>
      <c r="H564" s="1" t="s">
        <v>346</v>
      </c>
      <c r="I564" s="1" t="s">
        <v>347</v>
      </c>
      <c r="J564" s="1" t="s">
        <v>356</v>
      </c>
    </row>
    <row r="565" spans="1:10" x14ac:dyDescent="0.25">
      <c r="A565" s="1" t="s">
        <v>2037</v>
      </c>
      <c r="B565" s="1" t="s">
        <v>635</v>
      </c>
      <c r="C565" s="19">
        <v>46182</v>
      </c>
      <c r="D565" s="1" t="s">
        <v>21</v>
      </c>
      <c r="E565" s="1" t="s">
        <v>81</v>
      </c>
      <c r="F565" s="1">
        <v>5679</v>
      </c>
      <c r="G565" s="1" t="s">
        <v>345</v>
      </c>
      <c r="H565" s="1" t="s">
        <v>346</v>
      </c>
      <c r="I565" s="1" t="s">
        <v>347</v>
      </c>
      <c r="J565" s="1" t="s">
        <v>348</v>
      </c>
    </row>
    <row r="566" spans="1:10" x14ac:dyDescent="0.25">
      <c r="A566" s="1" t="s">
        <v>2038</v>
      </c>
      <c r="B566" s="1" t="s">
        <v>635</v>
      </c>
      <c r="C566" s="19">
        <v>46182</v>
      </c>
      <c r="D566" s="1" t="s">
        <v>21</v>
      </c>
      <c r="E566" s="1" t="s">
        <v>81</v>
      </c>
      <c r="F566" s="1">
        <v>5679</v>
      </c>
      <c r="G566" s="1" t="s">
        <v>349</v>
      </c>
      <c r="H566" s="1" t="s">
        <v>350</v>
      </c>
      <c r="I566" s="1" t="s">
        <v>347</v>
      </c>
      <c r="J566" s="1" t="s">
        <v>351</v>
      </c>
    </row>
    <row r="567" spans="1:10" x14ac:dyDescent="0.25">
      <c r="A567" s="1" t="s">
        <v>2039</v>
      </c>
      <c r="B567" s="1" t="s">
        <v>635</v>
      </c>
      <c r="C567" s="19">
        <v>46182</v>
      </c>
      <c r="D567" s="1" t="s">
        <v>21</v>
      </c>
      <c r="E567" s="1" t="s">
        <v>81</v>
      </c>
      <c r="F567" s="1">
        <v>5679</v>
      </c>
      <c r="G567" s="1" t="s">
        <v>361</v>
      </c>
      <c r="H567" s="1" t="s">
        <v>353</v>
      </c>
      <c r="I567" s="1" t="s">
        <v>347</v>
      </c>
      <c r="J567" s="1" t="s">
        <v>362</v>
      </c>
    </row>
    <row r="568" spans="1:10" x14ac:dyDescent="0.25">
      <c r="A568" s="1" t="s">
        <v>2040</v>
      </c>
      <c r="B568" s="1" t="s">
        <v>636</v>
      </c>
      <c r="C568" s="19">
        <v>46182</v>
      </c>
      <c r="D568" s="1" t="s">
        <v>21</v>
      </c>
      <c r="E568" s="1" t="s">
        <v>81</v>
      </c>
      <c r="F568" s="1">
        <v>5680</v>
      </c>
      <c r="G568" s="1" t="s">
        <v>355</v>
      </c>
      <c r="H568" s="1" t="s">
        <v>346</v>
      </c>
      <c r="I568" s="1" t="s">
        <v>347</v>
      </c>
      <c r="J568" s="1" t="s">
        <v>356</v>
      </c>
    </row>
    <row r="569" spans="1:10" x14ac:dyDescent="0.25">
      <c r="A569" s="1" t="s">
        <v>2041</v>
      </c>
      <c r="B569" s="1" t="s">
        <v>636</v>
      </c>
      <c r="C569" s="19">
        <v>46182</v>
      </c>
      <c r="D569" s="1" t="s">
        <v>21</v>
      </c>
      <c r="E569" s="1" t="s">
        <v>81</v>
      </c>
      <c r="F569" s="1">
        <v>5680</v>
      </c>
      <c r="G569" s="1" t="s">
        <v>345</v>
      </c>
      <c r="H569" s="1" t="s">
        <v>346</v>
      </c>
      <c r="I569" s="1" t="s">
        <v>347</v>
      </c>
      <c r="J569" s="1" t="s">
        <v>348</v>
      </c>
    </row>
    <row r="570" spans="1:10" x14ac:dyDescent="0.25">
      <c r="A570" s="1" t="s">
        <v>2042</v>
      </c>
      <c r="B570" s="1" t="s">
        <v>636</v>
      </c>
      <c r="C570" s="19">
        <v>46182</v>
      </c>
      <c r="D570" s="1" t="s">
        <v>21</v>
      </c>
      <c r="E570" s="1" t="s">
        <v>81</v>
      </c>
      <c r="F570" s="1">
        <v>5680</v>
      </c>
      <c r="G570" s="1" t="s">
        <v>349</v>
      </c>
      <c r="H570" s="1" t="s">
        <v>350</v>
      </c>
      <c r="I570" s="1" t="s">
        <v>347</v>
      </c>
      <c r="J570" s="1" t="s">
        <v>351</v>
      </c>
    </row>
    <row r="571" spans="1:10" x14ac:dyDescent="0.25">
      <c r="A571" s="1" t="s">
        <v>2043</v>
      </c>
      <c r="B571" s="1" t="s">
        <v>636</v>
      </c>
      <c r="C571" s="19">
        <v>46182</v>
      </c>
      <c r="D571" s="1" t="s">
        <v>21</v>
      </c>
      <c r="E571" s="1" t="s">
        <v>81</v>
      </c>
      <c r="F571" s="1">
        <v>5680</v>
      </c>
      <c r="G571" s="1" t="s">
        <v>361</v>
      </c>
      <c r="H571" s="1" t="s">
        <v>353</v>
      </c>
      <c r="I571" s="1" t="s">
        <v>347</v>
      </c>
      <c r="J571" s="1" t="s">
        <v>362</v>
      </c>
    </row>
    <row r="572" spans="1:10" x14ac:dyDescent="0.25">
      <c r="A572" s="1" t="s">
        <v>2044</v>
      </c>
      <c r="B572" s="1" t="s">
        <v>637</v>
      </c>
      <c r="C572" s="19">
        <v>46182</v>
      </c>
      <c r="D572" s="1" t="s">
        <v>21</v>
      </c>
      <c r="E572" s="1" t="s">
        <v>81</v>
      </c>
      <c r="F572" s="1">
        <v>5681</v>
      </c>
      <c r="G572" s="1" t="s">
        <v>355</v>
      </c>
      <c r="H572" s="1" t="s">
        <v>346</v>
      </c>
      <c r="I572" s="1" t="s">
        <v>347</v>
      </c>
      <c r="J572" s="1" t="s">
        <v>356</v>
      </c>
    </row>
    <row r="573" spans="1:10" x14ac:dyDescent="0.25">
      <c r="A573" s="1" t="s">
        <v>2045</v>
      </c>
      <c r="B573" s="1" t="s">
        <v>637</v>
      </c>
      <c r="C573" s="19">
        <v>46182</v>
      </c>
      <c r="D573" s="1" t="s">
        <v>21</v>
      </c>
      <c r="E573" s="1" t="s">
        <v>81</v>
      </c>
      <c r="F573" s="1">
        <v>5681</v>
      </c>
      <c r="G573" s="1" t="s">
        <v>345</v>
      </c>
      <c r="H573" s="1" t="s">
        <v>346</v>
      </c>
      <c r="I573" s="1" t="s">
        <v>347</v>
      </c>
      <c r="J573" s="1" t="s">
        <v>348</v>
      </c>
    </row>
    <row r="574" spans="1:10" x14ac:dyDescent="0.25">
      <c r="A574" s="1" t="s">
        <v>2046</v>
      </c>
      <c r="B574" s="1" t="s">
        <v>637</v>
      </c>
      <c r="C574" s="19">
        <v>46182</v>
      </c>
      <c r="D574" s="1" t="s">
        <v>21</v>
      </c>
      <c r="E574" s="1" t="s">
        <v>81</v>
      </c>
      <c r="F574" s="1">
        <v>5681</v>
      </c>
      <c r="G574" s="1" t="s">
        <v>349</v>
      </c>
      <c r="H574" s="1" t="s">
        <v>350</v>
      </c>
      <c r="I574" s="1" t="s">
        <v>347</v>
      </c>
      <c r="J574" s="1" t="s">
        <v>351</v>
      </c>
    </row>
    <row r="575" spans="1:10" x14ac:dyDescent="0.25">
      <c r="A575" s="1" t="s">
        <v>2047</v>
      </c>
      <c r="B575" s="1" t="s">
        <v>637</v>
      </c>
      <c r="C575" s="19">
        <v>46182</v>
      </c>
      <c r="D575" s="1" t="s">
        <v>21</v>
      </c>
      <c r="E575" s="1" t="s">
        <v>81</v>
      </c>
      <c r="F575" s="1">
        <v>5681</v>
      </c>
      <c r="G575" s="1" t="s">
        <v>361</v>
      </c>
      <c r="H575" s="1" t="s">
        <v>353</v>
      </c>
      <c r="I575" s="1" t="s">
        <v>347</v>
      </c>
      <c r="J575" s="1" t="s">
        <v>362</v>
      </c>
    </row>
    <row r="576" spans="1:10" x14ac:dyDescent="0.25">
      <c r="A576" s="1" t="s">
        <v>2048</v>
      </c>
      <c r="B576" s="1" t="s">
        <v>638</v>
      </c>
      <c r="C576" s="19">
        <v>46182</v>
      </c>
      <c r="D576" s="1" t="s">
        <v>21</v>
      </c>
      <c r="E576" s="1" t="s">
        <v>81</v>
      </c>
      <c r="F576" s="1">
        <v>5682</v>
      </c>
      <c r="G576" s="1" t="s">
        <v>355</v>
      </c>
      <c r="H576" s="1" t="s">
        <v>346</v>
      </c>
      <c r="I576" s="1" t="s">
        <v>347</v>
      </c>
      <c r="J576" s="1" t="s">
        <v>356</v>
      </c>
    </row>
    <row r="577" spans="1:10" x14ac:dyDescent="0.25">
      <c r="A577" s="1" t="s">
        <v>2049</v>
      </c>
      <c r="B577" s="1" t="s">
        <v>638</v>
      </c>
      <c r="C577" s="19">
        <v>46182</v>
      </c>
      <c r="D577" s="1" t="s">
        <v>21</v>
      </c>
      <c r="E577" s="1" t="s">
        <v>81</v>
      </c>
      <c r="F577" s="1">
        <v>5682</v>
      </c>
      <c r="G577" s="1" t="s">
        <v>345</v>
      </c>
      <c r="H577" s="1" t="s">
        <v>346</v>
      </c>
      <c r="I577" s="1" t="s">
        <v>347</v>
      </c>
      <c r="J577" s="1" t="s">
        <v>348</v>
      </c>
    </row>
    <row r="578" spans="1:10" x14ac:dyDescent="0.25">
      <c r="A578" s="1" t="s">
        <v>2050</v>
      </c>
      <c r="B578" s="1" t="s">
        <v>638</v>
      </c>
      <c r="C578" s="19">
        <v>46182</v>
      </c>
      <c r="D578" s="1" t="s">
        <v>21</v>
      </c>
      <c r="E578" s="1" t="s">
        <v>81</v>
      </c>
      <c r="F578" s="1">
        <v>5682</v>
      </c>
      <c r="G578" s="1" t="s">
        <v>349</v>
      </c>
      <c r="H578" s="1" t="s">
        <v>350</v>
      </c>
      <c r="I578" s="1" t="s">
        <v>347</v>
      </c>
      <c r="J578" s="1" t="s">
        <v>351</v>
      </c>
    </row>
    <row r="579" spans="1:10" x14ac:dyDescent="0.25">
      <c r="A579" s="1" t="s">
        <v>2051</v>
      </c>
      <c r="B579" s="1" t="s">
        <v>638</v>
      </c>
      <c r="C579" s="19">
        <v>46182</v>
      </c>
      <c r="D579" s="1" t="s">
        <v>21</v>
      </c>
      <c r="E579" s="1" t="s">
        <v>81</v>
      </c>
      <c r="F579" s="1">
        <v>5682</v>
      </c>
      <c r="G579" s="1" t="s">
        <v>361</v>
      </c>
      <c r="H579" s="1" t="s">
        <v>353</v>
      </c>
      <c r="I579" s="1" t="s">
        <v>347</v>
      </c>
      <c r="J579" s="1" t="s">
        <v>362</v>
      </c>
    </row>
    <row r="580" spans="1:10" x14ac:dyDescent="0.25">
      <c r="A580" s="1" t="s">
        <v>2052</v>
      </c>
      <c r="B580" s="1" t="s">
        <v>639</v>
      </c>
      <c r="C580" s="19">
        <v>46182</v>
      </c>
      <c r="D580" s="1" t="s">
        <v>21</v>
      </c>
      <c r="E580" s="1" t="s">
        <v>81</v>
      </c>
      <c r="F580" s="1">
        <v>5683</v>
      </c>
      <c r="G580" s="1" t="s">
        <v>355</v>
      </c>
      <c r="H580" s="1" t="s">
        <v>346</v>
      </c>
      <c r="I580" s="1" t="s">
        <v>347</v>
      </c>
      <c r="J580" s="1" t="s">
        <v>356</v>
      </c>
    </row>
    <row r="581" spans="1:10" x14ac:dyDescent="0.25">
      <c r="A581" s="1" t="s">
        <v>2053</v>
      </c>
      <c r="B581" s="1" t="s">
        <v>639</v>
      </c>
      <c r="C581" s="19">
        <v>46182</v>
      </c>
      <c r="D581" s="1" t="s">
        <v>21</v>
      </c>
      <c r="E581" s="1" t="s">
        <v>81</v>
      </c>
      <c r="F581" s="1">
        <v>5683</v>
      </c>
      <c r="G581" s="1" t="s">
        <v>345</v>
      </c>
      <c r="H581" s="1" t="s">
        <v>346</v>
      </c>
      <c r="I581" s="1" t="s">
        <v>347</v>
      </c>
      <c r="J581" s="1" t="s">
        <v>348</v>
      </c>
    </row>
    <row r="582" spans="1:10" x14ac:dyDescent="0.25">
      <c r="A582" s="1" t="s">
        <v>2054</v>
      </c>
      <c r="B582" s="1" t="s">
        <v>639</v>
      </c>
      <c r="C582" s="19">
        <v>46182</v>
      </c>
      <c r="D582" s="1" t="s">
        <v>21</v>
      </c>
      <c r="E582" s="1" t="s">
        <v>81</v>
      </c>
      <c r="F582" s="1">
        <v>5683</v>
      </c>
      <c r="G582" s="1" t="s">
        <v>349</v>
      </c>
      <c r="H582" s="1" t="s">
        <v>350</v>
      </c>
      <c r="I582" s="1" t="s">
        <v>347</v>
      </c>
      <c r="J582" s="1" t="s">
        <v>351</v>
      </c>
    </row>
    <row r="583" spans="1:10" x14ac:dyDescent="0.25">
      <c r="A583" s="1" t="s">
        <v>2055</v>
      </c>
      <c r="B583" s="1" t="s">
        <v>639</v>
      </c>
      <c r="C583" s="19">
        <v>46182</v>
      </c>
      <c r="D583" s="1" t="s">
        <v>21</v>
      </c>
      <c r="E583" s="1" t="s">
        <v>81</v>
      </c>
      <c r="F583" s="1">
        <v>5683</v>
      </c>
      <c r="G583" s="1" t="s">
        <v>361</v>
      </c>
      <c r="H583" s="1" t="s">
        <v>353</v>
      </c>
      <c r="I583" s="1" t="s">
        <v>347</v>
      </c>
      <c r="J583" s="1" t="s">
        <v>362</v>
      </c>
    </row>
    <row r="584" spans="1:10" x14ac:dyDescent="0.25">
      <c r="A584" s="1" t="s">
        <v>2056</v>
      </c>
      <c r="B584" s="1" t="s">
        <v>640</v>
      </c>
      <c r="C584" s="19">
        <v>46182</v>
      </c>
      <c r="D584" s="1" t="s">
        <v>21</v>
      </c>
      <c r="E584" s="1" t="s">
        <v>81</v>
      </c>
      <c r="F584" s="1">
        <v>5684</v>
      </c>
      <c r="G584" s="1" t="s">
        <v>355</v>
      </c>
      <c r="H584" s="1" t="s">
        <v>346</v>
      </c>
      <c r="I584" s="1" t="s">
        <v>347</v>
      </c>
      <c r="J584" s="1" t="s">
        <v>356</v>
      </c>
    </row>
    <row r="585" spans="1:10" x14ac:dyDescent="0.25">
      <c r="A585" s="1" t="s">
        <v>2057</v>
      </c>
      <c r="B585" s="1" t="s">
        <v>640</v>
      </c>
      <c r="C585" s="19">
        <v>46182</v>
      </c>
      <c r="D585" s="1" t="s">
        <v>21</v>
      </c>
      <c r="E585" s="1" t="s">
        <v>81</v>
      </c>
      <c r="F585" s="1">
        <v>5684</v>
      </c>
      <c r="G585" s="1" t="s">
        <v>345</v>
      </c>
      <c r="H585" s="1" t="s">
        <v>346</v>
      </c>
      <c r="I585" s="1" t="s">
        <v>347</v>
      </c>
      <c r="J585" s="1" t="s">
        <v>348</v>
      </c>
    </row>
    <row r="586" spans="1:10" x14ac:dyDescent="0.25">
      <c r="A586" s="1" t="s">
        <v>2058</v>
      </c>
      <c r="B586" s="1" t="s">
        <v>640</v>
      </c>
      <c r="C586" s="19">
        <v>46182</v>
      </c>
      <c r="D586" s="1" t="s">
        <v>21</v>
      </c>
      <c r="E586" s="1" t="s">
        <v>81</v>
      </c>
      <c r="F586" s="1">
        <v>5684</v>
      </c>
      <c r="G586" s="1" t="s">
        <v>349</v>
      </c>
      <c r="H586" s="1" t="s">
        <v>350</v>
      </c>
      <c r="I586" s="1" t="s">
        <v>347</v>
      </c>
      <c r="J586" s="1" t="s">
        <v>351</v>
      </c>
    </row>
    <row r="587" spans="1:10" x14ac:dyDescent="0.25">
      <c r="A587" s="1" t="s">
        <v>2059</v>
      </c>
      <c r="B587" s="1" t="s">
        <v>640</v>
      </c>
      <c r="C587" s="19">
        <v>46182</v>
      </c>
      <c r="D587" s="1" t="s">
        <v>21</v>
      </c>
      <c r="E587" s="1" t="s">
        <v>81</v>
      </c>
      <c r="F587" s="1">
        <v>5684</v>
      </c>
      <c r="G587" s="1" t="s">
        <v>361</v>
      </c>
      <c r="H587" s="1" t="s">
        <v>353</v>
      </c>
      <c r="I587" s="1" t="s">
        <v>347</v>
      </c>
      <c r="J587" s="1" t="s">
        <v>362</v>
      </c>
    </row>
    <row r="588" spans="1:10" x14ac:dyDescent="0.25">
      <c r="A588" s="1" t="s">
        <v>2060</v>
      </c>
      <c r="B588" s="1" t="s">
        <v>641</v>
      </c>
      <c r="C588" s="19">
        <v>46182</v>
      </c>
      <c r="D588" s="1" t="s">
        <v>21</v>
      </c>
      <c r="E588" s="1" t="s">
        <v>81</v>
      </c>
      <c r="F588" s="1">
        <v>5685</v>
      </c>
      <c r="G588" s="1" t="s">
        <v>355</v>
      </c>
      <c r="H588" s="1" t="s">
        <v>346</v>
      </c>
      <c r="I588" s="1" t="s">
        <v>347</v>
      </c>
      <c r="J588" s="1" t="s">
        <v>356</v>
      </c>
    </row>
    <row r="589" spans="1:10" x14ac:dyDescent="0.25">
      <c r="A589" s="1" t="s">
        <v>2061</v>
      </c>
      <c r="B589" s="1" t="s">
        <v>641</v>
      </c>
      <c r="C589" s="19">
        <v>46182</v>
      </c>
      <c r="D589" s="1" t="s">
        <v>21</v>
      </c>
      <c r="E589" s="1" t="s">
        <v>81</v>
      </c>
      <c r="F589" s="1">
        <v>5685</v>
      </c>
      <c r="G589" s="1" t="s">
        <v>345</v>
      </c>
      <c r="H589" s="1" t="s">
        <v>346</v>
      </c>
      <c r="I589" s="1" t="s">
        <v>347</v>
      </c>
      <c r="J589" s="1" t="s">
        <v>348</v>
      </c>
    </row>
    <row r="590" spans="1:10" x14ac:dyDescent="0.25">
      <c r="A590" s="1" t="s">
        <v>2062</v>
      </c>
      <c r="B590" s="1" t="s">
        <v>641</v>
      </c>
      <c r="C590" s="19">
        <v>46182</v>
      </c>
      <c r="D590" s="1" t="s">
        <v>21</v>
      </c>
      <c r="E590" s="1" t="s">
        <v>81</v>
      </c>
      <c r="F590" s="1">
        <v>5685</v>
      </c>
      <c r="G590" s="1" t="s">
        <v>349</v>
      </c>
      <c r="H590" s="1" t="s">
        <v>350</v>
      </c>
      <c r="I590" s="1" t="s">
        <v>347</v>
      </c>
      <c r="J590" s="1" t="s">
        <v>351</v>
      </c>
    </row>
    <row r="591" spans="1:10" x14ac:dyDescent="0.25">
      <c r="A591" s="1" t="s">
        <v>2063</v>
      </c>
      <c r="B591" s="1" t="s">
        <v>641</v>
      </c>
      <c r="C591" s="19">
        <v>46182</v>
      </c>
      <c r="D591" s="1" t="s">
        <v>21</v>
      </c>
      <c r="E591" s="1" t="s">
        <v>81</v>
      </c>
      <c r="F591" s="1">
        <v>5685</v>
      </c>
      <c r="G591" s="1" t="s">
        <v>361</v>
      </c>
      <c r="H591" s="1" t="s">
        <v>353</v>
      </c>
      <c r="I591" s="1" t="s">
        <v>347</v>
      </c>
      <c r="J591" s="1" t="s">
        <v>362</v>
      </c>
    </row>
    <row r="592" spans="1:10" x14ac:dyDescent="0.25">
      <c r="A592" s="1" t="s">
        <v>2064</v>
      </c>
      <c r="B592" s="1" t="s">
        <v>642</v>
      </c>
      <c r="C592" s="19">
        <v>46182</v>
      </c>
      <c r="D592" s="1" t="s">
        <v>21</v>
      </c>
      <c r="E592" s="1" t="s">
        <v>81</v>
      </c>
      <c r="F592" s="1">
        <v>5686</v>
      </c>
      <c r="G592" s="1" t="s">
        <v>355</v>
      </c>
      <c r="H592" s="1" t="s">
        <v>346</v>
      </c>
      <c r="I592" s="1" t="s">
        <v>347</v>
      </c>
      <c r="J592" s="1" t="s">
        <v>356</v>
      </c>
    </row>
    <row r="593" spans="1:10" x14ac:dyDescent="0.25">
      <c r="A593" s="1" t="s">
        <v>2065</v>
      </c>
      <c r="B593" s="1" t="s">
        <v>642</v>
      </c>
      <c r="C593" s="19">
        <v>46182</v>
      </c>
      <c r="D593" s="1" t="s">
        <v>21</v>
      </c>
      <c r="E593" s="1" t="s">
        <v>81</v>
      </c>
      <c r="F593" s="1">
        <v>5686</v>
      </c>
      <c r="G593" s="1" t="s">
        <v>345</v>
      </c>
      <c r="H593" s="1" t="s">
        <v>346</v>
      </c>
      <c r="I593" s="1" t="s">
        <v>347</v>
      </c>
      <c r="J593" s="1" t="s">
        <v>348</v>
      </c>
    </row>
    <row r="594" spans="1:10" x14ac:dyDescent="0.25">
      <c r="A594" s="1" t="s">
        <v>2066</v>
      </c>
      <c r="B594" s="1" t="s">
        <v>642</v>
      </c>
      <c r="C594" s="19">
        <v>46182</v>
      </c>
      <c r="D594" s="1" t="s">
        <v>21</v>
      </c>
      <c r="E594" s="1" t="s">
        <v>81</v>
      </c>
      <c r="F594" s="1">
        <v>5686</v>
      </c>
      <c r="G594" s="1" t="s">
        <v>349</v>
      </c>
      <c r="H594" s="1" t="s">
        <v>350</v>
      </c>
      <c r="I594" s="1" t="s">
        <v>347</v>
      </c>
      <c r="J594" s="1" t="s">
        <v>351</v>
      </c>
    </row>
    <row r="595" spans="1:10" x14ac:dyDescent="0.25">
      <c r="A595" s="1" t="s">
        <v>2067</v>
      </c>
      <c r="B595" s="1" t="s">
        <v>642</v>
      </c>
      <c r="C595" s="19">
        <v>46182</v>
      </c>
      <c r="D595" s="1" t="s">
        <v>21</v>
      </c>
      <c r="E595" s="1" t="s">
        <v>81</v>
      </c>
      <c r="F595" s="1">
        <v>5686</v>
      </c>
      <c r="G595" s="1" t="s">
        <v>361</v>
      </c>
      <c r="H595" s="1" t="s">
        <v>353</v>
      </c>
      <c r="I595" s="1" t="s">
        <v>347</v>
      </c>
      <c r="J595" s="1" t="s">
        <v>362</v>
      </c>
    </row>
    <row r="596" spans="1:10" x14ac:dyDescent="0.25">
      <c r="A596" s="1" t="s">
        <v>2068</v>
      </c>
      <c r="B596" s="1" t="s">
        <v>643</v>
      </c>
      <c r="C596" s="19">
        <v>46182</v>
      </c>
      <c r="D596" s="1" t="s">
        <v>21</v>
      </c>
      <c r="E596" s="1" t="s">
        <v>81</v>
      </c>
      <c r="F596" s="1">
        <v>5687</v>
      </c>
      <c r="G596" s="1" t="s">
        <v>355</v>
      </c>
      <c r="H596" s="1" t="s">
        <v>346</v>
      </c>
      <c r="I596" s="1" t="s">
        <v>347</v>
      </c>
      <c r="J596" s="1" t="s">
        <v>356</v>
      </c>
    </row>
    <row r="597" spans="1:10" x14ac:dyDescent="0.25">
      <c r="A597" s="1" t="s">
        <v>2069</v>
      </c>
      <c r="B597" s="1" t="s">
        <v>643</v>
      </c>
      <c r="C597" s="19">
        <v>46182</v>
      </c>
      <c r="D597" s="1" t="s">
        <v>21</v>
      </c>
      <c r="E597" s="1" t="s">
        <v>81</v>
      </c>
      <c r="F597" s="1">
        <v>5687</v>
      </c>
      <c r="G597" s="1" t="s">
        <v>345</v>
      </c>
      <c r="H597" s="1" t="s">
        <v>346</v>
      </c>
      <c r="I597" s="1" t="s">
        <v>347</v>
      </c>
      <c r="J597" s="1" t="s">
        <v>348</v>
      </c>
    </row>
    <row r="598" spans="1:10" x14ac:dyDescent="0.25">
      <c r="A598" s="1" t="s">
        <v>2070</v>
      </c>
      <c r="B598" s="1" t="s">
        <v>643</v>
      </c>
      <c r="C598" s="19">
        <v>46182</v>
      </c>
      <c r="D598" s="1" t="s">
        <v>21</v>
      </c>
      <c r="E598" s="1" t="s">
        <v>81</v>
      </c>
      <c r="F598" s="1">
        <v>5687</v>
      </c>
      <c r="G598" s="1" t="s">
        <v>349</v>
      </c>
      <c r="H598" s="1" t="s">
        <v>350</v>
      </c>
      <c r="I598" s="1" t="s">
        <v>347</v>
      </c>
      <c r="J598" s="1" t="s">
        <v>351</v>
      </c>
    </row>
    <row r="599" spans="1:10" x14ac:dyDescent="0.25">
      <c r="A599" s="1" t="s">
        <v>2071</v>
      </c>
      <c r="B599" s="1" t="s">
        <v>643</v>
      </c>
      <c r="C599" s="19">
        <v>46182</v>
      </c>
      <c r="D599" s="1" t="s">
        <v>21</v>
      </c>
      <c r="E599" s="1" t="s">
        <v>81</v>
      </c>
      <c r="F599" s="1">
        <v>5687</v>
      </c>
      <c r="G599" s="1" t="s">
        <v>361</v>
      </c>
      <c r="H599" s="1" t="s">
        <v>353</v>
      </c>
      <c r="I599" s="1" t="s">
        <v>347</v>
      </c>
      <c r="J599" s="1" t="s">
        <v>362</v>
      </c>
    </row>
    <row r="600" spans="1:10" x14ac:dyDescent="0.25">
      <c r="A600" s="1" t="s">
        <v>2072</v>
      </c>
      <c r="B600" s="1" t="s">
        <v>644</v>
      </c>
      <c r="C600" s="19">
        <v>46182</v>
      </c>
      <c r="D600" s="1" t="s">
        <v>21</v>
      </c>
      <c r="E600" s="1" t="s">
        <v>81</v>
      </c>
      <c r="F600" s="1">
        <v>5688</v>
      </c>
      <c r="G600" s="1" t="s">
        <v>355</v>
      </c>
      <c r="H600" s="1" t="s">
        <v>346</v>
      </c>
      <c r="I600" s="1" t="s">
        <v>347</v>
      </c>
      <c r="J600" s="1" t="s">
        <v>356</v>
      </c>
    </row>
    <row r="601" spans="1:10" x14ac:dyDescent="0.25">
      <c r="A601" s="1" t="s">
        <v>2073</v>
      </c>
      <c r="B601" s="1" t="s">
        <v>644</v>
      </c>
      <c r="C601" s="19">
        <v>46182</v>
      </c>
      <c r="D601" s="1" t="s">
        <v>21</v>
      </c>
      <c r="E601" s="1" t="s">
        <v>81</v>
      </c>
      <c r="F601" s="1">
        <v>5688</v>
      </c>
      <c r="G601" s="1" t="s">
        <v>345</v>
      </c>
      <c r="H601" s="1" t="s">
        <v>346</v>
      </c>
      <c r="I601" s="1" t="s">
        <v>347</v>
      </c>
      <c r="J601" s="1" t="s">
        <v>348</v>
      </c>
    </row>
    <row r="602" spans="1:10" x14ac:dyDescent="0.25">
      <c r="A602" s="1" t="s">
        <v>2074</v>
      </c>
      <c r="B602" s="1" t="s">
        <v>644</v>
      </c>
      <c r="C602" s="19">
        <v>46182</v>
      </c>
      <c r="D602" s="1" t="s">
        <v>21</v>
      </c>
      <c r="E602" s="1" t="s">
        <v>81</v>
      </c>
      <c r="F602" s="1">
        <v>5688</v>
      </c>
      <c r="G602" s="1" t="s">
        <v>349</v>
      </c>
      <c r="H602" s="1" t="s">
        <v>350</v>
      </c>
      <c r="I602" s="1" t="s">
        <v>347</v>
      </c>
      <c r="J602" s="1" t="s">
        <v>351</v>
      </c>
    </row>
    <row r="603" spans="1:10" x14ac:dyDescent="0.25">
      <c r="A603" s="1" t="s">
        <v>2075</v>
      </c>
      <c r="B603" s="1" t="s">
        <v>644</v>
      </c>
      <c r="C603" s="19">
        <v>46182</v>
      </c>
      <c r="D603" s="1" t="s">
        <v>21</v>
      </c>
      <c r="E603" s="1" t="s">
        <v>81</v>
      </c>
      <c r="F603" s="1">
        <v>5688</v>
      </c>
      <c r="G603" s="1" t="s">
        <v>361</v>
      </c>
      <c r="H603" s="1" t="s">
        <v>353</v>
      </c>
      <c r="I603" s="1" t="s">
        <v>347</v>
      </c>
      <c r="J603" s="1" t="s">
        <v>362</v>
      </c>
    </row>
    <row r="604" spans="1:10" x14ac:dyDescent="0.25">
      <c r="A604" s="1" t="s">
        <v>2076</v>
      </c>
      <c r="B604" s="1" t="s">
        <v>645</v>
      </c>
      <c r="C604" s="19">
        <v>46182</v>
      </c>
      <c r="D604" s="1" t="s">
        <v>21</v>
      </c>
      <c r="E604" s="1" t="s">
        <v>81</v>
      </c>
      <c r="F604" s="1">
        <v>5689</v>
      </c>
      <c r="G604" s="1" t="s">
        <v>355</v>
      </c>
      <c r="H604" s="1" t="s">
        <v>346</v>
      </c>
      <c r="I604" s="1" t="s">
        <v>347</v>
      </c>
      <c r="J604" s="1" t="s">
        <v>356</v>
      </c>
    </row>
    <row r="605" spans="1:10" x14ac:dyDescent="0.25">
      <c r="A605" s="1" t="s">
        <v>2077</v>
      </c>
      <c r="B605" s="1" t="s">
        <v>645</v>
      </c>
      <c r="C605" s="19">
        <v>46182</v>
      </c>
      <c r="D605" s="1" t="s">
        <v>21</v>
      </c>
      <c r="E605" s="1" t="s">
        <v>81</v>
      </c>
      <c r="F605" s="1">
        <v>5689</v>
      </c>
      <c r="G605" s="1" t="s">
        <v>345</v>
      </c>
      <c r="H605" s="1" t="s">
        <v>346</v>
      </c>
      <c r="I605" s="1" t="s">
        <v>347</v>
      </c>
      <c r="J605" s="1" t="s">
        <v>348</v>
      </c>
    </row>
    <row r="606" spans="1:10" x14ac:dyDescent="0.25">
      <c r="A606" s="1" t="s">
        <v>2078</v>
      </c>
      <c r="B606" s="1" t="s">
        <v>645</v>
      </c>
      <c r="C606" s="19">
        <v>46182</v>
      </c>
      <c r="D606" s="1" t="s">
        <v>21</v>
      </c>
      <c r="E606" s="1" t="s">
        <v>81</v>
      </c>
      <c r="F606" s="1">
        <v>5689</v>
      </c>
      <c r="G606" s="1" t="s">
        <v>349</v>
      </c>
      <c r="H606" s="1" t="s">
        <v>350</v>
      </c>
      <c r="I606" s="1" t="s">
        <v>347</v>
      </c>
      <c r="J606" s="1" t="s">
        <v>351</v>
      </c>
    </row>
    <row r="607" spans="1:10" x14ac:dyDescent="0.25">
      <c r="A607" s="1" t="s">
        <v>2079</v>
      </c>
      <c r="B607" s="1" t="s">
        <v>645</v>
      </c>
      <c r="C607" s="19">
        <v>46182</v>
      </c>
      <c r="D607" s="1" t="s">
        <v>21</v>
      </c>
      <c r="E607" s="1" t="s">
        <v>81</v>
      </c>
      <c r="F607" s="1">
        <v>5689</v>
      </c>
      <c r="G607" s="1" t="s">
        <v>361</v>
      </c>
      <c r="H607" s="1" t="s">
        <v>353</v>
      </c>
      <c r="I607" s="1" t="s">
        <v>347</v>
      </c>
      <c r="J607" s="1" t="s">
        <v>362</v>
      </c>
    </row>
    <row r="608" spans="1:10" x14ac:dyDescent="0.25">
      <c r="A608" s="1" t="s">
        <v>2080</v>
      </c>
      <c r="B608" s="1" t="s">
        <v>646</v>
      </c>
      <c r="C608" s="19">
        <v>46182</v>
      </c>
      <c r="D608" s="1" t="s">
        <v>21</v>
      </c>
      <c r="E608" s="1" t="s">
        <v>81</v>
      </c>
      <c r="F608" s="1">
        <v>5690</v>
      </c>
      <c r="G608" s="1" t="s">
        <v>355</v>
      </c>
      <c r="H608" s="1" t="s">
        <v>346</v>
      </c>
      <c r="I608" s="1" t="s">
        <v>347</v>
      </c>
      <c r="J608" s="1" t="s">
        <v>356</v>
      </c>
    </row>
    <row r="609" spans="1:10" x14ac:dyDescent="0.25">
      <c r="A609" s="1" t="s">
        <v>2081</v>
      </c>
      <c r="B609" s="1" t="s">
        <v>646</v>
      </c>
      <c r="C609" s="19">
        <v>46182</v>
      </c>
      <c r="D609" s="1" t="s">
        <v>21</v>
      </c>
      <c r="E609" s="1" t="s">
        <v>81</v>
      </c>
      <c r="F609" s="1">
        <v>5690</v>
      </c>
      <c r="G609" s="1" t="s">
        <v>345</v>
      </c>
      <c r="H609" s="1" t="s">
        <v>346</v>
      </c>
      <c r="I609" s="1" t="s">
        <v>347</v>
      </c>
      <c r="J609" s="1" t="s">
        <v>348</v>
      </c>
    </row>
    <row r="610" spans="1:10" x14ac:dyDescent="0.25">
      <c r="A610" s="1" t="s">
        <v>2082</v>
      </c>
      <c r="B610" s="1" t="s">
        <v>646</v>
      </c>
      <c r="C610" s="19">
        <v>46182</v>
      </c>
      <c r="D610" s="1" t="s">
        <v>21</v>
      </c>
      <c r="E610" s="1" t="s">
        <v>81</v>
      </c>
      <c r="F610" s="1">
        <v>5690</v>
      </c>
      <c r="G610" s="1" t="s">
        <v>349</v>
      </c>
      <c r="H610" s="1" t="s">
        <v>350</v>
      </c>
      <c r="I610" s="1" t="s">
        <v>347</v>
      </c>
      <c r="J610" s="1" t="s">
        <v>351</v>
      </c>
    </row>
    <row r="611" spans="1:10" x14ac:dyDescent="0.25">
      <c r="A611" s="1" t="s">
        <v>2083</v>
      </c>
      <c r="B611" s="1" t="s">
        <v>646</v>
      </c>
      <c r="C611" s="19">
        <v>46182</v>
      </c>
      <c r="D611" s="1" t="s">
        <v>21</v>
      </c>
      <c r="E611" s="1" t="s">
        <v>81</v>
      </c>
      <c r="F611" s="1">
        <v>5690</v>
      </c>
      <c r="G611" s="1" t="s">
        <v>361</v>
      </c>
      <c r="H611" s="1" t="s">
        <v>353</v>
      </c>
      <c r="I611" s="1" t="s">
        <v>347</v>
      </c>
      <c r="J611" s="1" t="s">
        <v>362</v>
      </c>
    </row>
    <row r="612" spans="1:10" x14ac:dyDescent="0.25">
      <c r="A612" s="1" t="s">
        <v>2084</v>
      </c>
      <c r="B612" s="1" t="s">
        <v>647</v>
      </c>
      <c r="C612" s="19">
        <v>46182</v>
      </c>
      <c r="D612" s="1" t="s">
        <v>21</v>
      </c>
      <c r="E612" s="1" t="s">
        <v>81</v>
      </c>
      <c r="F612" s="1">
        <v>5691</v>
      </c>
      <c r="G612" s="1" t="s">
        <v>355</v>
      </c>
      <c r="H612" s="1" t="s">
        <v>346</v>
      </c>
      <c r="I612" s="1" t="s">
        <v>347</v>
      </c>
      <c r="J612" s="1" t="s">
        <v>356</v>
      </c>
    </row>
    <row r="613" spans="1:10" x14ac:dyDescent="0.25">
      <c r="A613" s="1" t="s">
        <v>2085</v>
      </c>
      <c r="B613" s="1" t="s">
        <v>647</v>
      </c>
      <c r="C613" s="19">
        <v>46182</v>
      </c>
      <c r="D613" s="1" t="s">
        <v>21</v>
      </c>
      <c r="E613" s="1" t="s">
        <v>81</v>
      </c>
      <c r="F613" s="1">
        <v>5691</v>
      </c>
      <c r="G613" s="1" t="s">
        <v>345</v>
      </c>
      <c r="H613" s="1" t="s">
        <v>346</v>
      </c>
      <c r="I613" s="1" t="s">
        <v>347</v>
      </c>
      <c r="J613" s="1" t="s">
        <v>348</v>
      </c>
    </row>
    <row r="614" spans="1:10" x14ac:dyDescent="0.25">
      <c r="A614" s="1" t="s">
        <v>2086</v>
      </c>
      <c r="B614" s="1" t="s">
        <v>647</v>
      </c>
      <c r="C614" s="19">
        <v>46182</v>
      </c>
      <c r="D614" s="1" t="s">
        <v>21</v>
      </c>
      <c r="E614" s="1" t="s">
        <v>81</v>
      </c>
      <c r="F614" s="1">
        <v>5691</v>
      </c>
      <c r="G614" s="1" t="s">
        <v>349</v>
      </c>
      <c r="H614" s="1" t="s">
        <v>350</v>
      </c>
      <c r="I614" s="1" t="s">
        <v>347</v>
      </c>
      <c r="J614" s="1" t="s">
        <v>351</v>
      </c>
    </row>
    <row r="615" spans="1:10" x14ac:dyDescent="0.25">
      <c r="A615" s="1" t="s">
        <v>2087</v>
      </c>
      <c r="B615" s="1" t="s">
        <v>647</v>
      </c>
      <c r="C615" s="19">
        <v>46182</v>
      </c>
      <c r="D615" s="1" t="s">
        <v>21</v>
      </c>
      <c r="E615" s="1" t="s">
        <v>81</v>
      </c>
      <c r="F615" s="1">
        <v>5691</v>
      </c>
      <c r="G615" s="1" t="s">
        <v>361</v>
      </c>
      <c r="H615" s="1" t="s">
        <v>353</v>
      </c>
      <c r="I615" s="1" t="s">
        <v>347</v>
      </c>
      <c r="J615" s="1" t="s">
        <v>362</v>
      </c>
    </row>
    <row r="616" spans="1:10" x14ac:dyDescent="0.25">
      <c r="A616" s="1" t="s">
        <v>2088</v>
      </c>
      <c r="B616" s="1" t="s">
        <v>648</v>
      </c>
      <c r="C616" s="19">
        <v>46182</v>
      </c>
      <c r="D616" s="1" t="s">
        <v>21</v>
      </c>
      <c r="E616" s="1" t="s">
        <v>81</v>
      </c>
      <c r="F616" s="1">
        <v>5692</v>
      </c>
      <c r="G616" s="1" t="s">
        <v>355</v>
      </c>
      <c r="H616" s="1" t="s">
        <v>346</v>
      </c>
      <c r="I616" s="1" t="s">
        <v>347</v>
      </c>
      <c r="J616" s="1" t="s">
        <v>356</v>
      </c>
    </row>
    <row r="617" spans="1:10" x14ac:dyDescent="0.25">
      <c r="A617" s="1" t="s">
        <v>2089</v>
      </c>
      <c r="B617" s="1" t="s">
        <v>648</v>
      </c>
      <c r="C617" s="19">
        <v>46182</v>
      </c>
      <c r="D617" s="1" t="s">
        <v>21</v>
      </c>
      <c r="E617" s="1" t="s">
        <v>81</v>
      </c>
      <c r="F617" s="1">
        <v>5692</v>
      </c>
      <c r="G617" s="1" t="s">
        <v>345</v>
      </c>
      <c r="H617" s="1" t="s">
        <v>346</v>
      </c>
      <c r="I617" s="1" t="s">
        <v>347</v>
      </c>
      <c r="J617" s="1" t="s">
        <v>348</v>
      </c>
    </row>
    <row r="618" spans="1:10" x14ac:dyDescent="0.25">
      <c r="A618" s="1" t="s">
        <v>2090</v>
      </c>
      <c r="B618" s="1" t="s">
        <v>648</v>
      </c>
      <c r="C618" s="19">
        <v>46182</v>
      </c>
      <c r="D618" s="1" t="s">
        <v>21</v>
      </c>
      <c r="E618" s="1" t="s">
        <v>81</v>
      </c>
      <c r="F618" s="1">
        <v>5692</v>
      </c>
      <c r="G618" s="1" t="s">
        <v>349</v>
      </c>
      <c r="H618" s="1" t="s">
        <v>350</v>
      </c>
      <c r="I618" s="1" t="s">
        <v>347</v>
      </c>
      <c r="J618" s="1" t="s">
        <v>351</v>
      </c>
    </row>
    <row r="619" spans="1:10" x14ac:dyDescent="0.25">
      <c r="A619" s="1" t="s">
        <v>2091</v>
      </c>
      <c r="B619" s="1" t="s">
        <v>648</v>
      </c>
      <c r="C619" s="19">
        <v>46182</v>
      </c>
      <c r="D619" s="1" t="s">
        <v>21</v>
      </c>
      <c r="E619" s="1" t="s">
        <v>81</v>
      </c>
      <c r="F619" s="1">
        <v>5692</v>
      </c>
      <c r="G619" s="1" t="s">
        <v>361</v>
      </c>
      <c r="H619" s="1" t="s">
        <v>353</v>
      </c>
      <c r="I619" s="1" t="s">
        <v>347</v>
      </c>
      <c r="J619" s="1" t="s">
        <v>362</v>
      </c>
    </row>
    <row r="620" spans="1:10" x14ac:dyDescent="0.25">
      <c r="A620" s="1" t="s">
        <v>2092</v>
      </c>
      <c r="B620" s="1" t="s">
        <v>649</v>
      </c>
      <c r="C620" s="19">
        <v>46182</v>
      </c>
      <c r="D620" s="1" t="s">
        <v>21</v>
      </c>
      <c r="E620" s="1" t="s">
        <v>81</v>
      </c>
      <c r="F620" s="1">
        <v>5693</v>
      </c>
      <c r="G620" s="1" t="s">
        <v>355</v>
      </c>
      <c r="H620" s="1" t="s">
        <v>346</v>
      </c>
      <c r="I620" s="1" t="s">
        <v>347</v>
      </c>
      <c r="J620" s="1" t="s">
        <v>356</v>
      </c>
    </row>
    <row r="621" spans="1:10" x14ac:dyDescent="0.25">
      <c r="A621" s="1" t="s">
        <v>2093</v>
      </c>
      <c r="B621" s="1" t="s">
        <v>649</v>
      </c>
      <c r="C621" s="19">
        <v>46182</v>
      </c>
      <c r="D621" s="1" t="s">
        <v>21</v>
      </c>
      <c r="E621" s="1" t="s">
        <v>81</v>
      </c>
      <c r="F621" s="1">
        <v>5693</v>
      </c>
      <c r="G621" s="1" t="s">
        <v>345</v>
      </c>
      <c r="H621" s="1" t="s">
        <v>346</v>
      </c>
      <c r="I621" s="1" t="s">
        <v>347</v>
      </c>
      <c r="J621" s="1" t="s">
        <v>348</v>
      </c>
    </row>
    <row r="622" spans="1:10" x14ac:dyDescent="0.25">
      <c r="A622" s="1" t="s">
        <v>2094</v>
      </c>
      <c r="B622" s="1" t="s">
        <v>649</v>
      </c>
      <c r="C622" s="19">
        <v>46182</v>
      </c>
      <c r="D622" s="1" t="s">
        <v>21</v>
      </c>
      <c r="E622" s="1" t="s">
        <v>81</v>
      </c>
      <c r="F622" s="1">
        <v>5693</v>
      </c>
      <c r="G622" s="1" t="s">
        <v>349</v>
      </c>
      <c r="H622" s="1" t="s">
        <v>350</v>
      </c>
      <c r="I622" s="1" t="s">
        <v>347</v>
      </c>
      <c r="J622" s="1" t="s">
        <v>351</v>
      </c>
    </row>
    <row r="623" spans="1:10" x14ac:dyDescent="0.25">
      <c r="A623" s="1" t="s">
        <v>2095</v>
      </c>
      <c r="B623" s="1" t="s">
        <v>649</v>
      </c>
      <c r="C623" s="19">
        <v>46182</v>
      </c>
      <c r="D623" s="1" t="s">
        <v>21</v>
      </c>
      <c r="E623" s="1" t="s">
        <v>81</v>
      </c>
      <c r="F623" s="1">
        <v>5693</v>
      </c>
      <c r="G623" s="1" t="s">
        <v>361</v>
      </c>
      <c r="H623" s="1" t="s">
        <v>353</v>
      </c>
      <c r="I623" s="1" t="s">
        <v>347</v>
      </c>
      <c r="J623" s="1" t="s">
        <v>362</v>
      </c>
    </row>
    <row r="624" spans="1:10" x14ac:dyDescent="0.25">
      <c r="A624" s="1" t="s">
        <v>2096</v>
      </c>
      <c r="B624" s="1" t="s">
        <v>650</v>
      </c>
      <c r="C624" s="19">
        <v>46182</v>
      </c>
      <c r="D624" s="1" t="s">
        <v>21</v>
      </c>
      <c r="E624" s="1" t="s">
        <v>81</v>
      </c>
      <c r="F624" s="1">
        <v>5694</v>
      </c>
      <c r="G624" s="1" t="s">
        <v>355</v>
      </c>
      <c r="H624" s="1" t="s">
        <v>346</v>
      </c>
      <c r="I624" s="1" t="s">
        <v>347</v>
      </c>
      <c r="J624" s="1" t="s">
        <v>356</v>
      </c>
    </row>
    <row r="625" spans="1:10" x14ac:dyDescent="0.25">
      <c r="A625" s="1" t="s">
        <v>2097</v>
      </c>
      <c r="B625" s="1" t="s">
        <v>650</v>
      </c>
      <c r="C625" s="19">
        <v>46182</v>
      </c>
      <c r="D625" s="1" t="s">
        <v>21</v>
      </c>
      <c r="E625" s="1" t="s">
        <v>81</v>
      </c>
      <c r="F625" s="1">
        <v>5694</v>
      </c>
      <c r="G625" s="1" t="s">
        <v>345</v>
      </c>
      <c r="H625" s="1" t="s">
        <v>346</v>
      </c>
      <c r="I625" s="1" t="s">
        <v>347</v>
      </c>
      <c r="J625" s="1" t="s">
        <v>348</v>
      </c>
    </row>
    <row r="626" spans="1:10" x14ac:dyDescent="0.25">
      <c r="A626" s="1" t="s">
        <v>2098</v>
      </c>
      <c r="B626" s="1" t="s">
        <v>650</v>
      </c>
      <c r="C626" s="19">
        <v>46182</v>
      </c>
      <c r="D626" s="1" t="s">
        <v>21</v>
      </c>
      <c r="E626" s="1" t="s">
        <v>81</v>
      </c>
      <c r="F626" s="1">
        <v>5694</v>
      </c>
      <c r="G626" s="1" t="s">
        <v>349</v>
      </c>
      <c r="H626" s="1" t="s">
        <v>350</v>
      </c>
      <c r="I626" s="1" t="s">
        <v>347</v>
      </c>
      <c r="J626" s="1" t="s">
        <v>351</v>
      </c>
    </row>
    <row r="627" spans="1:10" x14ac:dyDescent="0.25">
      <c r="A627" s="1" t="s">
        <v>2099</v>
      </c>
      <c r="B627" s="1" t="s">
        <v>650</v>
      </c>
      <c r="C627" s="19">
        <v>46182</v>
      </c>
      <c r="D627" s="1" t="s">
        <v>21</v>
      </c>
      <c r="E627" s="1" t="s">
        <v>81</v>
      </c>
      <c r="F627" s="1">
        <v>5694</v>
      </c>
      <c r="G627" s="1" t="s">
        <v>361</v>
      </c>
      <c r="H627" s="1" t="s">
        <v>353</v>
      </c>
      <c r="I627" s="1" t="s">
        <v>347</v>
      </c>
      <c r="J627" s="1" t="s">
        <v>362</v>
      </c>
    </row>
    <row r="628" spans="1:10" x14ac:dyDescent="0.25">
      <c r="A628" s="1" t="s">
        <v>2100</v>
      </c>
      <c r="B628" s="1" t="s">
        <v>651</v>
      </c>
      <c r="C628" s="19">
        <v>46182</v>
      </c>
      <c r="D628" s="1" t="s">
        <v>21</v>
      </c>
      <c r="E628" s="1" t="s">
        <v>81</v>
      </c>
      <c r="F628" s="1">
        <v>5695</v>
      </c>
      <c r="G628" s="1" t="s">
        <v>355</v>
      </c>
      <c r="H628" s="1" t="s">
        <v>346</v>
      </c>
      <c r="I628" s="1" t="s">
        <v>347</v>
      </c>
      <c r="J628" s="1" t="s">
        <v>356</v>
      </c>
    </row>
    <row r="629" spans="1:10" x14ac:dyDescent="0.25">
      <c r="A629" s="1" t="s">
        <v>2101</v>
      </c>
      <c r="B629" s="1" t="s">
        <v>651</v>
      </c>
      <c r="C629" s="19">
        <v>46182</v>
      </c>
      <c r="D629" s="1" t="s">
        <v>21</v>
      </c>
      <c r="E629" s="1" t="s">
        <v>81</v>
      </c>
      <c r="F629" s="1">
        <v>5695</v>
      </c>
      <c r="G629" s="1" t="s">
        <v>345</v>
      </c>
      <c r="H629" s="1" t="s">
        <v>346</v>
      </c>
      <c r="I629" s="1" t="s">
        <v>347</v>
      </c>
      <c r="J629" s="1" t="s">
        <v>348</v>
      </c>
    </row>
    <row r="630" spans="1:10" x14ac:dyDescent="0.25">
      <c r="A630" s="1" t="s">
        <v>2102</v>
      </c>
      <c r="B630" s="1" t="s">
        <v>651</v>
      </c>
      <c r="C630" s="19">
        <v>46182</v>
      </c>
      <c r="D630" s="1" t="s">
        <v>21</v>
      </c>
      <c r="E630" s="1" t="s">
        <v>81</v>
      </c>
      <c r="F630" s="1">
        <v>5695</v>
      </c>
      <c r="G630" s="1" t="s">
        <v>349</v>
      </c>
      <c r="H630" s="1" t="s">
        <v>350</v>
      </c>
      <c r="I630" s="1" t="s">
        <v>347</v>
      </c>
      <c r="J630" s="1" t="s">
        <v>351</v>
      </c>
    </row>
    <row r="631" spans="1:10" x14ac:dyDescent="0.25">
      <c r="A631" s="1" t="s">
        <v>2103</v>
      </c>
      <c r="B631" s="1" t="s">
        <v>651</v>
      </c>
      <c r="C631" s="19">
        <v>46182</v>
      </c>
      <c r="D631" s="1" t="s">
        <v>21</v>
      </c>
      <c r="E631" s="1" t="s">
        <v>81</v>
      </c>
      <c r="F631" s="1">
        <v>5695</v>
      </c>
      <c r="G631" s="1" t="s">
        <v>361</v>
      </c>
      <c r="H631" s="1" t="s">
        <v>353</v>
      </c>
      <c r="I631" s="1" t="s">
        <v>347</v>
      </c>
      <c r="J631" s="1" t="s">
        <v>362</v>
      </c>
    </row>
    <row r="632" spans="1:10" x14ac:dyDescent="0.25">
      <c r="A632" s="1" t="s">
        <v>2104</v>
      </c>
      <c r="B632" s="1" t="s">
        <v>652</v>
      </c>
      <c r="C632" s="19">
        <v>46182</v>
      </c>
      <c r="D632" s="1" t="s">
        <v>21</v>
      </c>
      <c r="E632" s="1" t="s">
        <v>81</v>
      </c>
      <c r="F632" s="1">
        <v>5696</v>
      </c>
      <c r="G632" s="1" t="s">
        <v>355</v>
      </c>
      <c r="H632" s="1" t="s">
        <v>346</v>
      </c>
      <c r="I632" s="1" t="s">
        <v>347</v>
      </c>
      <c r="J632" s="1" t="s">
        <v>356</v>
      </c>
    </row>
    <row r="633" spans="1:10" x14ac:dyDescent="0.25">
      <c r="A633" s="1" t="s">
        <v>2105</v>
      </c>
      <c r="B633" s="1" t="s">
        <v>652</v>
      </c>
      <c r="C633" s="19">
        <v>46182</v>
      </c>
      <c r="D633" s="1" t="s">
        <v>21</v>
      </c>
      <c r="E633" s="1" t="s">
        <v>81</v>
      </c>
      <c r="F633" s="1">
        <v>5696</v>
      </c>
      <c r="G633" s="1" t="s">
        <v>345</v>
      </c>
      <c r="H633" s="1" t="s">
        <v>346</v>
      </c>
      <c r="I633" s="1" t="s">
        <v>347</v>
      </c>
      <c r="J633" s="1" t="s">
        <v>348</v>
      </c>
    </row>
    <row r="634" spans="1:10" x14ac:dyDescent="0.25">
      <c r="A634" s="1" t="s">
        <v>2106</v>
      </c>
      <c r="B634" s="1" t="s">
        <v>652</v>
      </c>
      <c r="C634" s="19">
        <v>46182</v>
      </c>
      <c r="D634" s="1" t="s">
        <v>21</v>
      </c>
      <c r="E634" s="1" t="s">
        <v>81</v>
      </c>
      <c r="F634" s="1">
        <v>5696</v>
      </c>
      <c r="G634" s="1" t="s">
        <v>349</v>
      </c>
      <c r="H634" s="1" t="s">
        <v>350</v>
      </c>
      <c r="I634" s="1" t="s">
        <v>347</v>
      </c>
      <c r="J634" s="1" t="s">
        <v>351</v>
      </c>
    </row>
    <row r="635" spans="1:10" x14ac:dyDescent="0.25">
      <c r="A635" s="1" t="s">
        <v>2107</v>
      </c>
      <c r="B635" s="1" t="s">
        <v>652</v>
      </c>
      <c r="C635" s="19">
        <v>46182</v>
      </c>
      <c r="D635" s="1" t="s">
        <v>21</v>
      </c>
      <c r="E635" s="1" t="s">
        <v>81</v>
      </c>
      <c r="F635" s="1">
        <v>5696</v>
      </c>
      <c r="G635" s="1" t="s">
        <v>361</v>
      </c>
      <c r="H635" s="1" t="s">
        <v>353</v>
      </c>
      <c r="I635" s="1" t="s">
        <v>347</v>
      </c>
      <c r="J635" s="1" t="s">
        <v>362</v>
      </c>
    </row>
    <row r="636" spans="1:10" x14ac:dyDescent="0.25">
      <c r="A636" s="1" t="s">
        <v>2108</v>
      </c>
      <c r="B636" s="1" t="s">
        <v>653</v>
      </c>
      <c r="C636" s="19">
        <v>46182</v>
      </c>
      <c r="D636" s="1" t="s">
        <v>21</v>
      </c>
      <c r="E636" s="1" t="s">
        <v>81</v>
      </c>
      <c r="F636" s="1">
        <v>5697</v>
      </c>
      <c r="G636" s="1" t="s">
        <v>355</v>
      </c>
      <c r="H636" s="1" t="s">
        <v>346</v>
      </c>
      <c r="I636" s="1" t="s">
        <v>347</v>
      </c>
      <c r="J636" s="1" t="s">
        <v>356</v>
      </c>
    </row>
    <row r="637" spans="1:10" x14ac:dyDescent="0.25">
      <c r="A637" s="1" t="s">
        <v>2109</v>
      </c>
      <c r="B637" s="1" t="s">
        <v>653</v>
      </c>
      <c r="C637" s="19">
        <v>46182</v>
      </c>
      <c r="D637" s="1" t="s">
        <v>21</v>
      </c>
      <c r="E637" s="1" t="s">
        <v>81</v>
      </c>
      <c r="F637" s="1">
        <v>5697</v>
      </c>
      <c r="G637" s="1" t="s">
        <v>345</v>
      </c>
      <c r="H637" s="1" t="s">
        <v>346</v>
      </c>
      <c r="I637" s="1" t="s">
        <v>347</v>
      </c>
      <c r="J637" s="1" t="s">
        <v>348</v>
      </c>
    </row>
    <row r="638" spans="1:10" x14ac:dyDescent="0.25">
      <c r="A638" s="1" t="s">
        <v>2110</v>
      </c>
      <c r="B638" s="1" t="s">
        <v>653</v>
      </c>
      <c r="C638" s="19">
        <v>46182</v>
      </c>
      <c r="D638" s="1" t="s">
        <v>21</v>
      </c>
      <c r="E638" s="1" t="s">
        <v>81</v>
      </c>
      <c r="F638" s="1">
        <v>5697</v>
      </c>
      <c r="G638" s="1" t="s">
        <v>349</v>
      </c>
      <c r="H638" s="1" t="s">
        <v>350</v>
      </c>
      <c r="I638" s="1" t="s">
        <v>347</v>
      </c>
      <c r="J638" s="1" t="s">
        <v>351</v>
      </c>
    </row>
    <row r="639" spans="1:10" x14ac:dyDescent="0.25">
      <c r="A639" s="1" t="s">
        <v>2111</v>
      </c>
      <c r="B639" s="1" t="s">
        <v>653</v>
      </c>
      <c r="C639" s="19">
        <v>46182</v>
      </c>
      <c r="D639" s="1" t="s">
        <v>21</v>
      </c>
      <c r="E639" s="1" t="s">
        <v>81</v>
      </c>
      <c r="F639" s="1">
        <v>5697</v>
      </c>
      <c r="G639" s="1" t="s">
        <v>361</v>
      </c>
      <c r="H639" s="1" t="s">
        <v>353</v>
      </c>
      <c r="I639" s="1" t="s">
        <v>347</v>
      </c>
      <c r="J639" s="1" t="s">
        <v>362</v>
      </c>
    </row>
    <row r="640" spans="1:10" x14ac:dyDescent="0.25">
      <c r="A640" s="1" t="s">
        <v>2112</v>
      </c>
      <c r="B640" s="1" t="s">
        <v>654</v>
      </c>
      <c r="C640" s="19">
        <v>46182</v>
      </c>
      <c r="D640" s="1" t="s">
        <v>21</v>
      </c>
      <c r="E640" s="1" t="s">
        <v>81</v>
      </c>
      <c r="F640" s="1">
        <v>5698</v>
      </c>
      <c r="G640" s="1" t="s">
        <v>355</v>
      </c>
      <c r="H640" s="1" t="s">
        <v>346</v>
      </c>
      <c r="I640" s="1" t="s">
        <v>347</v>
      </c>
      <c r="J640" s="1" t="s">
        <v>356</v>
      </c>
    </row>
    <row r="641" spans="1:10" x14ac:dyDescent="0.25">
      <c r="A641" s="1" t="s">
        <v>2113</v>
      </c>
      <c r="B641" s="1" t="s">
        <v>654</v>
      </c>
      <c r="C641" s="19">
        <v>46182</v>
      </c>
      <c r="D641" s="1" t="s">
        <v>21</v>
      </c>
      <c r="E641" s="1" t="s">
        <v>81</v>
      </c>
      <c r="F641" s="1">
        <v>5698</v>
      </c>
      <c r="G641" s="1" t="s">
        <v>345</v>
      </c>
      <c r="H641" s="1" t="s">
        <v>346</v>
      </c>
      <c r="I641" s="1" t="s">
        <v>347</v>
      </c>
      <c r="J641" s="1" t="s">
        <v>348</v>
      </c>
    </row>
    <row r="642" spans="1:10" x14ac:dyDescent="0.25">
      <c r="A642" s="1" t="s">
        <v>2114</v>
      </c>
      <c r="B642" s="1" t="s">
        <v>654</v>
      </c>
      <c r="C642" s="19">
        <v>46182</v>
      </c>
      <c r="D642" s="1" t="s">
        <v>21</v>
      </c>
      <c r="E642" s="1" t="s">
        <v>81</v>
      </c>
      <c r="F642" s="1">
        <v>5698</v>
      </c>
      <c r="G642" s="1" t="s">
        <v>349</v>
      </c>
      <c r="H642" s="1" t="s">
        <v>350</v>
      </c>
      <c r="I642" s="1" t="s">
        <v>347</v>
      </c>
      <c r="J642" s="1" t="s">
        <v>351</v>
      </c>
    </row>
    <row r="643" spans="1:10" x14ac:dyDescent="0.25">
      <c r="A643" s="1" t="s">
        <v>2115</v>
      </c>
      <c r="B643" s="1" t="s">
        <v>654</v>
      </c>
      <c r="C643" s="19">
        <v>46182</v>
      </c>
      <c r="D643" s="1" t="s">
        <v>21</v>
      </c>
      <c r="E643" s="1" t="s">
        <v>81</v>
      </c>
      <c r="F643" s="1">
        <v>5698</v>
      </c>
      <c r="G643" s="1" t="s">
        <v>361</v>
      </c>
      <c r="H643" s="1" t="s">
        <v>353</v>
      </c>
      <c r="I643" s="1" t="s">
        <v>347</v>
      </c>
      <c r="J643" s="1" t="s">
        <v>362</v>
      </c>
    </row>
    <row r="644" spans="1:10" x14ac:dyDescent="0.25">
      <c r="A644" s="1" t="s">
        <v>2116</v>
      </c>
      <c r="B644" s="1" t="s">
        <v>655</v>
      </c>
      <c r="C644" s="19">
        <v>46182</v>
      </c>
      <c r="D644" s="1" t="s">
        <v>21</v>
      </c>
      <c r="E644" s="1" t="s">
        <v>81</v>
      </c>
      <c r="F644" s="1">
        <v>5699</v>
      </c>
      <c r="G644" s="1" t="s">
        <v>355</v>
      </c>
      <c r="H644" s="1" t="s">
        <v>346</v>
      </c>
      <c r="I644" s="1" t="s">
        <v>347</v>
      </c>
      <c r="J644" s="1" t="s">
        <v>356</v>
      </c>
    </row>
    <row r="645" spans="1:10" x14ac:dyDescent="0.25">
      <c r="A645" s="1" t="s">
        <v>2117</v>
      </c>
      <c r="B645" s="1" t="s">
        <v>655</v>
      </c>
      <c r="C645" s="19">
        <v>46182</v>
      </c>
      <c r="D645" s="1" t="s">
        <v>21</v>
      </c>
      <c r="E645" s="1" t="s">
        <v>81</v>
      </c>
      <c r="F645" s="1">
        <v>5699</v>
      </c>
      <c r="G645" s="1" t="s">
        <v>345</v>
      </c>
      <c r="H645" s="1" t="s">
        <v>346</v>
      </c>
      <c r="I645" s="1" t="s">
        <v>347</v>
      </c>
      <c r="J645" s="1" t="s">
        <v>348</v>
      </c>
    </row>
    <row r="646" spans="1:10" x14ac:dyDescent="0.25">
      <c r="A646" s="1" t="s">
        <v>2118</v>
      </c>
      <c r="B646" s="1" t="s">
        <v>655</v>
      </c>
      <c r="C646" s="19">
        <v>46182</v>
      </c>
      <c r="D646" s="1" t="s">
        <v>21</v>
      </c>
      <c r="E646" s="1" t="s">
        <v>81</v>
      </c>
      <c r="F646" s="1">
        <v>5699</v>
      </c>
      <c r="G646" s="1" t="s">
        <v>349</v>
      </c>
      <c r="H646" s="1" t="s">
        <v>350</v>
      </c>
      <c r="I646" s="1" t="s">
        <v>347</v>
      </c>
      <c r="J646" s="1" t="s">
        <v>351</v>
      </c>
    </row>
    <row r="647" spans="1:10" x14ac:dyDescent="0.25">
      <c r="A647" s="1" t="s">
        <v>2119</v>
      </c>
      <c r="B647" s="1" t="s">
        <v>655</v>
      </c>
      <c r="C647" s="19">
        <v>46182</v>
      </c>
      <c r="D647" s="1" t="s">
        <v>21</v>
      </c>
      <c r="E647" s="1" t="s">
        <v>81</v>
      </c>
      <c r="F647" s="1">
        <v>5699</v>
      </c>
      <c r="G647" s="1" t="s">
        <v>361</v>
      </c>
      <c r="H647" s="1" t="s">
        <v>353</v>
      </c>
      <c r="I647" s="1" t="s">
        <v>347</v>
      </c>
      <c r="J647" s="1" t="s">
        <v>362</v>
      </c>
    </row>
    <row r="648" spans="1:10" x14ac:dyDescent="0.25">
      <c r="A648" s="1" t="s">
        <v>2120</v>
      </c>
      <c r="B648" s="1" t="s">
        <v>656</v>
      </c>
      <c r="C648" s="19">
        <v>46182</v>
      </c>
      <c r="D648" s="1" t="s">
        <v>21</v>
      </c>
      <c r="E648" s="1" t="s">
        <v>81</v>
      </c>
      <c r="F648" s="1">
        <v>5700</v>
      </c>
      <c r="G648" s="1" t="s">
        <v>355</v>
      </c>
      <c r="H648" s="1" t="s">
        <v>346</v>
      </c>
      <c r="I648" s="1" t="s">
        <v>347</v>
      </c>
      <c r="J648" s="1" t="s">
        <v>356</v>
      </c>
    </row>
    <row r="649" spans="1:10" x14ac:dyDescent="0.25">
      <c r="A649" s="1" t="s">
        <v>2121</v>
      </c>
      <c r="B649" s="1" t="s">
        <v>656</v>
      </c>
      <c r="C649" s="19">
        <v>46182</v>
      </c>
      <c r="D649" s="1" t="s">
        <v>21</v>
      </c>
      <c r="E649" s="1" t="s">
        <v>81</v>
      </c>
      <c r="F649" s="1">
        <v>5700</v>
      </c>
      <c r="G649" s="1" t="s">
        <v>345</v>
      </c>
      <c r="H649" s="1" t="s">
        <v>346</v>
      </c>
      <c r="I649" s="1" t="s">
        <v>347</v>
      </c>
      <c r="J649" s="1" t="s">
        <v>348</v>
      </c>
    </row>
    <row r="650" spans="1:10" x14ac:dyDescent="0.25">
      <c r="A650" s="1" t="s">
        <v>2122</v>
      </c>
      <c r="B650" s="1" t="s">
        <v>656</v>
      </c>
      <c r="C650" s="19">
        <v>46182</v>
      </c>
      <c r="D650" s="1" t="s">
        <v>21</v>
      </c>
      <c r="E650" s="1" t="s">
        <v>81</v>
      </c>
      <c r="F650" s="1">
        <v>5700</v>
      </c>
      <c r="G650" s="1" t="s">
        <v>349</v>
      </c>
      <c r="H650" s="1" t="s">
        <v>350</v>
      </c>
      <c r="I650" s="1" t="s">
        <v>347</v>
      </c>
      <c r="J650" s="1" t="s">
        <v>351</v>
      </c>
    </row>
    <row r="651" spans="1:10" x14ac:dyDescent="0.25">
      <c r="A651" s="1" t="s">
        <v>2123</v>
      </c>
      <c r="B651" s="1" t="s">
        <v>656</v>
      </c>
      <c r="C651" s="19">
        <v>46182</v>
      </c>
      <c r="D651" s="1" t="s">
        <v>21</v>
      </c>
      <c r="E651" s="1" t="s">
        <v>81</v>
      </c>
      <c r="F651" s="1">
        <v>5700</v>
      </c>
      <c r="G651" s="1" t="s">
        <v>361</v>
      </c>
      <c r="H651" s="1" t="s">
        <v>353</v>
      </c>
      <c r="I651" s="1" t="s">
        <v>347</v>
      </c>
      <c r="J651" s="1" t="s">
        <v>362</v>
      </c>
    </row>
    <row r="652" spans="1:10" x14ac:dyDescent="0.25">
      <c r="A652" s="1" t="s">
        <v>2124</v>
      </c>
      <c r="B652" s="1" t="s">
        <v>657</v>
      </c>
      <c r="C652" s="19">
        <v>46182</v>
      </c>
      <c r="D652" s="1" t="s">
        <v>21</v>
      </c>
      <c r="E652" s="1" t="s">
        <v>81</v>
      </c>
      <c r="F652" s="1">
        <v>5701</v>
      </c>
      <c r="G652" s="1" t="s">
        <v>355</v>
      </c>
      <c r="H652" s="1" t="s">
        <v>346</v>
      </c>
      <c r="I652" s="1" t="s">
        <v>347</v>
      </c>
      <c r="J652" s="1" t="s">
        <v>356</v>
      </c>
    </row>
    <row r="653" spans="1:10" x14ac:dyDescent="0.25">
      <c r="A653" s="1" t="s">
        <v>2125</v>
      </c>
      <c r="B653" s="1" t="s">
        <v>657</v>
      </c>
      <c r="C653" s="19">
        <v>46182</v>
      </c>
      <c r="D653" s="1" t="s">
        <v>21</v>
      </c>
      <c r="E653" s="1" t="s">
        <v>81</v>
      </c>
      <c r="F653" s="1">
        <v>5701</v>
      </c>
      <c r="G653" s="1" t="s">
        <v>345</v>
      </c>
      <c r="H653" s="1" t="s">
        <v>346</v>
      </c>
      <c r="I653" s="1" t="s">
        <v>347</v>
      </c>
      <c r="J653" s="1" t="s">
        <v>348</v>
      </c>
    </row>
    <row r="654" spans="1:10" x14ac:dyDescent="0.25">
      <c r="A654" s="1" t="s">
        <v>2126</v>
      </c>
      <c r="B654" s="1" t="s">
        <v>657</v>
      </c>
      <c r="C654" s="19">
        <v>46182</v>
      </c>
      <c r="D654" s="1" t="s">
        <v>21</v>
      </c>
      <c r="E654" s="1" t="s">
        <v>81</v>
      </c>
      <c r="F654" s="1">
        <v>5701</v>
      </c>
      <c r="G654" s="1" t="s">
        <v>349</v>
      </c>
      <c r="H654" s="1" t="s">
        <v>350</v>
      </c>
      <c r="I654" s="1" t="s">
        <v>347</v>
      </c>
      <c r="J654" s="1" t="s">
        <v>351</v>
      </c>
    </row>
    <row r="655" spans="1:10" x14ac:dyDescent="0.25">
      <c r="A655" s="1" t="s">
        <v>2127</v>
      </c>
      <c r="B655" s="1" t="s">
        <v>657</v>
      </c>
      <c r="C655" s="19">
        <v>46182</v>
      </c>
      <c r="D655" s="1" t="s">
        <v>21</v>
      </c>
      <c r="E655" s="1" t="s">
        <v>81</v>
      </c>
      <c r="F655" s="1">
        <v>5701</v>
      </c>
      <c r="G655" s="1" t="s">
        <v>361</v>
      </c>
      <c r="H655" s="1" t="s">
        <v>353</v>
      </c>
      <c r="I655" s="1" t="s">
        <v>347</v>
      </c>
      <c r="J655" s="1" t="s">
        <v>362</v>
      </c>
    </row>
    <row r="656" spans="1:10" x14ac:dyDescent="0.25">
      <c r="A656" s="1" t="s">
        <v>2128</v>
      </c>
      <c r="B656" s="1" t="s">
        <v>658</v>
      </c>
      <c r="C656" s="19">
        <v>46182</v>
      </c>
      <c r="D656" s="1" t="s">
        <v>21</v>
      </c>
      <c r="E656" s="1" t="s">
        <v>81</v>
      </c>
      <c r="F656" s="1">
        <v>5702</v>
      </c>
      <c r="G656" s="1" t="s">
        <v>355</v>
      </c>
      <c r="H656" s="1" t="s">
        <v>346</v>
      </c>
      <c r="I656" s="1" t="s">
        <v>347</v>
      </c>
      <c r="J656" s="1" t="s">
        <v>356</v>
      </c>
    </row>
    <row r="657" spans="1:10" x14ac:dyDescent="0.25">
      <c r="A657" s="1" t="s">
        <v>2129</v>
      </c>
      <c r="B657" s="1" t="s">
        <v>658</v>
      </c>
      <c r="C657" s="19">
        <v>46182</v>
      </c>
      <c r="D657" s="1" t="s">
        <v>21</v>
      </c>
      <c r="E657" s="1" t="s">
        <v>81</v>
      </c>
      <c r="F657" s="1">
        <v>5702</v>
      </c>
      <c r="G657" s="1" t="s">
        <v>345</v>
      </c>
      <c r="H657" s="1" t="s">
        <v>346</v>
      </c>
      <c r="I657" s="1" t="s">
        <v>347</v>
      </c>
      <c r="J657" s="1" t="s">
        <v>348</v>
      </c>
    </row>
    <row r="658" spans="1:10" x14ac:dyDescent="0.25">
      <c r="A658" s="1" t="s">
        <v>2130</v>
      </c>
      <c r="B658" s="1" t="s">
        <v>658</v>
      </c>
      <c r="C658" s="19">
        <v>46182</v>
      </c>
      <c r="D658" s="1" t="s">
        <v>21</v>
      </c>
      <c r="E658" s="1" t="s">
        <v>81</v>
      </c>
      <c r="F658" s="1">
        <v>5702</v>
      </c>
      <c r="G658" s="1" t="s">
        <v>349</v>
      </c>
      <c r="H658" s="1" t="s">
        <v>350</v>
      </c>
      <c r="I658" s="1" t="s">
        <v>347</v>
      </c>
      <c r="J658" s="1" t="s">
        <v>351</v>
      </c>
    </row>
    <row r="659" spans="1:10" x14ac:dyDescent="0.25">
      <c r="A659" s="1" t="s">
        <v>2131</v>
      </c>
      <c r="B659" s="1" t="s">
        <v>658</v>
      </c>
      <c r="C659" s="19">
        <v>46182</v>
      </c>
      <c r="D659" s="1" t="s">
        <v>21</v>
      </c>
      <c r="E659" s="1" t="s">
        <v>81</v>
      </c>
      <c r="F659" s="1">
        <v>5702</v>
      </c>
      <c r="G659" s="1" t="s">
        <v>361</v>
      </c>
      <c r="H659" s="1" t="s">
        <v>353</v>
      </c>
      <c r="I659" s="1" t="s">
        <v>347</v>
      </c>
      <c r="J659" s="1" t="s">
        <v>362</v>
      </c>
    </row>
    <row r="660" spans="1:10" x14ac:dyDescent="0.25">
      <c r="A660" s="1" t="s">
        <v>2132</v>
      </c>
      <c r="B660" s="1" t="s">
        <v>659</v>
      </c>
      <c r="C660" s="19">
        <v>46182</v>
      </c>
      <c r="D660" s="1" t="s">
        <v>21</v>
      </c>
      <c r="E660" s="1" t="s">
        <v>81</v>
      </c>
      <c r="F660" s="1">
        <v>5703</v>
      </c>
      <c r="G660" s="1" t="s">
        <v>355</v>
      </c>
      <c r="H660" s="1" t="s">
        <v>346</v>
      </c>
      <c r="I660" s="1" t="s">
        <v>347</v>
      </c>
      <c r="J660" s="1" t="s">
        <v>356</v>
      </c>
    </row>
    <row r="661" spans="1:10" x14ac:dyDescent="0.25">
      <c r="A661" s="1" t="s">
        <v>2133</v>
      </c>
      <c r="B661" s="1" t="s">
        <v>659</v>
      </c>
      <c r="C661" s="19">
        <v>46182</v>
      </c>
      <c r="D661" s="1" t="s">
        <v>21</v>
      </c>
      <c r="E661" s="1" t="s">
        <v>81</v>
      </c>
      <c r="F661" s="1">
        <v>5703</v>
      </c>
      <c r="G661" s="1" t="s">
        <v>345</v>
      </c>
      <c r="H661" s="1" t="s">
        <v>346</v>
      </c>
      <c r="I661" s="1" t="s">
        <v>347</v>
      </c>
      <c r="J661" s="1" t="s">
        <v>348</v>
      </c>
    </row>
    <row r="662" spans="1:10" x14ac:dyDescent="0.25">
      <c r="A662" s="1" t="s">
        <v>2134</v>
      </c>
      <c r="B662" s="1" t="s">
        <v>659</v>
      </c>
      <c r="C662" s="19">
        <v>46182</v>
      </c>
      <c r="D662" s="1" t="s">
        <v>21</v>
      </c>
      <c r="E662" s="1" t="s">
        <v>81</v>
      </c>
      <c r="F662" s="1">
        <v>5703</v>
      </c>
      <c r="G662" s="1" t="s">
        <v>349</v>
      </c>
      <c r="H662" s="1" t="s">
        <v>350</v>
      </c>
      <c r="I662" s="1" t="s">
        <v>347</v>
      </c>
      <c r="J662" s="1" t="s">
        <v>351</v>
      </c>
    </row>
    <row r="663" spans="1:10" x14ac:dyDescent="0.25">
      <c r="A663" s="1" t="s">
        <v>2135</v>
      </c>
      <c r="B663" s="1" t="s">
        <v>659</v>
      </c>
      <c r="C663" s="19">
        <v>46182</v>
      </c>
      <c r="D663" s="1" t="s">
        <v>21</v>
      </c>
      <c r="E663" s="1" t="s">
        <v>81</v>
      </c>
      <c r="F663" s="1">
        <v>5703</v>
      </c>
      <c r="G663" s="1" t="s">
        <v>361</v>
      </c>
      <c r="H663" s="1" t="s">
        <v>353</v>
      </c>
      <c r="I663" s="1" t="s">
        <v>347</v>
      </c>
      <c r="J663" s="1" t="s">
        <v>362</v>
      </c>
    </row>
    <row r="664" spans="1:10" x14ac:dyDescent="0.25">
      <c r="A664" s="1" t="s">
        <v>2136</v>
      </c>
      <c r="B664" s="1" t="s">
        <v>660</v>
      </c>
      <c r="C664" s="19">
        <v>46182</v>
      </c>
      <c r="D664" s="1" t="s">
        <v>21</v>
      </c>
      <c r="E664" s="1" t="s">
        <v>81</v>
      </c>
      <c r="F664" s="1">
        <v>5704</v>
      </c>
      <c r="G664" s="1" t="s">
        <v>355</v>
      </c>
      <c r="H664" s="1" t="s">
        <v>346</v>
      </c>
      <c r="I664" s="1" t="s">
        <v>347</v>
      </c>
      <c r="J664" s="1" t="s">
        <v>356</v>
      </c>
    </row>
    <row r="665" spans="1:10" x14ac:dyDescent="0.25">
      <c r="A665" s="1" t="s">
        <v>2137</v>
      </c>
      <c r="B665" s="1" t="s">
        <v>660</v>
      </c>
      <c r="C665" s="19">
        <v>46182</v>
      </c>
      <c r="D665" s="1" t="s">
        <v>21</v>
      </c>
      <c r="E665" s="1" t="s">
        <v>81</v>
      </c>
      <c r="F665" s="1">
        <v>5704</v>
      </c>
      <c r="G665" s="1" t="s">
        <v>345</v>
      </c>
      <c r="H665" s="1" t="s">
        <v>346</v>
      </c>
      <c r="I665" s="1" t="s">
        <v>347</v>
      </c>
      <c r="J665" s="1" t="s">
        <v>348</v>
      </c>
    </row>
    <row r="666" spans="1:10" x14ac:dyDescent="0.25">
      <c r="A666" s="1" t="s">
        <v>2138</v>
      </c>
      <c r="B666" s="1" t="s">
        <v>660</v>
      </c>
      <c r="C666" s="19">
        <v>46182</v>
      </c>
      <c r="D666" s="1" t="s">
        <v>21</v>
      </c>
      <c r="E666" s="1" t="s">
        <v>81</v>
      </c>
      <c r="F666" s="1">
        <v>5704</v>
      </c>
      <c r="G666" s="1" t="s">
        <v>349</v>
      </c>
      <c r="H666" s="1" t="s">
        <v>350</v>
      </c>
      <c r="I666" s="1" t="s">
        <v>347</v>
      </c>
      <c r="J666" s="1" t="s">
        <v>351</v>
      </c>
    </row>
    <row r="667" spans="1:10" x14ac:dyDescent="0.25">
      <c r="A667" s="1" t="s">
        <v>2139</v>
      </c>
      <c r="B667" s="1" t="s">
        <v>660</v>
      </c>
      <c r="C667" s="19">
        <v>46182</v>
      </c>
      <c r="D667" s="1" t="s">
        <v>21</v>
      </c>
      <c r="E667" s="1" t="s">
        <v>81</v>
      </c>
      <c r="F667" s="1">
        <v>5704</v>
      </c>
      <c r="G667" s="1" t="s">
        <v>361</v>
      </c>
      <c r="H667" s="1" t="s">
        <v>353</v>
      </c>
      <c r="I667" s="1" t="s">
        <v>347</v>
      </c>
      <c r="J667" s="1" t="s">
        <v>362</v>
      </c>
    </row>
    <row r="668" spans="1:10" x14ac:dyDescent="0.25">
      <c r="A668" s="1" t="s">
        <v>2140</v>
      </c>
      <c r="B668" s="1" t="s">
        <v>661</v>
      </c>
      <c r="C668" s="19">
        <v>46182</v>
      </c>
      <c r="D668" s="1" t="s">
        <v>21</v>
      </c>
      <c r="E668" s="1" t="s">
        <v>81</v>
      </c>
      <c r="F668" s="1">
        <v>5705</v>
      </c>
      <c r="G668" s="1" t="s">
        <v>355</v>
      </c>
      <c r="H668" s="1" t="s">
        <v>346</v>
      </c>
      <c r="I668" s="1" t="s">
        <v>347</v>
      </c>
      <c r="J668" s="1" t="s">
        <v>356</v>
      </c>
    </row>
    <row r="669" spans="1:10" x14ac:dyDescent="0.25">
      <c r="A669" s="1" t="s">
        <v>2141</v>
      </c>
      <c r="B669" s="1" t="s">
        <v>661</v>
      </c>
      <c r="C669" s="19">
        <v>46182</v>
      </c>
      <c r="D669" s="1" t="s">
        <v>21</v>
      </c>
      <c r="E669" s="1" t="s">
        <v>81</v>
      </c>
      <c r="F669" s="1">
        <v>5705</v>
      </c>
      <c r="G669" s="1" t="s">
        <v>345</v>
      </c>
      <c r="H669" s="1" t="s">
        <v>346</v>
      </c>
      <c r="I669" s="1" t="s">
        <v>347</v>
      </c>
      <c r="J669" s="1" t="s">
        <v>348</v>
      </c>
    </row>
    <row r="670" spans="1:10" x14ac:dyDescent="0.25">
      <c r="A670" s="1" t="s">
        <v>2142</v>
      </c>
      <c r="B670" s="1" t="s">
        <v>661</v>
      </c>
      <c r="C670" s="19">
        <v>46182</v>
      </c>
      <c r="D670" s="1" t="s">
        <v>21</v>
      </c>
      <c r="E670" s="1" t="s">
        <v>81</v>
      </c>
      <c r="F670" s="1">
        <v>5705</v>
      </c>
      <c r="G670" s="1" t="s">
        <v>349</v>
      </c>
      <c r="H670" s="1" t="s">
        <v>350</v>
      </c>
      <c r="I670" s="1" t="s">
        <v>347</v>
      </c>
      <c r="J670" s="1" t="s">
        <v>351</v>
      </c>
    </row>
    <row r="671" spans="1:10" x14ac:dyDescent="0.25">
      <c r="A671" s="1" t="s">
        <v>2143</v>
      </c>
      <c r="B671" s="1" t="s">
        <v>661</v>
      </c>
      <c r="C671" s="19">
        <v>46182</v>
      </c>
      <c r="D671" s="1" t="s">
        <v>21</v>
      </c>
      <c r="E671" s="1" t="s">
        <v>81</v>
      </c>
      <c r="F671" s="1">
        <v>5705</v>
      </c>
      <c r="G671" s="1" t="s">
        <v>361</v>
      </c>
      <c r="H671" s="1" t="s">
        <v>353</v>
      </c>
      <c r="I671" s="1" t="s">
        <v>347</v>
      </c>
      <c r="J671" s="1" t="s">
        <v>362</v>
      </c>
    </row>
    <row r="672" spans="1:10" x14ac:dyDescent="0.25">
      <c r="A672" s="1" t="s">
        <v>2144</v>
      </c>
      <c r="B672" s="1" t="s">
        <v>662</v>
      </c>
      <c r="C672" s="19">
        <v>46182</v>
      </c>
      <c r="D672" s="1" t="s">
        <v>21</v>
      </c>
      <c r="E672" s="1" t="s">
        <v>81</v>
      </c>
      <c r="F672" s="1">
        <v>5706</v>
      </c>
      <c r="G672" s="1" t="s">
        <v>355</v>
      </c>
      <c r="H672" s="1" t="s">
        <v>346</v>
      </c>
      <c r="I672" s="1" t="s">
        <v>347</v>
      </c>
      <c r="J672" s="1" t="s">
        <v>356</v>
      </c>
    </row>
    <row r="673" spans="1:10" x14ac:dyDescent="0.25">
      <c r="A673" s="1" t="s">
        <v>2145</v>
      </c>
      <c r="B673" s="1" t="s">
        <v>662</v>
      </c>
      <c r="C673" s="19">
        <v>46182</v>
      </c>
      <c r="D673" s="1" t="s">
        <v>21</v>
      </c>
      <c r="E673" s="1" t="s">
        <v>81</v>
      </c>
      <c r="F673" s="1">
        <v>5706</v>
      </c>
      <c r="G673" s="1" t="s">
        <v>345</v>
      </c>
      <c r="H673" s="1" t="s">
        <v>346</v>
      </c>
      <c r="I673" s="1" t="s">
        <v>347</v>
      </c>
      <c r="J673" s="1" t="s">
        <v>348</v>
      </c>
    </row>
    <row r="674" spans="1:10" x14ac:dyDescent="0.25">
      <c r="A674" s="1" t="s">
        <v>2146</v>
      </c>
      <c r="B674" s="1" t="s">
        <v>662</v>
      </c>
      <c r="C674" s="19">
        <v>46182</v>
      </c>
      <c r="D674" s="1" t="s">
        <v>21</v>
      </c>
      <c r="E674" s="1" t="s">
        <v>81</v>
      </c>
      <c r="F674" s="1">
        <v>5706</v>
      </c>
      <c r="G674" s="1" t="s">
        <v>349</v>
      </c>
      <c r="H674" s="1" t="s">
        <v>350</v>
      </c>
      <c r="I674" s="1" t="s">
        <v>347</v>
      </c>
      <c r="J674" s="1" t="s">
        <v>351</v>
      </c>
    </row>
    <row r="675" spans="1:10" x14ac:dyDescent="0.25">
      <c r="A675" s="1" t="s">
        <v>2147</v>
      </c>
      <c r="B675" s="1" t="s">
        <v>662</v>
      </c>
      <c r="C675" s="19">
        <v>46182</v>
      </c>
      <c r="D675" s="1" t="s">
        <v>21</v>
      </c>
      <c r="E675" s="1" t="s">
        <v>81</v>
      </c>
      <c r="F675" s="1">
        <v>5706</v>
      </c>
      <c r="G675" s="1" t="s">
        <v>361</v>
      </c>
      <c r="H675" s="1" t="s">
        <v>353</v>
      </c>
      <c r="I675" s="1" t="s">
        <v>347</v>
      </c>
      <c r="J675" s="1" t="s">
        <v>362</v>
      </c>
    </row>
    <row r="676" spans="1:10" x14ac:dyDescent="0.25">
      <c r="A676" s="1" t="s">
        <v>2148</v>
      </c>
      <c r="B676" s="1" t="s">
        <v>663</v>
      </c>
      <c r="C676" s="19">
        <v>46182</v>
      </c>
      <c r="D676" s="1" t="s">
        <v>21</v>
      </c>
      <c r="E676" s="1" t="s">
        <v>81</v>
      </c>
      <c r="F676" s="1">
        <v>5707</v>
      </c>
      <c r="G676" s="1" t="s">
        <v>355</v>
      </c>
      <c r="H676" s="1" t="s">
        <v>346</v>
      </c>
      <c r="I676" s="1" t="s">
        <v>347</v>
      </c>
      <c r="J676" s="1" t="s">
        <v>356</v>
      </c>
    </row>
    <row r="677" spans="1:10" x14ac:dyDescent="0.25">
      <c r="A677" s="1" t="s">
        <v>2149</v>
      </c>
      <c r="B677" s="1" t="s">
        <v>663</v>
      </c>
      <c r="C677" s="19">
        <v>46182</v>
      </c>
      <c r="D677" s="1" t="s">
        <v>21</v>
      </c>
      <c r="E677" s="1" t="s">
        <v>81</v>
      </c>
      <c r="F677" s="1">
        <v>5707</v>
      </c>
      <c r="G677" s="1" t="s">
        <v>345</v>
      </c>
      <c r="H677" s="1" t="s">
        <v>346</v>
      </c>
      <c r="I677" s="1" t="s">
        <v>347</v>
      </c>
      <c r="J677" s="1" t="s">
        <v>348</v>
      </c>
    </row>
    <row r="678" spans="1:10" x14ac:dyDescent="0.25">
      <c r="A678" s="1" t="s">
        <v>2150</v>
      </c>
      <c r="B678" s="1" t="s">
        <v>663</v>
      </c>
      <c r="C678" s="19">
        <v>46182</v>
      </c>
      <c r="D678" s="1" t="s">
        <v>21</v>
      </c>
      <c r="E678" s="1" t="s">
        <v>81</v>
      </c>
      <c r="F678" s="1">
        <v>5707</v>
      </c>
      <c r="G678" s="1" t="s">
        <v>349</v>
      </c>
      <c r="H678" s="1" t="s">
        <v>350</v>
      </c>
      <c r="I678" s="1" t="s">
        <v>347</v>
      </c>
      <c r="J678" s="1" t="s">
        <v>351</v>
      </c>
    </row>
    <row r="679" spans="1:10" x14ac:dyDescent="0.25">
      <c r="A679" s="1" t="s">
        <v>2151</v>
      </c>
      <c r="B679" s="1" t="s">
        <v>663</v>
      </c>
      <c r="C679" s="19">
        <v>46182</v>
      </c>
      <c r="D679" s="1" t="s">
        <v>21</v>
      </c>
      <c r="E679" s="1" t="s">
        <v>81</v>
      </c>
      <c r="F679" s="1">
        <v>5707</v>
      </c>
      <c r="G679" s="1" t="s">
        <v>361</v>
      </c>
      <c r="H679" s="1" t="s">
        <v>353</v>
      </c>
      <c r="I679" s="1" t="s">
        <v>347</v>
      </c>
      <c r="J679" s="1" t="s">
        <v>362</v>
      </c>
    </row>
    <row r="680" spans="1:10" x14ac:dyDescent="0.25">
      <c r="A680" s="1" t="s">
        <v>2152</v>
      </c>
      <c r="B680" s="1" t="s">
        <v>664</v>
      </c>
      <c r="C680" s="19">
        <v>46182</v>
      </c>
      <c r="D680" s="1" t="s">
        <v>21</v>
      </c>
      <c r="E680" s="1" t="s">
        <v>81</v>
      </c>
      <c r="F680" s="1">
        <v>5708</v>
      </c>
      <c r="G680" s="1" t="s">
        <v>355</v>
      </c>
      <c r="H680" s="1" t="s">
        <v>346</v>
      </c>
      <c r="I680" s="1" t="s">
        <v>347</v>
      </c>
      <c r="J680" s="1" t="s">
        <v>356</v>
      </c>
    </row>
    <row r="681" spans="1:10" x14ac:dyDescent="0.25">
      <c r="A681" s="1" t="s">
        <v>2153</v>
      </c>
      <c r="B681" s="1" t="s">
        <v>664</v>
      </c>
      <c r="C681" s="19">
        <v>46182</v>
      </c>
      <c r="D681" s="1" t="s">
        <v>21</v>
      </c>
      <c r="E681" s="1" t="s">
        <v>81</v>
      </c>
      <c r="F681" s="1">
        <v>5708</v>
      </c>
      <c r="G681" s="1" t="s">
        <v>345</v>
      </c>
      <c r="H681" s="1" t="s">
        <v>346</v>
      </c>
      <c r="I681" s="1" t="s">
        <v>347</v>
      </c>
      <c r="J681" s="1" t="s">
        <v>348</v>
      </c>
    </row>
    <row r="682" spans="1:10" x14ac:dyDescent="0.25">
      <c r="A682" s="1" t="s">
        <v>2154</v>
      </c>
      <c r="B682" s="1" t="s">
        <v>664</v>
      </c>
      <c r="C682" s="19">
        <v>46182</v>
      </c>
      <c r="D682" s="1" t="s">
        <v>21</v>
      </c>
      <c r="E682" s="1" t="s">
        <v>81</v>
      </c>
      <c r="F682" s="1">
        <v>5708</v>
      </c>
      <c r="G682" s="1" t="s">
        <v>349</v>
      </c>
      <c r="H682" s="1" t="s">
        <v>350</v>
      </c>
      <c r="I682" s="1" t="s">
        <v>347</v>
      </c>
      <c r="J682" s="1" t="s">
        <v>351</v>
      </c>
    </row>
    <row r="683" spans="1:10" x14ac:dyDescent="0.25">
      <c r="A683" s="1" t="s">
        <v>2155</v>
      </c>
      <c r="B683" s="1" t="s">
        <v>664</v>
      </c>
      <c r="C683" s="19">
        <v>46182</v>
      </c>
      <c r="D683" s="1" t="s">
        <v>21</v>
      </c>
      <c r="E683" s="1" t="s">
        <v>81</v>
      </c>
      <c r="F683" s="1">
        <v>5708</v>
      </c>
      <c r="G683" s="1" t="s">
        <v>361</v>
      </c>
      <c r="H683" s="1" t="s">
        <v>353</v>
      </c>
      <c r="I683" s="1" t="s">
        <v>347</v>
      </c>
      <c r="J683" s="1" t="s">
        <v>362</v>
      </c>
    </row>
    <row r="684" spans="1:10" x14ac:dyDescent="0.25">
      <c r="A684" s="1" t="s">
        <v>2156</v>
      </c>
      <c r="B684" s="1" t="s">
        <v>665</v>
      </c>
      <c r="C684" s="19">
        <v>46182</v>
      </c>
      <c r="D684" s="1" t="s">
        <v>21</v>
      </c>
      <c r="E684" s="1" t="s">
        <v>81</v>
      </c>
      <c r="F684" s="1">
        <v>5709</v>
      </c>
      <c r="G684" s="1" t="s">
        <v>355</v>
      </c>
      <c r="H684" s="1" t="s">
        <v>346</v>
      </c>
      <c r="I684" s="1" t="s">
        <v>347</v>
      </c>
      <c r="J684" s="1" t="s">
        <v>356</v>
      </c>
    </row>
    <row r="685" spans="1:10" x14ac:dyDescent="0.25">
      <c r="A685" s="1" t="s">
        <v>2157</v>
      </c>
      <c r="B685" s="1" t="s">
        <v>665</v>
      </c>
      <c r="C685" s="19">
        <v>46182</v>
      </c>
      <c r="D685" s="1" t="s">
        <v>21</v>
      </c>
      <c r="E685" s="1" t="s">
        <v>81</v>
      </c>
      <c r="F685" s="1">
        <v>5709</v>
      </c>
      <c r="G685" s="1" t="s">
        <v>345</v>
      </c>
      <c r="H685" s="1" t="s">
        <v>346</v>
      </c>
      <c r="I685" s="1" t="s">
        <v>347</v>
      </c>
      <c r="J685" s="1" t="s">
        <v>348</v>
      </c>
    </row>
    <row r="686" spans="1:10" x14ac:dyDescent="0.25">
      <c r="A686" s="1" t="s">
        <v>2158</v>
      </c>
      <c r="B686" s="1" t="s">
        <v>665</v>
      </c>
      <c r="C686" s="19">
        <v>46182</v>
      </c>
      <c r="D686" s="1" t="s">
        <v>21</v>
      </c>
      <c r="E686" s="1" t="s">
        <v>81</v>
      </c>
      <c r="F686" s="1">
        <v>5709</v>
      </c>
      <c r="G686" s="1" t="s">
        <v>349</v>
      </c>
      <c r="H686" s="1" t="s">
        <v>350</v>
      </c>
      <c r="I686" s="1" t="s">
        <v>347</v>
      </c>
      <c r="J686" s="1" t="s">
        <v>351</v>
      </c>
    </row>
    <row r="687" spans="1:10" x14ac:dyDescent="0.25">
      <c r="A687" s="1" t="s">
        <v>2159</v>
      </c>
      <c r="B687" s="1" t="s">
        <v>665</v>
      </c>
      <c r="C687" s="19">
        <v>46182</v>
      </c>
      <c r="D687" s="1" t="s">
        <v>21</v>
      </c>
      <c r="E687" s="1" t="s">
        <v>81</v>
      </c>
      <c r="F687" s="1">
        <v>5709</v>
      </c>
      <c r="G687" s="1" t="s">
        <v>361</v>
      </c>
      <c r="H687" s="1" t="s">
        <v>353</v>
      </c>
      <c r="I687" s="1" t="s">
        <v>347</v>
      </c>
      <c r="J687" s="1" t="s">
        <v>362</v>
      </c>
    </row>
    <row r="688" spans="1:10" x14ac:dyDescent="0.25">
      <c r="A688" s="1" t="s">
        <v>2160</v>
      </c>
      <c r="B688" s="1" t="s">
        <v>666</v>
      </c>
      <c r="C688" s="19">
        <v>46182</v>
      </c>
      <c r="D688" s="1" t="s">
        <v>21</v>
      </c>
      <c r="E688" s="1" t="s">
        <v>81</v>
      </c>
      <c r="F688" s="1">
        <v>5710</v>
      </c>
      <c r="G688" s="1" t="s">
        <v>355</v>
      </c>
      <c r="H688" s="1" t="s">
        <v>346</v>
      </c>
      <c r="I688" s="1" t="s">
        <v>347</v>
      </c>
      <c r="J688" s="1" t="s">
        <v>356</v>
      </c>
    </row>
    <row r="689" spans="1:10" x14ac:dyDescent="0.25">
      <c r="A689" s="1" t="s">
        <v>2161</v>
      </c>
      <c r="B689" s="1" t="s">
        <v>666</v>
      </c>
      <c r="C689" s="19">
        <v>46182</v>
      </c>
      <c r="D689" s="1" t="s">
        <v>21</v>
      </c>
      <c r="E689" s="1" t="s">
        <v>81</v>
      </c>
      <c r="F689" s="1">
        <v>5710</v>
      </c>
      <c r="G689" s="1" t="s">
        <v>345</v>
      </c>
      <c r="H689" s="1" t="s">
        <v>346</v>
      </c>
      <c r="I689" s="1" t="s">
        <v>347</v>
      </c>
      <c r="J689" s="1" t="s">
        <v>348</v>
      </c>
    </row>
    <row r="690" spans="1:10" x14ac:dyDescent="0.25">
      <c r="A690" s="1" t="s">
        <v>2162</v>
      </c>
      <c r="B690" s="1" t="s">
        <v>666</v>
      </c>
      <c r="C690" s="19">
        <v>46182</v>
      </c>
      <c r="D690" s="1" t="s">
        <v>21</v>
      </c>
      <c r="E690" s="1" t="s">
        <v>81</v>
      </c>
      <c r="F690" s="1">
        <v>5710</v>
      </c>
      <c r="G690" s="1" t="s">
        <v>349</v>
      </c>
      <c r="H690" s="1" t="s">
        <v>350</v>
      </c>
      <c r="I690" s="1" t="s">
        <v>347</v>
      </c>
      <c r="J690" s="1" t="s">
        <v>351</v>
      </c>
    </row>
    <row r="691" spans="1:10" x14ac:dyDescent="0.25">
      <c r="A691" s="1" t="s">
        <v>2163</v>
      </c>
      <c r="B691" s="1" t="s">
        <v>666</v>
      </c>
      <c r="C691" s="19">
        <v>46182</v>
      </c>
      <c r="D691" s="1" t="s">
        <v>21</v>
      </c>
      <c r="E691" s="1" t="s">
        <v>81</v>
      </c>
      <c r="F691" s="1">
        <v>5710</v>
      </c>
      <c r="G691" s="1" t="s">
        <v>361</v>
      </c>
      <c r="H691" s="1" t="s">
        <v>353</v>
      </c>
      <c r="I691" s="1" t="s">
        <v>347</v>
      </c>
      <c r="J691" s="1" t="s">
        <v>362</v>
      </c>
    </row>
    <row r="692" spans="1:10" x14ac:dyDescent="0.25">
      <c r="A692" s="1" t="s">
        <v>2164</v>
      </c>
      <c r="B692" s="1" t="s">
        <v>667</v>
      </c>
      <c r="C692" s="19">
        <v>46182</v>
      </c>
      <c r="D692" s="1" t="s">
        <v>21</v>
      </c>
      <c r="E692" s="1" t="s">
        <v>81</v>
      </c>
      <c r="F692" s="1">
        <v>5711</v>
      </c>
      <c r="G692" s="1" t="s">
        <v>355</v>
      </c>
      <c r="H692" s="1" t="s">
        <v>346</v>
      </c>
      <c r="I692" s="1" t="s">
        <v>347</v>
      </c>
      <c r="J692" s="1" t="s">
        <v>356</v>
      </c>
    </row>
    <row r="693" spans="1:10" x14ac:dyDescent="0.25">
      <c r="A693" s="1" t="s">
        <v>2165</v>
      </c>
      <c r="B693" s="1" t="s">
        <v>667</v>
      </c>
      <c r="C693" s="19">
        <v>46182</v>
      </c>
      <c r="D693" s="1" t="s">
        <v>21</v>
      </c>
      <c r="E693" s="1" t="s">
        <v>81</v>
      </c>
      <c r="F693" s="1">
        <v>5711</v>
      </c>
      <c r="G693" s="1" t="s">
        <v>345</v>
      </c>
      <c r="H693" s="1" t="s">
        <v>346</v>
      </c>
      <c r="I693" s="1" t="s">
        <v>347</v>
      </c>
      <c r="J693" s="1" t="s">
        <v>348</v>
      </c>
    </row>
    <row r="694" spans="1:10" x14ac:dyDescent="0.25">
      <c r="A694" s="1" t="s">
        <v>2166</v>
      </c>
      <c r="B694" s="1" t="s">
        <v>667</v>
      </c>
      <c r="C694" s="19">
        <v>46182</v>
      </c>
      <c r="D694" s="1" t="s">
        <v>21</v>
      </c>
      <c r="E694" s="1" t="s">
        <v>81</v>
      </c>
      <c r="F694" s="1">
        <v>5711</v>
      </c>
      <c r="G694" s="1" t="s">
        <v>349</v>
      </c>
      <c r="H694" s="1" t="s">
        <v>350</v>
      </c>
      <c r="I694" s="1" t="s">
        <v>347</v>
      </c>
      <c r="J694" s="1" t="s">
        <v>351</v>
      </c>
    </row>
    <row r="695" spans="1:10" x14ac:dyDescent="0.25">
      <c r="A695" s="1" t="s">
        <v>2167</v>
      </c>
      <c r="B695" s="1" t="s">
        <v>667</v>
      </c>
      <c r="C695" s="19">
        <v>46182</v>
      </c>
      <c r="D695" s="1" t="s">
        <v>21</v>
      </c>
      <c r="E695" s="1" t="s">
        <v>81</v>
      </c>
      <c r="F695" s="1">
        <v>5711</v>
      </c>
      <c r="G695" s="1" t="s">
        <v>361</v>
      </c>
      <c r="H695" s="1" t="s">
        <v>353</v>
      </c>
      <c r="I695" s="1" t="s">
        <v>347</v>
      </c>
      <c r="J695" s="1" t="s">
        <v>362</v>
      </c>
    </row>
    <row r="696" spans="1:10" x14ac:dyDescent="0.25">
      <c r="A696" s="1" t="s">
        <v>2168</v>
      </c>
      <c r="B696" s="1" t="s">
        <v>668</v>
      </c>
      <c r="C696" s="19">
        <v>46182</v>
      </c>
      <c r="D696" s="1" t="s">
        <v>21</v>
      </c>
      <c r="E696" s="1" t="s">
        <v>81</v>
      </c>
      <c r="F696" s="1">
        <v>5712</v>
      </c>
      <c r="G696" s="1" t="s">
        <v>355</v>
      </c>
      <c r="H696" s="1" t="s">
        <v>346</v>
      </c>
      <c r="I696" s="1" t="s">
        <v>347</v>
      </c>
      <c r="J696" s="1" t="s">
        <v>356</v>
      </c>
    </row>
    <row r="697" spans="1:10" x14ac:dyDescent="0.25">
      <c r="A697" s="1" t="s">
        <v>2169</v>
      </c>
      <c r="B697" s="1" t="s">
        <v>668</v>
      </c>
      <c r="C697" s="19">
        <v>46182</v>
      </c>
      <c r="D697" s="1" t="s">
        <v>21</v>
      </c>
      <c r="E697" s="1" t="s">
        <v>81</v>
      </c>
      <c r="F697" s="1">
        <v>5712</v>
      </c>
      <c r="G697" s="1" t="s">
        <v>345</v>
      </c>
      <c r="H697" s="1" t="s">
        <v>346</v>
      </c>
      <c r="I697" s="1" t="s">
        <v>347</v>
      </c>
      <c r="J697" s="1" t="s">
        <v>348</v>
      </c>
    </row>
    <row r="698" spans="1:10" x14ac:dyDescent="0.25">
      <c r="A698" s="1" t="s">
        <v>2170</v>
      </c>
      <c r="B698" s="1" t="s">
        <v>668</v>
      </c>
      <c r="C698" s="19">
        <v>46182</v>
      </c>
      <c r="D698" s="1" t="s">
        <v>21</v>
      </c>
      <c r="E698" s="1" t="s">
        <v>81</v>
      </c>
      <c r="F698" s="1">
        <v>5712</v>
      </c>
      <c r="G698" s="1" t="s">
        <v>349</v>
      </c>
      <c r="H698" s="1" t="s">
        <v>350</v>
      </c>
      <c r="I698" s="1" t="s">
        <v>347</v>
      </c>
      <c r="J698" s="1" t="s">
        <v>351</v>
      </c>
    </row>
    <row r="699" spans="1:10" x14ac:dyDescent="0.25">
      <c r="A699" s="1" t="s">
        <v>2171</v>
      </c>
      <c r="B699" s="1" t="s">
        <v>668</v>
      </c>
      <c r="C699" s="19">
        <v>46182</v>
      </c>
      <c r="D699" s="1" t="s">
        <v>21</v>
      </c>
      <c r="E699" s="1" t="s">
        <v>81</v>
      </c>
      <c r="F699" s="1">
        <v>5712</v>
      </c>
      <c r="G699" s="1" t="s">
        <v>361</v>
      </c>
      <c r="H699" s="1" t="s">
        <v>353</v>
      </c>
      <c r="I699" s="1" t="s">
        <v>347</v>
      </c>
      <c r="J699" s="1" t="s">
        <v>362</v>
      </c>
    </row>
    <row r="700" spans="1:10" x14ac:dyDescent="0.25">
      <c r="A700" s="1" t="s">
        <v>2172</v>
      </c>
      <c r="B700" s="1" t="s">
        <v>669</v>
      </c>
      <c r="C700" s="19">
        <v>46182</v>
      </c>
      <c r="D700" s="1" t="s">
        <v>21</v>
      </c>
      <c r="E700" s="1" t="s">
        <v>81</v>
      </c>
      <c r="F700" s="1">
        <v>5713</v>
      </c>
      <c r="G700" s="1" t="s">
        <v>355</v>
      </c>
      <c r="H700" s="1" t="s">
        <v>346</v>
      </c>
      <c r="I700" s="1" t="s">
        <v>347</v>
      </c>
      <c r="J700" s="1" t="s">
        <v>356</v>
      </c>
    </row>
    <row r="701" spans="1:10" x14ac:dyDescent="0.25">
      <c r="A701" s="1" t="s">
        <v>2173</v>
      </c>
      <c r="B701" s="1" t="s">
        <v>669</v>
      </c>
      <c r="C701" s="19">
        <v>46182</v>
      </c>
      <c r="D701" s="1" t="s">
        <v>21</v>
      </c>
      <c r="E701" s="1" t="s">
        <v>81</v>
      </c>
      <c r="F701" s="1">
        <v>5713</v>
      </c>
      <c r="G701" s="1" t="s">
        <v>345</v>
      </c>
      <c r="H701" s="1" t="s">
        <v>346</v>
      </c>
      <c r="I701" s="1" t="s">
        <v>347</v>
      </c>
      <c r="J701" s="1" t="s">
        <v>348</v>
      </c>
    </row>
    <row r="702" spans="1:10" x14ac:dyDescent="0.25">
      <c r="A702" s="1" t="s">
        <v>2174</v>
      </c>
      <c r="B702" s="1" t="s">
        <v>669</v>
      </c>
      <c r="C702" s="19">
        <v>46182</v>
      </c>
      <c r="D702" s="1" t="s">
        <v>21</v>
      </c>
      <c r="E702" s="1" t="s">
        <v>81</v>
      </c>
      <c r="F702" s="1">
        <v>5713</v>
      </c>
      <c r="G702" s="1" t="s">
        <v>349</v>
      </c>
      <c r="H702" s="1" t="s">
        <v>350</v>
      </c>
      <c r="I702" s="1" t="s">
        <v>347</v>
      </c>
      <c r="J702" s="1" t="s">
        <v>351</v>
      </c>
    </row>
    <row r="703" spans="1:10" x14ac:dyDescent="0.25">
      <c r="A703" s="1" t="s">
        <v>2175</v>
      </c>
      <c r="B703" s="1" t="s">
        <v>669</v>
      </c>
      <c r="C703" s="19">
        <v>46182</v>
      </c>
      <c r="D703" s="1" t="s">
        <v>21</v>
      </c>
      <c r="E703" s="1" t="s">
        <v>81</v>
      </c>
      <c r="F703" s="1">
        <v>5713</v>
      </c>
      <c r="G703" s="1" t="s">
        <v>361</v>
      </c>
      <c r="H703" s="1" t="s">
        <v>353</v>
      </c>
      <c r="I703" s="1" t="s">
        <v>347</v>
      </c>
      <c r="J703" s="1" t="s">
        <v>362</v>
      </c>
    </row>
    <row r="704" spans="1:10" x14ac:dyDescent="0.25">
      <c r="A704" s="1" t="s">
        <v>2176</v>
      </c>
      <c r="B704" s="1" t="s">
        <v>670</v>
      </c>
      <c r="C704" s="19">
        <v>46182</v>
      </c>
      <c r="D704" s="1" t="s">
        <v>21</v>
      </c>
      <c r="E704" s="1" t="s">
        <v>81</v>
      </c>
      <c r="F704" s="1">
        <v>5714</v>
      </c>
      <c r="G704" s="1" t="s">
        <v>355</v>
      </c>
      <c r="H704" s="1" t="s">
        <v>346</v>
      </c>
      <c r="I704" s="1" t="s">
        <v>347</v>
      </c>
      <c r="J704" s="1" t="s">
        <v>356</v>
      </c>
    </row>
    <row r="705" spans="1:10" x14ac:dyDescent="0.25">
      <c r="A705" s="1" t="s">
        <v>2177</v>
      </c>
      <c r="B705" s="1" t="s">
        <v>670</v>
      </c>
      <c r="C705" s="19">
        <v>46182</v>
      </c>
      <c r="D705" s="1" t="s">
        <v>21</v>
      </c>
      <c r="E705" s="1" t="s">
        <v>81</v>
      </c>
      <c r="F705" s="1">
        <v>5714</v>
      </c>
      <c r="G705" s="1" t="s">
        <v>345</v>
      </c>
      <c r="H705" s="1" t="s">
        <v>346</v>
      </c>
      <c r="I705" s="1" t="s">
        <v>347</v>
      </c>
      <c r="J705" s="1" t="s">
        <v>348</v>
      </c>
    </row>
    <row r="706" spans="1:10" x14ac:dyDescent="0.25">
      <c r="A706" s="1" t="s">
        <v>2178</v>
      </c>
      <c r="B706" s="1" t="s">
        <v>670</v>
      </c>
      <c r="C706" s="19">
        <v>46182</v>
      </c>
      <c r="D706" s="1" t="s">
        <v>21</v>
      </c>
      <c r="E706" s="1" t="s">
        <v>81</v>
      </c>
      <c r="F706" s="1">
        <v>5714</v>
      </c>
      <c r="G706" s="1" t="s">
        <v>349</v>
      </c>
      <c r="H706" s="1" t="s">
        <v>350</v>
      </c>
      <c r="I706" s="1" t="s">
        <v>347</v>
      </c>
      <c r="J706" s="1" t="s">
        <v>351</v>
      </c>
    </row>
    <row r="707" spans="1:10" x14ac:dyDescent="0.25">
      <c r="A707" s="1" t="s">
        <v>2179</v>
      </c>
      <c r="B707" s="1" t="s">
        <v>670</v>
      </c>
      <c r="C707" s="19">
        <v>46182</v>
      </c>
      <c r="D707" s="1" t="s">
        <v>21</v>
      </c>
      <c r="E707" s="1" t="s">
        <v>81</v>
      </c>
      <c r="F707" s="1">
        <v>5714</v>
      </c>
      <c r="G707" s="1" t="s">
        <v>361</v>
      </c>
      <c r="H707" s="1" t="s">
        <v>353</v>
      </c>
      <c r="I707" s="1" t="s">
        <v>347</v>
      </c>
      <c r="J707" s="1" t="s">
        <v>362</v>
      </c>
    </row>
    <row r="708" spans="1:10" x14ac:dyDescent="0.25">
      <c r="A708" s="1" t="s">
        <v>2180</v>
      </c>
      <c r="B708" s="1" t="s">
        <v>671</v>
      </c>
      <c r="C708" s="19">
        <v>46182</v>
      </c>
      <c r="D708" s="1" t="s">
        <v>21</v>
      </c>
      <c r="E708" s="1" t="s">
        <v>81</v>
      </c>
      <c r="F708" s="1">
        <v>5715</v>
      </c>
      <c r="G708" s="1" t="s">
        <v>355</v>
      </c>
      <c r="H708" s="1" t="s">
        <v>346</v>
      </c>
      <c r="I708" s="1" t="s">
        <v>347</v>
      </c>
      <c r="J708" s="1" t="s">
        <v>356</v>
      </c>
    </row>
    <row r="709" spans="1:10" x14ac:dyDescent="0.25">
      <c r="A709" s="1" t="s">
        <v>2181</v>
      </c>
      <c r="B709" s="1" t="s">
        <v>671</v>
      </c>
      <c r="C709" s="19">
        <v>46182</v>
      </c>
      <c r="D709" s="1" t="s">
        <v>21</v>
      </c>
      <c r="E709" s="1" t="s">
        <v>81</v>
      </c>
      <c r="F709" s="1">
        <v>5715</v>
      </c>
      <c r="G709" s="1" t="s">
        <v>345</v>
      </c>
      <c r="H709" s="1" t="s">
        <v>346</v>
      </c>
      <c r="I709" s="1" t="s">
        <v>347</v>
      </c>
      <c r="J709" s="1" t="s">
        <v>348</v>
      </c>
    </row>
    <row r="710" spans="1:10" x14ac:dyDescent="0.25">
      <c r="A710" s="1" t="s">
        <v>2182</v>
      </c>
      <c r="B710" s="1" t="s">
        <v>671</v>
      </c>
      <c r="C710" s="19">
        <v>46182</v>
      </c>
      <c r="D710" s="1" t="s">
        <v>21</v>
      </c>
      <c r="E710" s="1" t="s">
        <v>81</v>
      </c>
      <c r="F710" s="1">
        <v>5715</v>
      </c>
      <c r="G710" s="1" t="s">
        <v>349</v>
      </c>
      <c r="H710" s="1" t="s">
        <v>350</v>
      </c>
      <c r="I710" s="1" t="s">
        <v>347</v>
      </c>
      <c r="J710" s="1" t="s">
        <v>351</v>
      </c>
    </row>
    <row r="711" spans="1:10" x14ac:dyDescent="0.25">
      <c r="A711" s="1" t="s">
        <v>2183</v>
      </c>
      <c r="B711" s="1" t="s">
        <v>671</v>
      </c>
      <c r="C711" s="19">
        <v>46182</v>
      </c>
      <c r="D711" s="1" t="s">
        <v>21</v>
      </c>
      <c r="E711" s="1" t="s">
        <v>81</v>
      </c>
      <c r="F711" s="1">
        <v>5715</v>
      </c>
      <c r="G711" s="1" t="s">
        <v>361</v>
      </c>
      <c r="H711" s="1" t="s">
        <v>353</v>
      </c>
      <c r="I711" s="1" t="s">
        <v>347</v>
      </c>
      <c r="J711" s="1" t="s">
        <v>362</v>
      </c>
    </row>
    <row r="712" spans="1:10" x14ac:dyDescent="0.25">
      <c r="A712" s="1" t="s">
        <v>2184</v>
      </c>
      <c r="B712" s="1" t="s">
        <v>672</v>
      </c>
      <c r="C712" s="19">
        <v>46182</v>
      </c>
      <c r="D712" s="1" t="s">
        <v>21</v>
      </c>
      <c r="E712" s="1" t="s">
        <v>81</v>
      </c>
      <c r="F712" s="1">
        <v>5716</v>
      </c>
      <c r="G712" s="1" t="s">
        <v>355</v>
      </c>
      <c r="H712" s="1" t="s">
        <v>346</v>
      </c>
      <c r="I712" s="1" t="s">
        <v>347</v>
      </c>
      <c r="J712" s="1" t="s">
        <v>356</v>
      </c>
    </row>
    <row r="713" spans="1:10" x14ac:dyDescent="0.25">
      <c r="A713" s="1" t="s">
        <v>2185</v>
      </c>
      <c r="B713" s="1" t="s">
        <v>672</v>
      </c>
      <c r="C713" s="19">
        <v>46182</v>
      </c>
      <c r="D713" s="1" t="s">
        <v>21</v>
      </c>
      <c r="E713" s="1" t="s">
        <v>81</v>
      </c>
      <c r="F713" s="1">
        <v>5716</v>
      </c>
      <c r="G713" s="1" t="s">
        <v>345</v>
      </c>
      <c r="H713" s="1" t="s">
        <v>346</v>
      </c>
      <c r="I713" s="1" t="s">
        <v>347</v>
      </c>
      <c r="J713" s="1" t="s">
        <v>348</v>
      </c>
    </row>
    <row r="714" spans="1:10" x14ac:dyDescent="0.25">
      <c r="A714" s="1" t="s">
        <v>2186</v>
      </c>
      <c r="B714" s="1" t="s">
        <v>672</v>
      </c>
      <c r="C714" s="19">
        <v>46182</v>
      </c>
      <c r="D714" s="1" t="s">
        <v>21</v>
      </c>
      <c r="E714" s="1" t="s">
        <v>81</v>
      </c>
      <c r="F714" s="1">
        <v>5716</v>
      </c>
      <c r="G714" s="1" t="s">
        <v>349</v>
      </c>
      <c r="H714" s="1" t="s">
        <v>350</v>
      </c>
      <c r="I714" s="1" t="s">
        <v>347</v>
      </c>
      <c r="J714" s="1" t="s">
        <v>351</v>
      </c>
    </row>
    <row r="715" spans="1:10" x14ac:dyDescent="0.25">
      <c r="A715" s="1" t="s">
        <v>2187</v>
      </c>
      <c r="B715" s="1" t="s">
        <v>672</v>
      </c>
      <c r="C715" s="19">
        <v>46182</v>
      </c>
      <c r="D715" s="1" t="s">
        <v>21</v>
      </c>
      <c r="E715" s="1" t="s">
        <v>81</v>
      </c>
      <c r="F715" s="1">
        <v>5716</v>
      </c>
      <c r="G715" s="1" t="s">
        <v>361</v>
      </c>
      <c r="H715" s="1" t="s">
        <v>353</v>
      </c>
      <c r="I715" s="1" t="s">
        <v>347</v>
      </c>
      <c r="J715" s="1" t="s">
        <v>362</v>
      </c>
    </row>
    <row r="716" spans="1:10" x14ac:dyDescent="0.25">
      <c r="A716" s="1" t="s">
        <v>2188</v>
      </c>
      <c r="B716" s="1" t="s">
        <v>673</v>
      </c>
      <c r="C716" s="19">
        <v>46182</v>
      </c>
      <c r="D716" s="1" t="s">
        <v>21</v>
      </c>
      <c r="E716" s="1" t="s">
        <v>81</v>
      </c>
      <c r="F716" s="1">
        <v>5717</v>
      </c>
      <c r="G716" s="1" t="s">
        <v>355</v>
      </c>
      <c r="H716" s="1" t="s">
        <v>346</v>
      </c>
      <c r="I716" s="1" t="s">
        <v>347</v>
      </c>
      <c r="J716" s="1" t="s">
        <v>356</v>
      </c>
    </row>
    <row r="717" spans="1:10" x14ac:dyDescent="0.25">
      <c r="A717" s="1" t="s">
        <v>2189</v>
      </c>
      <c r="B717" s="1" t="s">
        <v>673</v>
      </c>
      <c r="C717" s="19">
        <v>46182</v>
      </c>
      <c r="D717" s="1" t="s">
        <v>21</v>
      </c>
      <c r="E717" s="1" t="s">
        <v>81</v>
      </c>
      <c r="F717" s="1">
        <v>5717</v>
      </c>
      <c r="G717" s="1" t="s">
        <v>345</v>
      </c>
      <c r="H717" s="1" t="s">
        <v>346</v>
      </c>
      <c r="I717" s="1" t="s">
        <v>347</v>
      </c>
      <c r="J717" s="1" t="s">
        <v>348</v>
      </c>
    </row>
    <row r="718" spans="1:10" x14ac:dyDescent="0.25">
      <c r="A718" s="1" t="s">
        <v>2190</v>
      </c>
      <c r="B718" s="1" t="s">
        <v>673</v>
      </c>
      <c r="C718" s="19">
        <v>46182</v>
      </c>
      <c r="D718" s="1" t="s">
        <v>21</v>
      </c>
      <c r="E718" s="1" t="s">
        <v>81</v>
      </c>
      <c r="F718" s="1">
        <v>5717</v>
      </c>
      <c r="G718" s="1" t="s">
        <v>349</v>
      </c>
      <c r="H718" s="1" t="s">
        <v>350</v>
      </c>
      <c r="I718" s="1" t="s">
        <v>347</v>
      </c>
      <c r="J718" s="1" t="s">
        <v>351</v>
      </c>
    </row>
    <row r="719" spans="1:10" x14ac:dyDescent="0.25">
      <c r="A719" s="1" t="s">
        <v>2191</v>
      </c>
      <c r="B719" s="1" t="s">
        <v>673</v>
      </c>
      <c r="C719" s="19">
        <v>46182</v>
      </c>
      <c r="D719" s="1" t="s">
        <v>21</v>
      </c>
      <c r="E719" s="1" t="s">
        <v>81</v>
      </c>
      <c r="F719" s="1">
        <v>5717</v>
      </c>
      <c r="G719" s="1" t="s">
        <v>361</v>
      </c>
      <c r="H719" s="1" t="s">
        <v>353</v>
      </c>
      <c r="I719" s="1" t="s">
        <v>347</v>
      </c>
      <c r="J719" s="1" t="s">
        <v>362</v>
      </c>
    </row>
    <row r="720" spans="1:10" x14ac:dyDescent="0.25">
      <c r="A720" s="1" t="s">
        <v>2192</v>
      </c>
      <c r="B720" s="1" t="s">
        <v>674</v>
      </c>
      <c r="C720" s="19">
        <v>46182</v>
      </c>
      <c r="D720" s="1" t="s">
        <v>21</v>
      </c>
      <c r="E720" s="1" t="s">
        <v>81</v>
      </c>
      <c r="F720" s="1">
        <v>5718</v>
      </c>
      <c r="G720" s="1" t="s">
        <v>355</v>
      </c>
      <c r="H720" s="1" t="s">
        <v>346</v>
      </c>
      <c r="I720" s="1" t="s">
        <v>347</v>
      </c>
      <c r="J720" s="1" t="s">
        <v>356</v>
      </c>
    </row>
    <row r="721" spans="1:10" x14ac:dyDescent="0.25">
      <c r="A721" s="1" t="s">
        <v>2193</v>
      </c>
      <c r="B721" s="1" t="s">
        <v>674</v>
      </c>
      <c r="C721" s="19">
        <v>46182</v>
      </c>
      <c r="D721" s="1" t="s">
        <v>21</v>
      </c>
      <c r="E721" s="1" t="s">
        <v>81</v>
      </c>
      <c r="F721" s="1">
        <v>5718</v>
      </c>
      <c r="G721" s="1" t="s">
        <v>345</v>
      </c>
      <c r="H721" s="1" t="s">
        <v>346</v>
      </c>
      <c r="I721" s="1" t="s">
        <v>347</v>
      </c>
      <c r="J721" s="1" t="s">
        <v>348</v>
      </c>
    </row>
    <row r="722" spans="1:10" x14ac:dyDescent="0.25">
      <c r="A722" s="1" t="s">
        <v>2194</v>
      </c>
      <c r="B722" s="1" t="s">
        <v>674</v>
      </c>
      <c r="C722" s="19">
        <v>46182</v>
      </c>
      <c r="D722" s="1" t="s">
        <v>21</v>
      </c>
      <c r="E722" s="1" t="s">
        <v>81</v>
      </c>
      <c r="F722" s="1">
        <v>5718</v>
      </c>
      <c r="G722" s="1" t="s">
        <v>349</v>
      </c>
      <c r="H722" s="1" t="s">
        <v>350</v>
      </c>
      <c r="I722" s="1" t="s">
        <v>347</v>
      </c>
      <c r="J722" s="1" t="s">
        <v>351</v>
      </c>
    </row>
    <row r="723" spans="1:10" x14ac:dyDescent="0.25">
      <c r="A723" s="1" t="s">
        <v>2195</v>
      </c>
      <c r="B723" s="1" t="s">
        <v>674</v>
      </c>
      <c r="C723" s="19">
        <v>46182</v>
      </c>
      <c r="D723" s="1" t="s">
        <v>21</v>
      </c>
      <c r="E723" s="1" t="s">
        <v>81</v>
      </c>
      <c r="F723" s="1">
        <v>5718</v>
      </c>
      <c r="G723" s="1" t="s">
        <v>361</v>
      </c>
      <c r="H723" s="1" t="s">
        <v>353</v>
      </c>
      <c r="I723" s="1" t="s">
        <v>347</v>
      </c>
      <c r="J723" s="1" t="s">
        <v>362</v>
      </c>
    </row>
    <row r="724" spans="1:10" x14ac:dyDescent="0.25">
      <c r="A724" s="1" t="s">
        <v>2196</v>
      </c>
      <c r="B724" s="1" t="s">
        <v>675</v>
      </c>
      <c r="C724" s="19">
        <v>46182</v>
      </c>
      <c r="D724" s="1" t="s">
        <v>21</v>
      </c>
      <c r="E724" s="1" t="s">
        <v>81</v>
      </c>
      <c r="F724" s="1">
        <v>5719</v>
      </c>
      <c r="G724" s="1" t="s">
        <v>355</v>
      </c>
      <c r="H724" s="1" t="s">
        <v>346</v>
      </c>
      <c r="I724" s="1" t="s">
        <v>347</v>
      </c>
      <c r="J724" s="1" t="s">
        <v>356</v>
      </c>
    </row>
    <row r="725" spans="1:10" x14ac:dyDescent="0.25">
      <c r="A725" s="1" t="s">
        <v>2197</v>
      </c>
      <c r="B725" s="1" t="s">
        <v>675</v>
      </c>
      <c r="C725" s="19">
        <v>46182</v>
      </c>
      <c r="D725" s="1" t="s">
        <v>21</v>
      </c>
      <c r="E725" s="1" t="s">
        <v>81</v>
      </c>
      <c r="F725" s="1">
        <v>5719</v>
      </c>
      <c r="G725" s="1" t="s">
        <v>345</v>
      </c>
      <c r="H725" s="1" t="s">
        <v>346</v>
      </c>
      <c r="I725" s="1" t="s">
        <v>347</v>
      </c>
      <c r="J725" s="1" t="s">
        <v>348</v>
      </c>
    </row>
    <row r="726" spans="1:10" x14ac:dyDescent="0.25">
      <c r="A726" s="1" t="s">
        <v>2198</v>
      </c>
      <c r="B726" s="1" t="s">
        <v>675</v>
      </c>
      <c r="C726" s="19">
        <v>46182</v>
      </c>
      <c r="D726" s="1" t="s">
        <v>21</v>
      </c>
      <c r="E726" s="1" t="s">
        <v>81</v>
      </c>
      <c r="F726" s="1">
        <v>5719</v>
      </c>
      <c r="G726" s="1" t="s">
        <v>349</v>
      </c>
      <c r="H726" s="1" t="s">
        <v>350</v>
      </c>
      <c r="I726" s="1" t="s">
        <v>347</v>
      </c>
      <c r="J726" s="1" t="s">
        <v>351</v>
      </c>
    </row>
    <row r="727" spans="1:10" x14ac:dyDescent="0.25">
      <c r="A727" s="1" t="s">
        <v>2199</v>
      </c>
      <c r="B727" s="1" t="s">
        <v>675</v>
      </c>
      <c r="C727" s="19">
        <v>46182</v>
      </c>
      <c r="D727" s="1" t="s">
        <v>21</v>
      </c>
      <c r="E727" s="1" t="s">
        <v>81</v>
      </c>
      <c r="F727" s="1">
        <v>5719</v>
      </c>
      <c r="G727" s="1" t="s">
        <v>361</v>
      </c>
      <c r="H727" s="1" t="s">
        <v>353</v>
      </c>
      <c r="I727" s="1" t="s">
        <v>347</v>
      </c>
      <c r="J727" s="1" t="s">
        <v>362</v>
      </c>
    </row>
    <row r="728" spans="1:10" x14ac:dyDescent="0.25">
      <c r="A728" s="1" t="s">
        <v>2200</v>
      </c>
      <c r="B728" s="1" t="s">
        <v>676</v>
      </c>
      <c r="C728" s="19">
        <v>46182</v>
      </c>
      <c r="D728" s="1" t="s">
        <v>21</v>
      </c>
      <c r="E728" s="1" t="s">
        <v>81</v>
      </c>
      <c r="F728" s="1">
        <v>5720</v>
      </c>
      <c r="G728" s="1" t="s">
        <v>355</v>
      </c>
      <c r="H728" s="1" t="s">
        <v>346</v>
      </c>
      <c r="I728" s="1" t="s">
        <v>347</v>
      </c>
      <c r="J728" s="1" t="s">
        <v>356</v>
      </c>
    </row>
    <row r="729" spans="1:10" x14ac:dyDescent="0.25">
      <c r="A729" s="1" t="s">
        <v>2201</v>
      </c>
      <c r="B729" s="1" t="s">
        <v>676</v>
      </c>
      <c r="C729" s="19">
        <v>46182</v>
      </c>
      <c r="D729" s="1" t="s">
        <v>21</v>
      </c>
      <c r="E729" s="1" t="s">
        <v>81</v>
      </c>
      <c r="F729" s="1">
        <v>5720</v>
      </c>
      <c r="G729" s="1" t="s">
        <v>345</v>
      </c>
      <c r="H729" s="1" t="s">
        <v>346</v>
      </c>
      <c r="I729" s="1" t="s">
        <v>347</v>
      </c>
      <c r="J729" s="1" t="s">
        <v>348</v>
      </c>
    </row>
    <row r="730" spans="1:10" x14ac:dyDescent="0.25">
      <c r="A730" s="1" t="s">
        <v>2202</v>
      </c>
      <c r="B730" s="1" t="s">
        <v>676</v>
      </c>
      <c r="C730" s="19">
        <v>46182</v>
      </c>
      <c r="D730" s="1" t="s">
        <v>21</v>
      </c>
      <c r="E730" s="1" t="s">
        <v>81</v>
      </c>
      <c r="F730" s="1">
        <v>5720</v>
      </c>
      <c r="G730" s="1" t="s">
        <v>349</v>
      </c>
      <c r="H730" s="1" t="s">
        <v>350</v>
      </c>
      <c r="I730" s="1" t="s">
        <v>347</v>
      </c>
      <c r="J730" s="1" t="s">
        <v>351</v>
      </c>
    </row>
    <row r="731" spans="1:10" x14ac:dyDescent="0.25">
      <c r="A731" s="1" t="s">
        <v>2203</v>
      </c>
      <c r="B731" s="1" t="s">
        <v>676</v>
      </c>
      <c r="C731" s="19">
        <v>46182</v>
      </c>
      <c r="D731" s="1" t="s">
        <v>21</v>
      </c>
      <c r="E731" s="1" t="s">
        <v>81</v>
      </c>
      <c r="F731" s="1">
        <v>5720</v>
      </c>
      <c r="G731" s="1" t="s">
        <v>361</v>
      </c>
      <c r="H731" s="1" t="s">
        <v>353</v>
      </c>
      <c r="I731" s="1" t="s">
        <v>347</v>
      </c>
      <c r="J731" s="1" t="s">
        <v>362</v>
      </c>
    </row>
    <row r="732" spans="1:10" x14ac:dyDescent="0.25">
      <c r="A732" s="1" t="s">
        <v>2204</v>
      </c>
      <c r="B732" s="1" t="s">
        <v>677</v>
      </c>
      <c r="C732" s="19">
        <v>46182</v>
      </c>
      <c r="D732" s="1" t="s">
        <v>21</v>
      </c>
      <c r="E732" s="1" t="s">
        <v>81</v>
      </c>
      <c r="F732" s="1">
        <v>5721</v>
      </c>
      <c r="G732" s="1" t="s">
        <v>355</v>
      </c>
      <c r="H732" s="1" t="s">
        <v>346</v>
      </c>
      <c r="I732" s="1" t="s">
        <v>347</v>
      </c>
      <c r="J732" s="1" t="s">
        <v>356</v>
      </c>
    </row>
    <row r="733" spans="1:10" x14ac:dyDescent="0.25">
      <c r="A733" s="1" t="s">
        <v>2205</v>
      </c>
      <c r="B733" s="1" t="s">
        <v>677</v>
      </c>
      <c r="C733" s="19">
        <v>46182</v>
      </c>
      <c r="D733" s="1" t="s">
        <v>21</v>
      </c>
      <c r="E733" s="1" t="s">
        <v>81</v>
      </c>
      <c r="F733" s="1">
        <v>5721</v>
      </c>
      <c r="G733" s="1" t="s">
        <v>345</v>
      </c>
      <c r="H733" s="1" t="s">
        <v>346</v>
      </c>
      <c r="I733" s="1" t="s">
        <v>347</v>
      </c>
      <c r="J733" s="1" t="s">
        <v>348</v>
      </c>
    </row>
    <row r="734" spans="1:10" x14ac:dyDescent="0.25">
      <c r="A734" s="1" t="s">
        <v>2206</v>
      </c>
      <c r="B734" s="1" t="s">
        <v>677</v>
      </c>
      <c r="C734" s="19">
        <v>46182</v>
      </c>
      <c r="D734" s="1" t="s">
        <v>21</v>
      </c>
      <c r="E734" s="1" t="s">
        <v>81</v>
      </c>
      <c r="F734" s="1">
        <v>5721</v>
      </c>
      <c r="G734" s="1" t="s">
        <v>349</v>
      </c>
      <c r="H734" s="1" t="s">
        <v>350</v>
      </c>
      <c r="I734" s="1" t="s">
        <v>347</v>
      </c>
      <c r="J734" s="1" t="s">
        <v>351</v>
      </c>
    </row>
    <row r="735" spans="1:10" x14ac:dyDescent="0.25">
      <c r="A735" s="1" t="s">
        <v>2207</v>
      </c>
      <c r="B735" s="1" t="s">
        <v>677</v>
      </c>
      <c r="C735" s="19">
        <v>46182</v>
      </c>
      <c r="D735" s="1" t="s">
        <v>21</v>
      </c>
      <c r="E735" s="1" t="s">
        <v>81</v>
      </c>
      <c r="F735" s="1">
        <v>5721</v>
      </c>
      <c r="G735" s="1" t="s">
        <v>361</v>
      </c>
      <c r="H735" s="1" t="s">
        <v>353</v>
      </c>
      <c r="I735" s="1" t="s">
        <v>347</v>
      </c>
      <c r="J735" s="1" t="s">
        <v>362</v>
      </c>
    </row>
    <row r="736" spans="1:10" x14ac:dyDescent="0.25">
      <c r="A736" s="1" t="s">
        <v>2208</v>
      </c>
      <c r="B736" s="1" t="s">
        <v>678</v>
      </c>
      <c r="C736" s="19">
        <v>46182</v>
      </c>
      <c r="D736" s="1" t="s">
        <v>21</v>
      </c>
      <c r="E736" s="1" t="s">
        <v>81</v>
      </c>
      <c r="F736" s="1">
        <v>5722</v>
      </c>
      <c r="G736" s="1" t="s">
        <v>355</v>
      </c>
      <c r="H736" s="1" t="s">
        <v>346</v>
      </c>
      <c r="I736" s="1" t="s">
        <v>347</v>
      </c>
      <c r="J736" s="1" t="s">
        <v>356</v>
      </c>
    </row>
    <row r="737" spans="1:10" x14ac:dyDescent="0.25">
      <c r="A737" s="1" t="s">
        <v>2209</v>
      </c>
      <c r="B737" s="1" t="s">
        <v>678</v>
      </c>
      <c r="C737" s="19">
        <v>46182</v>
      </c>
      <c r="D737" s="1" t="s">
        <v>21</v>
      </c>
      <c r="E737" s="1" t="s">
        <v>81</v>
      </c>
      <c r="F737" s="1">
        <v>5722</v>
      </c>
      <c r="G737" s="1" t="s">
        <v>345</v>
      </c>
      <c r="H737" s="1" t="s">
        <v>346</v>
      </c>
      <c r="I737" s="1" t="s">
        <v>347</v>
      </c>
      <c r="J737" s="1" t="s">
        <v>348</v>
      </c>
    </row>
    <row r="738" spans="1:10" x14ac:dyDescent="0.25">
      <c r="A738" s="1" t="s">
        <v>2210</v>
      </c>
      <c r="B738" s="1" t="s">
        <v>678</v>
      </c>
      <c r="C738" s="19">
        <v>46182</v>
      </c>
      <c r="D738" s="1" t="s">
        <v>21</v>
      </c>
      <c r="E738" s="1" t="s">
        <v>81</v>
      </c>
      <c r="F738" s="1">
        <v>5722</v>
      </c>
      <c r="G738" s="1" t="s">
        <v>349</v>
      </c>
      <c r="H738" s="1" t="s">
        <v>350</v>
      </c>
      <c r="I738" s="1" t="s">
        <v>347</v>
      </c>
      <c r="J738" s="1" t="s">
        <v>351</v>
      </c>
    </row>
    <row r="739" spans="1:10" x14ac:dyDescent="0.25">
      <c r="A739" s="1" t="s">
        <v>2211</v>
      </c>
      <c r="B739" s="1" t="s">
        <v>678</v>
      </c>
      <c r="C739" s="19">
        <v>46182</v>
      </c>
      <c r="D739" s="1" t="s">
        <v>21</v>
      </c>
      <c r="E739" s="1" t="s">
        <v>81</v>
      </c>
      <c r="F739" s="1">
        <v>5722</v>
      </c>
      <c r="G739" s="1" t="s">
        <v>361</v>
      </c>
      <c r="H739" s="1" t="s">
        <v>353</v>
      </c>
      <c r="I739" s="1" t="s">
        <v>347</v>
      </c>
      <c r="J739" s="1" t="s">
        <v>362</v>
      </c>
    </row>
    <row r="740" spans="1:10" x14ac:dyDescent="0.25">
      <c r="A740" s="1" t="s">
        <v>2212</v>
      </c>
      <c r="B740" s="1" t="s">
        <v>679</v>
      </c>
      <c r="C740" s="19">
        <v>46182</v>
      </c>
      <c r="D740" s="1" t="s">
        <v>21</v>
      </c>
      <c r="E740" s="1" t="s">
        <v>81</v>
      </c>
      <c r="F740" s="1">
        <v>5723</v>
      </c>
      <c r="G740" s="1" t="s">
        <v>355</v>
      </c>
      <c r="H740" s="1" t="s">
        <v>346</v>
      </c>
      <c r="I740" s="1" t="s">
        <v>347</v>
      </c>
      <c r="J740" s="1" t="s">
        <v>356</v>
      </c>
    </row>
    <row r="741" spans="1:10" x14ac:dyDescent="0.25">
      <c r="A741" s="1" t="s">
        <v>2213</v>
      </c>
      <c r="B741" s="1" t="s">
        <v>679</v>
      </c>
      <c r="C741" s="19">
        <v>46182</v>
      </c>
      <c r="D741" s="1" t="s">
        <v>21</v>
      </c>
      <c r="E741" s="1" t="s">
        <v>81</v>
      </c>
      <c r="F741" s="1">
        <v>5723</v>
      </c>
      <c r="G741" s="1" t="s">
        <v>345</v>
      </c>
      <c r="H741" s="1" t="s">
        <v>346</v>
      </c>
      <c r="I741" s="1" t="s">
        <v>347</v>
      </c>
      <c r="J741" s="1" t="s">
        <v>348</v>
      </c>
    </row>
    <row r="742" spans="1:10" x14ac:dyDescent="0.25">
      <c r="A742" s="1" t="s">
        <v>2214</v>
      </c>
      <c r="B742" s="1" t="s">
        <v>679</v>
      </c>
      <c r="C742" s="19">
        <v>46182</v>
      </c>
      <c r="D742" s="1" t="s">
        <v>21</v>
      </c>
      <c r="E742" s="1" t="s">
        <v>81</v>
      </c>
      <c r="F742" s="1">
        <v>5723</v>
      </c>
      <c r="G742" s="1" t="s">
        <v>349</v>
      </c>
      <c r="H742" s="1" t="s">
        <v>350</v>
      </c>
      <c r="I742" s="1" t="s">
        <v>347</v>
      </c>
      <c r="J742" s="1" t="s">
        <v>351</v>
      </c>
    </row>
    <row r="743" spans="1:10" x14ac:dyDescent="0.25">
      <c r="A743" s="1" t="s">
        <v>2215</v>
      </c>
      <c r="B743" s="1" t="s">
        <v>679</v>
      </c>
      <c r="C743" s="19">
        <v>46182</v>
      </c>
      <c r="D743" s="1" t="s">
        <v>21</v>
      </c>
      <c r="E743" s="1" t="s">
        <v>81</v>
      </c>
      <c r="F743" s="1">
        <v>5723</v>
      </c>
      <c r="G743" s="1" t="s">
        <v>361</v>
      </c>
      <c r="H743" s="1" t="s">
        <v>353</v>
      </c>
      <c r="I743" s="1" t="s">
        <v>347</v>
      </c>
      <c r="J743" s="1" t="s">
        <v>362</v>
      </c>
    </row>
    <row r="744" spans="1:10" x14ac:dyDescent="0.25">
      <c r="A744" s="1" t="s">
        <v>2216</v>
      </c>
      <c r="B744" s="1" t="s">
        <v>680</v>
      </c>
      <c r="C744" s="19">
        <v>46182</v>
      </c>
      <c r="D744" s="1" t="s">
        <v>21</v>
      </c>
      <c r="E744" s="1" t="s">
        <v>81</v>
      </c>
      <c r="F744" s="1">
        <v>5724</v>
      </c>
      <c r="G744" s="1" t="s">
        <v>355</v>
      </c>
      <c r="H744" s="1" t="s">
        <v>346</v>
      </c>
      <c r="I744" s="1" t="s">
        <v>347</v>
      </c>
      <c r="J744" s="1" t="s">
        <v>356</v>
      </c>
    </row>
    <row r="745" spans="1:10" x14ac:dyDescent="0.25">
      <c r="A745" s="1" t="s">
        <v>2217</v>
      </c>
      <c r="B745" s="1" t="s">
        <v>680</v>
      </c>
      <c r="C745" s="19">
        <v>46182</v>
      </c>
      <c r="D745" s="1" t="s">
        <v>21</v>
      </c>
      <c r="E745" s="1" t="s">
        <v>81</v>
      </c>
      <c r="F745" s="1">
        <v>5724</v>
      </c>
      <c r="G745" s="1" t="s">
        <v>345</v>
      </c>
      <c r="H745" s="1" t="s">
        <v>346</v>
      </c>
      <c r="I745" s="1" t="s">
        <v>347</v>
      </c>
      <c r="J745" s="1" t="s">
        <v>348</v>
      </c>
    </row>
    <row r="746" spans="1:10" x14ac:dyDescent="0.25">
      <c r="A746" s="1" t="s">
        <v>2218</v>
      </c>
      <c r="B746" s="1" t="s">
        <v>680</v>
      </c>
      <c r="C746" s="19">
        <v>46182</v>
      </c>
      <c r="D746" s="1" t="s">
        <v>21</v>
      </c>
      <c r="E746" s="1" t="s">
        <v>81</v>
      </c>
      <c r="F746" s="1">
        <v>5724</v>
      </c>
      <c r="G746" s="1" t="s">
        <v>349</v>
      </c>
      <c r="H746" s="1" t="s">
        <v>350</v>
      </c>
      <c r="I746" s="1" t="s">
        <v>347</v>
      </c>
      <c r="J746" s="1" t="s">
        <v>351</v>
      </c>
    </row>
    <row r="747" spans="1:10" x14ac:dyDescent="0.25">
      <c r="A747" s="1" t="s">
        <v>2219</v>
      </c>
      <c r="B747" s="1" t="s">
        <v>680</v>
      </c>
      <c r="C747" s="19">
        <v>46182</v>
      </c>
      <c r="D747" s="1" t="s">
        <v>21</v>
      </c>
      <c r="E747" s="1" t="s">
        <v>81</v>
      </c>
      <c r="F747" s="1">
        <v>5724</v>
      </c>
      <c r="G747" s="1" t="s">
        <v>361</v>
      </c>
      <c r="H747" s="1" t="s">
        <v>353</v>
      </c>
      <c r="I747" s="1" t="s">
        <v>347</v>
      </c>
      <c r="J747" s="1" t="s">
        <v>362</v>
      </c>
    </row>
    <row r="748" spans="1:10" x14ac:dyDescent="0.25">
      <c r="A748" s="1" t="s">
        <v>2220</v>
      </c>
      <c r="B748" s="1" t="s">
        <v>681</v>
      </c>
      <c r="C748" s="19">
        <v>46182</v>
      </c>
      <c r="D748" s="1" t="s">
        <v>21</v>
      </c>
      <c r="E748" s="1" t="s">
        <v>81</v>
      </c>
      <c r="F748" s="1">
        <v>5725</v>
      </c>
      <c r="G748" s="1" t="s">
        <v>355</v>
      </c>
      <c r="H748" s="1" t="s">
        <v>346</v>
      </c>
      <c r="I748" s="1" t="s">
        <v>347</v>
      </c>
      <c r="J748" s="1" t="s">
        <v>356</v>
      </c>
    </row>
    <row r="749" spans="1:10" x14ac:dyDescent="0.25">
      <c r="A749" s="1" t="s">
        <v>2221</v>
      </c>
      <c r="B749" s="1" t="s">
        <v>681</v>
      </c>
      <c r="C749" s="19">
        <v>46182</v>
      </c>
      <c r="D749" s="1" t="s">
        <v>21</v>
      </c>
      <c r="E749" s="1" t="s">
        <v>81</v>
      </c>
      <c r="F749" s="1">
        <v>5725</v>
      </c>
      <c r="G749" s="1" t="s">
        <v>345</v>
      </c>
      <c r="H749" s="1" t="s">
        <v>346</v>
      </c>
      <c r="I749" s="1" t="s">
        <v>347</v>
      </c>
      <c r="J749" s="1" t="s">
        <v>348</v>
      </c>
    </row>
    <row r="750" spans="1:10" x14ac:dyDescent="0.25">
      <c r="A750" s="1" t="s">
        <v>2222</v>
      </c>
      <c r="B750" s="1" t="s">
        <v>681</v>
      </c>
      <c r="C750" s="19">
        <v>46182</v>
      </c>
      <c r="D750" s="1" t="s">
        <v>21</v>
      </c>
      <c r="E750" s="1" t="s">
        <v>81</v>
      </c>
      <c r="F750" s="1">
        <v>5725</v>
      </c>
      <c r="G750" s="1" t="s">
        <v>349</v>
      </c>
      <c r="H750" s="1" t="s">
        <v>350</v>
      </c>
      <c r="I750" s="1" t="s">
        <v>347</v>
      </c>
      <c r="J750" s="1" t="s">
        <v>351</v>
      </c>
    </row>
    <row r="751" spans="1:10" x14ac:dyDescent="0.25">
      <c r="A751" s="1" t="s">
        <v>2223</v>
      </c>
      <c r="B751" s="1" t="s">
        <v>681</v>
      </c>
      <c r="C751" s="19">
        <v>46182</v>
      </c>
      <c r="D751" s="1" t="s">
        <v>21</v>
      </c>
      <c r="E751" s="1" t="s">
        <v>81</v>
      </c>
      <c r="F751" s="1">
        <v>5725</v>
      </c>
      <c r="G751" s="1" t="s">
        <v>361</v>
      </c>
      <c r="H751" s="1" t="s">
        <v>353</v>
      </c>
      <c r="I751" s="1" t="s">
        <v>347</v>
      </c>
      <c r="J751" s="1" t="s">
        <v>362</v>
      </c>
    </row>
    <row r="752" spans="1:10" x14ac:dyDescent="0.25">
      <c r="A752" s="1" t="s">
        <v>2224</v>
      </c>
      <c r="B752" s="1" t="s">
        <v>682</v>
      </c>
      <c r="C752" s="19">
        <v>46182</v>
      </c>
      <c r="D752" s="1" t="s">
        <v>21</v>
      </c>
      <c r="E752" s="1" t="s">
        <v>81</v>
      </c>
      <c r="F752" s="1">
        <v>5726</v>
      </c>
      <c r="G752" s="1" t="s">
        <v>355</v>
      </c>
      <c r="H752" s="1" t="s">
        <v>346</v>
      </c>
      <c r="I752" s="1" t="s">
        <v>347</v>
      </c>
      <c r="J752" s="1" t="s">
        <v>356</v>
      </c>
    </row>
    <row r="753" spans="1:10" x14ac:dyDescent="0.25">
      <c r="A753" s="1" t="s">
        <v>2225</v>
      </c>
      <c r="B753" s="1" t="s">
        <v>682</v>
      </c>
      <c r="C753" s="19">
        <v>46182</v>
      </c>
      <c r="D753" s="1" t="s">
        <v>21</v>
      </c>
      <c r="E753" s="1" t="s">
        <v>81</v>
      </c>
      <c r="F753" s="1">
        <v>5726</v>
      </c>
      <c r="G753" s="1" t="s">
        <v>345</v>
      </c>
      <c r="H753" s="1" t="s">
        <v>346</v>
      </c>
      <c r="I753" s="1" t="s">
        <v>347</v>
      </c>
      <c r="J753" s="1" t="s">
        <v>348</v>
      </c>
    </row>
    <row r="754" spans="1:10" x14ac:dyDescent="0.25">
      <c r="A754" s="1" t="s">
        <v>2226</v>
      </c>
      <c r="B754" s="1" t="s">
        <v>682</v>
      </c>
      <c r="C754" s="19">
        <v>46182</v>
      </c>
      <c r="D754" s="1" t="s">
        <v>21</v>
      </c>
      <c r="E754" s="1" t="s">
        <v>81</v>
      </c>
      <c r="F754" s="1">
        <v>5726</v>
      </c>
      <c r="G754" s="1" t="s">
        <v>349</v>
      </c>
      <c r="H754" s="1" t="s">
        <v>350</v>
      </c>
      <c r="I754" s="1" t="s">
        <v>347</v>
      </c>
      <c r="J754" s="1" t="s">
        <v>351</v>
      </c>
    </row>
    <row r="755" spans="1:10" x14ac:dyDescent="0.25">
      <c r="A755" s="1" t="s">
        <v>2227</v>
      </c>
      <c r="B755" s="1" t="s">
        <v>682</v>
      </c>
      <c r="C755" s="19">
        <v>46182</v>
      </c>
      <c r="D755" s="1" t="s">
        <v>21</v>
      </c>
      <c r="E755" s="1" t="s">
        <v>81</v>
      </c>
      <c r="F755" s="1">
        <v>5726</v>
      </c>
      <c r="G755" s="1" t="s">
        <v>361</v>
      </c>
      <c r="H755" s="1" t="s">
        <v>353</v>
      </c>
      <c r="I755" s="1" t="s">
        <v>347</v>
      </c>
      <c r="J755" s="1" t="s">
        <v>362</v>
      </c>
    </row>
    <row r="756" spans="1:10" x14ac:dyDescent="0.25">
      <c r="A756" s="1" t="s">
        <v>2228</v>
      </c>
      <c r="B756" s="1" t="s">
        <v>683</v>
      </c>
      <c r="C756" s="19">
        <v>46182</v>
      </c>
      <c r="D756" s="1" t="s">
        <v>21</v>
      </c>
      <c r="E756" s="1" t="s">
        <v>81</v>
      </c>
      <c r="F756" s="1">
        <v>5727</v>
      </c>
      <c r="G756" s="1" t="s">
        <v>355</v>
      </c>
      <c r="H756" s="1" t="s">
        <v>346</v>
      </c>
      <c r="I756" s="1" t="s">
        <v>347</v>
      </c>
      <c r="J756" s="1" t="s">
        <v>356</v>
      </c>
    </row>
    <row r="757" spans="1:10" x14ac:dyDescent="0.25">
      <c r="A757" s="1" t="s">
        <v>2229</v>
      </c>
      <c r="B757" s="1" t="s">
        <v>683</v>
      </c>
      <c r="C757" s="19">
        <v>46182</v>
      </c>
      <c r="D757" s="1" t="s">
        <v>21</v>
      </c>
      <c r="E757" s="1" t="s">
        <v>81</v>
      </c>
      <c r="F757" s="1">
        <v>5727</v>
      </c>
      <c r="G757" s="1" t="s">
        <v>345</v>
      </c>
      <c r="H757" s="1" t="s">
        <v>346</v>
      </c>
      <c r="I757" s="1" t="s">
        <v>347</v>
      </c>
      <c r="J757" s="1" t="s">
        <v>348</v>
      </c>
    </row>
    <row r="758" spans="1:10" x14ac:dyDescent="0.25">
      <c r="A758" s="1" t="s">
        <v>2230</v>
      </c>
      <c r="B758" s="1" t="s">
        <v>683</v>
      </c>
      <c r="C758" s="19">
        <v>46182</v>
      </c>
      <c r="D758" s="1" t="s">
        <v>21</v>
      </c>
      <c r="E758" s="1" t="s">
        <v>81</v>
      </c>
      <c r="F758" s="1">
        <v>5727</v>
      </c>
      <c r="G758" s="1" t="s">
        <v>349</v>
      </c>
      <c r="H758" s="1" t="s">
        <v>350</v>
      </c>
      <c r="I758" s="1" t="s">
        <v>347</v>
      </c>
      <c r="J758" s="1" t="s">
        <v>351</v>
      </c>
    </row>
    <row r="759" spans="1:10" x14ac:dyDescent="0.25">
      <c r="A759" s="1" t="s">
        <v>2231</v>
      </c>
      <c r="B759" s="1" t="s">
        <v>683</v>
      </c>
      <c r="C759" s="19">
        <v>46182</v>
      </c>
      <c r="D759" s="1" t="s">
        <v>21</v>
      </c>
      <c r="E759" s="1" t="s">
        <v>81</v>
      </c>
      <c r="F759" s="1">
        <v>5727</v>
      </c>
      <c r="G759" s="1" t="s">
        <v>361</v>
      </c>
      <c r="H759" s="1" t="s">
        <v>353</v>
      </c>
      <c r="I759" s="1" t="s">
        <v>347</v>
      </c>
      <c r="J759" s="1" t="s">
        <v>362</v>
      </c>
    </row>
    <row r="760" spans="1:10" x14ac:dyDescent="0.25">
      <c r="A760" s="1" t="s">
        <v>2232</v>
      </c>
      <c r="B760" s="1" t="s">
        <v>684</v>
      </c>
      <c r="C760" s="19">
        <v>46182</v>
      </c>
      <c r="D760" s="1" t="s">
        <v>21</v>
      </c>
      <c r="E760" s="1" t="s">
        <v>81</v>
      </c>
      <c r="F760" s="1">
        <v>5728</v>
      </c>
      <c r="G760" s="1" t="s">
        <v>355</v>
      </c>
      <c r="H760" s="1" t="s">
        <v>346</v>
      </c>
      <c r="I760" s="1" t="s">
        <v>347</v>
      </c>
      <c r="J760" s="1" t="s">
        <v>356</v>
      </c>
    </row>
    <row r="761" spans="1:10" x14ac:dyDescent="0.25">
      <c r="A761" s="1" t="s">
        <v>2233</v>
      </c>
      <c r="B761" s="1" t="s">
        <v>684</v>
      </c>
      <c r="C761" s="19">
        <v>46182</v>
      </c>
      <c r="D761" s="1" t="s">
        <v>21</v>
      </c>
      <c r="E761" s="1" t="s">
        <v>81</v>
      </c>
      <c r="F761" s="1">
        <v>5728</v>
      </c>
      <c r="G761" s="1" t="s">
        <v>345</v>
      </c>
      <c r="H761" s="1" t="s">
        <v>346</v>
      </c>
      <c r="I761" s="1" t="s">
        <v>347</v>
      </c>
      <c r="J761" s="1" t="s">
        <v>348</v>
      </c>
    </row>
    <row r="762" spans="1:10" x14ac:dyDescent="0.25">
      <c r="A762" s="1" t="s">
        <v>2234</v>
      </c>
      <c r="B762" s="1" t="s">
        <v>684</v>
      </c>
      <c r="C762" s="19">
        <v>46182</v>
      </c>
      <c r="D762" s="1" t="s">
        <v>21</v>
      </c>
      <c r="E762" s="1" t="s">
        <v>81</v>
      </c>
      <c r="F762" s="1">
        <v>5728</v>
      </c>
      <c r="G762" s="1" t="s">
        <v>349</v>
      </c>
      <c r="H762" s="1" t="s">
        <v>350</v>
      </c>
      <c r="I762" s="1" t="s">
        <v>347</v>
      </c>
      <c r="J762" s="1" t="s">
        <v>351</v>
      </c>
    </row>
    <row r="763" spans="1:10" x14ac:dyDescent="0.25">
      <c r="A763" s="1" t="s">
        <v>2235</v>
      </c>
      <c r="B763" s="1" t="s">
        <v>684</v>
      </c>
      <c r="C763" s="19">
        <v>46182</v>
      </c>
      <c r="D763" s="1" t="s">
        <v>21</v>
      </c>
      <c r="E763" s="1" t="s">
        <v>81</v>
      </c>
      <c r="F763" s="1">
        <v>5728</v>
      </c>
      <c r="G763" s="1" t="s">
        <v>361</v>
      </c>
      <c r="H763" s="1" t="s">
        <v>353</v>
      </c>
      <c r="I763" s="1" t="s">
        <v>347</v>
      </c>
      <c r="J763" s="1" t="s">
        <v>362</v>
      </c>
    </row>
    <row r="764" spans="1:10" x14ac:dyDescent="0.25">
      <c r="A764" s="1" t="s">
        <v>2236</v>
      </c>
      <c r="B764" s="1" t="s">
        <v>685</v>
      </c>
      <c r="C764" s="19">
        <v>46182</v>
      </c>
      <c r="D764" s="1" t="s">
        <v>21</v>
      </c>
      <c r="E764" s="1" t="s">
        <v>81</v>
      </c>
      <c r="F764" s="1">
        <v>5729</v>
      </c>
      <c r="G764" s="1" t="s">
        <v>355</v>
      </c>
      <c r="H764" s="1" t="s">
        <v>346</v>
      </c>
      <c r="I764" s="1" t="s">
        <v>347</v>
      </c>
      <c r="J764" s="1" t="s">
        <v>356</v>
      </c>
    </row>
    <row r="765" spans="1:10" x14ac:dyDescent="0.25">
      <c r="A765" s="1" t="s">
        <v>2237</v>
      </c>
      <c r="B765" s="1" t="s">
        <v>685</v>
      </c>
      <c r="C765" s="19">
        <v>46182</v>
      </c>
      <c r="D765" s="1" t="s">
        <v>21</v>
      </c>
      <c r="E765" s="1" t="s">
        <v>81</v>
      </c>
      <c r="F765" s="1">
        <v>5729</v>
      </c>
      <c r="G765" s="1" t="s">
        <v>345</v>
      </c>
      <c r="H765" s="1" t="s">
        <v>346</v>
      </c>
      <c r="I765" s="1" t="s">
        <v>347</v>
      </c>
      <c r="J765" s="1" t="s">
        <v>348</v>
      </c>
    </row>
    <row r="766" spans="1:10" x14ac:dyDescent="0.25">
      <c r="A766" s="1" t="s">
        <v>2238</v>
      </c>
      <c r="B766" s="1" t="s">
        <v>685</v>
      </c>
      <c r="C766" s="19">
        <v>46182</v>
      </c>
      <c r="D766" s="1" t="s">
        <v>21</v>
      </c>
      <c r="E766" s="1" t="s">
        <v>81</v>
      </c>
      <c r="F766" s="1">
        <v>5729</v>
      </c>
      <c r="G766" s="1" t="s">
        <v>349</v>
      </c>
      <c r="H766" s="1" t="s">
        <v>350</v>
      </c>
      <c r="I766" s="1" t="s">
        <v>347</v>
      </c>
      <c r="J766" s="1" t="s">
        <v>351</v>
      </c>
    </row>
    <row r="767" spans="1:10" x14ac:dyDescent="0.25">
      <c r="A767" s="1" t="s">
        <v>2239</v>
      </c>
      <c r="B767" s="1" t="s">
        <v>685</v>
      </c>
      <c r="C767" s="19">
        <v>46182</v>
      </c>
      <c r="D767" s="1" t="s">
        <v>21</v>
      </c>
      <c r="E767" s="1" t="s">
        <v>81</v>
      </c>
      <c r="F767" s="1">
        <v>5729</v>
      </c>
      <c r="G767" s="1" t="s">
        <v>361</v>
      </c>
      <c r="H767" s="1" t="s">
        <v>353</v>
      </c>
      <c r="I767" s="1" t="s">
        <v>347</v>
      </c>
      <c r="J767" s="1" t="s">
        <v>362</v>
      </c>
    </row>
    <row r="768" spans="1:10" x14ac:dyDescent="0.25">
      <c r="A768" s="1" t="s">
        <v>2240</v>
      </c>
      <c r="B768" s="1" t="s">
        <v>686</v>
      </c>
      <c r="C768" s="19">
        <v>46182</v>
      </c>
      <c r="D768" s="1" t="s">
        <v>21</v>
      </c>
      <c r="E768" s="1" t="s">
        <v>81</v>
      </c>
      <c r="F768" s="1">
        <v>5730</v>
      </c>
      <c r="G768" s="1" t="s">
        <v>355</v>
      </c>
      <c r="H768" s="1" t="s">
        <v>346</v>
      </c>
      <c r="I768" s="1" t="s">
        <v>347</v>
      </c>
      <c r="J768" s="1" t="s">
        <v>356</v>
      </c>
    </row>
    <row r="769" spans="1:10" x14ac:dyDescent="0.25">
      <c r="A769" s="1" t="s">
        <v>2241</v>
      </c>
      <c r="B769" s="1" t="s">
        <v>686</v>
      </c>
      <c r="C769" s="19">
        <v>46182</v>
      </c>
      <c r="D769" s="1" t="s">
        <v>21</v>
      </c>
      <c r="E769" s="1" t="s">
        <v>81</v>
      </c>
      <c r="F769" s="1">
        <v>5730</v>
      </c>
      <c r="G769" s="1" t="s">
        <v>345</v>
      </c>
      <c r="H769" s="1" t="s">
        <v>346</v>
      </c>
      <c r="I769" s="1" t="s">
        <v>347</v>
      </c>
      <c r="J769" s="1" t="s">
        <v>348</v>
      </c>
    </row>
    <row r="770" spans="1:10" x14ac:dyDescent="0.25">
      <c r="A770" s="1" t="s">
        <v>2242</v>
      </c>
      <c r="B770" s="1" t="s">
        <v>686</v>
      </c>
      <c r="C770" s="19">
        <v>46182</v>
      </c>
      <c r="D770" s="1" t="s">
        <v>21</v>
      </c>
      <c r="E770" s="1" t="s">
        <v>81</v>
      </c>
      <c r="F770" s="1">
        <v>5730</v>
      </c>
      <c r="G770" s="1" t="s">
        <v>349</v>
      </c>
      <c r="H770" s="1" t="s">
        <v>350</v>
      </c>
      <c r="I770" s="1" t="s">
        <v>347</v>
      </c>
      <c r="J770" s="1" t="s">
        <v>351</v>
      </c>
    </row>
    <row r="771" spans="1:10" x14ac:dyDescent="0.25">
      <c r="A771" s="1" t="s">
        <v>2243</v>
      </c>
      <c r="B771" s="1" t="s">
        <v>686</v>
      </c>
      <c r="C771" s="19">
        <v>46182</v>
      </c>
      <c r="D771" s="1" t="s">
        <v>21</v>
      </c>
      <c r="E771" s="1" t="s">
        <v>81</v>
      </c>
      <c r="F771" s="1">
        <v>5730</v>
      </c>
      <c r="G771" s="1" t="s">
        <v>361</v>
      </c>
      <c r="H771" s="1" t="s">
        <v>353</v>
      </c>
      <c r="I771" s="1" t="s">
        <v>347</v>
      </c>
      <c r="J771" s="1" t="s">
        <v>362</v>
      </c>
    </row>
    <row r="772" spans="1:10" x14ac:dyDescent="0.25">
      <c r="A772" s="1" t="s">
        <v>2244</v>
      </c>
      <c r="B772" s="1" t="s">
        <v>687</v>
      </c>
      <c r="C772" s="19">
        <v>46182</v>
      </c>
      <c r="D772" s="1" t="s">
        <v>21</v>
      </c>
      <c r="E772" s="1" t="s">
        <v>81</v>
      </c>
      <c r="F772" s="1">
        <v>5731</v>
      </c>
      <c r="G772" s="1" t="s">
        <v>355</v>
      </c>
      <c r="H772" s="1" t="s">
        <v>346</v>
      </c>
      <c r="I772" s="1" t="s">
        <v>347</v>
      </c>
      <c r="J772" s="1" t="s">
        <v>356</v>
      </c>
    </row>
    <row r="773" spans="1:10" x14ac:dyDescent="0.25">
      <c r="A773" s="1" t="s">
        <v>2245</v>
      </c>
      <c r="B773" s="1" t="s">
        <v>687</v>
      </c>
      <c r="C773" s="19">
        <v>46182</v>
      </c>
      <c r="D773" s="1" t="s">
        <v>21</v>
      </c>
      <c r="E773" s="1" t="s">
        <v>81</v>
      </c>
      <c r="F773" s="1">
        <v>5731</v>
      </c>
      <c r="G773" s="1" t="s">
        <v>345</v>
      </c>
      <c r="H773" s="1" t="s">
        <v>346</v>
      </c>
      <c r="I773" s="1" t="s">
        <v>347</v>
      </c>
      <c r="J773" s="1" t="s">
        <v>348</v>
      </c>
    </row>
    <row r="774" spans="1:10" x14ac:dyDescent="0.25">
      <c r="A774" s="1" t="s">
        <v>2246</v>
      </c>
      <c r="B774" s="1" t="s">
        <v>687</v>
      </c>
      <c r="C774" s="19">
        <v>46182</v>
      </c>
      <c r="D774" s="1" t="s">
        <v>21</v>
      </c>
      <c r="E774" s="1" t="s">
        <v>81</v>
      </c>
      <c r="F774" s="1">
        <v>5731</v>
      </c>
      <c r="G774" s="1" t="s">
        <v>349</v>
      </c>
      <c r="H774" s="1" t="s">
        <v>350</v>
      </c>
      <c r="I774" s="1" t="s">
        <v>347</v>
      </c>
      <c r="J774" s="1" t="s">
        <v>351</v>
      </c>
    </row>
    <row r="775" spans="1:10" x14ac:dyDescent="0.25">
      <c r="A775" s="1" t="s">
        <v>2247</v>
      </c>
      <c r="B775" s="1" t="s">
        <v>687</v>
      </c>
      <c r="C775" s="19">
        <v>46182</v>
      </c>
      <c r="D775" s="1" t="s">
        <v>21</v>
      </c>
      <c r="E775" s="1" t="s">
        <v>81</v>
      </c>
      <c r="F775" s="1">
        <v>5731</v>
      </c>
      <c r="G775" s="1" t="s">
        <v>361</v>
      </c>
      <c r="H775" s="1" t="s">
        <v>353</v>
      </c>
      <c r="I775" s="1" t="s">
        <v>347</v>
      </c>
      <c r="J775" s="1" t="s">
        <v>362</v>
      </c>
    </row>
    <row r="776" spans="1:10" x14ac:dyDescent="0.25">
      <c r="A776" s="1" t="s">
        <v>2248</v>
      </c>
      <c r="B776" s="1" t="s">
        <v>688</v>
      </c>
      <c r="C776" s="19">
        <v>46182</v>
      </c>
      <c r="D776" s="1" t="s">
        <v>21</v>
      </c>
      <c r="E776" s="1" t="s">
        <v>81</v>
      </c>
      <c r="F776" s="1">
        <v>5732</v>
      </c>
      <c r="G776" s="1" t="s">
        <v>355</v>
      </c>
      <c r="H776" s="1" t="s">
        <v>346</v>
      </c>
      <c r="I776" s="1" t="s">
        <v>347</v>
      </c>
      <c r="J776" s="1" t="s">
        <v>356</v>
      </c>
    </row>
    <row r="777" spans="1:10" x14ac:dyDescent="0.25">
      <c r="A777" s="1" t="s">
        <v>2249</v>
      </c>
      <c r="B777" s="1" t="s">
        <v>688</v>
      </c>
      <c r="C777" s="19">
        <v>46182</v>
      </c>
      <c r="D777" s="1" t="s">
        <v>21</v>
      </c>
      <c r="E777" s="1" t="s">
        <v>81</v>
      </c>
      <c r="F777" s="1">
        <v>5732</v>
      </c>
      <c r="G777" s="1" t="s">
        <v>345</v>
      </c>
      <c r="H777" s="1" t="s">
        <v>346</v>
      </c>
      <c r="I777" s="1" t="s">
        <v>347</v>
      </c>
      <c r="J777" s="1" t="s">
        <v>348</v>
      </c>
    </row>
    <row r="778" spans="1:10" x14ac:dyDescent="0.25">
      <c r="A778" s="1" t="s">
        <v>2250</v>
      </c>
      <c r="B778" s="1" t="s">
        <v>688</v>
      </c>
      <c r="C778" s="19">
        <v>46182</v>
      </c>
      <c r="D778" s="1" t="s">
        <v>21</v>
      </c>
      <c r="E778" s="1" t="s">
        <v>81</v>
      </c>
      <c r="F778" s="1">
        <v>5732</v>
      </c>
      <c r="G778" s="1" t="s">
        <v>349</v>
      </c>
      <c r="H778" s="1" t="s">
        <v>350</v>
      </c>
      <c r="I778" s="1" t="s">
        <v>347</v>
      </c>
      <c r="J778" s="1" t="s">
        <v>351</v>
      </c>
    </row>
    <row r="779" spans="1:10" x14ac:dyDescent="0.25">
      <c r="A779" s="1" t="s">
        <v>2251</v>
      </c>
      <c r="B779" s="1" t="s">
        <v>688</v>
      </c>
      <c r="C779" s="19">
        <v>46182</v>
      </c>
      <c r="D779" s="1" t="s">
        <v>21</v>
      </c>
      <c r="E779" s="1" t="s">
        <v>81</v>
      </c>
      <c r="F779" s="1">
        <v>5732</v>
      </c>
      <c r="G779" s="1" t="s">
        <v>361</v>
      </c>
      <c r="H779" s="1" t="s">
        <v>353</v>
      </c>
      <c r="I779" s="1" t="s">
        <v>347</v>
      </c>
      <c r="J779" s="1" t="s">
        <v>362</v>
      </c>
    </row>
    <row r="780" spans="1:10" x14ac:dyDescent="0.25">
      <c r="A780" s="1" t="s">
        <v>2252</v>
      </c>
      <c r="B780" s="1" t="s">
        <v>689</v>
      </c>
      <c r="C780" s="19">
        <v>46182</v>
      </c>
      <c r="D780" s="1" t="s">
        <v>21</v>
      </c>
      <c r="E780" s="1" t="s">
        <v>81</v>
      </c>
      <c r="F780" s="1">
        <v>5733</v>
      </c>
      <c r="G780" s="1" t="s">
        <v>355</v>
      </c>
      <c r="H780" s="1" t="s">
        <v>346</v>
      </c>
      <c r="I780" s="1" t="s">
        <v>347</v>
      </c>
      <c r="J780" s="1" t="s">
        <v>356</v>
      </c>
    </row>
    <row r="781" spans="1:10" x14ac:dyDescent="0.25">
      <c r="A781" s="1" t="s">
        <v>2253</v>
      </c>
      <c r="B781" s="1" t="s">
        <v>689</v>
      </c>
      <c r="C781" s="19">
        <v>46182</v>
      </c>
      <c r="D781" s="1" t="s">
        <v>21</v>
      </c>
      <c r="E781" s="1" t="s">
        <v>81</v>
      </c>
      <c r="F781" s="1">
        <v>5733</v>
      </c>
      <c r="G781" s="1" t="s">
        <v>345</v>
      </c>
      <c r="H781" s="1" t="s">
        <v>346</v>
      </c>
      <c r="I781" s="1" t="s">
        <v>347</v>
      </c>
      <c r="J781" s="1" t="s">
        <v>348</v>
      </c>
    </row>
    <row r="782" spans="1:10" x14ac:dyDescent="0.25">
      <c r="A782" s="1" t="s">
        <v>2254</v>
      </c>
      <c r="B782" s="1" t="s">
        <v>689</v>
      </c>
      <c r="C782" s="19">
        <v>46182</v>
      </c>
      <c r="D782" s="1" t="s">
        <v>21</v>
      </c>
      <c r="E782" s="1" t="s">
        <v>81</v>
      </c>
      <c r="F782" s="1">
        <v>5733</v>
      </c>
      <c r="G782" s="1" t="s">
        <v>349</v>
      </c>
      <c r="H782" s="1" t="s">
        <v>350</v>
      </c>
      <c r="I782" s="1" t="s">
        <v>347</v>
      </c>
      <c r="J782" s="1" t="s">
        <v>351</v>
      </c>
    </row>
    <row r="783" spans="1:10" x14ac:dyDescent="0.25">
      <c r="A783" s="1" t="s">
        <v>2255</v>
      </c>
      <c r="B783" s="1" t="s">
        <v>689</v>
      </c>
      <c r="C783" s="19">
        <v>46182</v>
      </c>
      <c r="D783" s="1" t="s">
        <v>21</v>
      </c>
      <c r="E783" s="1" t="s">
        <v>81</v>
      </c>
      <c r="F783" s="1">
        <v>5733</v>
      </c>
      <c r="G783" s="1" t="s">
        <v>361</v>
      </c>
      <c r="H783" s="1" t="s">
        <v>353</v>
      </c>
      <c r="I783" s="1" t="s">
        <v>347</v>
      </c>
      <c r="J783" s="1" t="s">
        <v>362</v>
      </c>
    </row>
    <row r="784" spans="1:10" x14ac:dyDescent="0.25">
      <c r="A784" s="1" t="s">
        <v>2256</v>
      </c>
      <c r="B784" s="1" t="s">
        <v>690</v>
      </c>
      <c r="C784" s="19">
        <v>46182</v>
      </c>
      <c r="D784" s="1" t="s">
        <v>21</v>
      </c>
      <c r="E784" s="1" t="s">
        <v>81</v>
      </c>
      <c r="F784" s="1">
        <v>5734</v>
      </c>
      <c r="G784" s="1" t="s">
        <v>355</v>
      </c>
      <c r="H784" s="1" t="s">
        <v>346</v>
      </c>
      <c r="I784" s="1" t="s">
        <v>347</v>
      </c>
      <c r="J784" s="1" t="s">
        <v>356</v>
      </c>
    </row>
    <row r="785" spans="1:10" x14ac:dyDescent="0.25">
      <c r="A785" s="1" t="s">
        <v>2257</v>
      </c>
      <c r="B785" s="1" t="s">
        <v>690</v>
      </c>
      <c r="C785" s="19">
        <v>46182</v>
      </c>
      <c r="D785" s="1" t="s">
        <v>21</v>
      </c>
      <c r="E785" s="1" t="s">
        <v>81</v>
      </c>
      <c r="F785" s="1">
        <v>5734</v>
      </c>
      <c r="G785" s="1" t="s">
        <v>345</v>
      </c>
      <c r="H785" s="1" t="s">
        <v>346</v>
      </c>
      <c r="I785" s="1" t="s">
        <v>347</v>
      </c>
      <c r="J785" s="1" t="s">
        <v>348</v>
      </c>
    </row>
    <row r="786" spans="1:10" x14ac:dyDescent="0.25">
      <c r="A786" s="1" t="s">
        <v>2258</v>
      </c>
      <c r="B786" s="1" t="s">
        <v>690</v>
      </c>
      <c r="C786" s="19">
        <v>46182</v>
      </c>
      <c r="D786" s="1" t="s">
        <v>21</v>
      </c>
      <c r="E786" s="1" t="s">
        <v>81</v>
      </c>
      <c r="F786" s="1">
        <v>5734</v>
      </c>
      <c r="G786" s="1" t="s">
        <v>349</v>
      </c>
      <c r="H786" s="1" t="s">
        <v>350</v>
      </c>
      <c r="I786" s="1" t="s">
        <v>347</v>
      </c>
      <c r="J786" s="1" t="s">
        <v>351</v>
      </c>
    </row>
    <row r="787" spans="1:10" x14ac:dyDescent="0.25">
      <c r="A787" s="1" t="s">
        <v>2259</v>
      </c>
      <c r="B787" s="1" t="s">
        <v>690</v>
      </c>
      <c r="C787" s="19">
        <v>46182</v>
      </c>
      <c r="D787" s="1" t="s">
        <v>21</v>
      </c>
      <c r="E787" s="1" t="s">
        <v>81</v>
      </c>
      <c r="F787" s="1">
        <v>5734</v>
      </c>
      <c r="G787" s="1" t="s">
        <v>361</v>
      </c>
      <c r="H787" s="1" t="s">
        <v>353</v>
      </c>
      <c r="I787" s="1" t="s">
        <v>347</v>
      </c>
      <c r="J787" s="1" t="s">
        <v>362</v>
      </c>
    </row>
    <row r="788" spans="1:10" x14ac:dyDescent="0.25">
      <c r="A788" s="1" t="s">
        <v>2260</v>
      </c>
      <c r="B788" s="1" t="s">
        <v>691</v>
      </c>
      <c r="C788" s="19">
        <v>46182</v>
      </c>
      <c r="D788" s="1" t="s">
        <v>21</v>
      </c>
      <c r="E788" s="1" t="s">
        <v>81</v>
      </c>
      <c r="F788" s="1">
        <v>5735</v>
      </c>
      <c r="G788" s="1" t="s">
        <v>355</v>
      </c>
      <c r="H788" s="1" t="s">
        <v>346</v>
      </c>
      <c r="I788" s="1" t="s">
        <v>347</v>
      </c>
      <c r="J788" s="1" t="s">
        <v>356</v>
      </c>
    </row>
    <row r="789" spans="1:10" x14ac:dyDescent="0.25">
      <c r="A789" s="1" t="s">
        <v>2261</v>
      </c>
      <c r="B789" s="1" t="s">
        <v>691</v>
      </c>
      <c r="C789" s="19">
        <v>46182</v>
      </c>
      <c r="D789" s="1" t="s">
        <v>21</v>
      </c>
      <c r="E789" s="1" t="s">
        <v>81</v>
      </c>
      <c r="F789" s="1">
        <v>5735</v>
      </c>
      <c r="G789" s="1" t="s">
        <v>345</v>
      </c>
      <c r="H789" s="1" t="s">
        <v>346</v>
      </c>
      <c r="I789" s="1" t="s">
        <v>347</v>
      </c>
      <c r="J789" s="1" t="s">
        <v>348</v>
      </c>
    </row>
    <row r="790" spans="1:10" x14ac:dyDescent="0.25">
      <c r="A790" s="1" t="s">
        <v>2262</v>
      </c>
      <c r="B790" s="1" t="s">
        <v>691</v>
      </c>
      <c r="C790" s="19">
        <v>46182</v>
      </c>
      <c r="D790" s="1" t="s">
        <v>21</v>
      </c>
      <c r="E790" s="1" t="s">
        <v>81</v>
      </c>
      <c r="F790" s="1">
        <v>5735</v>
      </c>
      <c r="G790" s="1" t="s">
        <v>349</v>
      </c>
      <c r="H790" s="1" t="s">
        <v>350</v>
      </c>
      <c r="I790" s="1" t="s">
        <v>347</v>
      </c>
      <c r="J790" s="1" t="s">
        <v>351</v>
      </c>
    </row>
    <row r="791" spans="1:10" x14ac:dyDescent="0.25">
      <c r="A791" s="1" t="s">
        <v>2263</v>
      </c>
      <c r="B791" s="1" t="s">
        <v>691</v>
      </c>
      <c r="C791" s="19">
        <v>46182</v>
      </c>
      <c r="D791" s="1" t="s">
        <v>21</v>
      </c>
      <c r="E791" s="1" t="s">
        <v>81</v>
      </c>
      <c r="F791" s="1">
        <v>5735</v>
      </c>
      <c r="G791" s="1" t="s">
        <v>361</v>
      </c>
      <c r="H791" s="1" t="s">
        <v>353</v>
      </c>
      <c r="I791" s="1" t="s">
        <v>347</v>
      </c>
      <c r="J791" s="1" t="s">
        <v>362</v>
      </c>
    </row>
    <row r="792" spans="1:10" x14ac:dyDescent="0.25">
      <c r="A792" s="1" t="s">
        <v>2264</v>
      </c>
      <c r="B792" s="1" t="s">
        <v>692</v>
      </c>
      <c r="C792" s="19">
        <v>46182</v>
      </c>
      <c r="D792" s="1" t="s">
        <v>21</v>
      </c>
      <c r="E792" s="1" t="s">
        <v>81</v>
      </c>
      <c r="F792" s="1">
        <v>5736</v>
      </c>
      <c r="G792" s="1" t="s">
        <v>355</v>
      </c>
      <c r="H792" s="1" t="s">
        <v>346</v>
      </c>
      <c r="I792" s="1" t="s">
        <v>347</v>
      </c>
      <c r="J792" s="1" t="s">
        <v>356</v>
      </c>
    </row>
    <row r="793" spans="1:10" x14ac:dyDescent="0.25">
      <c r="A793" s="1" t="s">
        <v>2265</v>
      </c>
      <c r="B793" s="1" t="s">
        <v>692</v>
      </c>
      <c r="C793" s="19">
        <v>46182</v>
      </c>
      <c r="D793" s="1" t="s">
        <v>21</v>
      </c>
      <c r="E793" s="1" t="s">
        <v>81</v>
      </c>
      <c r="F793" s="1">
        <v>5736</v>
      </c>
      <c r="G793" s="1" t="s">
        <v>345</v>
      </c>
      <c r="H793" s="1" t="s">
        <v>346</v>
      </c>
      <c r="I793" s="1" t="s">
        <v>347</v>
      </c>
      <c r="J793" s="1" t="s">
        <v>348</v>
      </c>
    </row>
    <row r="794" spans="1:10" x14ac:dyDescent="0.25">
      <c r="A794" s="1" t="s">
        <v>2266</v>
      </c>
      <c r="B794" s="1" t="s">
        <v>692</v>
      </c>
      <c r="C794" s="19">
        <v>46182</v>
      </c>
      <c r="D794" s="1" t="s">
        <v>21</v>
      </c>
      <c r="E794" s="1" t="s">
        <v>81</v>
      </c>
      <c r="F794" s="1">
        <v>5736</v>
      </c>
      <c r="G794" s="1" t="s">
        <v>349</v>
      </c>
      <c r="H794" s="1" t="s">
        <v>350</v>
      </c>
      <c r="I794" s="1" t="s">
        <v>347</v>
      </c>
      <c r="J794" s="1" t="s">
        <v>351</v>
      </c>
    </row>
    <row r="795" spans="1:10" x14ac:dyDescent="0.25">
      <c r="A795" s="1" t="s">
        <v>2267</v>
      </c>
      <c r="B795" s="1" t="s">
        <v>692</v>
      </c>
      <c r="C795" s="19">
        <v>46182</v>
      </c>
      <c r="D795" s="1" t="s">
        <v>21</v>
      </c>
      <c r="E795" s="1" t="s">
        <v>81</v>
      </c>
      <c r="F795" s="1">
        <v>5736</v>
      </c>
      <c r="G795" s="1" t="s">
        <v>361</v>
      </c>
      <c r="H795" s="1" t="s">
        <v>353</v>
      </c>
      <c r="I795" s="1" t="s">
        <v>347</v>
      </c>
      <c r="J795" s="1" t="s">
        <v>362</v>
      </c>
    </row>
    <row r="796" spans="1:10" x14ac:dyDescent="0.25">
      <c r="A796" s="1" t="s">
        <v>2268</v>
      </c>
      <c r="B796" s="1" t="s">
        <v>693</v>
      </c>
      <c r="C796" s="19">
        <v>46182</v>
      </c>
      <c r="D796" s="1" t="s">
        <v>21</v>
      </c>
      <c r="E796" s="1" t="s">
        <v>81</v>
      </c>
      <c r="F796" s="1">
        <v>5737</v>
      </c>
      <c r="G796" s="1" t="s">
        <v>355</v>
      </c>
      <c r="H796" s="1" t="s">
        <v>346</v>
      </c>
      <c r="I796" s="1" t="s">
        <v>347</v>
      </c>
      <c r="J796" s="1" t="s">
        <v>356</v>
      </c>
    </row>
    <row r="797" spans="1:10" x14ac:dyDescent="0.25">
      <c r="A797" s="1" t="s">
        <v>2269</v>
      </c>
      <c r="B797" s="1" t="s">
        <v>693</v>
      </c>
      <c r="C797" s="19">
        <v>46182</v>
      </c>
      <c r="D797" s="1" t="s">
        <v>21</v>
      </c>
      <c r="E797" s="1" t="s">
        <v>81</v>
      </c>
      <c r="F797" s="1">
        <v>5737</v>
      </c>
      <c r="G797" s="1" t="s">
        <v>345</v>
      </c>
      <c r="H797" s="1" t="s">
        <v>346</v>
      </c>
      <c r="I797" s="1" t="s">
        <v>347</v>
      </c>
      <c r="J797" s="1" t="s">
        <v>348</v>
      </c>
    </row>
    <row r="798" spans="1:10" x14ac:dyDescent="0.25">
      <c r="A798" s="1" t="s">
        <v>2270</v>
      </c>
      <c r="B798" s="1" t="s">
        <v>693</v>
      </c>
      <c r="C798" s="19">
        <v>46182</v>
      </c>
      <c r="D798" s="1" t="s">
        <v>21</v>
      </c>
      <c r="E798" s="1" t="s">
        <v>81</v>
      </c>
      <c r="F798" s="1">
        <v>5737</v>
      </c>
      <c r="G798" s="1" t="s">
        <v>349</v>
      </c>
      <c r="H798" s="1" t="s">
        <v>350</v>
      </c>
      <c r="I798" s="1" t="s">
        <v>347</v>
      </c>
      <c r="J798" s="1" t="s">
        <v>351</v>
      </c>
    </row>
    <row r="799" spans="1:10" x14ac:dyDescent="0.25">
      <c r="A799" s="1" t="s">
        <v>2271</v>
      </c>
      <c r="B799" s="1" t="s">
        <v>693</v>
      </c>
      <c r="C799" s="19">
        <v>46182</v>
      </c>
      <c r="D799" s="1" t="s">
        <v>21</v>
      </c>
      <c r="E799" s="1" t="s">
        <v>81</v>
      </c>
      <c r="F799" s="1">
        <v>5737</v>
      </c>
      <c r="G799" s="1" t="s">
        <v>361</v>
      </c>
      <c r="H799" s="1" t="s">
        <v>353</v>
      </c>
      <c r="I799" s="1" t="s">
        <v>347</v>
      </c>
      <c r="J799" s="1" t="s">
        <v>362</v>
      </c>
    </row>
    <row r="800" spans="1:10" x14ac:dyDescent="0.25">
      <c r="A800" s="1" t="s">
        <v>2272</v>
      </c>
      <c r="B800" s="1" t="s">
        <v>694</v>
      </c>
      <c r="C800" s="19">
        <v>46182</v>
      </c>
      <c r="D800" s="1" t="s">
        <v>21</v>
      </c>
      <c r="E800" s="1" t="s">
        <v>81</v>
      </c>
      <c r="F800" s="1">
        <v>5738</v>
      </c>
      <c r="G800" s="1" t="s">
        <v>355</v>
      </c>
      <c r="H800" s="1" t="s">
        <v>346</v>
      </c>
      <c r="I800" s="1" t="s">
        <v>347</v>
      </c>
      <c r="J800" s="1" t="s">
        <v>356</v>
      </c>
    </row>
    <row r="801" spans="1:10" x14ac:dyDescent="0.25">
      <c r="A801" s="1" t="s">
        <v>2273</v>
      </c>
      <c r="B801" s="1" t="s">
        <v>694</v>
      </c>
      <c r="C801" s="19">
        <v>46182</v>
      </c>
      <c r="D801" s="1" t="s">
        <v>21</v>
      </c>
      <c r="E801" s="1" t="s">
        <v>81</v>
      </c>
      <c r="F801" s="1">
        <v>5738</v>
      </c>
      <c r="G801" s="1" t="s">
        <v>345</v>
      </c>
      <c r="H801" s="1" t="s">
        <v>346</v>
      </c>
      <c r="I801" s="1" t="s">
        <v>347</v>
      </c>
      <c r="J801" s="1" t="s">
        <v>348</v>
      </c>
    </row>
    <row r="802" spans="1:10" x14ac:dyDescent="0.25">
      <c r="A802" s="1" t="s">
        <v>2274</v>
      </c>
      <c r="B802" s="1" t="s">
        <v>694</v>
      </c>
      <c r="C802" s="19">
        <v>46182</v>
      </c>
      <c r="D802" s="1" t="s">
        <v>21</v>
      </c>
      <c r="E802" s="1" t="s">
        <v>81</v>
      </c>
      <c r="F802" s="1">
        <v>5738</v>
      </c>
      <c r="G802" s="1" t="s">
        <v>349</v>
      </c>
      <c r="H802" s="1" t="s">
        <v>350</v>
      </c>
      <c r="I802" s="1" t="s">
        <v>347</v>
      </c>
      <c r="J802" s="1" t="s">
        <v>351</v>
      </c>
    </row>
    <row r="803" spans="1:10" x14ac:dyDescent="0.25">
      <c r="A803" s="1" t="s">
        <v>2275</v>
      </c>
      <c r="B803" s="1" t="s">
        <v>694</v>
      </c>
      <c r="C803" s="19">
        <v>46182</v>
      </c>
      <c r="D803" s="1" t="s">
        <v>21</v>
      </c>
      <c r="E803" s="1" t="s">
        <v>81</v>
      </c>
      <c r="F803" s="1">
        <v>5738</v>
      </c>
      <c r="G803" s="1" t="s">
        <v>361</v>
      </c>
      <c r="H803" s="1" t="s">
        <v>353</v>
      </c>
      <c r="I803" s="1" t="s">
        <v>347</v>
      </c>
      <c r="J803" s="1" t="s">
        <v>362</v>
      </c>
    </row>
    <row r="804" spans="1:10" x14ac:dyDescent="0.25">
      <c r="A804" s="1" t="s">
        <v>2276</v>
      </c>
      <c r="B804" s="1" t="s">
        <v>695</v>
      </c>
      <c r="C804" s="19">
        <v>46182</v>
      </c>
      <c r="D804" s="1" t="s">
        <v>21</v>
      </c>
      <c r="E804" s="1" t="s">
        <v>81</v>
      </c>
      <c r="F804" s="1">
        <v>5739</v>
      </c>
      <c r="G804" s="1" t="s">
        <v>355</v>
      </c>
      <c r="H804" s="1" t="s">
        <v>346</v>
      </c>
      <c r="I804" s="1" t="s">
        <v>347</v>
      </c>
      <c r="J804" s="1" t="s">
        <v>356</v>
      </c>
    </row>
    <row r="805" spans="1:10" x14ac:dyDescent="0.25">
      <c r="A805" s="1" t="s">
        <v>2277</v>
      </c>
      <c r="B805" s="1" t="s">
        <v>695</v>
      </c>
      <c r="C805" s="19">
        <v>46182</v>
      </c>
      <c r="D805" s="1" t="s">
        <v>21</v>
      </c>
      <c r="E805" s="1" t="s">
        <v>81</v>
      </c>
      <c r="F805" s="1">
        <v>5739</v>
      </c>
      <c r="G805" s="1" t="s">
        <v>345</v>
      </c>
      <c r="H805" s="1" t="s">
        <v>346</v>
      </c>
      <c r="I805" s="1" t="s">
        <v>347</v>
      </c>
      <c r="J805" s="1" t="s">
        <v>348</v>
      </c>
    </row>
    <row r="806" spans="1:10" x14ac:dyDescent="0.25">
      <c r="A806" s="1" t="s">
        <v>2278</v>
      </c>
      <c r="B806" s="1" t="s">
        <v>695</v>
      </c>
      <c r="C806" s="19">
        <v>46182</v>
      </c>
      <c r="D806" s="1" t="s">
        <v>21</v>
      </c>
      <c r="E806" s="1" t="s">
        <v>81</v>
      </c>
      <c r="F806" s="1">
        <v>5739</v>
      </c>
      <c r="G806" s="1" t="s">
        <v>349</v>
      </c>
      <c r="H806" s="1" t="s">
        <v>350</v>
      </c>
      <c r="I806" s="1" t="s">
        <v>347</v>
      </c>
      <c r="J806" s="1" t="s">
        <v>351</v>
      </c>
    </row>
    <row r="807" spans="1:10" x14ac:dyDescent="0.25">
      <c r="A807" s="1" t="s">
        <v>2279</v>
      </c>
      <c r="B807" s="1" t="s">
        <v>695</v>
      </c>
      <c r="C807" s="19">
        <v>46182</v>
      </c>
      <c r="D807" s="1" t="s">
        <v>21</v>
      </c>
      <c r="E807" s="1" t="s">
        <v>81</v>
      </c>
      <c r="F807" s="1">
        <v>5739</v>
      </c>
      <c r="G807" s="1" t="s">
        <v>361</v>
      </c>
      <c r="H807" s="1" t="s">
        <v>353</v>
      </c>
      <c r="I807" s="1" t="s">
        <v>347</v>
      </c>
      <c r="J807" s="1" t="s">
        <v>362</v>
      </c>
    </row>
    <row r="808" spans="1:10" x14ac:dyDescent="0.25">
      <c r="A808" s="1" t="s">
        <v>2280</v>
      </c>
      <c r="B808" s="1" t="s">
        <v>696</v>
      </c>
      <c r="C808" s="19">
        <v>46182</v>
      </c>
      <c r="D808" s="1" t="s">
        <v>21</v>
      </c>
      <c r="E808" s="1" t="s">
        <v>81</v>
      </c>
      <c r="F808" s="1">
        <v>5740</v>
      </c>
      <c r="G808" s="1" t="s">
        <v>355</v>
      </c>
      <c r="H808" s="1" t="s">
        <v>346</v>
      </c>
      <c r="I808" s="1" t="s">
        <v>347</v>
      </c>
      <c r="J808" s="1" t="s">
        <v>356</v>
      </c>
    </row>
    <row r="809" spans="1:10" x14ac:dyDescent="0.25">
      <c r="A809" s="1" t="s">
        <v>2281</v>
      </c>
      <c r="B809" s="1" t="s">
        <v>696</v>
      </c>
      <c r="C809" s="19">
        <v>46182</v>
      </c>
      <c r="D809" s="1" t="s">
        <v>21</v>
      </c>
      <c r="E809" s="1" t="s">
        <v>81</v>
      </c>
      <c r="F809" s="1">
        <v>5740</v>
      </c>
      <c r="G809" s="1" t="s">
        <v>345</v>
      </c>
      <c r="H809" s="1" t="s">
        <v>346</v>
      </c>
      <c r="I809" s="1" t="s">
        <v>347</v>
      </c>
      <c r="J809" s="1" t="s">
        <v>348</v>
      </c>
    </row>
    <row r="810" spans="1:10" x14ac:dyDescent="0.25">
      <c r="A810" s="1" t="s">
        <v>2282</v>
      </c>
      <c r="B810" s="1" t="s">
        <v>696</v>
      </c>
      <c r="C810" s="19">
        <v>46182</v>
      </c>
      <c r="D810" s="1" t="s">
        <v>21</v>
      </c>
      <c r="E810" s="1" t="s">
        <v>81</v>
      </c>
      <c r="F810" s="1">
        <v>5740</v>
      </c>
      <c r="G810" s="1" t="s">
        <v>349</v>
      </c>
      <c r="H810" s="1" t="s">
        <v>350</v>
      </c>
      <c r="I810" s="1" t="s">
        <v>347</v>
      </c>
      <c r="J810" s="1" t="s">
        <v>351</v>
      </c>
    </row>
    <row r="811" spans="1:10" x14ac:dyDescent="0.25">
      <c r="A811" s="1" t="s">
        <v>2283</v>
      </c>
      <c r="B811" s="1" t="s">
        <v>696</v>
      </c>
      <c r="C811" s="19">
        <v>46182</v>
      </c>
      <c r="D811" s="1" t="s">
        <v>21</v>
      </c>
      <c r="E811" s="1" t="s">
        <v>81</v>
      </c>
      <c r="F811" s="1">
        <v>5740</v>
      </c>
      <c r="G811" s="1" t="s">
        <v>361</v>
      </c>
      <c r="H811" s="1" t="s">
        <v>353</v>
      </c>
      <c r="I811" s="1" t="s">
        <v>347</v>
      </c>
      <c r="J811" s="1" t="s">
        <v>362</v>
      </c>
    </row>
    <row r="812" spans="1:10" x14ac:dyDescent="0.25">
      <c r="A812" s="1" t="s">
        <v>2284</v>
      </c>
      <c r="B812" s="1" t="s">
        <v>697</v>
      </c>
      <c r="C812" s="19">
        <v>46182</v>
      </c>
      <c r="D812" s="1" t="s">
        <v>21</v>
      </c>
      <c r="E812" s="1" t="s">
        <v>81</v>
      </c>
      <c r="F812" s="1">
        <v>5741</v>
      </c>
      <c r="G812" s="1" t="s">
        <v>355</v>
      </c>
      <c r="H812" s="1" t="s">
        <v>346</v>
      </c>
      <c r="I812" s="1" t="s">
        <v>347</v>
      </c>
      <c r="J812" s="1" t="s">
        <v>356</v>
      </c>
    </row>
    <row r="813" spans="1:10" x14ac:dyDescent="0.25">
      <c r="A813" s="1" t="s">
        <v>2285</v>
      </c>
      <c r="B813" s="1" t="s">
        <v>697</v>
      </c>
      <c r="C813" s="19">
        <v>46182</v>
      </c>
      <c r="D813" s="1" t="s">
        <v>21</v>
      </c>
      <c r="E813" s="1" t="s">
        <v>81</v>
      </c>
      <c r="F813" s="1">
        <v>5741</v>
      </c>
      <c r="G813" s="1" t="s">
        <v>345</v>
      </c>
      <c r="H813" s="1" t="s">
        <v>346</v>
      </c>
      <c r="I813" s="1" t="s">
        <v>347</v>
      </c>
      <c r="J813" s="1" t="s">
        <v>348</v>
      </c>
    </row>
    <row r="814" spans="1:10" x14ac:dyDescent="0.25">
      <c r="A814" s="1" t="s">
        <v>2286</v>
      </c>
      <c r="B814" s="1" t="s">
        <v>697</v>
      </c>
      <c r="C814" s="19">
        <v>46182</v>
      </c>
      <c r="D814" s="1" t="s">
        <v>21</v>
      </c>
      <c r="E814" s="1" t="s">
        <v>81</v>
      </c>
      <c r="F814" s="1">
        <v>5741</v>
      </c>
      <c r="G814" s="1" t="s">
        <v>349</v>
      </c>
      <c r="H814" s="1" t="s">
        <v>350</v>
      </c>
      <c r="I814" s="1" t="s">
        <v>347</v>
      </c>
      <c r="J814" s="1" t="s">
        <v>351</v>
      </c>
    </row>
    <row r="815" spans="1:10" x14ac:dyDescent="0.25">
      <c r="A815" s="1" t="s">
        <v>2287</v>
      </c>
      <c r="B815" s="1" t="s">
        <v>697</v>
      </c>
      <c r="C815" s="19">
        <v>46182</v>
      </c>
      <c r="D815" s="1" t="s">
        <v>21</v>
      </c>
      <c r="E815" s="1" t="s">
        <v>81</v>
      </c>
      <c r="F815" s="1">
        <v>5741</v>
      </c>
      <c r="G815" s="1" t="s">
        <v>361</v>
      </c>
      <c r="H815" s="1" t="s">
        <v>353</v>
      </c>
      <c r="I815" s="1" t="s">
        <v>347</v>
      </c>
      <c r="J815" s="1" t="s">
        <v>362</v>
      </c>
    </row>
    <row r="816" spans="1:10" x14ac:dyDescent="0.25">
      <c r="A816" s="1" t="s">
        <v>2288</v>
      </c>
      <c r="B816" s="1" t="s">
        <v>698</v>
      </c>
      <c r="C816" s="19">
        <v>46182</v>
      </c>
      <c r="D816" s="1" t="s">
        <v>21</v>
      </c>
      <c r="E816" s="1" t="s">
        <v>81</v>
      </c>
      <c r="F816" s="1">
        <v>5742</v>
      </c>
      <c r="G816" s="1" t="s">
        <v>355</v>
      </c>
      <c r="H816" s="1" t="s">
        <v>346</v>
      </c>
      <c r="I816" s="1" t="s">
        <v>347</v>
      </c>
      <c r="J816" s="1" t="s">
        <v>356</v>
      </c>
    </row>
    <row r="817" spans="1:10" x14ac:dyDescent="0.25">
      <c r="A817" s="1" t="s">
        <v>2289</v>
      </c>
      <c r="B817" s="1" t="s">
        <v>698</v>
      </c>
      <c r="C817" s="19">
        <v>46182</v>
      </c>
      <c r="D817" s="1" t="s">
        <v>21</v>
      </c>
      <c r="E817" s="1" t="s">
        <v>81</v>
      </c>
      <c r="F817" s="1">
        <v>5742</v>
      </c>
      <c r="G817" s="1" t="s">
        <v>345</v>
      </c>
      <c r="H817" s="1" t="s">
        <v>346</v>
      </c>
      <c r="I817" s="1" t="s">
        <v>347</v>
      </c>
      <c r="J817" s="1" t="s">
        <v>348</v>
      </c>
    </row>
    <row r="818" spans="1:10" x14ac:dyDescent="0.25">
      <c r="A818" s="1" t="s">
        <v>2290</v>
      </c>
      <c r="B818" s="1" t="s">
        <v>698</v>
      </c>
      <c r="C818" s="19">
        <v>46182</v>
      </c>
      <c r="D818" s="1" t="s">
        <v>21</v>
      </c>
      <c r="E818" s="1" t="s">
        <v>81</v>
      </c>
      <c r="F818" s="1">
        <v>5742</v>
      </c>
      <c r="G818" s="1" t="s">
        <v>349</v>
      </c>
      <c r="H818" s="1" t="s">
        <v>350</v>
      </c>
      <c r="I818" s="1" t="s">
        <v>347</v>
      </c>
      <c r="J818" s="1" t="s">
        <v>351</v>
      </c>
    </row>
    <row r="819" spans="1:10" x14ac:dyDescent="0.25">
      <c r="A819" s="1" t="s">
        <v>2291</v>
      </c>
      <c r="B819" s="1" t="s">
        <v>698</v>
      </c>
      <c r="C819" s="19">
        <v>46182</v>
      </c>
      <c r="D819" s="1" t="s">
        <v>21</v>
      </c>
      <c r="E819" s="1" t="s">
        <v>81</v>
      </c>
      <c r="F819" s="1">
        <v>5742</v>
      </c>
      <c r="G819" s="1" t="s">
        <v>361</v>
      </c>
      <c r="H819" s="1" t="s">
        <v>353</v>
      </c>
      <c r="I819" s="1" t="s">
        <v>347</v>
      </c>
      <c r="J819" s="1" t="s">
        <v>362</v>
      </c>
    </row>
    <row r="820" spans="1:10" x14ac:dyDescent="0.25">
      <c r="A820" s="1" t="s">
        <v>2292</v>
      </c>
      <c r="B820" s="1" t="s">
        <v>699</v>
      </c>
      <c r="C820" s="19">
        <v>46182</v>
      </c>
      <c r="D820" s="1" t="s">
        <v>21</v>
      </c>
      <c r="E820" s="1" t="s">
        <v>81</v>
      </c>
      <c r="F820" s="1">
        <v>5743</v>
      </c>
      <c r="G820" s="1" t="s">
        <v>355</v>
      </c>
      <c r="H820" s="1" t="s">
        <v>346</v>
      </c>
      <c r="I820" s="1" t="s">
        <v>347</v>
      </c>
      <c r="J820" s="1" t="s">
        <v>356</v>
      </c>
    </row>
    <row r="821" spans="1:10" x14ac:dyDescent="0.25">
      <c r="A821" s="1" t="s">
        <v>2293</v>
      </c>
      <c r="B821" s="1" t="s">
        <v>699</v>
      </c>
      <c r="C821" s="19">
        <v>46182</v>
      </c>
      <c r="D821" s="1" t="s">
        <v>21</v>
      </c>
      <c r="E821" s="1" t="s">
        <v>81</v>
      </c>
      <c r="F821" s="1">
        <v>5743</v>
      </c>
      <c r="G821" s="1" t="s">
        <v>345</v>
      </c>
      <c r="H821" s="1" t="s">
        <v>346</v>
      </c>
      <c r="I821" s="1" t="s">
        <v>347</v>
      </c>
      <c r="J821" s="1" t="s">
        <v>348</v>
      </c>
    </row>
    <row r="822" spans="1:10" x14ac:dyDescent="0.25">
      <c r="A822" s="1" t="s">
        <v>2294</v>
      </c>
      <c r="B822" s="1" t="s">
        <v>699</v>
      </c>
      <c r="C822" s="19">
        <v>46182</v>
      </c>
      <c r="D822" s="1" t="s">
        <v>21</v>
      </c>
      <c r="E822" s="1" t="s">
        <v>81</v>
      </c>
      <c r="F822" s="1">
        <v>5743</v>
      </c>
      <c r="G822" s="1" t="s">
        <v>349</v>
      </c>
      <c r="H822" s="1" t="s">
        <v>350</v>
      </c>
      <c r="I822" s="1" t="s">
        <v>347</v>
      </c>
      <c r="J822" s="1" t="s">
        <v>351</v>
      </c>
    </row>
    <row r="823" spans="1:10" x14ac:dyDescent="0.25">
      <c r="A823" s="1" t="s">
        <v>2295</v>
      </c>
      <c r="B823" s="1" t="s">
        <v>699</v>
      </c>
      <c r="C823" s="19">
        <v>46182</v>
      </c>
      <c r="D823" s="1" t="s">
        <v>21</v>
      </c>
      <c r="E823" s="1" t="s">
        <v>81</v>
      </c>
      <c r="F823" s="1">
        <v>5743</v>
      </c>
      <c r="G823" s="1" t="s">
        <v>361</v>
      </c>
      <c r="H823" s="1" t="s">
        <v>353</v>
      </c>
      <c r="I823" s="1" t="s">
        <v>347</v>
      </c>
      <c r="J823" s="1" t="s">
        <v>362</v>
      </c>
    </row>
    <row r="824" spans="1:10" x14ac:dyDescent="0.25">
      <c r="A824" s="1" t="s">
        <v>2296</v>
      </c>
      <c r="B824" s="1" t="s">
        <v>700</v>
      </c>
      <c r="C824" s="19">
        <v>46182</v>
      </c>
      <c r="D824" s="1" t="s">
        <v>21</v>
      </c>
      <c r="E824" s="1" t="s">
        <v>81</v>
      </c>
      <c r="F824" s="1">
        <v>5744</v>
      </c>
      <c r="G824" s="1" t="s">
        <v>355</v>
      </c>
      <c r="H824" s="1" t="s">
        <v>346</v>
      </c>
      <c r="I824" s="1" t="s">
        <v>347</v>
      </c>
      <c r="J824" s="1" t="s">
        <v>356</v>
      </c>
    </row>
    <row r="825" spans="1:10" x14ac:dyDescent="0.25">
      <c r="A825" s="1" t="s">
        <v>2297</v>
      </c>
      <c r="B825" s="1" t="s">
        <v>700</v>
      </c>
      <c r="C825" s="19">
        <v>46182</v>
      </c>
      <c r="D825" s="1" t="s">
        <v>21</v>
      </c>
      <c r="E825" s="1" t="s">
        <v>81</v>
      </c>
      <c r="F825" s="1">
        <v>5744</v>
      </c>
      <c r="G825" s="1" t="s">
        <v>345</v>
      </c>
      <c r="H825" s="1" t="s">
        <v>346</v>
      </c>
      <c r="I825" s="1" t="s">
        <v>347</v>
      </c>
      <c r="J825" s="1" t="s">
        <v>348</v>
      </c>
    </row>
    <row r="826" spans="1:10" x14ac:dyDescent="0.25">
      <c r="A826" s="1" t="s">
        <v>2298</v>
      </c>
      <c r="B826" s="1" t="s">
        <v>700</v>
      </c>
      <c r="C826" s="19">
        <v>46182</v>
      </c>
      <c r="D826" s="1" t="s">
        <v>21</v>
      </c>
      <c r="E826" s="1" t="s">
        <v>81</v>
      </c>
      <c r="F826" s="1">
        <v>5744</v>
      </c>
      <c r="G826" s="1" t="s">
        <v>349</v>
      </c>
      <c r="H826" s="1" t="s">
        <v>350</v>
      </c>
      <c r="I826" s="1" t="s">
        <v>347</v>
      </c>
      <c r="J826" s="1" t="s">
        <v>351</v>
      </c>
    </row>
    <row r="827" spans="1:10" x14ac:dyDescent="0.25">
      <c r="A827" s="1" t="s">
        <v>2299</v>
      </c>
      <c r="B827" s="1" t="s">
        <v>700</v>
      </c>
      <c r="C827" s="19">
        <v>46182</v>
      </c>
      <c r="D827" s="1" t="s">
        <v>21</v>
      </c>
      <c r="E827" s="1" t="s">
        <v>81</v>
      </c>
      <c r="F827" s="1">
        <v>5744</v>
      </c>
      <c r="G827" s="1" t="s">
        <v>361</v>
      </c>
      <c r="H827" s="1" t="s">
        <v>353</v>
      </c>
      <c r="I827" s="1" t="s">
        <v>347</v>
      </c>
      <c r="J827" s="1" t="s">
        <v>362</v>
      </c>
    </row>
    <row r="828" spans="1:10" x14ac:dyDescent="0.25">
      <c r="A828" s="1" t="s">
        <v>2300</v>
      </c>
      <c r="B828" s="1" t="s">
        <v>701</v>
      </c>
      <c r="C828" s="19">
        <v>46182</v>
      </c>
      <c r="D828" s="1" t="s">
        <v>21</v>
      </c>
      <c r="E828" s="1" t="s">
        <v>81</v>
      </c>
      <c r="F828" s="1">
        <v>5745</v>
      </c>
      <c r="G828" s="1" t="s">
        <v>355</v>
      </c>
      <c r="H828" s="1" t="s">
        <v>346</v>
      </c>
      <c r="I828" s="1" t="s">
        <v>347</v>
      </c>
      <c r="J828" s="1" t="s">
        <v>356</v>
      </c>
    </row>
    <row r="829" spans="1:10" x14ac:dyDescent="0.25">
      <c r="A829" s="1" t="s">
        <v>2301</v>
      </c>
      <c r="B829" s="1" t="s">
        <v>701</v>
      </c>
      <c r="C829" s="19">
        <v>46182</v>
      </c>
      <c r="D829" s="1" t="s">
        <v>21</v>
      </c>
      <c r="E829" s="1" t="s">
        <v>81</v>
      </c>
      <c r="F829" s="1">
        <v>5745</v>
      </c>
      <c r="G829" s="1" t="s">
        <v>345</v>
      </c>
      <c r="H829" s="1" t="s">
        <v>346</v>
      </c>
      <c r="I829" s="1" t="s">
        <v>347</v>
      </c>
      <c r="J829" s="1" t="s">
        <v>348</v>
      </c>
    </row>
    <row r="830" spans="1:10" x14ac:dyDescent="0.25">
      <c r="A830" s="1" t="s">
        <v>2302</v>
      </c>
      <c r="B830" s="1" t="s">
        <v>701</v>
      </c>
      <c r="C830" s="19">
        <v>46182</v>
      </c>
      <c r="D830" s="1" t="s">
        <v>21</v>
      </c>
      <c r="E830" s="1" t="s">
        <v>81</v>
      </c>
      <c r="F830" s="1">
        <v>5745</v>
      </c>
      <c r="G830" s="1" t="s">
        <v>349</v>
      </c>
      <c r="H830" s="1" t="s">
        <v>350</v>
      </c>
      <c r="I830" s="1" t="s">
        <v>347</v>
      </c>
      <c r="J830" s="1" t="s">
        <v>351</v>
      </c>
    </row>
    <row r="831" spans="1:10" x14ac:dyDescent="0.25">
      <c r="A831" s="1" t="s">
        <v>2303</v>
      </c>
      <c r="B831" s="1" t="s">
        <v>701</v>
      </c>
      <c r="C831" s="19">
        <v>46182</v>
      </c>
      <c r="D831" s="1" t="s">
        <v>21</v>
      </c>
      <c r="E831" s="1" t="s">
        <v>81</v>
      </c>
      <c r="F831" s="1">
        <v>5745</v>
      </c>
      <c r="G831" s="1" t="s">
        <v>361</v>
      </c>
      <c r="H831" s="1" t="s">
        <v>353</v>
      </c>
      <c r="I831" s="1" t="s">
        <v>347</v>
      </c>
      <c r="J831" s="1" t="s">
        <v>362</v>
      </c>
    </row>
    <row r="832" spans="1:10" x14ac:dyDescent="0.25">
      <c r="A832" s="1" t="s">
        <v>2304</v>
      </c>
      <c r="B832" s="1" t="s">
        <v>702</v>
      </c>
      <c r="C832" s="19">
        <v>46182</v>
      </c>
      <c r="D832" s="1" t="s">
        <v>21</v>
      </c>
      <c r="E832" s="1" t="s">
        <v>81</v>
      </c>
      <c r="F832" s="1">
        <v>5746</v>
      </c>
      <c r="G832" s="1" t="s">
        <v>355</v>
      </c>
      <c r="H832" s="1" t="s">
        <v>346</v>
      </c>
      <c r="I832" s="1" t="s">
        <v>347</v>
      </c>
      <c r="J832" s="1" t="s">
        <v>356</v>
      </c>
    </row>
    <row r="833" spans="1:10" x14ac:dyDescent="0.25">
      <c r="A833" s="1" t="s">
        <v>2305</v>
      </c>
      <c r="B833" s="1" t="s">
        <v>702</v>
      </c>
      <c r="C833" s="19">
        <v>46182</v>
      </c>
      <c r="D833" s="1" t="s">
        <v>21</v>
      </c>
      <c r="E833" s="1" t="s">
        <v>81</v>
      </c>
      <c r="F833" s="1">
        <v>5746</v>
      </c>
      <c r="G833" s="1" t="s">
        <v>345</v>
      </c>
      <c r="H833" s="1" t="s">
        <v>346</v>
      </c>
      <c r="I833" s="1" t="s">
        <v>347</v>
      </c>
      <c r="J833" s="1" t="s">
        <v>348</v>
      </c>
    </row>
    <row r="834" spans="1:10" x14ac:dyDescent="0.25">
      <c r="A834" s="1" t="s">
        <v>2306</v>
      </c>
      <c r="B834" s="1" t="s">
        <v>702</v>
      </c>
      <c r="C834" s="19">
        <v>46182</v>
      </c>
      <c r="D834" s="1" t="s">
        <v>21</v>
      </c>
      <c r="E834" s="1" t="s">
        <v>81</v>
      </c>
      <c r="F834" s="1">
        <v>5746</v>
      </c>
      <c r="G834" s="1" t="s">
        <v>349</v>
      </c>
      <c r="H834" s="1" t="s">
        <v>350</v>
      </c>
      <c r="I834" s="1" t="s">
        <v>347</v>
      </c>
      <c r="J834" s="1" t="s">
        <v>351</v>
      </c>
    </row>
    <row r="835" spans="1:10" x14ac:dyDescent="0.25">
      <c r="A835" s="1" t="s">
        <v>2307</v>
      </c>
      <c r="B835" s="1" t="s">
        <v>702</v>
      </c>
      <c r="C835" s="19">
        <v>46182</v>
      </c>
      <c r="D835" s="1" t="s">
        <v>21</v>
      </c>
      <c r="E835" s="1" t="s">
        <v>81</v>
      </c>
      <c r="F835" s="1">
        <v>5746</v>
      </c>
      <c r="G835" s="1" t="s">
        <v>361</v>
      </c>
      <c r="H835" s="1" t="s">
        <v>353</v>
      </c>
      <c r="I835" s="1" t="s">
        <v>347</v>
      </c>
      <c r="J835" s="1" t="s">
        <v>362</v>
      </c>
    </row>
    <row r="836" spans="1:10" x14ac:dyDescent="0.25">
      <c r="A836" s="1" t="s">
        <v>2308</v>
      </c>
      <c r="B836" s="1" t="s">
        <v>703</v>
      </c>
      <c r="C836" s="19">
        <v>46182</v>
      </c>
      <c r="D836" s="1" t="s">
        <v>21</v>
      </c>
      <c r="E836" s="1" t="s">
        <v>81</v>
      </c>
      <c r="F836" s="1">
        <v>5747</v>
      </c>
      <c r="G836" s="1" t="s">
        <v>355</v>
      </c>
      <c r="H836" s="1" t="s">
        <v>346</v>
      </c>
      <c r="I836" s="1" t="s">
        <v>347</v>
      </c>
      <c r="J836" s="1" t="s">
        <v>356</v>
      </c>
    </row>
    <row r="837" spans="1:10" x14ac:dyDescent="0.25">
      <c r="A837" s="1" t="s">
        <v>2309</v>
      </c>
      <c r="B837" s="1" t="s">
        <v>703</v>
      </c>
      <c r="C837" s="19">
        <v>46182</v>
      </c>
      <c r="D837" s="1" t="s">
        <v>21</v>
      </c>
      <c r="E837" s="1" t="s">
        <v>81</v>
      </c>
      <c r="F837" s="1">
        <v>5747</v>
      </c>
      <c r="G837" s="1" t="s">
        <v>345</v>
      </c>
      <c r="H837" s="1" t="s">
        <v>346</v>
      </c>
      <c r="I837" s="1" t="s">
        <v>347</v>
      </c>
      <c r="J837" s="1" t="s">
        <v>348</v>
      </c>
    </row>
    <row r="838" spans="1:10" x14ac:dyDescent="0.25">
      <c r="A838" s="1" t="s">
        <v>2310</v>
      </c>
      <c r="B838" s="1" t="s">
        <v>703</v>
      </c>
      <c r="C838" s="19">
        <v>46182</v>
      </c>
      <c r="D838" s="1" t="s">
        <v>21</v>
      </c>
      <c r="E838" s="1" t="s">
        <v>81</v>
      </c>
      <c r="F838" s="1">
        <v>5747</v>
      </c>
      <c r="G838" s="1" t="s">
        <v>349</v>
      </c>
      <c r="H838" s="1" t="s">
        <v>350</v>
      </c>
      <c r="I838" s="1" t="s">
        <v>347</v>
      </c>
      <c r="J838" s="1" t="s">
        <v>351</v>
      </c>
    </row>
    <row r="839" spans="1:10" x14ac:dyDescent="0.25">
      <c r="A839" s="1" t="s">
        <v>2311</v>
      </c>
      <c r="B839" s="1" t="s">
        <v>703</v>
      </c>
      <c r="C839" s="19">
        <v>46182</v>
      </c>
      <c r="D839" s="1" t="s">
        <v>21</v>
      </c>
      <c r="E839" s="1" t="s">
        <v>81</v>
      </c>
      <c r="F839" s="1">
        <v>5747</v>
      </c>
      <c r="G839" s="1" t="s">
        <v>361</v>
      </c>
      <c r="H839" s="1" t="s">
        <v>353</v>
      </c>
      <c r="I839" s="1" t="s">
        <v>347</v>
      </c>
      <c r="J839" s="1" t="s">
        <v>362</v>
      </c>
    </row>
    <row r="840" spans="1:10" x14ac:dyDescent="0.25">
      <c r="A840" s="1" t="s">
        <v>2312</v>
      </c>
      <c r="B840" s="1" t="s">
        <v>704</v>
      </c>
      <c r="C840" s="19">
        <v>46182</v>
      </c>
      <c r="D840" s="1" t="s">
        <v>21</v>
      </c>
      <c r="E840" s="1" t="s">
        <v>81</v>
      </c>
      <c r="F840" s="1">
        <v>5748</v>
      </c>
      <c r="G840" s="1" t="s">
        <v>355</v>
      </c>
      <c r="H840" s="1" t="s">
        <v>346</v>
      </c>
      <c r="I840" s="1" t="s">
        <v>347</v>
      </c>
      <c r="J840" s="1" t="s">
        <v>356</v>
      </c>
    </row>
    <row r="841" spans="1:10" x14ac:dyDescent="0.25">
      <c r="A841" s="1" t="s">
        <v>2313</v>
      </c>
      <c r="B841" s="1" t="s">
        <v>704</v>
      </c>
      <c r="C841" s="19">
        <v>46182</v>
      </c>
      <c r="D841" s="1" t="s">
        <v>21</v>
      </c>
      <c r="E841" s="1" t="s">
        <v>81</v>
      </c>
      <c r="F841" s="1">
        <v>5748</v>
      </c>
      <c r="G841" s="1" t="s">
        <v>345</v>
      </c>
      <c r="H841" s="1" t="s">
        <v>346</v>
      </c>
      <c r="I841" s="1" t="s">
        <v>347</v>
      </c>
      <c r="J841" s="1" t="s">
        <v>348</v>
      </c>
    </row>
    <row r="842" spans="1:10" x14ac:dyDescent="0.25">
      <c r="A842" s="1" t="s">
        <v>2314</v>
      </c>
      <c r="B842" s="1" t="s">
        <v>704</v>
      </c>
      <c r="C842" s="19">
        <v>46182</v>
      </c>
      <c r="D842" s="1" t="s">
        <v>21</v>
      </c>
      <c r="E842" s="1" t="s">
        <v>81</v>
      </c>
      <c r="F842" s="1">
        <v>5748</v>
      </c>
      <c r="G842" s="1" t="s">
        <v>349</v>
      </c>
      <c r="H842" s="1" t="s">
        <v>350</v>
      </c>
      <c r="I842" s="1" t="s">
        <v>347</v>
      </c>
      <c r="J842" s="1" t="s">
        <v>351</v>
      </c>
    </row>
    <row r="843" spans="1:10" x14ac:dyDescent="0.25">
      <c r="A843" s="1" t="s">
        <v>2315</v>
      </c>
      <c r="B843" s="1" t="s">
        <v>704</v>
      </c>
      <c r="C843" s="19">
        <v>46182</v>
      </c>
      <c r="D843" s="1" t="s">
        <v>21</v>
      </c>
      <c r="E843" s="1" t="s">
        <v>81</v>
      </c>
      <c r="F843" s="1">
        <v>5748</v>
      </c>
      <c r="G843" s="1" t="s">
        <v>361</v>
      </c>
      <c r="H843" s="1" t="s">
        <v>353</v>
      </c>
      <c r="I843" s="1" t="s">
        <v>347</v>
      </c>
      <c r="J843" s="1" t="s">
        <v>362</v>
      </c>
    </row>
    <row r="844" spans="1:10" x14ac:dyDescent="0.25">
      <c r="A844" s="1" t="s">
        <v>2316</v>
      </c>
      <c r="B844" s="1" t="s">
        <v>705</v>
      </c>
      <c r="C844" s="19">
        <v>46182</v>
      </c>
      <c r="D844" s="1" t="s">
        <v>21</v>
      </c>
      <c r="E844" s="1" t="s">
        <v>81</v>
      </c>
      <c r="F844" s="1">
        <v>5749</v>
      </c>
      <c r="G844" s="1" t="s">
        <v>355</v>
      </c>
      <c r="H844" s="1" t="s">
        <v>346</v>
      </c>
      <c r="I844" s="1" t="s">
        <v>347</v>
      </c>
      <c r="J844" s="1" t="s">
        <v>356</v>
      </c>
    </row>
    <row r="845" spans="1:10" x14ac:dyDescent="0.25">
      <c r="A845" s="1" t="s">
        <v>2317</v>
      </c>
      <c r="B845" s="1" t="s">
        <v>705</v>
      </c>
      <c r="C845" s="19">
        <v>46182</v>
      </c>
      <c r="D845" s="1" t="s">
        <v>21</v>
      </c>
      <c r="E845" s="1" t="s">
        <v>81</v>
      </c>
      <c r="F845" s="1">
        <v>5749</v>
      </c>
      <c r="G845" s="1" t="s">
        <v>345</v>
      </c>
      <c r="H845" s="1" t="s">
        <v>346</v>
      </c>
      <c r="I845" s="1" t="s">
        <v>347</v>
      </c>
      <c r="J845" s="1" t="s">
        <v>348</v>
      </c>
    </row>
    <row r="846" spans="1:10" x14ac:dyDescent="0.25">
      <c r="A846" s="1" t="s">
        <v>2318</v>
      </c>
      <c r="B846" s="1" t="s">
        <v>705</v>
      </c>
      <c r="C846" s="19">
        <v>46182</v>
      </c>
      <c r="D846" s="1" t="s">
        <v>21</v>
      </c>
      <c r="E846" s="1" t="s">
        <v>81</v>
      </c>
      <c r="F846" s="1">
        <v>5749</v>
      </c>
      <c r="G846" s="1" t="s">
        <v>349</v>
      </c>
      <c r="H846" s="1" t="s">
        <v>350</v>
      </c>
      <c r="I846" s="1" t="s">
        <v>347</v>
      </c>
      <c r="J846" s="1" t="s">
        <v>351</v>
      </c>
    </row>
    <row r="847" spans="1:10" x14ac:dyDescent="0.25">
      <c r="A847" s="1" t="s">
        <v>2319</v>
      </c>
      <c r="B847" s="1" t="s">
        <v>705</v>
      </c>
      <c r="C847" s="19">
        <v>46182</v>
      </c>
      <c r="D847" s="1" t="s">
        <v>21</v>
      </c>
      <c r="E847" s="1" t="s">
        <v>81</v>
      </c>
      <c r="F847" s="1">
        <v>5749</v>
      </c>
      <c r="G847" s="1" t="s">
        <v>361</v>
      </c>
      <c r="H847" s="1" t="s">
        <v>353</v>
      </c>
      <c r="I847" s="1" t="s">
        <v>347</v>
      </c>
      <c r="J847" s="1" t="s">
        <v>362</v>
      </c>
    </row>
    <row r="848" spans="1:10" x14ac:dyDescent="0.25">
      <c r="A848" s="1" t="s">
        <v>2320</v>
      </c>
      <c r="B848" s="1" t="s">
        <v>706</v>
      </c>
      <c r="C848" s="19">
        <v>46182</v>
      </c>
      <c r="D848" s="1" t="s">
        <v>21</v>
      </c>
      <c r="E848" s="1" t="s">
        <v>81</v>
      </c>
      <c r="F848" s="1">
        <v>5750</v>
      </c>
      <c r="G848" s="1" t="s">
        <v>355</v>
      </c>
      <c r="H848" s="1" t="s">
        <v>346</v>
      </c>
      <c r="I848" s="1" t="s">
        <v>347</v>
      </c>
      <c r="J848" s="1" t="s">
        <v>356</v>
      </c>
    </row>
    <row r="849" spans="1:10" x14ac:dyDescent="0.25">
      <c r="A849" s="1" t="s">
        <v>2321</v>
      </c>
      <c r="B849" s="1" t="s">
        <v>706</v>
      </c>
      <c r="C849" s="19">
        <v>46182</v>
      </c>
      <c r="D849" s="1" t="s">
        <v>21</v>
      </c>
      <c r="E849" s="1" t="s">
        <v>81</v>
      </c>
      <c r="F849" s="1">
        <v>5750</v>
      </c>
      <c r="G849" s="1" t="s">
        <v>345</v>
      </c>
      <c r="H849" s="1" t="s">
        <v>346</v>
      </c>
      <c r="I849" s="1" t="s">
        <v>347</v>
      </c>
      <c r="J849" s="1" t="s">
        <v>348</v>
      </c>
    </row>
    <row r="850" spans="1:10" x14ac:dyDescent="0.25">
      <c r="A850" s="1" t="s">
        <v>2322</v>
      </c>
      <c r="B850" s="1" t="s">
        <v>706</v>
      </c>
      <c r="C850" s="19">
        <v>46182</v>
      </c>
      <c r="D850" s="1" t="s">
        <v>21</v>
      </c>
      <c r="E850" s="1" t="s">
        <v>81</v>
      </c>
      <c r="F850" s="1">
        <v>5750</v>
      </c>
      <c r="G850" s="1" t="s">
        <v>349</v>
      </c>
      <c r="H850" s="1" t="s">
        <v>350</v>
      </c>
      <c r="I850" s="1" t="s">
        <v>347</v>
      </c>
      <c r="J850" s="1" t="s">
        <v>351</v>
      </c>
    </row>
    <row r="851" spans="1:10" x14ac:dyDescent="0.25">
      <c r="A851" s="1" t="s">
        <v>2323</v>
      </c>
      <c r="B851" s="1" t="s">
        <v>706</v>
      </c>
      <c r="C851" s="19">
        <v>46182</v>
      </c>
      <c r="D851" s="1" t="s">
        <v>21</v>
      </c>
      <c r="E851" s="1" t="s">
        <v>81</v>
      </c>
      <c r="F851" s="1">
        <v>5750</v>
      </c>
      <c r="G851" s="1" t="s">
        <v>361</v>
      </c>
      <c r="H851" s="1" t="s">
        <v>353</v>
      </c>
      <c r="I851" s="1" t="s">
        <v>347</v>
      </c>
      <c r="J851" s="1" t="s">
        <v>362</v>
      </c>
    </row>
    <row r="852" spans="1:10" x14ac:dyDescent="0.25">
      <c r="A852" s="1" t="s">
        <v>2324</v>
      </c>
      <c r="B852" s="1" t="s">
        <v>707</v>
      </c>
      <c r="C852" s="19">
        <v>46182</v>
      </c>
      <c r="D852" s="1" t="s">
        <v>21</v>
      </c>
      <c r="E852" s="1" t="s">
        <v>81</v>
      </c>
      <c r="F852" s="1">
        <v>5751</v>
      </c>
      <c r="G852" s="1" t="s">
        <v>355</v>
      </c>
      <c r="H852" s="1" t="s">
        <v>346</v>
      </c>
      <c r="I852" s="1" t="s">
        <v>347</v>
      </c>
      <c r="J852" s="1" t="s">
        <v>356</v>
      </c>
    </row>
    <row r="853" spans="1:10" x14ac:dyDescent="0.25">
      <c r="A853" s="1" t="s">
        <v>2325</v>
      </c>
      <c r="B853" s="1" t="s">
        <v>707</v>
      </c>
      <c r="C853" s="19">
        <v>46182</v>
      </c>
      <c r="D853" s="1" t="s">
        <v>21</v>
      </c>
      <c r="E853" s="1" t="s">
        <v>81</v>
      </c>
      <c r="F853" s="1">
        <v>5751</v>
      </c>
      <c r="G853" s="1" t="s">
        <v>345</v>
      </c>
      <c r="H853" s="1" t="s">
        <v>346</v>
      </c>
      <c r="I853" s="1" t="s">
        <v>347</v>
      </c>
      <c r="J853" s="1" t="s">
        <v>348</v>
      </c>
    </row>
    <row r="854" spans="1:10" x14ac:dyDescent="0.25">
      <c r="A854" s="1" t="s">
        <v>2326</v>
      </c>
      <c r="B854" s="1" t="s">
        <v>707</v>
      </c>
      <c r="C854" s="19">
        <v>46182</v>
      </c>
      <c r="D854" s="1" t="s">
        <v>21</v>
      </c>
      <c r="E854" s="1" t="s">
        <v>81</v>
      </c>
      <c r="F854" s="1">
        <v>5751</v>
      </c>
      <c r="G854" s="1" t="s">
        <v>349</v>
      </c>
      <c r="H854" s="1" t="s">
        <v>350</v>
      </c>
      <c r="I854" s="1" t="s">
        <v>347</v>
      </c>
      <c r="J854" s="1" t="s">
        <v>351</v>
      </c>
    </row>
    <row r="855" spans="1:10" x14ac:dyDescent="0.25">
      <c r="A855" s="1" t="s">
        <v>2327</v>
      </c>
      <c r="B855" s="1" t="s">
        <v>707</v>
      </c>
      <c r="C855" s="19">
        <v>46182</v>
      </c>
      <c r="D855" s="1" t="s">
        <v>21</v>
      </c>
      <c r="E855" s="1" t="s">
        <v>81</v>
      </c>
      <c r="F855" s="1">
        <v>5751</v>
      </c>
      <c r="G855" s="1" t="s">
        <v>361</v>
      </c>
      <c r="H855" s="1" t="s">
        <v>353</v>
      </c>
      <c r="I855" s="1" t="s">
        <v>347</v>
      </c>
      <c r="J855" s="1" t="s">
        <v>362</v>
      </c>
    </row>
    <row r="856" spans="1:10" x14ac:dyDescent="0.25">
      <c r="A856" s="1" t="s">
        <v>2328</v>
      </c>
      <c r="B856" s="1" t="s">
        <v>708</v>
      </c>
      <c r="C856" s="19">
        <v>46182</v>
      </c>
      <c r="D856" s="1" t="s">
        <v>21</v>
      </c>
      <c r="E856" s="1" t="s">
        <v>81</v>
      </c>
      <c r="F856" s="1">
        <v>5752</v>
      </c>
      <c r="G856" s="1" t="s">
        <v>355</v>
      </c>
      <c r="H856" s="1" t="s">
        <v>346</v>
      </c>
      <c r="I856" s="1" t="s">
        <v>347</v>
      </c>
      <c r="J856" s="1" t="s">
        <v>356</v>
      </c>
    </row>
    <row r="857" spans="1:10" x14ac:dyDescent="0.25">
      <c r="A857" s="1" t="s">
        <v>2329</v>
      </c>
      <c r="B857" s="1" t="s">
        <v>708</v>
      </c>
      <c r="C857" s="19">
        <v>46182</v>
      </c>
      <c r="D857" s="1" t="s">
        <v>21</v>
      </c>
      <c r="E857" s="1" t="s">
        <v>81</v>
      </c>
      <c r="F857" s="1">
        <v>5752</v>
      </c>
      <c r="G857" s="1" t="s">
        <v>345</v>
      </c>
      <c r="H857" s="1" t="s">
        <v>346</v>
      </c>
      <c r="I857" s="1" t="s">
        <v>347</v>
      </c>
      <c r="J857" s="1" t="s">
        <v>348</v>
      </c>
    </row>
    <row r="858" spans="1:10" x14ac:dyDescent="0.25">
      <c r="A858" s="1" t="s">
        <v>2330</v>
      </c>
      <c r="B858" s="1" t="s">
        <v>708</v>
      </c>
      <c r="C858" s="19">
        <v>46182</v>
      </c>
      <c r="D858" s="1" t="s">
        <v>21</v>
      </c>
      <c r="E858" s="1" t="s">
        <v>81</v>
      </c>
      <c r="F858" s="1">
        <v>5752</v>
      </c>
      <c r="G858" s="1" t="s">
        <v>349</v>
      </c>
      <c r="H858" s="1" t="s">
        <v>350</v>
      </c>
      <c r="I858" s="1" t="s">
        <v>347</v>
      </c>
      <c r="J858" s="1" t="s">
        <v>351</v>
      </c>
    </row>
    <row r="859" spans="1:10" x14ac:dyDescent="0.25">
      <c r="A859" s="1" t="s">
        <v>2331</v>
      </c>
      <c r="B859" s="1" t="s">
        <v>708</v>
      </c>
      <c r="C859" s="19">
        <v>46182</v>
      </c>
      <c r="D859" s="1" t="s">
        <v>21</v>
      </c>
      <c r="E859" s="1" t="s">
        <v>81</v>
      </c>
      <c r="F859" s="1">
        <v>5752</v>
      </c>
      <c r="G859" s="1" t="s">
        <v>361</v>
      </c>
      <c r="H859" s="1" t="s">
        <v>353</v>
      </c>
      <c r="I859" s="1" t="s">
        <v>347</v>
      </c>
      <c r="J859" s="1" t="s">
        <v>362</v>
      </c>
    </row>
    <row r="860" spans="1:10" x14ac:dyDescent="0.25">
      <c r="A860" s="1" t="s">
        <v>2332</v>
      </c>
      <c r="B860" s="1" t="s">
        <v>709</v>
      </c>
      <c r="C860" s="19">
        <v>46182</v>
      </c>
      <c r="D860" s="1" t="s">
        <v>21</v>
      </c>
      <c r="E860" s="1" t="s">
        <v>81</v>
      </c>
      <c r="F860" s="1">
        <v>5753</v>
      </c>
      <c r="G860" s="1" t="s">
        <v>355</v>
      </c>
      <c r="H860" s="1" t="s">
        <v>346</v>
      </c>
      <c r="I860" s="1" t="s">
        <v>347</v>
      </c>
      <c r="J860" s="1" t="s">
        <v>356</v>
      </c>
    </row>
    <row r="861" spans="1:10" x14ac:dyDescent="0.25">
      <c r="A861" s="1" t="s">
        <v>2333</v>
      </c>
      <c r="B861" s="1" t="s">
        <v>709</v>
      </c>
      <c r="C861" s="19">
        <v>46182</v>
      </c>
      <c r="D861" s="1" t="s">
        <v>21</v>
      </c>
      <c r="E861" s="1" t="s">
        <v>81</v>
      </c>
      <c r="F861" s="1">
        <v>5753</v>
      </c>
      <c r="G861" s="1" t="s">
        <v>345</v>
      </c>
      <c r="H861" s="1" t="s">
        <v>346</v>
      </c>
      <c r="I861" s="1" t="s">
        <v>347</v>
      </c>
      <c r="J861" s="1" t="s">
        <v>348</v>
      </c>
    </row>
    <row r="862" spans="1:10" x14ac:dyDescent="0.25">
      <c r="A862" s="1" t="s">
        <v>2334</v>
      </c>
      <c r="B862" s="1" t="s">
        <v>709</v>
      </c>
      <c r="C862" s="19">
        <v>46182</v>
      </c>
      <c r="D862" s="1" t="s">
        <v>21</v>
      </c>
      <c r="E862" s="1" t="s">
        <v>81</v>
      </c>
      <c r="F862" s="1">
        <v>5753</v>
      </c>
      <c r="G862" s="1" t="s">
        <v>349</v>
      </c>
      <c r="H862" s="1" t="s">
        <v>350</v>
      </c>
      <c r="I862" s="1" t="s">
        <v>347</v>
      </c>
      <c r="J862" s="1" t="s">
        <v>351</v>
      </c>
    </row>
    <row r="863" spans="1:10" x14ac:dyDescent="0.25">
      <c r="A863" s="1" t="s">
        <v>2335</v>
      </c>
      <c r="B863" s="1" t="s">
        <v>709</v>
      </c>
      <c r="C863" s="19">
        <v>46182</v>
      </c>
      <c r="D863" s="1" t="s">
        <v>21</v>
      </c>
      <c r="E863" s="1" t="s">
        <v>81</v>
      </c>
      <c r="F863" s="1">
        <v>5753</v>
      </c>
      <c r="G863" s="1" t="s">
        <v>361</v>
      </c>
      <c r="H863" s="1" t="s">
        <v>353</v>
      </c>
      <c r="I863" s="1" t="s">
        <v>347</v>
      </c>
      <c r="J863" s="1" t="s">
        <v>362</v>
      </c>
    </row>
    <row r="864" spans="1:10" x14ac:dyDescent="0.25">
      <c r="A864" s="1" t="s">
        <v>2336</v>
      </c>
      <c r="B864" s="1" t="s">
        <v>710</v>
      </c>
      <c r="C864" s="19">
        <v>46182</v>
      </c>
      <c r="D864" s="1" t="s">
        <v>21</v>
      </c>
      <c r="E864" s="1" t="s">
        <v>81</v>
      </c>
      <c r="F864" s="1">
        <v>5754</v>
      </c>
      <c r="G864" s="1" t="s">
        <v>355</v>
      </c>
      <c r="H864" s="1" t="s">
        <v>346</v>
      </c>
      <c r="I864" s="1" t="s">
        <v>347</v>
      </c>
      <c r="J864" s="1" t="s">
        <v>356</v>
      </c>
    </row>
    <row r="865" spans="1:10" x14ac:dyDescent="0.25">
      <c r="A865" s="1" t="s">
        <v>2337</v>
      </c>
      <c r="B865" s="1" t="s">
        <v>710</v>
      </c>
      <c r="C865" s="19">
        <v>46182</v>
      </c>
      <c r="D865" s="1" t="s">
        <v>21</v>
      </c>
      <c r="E865" s="1" t="s">
        <v>81</v>
      </c>
      <c r="F865" s="1">
        <v>5754</v>
      </c>
      <c r="G865" s="1" t="s">
        <v>345</v>
      </c>
      <c r="H865" s="1" t="s">
        <v>346</v>
      </c>
      <c r="I865" s="1" t="s">
        <v>347</v>
      </c>
      <c r="J865" s="1" t="s">
        <v>348</v>
      </c>
    </row>
    <row r="866" spans="1:10" x14ac:dyDescent="0.25">
      <c r="A866" s="1" t="s">
        <v>2338</v>
      </c>
      <c r="B866" s="1" t="s">
        <v>710</v>
      </c>
      <c r="C866" s="19">
        <v>46182</v>
      </c>
      <c r="D866" s="1" t="s">
        <v>21</v>
      </c>
      <c r="E866" s="1" t="s">
        <v>81</v>
      </c>
      <c r="F866" s="1">
        <v>5754</v>
      </c>
      <c r="G866" s="1" t="s">
        <v>349</v>
      </c>
      <c r="H866" s="1" t="s">
        <v>350</v>
      </c>
      <c r="I866" s="1" t="s">
        <v>347</v>
      </c>
      <c r="J866" s="1" t="s">
        <v>351</v>
      </c>
    </row>
    <row r="867" spans="1:10" x14ac:dyDescent="0.25">
      <c r="A867" s="1" t="s">
        <v>2339</v>
      </c>
      <c r="B867" s="1" t="s">
        <v>710</v>
      </c>
      <c r="C867" s="19">
        <v>46182</v>
      </c>
      <c r="D867" s="1" t="s">
        <v>21</v>
      </c>
      <c r="E867" s="1" t="s">
        <v>81</v>
      </c>
      <c r="F867" s="1">
        <v>5754</v>
      </c>
      <c r="G867" s="1" t="s">
        <v>361</v>
      </c>
      <c r="H867" s="1" t="s">
        <v>353</v>
      </c>
      <c r="I867" s="1" t="s">
        <v>347</v>
      </c>
      <c r="J867" s="1" t="s">
        <v>362</v>
      </c>
    </row>
    <row r="868" spans="1:10" x14ac:dyDescent="0.25">
      <c r="A868" s="1" t="s">
        <v>2340</v>
      </c>
      <c r="B868" s="1" t="s">
        <v>711</v>
      </c>
      <c r="C868" s="19">
        <v>46182</v>
      </c>
      <c r="D868" s="1" t="s">
        <v>21</v>
      </c>
      <c r="E868" s="1" t="s">
        <v>81</v>
      </c>
      <c r="F868" s="1">
        <v>5755</v>
      </c>
      <c r="G868" s="1" t="s">
        <v>355</v>
      </c>
      <c r="H868" s="1" t="s">
        <v>346</v>
      </c>
      <c r="I868" s="1" t="s">
        <v>347</v>
      </c>
      <c r="J868" s="1" t="s">
        <v>356</v>
      </c>
    </row>
    <row r="869" spans="1:10" x14ac:dyDescent="0.25">
      <c r="A869" s="1" t="s">
        <v>2341</v>
      </c>
      <c r="B869" s="1" t="s">
        <v>711</v>
      </c>
      <c r="C869" s="19">
        <v>46182</v>
      </c>
      <c r="D869" s="1" t="s">
        <v>21</v>
      </c>
      <c r="E869" s="1" t="s">
        <v>81</v>
      </c>
      <c r="F869" s="1">
        <v>5755</v>
      </c>
      <c r="G869" s="1" t="s">
        <v>345</v>
      </c>
      <c r="H869" s="1" t="s">
        <v>346</v>
      </c>
      <c r="I869" s="1" t="s">
        <v>347</v>
      </c>
      <c r="J869" s="1" t="s">
        <v>348</v>
      </c>
    </row>
    <row r="870" spans="1:10" x14ac:dyDescent="0.25">
      <c r="A870" s="1" t="s">
        <v>2342</v>
      </c>
      <c r="B870" s="1" t="s">
        <v>711</v>
      </c>
      <c r="C870" s="19">
        <v>46182</v>
      </c>
      <c r="D870" s="1" t="s">
        <v>21</v>
      </c>
      <c r="E870" s="1" t="s">
        <v>81</v>
      </c>
      <c r="F870" s="1">
        <v>5755</v>
      </c>
      <c r="G870" s="1" t="s">
        <v>349</v>
      </c>
      <c r="H870" s="1" t="s">
        <v>350</v>
      </c>
      <c r="I870" s="1" t="s">
        <v>347</v>
      </c>
      <c r="J870" s="1" t="s">
        <v>351</v>
      </c>
    </row>
    <row r="871" spans="1:10" x14ac:dyDescent="0.25">
      <c r="A871" s="1" t="s">
        <v>2343</v>
      </c>
      <c r="B871" s="1" t="s">
        <v>711</v>
      </c>
      <c r="C871" s="19">
        <v>46182</v>
      </c>
      <c r="D871" s="1" t="s">
        <v>21</v>
      </c>
      <c r="E871" s="1" t="s">
        <v>81</v>
      </c>
      <c r="F871" s="1">
        <v>5755</v>
      </c>
      <c r="G871" s="1" t="s">
        <v>361</v>
      </c>
      <c r="H871" s="1" t="s">
        <v>353</v>
      </c>
      <c r="I871" s="1" t="s">
        <v>347</v>
      </c>
      <c r="J871" s="1" t="s">
        <v>362</v>
      </c>
    </row>
    <row r="872" spans="1:10" x14ac:dyDescent="0.25">
      <c r="A872" s="1" t="s">
        <v>2344</v>
      </c>
      <c r="B872" s="1" t="s">
        <v>712</v>
      </c>
      <c r="C872" s="19">
        <v>46182</v>
      </c>
      <c r="D872" s="1" t="s">
        <v>21</v>
      </c>
      <c r="E872" s="1" t="s">
        <v>81</v>
      </c>
      <c r="F872" s="1">
        <v>5756</v>
      </c>
      <c r="G872" s="1" t="s">
        <v>355</v>
      </c>
      <c r="H872" s="1" t="s">
        <v>346</v>
      </c>
      <c r="I872" s="1" t="s">
        <v>347</v>
      </c>
      <c r="J872" s="1" t="s">
        <v>356</v>
      </c>
    </row>
    <row r="873" spans="1:10" x14ac:dyDescent="0.25">
      <c r="A873" s="1" t="s">
        <v>2345</v>
      </c>
      <c r="B873" s="1" t="s">
        <v>712</v>
      </c>
      <c r="C873" s="19">
        <v>46182</v>
      </c>
      <c r="D873" s="1" t="s">
        <v>21</v>
      </c>
      <c r="E873" s="1" t="s">
        <v>81</v>
      </c>
      <c r="F873" s="1">
        <v>5756</v>
      </c>
      <c r="G873" s="1" t="s">
        <v>345</v>
      </c>
      <c r="H873" s="1" t="s">
        <v>346</v>
      </c>
      <c r="I873" s="1" t="s">
        <v>347</v>
      </c>
      <c r="J873" s="1" t="s">
        <v>348</v>
      </c>
    </row>
    <row r="874" spans="1:10" x14ac:dyDescent="0.25">
      <c r="A874" s="1" t="s">
        <v>2346</v>
      </c>
      <c r="B874" s="1" t="s">
        <v>712</v>
      </c>
      <c r="C874" s="19">
        <v>46182</v>
      </c>
      <c r="D874" s="1" t="s">
        <v>21</v>
      </c>
      <c r="E874" s="1" t="s">
        <v>81</v>
      </c>
      <c r="F874" s="1">
        <v>5756</v>
      </c>
      <c r="G874" s="1" t="s">
        <v>349</v>
      </c>
      <c r="H874" s="1" t="s">
        <v>350</v>
      </c>
      <c r="I874" s="1" t="s">
        <v>347</v>
      </c>
      <c r="J874" s="1" t="s">
        <v>351</v>
      </c>
    </row>
    <row r="875" spans="1:10" x14ac:dyDescent="0.25">
      <c r="A875" s="1" t="s">
        <v>2347</v>
      </c>
      <c r="B875" s="1" t="s">
        <v>712</v>
      </c>
      <c r="C875" s="19">
        <v>46182</v>
      </c>
      <c r="D875" s="1" t="s">
        <v>21</v>
      </c>
      <c r="E875" s="1" t="s">
        <v>81</v>
      </c>
      <c r="F875" s="1">
        <v>5756</v>
      </c>
      <c r="G875" s="1" t="s">
        <v>361</v>
      </c>
      <c r="H875" s="1" t="s">
        <v>353</v>
      </c>
      <c r="I875" s="1" t="s">
        <v>347</v>
      </c>
      <c r="J875" s="1" t="s">
        <v>362</v>
      </c>
    </row>
    <row r="876" spans="1:10" x14ac:dyDescent="0.25">
      <c r="A876" s="1" t="s">
        <v>2348</v>
      </c>
      <c r="B876" s="1" t="s">
        <v>713</v>
      </c>
      <c r="C876" s="19">
        <v>46182</v>
      </c>
      <c r="D876" s="1" t="s">
        <v>21</v>
      </c>
      <c r="E876" s="1" t="s">
        <v>81</v>
      </c>
      <c r="F876" s="1">
        <v>5757</v>
      </c>
      <c r="G876" s="1" t="s">
        <v>355</v>
      </c>
      <c r="H876" s="1" t="s">
        <v>346</v>
      </c>
      <c r="I876" s="1" t="s">
        <v>347</v>
      </c>
      <c r="J876" s="1" t="s">
        <v>356</v>
      </c>
    </row>
    <row r="877" spans="1:10" x14ac:dyDescent="0.25">
      <c r="A877" s="1" t="s">
        <v>2349</v>
      </c>
      <c r="B877" s="1" t="s">
        <v>713</v>
      </c>
      <c r="C877" s="19">
        <v>46182</v>
      </c>
      <c r="D877" s="1" t="s">
        <v>21</v>
      </c>
      <c r="E877" s="1" t="s">
        <v>81</v>
      </c>
      <c r="F877" s="1">
        <v>5757</v>
      </c>
      <c r="G877" s="1" t="s">
        <v>345</v>
      </c>
      <c r="H877" s="1" t="s">
        <v>346</v>
      </c>
      <c r="I877" s="1" t="s">
        <v>347</v>
      </c>
      <c r="J877" s="1" t="s">
        <v>348</v>
      </c>
    </row>
    <row r="878" spans="1:10" x14ac:dyDescent="0.25">
      <c r="A878" s="1" t="s">
        <v>2350</v>
      </c>
      <c r="B878" s="1" t="s">
        <v>713</v>
      </c>
      <c r="C878" s="19">
        <v>46182</v>
      </c>
      <c r="D878" s="1" t="s">
        <v>21</v>
      </c>
      <c r="E878" s="1" t="s">
        <v>81</v>
      </c>
      <c r="F878" s="1">
        <v>5757</v>
      </c>
      <c r="G878" s="1" t="s">
        <v>349</v>
      </c>
      <c r="H878" s="1" t="s">
        <v>350</v>
      </c>
      <c r="I878" s="1" t="s">
        <v>347</v>
      </c>
      <c r="J878" s="1" t="s">
        <v>351</v>
      </c>
    </row>
    <row r="879" spans="1:10" x14ac:dyDescent="0.25">
      <c r="A879" s="1" t="s">
        <v>2351</v>
      </c>
      <c r="B879" s="1" t="s">
        <v>713</v>
      </c>
      <c r="C879" s="19">
        <v>46182</v>
      </c>
      <c r="D879" s="1" t="s">
        <v>21</v>
      </c>
      <c r="E879" s="1" t="s">
        <v>81</v>
      </c>
      <c r="F879" s="1">
        <v>5757</v>
      </c>
      <c r="G879" s="1" t="s">
        <v>361</v>
      </c>
      <c r="H879" s="1" t="s">
        <v>353</v>
      </c>
      <c r="I879" s="1" t="s">
        <v>347</v>
      </c>
      <c r="J879" s="1" t="s">
        <v>362</v>
      </c>
    </row>
    <row r="880" spans="1:10" x14ac:dyDescent="0.25">
      <c r="A880" s="1" t="s">
        <v>2352</v>
      </c>
      <c r="B880" s="1" t="s">
        <v>714</v>
      </c>
      <c r="C880" s="19">
        <v>46182</v>
      </c>
      <c r="D880" s="1" t="s">
        <v>21</v>
      </c>
      <c r="E880" s="1" t="s">
        <v>81</v>
      </c>
      <c r="F880" s="1">
        <v>5758</v>
      </c>
      <c r="G880" s="1" t="s">
        <v>355</v>
      </c>
      <c r="H880" s="1" t="s">
        <v>346</v>
      </c>
      <c r="I880" s="1" t="s">
        <v>347</v>
      </c>
      <c r="J880" s="1" t="s">
        <v>356</v>
      </c>
    </row>
    <row r="881" spans="1:10" x14ac:dyDescent="0.25">
      <c r="A881" s="1" t="s">
        <v>2353</v>
      </c>
      <c r="B881" s="1" t="s">
        <v>714</v>
      </c>
      <c r="C881" s="19">
        <v>46182</v>
      </c>
      <c r="D881" s="1" t="s">
        <v>21</v>
      </c>
      <c r="E881" s="1" t="s">
        <v>81</v>
      </c>
      <c r="F881" s="1">
        <v>5758</v>
      </c>
      <c r="G881" s="1" t="s">
        <v>345</v>
      </c>
      <c r="H881" s="1" t="s">
        <v>346</v>
      </c>
      <c r="I881" s="1" t="s">
        <v>347</v>
      </c>
      <c r="J881" s="1" t="s">
        <v>348</v>
      </c>
    </row>
    <row r="882" spans="1:10" x14ac:dyDescent="0.25">
      <c r="A882" s="1" t="s">
        <v>2354</v>
      </c>
      <c r="B882" s="1" t="s">
        <v>714</v>
      </c>
      <c r="C882" s="19">
        <v>46182</v>
      </c>
      <c r="D882" s="1" t="s">
        <v>21</v>
      </c>
      <c r="E882" s="1" t="s">
        <v>81</v>
      </c>
      <c r="F882" s="1">
        <v>5758</v>
      </c>
      <c r="G882" s="1" t="s">
        <v>349</v>
      </c>
      <c r="H882" s="1" t="s">
        <v>350</v>
      </c>
      <c r="I882" s="1" t="s">
        <v>347</v>
      </c>
      <c r="J882" s="1" t="s">
        <v>351</v>
      </c>
    </row>
    <row r="883" spans="1:10" x14ac:dyDescent="0.25">
      <c r="A883" s="1" t="s">
        <v>2355</v>
      </c>
      <c r="B883" s="1" t="s">
        <v>714</v>
      </c>
      <c r="C883" s="19">
        <v>46182</v>
      </c>
      <c r="D883" s="1" t="s">
        <v>21</v>
      </c>
      <c r="E883" s="1" t="s">
        <v>81</v>
      </c>
      <c r="F883" s="1">
        <v>5758</v>
      </c>
      <c r="G883" s="1" t="s">
        <v>361</v>
      </c>
      <c r="H883" s="1" t="s">
        <v>353</v>
      </c>
      <c r="I883" s="1" t="s">
        <v>347</v>
      </c>
      <c r="J883" s="1" t="s">
        <v>362</v>
      </c>
    </row>
    <row r="884" spans="1:10" x14ac:dyDescent="0.25">
      <c r="A884" s="1" t="s">
        <v>2356</v>
      </c>
      <c r="B884" s="1" t="s">
        <v>715</v>
      </c>
      <c r="C884" s="19">
        <v>46182</v>
      </c>
      <c r="D884" s="1" t="s">
        <v>21</v>
      </c>
      <c r="E884" s="1" t="s">
        <v>81</v>
      </c>
      <c r="F884" s="1">
        <v>5759</v>
      </c>
      <c r="G884" s="1" t="s">
        <v>355</v>
      </c>
      <c r="H884" s="1" t="s">
        <v>346</v>
      </c>
      <c r="I884" s="1" t="s">
        <v>347</v>
      </c>
      <c r="J884" s="1" t="s">
        <v>356</v>
      </c>
    </row>
    <row r="885" spans="1:10" x14ac:dyDescent="0.25">
      <c r="A885" s="1" t="s">
        <v>2357</v>
      </c>
      <c r="B885" s="1" t="s">
        <v>715</v>
      </c>
      <c r="C885" s="19">
        <v>46182</v>
      </c>
      <c r="D885" s="1" t="s">
        <v>21</v>
      </c>
      <c r="E885" s="1" t="s">
        <v>81</v>
      </c>
      <c r="F885" s="1">
        <v>5759</v>
      </c>
      <c r="G885" s="1" t="s">
        <v>345</v>
      </c>
      <c r="H885" s="1" t="s">
        <v>346</v>
      </c>
      <c r="I885" s="1" t="s">
        <v>347</v>
      </c>
      <c r="J885" s="1" t="s">
        <v>348</v>
      </c>
    </row>
    <row r="886" spans="1:10" x14ac:dyDescent="0.25">
      <c r="A886" s="1" t="s">
        <v>2358</v>
      </c>
      <c r="B886" s="1" t="s">
        <v>715</v>
      </c>
      <c r="C886" s="19">
        <v>46182</v>
      </c>
      <c r="D886" s="1" t="s">
        <v>21</v>
      </c>
      <c r="E886" s="1" t="s">
        <v>81</v>
      </c>
      <c r="F886" s="1">
        <v>5759</v>
      </c>
      <c r="G886" s="1" t="s">
        <v>349</v>
      </c>
      <c r="H886" s="1" t="s">
        <v>350</v>
      </c>
      <c r="I886" s="1" t="s">
        <v>347</v>
      </c>
      <c r="J886" s="1" t="s">
        <v>351</v>
      </c>
    </row>
    <row r="887" spans="1:10" x14ac:dyDescent="0.25">
      <c r="A887" s="1" t="s">
        <v>2359</v>
      </c>
      <c r="B887" s="1" t="s">
        <v>715</v>
      </c>
      <c r="C887" s="19">
        <v>46182</v>
      </c>
      <c r="D887" s="1" t="s">
        <v>21</v>
      </c>
      <c r="E887" s="1" t="s">
        <v>81</v>
      </c>
      <c r="F887" s="1">
        <v>5759</v>
      </c>
      <c r="G887" s="1" t="s">
        <v>361</v>
      </c>
      <c r="H887" s="1" t="s">
        <v>353</v>
      </c>
      <c r="I887" s="1" t="s">
        <v>347</v>
      </c>
      <c r="J887" s="1" t="s">
        <v>362</v>
      </c>
    </row>
    <row r="888" spans="1:10" x14ac:dyDescent="0.25">
      <c r="A888" s="1" t="s">
        <v>2360</v>
      </c>
      <c r="B888" s="1" t="s">
        <v>716</v>
      </c>
      <c r="C888" s="19">
        <v>46182</v>
      </c>
      <c r="D888" s="1" t="s">
        <v>21</v>
      </c>
      <c r="E888" s="1" t="s">
        <v>81</v>
      </c>
      <c r="F888" s="1">
        <v>5760</v>
      </c>
      <c r="G888" s="1" t="s">
        <v>355</v>
      </c>
      <c r="H888" s="1" t="s">
        <v>346</v>
      </c>
      <c r="I888" s="1" t="s">
        <v>347</v>
      </c>
      <c r="J888" s="1" t="s">
        <v>356</v>
      </c>
    </row>
    <row r="889" spans="1:10" x14ac:dyDescent="0.25">
      <c r="A889" s="1" t="s">
        <v>2361</v>
      </c>
      <c r="B889" s="1" t="s">
        <v>716</v>
      </c>
      <c r="C889" s="19">
        <v>46182</v>
      </c>
      <c r="D889" s="1" t="s">
        <v>21</v>
      </c>
      <c r="E889" s="1" t="s">
        <v>81</v>
      </c>
      <c r="F889" s="1">
        <v>5760</v>
      </c>
      <c r="G889" s="1" t="s">
        <v>345</v>
      </c>
      <c r="H889" s="1" t="s">
        <v>346</v>
      </c>
      <c r="I889" s="1" t="s">
        <v>347</v>
      </c>
      <c r="J889" s="1" t="s">
        <v>348</v>
      </c>
    </row>
    <row r="890" spans="1:10" x14ac:dyDescent="0.25">
      <c r="A890" s="1" t="s">
        <v>2362</v>
      </c>
      <c r="B890" s="1" t="s">
        <v>716</v>
      </c>
      <c r="C890" s="19">
        <v>46182</v>
      </c>
      <c r="D890" s="1" t="s">
        <v>21</v>
      </c>
      <c r="E890" s="1" t="s">
        <v>81</v>
      </c>
      <c r="F890" s="1">
        <v>5760</v>
      </c>
      <c r="G890" s="1" t="s">
        <v>349</v>
      </c>
      <c r="H890" s="1" t="s">
        <v>350</v>
      </c>
      <c r="I890" s="1" t="s">
        <v>347</v>
      </c>
      <c r="J890" s="1" t="s">
        <v>351</v>
      </c>
    </row>
    <row r="891" spans="1:10" x14ac:dyDescent="0.25">
      <c r="A891" s="1" t="s">
        <v>2363</v>
      </c>
      <c r="B891" s="1" t="s">
        <v>716</v>
      </c>
      <c r="C891" s="19">
        <v>46182</v>
      </c>
      <c r="D891" s="1" t="s">
        <v>21</v>
      </c>
      <c r="E891" s="1" t="s">
        <v>81</v>
      </c>
      <c r="F891" s="1">
        <v>5760</v>
      </c>
      <c r="G891" s="1" t="s">
        <v>361</v>
      </c>
      <c r="H891" s="1" t="s">
        <v>353</v>
      </c>
      <c r="I891" s="1" t="s">
        <v>347</v>
      </c>
      <c r="J891" s="1" t="s">
        <v>362</v>
      </c>
    </row>
    <row r="892" spans="1:10" x14ac:dyDescent="0.25">
      <c r="A892" s="1" t="s">
        <v>2364</v>
      </c>
      <c r="B892" s="1" t="s">
        <v>717</v>
      </c>
      <c r="C892" s="19">
        <v>46182</v>
      </c>
      <c r="D892" s="1" t="s">
        <v>21</v>
      </c>
      <c r="E892" s="1" t="s">
        <v>81</v>
      </c>
      <c r="F892" s="1">
        <v>5761</v>
      </c>
      <c r="G892" s="1" t="s">
        <v>355</v>
      </c>
      <c r="H892" s="1" t="s">
        <v>346</v>
      </c>
      <c r="I892" s="1" t="s">
        <v>347</v>
      </c>
      <c r="J892" s="1" t="s">
        <v>356</v>
      </c>
    </row>
    <row r="893" spans="1:10" x14ac:dyDescent="0.25">
      <c r="A893" s="1" t="s">
        <v>2365</v>
      </c>
      <c r="B893" s="1" t="s">
        <v>717</v>
      </c>
      <c r="C893" s="19">
        <v>46182</v>
      </c>
      <c r="D893" s="1" t="s">
        <v>21</v>
      </c>
      <c r="E893" s="1" t="s">
        <v>81</v>
      </c>
      <c r="F893" s="1">
        <v>5761</v>
      </c>
      <c r="G893" s="1" t="s">
        <v>345</v>
      </c>
      <c r="H893" s="1" t="s">
        <v>346</v>
      </c>
      <c r="I893" s="1" t="s">
        <v>347</v>
      </c>
      <c r="J893" s="1" t="s">
        <v>348</v>
      </c>
    </row>
    <row r="894" spans="1:10" x14ac:dyDescent="0.25">
      <c r="A894" s="1" t="s">
        <v>2366</v>
      </c>
      <c r="B894" s="1" t="s">
        <v>717</v>
      </c>
      <c r="C894" s="19">
        <v>46182</v>
      </c>
      <c r="D894" s="1" t="s">
        <v>21</v>
      </c>
      <c r="E894" s="1" t="s">
        <v>81</v>
      </c>
      <c r="F894" s="1">
        <v>5761</v>
      </c>
      <c r="G894" s="1" t="s">
        <v>349</v>
      </c>
      <c r="H894" s="1" t="s">
        <v>350</v>
      </c>
      <c r="I894" s="1" t="s">
        <v>347</v>
      </c>
      <c r="J894" s="1" t="s">
        <v>351</v>
      </c>
    </row>
    <row r="895" spans="1:10" x14ac:dyDescent="0.25">
      <c r="A895" s="1" t="s">
        <v>2367</v>
      </c>
      <c r="B895" s="1" t="s">
        <v>717</v>
      </c>
      <c r="C895" s="19">
        <v>46182</v>
      </c>
      <c r="D895" s="1" t="s">
        <v>21</v>
      </c>
      <c r="E895" s="1" t="s">
        <v>81</v>
      </c>
      <c r="F895" s="1">
        <v>5761</v>
      </c>
      <c r="G895" s="1" t="s">
        <v>361</v>
      </c>
      <c r="H895" s="1" t="s">
        <v>353</v>
      </c>
      <c r="I895" s="1" t="s">
        <v>347</v>
      </c>
      <c r="J895" s="1" t="s">
        <v>362</v>
      </c>
    </row>
    <row r="896" spans="1:10" x14ac:dyDescent="0.25">
      <c r="A896" s="1" t="s">
        <v>2368</v>
      </c>
      <c r="B896" s="1" t="s">
        <v>718</v>
      </c>
      <c r="C896" s="19">
        <v>46182</v>
      </c>
      <c r="D896" s="1" t="s">
        <v>21</v>
      </c>
      <c r="E896" s="1" t="s">
        <v>81</v>
      </c>
      <c r="F896" s="1">
        <v>5762</v>
      </c>
      <c r="G896" s="1" t="s">
        <v>355</v>
      </c>
      <c r="H896" s="1" t="s">
        <v>346</v>
      </c>
      <c r="I896" s="1" t="s">
        <v>347</v>
      </c>
      <c r="J896" s="1" t="s">
        <v>356</v>
      </c>
    </row>
    <row r="897" spans="1:10" x14ac:dyDescent="0.25">
      <c r="A897" s="1" t="s">
        <v>2369</v>
      </c>
      <c r="B897" s="1" t="s">
        <v>718</v>
      </c>
      <c r="C897" s="19">
        <v>46182</v>
      </c>
      <c r="D897" s="1" t="s">
        <v>21</v>
      </c>
      <c r="E897" s="1" t="s">
        <v>81</v>
      </c>
      <c r="F897" s="1">
        <v>5762</v>
      </c>
      <c r="G897" s="1" t="s">
        <v>345</v>
      </c>
      <c r="H897" s="1" t="s">
        <v>346</v>
      </c>
      <c r="I897" s="1" t="s">
        <v>347</v>
      </c>
      <c r="J897" s="1" t="s">
        <v>348</v>
      </c>
    </row>
    <row r="898" spans="1:10" x14ac:dyDescent="0.25">
      <c r="A898" s="1" t="s">
        <v>2370</v>
      </c>
      <c r="B898" s="1" t="s">
        <v>718</v>
      </c>
      <c r="C898" s="19">
        <v>46182</v>
      </c>
      <c r="D898" s="1" t="s">
        <v>21</v>
      </c>
      <c r="E898" s="1" t="s">
        <v>81</v>
      </c>
      <c r="F898" s="1">
        <v>5762</v>
      </c>
      <c r="G898" s="1" t="s">
        <v>349</v>
      </c>
      <c r="H898" s="1" t="s">
        <v>350</v>
      </c>
      <c r="I898" s="1" t="s">
        <v>347</v>
      </c>
      <c r="J898" s="1" t="s">
        <v>351</v>
      </c>
    </row>
    <row r="899" spans="1:10" x14ac:dyDescent="0.25">
      <c r="A899" s="1" t="s">
        <v>2371</v>
      </c>
      <c r="B899" s="1" t="s">
        <v>718</v>
      </c>
      <c r="C899" s="19">
        <v>46182</v>
      </c>
      <c r="D899" s="1" t="s">
        <v>21</v>
      </c>
      <c r="E899" s="1" t="s">
        <v>81</v>
      </c>
      <c r="F899" s="1">
        <v>5762</v>
      </c>
      <c r="G899" s="1" t="s">
        <v>361</v>
      </c>
      <c r="H899" s="1" t="s">
        <v>353</v>
      </c>
      <c r="I899" s="1" t="s">
        <v>347</v>
      </c>
      <c r="J899" s="1" t="s">
        <v>362</v>
      </c>
    </row>
    <row r="900" spans="1:10" x14ac:dyDescent="0.25">
      <c r="A900" s="1" t="s">
        <v>2372</v>
      </c>
      <c r="B900" s="1" t="s">
        <v>719</v>
      </c>
      <c r="C900" s="19">
        <v>46182</v>
      </c>
      <c r="D900" s="1" t="s">
        <v>21</v>
      </c>
      <c r="E900" s="1" t="s">
        <v>81</v>
      </c>
      <c r="F900" s="1">
        <v>5763</v>
      </c>
      <c r="G900" s="1" t="s">
        <v>355</v>
      </c>
      <c r="H900" s="1" t="s">
        <v>346</v>
      </c>
      <c r="I900" s="1" t="s">
        <v>347</v>
      </c>
      <c r="J900" s="1" t="s">
        <v>356</v>
      </c>
    </row>
    <row r="901" spans="1:10" x14ac:dyDescent="0.25">
      <c r="A901" s="1" t="s">
        <v>2373</v>
      </c>
      <c r="B901" s="1" t="s">
        <v>719</v>
      </c>
      <c r="C901" s="19">
        <v>46182</v>
      </c>
      <c r="D901" s="1" t="s">
        <v>21</v>
      </c>
      <c r="E901" s="1" t="s">
        <v>81</v>
      </c>
      <c r="F901" s="1">
        <v>5763</v>
      </c>
      <c r="G901" s="1" t="s">
        <v>345</v>
      </c>
      <c r="H901" s="1" t="s">
        <v>346</v>
      </c>
      <c r="I901" s="1" t="s">
        <v>347</v>
      </c>
      <c r="J901" s="1" t="s">
        <v>348</v>
      </c>
    </row>
    <row r="902" spans="1:10" x14ac:dyDescent="0.25">
      <c r="A902" s="1" t="s">
        <v>2374</v>
      </c>
      <c r="B902" s="1" t="s">
        <v>719</v>
      </c>
      <c r="C902" s="19">
        <v>46182</v>
      </c>
      <c r="D902" s="1" t="s">
        <v>21</v>
      </c>
      <c r="E902" s="1" t="s">
        <v>81</v>
      </c>
      <c r="F902" s="1">
        <v>5763</v>
      </c>
      <c r="G902" s="1" t="s">
        <v>349</v>
      </c>
      <c r="H902" s="1" t="s">
        <v>350</v>
      </c>
      <c r="I902" s="1" t="s">
        <v>347</v>
      </c>
      <c r="J902" s="1" t="s">
        <v>351</v>
      </c>
    </row>
    <row r="903" spans="1:10" x14ac:dyDescent="0.25">
      <c r="A903" s="1" t="s">
        <v>2375</v>
      </c>
      <c r="B903" s="1" t="s">
        <v>719</v>
      </c>
      <c r="C903" s="19">
        <v>46182</v>
      </c>
      <c r="D903" s="1" t="s">
        <v>21</v>
      </c>
      <c r="E903" s="1" t="s">
        <v>81</v>
      </c>
      <c r="F903" s="1">
        <v>5763</v>
      </c>
      <c r="G903" s="1" t="s">
        <v>361</v>
      </c>
      <c r="H903" s="1" t="s">
        <v>353</v>
      </c>
      <c r="I903" s="1" t="s">
        <v>347</v>
      </c>
      <c r="J903" s="1" t="s">
        <v>362</v>
      </c>
    </row>
    <row r="904" spans="1:10" x14ac:dyDescent="0.25">
      <c r="A904" s="1" t="s">
        <v>2376</v>
      </c>
      <c r="B904" s="1" t="s">
        <v>720</v>
      </c>
      <c r="C904" s="19">
        <v>46182</v>
      </c>
      <c r="D904" s="1" t="s">
        <v>21</v>
      </c>
      <c r="E904" s="1" t="s">
        <v>81</v>
      </c>
      <c r="F904" s="1">
        <v>5764</v>
      </c>
      <c r="G904" s="1" t="s">
        <v>355</v>
      </c>
      <c r="H904" s="1" t="s">
        <v>346</v>
      </c>
      <c r="I904" s="1" t="s">
        <v>347</v>
      </c>
      <c r="J904" s="1" t="s">
        <v>356</v>
      </c>
    </row>
    <row r="905" spans="1:10" x14ac:dyDescent="0.25">
      <c r="A905" s="1" t="s">
        <v>2377</v>
      </c>
      <c r="B905" s="1" t="s">
        <v>720</v>
      </c>
      <c r="C905" s="19">
        <v>46182</v>
      </c>
      <c r="D905" s="1" t="s">
        <v>21</v>
      </c>
      <c r="E905" s="1" t="s">
        <v>81</v>
      </c>
      <c r="F905" s="1">
        <v>5764</v>
      </c>
      <c r="G905" s="1" t="s">
        <v>345</v>
      </c>
      <c r="H905" s="1" t="s">
        <v>346</v>
      </c>
      <c r="I905" s="1" t="s">
        <v>347</v>
      </c>
      <c r="J905" s="1" t="s">
        <v>348</v>
      </c>
    </row>
    <row r="906" spans="1:10" x14ac:dyDescent="0.25">
      <c r="A906" s="1" t="s">
        <v>2378</v>
      </c>
      <c r="B906" s="1" t="s">
        <v>720</v>
      </c>
      <c r="C906" s="19">
        <v>46182</v>
      </c>
      <c r="D906" s="1" t="s">
        <v>21</v>
      </c>
      <c r="E906" s="1" t="s">
        <v>81</v>
      </c>
      <c r="F906" s="1">
        <v>5764</v>
      </c>
      <c r="G906" s="1" t="s">
        <v>349</v>
      </c>
      <c r="H906" s="1" t="s">
        <v>350</v>
      </c>
      <c r="I906" s="1" t="s">
        <v>347</v>
      </c>
      <c r="J906" s="1" t="s">
        <v>351</v>
      </c>
    </row>
    <row r="907" spans="1:10" x14ac:dyDescent="0.25">
      <c r="A907" s="1" t="s">
        <v>2379</v>
      </c>
      <c r="B907" s="1" t="s">
        <v>720</v>
      </c>
      <c r="C907" s="19">
        <v>46182</v>
      </c>
      <c r="D907" s="1" t="s">
        <v>21</v>
      </c>
      <c r="E907" s="1" t="s">
        <v>81</v>
      </c>
      <c r="F907" s="1">
        <v>5764</v>
      </c>
      <c r="G907" s="1" t="s">
        <v>361</v>
      </c>
      <c r="H907" s="1" t="s">
        <v>353</v>
      </c>
      <c r="I907" s="1" t="s">
        <v>347</v>
      </c>
      <c r="J907" s="1" t="s">
        <v>362</v>
      </c>
    </row>
    <row r="908" spans="1:10" x14ac:dyDescent="0.25">
      <c r="A908" s="1" t="s">
        <v>2380</v>
      </c>
      <c r="B908" s="1" t="s">
        <v>721</v>
      </c>
      <c r="C908" s="19">
        <v>46182</v>
      </c>
      <c r="D908" s="1" t="s">
        <v>21</v>
      </c>
      <c r="E908" s="1" t="s">
        <v>81</v>
      </c>
      <c r="F908" s="1">
        <v>5765</v>
      </c>
      <c r="G908" s="1" t="s">
        <v>355</v>
      </c>
      <c r="H908" s="1" t="s">
        <v>346</v>
      </c>
      <c r="I908" s="1" t="s">
        <v>347</v>
      </c>
      <c r="J908" s="1" t="s">
        <v>356</v>
      </c>
    </row>
    <row r="909" spans="1:10" x14ac:dyDescent="0.25">
      <c r="A909" s="1" t="s">
        <v>2381</v>
      </c>
      <c r="B909" s="1" t="s">
        <v>721</v>
      </c>
      <c r="C909" s="19">
        <v>46182</v>
      </c>
      <c r="D909" s="1" t="s">
        <v>21</v>
      </c>
      <c r="E909" s="1" t="s">
        <v>81</v>
      </c>
      <c r="F909" s="1">
        <v>5765</v>
      </c>
      <c r="G909" s="1" t="s">
        <v>345</v>
      </c>
      <c r="H909" s="1" t="s">
        <v>346</v>
      </c>
      <c r="I909" s="1" t="s">
        <v>347</v>
      </c>
      <c r="J909" s="1" t="s">
        <v>348</v>
      </c>
    </row>
    <row r="910" spans="1:10" x14ac:dyDescent="0.25">
      <c r="A910" s="1" t="s">
        <v>2382</v>
      </c>
      <c r="B910" s="1" t="s">
        <v>721</v>
      </c>
      <c r="C910" s="19">
        <v>46182</v>
      </c>
      <c r="D910" s="1" t="s">
        <v>21</v>
      </c>
      <c r="E910" s="1" t="s">
        <v>81</v>
      </c>
      <c r="F910" s="1">
        <v>5765</v>
      </c>
      <c r="G910" s="1" t="s">
        <v>349</v>
      </c>
      <c r="H910" s="1" t="s">
        <v>350</v>
      </c>
      <c r="I910" s="1" t="s">
        <v>347</v>
      </c>
      <c r="J910" s="1" t="s">
        <v>351</v>
      </c>
    </row>
    <row r="911" spans="1:10" x14ac:dyDescent="0.25">
      <c r="A911" s="1" t="s">
        <v>2383</v>
      </c>
      <c r="B911" s="1" t="s">
        <v>721</v>
      </c>
      <c r="C911" s="19">
        <v>46182</v>
      </c>
      <c r="D911" s="1" t="s">
        <v>21</v>
      </c>
      <c r="E911" s="1" t="s">
        <v>81</v>
      </c>
      <c r="F911" s="1">
        <v>5765</v>
      </c>
      <c r="G911" s="1" t="s">
        <v>361</v>
      </c>
      <c r="H911" s="1" t="s">
        <v>353</v>
      </c>
      <c r="I911" s="1" t="s">
        <v>347</v>
      </c>
      <c r="J911" s="1" t="s">
        <v>362</v>
      </c>
    </row>
    <row r="912" spans="1:10" x14ac:dyDescent="0.25">
      <c r="A912" s="1" t="s">
        <v>2384</v>
      </c>
      <c r="B912" s="1" t="s">
        <v>722</v>
      </c>
      <c r="C912" s="19">
        <v>46182</v>
      </c>
      <c r="D912" s="1" t="s">
        <v>21</v>
      </c>
      <c r="E912" s="1" t="s">
        <v>81</v>
      </c>
      <c r="F912" s="1">
        <v>5766</v>
      </c>
      <c r="G912" s="1" t="s">
        <v>355</v>
      </c>
      <c r="H912" s="1" t="s">
        <v>346</v>
      </c>
      <c r="I912" s="1" t="s">
        <v>347</v>
      </c>
      <c r="J912" s="1" t="s">
        <v>356</v>
      </c>
    </row>
    <row r="913" spans="1:10" x14ac:dyDescent="0.25">
      <c r="A913" s="1" t="s">
        <v>2385</v>
      </c>
      <c r="B913" s="1" t="s">
        <v>722</v>
      </c>
      <c r="C913" s="19">
        <v>46182</v>
      </c>
      <c r="D913" s="1" t="s">
        <v>21</v>
      </c>
      <c r="E913" s="1" t="s">
        <v>81</v>
      </c>
      <c r="F913" s="1">
        <v>5766</v>
      </c>
      <c r="G913" s="1" t="s">
        <v>345</v>
      </c>
      <c r="H913" s="1" t="s">
        <v>346</v>
      </c>
      <c r="I913" s="1" t="s">
        <v>347</v>
      </c>
      <c r="J913" s="1" t="s">
        <v>348</v>
      </c>
    </row>
    <row r="914" spans="1:10" x14ac:dyDescent="0.25">
      <c r="A914" s="1" t="s">
        <v>2386</v>
      </c>
      <c r="B914" s="1" t="s">
        <v>722</v>
      </c>
      <c r="C914" s="19">
        <v>46182</v>
      </c>
      <c r="D914" s="1" t="s">
        <v>21</v>
      </c>
      <c r="E914" s="1" t="s">
        <v>81</v>
      </c>
      <c r="F914" s="1">
        <v>5766</v>
      </c>
      <c r="G914" s="1" t="s">
        <v>349</v>
      </c>
      <c r="H914" s="1" t="s">
        <v>350</v>
      </c>
      <c r="I914" s="1" t="s">
        <v>347</v>
      </c>
      <c r="J914" s="1" t="s">
        <v>351</v>
      </c>
    </row>
    <row r="915" spans="1:10" x14ac:dyDescent="0.25">
      <c r="A915" s="1" t="s">
        <v>2387</v>
      </c>
      <c r="B915" s="1" t="s">
        <v>722</v>
      </c>
      <c r="C915" s="19">
        <v>46182</v>
      </c>
      <c r="D915" s="1" t="s">
        <v>21</v>
      </c>
      <c r="E915" s="1" t="s">
        <v>81</v>
      </c>
      <c r="F915" s="1">
        <v>5766</v>
      </c>
      <c r="G915" s="1" t="s">
        <v>361</v>
      </c>
      <c r="H915" s="1" t="s">
        <v>353</v>
      </c>
      <c r="I915" s="1" t="s">
        <v>347</v>
      </c>
      <c r="J915" s="1" t="s">
        <v>362</v>
      </c>
    </row>
    <row r="916" spans="1:10" x14ac:dyDescent="0.25">
      <c r="A916" s="1" t="s">
        <v>2388</v>
      </c>
      <c r="B916" s="1" t="s">
        <v>723</v>
      </c>
      <c r="C916" s="19">
        <v>46182</v>
      </c>
      <c r="D916" s="1" t="s">
        <v>21</v>
      </c>
      <c r="E916" s="1" t="s">
        <v>81</v>
      </c>
      <c r="F916" s="1">
        <v>5767</v>
      </c>
      <c r="G916" s="1" t="s">
        <v>355</v>
      </c>
      <c r="H916" s="1" t="s">
        <v>346</v>
      </c>
      <c r="I916" s="1" t="s">
        <v>347</v>
      </c>
      <c r="J916" s="1" t="s">
        <v>356</v>
      </c>
    </row>
    <row r="917" spans="1:10" x14ac:dyDescent="0.25">
      <c r="A917" s="1" t="s">
        <v>2389</v>
      </c>
      <c r="B917" s="1" t="s">
        <v>723</v>
      </c>
      <c r="C917" s="19">
        <v>46182</v>
      </c>
      <c r="D917" s="1" t="s">
        <v>21</v>
      </c>
      <c r="E917" s="1" t="s">
        <v>81</v>
      </c>
      <c r="F917" s="1">
        <v>5767</v>
      </c>
      <c r="G917" s="1" t="s">
        <v>345</v>
      </c>
      <c r="H917" s="1" t="s">
        <v>346</v>
      </c>
      <c r="I917" s="1" t="s">
        <v>347</v>
      </c>
      <c r="J917" s="1" t="s">
        <v>348</v>
      </c>
    </row>
    <row r="918" spans="1:10" x14ac:dyDescent="0.25">
      <c r="A918" s="1" t="s">
        <v>2390</v>
      </c>
      <c r="B918" s="1" t="s">
        <v>723</v>
      </c>
      <c r="C918" s="19">
        <v>46182</v>
      </c>
      <c r="D918" s="1" t="s">
        <v>21</v>
      </c>
      <c r="E918" s="1" t="s">
        <v>81</v>
      </c>
      <c r="F918" s="1">
        <v>5767</v>
      </c>
      <c r="G918" s="1" t="s">
        <v>349</v>
      </c>
      <c r="H918" s="1" t="s">
        <v>350</v>
      </c>
      <c r="I918" s="1" t="s">
        <v>347</v>
      </c>
      <c r="J918" s="1" t="s">
        <v>351</v>
      </c>
    </row>
    <row r="919" spans="1:10" x14ac:dyDescent="0.25">
      <c r="A919" s="1" t="s">
        <v>2391</v>
      </c>
      <c r="B919" s="1" t="s">
        <v>723</v>
      </c>
      <c r="C919" s="19">
        <v>46182</v>
      </c>
      <c r="D919" s="1" t="s">
        <v>21</v>
      </c>
      <c r="E919" s="1" t="s">
        <v>81</v>
      </c>
      <c r="F919" s="1">
        <v>5767</v>
      </c>
      <c r="G919" s="1" t="s">
        <v>361</v>
      </c>
      <c r="H919" s="1" t="s">
        <v>353</v>
      </c>
      <c r="I919" s="1" t="s">
        <v>347</v>
      </c>
      <c r="J919" s="1" t="s">
        <v>362</v>
      </c>
    </row>
    <row r="920" spans="1:10" x14ac:dyDescent="0.25">
      <c r="A920" s="1" t="s">
        <v>2392</v>
      </c>
      <c r="B920" s="1" t="s">
        <v>724</v>
      </c>
      <c r="C920" s="19">
        <v>46182</v>
      </c>
      <c r="D920" s="1" t="s">
        <v>21</v>
      </c>
      <c r="E920" s="1" t="s">
        <v>81</v>
      </c>
      <c r="F920" s="1">
        <v>5768</v>
      </c>
      <c r="G920" s="1" t="s">
        <v>355</v>
      </c>
      <c r="H920" s="1" t="s">
        <v>346</v>
      </c>
      <c r="I920" s="1" t="s">
        <v>347</v>
      </c>
      <c r="J920" s="1" t="s">
        <v>356</v>
      </c>
    </row>
    <row r="921" spans="1:10" x14ac:dyDescent="0.25">
      <c r="A921" s="1" t="s">
        <v>2393</v>
      </c>
      <c r="B921" s="1" t="s">
        <v>724</v>
      </c>
      <c r="C921" s="19">
        <v>46182</v>
      </c>
      <c r="D921" s="1" t="s">
        <v>21</v>
      </c>
      <c r="E921" s="1" t="s">
        <v>81</v>
      </c>
      <c r="F921" s="1">
        <v>5768</v>
      </c>
      <c r="G921" s="1" t="s">
        <v>345</v>
      </c>
      <c r="H921" s="1" t="s">
        <v>346</v>
      </c>
      <c r="I921" s="1" t="s">
        <v>347</v>
      </c>
      <c r="J921" s="1" t="s">
        <v>348</v>
      </c>
    </row>
    <row r="922" spans="1:10" x14ac:dyDescent="0.25">
      <c r="A922" s="1" t="s">
        <v>2394</v>
      </c>
      <c r="B922" s="1" t="s">
        <v>724</v>
      </c>
      <c r="C922" s="19">
        <v>46182</v>
      </c>
      <c r="D922" s="1" t="s">
        <v>21</v>
      </c>
      <c r="E922" s="1" t="s">
        <v>81</v>
      </c>
      <c r="F922" s="1">
        <v>5768</v>
      </c>
      <c r="G922" s="1" t="s">
        <v>349</v>
      </c>
      <c r="H922" s="1" t="s">
        <v>350</v>
      </c>
      <c r="I922" s="1" t="s">
        <v>347</v>
      </c>
      <c r="J922" s="1" t="s">
        <v>351</v>
      </c>
    </row>
    <row r="923" spans="1:10" x14ac:dyDescent="0.25">
      <c r="A923" s="1" t="s">
        <v>2395</v>
      </c>
      <c r="B923" s="1" t="s">
        <v>724</v>
      </c>
      <c r="C923" s="19">
        <v>46182</v>
      </c>
      <c r="D923" s="1" t="s">
        <v>21</v>
      </c>
      <c r="E923" s="1" t="s">
        <v>81</v>
      </c>
      <c r="F923" s="1">
        <v>5768</v>
      </c>
      <c r="G923" s="1" t="s">
        <v>361</v>
      </c>
      <c r="H923" s="1" t="s">
        <v>353</v>
      </c>
      <c r="I923" s="1" t="s">
        <v>347</v>
      </c>
      <c r="J923" s="1" t="s">
        <v>362</v>
      </c>
    </row>
    <row r="924" spans="1:10" x14ac:dyDescent="0.25">
      <c r="A924" s="1" t="s">
        <v>2396</v>
      </c>
      <c r="B924" s="1" t="s">
        <v>725</v>
      </c>
      <c r="C924" s="19">
        <v>46182</v>
      </c>
      <c r="D924" s="1" t="s">
        <v>21</v>
      </c>
      <c r="E924" s="1" t="s">
        <v>81</v>
      </c>
      <c r="F924" s="1">
        <v>5769</v>
      </c>
      <c r="G924" s="1" t="s">
        <v>355</v>
      </c>
      <c r="H924" s="1" t="s">
        <v>346</v>
      </c>
      <c r="I924" s="1" t="s">
        <v>347</v>
      </c>
      <c r="J924" s="1" t="s">
        <v>356</v>
      </c>
    </row>
    <row r="925" spans="1:10" x14ac:dyDescent="0.25">
      <c r="A925" s="1" t="s">
        <v>2397</v>
      </c>
      <c r="B925" s="1" t="s">
        <v>725</v>
      </c>
      <c r="C925" s="19">
        <v>46182</v>
      </c>
      <c r="D925" s="1" t="s">
        <v>21</v>
      </c>
      <c r="E925" s="1" t="s">
        <v>81</v>
      </c>
      <c r="F925" s="1">
        <v>5769</v>
      </c>
      <c r="G925" s="1" t="s">
        <v>345</v>
      </c>
      <c r="H925" s="1" t="s">
        <v>346</v>
      </c>
      <c r="I925" s="1" t="s">
        <v>347</v>
      </c>
      <c r="J925" s="1" t="s">
        <v>348</v>
      </c>
    </row>
    <row r="926" spans="1:10" x14ac:dyDescent="0.25">
      <c r="A926" s="1" t="s">
        <v>2398</v>
      </c>
      <c r="B926" s="1" t="s">
        <v>725</v>
      </c>
      <c r="C926" s="19">
        <v>46182</v>
      </c>
      <c r="D926" s="1" t="s">
        <v>21</v>
      </c>
      <c r="E926" s="1" t="s">
        <v>81</v>
      </c>
      <c r="F926" s="1">
        <v>5769</v>
      </c>
      <c r="G926" s="1" t="s">
        <v>349</v>
      </c>
      <c r="H926" s="1" t="s">
        <v>350</v>
      </c>
      <c r="I926" s="1" t="s">
        <v>347</v>
      </c>
      <c r="J926" s="1" t="s">
        <v>351</v>
      </c>
    </row>
    <row r="927" spans="1:10" x14ac:dyDescent="0.25">
      <c r="A927" s="1" t="s">
        <v>2399</v>
      </c>
      <c r="B927" s="1" t="s">
        <v>725</v>
      </c>
      <c r="C927" s="19">
        <v>46182</v>
      </c>
      <c r="D927" s="1" t="s">
        <v>21</v>
      </c>
      <c r="E927" s="1" t="s">
        <v>81</v>
      </c>
      <c r="F927" s="1">
        <v>5769</v>
      </c>
      <c r="G927" s="1" t="s">
        <v>361</v>
      </c>
      <c r="H927" s="1" t="s">
        <v>353</v>
      </c>
      <c r="I927" s="1" t="s">
        <v>347</v>
      </c>
      <c r="J927" s="1" t="s">
        <v>362</v>
      </c>
    </row>
    <row r="928" spans="1:10" x14ac:dyDescent="0.25">
      <c r="A928" s="1" t="s">
        <v>2400</v>
      </c>
      <c r="B928" s="1" t="s">
        <v>726</v>
      </c>
      <c r="C928" s="19">
        <v>46182</v>
      </c>
      <c r="D928" s="1" t="s">
        <v>21</v>
      </c>
      <c r="E928" s="1" t="s">
        <v>81</v>
      </c>
      <c r="F928" s="1">
        <v>5770</v>
      </c>
      <c r="G928" s="1" t="s">
        <v>355</v>
      </c>
      <c r="H928" s="1" t="s">
        <v>346</v>
      </c>
      <c r="I928" s="1" t="s">
        <v>347</v>
      </c>
      <c r="J928" s="1" t="s">
        <v>356</v>
      </c>
    </row>
    <row r="929" spans="1:10" x14ac:dyDescent="0.25">
      <c r="A929" s="1" t="s">
        <v>2401</v>
      </c>
      <c r="B929" s="1" t="s">
        <v>726</v>
      </c>
      <c r="C929" s="19">
        <v>46182</v>
      </c>
      <c r="D929" s="1" t="s">
        <v>21</v>
      </c>
      <c r="E929" s="1" t="s">
        <v>81</v>
      </c>
      <c r="F929" s="1">
        <v>5770</v>
      </c>
      <c r="G929" s="1" t="s">
        <v>345</v>
      </c>
      <c r="H929" s="1" t="s">
        <v>346</v>
      </c>
      <c r="I929" s="1" t="s">
        <v>347</v>
      </c>
      <c r="J929" s="1" t="s">
        <v>348</v>
      </c>
    </row>
    <row r="930" spans="1:10" x14ac:dyDescent="0.25">
      <c r="A930" s="1" t="s">
        <v>2402</v>
      </c>
      <c r="B930" s="1" t="s">
        <v>726</v>
      </c>
      <c r="C930" s="19">
        <v>46182</v>
      </c>
      <c r="D930" s="1" t="s">
        <v>21</v>
      </c>
      <c r="E930" s="1" t="s">
        <v>81</v>
      </c>
      <c r="F930" s="1">
        <v>5770</v>
      </c>
      <c r="G930" s="1" t="s">
        <v>349</v>
      </c>
      <c r="H930" s="1" t="s">
        <v>350</v>
      </c>
      <c r="I930" s="1" t="s">
        <v>347</v>
      </c>
      <c r="J930" s="1" t="s">
        <v>351</v>
      </c>
    </row>
    <row r="931" spans="1:10" x14ac:dyDescent="0.25">
      <c r="A931" s="1" t="s">
        <v>2403</v>
      </c>
      <c r="B931" s="1" t="s">
        <v>726</v>
      </c>
      <c r="C931" s="19">
        <v>46182</v>
      </c>
      <c r="D931" s="1" t="s">
        <v>21</v>
      </c>
      <c r="E931" s="1" t="s">
        <v>81</v>
      </c>
      <c r="F931" s="1">
        <v>5770</v>
      </c>
      <c r="G931" s="1" t="s">
        <v>361</v>
      </c>
      <c r="H931" s="1" t="s">
        <v>353</v>
      </c>
      <c r="I931" s="1" t="s">
        <v>347</v>
      </c>
      <c r="J931" s="1" t="s">
        <v>362</v>
      </c>
    </row>
    <row r="932" spans="1:10" x14ac:dyDescent="0.25">
      <c r="A932" s="1" t="s">
        <v>2404</v>
      </c>
      <c r="B932" s="1" t="s">
        <v>727</v>
      </c>
      <c r="C932" s="19">
        <v>46182</v>
      </c>
      <c r="D932" s="1" t="s">
        <v>21</v>
      </c>
      <c r="E932" s="1" t="s">
        <v>81</v>
      </c>
      <c r="F932" s="1">
        <v>5771</v>
      </c>
      <c r="G932" s="1" t="s">
        <v>355</v>
      </c>
      <c r="H932" s="1" t="s">
        <v>346</v>
      </c>
      <c r="I932" s="1" t="s">
        <v>347</v>
      </c>
      <c r="J932" s="1" t="s">
        <v>356</v>
      </c>
    </row>
    <row r="933" spans="1:10" x14ac:dyDescent="0.25">
      <c r="A933" s="1" t="s">
        <v>2405</v>
      </c>
      <c r="B933" s="1" t="s">
        <v>727</v>
      </c>
      <c r="C933" s="19">
        <v>46182</v>
      </c>
      <c r="D933" s="1" t="s">
        <v>21</v>
      </c>
      <c r="E933" s="1" t="s">
        <v>81</v>
      </c>
      <c r="F933" s="1">
        <v>5771</v>
      </c>
      <c r="G933" s="1" t="s">
        <v>345</v>
      </c>
      <c r="H933" s="1" t="s">
        <v>346</v>
      </c>
      <c r="I933" s="1" t="s">
        <v>347</v>
      </c>
      <c r="J933" s="1" t="s">
        <v>348</v>
      </c>
    </row>
    <row r="934" spans="1:10" x14ac:dyDescent="0.25">
      <c r="A934" s="1" t="s">
        <v>2406</v>
      </c>
      <c r="B934" s="1" t="s">
        <v>727</v>
      </c>
      <c r="C934" s="19">
        <v>46182</v>
      </c>
      <c r="D934" s="1" t="s">
        <v>21</v>
      </c>
      <c r="E934" s="1" t="s">
        <v>81</v>
      </c>
      <c r="F934" s="1">
        <v>5771</v>
      </c>
      <c r="G934" s="1" t="s">
        <v>349</v>
      </c>
      <c r="H934" s="1" t="s">
        <v>350</v>
      </c>
      <c r="I934" s="1" t="s">
        <v>347</v>
      </c>
      <c r="J934" s="1" t="s">
        <v>351</v>
      </c>
    </row>
    <row r="935" spans="1:10" x14ac:dyDescent="0.25">
      <c r="A935" s="1" t="s">
        <v>2407</v>
      </c>
      <c r="B935" s="1" t="s">
        <v>727</v>
      </c>
      <c r="C935" s="19">
        <v>46182</v>
      </c>
      <c r="D935" s="1" t="s">
        <v>21</v>
      </c>
      <c r="E935" s="1" t="s">
        <v>81</v>
      </c>
      <c r="F935" s="1">
        <v>5771</v>
      </c>
      <c r="G935" s="1" t="s">
        <v>361</v>
      </c>
      <c r="H935" s="1" t="s">
        <v>353</v>
      </c>
      <c r="I935" s="1" t="s">
        <v>347</v>
      </c>
      <c r="J935" s="1" t="s">
        <v>362</v>
      </c>
    </row>
    <row r="936" spans="1:10" x14ac:dyDescent="0.25">
      <c r="A936" s="1" t="s">
        <v>2408</v>
      </c>
      <c r="B936" s="1" t="s">
        <v>728</v>
      </c>
      <c r="C936" s="19">
        <v>46182</v>
      </c>
      <c r="D936" s="1" t="s">
        <v>21</v>
      </c>
      <c r="E936" s="1" t="s">
        <v>81</v>
      </c>
      <c r="F936" s="1">
        <v>5772</v>
      </c>
      <c r="G936" s="1" t="s">
        <v>355</v>
      </c>
      <c r="H936" s="1" t="s">
        <v>346</v>
      </c>
      <c r="I936" s="1" t="s">
        <v>347</v>
      </c>
      <c r="J936" s="1" t="s">
        <v>356</v>
      </c>
    </row>
    <row r="937" spans="1:10" x14ac:dyDescent="0.25">
      <c r="A937" s="1" t="s">
        <v>2409</v>
      </c>
      <c r="B937" s="1" t="s">
        <v>728</v>
      </c>
      <c r="C937" s="19">
        <v>46182</v>
      </c>
      <c r="D937" s="1" t="s">
        <v>21</v>
      </c>
      <c r="E937" s="1" t="s">
        <v>81</v>
      </c>
      <c r="F937" s="1">
        <v>5772</v>
      </c>
      <c r="G937" s="1" t="s">
        <v>345</v>
      </c>
      <c r="H937" s="1" t="s">
        <v>346</v>
      </c>
      <c r="I937" s="1" t="s">
        <v>347</v>
      </c>
      <c r="J937" s="1" t="s">
        <v>348</v>
      </c>
    </row>
    <row r="938" spans="1:10" x14ac:dyDescent="0.25">
      <c r="A938" s="1" t="s">
        <v>2410</v>
      </c>
      <c r="B938" s="1" t="s">
        <v>728</v>
      </c>
      <c r="C938" s="19">
        <v>46182</v>
      </c>
      <c r="D938" s="1" t="s">
        <v>21</v>
      </c>
      <c r="E938" s="1" t="s">
        <v>81</v>
      </c>
      <c r="F938" s="1">
        <v>5772</v>
      </c>
      <c r="G938" s="1" t="s">
        <v>349</v>
      </c>
      <c r="H938" s="1" t="s">
        <v>350</v>
      </c>
      <c r="I938" s="1" t="s">
        <v>347</v>
      </c>
      <c r="J938" s="1" t="s">
        <v>351</v>
      </c>
    </row>
    <row r="939" spans="1:10" x14ac:dyDescent="0.25">
      <c r="A939" s="1" t="s">
        <v>2411</v>
      </c>
      <c r="B939" s="1" t="s">
        <v>728</v>
      </c>
      <c r="C939" s="19">
        <v>46182</v>
      </c>
      <c r="D939" s="1" t="s">
        <v>21</v>
      </c>
      <c r="E939" s="1" t="s">
        <v>81</v>
      </c>
      <c r="F939" s="1">
        <v>5772</v>
      </c>
      <c r="G939" s="1" t="s">
        <v>361</v>
      </c>
      <c r="H939" s="1" t="s">
        <v>353</v>
      </c>
      <c r="I939" s="1" t="s">
        <v>347</v>
      </c>
      <c r="J939" s="1" t="s">
        <v>362</v>
      </c>
    </row>
    <row r="940" spans="1:10" x14ac:dyDescent="0.25">
      <c r="A940" s="1" t="s">
        <v>2412</v>
      </c>
      <c r="B940" s="1" t="s">
        <v>729</v>
      </c>
      <c r="C940" s="19">
        <v>46182</v>
      </c>
      <c r="D940" s="1" t="s">
        <v>21</v>
      </c>
      <c r="E940" s="1" t="s">
        <v>81</v>
      </c>
      <c r="F940" s="1">
        <v>5773</v>
      </c>
      <c r="G940" s="1" t="s">
        <v>355</v>
      </c>
      <c r="H940" s="1" t="s">
        <v>346</v>
      </c>
      <c r="I940" s="1" t="s">
        <v>347</v>
      </c>
      <c r="J940" s="1" t="s">
        <v>356</v>
      </c>
    </row>
    <row r="941" spans="1:10" x14ac:dyDescent="0.25">
      <c r="A941" s="1" t="s">
        <v>2413</v>
      </c>
      <c r="B941" s="1" t="s">
        <v>729</v>
      </c>
      <c r="C941" s="19">
        <v>46182</v>
      </c>
      <c r="D941" s="1" t="s">
        <v>21</v>
      </c>
      <c r="E941" s="1" t="s">
        <v>81</v>
      </c>
      <c r="F941" s="1">
        <v>5773</v>
      </c>
      <c r="G941" s="1" t="s">
        <v>345</v>
      </c>
      <c r="H941" s="1" t="s">
        <v>346</v>
      </c>
      <c r="I941" s="1" t="s">
        <v>347</v>
      </c>
      <c r="J941" s="1" t="s">
        <v>348</v>
      </c>
    </row>
    <row r="942" spans="1:10" x14ac:dyDescent="0.25">
      <c r="A942" s="1" t="s">
        <v>2414</v>
      </c>
      <c r="B942" s="1" t="s">
        <v>729</v>
      </c>
      <c r="C942" s="19">
        <v>46182</v>
      </c>
      <c r="D942" s="1" t="s">
        <v>21</v>
      </c>
      <c r="E942" s="1" t="s">
        <v>81</v>
      </c>
      <c r="F942" s="1">
        <v>5773</v>
      </c>
      <c r="G942" s="1" t="s">
        <v>349</v>
      </c>
      <c r="H942" s="1" t="s">
        <v>350</v>
      </c>
      <c r="I942" s="1" t="s">
        <v>347</v>
      </c>
      <c r="J942" s="1" t="s">
        <v>351</v>
      </c>
    </row>
    <row r="943" spans="1:10" x14ac:dyDescent="0.25">
      <c r="A943" s="1" t="s">
        <v>2415</v>
      </c>
      <c r="B943" s="1" t="s">
        <v>729</v>
      </c>
      <c r="C943" s="19">
        <v>46182</v>
      </c>
      <c r="D943" s="1" t="s">
        <v>21</v>
      </c>
      <c r="E943" s="1" t="s">
        <v>81</v>
      </c>
      <c r="F943" s="1">
        <v>5773</v>
      </c>
      <c r="G943" s="1" t="s">
        <v>361</v>
      </c>
      <c r="H943" s="1" t="s">
        <v>353</v>
      </c>
      <c r="I943" s="1" t="s">
        <v>347</v>
      </c>
      <c r="J943" s="1" t="s">
        <v>362</v>
      </c>
    </row>
    <row r="944" spans="1:10" x14ac:dyDescent="0.25">
      <c r="A944" s="1" t="s">
        <v>2416</v>
      </c>
      <c r="B944" s="1" t="s">
        <v>730</v>
      </c>
      <c r="C944" s="19">
        <v>46182</v>
      </c>
      <c r="D944" s="1" t="s">
        <v>21</v>
      </c>
      <c r="E944" s="1" t="s">
        <v>81</v>
      </c>
      <c r="F944" s="1">
        <v>5774</v>
      </c>
      <c r="G944" s="1" t="s">
        <v>355</v>
      </c>
      <c r="H944" s="1" t="s">
        <v>346</v>
      </c>
      <c r="I944" s="1" t="s">
        <v>347</v>
      </c>
      <c r="J944" s="1" t="s">
        <v>356</v>
      </c>
    </row>
    <row r="945" spans="1:10" x14ac:dyDescent="0.25">
      <c r="A945" s="1" t="s">
        <v>2417</v>
      </c>
      <c r="B945" s="1" t="s">
        <v>730</v>
      </c>
      <c r="C945" s="19">
        <v>46182</v>
      </c>
      <c r="D945" s="1" t="s">
        <v>21</v>
      </c>
      <c r="E945" s="1" t="s">
        <v>81</v>
      </c>
      <c r="F945" s="1">
        <v>5774</v>
      </c>
      <c r="G945" s="1" t="s">
        <v>345</v>
      </c>
      <c r="H945" s="1" t="s">
        <v>346</v>
      </c>
      <c r="I945" s="1" t="s">
        <v>347</v>
      </c>
      <c r="J945" s="1" t="s">
        <v>348</v>
      </c>
    </row>
    <row r="946" spans="1:10" x14ac:dyDescent="0.25">
      <c r="A946" s="1" t="s">
        <v>2418</v>
      </c>
      <c r="B946" s="1" t="s">
        <v>730</v>
      </c>
      <c r="C946" s="19">
        <v>46182</v>
      </c>
      <c r="D946" s="1" t="s">
        <v>21</v>
      </c>
      <c r="E946" s="1" t="s">
        <v>81</v>
      </c>
      <c r="F946" s="1">
        <v>5774</v>
      </c>
      <c r="G946" s="1" t="s">
        <v>349</v>
      </c>
      <c r="H946" s="1" t="s">
        <v>350</v>
      </c>
      <c r="I946" s="1" t="s">
        <v>347</v>
      </c>
      <c r="J946" s="1" t="s">
        <v>351</v>
      </c>
    </row>
    <row r="947" spans="1:10" x14ac:dyDescent="0.25">
      <c r="A947" s="1" t="s">
        <v>2419</v>
      </c>
      <c r="B947" s="1" t="s">
        <v>730</v>
      </c>
      <c r="C947" s="19">
        <v>46182</v>
      </c>
      <c r="D947" s="1" t="s">
        <v>21</v>
      </c>
      <c r="E947" s="1" t="s">
        <v>81</v>
      </c>
      <c r="F947" s="1">
        <v>5774</v>
      </c>
      <c r="G947" s="1" t="s">
        <v>361</v>
      </c>
      <c r="H947" s="1" t="s">
        <v>353</v>
      </c>
      <c r="I947" s="1" t="s">
        <v>347</v>
      </c>
      <c r="J947" s="1" t="s">
        <v>362</v>
      </c>
    </row>
    <row r="948" spans="1:10" x14ac:dyDescent="0.25">
      <c r="A948" s="1" t="s">
        <v>2420</v>
      </c>
      <c r="B948" s="1" t="s">
        <v>731</v>
      </c>
      <c r="C948" s="19">
        <v>46182</v>
      </c>
      <c r="D948" s="1" t="s">
        <v>21</v>
      </c>
      <c r="E948" s="1" t="s">
        <v>81</v>
      </c>
      <c r="F948" s="1">
        <v>5775</v>
      </c>
      <c r="G948" s="1" t="s">
        <v>355</v>
      </c>
      <c r="H948" s="1" t="s">
        <v>346</v>
      </c>
      <c r="I948" s="1" t="s">
        <v>347</v>
      </c>
      <c r="J948" s="1" t="s">
        <v>356</v>
      </c>
    </row>
    <row r="949" spans="1:10" x14ac:dyDescent="0.25">
      <c r="A949" s="1" t="s">
        <v>2421</v>
      </c>
      <c r="B949" s="1" t="s">
        <v>731</v>
      </c>
      <c r="C949" s="19">
        <v>46182</v>
      </c>
      <c r="D949" s="1" t="s">
        <v>21</v>
      </c>
      <c r="E949" s="1" t="s">
        <v>81</v>
      </c>
      <c r="F949" s="1">
        <v>5775</v>
      </c>
      <c r="G949" s="1" t="s">
        <v>345</v>
      </c>
      <c r="H949" s="1" t="s">
        <v>346</v>
      </c>
      <c r="I949" s="1" t="s">
        <v>347</v>
      </c>
      <c r="J949" s="1" t="s">
        <v>348</v>
      </c>
    </row>
    <row r="950" spans="1:10" x14ac:dyDescent="0.25">
      <c r="A950" s="1" t="s">
        <v>2422</v>
      </c>
      <c r="B950" s="1" t="s">
        <v>731</v>
      </c>
      <c r="C950" s="19">
        <v>46182</v>
      </c>
      <c r="D950" s="1" t="s">
        <v>21</v>
      </c>
      <c r="E950" s="1" t="s">
        <v>81</v>
      </c>
      <c r="F950" s="1">
        <v>5775</v>
      </c>
      <c r="G950" s="1" t="s">
        <v>349</v>
      </c>
      <c r="H950" s="1" t="s">
        <v>350</v>
      </c>
      <c r="I950" s="1" t="s">
        <v>347</v>
      </c>
      <c r="J950" s="1" t="s">
        <v>351</v>
      </c>
    </row>
    <row r="951" spans="1:10" x14ac:dyDescent="0.25">
      <c r="A951" s="1" t="s">
        <v>2423</v>
      </c>
      <c r="B951" s="1" t="s">
        <v>731</v>
      </c>
      <c r="C951" s="19">
        <v>46182</v>
      </c>
      <c r="D951" s="1" t="s">
        <v>21</v>
      </c>
      <c r="E951" s="1" t="s">
        <v>81</v>
      </c>
      <c r="F951" s="1">
        <v>5775</v>
      </c>
      <c r="G951" s="1" t="s">
        <v>361</v>
      </c>
      <c r="H951" s="1" t="s">
        <v>353</v>
      </c>
      <c r="I951" s="1" t="s">
        <v>347</v>
      </c>
      <c r="J951" s="1" t="s">
        <v>362</v>
      </c>
    </row>
    <row r="952" spans="1:10" x14ac:dyDescent="0.25">
      <c r="A952" s="1" t="s">
        <v>2424</v>
      </c>
      <c r="B952" s="1" t="s">
        <v>732</v>
      </c>
      <c r="C952" s="19">
        <v>46182</v>
      </c>
      <c r="D952" s="1" t="s">
        <v>21</v>
      </c>
      <c r="E952" s="1" t="s">
        <v>81</v>
      </c>
      <c r="F952" s="1">
        <v>5776</v>
      </c>
      <c r="G952" s="1" t="s">
        <v>355</v>
      </c>
      <c r="H952" s="1" t="s">
        <v>346</v>
      </c>
      <c r="I952" s="1" t="s">
        <v>347</v>
      </c>
      <c r="J952" s="1" t="s">
        <v>356</v>
      </c>
    </row>
    <row r="953" spans="1:10" x14ac:dyDescent="0.25">
      <c r="A953" s="1" t="s">
        <v>2425</v>
      </c>
      <c r="B953" s="1" t="s">
        <v>732</v>
      </c>
      <c r="C953" s="19">
        <v>46182</v>
      </c>
      <c r="D953" s="1" t="s">
        <v>21</v>
      </c>
      <c r="E953" s="1" t="s">
        <v>81</v>
      </c>
      <c r="F953" s="1">
        <v>5776</v>
      </c>
      <c r="G953" s="1" t="s">
        <v>345</v>
      </c>
      <c r="H953" s="1" t="s">
        <v>346</v>
      </c>
      <c r="I953" s="1" t="s">
        <v>347</v>
      </c>
      <c r="J953" s="1" t="s">
        <v>348</v>
      </c>
    </row>
    <row r="954" spans="1:10" x14ac:dyDescent="0.25">
      <c r="A954" s="1" t="s">
        <v>2426</v>
      </c>
      <c r="B954" s="1" t="s">
        <v>732</v>
      </c>
      <c r="C954" s="19">
        <v>46182</v>
      </c>
      <c r="D954" s="1" t="s">
        <v>21</v>
      </c>
      <c r="E954" s="1" t="s">
        <v>81</v>
      </c>
      <c r="F954" s="1">
        <v>5776</v>
      </c>
      <c r="G954" s="1" t="s">
        <v>349</v>
      </c>
      <c r="H954" s="1" t="s">
        <v>350</v>
      </c>
      <c r="I954" s="1" t="s">
        <v>347</v>
      </c>
      <c r="J954" s="1" t="s">
        <v>351</v>
      </c>
    </row>
    <row r="955" spans="1:10" x14ac:dyDescent="0.25">
      <c r="A955" s="1" t="s">
        <v>2427</v>
      </c>
      <c r="B955" s="1" t="s">
        <v>732</v>
      </c>
      <c r="C955" s="19">
        <v>46182</v>
      </c>
      <c r="D955" s="1" t="s">
        <v>21</v>
      </c>
      <c r="E955" s="1" t="s">
        <v>81</v>
      </c>
      <c r="F955" s="1">
        <v>5776</v>
      </c>
      <c r="G955" s="1" t="s">
        <v>361</v>
      </c>
      <c r="H955" s="1" t="s">
        <v>353</v>
      </c>
      <c r="I955" s="1" t="s">
        <v>347</v>
      </c>
      <c r="J955" s="1" t="s">
        <v>362</v>
      </c>
    </row>
    <row r="956" spans="1:10" x14ac:dyDescent="0.25">
      <c r="A956" s="1" t="s">
        <v>2428</v>
      </c>
      <c r="B956" s="1" t="s">
        <v>733</v>
      </c>
      <c r="C956" s="19">
        <v>46182</v>
      </c>
      <c r="D956" s="1" t="s">
        <v>21</v>
      </c>
      <c r="E956" s="1" t="s">
        <v>81</v>
      </c>
      <c r="F956" s="1">
        <v>5777</v>
      </c>
      <c r="G956" s="1" t="s">
        <v>355</v>
      </c>
      <c r="H956" s="1" t="s">
        <v>346</v>
      </c>
      <c r="I956" s="1" t="s">
        <v>347</v>
      </c>
      <c r="J956" s="1" t="s">
        <v>356</v>
      </c>
    </row>
    <row r="957" spans="1:10" x14ac:dyDescent="0.25">
      <c r="A957" s="1" t="s">
        <v>2429</v>
      </c>
      <c r="B957" s="1" t="s">
        <v>733</v>
      </c>
      <c r="C957" s="19">
        <v>46182</v>
      </c>
      <c r="D957" s="1" t="s">
        <v>21</v>
      </c>
      <c r="E957" s="1" t="s">
        <v>81</v>
      </c>
      <c r="F957" s="1">
        <v>5777</v>
      </c>
      <c r="G957" s="1" t="s">
        <v>345</v>
      </c>
      <c r="H957" s="1" t="s">
        <v>346</v>
      </c>
      <c r="I957" s="1" t="s">
        <v>347</v>
      </c>
      <c r="J957" s="1" t="s">
        <v>348</v>
      </c>
    </row>
    <row r="958" spans="1:10" x14ac:dyDescent="0.25">
      <c r="A958" s="1" t="s">
        <v>2430</v>
      </c>
      <c r="B958" s="1" t="s">
        <v>733</v>
      </c>
      <c r="C958" s="19">
        <v>46182</v>
      </c>
      <c r="D958" s="1" t="s">
        <v>21</v>
      </c>
      <c r="E958" s="1" t="s">
        <v>81</v>
      </c>
      <c r="F958" s="1">
        <v>5777</v>
      </c>
      <c r="G958" s="1" t="s">
        <v>349</v>
      </c>
      <c r="H958" s="1" t="s">
        <v>350</v>
      </c>
      <c r="I958" s="1" t="s">
        <v>347</v>
      </c>
      <c r="J958" s="1" t="s">
        <v>351</v>
      </c>
    </row>
    <row r="959" spans="1:10" x14ac:dyDescent="0.25">
      <c r="A959" s="1" t="s">
        <v>2431</v>
      </c>
      <c r="B959" s="1" t="s">
        <v>733</v>
      </c>
      <c r="C959" s="19">
        <v>46182</v>
      </c>
      <c r="D959" s="1" t="s">
        <v>21</v>
      </c>
      <c r="E959" s="1" t="s">
        <v>81</v>
      </c>
      <c r="F959" s="1">
        <v>5777</v>
      </c>
      <c r="G959" s="1" t="s">
        <v>361</v>
      </c>
      <c r="H959" s="1" t="s">
        <v>353</v>
      </c>
      <c r="I959" s="1" t="s">
        <v>347</v>
      </c>
      <c r="J959" s="1" t="s">
        <v>362</v>
      </c>
    </row>
    <row r="960" spans="1:10" x14ac:dyDescent="0.25">
      <c r="A960" s="1" t="s">
        <v>2432</v>
      </c>
      <c r="B960" s="1" t="s">
        <v>734</v>
      </c>
      <c r="C960" s="19">
        <v>46182</v>
      </c>
      <c r="D960" s="1" t="s">
        <v>21</v>
      </c>
      <c r="E960" s="1" t="s">
        <v>81</v>
      </c>
      <c r="F960" s="1">
        <v>5778</v>
      </c>
      <c r="G960" s="1" t="s">
        <v>355</v>
      </c>
      <c r="H960" s="1" t="s">
        <v>346</v>
      </c>
      <c r="I960" s="1" t="s">
        <v>347</v>
      </c>
      <c r="J960" s="1" t="s">
        <v>356</v>
      </c>
    </row>
    <row r="961" spans="1:10" x14ac:dyDescent="0.25">
      <c r="A961" s="1" t="s">
        <v>2433</v>
      </c>
      <c r="B961" s="1" t="s">
        <v>734</v>
      </c>
      <c r="C961" s="19">
        <v>46182</v>
      </c>
      <c r="D961" s="1" t="s">
        <v>21</v>
      </c>
      <c r="E961" s="1" t="s">
        <v>81</v>
      </c>
      <c r="F961" s="1">
        <v>5778</v>
      </c>
      <c r="G961" s="1" t="s">
        <v>345</v>
      </c>
      <c r="H961" s="1" t="s">
        <v>346</v>
      </c>
      <c r="I961" s="1" t="s">
        <v>347</v>
      </c>
      <c r="J961" s="1" t="s">
        <v>348</v>
      </c>
    </row>
    <row r="962" spans="1:10" x14ac:dyDescent="0.25">
      <c r="A962" s="1" t="s">
        <v>2434</v>
      </c>
      <c r="B962" s="1" t="s">
        <v>734</v>
      </c>
      <c r="C962" s="19">
        <v>46182</v>
      </c>
      <c r="D962" s="1" t="s">
        <v>21</v>
      </c>
      <c r="E962" s="1" t="s">
        <v>81</v>
      </c>
      <c r="F962" s="1">
        <v>5778</v>
      </c>
      <c r="G962" s="1" t="s">
        <v>349</v>
      </c>
      <c r="H962" s="1" t="s">
        <v>350</v>
      </c>
      <c r="I962" s="1" t="s">
        <v>347</v>
      </c>
      <c r="J962" s="1" t="s">
        <v>351</v>
      </c>
    </row>
    <row r="963" spans="1:10" x14ac:dyDescent="0.25">
      <c r="A963" s="1" t="s">
        <v>2435</v>
      </c>
      <c r="B963" s="1" t="s">
        <v>734</v>
      </c>
      <c r="C963" s="19">
        <v>46182</v>
      </c>
      <c r="D963" s="1" t="s">
        <v>21</v>
      </c>
      <c r="E963" s="1" t="s">
        <v>81</v>
      </c>
      <c r="F963" s="1">
        <v>5778</v>
      </c>
      <c r="G963" s="1" t="s">
        <v>361</v>
      </c>
      <c r="H963" s="1" t="s">
        <v>353</v>
      </c>
      <c r="I963" s="1" t="s">
        <v>347</v>
      </c>
      <c r="J963" s="1" t="s">
        <v>362</v>
      </c>
    </row>
    <row r="964" spans="1:10" x14ac:dyDescent="0.25">
      <c r="A964" s="1" t="s">
        <v>2436</v>
      </c>
      <c r="B964" s="1" t="s">
        <v>735</v>
      </c>
      <c r="C964" s="19">
        <v>46182</v>
      </c>
      <c r="D964" s="1" t="s">
        <v>21</v>
      </c>
      <c r="E964" s="1" t="s">
        <v>81</v>
      </c>
      <c r="F964" s="1">
        <v>5779</v>
      </c>
      <c r="G964" s="1" t="s">
        <v>355</v>
      </c>
      <c r="H964" s="1" t="s">
        <v>346</v>
      </c>
      <c r="I964" s="1" t="s">
        <v>347</v>
      </c>
      <c r="J964" s="1" t="s">
        <v>356</v>
      </c>
    </row>
    <row r="965" spans="1:10" x14ac:dyDescent="0.25">
      <c r="A965" s="1" t="s">
        <v>2437</v>
      </c>
      <c r="B965" s="1" t="s">
        <v>735</v>
      </c>
      <c r="C965" s="19">
        <v>46182</v>
      </c>
      <c r="D965" s="1" t="s">
        <v>21</v>
      </c>
      <c r="E965" s="1" t="s">
        <v>81</v>
      </c>
      <c r="F965" s="1">
        <v>5779</v>
      </c>
      <c r="G965" s="1" t="s">
        <v>345</v>
      </c>
      <c r="H965" s="1" t="s">
        <v>346</v>
      </c>
      <c r="I965" s="1" t="s">
        <v>347</v>
      </c>
      <c r="J965" s="1" t="s">
        <v>348</v>
      </c>
    </row>
    <row r="966" spans="1:10" x14ac:dyDescent="0.25">
      <c r="A966" s="1" t="s">
        <v>2438</v>
      </c>
      <c r="B966" s="1" t="s">
        <v>735</v>
      </c>
      <c r="C966" s="19">
        <v>46182</v>
      </c>
      <c r="D966" s="1" t="s">
        <v>21</v>
      </c>
      <c r="E966" s="1" t="s">
        <v>81</v>
      </c>
      <c r="F966" s="1">
        <v>5779</v>
      </c>
      <c r="G966" s="1" t="s">
        <v>349</v>
      </c>
      <c r="H966" s="1" t="s">
        <v>350</v>
      </c>
      <c r="I966" s="1" t="s">
        <v>347</v>
      </c>
      <c r="J966" s="1" t="s">
        <v>351</v>
      </c>
    </row>
    <row r="967" spans="1:10" x14ac:dyDescent="0.25">
      <c r="A967" s="1" t="s">
        <v>2439</v>
      </c>
      <c r="B967" s="1" t="s">
        <v>735</v>
      </c>
      <c r="C967" s="19">
        <v>46182</v>
      </c>
      <c r="D967" s="1" t="s">
        <v>21</v>
      </c>
      <c r="E967" s="1" t="s">
        <v>81</v>
      </c>
      <c r="F967" s="1">
        <v>5779</v>
      </c>
      <c r="G967" s="1" t="s">
        <v>361</v>
      </c>
      <c r="H967" s="1" t="s">
        <v>353</v>
      </c>
      <c r="I967" s="1" t="s">
        <v>347</v>
      </c>
      <c r="J967" s="1" t="s">
        <v>362</v>
      </c>
    </row>
    <row r="968" spans="1:10" x14ac:dyDescent="0.25">
      <c r="A968" s="1" t="s">
        <v>2440</v>
      </c>
      <c r="B968" s="1" t="s">
        <v>736</v>
      </c>
      <c r="C968" s="19">
        <v>46182</v>
      </c>
      <c r="D968" s="1" t="s">
        <v>21</v>
      </c>
      <c r="E968" s="1" t="s">
        <v>81</v>
      </c>
      <c r="F968" s="1">
        <v>5780</v>
      </c>
      <c r="G968" s="1" t="s">
        <v>355</v>
      </c>
      <c r="H968" s="1" t="s">
        <v>346</v>
      </c>
      <c r="I968" s="1" t="s">
        <v>347</v>
      </c>
      <c r="J968" s="1" t="s">
        <v>356</v>
      </c>
    </row>
    <row r="969" spans="1:10" x14ac:dyDescent="0.25">
      <c r="A969" s="1" t="s">
        <v>2441</v>
      </c>
      <c r="B969" s="1" t="s">
        <v>736</v>
      </c>
      <c r="C969" s="19">
        <v>46182</v>
      </c>
      <c r="D969" s="1" t="s">
        <v>21</v>
      </c>
      <c r="E969" s="1" t="s">
        <v>81</v>
      </c>
      <c r="F969" s="1">
        <v>5780</v>
      </c>
      <c r="G969" s="1" t="s">
        <v>345</v>
      </c>
      <c r="H969" s="1" t="s">
        <v>346</v>
      </c>
      <c r="I969" s="1" t="s">
        <v>347</v>
      </c>
      <c r="J969" s="1" t="s">
        <v>348</v>
      </c>
    </row>
    <row r="970" spans="1:10" x14ac:dyDescent="0.25">
      <c r="A970" s="1" t="s">
        <v>2442</v>
      </c>
      <c r="B970" s="1" t="s">
        <v>736</v>
      </c>
      <c r="C970" s="19">
        <v>46182</v>
      </c>
      <c r="D970" s="1" t="s">
        <v>21</v>
      </c>
      <c r="E970" s="1" t="s">
        <v>81</v>
      </c>
      <c r="F970" s="1">
        <v>5780</v>
      </c>
      <c r="G970" s="1" t="s">
        <v>349</v>
      </c>
      <c r="H970" s="1" t="s">
        <v>350</v>
      </c>
      <c r="I970" s="1" t="s">
        <v>347</v>
      </c>
      <c r="J970" s="1" t="s">
        <v>351</v>
      </c>
    </row>
    <row r="971" spans="1:10" x14ac:dyDescent="0.25">
      <c r="A971" s="1" t="s">
        <v>2443</v>
      </c>
      <c r="B971" s="1" t="s">
        <v>736</v>
      </c>
      <c r="C971" s="19">
        <v>46182</v>
      </c>
      <c r="D971" s="1" t="s">
        <v>21</v>
      </c>
      <c r="E971" s="1" t="s">
        <v>81</v>
      </c>
      <c r="F971" s="1">
        <v>5780</v>
      </c>
      <c r="G971" s="1" t="s">
        <v>361</v>
      </c>
      <c r="H971" s="1" t="s">
        <v>353</v>
      </c>
      <c r="I971" s="1" t="s">
        <v>347</v>
      </c>
      <c r="J971" s="1" t="s">
        <v>362</v>
      </c>
    </row>
    <row r="972" spans="1:10" x14ac:dyDescent="0.25">
      <c r="A972" s="1" t="s">
        <v>2444</v>
      </c>
      <c r="B972" s="1" t="s">
        <v>737</v>
      </c>
      <c r="C972" s="19">
        <v>46182</v>
      </c>
      <c r="D972" s="1" t="s">
        <v>21</v>
      </c>
      <c r="E972" s="1" t="s">
        <v>81</v>
      </c>
      <c r="F972" s="1">
        <v>5781</v>
      </c>
      <c r="G972" s="1" t="s">
        <v>355</v>
      </c>
      <c r="H972" s="1" t="s">
        <v>346</v>
      </c>
      <c r="I972" s="1" t="s">
        <v>347</v>
      </c>
      <c r="J972" s="1" t="s">
        <v>356</v>
      </c>
    </row>
    <row r="973" spans="1:10" x14ac:dyDescent="0.25">
      <c r="A973" s="1" t="s">
        <v>2445</v>
      </c>
      <c r="B973" s="1" t="s">
        <v>737</v>
      </c>
      <c r="C973" s="19">
        <v>46182</v>
      </c>
      <c r="D973" s="1" t="s">
        <v>21</v>
      </c>
      <c r="E973" s="1" t="s">
        <v>81</v>
      </c>
      <c r="F973" s="1">
        <v>5781</v>
      </c>
      <c r="G973" s="1" t="s">
        <v>345</v>
      </c>
      <c r="H973" s="1" t="s">
        <v>346</v>
      </c>
      <c r="I973" s="1" t="s">
        <v>347</v>
      </c>
      <c r="J973" s="1" t="s">
        <v>348</v>
      </c>
    </row>
    <row r="974" spans="1:10" x14ac:dyDescent="0.25">
      <c r="A974" s="1" t="s">
        <v>2446</v>
      </c>
      <c r="B974" s="1" t="s">
        <v>737</v>
      </c>
      <c r="C974" s="19">
        <v>46182</v>
      </c>
      <c r="D974" s="1" t="s">
        <v>21</v>
      </c>
      <c r="E974" s="1" t="s">
        <v>81</v>
      </c>
      <c r="F974" s="1">
        <v>5781</v>
      </c>
      <c r="G974" s="1" t="s">
        <v>349</v>
      </c>
      <c r="H974" s="1" t="s">
        <v>350</v>
      </c>
      <c r="I974" s="1" t="s">
        <v>347</v>
      </c>
      <c r="J974" s="1" t="s">
        <v>351</v>
      </c>
    </row>
    <row r="975" spans="1:10" x14ac:dyDescent="0.25">
      <c r="A975" s="1" t="s">
        <v>2447</v>
      </c>
      <c r="B975" s="1" t="s">
        <v>737</v>
      </c>
      <c r="C975" s="19">
        <v>46182</v>
      </c>
      <c r="D975" s="1" t="s">
        <v>21</v>
      </c>
      <c r="E975" s="1" t="s">
        <v>81</v>
      </c>
      <c r="F975" s="1">
        <v>5781</v>
      </c>
      <c r="G975" s="1" t="s">
        <v>361</v>
      </c>
      <c r="H975" s="1" t="s">
        <v>353</v>
      </c>
      <c r="I975" s="1" t="s">
        <v>347</v>
      </c>
      <c r="J975" s="1" t="s">
        <v>362</v>
      </c>
    </row>
    <row r="976" spans="1:10" x14ac:dyDescent="0.25">
      <c r="A976" s="1" t="s">
        <v>2448</v>
      </c>
      <c r="B976" s="1" t="s">
        <v>738</v>
      </c>
      <c r="C976" s="19">
        <v>46182</v>
      </c>
      <c r="D976" s="1" t="s">
        <v>21</v>
      </c>
      <c r="E976" s="1" t="s">
        <v>81</v>
      </c>
      <c r="F976" s="1">
        <v>5782</v>
      </c>
      <c r="G976" s="1" t="s">
        <v>355</v>
      </c>
      <c r="H976" s="1" t="s">
        <v>346</v>
      </c>
      <c r="I976" s="1" t="s">
        <v>347</v>
      </c>
      <c r="J976" s="1" t="s">
        <v>356</v>
      </c>
    </row>
    <row r="977" spans="1:10" x14ac:dyDescent="0.25">
      <c r="A977" s="1" t="s">
        <v>2449</v>
      </c>
      <c r="B977" s="1" t="s">
        <v>738</v>
      </c>
      <c r="C977" s="19">
        <v>46182</v>
      </c>
      <c r="D977" s="1" t="s">
        <v>21</v>
      </c>
      <c r="E977" s="1" t="s">
        <v>81</v>
      </c>
      <c r="F977" s="1">
        <v>5782</v>
      </c>
      <c r="G977" s="1" t="s">
        <v>345</v>
      </c>
      <c r="H977" s="1" t="s">
        <v>346</v>
      </c>
      <c r="I977" s="1" t="s">
        <v>347</v>
      </c>
      <c r="J977" s="1" t="s">
        <v>348</v>
      </c>
    </row>
    <row r="978" spans="1:10" x14ac:dyDescent="0.25">
      <c r="A978" s="1" t="s">
        <v>2450</v>
      </c>
      <c r="B978" s="1" t="s">
        <v>738</v>
      </c>
      <c r="C978" s="19">
        <v>46182</v>
      </c>
      <c r="D978" s="1" t="s">
        <v>21</v>
      </c>
      <c r="E978" s="1" t="s">
        <v>81</v>
      </c>
      <c r="F978" s="1">
        <v>5782</v>
      </c>
      <c r="G978" s="1" t="s">
        <v>349</v>
      </c>
      <c r="H978" s="1" t="s">
        <v>350</v>
      </c>
      <c r="I978" s="1" t="s">
        <v>347</v>
      </c>
      <c r="J978" s="1" t="s">
        <v>351</v>
      </c>
    </row>
    <row r="979" spans="1:10" x14ac:dyDescent="0.25">
      <c r="A979" s="1" t="s">
        <v>2451</v>
      </c>
      <c r="B979" s="1" t="s">
        <v>738</v>
      </c>
      <c r="C979" s="19">
        <v>46182</v>
      </c>
      <c r="D979" s="1" t="s">
        <v>21</v>
      </c>
      <c r="E979" s="1" t="s">
        <v>81</v>
      </c>
      <c r="F979" s="1">
        <v>5782</v>
      </c>
      <c r="G979" s="1" t="s">
        <v>361</v>
      </c>
      <c r="H979" s="1" t="s">
        <v>353</v>
      </c>
      <c r="I979" s="1" t="s">
        <v>347</v>
      </c>
      <c r="J979" s="1" t="s">
        <v>362</v>
      </c>
    </row>
    <row r="980" spans="1:10" x14ac:dyDescent="0.25">
      <c r="A980" s="1" t="s">
        <v>2452</v>
      </c>
      <c r="B980" s="1" t="s">
        <v>739</v>
      </c>
      <c r="C980" s="19">
        <v>46182</v>
      </c>
      <c r="D980" s="1" t="s">
        <v>21</v>
      </c>
      <c r="E980" s="1" t="s">
        <v>81</v>
      </c>
      <c r="F980" s="1">
        <v>5783</v>
      </c>
      <c r="G980" s="1" t="s">
        <v>355</v>
      </c>
      <c r="H980" s="1" t="s">
        <v>346</v>
      </c>
      <c r="I980" s="1" t="s">
        <v>347</v>
      </c>
      <c r="J980" s="1" t="s">
        <v>356</v>
      </c>
    </row>
    <row r="981" spans="1:10" x14ac:dyDescent="0.25">
      <c r="A981" s="1" t="s">
        <v>2453</v>
      </c>
      <c r="B981" s="1" t="s">
        <v>739</v>
      </c>
      <c r="C981" s="19">
        <v>46182</v>
      </c>
      <c r="D981" s="1" t="s">
        <v>21</v>
      </c>
      <c r="E981" s="1" t="s">
        <v>81</v>
      </c>
      <c r="F981" s="1">
        <v>5783</v>
      </c>
      <c r="G981" s="1" t="s">
        <v>345</v>
      </c>
      <c r="H981" s="1" t="s">
        <v>346</v>
      </c>
      <c r="I981" s="1" t="s">
        <v>347</v>
      </c>
      <c r="J981" s="1" t="s">
        <v>348</v>
      </c>
    </row>
    <row r="982" spans="1:10" x14ac:dyDescent="0.25">
      <c r="A982" s="1" t="s">
        <v>2454</v>
      </c>
      <c r="B982" s="1" t="s">
        <v>739</v>
      </c>
      <c r="C982" s="19">
        <v>46182</v>
      </c>
      <c r="D982" s="1" t="s">
        <v>21</v>
      </c>
      <c r="E982" s="1" t="s">
        <v>81</v>
      </c>
      <c r="F982" s="1">
        <v>5783</v>
      </c>
      <c r="G982" s="1" t="s">
        <v>349</v>
      </c>
      <c r="H982" s="1" t="s">
        <v>350</v>
      </c>
      <c r="I982" s="1" t="s">
        <v>347</v>
      </c>
      <c r="J982" s="1" t="s">
        <v>351</v>
      </c>
    </row>
    <row r="983" spans="1:10" x14ac:dyDescent="0.25">
      <c r="A983" s="1" t="s">
        <v>2455</v>
      </c>
      <c r="B983" s="1" t="s">
        <v>739</v>
      </c>
      <c r="C983" s="19">
        <v>46182</v>
      </c>
      <c r="D983" s="1" t="s">
        <v>21</v>
      </c>
      <c r="E983" s="1" t="s">
        <v>81</v>
      </c>
      <c r="F983" s="1">
        <v>5783</v>
      </c>
      <c r="G983" s="1" t="s">
        <v>361</v>
      </c>
      <c r="H983" s="1" t="s">
        <v>353</v>
      </c>
      <c r="I983" s="1" t="s">
        <v>347</v>
      </c>
      <c r="J983" s="1" t="s">
        <v>362</v>
      </c>
    </row>
    <row r="984" spans="1:10" x14ac:dyDescent="0.25">
      <c r="A984" s="1" t="s">
        <v>2456</v>
      </c>
      <c r="B984" s="1" t="s">
        <v>740</v>
      </c>
      <c r="C984" s="19">
        <v>46182</v>
      </c>
      <c r="D984" s="1" t="s">
        <v>21</v>
      </c>
      <c r="E984" s="1" t="s">
        <v>81</v>
      </c>
      <c r="F984" s="1">
        <v>5784</v>
      </c>
      <c r="G984" s="1" t="s">
        <v>355</v>
      </c>
      <c r="H984" s="1" t="s">
        <v>346</v>
      </c>
      <c r="I984" s="1" t="s">
        <v>347</v>
      </c>
      <c r="J984" s="1" t="s">
        <v>356</v>
      </c>
    </row>
    <row r="985" spans="1:10" x14ac:dyDescent="0.25">
      <c r="A985" s="1" t="s">
        <v>2457</v>
      </c>
      <c r="B985" s="1" t="s">
        <v>740</v>
      </c>
      <c r="C985" s="19">
        <v>46182</v>
      </c>
      <c r="D985" s="1" t="s">
        <v>21</v>
      </c>
      <c r="E985" s="1" t="s">
        <v>81</v>
      </c>
      <c r="F985" s="1">
        <v>5784</v>
      </c>
      <c r="G985" s="1" t="s">
        <v>345</v>
      </c>
      <c r="H985" s="1" t="s">
        <v>346</v>
      </c>
      <c r="I985" s="1" t="s">
        <v>347</v>
      </c>
      <c r="J985" s="1" t="s">
        <v>348</v>
      </c>
    </row>
    <row r="986" spans="1:10" x14ac:dyDescent="0.25">
      <c r="A986" s="1" t="s">
        <v>2458</v>
      </c>
      <c r="B986" s="1" t="s">
        <v>740</v>
      </c>
      <c r="C986" s="19">
        <v>46182</v>
      </c>
      <c r="D986" s="1" t="s">
        <v>21</v>
      </c>
      <c r="E986" s="1" t="s">
        <v>81</v>
      </c>
      <c r="F986" s="1">
        <v>5784</v>
      </c>
      <c r="G986" s="1" t="s">
        <v>349</v>
      </c>
      <c r="H986" s="1" t="s">
        <v>350</v>
      </c>
      <c r="I986" s="1" t="s">
        <v>347</v>
      </c>
      <c r="J986" s="1" t="s">
        <v>351</v>
      </c>
    </row>
    <row r="987" spans="1:10" x14ac:dyDescent="0.25">
      <c r="A987" s="1" t="s">
        <v>2459</v>
      </c>
      <c r="B987" s="1" t="s">
        <v>740</v>
      </c>
      <c r="C987" s="19">
        <v>46182</v>
      </c>
      <c r="D987" s="1" t="s">
        <v>21</v>
      </c>
      <c r="E987" s="1" t="s">
        <v>81</v>
      </c>
      <c r="F987" s="1">
        <v>5784</v>
      </c>
      <c r="G987" s="1" t="s">
        <v>361</v>
      </c>
      <c r="H987" s="1" t="s">
        <v>353</v>
      </c>
      <c r="I987" s="1" t="s">
        <v>347</v>
      </c>
      <c r="J987" s="1" t="s">
        <v>362</v>
      </c>
    </row>
    <row r="988" spans="1:10" x14ac:dyDescent="0.25">
      <c r="A988" s="1" t="s">
        <v>2460</v>
      </c>
      <c r="B988" s="1" t="s">
        <v>741</v>
      </c>
      <c r="C988" s="19">
        <v>46182</v>
      </c>
      <c r="D988" s="1" t="s">
        <v>21</v>
      </c>
      <c r="E988" s="1" t="s">
        <v>81</v>
      </c>
      <c r="F988" s="1">
        <v>5785</v>
      </c>
      <c r="G988" s="1" t="s">
        <v>355</v>
      </c>
      <c r="H988" s="1" t="s">
        <v>346</v>
      </c>
      <c r="I988" s="1" t="s">
        <v>347</v>
      </c>
      <c r="J988" s="1" t="s">
        <v>356</v>
      </c>
    </row>
    <row r="989" spans="1:10" x14ac:dyDescent="0.25">
      <c r="A989" s="1" t="s">
        <v>2461</v>
      </c>
      <c r="B989" s="1" t="s">
        <v>741</v>
      </c>
      <c r="C989" s="19">
        <v>46182</v>
      </c>
      <c r="D989" s="1" t="s">
        <v>21</v>
      </c>
      <c r="E989" s="1" t="s">
        <v>81</v>
      </c>
      <c r="F989" s="1">
        <v>5785</v>
      </c>
      <c r="G989" s="1" t="s">
        <v>345</v>
      </c>
      <c r="H989" s="1" t="s">
        <v>346</v>
      </c>
      <c r="I989" s="1" t="s">
        <v>347</v>
      </c>
      <c r="J989" s="1" t="s">
        <v>348</v>
      </c>
    </row>
    <row r="990" spans="1:10" x14ac:dyDescent="0.25">
      <c r="A990" s="1" t="s">
        <v>2462</v>
      </c>
      <c r="B990" s="1" t="s">
        <v>741</v>
      </c>
      <c r="C990" s="19">
        <v>46182</v>
      </c>
      <c r="D990" s="1" t="s">
        <v>21</v>
      </c>
      <c r="E990" s="1" t="s">
        <v>81</v>
      </c>
      <c r="F990" s="1">
        <v>5785</v>
      </c>
      <c r="G990" s="1" t="s">
        <v>349</v>
      </c>
      <c r="H990" s="1" t="s">
        <v>350</v>
      </c>
      <c r="I990" s="1" t="s">
        <v>347</v>
      </c>
      <c r="J990" s="1" t="s">
        <v>351</v>
      </c>
    </row>
    <row r="991" spans="1:10" x14ac:dyDescent="0.25">
      <c r="A991" s="1" t="s">
        <v>2463</v>
      </c>
      <c r="B991" s="1" t="s">
        <v>741</v>
      </c>
      <c r="C991" s="19">
        <v>46182</v>
      </c>
      <c r="D991" s="1" t="s">
        <v>21</v>
      </c>
      <c r="E991" s="1" t="s">
        <v>81</v>
      </c>
      <c r="F991" s="1">
        <v>5785</v>
      </c>
      <c r="G991" s="1" t="s">
        <v>361</v>
      </c>
      <c r="H991" s="1" t="s">
        <v>353</v>
      </c>
      <c r="I991" s="1" t="s">
        <v>347</v>
      </c>
      <c r="J991" s="1" t="s">
        <v>362</v>
      </c>
    </row>
    <row r="992" spans="1:10" x14ac:dyDescent="0.25">
      <c r="A992" s="1" t="s">
        <v>2464</v>
      </c>
      <c r="B992" s="1" t="s">
        <v>742</v>
      </c>
      <c r="C992" s="19">
        <v>46182</v>
      </c>
      <c r="D992" s="1" t="s">
        <v>21</v>
      </c>
      <c r="E992" s="1" t="s">
        <v>81</v>
      </c>
      <c r="F992" s="1">
        <v>5786</v>
      </c>
      <c r="G992" s="1" t="s">
        <v>355</v>
      </c>
      <c r="H992" s="1" t="s">
        <v>346</v>
      </c>
      <c r="I992" s="1" t="s">
        <v>347</v>
      </c>
      <c r="J992" s="1" t="s">
        <v>356</v>
      </c>
    </row>
    <row r="993" spans="1:10" x14ac:dyDescent="0.25">
      <c r="A993" s="1" t="s">
        <v>2465</v>
      </c>
      <c r="B993" s="1" t="s">
        <v>742</v>
      </c>
      <c r="C993" s="19">
        <v>46182</v>
      </c>
      <c r="D993" s="1" t="s">
        <v>21</v>
      </c>
      <c r="E993" s="1" t="s">
        <v>81</v>
      </c>
      <c r="F993" s="1">
        <v>5786</v>
      </c>
      <c r="G993" s="1" t="s">
        <v>345</v>
      </c>
      <c r="H993" s="1" t="s">
        <v>346</v>
      </c>
      <c r="I993" s="1" t="s">
        <v>347</v>
      </c>
      <c r="J993" s="1" t="s">
        <v>348</v>
      </c>
    </row>
    <row r="994" spans="1:10" x14ac:dyDescent="0.25">
      <c r="A994" s="1" t="s">
        <v>2466</v>
      </c>
      <c r="B994" s="1" t="s">
        <v>742</v>
      </c>
      <c r="C994" s="19">
        <v>46182</v>
      </c>
      <c r="D994" s="1" t="s">
        <v>21</v>
      </c>
      <c r="E994" s="1" t="s">
        <v>81</v>
      </c>
      <c r="F994" s="1">
        <v>5786</v>
      </c>
      <c r="G994" s="1" t="s">
        <v>349</v>
      </c>
      <c r="H994" s="1" t="s">
        <v>350</v>
      </c>
      <c r="I994" s="1" t="s">
        <v>347</v>
      </c>
      <c r="J994" s="1" t="s">
        <v>351</v>
      </c>
    </row>
    <row r="995" spans="1:10" x14ac:dyDescent="0.25">
      <c r="A995" s="1" t="s">
        <v>2467</v>
      </c>
      <c r="B995" s="1" t="s">
        <v>742</v>
      </c>
      <c r="C995" s="19">
        <v>46182</v>
      </c>
      <c r="D995" s="1" t="s">
        <v>21</v>
      </c>
      <c r="E995" s="1" t="s">
        <v>81</v>
      </c>
      <c r="F995" s="1">
        <v>5786</v>
      </c>
      <c r="G995" s="1" t="s">
        <v>361</v>
      </c>
      <c r="H995" s="1" t="s">
        <v>353</v>
      </c>
      <c r="I995" s="1" t="s">
        <v>347</v>
      </c>
      <c r="J995" s="1" t="s">
        <v>362</v>
      </c>
    </row>
    <row r="996" spans="1:10" x14ac:dyDescent="0.25">
      <c r="A996" s="1" t="s">
        <v>2468</v>
      </c>
      <c r="B996" s="1" t="s">
        <v>743</v>
      </c>
      <c r="C996" s="19">
        <v>46182</v>
      </c>
      <c r="D996" s="1" t="s">
        <v>21</v>
      </c>
      <c r="E996" s="1" t="s">
        <v>81</v>
      </c>
      <c r="F996" s="1">
        <v>5787</v>
      </c>
      <c r="G996" s="1" t="s">
        <v>355</v>
      </c>
      <c r="H996" s="1" t="s">
        <v>346</v>
      </c>
      <c r="I996" s="1" t="s">
        <v>347</v>
      </c>
      <c r="J996" s="1" t="s">
        <v>356</v>
      </c>
    </row>
    <row r="997" spans="1:10" x14ac:dyDescent="0.25">
      <c r="A997" s="1" t="s">
        <v>2469</v>
      </c>
      <c r="B997" s="1" t="s">
        <v>743</v>
      </c>
      <c r="C997" s="19">
        <v>46182</v>
      </c>
      <c r="D997" s="1" t="s">
        <v>21</v>
      </c>
      <c r="E997" s="1" t="s">
        <v>81</v>
      </c>
      <c r="F997" s="1">
        <v>5787</v>
      </c>
      <c r="G997" s="1" t="s">
        <v>345</v>
      </c>
      <c r="H997" s="1" t="s">
        <v>346</v>
      </c>
      <c r="I997" s="1" t="s">
        <v>347</v>
      </c>
      <c r="J997" s="1" t="s">
        <v>348</v>
      </c>
    </row>
    <row r="998" spans="1:10" x14ac:dyDescent="0.25">
      <c r="A998" s="1" t="s">
        <v>2470</v>
      </c>
      <c r="B998" s="1" t="s">
        <v>743</v>
      </c>
      <c r="C998" s="19">
        <v>46182</v>
      </c>
      <c r="D998" s="1" t="s">
        <v>21</v>
      </c>
      <c r="E998" s="1" t="s">
        <v>81</v>
      </c>
      <c r="F998" s="1">
        <v>5787</v>
      </c>
      <c r="G998" s="1" t="s">
        <v>349</v>
      </c>
      <c r="H998" s="1" t="s">
        <v>350</v>
      </c>
      <c r="I998" s="1" t="s">
        <v>347</v>
      </c>
      <c r="J998" s="1" t="s">
        <v>351</v>
      </c>
    </row>
    <row r="999" spans="1:10" x14ac:dyDescent="0.25">
      <c r="A999" s="1" t="s">
        <v>2471</v>
      </c>
      <c r="B999" s="1" t="s">
        <v>743</v>
      </c>
      <c r="C999" s="19">
        <v>46182</v>
      </c>
      <c r="D999" s="1" t="s">
        <v>21</v>
      </c>
      <c r="E999" s="1" t="s">
        <v>81</v>
      </c>
      <c r="F999" s="1">
        <v>5787</v>
      </c>
      <c r="G999" s="1" t="s">
        <v>361</v>
      </c>
      <c r="H999" s="1" t="s">
        <v>353</v>
      </c>
      <c r="I999" s="1" t="s">
        <v>347</v>
      </c>
      <c r="J999" s="1" t="s">
        <v>362</v>
      </c>
    </row>
    <row r="1000" spans="1:10" x14ac:dyDescent="0.25">
      <c r="A1000" s="1" t="s">
        <v>2472</v>
      </c>
      <c r="B1000" s="1" t="s">
        <v>744</v>
      </c>
      <c r="C1000" s="19">
        <v>46182</v>
      </c>
      <c r="D1000" s="1" t="s">
        <v>21</v>
      </c>
      <c r="E1000" s="1" t="s">
        <v>81</v>
      </c>
      <c r="F1000" s="1">
        <v>5788</v>
      </c>
      <c r="G1000" s="1" t="s">
        <v>355</v>
      </c>
      <c r="H1000" s="1" t="s">
        <v>346</v>
      </c>
      <c r="I1000" s="1" t="s">
        <v>347</v>
      </c>
      <c r="J1000" s="1" t="s">
        <v>356</v>
      </c>
    </row>
    <row r="1001" spans="1:10" x14ac:dyDescent="0.25">
      <c r="A1001" s="1" t="s">
        <v>2473</v>
      </c>
      <c r="B1001" s="1" t="s">
        <v>744</v>
      </c>
      <c r="C1001" s="19">
        <v>46182</v>
      </c>
      <c r="D1001" s="1" t="s">
        <v>21</v>
      </c>
      <c r="E1001" s="1" t="s">
        <v>81</v>
      </c>
      <c r="F1001" s="1">
        <v>5788</v>
      </c>
      <c r="G1001" s="1" t="s">
        <v>345</v>
      </c>
      <c r="H1001" s="1" t="s">
        <v>346</v>
      </c>
      <c r="I1001" s="1" t="s">
        <v>347</v>
      </c>
      <c r="J1001" s="1" t="s">
        <v>348</v>
      </c>
    </row>
    <row r="1002" spans="1:10" x14ac:dyDescent="0.25">
      <c r="A1002" s="1" t="s">
        <v>2474</v>
      </c>
      <c r="B1002" s="1" t="s">
        <v>744</v>
      </c>
      <c r="C1002" s="19">
        <v>46182</v>
      </c>
      <c r="D1002" s="1" t="s">
        <v>21</v>
      </c>
      <c r="E1002" s="1" t="s">
        <v>81</v>
      </c>
      <c r="F1002" s="1">
        <v>5788</v>
      </c>
      <c r="G1002" s="1" t="s">
        <v>349</v>
      </c>
      <c r="H1002" s="1" t="s">
        <v>350</v>
      </c>
      <c r="I1002" s="1" t="s">
        <v>347</v>
      </c>
      <c r="J1002" s="1" t="s">
        <v>351</v>
      </c>
    </row>
    <row r="1003" spans="1:10" x14ac:dyDescent="0.25">
      <c r="A1003" s="1" t="s">
        <v>2475</v>
      </c>
      <c r="B1003" s="1" t="s">
        <v>744</v>
      </c>
      <c r="C1003" s="19">
        <v>46182</v>
      </c>
      <c r="D1003" s="1" t="s">
        <v>21</v>
      </c>
      <c r="E1003" s="1" t="s">
        <v>81</v>
      </c>
      <c r="F1003" s="1">
        <v>5788</v>
      </c>
      <c r="G1003" s="1" t="s">
        <v>361</v>
      </c>
      <c r="H1003" s="1" t="s">
        <v>353</v>
      </c>
      <c r="I1003" s="1" t="s">
        <v>347</v>
      </c>
      <c r="J1003" s="1" t="s">
        <v>362</v>
      </c>
    </row>
    <row r="1004" spans="1:10" x14ac:dyDescent="0.25">
      <c r="A1004" s="1" t="s">
        <v>2476</v>
      </c>
      <c r="B1004" s="1" t="s">
        <v>745</v>
      </c>
      <c r="C1004" s="19">
        <v>46182</v>
      </c>
      <c r="D1004" s="1" t="s">
        <v>21</v>
      </c>
      <c r="E1004" s="1" t="s">
        <v>81</v>
      </c>
      <c r="F1004" s="1">
        <v>5789</v>
      </c>
      <c r="G1004" s="1" t="s">
        <v>355</v>
      </c>
      <c r="H1004" s="1" t="s">
        <v>346</v>
      </c>
      <c r="I1004" s="1" t="s">
        <v>347</v>
      </c>
      <c r="J1004" s="1" t="s">
        <v>356</v>
      </c>
    </row>
    <row r="1005" spans="1:10" x14ac:dyDescent="0.25">
      <c r="A1005" s="1" t="s">
        <v>2477</v>
      </c>
      <c r="B1005" s="1" t="s">
        <v>745</v>
      </c>
      <c r="C1005" s="19">
        <v>46182</v>
      </c>
      <c r="D1005" s="1" t="s">
        <v>21</v>
      </c>
      <c r="E1005" s="1" t="s">
        <v>81</v>
      </c>
      <c r="F1005" s="1">
        <v>5789</v>
      </c>
      <c r="G1005" s="1" t="s">
        <v>345</v>
      </c>
      <c r="H1005" s="1" t="s">
        <v>346</v>
      </c>
      <c r="I1005" s="1" t="s">
        <v>347</v>
      </c>
      <c r="J1005" s="1" t="s">
        <v>348</v>
      </c>
    </row>
    <row r="1006" spans="1:10" x14ac:dyDescent="0.25">
      <c r="A1006" s="1" t="s">
        <v>2478</v>
      </c>
      <c r="B1006" s="1" t="s">
        <v>745</v>
      </c>
      <c r="C1006" s="19">
        <v>46182</v>
      </c>
      <c r="D1006" s="1" t="s">
        <v>21</v>
      </c>
      <c r="E1006" s="1" t="s">
        <v>81</v>
      </c>
      <c r="F1006" s="1">
        <v>5789</v>
      </c>
      <c r="G1006" s="1" t="s">
        <v>349</v>
      </c>
      <c r="H1006" s="1" t="s">
        <v>350</v>
      </c>
      <c r="I1006" s="1" t="s">
        <v>347</v>
      </c>
      <c r="J1006" s="1" t="s">
        <v>351</v>
      </c>
    </row>
    <row r="1007" spans="1:10" x14ac:dyDescent="0.25">
      <c r="A1007" s="1" t="s">
        <v>2479</v>
      </c>
      <c r="B1007" s="1" t="s">
        <v>745</v>
      </c>
      <c r="C1007" s="19">
        <v>46182</v>
      </c>
      <c r="D1007" s="1" t="s">
        <v>21</v>
      </c>
      <c r="E1007" s="1" t="s">
        <v>81</v>
      </c>
      <c r="F1007" s="1">
        <v>5789</v>
      </c>
      <c r="G1007" s="1" t="s">
        <v>361</v>
      </c>
      <c r="H1007" s="1" t="s">
        <v>353</v>
      </c>
      <c r="I1007" s="1" t="s">
        <v>347</v>
      </c>
      <c r="J1007" s="1" t="s">
        <v>362</v>
      </c>
    </row>
    <row r="1008" spans="1:10" x14ac:dyDescent="0.25">
      <c r="A1008" s="1" t="s">
        <v>2480</v>
      </c>
      <c r="B1008" s="1" t="s">
        <v>746</v>
      </c>
      <c r="C1008" s="19">
        <v>46182</v>
      </c>
      <c r="D1008" s="1" t="s">
        <v>21</v>
      </c>
      <c r="E1008" s="1" t="s">
        <v>81</v>
      </c>
      <c r="F1008" s="1">
        <v>5790</v>
      </c>
      <c r="G1008" s="1" t="s">
        <v>355</v>
      </c>
      <c r="H1008" s="1" t="s">
        <v>346</v>
      </c>
      <c r="I1008" s="1" t="s">
        <v>347</v>
      </c>
      <c r="J1008" s="1" t="s">
        <v>356</v>
      </c>
    </row>
    <row r="1009" spans="1:10" x14ac:dyDescent="0.25">
      <c r="A1009" s="1" t="s">
        <v>2481</v>
      </c>
      <c r="B1009" s="1" t="s">
        <v>746</v>
      </c>
      <c r="C1009" s="19">
        <v>46182</v>
      </c>
      <c r="D1009" s="1" t="s">
        <v>21</v>
      </c>
      <c r="E1009" s="1" t="s">
        <v>81</v>
      </c>
      <c r="F1009" s="1">
        <v>5790</v>
      </c>
      <c r="G1009" s="1" t="s">
        <v>345</v>
      </c>
      <c r="H1009" s="1" t="s">
        <v>346</v>
      </c>
      <c r="I1009" s="1" t="s">
        <v>347</v>
      </c>
      <c r="J1009" s="1" t="s">
        <v>348</v>
      </c>
    </row>
    <row r="1010" spans="1:10" x14ac:dyDescent="0.25">
      <c r="A1010" s="1" t="s">
        <v>2482</v>
      </c>
      <c r="B1010" s="1" t="s">
        <v>746</v>
      </c>
      <c r="C1010" s="19">
        <v>46182</v>
      </c>
      <c r="D1010" s="1" t="s">
        <v>21</v>
      </c>
      <c r="E1010" s="1" t="s">
        <v>81</v>
      </c>
      <c r="F1010" s="1">
        <v>5790</v>
      </c>
      <c r="G1010" s="1" t="s">
        <v>349</v>
      </c>
      <c r="H1010" s="1" t="s">
        <v>350</v>
      </c>
      <c r="I1010" s="1" t="s">
        <v>347</v>
      </c>
      <c r="J1010" s="1" t="s">
        <v>351</v>
      </c>
    </row>
    <row r="1011" spans="1:10" x14ac:dyDescent="0.25">
      <c r="A1011" s="1" t="s">
        <v>2483</v>
      </c>
      <c r="B1011" s="1" t="s">
        <v>746</v>
      </c>
      <c r="C1011" s="19">
        <v>46182</v>
      </c>
      <c r="D1011" s="1" t="s">
        <v>21</v>
      </c>
      <c r="E1011" s="1" t="s">
        <v>81</v>
      </c>
      <c r="F1011" s="1">
        <v>5790</v>
      </c>
      <c r="G1011" s="1" t="s">
        <v>361</v>
      </c>
      <c r="H1011" s="1" t="s">
        <v>353</v>
      </c>
      <c r="I1011" s="1" t="s">
        <v>347</v>
      </c>
      <c r="J1011" s="1" t="s">
        <v>362</v>
      </c>
    </row>
    <row r="1012" spans="1:10" x14ac:dyDescent="0.25">
      <c r="A1012" s="1" t="s">
        <v>2484</v>
      </c>
      <c r="B1012" s="1" t="s">
        <v>747</v>
      </c>
      <c r="C1012" s="19">
        <v>46182</v>
      </c>
      <c r="D1012" s="1" t="s">
        <v>21</v>
      </c>
      <c r="E1012" s="1" t="s">
        <v>81</v>
      </c>
      <c r="F1012" s="1">
        <v>5791</v>
      </c>
      <c r="G1012" s="1" t="s">
        <v>355</v>
      </c>
      <c r="H1012" s="1" t="s">
        <v>346</v>
      </c>
      <c r="I1012" s="1" t="s">
        <v>347</v>
      </c>
      <c r="J1012" s="1" t="s">
        <v>356</v>
      </c>
    </row>
    <row r="1013" spans="1:10" x14ac:dyDescent="0.25">
      <c r="A1013" s="1" t="s">
        <v>2485</v>
      </c>
      <c r="B1013" s="1" t="s">
        <v>747</v>
      </c>
      <c r="C1013" s="19">
        <v>46182</v>
      </c>
      <c r="D1013" s="1" t="s">
        <v>21</v>
      </c>
      <c r="E1013" s="1" t="s">
        <v>81</v>
      </c>
      <c r="F1013" s="1">
        <v>5791</v>
      </c>
      <c r="G1013" s="1" t="s">
        <v>345</v>
      </c>
      <c r="H1013" s="1" t="s">
        <v>346</v>
      </c>
      <c r="I1013" s="1" t="s">
        <v>347</v>
      </c>
      <c r="J1013" s="1" t="s">
        <v>348</v>
      </c>
    </row>
    <row r="1014" spans="1:10" x14ac:dyDescent="0.25">
      <c r="A1014" s="1" t="s">
        <v>2486</v>
      </c>
      <c r="B1014" s="1" t="s">
        <v>747</v>
      </c>
      <c r="C1014" s="19">
        <v>46182</v>
      </c>
      <c r="D1014" s="1" t="s">
        <v>21</v>
      </c>
      <c r="E1014" s="1" t="s">
        <v>81</v>
      </c>
      <c r="F1014" s="1">
        <v>5791</v>
      </c>
      <c r="G1014" s="1" t="s">
        <v>349</v>
      </c>
      <c r="H1014" s="1" t="s">
        <v>350</v>
      </c>
      <c r="I1014" s="1" t="s">
        <v>347</v>
      </c>
      <c r="J1014" s="1" t="s">
        <v>351</v>
      </c>
    </row>
    <row r="1015" spans="1:10" x14ac:dyDescent="0.25">
      <c r="A1015" s="1" t="s">
        <v>2487</v>
      </c>
      <c r="B1015" s="1" t="s">
        <v>747</v>
      </c>
      <c r="C1015" s="19">
        <v>46182</v>
      </c>
      <c r="D1015" s="1" t="s">
        <v>21</v>
      </c>
      <c r="E1015" s="1" t="s">
        <v>81</v>
      </c>
      <c r="F1015" s="1">
        <v>5791</v>
      </c>
      <c r="G1015" s="1" t="s">
        <v>361</v>
      </c>
      <c r="H1015" s="1" t="s">
        <v>353</v>
      </c>
      <c r="I1015" s="1" t="s">
        <v>347</v>
      </c>
      <c r="J1015" s="1" t="s">
        <v>362</v>
      </c>
    </row>
    <row r="1016" spans="1:10" x14ac:dyDescent="0.25">
      <c r="A1016" s="1" t="s">
        <v>2488</v>
      </c>
      <c r="B1016" s="1" t="s">
        <v>748</v>
      </c>
      <c r="C1016" s="19">
        <v>46182</v>
      </c>
      <c r="D1016" s="1" t="s">
        <v>21</v>
      </c>
      <c r="E1016" s="1" t="s">
        <v>81</v>
      </c>
      <c r="F1016" s="1">
        <v>5792</v>
      </c>
      <c r="G1016" s="1" t="s">
        <v>355</v>
      </c>
      <c r="H1016" s="1" t="s">
        <v>346</v>
      </c>
      <c r="I1016" s="1" t="s">
        <v>347</v>
      </c>
      <c r="J1016" s="1" t="s">
        <v>356</v>
      </c>
    </row>
    <row r="1017" spans="1:10" x14ac:dyDescent="0.25">
      <c r="A1017" s="1" t="s">
        <v>2489</v>
      </c>
      <c r="B1017" s="1" t="s">
        <v>748</v>
      </c>
      <c r="C1017" s="19">
        <v>46182</v>
      </c>
      <c r="D1017" s="1" t="s">
        <v>21</v>
      </c>
      <c r="E1017" s="1" t="s">
        <v>81</v>
      </c>
      <c r="F1017" s="1">
        <v>5792</v>
      </c>
      <c r="G1017" s="1" t="s">
        <v>345</v>
      </c>
      <c r="H1017" s="1" t="s">
        <v>346</v>
      </c>
      <c r="I1017" s="1" t="s">
        <v>347</v>
      </c>
      <c r="J1017" s="1" t="s">
        <v>348</v>
      </c>
    </row>
    <row r="1018" spans="1:10" x14ac:dyDescent="0.25">
      <c r="A1018" s="1" t="s">
        <v>2490</v>
      </c>
      <c r="B1018" s="1" t="s">
        <v>748</v>
      </c>
      <c r="C1018" s="19">
        <v>46182</v>
      </c>
      <c r="D1018" s="1" t="s">
        <v>21</v>
      </c>
      <c r="E1018" s="1" t="s">
        <v>81</v>
      </c>
      <c r="F1018" s="1">
        <v>5792</v>
      </c>
      <c r="G1018" s="1" t="s">
        <v>349</v>
      </c>
      <c r="H1018" s="1" t="s">
        <v>350</v>
      </c>
      <c r="I1018" s="1" t="s">
        <v>347</v>
      </c>
      <c r="J1018" s="1" t="s">
        <v>351</v>
      </c>
    </row>
    <row r="1019" spans="1:10" x14ac:dyDescent="0.25">
      <c r="A1019" s="1" t="s">
        <v>2491</v>
      </c>
      <c r="B1019" s="1" t="s">
        <v>748</v>
      </c>
      <c r="C1019" s="19">
        <v>46182</v>
      </c>
      <c r="D1019" s="1" t="s">
        <v>21</v>
      </c>
      <c r="E1019" s="1" t="s">
        <v>81</v>
      </c>
      <c r="F1019" s="1">
        <v>5792</v>
      </c>
      <c r="G1019" s="1" t="s">
        <v>361</v>
      </c>
      <c r="H1019" s="1" t="s">
        <v>353</v>
      </c>
      <c r="I1019" s="1" t="s">
        <v>347</v>
      </c>
      <c r="J1019" s="1" t="s">
        <v>362</v>
      </c>
    </row>
    <row r="1020" spans="1:10" x14ac:dyDescent="0.25">
      <c r="A1020" s="1" t="s">
        <v>2492</v>
      </c>
      <c r="B1020" s="1" t="s">
        <v>749</v>
      </c>
      <c r="C1020" s="19">
        <v>46182</v>
      </c>
      <c r="D1020" s="1" t="s">
        <v>21</v>
      </c>
      <c r="E1020" s="1" t="s">
        <v>81</v>
      </c>
      <c r="F1020" s="1">
        <v>5793</v>
      </c>
      <c r="G1020" s="1" t="s">
        <v>355</v>
      </c>
      <c r="H1020" s="1" t="s">
        <v>346</v>
      </c>
      <c r="I1020" s="1" t="s">
        <v>347</v>
      </c>
      <c r="J1020" s="1" t="s">
        <v>356</v>
      </c>
    </row>
    <row r="1021" spans="1:10" x14ac:dyDescent="0.25">
      <c r="A1021" s="1" t="s">
        <v>2493</v>
      </c>
      <c r="B1021" s="1" t="s">
        <v>749</v>
      </c>
      <c r="C1021" s="19">
        <v>46182</v>
      </c>
      <c r="D1021" s="1" t="s">
        <v>21</v>
      </c>
      <c r="E1021" s="1" t="s">
        <v>81</v>
      </c>
      <c r="F1021" s="1">
        <v>5793</v>
      </c>
      <c r="G1021" s="1" t="s">
        <v>345</v>
      </c>
      <c r="H1021" s="1" t="s">
        <v>346</v>
      </c>
      <c r="I1021" s="1" t="s">
        <v>347</v>
      </c>
      <c r="J1021" s="1" t="s">
        <v>348</v>
      </c>
    </row>
    <row r="1022" spans="1:10" x14ac:dyDescent="0.25">
      <c r="A1022" s="1" t="s">
        <v>2494</v>
      </c>
      <c r="B1022" s="1" t="s">
        <v>749</v>
      </c>
      <c r="C1022" s="19">
        <v>46182</v>
      </c>
      <c r="D1022" s="1" t="s">
        <v>21</v>
      </c>
      <c r="E1022" s="1" t="s">
        <v>81</v>
      </c>
      <c r="F1022" s="1">
        <v>5793</v>
      </c>
      <c r="G1022" s="1" t="s">
        <v>349</v>
      </c>
      <c r="H1022" s="1" t="s">
        <v>350</v>
      </c>
      <c r="I1022" s="1" t="s">
        <v>347</v>
      </c>
      <c r="J1022" s="1" t="s">
        <v>351</v>
      </c>
    </row>
    <row r="1023" spans="1:10" x14ac:dyDescent="0.25">
      <c r="A1023" s="1" t="s">
        <v>2495</v>
      </c>
      <c r="B1023" s="1" t="s">
        <v>749</v>
      </c>
      <c r="C1023" s="19">
        <v>46182</v>
      </c>
      <c r="D1023" s="1" t="s">
        <v>21</v>
      </c>
      <c r="E1023" s="1" t="s">
        <v>81</v>
      </c>
      <c r="F1023" s="1">
        <v>5793</v>
      </c>
      <c r="G1023" s="1" t="s">
        <v>361</v>
      </c>
      <c r="H1023" s="1" t="s">
        <v>353</v>
      </c>
      <c r="I1023" s="1" t="s">
        <v>347</v>
      </c>
      <c r="J1023" s="1" t="s">
        <v>362</v>
      </c>
    </row>
    <row r="1024" spans="1:10" x14ac:dyDescent="0.25">
      <c r="A1024" s="1" t="s">
        <v>2496</v>
      </c>
      <c r="B1024" s="1" t="s">
        <v>750</v>
      </c>
      <c r="C1024" s="19">
        <v>46182</v>
      </c>
      <c r="D1024" s="1" t="s">
        <v>21</v>
      </c>
      <c r="E1024" s="1" t="s">
        <v>81</v>
      </c>
      <c r="F1024" s="1">
        <v>5794</v>
      </c>
      <c r="G1024" s="1" t="s">
        <v>355</v>
      </c>
      <c r="H1024" s="1" t="s">
        <v>346</v>
      </c>
      <c r="I1024" s="1" t="s">
        <v>347</v>
      </c>
      <c r="J1024" s="1" t="s">
        <v>356</v>
      </c>
    </row>
    <row r="1025" spans="1:10" x14ac:dyDescent="0.25">
      <c r="A1025" s="1" t="s">
        <v>2497</v>
      </c>
      <c r="B1025" s="1" t="s">
        <v>750</v>
      </c>
      <c r="C1025" s="19">
        <v>46182</v>
      </c>
      <c r="D1025" s="1" t="s">
        <v>21</v>
      </c>
      <c r="E1025" s="1" t="s">
        <v>81</v>
      </c>
      <c r="F1025" s="1">
        <v>5794</v>
      </c>
      <c r="G1025" s="1" t="s">
        <v>345</v>
      </c>
      <c r="H1025" s="1" t="s">
        <v>346</v>
      </c>
      <c r="I1025" s="1" t="s">
        <v>347</v>
      </c>
      <c r="J1025" s="1" t="s">
        <v>348</v>
      </c>
    </row>
    <row r="1026" spans="1:10" x14ac:dyDescent="0.25">
      <c r="A1026" s="1" t="s">
        <v>2498</v>
      </c>
      <c r="B1026" s="1" t="s">
        <v>750</v>
      </c>
      <c r="C1026" s="19">
        <v>46182</v>
      </c>
      <c r="D1026" s="1" t="s">
        <v>21</v>
      </c>
      <c r="E1026" s="1" t="s">
        <v>81</v>
      </c>
      <c r="F1026" s="1">
        <v>5794</v>
      </c>
      <c r="G1026" s="1" t="s">
        <v>349</v>
      </c>
      <c r="H1026" s="1" t="s">
        <v>350</v>
      </c>
      <c r="I1026" s="1" t="s">
        <v>347</v>
      </c>
      <c r="J1026" s="1" t="s">
        <v>351</v>
      </c>
    </row>
    <row r="1027" spans="1:10" x14ac:dyDescent="0.25">
      <c r="A1027" s="1" t="s">
        <v>2499</v>
      </c>
      <c r="B1027" s="1" t="s">
        <v>750</v>
      </c>
      <c r="C1027" s="19">
        <v>46182</v>
      </c>
      <c r="D1027" s="1" t="s">
        <v>21</v>
      </c>
      <c r="E1027" s="1" t="s">
        <v>81</v>
      </c>
      <c r="F1027" s="1">
        <v>5794</v>
      </c>
      <c r="G1027" s="1" t="s">
        <v>361</v>
      </c>
      <c r="H1027" s="1" t="s">
        <v>353</v>
      </c>
      <c r="I1027" s="1" t="s">
        <v>347</v>
      </c>
      <c r="J1027" s="1" t="s">
        <v>362</v>
      </c>
    </row>
    <row r="1028" spans="1:10" x14ac:dyDescent="0.25">
      <c r="A1028" s="1" t="s">
        <v>2500</v>
      </c>
      <c r="B1028" s="1" t="s">
        <v>751</v>
      </c>
      <c r="C1028" s="19">
        <v>46182</v>
      </c>
      <c r="D1028" s="1" t="s">
        <v>21</v>
      </c>
      <c r="E1028" s="1" t="s">
        <v>81</v>
      </c>
      <c r="F1028" s="1">
        <v>5795</v>
      </c>
      <c r="G1028" s="1" t="s">
        <v>355</v>
      </c>
      <c r="H1028" s="1" t="s">
        <v>346</v>
      </c>
      <c r="I1028" s="1" t="s">
        <v>347</v>
      </c>
      <c r="J1028" s="1" t="s">
        <v>356</v>
      </c>
    </row>
    <row r="1029" spans="1:10" x14ac:dyDescent="0.25">
      <c r="A1029" s="1" t="s">
        <v>2501</v>
      </c>
      <c r="B1029" s="1" t="s">
        <v>751</v>
      </c>
      <c r="C1029" s="19">
        <v>46182</v>
      </c>
      <c r="D1029" s="1" t="s">
        <v>21</v>
      </c>
      <c r="E1029" s="1" t="s">
        <v>81</v>
      </c>
      <c r="F1029" s="1">
        <v>5795</v>
      </c>
      <c r="G1029" s="1" t="s">
        <v>345</v>
      </c>
      <c r="H1029" s="1" t="s">
        <v>346</v>
      </c>
      <c r="I1029" s="1" t="s">
        <v>347</v>
      </c>
      <c r="J1029" s="1" t="s">
        <v>348</v>
      </c>
    </row>
    <row r="1030" spans="1:10" x14ac:dyDescent="0.25">
      <c r="A1030" s="1" t="s">
        <v>2502</v>
      </c>
      <c r="B1030" s="1" t="s">
        <v>751</v>
      </c>
      <c r="C1030" s="19">
        <v>46182</v>
      </c>
      <c r="D1030" s="1" t="s">
        <v>21</v>
      </c>
      <c r="E1030" s="1" t="s">
        <v>81</v>
      </c>
      <c r="F1030" s="1">
        <v>5795</v>
      </c>
      <c r="G1030" s="1" t="s">
        <v>349</v>
      </c>
      <c r="H1030" s="1" t="s">
        <v>350</v>
      </c>
      <c r="I1030" s="1" t="s">
        <v>347</v>
      </c>
      <c r="J1030" s="1" t="s">
        <v>351</v>
      </c>
    </row>
    <row r="1031" spans="1:10" x14ac:dyDescent="0.25">
      <c r="A1031" s="1" t="s">
        <v>2503</v>
      </c>
      <c r="B1031" s="1" t="s">
        <v>751</v>
      </c>
      <c r="C1031" s="19">
        <v>46182</v>
      </c>
      <c r="D1031" s="1" t="s">
        <v>21</v>
      </c>
      <c r="E1031" s="1" t="s">
        <v>81</v>
      </c>
      <c r="F1031" s="1">
        <v>5795</v>
      </c>
      <c r="G1031" s="1" t="s">
        <v>361</v>
      </c>
      <c r="H1031" s="1" t="s">
        <v>353</v>
      </c>
      <c r="I1031" s="1" t="s">
        <v>347</v>
      </c>
      <c r="J1031" s="1" t="s">
        <v>362</v>
      </c>
    </row>
    <row r="1032" spans="1:10" x14ac:dyDescent="0.25">
      <c r="A1032" s="1" t="s">
        <v>2504</v>
      </c>
      <c r="B1032" s="1" t="s">
        <v>752</v>
      </c>
      <c r="C1032" s="19">
        <v>46182</v>
      </c>
      <c r="D1032" s="1" t="s">
        <v>21</v>
      </c>
      <c r="E1032" s="1" t="s">
        <v>81</v>
      </c>
      <c r="F1032" s="1">
        <v>5796</v>
      </c>
      <c r="G1032" s="1" t="s">
        <v>355</v>
      </c>
      <c r="H1032" s="1" t="s">
        <v>346</v>
      </c>
      <c r="I1032" s="1" t="s">
        <v>347</v>
      </c>
      <c r="J1032" s="1" t="s">
        <v>356</v>
      </c>
    </row>
    <row r="1033" spans="1:10" x14ac:dyDescent="0.25">
      <c r="A1033" s="1" t="s">
        <v>2505</v>
      </c>
      <c r="B1033" s="1" t="s">
        <v>752</v>
      </c>
      <c r="C1033" s="19">
        <v>46182</v>
      </c>
      <c r="D1033" s="1" t="s">
        <v>21</v>
      </c>
      <c r="E1033" s="1" t="s">
        <v>81</v>
      </c>
      <c r="F1033" s="1">
        <v>5796</v>
      </c>
      <c r="G1033" s="1" t="s">
        <v>345</v>
      </c>
      <c r="H1033" s="1" t="s">
        <v>346</v>
      </c>
      <c r="I1033" s="1" t="s">
        <v>347</v>
      </c>
      <c r="J1033" s="1" t="s">
        <v>348</v>
      </c>
    </row>
    <row r="1034" spans="1:10" x14ac:dyDescent="0.25">
      <c r="A1034" s="1" t="s">
        <v>2506</v>
      </c>
      <c r="B1034" s="1" t="s">
        <v>752</v>
      </c>
      <c r="C1034" s="19">
        <v>46182</v>
      </c>
      <c r="D1034" s="1" t="s">
        <v>21</v>
      </c>
      <c r="E1034" s="1" t="s">
        <v>81</v>
      </c>
      <c r="F1034" s="1">
        <v>5796</v>
      </c>
      <c r="G1034" s="1" t="s">
        <v>349</v>
      </c>
      <c r="H1034" s="1" t="s">
        <v>350</v>
      </c>
      <c r="I1034" s="1" t="s">
        <v>347</v>
      </c>
      <c r="J1034" s="1" t="s">
        <v>351</v>
      </c>
    </row>
    <row r="1035" spans="1:10" x14ac:dyDescent="0.25">
      <c r="A1035" s="1" t="s">
        <v>2507</v>
      </c>
      <c r="B1035" s="1" t="s">
        <v>752</v>
      </c>
      <c r="C1035" s="19">
        <v>46182</v>
      </c>
      <c r="D1035" s="1" t="s">
        <v>21</v>
      </c>
      <c r="E1035" s="1" t="s">
        <v>81</v>
      </c>
      <c r="F1035" s="1">
        <v>5796</v>
      </c>
      <c r="G1035" s="1" t="s">
        <v>361</v>
      </c>
      <c r="H1035" s="1" t="s">
        <v>353</v>
      </c>
      <c r="I1035" s="1" t="s">
        <v>347</v>
      </c>
      <c r="J1035" s="1" t="s">
        <v>362</v>
      </c>
    </row>
    <row r="1036" spans="1:10" x14ac:dyDescent="0.25">
      <c r="A1036" s="1" t="s">
        <v>2508</v>
      </c>
      <c r="B1036" s="1" t="s">
        <v>753</v>
      </c>
      <c r="C1036" s="19">
        <v>46182</v>
      </c>
      <c r="D1036" s="1" t="s">
        <v>21</v>
      </c>
      <c r="E1036" s="1" t="s">
        <v>81</v>
      </c>
      <c r="F1036" s="1">
        <v>5797</v>
      </c>
      <c r="G1036" s="1" t="s">
        <v>355</v>
      </c>
      <c r="H1036" s="1" t="s">
        <v>346</v>
      </c>
      <c r="I1036" s="1" t="s">
        <v>347</v>
      </c>
      <c r="J1036" s="1" t="s">
        <v>356</v>
      </c>
    </row>
    <row r="1037" spans="1:10" x14ac:dyDescent="0.25">
      <c r="A1037" s="1" t="s">
        <v>2509</v>
      </c>
      <c r="B1037" s="1" t="s">
        <v>753</v>
      </c>
      <c r="C1037" s="19">
        <v>46182</v>
      </c>
      <c r="D1037" s="1" t="s">
        <v>21</v>
      </c>
      <c r="E1037" s="1" t="s">
        <v>81</v>
      </c>
      <c r="F1037" s="1">
        <v>5797</v>
      </c>
      <c r="G1037" s="1" t="s">
        <v>345</v>
      </c>
      <c r="H1037" s="1" t="s">
        <v>346</v>
      </c>
      <c r="I1037" s="1" t="s">
        <v>347</v>
      </c>
      <c r="J1037" s="1" t="s">
        <v>348</v>
      </c>
    </row>
    <row r="1038" spans="1:10" x14ac:dyDescent="0.25">
      <c r="A1038" s="1" t="s">
        <v>2510</v>
      </c>
      <c r="B1038" s="1" t="s">
        <v>753</v>
      </c>
      <c r="C1038" s="19">
        <v>46182</v>
      </c>
      <c r="D1038" s="1" t="s">
        <v>21</v>
      </c>
      <c r="E1038" s="1" t="s">
        <v>81</v>
      </c>
      <c r="F1038" s="1">
        <v>5797</v>
      </c>
      <c r="G1038" s="1" t="s">
        <v>349</v>
      </c>
      <c r="H1038" s="1" t="s">
        <v>350</v>
      </c>
      <c r="I1038" s="1" t="s">
        <v>347</v>
      </c>
      <c r="J1038" s="1" t="s">
        <v>351</v>
      </c>
    </row>
    <row r="1039" spans="1:10" x14ac:dyDescent="0.25">
      <c r="A1039" s="1" t="s">
        <v>2511</v>
      </c>
      <c r="B1039" s="1" t="s">
        <v>753</v>
      </c>
      <c r="C1039" s="19">
        <v>46182</v>
      </c>
      <c r="D1039" s="1" t="s">
        <v>21</v>
      </c>
      <c r="E1039" s="1" t="s">
        <v>81</v>
      </c>
      <c r="F1039" s="1">
        <v>5797</v>
      </c>
      <c r="G1039" s="1" t="s">
        <v>361</v>
      </c>
      <c r="H1039" s="1" t="s">
        <v>353</v>
      </c>
      <c r="I1039" s="1" t="s">
        <v>347</v>
      </c>
      <c r="J1039" s="1" t="s">
        <v>362</v>
      </c>
    </row>
    <row r="1040" spans="1:10" x14ac:dyDescent="0.25">
      <c r="A1040" s="1" t="s">
        <v>2512</v>
      </c>
      <c r="B1040" s="1" t="s">
        <v>754</v>
      </c>
      <c r="C1040" s="19">
        <v>46182</v>
      </c>
      <c r="D1040" s="1" t="s">
        <v>21</v>
      </c>
      <c r="E1040" s="1" t="s">
        <v>81</v>
      </c>
      <c r="F1040" s="1">
        <v>5798</v>
      </c>
      <c r="G1040" s="1" t="s">
        <v>355</v>
      </c>
      <c r="H1040" s="1" t="s">
        <v>346</v>
      </c>
      <c r="I1040" s="1" t="s">
        <v>347</v>
      </c>
      <c r="J1040" s="1" t="s">
        <v>356</v>
      </c>
    </row>
    <row r="1041" spans="1:10" x14ac:dyDescent="0.25">
      <c r="A1041" s="1" t="s">
        <v>2513</v>
      </c>
      <c r="B1041" s="1" t="s">
        <v>754</v>
      </c>
      <c r="C1041" s="19">
        <v>46182</v>
      </c>
      <c r="D1041" s="1" t="s">
        <v>21</v>
      </c>
      <c r="E1041" s="1" t="s">
        <v>81</v>
      </c>
      <c r="F1041" s="1">
        <v>5798</v>
      </c>
      <c r="G1041" s="1" t="s">
        <v>345</v>
      </c>
      <c r="H1041" s="1" t="s">
        <v>346</v>
      </c>
      <c r="I1041" s="1" t="s">
        <v>347</v>
      </c>
      <c r="J1041" s="1" t="s">
        <v>348</v>
      </c>
    </row>
    <row r="1042" spans="1:10" x14ac:dyDescent="0.25">
      <c r="A1042" s="1" t="s">
        <v>2514</v>
      </c>
      <c r="B1042" s="1" t="s">
        <v>754</v>
      </c>
      <c r="C1042" s="19">
        <v>46182</v>
      </c>
      <c r="D1042" s="1" t="s">
        <v>21</v>
      </c>
      <c r="E1042" s="1" t="s">
        <v>81</v>
      </c>
      <c r="F1042" s="1">
        <v>5798</v>
      </c>
      <c r="G1042" s="1" t="s">
        <v>349</v>
      </c>
      <c r="H1042" s="1" t="s">
        <v>350</v>
      </c>
      <c r="I1042" s="1" t="s">
        <v>347</v>
      </c>
      <c r="J1042" s="1" t="s">
        <v>351</v>
      </c>
    </row>
    <row r="1043" spans="1:10" x14ac:dyDescent="0.25">
      <c r="A1043" s="1" t="s">
        <v>2515</v>
      </c>
      <c r="B1043" s="1" t="s">
        <v>754</v>
      </c>
      <c r="C1043" s="19">
        <v>46182</v>
      </c>
      <c r="D1043" s="1" t="s">
        <v>21</v>
      </c>
      <c r="E1043" s="1" t="s">
        <v>81</v>
      </c>
      <c r="F1043" s="1">
        <v>5798</v>
      </c>
      <c r="G1043" s="1" t="s">
        <v>361</v>
      </c>
      <c r="H1043" s="1" t="s">
        <v>353</v>
      </c>
      <c r="I1043" s="1" t="s">
        <v>347</v>
      </c>
      <c r="J1043" s="1" t="s">
        <v>362</v>
      </c>
    </row>
    <row r="1044" spans="1:10" x14ac:dyDescent="0.25">
      <c r="A1044" s="1" t="s">
        <v>2516</v>
      </c>
      <c r="B1044" s="1" t="s">
        <v>755</v>
      </c>
      <c r="C1044" s="19">
        <v>46182</v>
      </c>
      <c r="D1044" s="1" t="s">
        <v>21</v>
      </c>
      <c r="E1044" s="1" t="s">
        <v>81</v>
      </c>
      <c r="F1044" s="1">
        <v>5799</v>
      </c>
      <c r="G1044" s="1" t="s">
        <v>355</v>
      </c>
      <c r="H1044" s="1" t="s">
        <v>346</v>
      </c>
      <c r="I1044" s="1" t="s">
        <v>347</v>
      </c>
      <c r="J1044" s="1" t="s">
        <v>356</v>
      </c>
    </row>
    <row r="1045" spans="1:10" x14ac:dyDescent="0.25">
      <c r="A1045" s="1" t="s">
        <v>2517</v>
      </c>
      <c r="B1045" s="1" t="s">
        <v>755</v>
      </c>
      <c r="C1045" s="19">
        <v>46182</v>
      </c>
      <c r="D1045" s="1" t="s">
        <v>21</v>
      </c>
      <c r="E1045" s="1" t="s">
        <v>81</v>
      </c>
      <c r="F1045" s="1">
        <v>5799</v>
      </c>
      <c r="G1045" s="1" t="s">
        <v>345</v>
      </c>
      <c r="H1045" s="1" t="s">
        <v>346</v>
      </c>
      <c r="I1045" s="1" t="s">
        <v>347</v>
      </c>
      <c r="J1045" s="1" t="s">
        <v>348</v>
      </c>
    </row>
    <row r="1046" spans="1:10" x14ac:dyDescent="0.25">
      <c r="A1046" s="1" t="s">
        <v>2518</v>
      </c>
      <c r="B1046" s="1" t="s">
        <v>755</v>
      </c>
      <c r="C1046" s="19">
        <v>46182</v>
      </c>
      <c r="D1046" s="1" t="s">
        <v>21</v>
      </c>
      <c r="E1046" s="1" t="s">
        <v>81</v>
      </c>
      <c r="F1046" s="1">
        <v>5799</v>
      </c>
      <c r="G1046" s="1" t="s">
        <v>349</v>
      </c>
      <c r="H1046" s="1" t="s">
        <v>350</v>
      </c>
      <c r="I1046" s="1" t="s">
        <v>347</v>
      </c>
      <c r="J1046" s="1" t="s">
        <v>351</v>
      </c>
    </row>
    <row r="1047" spans="1:10" x14ac:dyDescent="0.25">
      <c r="A1047" s="1" t="s">
        <v>2519</v>
      </c>
      <c r="B1047" s="1" t="s">
        <v>755</v>
      </c>
      <c r="C1047" s="19">
        <v>46182</v>
      </c>
      <c r="D1047" s="1" t="s">
        <v>21</v>
      </c>
      <c r="E1047" s="1" t="s">
        <v>81</v>
      </c>
      <c r="F1047" s="1">
        <v>5799</v>
      </c>
      <c r="G1047" s="1" t="s">
        <v>361</v>
      </c>
      <c r="H1047" s="1" t="s">
        <v>353</v>
      </c>
      <c r="I1047" s="1" t="s">
        <v>347</v>
      </c>
      <c r="J1047" s="1" t="s">
        <v>362</v>
      </c>
    </row>
    <row r="1048" spans="1:10" x14ac:dyDescent="0.25">
      <c r="A1048" s="1" t="s">
        <v>2520</v>
      </c>
      <c r="B1048" s="1" t="s">
        <v>756</v>
      </c>
      <c r="C1048" s="19">
        <v>46182</v>
      </c>
      <c r="D1048" s="1" t="s">
        <v>21</v>
      </c>
      <c r="E1048" s="1" t="s">
        <v>81</v>
      </c>
      <c r="F1048" s="1">
        <v>5800</v>
      </c>
      <c r="G1048" s="1" t="s">
        <v>355</v>
      </c>
      <c r="H1048" s="1" t="s">
        <v>346</v>
      </c>
      <c r="I1048" s="1" t="s">
        <v>347</v>
      </c>
      <c r="J1048" s="1" t="s">
        <v>356</v>
      </c>
    </row>
    <row r="1049" spans="1:10" x14ac:dyDescent="0.25">
      <c r="A1049" s="1" t="s">
        <v>2521</v>
      </c>
      <c r="B1049" s="1" t="s">
        <v>756</v>
      </c>
      <c r="C1049" s="19">
        <v>46182</v>
      </c>
      <c r="D1049" s="1" t="s">
        <v>21</v>
      </c>
      <c r="E1049" s="1" t="s">
        <v>81</v>
      </c>
      <c r="F1049" s="1">
        <v>5800</v>
      </c>
      <c r="G1049" s="1" t="s">
        <v>345</v>
      </c>
      <c r="H1049" s="1" t="s">
        <v>346</v>
      </c>
      <c r="I1049" s="1" t="s">
        <v>347</v>
      </c>
      <c r="J1049" s="1" t="s">
        <v>348</v>
      </c>
    </row>
    <row r="1050" spans="1:10" x14ac:dyDescent="0.25">
      <c r="A1050" s="1" t="s">
        <v>2522</v>
      </c>
      <c r="B1050" s="1" t="s">
        <v>756</v>
      </c>
      <c r="C1050" s="19">
        <v>46182</v>
      </c>
      <c r="D1050" s="1" t="s">
        <v>21</v>
      </c>
      <c r="E1050" s="1" t="s">
        <v>81</v>
      </c>
      <c r="F1050" s="1">
        <v>5800</v>
      </c>
      <c r="G1050" s="1" t="s">
        <v>349</v>
      </c>
      <c r="H1050" s="1" t="s">
        <v>350</v>
      </c>
      <c r="I1050" s="1" t="s">
        <v>347</v>
      </c>
      <c r="J1050" s="1" t="s">
        <v>351</v>
      </c>
    </row>
    <row r="1051" spans="1:10" x14ac:dyDescent="0.25">
      <c r="A1051" s="1" t="s">
        <v>2523</v>
      </c>
      <c r="B1051" s="1" t="s">
        <v>756</v>
      </c>
      <c r="C1051" s="19">
        <v>46182</v>
      </c>
      <c r="D1051" s="1" t="s">
        <v>21</v>
      </c>
      <c r="E1051" s="1" t="s">
        <v>81</v>
      </c>
      <c r="F1051" s="1">
        <v>5800</v>
      </c>
      <c r="G1051" s="1" t="s">
        <v>361</v>
      </c>
      <c r="H1051" s="1" t="s">
        <v>353</v>
      </c>
      <c r="I1051" s="1" t="s">
        <v>347</v>
      </c>
      <c r="J1051" s="1" t="s">
        <v>362</v>
      </c>
    </row>
    <row r="1052" spans="1:10" x14ac:dyDescent="0.25">
      <c r="A1052" s="1" t="s">
        <v>2524</v>
      </c>
      <c r="B1052" s="1" t="s">
        <v>757</v>
      </c>
      <c r="C1052" s="19">
        <v>46182</v>
      </c>
      <c r="D1052" s="1" t="s">
        <v>21</v>
      </c>
      <c r="E1052" s="1" t="s">
        <v>81</v>
      </c>
      <c r="F1052" s="1">
        <v>5801</v>
      </c>
      <c r="G1052" s="1" t="s">
        <v>355</v>
      </c>
      <c r="H1052" s="1" t="s">
        <v>346</v>
      </c>
      <c r="I1052" s="1" t="s">
        <v>347</v>
      </c>
      <c r="J1052" s="1" t="s">
        <v>356</v>
      </c>
    </row>
    <row r="1053" spans="1:10" x14ac:dyDescent="0.25">
      <c r="A1053" s="1" t="s">
        <v>2525</v>
      </c>
      <c r="B1053" s="1" t="s">
        <v>757</v>
      </c>
      <c r="C1053" s="19">
        <v>46182</v>
      </c>
      <c r="D1053" s="1" t="s">
        <v>21</v>
      </c>
      <c r="E1053" s="1" t="s">
        <v>81</v>
      </c>
      <c r="F1053" s="1">
        <v>5801</v>
      </c>
      <c r="G1053" s="1" t="s">
        <v>345</v>
      </c>
      <c r="H1053" s="1" t="s">
        <v>346</v>
      </c>
      <c r="I1053" s="1" t="s">
        <v>347</v>
      </c>
      <c r="J1053" s="1" t="s">
        <v>348</v>
      </c>
    </row>
    <row r="1054" spans="1:10" x14ac:dyDescent="0.25">
      <c r="A1054" s="1" t="s">
        <v>2526</v>
      </c>
      <c r="B1054" s="1" t="s">
        <v>757</v>
      </c>
      <c r="C1054" s="19">
        <v>46182</v>
      </c>
      <c r="D1054" s="1" t="s">
        <v>21</v>
      </c>
      <c r="E1054" s="1" t="s">
        <v>81</v>
      </c>
      <c r="F1054" s="1">
        <v>5801</v>
      </c>
      <c r="G1054" s="1" t="s">
        <v>349</v>
      </c>
      <c r="H1054" s="1" t="s">
        <v>350</v>
      </c>
      <c r="I1054" s="1" t="s">
        <v>347</v>
      </c>
      <c r="J1054" s="1" t="s">
        <v>351</v>
      </c>
    </row>
    <row r="1055" spans="1:10" x14ac:dyDescent="0.25">
      <c r="A1055" s="1" t="s">
        <v>2527</v>
      </c>
      <c r="B1055" s="1" t="s">
        <v>757</v>
      </c>
      <c r="C1055" s="19">
        <v>46182</v>
      </c>
      <c r="D1055" s="1" t="s">
        <v>21</v>
      </c>
      <c r="E1055" s="1" t="s">
        <v>81</v>
      </c>
      <c r="F1055" s="1">
        <v>5801</v>
      </c>
      <c r="G1055" s="1" t="s">
        <v>361</v>
      </c>
      <c r="H1055" s="1" t="s">
        <v>353</v>
      </c>
      <c r="I1055" s="1" t="s">
        <v>347</v>
      </c>
      <c r="J1055" s="1" t="s">
        <v>362</v>
      </c>
    </row>
    <row r="1056" spans="1:10" x14ac:dyDescent="0.25">
      <c r="A1056" s="1" t="s">
        <v>2528</v>
      </c>
      <c r="B1056" s="1" t="s">
        <v>758</v>
      </c>
      <c r="C1056" s="19">
        <v>46182</v>
      </c>
      <c r="D1056" s="1" t="s">
        <v>21</v>
      </c>
      <c r="E1056" s="1" t="s">
        <v>81</v>
      </c>
      <c r="F1056" s="1">
        <v>5802</v>
      </c>
      <c r="G1056" s="1" t="s">
        <v>355</v>
      </c>
      <c r="H1056" s="1" t="s">
        <v>346</v>
      </c>
      <c r="I1056" s="1" t="s">
        <v>347</v>
      </c>
      <c r="J1056" s="1" t="s">
        <v>356</v>
      </c>
    </row>
    <row r="1057" spans="1:10" x14ac:dyDescent="0.25">
      <c r="A1057" s="1" t="s">
        <v>2529</v>
      </c>
      <c r="B1057" s="1" t="s">
        <v>758</v>
      </c>
      <c r="C1057" s="19">
        <v>46182</v>
      </c>
      <c r="D1057" s="1" t="s">
        <v>21</v>
      </c>
      <c r="E1057" s="1" t="s">
        <v>81</v>
      </c>
      <c r="F1057" s="1">
        <v>5802</v>
      </c>
      <c r="G1057" s="1" t="s">
        <v>345</v>
      </c>
      <c r="H1057" s="1" t="s">
        <v>346</v>
      </c>
      <c r="I1057" s="1" t="s">
        <v>347</v>
      </c>
      <c r="J1057" s="1" t="s">
        <v>348</v>
      </c>
    </row>
    <row r="1058" spans="1:10" x14ac:dyDescent="0.25">
      <c r="A1058" s="1" t="s">
        <v>2530</v>
      </c>
      <c r="B1058" s="1" t="s">
        <v>758</v>
      </c>
      <c r="C1058" s="19">
        <v>46182</v>
      </c>
      <c r="D1058" s="1" t="s">
        <v>21</v>
      </c>
      <c r="E1058" s="1" t="s">
        <v>81</v>
      </c>
      <c r="F1058" s="1">
        <v>5802</v>
      </c>
      <c r="G1058" s="1" t="s">
        <v>349</v>
      </c>
      <c r="H1058" s="1" t="s">
        <v>350</v>
      </c>
      <c r="I1058" s="1" t="s">
        <v>347</v>
      </c>
      <c r="J1058" s="1" t="s">
        <v>351</v>
      </c>
    </row>
    <row r="1059" spans="1:10" x14ac:dyDescent="0.25">
      <c r="A1059" s="1" t="s">
        <v>2531</v>
      </c>
      <c r="B1059" s="1" t="s">
        <v>758</v>
      </c>
      <c r="C1059" s="19">
        <v>46182</v>
      </c>
      <c r="D1059" s="1" t="s">
        <v>21</v>
      </c>
      <c r="E1059" s="1" t="s">
        <v>81</v>
      </c>
      <c r="F1059" s="1">
        <v>5802</v>
      </c>
      <c r="G1059" s="1" t="s">
        <v>361</v>
      </c>
      <c r="H1059" s="1" t="s">
        <v>353</v>
      </c>
      <c r="I1059" s="1" t="s">
        <v>347</v>
      </c>
      <c r="J1059" s="1" t="s">
        <v>362</v>
      </c>
    </row>
    <row r="1060" spans="1:10" x14ac:dyDescent="0.25">
      <c r="A1060" s="1" t="s">
        <v>2532</v>
      </c>
      <c r="B1060" s="1" t="s">
        <v>759</v>
      </c>
      <c r="C1060" s="19">
        <v>46182</v>
      </c>
      <c r="D1060" s="1" t="s">
        <v>21</v>
      </c>
      <c r="E1060" s="1" t="s">
        <v>81</v>
      </c>
      <c r="F1060" s="1">
        <v>5803</v>
      </c>
      <c r="G1060" s="1" t="s">
        <v>355</v>
      </c>
      <c r="H1060" s="1" t="s">
        <v>346</v>
      </c>
      <c r="I1060" s="1" t="s">
        <v>347</v>
      </c>
      <c r="J1060" s="1" t="s">
        <v>356</v>
      </c>
    </row>
    <row r="1061" spans="1:10" x14ac:dyDescent="0.25">
      <c r="A1061" s="1" t="s">
        <v>2533</v>
      </c>
      <c r="B1061" s="1" t="s">
        <v>759</v>
      </c>
      <c r="C1061" s="19">
        <v>46182</v>
      </c>
      <c r="D1061" s="1" t="s">
        <v>21</v>
      </c>
      <c r="E1061" s="1" t="s">
        <v>81</v>
      </c>
      <c r="F1061" s="1">
        <v>5803</v>
      </c>
      <c r="G1061" s="1" t="s">
        <v>345</v>
      </c>
      <c r="H1061" s="1" t="s">
        <v>346</v>
      </c>
      <c r="I1061" s="1" t="s">
        <v>347</v>
      </c>
      <c r="J1061" s="1" t="s">
        <v>348</v>
      </c>
    </row>
    <row r="1062" spans="1:10" x14ac:dyDescent="0.25">
      <c r="A1062" s="1" t="s">
        <v>2534</v>
      </c>
      <c r="B1062" s="1" t="s">
        <v>759</v>
      </c>
      <c r="C1062" s="19">
        <v>46182</v>
      </c>
      <c r="D1062" s="1" t="s">
        <v>21</v>
      </c>
      <c r="E1062" s="1" t="s">
        <v>81</v>
      </c>
      <c r="F1062" s="1">
        <v>5803</v>
      </c>
      <c r="G1062" s="1" t="s">
        <v>349</v>
      </c>
      <c r="H1062" s="1" t="s">
        <v>350</v>
      </c>
      <c r="I1062" s="1" t="s">
        <v>347</v>
      </c>
      <c r="J1062" s="1" t="s">
        <v>351</v>
      </c>
    </row>
    <row r="1063" spans="1:10" x14ac:dyDescent="0.25">
      <c r="A1063" s="1" t="s">
        <v>2535</v>
      </c>
      <c r="B1063" s="1" t="s">
        <v>759</v>
      </c>
      <c r="C1063" s="19">
        <v>46182</v>
      </c>
      <c r="D1063" s="1" t="s">
        <v>21</v>
      </c>
      <c r="E1063" s="1" t="s">
        <v>81</v>
      </c>
      <c r="F1063" s="1">
        <v>5803</v>
      </c>
      <c r="G1063" s="1" t="s">
        <v>361</v>
      </c>
      <c r="H1063" s="1" t="s">
        <v>353</v>
      </c>
      <c r="I1063" s="1" t="s">
        <v>347</v>
      </c>
      <c r="J1063" s="1" t="s">
        <v>362</v>
      </c>
    </row>
    <row r="1064" spans="1:10" x14ac:dyDescent="0.25">
      <c r="A1064" s="1" t="s">
        <v>2536</v>
      </c>
      <c r="B1064" s="1" t="s">
        <v>760</v>
      </c>
      <c r="C1064" s="19">
        <v>46182</v>
      </c>
      <c r="D1064" s="1" t="s">
        <v>21</v>
      </c>
      <c r="E1064" s="1" t="s">
        <v>81</v>
      </c>
      <c r="F1064" s="1">
        <v>5804</v>
      </c>
      <c r="G1064" s="1" t="s">
        <v>355</v>
      </c>
      <c r="H1064" s="1" t="s">
        <v>346</v>
      </c>
      <c r="I1064" s="1" t="s">
        <v>347</v>
      </c>
      <c r="J1064" s="1" t="s">
        <v>356</v>
      </c>
    </row>
    <row r="1065" spans="1:10" x14ac:dyDescent="0.25">
      <c r="A1065" s="1" t="s">
        <v>2537</v>
      </c>
      <c r="B1065" s="1" t="s">
        <v>760</v>
      </c>
      <c r="C1065" s="19">
        <v>46182</v>
      </c>
      <c r="D1065" s="1" t="s">
        <v>21</v>
      </c>
      <c r="E1065" s="1" t="s">
        <v>81</v>
      </c>
      <c r="F1065" s="1">
        <v>5804</v>
      </c>
      <c r="G1065" s="1" t="s">
        <v>345</v>
      </c>
      <c r="H1065" s="1" t="s">
        <v>346</v>
      </c>
      <c r="I1065" s="1" t="s">
        <v>347</v>
      </c>
      <c r="J1065" s="1" t="s">
        <v>348</v>
      </c>
    </row>
    <row r="1066" spans="1:10" x14ac:dyDescent="0.25">
      <c r="A1066" s="1" t="s">
        <v>2538</v>
      </c>
      <c r="B1066" s="1" t="s">
        <v>760</v>
      </c>
      <c r="C1066" s="19">
        <v>46182</v>
      </c>
      <c r="D1066" s="1" t="s">
        <v>21</v>
      </c>
      <c r="E1066" s="1" t="s">
        <v>81</v>
      </c>
      <c r="F1066" s="1">
        <v>5804</v>
      </c>
      <c r="G1066" s="1" t="s">
        <v>349</v>
      </c>
      <c r="H1066" s="1" t="s">
        <v>350</v>
      </c>
      <c r="I1066" s="1" t="s">
        <v>347</v>
      </c>
      <c r="J1066" s="1" t="s">
        <v>351</v>
      </c>
    </row>
    <row r="1067" spans="1:10" x14ac:dyDescent="0.25">
      <c r="A1067" s="1" t="s">
        <v>2539</v>
      </c>
      <c r="B1067" s="1" t="s">
        <v>760</v>
      </c>
      <c r="C1067" s="19">
        <v>46182</v>
      </c>
      <c r="D1067" s="1" t="s">
        <v>21</v>
      </c>
      <c r="E1067" s="1" t="s">
        <v>81</v>
      </c>
      <c r="F1067" s="1">
        <v>5804</v>
      </c>
      <c r="G1067" s="1" t="s">
        <v>361</v>
      </c>
      <c r="H1067" s="1" t="s">
        <v>353</v>
      </c>
      <c r="I1067" s="1" t="s">
        <v>347</v>
      </c>
      <c r="J1067" s="1" t="s">
        <v>362</v>
      </c>
    </row>
    <row r="1068" spans="1:10" x14ac:dyDescent="0.25">
      <c r="A1068" s="1" t="s">
        <v>2540</v>
      </c>
      <c r="B1068" s="1" t="s">
        <v>761</v>
      </c>
      <c r="C1068" s="19">
        <v>46182</v>
      </c>
      <c r="D1068" s="1" t="s">
        <v>21</v>
      </c>
      <c r="E1068" s="1" t="s">
        <v>81</v>
      </c>
      <c r="F1068" s="1">
        <v>5805</v>
      </c>
      <c r="G1068" s="1" t="s">
        <v>355</v>
      </c>
      <c r="H1068" s="1" t="s">
        <v>346</v>
      </c>
      <c r="I1068" s="1" t="s">
        <v>347</v>
      </c>
      <c r="J1068" s="1" t="s">
        <v>356</v>
      </c>
    </row>
    <row r="1069" spans="1:10" x14ac:dyDescent="0.25">
      <c r="A1069" s="1" t="s">
        <v>2541</v>
      </c>
      <c r="B1069" s="1" t="s">
        <v>761</v>
      </c>
      <c r="C1069" s="19">
        <v>46182</v>
      </c>
      <c r="D1069" s="1" t="s">
        <v>21</v>
      </c>
      <c r="E1069" s="1" t="s">
        <v>81</v>
      </c>
      <c r="F1069" s="1">
        <v>5805</v>
      </c>
      <c r="G1069" s="1" t="s">
        <v>345</v>
      </c>
      <c r="H1069" s="1" t="s">
        <v>346</v>
      </c>
      <c r="I1069" s="1" t="s">
        <v>347</v>
      </c>
      <c r="J1069" s="1" t="s">
        <v>348</v>
      </c>
    </row>
    <row r="1070" spans="1:10" x14ac:dyDescent="0.25">
      <c r="A1070" s="1" t="s">
        <v>2542</v>
      </c>
      <c r="B1070" s="1" t="s">
        <v>761</v>
      </c>
      <c r="C1070" s="19">
        <v>46182</v>
      </c>
      <c r="D1070" s="1" t="s">
        <v>21</v>
      </c>
      <c r="E1070" s="1" t="s">
        <v>81</v>
      </c>
      <c r="F1070" s="1">
        <v>5805</v>
      </c>
      <c r="G1070" s="1" t="s">
        <v>349</v>
      </c>
      <c r="H1070" s="1" t="s">
        <v>350</v>
      </c>
      <c r="I1070" s="1" t="s">
        <v>347</v>
      </c>
      <c r="J1070" s="1" t="s">
        <v>351</v>
      </c>
    </row>
    <row r="1071" spans="1:10" x14ac:dyDescent="0.25">
      <c r="A1071" s="1" t="s">
        <v>2543</v>
      </c>
      <c r="B1071" s="1" t="s">
        <v>761</v>
      </c>
      <c r="C1071" s="19">
        <v>46182</v>
      </c>
      <c r="D1071" s="1" t="s">
        <v>21</v>
      </c>
      <c r="E1071" s="1" t="s">
        <v>81</v>
      </c>
      <c r="F1071" s="1">
        <v>5805</v>
      </c>
      <c r="G1071" s="1" t="s">
        <v>361</v>
      </c>
      <c r="H1071" s="1" t="s">
        <v>353</v>
      </c>
      <c r="I1071" s="1" t="s">
        <v>347</v>
      </c>
      <c r="J1071" s="1" t="s">
        <v>362</v>
      </c>
    </row>
    <row r="1072" spans="1:10" x14ac:dyDescent="0.25">
      <c r="A1072" s="1" t="s">
        <v>2544</v>
      </c>
      <c r="B1072" s="1" t="s">
        <v>762</v>
      </c>
      <c r="C1072" s="19">
        <v>46182</v>
      </c>
      <c r="D1072" s="1" t="s">
        <v>21</v>
      </c>
      <c r="E1072" s="1" t="s">
        <v>81</v>
      </c>
      <c r="F1072" s="1">
        <v>5806</v>
      </c>
      <c r="G1072" s="1" t="s">
        <v>355</v>
      </c>
      <c r="H1072" s="1" t="s">
        <v>346</v>
      </c>
      <c r="I1072" s="1" t="s">
        <v>347</v>
      </c>
      <c r="J1072" s="1" t="s">
        <v>356</v>
      </c>
    </row>
    <row r="1073" spans="1:10" x14ac:dyDescent="0.25">
      <c r="A1073" s="1" t="s">
        <v>2545</v>
      </c>
      <c r="B1073" s="1" t="s">
        <v>762</v>
      </c>
      <c r="C1073" s="19">
        <v>46182</v>
      </c>
      <c r="D1073" s="1" t="s">
        <v>21</v>
      </c>
      <c r="E1073" s="1" t="s">
        <v>81</v>
      </c>
      <c r="F1073" s="1">
        <v>5806</v>
      </c>
      <c r="G1073" s="1" t="s">
        <v>345</v>
      </c>
      <c r="H1073" s="1" t="s">
        <v>346</v>
      </c>
      <c r="I1073" s="1" t="s">
        <v>347</v>
      </c>
      <c r="J1073" s="1" t="s">
        <v>348</v>
      </c>
    </row>
    <row r="1074" spans="1:10" x14ac:dyDescent="0.25">
      <c r="A1074" s="1" t="s">
        <v>2546</v>
      </c>
      <c r="B1074" s="1" t="s">
        <v>762</v>
      </c>
      <c r="C1074" s="19">
        <v>46182</v>
      </c>
      <c r="D1074" s="1" t="s">
        <v>21</v>
      </c>
      <c r="E1074" s="1" t="s">
        <v>81</v>
      </c>
      <c r="F1074" s="1">
        <v>5806</v>
      </c>
      <c r="G1074" s="1" t="s">
        <v>349</v>
      </c>
      <c r="H1074" s="1" t="s">
        <v>350</v>
      </c>
      <c r="I1074" s="1" t="s">
        <v>347</v>
      </c>
      <c r="J1074" s="1" t="s">
        <v>351</v>
      </c>
    </row>
    <row r="1075" spans="1:10" x14ac:dyDescent="0.25">
      <c r="A1075" s="1" t="s">
        <v>2547</v>
      </c>
      <c r="B1075" s="1" t="s">
        <v>762</v>
      </c>
      <c r="C1075" s="19">
        <v>46182</v>
      </c>
      <c r="D1075" s="1" t="s">
        <v>21</v>
      </c>
      <c r="E1075" s="1" t="s">
        <v>81</v>
      </c>
      <c r="F1075" s="1">
        <v>5806</v>
      </c>
      <c r="G1075" s="1" t="s">
        <v>361</v>
      </c>
      <c r="H1075" s="1" t="s">
        <v>353</v>
      </c>
      <c r="I1075" s="1" t="s">
        <v>347</v>
      </c>
      <c r="J1075" s="1" t="s">
        <v>362</v>
      </c>
    </row>
    <row r="1076" spans="1:10" x14ac:dyDescent="0.25">
      <c r="A1076" s="1" t="s">
        <v>2548</v>
      </c>
      <c r="B1076" s="1" t="s">
        <v>763</v>
      </c>
      <c r="C1076" s="19">
        <v>46182</v>
      </c>
      <c r="D1076" s="1" t="s">
        <v>21</v>
      </c>
      <c r="E1076" s="1" t="s">
        <v>81</v>
      </c>
      <c r="F1076" s="1">
        <v>5807</v>
      </c>
      <c r="G1076" s="1" t="s">
        <v>355</v>
      </c>
      <c r="H1076" s="1" t="s">
        <v>346</v>
      </c>
      <c r="I1076" s="1" t="s">
        <v>347</v>
      </c>
      <c r="J1076" s="1" t="s">
        <v>356</v>
      </c>
    </row>
    <row r="1077" spans="1:10" x14ac:dyDescent="0.25">
      <c r="A1077" s="1" t="s">
        <v>2549</v>
      </c>
      <c r="B1077" s="1" t="s">
        <v>763</v>
      </c>
      <c r="C1077" s="19">
        <v>46182</v>
      </c>
      <c r="D1077" s="1" t="s">
        <v>21</v>
      </c>
      <c r="E1077" s="1" t="s">
        <v>81</v>
      </c>
      <c r="F1077" s="1">
        <v>5807</v>
      </c>
      <c r="G1077" s="1" t="s">
        <v>345</v>
      </c>
      <c r="H1077" s="1" t="s">
        <v>346</v>
      </c>
      <c r="I1077" s="1" t="s">
        <v>347</v>
      </c>
      <c r="J1077" s="1" t="s">
        <v>348</v>
      </c>
    </row>
    <row r="1078" spans="1:10" x14ac:dyDescent="0.25">
      <c r="A1078" s="1" t="s">
        <v>2550</v>
      </c>
      <c r="B1078" s="1" t="s">
        <v>763</v>
      </c>
      <c r="C1078" s="19">
        <v>46182</v>
      </c>
      <c r="D1078" s="1" t="s">
        <v>21</v>
      </c>
      <c r="E1078" s="1" t="s">
        <v>81</v>
      </c>
      <c r="F1078" s="1">
        <v>5807</v>
      </c>
      <c r="G1078" s="1" t="s">
        <v>349</v>
      </c>
      <c r="H1078" s="1" t="s">
        <v>350</v>
      </c>
      <c r="I1078" s="1" t="s">
        <v>347</v>
      </c>
      <c r="J1078" s="1" t="s">
        <v>351</v>
      </c>
    </row>
    <row r="1079" spans="1:10" x14ac:dyDescent="0.25">
      <c r="A1079" s="1" t="s">
        <v>2551</v>
      </c>
      <c r="B1079" s="1" t="s">
        <v>763</v>
      </c>
      <c r="C1079" s="19">
        <v>46182</v>
      </c>
      <c r="D1079" s="1" t="s">
        <v>21</v>
      </c>
      <c r="E1079" s="1" t="s">
        <v>81</v>
      </c>
      <c r="F1079" s="1">
        <v>5807</v>
      </c>
      <c r="G1079" s="1" t="s">
        <v>361</v>
      </c>
      <c r="H1079" s="1" t="s">
        <v>353</v>
      </c>
      <c r="I1079" s="1" t="s">
        <v>347</v>
      </c>
      <c r="J1079" s="1" t="s">
        <v>362</v>
      </c>
    </row>
    <row r="1080" spans="1:10" x14ac:dyDescent="0.25">
      <c r="A1080" s="1" t="s">
        <v>2552</v>
      </c>
      <c r="B1080" s="1" t="s">
        <v>764</v>
      </c>
      <c r="C1080" s="19">
        <v>46182</v>
      </c>
      <c r="D1080" s="1" t="s">
        <v>21</v>
      </c>
      <c r="E1080" s="1" t="s">
        <v>81</v>
      </c>
      <c r="F1080" s="1">
        <v>5808</v>
      </c>
      <c r="G1080" s="1" t="s">
        <v>355</v>
      </c>
      <c r="H1080" s="1" t="s">
        <v>346</v>
      </c>
      <c r="I1080" s="1" t="s">
        <v>347</v>
      </c>
      <c r="J1080" s="1" t="s">
        <v>356</v>
      </c>
    </row>
    <row r="1081" spans="1:10" x14ac:dyDescent="0.25">
      <c r="A1081" s="1" t="s">
        <v>2553</v>
      </c>
      <c r="B1081" s="1" t="s">
        <v>764</v>
      </c>
      <c r="C1081" s="19">
        <v>46182</v>
      </c>
      <c r="D1081" s="1" t="s">
        <v>21</v>
      </c>
      <c r="E1081" s="1" t="s">
        <v>81</v>
      </c>
      <c r="F1081" s="1">
        <v>5808</v>
      </c>
      <c r="G1081" s="1" t="s">
        <v>345</v>
      </c>
      <c r="H1081" s="1" t="s">
        <v>346</v>
      </c>
      <c r="I1081" s="1" t="s">
        <v>347</v>
      </c>
      <c r="J1081" s="1" t="s">
        <v>348</v>
      </c>
    </row>
    <row r="1082" spans="1:10" x14ac:dyDescent="0.25">
      <c r="A1082" s="1" t="s">
        <v>2554</v>
      </c>
      <c r="B1082" s="1" t="s">
        <v>764</v>
      </c>
      <c r="C1082" s="19">
        <v>46182</v>
      </c>
      <c r="D1082" s="1" t="s">
        <v>21</v>
      </c>
      <c r="E1082" s="1" t="s">
        <v>81</v>
      </c>
      <c r="F1082" s="1">
        <v>5808</v>
      </c>
      <c r="G1082" s="1" t="s">
        <v>349</v>
      </c>
      <c r="H1082" s="1" t="s">
        <v>350</v>
      </c>
      <c r="I1082" s="1" t="s">
        <v>347</v>
      </c>
      <c r="J1082" s="1" t="s">
        <v>351</v>
      </c>
    </row>
    <row r="1083" spans="1:10" x14ac:dyDescent="0.25">
      <c r="A1083" s="1" t="s">
        <v>2555</v>
      </c>
      <c r="B1083" s="1" t="s">
        <v>764</v>
      </c>
      <c r="C1083" s="19">
        <v>46182</v>
      </c>
      <c r="D1083" s="1" t="s">
        <v>21</v>
      </c>
      <c r="E1083" s="1" t="s">
        <v>81</v>
      </c>
      <c r="F1083" s="1">
        <v>5808</v>
      </c>
      <c r="G1083" s="1" t="s">
        <v>361</v>
      </c>
      <c r="H1083" s="1" t="s">
        <v>353</v>
      </c>
      <c r="I1083" s="1" t="s">
        <v>347</v>
      </c>
      <c r="J1083" s="1" t="s">
        <v>362</v>
      </c>
    </row>
    <row r="1084" spans="1:10" x14ac:dyDescent="0.25">
      <c r="A1084" s="1" t="s">
        <v>2556</v>
      </c>
      <c r="B1084" s="1" t="s">
        <v>765</v>
      </c>
      <c r="C1084" s="19">
        <v>46182</v>
      </c>
      <c r="D1084" s="1" t="s">
        <v>21</v>
      </c>
      <c r="E1084" s="1" t="s">
        <v>81</v>
      </c>
      <c r="F1084" s="1">
        <v>5809</v>
      </c>
      <c r="G1084" s="1" t="s">
        <v>355</v>
      </c>
      <c r="H1084" s="1" t="s">
        <v>346</v>
      </c>
      <c r="I1084" s="1" t="s">
        <v>347</v>
      </c>
      <c r="J1084" s="1" t="s">
        <v>356</v>
      </c>
    </row>
    <row r="1085" spans="1:10" x14ac:dyDescent="0.25">
      <c r="A1085" s="1" t="s">
        <v>2557</v>
      </c>
      <c r="B1085" s="1" t="s">
        <v>765</v>
      </c>
      <c r="C1085" s="19">
        <v>46182</v>
      </c>
      <c r="D1085" s="1" t="s">
        <v>21</v>
      </c>
      <c r="E1085" s="1" t="s">
        <v>81</v>
      </c>
      <c r="F1085" s="1">
        <v>5809</v>
      </c>
      <c r="G1085" s="1" t="s">
        <v>345</v>
      </c>
      <c r="H1085" s="1" t="s">
        <v>346</v>
      </c>
      <c r="I1085" s="1" t="s">
        <v>347</v>
      </c>
      <c r="J1085" s="1" t="s">
        <v>348</v>
      </c>
    </row>
    <row r="1086" spans="1:10" x14ac:dyDescent="0.25">
      <c r="A1086" s="1" t="s">
        <v>2558</v>
      </c>
      <c r="B1086" s="1" t="s">
        <v>765</v>
      </c>
      <c r="C1086" s="19">
        <v>46182</v>
      </c>
      <c r="D1086" s="1" t="s">
        <v>21</v>
      </c>
      <c r="E1086" s="1" t="s">
        <v>81</v>
      </c>
      <c r="F1086" s="1">
        <v>5809</v>
      </c>
      <c r="G1086" s="1" t="s">
        <v>349</v>
      </c>
      <c r="H1086" s="1" t="s">
        <v>350</v>
      </c>
      <c r="I1086" s="1" t="s">
        <v>347</v>
      </c>
      <c r="J1086" s="1" t="s">
        <v>351</v>
      </c>
    </row>
    <row r="1087" spans="1:10" x14ac:dyDescent="0.25">
      <c r="A1087" s="1" t="s">
        <v>2559</v>
      </c>
      <c r="B1087" s="1" t="s">
        <v>765</v>
      </c>
      <c r="C1087" s="19">
        <v>46182</v>
      </c>
      <c r="D1087" s="1" t="s">
        <v>21</v>
      </c>
      <c r="E1087" s="1" t="s">
        <v>81</v>
      </c>
      <c r="F1087" s="1">
        <v>5809</v>
      </c>
      <c r="G1087" s="1" t="s">
        <v>361</v>
      </c>
      <c r="H1087" s="1" t="s">
        <v>353</v>
      </c>
      <c r="I1087" s="1" t="s">
        <v>347</v>
      </c>
      <c r="J1087" s="1" t="s">
        <v>362</v>
      </c>
    </row>
    <row r="1088" spans="1:10" x14ac:dyDescent="0.25">
      <c r="A1088" s="1" t="s">
        <v>2560</v>
      </c>
      <c r="B1088" s="1" t="s">
        <v>766</v>
      </c>
      <c r="C1088" s="19">
        <v>46182</v>
      </c>
      <c r="D1088" s="1" t="s">
        <v>21</v>
      </c>
      <c r="E1088" s="1" t="s">
        <v>81</v>
      </c>
      <c r="F1088" s="1">
        <v>5810</v>
      </c>
      <c r="G1088" s="1" t="s">
        <v>355</v>
      </c>
      <c r="H1088" s="1" t="s">
        <v>346</v>
      </c>
      <c r="I1088" s="1" t="s">
        <v>347</v>
      </c>
      <c r="J1088" s="1" t="s">
        <v>356</v>
      </c>
    </row>
    <row r="1089" spans="1:10" x14ac:dyDescent="0.25">
      <c r="A1089" s="1" t="s">
        <v>2561</v>
      </c>
      <c r="B1089" s="1" t="s">
        <v>766</v>
      </c>
      <c r="C1089" s="19">
        <v>46182</v>
      </c>
      <c r="D1089" s="1" t="s">
        <v>21</v>
      </c>
      <c r="E1089" s="1" t="s">
        <v>81</v>
      </c>
      <c r="F1089" s="1">
        <v>5810</v>
      </c>
      <c r="G1089" s="1" t="s">
        <v>345</v>
      </c>
      <c r="H1089" s="1" t="s">
        <v>346</v>
      </c>
      <c r="I1089" s="1" t="s">
        <v>347</v>
      </c>
      <c r="J1089" s="1" t="s">
        <v>348</v>
      </c>
    </row>
    <row r="1090" spans="1:10" x14ac:dyDescent="0.25">
      <c r="A1090" s="1" t="s">
        <v>2562</v>
      </c>
      <c r="B1090" s="1" t="s">
        <v>766</v>
      </c>
      <c r="C1090" s="19">
        <v>46182</v>
      </c>
      <c r="D1090" s="1" t="s">
        <v>21</v>
      </c>
      <c r="E1090" s="1" t="s">
        <v>81</v>
      </c>
      <c r="F1090" s="1">
        <v>5810</v>
      </c>
      <c r="G1090" s="1" t="s">
        <v>349</v>
      </c>
      <c r="H1090" s="1" t="s">
        <v>350</v>
      </c>
      <c r="I1090" s="1" t="s">
        <v>347</v>
      </c>
      <c r="J1090" s="1" t="s">
        <v>351</v>
      </c>
    </row>
    <row r="1091" spans="1:10" x14ac:dyDescent="0.25">
      <c r="A1091" s="1" t="s">
        <v>2563</v>
      </c>
      <c r="B1091" s="1" t="s">
        <v>766</v>
      </c>
      <c r="C1091" s="19">
        <v>46182</v>
      </c>
      <c r="D1091" s="1" t="s">
        <v>21</v>
      </c>
      <c r="E1091" s="1" t="s">
        <v>81</v>
      </c>
      <c r="F1091" s="1">
        <v>5810</v>
      </c>
      <c r="G1091" s="1" t="s">
        <v>361</v>
      </c>
      <c r="H1091" s="1" t="s">
        <v>353</v>
      </c>
      <c r="I1091" s="1" t="s">
        <v>347</v>
      </c>
      <c r="J1091" s="1" t="s">
        <v>362</v>
      </c>
    </row>
    <row r="1092" spans="1:10" x14ac:dyDescent="0.25">
      <c r="A1092" s="1" t="s">
        <v>2564</v>
      </c>
      <c r="B1092" s="1" t="s">
        <v>767</v>
      </c>
      <c r="C1092" s="19">
        <v>46182</v>
      </c>
      <c r="D1092" s="1" t="s">
        <v>21</v>
      </c>
      <c r="E1092" s="1" t="s">
        <v>81</v>
      </c>
      <c r="F1092" s="1">
        <v>5811</v>
      </c>
      <c r="G1092" s="1" t="s">
        <v>355</v>
      </c>
      <c r="H1092" s="1" t="s">
        <v>346</v>
      </c>
      <c r="I1092" s="1" t="s">
        <v>347</v>
      </c>
      <c r="J1092" s="1" t="s">
        <v>356</v>
      </c>
    </row>
    <row r="1093" spans="1:10" x14ac:dyDescent="0.25">
      <c r="A1093" s="1" t="s">
        <v>2565</v>
      </c>
      <c r="B1093" s="1" t="s">
        <v>767</v>
      </c>
      <c r="C1093" s="19">
        <v>46182</v>
      </c>
      <c r="D1093" s="1" t="s">
        <v>21</v>
      </c>
      <c r="E1093" s="1" t="s">
        <v>81</v>
      </c>
      <c r="F1093" s="1">
        <v>5811</v>
      </c>
      <c r="G1093" s="1" t="s">
        <v>345</v>
      </c>
      <c r="H1093" s="1" t="s">
        <v>346</v>
      </c>
      <c r="I1093" s="1" t="s">
        <v>347</v>
      </c>
      <c r="J1093" s="1" t="s">
        <v>348</v>
      </c>
    </row>
    <row r="1094" spans="1:10" x14ac:dyDescent="0.25">
      <c r="A1094" s="1" t="s">
        <v>2566</v>
      </c>
      <c r="B1094" s="1" t="s">
        <v>767</v>
      </c>
      <c r="C1094" s="19">
        <v>46182</v>
      </c>
      <c r="D1094" s="1" t="s">
        <v>21</v>
      </c>
      <c r="E1094" s="1" t="s">
        <v>81</v>
      </c>
      <c r="F1094" s="1">
        <v>5811</v>
      </c>
      <c r="G1094" s="1" t="s">
        <v>349</v>
      </c>
      <c r="H1094" s="1" t="s">
        <v>350</v>
      </c>
      <c r="I1094" s="1" t="s">
        <v>347</v>
      </c>
      <c r="J1094" s="1" t="s">
        <v>351</v>
      </c>
    </row>
    <row r="1095" spans="1:10" x14ac:dyDescent="0.25">
      <c r="A1095" s="1" t="s">
        <v>2567</v>
      </c>
      <c r="B1095" s="1" t="s">
        <v>767</v>
      </c>
      <c r="C1095" s="19">
        <v>46182</v>
      </c>
      <c r="D1095" s="1" t="s">
        <v>21</v>
      </c>
      <c r="E1095" s="1" t="s">
        <v>81</v>
      </c>
      <c r="F1095" s="1">
        <v>5811</v>
      </c>
      <c r="G1095" s="1" t="s">
        <v>361</v>
      </c>
      <c r="H1095" s="1" t="s">
        <v>353</v>
      </c>
      <c r="I1095" s="1" t="s">
        <v>347</v>
      </c>
      <c r="J1095" s="1" t="s">
        <v>362</v>
      </c>
    </row>
    <row r="1096" spans="1:10" x14ac:dyDescent="0.25">
      <c r="A1096" s="1" t="s">
        <v>2568</v>
      </c>
      <c r="B1096" s="1" t="s">
        <v>768</v>
      </c>
      <c r="C1096" s="19">
        <v>46182</v>
      </c>
      <c r="D1096" s="1" t="s">
        <v>21</v>
      </c>
      <c r="E1096" s="1" t="s">
        <v>81</v>
      </c>
      <c r="F1096" s="1">
        <v>5812</v>
      </c>
      <c r="G1096" s="1" t="s">
        <v>355</v>
      </c>
      <c r="H1096" s="1" t="s">
        <v>346</v>
      </c>
      <c r="I1096" s="1" t="s">
        <v>347</v>
      </c>
      <c r="J1096" s="1" t="s">
        <v>356</v>
      </c>
    </row>
    <row r="1097" spans="1:10" x14ac:dyDescent="0.25">
      <c r="A1097" s="1" t="s">
        <v>2569</v>
      </c>
      <c r="B1097" s="1" t="s">
        <v>768</v>
      </c>
      <c r="C1097" s="19">
        <v>46182</v>
      </c>
      <c r="D1097" s="1" t="s">
        <v>21</v>
      </c>
      <c r="E1097" s="1" t="s">
        <v>81</v>
      </c>
      <c r="F1097" s="1">
        <v>5812</v>
      </c>
      <c r="G1097" s="1" t="s">
        <v>345</v>
      </c>
      <c r="H1097" s="1" t="s">
        <v>346</v>
      </c>
      <c r="I1097" s="1" t="s">
        <v>347</v>
      </c>
      <c r="J1097" s="1" t="s">
        <v>348</v>
      </c>
    </row>
    <row r="1098" spans="1:10" x14ac:dyDescent="0.25">
      <c r="A1098" s="1" t="s">
        <v>2570</v>
      </c>
      <c r="B1098" s="1" t="s">
        <v>768</v>
      </c>
      <c r="C1098" s="19">
        <v>46182</v>
      </c>
      <c r="D1098" s="1" t="s">
        <v>21</v>
      </c>
      <c r="E1098" s="1" t="s">
        <v>81</v>
      </c>
      <c r="F1098" s="1">
        <v>5812</v>
      </c>
      <c r="G1098" s="1" t="s">
        <v>349</v>
      </c>
      <c r="H1098" s="1" t="s">
        <v>350</v>
      </c>
      <c r="I1098" s="1" t="s">
        <v>347</v>
      </c>
      <c r="J1098" s="1" t="s">
        <v>351</v>
      </c>
    </row>
    <row r="1099" spans="1:10" x14ac:dyDescent="0.25">
      <c r="A1099" s="1" t="s">
        <v>2571</v>
      </c>
      <c r="B1099" s="1" t="s">
        <v>768</v>
      </c>
      <c r="C1099" s="19">
        <v>46182</v>
      </c>
      <c r="D1099" s="1" t="s">
        <v>21</v>
      </c>
      <c r="E1099" s="1" t="s">
        <v>81</v>
      </c>
      <c r="F1099" s="1">
        <v>5812</v>
      </c>
      <c r="G1099" s="1" t="s">
        <v>361</v>
      </c>
      <c r="H1099" s="1" t="s">
        <v>353</v>
      </c>
      <c r="I1099" s="1" t="s">
        <v>347</v>
      </c>
      <c r="J1099" s="1" t="s">
        <v>362</v>
      </c>
    </row>
    <row r="1100" spans="1:10" x14ac:dyDescent="0.25">
      <c r="A1100" s="1" t="s">
        <v>2572</v>
      </c>
      <c r="B1100" s="1" t="s">
        <v>769</v>
      </c>
      <c r="C1100" s="19">
        <v>46182</v>
      </c>
      <c r="D1100" s="1" t="s">
        <v>21</v>
      </c>
      <c r="E1100" s="1" t="s">
        <v>81</v>
      </c>
      <c r="F1100" s="1">
        <v>5813</v>
      </c>
      <c r="G1100" s="1" t="s">
        <v>355</v>
      </c>
      <c r="H1100" s="1" t="s">
        <v>346</v>
      </c>
      <c r="I1100" s="1" t="s">
        <v>347</v>
      </c>
      <c r="J1100" s="1" t="s">
        <v>356</v>
      </c>
    </row>
    <row r="1101" spans="1:10" x14ac:dyDescent="0.25">
      <c r="A1101" s="1" t="s">
        <v>2573</v>
      </c>
      <c r="B1101" s="1" t="s">
        <v>769</v>
      </c>
      <c r="C1101" s="19">
        <v>46182</v>
      </c>
      <c r="D1101" s="1" t="s">
        <v>21</v>
      </c>
      <c r="E1101" s="1" t="s">
        <v>81</v>
      </c>
      <c r="F1101" s="1">
        <v>5813</v>
      </c>
      <c r="G1101" s="1" t="s">
        <v>345</v>
      </c>
      <c r="H1101" s="1" t="s">
        <v>346</v>
      </c>
      <c r="I1101" s="1" t="s">
        <v>347</v>
      </c>
      <c r="J1101" s="1" t="s">
        <v>348</v>
      </c>
    </row>
    <row r="1102" spans="1:10" x14ac:dyDescent="0.25">
      <c r="A1102" s="1" t="s">
        <v>2574</v>
      </c>
      <c r="B1102" s="1" t="s">
        <v>769</v>
      </c>
      <c r="C1102" s="19">
        <v>46182</v>
      </c>
      <c r="D1102" s="1" t="s">
        <v>21</v>
      </c>
      <c r="E1102" s="1" t="s">
        <v>81</v>
      </c>
      <c r="F1102" s="1">
        <v>5813</v>
      </c>
      <c r="G1102" s="1" t="s">
        <v>349</v>
      </c>
      <c r="H1102" s="1" t="s">
        <v>350</v>
      </c>
      <c r="I1102" s="1" t="s">
        <v>347</v>
      </c>
      <c r="J1102" s="1" t="s">
        <v>351</v>
      </c>
    </row>
    <row r="1103" spans="1:10" x14ac:dyDescent="0.25">
      <c r="A1103" s="1" t="s">
        <v>2575</v>
      </c>
      <c r="B1103" s="1" t="s">
        <v>769</v>
      </c>
      <c r="C1103" s="19">
        <v>46182</v>
      </c>
      <c r="D1103" s="1" t="s">
        <v>21</v>
      </c>
      <c r="E1103" s="1" t="s">
        <v>81</v>
      </c>
      <c r="F1103" s="1">
        <v>5813</v>
      </c>
      <c r="G1103" s="1" t="s">
        <v>361</v>
      </c>
      <c r="H1103" s="1" t="s">
        <v>353</v>
      </c>
      <c r="I1103" s="1" t="s">
        <v>347</v>
      </c>
      <c r="J1103" s="1" t="s">
        <v>362</v>
      </c>
    </row>
    <row r="1104" spans="1:10" x14ac:dyDescent="0.25">
      <c r="A1104" s="1" t="s">
        <v>2576</v>
      </c>
      <c r="B1104" s="1" t="s">
        <v>770</v>
      </c>
      <c r="C1104" s="19">
        <v>46182</v>
      </c>
      <c r="D1104" s="1" t="s">
        <v>21</v>
      </c>
      <c r="E1104" s="1" t="s">
        <v>81</v>
      </c>
      <c r="F1104" s="1">
        <v>5814</v>
      </c>
      <c r="G1104" s="1" t="s">
        <v>355</v>
      </c>
      <c r="H1104" s="1" t="s">
        <v>346</v>
      </c>
      <c r="I1104" s="1" t="s">
        <v>347</v>
      </c>
      <c r="J1104" s="1" t="s">
        <v>356</v>
      </c>
    </row>
    <row r="1105" spans="1:10" x14ac:dyDescent="0.25">
      <c r="A1105" s="1" t="s">
        <v>2577</v>
      </c>
      <c r="B1105" s="1" t="s">
        <v>770</v>
      </c>
      <c r="C1105" s="19">
        <v>46182</v>
      </c>
      <c r="D1105" s="1" t="s">
        <v>21</v>
      </c>
      <c r="E1105" s="1" t="s">
        <v>81</v>
      </c>
      <c r="F1105" s="1">
        <v>5814</v>
      </c>
      <c r="G1105" s="1" t="s">
        <v>345</v>
      </c>
      <c r="H1105" s="1" t="s">
        <v>346</v>
      </c>
      <c r="I1105" s="1" t="s">
        <v>347</v>
      </c>
      <c r="J1105" s="1" t="s">
        <v>348</v>
      </c>
    </row>
    <row r="1106" spans="1:10" x14ac:dyDescent="0.25">
      <c r="A1106" s="1" t="s">
        <v>2578</v>
      </c>
      <c r="B1106" s="1" t="s">
        <v>770</v>
      </c>
      <c r="C1106" s="19">
        <v>46182</v>
      </c>
      <c r="D1106" s="1" t="s">
        <v>21</v>
      </c>
      <c r="E1106" s="1" t="s">
        <v>81</v>
      </c>
      <c r="F1106" s="1">
        <v>5814</v>
      </c>
      <c r="G1106" s="1" t="s">
        <v>349</v>
      </c>
      <c r="H1106" s="1" t="s">
        <v>350</v>
      </c>
      <c r="I1106" s="1" t="s">
        <v>347</v>
      </c>
      <c r="J1106" s="1" t="s">
        <v>351</v>
      </c>
    </row>
    <row r="1107" spans="1:10" x14ac:dyDescent="0.25">
      <c r="A1107" s="1" t="s">
        <v>2579</v>
      </c>
      <c r="B1107" s="1" t="s">
        <v>770</v>
      </c>
      <c r="C1107" s="19">
        <v>46182</v>
      </c>
      <c r="D1107" s="1" t="s">
        <v>21</v>
      </c>
      <c r="E1107" s="1" t="s">
        <v>81</v>
      </c>
      <c r="F1107" s="1">
        <v>5814</v>
      </c>
      <c r="G1107" s="1" t="s">
        <v>361</v>
      </c>
      <c r="H1107" s="1" t="s">
        <v>353</v>
      </c>
      <c r="I1107" s="1" t="s">
        <v>347</v>
      </c>
      <c r="J1107" s="1" t="s">
        <v>362</v>
      </c>
    </row>
    <row r="1108" spans="1:10" x14ac:dyDescent="0.25">
      <c r="A1108" s="1" t="s">
        <v>2580</v>
      </c>
      <c r="B1108" s="1" t="s">
        <v>771</v>
      </c>
      <c r="C1108" s="19">
        <v>46182</v>
      </c>
      <c r="D1108" s="1" t="s">
        <v>21</v>
      </c>
      <c r="E1108" s="1" t="s">
        <v>81</v>
      </c>
      <c r="F1108" s="1">
        <v>5815</v>
      </c>
      <c r="G1108" s="1" t="s">
        <v>355</v>
      </c>
      <c r="H1108" s="1" t="s">
        <v>346</v>
      </c>
      <c r="I1108" s="1" t="s">
        <v>347</v>
      </c>
      <c r="J1108" s="1" t="s">
        <v>356</v>
      </c>
    </row>
    <row r="1109" spans="1:10" x14ac:dyDescent="0.25">
      <c r="A1109" s="1" t="s">
        <v>2581</v>
      </c>
      <c r="B1109" s="1" t="s">
        <v>771</v>
      </c>
      <c r="C1109" s="19">
        <v>46182</v>
      </c>
      <c r="D1109" s="1" t="s">
        <v>21</v>
      </c>
      <c r="E1109" s="1" t="s">
        <v>81</v>
      </c>
      <c r="F1109" s="1">
        <v>5815</v>
      </c>
      <c r="G1109" s="1" t="s">
        <v>345</v>
      </c>
      <c r="H1109" s="1" t="s">
        <v>346</v>
      </c>
      <c r="I1109" s="1" t="s">
        <v>347</v>
      </c>
      <c r="J1109" s="1" t="s">
        <v>348</v>
      </c>
    </row>
    <row r="1110" spans="1:10" x14ac:dyDescent="0.25">
      <c r="A1110" s="1" t="s">
        <v>2582</v>
      </c>
      <c r="B1110" s="1" t="s">
        <v>771</v>
      </c>
      <c r="C1110" s="19">
        <v>46182</v>
      </c>
      <c r="D1110" s="1" t="s">
        <v>21</v>
      </c>
      <c r="E1110" s="1" t="s">
        <v>81</v>
      </c>
      <c r="F1110" s="1">
        <v>5815</v>
      </c>
      <c r="G1110" s="1" t="s">
        <v>349</v>
      </c>
      <c r="H1110" s="1" t="s">
        <v>350</v>
      </c>
      <c r="I1110" s="1" t="s">
        <v>347</v>
      </c>
      <c r="J1110" s="1" t="s">
        <v>351</v>
      </c>
    </row>
    <row r="1111" spans="1:10" x14ac:dyDescent="0.25">
      <c r="A1111" s="1" t="s">
        <v>2583</v>
      </c>
      <c r="B1111" s="1" t="s">
        <v>771</v>
      </c>
      <c r="C1111" s="19">
        <v>46182</v>
      </c>
      <c r="D1111" s="1" t="s">
        <v>21</v>
      </c>
      <c r="E1111" s="1" t="s">
        <v>81</v>
      </c>
      <c r="F1111" s="1">
        <v>5815</v>
      </c>
      <c r="G1111" s="1" t="s">
        <v>361</v>
      </c>
      <c r="H1111" s="1" t="s">
        <v>353</v>
      </c>
      <c r="I1111" s="1" t="s">
        <v>347</v>
      </c>
      <c r="J1111" s="1" t="s">
        <v>362</v>
      </c>
    </row>
    <row r="1112" spans="1:10" x14ac:dyDescent="0.25">
      <c r="A1112" s="1" t="s">
        <v>2584</v>
      </c>
      <c r="B1112" s="1" t="s">
        <v>772</v>
      </c>
      <c r="C1112" s="19">
        <v>46182</v>
      </c>
      <c r="D1112" s="1" t="s">
        <v>21</v>
      </c>
      <c r="E1112" s="1" t="s">
        <v>81</v>
      </c>
      <c r="F1112" s="1">
        <v>5816</v>
      </c>
      <c r="G1112" s="1" t="s">
        <v>355</v>
      </c>
      <c r="H1112" s="1" t="s">
        <v>346</v>
      </c>
      <c r="I1112" s="1" t="s">
        <v>347</v>
      </c>
      <c r="J1112" s="1" t="s">
        <v>356</v>
      </c>
    </row>
    <row r="1113" spans="1:10" x14ac:dyDescent="0.25">
      <c r="A1113" s="1" t="s">
        <v>2585</v>
      </c>
      <c r="B1113" s="1" t="s">
        <v>772</v>
      </c>
      <c r="C1113" s="19">
        <v>46182</v>
      </c>
      <c r="D1113" s="1" t="s">
        <v>21</v>
      </c>
      <c r="E1113" s="1" t="s">
        <v>81</v>
      </c>
      <c r="F1113" s="1">
        <v>5816</v>
      </c>
      <c r="G1113" s="1" t="s">
        <v>345</v>
      </c>
      <c r="H1113" s="1" t="s">
        <v>346</v>
      </c>
      <c r="I1113" s="1" t="s">
        <v>347</v>
      </c>
      <c r="J1113" s="1" t="s">
        <v>348</v>
      </c>
    </row>
    <row r="1114" spans="1:10" x14ac:dyDescent="0.25">
      <c r="A1114" s="1" t="s">
        <v>2586</v>
      </c>
      <c r="B1114" s="1" t="s">
        <v>772</v>
      </c>
      <c r="C1114" s="19">
        <v>46182</v>
      </c>
      <c r="D1114" s="1" t="s">
        <v>21</v>
      </c>
      <c r="E1114" s="1" t="s">
        <v>81</v>
      </c>
      <c r="F1114" s="1">
        <v>5816</v>
      </c>
      <c r="G1114" s="1" t="s">
        <v>349</v>
      </c>
      <c r="H1114" s="1" t="s">
        <v>350</v>
      </c>
      <c r="I1114" s="1" t="s">
        <v>347</v>
      </c>
      <c r="J1114" s="1" t="s">
        <v>351</v>
      </c>
    </row>
    <row r="1115" spans="1:10" x14ac:dyDescent="0.25">
      <c r="A1115" s="1" t="s">
        <v>2587</v>
      </c>
      <c r="B1115" s="1" t="s">
        <v>772</v>
      </c>
      <c r="C1115" s="19">
        <v>46182</v>
      </c>
      <c r="D1115" s="1" t="s">
        <v>21</v>
      </c>
      <c r="E1115" s="1" t="s">
        <v>81</v>
      </c>
      <c r="F1115" s="1">
        <v>5816</v>
      </c>
      <c r="G1115" s="1" t="s">
        <v>361</v>
      </c>
      <c r="H1115" s="1" t="s">
        <v>353</v>
      </c>
      <c r="I1115" s="1" t="s">
        <v>347</v>
      </c>
      <c r="J1115" s="1" t="s">
        <v>362</v>
      </c>
    </row>
    <row r="1116" spans="1:10" x14ac:dyDescent="0.25">
      <c r="A1116" s="1" t="s">
        <v>2588</v>
      </c>
      <c r="B1116" s="1" t="s">
        <v>773</v>
      </c>
      <c r="C1116" s="19">
        <v>46182</v>
      </c>
      <c r="D1116" s="1" t="s">
        <v>21</v>
      </c>
      <c r="E1116" s="1" t="s">
        <v>81</v>
      </c>
      <c r="F1116" s="1">
        <v>5817</v>
      </c>
      <c r="G1116" s="1" t="s">
        <v>355</v>
      </c>
      <c r="H1116" s="1" t="s">
        <v>346</v>
      </c>
      <c r="I1116" s="1" t="s">
        <v>347</v>
      </c>
      <c r="J1116" s="1" t="s">
        <v>356</v>
      </c>
    </row>
    <row r="1117" spans="1:10" x14ac:dyDescent="0.25">
      <c r="A1117" s="1" t="s">
        <v>2589</v>
      </c>
      <c r="B1117" s="1" t="s">
        <v>773</v>
      </c>
      <c r="C1117" s="19">
        <v>46182</v>
      </c>
      <c r="D1117" s="1" t="s">
        <v>21</v>
      </c>
      <c r="E1117" s="1" t="s">
        <v>81</v>
      </c>
      <c r="F1117" s="1">
        <v>5817</v>
      </c>
      <c r="G1117" s="1" t="s">
        <v>345</v>
      </c>
      <c r="H1117" s="1" t="s">
        <v>346</v>
      </c>
      <c r="I1117" s="1" t="s">
        <v>347</v>
      </c>
      <c r="J1117" s="1" t="s">
        <v>348</v>
      </c>
    </row>
    <row r="1118" spans="1:10" x14ac:dyDescent="0.25">
      <c r="A1118" s="1" t="s">
        <v>2590</v>
      </c>
      <c r="B1118" s="1" t="s">
        <v>773</v>
      </c>
      <c r="C1118" s="19">
        <v>46182</v>
      </c>
      <c r="D1118" s="1" t="s">
        <v>21</v>
      </c>
      <c r="E1118" s="1" t="s">
        <v>81</v>
      </c>
      <c r="F1118" s="1">
        <v>5817</v>
      </c>
      <c r="G1118" s="1" t="s">
        <v>349</v>
      </c>
      <c r="H1118" s="1" t="s">
        <v>350</v>
      </c>
      <c r="I1118" s="1" t="s">
        <v>347</v>
      </c>
      <c r="J1118" s="1" t="s">
        <v>351</v>
      </c>
    </row>
    <row r="1119" spans="1:10" x14ac:dyDescent="0.25">
      <c r="A1119" s="1" t="s">
        <v>2591</v>
      </c>
      <c r="B1119" s="1" t="s">
        <v>773</v>
      </c>
      <c r="C1119" s="19">
        <v>46182</v>
      </c>
      <c r="D1119" s="1" t="s">
        <v>21</v>
      </c>
      <c r="E1119" s="1" t="s">
        <v>81</v>
      </c>
      <c r="F1119" s="1">
        <v>5817</v>
      </c>
      <c r="G1119" s="1" t="s">
        <v>361</v>
      </c>
      <c r="H1119" s="1" t="s">
        <v>353</v>
      </c>
      <c r="I1119" s="1" t="s">
        <v>347</v>
      </c>
      <c r="J1119" s="1" t="s">
        <v>362</v>
      </c>
    </row>
    <row r="1120" spans="1:10" x14ac:dyDescent="0.25">
      <c r="A1120" s="1" t="s">
        <v>2592</v>
      </c>
      <c r="B1120" s="1" t="s">
        <v>774</v>
      </c>
      <c r="C1120" s="19">
        <v>46182</v>
      </c>
      <c r="D1120" s="1" t="s">
        <v>21</v>
      </c>
      <c r="E1120" s="1" t="s">
        <v>81</v>
      </c>
      <c r="F1120" s="1">
        <v>5818</v>
      </c>
      <c r="G1120" s="1" t="s">
        <v>355</v>
      </c>
      <c r="H1120" s="1" t="s">
        <v>346</v>
      </c>
      <c r="I1120" s="1" t="s">
        <v>347</v>
      </c>
      <c r="J1120" s="1" t="s">
        <v>356</v>
      </c>
    </row>
    <row r="1121" spans="1:10" x14ac:dyDescent="0.25">
      <c r="A1121" s="1" t="s">
        <v>2593</v>
      </c>
      <c r="B1121" s="1" t="s">
        <v>774</v>
      </c>
      <c r="C1121" s="19">
        <v>46182</v>
      </c>
      <c r="D1121" s="1" t="s">
        <v>21</v>
      </c>
      <c r="E1121" s="1" t="s">
        <v>81</v>
      </c>
      <c r="F1121" s="1">
        <v>5818</v>
      </c>
      <c r="G1121" s="1" t="s">
        <v>345</v>
      </c>
      <c r="H1121" s="1" t="s">
        <v>346</v>
      </c>
      <c r="I1121" s="1" t="s">
        <v>347</v>
      </c>
      <c r="J1121" s="1" t="s">
        <v>348</v>
      </c>
    </row>
    <row r="1122" spans="1:10" x14ac:dyDescent="0.25">
      <c r="A1122" s="1" t="s">
        <v>2594</v>
      </c>
      <c r="B1122" s="1" t="s">
        <v>774</v>
      </c>
      <c r="C1122" s="19">
        <v>46182</v>
      </c>
      <c r="D1122" s="1" t="s">
        <v>21</v>
      </c>
      <c r="E1122" s="1" t="s">
        <v>81</v>
      </c>
      <c r="F1122" s="1">
        <v>5818</v>
      </c>
      <c r="G1122" s="1" t="s">
        <v>349</v>
      </c>
      <c r="H1122" s="1" t="s">
        <v>350</v>
      </c>
      <c r="I1122" s="1" t="s">
        <v>347</v>
      </c>
      <c r="J1122" s="1" t="s">
        <v>351</v>
      </c>
    </row>
    <row r="1123" spans="1:10" x14ac:dyDescent="0.25">
      <c r="A1123" s="1" t="s">
        <v>2595</v>
      </c>
      <c r="B1123" s="1" t="s">
        <v>774</v>
      </c>
      <c r="C1123" s="19">
        <v>46182</v>
      </c>
      <c r="D1123" s="1" t="s">
        <v>21</v>
      </c>
      <c r="E1123" s="1" t="s">
        <v>81</v>
      </c>
      <c r="F1123" s="1">
        <v>5818</v>
      </c>
      <c r="G1123" s="1" t="s">
        <v>361</v>
      </c>
      <c r="H1123" s="1" t="s">
        <v>353</v>
      </c>
      <c r="I1123" s="1" t="s">
        <v>347</v>
      </c>
      <c r="J1123" s="1" t="s">
        <v>362</v>
      </c>
    </row>
    <row r="1124" spans="1:10" x14ac:dyDescent="0.25">
      <c r="A1124" s="1" t="s">
        <v>2596</v>
      </c>
      <c r="B1124" s="1" t="s">
        <v>775</v>
      </c>
      <c r="C1124" s="19">
        <v>46182</v>
      </c>
      <c r="D1124" s="1" t="s">
        <v>21</v>
      </c>
      <c r="E1124" s="1" t="s">
        <v>81</v>
      </c>
      <c r="F1124" s="1">
        <v>5819</v>
      </c>
      <c r="G1124" s="1" t="s">
        <v>355</v>
      </c>
      <c r="H1124" s="1" t="s">
        <v>346</v>
      </c>
      <c r="I1124" s="1" t="s">
        <v>347</v>
      </c>
      <c r="J1124" s="1" t="s">
        <v>356</v>
      </c>
    </row>
    <row r="1125" spans="1:10" x14ac:dyDescent="0.25">
      <c r="A1125" s="1" t="s">
        <v>2597</v>
      </c>
      <c r="B1125" s="1" t="s">
        <v>775</v>
      </c>
      <c r="C1125" s="19">
        <v>46182</v>
      </c>
      <c r="D1125" s="1" t="s">
        <v>21</v>
      </c>
      <c r="E1125" s="1" t="s">
        <v>81</v>
      </c>
      <c r="F1125" s="1">
        <v>5819</v>
      </c>
      <c r="G1125" s="1" t="s">
        <v>345</v>
      </c>
      <c r="H1125" s="1" t="s">
        <v>346</v>
      </c>
      <c r="I1125" s="1" t="s">
        <v>347</v>
      </c>
      <c r="J1125" s="1" t="s">
        <v>348</v>
      </c>
    </row>
    <row r="1126" spans="1:10" x14ac:dyDescent="0.25">
      <c r="A1126" s="1" t="s">
        <v>2598</v>
      </c>
      <c r="B1126" s="1" t="s">
        <v>775</v>
      </c>
      <c r="C1126" s="19">
        <v>46182</v>
      </c>
      <c r="D1126" s="1" t="s">
        <v>21</v>
      </c>
      <c r="E1126" s="1" t="s">
        <v>81</v>
      </c>
      <c r="F1126" s="1">
        <v>5819</v>
      </c>
      <c r="G1126" s="1" t="s">
        <v>349</v>
      </c>
      <c r="H1126" s="1" t="s">
        <v>350</v>
      </c>
      <c r="I1126" s="1" t="s">
        <v>347</v>
      </c>
      <c r="J1126" s="1" t="s">
        <v>351</v>
      </c>
    </row>
    <row r="1127" spans="1:10" x14ac:dyDescent="0.25">
      <c r="A1127" s="1" t="s">
        <v>2599</v>
      </c>
      <c r="B1127" s="1" t="s">
        <v>775</v>
      </c>
      <c r="C1127" s="19">
        <v>46182</v>
      </c>
      <c r="D1127" s="1" t="s">
        <v>21</v>
      </c>
      <c r="E1127" s="1" t="s">
        <v>81</v>
      </c>
      <c r="F1127" s="1">
        <v>5819</v>
      </c>
      <c r="G1127" s="1" t="s">
        <v>361</v>
      </c>
      <c r="H1127" s="1" t="s">
        <v>353</v>
      </c>
      <c r="I1127" s="1" t="s">
        <v>347</v>
      </c>
      <c r="J1127" s="1" t="s">
        <v>362</v>
      </c>
    </row>
    <row r="1128" spans="1:10" x14ac:dyDescent="0.25">
      <c r="A1128" s="1" t="s">
        <v>2600</v>
      </c>
      <c r="B1128" s="1" t="s">
        <v>776</v>
      </c>
      <c r="C1128" s="19">
        <v>46182</v>
      </c>
      <c r="D1128" s="1" t="s">
        <v>21</v>
      </c>
      <c r="E1128" s="1" t="s">
        <v>81</v>
      </c>
      <c r="F1128" s="1">
        <v>5820</v>
      </c>
      <c r="G1128" s="1" t="s">
        <v>355</v>
      </c>
      <c r="H1128" s="1" t="s">
        <v>346</v>
      </c>
      <c r="I1128" s="1" t="s">
        <v>347</v>
      </c>
      <c r="J1128" s="1" t="s">
        <v>356</v>
      </c>
    </row>
    <row r="1129" spans="1:10" x14ac:dyDescent="0.25">
      <c r="A1129" s="1" t="s">
        <v>2601</v>
      </c>
      <c r="B1129" s="1" t="s">
        <v>776</v>
      </c>
      <c r="C1129" s="19">
        <v>46182</v>
      </c>
      <c r="D1129" s="1" t="s">
        <v>21</v>
      </c>
      <c r="E1129" s="1" t="s">
        <v>81</v>
      </c>
      <c r="F1129" s="1">
        <v>5820</v>
      </c>
      <c r="G1129" s="1" t="s">
        <v>345</v>
      </c>
      <c r="H1129" s="1" t="s">
        <v>346</v>
      </c>
      <c r="I1129" s="1" t="s">
        <v>347</v>
      </c>
      <c r="J1129" s="1" t="s">
        <v>348</v>
      </c>
    </row>
    <row r="1130" spans="1:10" x14ac:dyDescent="0.25">
      <c r="A1130" s="1" t="s">
        <v>2602</v>
      </c>
      <c r="B1130" s="1" t="s">
        <v>776</v>
      </c>
      <c r="C1130" s="19">
        <v>46182</v>
      </c>
      <c r="D1130" s="1" t="s">
        <v>21</v>
      </c>
      <c r="E1130" s="1" t="s">
        <v>81</v>
      </c>
      <c r="F1130" s="1">
        <v>5820</v>
      </c>
      <c r="G1130" s="1" t="s">
        <v>349</v>
      </c>
      <c r="H1130" s="1" t="s">
        <v>350</v>
      </c>
      <c r="I1130" s="1" t="s">
        <v>347</v>
      </c>
      <c r="J1130" s="1" t="s">
        <v>351</v>
      </c>
    </row>
    <row r="1131" spans="1:10" x14ac:dyDescent="0.25">
      <c r="A1131" s="1" t="s">
        <v>2603</v>
      </c>
      <c r="B1131" s="1" t="s">
        <v>776</v>
      </c>
      <c r="C1131" s="19">
        <v>46182</v>
      </c>
      <c r="D1131" s="1" t="s">
        <v>21</v>
      </c>
      <c r="E1131" s="1" t="s">
        <v>81</v>
      </c>
      <c r="F1131" s="1">
        <v>5820</v>
      </c>
      <c r="G1131" s="1" t="s">
        <v>361</v>
      </c>
      <c r="H1131" s="1" t="s">
        <v>353</v>
      </c>
      <c r="I1131" s="1" t="s">
        <v>347</v>
      </c>
      <c r="J1131" s="1" t="s">
        <v>362</v>
      </c>
    </row>
    <row r="1132" spans="1:10" x14ac:dyDescent="0.25">
      <c r="A1132" s="1" t="s">
        <v>2604</v>
      </c>
      <c r="B1132" s="1" t="s">
        <v>777</v>
      </c>
      <c r="C1132" s="19">
        <v>46182</v>
      </c>
      <c r="D1132" s="1" t="s">
        <v>21</v>
      </c>
      <c r="E1132" s="1" t="s">
        <v>81</v>
      </c>
      <c r="F1132" s="1">
        <v>5821</v>
      </c>
      <c r="G1132" s="1" t="s">
        <v>355</v>
      </c>
      <c r="H1132" s="1" t="s">
        <v>346</v>
      </c>
      <c r="I1132" s="1" t="s">
        <v>347</v>
      </c>
      <c r="J1132" s="1" t="s">
        <v>356</v>
      </c>
    </row>
    <row r="1133" spans="1:10" x14ac:dyDescent="0.25">
      <c r="A1133" s="1" t="s">
        <v>2605</v>
      </c>
      <c r="B1133" s="1" t="s">
        <v>777</v>
      </c>
      <c r="C1133" s="19">
        <v>46182</v>
      </c>
      <c r="D1133" s="1" t="s">
        <v>21</v>
      </c>
      <c r="E1133" s="1" t="s">
        <v>81</v>
      </c>
      <c r="F1133" s="1">
        <v>5821</v>
      </c>
      <c r="G1133" s="1" t="s">
        <v>345</v>
      </c>
      <c r="H1133" s="1" t="s">
        <v>346</v>
      </c>
      <c r="I1133" s="1" t="s">
        <v>347</v>
      </c>
      <c r="J1133" s="1" t="s">
        <v>348</v>
      </c>
    </row>
    <row r="1134" spans="1:10" x14ac:dyDescent="0.25">
      <c r="A1134" s="1" t="s">
        <v>2606</v>
      </c>
      <c r="B1134" s="1" t="s">
        <v>777</v>
      </c>
      <c r="C1134" s="19">
        <v>46182</v>
      </c>
      <c r="D1134" s="1" t="s">
        <v>21</v>
      </c>
      <c r="E1134" s="1" t="s">
        <v>81</v>
      </c>
      <c r="F1134" s="1">
        <v>5821</v>
      </c>
      <c r="G1134" s="1" t="s">
        <v>349</v>
      </c>
      <c r="H1134" s="1" t="s">
        <v>350</v>
      </c>
      <c r="I1134" s="1" t="s">
        <v>347</v>
      </c>
      <c r="J1134" s="1" t="s">
        <v>351</v>
      </c>
    </row>
    <row r="1135" spans="1:10" x14ac:dyDescent="0.25">
      <c r="A1135" s="1" t="s">
        <v>2607</v>
      </c>
      <c r="B1135" s="1" t="s">
        <v>777</v>
      </c>
      <c r="C1135" s="19">
        <v>46182</v>
      </c>
      <c r="D1135" s="1" t="s">
        <v>21</v>
      </c>
      <c r="E1135" s="1" t="s">
        <v>81</v>
      </c>
      <c r="F1135" s="1">
        <v>5821</v>
      </c>
      <c r="G1135" s="1" t="s">
        <v>361</v>
      </c>
      <c r="H1135" s="1" t="s">
        <v>353</v>
      </c>
      <c r="I1135" s="1" t="s">
        <v>347</v>
      </c>
      <c r="J1135" s="1" t="s">
        <v>362</v>
      </c>
    </row>
    <row r="1136" spans="1:10" x14ac:dyDescent="0.25">
      <c r="A1136" s="1" t="s">
        <v>2608</v>
      </c>
      <c r="B1136" s="1" t="s">
        <v>778</v>
      </c>
      <c r="C1136" s="19">
        <v>46182</v>
      </c>
      <c r="D1136" s="1" t="s">
        <v>21</v>
      </c>
      <c r="E1136" s="1" t="s">
        <v>81</v>
      </c>
      <c r="F1136" s="1">
        <v>5822</v>
      </c>
      <c r="G1136" s="1" t="s">
        <v>355</v>
      </c>
      <c r="H1136" s="1" t="s">
        <v>346</v>
      </c>
      <c r="I1136" s="1" t="s">
        <v>347</v>
      </c>
      <c r="J1136" s="1" t="s">
        <v>356</v>
      </c>
    </row>
    <row r="1137" spans="1:10" x14ac:dyDescent="0.25">
      <c r="A1137" s="1" t="s">
        <v>2609</v>
      </c>
      <c r="B1137" s="1" t="s">
        <v>778</v>
      </c>
      <c r="C1137" s="19">
        <v>46182</v>
      </c>
      <c r="D1137" s="1" t="s">
        <v>21</v>
      </c>
      <c r="E1137" s="1" t="s">
        <v>81</v>
      </c>
      <c r="F1137" s="1">
        <v>5822</v>
      </c>
      <c r="G1137" s="1" t="s">
        <v>345</v>
      </c>
      <c r="H1137" s="1" t="s">
        <v>346</v>
      </c>
      <c r="I1137" s="1" t="s">
        <v>347</v>
      </c>
      <c r="J1137" s="1" t="s">
        <v>348</v>
      </c>
    </row>
    <row r="1138" spans="1:10" x14ac:dyDescent="0.25">
      <c r="A1138" s="1" t="s">
        <v>2610</v>
      </c>
      <c r="B1138" s="1" t="s">
        <v>778</v>
      </c>
      <c r="C1138" s="19">
        <v>46182</v>
      </c>
      <c r="D1138" s="1" t="s">
        <v>21</v>
      </c>
      <c r="E1138" s="1" t="s">
        <v>81</v>
      </c>
      <c r="F1138" s="1">
        <v>5822</v>
      </c>
      <c r="G1138" s="1" t="s">
        <v>349</v>
      </c>
      <c r="H1138" s="1" t="s">
        <v>350</v>
      </c>
      <c r="I1138" s="1" t="s">
        <v>347</v>
      </c>
      <c r="J1138" s="1" t="s">
        <v>351</v>
      </c>
    </row>
    <row r="1139" spans="1:10" x14ac:dyDescent="0.25">
      <c r="A1139" s="1" t="s">
        <v>2611</v>
      </c>
      <c r="B1139" s="1" t="s">
        <v>778</v>
      </c>
      <c r="C1139" s="19">
        <v>46182</v>
      </c>
      <c r="D1139" s="1" t="s">
        <v>21</v>
      </c>
      <c r="E1139" s="1" t="s">
        <v>81</v>
      </c>
      <c r="F1139" s="1">
        <v>5822</v>
      </c>
      <c r="G1139" s="1" t="s">
        <v>361</v>
      </c>
      <c r="H1139" s="1" t="s">
        <v>353</v>
      </c>
      <c r="I1139" s="1" t="s">
        <v>347</v>
      </c>
      <c r="J1139" s="1" t="s">
        <v>362</v>
      </c>
    </row>
    <row r="1140" spans="1:10" x14ac:dyDescent="0.25">
      <c r="A1140" s="1" t="s">
        <v>2612</v>
      </c>
      <c r="B1140" s="1" t="s">
        <v>779</v>
      </c>
      <c r="C1140" s="19">
        <v>46182</v>
      </c>
      <c r="D1140" s="1" t="s">
        <v>21</v>
      </c>
      <c r="E1140" s="1" t="s">
        <v>81</v>
      </c>
      <c r="F1140" s="1">
        <v>5823</v>
      </c>
      <c r="G1140" s="1" t="s">
        <v>355</v>
      </c>
      <c r="H1140" s="1" t="s">
        <v>346</v>
      </c>
      <c r="I1140" s="1" t="s">
        <v>347</v>
      </c>
      <c r="J1140" s="1" t="s">
        <v>356</v>
      </c>
    </row>
    <row r="1141" spans="1:10" x14ac:dyDescent="0.25">
      <c r="A1141" s="1" t="s">
        <v>2613</v>
      </c>
      <c r="B1141" s="1" t="s">
        <v>779</v>
      </c>
      <c r="C1141" s="19">
        <v>46182</v>
      </c>
      <c r="D1141" s="1" t="s">
        <v>21</v>
      </c>
      <c r="E1141" s="1" t="s">
        <v>81</v>
      </c>
      <c r="F1141" s="1">
        <v>5823</v>
      </c>
      <c r="G1141" s="1" t="s">
        <v>345</v>
      </c>
      <c r="H1141" s="1" t="s">
        <v>346</v>
      </c>
      <c r="I1141" s="1" t="s">
        <v>347</v>
      </c>
      <c r="J1141" s="1" t="s">
        <v>348</v>
      </c>
    </row>
    <row r="1142" spans="1:10" x14ac:dyDescent="0.25">
      <c r="A1142" s="1" t="s">
        <v>2614</v>
      </c>
      <c r="B1142" s="1" t="s">
        <v>779</v>
      </c>
      <c r="C1142" s="19">
        <v>46182</v>
      </c>
      <c r="D1142" s="1" t="s">
        <v>21</v>
      </c>
      <c r="E1142" s="1" t="s">
        <v>81</v>
      </c>
      <c r="F1142" s="1">
        <v>5823</v>
      </c>
      <c r="G1142" s="1" t="s">
        <v>349</v>
      </c>
      <c r="H1142" s="1" t="s">
        <v>350</v>
      </c>
      <c r="I1142" s="1" t="s">
        <v>347</v>
      </c>
      <c r="J1142" s="1" t="s">
        <v>351</v>
      </c>
    </row>
    <row r="1143" spans="1:10" x14ac:dyDescent="0.25">
      <c r="A1143" s="1" t="s">
        <v>2615</v>
      </c>
      <c r="B1143" s="1" t="s">
        <v>779</v>
      </c>
      <c r="C1143" s="19">
        <v>46182</v>
      </c>
      <c r="D1143" s="1" t="s">
        <v>21</v>
      </c>
      <c r="E1143" s="1" t="s">
        <v>81</v>
      </c>
      <c r="F1143" s="1">
        <v>5823</v>
      </c>
      <c r="G1143" s="1" t="s">
        <v>361</v>
      </c>
      <c r="H1143" s="1" t="s">
        <v>353</v>
      </c>
      <c r="I1143" s="1" t="s">
        <v>347</v>
      </c>
      <c r="J1143" s="1" t="s">
        <v>362</v>
      </c>
    </row>
    <row r="1144" spans="1:10" x14ac:dyDescent="0.25">
      <c r="A1144" s="1" t="s">
        <v>2616</v>
      </c>
      <c r="B1144" s="1" t="s">
        <v>780</v>
      </c>
      <c r="C1144" s="19">
        <v>46182</v>
      </c>
      <c r="D1144" s="1" t="s">
        <v>21</v>
      </c>
      <c r="E1144" s="1" t="s">
        <v>81</v>
      </c>
      <c r="F1144" s="1">
        <v>5824</v>
      </c>
      <c r="G1144" s="1" t="s">
        <v>355</v>
      </c>
      <c r="H1144" s="1" t="s">
        <v>346</v>
      </c>
      <c r="I1144" s="1" t="s">
        <v>347</v>
      </c>
      <c r="J1144" s="1" t="s">
        <v>356</v>
      </c>
    </row>
    <row r="1145" spans="1:10" x14ac:dyDescent="0.25">
      <c r="A1145" s="1" t="s">
        <v>2617</v>
      </c>
      <c r="B1145" s="1" t="s">
        <v>780</v>
      </c>
      <c r="C1145" s="19">
        <v>46182</v>
      </c>
      <c r="D1145" s="1" t="s">
        <v>21</v>
      </c>
      <c r="E1145" s="1" t="s">
        <v>81</v>
      </c>
      <c r="F1145" s="1">
        <v>5824</v>
      </c>
      <c r="G1145" s="1" t="s">
        <v>345</v>
      </c>
      <c r="H1145" s="1" t="s">
        <v>346</v>
      </c>
      <c r="I1145" s="1" t="s">
        <v>347</v>
      </c>
      <c r="J1145" s="1" t="s">
        <v>348</v>
      </c>
    </row>
    <row r="1146" spans="1:10" x14ac:dyDescent="0.25">
      <c r="A1146" s="1" t="s">
        <v>2618</v>
      </c>
      <c r="B1146" s="1" t="s">
        <v>780</v>
      </c>
      <c r="C1146" s="19">
        <v>46182</v>
      </c>
      <c r="D1146" s="1" t="s">
        <v>21</v>
      </c>
      <c r="E1146" s="1" t="s">
        <v>81</v>
      </c>
      <c r="F1146" s="1">
        <v>5824</v>
      </c>
      <c r="G1146" s="1" t="s">
        <v>349</v>
      </c>
      <c r="H1146" s="1" t="s">
        <v>350</v>
      </c>
      <c r="I1146" s="1" t="s">
        <v>347</v>
      </c>
      <c r="J1146" s="1" t="s">
        <v>351</v>
      </c>
    </row>
    <row r="1147" spans="1:10" x14ac:dyDescent="0.25">
      <c r="A1147" s="1" t="s">
        <v>2619</v>
      </c>
      <c r="B1147" s="1" t="s">
        <v>780</v>
      </c>
      <c r="C1147" s="19">
        <v>46182</v>
      </c>
      <c r="D1147" s="1" t="s">
        <v>21</v>
      </c>
      <c r="E1147" s="1" t="s">
        <v>81</v>
      </c>
      <c r="F1147" s="1">
        <v>5824</v>
      </c>
      <c r="G1147" s="1" t="s">
        <v>361</v>
      </c>
      <c r="H1147" s="1" t="s">
        <v>353</v>
      </c>
      <c r="I1147" s="1" t="s">
        <v>347</v>
      </c>
      <c r="J1147" s="1" t="s">
        <v>362</v>
      </c>
    </row>
    <row r="1148" spans="1:10" x14ac:dyDescent="0.25">
      <c r="A1148" s="1" t="s">
        <v>2620</v>
      </c>
      <c r="B1148" s="1" t="s">
        <v>781</v>
      </c>
      <c r="C1148" s="19">
        <v>46182</v>
      </c>
      <c r="D1148" s="1" t="s">
        <v>21</v>
      </c>
      <c r="E1148" s="1" t="s">
        <v>81</v>
      </c>
      <c r="F1148" s="1">
        <v>5825</v>
      </c>
      <c r="G1148" s="1" t="s">
        <v>355</v>
      </c>
      <c r="H1148" s="1" t="s">
        <v>346</v>
      </c>
      <c r="I1148" s="1" t="s">
        <v>347</v>
      </c>
      <c r="J1148" s="1" t="s">
        <v>356</v>
      </c>
    </row>
    <row r="1149" spans="1:10" x14ac:dyDescent="0.25">
      <c r="A1149" s="1" t="s">
        <v>2621</v>
      </c>
      <c r="B1149" s="1" t="s">
        <v>781</v>
      </c>
      <c r="C1149" s="19">
        <v>46182</v>
      </c>
      <c r="D1149" s="1" t="s">
        <v>21</v>
      </c>
      <c r="E1149" s="1" t="s">
        <v>81</v>
      </c>
      <c r="F1149" s="1">
        <v>5825</v>
      </c>
      <c r="G1149" s="1" t="s">
        <v>345</v>
      </c>
      <c r="H1149" s="1" t="s">
        <v>346</v>
      </c>
      <c r="I1149" s="1" t="s">
        <v>347</v>
      </c>
      <c r="J1149" s="1" t="s">
        <v>348</v>
      </c>
    </row>
    <row r="1150" spans="1:10" x14ac:dyDescent="0.25">
      <c r="A1150" s="1" t="s">
        <v>2622</v>
      </c>
      <c r="B1150" s="1" t="s">
        <v>781</v>
      </c>
      <c r="C1150" s="19">
        <v>46182</v>
      </c>
      <c r="D1150" s="1" t="s">
        <v>21</v>
      </c>
      <c r="E1150" s="1" t="s">
        <v>81</v>
      </c>
      <c r="F1150" s="1">
        <v>5825</v>
      </c>
      <c r="G1150" s="1" t="s">
        <v>349</v>
      </c>
      <c r="H1150" s="1" t="s">
        <v>350</v>
      </c>
      <c r="I1150" s="1" t="s">
        <v>347</v>
      </c>
      <c r="J1150" s="1" t="s">
        <v>351</v>
      </c>
    </row>
    <row r="1151" spans="1:10" x14ac:dyDescent="0.25">
      <c r="A1151" s="1" t="s">
        <v>2623</v>
      </c>
      <c r="B1151" s="1" t="s">
        <v>781</v>
      </c>
      <c r="C1151" s="19">
        <v>46182</v>
      </c>
      <c r="D1151" s="1" t="s">
        <v>21</v>
      </c>
      <c r="E1151" s="1" t="s">
        <v>81</v>
      </c>
      <c r="F1151" s="1">
        <v>5825</v>
      </c>
      <c r="G1151" s="1" t="s">
        <v>361</v>
      </c>
      <c r="H1151" s="1" t="s">
        <v>353</v>
      </c>
      <c r="I1151" s="1" t="s">
        <v>347</v>
      </c>
      <c r="J1151" s="1" t="s">
        <v>362</v>
      </c>
    </row>
    <row r="1152" spans="1:10" x14ac:dyDescent="0.25">
      <c r="A1152" s="1" t="s">
        <v>2624</v>
      </c>
      <c r="B1152" s="1" t="s">
        <v>782</v>
      </c>
      <c r="C1152" s="19">
        <v>46182</v>
      </c>
      <c r="D1152" s="1" t="s">
        <v>21</v>
      </c>
      <c r="E1152" s="1" t="s">
        <v>81</v>
      </c>
      <c r="F1152" s="1">
        <v>5826</v>
      </c>
      <c r="G1152" s="1" t="s">
        <v>355</v>
      </c>
      <c r="H1152" s="1" t="s">
        <v>346</v>
      </c>
      <c r="I1152" s="1" t="s">
        <v>347</v>
      </c>
      <c r="J1152" s="1" t="s">
        <v>356</v>
      </c>
    </row>
    <row r="1153" spans="1:10" x14ac:dyDescent="0.25">
      <c r="A1153" s="1" t="s">
        <v>2625</v>
      </c>
      <c r="B1153" s="1" t="s">
        <v>782</v>
      </c>
      <c r="C1153" s="19">
        <v>46182</v>
      </c>
      <c r="D1153" s="1" t="s">
        <v>21</v>
      </c>
      <c r="E1153" s="1" t="s">
        <v>81</v>
      </c>
      <c r="F1153" s="1">
        <v>5826</v>
      </c>
      <c r="G1153" s="1" t="s">
        <v>345</v>
      </c>
      <c r="H1153" s="1" t="s">
        <v>346</v>
      </c>
      <c r="I1153" s="1" t="s">
        <v>347</v>
      </c>
      <c r="J1153" s="1" t="s">
        <v>348</v>
      </c>
    </row>
    <row r="1154" spans="1:10" x14ac:dyDescent="0.25">
      <c r="A1154" s="1" t="s">
        <v>2626</v>
      </c>
      <c r="B1154" s="1" t="s">
        <v>782</v>
      </c>
      <c r="C1154" s="19">
        <v>46182</v>
      </c>
      <c r="D1154" s="1" t="s">
        <v>21</v>
      </c>
      <c r="E1154" s="1" t="s">
        <v>81</v>
      </c>
      <c r="F1154" s="1">
        <v>5826</v>
      </c>
      <c r="G1154" s="1" t="s">
        <v>349</v>
      </c>
      <c r="H1154" s="1" t="s">
        <v>350</v>
      </c>
      <c r="I1154" s="1" t="s">
        <v>347</v>
      </c>
      <c r="J1154" s="1" t="s">
        <v>351</v>
      </c>
    </row>
    <row r="1155" spans="1:10" x14ac:dyDescent="0.25">
      <c r="A1155" s="1" t="s">
        <v>2627</v>
      </c>
      <c r="B1155" s="1" t="s">
        <v>782</v>
      </c>
      <c r="C1155" s="19">
        <v>46182</v>
      </c>
      <c r="D1155" s="1" t="s">
        <v>21</v>
      </c>
      <c r="E1155" s="1" t="s">
        <v>81</v>
      </c>
      <c r="F1155" s="1">
        <v>5826</v>
      </c>
      <c r="G1155" s="1" t="s">
        <v>361</v>
      </c>
      <c r="H1155" s="1" t="s">
        <v>353</v>
      </c>
      <c r="I1155" s="1" t="s">
        <v>347</v>
      </c>
      <c r="J1155" s="1" t="s">
        <v>362</v>
      </c>
    </row>
    <row r="1156" spans="1:10" x14ac:dyDescent="0.25">
      <c r="A1156" s="1" t="s">
        <v>2628</v>
      </c>
      <c r="B1156" s="1" t="s">
        <v>783</v>
      </c>
      <c r="C1156" s="19">
        <v>46182</v>
      </c>
      <c r="D1156" s="1" t="s">
        <v>21</v>
      </c>
      <c r="E1156" s="1" t="s">
        <v>81</v>
      </c>
      <c r="F1156" s="1">
        <v>5827</v>
      </c>
      <c r="G1156" s="1" t="s">
        <v>355</v>
      </c>
      <c r="H1156" s="1" t="s">
        <v>346</v>
      </c>
      <c r="I1156" s="1" t="s">
        <v>347</v>
      </c>
      <c r="J1156" s="1" t="s">
        <v>356</v>
      </c>
    </row>
    <row r="1157" spans="1:10" x14ac:dyDescent="0.25">
      <c r="A1157" s="1" t="s">
        <v>2629</v>
      </c>
      <c r="B1157" s="1" t="s">
        <v>783</v>
      </c>
      <c r="C1157" s="19">
        <v>46182</v>
      </c>
      <c r="D1157" s="1" t="s">
        <v>21</v>
      </c>
      <c r="E1157" s="1" t="s">
        <v>81</v>
      </c>
      <c r="F1157" s="1">
        <v>5827</v>
      </c>
      <c r="G1157" s="1" t="s">
        <v>345</v>
      </c>
      <c r="H1157" s="1" t="s">
        <v>346</v>
      </c>
      <c r="I1157" s="1" t="s">
        <v>347</v>
      </c>
      <c r="J1157" s="1" t="s">
        <v>348</v>
      </c>
    </row>
    <row r="1158" spans="1:10" x14ac:dyDescent="0.25">
      <c r="A1158" s="1" t="s">
        <v>2630</v>
      </c>
      <c r="B1158" s="1" t="s">
        <v>783</v>
      </c>
      <c r="C1158" s="19">
        <v>46182</v>
      </c>
      <c r="D1158" s="1" t="s">
        <v>21</v>
      </c>
      <c r="E1158" s="1" t="s">
        <v>81</v>
      </c>
      <c r="F1158" s="1">
        <v>5827</v>
      </c>
      <c r="G1158" s="1" t="s">
        <v>349</v>
      </c>
      <c r="H1158" s="1" t="s">
        <v>350</v>
      </c>
      <c r="I1158" s="1" t="s">
        <v>347</v>
      </c>
      <c r="J1158" s="1" t="s">
        <v>351</v>
      </c>
    </row>
    <row r="1159" spans="1:10" x14ac:dyDescent="0.25">
      <c r="A1159" s="1" t="s">
        <v>2631</v>
      </c>
      <c r="B1159" s="1" t="s">
        <v>783</v>
      </c>
      <c r="C1159" s="19">
        <v>46182</v>
      </c>
      <c r="D1159" s="1" t="s">
        <v>21</v>
      </c>
      <c r="E1159" s="1" t="s">
        <v>81</v>
      </c>
      <c r="F1159" s="1">
        <v>5827</v>
      </c>
      <c r="G1159" s="1" t="s">
        <v>361</v>
      </c>
      <c r="H1159" s="1" t="s">
        <v>353</v>
      </c>
      <c r="I1159" s="1" t="s">
        <v>347</v>
      </c>
      <c r="J1159" s="1" t="s">
        <v>362</v>
      </c>
    </row>
    <row r="1160" spans="1:10" x14ac:dyDescent="0.25">
      <c r="A1160" s="1" t="s">
        <v>2632</v>
      </c>
      <c r="B1160" s="1" t="s">
        <v>784</v>
      </c>
      <c r="C1160" s="19">
        <v>46182</v>
      </c>
      <c r="D1160" s="1" t="s">
        <v>21</v>
      </c>
      <c r="E1160" s="1" t="s">
        <v>81</v>
      </c>
      <c r="F1160" s="1">
        <v>5828</v>
      </c>
      <c r="G1160" s="1" t="s">
        <v>355</v>
      </c>
      <c r="H1160" s="1" t="s">
        <v>346</v>
      </c>
      <c r="I1160" s="1" t="s">
        <v>347</v>
      </c>
      <c r="J1160" s="1" t="s">
        <v>356</v>
      </c>
    </row>
    <row r="1161" spans="1:10" x14ac:dyDescent="0.25">
      <c r="A1161" s="1" t="s">
        <v>2633</v>
      </c>
      <c r="B1161" s="1" t="s">
        <v>784</v>
      </c>
      <c r="C1161" s="19">
        <v>46182</v>
      </c>
      <c r="D1161" s="1" t="s">
        <v>21</v>
      </c>
      <c r="E1161" s="1" t="s">
        <v>81</v>
      </c>
      <c r="F1161" s="1">
        <v>5828</v>
      </c>
      <c r="G1161" s="1" t="s">
        <v>345</v>
      </c>
      <c r="H1161" s="1" t="s">
        <v>346</v>
      </c>
      <c r="I1161" s="1" t="s">
        <v>347</v>
      </c>
      <c r="J1161" s="1" t="s">
        <v>348</v>
      </c>
    </row>
    <row r="1162" spans="1:10" x14ac:dyDescent="0.25">
      <c r="A1162" s="1" t="s">
        <v>2634</v>
      </c>
      <c r="B1162" s="1" t="s">
        <v>784</v>
      </c>
      <c r="C1162" s="19">
        <v>46182</v>
      </c>
      <c r="D1162" s="1" t="s">
        <v>21</v>
      </c>
      <c r="E1162" s="1" t="s">
        <v>81</v>
      </c>
      <c r="F1162" s="1">
        <v>5828</v>
      </c>
      <c r="G1162" s="1" t="s">
        <v>349</v>
      </c>
      <c r="H1162" s="1" t="s">
        <v>350</v>
      </c>
      <c r="I1162" s="1" t="s">
        <v>347</v>
      </c>
      <c r="J1162" s="1" t="s">
        <v>351</v>
      </c>
    </row>
    <row r="1163" spans="1:10" x14ac:dyDescent="0.25">
      <c r="A1163" s="1" t="s">
        <v>2635</v>
      </c>
      <c r="B1163" s="1" t="s">
        <v>784</v>
      </c>
      <c r="C1163" s="19">
        <v>46182</v>
      </c>
      <c r="D1163" s="1" t="s">
        <v>21</v>
      </c>
      <c r="E1163" s="1" t="s">
        <v>81</v>
      </c>
      <c r="F1163" s="1">
        <v>5828</v>
      </c>
      <c r="G1163" s="1" t="s">
        <v>361</v>
      </c>
      <c r="H1163" s="1" t="s">
        <v>353</v>
      </c>
      <c r="I1163" s="1" t="s">
        <v>347</v>
      </c>
      <c r="J1163" s="1" t="s">
        <v>362</v>
      </c>
    </row>
    <row r="1164" spans="1:10" x14ac:dyDescent="0.25">
      <c r="A1164" s="1" t="s">
        <v>2636</v>
      </c>
      <c r="B1164" s="1" t="s">
        <v>785</v>
      </c>
      <c r="C1164" s="19">
        <v>46182</v>
      </c>
      <c r="D1164" s="1" t="s">
        <v>21</v>
      </c>
      <c r="E1164" s="1" t="s">
        <v>81</v>
      </c>
      <c r="F1164" s="1">
        <v>5829</v>
      </c>
      <c r="G1164" s="1" t="s">
        <v>355</v>
      </c>
      <c r="H1164" s="1" t="s">
        <v>346</v>
      </c>
      <c r="I1164" s="1" t="s">
        <v>347</v>
      </c>
      <c r="J1164" s="1" t="s">
        <v>356</v>
      </c>
    </row>
    <row r="1165" spans="1:10" x14ac:dyDescent="0.25">
      <c r="A1165" s="1" t="s">
        <v>2637</v>
      </c>
      <c r="B1165" s="1" t="s">
        <v>785</v>
      </c>
      <c r="C1165" s="19">
        <v>46182</v>
      </c>
      <c r="D1165" s="1" t="s">
        <v>21</v>
      </c>
      <c r="E1165" s="1" t="s">
        <v>81</v>
      </c>
      <c r="F1165" s="1">
        <v>5829</v>
      </c>
      <c r="G1165" s="1" t="s">
        <v>345</v>
      </c>
      <c r="H1165" s="1" t="s">
        <v>346</v>
      </c>
      <c r="I1165" s="1" t="s">
        <v>347</v>
      </c>
      <c r="J1165" s="1" t="s">
        <v>348</v>
      </c>
    </row>
    <row r="1166" spans="1:10" x14ac:dyDescent="0.25">
      <c r="A1166" s="1" t="s">
        <v>2638</v>
      </c>
      <c r="B1166" s="1" t="s">
        <v>785</v>
      </c>
      <c r="C1166" s="19">
        <v>46182</v>
      </c>
      <c r="D1166" s="1" t="s">
        <v>21</v>
      </c>
      <c r="E1166" s="1" t="s">
        <v>81</v>
      </c>
      <c r="F1166" s="1">
        <v>5829</v>
      </c>
      <c r="G1166" s="1" t="s">
        <v>349</v>
      </c>
      <c r="H1166" s="1" t="s">
        <v>350</v>
      </c>
      <c r="I1166" s="1" t="s">
        <v>347</v>
      </c>
      <c r="J1166" s="1" t="s">
        <v>351</v>
      </c>
    </row>
    <row r="1167" spans="1:10" x14ac:dyDescent="0.25">
      <c r="A1167" s="1" t="s">
        <v>2639</v>
      </c>
      <c r="B1167" s="1" t="s">
        <v>785</v>
      </c>
      <c r="C1167" s="19">
        <v>46182</v>
      </c>
      <c r="D1167" s="1" t="s">
        <v>21</v>
      </c>
      <c r="E1167" s="1" t="s">
        <v>81</v>
      </c>
      <c r="F1167" s="1">
        <v>5829</v>
      </c>
      <c r="G1167" s="1" t="s">
        <v>361</v>
      </c>
      <c r="H1167" s="1" t="s">
        <v>353</v>
      </c>
      <c r="I1167" s="1" t="s">
        <v>347</v>
      </c>
      <c r="J1167" s="1" t="s">
        <v>362</v>
      </c>
    </row>
    <row r="1168" spans="1:10" x14ac:dyDescent="0.25">
      <c r="A1168" s="1" t="s">
        <v>2640</v>
      </c>
      <c r="B1168" s="1" t="s">
        <v>786</v>
      </c>
      <c r="C1168" s="19">
        <v>46182</v>
      </c>
      <c r="D1168" s="1" t="s">
        <v>21</v>
      </c>
      <c r="E1168" s="1" t="s">
        <v>81</v>
      </c>
      <c r="F1168" s="1">
        <v>5830</v>
      </c>
      <c r="G1168" s="1" t="s">
        <v>355</v>
      </c>
      <c r="H1168" s="1" t="s">
        <v>346</v>
      </c>
      <c r="I1168" s="1" t="s">
        <v>347</v>
      </c>
      <c r="J1168" s="1" t="s">
        <v>356</v>
      </c>
    </row>
    <row r="1169" spans="1:10" x14ac:dyDescent="0.25">
      <c r="A1169" s="1" t="s">
        <v>2641</v>
      </c>
      <c r="B1169" s="1" t="s">
        <v>786</v>
      </c>
      <c r="C1169" s="19">
        <v>46182</v>
      </c>
      <c r="D1169" s="1" t="s">
        <v>21</v>
      </c>
      <c r="E1169" s="1" t="s">
        <v>81</v>
      </c>
      <c r="F1169" s="1">
        <v>5830</v>
      </c>
      <c r="G1169" s="1" t="s">
        <v>345</v>
      </c>
      <c r="H1169" s="1" t="s">
        <v>346</v>
      </c>
      <c r="I1169" s="1" t="s">
        <v>347</v>
      </c>
      <c r="J1169" s="1" t="s">
        <v>348</v>
      </c>
    </row>
    <row r="1170" spans="1:10" x14ac:dyDescent="0.25">
      <c r="A1170" s="1" t="s">
        <v>2642</v>
      </c>
      <c r="B1170" s="1" t="s">
        <v>786</v>
      </c>
      <c r="C1170" s="19">
        <v>46182</v>
      </c>
      <c r="D1170" s="1" t="s">
        <v>21</v>
      </c>
      <c r="E1170" s="1" t="s">
        <v>81</v>
      </c>
      <c r="F1170" s="1">
        <v>5830</v>
      </c>
      <c r="G1170" s="1" t="s">
        <v>349</v>
      </c>
      <c r="H1170" s="1" t="s">
        <v>350</v>
      </c>
      <c r="I1170" s="1" t="s">
        <v>347</v>
      </c>
      <c r="J1170" s="1" t="s">
        <v>351</v>
      </c>
    </row>
    <row r="1171" spans="1:10" x14ac:dyDescent="0.25">
      <c r="A1171" s="1" t="s">
        <v>2643</v>
      </c>
      <c r="B1171" s="1" t="s">
        <v>786</v>
      </c>
      <c r="C1171" s="19">
        <v>46182</v>
      </c>
      <c r="D1171" s="1" t="s">
        <v>21</v>
      </c>
      <c r="E1171" s="1" t="s">
        <v>81</v>
      </c>
      <c r="F1171" s="1">
        <v>5830</v>
      </c>
      <c r="G1171" s="1" t="s">
        <v>361</v>
      </c>
      <c r="H1171" s="1" t="s">
        <v>353</v>
      </c>
      <c r="I1171" s="1" t="s">
        <v>347</v>
      </c>
      <c r="J1171" s="1" t="s">
        <v>362</v>
      </c>
    </row>
    <row r="1172" spans="1:10" x14ac:dyDescent="0.25">
      <c r="A1172" s="1" t="s">
        <v>2644</v>
      </c>
      <c r="B1172" s="1" t="s">
        <v>787</v>
      </c>
      <c r="C1172" s="19">
        <v>46182</v>
      </c>
      <c r="D1172" s="1" t="s">
        <v>21</v>
      </c>
      <c r="E1172" s="1" t="s">
        <v>81</v>
      </c>
      <c r="F1172" s="1">
        <v>5831</v>
      </c>
      <c r="G1172" s="1" t="s">
        <v>355</v>
      </c>
      <c r="H1172" s="1" t="s">
        <v>346</v>
      </c>
      <c r="I1172" s="1" t="s">
        <v>347</v>
      </c>
      <c r="J1172" s="1" t="s">
        <v>356</v>
      </c>
    </row>
    <row r="1173" spans="1:10" x14ac:dyDescent="0.25">
      <c r="A1173" s="1" t="s">
        <v>2645</v>
      </c>
      <c r="B1173" s="1" t="s">
        <v>787</v>
      </c>
      <c r="C1173" s="19">
        <v>46182</v>
      </c>
      <c r="D1173" s="1" t="s">
        <v>21</v>
      </c>
      <c r="E1173" s="1" t="s">
        <v>81</v>
      </c>
      <c r="F1173" s="1">
        <v>5831</v>
      </c>
      <c r="G1173" s="1" t="s">
        <v>345</v>
      </c>
      <c r="H1173" s="1" t="s">
        <v>346</v>
      </c>
      <c r="I1173" s="1" t="s">
        <v>347</v>
      </c>
      <c r="J1173" s="1" t="s">
        <v>348</v>
      </c>
    </row>
    <row r="1174" spans="1:10" x14ac:dyDescent="0.25">
      <c r="A1174" s="1" t="s">
        <v>2646</v>
      </c>
      <c r="B1174" s="1" t="s">
        <v>787</v>
      </c>
      <c r="C1174" s="19">
        <v>46182</v>
      </c>
      <c r="D1174" s="1" t="s">
        <v>21</v>
      </c>
      <c r="E1174" s="1" t="s">
        <v>81</v>
      </c>
      <c r="F1174" s="1">
        <v>5831</v>
      </c>
      <c r="G1174" s="1" t="s">
        <v>349</v>
      </c>
      <c r="H1174" s="1" t="s">
        <v>350</v>
      </c>
      <c r="I1174" s="1" t="s">
        <v>347</v>
      </c>
      <c r="J1174" s="1" t="s">
        <v>351</v>
      </c>
    </row>
    <row r="1175" spans="1:10" x14ac:dyDescent="0.25">
      <c r="A1175" s="1" t="s">
        <v>2647</v>
      </c>
      <c r="B1175" s="1" t="s">
        <v>787</v>
      </c>
      <c r="C1175" s="19">
        <v>46182</v>
      </c>
      <c r="D1175" s="1" t="s">
        <v>21</v>
      </c>
      <c r="E1175" s="1" t="s">
        <v>81</v>
      </c>
      <c r="F1175" s="1">
        <v>5831</v>
      </c>
      <c r="G1175" s="1" t="s">
        <v>361</v>
      </c>
      <c r="H1175" s="1" t="s">
        <v>353</v>
      </c>
      <c r="I1175" s="1" t="s">
        <v>347</v>
      </c>
      <c r="J1175" s="1" t="s">
        <v>362</v>
      </c>
    </row>
    <row r="1176" spans="1:10" x14ac:dyDescent="0.25">
      <c r="A1176" s="1" t="s">
        <v>2648</v>
      </c>
      <c r="B1176" s="1" t="s">
        <v>788</v>
      </c>
      <c r="C1176" s="19">
        <v>46182</v>
      </c>
      <c r="D1176" s="1" t="s">
        <v>21</v>
      </c>
      <c r="E1176" s="1" t="s">
        <v>81</v>
      </c>
      <c r="F1176" s="1">
        <v>5832</v>
      </c>
      <c r="G1176" s="1" t="s">
        <v>355</v>
      </c>
      <c r="H1176" s="1" t="s">
        <v>346</v>
      </c>
      <c r="I1176" s="1" t="s">
        <v>347</v>
      </c>
      <c r="J1176" s="1" t="s">
        <v>356</v>
      </c>
    </row>
    <row r="1177" spans="1:10" x14ac:dyDescent="0.25">
      <c r="A1177" s="1" t="s">
        <v>2649</v>
      </c>
      <c r="B1177" s="1" t="s">
        <v>788</v>
      </c>
      <c r="C1177" s="19">
        <v>46182</v>
      </c>
      <c r="D1177" s="1" t="s">
        <v>21</v>
      </c>
      <c r="E1177" s="1" t="s">
        <v>81</v>
      </c>
      <c r="F1177" s="1">
        <v>5832</v>
      </c>
      <c r="G1177" s="1" t="s">
        <v>345</v>
      </c>
      <c r="H1177" s="1" t="s">
        <v>346</v>
      </c>
      <c r="I1177" s="1" t="s">
        <v>347</v>
      </c>
      <c r="J1177" s="1" t="s">
        <v>348</v>
      </c>
    </row>
    <row r="1178" spans="1:10" x14ac:dyDescent="0.25">
      <c r="A1178" s="1" t="s">
        <v>2650</v>
      </c>
      <c r="B1178" s="1" t="s">
        <v>788</v>
      </c>
      <c r="C1178" s="19">
        <v>46182</v>
      </c>
      <c r="D1178" s="1" t="s">
        <v>21</v>
      </c>
      <c r="E1178" s="1" t="s">
        <v>81</v>
      </c>
      <c r="F1178" s="1">
        <v>5832</v>
      </c>
      <c r="G1178" s="1" t="s">
        <v>349</v>
      </c>
      <c r="H1178" s="1" t="s">
        <v>350</v>
      </c>
      <c r="I1178" s="1" t="s">
        <v>347</v>
      </c>
      <c r="J1178" s="1" t="s">
        <v>351</v>
      </c>
    </row>
    <row r="1179" spans="1:10" x14ac:dyDescent="0.25">
      <c r="A1179" s="1" t="s">
        <v>2651</v>
      </c>
      <c r="B1179" s="1" t="s">
        <v>788</v>
      </c>
      <c r="C1179" s="19">
        <v>46182</v>
      </c>
      <c r="D1179" s="1" t="s">
        <v>21</v>
      </c>
      <c r="E1179" s="1" t="s">
        <v>81</v>
      </c>
      <c r="F1179" s="1">
        <v>5832</v>
      </c>
      <c r="G1179" s="1" t="s">
        <v>361</v>
      </c>
      <c r="H1179" s="1" t="s">
        <v>353</v>
      </c>
      <c r="I1179" s="1" t="s">
        <v>347</v>
      </c>
      <c r="J1179" s="1" t="s">
        <v>362</v>
      </c>
    </row>
    <row r="1180" spans="1:10" x14ac:dyDescent="0.25">
      <c r="A1180" s="1" t="s">
        <v>2652</v>
      </c>
      <c r="B1180" s="1" t="s">
        <v>789</v>
      </c>
      <c r="C1180" s="19">
        <v>46182</v>
      </c>
      <c r="D1180" s="1" t="s">
        <v>21</v>
      </c>
      <c r="E1180" s="1" t="s">
        <v>81</v>
      </c>
      <c r="F1180" s="1">
        <v>5833</v>
      </c>
      <c r="G1180" s="1" t="s">
        <v>355</v>
      </c>
      <c r="H1180" s="1" t="s">
        <v>346</v>
      </c>
      <c r="I1180" s="1" t="s">
        <v>347</v>
      </c>
      <c r="J1180" s="1" t="s">
        <v>356</v>
      </c>
    </row>
    <row r="1181" spans="1:10" x14ac:dyDescent="0.25">
      <c r="A1181" s="1" t="s">
        <v>2653</v>
      </c>
      <c r="B1181" s="1" t="s">
        <v>789</v>
      </c>
      <c r="C1181" s="19">
        <v>46182</v>
      </c>
      <c r="D1181" s="1" t="s">
        <v>21</v>
      </c>
      <c r="E1181" s="1" t="s">
        <v>81</v>
      </c>
      <c r="F1181" s="1">
        <v>5833</v>
      </c>
      <c r="G1181" s="1" t="s">
        <v>345</v>
      </c>
      <c r="H1181" s="1" t="s">
        <v>346</v>
      </c>
      <c r="I1181" s="1" t="s">
        <v>347</v>
      </c>
      <c r="J1181" s="1" t="s">
        <v>348</v>
      </c>
    </row>
    <row r="1182" spans="1:10" x14ac:dyDescent="0.25">
      <c r="A1182" s="1" t="s">
        <v>2654</v>
      </c>
      <c r="B1182" s="1" t="s">
        <v>789</v>
      </c>
      <c r="C1182" s="19">
        <v>46182</v>
      </c>
      <c r="D1182" s="1" t="s">
        <v>21</v>
      </c>
      <c r="E1182" s="1" t="s">
        <v>81</v>
      </c>
      <c r="F1182" s="1">
        <v>5833</v>
      </c>
      <c r="G1182" s="1" t="s">
        <v>349</v>
      </c>
      <c r="H1182" s="1" t="s">
        <v>350</v>
      </c>
      <c r="I1182" s="1" t="s">
        <v>347</v>
      </c>
      <c r="J1182" s="1" t="s">
        <v>351</v>
      </c>
    </row>
    <row r="1183" spans="1:10" x14ac:dyDescent="0.25">
      <c r="A1183" s="1" t="s">
        <v>2655</v>
      </c>
      <c r="B1183" s="1" t="s">
        <v>789</v>
      </c>
      <c r="C1183" s="19">
        <v>46182</v>
      </c>
      <c r="D1183" s="1" t="s">
        <v>21</v>
      </c>
      <c r="E1183" s="1" t="s">
        <v>81</v>
      </c>
      <c r="F1183" s="1">
        <v>5833</v>
      </c>
      <c r="G1183" s="1" t="s">
        <v>361</v>
      </c>
      <c r="H1183" s="1" t="s">
        <v>353</v>
      </c>
      <c r="I1183" s="1" t="s">
        <v>347</v>
      </c>
      <c r="J1183" s="1" t="s">
        <v>362</v>
      </c>
    </row>
    <row r="1184" spans="1:10" x14ac:dyDescent="0.25">
      <c r="A1184" s="1" t="s">
        <v>2656</v>
      </c>
      <c r="B1184" s="1" t="s">
        <v>790</v>
      </c>
      <c r="C1184" s="19">
        <v>46182</v>
      </c>
      <c r="D1184" s="1" t="s">
        <v>21</v>
      </c>
      <c r="E1184" s="1" t="s">
        <v>81</v>
      </c>
      <c r="F1184" s="1">
        <v>5834</v>
      </c>
      <c r="G1184" s="1" t="s">
        <v>355</v>
      </c>
      <c r="H1184" s="1" t="s">
        <v>346</v>
      </c>
      <c r="I1184" s="1" t="s">
        <v>347</v>
      </c>
      <c r="J1184" s="1" t="s">
        <v>356</v>
      </c>
    </row>
    <row r="1185" spans="1:10" x14ac:dyDescent="0.25">
      <c r="A1185" s="1" t="s">
        <v>2657</v>
      </c>
      <c r="B1185" s="1" t="s">
        <v>790</v>
      </c>
      <c r="C1185" s="19">
        <v>46182</v>
      </c>
      <c r="D1185" s="1" t="s">
        <v>21</v>
      </c>
      <c r="E1185" s="1" t="s">
        <v>81</v>
      </c>
      <c r="F1185" s="1">
        <v>5834</v>
      </c>
      <c r="G1185" s="1" t="s">
        <v>345</v>
      </c>
      <c r="H1185" s="1" t="s">
        <v>346</v>
      </c>
      <c r="I1185" s="1" t="s">
        <v>347</v>
      </c>
      <c r="J1185" s="1" t="s">
        <v>348</v>
      </c>
    </row>
    <row r="1186" spans="1:10" x14ac:dyDescent="0.25">
      <c r="A1186" s="1" t="s">
        <v>2658</v>
      </c>
      <c r="B1186" s="1" t="s">
        <v>790</v>
      </c>
      <c r="C1186" s="19">
        <v>46182</v>
      </c>
      <c r="D1186" s="1" t="s">
        <v>21</v>
      </c>
      <c r="E1186" s="1" t="s">
        <v>81</v>
      </c>
      <c r="F1186" s="1">
        <v>5834</v>
      </c>
      <c r="G1186" s="1" t="s">
        <v>349</v>
      </c>
      <c r="H1186" s="1" t="s">
        <v>350</v>
      </c>
      <c r="I1186" s="1" t="s">
        <v>347</v>
      </c>
      <c r="J1186" s="1" t="s">
        <v>351</v>
      </c>
    </row>
    <row r="1187" spans="1:10" x14ac:dyDescent="0.25">
      <c r="A1187" s="1" t="s">
        <v>2659</v>
      </c>
      <c r="B1187" s="1" t="s">
        <v>790</v>
      </c>
      <c r="C1187" s="19">
        <v>46182</v>
      </c>
      <c r="D1187" s="1" t="s">
        <v>21</v>
      </c>
      <c r="E1187" s="1" t="s">
        <v>81</v>
      </c>
      <c r="F1187" s="1">
        <v>5834</v>
      </c>
      <c r="G1187" s="1" t="s">
        <v>361</v>
      </c>
      <c r="H1187" s="1" t="s">
        <v>353</v>
      </c>
      <c r="I1187" s="1" t="s">
        <v>347</v>
      </c>
      <c r="J1187" s="1" t="s">
        <v>362</v>
      </c>
    </row>
    <row r="1188" spans="1:10" x14ac:dyDescent="0.25">
      <c r="A1188" s="1" t="s">
        <v>2660</v>
      </c>
      <c r="B1188" s="1" t="s">
        <v>791</v>
      </c>
      <c r="C1188" s="19">
        <v>46182</v>
      </c>
      <c r="D1188" s="1" t="s">
        <v>21</v>
      </c>
      <c r="E1188" s="1" t="s">
        <v>81</v>
      </c>
      <c r="F1188" s="1">
        <v>5835</v>
      </c>
      <c r="G1188" s="1" t="s">
        <v>355</v>
      </c>
      <c r="H1188" s="1" t="s">
        <v>346</v>
      </c>
      <c r="I1188" s="1" t="s">
        <v>347</v>
      </c>
      <c r="J1188" s="1" t="s">
        <v>356</v>
      </c>
    </row>
    <row r="1189" spans="1:10" x14ac:dyDescent="0.25">
      <c r="A1189" s="1" t="s">
        <v>2661</v>
      </c>
      <c r="B1189" s="1" t="s">
        <v>791</v>
      </c>
      <c r="C1189" s="19">
        <v>46182</v>
      </c>
      <c r="D1189" s="1" t="s">
        <v>21</v>
      </c>
      <c r="E1189" s="1" t="s">
        <v>81</v>
      </c>
      <c r="F1189" s="1">
        <v>5835</v>
      </c>
      <c r="G1189" s="1" t="s">
        <v>345</v>
      </c>
      <c r="H1189" s="1" t="s">
        <v>346</v>
      </c>
      <c r="I1189" s="1" t="s">
        <v>347</v>
      </c>
      <c r="J1189" s="1" t="s">
        <v>348</v>
      </c>
    </row>
    <row r="1190" spans="1:10" x14ac:dyDescent="0.25">
      <c r="A1190" s="1" t="s">
        <v>2662</v>
      </c>
      <c r="B1190" s="1" t="s">
        <v>791</v>
      </c>
      <c r="C1190" s="19">
        <v>46182</v>
      </c>
      <c r="D1190" s="1" t="s">
        <v>21</v>
      </c>
      <c r="E1190" s="1" t="s">
        <v>81</v>
      </c>
      <c r="F1190" s="1">
        <v>5835</v>
      </c>
      <c r="G1190" s="1" t="s">
        <v>349</v>
      </c>
      <c r="H1190" s="1" t="s">
        <v>350</v>
      </c>
      <c r="I1190" s="1" t="s">
        <v>347</v>
      </c>
      <c r="J1190" s="1" t="s">
        <v>351</v>
      </c>
    </row>
    <row r="1191" spans="1:10" x14ac:dyDescent="0.25">
      <c r="A1191" s="1" t="s">
        <v>2663</v>
      </c>
      <c r="B1191" s="1" t="s">
        <v>791</v>
      </c>
      <c r="C1191" s="19">
        <v>46182</v>
      </c>
      <c r="D1191" s="1" t="s">
        <v>21</v>
      </c>
      <c r="E1191" s="1" t="s">
        <v>81</v>
      </c>
      <c r="F1191" s="1">
        <v>5835</v>
      </c>
      <c r="G1191" s="1" t="s">
        <v>361</v>
      </c>
      <c r="H1191" s="1" t="s">
        <v>353</v>
      </c>
      <c r="I1191" s="1" t="s">
        <v>347</v>
      </c>
      <c r="J1191" s="1" t="s">
        <v>362</v>
      </c>
    </row>
    <row r="1192" spans="1:10" x14ac:dyDescent="0.25">
      <c r="A1192" s="1" t="s">
        <v>2664</v>
      </c>
      <c r="B1192" s="1" t="s">
        <v>792</v>
      </c>
      <c r="C1192" s="19">
        <v>46182</v>
      </c>
      <c r="D1192" s="1" t="s">
        <v>21</v>
      </c>
      <c r="E1192" s="1" t="s">
        <v>81</v>
      </c>
      <c r="F1192" s="1">
        <v>5836</v>
      </c>
      <c r="G1192" s="1" t="s">
        <v>355</v>
      </c>
      <c r="H1192" s="1" t="s">
        <v>346</v>
      </c>
      <c r="I1192" s="1" t="s">
        <v>347</v>
      </c>
      <c r="J1192" s="1" t="s">
        <v>356</v>
      </c>
    </row>
    <row r="1193" spans="1:10" x14ac:dyDescent="0.25">
      <c r="A1193" s="1" t="s">
        <v>2665</v>
      </c>
      <c r="B1193" s="1" t="s">
        <v>792</v>
      </c>
      <c r="C1193" s="19">
        <v>46182</v>
      </c>
      <c r="D1193" s="1" t="s">
        <v>21</v>
      </c>
      <c r="E1193" s="1" t="s">
        <v>81</v>
      </c>
      <c r="F1193" s="1">
        <v>5836</v>
      </c>
      <c r="G1193" s="1" t="s">
        <v>345</v>
      </c>
      <c r="H1193" s="1" t="s">
        <v>346</v>
      </c>
      <c r="I1193" s="1" t="s">
        <v>347</v>
      </c>
      <c r="J1193" s="1" t="s">
        <v>348</v>
      </c>
    </row>
    <row r="1194" spans="1:10" x14ac:dyDescent="0.25">
      <c r="A1194" s="1" t="s">
        <v>2666</v>
      </c>
      <c r="B1194" s="1" t="s">
        <v>792</v>
      </c>
      <c r="C1194" s="19">
        <v>46182</v>
      </c>
      <c r="D1194" s="1" t="s">
        <v>21</v>
      </c>
      <c r="E1194" s="1" t="s">
        <v>81</v>
      </c>
      <c r="F1194" s="1">
        <v>5836</v>
      </c>
      <c r="G1194" s="1" t="s">
        <v>349</v>
      </c>
      <c r="H1194" s="1" t="s">
        <v>350</v>
      </c>
      <c r="I1194" s="1" t="s">
        <v>347</v>
      </c>
      <c r="J1194" s="1" t="s">
        <v>351</v>
      </c>
    </row>
    <row r="1195" spans="1:10" x14ac:dyDescent="0.25">
      <c r="A1195" s="1" t="s">
        <v>2667</v>
      </c>
      <c r="B1195" s="1" t="s">
        <v>792</v>
      </c>
      <c r="C1195" s="19">
        <v>46182</v>
      </c>
      <c r="D1195" s="1" t="s">
        <v>21</v>
      </c>
      <c r="E1195" s="1" t="s">
        <v>81</v>
      </c>
      <c r="F1195" s="1">
        <v>5836</v>
      </c>
      <c r="G1195" s="1" t="s">
        <v>361</v>
      </c>
      <c r="H1195" s="1" t="s">
        <v>353</v>
      </c>
      <c r="I1195" s="1" t="s">
        <v>347</v>
      </c>
      <c r="J1195" s="1" t="s">
        <v>362</v>
      </c>
    </row>
    <row r="1196" spans="1:10" x14ac:dyDescent="0.25">
      <c r="A1196" s="1" t="s">
        <v>2668</v>
      </c>
      <c r="B1196" s="1" t="s">
        <v>793</v>
      </c>
      <c r="C1196" s="19">
        <v>46182</v>
      </c>
      <c r="D1196" s="1" t="s">
        <v>21</v>
      </c>
      <c r="E1196" s="1" t="s">
        <v>81</v>
      </c>
      <c r="F1196" s="1">
        <v>5837</v>
      </c>
      <c r="G1196" s="1" t="s">
        <v>355</v>
      </c>
      <c r="H1196" s="1" t="s">
        <v>346</v>
      </c>
      <c r="I1196" s="1" t="s">
        <v>347</v>
      </c>
      <c r="J1196" s="1" t="s">
        <v>356</v>
      </c>
    </row>
    <row r="1197" spans="1:10" x14ac:dyDescent="0.25">
      <c r="A1197" s="1" t="s">
        <v>2669</v>
      </c>
      <c r="B1197" s="1" t="s">
        <v>793</v>
      </c>
      <c r="C1197" s="19">
        <v>46182</v>
      </c>
      <c r="D1197" s="1" t="s">
        <v>21</v>
      </c>
      <c r="E1197" s="1" t="s">
        <v>81</v>
      </c>
      <c r="F1197" s="1">
        <v>5837</v>
      </c>
      <c r="G1197" s="1" t="s">
        <v>345</v>
      </c>
      <c r="H1197" s="1" t="s">
        <v>346</v>
      </c>
      <c r="I1197" s="1" t="s">
        <v>347</v>
      </c>
      <c r="J1197" s="1" t="s">
        <v>348</v>
      </c>
    </row>
    <row r="1198" spans="1:10" x14ac:dyDescent="0.25">
      <c r="A1198" s="1" t="s">
        <v>2670</v>
      </c>
      <c r="B1198" s="1" t="s">
        <v>793</v>
      </c>
      <c r="C1198" s="19">
        <v>46182</v>
      </c>
      <c r="D1198" s="1" t="s">
        <v>21</v>
      </c>
      <c r="E1198" s="1" t="s">
        <v>81</v>
      </c>
      <c r="F1198" s="1">
        <v>5837</v>
      </c>
      <c r="G1198" s="1" t="s">
        <v>349</v>
      </c>
      <c r="H1198" s="1" t="s">
        <v>350</v>
      </c>
      <c r="I1198" s="1" t="s">
        <v>347</v>
      </c>
      <c r="J1198" s="1" t="s">
        <v>351</v>
      </c>
    </row>
    <row r="1199" spans="1:10" x14ac:dyDescent="0.25">
      <c r="A1199" s="1" t="s">
        <v>2671</v>
      </c>
      <c r="B1199" s="1" t="s">
        <v>793</v>
      </c>
      <c r="C1199" s="19">
        <v>46182</v>
      </c>
      <c r="D1199" s="1" t="s">
        <v>21</v>
      </c>
      <c r="E1199" s="1" t="s">
        <v>81</v>
      </c>
      <c r="F1199" s="1">
        <v>5837</v>
      </c>
      <c r="G1199" s="1" t="s">
        <v>361</v>
      </c>
      <c r="H1199" s="1" t="s">
        <v>353</v>
      </c>
      <c r="I1199" s="1" t="s">
        <v>347</v>
      </c>
      <c r="J1199" s="1" t="s">
        <v>362</v>
      </c>
    </row>
    <row r="1200" spans="1:10" x14ac:dyDescent="0.25">
      <c r="A1200" s="1" t="s">
        <v>2672</v>
      </c>
      <c r="B1200" s="1" t="s">
        <v>794</v>
      </c>
      <c r="C1200" s="19">
        <v>46182</v>
      </c>
      <c r="D1200" s="1" t="s">
        <v>21</v>
      </c>
      <c r="E1200" s="1" t="s">
        <v>81</v>
      </c>
      <c r="F1200" s="1">
        <v>5838</v>
      </c>
      <c r="G1200" s="1" t="s">
        <v>355</v>
      </c>
      <c r="H1200" s="1" t="s">
        <v>346</v>
      </c>
      <c r="I1200" s="1" t="s">
        <v>347</v>
      </c>
      <c r="J1200" s="1" t="s">
        <v>356</v>
      </c>
    </row>
    <row r="1201" spans="1:10" x14ac:dyDescent="0.25">
      <c r="A1201" s="1" t="s">
        <v>2673</v>
      </c>
      <c r="B1201" s="1" t="s">
        <v>794</v>
      </c>
      <c r="C1201" s="19">
        <v>46182</v>
      </c>
      <c r="D1201" s="1" t="s">
        <v>21</v>
      </c>
      <c r="E1201" s="1" t="s">
        <v>81</v>
      </c>
      <c r="F1201" s="1">
        <v>5838</v>
      </c>
      <c r="G1201" s="1" t="s">
        <v>345</v>
      </c>
      <c r="H1201" s="1" t="s">
        <v>346</v>
      </c>
      <c r="I1201" s="1" t="s">
        <v>347</v>
      </c>
      <c r="J1201" s="1" t="s">
        <v>348</v>
      </c>
    </row>
    <row r="1202" spans="1:10" x14ac:dyDescent="0.25">
      <c r="A1202" s="1" t="s">
        <v>2674</v>
      </c>
      <c r="B1202" s="1" t="s">
        <v>794</v>
      </c>
      <c r="C1202" s="19">
        <v>46182</v>
      </c>
      <c r="D1202" s="1" t="s">
        <v>21</v>
      </c>
      <c r="E1202" s="1" t="s">
        <v>81</v>
      </c>
      <c r="F1202" s="1">
        <v>5838</v>
      </c>
      <c r="G1202" s="1" t="s">
        <v>349</v>
      </c>
      <c r="H1202" s="1" t="s">
        <v>350</v>
      </c>
      <c r="I1202" s="1" t="s">
        <v>347</v>
      </c>
      <c r="J1202" s="1" t="s">
        <v>351</v>
      </c>
    </row>
    <row r="1203" spans="1:10" x14ac:dyDescent="0.25">
      <c r="A1203" s="1" t="s">
        <v>2675</v>
      </c>
      <c r="B1203" s="1" t="s">
        <v>794</v>
      </c>
      <c r="C1203" s="19">
        <v>46182</v>
      </c>
      <c r="D1203" s="1" t="s">
        <v>21</v>
      </c>
      <c r="E1203" s="1" t="s">
        <v>81</v>
      </c>
      <c r="F1203" s="1">
        <v>5838</v>
      </c>
      <c r="G1203" s="1" t="s">
        <v>361</v>
      </c>
      <c r="H1203" s="1" t="s">
        <v>353</v>
      </c>
      <c r="I1203" s="1" t="s">
        <v>347</v>
      </c>
      <c r="J1203" s="1" t="s">
        <v>362</v>
      </c>
    </row>
    <row r="1204" spans="1:10" x14ac:dyDescent="0.25">
      <c r="A1204" s="1" t="s">
        <v>2676</v>
      </c>
      <c r="B1204" s="1" t="s">
        <v>795</v>
      </c>
      <c r="C1204" s="19">
        <v>46182</v>
      </c>
      <c r="D1204" s="1" t="s">
        <v>21</v>
      </c>
      <c r="E1204" s="1" t="s">
        <v>81</v>
      </c>
      <c r="F1204" s="1">
        <v>5839</v>
      </c>
      <c r="G1204" s="1" t="s">
        <v>355</v>
      </c>
      <c r="H1204" s="1" t="s">
        <v>346</v>
      </c>
      <c r="I1204" s="1" t="s">
        <v>347</v>
      </c>
      <c r="J1204" s="1" t="s">
        <v>356</v>
      </c>
    </row>
    <row r="1205" spans="1:10" x14ac:dyDescent="0.25">
      <c r="A1205" s="1" t="s">
        <v>2677</v>
      </c>
      <c r="B1205" s="1" t="s">
        <v>795</v>
      </c>
      <c r="C1205" s="19">
        <v>46182</v>
      </c>
      <c r="D1205" s="1" t="s">
        <v>21</v>
      </c>
      <c r="E1205" s="1" t="s">
        <v>81</v>
      </c>
      <c r="F1205" s="1">
        <v>5839</v>
      </c>
      <c r="G1205" s="1" t="s">
        <v>345</v>
      </c>
      <c r="H1205" s="1" t="s">
        <v>346</v>
      </c>
      <c r="I1205" s="1" t="s">
        <v>347</v>
      </c>
      <c r="J1205" s="1" t="s">
        <v>348</v>
      </c>
    </row>
    <row r="1206" spans="1:10" x14ac:dyDescent="0.25">
      <c r="A1206" s="1" t="s">
        <v>2678</v>
      </c>
      <c r="B1206" s="1" t="s">
        <v>795</v>
      </c>
      <c r="C1206" s="19">
        <v>46182</v>
      </c>
      <c r="D1206" s="1" t="s">
        <v>21</v>
      </c>
      <c r="E1206" s="1" t="s">
        <v>81</v>
      </c>
      <c r="F1206" s="1">
        <v>5839</v>
      </c>
      <c r="G1206" s="1" t="s">
        <v>349</v>
      </c>
      <c r="H1206" s="1" t="s">
        <v>350</v>
      </c>
      <c r="I1206" s="1" t="s">
        <v>347</v>
      </c>
      <c r="J1206" s="1" t="s">
        <v>351</v>
      </c>
    </row>
    <row r="1207" spans="1:10" x14ac:dyDescent="0.25">
      <c r="A1207" s="1" t="s">
        <v>2679</v>
      </c>
      <c r="B1207" s="1" t="s">
        <v>795</v>
      </c>
      <c r="C1207" s="19">
        <v>46182</v>
      </c>
      <c r="D1207" s="1" t="s">
        <v>21</v>
      </c>
      <c r="E1207" s="1" t="s">
        <v>81</v>
      </c>
      <c r="F1207" s="1">
        <v>5839</v>
      </c>
      <c r="G1207" s="1" t="s">
        <v>361</v>
      </c>
      <c r="H1207" s="1" t="s">
        <v>353</v>
      </c>
      <c r="I1207" s="1" t="s">
        <v>347</v>
      </c>
      <c r="J1207" s="1" t="s">
        <v>362</v>
      </c>
    </row>
    <row r="1208" spans="1:10" x14ac:dyDescent="0.25">
      <c r="A1208" s="1" t="s">
        <v>2680</v>
      </c>
      <c r="B1208" s="1" t="s">
        <v>796</v>
      </c>
      <c r="C1208" s="19">
        <v>46182</v>
      </c>
      <c r="D1208" s="1" t="s">
        <v>21</v>
      </c>
      <c r="E1208" s="1" t="s">
        <v>81</v>
      </c>
      <c r="F1208" s="1">
        <v>5840</v>
      </c>
      <c r="G1208" s="1" t="s">
        <v>355</v>
      </c>
      <c r="H1208" s="1" t="s">
        <v>346</v>
      </c>
      <c r="I1208" s="1" t="s">
        <v>347</v>
      </c>
      <c r="J1208" s="1" t="s">
        <v>356</v>
      </c>
    </row>
    <row r="1209" spans="1:10" x14ac:dyDescent="0.25">
      <c r="A1209" s="1" t="s">
        <v>2681</v>
      </c>
      <c r="B1209" s="1" t="s">
        <v>796</v>
      </c>
      <c r="C1209" s="19">
        <v>46182</v>
      </c>
      <c r="D1209" s="1" t="s">
        <v>21</v>
      </c>
      <c r="E1209" s="1" t="s">
        <v>81</v>
      </c>
      <c r="F1209" s="1">
        <v>5840</v>
      </c>
      <c r="G1209" s="1" t="s">
        <v>345</v>
      </c>
      <c r="H1209" s="1" t="s">
        <v>346</v>
      </c>
      <c r="I1209" s="1" t="s">
        <v>347</v>
      </c>
      <c r="J1209" s="1" t="s">
        <v>348</v>
      </c>
    </row>
    <row r="1210" spans="1:10" x14ac:dyDescent="0.25">
      <c r="A1210" s="1" t="s">
        <v>2682</v>
      </c>
      <c r="B1210" s="1" t="s">
        <v>796</v>
      </c>
      <c r="C1210" s="19">
        <v>46182</v>
      </c>
      <c r="D1210" s="1" t="s">
        <v>21</v>
      </c>
      <c r="E1210" s="1" t="s">
        <v>81</v>
      </c>
      <c r="F1210" s="1">
        <v>5840</v>
      </c>
      <c r="G1210" s="1" t="s">
        <v>349</v>
      </c>
      <c r="H1210" s="1" t="s">
        <v>350</v>
      </c>
      <c r="I1210" s="1" t="s">
        <v>347</v>
      </c>
      <c r="J1210" s="1" t="s">
        <v>351</v>
      </c>
    </row>
    <row r="1211" spans="1:10" x14ac:dyDescent="0.25">
      <c r="A1211" s="1" t="s">
        <v>2683</v>
      </c>
      <c r="B1211" s="1" t="s">
        <v>796</v>
      </c>
      <c r="C1211" s="19">
        <v>46182</v>
      </c>
      <c r="D1211" s="1" t="s">
        <v>21</v>
      </c>
      <c r="E1211" s="1" t="s">
        <v>81</v>
      </c>
      <c r="F1211" s="1">
        <v>5840</v>
      </c>
      <c r="G1211" s="1" t="s">
        <v>361</v>
      </c>
      <c r="H1211" s="1" t="s">
        <v>353</v>
      </c>
      <c r="I1211" s="1" t="s">
        <v>347</v>
      </c>
      <c r="J1211" s="1" t="s">
        <v>362</v>
      </c>
    </row>
    <row r="1212" spans="1:10" x14ac:dyDescent="0.25">
      <c r="A1212" s="1" t="s">
        <v>2684</v>
      </c>
      <c r="B1212" s="1" t="s">
        <v>797</v>
      </c>
      <c r="C1212" s="19">
        <v>46182</v>
      </c>
      <c r="D1212" s="1" t="s">
        <v>21</v>
      </c>
      <c r="E1212" s="1" t="s">
        <v>81</v>
      </c>
      <c r="F1212" s="1">
        <v>5841</v>
      </c>
      <c r="G1212" s="1" t="s">
        <v>355</v>
      </c>
      <c r="H1212" s="1" t="s">
        <v>346</v>
      </c>
      <c r="I1212" s="1" t="s">
        <v>347</v>
      </c>
      <c r="J1212" s="1" t="s">
        <v>356</v>
      </c>
    </row>
    <row r="1213" spans="1:10" x14ac:dyDescent="0.25">
      <c r="A1213" s="1" t="s">
        <v>2685</v>
      </c>
      <c r="B1213" s="1" t="s">
        <v>797</v>
      </c>
      <c r="C1213" s="19">
        <v>46182</v>
      </c>
      <c r="D1213" s="1" t="s">
        <v>21</v>
      </c>
      <c r="E1213" s="1" t="s">
        <v>81</v>
      </c>
      <c r="F1213" s="1">
        <v>5841</v>
      </c>
      <c r="G1213" s="1" t="s">
        <v>345</v>
      </c>
      <c r="H1213" s="1" t="s">
        <v>346</v>
      </c>
      <c r="I1213" s="1" t="s">
        <v>347</v>
      </c>
      <c r="J1213" s="1" t="s">
        <v>348</v>
      </c>
    </row>
    <row r="1214" spans="1:10" x14ac:dyDescent="0.25">
      <c r="A1214" s="1" t="s">
        <v>2686</v>
      </c>
      <c r="B1214" s="1" t="s">
        <v>797</v>
      </c>
      <c r="C1214" s="19">
        <v>46182</v>
      </c>
      <c r="D1214" s="1" t="s">
        <v>21</v>
      </c>
      <c r="E1214" s="1" t="s">
        <v>81</v>
      </c>
      <c r="F1214" s="1">
        <v>5841</v>
      </c>
      <c r="G1214" s="1" t="s">
        <v>349</v>
      </c>
      <c r="H1214" s="1" t="s">
        <v>350</v>
      </c>
      <c r="I1214" s="1" t="s">
        <v>347</v>
      </c>
      <c r="J1214" s="1" t="s">
        <v>351</v>
      </c>
    </row>
    <row r="1215" spans="1:10" x14ac:dyDescent="0.25">
      <c r="A1215" s="1" t="s">
        <v>2687</v>
      </c>
      <c r="B1215" s="1" t="s">
        <v>797</v>
      </c>
      <c r="C1215" s="19">
        <v>46182</v>
      </c>
      <c r="D1215" s="1" t="s">
        <v>21</v>
      </c>
      <c r="E1215" s="1" t="s">
        <v>81</v>
      </c>
      <c r="F1215" s="1">
        <v>5841</v>
      </c>
      <c r="G1215" s="1" t="s">
        <v>361</v>
      </c>
      <c r="H1215" s="1" t="s">
        <v>353</v>
      </c>
      <c r="I1215" s="1" t="s">
        <v>347</v>
      </c>
      <c r="J1215" s="1" t="s">
        <v>362</v>
      </c>
    </row>
    <row r="1216" spans="1:10" x14ac:dyDescent="0.25">
      <c r="A1216" s="1" t="s">
        <v>2688</v>
      </c>
      <c r="B1216" s="1" t="s">
        <v>798</v>
      </c>
      <c r="C1216" s="19">
        <v>46182</v>
      </c>
      <c r="D1216" s="1" t="s">
        <v>21</v>
      </c>
      <c r="E1216" s="1" t="s">
        <v>81</v>
      </c>
      <c r="F1216" s="1">
        <v>5842</v>
      </c>
      <c r="G1216" s="1" t="s">
        <v>355</v>
      </c>
      <c r="H1216" s="1" t="s">
        <v>346</v>
      </c>
      <c r="I1216" s="1" t="s">
        <v>347</v>
      </c>
      <c r="J1216" s="1" t="s">
        <v>356</v>
      </c>
    </row>
    <row r="1217" spans="1:10" x14ac:dyDescent="0.25">
      <c r="A1217" s="1" t="s">
        <v>2689</v>
      </c>
      <c r="B1217" s="1" t="s">
        <v>798</v>
      </c>
      <c r="C1217" s="19">
        <v>46182</v>
      </c>
      <c r="D1217" s="1" t="s">
        <v>21</v>
      </c>
      <c r="E1217" s="1" t="s">
        <v>81</v>
      </c>
      <c r="F1217" s="1">
        <v>5842</v>
      </c>
      <c r="G1217" s="1" t="s">
        <v>345</v>
      </c>
      <c r="H1217" s="1" t="s">
        <v>346</v>
      </c>
      <c r="I1217" s="1" t="s">
        <v>347</v>
      </c>
      <c r="J1217" s="1" t="s">
        <v>348</v>
      </c>
    </row>
    <row r="1218" spans="1:10" x14ac:dyDescent="0.25">
      <c r="A1218" s="1" t="s">
        <v>2690</v>
      </c>
      <c r="B1218" s="1" t="s">
        <v>798</v>
      </c>
      <c r="C1218" s="19">
        <v>46182</v>
      </c>
      <c r="D1218" s="1" t="s">
        <v>21</v>
      </c>
      <c r="E1218" s="1" t="s">
        <v>81</v>
      </c>
      <c r="F1218" s="1">
        <v>5842</v>
      </c>
      <c r="G1218" s="1" t="s">
        <v>349</v>
      </c>
      <c r="H1218" s="1" t="s">
        <v>350</v>
      </c>
      <c r="I1218" s="1" t="s">
        <v>347</v>
      </c>
      <c r="J1218" s="1" t="s">
        <v>351</v>
      </c>
    </row>
    <row r="1219" spans="1:10" x14ac:dyDescent="0.25">
      <c r="A1219" s="1" t="s">
        <v>2691</v>
      </c>
      <c r="B1219" s="1" t="s">
        <v>798</v>
      </c>
      <c r="C1219" s="19">
        <v>46182</v>
      </c>
      <c r="D1219" s="1" t="s">
        <v>21</v>
      </c>
      <c r="E1219" s="1" t="s">
        <v>81</v>
      </c>
      <c r="F1219" s="1">
        <v>5842</v>
      </c>
      <c r="G1219" s="1" t="s">
        <v>361</v>
      </c>
      <c r="H1219" s="1" t="s">
        <v>353</v>
      </c>
      <c r="I1219" s="1" t="s">
        <v>347</v>
      </c>
      <c r="J1219" s="1" t="s">
        <v>362</v>
      </c>
    </row>
    <row r="1220" spans="1:10" x14ac:dyDescent="0.25">
      <c r="A1220" s="1" t="s">
        <v>2692</v>
      </c>
      <c r="B1220" s="1" t="s">
        <v>799</v>
      </c>
      <c r="C1220" s="19">
        <v>46182</v>
      </c>
      <c r="D1220" s="1" t="s">
        <v>21</v>
      </c>
      <c r="E1220" s="1" t="s">
        <v>81</v>
      </c>
      <c r="F1220" s="1">
        <v>5843</v>
      </c>
      <c r="G1220" s="1" t="s">
        <v>355</v>
      </c>
      <c r="H1220" s="1" t="s">
        <v>346</v>
      </c>
      <c r="I1220" s="1" t="s">
        <v>347</v>
      </c>
      <c r="J1220" s="1" t="s">
        <v>356</v>
      </c>
    </row>
    <row r="1221" spans="1:10" x14ac:dyDescent="0.25">
      <c r="A1221" s="1" t="s">
        <v>2693</v>
      </c>
      <c r="B1221" s="1" t="s">
        <v>799</v>
      </c>
      <c r="C1221" s="19">
        <v>46182</v>
      </c>
      <c r="D1221" s="1" t="s">
        <v>21</v>
      </c>
      <c r="E1221" s="1" t="s">
        <v>81</v>
      </c>
      <c r="F1221" s="1">
        <v>5843</v>
      </c>
      <c r="G1221" s="1" t="s">
        <v>345</v>
      </c>
      <c r="H1221" s="1" t="s">
        <v>346</v>
      </c>
      <c r="I1221" s="1" t="s">
        <v>347</v>
      </c>
      <c r="J1221" s="1" t="s">
        <v>348</v>
      </c>
    </row>
    <row r="1222" spans="1:10" x14ac:dyDescent="0.25">
      <c r="A1222" s="1" t="s">
        <v>2694</v>
      </c>
      <c r="B1222" s="1" t="s">
        <v>799</v>
      </c>
      <c r="C1222" s="19">
        <v>46182</v>
      </c>
      <c r="D1222" s="1" t="s">
        <v>21</v>
      </c>
      <c r="E1222" s="1" t="s">
        <v>81</v>
      </c>
      <c r="F1222" s="1">
        <v>5843</v>
      </c>
      <c r="G1222" s="1" t="s">
        <v>349</v>
      </c>
      <c r="H1222" s="1" t="s">
        <v>350</v>
      </c>
      <c r="I1222" s="1" t="s">
        <v>347</v>
      </c>
      <c r="J1222" s="1" t="s">
        <v>351</v>
      </c>
    </row>
    <row r="1223" spans="1:10" x14ac:dyDescent="0.25">
      <c r="A1223" s="1" t="s">
        <v>2695</v>
      </c>
      <c r="B1223" s="1" t="s">
        <v>799</v>
      </c>
      <c r="C1223" s="19">
        <v>46182</v>
      </c>
      <c r="D1223" s="1" t="s">
        <v>21</v>
      </c>
      <c r="E1223" s="1" t="s">
        <v>81</v>
      </c>
      <c r="F1223" s="1">
        <v>5843</v>
      </c>
      <c r="G1223" s="1" t="s">
        <v>361</v>
      </c>
      <c r="H1223" s="1" t="s">
        <v>353</v>
      </c>
      <c r="I1223" s="1" t="s">
        <v>347</v>
      </c>
      <c r="J1223" s="1" t="s">
        <v>362</v>
      </c>
    </row>
    <row r="1224" spans="1:10" x14ac:dyDescent="0.25">
      <c r="A1224" s="1" t="s">
        <v>2696</v>
      </c>
      <c r="B1224" s="1" t="s">
        <v>800</v>
      </c>
      <c r="C1224" s="19">
        <v>46182</v>
      </c>
      <c r="D1224" s="1" t="s">
        <v>21</v>
      </c>
      <c r="E1224" s="1" t="s">
        <v>81</v>
      </c>
      <c r="F1224" s="1">
        <v>5844</v>
      </c>
      <c r="G1224" s="1" t="s">
        <v>355</v>
      </c>
      <c r="H1224" s="1" t="s">
        <v>346</v>
      </c>
      <c r="I1224" s="1" t="s">
        <v>347</v>
      </c>
      <c r="J1224" s="1" t="s">
        <v>356</v>
      </c>
    </row>
    <row r="1225" spans="1:10" x14ac:dyDescent="0.25">
      <c r="A1225" s="1" t="s">
        <v>2697</v>
      </c>
      <c r="B1225" s="1" t="s">
        <v>800</v>
      </c>
      <c r="C1225" s="19">
        <v>46182</v>
      </c>
      <c r="D1225" s="1" t="s">
        <v>21</v>
      </c>
      <c r="E1225" s="1" t="s">
        <v>81</v>
      </c>
      <c r="F1225" s="1">
        <v>5844</v>
      </c>
      <c r="G1225" s="1" t="s">
        <v>345</v>
      </c>
      <c r="H1225" s="1" t="s">
        <v>346</v>
      </c>
      <c r="I1225" s="1" t="s">
        <v>347</v>
      </c>
      <c r="J1225" s="1" t="s">
        <v>348</v>
      </c>
    </row>
    <row r="1226" spans="1:10" x14ac:dyDescent="0.25">
      <c r="A1226" s="1" t="s">
        <v>2698</v>
      </c>
      <c r="B1226" s="1" t="s">
        <v>800</v>
      </c>
      <c r="C1226" s="19">
        <v>46182</v>
      </c>
      <c r="D1226" s="1" t="s">
        <v>21</v>
      </c>
      <c r="E1226" s="1" t="s">
        <v>81</v>
      </c>
      <c r="F1226" s="1">
        <v>5844</v>
      </c>
      <c r="G1226" s="1" t="s">
        <v>349</v>
      </c>
      <c r="H1226" s="1" t="s">
        <v>350</v>
      </c>
      <c r="I1226" s="1" t="s">
        <v>347</v>
      </c>
      <c r="J1226" s="1" t="s">
        <v>351</v>
      </c>
    </row>
    <row r="1227" spans="1:10" x14ac:dyDescent="0.25">
      <c r="A1227" s="1" t="s">
        <v>2699</v>
      </c>
      <c r="B1227" s="1" t="s">
        <v>800</v>
      </c>
      <c r="C1227" s="19">
        <v>46182</v>
      </c>
      <c r="D1227" s="1" t="s">
        <v>21</v>
      </c>
      <c r="E1227" s="1" t="s">
        <v>81</v>
      </c>
      <c r="F1227" s="1">
        <v>5844</v>
      </c>
      <c r="G1227" s="1" t="s">
        <v>361</v>
      </c>
      <c r="H1227" s="1" t="s">
        <v>353</v>
      </c>
      <c r="I1227" s="1" t="s">
        <v>347</v>
      </c>
      <c r="J1227" s="1" t="s">
        <v>362</v>
      </c>
    </row>
    <row r="1228" spans="1:10" x14ac:dyDescent="0.25">
      <c r="A1228" s="1" t="s">
        <v>2700</v>
      </c>
      <c r="B1228" s="1" t="s">
        <v>801</v>
      </c>
      <c r="C1228" s="19">
        <v>46182</v>
      </c>
      <c r="D1228" s="1" t="s">
        <v>21</v>
      </c>
      <c r="E1228" s="1" t="s">
        <v>81</v>
      </c>
      <c r="F1228" s="1">
        <v>5845</v>
      </c>
      <c r="G1228" s="1" t="s">
        <v>355</v>
      </c>
      <c r="H1228" s="1" t="s">
        <v>346</v>
      </c>
      <c r="I1228" s="1" t="s">
        <v>347</v>
      </c>
      <c r="J1228" s="1" t="s">
        <v>356</v>
      </c>
    </row>
    <row r="1229" spans="1:10" x14ac:dyDescent="0.25">
      <c r="A1229" s="1" t="s">
        <v>2701</v>
      </c>
      <c r="B1229" s="1" t="s">
        <v>801</v>
      </c>
      <c r="C1229" s="19">
        <v>46182</v>
      </c>
      <c r="D1229" s="1" t="s">
        <v>21</v>
      </c>
      <c r="E1229" s="1" t="s">
        <v>81</v>
      </c>
      <c r="F1229" s="1">
        <v>5845</v>
      </c>
      <c r="G1229" s="1" t="s">
        <v>345</v>
      </c>
      <c r="H1229" s="1" t="s">
        <v>346</v>
      </c>
      <c r="I1229" s="1" t="s">
        <v>347</v>
      </c>
      <c r="J1229" s="1" t="s">
        <v>348</v>
      </c>
    </row>
    <row r="1230" spans="1:10" x14ac:dyDescent="0.25">
      <c r="A1230" s="1" t="s">
        <v>2702</v>
      </c>
      <c r="B1230" s="1" t="s">
        <v>801</v>
      </c>
      <c r="C1230" s="19">
        <v>46182</v>
      </c>
      <c r="D1230" s="1" t="s">
        <v>21</v>
      </c>
      <c r="E1230" s="1" t="s">
        <v>81</v>
      </c>
      <c r="F1230" s="1">
        <v>5845</v>
      </c>
      <c r="G1230" s="1" t="s">
        <v>349</v>
      </c>
      <c r="H1230" s="1" t="s">
        <v>350</v>
      </c>
      <c r="I1230" s="1" t="s">
        <v>347</v>
      </c>
      <c r="J1230" s="1" t="s">
        <v>351</v>
      </c>
    </row>
    <row r="1231" spans="1:10" x14ac:dyDescent="0.25">
      <c r="A1231" s="1" t="s">
        <v>2703</v>
      </c>
      <c r="B1231" s="1" t="s">
        <v>801</v>
      </c>
      <c r="C1231" s="19">
        <v>46182</v>
      </c>
      <c r="D1231" s="1" t="s">
        <v>21</v>
      </c>
      <c r="E1231" s="1" t="s">
        <v>81</v>
      </c>
      <c r="F1231" s="1">
        <v>5845</v>
      </c>
      <c r="G1231" s="1" t="s">
        <v>361</v>
      </c>
      <c r="H1231" s="1" t="s">
        <v>353</v>
      </c>
      <c r="I1231" s="1" t="s">
        <v>347</v>
      </c>
      <c r="J1231" s="1" t="s">
        <v>362</v>
      </c>
    </row>
    <row r="1232" spans="1:10" x14ac:dyDescent="0.25">
      <c r="A1232" s="1" t="s">
        <v>2704</v>
      </c>
      <c r="B1232" s="1" t="s">
        <v>802</v>
      </c>
      <c r="C1232" s="19">
        <v>46182</v>
      </c>
      <c r="D1232" s="1" t="s">
        <v>21</v>
      </c>
      <c r="E1232" s="1" t="s">
        <v>81</v>
      </c>
      <c r="F1232" s="1">
        <v>5846</v>
      </c>
      <c r="G1232" s="1" t="s">
        <v>355</v>
      </c>
      <c r="H1232" s="1" t="s">
        <v>346</v>
      </c>
      <c r="I1232" s="1" t="s">
        <v>347</v>
      </c>
      <c r="J1232" s="1" t="s">
        <v>356</v>
      </c>
    </row>
    <row r="1233" spans="1:10" x14ac:dyDescent="0.25">
      <c r="A1233" s="1" t="s">
        <v>2705</v>
      </c>
      <c r="B1233" s="1" t="s">
        <v>802</v>
      </c>
      <c r="C1233" s="19">
        <v>46182</v>
      </c>
      <c r="D1233" s="1" t="s">
        <v>21</v>
      </c>
      <c r="E1233" s="1" t="s">
        <v>81</v>
      </c>
      <c r="F1233" s="1">
        <v>5846</v>
      </c>
      <c r="G1233" s="1" t="s">
        <v>345</v>
      </c>
      <c r="H1233" s="1" t="s">
        <v>346</v>
      </c>
      <c r="I1233" s="1" t="s">
        <v>347</v>
      </c>
      <c r="J1233" s="1" t="s">
        <v>348</v>
      </c>
    </row>
    <row r="1234" spans="1:10" x14ac:dyDescent="0.25">
      <c r="A1234" s="1" t="s">
        <v>2706</v>
      </c>
      <c r="B1234" s="1" t="s">
        <v>802</v>
      </c>
      <c r="C1234" s="19">
        <v>46182</v>
      </c>
      <c r="D1234" s="1" t="s">
        <v>21</v>
      </c>
      <c r="E1234" s="1" t="s">
        <v>81</v>
      </c>
      <c r="F1234" s="1">
        <v>5846</v>
      </c>
      <c r="G1234" s="1" t="s">
        <v>349</v>
      </c>
      <c r="H1234" s="1" t="s">
        <v>350</v>
      </c>
      <c r="I1234" s="1" t="s">
        <v>347</v>
      </c>
      <c r="J1234" s="1" t="s">
        <v>351</v>
      </c>
    </row>
    <row r="1235" spans="1:10" x14ac:dyDescent="0.25">
      <c r="A1235" s="1" t="s">
        <v>2707</v>
      </c>
      <c r="B1235" s="1" t="s">
        <v>802</v>
      </c>
      <c r="C1235" s="19">
        <v>46182</v>
      </c>
      <c r="D1235" s="1" t="s">
        <v>21</v>
      </c>
      <c r="E1235" s="1" t="s">
        <v>81</v>
      </c>
      <c r="F1235" s="1">
        <v>5846</v>
      </c>
      <c r="G1235" s="1" t="s">
        <v>361</v>
      </c>
      <c r="H1235" s="1" t="s">
        <v>353</v>
      </c>
      <c r="I1235" s="1" t="s">
        <v>347</v>
      </c>
      <c r="J1235" s="1" t="s">
        <v>362</v>
      </c>
    </row>
    <row r="1236" spans="1:10" x14ac:dyDescent="0.25">
      <c r="A1236" s="1" t="s">
        <v>2708</v>
      </c>
      <c r="B1236" s="1" t="s">
        <v>803</v>
      </c>
      <c r="C1236" s="19">
        <v>46182</v>
      </c>
      <c r="D1236" s="1" t="s">
        <v>21</v>
      </c>
      <c r="E1236" s="1" t="s">
        <v>81</v>
      </c>
      <c r="F1236" s="1">
        <v>5847</v>
      </c>
      <c r="G1236" s="1" t="s">
        <v>355</v>
      </c>
      <c r="H1236" s="1" t="s">
        <v>346</v>
      </c>
      <c r="I1236" s="1" t="s">
        <v>347</v>
      </c>
      <c r="J1236" s="1" t="s">
        <v>356</v>
      </c>
    </row>
    <row r="1237" spans="1:10" x14ac:dyDescent="0.25">
      <c r="A1237" s="1" t="s">
        <v>2709</v>
      </c>
      <c r="B1237" s="1" t="s">
        <v>803</v>
      </c>
      <c r="C1237" s="19">
        <v>46182</v>
      </c>
      <c r="D1237" s="1" t="s">
        <v>21</v>
      </c>
      <c r="E1237" s="1" t="s">
        <v>81</v>
      </c>
      <c r="F1237" s="1">
        <v>5847</v>
      </c>
      <c r="G1237" s="1" t="s">
        <v>345</v>
      </c>
      <c r="H1237" s="1" t="s">
        <v>346</v>
      </c>
      <c r="I1237" s="1" t="s">
        <v>347</v>
      </c>
      <c r="J1237" s="1" t="s">
        <v>348</v>
      </c>
    </row>
    <row r="1238" spans="1:10" x14ac:dyDescent="0.25">
      <c r="A1238" s="1" t="s">
        <v>2710</v>
      </c>
      <c r="B1238" s="1" t="s">
        <v>803</v>
      </c>
      <c r="C1238" s="19">
        <v>46182</v>
      </c>
      <c r="D1238" s="1" t="s">
        <v>21</v>
      </c>
      <c r="E1238" s="1" t="s">
        <v>81</v>
      </c>
      <c r="F1238" s="1">
        <v>5847</v>
      </c>
      <c r="G1238" s="1" t="s">
        <v>349</v>
      </c>
      <c r="H1238" s="1" t="s">
        <v>350</v>
      </c>
      <c r="I1238" s="1" t="s">
        <v>347</v>
      </c>
      <c r="J1238" s="1" t="s">
        <v>351</v>
      </c>
    </row>
    <row r="1239" spans="1:10" x14ac:dyDescent="0.25">
      <c r="A1239" s="1" t="s">
        <v>2711</v>
      </c>
      <c r="B1239" s="1" t="s">
        <v>803</v>
      </c>
      <c r="C1239" s="19">
        <v>46182</v>
      </c>
      <c r="D1239" s="1" t="s">
        <v>21</v>
      </c>
      <c r="E1239" s="1" t="s">
        <v>81</v>
      </c>
      <c r="F1239" s="1">
        <v>5847</v>
      </c>
      <c r="G1239" s="1" t="s">
        <v>361</v>
      </c>
      <c r="H1239" s="1" t="s">
        <v>353</v>
      </c>
      <c r="I1239" s="1" t="s">
        <v>347</v>
      </c>
      <c r="J1239" s="1" t="s">
        <v>362</v>
      </c>
    </row>
    <row r="1240" spans="1:10" x14ac:dyDescent="0.25">
      <c r="A1240" s="1" t="s">
        <v>2712</v>
      </c>
      <c r="B1240" s="1" t="s">
        <v>804</v>
      </c>
      <c r="C1240" s="19">
        <v>46182</v>
      </c>
      <c r="D1240" s="1" t="s">
        <v>21</v>
      </c>
      <c r="E1240" s="1" t="s">
        <v>81</v>
      </c>
      <c r="F1240" s="1">
        <v>5848</v>
      </c>
      <c r="G1240" s="1" t="s">
        <v>355</v>
      </c>
      <c r="H1240" s="1" t="s">
        <v>346</v>
      </c>
      <c r="I1240" s="1" t="s">
        <v>347</v>
      </c>
      <c r="J1240" s="1" t="s">
        <v>356</v>
      </c>
    </row>
    <row r="1241" spans="1:10" x14ac:dyDescent="0.25">
      <c r="A1241" s="1" t="s">
        <v>2713</v>
      </c>
      <c r="B1241" s="1" t="s">
        <v>804</v>
      </c>
      <c r="C1241" s="19">
        <v>46182</v>
      </c>
      <c r="D1241" s="1" t="s">
        <v>21</v>
      </c>
      <c r="E1241" s="1" t="s">
        <v>81</v>
      </c>
      <c r="F1241" s="1">
        <v>5848</v>
      </c>
      <c r="G1241" s="1" t="s">
        <v>345</v>
      </c>
      <c r="H1241" s="1" t="s">
        <v>346</v>
      </c>
      <c r="I1241" s="1" t="s">
        <v>347</v>
      </c>
      <c r="J1241" s="1" t="s">
        <v>348</v>
      </c>
    </row>
    <row r="1242" spans="1:10" x14ac:dyDescent="0.25">
      <c r="A1242" s="1" t="s">
        <v>2714</v>
      </c>
      <c r="B1242" s="1" t="s">
        <v>804</v>
      </c>
      <c r="C1242" s="19">
        <v>46182</v>
      </c>
      <c r="D1242" s="1" t="s">
        <v>21</v>
      </c>
      <c r="E1242" s="1" t="s">
        <v>81</v>
      </c>
      <c r="F1242" s="1">
        <v>5848</v>
      </c>
      <c r="G1242" s="1" t="s">
        <v>349</v>
      </c>
      <c r="H1242" s="1" t="s">
        <v>350</v>
      </c>
      <c r="I1242" s="1" t="s">
        <v>347</v>
      </c>
      <c r="J1242" s="1" t="s">
        <v>351</v>
      </c>
    </row>
    <row r="1243" spans="1:10" x14ac:dyDescent="0.25">
      <c r="A1243" s="1" t="s">
        <v>2715</v>
      </c>
      <c r="B1243" s="1" t="s">
        <v>804</v>
      </c>
      <c r="C1243" s="19">
        <v>46182</v>
      </c>
      <c r="D1243" s="1" t="s">
        <v>21</v>
      </c>
      <c r="E1243" s="1" t="s">
        <v>81</v>
      </c>
      <c r="F1243" s="1">
        <v>5848</v>
      </c>
      <c r="G1243" s="1" t="s">
        <v>361</v>
      </c>
      <c r="H1243" s="1" t="s">
        <v>353</v>
      </c>
      <c r="I1243" s="1" t="s">
        <v>347</v>
      </c>
      <c r="J1243" s="1" t="s">
        <v>362</v>
      </c>
    </row>
    <row r="1244" spans="1:10" x14ac:dyDescent="0.25">
      <c r="A1244" s="1" t="s">
        <v>2716</v>
      </c>
      <c r="B1244" s="1" t="s">
        <v>805</v>
      </c>
      <c r="C1244" s="19">
        <v>46182</v>
      </c>
      <c r="D1244" s="1" t="s">
        <v>21</v>
      </c>
      <c r="E1244" s="1" t="s">
        <v>81</v>
      </c>
      <c r="F1244" s="1">
        <v>5849</v>
      </c>
      <c r="G1244" s="1" t="s">
        <v>355</v>
      </c>
      <c r="H1244" s="1" t="s">
        <v>346</v>
      </c>
      <c r="I1244" s="1" t="s">
        <v>347</v>
      </c>
      <c r="J1244" s="1" t="s">
        <v>356</v>
      </c>
    </row>
    <row r="1245" spans="1:10" x14ac:dyDescent="0.25">
      <c r="A1245" s="1" t="s">
        <v>2717</v>
      </c>
      <c r="B1245" s="1" t="s">
        <v>805</v>
      </c>
      <c r="C1245" s="19">
        <v>46182</v>
      </c>
      <c r="D1245" s="1" t="s">
        <v>21</v>
      </c>
      <c r="E1245" s="1" t="s">
        <v>81</v>
      </c>
      <c r="F1245" s="1">
        <v>5849</v>
      </c>
      <c r="G1245" s="1" t="s">
        <v>345</v>
      </c>
      <c r="H1245" s="1" t="s">
        <v>346</v>
      </c>
      <c r="I1245" s="1" t="s">
        <v>347</v>
      </c>
      <c r="J1245" s="1" t="s">
        <v>348</v>
      </c>
    </row>
    <row r="1246" spans="1:10" x14ac:dyDescent="0.25">
      <c r="A1246" s="1" t="s">
        <v>2718</v>
      </c>
      <c r="B1246" s="1" t="s">
        <v>805</v>
      </c>
      <c r="C1246" s="19">
        <v>46182</v>
      </c>
      <c r="D1246" s="1" t="s">
        <v>21</v>
      </c>
      <c r="E1246" s="1" t="s">
        <v>81</v>
      </c>
      <c r="F1246" s="1">
        <v>5849</v>
      </c>
      <c r="G1246" s="1" t="s">
        <v>349</v>
      </c>
      <c r="H1246" s="1" t="s">
        <v>350</v>
      </c>
      <c r="I1246" s="1" t="s">
        <v>347</v>
      </c>
      <c r="J1246" s="1" t="s">
        <v>351</v>
      </c>
    </row>
    <row r="1247" spans="1:10" x14ac:dyDescent="0.25">
      <c r="A1247" s="1" t="s">
        <v>2719</v>
      </c>
      <c r="B1247" s="1" t="s">
        <v>805</v>
      </c>
      <c r="C1247" s="19">
        <v>46182</v>
      </c>
      <c r="D1247" s="1" t="s">
        <v>21</v>
      </c>
      <c r="E1247" s="1" t="s">
        <v>81</v>
      </c>
      <c r="F1247" s="1">
        <v>5849</v>
      </c>
      <c r="G1247" s="1" t="s">
        <v>361</v>
      </c>
      <c r="H1247" s="1" t="s">
        <v>353</v>
      </c>
      <c r="I1247" s="1" t="s">
        <v>347</v>
      </c>
      <c r="J1247" s="1" t="s">
        <v>362</v>
      </c>
    </row>
    <row r="1248" spans="1:10" x14ac:dyDescent="0.25">
      <c r="A1248" s="1" t="s">
        <v>2720</v>
      </c>
      <c r="B1248" s="1" t="s">
        <v>806</v>
      </c>
      <c r="C1248" s="19">
        <v>46182</v>
      </c>
      <c r="D1248" s="1" t="s">
        <v>21</v>
      </c>
      <c r="E1248" s="1" t="s">
        <v>81</v>
      </c>
      <c r="F1248" s="1">
        <v>5850</v>
      </c>
      <c r="G1248" s="1" t="s">
        <v>355</v>
      </c>
      <c r="H1248" s="1" t="s">
        <v>346</v>
      </c>
      <c r="I1248" s="1" t="s">
        <v>347</v>
      </c>
      <c r="J1248" s="1" t="s">
        <v>356</v>
      </c>
    </row>
    <row r="1249" spans="1:10" x14ac:dyDescent="0.25">
      <c r="A1249" s="1" t="s">
        <v>2721</v>
      </c>
      <c r="B1249" s="1" t="s">
        <v>806</v>
      </c>
      <c r="C1249" s="19">
        <v>46182</v>
      </c>
      <c r="D1249" s="1" t="s">
        <v>21</v>
      </c>
      <c r="E1249" s="1" t="s">
        <v>81</v>
      </c>
      <c r="F1249" s="1">
        <v>5850</v>
      </c>
      <c r="G1249" s="1" t="s">
        <v>345</v>
      </c>
      <c r="H1249" s="1" t="s">
        <v>346</v>
      </c>
      <c r="I1249" s="1" t="s">
        <v>347</v>
      </c>
      <c r="J1249" s="1" t="s">
        <v>348</v>
      </c>
    </row>
    <row r="1250" spans="1:10" x14ac:dyDescent="0.25">
      <c r="A1250" s="1" t="s">
        <v>2722</v>
      </c>
      <c r="B1250" s="1" t="s">
        <v>806</v>
      </c>
      <c r="C1250" s="19">
        <v>46182</v>
      </c>
      <c r="D1250" s="1" t="s">
        <v>21</v>
      </c>
      <c r="E1250" s="1" t="s">
        <v>81</v>
      </c>
      <c r="F1250" s="1">
        <v>5850</v>
      </c>
      <c r="G1250" s="1" t="s">
        <v>349</v>
      </c>
      <c r="H1250" s="1" t="s">
        <v>350</v>
      </c>
      <c r="I1250" s="1" t="s">
        <v>347</v>
      </c>
      <c r="J1250" s="1" t="s">
        <v>351</v>
      </c>
    </row>
    <row r="1251" spans="1:10" x14ac:dyDescent="0.25">
      <c r="A1251" s="1" t="s">
        <v>2723</v>
      </c>
      <c r="B1251" s="1" t="s">
        <v>806</v>
      </c>
      <c r="C1251" s="19">
        <v>46182</v>
      </c>
      <c r="D1251" s="1" t="s">
        <v>21</v>
      </c>
      <c r="E1251" s="1" t="s">
        <v>81</v>
      </c>
      <c r="F1251" s="1">
        <v>5850</v>
      </c>
      <c r="G1251" s="1" t="s">
        <v>361</v>
      </c>
      <c r="H1251" s="1" t="s">
        <v>353</v>
      </c>
      <c r="I1251" s="1" t="s">
        <v>347</v>
      </c>
      <c r="J1251" s="1" t="s">
        <v>362</v>
      </c>
    </row>
    <row r="1252" spans="1:10" x14ac:dyDescent="0.25">
      <c r="A1252" s="1" t="s">
        <v>2724</v>
      </c>
      <c r="B1252" s="1" t="s">
        <v>807</v>
      </c>
      <c r="C1252" s="19">
        <v>46182</v>
      </c>
      <c r="D1252" s="1" t="s">
        <v>21</v>
      </c>
      <c r="E1252" s="1" t="s">
        <v>81</v>
      </c>
      <c r="F1252" s="1">
        <v>5851</v>
      </c>
      <c r="G1252" s="1" t="s">
        <v>355</v>
      </c>
      <c r="H1252" s="1" t="s">
        <v>346</v>
      </c>
      <c r="I1252" s="1" t="s">
        <v>347</v>
      </c>
      <c r="J1252" s="1" t="s">
        <v>356</v>
      </c>
    </row>
    <row r="1253" spans="1:10" x14ac:dyDescent="0.25">
      <c r="A1253" s="1" t="s">
        <v>2725</v>
      </c>
      <c r="B1253" s="1" t="s">
        <v>807</v>
      </c>
      <c r="C1253" s="19">
        <v>46182</v>
      </c>
      <c r="D1253" s="1" t="s">
        <v>21</v>
      </c>
      <c r="E1253" s="1" t="s">
        <v>81</v>
      </c>
      <c r="F1253" s="1">
        <v>5851</v>
      </c>
      <c r="G1253" s="1" t="s">
        <v>345</v>
      </c>
      <c r="H1253" s="1" t="s">
        <v>346</v>
      </c>
      <c r="I1253" s="1" t="s">
        <v>347</v>
      </c>
      <c r="J1253" s="1" t="s">
        <v>348</v>
      </c>
    </row>
    <row r="1254" spans="1:10" x14ac:dyDescent="0.25">
      <c r="A1254" s="1" t="s">
        <v>2726</v>
      </c>
      <c r="B1254" s="1" t="s">
        <v>807</v>
      </c>
      <c r="C1254" s="19">
        <v>46182</v>
      </c>
      <c r="D1254" s="1" t="s">
        <v>21</v>
      </c>
      <c r="E1254" s="1" t="s">
        <v>81</v>
      </c>
      <c r="F1254" s="1">
        <v>5851</v>
      </c>
      <c r="G1254" s="1" t="s">
        <v>349</v>
      </c>
      <c r="H1254" s="1" t="s">
        <v>350</v>
      </c>
      <c r="I1254" s="1" t="s">
        <v>347</v>
      </c>
      <c r="J1254" s="1" t="s">
        <v>351</v>
      </c>
    </row>
    <row r="1255" spans="1:10" x14ac:dyDescent="0.25">
      <c r="A1255" s="1" t="s">
        <v>2727</v>
      </c>
      <c r="B1255" s="1" t="s">
        <v>807</v>
      </c>
      <c r="C1255" s="19">
        <v>46182</v>
      </c>
      <c r="D1255" s="1" t="s">
        <v>21</v>
      </c>
      <c r="E1255" s="1" t="s">
        <v>81</v>
      </c>
      <c r="F1255" s="1">
        <v>5851</v>
      </c>
      <c r="G1255" s="1" t="s">
        <v>361</v>
      </c>
      <c r="H1255" s="1" t="s">
        <v>353</v>
      </c>
      <c r="I1255" s="1" t="s">
        <v>347</v>
      </c>
      <c r="J1255" s="1" t="s">
        <v>362</v>
      </c>
    </row>
    <row r="1256" spans="1:10" x14ac:dyDescent="0.25">
      <c r="A1256" s="1" t="s">
        <v>2728</v>
      </c>
      <c r="B1256" s="1" t="s">
        <v>808</v>
      </c>
      <c r="C1256" s="19">
        <v>46182</v>
      </c>
      <c r="D1256" s="1" t="s">
        <v>21</v>
      </c>
      <c r="E1256" s="1" t="s">
        <v>81</v>
      </c>
      <c r="F1256" s="1">
        <v>5852</v>
      </c>
      <c r="G1256" s="1" t="s">
        <v>355</v>
      </c>
      <c r="H1256" s="1" t="s">
        <v>346</v>
      </c>
      <c r="I1256" s="1" t="s">
        <v>347</v>
      </c>
      <c r="J1256" s="1" t="s">
        <v>356</v>
      </c>
    </row>
    <row r="1257" spans="1:10" x14ac:dyDescent="0.25">
      <c r="A1257" s="1" t="s">
        <v>2729</v>
      </c>
      <c r="B1257" s="1" t="s">
        <v>808</v>
      </c>
      <c r="C1257" s="19">
        <v>46182</v>
      </c>
      <c r="D1257" s="1" t="s">
        <v>21</v>
      </c>
      <c r="E1257" s="1" t="s">
        <v>81</v>
      </c>
      <c r="F1257" s="1">
        <v>5852</v>
      </c>
      <c r="G1257" s="1" t="s">
        <v>345</v>
      </c>
      <c r="H1257" s="1" t="s">
        <v>346</v>
      </c>
      <c r="I1257" s="1" t="s">
        <v>347</v>
      </c>
      <c r="J1257" s="1" t="s">
        <v>348</v>
      </c>
    </row>
    <row r="1258" spans="1:10" x14ac:dyDescent="0.25">
      <c r="A1258" s="1" t="s">
        <v>2730</v>
      </c>
      <c r="B1258" s="1" t="s">
        <v>808</v>
      </c>
      <c r="C1258" s="19">
        <v>46182</v>
      </c>
      <c r="D1258" s="1" t="s">
        <v>21</v>
      </c>
      <c r="E1258" s="1" t="s">
        <v>81</v>
      </c>
      <c r="F1258" s="1">
        <v>5852</v>
      </c>
      <c r="G1258" s="1" t="s">
        <v>349</v>
      </c>
      <c r="H1258" s="1" t="s">
        <v>350</v>
      </c>
      <c r="I1258" s="1" t="s">
        <v>347</v>
      </c>
      <c r="J1258" s="1" t="s">
        <v>351</v>
      </c>
    </row>
    <row r="1259" spans="1:10" x14ac:dyDescent="0.25">
      <c r="A1259" s="1" t="s">
        <v>2731</v>
      </c>
      <c r="B1259" s="1" t="s">
        <v>808</v>
      </c>
      <c r="C1259" s="19">
        <v>46182</v>
      </c>
      <c r="D1259" s="1" t="s">
        <v>21</v>
      </c>
      <c r="E1259" s="1" t="s">
        <v>81</v>
      </c>
      <c r="F1259" s="1">
        <v>5852</v>
      </c>
      <c r="G1259" s="1" t="s">
        <v>361</v>
      </c>
      <c r="H1259" s="1" t="s">
        <v>353</v>
      </c>
      <c r="I1259" s="1" t="s">
        <v>347</v>
      </c>
      <c r="J1259" s="1" t="s">
        <v>362</v>
      </c>
    </row>
    <row r="1260" spans="1:10" x14ac:dyDescent="0.25">
      <c r="A1260" s="1" t="s">
        <v>2732</v>
      </c>
      <c r="B1260" s="1" t="s">
        <v>809</v>
      </c>
      <c r="C1260" s="19">
        <v>46182</v>
      </c>
      <c r="D1260" s="1" t="s">
        <v>21</v>
      </c>
      <c r="E1260" s="1" t="s">
        <v>81</v>
      </c>
      <c r="F1260" s="1">
        <v>5853</v>
      </c>
      <c r="G1260" s="1" t="s">
        <v>355</v>
      </c>
      <c r="H1260" s="1" t="s">
        <v>346</v>
      </c>
      <c r="I1260" s="1" t="s">
        <v>347</v>
      </c>
      <c r="J1260" s="1" t="s">
        <v>356</v>
      </c>
    </row>
    <row r="1261" spans="1:10" x14ac:dyDescent="0.25">
      <c r="A1261" s="1" t="s">
        <v>2733</v>
      </c>
      <c r="B1261" s="1" t="s">
        <v>809</v>
      </c>
      <c r="C1261" s="19">
        <v>46182</v>
      </c>
      <c r="D1261" s="1" t="s">
        <v>21</v>
      </c>
      <c r="E1261" s="1" t="s">
        <v>81</v>
      </c>
      <c r="F1261" s="1">
        <v>5853</v>
      </c>
      <c r="G1261" s="1" t="s">
        <v>345</v>
      </c>
      <c r="H1261" s="1" t="s">
        <v>346</v>
      </c>
      <c r="I1261" s="1" t="s">
        <v>347</v>
      </c>
      <c r="J1261" s="1" t="s">
        <v>348</v>
      </c>
    </row>
    <row r="1262" spans="1:10" x14ac:dyDescent="0.25">
      <c r="A1262" s="1" t="s">
        <v>2734</v>
      </c>
      <c r="B1262" s="1" t="s">
        <v>809</v>
      </c>
      <c r="C1262" s="19">
        <v>46182</v>
      </c>
      <c r="D1262" s="1" t="s">
        <v>21</v>
      </c>
      <c r="E1262" s="1" t="s">
        <v>81</v>
      </c>
      <c r="F1262" s="1">
        <v>5853</v>
      </c>
      <c r="G1262" s="1" t="s">
        <v>349</v>
      </c>
      <c r="H1262" s="1" t="s">
        <v>350</v>
      </c>
      <c r="I1262" s="1" t="s">
        <v>347</v>
      </c>
      <c r="J1262" s="1" t="s">
        <v>351</v>
      </c>
    </row>
    <row r="1263" spans="1:10" x14ac:dyDescent="0.25">
      <c r="A1263" s="1" t="s">
        <v>2735</v>
      </c>
      <c r="B1263" s="1" t="s">
        <v>809</v>
      </c>
      <c r="C1263" s="19">
        <v>46182</v>
      </c>
      <c r="D1263" s="1" t="s">
        <v>21</v>
      </c>
      <c r="E1263" s="1" t="s">
        <v>81</v>
      </c>
      <c r="F1263" s="1">
        <v>5853</v>
      </c>
      <c r="G1263" s="1" t="s">
        <v>361</v>
      </c>
      <c r="H1263" s="1" t="s">
        <v>353</v>
      </c>
      <c r="I1263" s="1" t="s">
        <v>347</v>
      </c>
      <c r="J1263" s="1" t="s">
        <v>362</v>
      </c>
    </row>
    <row r="1264" spans="1:10" x14ac:dyDescent="0.25">
      <c r="A1264" s="1" t="s">
        <v>2736</v>
      </c>
      <c r="B1264" s="1" t="s">
        <v>810</v>
      </c>
      <c r="C1264" s="19">
        <v>46182</v>
      </c>
      <c r="D1264" s="1" t="s">
        <v>21</v>
      </c>
      <c r="E1264" s="1" t="s">
        <v>81</v>
      </c>
      <c r="F1264" s="1">
        <v>5854</v>
      </c>
      <c r="G1264" s="1" t="s">
        <v>355</v>
      </c>
      <c r="H1264" s="1" t="s">
        <v>346</v>
      </c>
      <c r="I1264" s="1" t="s">
        <v>347</v>
      </c>
      <c r="J1264" s="1" t="s">
        <v>356</v>
      </c>
    </row>
    <row r="1265" spans="1:10" x14ac:dyDescent="0.25">
      <c r="A1265" s="1" t="s">
        <v>2737</v>
      </c>
      <c r="B1265" s="1" t="s">
        <v>810</v>
      </c>
      <c r="C1265" s="19">
        <v>46182</v>
      </c>
      <c r="D1265" s="1" t="s">
        <v>21</v>
      </c>
      <c r="E1265" s="1" t="s">
        <v>81</v>
      </c>
      <c r="F1265" s="1">
        <v>5854</v>
      </c>
      <c r="G1265" s="1" t="s">
        <v>345</v>
      </c>
      <c r="H1265" s="1" t="s">
        <v>346</v>
      </c>
      <c r="I1265" s="1" t="s">
        <v>347</v>
      </c>
      <c r="J1265" s="1" t="s">
        <v>348</v>
      </c>
    </row>
    <row r="1266" spans="1:10" x14ac:dyDescent="0.25">
      <c r="A1266" s="1" t="s">
        <v>2738</v>
      </c>
      <c r="B1266" s="1" t="s">
        <v>810</v>
      </c>
      <c r="C1266" s="19">
        <v>46182</v>
      </c>
      <c r="D1266" s="1" t="s">
        <v>21</v>
      </c>
      <c r="E1266" s="1" t="s">
        <v>81</v>
      </c>
      <c r="F1266" s="1">
        <v>5854</v>
      </c>
      <c r="G1266" s="1" t="s">
        <v>349</v>
      </c>
      <c r="H1266" s="1" t="s">
        <v>350</v>
      </c>
      <c r="I1266" s="1" t="s">
        <v>347</v>
      </c>
      <c r="J1266" s="1" t="s">
        <v>351</v>
      </c>
    </row>
    <row r="1267" spans="1:10" x14ac:dyDescent="0.25">
      <c r="A1267" s="1" t="s">
        <v>2739</v>
      </c>
      <c r="B1267" s="1" t="s">
        <v>810</v>
      </c>
      <c r="C1267" s="19">
        <v>46182</v>
      </c>
      <c r="D1267" s="1" t="s">
        <v>21</v>
      </c>
      <c r="E1267" s="1" t="s">
        <v>81</v>
      </c>
      <c r="F1267" s="1">
        <v>5854</v>
      </c>
      <c r="G1267" s="1" t="s">
        <v>361</v>
      </c>
      <c r="H1267" s="1" t="s">
        <v>353</v>
      </c>
      <c r="I1267" s="1" t="s">
        <v>347</v>
      </c>
      <c r="J1267" s="1" t="s">
        <v>362</v>
      </c>
    </row>
    <row r="1268" spans="1:10" x14ac:dyDescent="0.25">
      <c r="A1268" s="1" t="s">
        <v>2740</v>
      </c>
      <c r="B1268" s="1" t="s">
        <v>811</v>
      </c>
      <c r="C1268" s="19">
        <v>46182</v>
      </c>
      <c r="D1268" s="1" t="s">
        <v>21</v>
      </c>
      <c r="E1268" s="1" t="s">
        <v>81</v>
      </c>
      <c r="F1268" s="1">
        <v>5855</v>
      </c>
      <c r="G1268" s="1" t="s">
        <v>355</v>
      </c>
      <c r="H1268" s="1" t="s">
        <v>346</v>
      </c>
      <c r="I1268" s="1" t="s">
        <v>347</v>
      </c>
      <c r="J1268" s="1" t="s">
        <v>356</v>
      </c>
    </row>
    <row r="1269" spans="1:10" x14ac:dyDescent="0.25">
      <c r="A1269" s="1" t="s">
        <v>2741</v>
      </c>
      <c r="B1269" s="1" t="s">
        <v>811</v>
      </c>
      <c r="C1269" s="19">
        <v>46182</v>
      </c>
      <c r="D1269" s="1" t="s">
        <v>21</v>
      </c>
      <c r="E1269" s="1" t="s">
        <v>81</v>
      </c>
      <c r="F1269" s="1">
        <v>5855</v>
      </c>
      <c r="G1269" s="1" t="s">
        <v>345</v>
      </c>
      <c r="H1269" s="1" t="s">
        <v>346</v>
      </c>
      <c r="I1269" s="1" t="s">
        <v>347</v>
      </c>
      <c r="J1269" s="1" t="s">
        <v>348</v>
      </c>
    </row>
    <row r="1270" spans="1:10" x14ac:dyDescent="0.25">
      <c r="A1270" s="1" t="s">
        <v>2742</v>
      </c>
      <c r="B1270" s="1" t="s">
        <v>811</v>
      </c>
      <c r="C1270" s="19">
        <v>46182</v>
      </c>
      <c r="D1270" s="1" t="s">
        <v>21</v>
      </c>
      <c r="E1270" s="1" t="s">
        <v>81</v>
      </c>
      <c r="F1270" s="1">
        <v>5855</v>
      </c>
      <c r="G1270" s="1" t="s">
        <v>349</v>
      </c>
      <c r="H1270" s="1" t="s">
        <v>350</v>
      </c>
      <c r="I1270" s="1" t="s">
        <v>347</v>
      </c>
      <c r="J1270" s="1" t="s">
        <v>351</v>
      </c>
    </row>
    <row r="1271" spans="1:10" x14ac:dyDescent="0.25">
      <c r="A1271" s="1" t="s">
        <v>2743</v>
      </c>
      <c r="B1271" s="1" t="s">
        <v>811</v>
      </c>
      <c r="C1271" s="19">
        <v>46182</v>
      </c>
      <c r="D1271" s="1" t="s">
        <v>21</v>
      </c>
      <c r="E1271" s="1" t="s">
        <v>81</v>
      </c>
      <c r="F1271" s="1">
        <v>5855</v>
      </c>
      <c r="G1271" s="1" t="s">
        <v>361</v>
      </c>
      <c r="H1271" s="1" t="s">
        <v>353</v>
      </c>
      <c r="I1271" s="1" t="s">
        <v>347</v>
      </c>
      <c r="J1271" s="1" t="s">
        <v>362</v>
      </c>
    </row>
    <row r="1272" spans="1:10" x14ac:dyDescent="0.25">
      <c r="A1272" s="1" t="s">
        <v>2744</v>
      </c>
      <c r="B1272" s="1" t="s">
        <v>812</v>
      </c>
      <c r="C1272" s="19">
        <v>46182</v>
      </c>
      <c r="D1272" s="1" t="s">
        <v>21</v>
      </c>
      <c r="E1272" s="1" t="s">
        <v>81</v>
      </c>
      <c r="F1272" s="1">
        <v>5856</v>
      </c>
      <c r="G1272" s="1" t="s">
        <v>355</v>
      </c>
      <c r="H1272" s="1" t="s">
        <v>346</v>
      </c>
      <c r="I1272" s="1" t="s">
        <v>347</v>
      </c>
      <c r="J1272" s="1" t="s">
        <v>356</v>
      </c>
    </row>
    <row r="1273" spans="1:10" x14ac:dyDescent="0.25">
      <c r="A1273" s="1" t="s">
        <v>2745</v>
      </c>
      <c r="B1273" s="1" t="s">
        <v>812</v>
      </c>
      <c r="C1273" s="19">
        <v>46182</v>
      </c>
      <c r="D1273" s="1" t="s">
        <v>21</v>
      </c>
      <c r="E1273" s="1" t="s">
        <v>81</v>
      </c>
      <c r="F1273" s="1">
        <v>5856</v>
      </c>
      <c r="G1273" s="1" t="s">
        <v>345</v>
      </c>
      <c r="H1273" s="1" t="s">
        <v>346</v>
      </c>
      <c r="I1273" s="1" t="s">
        <v>347</v>
      </c>
      <c r="J1273" s="1" t="s">
        <v>348</v>
      </c>
    </row>
    <row r="1274" spans="1:10" x14ac:dyDescent="0.25">
      <c r="A1274" s="1" t="s">
        <v>2746</v>
      </c>
      <c r="B1274" s="1" t="s">
        <v>812</v>
      </c>
      <c r="C1274" s="19">
        <v>46182</v>
      </c>
      <c r="D1274" s="1" t="s">
        <v>21</v>
      </c>
      <c r="E1274" s="1" t="s">
        <v>81</v>
      </c>
      <c r="F1274" s="1">
        <v>5856</v>
      </c>
      <c r="G1274" s="1" t="s">
        <v>349</v>
      </c>
      <c r="H1274" s="1" t="s">
        <v>350</v>
      </c>
      <c r="I1274" s="1" t="s">
        <v>347</v>
      </c>
      <c r="J1274" s="1" t="s">
        <v>351</v>
      </c>
    </row>
    <row r="1275" spans="1:10" x14ac:dyDescent="0.25">
      <c r="A1275" s="1" t="s">
        <v>2747</v>
      </c>
      <c r="B1275" s="1" t="s">
        <v>812</v>
      </c>
      <c r="C1275" s="19">
        <v>46182</v>
      </c>
      <c r="D1275" s="1" t="s">
        <v>21</v>
      </c>
      <c r="E1275" s="1" t="s">
        <v>81</v>
      </c>
      <c r="F1275" s="1">
        <v>5856</v>
      </c>
      <c r="G1275" s="1" t="s">
        <v>361</v>
      </c>
      <c r="H1275" s="1" t="s">
        <v>353</v>
      </c>
      <c r="I1275" s="1" t="s">
        <v>347</v>
      </c>
      <c r="J1275" s="1" t="s">
        <v>362</v>
      </c>
    </row>
    <row r="1276" spans="1:10" x14ac:dyDescent="0.25">
      <c r="A1276" s="1" t="s">
        <v>2748</v>
      </c>
      <c r="B1276" s="1" t="s">
        <v>813</v>
      </c>
      <c r="C1276" s="19">
        <v>46182</v>
      </c>
      <c r="D1276" s="1" t="s">
        <v>21</v>
      </c>
      <c r="E1276" s="1" t="s">
        <v>81</v>
      </c>
      <c r="F1276" s="1">
        <v>5857</v>
      </c>
      <c r="G1276" s="1" t="s">
        <v>355</v>
      </c>
      <c r="H1276" s="1" t="s">
        <v>346</v>
      </c>
      <c r="I1276" s="1" t="s">
        <v>347</v>
      </c>
      <c r="J1276" s="1" t="s">
        <v>356</v>
      </c>
    </row>
    <row r="1277" spans="1:10" x14ac:dyDescent="0.25">
      <c r="A1277" s="1" t="s">
        <v>2749</v>
      </c>
      <c r="B1277" s="1" t="s">
        <v>813</v>
      </c>
      <c r="C1277" s="19">
        <v>46182</v>
      </c>
      <c r="D1277" s="1" t="s">
        <v>21</v>
      </c>
      <c r="E1277" s="1" t="s">
        <v>81</v>
      </c>
      <c r="F1277" s="1">
        <v>5857</v>
      </c>
      <c r="G1277" s="1" t="s">
        <v>345</v>
      </c>
      <c r="H1277" s="1" t="s">
        <v>346</v>
      </c>
      <c r="I1277" s="1" t="s">
        <v>347</v>
      </c>
      <c r="J1277" s="1" t="s">
        <v>348</v>
      </c>
    </row>
    <row r="1278" spans="1:10" x14ac:dyDescent="0.25">
      <c r="A1278" s="1" t="s">
        <v>2750</v>
      </c>
      <c r="B1278" s="1" t="s">
        <v>813</v>
      </c>
      <c r="C1278" s="19">
        <v>46182</v>
      </c>
      <c r="D1278" s="1" t="s">
        <v>21</v>
      </c>
      <c r="E1278" s="1" t="s">
        <v>81</v>
      </c>
      <c r="F1278" s="1">
        <v>5857</v>
      </c>
      <c r="G1278" s="1" t="s">
        <v>349</v>
      </c>
      <c r="H1278" s="1" t="s">
        <v>350</v>
      </c>
      <c r="I1278" s="1" t="s">
        <v>347</v>
      </c>
      <c r="J1278" s="1" t="s">
        <v>351</v>
      </c>
    </row>
    <row r="1279" spans="1:10" x14ac:dyDescent="0.25">
      <c r="A1279" s="1" t="s">
        <v>2751</v>
      </c>
      <c r="B1279" s="1" t="s">
        <v>813</v>
      </c>
      <c r="C1279" s="19">
        <v>46182</v>
      </c>
      <c r="D1279" s="1" t="s">
        <v>21</v>
      </c>
      <c r="E1279" s="1" t="s">
        <v>81</v>
      </c>
      <c r="F1279" s="1">
        <v>5857</v>
      </c>
      <c r="G1279" s="1" t="s">
        <v>361</v>
      </c>
      <c r="H1279" s="1" t="s">
        <v>353</v>
      </c>
      <c r="I1279" s="1" t="s">
        <v>347</v>
      </c>
      <c r="J1279" s="1" t="s">
        <v>362</v>
      </c>
    </row>
    <row r="1280" spans="1:10" x14ac:dyDescent="0.25">
      <c r="A1280" s="1" t="s">
        <v>2752</v>
      </c>
      <c r="B1280" s="1" t="s">
        <v>814</v>
      </c>
      <c r="C1280" s="19">
        <v>46182</v>
      </c>
      <c r="D1280" s="1" t="s">
        <v>21</v>
      </c>
      <c r="E1280" s="1" t="s">
        <v>81</v>
      </c>
      <c r="F1280" s="1">
        <v>5858</v>
      </c>
      <c r="G1280" s="1" t="s">
        <v>355</v>
      </c>
      <c r="H1280" s="1" t="s">
        <v>346</v>
      </c>
      <c r="I1280" s="1" t="s">
        <v>347</v>
      </c>
      <c r="J1280" s="1" t="s">
        <v>356</v>
      </c>
    </row>
    <row r="1281" spans="1:10" x14ac:dyDescent="0.25">
      <c r="A1281" s="1" t="s">
        <v>2753</v>
      </c>
      <c r="B1281" s="1" t="s">
        <v>814</v>
      </c>
      <c r="C1281" s="19">
        <v>46182</v>
      </c>
      <c r="D1281" s="1" t="s">
        <v>21</v>
      </c>
      <c r="E1281" s="1" t="s">
        <v>81</v>
      </c>
      <c r="F1281" s="1">
        <v>5858</v>
      </c>
      <c r="G1281" s="1" t="s">
        <v>345</v>
      </c>
      <c r="H1281" s="1" t="s">
        <v>346</v>
      </c>
      <c r="I1281" s="1" t="s">
        <v>347</v>
      </c>
      <c r="J1281" s="1" t="s">
        <v>348</v>
      </c>
    </row>
    <row r="1282" spans="1:10" x14ac:dyDescent="0.25">
      <c r="A1282" s="1" t="s">
        <v>2754</v>
      </c>
      <c r="B1282" s="1" t="s">
        <v>814</v>
      </c>
      <c r="C1282" s="19">
        <v>46182</v>
      </c>
      <c r="D1282" s="1" t="s">
        <v>21</v>
      </c>
      <c r="E1282" s="1" t="s">
        <v>81</v>
      </c>
      <c r="F1282" s="1">
        <v>5858</v>
      </c>
      <c r="G1282" s="1" t="s">
        <v>349</v>
      </c>
      <c r="H1282" s="1" t="s">
        <v>350</v>
      </c>
      <c r="I1282" s="1" t="s">
        <v>347</v>
      </c>
      <c r="J1282" s="1" t="s">
        <v>351</v>
      </c>
    </row>
    <row r="1283" spans="1:10" x14ac:dyDescent="0.25">
      <c r="A1283" s="1" t="s">
        <v>2755</v>
      </c>
      <c r="B1283" s="1" t="s">
        <v>814</v>
      </c>
      <c r="C1283" s="19">
        <v>46182</v>
      </c>
      <c r="D1283" s="1" t="s">
        <v>21</v>
      </c>
      <c r="E1283" s="1" t="s">
        <v>81</v>
      </c>
      <c r="F1283" s="1">
        <v>5858</v>
      </c>
      <c r="G1283" s="1" t="s">
        <v>361</v>
      </c>
      <c r="H1283" s="1" t="s">
        <v>353</v>
      </c>
      <c r="I1283" s="1" t="s">
        <v>347</v>
      </c>
      <c r="J1283" s="1" t="s">
        <v>362</v>
      </c>
    </row>
    <row r="1284" spans="1:10" x14ac:dyDescent="0.25">
      <c r="A1284" s="1" t="s">
        <v>2756</v>
      </c>
      <c r="B1284" s="1" t="s">
        <v>815</v>
      </c>
      <c r="C1284" s="19">
        <v>46182</v>
      </c>
      <c r="D1284" s="1" t="s">
        <v>21</v>
      </c>
      <c r="E1284" s="1" t="s">
        <v>81</v>
      </c>
      <c r="F1284" s="1">
        <v>5859</v>
      </c>
      <c r="G1284" s="1" t="s">
        <v>355</v>
      </c>
      <c r="H1284" s="1" t="s">
        <v>346</v>
      </c>
      <c r="I1284" s="1" t="s">
        <v>347</v>
      </c>
      <c r="J1284" s="1" t="s">
        <v>356</v>
      </c>
    </row>
    <row r="1285" spans="1:10" x14ac:dyDescent="0.25">
      <c r="A1285" s="1" t="s">
        <v>2757</v>
      </c>
      <c r="B1285" s="1" t="s">
        <v>815</v>
      </c>
      <c r="C1285" s="19">
        <v>46182</v>
      </c>
      <c r="D1285" s="1" t="s">
        <v>21</v>
      </c>
      <c r="E1285" s="1" t="s">
        <v>81</v>
      </c>
      <c r="F1285" s="1">
        <v>5859</v>
      </c>
      <c r="G1285" s="1" t="s">
        <v>345</v>
      </c>
      <c r="H1285" s="1" t="s">
        <v>346</v>
      </c>
      <c r="I1285" s="1" t="s">
        <v>347</v>
      </c>
      <c r="J1285" s="1" t="s">
        <v>348</v>
      </c>
    </row>
    <row r="1286" spans="1:10" x14ac:dyDescent="0.25">
      <c r="A1286" s="1" t="s">
        <v>2758</v>
      </c>
      <c r="B1286" s="1" t="s">
        <v>815</v>
      </c>
      <c r="C1286" s="19">
        <v>46182</v>
      </c>
      <c r="D1286" s="1" t="s">
        <v>21</v>
      </c>
      <c r="E1286" s="1" t="s">
        <v>81</v>
      </c>
      <c r="F1286" s="1">
        <v>5859</v>
      </c>
      <c r="G1286" s="1" t="s">
        <v>349</v>
      </c>
      <c r="H1286" s="1" t="s">
        <v>350</v>
      </c>
      <c r="I1286" s="1" t="s">
        <v>347</v>
      </c>
      <c r="J1286" s="1" t="s">
        <v>351</v>
      </c>
    </row>
    <row r="1287" spans="1:10" x14ac:dyDescent="0.25">
      <c r="A1287" s="1" t="s">
        <v>2759</v>
      </c>
      <c r="B1287" s="1" t="s">
        <v>815</v>
      </c>
      <c r="C1287" s="19">
        <v>46182</v>
      </c>
      <c r="D1287" s="1" t="s">
        <v>21</v>
      </c>
      <c r="E1287" s="1" t="s">
        <v>81</v>
      </c>
      <c r="F1287" s="1">
        <v>5859</v>
      </c>
      <c r="G1287" s="1" t="s">
        <v>361</v>
      </c>
      <c r="H1287" s="1" t="s">
        <v>353</v>
      </c>
      <c r="I1287" s="1" t="s">
        <v>347</v>
      </c>
      <c r="J1287" s="1" t="s">
        <v>362</v>
      </c>
    </row>
    <row r="1288" spans="1:10" x14ac:dyDescent="0.25">
      <c r="A1288" s="1" t="s">
        <v>2760</v>
      </c>
      <c r="B1288" s="1" t="s">
        <v>816</v>
      </c>
      <c r="C1288" s="19">
        <v>46182</v>
      </c>
      <c r="D1288" s="1" t="s">
        <v>21</v>
      </c>
      <c r="E1288" s="1" t="s">
        <v>81</v>
      </c>
      <c r="F1288" s="1">
        <v>5860</v>
      </c>
      <c r="G1288" s="1" t="s">
        <v>355</v>
      </c>
      <c r="H1288" s="1" t="s">
        <v>346</v>
      </c>
      <c r="I1288" s="1" t="s">
        <v>347</v>
      </c>
      <c r="J1288" s="1" t="s">
        <v>356</v>
      </c>
    </row>
    <row r="1289" spans="1:10" x14ac:dyDescent="0.25">
      <c r="A1289" s="1" t="s">
        <v>2761</v>
      </c>
      <c r="B1289" s="1" t="s">
        <v>816</v>
      </c>
      <c r="C1289" s="19">
        <v>46182</v>
      </c>
      <c r="D1289" s="1" t="s">
        <v>21</v>
      </c>
      <c r="E1289" s="1" t="s">
        <v>81</v>
      </c>
      <c r="F1289" s="1">
        <v>5860</v>
      </c>
      <c r="G1289" s="1" t="s">
        <v>345</v>
      </c>
      <c r="H1289" s="1" t="s">
        <v>346</v>
      </c>
      <c r="I1289" s="1" t="s">
        <v>347</v>
      </c>
      <c r="J1289" s="1" t="s">
        <v>348</v>
      </c>
    </row>
    <row r="1290" spans="1:10" x14ac:dyDescent="0.25">
      <c r="A1290" s="1" t="s">
        <v>2762</v>
      </c>
      <c r="B1290" s="1" t="s">
        <v>816</v>
      </c>
      <c r="C1290" s="19">
        <v>46182</v>
      </c>
      <c r="D1290" s="1" t="s">
        <v>21</v>
      </c>
      <c r="E1290" s="1" t="s">
        <v>81</v>
      </c>
      <c r="F1290" s="1">
        <v>5860</v>
      </c>
      <c r="G1290" s="1" t="s">
        <v>349</v>
      </c>
      <c r="H1290" s="1" t="s">
        <v>350</v>
      </c>
      <c r="I1290" s="1" t="s">
        <v>347</v>
      </c>
      <c r="J1290" s="1" t="s">
        <v>351</v>
      </c>
    </row>
    <row r="1291" spans="1:10" x14ac:dyDescent="0.25">
      <c r="A1291" s="1" t="s">
        <v>2763</v>
      </c>
      <c r="B1291" s="1" t="s">
        <v>816</v>
      </c>
      <c r="C1291" s="19">
        <v>46182</v>
      </c>
      <c r="D1291" s="1" t="s">
        <v>21</v>
      </c>
      <c r="E1291" s="1" t="s">
        <v>81</v>
      </c>
      <c r="F1291" s="1">
        <v>5860</v>
      </c>
      <c r="G1291" s="1" t="s">
        <v>361</v>
      </c>
      <c r="H1291" s="1" t="s">
        <v>353</v>
      </c>
      <c r="I1291" s="1" t="s">
        <v>347</v>
      </c>
      <c r="J1291" s="1" t="s">
        <v>362</v>
      </c>
    </row>
    <row r="1292" spans="1:10" x14ac:dyDescent="0.25">
      <c r="A1292" s="1" t="s">
        <v>2764</v>
      </c>
      <c r="B1292" s="1" t="s">
        <v>817</v>
      </c>
      <c r="C1292" s="19">
        <v>46182</v>
      </c>
      <c r="D1292" s="1" t="s">
        <v>21</v>
      </c>
      <c r="E1292" s="1" t="s">
        <v>81</v>
      </c>
      <c r="F1292" s="1">
        <v>5861</v>
      </c>
      <c r="G1292" s="1" t="s">
        <v>355</v>
      </c>
      <c r="H1292" s="1" t="s">
        <v>346</v>
      </c>
      <c r="I1292" s="1" t="s">
        <v>347</v>
      </c>
      <c r="J1292" s="1" t="s">
        <v>356</v>
      </c>
    </row>
    <row r="1293" spans="1:10" x14ac:dyDescent="0.25">
      <c r="A1293" s="1" t="s">
        <v>2765</v>
      </c>
      <c r="B1293" s="1" t="s">
        <v>817</v>
      </c>
      <c r="C1293" s="19">
        <v>46182</v>
      </c>
      <c r="D1293" s="1" t="s">
        <v>21</v>
      </c>
      <c r="E1293" s="1" t="s">
        <v>81</v>
      </c>
      <c r="F1293" s="1">
        <v>5861</v>
      </c>
      <c r="G1293" s="1" t="s">
        <v>345</v>
      </c>
      <c r="H1293" s="1" t="s">
        <v>346</v>
      </c>
      <c r="I1293" s="1" t="s">
        <v>347</v>
      </c>
      <c r="J1293" s="1" t="s">
        <v>348</v>
      </c>
    </row>
    <row r="1294" spans="1:10" x14ac:dyDescent="0.25">
      <c r="A1294" s="1" t="s">
        <v>2766</v>
      </c>
      <c r="B1294" s="1" t="s">
        <v>817</v>
      </c>
      <c r="C1294" s="19">
        <v>46182</v>
      </c>
      <c r="D1294" s="1" t="s">
        <v>21</v>
      </c>
      <c r="E1294" s="1" t="s">
        <v>81</v>
      </c>
      <c r="F1294" s="1">
        <v>5861</v>
      </c>
      <c r="G1294" s="1" t="s">
        <v>349</v>
      </c>
      <c r="H1294" s="1" t="s">
        <v>350</v>
      </c>
      <c r="I1294" s="1" t="s">
        <v>347</v>
      </c>
      <c r="J1294" s="1" t="s">
        <v>351</v>
      </c>
    </row>
    <row r="1295" spans="1:10" x14ac:dyDescent="0.25">
      <c r="A1295" s="1" t="s">
        <v>2767</v>
      </c>
      <c r="B1295" s="1" t="s">
        <v>817</v>
      </c>
      <c r="C1295" s="19">
        <v>46182</v>
      </c>
      <c r="D1295" s="1" t="s">
        <v>21</v>
      </c>
      <c r="E1295" s="1" t="s">
        <v>81</v>
      </c>
      <c r="F1295" s="1">
        <v>5861</v>
      </c>
      <c r="G1295" s="1" t="s">
        <v>361</v>
      </c>
      <c r="H1295" s="1" t="s">
        <v>353</v>
      </c>
      <c r="I1295" s="1" t="s">
        <v>347</v>
      </c>
      <c r="J1295" s="1" t="s">
        <v>362</v>
      </c>
    </row>
    <row r="1296" spans="1:10" x14ac:dyDescent="0.25">
      <c r="A1296" s="1" t="s">
        <v>2768</v>
      </c>
      <c r="B1296" s="1" t="s">
        <v>818</v>
      </c>
      <c r="C1296" s="19">
        <v>46182</v>
      </c>
      <c r="D1296" s="1" t="s">
        <v>21</v>
      </c>
      <c r="E1296" s="1" t="s">
        <v>81</v>
      </c>
      <c r="F1296" s="1">
        <v>5862</v>
      </c>
      <c r="G1296" s="1" t="s">
        <v>355</v>
      </c>
      <c r="H1296" s="1" t="s">
        <v>346</v>
      </c>
      <c r="I1296" s="1" t="s">
        <v>347</v>
      </c>
      <c r="J1296" s="1" t="s">
        <v>356</v>
      </c>
    </row>
    <row r="1297" spans="1:10" x14ac:dyDescent="0.25">
      <c r="A1297" s="1" t="s">
        <v>2769</v>
      </c>
      <c r="B1297" s="1" t="s">
        <v>818</v>
      </c>
      <c r="C1297" s="19">
        <v>46182</v>
      </c>
      <c r="D1297" s="1" t="s">
        <v>21</v>
      </c>
      <c r="E1297" s="1" t="s">
        <v>81</v>
      </c>
      <c r="F1297" s="1">
        <v>5862</v>
      </c>
      <c r="G1297" s="1" t="s">
        <v>345</v>
      </c>
      <c r="H1297" s="1" t="s">
        <v>346</v>
      </c>
      <c r="I1297" s="1" t="s">
        <v>347</v>
      </c>
      <c r="J1297" s="1" t="s">
        <v>348</v>
      </c>
    </row>
    <row r="1298" spans="1:10" x14ac:dyDescent="0.25">
      <c r="A1298" s="1" t="s">
        <v>2770</v>
      </c>
      <c r="B1298" s="1" t="s">
        <v>818</v>
      </c>
      <c r="C1298" s="19">
        <v>46182</v>
      </c>
      <c r="D1298" s="1" t="s">
        <v>21</v>
      </c>
      <c r="E1298" s="1" t="s">
        <v>81</v>
      </c>
      <c r="F1298" s="1">
        <v>5862</v>
      </c>
      <c r="G1298" s="1" t="s">
        <v>349</v>
      </c>
      <c r="H1298" s="1" t="s">
        <v>350</v>
      </c>
      <c r="I1298" s="1" t="s">
        <v>347</v>
      </c>
      <c r="J1298" s="1" t="s">
        <v>351</v>
      </c>
    </row>
    <row r="1299" spans="1:10" x14ac:dyDescent="0.25">
      <c r="A1299" s="1" t="s">
        <v>2771</v>
      </c>
      <c r="B1299" s="1" t="s">
        <v>818</v>
      </c>
      <c r="C1299" s="19">
        <v>46182</v>
      </c>
      <c r="D1299" s="1" t="s">
        <v>21</v>
      </c>
      <c r="E1299" s="1" t="s">
        <v>81</v>
      </c>
      <c r="F1299" s="1">
        <v>5862</v>
      </c>
      <c r="G1299" s="1" t="s">
        <v>361</v>
      </c>
      <c r="H1299" s="1" t="s">
        <v>353</v>
      </c>
      <c r="I1299" s="1" t="s">
        <v>347</v>
      </c>
      <c r="J1299" s="1" t="s">
        <v>362</v>
      </c>
    </row>
    <row r="1300" spans="1:10" x14ac:dyDescent="0.25">
      <c r="A1300" s="1" t="s">
        <v>2772</v>
      </c>
      <c r="B1300" s="1" t="s">
        <v>819</v>
      </c>
      <c r="C1300" s="19">
        <v>46182</v>
      </c>
      <c r="D1300" s="1" t="s">
        <v>21</v>
      </c>
      <c r="E1300" s="1" t="s">
        <v>81</v>
      </c>
      <c r="F1300" s="1">
        <v>5863</v>
      </c>
      <c r="G1300" s="1" t="s">
        <v>355</v>
      </c>
      <c r="H1300" s="1" t="s">
        <v>346</v>
      </c>
      <c r="I1300" s="1" t="s">
        <v>347</v>
      </c>
      <c r="J1300" s="1" t="s">
        <v>356</v>
      </c>
    </row>
    <row r="1301" spans="1:10" x14ac:dyDescent="0.25">
      <c r="A1301" s="1" t="s">
        <v>2773</v>
      </c>
      <c r="B1301" s="1" t="s">
        <v>819</v>
      </c>
      <c r="C1301" s="19">
        <v>46182</v>
      </c>
      <c r="D1301" s="1" t="s">
        <v>21</v>
      </c>
      <c r="E1301" s="1" t="s">
        <v>81</v>
      </c>
      <c r="F1301" s="1">
        <v>5863</v>
      </c>
      <c r="G1301" s="1" t="s">
        <v>345</v>
      </c>
      <c r="H1301" s="1" t="s">
        <v>346</v>
      </c>
      <c r="I1301" s="1" t="s">
        <v>347</v>
      </c>
      <c r="J1301" s="1" t="s">
        <v>348</v>
      </c>
    </row>
    <row r="1302" spans="1:10" x14ac:dyDescent="0.25">
      <c r="A1302" s="1" t="s">
        <v>2774</v>
      </c>
      <c r="B1302" s="1" t="s">
        <v>819</v>
      </c>
      <c r="C1302" s="19">
        <v>46182</v>
      </c>
      <c r="D1302" s="1" t="s">
        <v>21</v>
      </c>
      <c r="E1302" s="1" t="s">
        <v>81</v>
      </c>
      <c r="F1302" s="1">
        <v>5863</v>
      </c>
      <c r="G1302" s="1" t="s">
        <v>349</v>
      </c>
      <c r="H1302" s="1" t="s">
        <v>350</v>
      </c>
      <c r="I1302" s="1" t="s">
        <v>347</v>
      </c>
      <c r="J1302" s="1" t="s">
        <v>351</v>
      </c>
    </row>
    <row r="1303" spans="1:10" x14ac:dyDescent="0.25">
      <c r="A1303" s="1" t="s">
        <v>2775</v>
      </c>
      <c r="B1303" s="1" t="s">
        <v>819</v>
      </c>
      <c r="C1303" s="19">
        <v>46182</v>
      </c>
      <c r="D1303" s="1" t="s">
        <v>21</v>
      </c>
      <c r="E1303" s="1" t="s">
        <v>81</v>
      </c>
      <c r="F1303" s="1">
        <v>5863</v>
      </c>
      <c r="G1303" s="1" t="s">
        <v>361</v>
      </c>
      <c r="H1303" s="1" t="s">
        <v>353</v>
      </c>
      <c r="I1303" s="1" t="s">
        <v>347</v>
      </c>
      <c r="J1303" s="1" t="s">
        <v>362</v>
      </c>
    </row>
    <row r="1304" spans="1:10" x14ac:dyDescent="0.25">
      <c r="A1304" s="1" t="s">
        <v>2776</v>
      </c>
      <c r="B1304" s="1" t="s">
        <v>820</v>
      </c>
      <c r="C1304" s="19">
        <v>46182</v>
      </c>
      <c r="D1304" s="1" t="s">
        <v>21</v>
      </c>
      <c r="E1304" s="1" t="s">
        <v>81</v>
      </c>
      <c r="F1304" s="1">
        <v>5864</v>
      </c>
      <c r="G1304" s="1" t="s">
        <v>355</v>
      </c>
      <c r="H1304" s="1" t="s">
        <v>346</v>
      </c>
      <c r="I1304" s="1" t="s">
        <v>347</v>
      </c>
      <c r="J1304" s="1" t="s">
        <v>356</v>
      </c>
    </row>
    <row r="1305" spans="1:10" x14ac:dyDescent="0.25">
      <c r="A1305" s="1" t="s">
        <v>2777</v>
      </c>
      <c r="B1305" s="1" t="s">
        <v>820</v>
      </c>
      <c r="C1305" s="19">
        <v>46182</v>
      </c>
      <c r="D1305" s="1" t="s">
        <v>21</v>
      </c>
      <c r="E1305" s="1" t="s">
        <v>81</v>
      </c>
      <c r="F1305" s="1">
        <v>5864</v>
      </c>
      <c r="G1305" s="1" t="s">
        <v>345</v>
      </c>
      <c r="H1305" s="1" t="s">
        <v>346</v>
      </c>
      <c r="I1305" s="1" t="s">
        <v>347</v>
      </c>
      <c r="J1305" s="1" t="s">
        <v>348</v>
      </c>
    </row>
    <row r="1306" spans="1:10" x14ac:dyDescent="0.25">
      <c r="A1306" s="1" t="s">
        <v>2778</v>
      </c>
      <c r="B1306" s="1" t="s">
        <v>820</v>
      </c>
      <c r="C1306" s="19">
        <v>46182</v>
      </c>
      <c r="D1306" s="1" t="s">
        <v>21</v>
      </c>
      <c r="E1306" s="1" t="s">
        <v>81</v>
      </c>
      <c r="F1306" s="1">
        <v>5864</v>
      </c>
      <c r="G1306" s="1" t="s">
        <v>349</v>
      </c>
      <c r="H1306" s="1" t="s">
        <v>350</v>
      </c>
      <c r="I1306" s="1" t="s">
        <v>347</v>
      </c>
      <c r="J1306" s="1" t="s">
        <v>351</v>
      </c>
    </row>
    <row r="1307" spans="1:10" x14ac:dyDescent="0.25">
      <c r="A1307" s="1" t="s">
        <v>2779</v>
      </c>
      <c r="B1307" s="1" t="s">
        <v>820</v>
      </c>
      <c r="C1307" s="19">
        <v>46182</v>
      </c>
      <c r="D1307" s="1" t="s">
        <v>21</v>
      </c>
      <c r="E1307" s="1" t="s">
        <v>81</v>
      </c>
      <c r="F1307" s="1">
        <v>5864</v>
      </c>
      <c r="G1307" s="1" t="s">
        <v>361</v>
      </c>
      <c r="H1307" s="1" t="s">
        <v>353</v>
      </c>
      <c r="I1307" s="1" t="s">
        <v>347</v>
      </c>
      <c r="J1307" s="1" t="s">
        <v>362</v>
      </c>
    </row>
    <row r="1308" spans="1:10" x14ac:dyDescent="0.25">
      <c r="A1308" s="1" t="s">
        <v>2780</v>
      </c>
      <c r="B1308" s="1" t="s">
        <v>821</v>
      </c>
      <c r="C1308" s="19">
        <v>46182</v>
      </c>
      <c r="D1308" s="1" t="s">
        <v>21</v>
      </c>
      <c r="E1308" s="1" t="s">
        <v>81</v>
      </c>
      <c r="F1308" s="1">
        <v>5865</v>
      </c>
      <c r="G1308" s="1" t="s">
        <v>355</v>
      </c>
      <c r="H1308" s="1" t="s">
        <v>346</v>
      </c>
      <c r="I1308" s="1" t="s">
        <v>347</v>
      </c>
      <c r="J1308" s="1" t="s">
        <v>356</v>
      </c>
    </row>
    <row r="1309" spans="1:10" x14ac:dyDescent="0.25">
      <c r="A1309" s="1" t="s">
        <v>2781</v>
      </c>
      <c r="B1309" s="1" t="s">
        <v>821</v>
      </c>
      <c r="C1309" s="19">
        <v>46182</v>
      </c>
      <c r="D1309" s="1" t="s">
        <v>21</v>
      </c>
      <c r="E1309" s="1" t="s">
        <v>81</v>
      </c>
      <c r="F1309" s="1">
        <v>5865</v>
      </c>
      <c r="G1309" s="1" t="s">
        <v>345</v>
      </c>
      <c r="H1309" s="1" t="s">
        <v>346</v>
      </c>
      <c r="I1309" s="1" t="s">
        <v>347</v>
      </c>
      <c r="J1309" s="1" t="s">
        <v>348</v>
      </c>
    </row>
    <row r="1310" spans="1:10" x14ac:dyDescent="0.25">
      <c r="A1310" s="1" t="s">
        <v>2782</v>
      </c>
      <c r="B1310" s="1" t="s">
        <v>821</v>
      </c>
      <c r="C1310" s="19">
        <v>46182</v>
      </c>
      <c r="D1310" s="1" t="s">
        <v>21</v>
      </c>
      <c r="E1310" s="1" t="s">
        <v>81</v>
      </c>
      <c r="F1310" s="1">
        <v>5865</v>
      </c>
      <c r="G1310" s="1" t="s">
        <v>349</v>
      </c>
      <c r="H1310" s="1" t="s">
        <v>350</v>
      </c>
      <c r="I1310" s="1" t="s">
        <v>347</v>
      </c>
      <c r="J1310" s="1" t="s">
        <v>351</v>
      </c>
    </row>
    <row r="1311" spans="1:10" x14ac:dyDescent="0.25">
      <c r="A1311" s="1" t="s">
        <v>2783</v>
      </c>
      <c r="B1311" s="1" t="s">
        <v>821</v>
      </c>
      <c r="C1311" s="19">
        <v>46182</v>
      </c>
      <c r="D1311" s="1" t="s">
        <v>21</v>
      </c>
      <c r="E1311" s="1" t="s">
        <v>81</v>
      </c>
      <c r="F1311" s="1">
        <v>5865</v>
      </c>
      <c r="G1311" s="1" t="s">
        <v>361</v>
      </c>
      <c r="H1311" s="1" t="s">
        <v>353</v>
      </c>
      <c r="I1311" s="1" t="s">
        <v>347</v>
      </c>
      <c r="J1311" s="1" t="s">
        <v>362</v>
      </c>
    </row>
    <row r="1312" spans="1:10" x14ac:dyDescent="0.25">
      <c r="A1312" s="1" t="s">
        <v>2784</v>
      </c>
      <c r="B1312" s="1" t="s">
        <v>822</v>
      </c>
      <c r="C1312" s="19">
        <v>46182</v>
      </c>
      <c r="D1312" s="1" t="s">
        <v>21</v>
      </c>
      <c r="E1312" s="1" t="s">
        <v>81</v>
      </c>
      <c r="F1312" s="1">
        <v>5866</v>
      </c>
      <c r="G1312" s="1" t="s">
        <v>355</v>
      </c>
      <c r="H1312" s="1" t="s">
        <v>346</v>
      </c>
      <c r="I1312" s="1" t="s">
        <v>347</v>
      </c>
      <c r="J1312" s="1" t="s">
        <v>356</v>
      </c>
    </row>
    <row r="1313" spans="1:10" x14ac:dyDescent="0.25">
      <c r="A1313" s="1" t="s">
        <v>2785</v>
      </c>
      <c r="B1313" s="1" t="s">
        <v>822</v>
      </c>
      <c r="C1313" s="19">
        <v>46182</v>
      </c>
      <c r="D1313" s="1" t="s">
        <v>21</v>
      </c>
      <c r="E1313" s="1" t="s">
        <v>81</v>
      </c>
      <c r="F1313" s="1">
        <v>5866</v>
      </c>
      <c r="G1313" s="1" t="s">
        <v>345</v>
      </c>
      <c r="H1313" s="1" t="s">
        <v>346</v>
      </c>
      <c r="I1313" s="1" t="s">
        <v>347</v>
      </c>
      <c r="J1313" s="1" t="s">
        <v>348</v>
      </c>
    </row>
    <row r="1314" spans="1:10" x14ac:dyDescent="0.25">
      <c r="A1314" s="1" t="s">
        <v>2786</v>
      </c>
      <c r="B1314" s="1" t="s">
        <v>822</v>
      </c>
      <c r="C1314" s="19">
        <v>46182</v>
      </c>
      <c r="D1314" s="1" t="s">
        <v>21</v>
      </c>
      <c r="E1314" s="1" t="s">
        <v>81</v>
      </c>
      <c r="F1314" s="1">
        <v>5866</v>
      </c>
      <c r="G1314" s="1" t="s">
        <v>349</v>
      </c>
      <c r="H1314" s="1" t="s">
        <v>350</v>
      </c>
      <c r="I1314" s="1" t="s">
        <v>347</v>
      </c>
      <c r="J1314" s="1" t="s">
        <v>351</v>
      </c>
    </row>
    <row r="1315" spans="1:10" x14ac:dyDescent="0.25">
      <c r="A1315" s="1" t="s">
        <v>2787</v>
      </c>
      <c r="B1315" s="1" t="s">
        <v>822</v>
      </c>
      <c r="C1315" s="19">
        <v>46182</v>
      </c>
      <c r="D1315" s="1" t="s">
        <v>21</v>
      </c>
      <c r="E1315" s="1" t="s">
        <v>81</v>
      </c>
      <c r="F1315" s="1">
        <v>5866</v>
      </c>
      <c r="G1315" s="1" t="s">
        <v>361</v>
      </c>
      <c r="H1315" s="1" t="s">
        <v>353</v>
      </c>
      <c r="I1315" s="1" t="s">
        <v>347</v>
      </c>
      <c r="J1315" s="1" t="s">
        <v>362</v>
      </c>
    </row>
    <row r="1316" spans="1:10" x14ac:dyDescent="0.25">
      <c r="A1316" s="1" t="s">
        <v>2788</v>
      </c>
      <c r="B1316" s="1" t="s">
        <v>823</v>
      </c>
      <c r="C1316" s="19">
        <v>46182</v>
      </c>
      <c r="D1316" s="1" t="s">
        <v>21</v>
      </c>
      <c r="E1316" s="1" t="s">
        <v>81</v>
      </c>
      <c r="F1316" s="1">
        <v>5867</v>
      </c>
      <c r="G1316" s="1" t="s">
        <v>355</v>
      </c>
      <c r="H1316" s="1" t="s">
        <v>346</v>
      </c>
      <c r="I1316" s="1" t="s">
        <v>347</v>
      </c>
      <c r="J1316" s="1" t="s">
        <v>356</v>
      </c>
    </row>
    <row r="1317" spans="1:10" x14ac:dyDescent="0.25">
      <c r="A1317" s="1" t="s">
        <v>2789</v>
      </c>
      <c r="B1317" s="1" t="s">
        <v>823</v>
      </c>
      <c r="C1317" s="19">
        <v>46182</v>
      </c>
      <c r="D1317" s="1" t="s">
        <v>21</v>
      </c>
      <c r="E1317" s="1" t="s">
        <v>81</v>
      </c>
      <c r="F1317" s="1">
        <v>5867</v>
      </c>
      <c r="G1317" s="1" t="s">
        <v>345</v>
      </c>
      <c r="H1317" s="1" t="s">
        <v>346</v>
      </c>
      <c r="I1317" s="1" t="s">
        <v>347</v>
      </c>
      <c r="J1317" s="1" t="s">
        <v>348</v>
      </c>
    </row>
    <row r="1318" spans="1:10" x14ac:dyDescent="0.25">
      <c r="A1318" s="1" t="s">
        <v>2790</v>
      </c>
      <c r="B1318" s="1" t="s">
        <v>823</v>
      </c>
      <c r="C1318" s="19">
        <v>46182</v>
      </c>
      <c r="D1318" s="1" t="s">
        <v>21</v>
      </c>
      <c r="E1318" s="1" t="s">
        <v>81</v>
      </c>
      <c r="F1318" s="1">
        <v>5867</v>
      </c>
      <c r="G1318" s="1" t="s">
        <v>349</v>
      </c>
      <c r="H1318" s="1" t="s">
        <v>350</v>
      </c>
      <c r="I1318" s="1" t="s">
        <v>347</v>
      </c>
      <c r="J1318" s="1" t="s">
        <v>351</v>
      </c>
    </row>
    <row r="1319" spans="1:10" x14ac:dyDescent="0.25">
      <c r="A1319" s="1" t="s">
        <v>2791</v>
      </c>
      <c r="B1319" s="1" t="s">
        <v>823</v>
      </c>
      <c r="C1319" s="19">
        <v>46182</v>
      </c>
      <c r="D1319" s="1" t="s">
        <v>21</v>
      </c>
      <c r="E1319" s="1" t="s">
        <v>81</v>
      </c>
      <c r="F1319" s="1">
        <v>5867</v>
      </c>
      <c r="G1319" s="1" t="s">
        <v>361</v>
      </c>
      <c r="H1319" s="1" t="s">
        <v>353</v>
      </c>
      <c r="I1319" s="1" t="s">
        <v>347</v>
      </c>
      <c r="J1319" s="1" t="s">
        <v>362</v>
      </c>
    </row>
    <row r="1320" spans="1:10" x14ac:dyDescent="0.25">
      <c r="A1320" s="1" t="s">
        <v>2792</v>
      </c>
      <c r="B1320" s="1" t="s">
        <v>824</v>
      </c>
      <c r="C1320" s="19">
        <v>46182</v>
      </c>
      <c r="D1320" s="1" t="s">
        <v>21</v>
      </c>
      <c r="E1320" s="1" t="s">
        <v>81</v>
      </c>
      <c r="F1320" s="1">
        <v>5868</v>
      </c>
      <c r="G1320" s="1" t="s">
        <v>355</v>
      </c>
      <c r="H1320" s="1" t="s">
        <v>346</v>
      </c>
      <c r="I1320" s="1" t="s">
        <v>347</v>
      </c>
      <c r="J1320" s="1" t="s">
        <v>356</v>
      </c>
    </row>
    <row r="1321" spans="1:10" x14ac:dyDescent="0.25">
      <c r="A1321" s="1" t="s">
        <v>2793</v>
      </c>
      <c r="B1321" s="1" t="s">
        <v>824</v>
      </c>
      <c r="C1321" s="19">
        <v>46182</v>
      </c>
      <c r="D1321" s="1" t="s">
        <v>21</v>
      </c>
      <c r="E1321" s="1" t="s">
        <v>81</v>
      </c>
      <c r="F1321" s="1">
        <v>5868</v>
      </c>
      <c r="G1321" s="1" t="s">
        <v>345</v>
      </c>
      <c r="H1321" s="1" t="s">
        <v>346</v>
      </c>
      <c r="I1321" s="1" t="s">
        <v>347</v>
      </c>
      <c r="J1321" s="1" t="s">
        <v>348</v>
      </c>
    </row>
    <row r="1322" spans="1:10" x14ac:dyDescent="0.25">
      <c r="A1322" s="1" t="s">
        <v>2794</v>
      </c>
      <c r="B1322" s="1" t="s">
        <v>824</v>
      </c>
      <c r="C1322" s="19">
        <v>46182</v>
      </c>
      <c r="D1322" s="1" t="s">
        <v>21</v>
      </c>
      <c r="E1322" s="1" t="s">
        <v>81</v>
      </c>
      <c r="F1322" s="1">
        <v>5868</v>
      </c>
      <c r="G1322" s="1" t="s">
        <v>349</v>
      </c>
      <c r="H1322" s="1" t="s">
        <v>350</v>
      </c>
      <c r="I1322" s="1" t="s">
        <v>347</v>
      </c>
      <c r="J1322" s="1" t="s">
        <v>351</v>
      </c>
    </row>
    <row r="1323" spans="1:10" x14ac:dyDescent="0.25">
      <c r="A1323" s="1" t="s">
        <v>2795</v>
      </c>
      <c r="B1323" s="1" t="s">
        <v>824</v>
      </c>
      <c r="C1323" s="19">
        <v>46182</v>
      </c>
      <c r="D1323" s="1" t="s">
        <v>21</v>
      </c>
      <c r="E1323" s="1" t="s">
        <v>81</v>
      </c>
      <c r="F1323" s="1">
        <v>5868</v>
      </c>
      <c r="G1323" s="1" t="s">
        <v>361</v>
      </c>
      <c r="H1323" s="1" t="s">
        <v>353</v>
      </c>
      <c r="I1323" s="1" t="s">
        <v>347</v>
      </c>
      <c r="J1323" s="1" t="s">
        <v>362</v>
      </c>
    </row>
    <row r="1324" spans="1:10" x14ac:dyDescent="0.25">
      <c r="A1324" s="1" t="s">
        <v>2796</v>
      </c>
      <c r="B1324" s="1" t="s">
        <v>825</v>
      </c>
      <c r="C1324" s="19">
        <v>46182</v>
      </c>
      <c r="D1324" s="1" t="s">
        <v>21</v>
      </c>
      <c r="E1324" s="1" t="s">
        <v>81</v>
      </c>
      <c r="F1324" s="1">
        <v>5869</v>
      </c>
      <c r="G1324" s="1" t="s">
        <v>355</v>
      </c>
      <c r="H1324" s="1" t="s">
        <v>346</v>
      </c>
      <c r="I1324" s="1" t="s">
        <v>347</v>
      </c>
      <c r="J1324" s="1" t="s">
        <v>356</v>
      </c>
    </row>
    <row r="1325" spans="1:10" x14ac:dyDescent="0.25">
      <c r="A1325" s="1" t="s">
        <v>2797</v>
      </c>
      <c r="B1325" s="1" t="s">
        <v>825</v>
      </c>
      <c r="C1325" s="19">
        <v>46182</v>
      </c>
      <c r="D1325" s="1" t="s">
        <v>21</v>
      </c>
      <c r="E1325" s="1" t="s">
        <v>81</v>
      </c>
      <c r="F1325" s="1">
        <v>5869</v>
      </c>
      <c r="G1325" s="1" t="s">
        <v>345</v>
      </c>
      <c r="H1325" s="1" t="s">
        <v>346</v>
      </c>
      <c r="I1325" s="1" t="s">
        <v>347</v>
      </c>
      <c r="J1325" s="1" t="s">
        <v>348</v>
      </c>
    </row>
    <row r="1326" spans="1:10" x14ac:dyDescent="0.25">
      <c r="A1326" s="1" t="s">
        <v>2798</v>
      </c>
      <c r="B1326" s="1" t="s">
        <v>825</v>
      </c>
      <c r="C1326" s="19">
        <v>46182</v>
      </c>
      <c r="D1326" s="1" t="s">
        <v>21</v>
      </c>
      <c r="E1326" s="1" t="s">
        <v>81</v>
      </c>
      <c r="F1326" s="1">
        <v>5869</v>
      </c>
      <c r="G1326" s="1" t="s">
        <v>349</v>
      </c>
      <c r="H1326" s="1" t="s">
        <v>350</v>
      </c>
      <c r="I1326" s="1" t="s">
        <v>347</v>
      </c>
      <c r="J1326" s="1" t="s">
        <v>351</v>
      </c>
    </row>
    <row r="1327" spans="1:10" x14ac:dyDescent="0.25">
      <c r="A1327" s="1" t="s">
        <v>2799</v>
      </c>
      <c r="B1327" s="1" t="s">
        <v>825</v>
      </c>
      <c r="C1327" s="19">
        <v>46182</v>
      </c>
      <c r="D1327" s="1" t="s">
        <v>21</v>
      </c>
      <c r="E1327" s="1" t="s">
        <v>81</v>
      </c>
      <c r="F1327" s="1">
        <v>5869</v>
      </c>
      <c r="G1327" s="1" t="s">
        <v>361</v>
      </c>
      <c r="H1327" s="1" t="s">
        <v>353</v>
      </c>
      <c r="I1327" s="1" t="s">
        <v>347</v>
      </c>
      <c r="J1327" s="1" t="s">
        <v>362</v>
      </c>
    </row>
    <row r="1328" spans="1:10" x14ac:dyDescent="0.25">
      <c r="A1328" s="1" t="s">
        <v>2800</v>
      </c>
      <c r="B1328" s="1" t="s">
        <v>826</v>
      </c>
      <c r="C1328" s="19">
        <v>46182</v>
      </c>
      <c r="D1328" s="1" t="s">
        <v>21</v>
      </c>
      <c r="E1328" s="1" t="s">
        <v>81</v>
      </c>
      <c r="F1328" s="1">
        <v>5870</v>
      </c>
      <c r="G1328" s="1" t="s">
        <v>355</v>
      </c>
      <c r="H1328" s="1" t="s">
        <v>346</v>
      </c>
      <c r="I1328" s="1" t="s">
        <v>347</v>
      </c>
      <c r="J1328" s="1" t="s">
        <v>356</v>
      </c>
    </row>
    <row r="1329" spans="1:10" x14ac:dyDescent="0.25">
      <c r="A1329" s="1" t="s">
        <v>2801</v>
      </c>
      <c r="B1329" s="1" t="s">
        <v>826</v>
      </c>
      <c r="C1329" s="19">
        <v>46182</v>
      </c>
      <c r="D1329" s="1" t="s">
        <v>21</v>
      </c>
      <c r="E1329" s="1" t="s">
        <v>81</v>
      </c>
      <c r="F1329" s="1">
        <v>5870</v>
      </c>
      <c r="G1329" s="1" t="s">
        <v>345</v>
      </c>
      <c r="H1329" s="1" t="s">
        <v>346</v>
      </c>
      <c r="I1329" s="1" t="s">
        <v>347</v>
      </c>
      <c r="J1329" s="1" t="s">
        <v>348</v>
      </c>
    </row>
    <row r="1330" spans="1:10" x14ac:dyDescent="0.25">
      <c r="A1330" s="1" t="s">
        <v>2802</v>
      </c>
      <c r="B1330" s="1" t="s">
        <v>826</v>
      </c>
      <c r="C1330" s="19">
        <v>46182</v>
      </c>
      <c r="D1330" s="1" t="s">
        <v>21</v>
      </c>
      <c r="E1330" s="1" t="s">
        <v>81</v>
      </c>
      <c r="F1330" s="1">
        <v>5870</v>
      </c>
      <c r="G1330" s="1" t="s">
        <v>349</v>
      </c>
      <c r="H1330" s="1" t="s">
        <v>350</v>
      </c>
      <c r="I1330" s="1" t="s">
        <v>347</v>
      </c>
      <c r="J1330" s="1" t="s">
        <v>351</v>
      </c>
    </row>
    <row r="1331" spans="1:10" x14ac:dyDescent="0.25">
      <c r="A1331" s="1" t="s">
        <v>2803</v>
      </c>
      <c r="B1331" s="1" t="s">
        <v>826</v>
      </c>
      <c r="C1331" s="19">
        <v>46182</v>
      </c>
      <c r="D1331" s="1" t="s">
        <v>21</v>
      </c>
      <c r="E1331" s="1" t="s">
        <v>81</v>
      </c>
      <c r="F1331" s="1">
        <v>5870</v>
      </c>
      <c r="G1331" s="1" t="s">
        <v>361</v>
      </c>
      <c r="H1331" s="1" t="s">
        <v>353</v>
      </c>
      <c r="I1331" s="1" t="s">
        <v>347</v>
      </c>
      <c r="J1331" s="1" t="s">
        <v>362</v>
      </c>
    </row>
    <row r="1332" spans="1:10" x14ac:dyDescent="0.25">
      <c r="A1332" s="1" t="s">
        <v>2804</v>
      </c>
      <c r="B1332" s="1" t="s">
        <v>827</v>
      </c>
      <c r="C1332" s="19">
        <v>46182</v>
      </c>
      <c r="D1332" s="1" t="s">
        <v>21</v>
      </c>
      <c r="E1332" s="1" t="s">
        <v>81</v>
      </c>
      <c r="F1332" s="1">
        <v>5871</v>
      </c>
      <c r="G1332" s="1" t="s">
        <v>355</v>
      </c>
      <c r="H1332" s="1" t="s">
        <v>346</v>
      </c>
      <c r="I1332" s="1" t="s">
        <v>347</v>
      </c>
      <c r="J1332" s="1" t="s">
        <v>356</v>
      </c>
    </row>
    <row r="1333" spans="1:10" x14ac:dyDescent="0.25">
      <c r="A1333" s="1" t="s">
        <v>2805</v>
      </c>
      <c r="B1333" s="1" t="s">
        <v>827</v>
      </c>
      <c r="C1333" s="19">
        <v>46182</v>
      </c>
      <c r="D1333" s="1" t="s">
        <v>21</v>
      </c>
      <c r="E1333" s="1" t="s">
        <v>81</v>
      </c>
      <c r="F1333" s="1">
        <v>5871</v>
      </c>
      <c r="G1333" s="1" t="s">
        <v>345</v>
      </c>
      <c r="H1333" s="1" t="s">
        <v>346</v>
      </c>
      <c r="I1333" s="1" t="s">
        <v>347</v>
      </c>
      <c r="J1333" s="1" t="s">
        <v>348</v>
      </c>
    </row>
    <row r="1334" spans="1:10" x14ac:dyDescent="0.25">
      <c r="A1334" s="1" t="s">
        <v>2806</v>
      </c>
      <c r="B1334" s="1" t="s">
        <v>827</v>
      </c>
      <c r="C1334" s="19">
        <v>46182</v>
      </c>
      <c r="D1334" s="1" t="s">
        <v>21</v>
      </c>
      <c r="E1334" s="1" t="s">
        <v>81</v>
      </c>
      <c r="F1334" s="1">
        <v>5871</v>
      </c>
      <c r="G1334" s="1" t="s">
        <v>349</v>
      </c>
      <c r="H1334" s="1" t="s">
        <v>350</v>
      </c>
      <c r="I1334" s="1" t="s">
        <v>347</v>
      </c>
      <c r="J1334" s="1" t="s">
        <v>351</v>
      </c>
    </row>
    <row r="1335" spans="1:10" x14ac:dyDescent="0.25">
      <c r="A1335" s="1" t="s">
        <v>2807</v>
      </c>
      <c r="B1335" s="1" t="s">
        <v>827</v>
      </c>
      <c r="C1335" s="19">
        <v>46182</v>
      </c>
      <c r="D1335" s="1" t="s">
        <v>21</v>
      </c>
      <c r="E1335" s="1" t="s">
        <v>81</v>
      </c>
      <c r="F1335" s="1">
        <v>5871</v>
      </c>
      <c r="G1335" s="1" t="s">
        <v>361</v>
      </c>
      <c r="H1335" s="1" t="s">
        <v>353</v>
      </c>
      <c r="I1335" s="1" t="s">
        <v>347</v>
      </c>
      <c r="J1335" s="1" t="s">
        <v>362</v>
      </c>
    </row>
    <row r="1336" spans="1:10" x14ac:dyDescent="0.25">
      <c r="A1336" s="1" t="s">
        <v>2808</v>
      </c>
      <c r="B1336" s="1" t="s">
        <v>828</v>
      </c>
      <c r="C1336" s="19">
        <v>46182</v>
      </c>
      <c r="D1336" s="1" t="s">
        <v>21</v>
      </c>
      <c r="E1336" s="1" t="s">
        <v>81</v>
      </c>
      <c r="F1336" s="1">
        <v>5872</v>
      </c>
      <c r="G1336" s="1" t="s">
        <v>355</v>
      </c>
      <c r="H1336" s="1" t="s">
        <v>346</v>
      </c>
      <c r="I1336" s="1" t="s">
        <v>347</v>
      </c>
      <c r="J1336" s="1" t="s">
        <v>356</v>
      </c>
    </row>
    <row r="1337" spans="1:10" x14ac:dyDescent="0.25">
      <c r="A1337" s="1" t="s">
        <v>2809</v>
      </c>
      <c r="B1337" s="1" t="s">
        <v>828</v>
      </c>
      <c r="C1337" s="19">
        <v>46182</v>
      </c>
      <c r="D1337" s="1" t="s">
        <v>21</v>
      </c>
      <c r="E1337" s="1" t="s">
        <v>81</v>
      </c>
      <c r="F1337" s="1">
        <v>5872</v>
      </c>
      <c r="G1337" s="1" t="s">
        <v>345</v>
      </c>
      <c r="H1337" s="1" t="s">
        <v>346</v>
      </c>
      <c r="I1337" s="1" t="s">
        <v>347</v>
      </c>
      <c r="J1337" s="1" t="s">
        <v>348</v>
      </c>
    </row>
    <row r="1338" spans="1:10" x14ac:dyDescent="0.25">
      <c r="A1338" s="1" t="s">
        <v>2810</v>
      </c>
      <c r="B1338" s="1" t="s">
        <v>828</v>
      </c>
      <c r="C1338" s="19">
        <v>46182</v>
      </c>
      <c r="D1338" s="1" t="s">
        <v>21</v>
      </c>
      <c r="E1338" s="1" t="s">
        <v>81</v>
      </c>
      <c r="F1338" s="1">
        <v>5872</v>
      </c>
      <c r="G1338" s="1" t="s">
        <v>349</v>
      </c>
      <c r="H1338" s="1" t="s">
        <v>350</v>
      </c>
      <c r="I1338" s="1" t="s">
        <v>347</v>
      </c>
      <c r="J1338" s="1" t="s">
        <v>351</v>
      </c>
    </row>
    <row r="1339" spans="1:10" x14ac:dyDescent="0.25">
      <c r="A1339" s="1" t="s">
        <v>2811</v>
      </c>
      <c r="B1339" s="1" t="s">
        <v>828</v>
      </c>
      <c r="C1339" s="19">
        <v>46182</v>
      </c>
      <c r="D1339" s="1" t="s">
        <v>21</v>
      </c>
      <c r="E1339" s="1" t="s">
        <v>81</v>
      </c>
      <c r="F1339" s="1">
        <v>5872</v>
      </c>
      <c r="G1339" s="1" t="s">
        <v>361</v>
      </c>
      <c r="H1339" s="1" t="s">
        <v>353</v>
      </c>
      <c r="I1339" s="1" t="s">
        <v>347</v>
      </c>
      <c r="J1339" s="1" t="s">
        <v>362</v>
      </c>
    </row>
    <row r="1340" spans="1:10" x14ac:dyDescent="0.25">
      <c r="A1340" s="1" t="s">
        <v>2812</v>
      </c>
      <c r="B1340" s="1" t="s">
        <v>829</v>
      </c>
      <c r="C1340" s="19">
        <v>46182</v>
      </c>
      <c r="D1340" s="1" t="s">
        <v>21</v>
      </c>
      <c r="E1340" s="1" t="s">
        <v>81</v>
      </c>
      <c r="F1340" s="1">
        <v>5873</v>
      </c>
      <c r="G1340" s="1" t="s">
        <v>355</v>
      </c>
      <c r="H1340" s="1" t="s">
        <v>346</v>
      </c>
      <c r="I1340" s="1" t="s">
        <v>347</v>
      </c>
      <c r="J1340" s="1" t="s">
        <v>356</v>
      </c>
    </row>
    <row r="1341" spans="1:10" x14ac:dyDescent="0.25">
      <c r="A1341" s="1" t="s">
        <v>2813</v>
      </c>
      <c r="B1341" s="1" t="s">
        <v>829</v>
      </c>
      <c r="C1341" s="19">
        <v>46182</v>
      </c>
      <c r="D1341" s="1" t="s">
        <v>21</v>
      </c>
      <c r="E1341" s="1" t="s">
        <v>81</v>
      </c>
      <c r="F1341" s="1">
        <v>5873</v>
      </c>
      <c r="G1341" s="1" t="s">
        <v>345</v>
      </c>
      <c r="H1341" s="1" t="s">
        <v>346</v>
      </c>
      <c r="I1341" s="1" t="s">
        <v>347</v>
      </c>
      <c r="J1341" s="1" t="s">
        <v>348</v>
      </c>
    </row>
    <row r="1342" spans="1:10" x14ac:dyDescent="0.25">
      <c r="A1342" s="1" t="s">
        <v>2814</v>
      </c>
      <c r="B1342" s="1" t="s">
        <v>829</v>
      </c>
      <c r="C1342" s="19">
        <v>46182</v>
      </c>
      <c r="D1342" s="1" t="s">
        <v>21</v>
      </c>
      <c r="E1342" s="1" t="s">
        <v>81</v>
      </c>
      <c r="F1342" s="1">
        <v>5873</v>
      </c>
      <c r="G1342" s="1" t="s">
        <v>349</v>
      </c>
      <c r="H1342" s="1" t="s">
        <v>350</v>
      </c>
      <c r="I1342" s="1" t="s">
        <v>347</v>
      </c>
      <c r="J1342" s="1" t="s">
        <v>351</v>
      </c>
    </row>
    <row r="1343" spans="1:10" x14ac:dyDescent="0.25">
      <c r="A1343" s="1" t="s">
        <v>2815</v>
      </c>
      <c r="B1343" s="1" t="s">
        <v>829</v>
      </c>
      <c r="C1343" s="19">
        <v>46182</v>
      </c>
      <c r="D1343" s="1" t="s">
        <v>21</v>
      </c>
      <c r="E1343" s="1" t="s">
        <v>81</v>
      </c>
      <c r="F1343" s="1">
        <v>5873</v>
      </c>
      <c r="G1343" s="1" t="s">
        <v>361</v>
      </c>
      <c r="H1343" s="1" t="s">
        <v>353</v>
      </c>
      <c r="I1343" s="1" t="s">
        <v>347</v>
      </c>
      <c r="J1343" s="1" t="s">
        <v>362</v>
      </c>
    </row>
    <row r="1344" spans="1:10" x14ac:dyDescent="0.25">
      <c r="A1344" s="1" t="s">
        <v>2816</v>
      </c>
      <c r="B1344" s="1" t="s">
        <v>830</v>
      </c>
      <c r="C1344" s="19">
        <v>46182</v>
      </c>
      <c r="D1344" s="1" t="s">
        <v>21</v>
      </c>
      <c r="E1344" s="1" t="s">
        <v>81</v>
      </c>
      <c r="F1344" s="1">
        <v>5874</v>
      </c>
      <c r="G1344" s="1" t="s">
        <v>355</v>
      </c>
      <c r="H1344" s="1" t="s">
        <v>346</v>
      </c>
      <c r="I1344" s="1" t="s">
        <v>347</v>
      </c>
      <c r="J1344" s="1" t="s">
        <v>356</v>
      </c>
    </row>
    <row r="1345" spans="1:10" x14ac:dyDescent="0.25">
      <c r="A1345" s="1" t="s">
        <v>2817</v>
      </c>
      <c r="B1345" s="1" t="s">
        <v>830</v>
      </c>
      <c r="C1345" s="19">
        <v>46182</v>
      </c>
      <c r="D1345" s="1" t="s">
        <v>21</v>
      </c>
      <c r="E1345" s="1" t="s">
        <v>81</v>
      </c>
      <c r="F1345" s="1">
        <v>5874</v>
      </c>
      <c r="G1345" s="1" t="s">
        <v>345</v>
      </c>
      <c r="H1345" s="1" t="s">
        <v>346</v>
      </c>
      <c r="I1345" s="1" t="s">
        <v>347</v>
      </c>
      <c r="J1345" s="1" t="s">
        <v>348</v>
      </c>
    </row>
    <row r="1346" spans="1:10" x14ac:dyDescent="0.25">
      <c r="A1346" s="1" t="s">
        <v>2818</v>
      </c>
      <c r="B1346" s="1" t="s">
        <v>830</v>
      </c>
      <c r="C1346" s="19">
        <v>46182</v>
      </c>
      <c r="D1346" s="1" t="s">
        <v>21</v>
      </c>
      <c r="E1346" s="1" t="s">
        <v>81</v>
      </c>
      <c r="F1346" s="1">
        <v>5874</v>
      </c>
      <c r="G1346" s="1" t="s">
        <v>349</v>
      </c>
      <c r="H1346" s="1" t="s">
        <v>350</v>
      </c>
      <c r="I1346" s="1" t="s">
        <v>347</v>
      </c>
      <c r="J1346" s="1" t="s">
        <v>351</v>
      </c>
    </row>
    <row r="1347" spans="1:10" x14ac:dyDescent="0.25">
      <c r="A1347" s="1" t="s">
        <v>2819</v>
      </c>
      <c r="B1347" s="1" t="s">
        <v>830</v>
      </c>
      <c r="C1347" s="19">
        <v>46182</v>
      </c>
      <c r="D1347" s="1" t="s">
        <v>21</v>
      </c>
      <c r="E1347" s="1" t="s">
        <v>81</v>
      </c>
      <c r="F1347" s="1">
        <v>5874</v>
      </c>
      <c r="G1347" s="1" t="s">
        <v>361</v>
      </c>
      <c r="H1347" s="1" t="s">
        <v>353</v>
      </c>
      <c r="I1347" s="1" t="s">
        <v>347</v>
      </c>
      <c r="J1347" s="1" t="s">
        <v>362</v>
      </c>
    </row>
    <row r="1348" spans="1:10" x14ac:dyDescent="0.25">
      <c r="A1348" s="1" t="s">
        <v>2820</v>
      </c>
      <c r="B1348" s="1" t="s">
        <v>831</v>
      </c>
      <c r="C1348" s="19">
        <v>46182</v>
      </c>
      <c r="D1348" s="1" t="s">
        <v>21</v>
      </c>
      <c r="E1348" s="1" t="s">
        <v>81</v>
      </c>
      <c r="F1348" s="1">
        <v>5875</v>
      </c>
      <c r="G1348" s="1" t="s">
        <v>355</v>
      </c>
      <c r="H1348" s="1" t="s">
        <v>346</v>
      </c>
      <c r="I1348" s="1" t="s">
        <v>347</v>
      </c>
      <c r="J1348" s="1" t="s">
        <v>356</v>
      </c>
    </row>
    <row r="1349" spans="1:10" x14ac:dyDescent="0.25">
      <c r="A1349" s="1" t="s">
        <v>2821</v>
      </c>
      <c r="B1349" s="1" t="s">
        <v>831</v>
      </c>
      <c r="C1349" s="19">
        <v>46182</v>
      </c>
      <c r="D1349" s="1" t="s">
        <v>21</v>
      </c>
      <c r="E1349" s="1" t="s">
        <v>81</v>
      </c>
      <c r="F1349" s="1">
        <v>5875</v>
      </c>
      <c r="G1349" s="1" t="s">
        <v>345</v>
      </c>
      <c r="H1349" s="1" t="s">
        <v>346</v>
      </c>
      <c r="I1349" s="1" t="s">
        <v>347</v>
      </c>
      <c r="J1349" s="1" t="s">
        <v>348</v>
      </c>
    </row>
    <row r="1350" spans="1:10" x14ac:dyDescent="0.25">
      <c r="A1350" s="1" t="s">
        <v>2822</v>
      </c>
      <c r="B1350" s="1" t="s">
        <v>831</v>
      </c>
      <c r="C1350" s="19">
        <v>46182</v>
      </c>
      <c r="D1350" s="1" t="s">
        <v>21</v>
      </c>
      <c r="E1350" s="1" t="s">
        <v>81</v>
      </c>
      <c r="F1350" s="1">
        <v>5875</v>
      </c>
      <c r="G1350" s="1" t="s">
        <v>349</v>
      </c>
      <c r="H1350" s="1" t="s">
        <v>350</v>
      </c>
      <c r="I1350" s="1" t="s">
        <v>347</v>
      </c>
      <c r="J1350" s="1" t="s">
        <v>351</v>
      </c>
    </row>
    <row r="1351" spans="1:10" x14ac:dyDescent="0.25">
      <c r="A1351" s="1" t="s">
        <v>2823</v>
      </c>
      <c r="B1351" s="1" t="s">
        <v>831</v>
      </c>
      <c r="C1351" s="19">
        <v>46182</v>
      </c>
      <c r="D1351" s="1" t="s">
        <v>21</v>
      </c>
      <c r="E1351" s="1" t="s">
        <v>81</v>
      </c>
      <c r="F1351" s="1">
        <v>5875</v>
      </c>
      <c r="G1351" s="1" t="s">
        <v>361</v>
      </c>
      <c r="H1351" s="1" t="s">
        <v>353</v>
      </c>
      <c r="I1351" s="1" t="s">
        <v>347</v>
      </c>
      <c r="J1351" s="1" t="s">
        <v>362</v>
      </c>
    </row>
    <row r="1352" spans="1:10" x14ac:dyDescent="0.25">
      <c r="A1352" s="1" t="s">
        <v>2824</v>
      </c>
      <c r="B1352" s="1" t="s">
        <v>832</v>
      </c>
      <c r="C1352" s="19">
        <v>46182</v>
      </c>
      <c r="D1352" s="1" t="s">
        <v>21</v>
      </c>
      <c r="E1352" s="1" t="s">
        <v>81</v>
      </c>
      <c r="F1352" s="1">
        <v>5876</v>
      </c>
      <c r="G1352" s="1" t="s">
        <v>355</v>
      </c>
      <c r="H1352" s="1" t="s">
        <v>346</v>
      </c>
      <c r="I1352" s="1" t="s">
        <v>347</v>
      </c>
      <c r="J1352" s="1" t="s">
        <v>356</v>
      </c>
    </row>
    <row r="1353" spans="1:10" x14ac:dyDescent="0.25">
      <c r="A1353" s="1" t="s">
        <v>2825</v>
      </c>
      <c r="B1353" s="1" t="s">
        <v>832</v>
      </c>
      <c r="C1353" s="19">
        <v>46182</v>
      </c>
      <c r="D1353" s="1" t="s">
        <v>21</v>
      </c>
      <c r="E1353" s="1" t="s">
        <v>81</v>
      </c>
      <c r="F1353" s="1">
        <v>5876</v>
      </c>
      <c r="G1353" s="1" t="s">
        <v>345</v>
      </c>
      <c r="H1353" s="1" t="s">
        <v>346</v>
      </c>
      <c r="I1353" s="1" t="s">
        <v>347</v>
      </c>
      <c r="J1353" s="1" t="s">
        <v>348</v>
      </c>
    </row>
    <row r="1354" spans="1:10" x14ac:dyDescent="0.25">
      <c r="A1354" s="1" t="s">
        <v>2826</v>
      </c>
      <c r="B1354" s="1" t="s">
        <v>832</v>
      </c>
      <c r="C1354" s="19">
        <v>46182</v>
      </c>
      <c r="D1354" s="1" t="s">
        <v>21</v>
      </c>
      <c r="E1354" s="1" t="s">
        <v>81</v>
      </c>
      <c r="F1354" s="1">
        <v>5876</v>
      </c>
      <c r="G1354" s="1" t="s">
        <v>349</v>
      </c>
      <c r="H1354" s="1" t="s">
        <v>350</v>
      </c>
      <c r="I1354" s="1" t="s">
        <v>347</v>
      </c>
      <c r="J1354" s="1" t="s">
        <v>351</v>
      </c>
    </row>
    <row r="1355" spans="1:10" x14ac:dyDescent="0.25">
      <c r="A1355" s="1" t="s">
        <v>2827</v>
      </c>
      <c r="B1355" s="1" t="s">
        <v>832</v>
      </c>
      <c r="C1355" s="19">
        <v>46182</v>
      </c>
      <c r="D1355" s="1" t="s">
        <v>21</v>
      </c>
      <c r="E1355" s="1" t="s">
        <v>81</v>
      </c>
      <c r="F1355" s="1">
        <v>5876</v>
      </c>
      <c r="G1355" s="1" t="s">
        <v>361</v>
      </c>
      <c r="H1355" s="1" t="s">
        <v>353</v>
      </c>
      <c r="I1355" s="1" t="s">
        <v>347</v>
      </c>
      <c r="J1355" s="1" t="s">
        <v>362</v>
      </c>
    </row>
    <row r="1356" spans="1:10" x14ac:dyDescent="0.25">
      <c r="A1356" s="1" t="s">
        <v>2828</v>
      </c>
      <c r="B1356" s="1" t="s">
        <v>833</v>
      </c>
      <c r="C1356" s="19">
        <v>46182</v>
      </c>
      <c r="D1356" s="1" t="s">
        <v>21</v>
      </c>
      <c r="E1356" s="1" t="s">
        <v>81</v>
      </c>
      <c r="F1356" s="1">
        <v>5877</v>
      </c>
      <c r="G1356" s="1" t="s">
        <v>355</v>
      </c>
      <c r="H1356" s="1" t="s">
        <v>346</v>
      </c>
      <c r="I1356" s="1" t="s">
        <v>347</v>
      </c>
      <c r="J1356" s="1" t="s">
        <v>356</v>
      </c>
    </row>
    <row r="1357" spans="1:10" x14ac:dyDescent="0.25">
      <c r="A1357" s="1" t="s">
        <v>2829</v>
      </c>
      <c r="B1357" s="1" t="s">
        <v>833</v>
      </c>
      <c r="C1357" s="19">
        <v>46182</v>
      </c>
      <c r="D1357" s="1" t="s">
        <v>21</v>
      </c>
      <c r="E1357" s="1" t="s">
        <v>81</v>
      </c>
      <c r="F1357" s="1">
        <v>5877</v>
      </c>
      <c r="G1357" s="1" t="s">
        <v>345</v>
      </c>
      <c r="H1357" s="1" t="s">
        <v>346</v>
      </c>
      <c r="I1357" s="1" t="s">
        <v>347</v>
      </c>
      <c r="J1357" s="1" t="s">
        <v>348</v>
      </c>
    </row>
    <row r="1358" spans="1:10" x14ac:dyDescent="0.25">
      <c r="A1358" s="1" t="s">
        <v>2830</v>
      </c>
      <c r="B1358" s="1" t="s">
        <v>833</v>
      </c>
      <c r="C1358" s="19">
        <v>46182</v>
      </c>
      <c r="D1358" s="1" t="s">
        <v>21</v>
      </c>
      <c r="E1358" s="1" t="s">
        <v>81</v>
      </c>
      <c r="F1358" s="1">
        <v>5877</v>
      </c>
      <c r="G1358" s="1" t="s">
        <v>349</v>
      </c>
      <c r="H1358" s="1" t="s">
        <v>350</v>
      </c>
      <c r="I1358" s="1" t="s">
        <v>347</v>
      </c>
      <c r="J1358" s="1" t="s">
        <v>351</v>
      </c>
    </row>
    <row r="1359" spans="1:10" x14ac:dyDescent="0.25">
      <c r="A1359" s="1" t="s">
        <v>2831</v>
      </c>
      <c r="B1359" s="1" t="s">
        <v>833</v>
      </c>
      <c r="C1359" s="19">
        <v>46182</v>
      </c>
      <c r="D1359" s="1" t="s">
        <v>21</v>
      </c>
      <c r="E1359" s="1" t="s">
        <v>81</v>
      </c>
      <c r="F1359" s="1">
        <v>5877</v>
      </c>
      <c r="G1359" s="1" t="s">
        <v>361</v>
      </c>
      <c r="H1359" s="1" t="s">
        <v>353</v>
      </c>
      <c r="I1359" s="1" t="s">
        <v>347</v>
      </c>
      <c r="J1359" s="1" t="s">
        <v>362</v>
      </c>
    </row>
    <row r="1360" spans="1:10" x14ac:dyDescent="0.25">
      <c r="A1360" s="1" t="s">
        <v>2832</v>
      </c>
      <c r="B1360" s="1" t="s">
        <v>834</v>
      </c>
      <c r="C1360" s="19">
        <v>46182</v>
      </c>
      <c r="D1360" s="1" t="s">
        <v>21</v>
      </c>
      <c r="E1360" s="1" t="s">
        <v>81</v>
      </c>
      <c r="F1360" s="1">
        <v>5878</v>
      </c>
      <c r="G1360" s="1" t="s">
        <v>355</v>
      </c>
      <c r="H1360" s="1" t="s">
        <v>346</v>
      </c>
      <c r="I1360" s="1" t="s">
        <v>347</v>
      </c>
      <c r="J1360" s="1" t="s">
        <v>356</v>
      </c>
    </row>
    <row r="1361" spans="1:10" x14ac:dyDescent="0.25">
      <c r="A1361" s="1" t="s">
        <v>2833</v>
      </c>
      <c r="B1361" s="1" t="s">
        <v>834</v>
      </c>
      <c r="C1361" s="19">
        <v>46182</v>
      </c>
      <c r="D1361" s="1" t="s">
        <v>21</v>
      </c>
      <c r="E1361" s="1" t="s">
        <v>81</v>
      </c>
      <c r="F1361" s="1">
        <v>5878</v>
      </c>
      <c r="G1361" s="1" t="s">
        <v>345</v>
      </c>
      <c r="H1361" s="1" t="s">
        <v>346</v>
      </c>
      <c r="I1361" s="1" t="s">
        <v>347</v>
      </c>
      <c r="J1361" s="1" t="s">
        <v>348</v>
      </c>
    </row>
    <row r="1362" spans="1:10" x14ac:dyDescent="0.25">
      <c r="A1362" s="1" t="s">
        <v>2834</v>
      </c>
      <c r="B1362" s="1" t="s">
        <v>834</v>
      </c>
      <c r="C1362" s="19">
        <v>46182</v>
      </c>
      <c r="D1362" s="1" t="s">
        <v>21</v>
      </c>
      <c r="E1362" s="1" t="s">
        <v>81</v>
      </c>
      <c r="F1362" s="1">
        <v>5878</v>
      </c>
      <c r="G1362" s="1" t="s">
        <v>349</v>
      </c>
      <c r="H1362" s="1" t="s">
        <v>350</v>
      </c>
      <c r="I1362" s="1" t="s">
        <v>347</v>
      </c>
      <c r="J1362" s="1" t="s">
        <v>351</v>
      </c>
    </row>
    <row r="1363" spans="1:10" x14ac:dyDescent="0.25">
      <c r="A1363" s="1" t="s">
        <v>2835</v>
      </c>
      <c r="B1363" s="1" t="s">
        <v>834</v>
      </c>
      <c r="C1363" s="19">
        <v>46182</v>
      </c>
      <c r="D1363" s="1" t="s">
        <v>21</v>
      </c>
      <c r="E1363" s="1" t="s">
        <v>81</v>
      </c>
      <c r="F1363" s="1">
        <v>5878</v>
      </c>
      <c r="G1363" s="1" t="s">
        <v>361</v>
      </c>
      <c r="H1363" s="1" t="s">
        <v>353</v>
      </c>
      <c r="I1363" s="1" t="s">
        <v>347</v>
      </c>
      <c r="J1363" s="1" t="s">
        <v>362</v>
      </c>
    </row>
    <row r="1364" spans="1:10" x14ac:dyDescent="0.25">
      <c r="A1364" s="1" t="s">
        <v>2836</v>
      </c>
      <c r="B1364" s="1" t="s">
        <v>835</v>
      </c>
      <c r="C1364" s="19">
        <v>46182</v>
      </c>
      <c r="D1364" s="1" t="s">
        <v>21</v>
      </c>
      <c r="E1364" s="1" t="s">
        <v>81</v>
      </c>
      <c r="F1364" s="1">
        <v>5879</v>
      </c>
      <c r="G1364" s="1" t="s">
        <v>355</v>
      </c>
      <c r="H1364" s="1" t="s">
        <v>346</v>
      </c>
      <c r="I1364" s="1" t="s">
        <v>347</v>
      </c>
      <c r="J1364" s="1" t="s">
        <v>356</v>
      </c>
    </row>
    <row r="1365" spans="1:10" x14ac:dyDescent="0.25">
      <c r="A1365" s="1" t="s">
        <v>2837</v>
      </c>
      <c r="B1365" s="1" t="s">
        <v>835</v>
      </c>
      <c r="C1365" s="19">
        <v>46182</v>
      </c>
      <c r="D1365" s="1" t="s">
        <v>21</v>
      </c>
      <c r="E1365" s="1" t="s">
        <v>81</v>
      </c>
      <c r="F1365" s="1">
        <v>5879</v>
      </c>
      <c r="G1365" s="1" t="s">
        <v>345</v>
      </c>
      <c r="H1365" s="1" t="s">
        <v>346</v>
      </c>
      <c r="I1365" s="1" t="s">
        <v>347</v>
      </c>
      <c r="J1365" s="1" t="s">
        <v>348</v>
      </c>
    </row>
    <row r="1366" spans="1:10" x14ac:dyDescent="0.25">
      <c r="A1366" s="1" t="s">
        <v>2838</v>
      </c>
      <c r="B1366" s="1" t="s">
        <v>835</v>
      </c>
      <c r="C1366" s="19">
        <v>46182</v>
      </c>
      <c r="D1366" s="1" t="s">
        <v>21</v>
      </c>
      <c r="E1366" s="1" t="s">
        <v>81</v>
      </c>
      <c r="F1366" s="1">
        <v>5879</v>
      </c>
      <c r="G1366" s="1" t="s">
        <v>349</v>
      </c>
      <c r="H1366" s="1" t="s">
        <v>350</v>
      </c>
      <c r="I1366" s="1" t="s">
        <v>347</v>
      </c>
      <c r="J1366" s="1" t="s">
        <v>351</v>
      </c>
    </row>
    <row r="1367" spans="1:10" x14ac:dyDescent="0.25">
      <c r="A1367" s="1" t="s">
        <v>2839</v>
      </c>
      <c r="B1367" s="1" t="s">
        <v>835</v>
      </c>
      <c r="C1367" s="19">
        <v>46182</v>
      </c>
      <c r="D1367" s="1" t="s">
        <v>21</v>
      </c>
      <c r="E1367" s="1" t="s">
        <v>81</v>
      </c>
      <c r="F1367" s="1">
        <v>5879</v>
      </c>
      <c r="G1367" s="1" t="s">
        <v>361</v>
      </c>
      <c r="H1367" s="1" t="s">
        <v>353</v>
      </c>
      <c r="I1367" s="1" t="s">
        <v>347</v>
      </c>
      <c r="J1367" s="1" t="s">
        <v>362</v>
      </c>
    </row>
    <row r="1368" spans="1:10" x14ac:dyDescent="0.25">
      <c r="A1368" s="1" t="s">
        <v>2840</v>
      </c>
      <c r="B1368" s="1" t="s">
        <v>836</v>
      </c>
      <c r="C1368" s="19">
        <v>46182</v>
      </c>
      <c r="D1368" s="1" t="s">
        <v>21</v>
      </c>
      <c r="E1368" s="1" t="s">
        <v>81</v>
      </c>
      <c r="F1368" s="1">
        <v>5880</v>
      </c>
      <c r="G1368" s="1" t="s">
        <v>355</v>
      </c>
      <c r="H1368" s="1" t="s">
        <v>346</v>
      </c>
      <c r="I1368" s="1" t="s">
        <v>347</v>
      </c>
      <c r="J1368" s="1" t="s">
        <v>356</v>
      </c>
    </row>
    <row r="1369" spans="1:10" x14ac:dyDescent="0.25">
      <c r="A1369" s="1" t="s">
        <v>2841</v>
      </c>
      <c r="B1369" s="1" t="s">
        <v>836</v>
      </c>
      <c r="C1369" s="19">
        <v>46182</v>
      </c>
      <c r="D1369" s="1" t="s">
        <v>21</v>
      </c>
      <c r="E1369" s="1" t="s">
        <v>81</v>
      </c>
      <c r="F1369" s="1">
        <v>5880</v>
      </c>
      <c r="G1369" s="1" t="s">
        <v>345</v>
      </c>
      <c r="H1369" s="1" t="s">
        <v>346</v>
      </c>
      <c r="I1369" s="1" t="s">
        <v>347</v>
      </c>
      <c r="J1369" s="1" t="s">
        <v>348</v>
      </c>
    </row>
    <row r="1370" spans="1:10" x14ac:dyDescent="0.25">
      <c r="A1370" s="1" t="s">
        <v>2842</v>
      </c>
      <c r="B1370" s="1" t="s">
        <v>836</v>
      </c>
      <c r="C1370" s="19">
        <v>46182</v>
      </c>
      <c r="D1370" s="1" t="s">
        <v>21</v>
      </c>
      <c r="E1370" s="1" t="s">
        <v>81</v>
      </c>
      <c r="F1370" s="1">
        <v>5880</v>
      </c>
      <c r="G1370" s="1" t="s">
        <v>349</v>
      </c>
      <c r="H1370" s="1" t="s">
        <v>350</v>
      </c>
      <c r="I1370" s="1" t="s">
        <v>347</v>
      </c>
      <c r="J1370" s="1" t="s">
        <v>351</v>
      </c>
    </row>
    <row r="1371" spans="1:10" x14ac:dyDescent="0.25">
      <c r="A1371" s="1" t="s">
        <v>2843</v>
      </c>
      <c r="B1371" s="1" t="s">
        <v>836</v>
      </c>
      <c r="C1371" s="19">
        <v>46182</v>
      </c>
      <c r="D1371" s="1" t="s">
        <v>21</v>
      </c>
      <c r="E1371" s="1" t="s">
        <v>81</v>
      </c>
      <c r="F1371" s="1">
        <v>5880</v>
      </c>
      <c r="G1371" s="1" t="s">
        <v>361</v>
      </c>
      <c r="H1371" s="1" t="s">
        <v>353</v>
      </c>
      <c r="I1371" s="1" t="s">
        <v>347</v>
      </c>
      <c r="J1371" s="1" t="s">
        <v>362</v>
      </c>
    </row>
    <row r="1372" spans="1:10" x14ac:dyDescent="0.25">
      <c r="A1372" s="1" t="s">
        <v>2844</v>
      </c>
      <c r="B1372" s="1" t="s">
        <v>837</v>
      </c>
      <c r="C1372" s="19">
        <v>46182</v>
      </c>
      <c r="D1372" s="1" t="s">
        <v>21</v>
      </c>
      <c r="E1372" s="1" t="s">
        <v>81</v>
      </c>
      <c r="F1372" s="1">
        <v>5881</v>
      </c>
      <c r="G1372" s="1" t="s">
        <v>355</v>
      </c>
      <c r="H1372" s="1" t="s">
        <v>346</v>
      </c>
      <c r="I1372" s="1" t="s">
        <v>347</v>
      </c>
      <c r="J1372" s="1" t="s">
        <v>356</v>
      </c>
    </row>
    <row r="1373" spans="1:10" x14ac:dyDescent="0.25">
      <c r="A1373" s="1" t="s">
        <v>2845</v>
      </c>
      <c r="B1373" s="1" t="s">
        <v>837</v>
      </c>
      <c r="C1373" s="19">
        <v>46182</v>
      </c>
      <c r="D1373" s="1" t="s">
        <v>21</v>
      </c>
      <c r="E1373" s="1" t="s">
        <v>81</v>
      </c>
      <c r="F1373" s="1">
        <v>5881</v>
      </c>
      <c r="G1373" s="1" t="s">
        <v>345</v>
      </c>
      <c r="H1373" s="1" t="s">
        <v>346</v>
      </c>
      <c r="I1373" s="1" t="s">
        <v>347</v>
      </c>
      <c r="J1373" s="1" t="s">
        <v>348</v>
      </c>
    </row>
    <row r="1374" spans="1:10" x14ac:dyDescent="0.25">
      <c r="A1374" s="1" t="s">
        <v>2846</v>
      </c>
      <c r="B1374" s="1" t="s">
        <v>837</v>
      </c>
      <c r="C1374" s="19">
        <v>46182</v>
      </c>
      <c r="D1374" s="1" t="s">
        <v>21</v>
      </c>
      <c r="E1374" s="1" t="s">
        <v>81</v>
      </c>
      <c r="F1374" s="1">
        <v>5881</v>
      </c>
      <c r="G1374" s="1" t="s">
        <v>349</v>
      </c>
      <c r="H1374" s="1" t="s">
        <v>350</v>
      </c>
      <c r="I1374" s="1" t="s">
        <v>347</v>
      </c>
      <c r="J1374" s="1" t="s">
        <v>351</v>
      </c>
    </row>
    <row r="1375" spans="1:10" x14ac:dyDescent="0.25">
      <c r="A1375" s="1" t="s">
        <v>2847</v>
      </c>
      <c r="B1375" s="1" t="s">
        <v>837</v>
      </c>
      <c r="C1375" s="19">
        <v>46182</v>
      </c>
      <c r="D1375" s="1" t="s">
        <v>21</v>
      </c>
      <c r="E1375" s="1" t="s">
        <v>81</v>
      </c>
      <c r="F1375" s="1">
        <v>5881</v>
      </c>
      <c r="G1375" s="1" t="s">
        <v>361</v>
      </c>
      <c r="H1375" s="1" t="s">
        <v>353</v>
      </c>
      <c r="I1375" s="1" t="s">
        <v>347</v>
      </c>
      <c r="J1375" s="1" t="s">
        <v>362</v>
      </c>
    </row>
    <row r="1376" spans="1:10" x14ac:dyDescent="0.25">
      <c r="A1376" s="1" t="s">
        <v>2848</v>
      </c>
      <c r="B1376" s="1" t="s">
        <v>838</v>
      </c>
      <c r="C1376" s="19">
        <v>46182</v>
      </c>
      <c r="D1376" s="1" t="s">
        <v>21</v>
      </c>
      <c r="E1376" s="1" t="s">
        <v>81</v>
      </c>
      <c r="F1376" s="1">
        <v>5882</v>
      </c>
      <c r="G1376" s="1" t="s">
        <v>355</v>
      </c>
      <c r="H1376" s="1" t="s">
        <v>346</v>
      </c>
      <c r="I1376" s="1" t="s">
        <v>347</v>
      </c>
      <c r="J1376" s="1" t="s">
        <v>356</v>
      </c>
    </row>
    <row r="1377" spans="1:10" x14ac:dyDescent="0.25">
      <c r="A1377" s="1" t="s">
        <v>2849</v>
      </c>
      <c r="B1377" s="1" t="s">
        <v>838</v>
      </c>
      <c r="C1377" s="19">
        <v>46182</v>
      </c>
      <c r="D1377" s="1" t="s">
        <v>21</v>
      </c>
      <c r="E1377" s="1" t="s">
        <v>81</v>
      </c>
      <c r="F1377" s="1">
        <v>5882</v>
      </c>
      <c r="G1377" s="1" t="s">
        <v>345</v>
      </c>
      <c r="H1377" s="1" t="s">
        <v>346</v>
      </c>
      <c r="I1377" s="1" t="s">
        <v>347</v>
      </c>
      <c r="J1377" s="1" t="s">
        <v>348</v>
      </c>
    </row>
    <row r="1378" spans="1:10" x14ac:dyDescent="0.25">
      <c r="A1378" s="1" t="s">
        <v>2850</v>
      </c>
      <c r="B1378" s="1" t="s">
        <v>838</v>
      </c>
      <c r="C1378" s="19">
        <v>46182</v>
      </c>
      <c r="D1378" s="1" t="s">
        <v>21</v>
      </c>
      <c r="E1378" s="1" t="s">
        <v>81</v>
      </c>
      <c r="F1378" s="1">
        <v>5882</v>
      </c>
      <c r="G1378" s="1" t="s">
        <v>349</v>
      </c>
      <c r="H1378" s="1" t="s">
        <v>350</v>
      </c>
      <c r="I1378" s="1" t="s">
        <v>347</v>
      </c>
      <c r="J1378" s="1" t="s">
        <v>351</v>
      </c>
    </row>
    <row r="1379" spans="1:10" x14ac:dyDescent="0.25">
      <c r="A1379" s="1" t="s">
        <v>2851</v>
      </c>
      <c r="B1379" s="1" t="s">
        <v>838</v>
      </c>
      <c r="C1379" s="19">
        <v>46182</v>
      </c>
      <c r="D1379" s="1" t="s">
        <v>21</v>
      </c>
      <c r="E1379" s="1" t="s">
        <v>81</v>
      </c>
      <c r="F1379" s="1">
        <v>5882</v>
      </c>
      <c r="G1379" s="1" t="s">
        <v>361</v>
      </c>
      <c r="H1379" s="1" t="s">
        <v>353</v>
      </c>
      <c r="I1379" s="1" t="s">
        <v>347</v>
      </c>
      <c r="J1379" s="1" t="s">
        <v>362</v>
      </c>
    </row>
    <row r="1380" spans="1:10" x14ac:dyDescent="0.25">
      <c r="A1380" s="1" t="s">
        <v>2852</v>
      </c>
      <c r="B1380" s="1" t="s">
        <v>839</v>
      </c>
      <c r="C1380" s="19">
        <v>46182</v>
      </c>
      <c r="D1380" s="1" t="s">
        <v>21</v>
      </c>
      <c r="E1380" s="1" t="s">
        <v>81</v>
      </c>
      <c r="F1380" s="1">
        <v>5883</v>
      </c>
      <c r="G1380" s="1" t="s">
        <v>355</v>
      </c>
      <c r="H1380" s="1" t="s">
        <v>346</v>
      </c>
      <c r="I1380" s="1" t="s">
        <v>347</v>
      </c>
      <c r="J1380" s="1" t="s">
        <v>356</v>
      </c>
    </row>
    <row r="1381" spans="1:10" x14ac:dyDescent="0.25">
      <c r="A1381" s="1" t="s">
        <v>2853</v>
      </c>
      <c r="B1381" s="1" t="s">
        <v>839</v>
      </c>
      <c r="C1381" s="19">
        <v>46182</v>
      </c>
      <c r="D1381" s="1" t="s">
        <v>21</v>
      </c>
      <c r="E1381" s="1" t="s">
        <v>81</v>
      </c>
      <c r="F1381" s="1">
        <v>5883</v>
      </c>
      <c r="G1381" s="1" t="s">
        <v>345</v>
      </c>
      <c r="H1381" s="1" t="s">
        <v>346</v>
      </c>
      <c r="I1381" s="1" t="s">
        <v>347</v>
      </c>
      <c r="J1381" s="1" t="s">
        <v>348</v>
      </c>
    </row>
    <row r="1382" spans="1:10" x14ac:dyDescent="0.25">
      <c r="A1382" s="1" t="s">
        <v>2854</v>
      </c>
      <c r="B1382" s="1" t="s">
        <v>839</v>
      </c>
      <c r="C1382" s="19">
        <v>46182</v>
      </c>
      <c r="D1382" s="1" t="s">
        <v>21</v>
      </c>
      <c r="E1382" s="1" t="s">
        <v>81</v>
      </c>
      <c r="F1382" s="1">
        <v>5883</v>
      </c>
      <c r="G1382" s="1" t="s">
        <v>349</v>
      </c>
      <c r="H1382" s="1" t="s">
        <v>350</v>
      </c>
      <c r="I1382" s="1" t="s">
        <v>347</v>
      </c>
      <c r="J1382" s="1" t="s">
        <v>351</v>
      </c>
    </row>
    <row r="1383" spans="1:10" x14ac:dyDescent="0.25">
      <c r="A1383" s="1" t="s">
        <v>2855</v>
      </c>
      <c r="B1383" s="1" t="s">
        <v>839</v>
      </c>
      <c r="C1383" s="19">
        <v>46182</v>
      </c>
      <c r="D1383" s="1" t="s">
        <v>21</v>
      </c>
      <c r="E1383" s="1" t="s">
        <v>81</v>
      </c>
      <c r="F1383" s="1">
        <v>5883</v>
      </c>
      <c r="G1383" s="1" t="s">
        <v>361</v>
      </c>
      <c r="H1383" s="1" t="s">
        <v>353</v>
      </c>
      <c r="I1383" s="1" t="s">
        <v>347</v>
      </c>
      <c r="J1383" s="1" t="s">
        <v>362</v>
      </c>
    </row>
    <row r="1384" spans="1:10" x14ac:dyDescent="0.25">
      <c r="A1384" s="1" t="s">
        <v>2856</v>
      </c>
      <c r="B1384" s="1" t="s">
        <v>840</v>
      </c>
      <c r="C1384" s="19">
        <v>46182</v>
      </c>
      <c r="D1384" s="1" t="s">
        <v>21</v>
      </c>
      <c r="E1384" s="1" t="s">
        <v>81</v>
      </c>
      <c r="F1384" s="1">
        <v>5884</v>
      </c>
      <c r="G1384" s="1" t="s">
        <v>355</v>
      </c>
      <c r="H1384" s="1" t="s">
        <v>346</v>
      </c>
      <c r="I1384" s="1" t="s">
        <v>347</v>
      </c>
      <c r="J1384" s="1" t="s">
        <v>356</v>
      </c>
    </row>
    <row r="1385" spans="1:10" x14ac:dyDescent="0.25">
      <c r="A1385" s="1" t="s">
        <v>2857</v>
      </c>
      <c r="B1385" s="1" t="s">
        <v>840</v>
      </c>
      <c r="C1385" s="19">
        <v>46182</v>
      </c>
      <c r="D1385" s="1" t="s">
        <v>21</v>
      </c>
      <c r="E1385" s="1" t="s">
        <v>81</v>
      </c>
      <c r="F1385" s="1">
        <v>5884</v>
      </c>
      <c r="G1385" s="1" t="s">
        <v>345</v>
      </c>
      <c r="H1385" s="1" t="s">
        <v>346</v>
      </c>
      <c r="I1385" s="1" t="s">
        <v>347</v>
      </c>
      <c r="J1385" s="1" t="s">
        <v>348</v>
      </c>
    </row>
    <row r="1386" spans="1:10" x14ac:dyDescent="0.25">
      <c r="A1386" s="1" t="s">
        <v>2858</v>
      </c>
      <c r="B1386" s="1" t="s">
        <v>840</v>
      </c>
      <c r="C1386" s="19">
        <v>46182</v>
      </c>
      <c r="D1386" s="1" t="s">
        <v>21</v>
      </c>
      <c r="E1386" s="1" t="s">
        <v>81</v>
      </c>
      <c r="F1386" s="1">
        <v>5884</v>
      </c>
      <c r="G1386" s="1" t="s">
        <v>349</v>
      </c>
      <c r="H1386" s="1" t="s">
        <v>350</v>
      </c>
      <c r="I1386" s="1" t="s">
        <v>347</v>
      </c>
      <c r="J1386" s="1" t="s">
        <v>351</v>
      </c>
    </row>
    <row r="1387" spans="1:10" x14ac:dyDescent="0.25">
      <c r="A1387" s="1" t="s">
        <v>2859</v>
      </c>
      <c r="B1387" s="1" t="s">
        <v>840</v>
      </c>
      <c r="C1387" s="19">
        <v>46182</v>
      </c>
      <c r="D1387" s="1" t="s">
        <v>21</v>
      </c>
      <c r="E1387" s="1" t="s">
        <v>81</v>
      </c>
      <c r="F1387" s="1">
        <v>5884</v>
      </c>
      <c r="G1387" s="1" t="s">
        <v>361</v>
      </c>
      <c r="H1387" s="1" t="s">
        <v>353</v>
      </c>
      <c r="I1387" s="1" t="s">
        <v>347</v>
      </c>
      <c r="J1387" s="1" t="s">
        <v>362</v>
      </c>
    </row>
    <row r="1388" spans="1:10" x14ac:dyDescent="0.25">
      <c r="A1388" s="1" t="s">
        <v>2860</v>
      </c>
      <c r="B1388" s="1" t="s">
        <v>841</v>
      </c>
      <c r="C1388" s="19">
        <v>46182</v>
      </c>
      <c r="D1388" s="1" t="s">
        <v>21</v>
      </c>
      <c r="E1388" s="1" t="s">
        <v>81</v>
      </c>
      <c r="F1388" s="1">
        <v>5885</v>
      </c>
      <c r="G1388" s="1" t="s">
        <v>355</v>
      </c>
      <c r="H1388" s="1" t="s">
        <v>346</v>
      </c>
      <c r="I1388" s="1" t="s">
        <v>347</v>
      </c>
      <c r="J1388" s="1" t="s">
        <v>356</v>
      </c>
    </row>
    <row r="1389" spans="1:10" x14ac:dyDescent="0.25">
      <c r="A1389" s="1" t="s">
        <v>2861</v>
      </c>
      <c r="B1389" s="1" t="s">
        <v>841</v>
      </c>
      <c r="C1389" s="19">
        <v>46182</v>
      </c>
      <c r="D1389" s="1" t="s">
        <v>21</v>
      </c>
      <c r="E1389" s="1" t="s">
        <v>81</v>
      </c>
      <c r="F1389" s="1">
        <v>5885</v>
      </c>
      <c r="G1389" s="1" t="s">
        <v>345</v>
      </c>
      <c r="H1389" s="1" t="s">
        <v>346</v>
      </c>
      <c r="I1389" s="1" t="s">
        <v>347</v>
      </c>
      <c r="J1389" s="1" t="s">
        <v>348</v>
      </c>
    </row>
    <row r="1390" spans="1:10" x14ac:dyDescent="0.25">
      <c r="A1390" s="1" t="s">
        <v>2862</v>
      </c>
      <c r="B1390" s="1" t="s">
        <v>841</v>
      </c>
      <c r="C1390" s="19">
        <v>46182</v>
      </c>
      <c r="D1390" s="1" t="s">
        <v>21</v>
      </c>
      <c r="E1390" s="1" t="s">
        <v>81</v>
      </c>
      <c r="F1390" s="1">
        <v>5885</v>
      </c>
      <c r="G1390" s="1" t="s">
        <v>349</v>
      </c>
      <c r="H1390" s="1" t="s">
        <v>350</v>
      </c>
      <c r="I1390" s="1" t="s">
        <v>347</v>
      </c>
      <c r="J1390" s="1" t="s">
        <v>351</v>
      </c>
    </row>
    <row r="1391" spans="1:10" x14ac:dyDescent="0.25">
      <c r="A1391" s="1" t="s">
        <v>2863</v>
      </c>
      <c r="B1391" s="1" t="s">
        <v>841</v>
      </c>
      <c r="C1391" s="19">
        <v>46182</v>
      </c>
      <c r="D1391" s="1" t="s">
        <v>21</v>
      </c>
      <c r="E1391" s="1" t="s">
        <v>81</v>
      </c>
      <c r="F1391" s="1">
        <v>5885</v>
      </c>
      <c r="G1391" s="1" t="s">
        <v>361</v>
      </c>
      <c r="H1391" s="1" t="s">
        <v>353</v>
      </c>
      <c r="I1391" s="1" t="s">
        <v>347</v>
      </c>
      <c r="J1391" s="1" t="s">
        <v>362</v>
      </c>
    </row>
    <row r="1392" spans="1:10" x14ac:dyDescent="0.25">
      <c r="A1392" s="1" t="s">
        <v>2864</v>
      </c>
      <c r="B1392" s="1" t="s">
        <v>842</v>
      </c>
      <c r="C1392" s="19">
        <v>46182</v>
      </c>
      <c r="D1392" s="1" t="s">
        <v>21</v>
      </c>
      <c r="E1392" s="1" t="s">
        <v>81</v>
      </c>
      <c r="F1392" s="1">
        <v>5886</v>
      </c>
      <c r="G1392" s="1" t="s">
        <v>355</v>
      </c>
      <c r="H1392" s="1" t="s">
        <v>346</v>
      </c>
      <c r="I1392" s="1" t="s">
        <v>347</v>
      </c>
      <c r="J1392" s="1" t="s">
        <v>356</v>
      </c>
    </row>
    <row r="1393" spans="1:10" x14ac:dyDescent="0.25">
      <c r="A1393" s="1" t="s">
        <v>2865</v>
      </c>
      <c r="B1393" s="1" t="s">
        <v>842</v>
      </c>
      <c r="C1393" s="19">
        <v>46182</v>
      </c>
      <c r="D1393" s="1" t="s">
        <v>21</v>
      </c>
      <c r="E1393" s="1" t="s">
        <v>81</v>
      </c>
      <c r="F1393" s="1">
        <v>5886</v>
      </c>
      <c r="G1393" s="1" t="s">
        <v>345</v>
      </c>
      <c r="H1393" s="1" t="s">
        <v>346</v>
      </c>
      <c r="I1393" s="1" t="s">
        <v>347</v>
      </c>
      <c r="J1393" s="1" t="s">
        <v>348</v>
      </c>
    </row>
    <row r="1394" spans="1:10" x14ac:dyDescent="0.25">
      <c r="A1394" s="1" t="s">
        <v>2866</v>
      </c>
      <c r="B1394" s="1" t="s">
        <v>842</v>
      </c>
      <c r="C1394" s="19">
        <v>46182</v>
      </c>
      <c r="D1394" s="1" t="s">
        <v>21</v>
      </c>
      <c r="E1394" s="1" t="s">
        <v>81</v>
      </c>
      <c r="F1394" s="1">
        <v>5886</v>
      </c>
      <c r="G1394" s="1" t="s">
        <v>349</v>
      </c>
      <c r="H1394" s="1" t="s">
        <v>350</v>
      </c>
      <c r="I1394" s="1" t="s">
        <v>347</v>
      </c>
      <c r="J1394" s="1" t="s">
        <v>351</v>
      </c>
    </row>
    <row r="1395" spans="1:10" x14ac:dyDescent="0.25">
      <c r="A1395" s="1" t="s">
        <v>2867</v>
      </c>
      <c r="B1395" s="1" t="s">
        <v>842</v>
      </c>
      <c r="C1395" s="19">
        <v>46182</v>
      </c>
      <c r="D1395" s="1" t="s">
        <v>21</v>
      </c>
      <c r="E1395" s="1" t="s">
        <v>81</v>
      </c>
      <c r="F1395" s="1">
        <v>5886</v>
      </c>
      <c r="G1395" s="1" t="s">
        <v>361</v>
      </c>
      <c r="H1395" s="1" t="s">
        <v>353</v>
      </c>
      <c r="I1395" s="1" t="s">
        <v>347</v>
      </c>
      <c r="J1395" s="1" t="s">
        <v>362</v>
      </c>
    </row>
    <row r="1396" spans="1:10" x14ac:dyDescent="0.25">
      <c r="A1396" s="1" t="s">
        <v>2868</v>
      </c>
      <c r="B1396" s="1" t="s">
        <v>843</v>
      </c>
      <c r="C1396" s="19">
        <v>46182</v>
      </c>
      <c r="D1396" s="1" t="s">
        <v>21</v>
      </c>
      <c r="E1396" s="1" t="s">
        <v>81</v>
      </c>
      <c r="F1396" s="1">
        <v>5887</v>
      </c>
      <c r="G1396" s="1" t="s">
        <v>355</v>
      </c>
      <c r="H1396" s="1" t="s">
        <v>346</v>
      </c>
      <c r="I1396" s="1" t="s">
        <v>347</v>
      </c>
      <c r="J1396" s="1" t="s">
        <v>356</v>
      </c>
    </row>
    <row r="1397" spans="1:10" x14ac:dyDescent="0.25">
      <c r="A1397" s="1" t="s">
        <v>2869</v>
      </c>
      <c r="B1397" s="1" t="s">
        <v>843</v>
      </c>
      <c r="C1397" s="19">
        <v>46182</v>
      </c>
      <c r="D1397" s="1" t="s">
        <v>21</v>
      </c>
      <c r="E1397" s="1" t="s">
        <v>81</v>
      </c>
      <c r="F1397" s="1">
        <v>5887</v>
      </c>
      <c r="G1397" s="1" t="s">
        <v>345</v>
      </c>
      <c r="H1397" s="1" t="s">
        <v>346</v>
      </c>
      <c r="I1397" s="1" t="s">
        <v>347</v>
      </c>
      <c r="J1397" s="1" t="s">
        <v>348</v>
      </c>
    </row>
    <row r="1398" spans="1:10" x14ac:dyDescent="0.25">
      <c r="A1398" s="1" t="s">
        <v>2870</v>
      </c>
      <c r="B1398" s="1" t="s">
        <v>843</v>
      </c>
      <c r="C1398" s="19">
        <v>46182</v>
      </c>
      <c r="D1398" s="1" t="s">
        <v>21</v>
      </c>
      <c r="E1398" s="1" t="s">
        <v>81</v>
      </c>
      <c r="F1398" s="1">
        <v>5887</v>
      </c>
      <c r="G1398" s="1" t="s">
        <v>349</v>
      </c>
      <c r="H1398" s="1" t="s">
        <v>350</v>
      </c>
      <c r="I1398" s="1" t="s">
        <v>347</v>
      </c>
      <c r="J1398" s="1" t="s">
        <v>351</v>
      </c>
    </row>
    <row r="1399" spans="1:10" x14ac:dyDescent="0.25">
      <c r="A1399" s="1" t="s">
        <v>2871</v>
      </c>
      <c r="B1399" s="1" t="s">
        <v>843</v>
      </c>
      <c r="C1399" s="19">
        <v>46182</v>
      </c>
      <c r="D1399" s="1" t="s">
        <v>21</v>
      </c>
      <c r="E1399" s="1" t="s">
        <v>81</v>
      </c>
      <c r="F1399" s="1">
        <v>5887</v>
      </c>
      <c r="G1399" s="1" t="s">
        <v>361</v>
      </c>
      <c r="H1399" s="1" t="s">
        <v>353</v>
      </c>
      <c r="I1399" s="1" t="s">
        <v>347</v>
      </c>
      <c r="J1399" s="1" t="s">
        <v>362</v>
      </c>
    </row>
    <row r="1400" spans="1:10" x14ac:dyDescent="0.25">
      <c r="A1400" s="1" t="s">
        <v>2872</v>
      </c>
      <c r="B1400" s="1" t="s">
        <v>844</v>
      </c>
      <c r="C1400" s="19">
        <v>46182</v>
      </c>
      <c r="D1400" s="1" t="s">
        <v>21</v>
      </c>
      <c r="E1400" s="1" t="s">
        <v>81</v>
      </c>
      <c r="F1400" s="1">
        <v>5888</v>
      </c>
      <c r="G1400" s="1" t="s">
        <v>355</v>
      </c>
      <c r="H1400" s="1" t="s">
        <v>346</v>
      </c>
      <c r="I1400" s="1" t="s">
        <v>347</v>
      </c>
      <c r="J1400" s="1" t="s">
        <v>356</v>
      </c>
    </row>
    <row r="1401" spans="1:10" x14ac:dyDescent="0.25">
      <c r="A1401" s="1" t="s">
        <v>2873</v>
      </c>
      <c r="B1401" s="1" t="s">
        <v>844</v>
      </c>
      <c r="C1401" s="19">
        <v>46182</v>
      </c>
      <c r="D1401" s="1" t="s">
        <v>21</v>
      </c>
      <c r="E1401" s="1" t="s">
        <v>81</v>
      </c>
      <c r="F1401" s="1">
        <v>5888</v>
      </c>
      <c r="G1401" s="1" t="s">
        <v>345</v>
      </c>
      <c r="H1401" s="1" t="s">
        <v>346</v>
      </c>
      <c r="I1401" s="1" t="s">
        <v>347</v>
      </c>
      <c r="J1401" s="1" t="s">
        <v>348</v>
      </c>
    </row>
    <row r="1402" spans="1:10" x14ac:dyDescent="0.25">
      <c r="A1402" s="1" t="s">
        <v>2874</v>
      </c>
      <c r="B1402" s="1" t="s">
        <v>844</v>
      </c>
      <c r="C1402" s="19">
        <v>46182</v>
      </c>
      <c r="D1402" s="1" t="s">
        <v>21</v>
      </c>
      <c r="E1402" s="1" t="s">
        <v>81</v>
      </c>
      <c r="F1402" s="1">
        <v>5888</v>
      </c>
      <c r="G1402" s="1" t="s">
        <v>349</v>
      </c>
      <c r="H1402" s="1" t="s">
        <v>350</v>
      </c>
      <c r="I1402" s="1" t="s">
        <v>347</v>
      </c>
      <c r="J1402" s="1" t="s">
        <v>351</v>
      </c>
    </row>
    <row r="1403" spans="1:10" x14ac:dyDescent="0.25">
      <c r="A1403" s="1" t="s">
        <v>2875</v>
      </c>
      <c r="B1403" s="1" t="s">
        <v>844</v>
      </c>
      <c r="C1403" s="19">
        <v>46182</v>
      </c>
      <c r="D1403" s="1" t="s">
        <v>21</v>
      </c>
      <c r="E1403" s="1" t="s">
        <v>81</v>
      </c>
      <c r="F1403" s="1">
        <v>5888</v>
      </c>
      <c r="G1403" s="1" t="s">
        <v>361</v>
      </c>
      <c r="H1403" s="1" t="s">
        <v>353</v>
      </c>
      <c r="I1403" s="1" t="s">
        <v>347</v>
      </c>
      <c r="J1403" s="1" t="s">
        <v>362</v>
      </c>
    </row>
    <row r="1404" spans="1:10" x14ac:dyDescent="0.25">
      <c r="A1404" s="1" t="s">
        <v>2876</v>
      </c>
      <c r="B1404" s="1" t="s">
        <v>845</v>
      </c>
      <c r="C1404" s="19">
        <v>46182</v>
      </c>
      <c r="D1404" s="1" t="s">
        <v>21</v>
      </c>
      <c r="E1404" s="1" t="s">
        <v>81</v>
      </c>
      <c r="F1404" s="1">
        <v>5889</v>
      </c>
      <c r="G1404" s="1" t="s">
        <v>355</v>
      </c>
      <c r="H1404" s="1" t="s">
        <v>346</v>
      </c>
      <c r="I1404" s="1" t="s">
        <v>347</v>
      </c>
      <c r="J1404" s="1" t="s">
        <v>356</v>
      </c>
    </row>
    <row r="1405" spans="1:10" x14ac:dyDescent="0.25">
      <c r="A1405" s="1" t="s">
        <v>2877</v>
      </c>
      <c r="B1405" s="1" t="s">
        <v>845</v>
      </c>
      <c r="C1405" s="19">
        <v>46182</v>
      </c>
      <c r="D1405" s="1" t="s">
        <v>21</v>
      </c>
      <c r="E1405" s="1" t="s">
        <v>81</v>
      </c>
      <c r="F1405" s="1">
        <v>5889</v>
      </c>
      <c r="G1405" s="1" t="s">
        <v>345</v>
      </c>
      <c r="H1405" s="1" t="s">
        <v>346</v>
      </c>
      <c r="I1405" s="1" t="s">
        <v>347</v>
      </c>
      <c r="J1405" s="1" t="s">
        <v>348</v>
      </c>
    </row>
    <row r="1406" spans="1:10" x14ac:dyDescent="0.25">
      <c r="A1406" s="1" t="s">
        <v>2878</v>
      </c>
      <c r="B1406" s="1" t="s">
        <v>845</v>
      </c>
      <c r="C1406" s="19">
        <v>46182</v>
      </c>
      <c r="D1406" s="1" t="s">
        <v>21</v>
      </c>
      <c r="E1406" s="1" t="s">
        <v>81</v>
      </c>
      <c r="F1406" s="1">
        <v>5889</v>
      </c>
      <c r="G1406" s="1" t="s">
        <v>349</v>
      </c>
      <c r="H1406" s="1" t="s">
        <v>350</v>
      </c>
      <c r="I1406" s="1" t="s">
        <v>347</v>
      </c>
      <c r="J1406" s="1" t="s">
        <v>351</v>
      </c>
    </row>
    <row r="1407" spans="1:10" x14ac:dyDescent="0.25">
      <c r="A1407" s="1" t="s">
        <v>2879</v>
      </c>
      <c r="B1407" s="1" t="s">
        <v>845</v>
      </c>
      <c r="C1407" s="19">
        <v>46182</v>
      </c>
      <c r="D1407" s="1" t="s">
        <v>21</v>
      </c>
      <c r="E1407" s="1" t="s">
        <v>81</v>
      </c>
      <c r="F1407" s="1">
        <v>5889</v>
      </c>
      <c r="G1407" s="1" t="s">
        <v>361</v>
      </c>
      <c r="H1407" s="1" t="s">
        <v>353</v>
      </c>
      <c r="I1407" s="1" t="s">
        <v>347</v>
      </c>
      <c r="J1407" s="1" t="s">
        <v>362</v>
      </c>
    </row>
    <row r="1408" spans="1:10" x14ac:dyDescent="0.25">
      <c r="A1408" s="1" t="s">
        <v>2880</v>
      </c>
      <c r="B1408" s="1" t="s">
        <v>846</v>
      </c>
      <c r="C1408" s="19">
        <v>46182</v>
      </c>
      <c r="D1408" s="1" t="s">
        <v>21</v>
      </c>
      <c r="E1408" s="1" t="s">
        <v>81</v>
      </c>
      <c r="F1408" s="1">
        <v>5890</v>
      </c>
      <c r="G1408" s="1" t="s">
        <v>355</v>
      </c>
      <c r="H1408" s="1" t="s">
        <v>346</v>
      </c>
      <c r="I1408" s="1" t="s">
        <v>347</v>
      </c>
      <c r="J1408" s="1" t="s">
        <v>356</v>
      </c>
    </row>
    <row r="1409" spans="1:10" x14ac:dyDescent="0.25">
      <c r="A1409" s="1" t="s">
        <v>2881</v>
      </c>
      <c r="B1409" s="1" t="s">
        <v>846</v>
      </c>
      <c r="C1409" s="19">
        <v>46182</v>
      </c>
      <c r="D1409" s="1" t="s">
        <v>21</v>
      </c>
      <c r="E1409" s="1" t="s">
        <v>81</v>
      </c>
      <c r="F1409" s="1">
        <v>5890</v>
      </c>
      <c r="G1409" s="1" t="s">
        <v>345</v>
      </c>
      <c r="H1409" s="1" t="s">
        <v>346</v>
      </c>
      <c r="I1409" s="1" t="s">
        <v>347</v>
      </c>
      <c r="J1409" s="1" t="s">
        <v>348</v>
      </c>
    </row>
    <row r="1410" spans="1:10" x14ac:dyDescent="0.25">
      <c r="A1410" s="1" t="s">
        <v>2882</v>
      </c>
      <c r="B1410" s="1" t="s">
        <v>846</v>
      </c>
      <c r="C1410" s="19">
        <v>46182</v>
      </c>
      <c r="D1410" s="1" t="s">
        <v>21</v>
      </c>
      <c r="E1410" s="1" t="s">
        <v>81</v>
      </c>
      <c r="F1410" s="1">
        <v>5890</v>
      </c>
      <c r="G1410" s="1" t="s">
        <v>349</v>
      </c>
      <c r="H1410" s="1" t="s">
        <v>350</v>
      </c>
      <c r="I1410" s="1" t="s">
        <v>347</v>
      </c>
      <c r="J1410" s="1" t="s">
        <v>351</v>
      </c>
    </row>
    <row r="1411" spans="1:10" x14ac:dyDescent="0.25">
      <c r="A1411" s="1" t="s">
        <v>2883</v>
      </c>
      <c r="B1411" s="1" t="s">
        <v>846</v>
      </c>
      <c r="C1411" s="19">
        <v>46182</v>
      </c>
      <c r="D1411" s="1" t="s">
        <v>21</v>
      </c>
      <c r="E1411" s="1" t="s">
        <v>81</v>
      </c>
      <c r="F1411" s="1">
        <v>5890</v>
      </c>
      <c r="G1411" s="1" t="s">
        <v>361</v>
      </c>
      <c r="H1411" s="1" t="s">
        <v>353</v>
      </c>
      <c r="I1411" s="1" t="s">
        <v>347</v>
      </c>
      <c r="J1411" s="1" t="s">
        <v>362</v>
      </c>
    </row>
    <row r="1412" spans="1:10" x14ac:dyDescent="0.25">
      <c r="A1412" s="1" t="s">
        <v>2884</v>
      </c>
      <c r="B1412" s="1" t="s">
        <v>847</v>
      </c>
      <c r="C1412" s="19">
        <v>46182</v>
      </c>
      <c r="D1412" s="1" t="s">
        <v>21</v>
      </c>
      <c r="E1412" s="1" t="s">
        <v>81</v>
      </c>
      <c r="F1412" s="1">
        <v>5891</v>
      </c>
      <c r="G1412" s="1" t="s">
        <v>355</v>
      </c>
      <c r="H1412" s="1" t="s">
        <v>346</v>
      </c>
      <c r="I1412" s="1" t="s">
        <v>347</v>
      </c>
      <c r="J1412" s="1" t="s">
        <v>356</v>
      </c>
    </row>
    <row r="1413" spans="1:10" x14ac:dyDescent="0.25">
      <c r="A1413" s="1" t="s">
        <v>2885</v>
      </c>
      <c r="B1413" s="1" t="s">
        <v>847</v>
      </c>
      <c r="C1413" s="19">
        <v>46182</v>
      </c>
      <c r="D1413" s="1" t="s">
        <v>21</v>
      </c>
      <c r="E1413" s="1" t="s">
        <v>81</v>
      </c>
      <c r="F1413" s="1">
        <v>5891</v>
      </c>
      <c r="G1413" s="1" t="s">
        <v>345</v>
      </c>
      <c r="H1413" s="1" t="s">
        <v>346</v>
      </c>
      <c r="I1413" s="1" t="s">
        <v>347</v>
      </c>
      <c r="J1413" s="1" t="s">
        <v>348</v>
      </c>
    </row>
    <row r="1414" spans="1:10" x14ac:dyDescent="0.25">
      <c r="A1414" s="1" t="s">
        <v>2886</v>
      </c>
      <c r="B1414" s="1" t="s">
        <v>847</v>
      </c>
      <c r="C1414" s="19">
        <v>46182</v>
      </c>
      <c r="D1414" s="1" t="s">
        <v>21</v>
      </c>
      <c r="E1414" s="1" t="s">
        <v>81</v>
      </c>
      <c r="F1414" s="1">
        <v>5891</v>
      </c>
      <c r="G1414" s="1" t="s">
        <v>349</v>
      </c>
      <c r="H1414" s="1" t="s">
        <v>350</v>
      </c>
      <c r="I1414" s="1" t="s">
        <v>347</v>
      </c>
      <c r="J1414" s="1" t="s">
        <v>351</v>
      </c>
    </row>
    <row r="1415" spans="1:10" x14ac:dyDescent="0.25">
      <c r="A1415" s="1" t="s">
        <v>2887</v>
      </c>
      <c r="B1415" s="1" t="s">
        <v>847</v>
      </c>
      <c r="C1415" s="19">
        <v>46182</v>
      </c>
      <c r="D1415" s="1" t="s">
        <v>21</v>
      </c>
      <c r="E1415" s="1" t="s">
        <v>81</v>
      </c>
      <c r="F1415" s="1">
        <v>5891</v>
      </c>
      <c r="G1415" s="1" t="s">
        <v>361</v>
      </c>
      <c r="H1415" s="1" t="s">
        <v>353</v>
      </c>
      <c r="I1415" s="1" t="s">
        <v>347</v>
      </c>
      <c r="J1415" s="1" t="s">
        <v>362</v>
      </c>
    </row>
    <row r="1416" spans="1:10" x14ac:dyDescent="0.25">
      <c r="A1416" s="1" t="s">
        <v>2888</v>
      </c>
      <c r="B1416" s="1" t="s">
        <v>848</v>
      </c>
      <c r="C1416" s="19">
        <v>46182</v>
      </c>
      <c r="D1416" s="1" t="s">
        <v>21</v>
      </c>
      <c r="E1416" s="1" t="s">
        <v>81</v>
      </c>
      <c r="F1416" s="1">
        <v>5892</v>
      </c>
      <c r="G1416" s="1" t="s">
        <v>355</v>
      </c>
      <c r="H1416" s="1" t="s">
        <v>346</v>
      </c>
      <c r="I1416" s="1" t="s">
        <v>347</v>
      </c>
      <c r="J1416" s="1" t="s">
        <v>356</v>
      </c>
    </row>
    <row r="1417" spans="1:10" x14ac:dyDescent="0.25">
      <c r="A1417" s="1" t="s">
        <v>2889</v>
      </c>
      <c r="B1417" s="1" t="s">
        <v>848</v>
      </c>
      <c r="C1417" s="19">
        <v>46182</v>
      </c>
      <c r="D1417" s="1" t="s">
        <v>21</v>
      </c>
      <c r="E1417" s="1" t="s">
        <v>81</v>
      </c>
      <c r="F1417" s="1">
        <v>5892</v>
      </c>
      <c r="G1417" s="1" t="s">
        <v>345</v>
      </c>
      <c r="H1417" s="1" t="s">
        <v>346</v>
      </c>
      <c r="I1417" s="1" t="s">
        <v>347</v>
      </c>
      <c r="J1417" s="1" t="s">
        <v>348</v>
      </c>
    </row>
    <row r="1418" spans="1:10" x14ac:dyDescent="0.25">
      <c r="A1418" s="1" t="s">
        <v>2890</v>
      </c>
      <c r="B1418" s="1" t="s">
        <v>848</v>
      </c>
      <c r="C1418" s="19">
        <v>46182</v>
      </c>
      <c r="D1418" s="1" t="s">
        <v>21</v>
      </c>
      <c r="E1418" s="1" t="s">
        <v>81</v>
      </c>
      <c r="F1418" s="1">
        <v>5892</v>
      </c>
      <c r="G1418" s="1" t="s">
        <v>349</v>
      </c>
      <c r="H1418" s="1" t="s">
        <v>350</v>
      </c>
      <c r="I1418" s="1" t="s">
        <v>347</v>
      </c>
      <c r="J1418" s="1" t="s">
        <v>351</v>
      </c>
    </row>
    <row r="1419" spans="1:10" x14ac:dyDescent="0.25">
      <c r="A1419" s="1" t="s">
        <v>2891</v>
      </c>
      <c r="B1419" s="1" t="s">
        <v>848</v>
      </c>
      <c r="C1419" s="19">
        <v>46182</v>
      </c>
      <c r="D1419" s="1" t="s">
        <v>21</v>
      </c>
      <c r="E1419" s="1" t="s">
        <v>81</v>
      </c>
      <c r="F1419" s="1">
        <v>5892</v>
      </c>
      <c r="G1419" s="1" t="s">
        <v>361</v>
      </c>
      <c r="H1419" s="1" t="s">
        <v>353</v>
      </c>
      <c r="I1419" s="1" t="s">
        <v>347</v>
      </c>
      <c r="J1419" s="1" t="s">
        <v>362</v>
      </c>
    </row>
    <row r="1420" spans="1:10" x14ac:dyDescent="0.25">
      <c r="A1420" s="1" t="s">
        <v>2892</v>
      </c>
      <c r="B1420" s="1" t="s">
        <v>849</v>
      </c>
      <c r="C1420" s="19">
        <v>46182</v>
      </c>
      <c r="D1420" s="1" t="s">
        <v>21</v>
      </c>
      <c r="E1420" s="1" t="s">
        <v>81</v>
      </c>
      <c r="F1420" s="1">
        <v>5893</v>
      </c>
      <c r="G1420" s="1" t="s">
        <v>355</v>
      </c>
      <c r="H1420" s="1" t="s">
        <v>346</v>
      </c>
      <c r="I1420" s="1" t="s">
        <v>347</v>
      </c>
      <c r="J1420" s="1" t="s">
        <v>356</v>
      </c>
    </row>
    <row r="1421" spans="1:10" x14ac:dyDescent="0.25">
      <c r="A1421" s="1" t="s">
        <v>2893</v>
      </c>
      <c r="B1421" s="1" t="s">
        <v>849</v>
      </c>
      <c r="C1421" s="19">
        <v>46182</v>
      </c>
      <c r="D1421" s="1" t="s">
        <v>21</v>
      </c>
      <c r="E1421" s="1" t="s">
        <v>81</v>
      </c>
      <c r="F1421" s="1">
        <v>5893</v>
      </c>
      <c r="G1421" s="1" t="s">
        <v>345</v>
      </c>
      <c r="H1421" s="1" t="s">
        <v>346</v>
      </c>
      <c r="I1421" s="1" t="s">
        <v>347</v>
      </c>
      <c r="J1421" s="1" t="s">
        <v>348</v>
      </c>
    </row>
    <row r="1422" spans="1:10" x14ac:dyDescent="0.25">
      <c r="A1422" s="1" t="s">
        <v>2894</v>
      </c>
      <c r="B1422" s="1" t="s">
        <v>849</v>
      </c>
      <c r="C1422" s="19">
        <v>46182</v>
      </c>
      <c r="D1422" s="1" t="s">
        <v>21</v>
      </c>
      <c r="E1422" s="1" t="s">
        <v>81</v>
      </c>
      <c r="F1422" s="1">
        <v>5893</v>
      </c>
      <c r="G1422" s="1" t="s">
        <v>349</v>
      </c>
      <c r="H1422" s="1" t="s">
        <v>350</v>
      </c>
      <c r="I1422" s="1" t="s">
        <v>347</v>
      </c>
      <c r="J1422" s="1" t="s">
        <v>351</v>
      </c>
    </row>
    <row r="1423" spans="1:10" x14ac:dyDescent="0.25">
      <c r="A1423" s="1" t="s">
        <v>2895</v>
      </c>
      <c r="B1423" s="1" t="s">
        <v>849</v>
      </c>
      <c r="C1423" s="19">
        <v>46182</v>
      </c>
      <c r="D1423" s="1" t="s">
        <v>21</v>
      </c>
      <c r="E1423" s="1" t="s">
        <v>81</v>
      </c>
      <c r="F1423" s="1">
        <v>5893</v>
      </c>
      <c r="G1423" s="1" t="s">
        <v>361</v>
      </c>
      <c r="H1423" s="1" t="s">
        <v>353</v>
      </c>
      <c r="I1423" s="1" t="s">
        <v>347</v>
      </c>
      <c r="J1423" s="1" t="s">
        <v>362</v>
      </c>
    </row>
    <row r="1424" spans="1:10" x14ac:dyDescent="0.25">
      <c r="A1424" s="1" t="s">
        <v>2896</v>
      </c>
      <c r="B1424" s="1" t="s">
        <v>850</v>
      </c>
      <c r="C1424" s="19">
        <v>46182</v>
      </c>
      <c r="D1424" s="1" t="s">
        <v>21</v>
      </c>
      <c r="E1424" s="1" t="s">
        <v>81</v>
      </c>
      <c r="F1424" s="1">
        <v>5894</v>
      </c>
      <c r="G1424" s="1" t="s">
        <v>355</v>
      </c>
      <c r="H1424" s="1" t="s">
        <v>346</v>
      </c>
      <c r="I1424" s="1" t="s">
        <v>347</v>
      </c>
      <c r="J1424" s="1" t="s">
        <v>356</v>
      </c>
    </row>
    <row r="1425" spans="1:10" x14ac:dyDescent="0.25">
      <c r="A1425" s="1" t="s">
        <v>2897</v>
      </c>
      <c r="B1425" s="1" t="s">
        <v>850</v>
      </c>
      <c r="C1425" s="19">
        <v>46182</v>
      </c>
      <c r="D1425" s="1" t="s">
        <v>21</v>
      </c>
      <c r="E1425" s="1" t="s">
        <v>81</v>
      </c>
      <c r="F1425" s="1">
        <v>5894</v>
      </c>
      <c r="G1425" s="1" t="s">
        <v>345</v>
      </c>
      <c r="H1425" s="1" t="s">
        <v>346</v>
      </c>
      <c r="I1425" s="1" t="s">
        <v>347</v>
      </c>
      <c r="J1425" s="1" t="s">
        <v>348</v>
      </c>
    </row>
    <row r="1426" spans="1:10" x14ac:dyDescent="0.25">
      <c r="A1426" s="1" t="s">
        <v>2898</v>
      </c>
      <c r="B1426" s="1" t="s">
        <v>850</v>
      </c>
      <c r="C1426" s="19">
        <v>46182</v>
      </c>
      <c r="D1426" s="1" t="s">
        <v>21</v>
      </c>
      <c r="E1426" s="1" t="s">
        <v>81</v>
      </c>
      <c r="F1426" s="1">
        <v>5894</v>
      </c>
      <c r="G1426" s="1" t="s">
        <v>349</v>
      </c>
      <c r="H1426" s="1" t="s">
        <v>350</v>
      </c>
      <c r="I1426" s="1" t="s">
        <v>347</v>
      </c>
      <c r="J1426" s="1" t="s">
        <v>351</v>
      </c>
    </row>
    <row r="1427" spans="1:10" x14ac:dyDescent="0.25">
      <c r="A1427" s="1" t="s">
        <v>2899</v>
      </c>
      <c r="B1427" s="1" t="s">
        <v>850</v>
      </c>
      <c r="C1427" s="19">
        <v>46182</v>
      </c>
      <c r="D1427" s="1" t="s">
        <v>21</v>
      </c>
      <c r="E1427" s="1" t="s">
        <v>81</v>
      </c>
      <c r="F1427" s="1">
        <v>5894</v>
      </c>
      <c r="G1427" s="1" t="s">
        <v>361</v>
      </c>
      <c r="H1427" s="1" t="s">
        <v>353</v>
      </c>
      <c r="I1427" s="1" t="s">
        <v>347</v>
      </c>
      <c r="J1427" s="1" t="s">
        <v>362</v>
      </c>
    </row>
    <row r="1428" spans="1:10" x14ac:dyDescent="0.25">
      <c r="A1428" s="1" t="s">
        <v>2900</v>
      </c>
      <c r="B1428" s="1" t="s">
        <v>851</v>
      </c>
      <c r="C1428" s="19">
        <v>46182</v>
      </c>
      <c r="D1428" s="1" t="s">
        <v>21</v>
      </c>
      <c r="E1428" s="1" t="s">
        <v>81</v>
      </c>
      <c r="F1428" s="1">
        <v>5895</v>
      </c>
      <c r="G1428" s="1" t="s">
        <v>355</v>
      </c>
      <c r="H1428" s="1" t="s">
        <v>346</v>
      </c>
      <c r="I1428" s="1" t="s">
        <v>347</v>
      </c>
      <c r="J1428" s="1" t="s">
        <v>356</v>
      </c>
    </row>
    <row r="1429" spans="1:10" x14ac:dyDescent="0.25">
      <c r="A1429" s="1" t="s">
        <v>2901</v>
      </c>
      <c r="B1429" s="1" t="s">
        <v>851</v>
      </c>
      <c r="C1429" s="19">
        <v>46182</v>
      </c>
      <c r="D1429" s="1" t="s">
        <v>21</v>
      </c>
      <c r="E1429" s="1" t="s">
        <v>81</v>
      </c>
      <c r="F1429" s="1">
        <v>5895</v>
      </c>
      <c r="G1429" s="1" t="s">
        <v>345</v>
      </c>
      <c r="H1429" s="1" t="s">
        <v>346</v>
      </c>
      <c r="I1429" s="1" t="s">
        <v>347</v>
      </c>
      <c r="J1429" s="1" t="s">
        <v>348</v>
      </c>
    </row>
    <row r="1430" spans="1:10" x14ac:dyDescent="0.25">
      <c r="A1430" s="1" t="s">
        <v>2902</v>
      </c>
      <c r="B1430" s="1" t="s">
        <v>851</v>
      </c>
      <c r="C1430" s="19">
        <v>46182</v>
      </c>
      <c r="D1430" s="1" t="s">
        <v>21</v>
      </c>
      <c r="E1430" s="1" t="s">
        <v>81</v>
      </c>
      <c r="F1430" s="1">
        <v>5895</v>
      </c>
      <c r="G1430" s="1" t="s">
        <v>349</v>
      </c>
      <c r="H1430" s="1" t="s">
        <v>350</v>
      </c>
      <c r="I1430" s="1" t="s">
        <v>347</v>
      </c>
      <c r="J1430" s="1" t="s">
        <v>351</v>
      </c>
    </row>
    <row r="1431" spans="1:10" x14ac:dyDescent="0.25">
      <c r="A1431" s="1" t="s">
        <v>2903</v>
      </c>
      <c r="B1431" s="1" t="s">
        <v>851</v>
      </c>
      <c r="C1431" s="19">
        <v>46182</v>
      </c>
      <c r="D1431" s="1" t="s">
        <v>21</v>
      </c>
      <c r="E1431" s="1" t="s">
        <v>81</v>
      </c>
      <c r="F1431" s="1">
        <v>5895</v>
      </c>
      <c r="G1431" s="1" t="s">
        <v>361</v>
      </c>
      <c r="H1431" s="1" t="s">
        <v>353</v>
      </c>
      <c r="I1431" s="1" t="s">
        <v>347</v>
      </c>
      <c r="J1431" s="1" t="s">
        <v>362</v>
      </c>
    </row>
    <row r="1432" spans="1:10" x14ac:dyDescent="0.25">
      <c r="A1432" s="1" t="s">
        <v>2904</v>
      </c>
      <c r="B1432" s="1" t="s">
        <v>852</v>
      </c>
      <c r="C1432" s="19">
        <v>46182</v>
      </c>
      <c r="D1432" s="1" t="s">
        <v>21</v>
      </c>
      <c r="E1432" s="1" t="s">
        <v>81</v>
      </c>
      <c r="F1432" s="1">
        <v>5896</v>
      </c>
      <c r="G1432" s="1" t="s">
        <v>355</v>
      </c>
      <c r="H1432" s="1" t="s">
        <v>346</v>
      </c>
      <c r="I1432" s="1" t="s">
        <v>347</v>
      </c>
      <c r="J1432" s="1" t="s">
        <v>356</v>
      </c>
    </row>
    <row r="1433" spans="1:10" x14ac:dyDescent="0.25">
      <c r="A1433" s="1" t="s">
        <v>2905</v>
      </c>
      <c r="B1433" s="1" t="s">
        <v>852</v>
      </c>
      <c r="C1433" s="19">
        <v>46182</v>
      </c>
      <c r="D1433" s="1" t="s">
        <v>21</v>
      </c>
      <c r="E1433" s="1" t="s">
        <v>81</v>
      </c>
      <c r="F1433" s="1">
        <v>5896</v>
      </c>
      <c r="G1433" s="1" t="s">
        <v>345</v>
      </c>
      <c r="H1433" s="1" t="s">
        <v>346</v>
      </c>
      <c r="I1433" s="1" t="s">
        <v>347</v>
      </c>
      <c r="J1433" s="1" t="s">
        <v>348</v>
      </c>
    </row>
    <row r="1434" spans="1:10" x14ac:dyDescent="0.25">
      <c r="A1434" s="1" t="s">
        <v>2906</v>
      </c>
      <c r="B1434" s="1" t="s">
        <v>852</v>
      </c>
      <c r="C1434" s="19">
        <v>46182</v>
      </c>
      <c r="D1434" s="1" t="s">
        <v>21</v>
      </c>
      <c r="E1434" s="1" t="s">
        <v>81</v>
      </c>
      <c r="F1434" s="1">
        <v>5896</v>
      </c>
      <c r="G1434" s="1" t="s">
        <v>349</v>
      </c>
      <c r="H1434" s="1" t="s">
        <v>350</v>
      </c>
      <c r="I1434" s="1" t="s">
        <v>347</v>
      </c>
      <c r="J1434" s="1" t="s">
        <v>351</v>
      </c>
    </row>
    <row r="1435" spans="1:10" x14ac:dyDescent="0.25">
      <c r="A1435" s="1" t="s">
        <v>2907</v>
      </c>
      <c r="B1435" s="1" t="s">
        <v>852</v>
      </c>
      <c r="C1435" s="19">
        <v>46182</v>
      </c>
      <c r="D1435" s="1" t="s">
        <v>21</v>
      </c>
      <c r="E1435" s="1" t="s">
        <v>81</v>
      </c>
      <c r="F1435" s="1">
        <v>5896</v>
      </c>
      <c r="G1435" s="1" t="s">
        <v>361</v>
      </c>
      <c r="H1435" s="1" t="s">
        <v>353</v>
      </c>
      <c r="I1435" s="1" t="s">
        <v>347</v>
      </c>
      <c r="J1435" s="1" t="s">
        <v>362</v>
      </c>
    </row>
    <row r="1436" spans="1:10" x14ac:dyDescent="0.25">
      <c r="A1436" s="1" t="s">
        <v>2908</v>
      </c>
      <c r="B1436" s="1" t="s">
        <v>853</v>
      </c>
      <c r="C1436" s="19">
        <v>46182</v>
      </c>
      <c r="D1436" s="1" t="s">
        <v>21</v>
      </c>
      <c r="E1436" s="1" t="s">
        <v>81</v>
      </c>
      <c r="F1436" s="1">
        <v>5897</v>
      </c>
      <c r="G1436" s="1" t="s">
        <v>355</v>
      </c>
      <c r="H1436" s="1" t="s">
        <v>346</v>
      </c>
      <c r="I1436" s="1" t="s">
        <v>347</v>
      </c>
      <c r="J1436" s="1" t="s">
        <v>356</v>
      </c>
    </row>
    <row r="1437" spans="1:10" x14ac:dyDescent="0.25">
      <c r="A1437" s="1" t="s">
        <v>2909</v>
      </c>
      <c r="B1437" s="1" t="s">
        <v>853</v>
      </c>
      <c r="C1437" s="19">
        <v>46182</v>
      </c>
      <c r="D1437" s="1" t="s">
        <v>21</v>
      </c>
      <c r="E1437" s="1" t="s">
        <v>81</v>
      </c>
      <c r="F1437" s="1">
        <v>5897</v>
      </c>
      <c r="G1437" s="1" t="s">
        <v>345</v>
      </c>
      <c r="H1437" s="1" t="s">
        <v>346</v>
      </c>
      <c r="I1437" s="1" t="s">
        <v>347</v>
      </c>
      <c r="J1437" s="1" t="s">
        <v>348</v>
      </c>
    </row>
    <row r="1438" spans="1:10" x14ac:dyDescent="0.25">
      <c r="A1438" s="1" t="s">
        <v>2910</v>
      </c>
      <c r="B1438" s="1" t="s">
        <v>853</v>
      </c>
      <c r="C1438" s="19">
        <v>46182</v>
      </c>
      <c r="D1438" s="1" t="s">
        <v>21</v>
      </c>
      <c r="E1438" s="1" t="s">
        <v>81</v>
      </c>
      <c r="F1438" s="1">
        <v>5897</v>
      </c>
      <c r="G1438" s="1" t="s">
        <v>349</v>
      </c>
      <c r="H1438" s="1" t="s">
        <v>350</v>
      </c>
      <c r="I1438" s="1" t="s">
        <v>347</v>
      </c>
      <c r="J1438" s="1" t="s">
        <v>351</v>
      </c>
    </row>
    <row r="1439" spans="1:10" x14ac:dyDescent="0.25">
      <c r="A1439" s="1" t="s">
        <v>2911</v>
      </c>
      <c r="B1439" s="1" t="s">
        <v>853</v>
      </c>
      <c r="C1439" s="19">
        <v>46182</v>
      </c>
      <c r="D1439" s="1" t="s">
        <v>21</v>
      </c>
      <c r="E1439" s="1" t="s">
        <v>81</v>
      </c>
      <c r="F1439" s="1">
        <v>5897</v>
      </c>
      <c r="G1439" s="1" t="s">
        <v>361</v>
      </c>
      <c r="H1439" s="1" t="s">
        <v>353</v>
      </c>
      <c r="I1439" s="1" t="s">
        <v>347</v>
      </c>
      <c r="J1439" s="1" t="s">
        <v>362</v>
      </c>
    </row>
    <row r="1440" spans="1:10" x14ac:dyDescent="0.25">
      <c r="A1440" s="1" t="s">
        <v>2912</v>
      </c>
      <c r="B1440" s="1" t="s">
        <v>854</v>
      </c>
      <c r="C1440" s="19">
        <v>46182</v>
      </c>
      <c r="D1440" s="1" t="s">
        <v>21</v>
      </c>
      <c r="E1440" s="1" t="s">
        <v>81</v>
      </c>
      <c r="F1440" s="1">
        <v>5898</v>
      </c>
      <c r="G1440" s="1" t="s">
        <v>355</v>
      </c>
      <c r="H1440" s="1" t="s">
        <v>346</v>
      </c>
      <c r="I1440" s="1" t="s">
        <v>347</v>
      </c>
      <c r="J1440" s="1" t="s">
        <v>356</v>
      </c>
    </row>
    <row r="1441" spans="1:10" x14ac:dyDescent="0.25">
      <c r="A1441" s="1" t="s">
        <v>2913</v>
      </c>
      <c r="B1441" s="1" t="s">
        <v>854</v>
      </c>
      <c r="C1441" s="19">
        <v>46182</v>
      </c>
      <c r="D1441" s="1" t="s">
        <v>21</v>
      </c>
      <c r="E1441" s="1" t="s">
        <v>81</v>
      </c>
      <c r="F1441" s="1">
        <v>5898</v>
      </c>
      <c r="G1441" s="1" t="s">
        <v>345</v>
      </c>
      <c r="H1441" s="1" t="s">
        <v>346</v>
      </c>
      <c r="I1441" s="1" t="s">
        <v>347</v>
      </c>
      <c r="J1441" s="1" t="s">
        <v>348</v>
      </c>
    </row>
    <row r="1442" spans="1:10" x14ac:dyDescent="0.25">
      <c r="A1442" s="1" t="s">
        <v>2914</v>
      </c>
      <c r="B1442" s="1" t="s">
        <v>854</v>
      </c>
      <c r="C1442" s="19">
        <v>46182</v>
      </c>
      <c r="D1442" s="1" t="s">
        <v>21</v>
      </c>
      <c r="E1442" s="1" t="s">
        <v>81</v>
      </c>
      <c r="F1442" s="1">
        <v>5898</v>
      </c>
      <c r="G1442" s="1" t="s">
        <v>349</v>
      </c>
      <c r="H1442" s="1" t="s">
        <v>350</v>
      </c>
      <c r="I1442" s="1" t="s">
        <v>347</v>
      </c>
      <c r="J1442" s="1" t="s">
        <v>351</v>
      </c>
    </row>
    <row r="1443" spans="1:10" x14ac:dyDescent="0.25">
      <c r="A1443" s="1" t="s">
        <v>2915</v>
      </c>
      <c r="B1443" s="1" t="s">
        <v>854</v>
      </c>
      <c r="C1443" s="19">
        <v>46182</v>
      </c>
      <c r="D1443" s="1" t="s">
        <v>21</v>
      </c>
      <c r="E1443" s="1" t="s">
        <v>81</v>
      </c>
      <c r="F1443" s="1">
        <v>5898</v>
      </c>
      <c r="G1443" s="1" t="s">
        <v>361</v>
      </c>
      <c r="H1443" s="1" t="s">
        <v>353</v>
      </c>
      <c r="I1443" s="1" t="s">
        <v>347</v>
      </c>
      <c r="J1443" s="1" t="s">
        <v>362</v>
      </c>
    </row>
    <row r="1444" spans="1:10" x14ac:dyDescent="0.25">
      <c r="A1444" s="1" t="s">
        <v>2916</v>
      </c>
      <c r="B1444" s="1" t="s">
        <v>855</v>
      </c>
      <c r="C1444" s="19">
        <v>46182</v>
      </c>
      <c r="D1444" s="1" t="s">
        <v>21</v>
      </c>
      <c r="E1444" s="1" t="s">
        <v>81</v>
      </c>
      <c r="F1444" s="1">
        <v>5899</v>
      </c>
      <c r="G1444" s="1" t="s">
        <v>355</v>
      </c>
      <c r="H1444" s="1" t="s">
        <v>346</v>
      </c>
      <c r="I1444" s="1" t="s">
        <v>347</v>
      </c>
      <c r="J1444" s="1" t="s">
        <v>356</v>
      </c>
    </row>
    <row r="1445" spans="1:10" x14ac:dyDescent="0.25">
      <c r="A1445" s="1" t="s">
        <v>2917</v>
      </c>
      <c r="B1445" s="1" t="s">
        <v>855</v>
      </c>
      <c r="C1445" s="19">
        <v>46182</v>
      </c>
      <c r="D1445" s="1" t="s">
        <v>21</v>
      </c>
      <c r="E1445" s="1" t="s">
        <v>81</v>
      </c>
      <c r="F1445" s="1">
        <v>5899</v>
      </c>
      <c r="G1445" s="1" t="s">
        <v>345</v>
      </c>
      <c r="H1445" s="1" t="s">
        <v>346</v>
      </c>
      <c r="I1445" s="1" t="s">
        <v>347</v>
      </c>
      <c r="J1445" s="1" t="s">
        <v>348</v>
      </c>
    </row>
    <row r="1446" spans="1:10" x14ac:dyDescent="0.25">
      <c r="A1446" s="1" t="s">
        <v>2918</v>
      </c>
      <c r="B1446" s="1" t="s">
        <v>855</v>
      </c>
      <c r="C1446" s="19">
        <v>46182</v>
      </c>
      <c r="D1446" s="1" t="s">
        <v>21</v>
      </c>
      <c r="E1446" s="1" t="s">
        <v>81</v>
      </c>
      <c r="F1446" s="1">
        <v>5899</v>
      </c>
      <c r="G1446" s="1" t="s">
        <v>349</v>
      </c>
      <c r="H1446" s="1" t="s">
        <v>350</v>
      </c>
      <c r="I1446" s="1" t="s">
        <v>347</v>
      </c>
      <c r="J1446" s="1" t="s">
        <v>351</v>
      </c>
    </row>
    <row r="1447" spans="1:10" x14ac:dyDescent="0.25">
      <c r="A1447" s="1" t="s">
        <v>2919</v>
      </c>
      <c r="B1447" s="1" t="s">
        <v>855</v>
      </c>
      <c r="C1447" s="19">
        <v>46182</v>
      </c>
      <c r="D1447" s="1" t="s">
        <v>21</v>
      </c>
      <c r="E1447" s="1" t="s">
        <v>81</v>
      </c>
      <c r="F1447" s="1">
        <v>5899</v>
      </c>
      <c r="G1447" s="1" t="s">
        <v>361</v>
      </c>
      <c r="H1447" s="1" t="s">
        <v>353</v>
      </c>
      <c r="I1447" s="1" t="s">
        <v>347</v>
      </c>
      <c r="J1447" s="1" t="s">
        <v>362</v>
      </c>
    </row>
    <row r="1448" spans="1:10" x14ac:dyDescent="0.25">
      <c r="A1448" s="1" t="s">
        <v>2920</v>
      </c>
      <c r="B1448" s="1" t="s">
        <v>856</v>
      </c>
      <c r="C1448" s="19">
        <v>46182</v>
      </c>
      <c r="D1448" s="1" t="s">
        <v>21</v>
      </c>
      <c r="E1448" s="1" t="s">
        <v>81</v>
      </c>
      <c r="F1448" s="1">
        <v>5900</v>
      </c>
      <c r="G1448" s="1" t="s">
        <v>355</v>
      </c>
      <c r="H1448" s="1" t="s">
        <v>346</v>
      </c>
      <c r="I1448" s="1" t="s">
        <v>347</v>
      </c>
      <c r="J1448" s="1" t="s">
        <v>356</v>
      </c>
    </row>
    <row r="1449" spans="1:10" x14ac:dyDescent="0.25">
      <c r="A1449" s="1" t="s">
        <v>2921</v>
      </c>
      <c r="B1449" s="1" t="s">
        <v>856</v>
      </c>
      <c r="C1449" s="19">
        <v>46182</v>
      </c>
      <c r="D1449" s="1" t="s">
        <v>21</v>
      </c>
      <c r="E1449" s="1" t="s">
        <v>81</v>
      </c>
      <c r="F1449" s="1">
        <v>5900</v>
      </c>
      <c r="G1449" s="1" t="s">
        <v>345</v>
      </c>
      <c r="H1449" s="1" t="s">
        <v>346</v>
      </c>
      <c r="I1449" s="1" t="s">
        <v>347</v>
      </c>
      <c r="J1449" s="1" t="s">
        <v>348</v>
      </c>
    </row>
    <row r="1450" spans="1:10" x14ac:dyDescent="0.25">
      <c r="A1450" s="1" t="s">
        <v>2922</v>
      </c>
      <c r="B1450" s="1" t="s">
        <v>856</v>
      </c>
      <c r="C1450" s="19">
        <v>46182</v>
      </c>
      <c r="D1450" s="1" t="s">
        <v>21</v>
      </c>
      <c r="E1450" s="1" t="s">
        <v>81</v>
      </c>
      <c r="F1450" s="1">
        <v>5900</v>
      </c>
      <c r="G1450" s="1" t="s">
        <v>349</v>
      </c>
      <c r="H1450" s="1" t="s">
        <v>350</v>
      </c>
      <c r="I1450" s="1" t="s">
        <v>347</v>
      </c>
      <c r="J1450" s="1" t="s">
        <v>351</v>
      </c>
    </row>
    <row r="1451" spans="1:10" x14ac:dyDescent="0.25">
      <c r="A1451" s="1" t="s">
        <v>2923</v>
      </c>
      <c r="B1451" s="1" t="s">
        <v>856</v>
      </c>
      <c r="C1451" s="19">
        <v>46182</v>
      </c>
      <c r="D1451" s="1" t="s">
        <v>21</v>
      </c>
      <c r="E1451" s="1" t="s">
        <v>81</v>
      </c>
      <c r="F1451" s="1">
        <v>5900</v>
      </c>
      <c r="G1451" s="1" t="s">
        <v>361</v>
      </c>
      <c r="H1451" s="1" t="s">
        <v>353</v>
      </c>
      <c r="I1451" s="1" t="s">
        <v>347</v>
      </c>
      <c r="J1451" s="1" t="s">
        <v>362</v>
      </c>
    </row>
    <row r="1452" spans="1:10" x14ac:dyDescent="0.25">
      <c r="A1452" s="1" t="s">
        <v>2924</v>
      </c>
      <c r="B1452" s="1" t="s">
        <v>857</v>
      </c>
      <c r="C1452" s="19">
        <v>46182</v>
      </c>
      <c r="D1452" s="1" t="s">
        <v>21</v>
      </c>
      <c r="E1452" s="1" t="s">
        <v>81</v>
      </c>
      <c r="F1452" s="1">
        <v>5901</v>
      </c>
      <c r="G1452" s="1" t="s">
        <v>355</v>
      </c>
      <c r="H1452" s="1" t="s">
        <v>346</v>
      </c>
      <c r="I1452" s="1" t="s">
        <v>347</v>
      </c>
      <c r="J1452" s="1" t="s">
        <v>356</v>
      </c>
    </row>
    <row r="1453" spans="1:10" x14ac:dyDescent="0.25">
      <c r="A1453" s="1" t="s">
        <v>2925</v>
      </c>
      <c r="B1453" s="1" t="s">
        <v>857</v>
      </c>
      <c r="C1453" s="19">
        <v>46182</v>
      </c>
      <c r="D1453" s="1" t="s">
        <v>21</v>
      </c>
      <c r="E1453" s="1" t="s">
        <v>81</v>
      </c>
      <c r="F1453" s="1">
        <v>5901</v>
      </c>
      <c r="G1453" s="1" t="s">
        <v>345</v>
      </c>
      <c r="H1453" s="1" t="s">
        <v>346</v>
      </c>
      <c r="I1453" s="1" t="s">
        <v>347</v>
      </c>
      <c r="J1453" s="1" t="s">
        <v>348</v>
      </c>
    </row>
    <row r="1454" spans="1:10" x14ac:dyDescent="0.25">
      <c r="A1454" s="1" t="s">
        <v>2926</v>
      </c>
      <c r="B1454" s="1" t="s">
        <v>857</v>
      </c>
      <c r="C1454" s="19">
        <v>46182</v>
      </c>
      <c r="D1454" s="1" t="s">
        <v>21</v>
      </c>
      <c r="E1454" s="1" t="s">
        <v>81</v>
      </c>
      <c r="F1454" s="1">
        <v>5901</v>
      </c>
      <c r="G1454" s="1" t="s">
        <v>349</v>
      </c>
      <c r="H1454" s="1" t="s">
        <v>350</v>
      </c>
      <c r="I1454" s="1" t="s">
        <v>347</v>
      </c>
      <c r="J1454" s="1" t="s">
        <v>351</v>
      </c>
    </row>
    <row r="1455" spans="1:10" x14ac:dyDescent="0.25">
      <c r="A1455" s="1" t="s">
        <v>2927</v>
      </c>
      <c r="B1455" s="1" t="s">
        <v>857</v>
      </c>
      <c r="C1455" s="19">
        <v>46182</v>
      </c>
      <c r="D1455" s="1" t="s">
        <v>21</v>
      </c>
      <c r="E1455" s="1" t="s">
        <v>81</v>
      </c>
      <c r="F1455" s="1">
        <v>5901</v>
      </c>
      <c r="G1455" s="1" t="s">
        <v>361</v>
      </c>
      <c r="H1455" s="1" t="s">
        <v>353</v>
      </c>
      <c r="I1455" s="1" t="s">
        <v>347</v>
      </c>
      <c r="J1455" s="1" t="s">
        <v>362</v>
      </c>
    </row>
    <row r="1456" spans="1:10" x14ac:dyDescent="0.25">
      <c r="A1456" s="1" t="s">
        <v>2928</v>
      </c>
      <c r="B1456" s="1" t="s">
        <v>858</v>
      </c>
      <c r="C1456" s="19">
        <v>46182</v>
      </c>
      <c r="D1456" s="1" t="s">
        <v>21</v>
      </c>
      <c r="E1456" s="1" t="s">
        <v>81</v>
      </c>
      <c r="F1456" s="1">
        <v>5902</v>
      </c>
      <c r="G1456" s="1" t="s">
        <v>355</v>
      </c>
      <c r="H1456" s="1" t="s">
        <v>346</v>
      </c>
      <c r="I1456" s="1" t="s">
        <v>347</v>
      </c>
      <c r="J1456" s="1" t="s">
        <v>356</v>
      </c>
    </row>
    <row r="1457" spans="1:10" x14ac:dyDescent="0.25">
      <c r="A1457" s="1" t="s">
        <v>2929</v>
      </c>
      <c r="B1457" s="1" t="s">
        <v>858</v>
      </c>
      <c r="C1457" s="19">
        <v>46182</v>
      </c>
      <c r="D1457" s="1" t="s">
        <v>21</v>
      </c>
      <c r="E1457" s="1" t="s">
        <v>81</v>
      </c>
      <c r="F1457" s="1">
        <v>5902</v>
      </c>
      <c r="G1457" s="1" t="s">
        <v>345</v>
      </c>
      <c r="H1457" s="1" t="s">
        <v>346</v>
      </c>
      <c r="I1457" s="1" t="s">
        <v>347</v>
      </c>
      <c r="J1457" s="1" t="s">
        <v>348</v>
      </c>
    </row>
    <row r="1458" spans="1:10" x14ac:dyDescent="0.25">
      <c r="A1458" s="1" t="s">
        <v>2930</v>
      </c>
      <c r="B1458" s="1" t="s">
        <v>858</v>
      </c>
      <c r="C1458" s="19">
        <v>46182</v>
      </c>
      <c r="D1458" s="1" t="s">
        <v>21</v>
      </c>
      <c r="E1458" s="1" t="s">
        <v>81</v>
      </c>
      <c r="F1458" s="1">
        <v>5902</v>
      </c>
      <c r="G1458" s="1" t="s">
        <v>349</v>
      </c>
      <c r="H1458" s="1" t="s">
        <v>350</v>
      </c>
      <c r="I1458" s="1" t="s">
        <v>347</v>
      </c>
      <c r="J1458" s="1" t="s">
        <v>351</v>
      </c>
    </row>
    <row r="1459" spans="1:10" x14ac:dyDescent="0.25">
      <c r="A1459" s="1" t="s">
        <v>2931</v>
      </c>
      <c r="B1459" s="1" t="s">
        <v>858</v>
      </c>
      <c r="C1459" s="19">
        <v>46182</v>
      </c>
      <c r="D1459" s="1" t="s">
        <v>21</v>
      </c>
      <c r="E1459" s="1" t="s">
        <v>81</v>
      </c>
      <c r="F1459" s="1">
        <v>5902</v>
      </c>
      <c r="G1459" s="1" t="s">
        <v>361</v>
      </c>
      <c r="H1459" s="1" t="s">
        <v>353</v>
      </c>
      <c r="I1459" s="1" t="s">
        <v>347</v>
      </c>
      <c r="J1459" s="1" t="s">
        <v>362</v>
      </c>
    </row>
    <row r="1460" spans="1:10" x14ac:dyDescent="0.25">
      <c r="A1460" s="1" t="s">
        <v>2932</v>
      </c>
      <c r="B1460" s="1" t="s">
        <v>859</v>
      </c>
      <c r="C1460" s="19">
        <v>46182</v>
      </c>
      <c r="D1460" s="1" t="s">
        <v>21</v>
      </c>
      <c r="E1460" s="1" t="s">
        <v>81</v>
      </c>
      <c r="F1460" s="1">
        <v>5903</v>
      </c>
      <c r="G1460" s="1" t="s">
        <v>355</v>
      </c>
      <c r="H1460" s="1" t="s">
        <v>346</v>
      </c>
      <c r="I1460" s="1" t="s">
        <v>347</v>
      </c>
      <c r="J1460" s="1" t="s">
        <v>356</v>
      </c>
    </row>
    <row r="1461" spans="1:10" x14ac:dyDescent="0.25">
      <c r="A1461" s="1" t="s">
        <v>2933</v>
      </c>
      <c r="B1461" s="1" t="s">
        <v>859</v>
      </c>
      <c r="C1461" s="19">
        <v>46182</v>
      </c>
      <c r="D1461" s="1" t="s">
        <v>21</v>
      </c>
      <c r="E1461" s="1" t="s">
        <v>81</v>
      </c>
      <c r="F1461" s="1">
        <v>5903</v>
      </c>
      <c r="G1461" s="1" t="s">
        <v>345</v>
      </c>
      <c r="H1461" s="1" t="s">
        <v>346</v>
      </c>
      <c r="I1461" s="1" t="s">
        <v>347</v>
      </c>
      <c r="J1461" s="1" t="s">
        <v>348</v>
      </c>
    </row>
    <row r="1462" spans="1:10" x14ac:dyDescent="0.25">
      <c r="A1462" s="1" t="s">
        <v>2934</v>
      </c>
      <c r="B1462" s="1" t="s">
        <v>859</v>
      </c>
      <c r="C1462" s="19">
        <v>46182</v>
      </c>
      <c r="D1462" s="1" t="s">
        <v>21</v>
      </c>
      <c r="E1462" s="1" t="s">
        <v>81</v>
      </c>
      <c r="F1462" s="1">
        <v>5903</v>
      </c>
      <c r="G1462" s="1" t="s">
        <v>349</v>
      </c>
      <c r="H1462" s="1" t="s">
        <v>350</v>
      </c>
      <c r="I1462" s="1" t="s">
        <v>347</v>
      </c>
      <c r="J1462" s="1" t="s">
        <v>351</v>
      </c>
    </row>
    <row r="1463" spans="1:10" x14ac:dyDescent="0.25">
      <c r="A1463" s="1" t="s">
        <v>2935</v>
      </c>
      <c r="B1463" s="1" t="s">
        <v>859</v>
      </c>
      <c r="C1463" s="19">
        <v>46182</v>
      </c>
      <c r="D1463" s="1" t="s">
        <v>21</v>
      </c>
      <c r="E1463" s="1" t="s">
        <v>81</v>
      </c>
      <c r="F1463" s="1">
        <v>5903</v>
      </c>
      <c r="G1463" s="1" t="s">
        <v>361</v>
      </c>
      <c r="H1463" s="1" t="s">
        <v>353</v>
      </c>
      <c r="I1463" s="1" t="s">
        <v>347</v>
      </c>
      <c r="J1463" s="1" t="s">
        <v>362</v>
      </c>
    </row>
    <row r="1464" spans="1:10" x14ac:dyDescent="0.25">
      <c r="A1464" s="1" t="s">
        <v>2936</v>
      </c>
      <c r="B1464" s="1" t="s">
        <v>860</v>
      </c>
      <c r="C1464" s="19">
        <v>46182</v>
      </c>
      <c r="D1464" s="1" t="s">
        <v>21</v>
      </c>
      <c r="E1464" s="1" t="s">
        <v>81</v>
      </c>
      <c r="F1464" s="1">
        <v>5904</v>
      </c>
      <c r="G1464" s="1" t="s">
        <v>355</v>
      </c>
      <c r="H1464" s="1" t="s">
        <v>346</v>
      </c>
      <c r="I1464" s="1" t="s">
        <v>347</v>
      </c>
      <c r="J1464" s="1" t="s">
        <v>356</v>
      </c>
    </row>
    <row r="1465" spans="1:10" x14ac:dyDescent="0.25">
      <c r="A1465" s="1" t="s">
        <v>2937</v>
      </c>
      <c r="B1465" s="1" t="s">
        <v>860</v>
      </c>
      <c r="C1465" s="19">
        <v>46182</v>
      </c>
      <c r="D1465" s="1" t="s">
        <v>21</v>
      </c>
      <c r="E1465" s="1" t="s">
        <v>81</v>
      </c>
      <c r="F1465" s="1">
        <v>5904</v>
      </c>
      <c r="G1465" s="1" t="s">
        <v>345</v>
      </c>
      <c r="H1465" s="1" t="s">
        <v>346</v>
      </c>
      <c r="I1465" s="1" t="s">
        <v>347</v>
      </c>
      <c r="J1465" s="1" t="s">
        <v>348</v>
      </c>
    </row>
    <row r="1466" spans="1:10" x14ac:dyDescent="0.25">
      <c r="A1466" s="1" t="s">
        <v>2938</v>
      </c>
      <c r="B1466" s="1" t="s">
        <v>860</v>
      </c>
      <c r="C1466" s="19">
        <v>46182</v>
      </c>
      <c r="D1466" s="1" t="s">
        <v>21</v>
      </c>
      <c r="E1466" s="1" t="s">
        <v>81</v>
      </c>
      <c r="F1466" s="1">
        <v>5904</v>
      </c>
      <c r="G1466" s="1" t="s">
        <v>349</v>
      </c>
      <c r="H1466" s="1" t="s">
        <v>350</v>
      </c>
      <c r="I1466" s="1" t="s">
        <v>347</v>
      </c>
      <c r="J1466" s="1" t="s">
        <v>351</v>
      </c>
    </row>
    <row r="1467" spans="1:10" x14ac:dyDescent="0.25">
      <c r="A1467" s="1" t="s">
        <v>2939</v>
      </c>
      <c r="B1467" s="1" t="s">
        <v>860</v>
      </c>
      <c r="C1467" s="19">
        <v>46182</v>
      </c>
      <c r="D1467" s="1" t="s">
        <v>21</v>
      </c>
      <c r="E1467" s="1" t="s">
        <v>81</v>
      </c>
      <c r="F1467" s="1">
        <v>5904</v>
      </c>
      <c r="G1467" s="1" t="s">
        <v>361</v>
      </c>
      <c r="H1467" s="1" t="s">
        <v>353</v>
      </c>
      <c r="I1467" s="1" t="s">
        <v>347</v>
      </c>
      <c r="J1467" s="1" t="s">
        <v>362</v>
      </c>
    </row>
    <row r="1468" spans="1:10" x14ac:dyDescent="0.25">
      <c r="A1468" s="1" t="s">
        <v>2940</v>
      </c>
      <c r="B1468" s="1" t="s">
        <v>861</v>
      </c>
      <c r="C1468" s="19">
        <v>46182</v>
      </c>
      <c r="D1468" s="1" t="s">
        <v>21</v>
      </c>
      <c r="E1468" s="1" t="s">
        <v>81</v>
      </c>
      <c r="F1468" s="1">
        <v>5905</v>
      </c>
      <c r="G1468" s="1" t="s">
        <v>355</v>
      </c>
      <c r="H1468" s="1" t="s">
        <v>346</v>
      </c>
      <c r="I1468" s="1" t="s">
        <v>347</v>
      </c>
      <c r="J1468" s="1" t="s">
        <v>356</v>
      </c>
    </row>
    <row r="1469" spans="1:10" x14ac:dyDescent="0.25">
      <c r="A1469" s="1" t="s">
        <v>2941</v>
      </c>
      <c r="B1469" s="1" t="s">
        <v>861</v>
      </c>
      <c r="C1469" s="19">
        <v>46182</v>
      </c>
      <c r="D1469" s="1" t="s">
        <v>21</v>
      </c>
      <c r="E1469" s="1" t="s">
        <v>81</v>
      </c>
      <c r="F1469" s="1">
        <v>5905</v>
      </c>
      <c r="G1469" s="1" t="s">
        <v>345</v>
      </c>
      <c r="H1469" s="1" t="s">
        <v>346</v>
      </c>
      <c r="I1469" s="1" t="s">
        <v>347</v>
      </c>
      <c r="J1469" s="1" t="s">
        <v>348</v>
      </c>
    </row>
    <row r="1470" spans="1:10" x14ac:dyDescent="0.25">
      <c r="A1470" s="1" t="s">
        <v>2942</v>
      </c>
      <c r="B1470" s="1" t="s">
        <v>861</v>
      </c>
      <c r="C1470" s="19">
        <v>46182</v>
      </c>
      <c r="D1470" s="1" t="s">
        <v>21</v>
      </c>
      <c r="E1470" s="1" t="s">
        <v>81</v>
      </c>
      <c r="F1470" s="1">
        <v>5905</v>
      </c>
      <c r="G1470" s="1" t="s">
        <v>349</v>
      </c>
      <c r="H1470" s="1" t="s">
        <v>350</v>
      </c>
      <c r="I1470" s="1" t="s">
        <v>347</v>
      </c>
      <c r="J1470" s="1" t="s">
        <v>351</v>
      </c>
    </row>
    <row r="1471" spans="1:10" x14ac:dyDescent="0.25">
      <c r="A1471" s="1" t="s">
        <v>2943</v>
      </c>
      <c r="B1471" s="1" t="s">
        <v>861</v>
      </c>
      <c r="C1471" s="19">
        <v>46182</v>
      </c>
      <c r="D1471" s="1" t="s">
        <v>21</v>
      </c>
      <c r="E1471" s="1" t="s">
        <v>81</v>
      </c>
      <c r="F1471" s="1">
        <v>5905</v>
      </c>
      <c r="G1471" s="1" t="s">
        <v>361</v>
      </c>
      <c r="H1471" s="1" t="s">
        <v>353</v>
      </c>
      <c r="I1471" s="1" t="s">
        <v>347</v>
      </c>
      <c r="J1471" s="1" t="s">
        <v>362</v>
      </c>
    </row>
    <row r="1472" spans="1:10" x14ac:dyDescent="0.25">
      <c r="A1472" s="1" t="s">
        <v>2944</v>
      </c>
      <c r="B1472" s="1" t="s">
        <v>862</v>
      </c>
      <c r="C1472" s="19">
        <v>46182</v>
      </c>
      <c r="D1472" s="1" t="s">
        <v>21</v>
      </c>
      <c r="E1472" s="1" t="s">
        <v>81</v>
      </c>
      <c r="F1472" s="1">
        <v>5906</v>
      </c>
      <c r="G1472" s="1" t="s">
        <v>355</v>
      </c>
      <c r="H1472" s="1" t="s">
        <v>346</v>
      </c>
      <c r="I1472" s="1" t="s">
        <v>347</v>
      </c>
      <c r="J1472" s="1" t="s">
        <v>356</v>
      </c>
    </row>
    <row r="1473" spans="1:10" x14ac:dyDescent="0.25">
      <c r="A1473" s="1" t="s">
        <v>2945</v>
      </c>
      <c r="B1473" s="1" t="s">
        <v>862</v>
      </c>
      <c r="C1473" s="19">
        <v>46182</v>
      </c>
      <c r="D1473" s="1" t="s">
        <v>21</v>
      </c>
      <c r="E1473" s="1" t="s">
        <v>81</v>
      </c>
      <c r="F1473" s="1">
        <v>5906</v>
      </c>
      <c r="G1473" s="1" t="s">
        <v>345</v>
      </c>
      <c r="H1473" s="1" t="s">
        <v>346</v>
      </c>
      <c r="I1473" s="1" t="s">
        <v>347</v>
      </c>
      <c r="J1473" s="1" t="s">
        <v>348</v>
      </c>
    </row>
    <row r="1474" spans="1:10" x14ac:dyDescent="0.25">
      <c r="A1474" s="1" t="s">
        <v>2946</v>
      </c>
      <c r="B1474" s="1" t="s">
        <v>862</v>
      </c>
      <c r="C1474" s="19">
        <v>46182</v>
      </c>
      <c r="D1474" s="1" t="s">
        <v>21</v>
      </c>
      <c r="E1474" s="1" t="s">
        <v>81</v>
      </c>
      <c r="F1474" s="1">
        <v>5906</v>
      </c>
      <c r="G1474" s="1" t="s">
        <v>349</v>
      </c>
      <c r="H1474" s="1" t="s">
        <v>350</v>
      </c>
      <c r="I1474" s="1" t="s">
        <v>347</v>
      </c>
      <c r="J1474" s="1" t="s">
        <v>351</v>
      </c>
    </row>
    <row r="1475" spans="1:10" x14ac:dyDescent="0.25">
      <c r="A1475" s="1" t="s">
        <v>2947</v>
      </c>
      <c r="B1475" s="1" t="s">
        <v>862</v>
      </c>
      <c r="C1475" s="19">
        <v>46182</v>
      </c>
      <c r="D1475" s="1" t="s">
        <v>21</v>
      </c>
      <c r="E1475" s="1" t="s">
        <v>81</v>
      </c>
      <c r="F1475" s="1">
        <v>5906</v>
      </c>
      <c r="G1475" s="1" t="s">
        <v>361</v>
      </c>
      <c r="H1475" s="1" t="s">
        <v>353</v>
      </c>
      <c r="I1475" s="1" t="s">
        <v>347</v>
      </c>
      <c r="J1475" s="1" t="s">
        <v>362</v>
      </c>
    </row>
    <row r="1476" spans="1:10" x14ac:dyDescent="0.25">
      <c r="A1476" s="1" t="s">
        <v>2948</v>
      </c>
      <c r="B1476" s="1" t="s">
        <v>863</v>
      </c>
      <c r="C1476" s="19">
        <v>46182</v>
      </c>
      <c r="D1476" s="1" t="s">
        <v>21</v>
      </c>
      <c r="E1476" s="1" t="s">
        <v>81</v>
      </c>
      <c r="F1476" s="1">
        <v>5907</v>
      </c>
      <c r="G1476" s="1" t="s">
        <v>355</v>
      </c>
      <c r="H1476" s="1" t="s">
        <v>346</v>
      </c>
      <c r="I1476" s="1" t="s">
        <v>347</v>
      </c>
      <c r="J1476" s="1" t="s">
        <v>356</v>
      </c>
    </row>
    <row r="1477" spans="1:10" x14ac:dyDescent="0.25">
      <c r="A1477" s="1" t="s">
        <v>2949</v>
      </c>
      <c r="B1477" s="1" t="s">
        <v>863</v>
      </c>
      <c r="C1477" s="19">
        <v>46182</v>
      </c>
      <c r="D1477" s="1" t="s">
        <v>21</v>
      </c>
      <c r="E1477" s="1" t="s">
        <v>81</v>
      </c>
      <c r="F1477" s="1">
        <v>5907</v>
      </c>
      <c r="G1477" s="1" t="s">
        <v>345</v>
      </c>
      <c r="H1477" s="1" t="s">
        <v>346</v>
      </c>
      <c r="I1477" s="1" t="s">
        <v>347</v>
      </c>
      <c r="J1477" s="1" t="s">
        <v>348</v>
      </c>
    </row>
    <row r="1478" spans="1:10" x14ac:dyDescent="0.25">
      <c r="A1478" s="1" t="s">
        <v>2950</v>
      </c>
      <c r="B1478" s="1" t="s">
        <v>863</v>
      </c>
      <c r="C1478" s="19">
        <v>46182</v>
      </c>
      <c r="D1478" s="1" t="s">
        <v>21</v>
      </c>
      <c r="E1478" s="1" t="s">
        <v>81</v>
      </c>
      <c r="F1478" s="1">
        <v>5907</v>
      </c>
      <c r="G1478" s="1" t="s">
        <v>349</v>
      </c>
      <c r="H1478" s="1" t="s">
        <v>350</v>
      </c>
      <c r="I1478" s="1" t="s">
        <v>347</v>
      </c>
      <c r="J1478" s="1" t="s">
        <v>351</v>
      </c>
    </row>
    <row r="1479" spans="1:10" x14ac:dyDescent="0.25">
      <c r="A1479" s="1" t="s">
        <v>2951</v>
      </c>
      <c r="B1479" s="1" t="s">
        <v>863</v>
      </c>
      <c r="C1479" s="19">
        <v>46182</v>
      </c>
      <c r="D1479" s="1" t="s">
        <v>21</v>
      </c>
      <c r="E1479" s="1" t="s">
        <v>81</v>
      </c>
      <c r="F1479" s="1">
        <v>5907</v>
      </c>
      <c r="G1479" s="1" t="s">
        <v>361</v>
      </c>
      <c r="H1479" s="1" t="s">
        <v>353</v>
      </c>
      <c r="I1479" s="1" t="s">
        <v>347</v>
      </c>
      <c r="J1479" s="1" t="s">
        <v>362</v>
      </c>
    </row>
    <row r="1480" spans="1:10" x14ac:dyDescent="0.25">
      <c r="A1480" s="1" t="s">
        <v>2952</v>
      </c>
      <c r="B1480" s="1" t="s">
        <v>864</v>
      </c>
      <c r="C1480" s="19">
        <v>46182</v>
      </c>
      <c r="D1480" s="1" t="s">
        <v>21</v>
      </c>
      <c r="E1480" s="1" t="s">
        <v>81</v>
      </c>
      <c r="F1480" s="1">
        <v>5908</v>
      </c>
      <c r="G1480" s="1" t="s">
        <v>355</v>
      </c>
      <c r="H1480" s="1" t="s">
        <v>346</v>
      </c>
      <c r="I1480" s="1" t="s">
        <v>347</v>
      </c>
      <c r="J1480" s="1" t="s">
        <v>356</v>
      </c>
    </row>
    <row r="1481" spans="1:10" x14ac:dyDescent="0.25">
      <c r="A1481" s="1" t="s">
        <v>2953</v>
      </c>
      <c r="B1481" s="1" t="s">
        <v>864</v>
      </c>
      <c r="C1481" s="19">
        <v>46182</v>
      </c>
      <c r="D1481" s="1" t="s">
        <v>21</v>
      </c>
      <c r="E1481" s="1" t="s">
        <v>81</v>
      </c>
      <c r="F1481" s="1">
        <v>5908</v>
      </c>
      <c r="G1481" s="1" t="s">
        <v>345</v>
      </c>
      <c r="H1481" s="1" t="s">
        <v>346</v>
      </c>
      <c r="I1481" s="1" t="s">
        <v>347</v>
      </c>
      <c r="J1481" s="1" t="s">
        <v>348</v>
      </c>
    </row>
    <row r="1482" spans="1:10" x14ac:dyDescent="0.25">
      <c r="A1482" s="1" t="s">
        <v>2954</v>
      </c>
      <c r="B1482" s="1" t="s">
        <v>864</v>
      </c>
      <c r="C1482" s="19">
        <v>46182</v>
      </c>
      <c r="D1482" s="1" t="s">
        <v>21</v>
      </c>
      <c r="E1482" s="1" t="s">
        <v>81</v>
      </c>
      <c r="F1482" s="1">
        <v>5908</v>
      </c>
      <c r="G1482" s="1" t="s">
        <v>349</v>
      </c>
      <c r="H1482" s="1" t="s">
        <v>350</v>
      </c>
      <c r="I1482" s="1" t="s">
        <v>347</v>
      </c>
      <c r="J1482" s="1" t="s">
        <v>351</v>
      </c>
    </row>
    <row r="1483" spans="1:10" x14ac:dyDescent="0.25">
      <c r="A1483" s="1" t="s">
        <v>2955</v>
      </c>
      <c r="B1483" s="1" t="s">
        <v>864</v>
      </c>
      <c r="C1483" s="19">
        <v>46182</v>
      </c>
      <c r="D1483" s="1" t="s">
        <v>21</v>
      </c>
      <c r="E1483" s="1" t="s">
        <v>81</v>
      </c>
      <c r="F1483" s="1">
        <v>5908</v>
      </c>
      <c r="G1483" s="1" t="s">
        <v>361</v>
      </c>
      <c r="H1483" s="1" t="s">
        <v>353</v>
      </c>
      <c r="I1483" s="1" t="s">
        <v>347</v>
      </c>
      <c r="J1483" s="1" t="s">
        <v>362</v>
      </c>
    </row>
    <row r="1484" spans="1:10" x14ac:dyDescent="0.25">
      <c r="A1484" s="1" t="s">
        <v>2956</v>
      </c>
      <c r="B1484" s="1" t="s">
        <v>865</v>
      </c>
      <c r="C1484" s="19">
        <v>46182</v>
      </c>
      <c r="D1484" s="1" t="s">
        <v>21</v>
      </c>
      <c r="E1484" s="1" t="s">
        <v>81</v>
      </c>
      <c r="F1484" s="1">
        <v>5909</v>
      </c>
      <c r="G1484" s="1" t="s">
        <v>355</v>
      </c>
      <c r="H1484" s="1" t="s">
        <v>346</v>
      </c>
      <c r="I1484" s="1" t="s">
        <v>347</v>
      </c>
      <c r="J1484" s="1" t="s">
        <v>356</v>
      </c>
    </row>
    <row r="1485" spans="1:10" x14ac:dyDescent="0.25">
      <c r="A1485" s="1" t="s">
        <v>2957</v>
      </c>
      <c r="B1485" s="1" t="s">
        <v>865</v>
      </c>
      <c r="C1485" s="19">
        <v>46182</v>
      </c>
      <c r="D1485" s="1" t="s">
        <v>21</v>
      </c>
      <c r="E1485" s="1" t="s">
        <v>81</v>
      </c>
      <c r="F1485" s="1">
        <v>5909</v>
      </c>
      <c r="G1485" s="1" t="s">
        <v>345</v>
      </c>
      <c r="H1485" s="1" t="s">
        <v>346</v>
      </c>
      <c r="I1485" s="1" t="s">
        <v>347</v>
      </c>
      <c r="J1485" s="1" t="s">
        <v>348</v>
      </c>
    </row>
    <row r="1486" spans="1:10" x14ac:dyDescent="0.25">
      <c r="A1486" s="1" t="s">
        <v>2958</v>
      </c>
      <c r="B1486" s="1" t="s">
        <v>865</v>
      </c>
      <c r="C1486" s="19">
        <v>46182</v>
      </c>
      <c r="D1486" s="1" t="s">
        <v>21</v>
      </c>
      <c r="E1486" s="1" t="s">
        <v>81</v>
      </c>
      <c r="F1486" s="1">
        <v>5909</v>
      </c>
      <c r="G1486" s="1" t="s">
        <v>349</v>
      </c>
      <c r="H1486" s="1" t="s">
        <v>350</v>
      </c>
      <c r="I1486" s="1" t="s">
        <v>347</v>
      </c>
      <c r="J1486" s="1" t="s">
        <v>351</v>
      </c>
    </row>
    <row r="1487" spans="1:10" x14ac:dyDescent="0.25">
      <c r="A1487" s="1" t="s">
        <v>2959</v>
      </c>
      <c r="B1487" s="1" t="s">
        <v>865</v>
      </c>
      <c r="C1487" s="19">
        <v>46182</v>
      </c>
      <c r="D1487" s="1" t="s">
        <v>21</v>
      </c>
      <c r="E1487" s="1" t="s">
        <v>81</v>
      </c>
      <c r="F1487" s="1">
        <v>5909</v>
      </c>
      <c r="G1487" s="1" t="s">
        <v>361</v>
      </c>
      <c r="H1487" s="1" t="s">
        <v>353</v>
      </c>
      <c r="I1487" s="1" t="s">
        <v>347</v>
      </c>
      <c r="J1487" s="1" t="s">
        <v>362</v>
      </c>
    </row>
    <row r="1488" spans="1:10" x14ac:dyDescent="0.25">
      <c r="A1488" s="1" t="s">
        <v>2960</v>
      </c>
      <c r="B1488" s="1" t="s">
        <v>866</v>
      </c>
      <c r="C1488" s="19">
        <v>46182</v>
      </c>
      <c r="D1488" s="1" t="s">
        <v>21</v>
      </c>
      <c r="E1488" s="1" t="s">
        <v>81</v>
      </c>
      <c r="F1488" s="1">
        <v>5910</v>
      </c>
      <c r="G1488" s="1" t="s">
        <v>355</v>
      </c>
      <c r="H1488" s="1" t="s">
        <v>346</v>
      </c>
      <c r="I1488" s="1" t="s">
        <v>347</v>
      </c>
      <c r="J1488" s="1" t="s">
        <v>356</v>
      </c>
    </row>
    <row r="1489" spans="1:10" x14ac:dyDescent="0.25">
      <c r="A1489" s="1" t="s">
        <v>2961</v>
      </c>
      <c r="B1489" s="1" t="s">
        <v>866</v>
      </c>
      <c r="C1489" s="19">
        <v>46182</v>
      </c>
      <c r="D1489" s="1" t="s">
        <v>21</v>
      </c>
      <c r="E1489" s="1" t="s">
        <v>81</v>
      </c>
      <c r="F1489" s="1">
        <v>5910</v>
      </c>
      <c r="G1489" s="1" t="s">
        <v>345</v>
      </c>
      <c r="H1489" s="1" t="s">
        <v>346</v>
      </c>
      <c r="I1489" s="1" t="s">
        <v>347</v>
      </c>
      <c r="J1489" s="1" t="s">
        <v>348</v>
      </c>
    </row>
    <row r="1490" spans="1:10" x14ac:dyDescent="0.25">
      <c r="A1490" s="1" t="s">
        <v>2962</v>
      </c>
      <c r="B1490" s="1" t="s">
        <v>866</v>
      </c>
      <c r="C1490" s="19">
        <v>46182</v>
      </c>
      <c r="D1490" s="1" t="s">
        <v>21</v>
      </c>
      <c r="E1490" s="1" t="s">
        <v>81</v>
      </c>
      <c r="F1490" s="1">
        <v>5910</v>
      </c>
      <c r="G1490" s="1" t="s">
        <v>349</v>
      </c>
      <c r="H1490" s="1" t="s">
        <v>350</v>
      </c>
      <c r="I1490" s="1" t="s">
        <v>347</v>
      </c>
      <c r="J1490" s="1" t="s">
        <v>351</v>
      </c>
    </row>
    <row r="1491" spans="1:10" x14ac:dyDescent="0.25">
      <c r="A1491" s="1" t="s">
        <v>2963</v>
      </c>
      <c r="B1491" s="1" t="s">
        <v>866</v>
      </c>
      <c r="C1491" s="19">
        <v>46182</v>
      </c>
      <c r="D1491" s="1" t="s">
        <v>21</v>
      </c>
      <c r="E1491" s="1" t="s">
        <v>81</v>
      </c>
      <c r="F1491" s="1">
        <v>5910</v>
      </c>
      <c r="G1491" s="1" t="s">
        <v>361</v>
      </c>
      <c r="H1491" s="1" t="s">
        <v>353</v>
      </c>
      <c r="I1491" s="1" t="s">
        <v>347</v>
      </c>
      <c r="J1491" s="1" t="s">
        <v>362</v>
      </c>
    </row>
    <row r="1492" spans="1:10" x14ac:dyDescent="0.25">
      <c r="A1492" s="1" t="s">
        <v>2964</v>
      </c>
      <c r="B1492" s="1" t="s">
        <v>867</v>
      </c>
      <c r="C1492" s="19">
        <v>46182</v>
      </c>
      <c r="D1492" s="1" t="s">
        <v>21</v>
      </c>
      <c r="E1492" s="1" t="s">
        <v>81</v>
      </c>
      <c r="F1492" s="1">
        <v>5911</v>
      </c>
      <c r="G1492" s="1" t="s">
        <v>355</v>
      </c>
      <c r="H1492" s="1" t="s">
        <v>346</v>
      </c>
      <c r="I1492" s="1" t="s">
        <v>347</v>
      </c>
      <c r="J1492" s="1" t="s">
        <v>356</v>
      </c>
    </row>
    <row r="1493" spans="1:10" x14ac:dyDescent="0.25">
      <c r="A1493" s="1" t="s">
        <v>2965</v>
      </c>
      <c r="B1493" s="1" t="s">
        <v>867</v>
      </c>
      <c r="C1493" s="19">
        <v>46182</v>
      </c>
      <c r="D1493" s="1" t="s">
        <v>21</v>
      </c>
      <c r="E1493" s="1" t="s">
        <v>81</v>
      </c>
      <c r="F1493" s="1">
        <v>5911</v>
      </c>
      <c r="G1493" s="1" t="s">
        <v>345</v>
      </c>
      <c r="H1493" s="1" t="s">
        <v>346</v>
      </c>
      <c r="I1493" s="1" t="s">
        <v>347</v>
      </c>
      <c r="J1493" s="1" t="s">
        <v>348</v>
      </c>
    </row>
    <row r="1494" spans="1:10" x14ac:dyDescent="0.25">
      <c r="A1494" s="1" t="s">
        <v>2966</v>
      </c>
      <c r="B1494" s="1" t="s">
        <v>867</v>
      </c>
      <c r="C1494" s="19">
        <v>46182</v>
      </c>
      <c r="D1494" s="1" t="s">
        <v>21</v>
      </c>
      <c r="E1494" s="1" t="s">
        <v>81</v>
      </c>
      <c r="F1494" s="1">
        <v>5911</v>
      </c>
      <c r="G1494" s="1" t="s">
        <v>349</v>
      </c>
      <c r="H1494" s="1" t="s">
        <v>350</v>
      </c>
      <c r="I1494" s="1" t="s">
        <v>347</v>
      </c>
      <c r="J1494" s="1" t="s">
        <v>351</v>
      </c>
    </row>
    <row r="1495" spans="1:10" x14ac:dyDescent="0.25">
      <c r="A1495" s="1" t="s">
        <v>2967</v>
      </c>
      <c r="B1495" s="1" t="s">
        <v>867</v>
      </c>
      <c r="C1495" s="19">
        <v>46182</v>
      </c>
      <c r="D1495" s="1" t="s">
        <v>21</v>
      </c>
      <c r="E1495" s="1" t="s">
        <v>81</v>
      </c>
      <c r="F1495" s="1">
        <v>5911</v>
      </c>
      <c r="G1495" s="1" t="s">
        <v>361</v>
      </c>
      <c r="H1495" s="1" t="s">
        <v>353</v>
      </c>
      <c r="I1495" s="1" t="s">
        <v>347</v>
      </c>
      <c r="J1495" s="1" t="s">
        <v>362</v>
      </c>
    </row>
    <row r="1496" spans="1:10" x14ac:dyDescent="0.25">
      <c r="A1496" s="1" t="s">
        <v>2968</v>
      </c>
      <c r="B1496" s="1" t="s">
        <v>868</v>
      </c>
      <c r="C1496" s="19">
        <v>46182</v>
      </c>
      <c r="D1496" s="1" t="s">
        <v>21</v>
      </c>
      <c r="E1496" s="1" t="s">
        <v>81</v>
      </c>
      <c r="F1496" s="1">
        <v>5912</v>
      </c>
      <c r="G1496" s="1" t="s">
        <v>355</v>
      </c>
      <c r="H1496" s="1" t="s">
        <v>346</v>
      </c>
      <c r="I1496" s="1" t="s">
        <v>347</v>
      </c>
      <c r="J1496" s="1" t="s">
        <v>356</v>
      </c>
    </row>
    <row r="1497" spans="1:10" x14ac:dyDescent="0.25">
      <c r="A1497" s="1" t="s">
        <v>2969</v>
      </c>
      <c r="B1497" s="1" t="s">
        <v>868</v>
      </c>
      <c r="C1497" s="19">
        <v>46182</v>
      </c>
      <c r="D1497" s="1" t="s">
        <v>21</v>
      </c>
      <c r="E1497" s="1" t="s">
        <v>81</v>
      </c>
      <c r="F1497" s="1">
        <v>5912</v>
      </c>
      <c r="G1497" s="1" t="s">
        <v>345</v>
      </c>
      <c r="H1497" s="1" t="s">
        <v>346</v>
      </c>
      <c r="I1497" s="1" t="s">
        <v>347</v>
      </c>
      <c r="J1497" s="1" t="s">
        <v>348</v>
      </c>
    </row>
    <row r="1498" spans="1:10" x14ac:dyDescent="0.25">
      <c r="A1498" s="1" t="s">
        <v>2970</v>
      </c>
      <c r="B1498" s="1" t="s">
        <v>868</v>
      </c>
      <c r="C1498" s="19">
        <v>46182</v>
      </c>
      <c r="D1498" s="1" t="s">
        <v>21</v>
      </c>
      <c r="E1498" s="1" t="s">
        <v>81</v>
      </c>
      <c r="F1498" s="1">
        <v>5912</v>
      </c>
      <c r="G1498" s="1" t="s">
        <v>349</v>
      </c>
      <c r="H1498" s="1" t="s">
        <v>350</v>
      </c>
      <c r="I1498" s="1" t="s">
        <v>347</v>
      </c>
      <c r="J1498" s="1" t="s">
        <v>351</v>
      </c>
    </row>
    <row r="1499" spans="1:10" x14ac:dyDescent="0.25">
      <c r="A1499" s="1" t="s">
        <v>2971</v>
      </c>
      <c r="B1499" s="1" t="s">
        <v>868</v>
      </c>
      <c r="C1499" s="19">
        <v>46182</v>
      </c>
      <c r="D1499" s="1" t="s">
        <v>21</v>
      </c>
      <c r="E1499" s="1" t="s">
        <v>81</v>
      </c>
      <c r="F1499" s="1">
        <v>5912</v>
      </c>
      <c r="G1499" s="1" t="s">
        <v>361</v>
      </c>
      <c r="H1499" s="1" t="s">
        <v>353</v>
      </c>
      <c r="I1499" s="1" t="s">
        <v>347</v>
      </c>
      <c r="J1499" s="1" t="s">
        <v>362</v>
      </c>
    </row>
    <row r="1500" spans="1:10" x14ac:dyDescent="0.25">
      <c r="A1500" s="1" t="s">
        <v>2972</v>
      </c>
      <c r="B1500" s="1" t="s">
        <v>869</v>
      </c>
      <c r="C1500" s="19">
        <v>46182</v>
      </c>
      <c r="D1500" s="1" t="s">
        <v>21</v>
      </c>
      <c r="E1500" s="1" t="s">
        <v>81</v>
      </c>
      <c r="F1500" s="1">
        <v>5913</v>
      </c>
      <c r="G1500" s="1" t="s">
        <v>355</v>
      </c>
      <c r="H1500" s="1" t="s">
        <v>346</v>
      </c>
      <c r="I1500" s="1" t="s">
        <v>347</v>
      </c>
      <c r="J1500" s="1" t="s">
        <v>356</v>
      </c>
    </row>
    <row r="1501" spans="1:10" x14ac:dyDescent="0.25">
      <c r="A1501" s="1" t="s">
        <v>2973</v>
      </c>
      <c r="B1501" s="1" t="s">
        <v>869</v>
      </c>
      <c r="C1501" s="19">
        <v>46182</v>
      </c>
      <c r="D1501" s="1" t="s">
        <v>21</v>
      </c>
      <c r="E1501" s="1" t="s">
        <v>81</v>
      </c>
      <c r="F1501" s="1">
        <v>5913</v>
      </c>
      <c r="G1501" s="1" t="s">
        <v>345</v>
      </c>
      <c r="H1501" s="1" t="s">
        <v>346</v>
      </c>
      <c r="I1501" s="1" t="s">
        <v>347</v>
      </c>
      <c r="J1501" s="1" t="s">
        <v>348</v>
      </c>
    </row>
    <row r="1502" spans="1:10" x14ac:dyDescent="0.25">
      <c r="A1502" s="1" t="s">
        <v>2974</v>
      </c>
      <c r="B1502" s="1" t="s">
        <v>869</v>
      </c>
      <c r="C1502" s="19">
        <v>46182</v>
      </c>
      <c r="D1502" s="1" t="s">
        <v>21</v>
      </c>
      <c r="E1502" s="1" t="s">
        <v>81</v>
      </c>
      <c r="F1502" s="1">
        <v>5913</v>
      </c>
      <c r="G1502" s="1" t="s">
        <v>349</v>
      </c>
      <c r="H1502" s="1" t="s">
        <v>350</v>
      </c>
      <c r="I1502" s="1" t="s">
        <v>347</v>
      </c>
      <c r="J1502" s="1" t="s">
        <v>351</v>
      </c>
    </row>
    <row r="1503" spans="1:10" x14ac:dyDescent="0.25">
      <c r="A1503" s="1" t="s">
        <v>2975</v>
      </c>
      <c r="B1503" s="1" t="s">
        <v>869</v>
      </c>
      <c r="C1503" s="19">
        <v>46182</v>
      </c>
      <c r="D1503" s="1" t="s">
        <v>21</v>
      </c>
      <c r="E1503" s="1" t="s">
        <v>81</v>
      </c>
      <c r="F1503" s="1">
        <v>5913</v>
      </c>
      <c r="G1503" s="1" t="s">
        <v>361</v>
      </c>
      <c r="H1503" s="1" t="s">
        <v>353</v>
      </c>
      <c r="I1503" s="1" t="s">
        <v>347</v>
      </c>
      <c r="J1503" s="1" t="s">
        <v>362</v>
      </c>
    </row>
    <row r="1504" spans="1:10" x14ac:dyDescent="0.25">
      <c r="A1504" s="1" t="s">
        <v>2976</v>
      </c>
      <c r="B1504" s="1" t="s">
        <v>870</v>
      </c>
      <c r="C1504" s="19">
        <v>46182</v>
      </c>
      <c r="D1504" s="1" t="s">
        <v>21</v>
      </c>
      <c r="E1504" s="1" t="s">
        <v>81</v>
      </c>
      <c r="F1504" s="1">
        <v>5914</v>
      </c>
      <c r="G1504" s="1" t="s">
        <v>355</v>
      </c>
      <c r="H1504" s="1" t="s">
        <v>346</v>
      </c>
      <c r="I1504" s="1" t="s">
        <v>347</v>
      </c>
      <c r="J1504" s="1" t="s">
        <v>356</v>
      </c>
    </row>
    <row r="1505" spans="3:3" x14ac:dyDescent="0.25">
      <c r="C1505" s="21"/>
    </row>
    <row r="1506" spans="3:3" x14ac:dyDescent="0.25">
      <c r="C1506" s="21"/>
    </row>
    <row r="1507" spans="3:3" x14ac:dyDescent="0.25">
      <c r="C1507" s="21"/>
    </row>
    <row r="1508" spans="3:3" x14ac:dyDescent="0.25">
      <c r="C1508" s="21"/>
    </row>
    <row r="1509" spans="3:3" x14ac:dyDescent="0.25">
      <c r="C1509" s="21"/>
    </row>
    <row r="1510" spans="3:3" x14ac:dyDescent="0.25">
      <c r="C1510" s="21"/>
    </row>
    <row r="1511" spans="3:3" x14ac:dyDescent="0.25">
      <c r="C1511" s="21"/>
    </row>
    <row r="1512" spans="3:3" x14ac:dyDescent="0.25">
      <c r="C1512" s="21"/>
    </row>
    <row r="1513" spans="3:3" x14ac:dyDescent="0.25">
      <c r="C1513" s="21"/>
    </row>
    <row r="1514" spans="3:3" x14ac:dyDescent="0.25">
      <c r="C1514" s="21"/>
    </row>
    <row r="1515" spans="3:3" x14ac:dyDescent="0.25">
      <c r="C1515" s="21"/>
    </row>
    <row r="1516" spans="3:3" x14ac:dyDescent="0.25">
      <c r="C1516" s="21"/>
    </row>
    <row r="1517" spans="3:3" x14ac:dyDescent="0.25">
      <c r="C1517" s="21"/>
    </row>
    <row r="1518" spans="3:3" x14ac:dyDescent="0.25">
      <c r="C1518" s="21"/>
    </row>
    <row r="1519" spans="3:3" x14ac:dyDescent="0.25">
      <c r="C1519" s="21"/>
    </row>
    <row r="1520" spans="3:3" x14ac:dyDescent="0.25">
      <c r="C1520" s="21"/>
    </row>
    <row r="1521" spans="3:3" x14ac:dyDescent="0.25">
      <c r="C1521" s="21"/>
    </row>
    <row r="1522" spans="3:3" x14ac:dyDescent="0.25">
      <c r="C1522" s="21"/>
    </row>
    <row r="1523" spans="3:3" x14ac:dyDescent="0.25">
      <c r="C1523" s="21"/>
    </row>
    <row r="1524" spans="3:3" x14ac:dyDescent="0.25">
      <c r="C1524" s="21"/>
    </row>
    <row r="1525" spans="3:3" x14ac:dyDescent="0.25">
      <c r="C1525" s="21"/>
    </row>
    <row r="1526" spans="3:3" x14ac:dyDescent="0.25">
      <c r="C1526" s="21"/>
    </row>
    <row r="1527" spans="3:3" x14ac:dyDescent="0.25">
      <c r="C1527" s="21"/>
    </row>
    <row r="1528" spans="3:3" x14ac:dyDescent="0.25">
      <c r="C1528" s="21"/>
    </row>
    <row r="1529" spans="3:3" x14ac:dyDescent="0.25">
      <c r="C1529" s="21"/>
    </row>
    <row r="1530" spans="3:3" x14ac:dyDescent="0.25">
      <c r="C1530" s="21"/>
    </row>
    <row r="1531" spans="3:3" x14ac:dyDescent="0.25">
      <c r="C1531" s="21"/>
    </row>
    <row r="1532" spans="3:3" x14ac:dyDescent="0.25">
      <c r="C1532" s="21"/>
    </row>
    <row r="1533" spans="3:3" x14ac:dyDescent="0.25">
      <c r="C1533" s="21"/>
    </row>
    <row r="1534" spans="3:3" x14ac:dyDescent="0.25">
      <c r="C1534" s="21"/>
    </row>
    <row r="1535" spans="3:3" x14ac:dyDescent="0.25">
      <c r="C1535" s="21"/>
    </row>
    <row r="1536" spans="3:3" x14ac:dyDescent="0.25">
      <c r="C1536" s="21"/>
    </row>
    <row r="1537" spans="3:3" x14ac:dyDescent="0.25">
      <c r="C1537" s="21"/>
    </row>
    <row r="1538" spans="3:3" x14ac:dyDescent="0.25">
      <c r="C1538" s="21"/>
    </row>
    <row r="1539" spans="3:3" x14ac:dyDescent="0.25">
      <c r="C1539" s="21"/>
    </row>
    <row r="1540" spans="3:3" x14ac:dyDescent="0.25">
      <c r="C1540" s="21"/>
    </row>
    <row r="1541" spans="3:3" x14ac:dyDescent="0.25">
      <c r="C1541" s="21"/>
    </row>
    <row r="1542" spans="3:3" x14ac:dyDescent="0.25">
      <c r="C1542" s="21"/>
    </row>
    <row r="1543" spans="3:3" x14ac:dyDescent="0.25">
      <c r="C1543" s="21"/>
    </row>
    <row r="1544" spans="3:3" x14ac:dyDescent="0.25">
      <c r="C1544" s="21"/>
    </row>
    <row r="1545" spans="3:3" x14ac:dyDescent="0.25">
      <c r="C1545" s="21"/>
    </row>
    <row r="1546" spans="3:3" x14ac:dyDescent="0.25">
      <c r="C1546" s="21"/>
    </row>
    <row r="1547" spans="3:3" x14ac:dyDescent="0.25">
      <c r="C1547" s="21"/>
    </row>
    <row r="1548" spans="3:3" x14ac:dyDescent="0.25">
      <c r="C1548" s="21"/>
    </row>
    <row r="1549" spans="3:3" x14ac:dyDescent="0.25">
      <c r="C1549" s="21"/>
    </row>
    <row r="1550" spans="3:3" x14ac:dyDescent="0.25">
      <c r="C1550" s="21"/>
    </row>
    <row r="1551" spans="3:3" x14ac:dyDescent="0.25">
      <c r="C1551" s="21"/>
    </row>
    <row r="1552" spans="3:3" x14ac:dyDescent="0.25">
      <c r="C1552" s="21"/>
    </row>
    <row r="1553" spans="3:3" x14ac:dyDescent="0.25">
      <c r="C1553" s="21"/>
    </row>
    <row r="1554" spans="3:3" x14ac:dyDescent="0.25">
      <c r="C1554" s="21"/>
    </row>
    <row r="1555" spans="3:3" x14ac:dyDescent="0.25">
      <c r="C1555" s="21"/>
    </row>
    <row r="1556" spans="3:3" x14ac:dyDescent="0.25">
      <c r="C1556" s="21"/>
    </row>
    <row r="1557" spans="3:3" x14ac:dyDescent="0.25">
      <c r="C1557" s="21"/>
    </row>
    <row r="1558" spans="3:3" x14ac:dyDescent="0.25">
      <c r="C1558" s="21"/>
    </row>
    <row r="1559" spans="3:3" x14ac:dyDescent="0.25">
      <c r="C1559" s="21"/>
    </row>
    <row r="1560" spans="3:3" x14ac:dyDescent="0.25">
      <c r="C1560" s="21"/>
    </row>
    <row r="1561" spans="3:3" x14ac:dyDescent="0.25">
      <c r="C1561" s="21"/>
    </row>
    <row r="1562" spans="3:3" x14ac:dyDescent="0.25">
      <c r="C1562" s="21"/>
    </row>
    <row r="1563" spans="3:3" x14ac:dyDescent="0.25">
      <c r="C1563" s="21"/>
    </row>
    <row r="1564" spans="3:3" x14ac:dyDescent="0.25">
      <c r="C1564" s="21"/>
    </row>
    <row r="1565" spans="3:3" x14ac:dyDescent="0.25">
      <c r="C1565" s="21"/>
    </row>
    <row r="1566" spans="3:3" x14ac:dyDescent="0.25">
      <c r="C1566" s="21"/>
    </row>
    <row r="1567" spans="3:3" x14ac:dyDescent="0.25">
      <c r="C1567" s="21"/>
    </row>
    <row r="1568" spans="3:3" x14ac:dyDescent="0.25">
      <c r="C1568" s="21"/>
    </row>
    <row r="1569" spans="3:3" x14ac:dyDescent="0.25">
      <c r="C1569" s="21"/>
    </row>
    <row r="1570" spans="3:3" x14ac:dyDescent="0.25">
      <c r="C1570" s="21"/>
    </row>
    <row r="1571" spans="3:3" x14ac:dyDescent="0.25">
      <c r="C1571" s="21"/>
    </row>
    <row r="1572" spans="3:3" x14ac:dyDescent="0.25">
      <c r="C1572" s="21"/>
    </row>
    <row r="1573" spans="3:3" x14ac:dyDescent="0.25">
      <c r="C1573" s="21"/>
    </row>
    <row r="1574" spans="3:3" x14ac:dyDescent="0.25">
      <c r="C1574" s="21"/>
    </row>
    <row r="1575" spans="3:3" x14ac:dyDescent="0.25">
      <c r="C1575" s="21"/>
    </row>
    <row r="1576" spans="3:3" x14ac:dyDescent="0.25">
      <c r="C1576" s="21"/>
    </row>
    <row r="1577" spans="3:3" x14ac:dyDescent="0.25">
      <c r="C1577" s="21"/>
    </row>
    <row r="1578" spans="3:3" x14ac:dyDescent="0.25">
      <c r="C1578" s="21"/>
    </row>
    <row r="1579" spans="3:3" x14ac:dyDescent="0.25">
      <c r="C1579" s="21"/>
    </row>
    <row r="1580" spans="3:3" x14ac:dyDescent="0.25">
      <c r="C1580" s="21"/>
    </row>
    <row r="1581" spans="3:3" x14ac:dyDescent="0.25">
      <c r="C1581" s="21"/>
    </row>
    <row r="1582" spans="3:3" x14ac:dyDescent="0.25">
      <c r="C1582" s="21"/>
    </row>
    <row r="1583" spans="3:3" x14ac:dyDescent="0.25">
      <c r="C1583" s="21"/>
    </row>
    <row r="1584" spans="3:3" x14ac:dyDescent="0.25">
      <c r="C1584" s="21"/>
    </row>
    <row r="1585" spans="3:3" x14ac:dyDescent="0.25">
      <c r="C1585" s="21"/>
    </row>
    <row r="1586" spans="3:3" x14ac:dyDescent="0.25">
      <c r="C1586" s="21"/>
    </row>
    <row r="1587" spans="3:3" x14ac:dyDescent="0.25">
      <c r="C1587" s="21"/>
    </row>
    <row r="1588" spans="3:3" x14ac:dyDescent="0.25">
      <c r="C1588" s="21"/>
    </row>
    <row r="1589" spans="3:3" x14ac:dyDescent="0.25">
      <c r="C1589" s="21"/>
    </row>
    <row r="1590" spans="3:3" x14ac:dyDescent="0.25">
      <c r="C1590" s="21"/>
    </row>
    <row r="1591" spans="3:3" x14ac:dyDescent="0.25">
      <c r="C1591" s="21"/>
    </row>
    <row r="1592" spans="3:3" x14ac:dyDescent="0.25">
      <c r="C1592" s="21"/>
    </row>
    <row r="1593" spans="3:3" x14ac:dyDescent="0.25">
      <c r="C1593" s="21"/>
    </row>
    <row r="1594" spans="3:3" x14ac:dyDescent="0.25">
      <c r="C1594" s="21"/>
    </row>
    <row r="1595" spans="3:3" x14ac:dyDescent="0.25">
      <c r="C1595" s="21"/>
    </row>
    <row r="1596" spans="3:3" x14ac:dyDescent="0.25">
      <c r="C1596" s="21"/>
    </row>
    <row r="1597" spans="3:3" x14ac:dyDescent="0.25">
      <c r="C1597" s="21"/>
    </row>
    <row r="1598" spans="3:3" x14ac:dyDescent="0.25">
      <c r="C1598" s="21"/>
    </row>
    <row r="1599" spans="3:3" x14ac:dyDescent="0.25">
      <c r="C1599" s="21"/>
    </row>
    <row r="1600" spans="3:3" x14ac:dyDescent="0.25">
      <c r="C1600" s="21"/>
    </row>
    <row r="1601" spans="3:3" x14ac:dyDescent="0.25">
      <c r="C1601" s="21"/>
    </row>
    <row r="1602" spans="3:3" x14ac:dyDescent="0.25">
      <c r="C1602" s="21"/>
    </row>
    <row r="1603" spans="3:3" x14ac:dyDescent="0.25">
      <c r="C1603" s="21"/>
    </row>
    <row r="1604" spans="3:3" x14ac:dyDescent="0.25">
      <c r="C1604" s="21"/>
    </row>
    <row r="1605" spans="3:3" x14ac:dyDescent="0.25">
      <c r="C1605" s="21"/>
    </row>
    <row r="1606" spans="3:3" x14ac:dyDescent="0.25">
      <c r="C1606" s="21"/>
    </row>
    <row r="1607" spans="3:3" x14ac:dyDescent="0.25">
      <c r="C1607" s="21"/>
    </row>
    <row r="1608" spans="3:3" x14ac:dyDescent="0.25">
      <c r="C1608" s="21"/>
    </row>
    <row r="1609" spans="3:3" x14ac:dyDescent="0.25">
      <c r="C1609" s="21"/>
    </row>
    <row r="1610" spans="3:3" x14ac:dyDescent="0.25">
      <c r="C1610" s="21"/>
    </row>
    <row r="1611" spans="3:3" x14ac:dyDescent="0.25">
      <c r="C1611" s="21"/>
    </row>
    <row r="1612" spans="3:3" x14ac:dyDescent="0.25">
      <c r="C1612" s="21"/>
    </row>
    <row r="1613" spans="3:3" x14ac:dyDescent="0.25">
      <c r="C1613" s="21"/>
    </row>
    <row r="1614" spans="3:3" x14ac:dyDescent="0.25">
      <c r="C1614" s="21"/>
    </row>
    <row r="1615" spans="3:3" x14ac:dyDescent="0.25">
      <c r="C1615" s="21"/>
    </row>
    <row r="1616" spans="3:3" x14ac:dyDescent="0.25">
      <c r="C1616" s="21"/>
    </row>
    <row r="1617" spans="3:3" x14ac:dyDescent="0.25">
      <c r="C1617" s="21"/>
    </row>
    <row r="1618" spans="3:3" x14ac:dyDescent="0.25">
      <c r="C1618" s="21"/>
    </row>
    <row r="1619" spans="3:3" x14ac:dyDescent="0.25">
      <c r="C1619" s="21"/>
    </row>
    <row r="1620" spans="3:3" x14ac:dyDescent="0.25">
      <c r="C1620" s="21"/>
    </row>
    <row r="1621" spans="3:3" x14ac:dyDescent="0.25">
      <c r="C1621" s="21"/>
    </row>
    <row r="1622" spans="3:3" x14ac:dyDescent="0.25">
      <c r="C1622" s="21"/>
    </row>
    <row r="1623" spans="3:3" x14ac:dyDescent="0.25">
      <c r="C1623" s="21"/>
    </row>
    <row r="1624" spans="3:3" x14ac:dyDescent="0.25">
      <c r="C1624" s="21"/>
    </row>
    <row r="1625" spans="3:3" x14ac:dyDescent="0.25">
      <c r="C1625" s="21"/>
    </row>
    <row r="1626" spans="3:3" x14ac:dyDescent="0.25">
      <c r="C1626" s="21"/>
    </row>
    <row r="1627" spans="3:3" x14ac:dyDescent="0.25">
      <c r="C1627" s="21"/>
    </row>
    <row r="1628" spans="3:3" x14ac:dyDescent="0.25">
      <c r="C1628" s="21"/>
    </row>
    <row r="1629" spans="3:3" x14ac:dyDescent="0.25">
      <c r="C1629" s="21"/>
    </row>
    <row r="1630" spans="3:3" x14ac:dyDescent="0.25">
      <c r="C1630" s="21"/>
    </row>
    <row r="1631" spans="3:3" x14ac:dyDescent="0.25">
      <c r="C1631" s="21"/>
    </row>
    <row r="1632" spans="3:3" x14ac:dyDescent="0.25">
      <c r="C1632" s="21"/>
    </row>
    <row r="1633" spans="3:3" x14ac:dyDescent="0.25">
      <c r="C1633" s="21"/>
    </row>
    <row r="1634" spans="3:3" x14ac:dyDescent="0.25">
      <c r="C1634" s="21"/>
    </row>
    <row r="1635" spans="3:3" x14ac:dyDescent="0.25">
      <c r="C1635" s="21"/>
    </row>
    <row r="1636" spans="3:3" x14ac:dyDescent="0.25">
      <c r="C1636" s="21"/>
    </row>
    <row r="1637" spans="3:3" x14ac:dyDescent="0.25">
      <c r="C1637" s="21"/>
    </row>
    <row r="1638" spans="3:3" x14ac:dyDescent="0.25">
      <c r="C1638" s="21"/>
    </row>
    <row r="1639" spans="3:3" x14ac:dyDescent="0.25">
      <c r="C1639" s="21"/>
    </row>
    <row r="1640" spans="3:3" x14ac:dyDescent="0.25">
      <c r="C1640" s="21"/>
    </row>
    <row r="1641" spans="3:3" x14ac:dyDescent="0.25">
      <c r="C1641" s="21"/>
    </row>
    <row r="1642" spans="3:3" x14ac:dyDescent="0.25">
      <c r="C1642" s="21"/>
    </row>
    <row r="1643" spans="3:3" x14ac:dyDescent="0.25">
      <c r="C1643" s="21"/>
    </row>
    <row r="1644" spans="3:3" x14ac:dyDescent="0.25">
      <c r="C1644" s="21"/>
    </row>
    <row r="1645" spans="3:3" x14ac:dyDescent="0.25">
      <c r="C1645" s="21"/>
    </row>
    <row r="1646" spans="3:3" x14ac:dyDescent="0.25">
      <c r="C1646" s="21"/>
    </row>
    <row r="1647" spans="3:3" x14ac:dyDescent="0.25">
      <c r="C1647" s="21"/>
    </row>
    <row r="1648" spans="3:3" x14ac:dyDescent="0.25">
      <c r="C1648" s="21"/>
    </row>
    <row r="1649" spans="3:3" x14ac:dyDescent="0.25">
      <c r="C1649" s="21"/>
    </row>
    <row r="1650" spans="3:3" x14ac:dyDescent="0.25">
      <c r="C1650" s="21"/>
    </row>
    <row r="1651" spans="3:3" x14ac:dyDescent="0.25">
      <c r="C1651" s="21"/>
    </row>
    <row r="1652" spans="3:3" x14ac:dyDescent="0.25">
      <c r="C1652" s="21"/>
    </row>
    <row r="1653" spans="3:3" x14ac:dyDescent="0.25">
      <c r="C1653" s="21"/>
    </row>
    <row r="1654" spans="3:3" x14ac:dyDescent="0.25">
      <c r="C1654" s="21"/>
    </row>
    <row r="1655" spans="3:3" x14ac:dyDescent="0.25">
      <c r="C1655" s="21"/>
    </row>
    <row r="1656" spans="3:3" x14ac:dyDescent="0.25">
      <c r="C1656" s="21"/>
    </row>
    <row r="1657" spans="3:3" x14ac:dyDescent="0.25">
      <c r="C1657" s="21"/>
    </row>
    <row r="1658" spans="3:3" x14ac:dyDescent="0.25">
      <c r="C1658" s="21"/>
    </row>
    <row r="1659" spans="3:3" x14ac:dyDescent="0.25">
      <c r="C1659" s="21"/>
    </row>
    <row r="1660" spans="3:3" x14ac:dyDescent="0.25">
      <c r="C1660" s="21"/>
    </row>
    <row r="1661" spans="3:3" x14ac:dyDescent="0.25">
      <c r="C1661" s="21"/>
    </row>
    <row r="1662" spans="3:3" x14ac:dyDescent="0.25">
      <c r="C1662" s="21"/>
    </row>
    <row r="1663" spans="3:3" x14ac:dyDescent="0.25">
      <c r="C1663" s="21"/>
    </row>
    <row r="1664" spans="3:3" x14ac:dyDescent="0.25">
      <c r="C1664" s="21"/>
    </row>
    <row r="1665" spans="3:3" x14ac:dyDescent="0.25">
      <c r="C1665" s="21"/>
    </row>
    <row r="1666" spans="3:3" x14ac:dyDescent="0.25">
      <c r="C1666" s="21"/>
    </row>
    <row r="1667" spans="3:3" x14ac:dyDescent="0.25">
      <c r="C1667" s="21"/>
    </row>
    <row r="1668" spans="3:3" x14ac:dyDescent="0.25">
      <c r="C1668" s="21"/>
    </row>
    <row r="1669" spans="3:3" x14ac:dyDescent="0.25">
      <c r="C1669" s="21"/>
    </row>
    <row r="1670" spans="3:3" x14ac:dyDescent="0.25">
      <c r="C1670" s="21"/>
    </row>
    <row r="1671" spans="3:3" x14ac:dyDescent="0.25">
      <c r="C1671" s="21"/>
    </row>
    <row r="1672" spans="3:3" x14ac:dyDescent="0.25">
      <c r="C1672" s="21"/>
    </row>
    <row r="1673" spans="3:3" x14ac:dyDescent="0.25">
      <c r="C1673" s="21"/>
    </row>
    <row r="1674" spans="3:3" x14ac:dyDescent="0.25">
      <c r="C1674" s="21"/>
    </row>
    <row r="1675" spans="3:3" x14ac:dyDescent="0.25">
      <c r="C1675" s="21"/>
    </row>
    <row r="1676" spans="3:3" x14ac:dyDescent="0.25">
      <c r="C1676" s="21"/>
    </row>
    <row r="1677" spans="3:3" x14ac:dyDescent="0.25">
      <c r="C1677" s="21"/>
    </row>
    <row r="1678" spans="3:3" x14ac:dyDescent="0.25">
      <c r="C1678" s="21"/>
    </row>
    <row r="1679" spans="3:3" x14ac:dyDescent="0.25">
      <c r="C1679" s="21"/>
    </row>
    <row r="1680" spans="3:3" x14ac:dyDescent="0.25">
      <c r="C1680" s="21"/>
    </row>
    <row r="1681" spans="3:3" x14ac:dyDescent="0.25">
      <c r="C1681" s="21"/>
    </row>
    <row r="1682" spans="3:3" x14ac:dyDescent="0.25">
      <c r="C1682" s="21"/>
    </row>
    <row r="1683" spans="3:3" x14ac:dyDescent="0.25">
      <c r="C1683" s="21"/>
    </row>
    <row r="1684" spans="3:3" x14ac:dyDescent="0.25">
      <c r="C1684" s="21"/>
    </row>
    <row r="1685" spans="3:3" x14ac:dyDescent="0.25">
      <c r="C1685" s="21"/>
    </row>
    <row r="1686" spans="3:3" x14ac:dyDescent="0.25">
      <c r="C1686" s="21"/>
    </row>
    <row r="1687" spans="3:3" x14ac:dyDescent="0.25">
      <c r="C1687" s="21"/>
    </row>
    <row r="1688" spans="3:3" x14ac:dyDescent="0.25">
      <c r="C1688" s="21"/>
    </row>
    <row r="1689" spans="3:3" x14ac:dyDescent="0.25">
      <c r="C1689" s="21"/>
    </row>
    <row r="1690" spans="3:3" x14ac:dyDescent="0.25">
      <c r="C1690" s="21"/>
    </row>
    <row r="1691" spans="3:3" x14ac:dyDescent="0.25">
      <c r="C1691" s="21"/>
    </row>
    <row r="1692" spans="3:3" x14ac:dyDescent="0.25">
      <c r="C1692" s="21"/>
    </row>
    <row r="1693" spans="3:3" x14ac:dyDescent="0.25">
      <c r="C1693" s="21"/>
    </row>
    <row r="1694" spans="3:3" x14ac:dyDescent="0.25">
      <c r="C1694" s="21"/>
    </row>
    <row r="1695" spans="3:3" x14ac:dyDescent="0.25">
      <c r="C1695" s="21"/>
    </row>
    <row r="1696" spans="3:3" x14ac:dyDescent="0.25">
      <c r="C1696" s="21"/>
    </row>
    <row r="1697" spans="3:3" x14ac:dyDescent="0.25">
      <c r="C1697" s="21"/>
    </row>
    <row r="1698" spans="3:3" x14ac:dyDescent="0.25">
      <c r="C1698" s="21"/>
    </row>
    <row r="1699" spans="3:3" x14ac:dyDescent="0.25">
      <c r="C1699" s="21"/>
    </row>
    <row r="1700" spans="3:3" x14ac:dyDescent="0.25">
      <c r="C1700" s="21"/>
    </row>
    <row r="1701" spans="3:3" x14ac:dyDescent="0.25">
      <c r="C1701" s="21"/>
    </row>
    <row r="1702" spans="3:3" x14ac:dyDescent="0.25">
      <c r="C1702" s="21"/>
    </row>
    <row r="1703" spans="3:3" x14ac:dyDescent="0.25">
      <c r="C1703" s="21"/>
    </row>
    <row r="1704" spans="3:3" x14ac:dyDescent="0.25">
      <c r="C1704" s="21"/>
    </row>
    <row r="1705" spans="3:3" x14ac:dyDescent="0.25">
      <c r="C1705" s="21"/>
    </row>
    <row r="1706" spans="3:3" x14ac:dyDescent="0.25">
      <c r="C1706" s="21"/>
    </row>
    <row r="1707" spans="3:3" x14ac:dyDescent="0.25">
      <c r="C1707" s="21"/>
    </row>
    <row r="1708" spans="3:3" x14ac:dyDescent="0.25">
      <c r="C1708" s="21"/>
    </row>
    <row r="1709" spans="3:3" x14ac:dyDescent="0.25">
      <c r="C1709" s="21"/>
    </row>
    <row r="1710" spans="3:3" x14ac:dyDescent="0.25">
      <c r="C1710" s="21"/>
    </row>
    <row r="1711" spans="3:3" x14ac:dyDescent="0.25">
      <c r="C1711" s="21"/>
    </row>
    <row r="1712" spans="3:3" x14ac:dyDescent="0.25">
      <c r="C1712" s="21"/>
    </row>
    <row r="1713" spans="3:3" x14ac:dyDescent="0.25">
      <c r="C1713" s="21"/>
    </row>
    <row r="1714" spans="3:3" x14ac:dyDescent="0.25">
      <c r="C1714" s="21"/>
    </row>
    <row r="1715" spans="3:3" x14ac:dyDescent="0.25">
      <c r="C1715" s="21"/>
    </row>
    <row r="1716" spans="3:3" x14ac:dyDescent="0.25">
      <c r="C1716" s="21"/>
    </row>
    <row r="1717" spans="3:3" x14ac:dyDescent="0.25">
      <c r="C1717" s="21"/>
    </row>
    <row r="1718" spans="3:3" x14ac:dyDescent="0.25">
      <c r="C1718" s="21"/>
    </row>
    <row r="1719" spans="3:3" x14ac:dyDescent="0.25">
      <c r="C1719" s="21"/>
    </row>
    <row r="1720" spans="3:3" x14ac:dyDescent="0.25">
      <c r="C1720" s="21"/>
    </row>
    <row r="1721" spans="3:3" x14ac:dyDescent="0.25">
      <c r="C1721" s="21"/>
    </row>
    <row r="1722" spans="3:3" x14ac:dyDescent="0.25">
      <c r="C1722" s="21"/>
    </row>
    <row r="1723" spans="3:3" x14ac:dyDescent="0.25">
      <c r="C1723" s="21"/>
    </row>
    <row r="1724" spans="3:3" x14ac:dyDescent="0.25">
      <c r="C1724" s="21"/>
    </row>
    <row r="1725" spans="3:3" x14ac:dyDescent="0.25">
      <c r="C1725" s="21"/>
    </row>
    <row r="1726" spans="3:3" x14ac:dyDescent="0.25">
      <c r="C1726" s="21"/>
    </row>
    <row r="1727" spans="3:3" x14ac:dyDescent="0.25">
      <c r="C1727" s="21"/>
    </row>
    <row r="1728" spans="3:3" x14ac:dyDescent="0.25">
      <c r="C1728" s="21"/>
    </row>
    <row r="1729" spans="3:3" x14ac:dyDescent="0.25">
      <c r="C1729" s="21"/>
    </row>
    <row r="1730" spans="3:3" x14ac:dyDescent="0.25">
      <c r="C1730" s="21"/>
    </row>
    <row r="1731" spans="3:3" x14ac:dyDescent="0.25">
      <c r="C1731" s="21"/>
    </row>
    <row r="1732" spans="3:3" x14ac:dyDescent="0.25">
      <c r="C1732" s="21"/>
    </row>
    <row r="1733" spans="3:3" x14ac:dyDescent="0.25">
      <c r="C1733" s="21"/>
    </row>
    <row r="1734" spans="3:3" x14ac:dyDescent="0.25">
      <c r="C1734" s="21"/>
    </row>
    <row r="1735" spans="3:3" x14ac:dyDescent="0.25">
      <c r="C1735" s="21"/>
    </row>
    <row r="1736" spans="3:3" x14ac:dyDescent="0.25">
      <c r="C1736" s="21"/>
    </row>
    <row r="1737" spans="3:3" x14ac:dyDescent="0.25">
      <c r="C1737" s="21"/>
    </row>
    <row r="1738" spans="3:3" x14ac:dyDescent="0.25">
      <c r="C1738" s="21"/>
    </row>
    <row r="1739" spans="3:3" x14ac:dyDescent="0.25">
      <c r="C1739" s="21"/>
    </row>
    <row r="1740" spans="3:3" x14ac:dyDescent="0.25">
      <c r="C1740" s="21"/>
    </row>
    <row r="1741" spans="3:3" x14ac:dyDescent="0.25">
      <c r="C1741" s="21"/>
    </row>
    <row r="1742" spans="3:3" x14ac:dyDescent="0.25">
      <c r="C1742" s="21"/>
    </row>
    <row r="1743" spans="3:3" x14ac:dyDescent="0.25">
      <c r="C1743" s="21"/>
    </row>
    <row r="1744" spans="3:3" x14ac:dyDescent="0.25">
      <c r="C1744" s="21"/>
    </row>
    <row r="1745" spans="3:3" x14ac:dyDescent="0.25">
      <c r="C1745" s="21"/>
    </row>
    <row r="1746" spans="3:3" x14ac:dyDescent="0.25">
      <c r="C1746" s="21"/>
    </row>
    <row r="1747" spans="3:3" x14ac:dyDescent="0.25">
      <c r="C1747" s="21"/>
    </row>
    <row r="1748" spans="3:3" x14ac:dyDescent="0.25">
      <c r="C1748" s="21"/>
    </row>
    <row r="1749" spans="3:3" x14ac:dyDescent="0.25">
      <c r="C1749" s="21"/>
    </row>
    <row r="1750" spans="3:3" x14ac:dyDescent="0.25">
      <c r="C1750" s="21"/>
    </row>
    <row r="1751" spans="3:3" x14ac:dyDescent="0.25">
      <c r="C1751" s="21"/>
    </row>
    <row r="1752" spans="3:3" x14ac:dyDescent="0.25">
      <c r="C1752" s="21"/>
    </row>
    <row r="1753" spans="3:3" x14ac:dyDescent="0.25">
      <c r="C1753" s="21"/>
    </row>
    <row r="1754" spans="3:3" x14ac:dyDescent="0.25">
      <c r="C1754" s="21"/>
    </row>
    <row r="1755" spans="3:3" x14ac:dyDescent="0.25">
      <c r="C1755" s="21"/>
    </row>
    <row r="1756" spans="3:3" x14ac:dyDescent="0.25">
      <c r="C1756" s="21"/>
    </row>
    <row r="1757" spans="3:3" x14ac:dyDescent="0.25">
      <c r="C1757" s="21"/>
    </row>
    <row r="1758" spans="3:3" x14ac:dyDescent="0.25">
      <c r="C1758" s="21"/>
    </row>
    <row r="1759" spans="3:3" x14ac:dyDescent="0.25">
      <c r="C1759" s="21"/>
    </row>
    <row r="1760" spans="3:3" x14ac:dyDescent="0.25">
      <c r="C1760" s="21"/>
    </row>
    <row r="1761" spans="3:3" x14ac:dyDescent="0.25">
      <c r="C1761" s="21"/>
    </row>
    <row r="1762" spans="3:3" x14ac:dyDescent="0.25">
      <c r="C1762" s="21"/>
    </row>
    <row r="1763" spans="3:3" x14ac:dyDescent="0.25">
      <c r="C1763" s="21"/>
    </row>
    <row r="1764" spans="3:3" x14ac:dyDescent="0.25">
      <c r="C1764" s="21"/>
    </row>
    <row r="1765" spans="3:3" x14ac:dyDescent="0.25">
      <c r="C1765" s="21"/>
    </row>
    <row r="1766" spans="3:3" x14ac:dyDescent="0.25">
      <c r="C1766" s="21"/>
    </row>
    <row r="1767" spans="3:3" x14ac:dyDescent="0.25">
      <c r="C1767" s="21"/>
    </row>
    <row r="1768" spans="3:3" x14ac:dyDescent="0.25">
      <c r="C1768" s="21"/>
    </row>
    <row r="1769" spans="3:3" x14ac:dyDescent="0.25">
      <c r="C1769" s="21"/>
    </row>
    <row r="1770" spans="3:3" x14ac:dyDescent="0.25">
      <c r="C1770" s="21"/>
    </row>
    <row r="1771" spans="3:3" x14ac:dyDescent="0.25">
      <c r="C1771" s="21"/>
    </row>
    <row r="1772" spans="3:3" x14ac:dyDescent="0.25">
      <c r="C1772" s="21"/>
    </row>
    <row r="1773" spans="3:3" x14ac:dyDescent="0.25">
      <c r="C1773" s="21"/>
    </row>
    <row r="1774" spans="3:3" x14ac:dyDescent="0.25">
      <c r="C1774" s="21"/>
    </row>
    <row r="1775" spans="3:3" x14ac:dyDescent="0.25">
      <c r="C1775" s="21"/>
    </row>
    <row r="1776" spans="3:3" x14ac:dyDescent="0.25">
      <c r="C1776" s="21"/>
    </row>
    <row r="1777" spans="3:3" x14ac:dyDescent="0.25">
      <c r="C1777" s="21"/>
    </row>
    <row r="1778" spans="3:3" x14ac:dyDescent="0.25">
      <c r="C1778" s="21"/>
    </row>
    <row r="1779" spans="3:3" x14ac:dyDescent="0.25">
      <c r="C1779" s="21"/>
    </row>
    <row r="1780" spans="3:3" x14ac:dyDescent="0.25">
      <c r="C1780" s="21"/>
    </row>
    <row r="1781" spans="3:3" x14ac:dyDescent="0.25">
      <c r="C1781" s="21"/>
    </row>
    <row r="1782" spans="3:3" x14ac:dyDescent="0.25">
      <c r="C1782" s="21"/>
    </row>
    <row r="1783" spans="3:3" x14ac:dyDescent="0.25">
      <c r="C1783" s="21"/>
    </row>
    <row r="1784" spans="3:3" x14ac:dyDescent="0.25">
      <c r="C1784" s="21"/>
    </row>
    <row r="1785" spans="3:3" x14ac:dyDescent="0.25">
      <c r="C1785" s="21"/>
    </row>
    <row r="1786" spans="3:3" x14ac:dyDescent="0.25">
      <c r="C1786" s="21"/>
    </row>
    <row r="1787" spans="3:3" x14ac:dyDescent="0.25">
      <c r="C1787" s="21"/>
    </row>
    <row r="1788" spans="3:3" x14ac:dyDescent="0.25">
      <c r="C1788" s="21"/>
    </row>
    <row r="1789" spans="3:3" x14ac:dyDescent="0.25">
      <c r="C1789" s="21"/>
    </row>
    <row r="1790" spans="3:3" x14ac:dyDescent="0.25">
      <c r="C1790" s="21"/>
    </row>
    <row r="1791" spans="3:3" x14ac:dyDescent="0.25">
      <c r="C1791" s="21"/>
    </row>
    <row r="1792" spans="3:3" x14ac:dyDescent="0.25">
      <c r="C1792" s="21"/>
    </row>
    <row r="1793" spans="3:3" x14ac:dyDescent="0.25">
      <c r="C1793" s="21"/>
    </row>
    <row r="1794" spans="3:3" x14ac:dyDescent="0.25">
      <c r="C1794" s="21"/>
    </row>
    <row r="1795" spans="3:3" x14ac:dyDescent="0.25">
      <c r="C1795" s="21"/>
    </row>
    <row r="1796" spans="3:3" x14ac:dyDescent="0.25">
      <c r="C1796" s="21"/>
    </row>
    <row r="1797" spans="3:3" x14ac:dyDescent="0.25">
      <c r="C1797" s="21"/>
    </row>
    <row r="1798" spans="3:3" x14ac:dyDescent="0.25">
      <c r="C1798" s="21"/>
    </row>
    <row r="1799" spans="3:3" x14ac:dyDescent="0.25">
      <c r="C1799" s="21"/>
    </row>
    <row r="1800" spans="3:3" x14ac:dyDescent="0.25">
      <c r="C1800" s="21"/>
    </row>
    <row r="1801" spans="3:3" x14ac:dyDescent="0.25">
      <c r="C1801" s="21"/>
    </row>
    <row r="1802" spans="3:3" x14ac:dyDescent="0.25">
      <c r="C1802" s="21"/>
    </row>
    <row r="1803" spans="3:3" x14ac:dyDescent="0.25">
      <c r="C1803" s="21"/>
    </row>
    <row r="1804" spans="3:3" x14ac:dyDescent="0.25">
      <c r="C1804" s="21"/>
    </row>
    <row r="1805" spans="3:3" x14ac:dyDescent="0.25">
      <c r="C1805" s="21"/>
    </row>
    <row r="1806" spans="3:3" x14ac:dyDescent="0.25">
      <c r="C1806" s="21"/>
    </row>
    <row r="1807" spans="3:3" x14ac:dyDescent="0.25">
      <c r="C1807" s="21"/>
    </row>
    <row r="1808" spans="3:3" x14ac:dyDescent="0.25">
      <c r="C1808" s="21"/>
    </row>
    <row r="1809" spans="3:3" x14ac:dyDescent="0.25">
      <c r="C1809" s="21"/>
    </row>
    <row r="1810" spans="3:3" x14ac:dyDescent="0.25">
      <c r="C1810" s="21"/>
    </row>
    <row r="1811" spans="3:3" x14ac:dyDescent="0.25">
      <c r="C1811" s="21"/>
    </row>
    <row r="1812" spans="3:3" x14ac:dyDescent="0.25">
      <c r="C1812" s="21"/>
    </row>
    <row r="1813" spans="3:3" x14ac:dyDescent="0.25">
      <c r="C1813" s="21"/>
    </row>
    <row r="1814" spans="3:3" x14ac:dyDescent="0.25">
      <c r="C1814" s="21"/>
    </row>
    <row r="1815" spans="3:3" x14ac:dyDescent="0.25">
      <c r="C1815" s="21"/>
    </row>
    <row r="1816" spans="3:3" x14ac:dyDescent="0.25">
      <c r="C1816" s="21"/>
    </row>
    <row r="1817" spans="3:3" x14ac:dyDescent="0.25">
      <c r="C1817" s="21"/>
    </row>
    <row r="1818" spans="3:3" x14ac:dyDescent="0.25">
      <c r="C1818" s="21"/>
    </row>
    <row r="1819" spans="3:3" x14ac:dyDescent="0.25">
      <c r="C1819" s="21"/>
    </row>
    <row r="1820" spans="3:3" x14ac:dyDescent="0.25">
      <c r="C1820" s="21"/>
    </row>
    <row r="1821" spans="3:3" x14ac:dyDescent="0.25">
      <c r="C1821" s="21"/>
    </row>
    <row r="1822" spans="3:3" x14ac:dyDescent="0.25">
      <c r="C1822" s="21"/>
    </row>
    <row r="1823" spans="3:3" x14ac:dyDescent="0.25">
      <c r="C1823" s="21"/>
    </row>
    <row r="1824" spans="3:3" x14ac:dyDescent="0.25">
      <c r="C1824" s="21"/>
    </row>
    <row r="1825" spans="3:3" x14ac:dyDescent="0.25">
      <c r="C1825" s="21"/>
    </row>
    <row r="1826" spans="3:3" x14ac:dyDescent="0.25">
      <c r="C1826" s="21"/>
    </row>
    <row r="1827" spans="3:3" x14ac:dyDescent="0.25">
      <c r="C1827" s="21"/>
    </row>
    <row r="1828" spans="3:3" x14ac:dyDescent="0.25">
      <c r="C1828" s="21"/>
    </row>
    <row r="1829" spans="3:3" x14ac:dyDescent="0.25">
      <c r="C1829" s="21"/>
    </row>
    <row r="1830" spans="3:3" x14ac:dyDescent="0.25">
      <c r="C1830" s="21"/>
    </row>
    <row r="1831" spans="3:3" x14ac:dyDescent="0.25">
      <c r="C1831" s="21"/>
    </row>
    <row r="1832" spans="3:3" x14ac:dyDescent="0.25">
      <c r="C1832" s="21"/>
    </row>
    <row r="1833" spans="3:3" x14ac:dyDescent="0.25">
      <c r="C1833" s="21"/>
    </row>
    <row r="1834" spans="3:3" x14ac:dyDescent="0.25">
      <c r="C1834" s="21"/>
    </row>
    <row r="1835" spans="3:3" x14ac:dyDescent="0.25">
      <c r="C1835" s="21"/>
    </row>
    <row r="1836" spans="3:3" x14ac:dyDescent="0.25">
      <c r="C1836" s="21"/>
    </row>
    <row r="1837" spans="3:3" x14ac:dyDescent="0.25">
      <c r="C1837" s="21"/>
    </row>
    <row r="1838" spans="3:3" x14ac:dyDescent="0.25">
      <c r="C1838" s="21"/>
    </row>
    <row r="1839" spans="3:3" x14ac:dyDescent="0.25">
      <c r="C1839" s="21"/>
    </row>
    <row r="1840" spans="3:3" x14ac:dyDescent="0.25">
      <c r="C1840" s="21"/>
    </row>
    <row r="1841" spans="3:3" x14ac:dyDescent="0.25">
      <c r="C1841" s="21"/>
    </row>
    <row r="1842" spans="3:3" x14ac:dyDescent="0.25">
      <c r="C1842" s="21"/>
    </row>
    <row r="1843" spans="3:3" x14ac:dyDescent="0.25">
      <c r="C1843" s="21"/>
    </row>
    <row r="1844" spans="3:3" x14ac:dyDescent="0.25">
      <c r="C1844" s="21"/>
    </row>
    <row r="1845" spans="3:3" x14ac:dyDescent="0.25">
      <c r="C1845" s="21"/>
    </row>
    <row r="1846" spans="3:3" x14ac:dyDescent="0.25">
      <c r="C1846" s="21"/>
    </row>
    <row r="1847" spans="3:3" x14ac:dyDescent="0.25">
      <c r="C1847" s="21"/>
    </row>
    <row r="1848" spans="3:3" x14ac:dyDescent="0.25">
      <c r="C1848" s="21"/>
    </row>
    <row r="1849" spans="3:3" x14ac:dyDescent="0.25">
      <c r="C1849" s="21"/>
    </row>
    <row r="1850" spans="3:3" x14ac:dyDescent="0.25">
      <c r="C1850" s="21"/>
    </row>
    <row r="1851" spans="3:3" x14ac:dyDescent="0.25">
      <c r="C1851" s="21"/>
    </row>
    <row r="1852" spans="3:3" x14ac:dyDescent="0.25">
      <c r="C1852" s="21"/>
    </row>
    <row r="1853" spans="3:3" x14ac:dyDescent="0.25">
      <c r="C1853" s="21"/>
    </row>
    <row r="1854" spans="3:3" x14ac:dyDescent="0.25">
      <c r="C1854" s="21"/>
    </row>
    <row r="1855" spans="3:3" x14ac:dyDescent="0.25">
      <c r="C1855" s="21"/>
    </row>
    <row r="1856" spans="3:3" x14ac:dyDescent="0.25">
      <c r="C1856" s="21"/>
    </row>
    <row r="1857" spans="3:3" x14ac:dyDescent="0.25">
      <c r="C1857" s="21"/>
    </row>
    <row r="1858" spans="3:3" x14ac:dyDescent="0.25">
      <c r="C1858" s="21"/>
    </row>
    <row r="1859" spans="3:3" x14ac:dyDescent="0.25">
      <c r="C1859" s="21"/>
    </row>
    <row r="1860" spans="3:3" x14ac:dyDescent="0.25">
      <c r="C1860" s="21"/>
    </row>
    <row r="1861" spans="3:3" x14ac:dyDescent="0.25">
      <c r="C1861" s="21"/>
    </row>
    <row r="1862" spans="3:3" x14ac:dyDescent="0.25">
      <c r="C1862" s="21"/>
    </row>
    <row r="1863" spans="3:3" x14ac:dyDescent="0.25">
      <c r="C1863" s="21"/>
    </row>
    <row r="1864" spans="3:3" x14ac:dyDescent="0.25">
      <c r="C1864" s="21"/>
    </row>
    <row r="1865" spans="3:3" x14ac:dyDescent="0.25">
      <c r="C1865" s="21"/>
    </row>
    <row r="1866" spans="3:3" x14ac:dyDescent="0.25">
      <c r="C1866" s="21"/>
    </row>
    <row r="1867" spans="3:3" x14ac:dyDescent="0.25">
      <c r="C1867" s="21"/>
    </row>
    <row r="1868" spans="3:3" x14ac:dyDescent="0.25">
      <c r="C1868" s="21"/>
    </row>
    <row r="1869" spans="3:3" x14ac:dyDescent="0.25">
      <c r="C1869" s="21"/>
    </row>
    <row r="1870" spans="3:3" x14ac:dyDescent="0.25">
      <c r="C1870" s="21"/>
    </row>
    <row r="1871" spans="3:3" x14ac:dyDescent="0.25">
      <c r="C1871" s="21"/>
    </row>
    <row r="1872" spans="3:3" x14ac:dyDescent="0.25">
      <c r="C1872" s="21"/>
    </row>
    <row r="1873" spans="3:3" x14ac:dyDescent="0.25">
      <c r="C1873" s="21"/>
    </row>
    <row r="1874" spans="3:3" x14ac:dyDescent="0.25">
      <c r="C1874" s="21"/>
    </row>
    <row r="1875" spans="3:3" x14ac:dyDescent="0.25">
      <c r="C1875" s="21"/>
    </row>
    <row r="1876" spans="3:3" x14ac:dyDescent="0.25">
      <c r="C1876" s="21"/>
    </row>
    <row r="1877" spans="3:3" x14ac:dyDescent="0.25">
      <c r="C1877" s="21"/>
    </row>
    <row r="1878" spans="3:3" x14ac:dyDescent="0.25">
      <c r="C1878" s="21"/>
    </row>
    <row r="1879" spans="3:3" x14ac:dyDescent="0.25">
      <c r="C1879" s="21"/>
    </row>
    <row r="1880" spans="3:3" x14ac:dyDescent="0.25">
      <c r="C1880" s="21"/>
    </row>
    <row r="1881" spans="3:3" x14ac:dyDescent="0.25">
      <c r="C1881" s="21"/>
    </row>
    <row r="1882" spans="3:3" x14ac:dyDescent="0.25">
      <c r="C1882" s="21"/>
    </row>
    <row r="1883" spans="3:3" x14ac:dyDescent="0.25">
      <c r="C1883" s="21"/>
    </row>
    <row r="1884" spans="3:3" x14ac:dyDescent="0.25">
      <c r="C1884" s="21"/>
    </row>
    <row r="1885" spans="3:3" x14ac:dyDescent="0.25">
      <c r="C1885" s="21"/>
    </row>
    <row r="1886" spans="3:3" x14ac:dyDescent="0.25">
      <c r="C1886" s="21"/>
    </row>
    <row r="1887" spans="3:3" x14ac:dyDescent="0.25">
      <c r="C1887" s="21"/>
    </row>
    <row r="1888" spans="3:3" x14ac:dyDescent="0.25">
      <c r="C1888" s="21"/>
    </row>
    <row r="1889" spans="3:3" x14ac:dyDescent="0.25">
      <c r="C1889" s="21"/>
    </row>
    <row r="1890" spans="3:3" x14ac:dyDescent="0.25">
      <c r="C1890" s="21"/>
    </row>
    <row r="1891" spans="3:3" x14ac:dyDescent="0.25">
      <c r="C1891" s="21"/>
    </row>
    <row r="1892" spans="3:3" x14ac:dyDescent="0.25">
      <c r="C1892" s="21"/>
    </row>
    <row r="1893" spans="3:3" x14ac:dyDescent="0.25">
      <c r="C1893" s="21"/>
    </row>
    <row r="1894" spans="3:3" x14ac:dyDescent="0.25">
      <c r="C1894" s="21"/>
    </row>
    <row r="1895" spans="3:3" x14ac:dyDescent="0.25">
      <c r="C1895" s="21"/>
    </row>
    <row r="1896" spans="3:3" x14ac:dyDescent="0.25">
      <c r="C1896" s="21"/>
    </row>
    <row r="1897" spans="3:3" x14ac:dyDescent="0.25">
      <c r="C1897" s="21"/>
    </row>
    <row r="1898" spans="3:3" x14ac:dyDescent="0.25">
      <c r="C1898" s="21"/>
    </row>
    <row r="1899" spans="3:3" x14ac:dyDescent="0.25">
      <c r="C1899" s="21"/>
    </row>
    <row r="1900" spans="3:3" x14ac:dyDescent="0.25">
      <c r="C1900" s="21"/>
    </row>
    <row r="1901" spans="3:3" x14ac:dyDescent="0.25">
      <c r="C1901" s="21"/>
    </row>
    <row r="1902" spans="3:3" x14ac:dyDescent="0.25">
      <c r="C1902" s="21"/>
    </row>
    <row r="1903" spans="3:3" x14ac:dyDescent="0.25">
      <c r="C1903" s="21"/>
    </row>
    <row r="1904" spans="3:3" x14ac:dyDescent="0.25">
      <c r="C1904" s="21"/>
    </row>
    <row r="1905" spans="3:3" x14ac:dyDescent="0.25">
      <c r="C1905" s="21"/>
    </row>
    <row r="1906" spans="3:3" x14ac:dyDescent="0.25">
      <c r="C1906" s="21"/>
    </row>
    <row r="1907" spans="3:3" x14ac:dyDescent="0.25">
      <c r="C1907" s="21"/>
    </row>
    <row r="1908" spans="3:3" x14ac:dyDescent="0.25">
      <c r="C1908" s="21"/>
    </row>
    <row r="1909" spans="3:3" x14ac:dyDescent="0.25">
      <c r="C1909" s="21"/>
    </row>
    <row r="1910" spans="3:3" x14ac:dyDescent="0.25">
      <c r="C1910" s="21"/>
    </row>
    <row r="1911" spans="3:3" x14ac:dyDescent="0.25">
      <c r="C1911" s="21"/>
    </row>
    <row r="1912" spans="3:3" x14ac:dyDescent="0.25">
      <c r="C1912" s="21"/>
    </row>
    <row r="1913" spans="3:3" x14ac:dyDescent="0.25">
      <c r="C1913" s="21"/>
    </row>
    <row r="1914" spans="3:3" x14ac:dyDescent="0.25">
      <c r="C1914" s="21"/>
    </row>
    <row r="1915" spans="3:3" x14ac:dyDescent="0.25">
      <c r="C1915" s="21"/>
    </row>
    <row r="1916" spans="3:3" x14ac:dyDescent="0.25">
      <c r="C1916" s="21"/>
    </row>
    <row r="1917" spans="3:3" x14ac:dyDescent="0.25">
      <c r="C1917" s="21"/>
    </row>
    <row r="1918" spans="3:3" x14ac:dyDescent="0.25">
      <c r="C1918" s="21"/>
    </row>
    <row r="1919" spans="3:3" x14ac:dyDescent="0.25">
      <c r="C1919" s="21"/>
    </row>
    <row r="1920" spans="3:3" x14ac:dyDescent="0.25">
      <c r="C1920" s="21"/>
    </row>
    <row r="1921" spans="3:3" x14ac:dyDescent="0.25">
      <c r="C1921" s="21"/>
    </row>
    <row r="1922" spans="3:3" x14ac:dyDescent="0.25">
      <c r="C1922" s="21"/>
    </row>
    <row r="1923" spans="3:3" x14ac:dyDescent="0.25">
      <c r="C1923" s="21"/>
    </row>
    <row r="1924" spans="3:3" x14ac:dyDescent="0.25">
      <c r="C1924" s="21"/>
    </row>
    <row r="1925" spans="3:3" x14ac:dyDescent="0.25">
      <c r="C1925" s="21"/>
    </row>
    <row r="1926" spans="3:3" x14ac:dyDescent="0.25">
      <c r="C1926" s="21"/>
    </row>
    <row r="1927" spans="3:3" x14ac:dyDescent="0.25">
      <c r="C1927" s="21"/>
    </row>
    <row r="1928" spans="3:3" x14ac:dyDescent="0.25">
      <c r="C1928" s="21"/>
    </row>
    <row r="1929" spans="3:3" x14ac:dyDescent="0.25">
      <c r="C1929" s="21"/>
    </row>
    <row r="1930" spans="3:3" x14ac:dyDescent="0.25">
      <c r="C1930" s="21"/>
    </row>
    <row r="1931" spans="3:3" x14ac:dyDescent="0.25">
      <c r="C1931" s="21"/>
    </row>
    <row r="1932" spans="3:3" x14ac:dyDescent="0.25">
      <c r="C1932" s="21"/>
    </row>
    <row r="1933" spans="3:3" x14ac:dyDescent="0.25">
      <c r="C1933" s="21"/>
    </row>
    <row r="1934" spans="3:3" x14ac:dyDescent="0.25">
      <c r="C1934" s="21"/>
    </row>
    <row r="1935" spans="3:3" x14ac:dyDescent="0.25">
      <c r="C1935" s="21"/>
    </row>
    <row r="1936" spans="3:3" x14ac:dyDescent="0.25">
      <c r="C1936" s="21"/>
    </row>
    <row r="1937" spans="3:3" x14ac:dyDescent="0.25">
      <c r="C1937" s="21"/>
    </row>
    <row r="1938" spans="3:3" x14ac:dyDescent="0.25">
      <c r="C1938" s="21"/>
    </row>
    <row r="1939" spans="3:3" x14ac:dyDescent="0.25">
      <c r="C1939" s="21"/>
    </row>
    <row r="1940" spans="3:3" x14ac:dyDescent="0.25">
      <c r="C1940" s="21"/>
    </row>
    <row r="1941" spans="3:3" x14ac:dyDescent="0.25">
      <c r="C1941" s="21"/>
    </row>
    <row r="1942" spans="3:3" x14ac:dyDescent="0.25">
      <c r="C1942" s="21"/>
    </row>
    <row r="1943" spans="3:3" x14ac:dyDescent="0.25">
      <c r="C1943" s="21"/>
    </row>
    <row r="1944" spans="3:3" x14ac:dyDescent="0.25">
      <c r="C1944" s="21"/>
    </row>
    <row r="1945" spans="3:3" x14ac:dyDescent="0.25">
      <c r="C1945" s="21"/>
    </row>
    <row r="1946" spans="3:3" x14ac:dyDescent="0.25">
      <c r="C1946" s="21"/>
    </row>
    <row r="1947" spans="3:3" x14ac:dyDescent="0.25">
      <c r="C1947" s="21"/>
    </row>
    <row r="1948" spans="3:3" x14ac:dyDescent="0.25">
      <c r="C1948" s="21"/>
    </row>
    <row r="1949" spans="3:3" x14ac:dyDescent="0.25">
      <c r="C1949" s="21"/>
    </row>
    <row r="1950" spans="3:3" x14ac:dyDescent="0.25">
      <c r="C1950" s="21"/>
    </row>
    <row r="1951" spans="3:3" x14ac:dyDescent="0.25">
      <c r="C1951" s="21"/>
    </row>
    <row r="1952" spans="3:3" x14ac:dyDescent="0.25">
      <c r="C1952" s="21"/>
    </row>
    <row r="1953" spans="3:3" x14ac:dyDescent="0.25">
      <c r="C1953" s="21"/>
    </row>
    <row r="1954" spans="3:3" x14ac:dyDescent="0.25">
      <c r="C1954" s="21"/>
    </row>
    <row r="1955" spans="3:3" x14ac:dyDescent="0.25">
      <c r="C1955" s="21"/>
    </row>
    <row r="1956" spans="3:3" x14ac:dyDescent="0.25">
      <c r="C1956" s="21"/>
    </row>
    <row r="1957" spans="3:3" x14ac:dyDescent="0.25">
      <c r="C1957" s="21"/>
    </row>
    <row r="1958" spans="3:3" x14ac:dyDescent="0.25">
      <c r="C1958" s="21"/>
    </row>
    <row r="1959" spans="3:3" x14ac:dyDescent="0.25">
      <c r="C1959" s="21"/>
    </row>
    <row r="1960" spans="3:3" x14ac:dyDescent="0.25">
      <c r="C1960" s="21"/>
    </row>
    <row r="1961" spans="3:3" x14ac:dyDescent="0.25">
      <c r="C1961" s="21"/>
    </row>
    <row r="1962" spans="3:3" x14ac:dyDescent="0.25">
      <c r="C1962" s="21"/>
    </row>
    <row r="1963" spans="3:3" x14ac:dyDescent="0.25">
      <c r="C1963" s="21"/>
    </row>
    <row r="1964" spans="3:3" x14ac:dyDescent="0.25">
      <c r="C1964" s="21"/>
    </row>
    <row r="1965" spans="3:3" x14ac:dyDescent="0.25">
      <c r="C1965" s="21"/>
    </row>
    <row r="1966" spans="3:3" x14ac:dyDescent="0.25">
      <c r="C1966" s="21"/>
    </row>
    <row r="1967" spans="3:3" x14ac:dyDescent="0.25">
      <c r="C1967" s="21"/>
    </row>
    <row r="1968" spans="3:3" x14ac:dyDescent="0.25">
      <c r="C1968" s="21"/>
    </row>
    <row r="1969" spans="3:3" x14ac:dyDescent="0.25">
      <c r="C1969" s="21"/>
    </row>
    <row r="1970" spans="3:3" x14ac:dyDescent="0.25">
      <c r="C1970" s="21"/>
    </row>
    <row r="1971" spans="3:3" x14ac:dyDescent="0.25">
      <c r="C1971" s="21"/>
    </row>
    <row r="1972" spans="3:3" x14ac:dyDescent="0.25">
      <c r="C1972" s="21"/>
    </row>
    <row r="1973" spans="3:3" x14ac:dyDescent="0.25">
      <c r="C1973" s="21"/>
    </row>
    <row r="1974" spans="3:3" x14ac:dyDescent="0.25">
      <c r="C1974" s="21"/>
    </row>
    <row r="1975" spans="3:3" x14ac:dyDescent="0.25">
      <c r="C1975" s="21"/>
    </row>
    <row r="1976" spans="3:3" x14ac:dyDescent="0.25">
      <c r="C1976" s="21"/>
    </row>
    <row r="1977" spans="3:3" x14ac:dyDescent="0.25">
      <c r="C1977" s="21"/>
    </row>
    <row r="1978" spans="3:3" x14ac:dyDescent="0.25">
      <c r="C1978" s="21"/>
    </row>
    <row r="1979" spans="3:3" x14ac:dyDescent="0.25">
      <c r="C1979" s="21"/>
    </row>
    <row r="1980" spans="3:3" x14ac:dyDescent="0.25">
      <c r="C1980" s="21"/>
    </row>
    <row r="1981" spans="3:3" x14ac:dyDescent="0.25">
      <c r="C1981" s="21"/>
    </row>
    <row r="1982" spans="3:3" x14ac:dyDescent="0.25">
      <c r="C1982" s="21"/>
    </row>
    <row r="1983" spans="3:3" x14ac:dyDescent="0.25">
      <c r="C1983" s="21"/>
    </row>
    <row r="1984" spans="3:3" x14ac:dyDescent="0.25">
      <c r="C1984" s="21"/>
    </row>
    <row r="1985" spans="3:3" x14ac:dyDescent="0.25">
      <c r="C1985" s="21"/>
    </row>
    <row r="1986" spans="3:3" x14ac:dyDescent="0.25">
      <c r="C1986" s="21"/>
    </row>
    <row r="1987" spans="3:3" x14ac:dyDescent="0.25">
      <c r="C1987" s="21"/>
    </row>
    <row r="1988" spans="3:3" x14ac:dyDescent="0.25">
      <c r="C1988" s="21"/>
    </row>
    <row r="1989" spans="3:3" x14ac:dyDescent="0.25">
      <c r="C1989" s="21"/>
    </row>
    <row r="1990" spans="3:3" x14ac:dyDescent="0.25">
      <c r="C1990" s="21"/>
    </row>
    <row r="1991" spans="3:3" x14ac:dyDescent="0.25">
      <c r="C1991" s="21"/>
    </row>
    <row r="1992" spans="3:3" x14ac:dyDescent="0.25">
      <c r="C1992" s="21"/>
    </row>
    <row r="1993" spans="3:3" x14ac:dyDescent="0.25">
      <c r="C1993" s="21"/>
    </row>
    <row r="1994" spans="3:3" x14ac:dyDescent="0.25">
      <c r="C1994" s="21"/>
    </row>
    <row r="1995" spans="3:3" x14ac:dyDescent="0.25">
      <c r="C1995" s="21"/>
    </row>
    <row r="1996" spans="3:3" x14ac:dyDescent="0.25">
      <c r="C1996" s="21"/>
    </row>
    <row r="1997" spans="3:3" x14ac:dyDescent="0.25">
      <c r="C1997" s="21"/>
    </row>
    <row r="1998" spans="3:3" x14ac:dyDescent="0.25">
      <c r="C1998" s="21"/>
    </row>
    <row r="1999" spans="3:3" x14ac:dyDescent="0.25">
      <c r="C1999" s="21"/>
    </row>
    <row r="2000" spans="3:3" x14ac:dyDescent="0.25">
      <c r="C2000" s="21"/>
    </row>
    <row r="2001" spans="3:3" x14ac:dyDescent="0.25">
      <c r="C2001" s="21"/>
    </row>
    <row r="2002" spans="3:3" x14ac:dyDescent="0.25">
      <c r="C2002" s="21"/>
    </row>
    <row r="2003" spans="3:3" x14ac:dyDescent="0.25">
      <c r="C2003" s="21"/>
    </row>
    <row r="2004" spans="3:3" x14ac:dyDescent="0.25">
      <c r="C2004" s="21"/>
    </row>
    <row r="2005" spans="3:3" x14ac:dyDescent="0.25">
      <c r="C2005" s="21"/>
    </row>
    <row r="2006" spans="3:3" x14ac:dyDescent="0.25">
      <c r="C2006" s="21"/>
    </row>
    <row r="2007" spans="3:3" x14ac:dyDescent="0.25">
      <c r="C2007" s="21"/>
    </row>
    <row r="2008" spans="3:3" x14ac:dyDescent="0.25">
      <c r="C2008" s="21"/>
    </row>
    <row r="2009" spans="3:3" x14ac:dyDescent="0.25">
      <c r="C2009" s="21"/>
    </row>
    <row r="2010" spans="3:3" x14ac:dyDescent="0.25">
      <c r="C2010" s="21"/>
    </row>
    <row r="2011" spans="3:3" x14ac:dyDescent="0.25">
      <c r="C2011" s="21"/>
    </row>
    <row r="2012" spans="3:3" x14ac:dyDescent="0.25">
      <c r="C2012" s="21"/>
    </row>
    <row r="2013" spans="3:3" x14ac:dyDescent="0.25">
      <c r="C2013" s="21"/>
    </row>
    <row r="2014" spans="3:3" x14ac:dyDescent="0.25">
      <c r="C2014" s="21"/>
    </row>
    <row r="2015" spans="3:3" x14ac:dyDescent="0.25">
      <c r="C2015" s="21"/>
    </row>
    <row r="2016" spans="3:3" x14ac:dyDescent="0.25">
      <c r="C2016" s="21"/>
    </row>
    <row r="2017" spans="3:3" x14ac:dyDescent="0.25">
      <c r="C2017" s="21"/>
    </row>
    <row r="2018" spans="3:3" x14ac:dyDescent="0.25">
      <c r="C2018" s="21"/>
    </row>
    <row r="2019" spans="3:3" x14ac:dyDescent="0.25">
      <c r="C2019" s="21"/>
    </row>
    <row r="2020" spans="3:3" x14ac:dyDescent="0.25">
      <c r="C2020" s="21"/>
    </row>
    <row r="2021" spans="3:3" x14ac:dyDescent="0.25">
      <c r="C2021" s="21"/>
    </row>
    <row r="2022" spans="3:3" x14ac:dyDescent="0.25">
      <c r="C2022" s="21"/>
    </row>
    <row r="2023" spans="3:3" x14ac:dyDescent="0.25">
      <c r="C2023" s="21"/>
    </row>
    <row r="2024" spans="3:3" x14ac:dyDescent="0.25">
      <c r="C2024" s="21"/>
    </row>
    <row r="2025" spans="3:3" x14ac:dyDescent="0.25">
      <c r="C2025" s="21"/>
    </row>
    <row r="2026" spans="3:3" x14ac:dyDescent="0.25">
      <c r="C2026" s="21"/>
    </row>
    <row r="2027" spans="3:3" x14ac:dyDescent="0.25">
      <c r="C2027" s="21"/>
    </row>
    <row r="2028" spans="3:3" x14ac:dyDescent="0.25">
      <c r="C2028" s="21"/>
    </row>
    <row r="2029" spans="3:3" x14ac:dyDescent="0.25">
      <c r="C2029" s="21"/>
    </row>
    <row r="2030" spans="3:3" x14ac:dyDescent="0.25">
      <c r="C2030" s="21"/>
    </row>
    <row r="2031" spans="3:3" x14ac:dyDescent="0.25">
      <c r="C2031" s="21"/>
    </row>
    <row r="2032" spans="3:3" x14ac:dyDescent="0.25">
      <c r="C2032" s="21"/>
    </row>
    <row r="2033" spans="3:3" x14ac:dyDescent="0.25">
      <c r="C2033" s="21"/>
    </row>
    <row r="2034" spans="3:3" x14ac:dyDescent="0.25">
      <c r="C2034" s="21"/>
    </row>
    <row r="2035" spans="3:3" x14ac:dyDescent="0.25">
      <c r="C2035" s="21"/>
    </row>
    <row r="2036" spans="3:3" x14ac:dyDescent="0.25">
      <c r="C2036" s="21"/>
    </row>
    <row r="2037" spans="3:3" x14ac:dyDescent="0.25">
      <c r="C2037" s="21"/>
    </row>
    <row r="2038" spans="3:3" x14ac:dyDescent="0.25">
      <c r="C2038" s="21"/>
    </row>
    <row r="2039" spans="3:3" x14ac:dyDescent="0.25">
      <c r="C2039" s="21"/>
    </row>
    <row r="2040" spans="3:3" x14ac:dyDescent="0.25">
      <c r="C2040" s="21"/>
    </row>
    <row r="2041" spans="3:3" x14ac:dyDescent="0.25">
      <c r="C2041" s="21"/>
    </row>
    <row r="2042" spans="3:3" x14ac:dyDescent="0.25">
      <c r="C2042" s="21"/>
    </row>
    <row r="2043" spans="3:3" x14ac:dyDescent="0.25">
      <c r="C2043" s="21"/>
    </row>
    <row r="2044" spans="3:3" x14ac:dyDescent="0.25">
      <c r="C2044" s="21"/>
    </row>
    <row r="2045" spans="3:3" x14ac:dyDescent="0.25">
      <c r="C2045" s="21"/>
    </row>
    <row r="2046" spans="3:3" x14ac:dyDescent="0.25">
      <c r="C2046" s="21"/>
    </row>
    <row r="2047" spans="3:3" x14ac:dyDescent="0.25">
      <c r="C2047" s="21"/>
    </row>
    <row r="2048" spans="3:3" x14ac:dyDescent="0.25">
      <c r="C2048" s="21"/>
    </row>
    <row r="2049" spans="3:3" x14ac:dyDescent="0.25">
      <c r="C2049" s="21"/>
    </row>
    <row r="2050" spans="3:3" x14ac:dyDescent="0.25">
      <c r="C2050" s="21"/>
    </row>
    <row r="2051" spans="3:3" x14ac:dyDescent="0.25">
      <c r="C2051" s="21"/>
    </row>
    <row r="2052" spans="3:3" x14ac:dyDescent="0.25">
      <c r="C2052" s="21"/>
    </row>
    <row r="2053" spans="3:3" x14ac:dyDescent="0.25">
      <c r="C2053" s="21"/>
    </row>
    <row r="2054" spans="3:3" x14ac:dyDescent="0.25">
      <c r="C2054" s="21"/>
    </row>
    <row r="2055" spans="3:3" x14ac:dyDescent="0.25">
      <c r="C2055" s="21"/>
    </row>
    <row r="2056" spans="3:3" x14ac:dyDescent="0.25">
      <c r="C2056" s="21"/>
    </row>
    <row r="2057" spans="3:3" x14ac:dyDescent="0.25">
      <c r="C2057" s="21"/>
    </row>
    <row r="2058" spans="3:3" x14ac:dyDescent="0.25">
      <c r="C2058" s="21"/>
    </row>
    <row r="2059" spans="3:3" x14ac:dyDescent="0.25">
      <c r="C2059" s="21"/>
    </row>
    <row r="2060" spans="3:3" x14ac:dyDescent="0.25">
      <c r="C2060" s="21"/>
    </row>
    <row r="2061" spans="3:3" x14ac:dyDescent="0.25">
      <c r="C2061" s="21"/>
    </row>
    <row r="2062" spans="3:3" x14ac:dyDescent="0.25">
      <c r="C2062" s="21"/>
    </row>
    <row r="2063" spans="3:3" x14ac:dyDescent="0.25">
      <c r="C2063" s="21"/>
    </row>
    <row r="2064" spans="3:3" x14ac:dyDescent="0.25">
      <c r="C2064" s="21"/>
    </row>
    <row r="2065" spans="3:3" x14ac:dyDescent="0.25">
      <c r="C2065" s="21"/>
    </row>
    <row r="2066" spans="3:3" x14ac:dyDescent="0.25">
      <c r="C2066" s="21"/>
    </row>
    <row r="2067" spans="3:3" x14ac:dyDescent="0.25">
      <c r="C2067" s="21"/>
    </row>
    <row r="2068" spans="3:3" x14ac:dyDescent="0.25">
      <c r="C2068" s="21"/>
    </row>
    <row r="2069" spans="3:3" x14ac:dyDescent="0.25">
      <c r="C2069" s="21"/>
    </row>
    <row r="2070" spans="3:3" x14ac:dyDescent="0.25">
      <c r="C2070" s="21"/>
    </row>
    <row r="2071" spans="3:3" x14ac:dyDescent="0.25">
      <c r="C2071" s="21"/>
    </row>
    <row r="2072" spans="3:3" x14ac:dyDescent="0.25">
      <c r="C2072" s="21"/>
    </row>
    <row r="2073" spans="3:3" x14ac:dyDescent="0.25">
      <c r="C2073" s="21"/>
    </row>
    <row r="2074" spans="3:3" x14ac:dyDescent="0.25">
      <c r="C2074" s="21"/>
    </row>
    <row r="2075" spans="3:3" x14ac:dyDescent="0.25">
      <c r="C2075" s="21"/>
    </row>
    <row r="2076" spans="3:3" x14ac:dyDescent="0.25">
      <c r="C2076" s="21"/>
    </row>
    <row r="2077" spans="3:3" x14ac:dyDescent="0.25">
      <c r="C2077" s="21"/>
    </row>
    <row r="2078" spans="3:3" x14ac:dyDescent="0.25">
      <c r="C2078" s="21"/>
    </row>
    <row r="2079" spans="3:3" x14ac:dyDescent="0.25">
      <c r="C2079" s="21"/>
    </row>
    <row r="2080" spans="3:3" x14ac:dyDescent="0.25">
      <c r="C2080" s="21"/>
    </row>
    <row r="2081" spans="3:3" x14ac:dyDescent="0.25">
      <c r="C2081" s="21"/>
    </row>
    <row r="2082" spans="3:3" x14ac:dyDescent="0.25">
      <c r="C2082" s="21"/>
    </row>
    <row r="2083" spans="3:3" x14ac:dyDescent="0.25">
      <c r="C2083" s="21"/>
    </row>
    <row r="2084" spans="3:3" x14ac:dyDescent="0.25">
      <c r="C2084" s="21"/>
    </row>
    <row r="2085" spans="3:3" x14ac:dyDescent="0.25">
      <c r="C2085" s="21"/>
    </row>
    <row r="2086" spans="3:3" x14ac:dyDescent="0.25">
      <c r="C2086" s="21"/>
    </row>
    <row r="2087" spans="3:3" x14ac:dyDescent="0.25">
      <c r="C2087" s="21"/>
    </row>
    <row r="2088" spans="3:3" x14ac:dyDescent="0.25">
      <c r="C2088" s="21"/>
    </row>
    <row r="2089" spans="3:3" x14ac:dyDescent="0.25">
      <c r="C2089" s="21"/>
    </row>
    <row r="2090" spans="3:3" x14ac:dyDescent="0.25">
      <c r="C2090" s="21"/>
    </row>
    <row r="2091" spans="3:3" x14ac:dyDescent="0.25">
      <c r="C2091" s="21"/>
    </row>
    <row r="2092" spans="3:3" x14ac:dyDescent="0.25">
      <c r="C2092" s="21"/>
    </row>
    <row r="2093" spans="3:3" x14ac:dyDescent="0.25">
      <c r="C2093" s="21"/>
    </row>
    <row r="2094" spans="3:3" x14ac:dyDescent="0.25">
      <c r="C2094" s="21"/>
    </row>
    <row r="2095" spans="3:3" x14ac:dyDescent="0.25">
      <c r="C2095" s="21"/>
    </row>
    <row r="2096" spans="3:3" x14ac:dyDescent="0.25">
      <c r="C2096" s="21"/>
    </row>
    <row r="2097" spans="3:3" x14ac:dyDescent="0.25">
      <c r="C2097" s="21"/>
    </row>
    <row r="2098" spans="3:3" x14ac:dyDescent="0.25">
      <c r="C2098" s="21"/>
    </row>
    <row r="2099" spans="3:3" x14ac:dyDescent="0.25">
      <c r="C2099" s="21"/>
    </row>
    <row r="2100" spans="3:3" x14ac:dyDescent="0.25">
      <c r="C2100" s="21"/>
    </row>
    <row r="2101" spans="3:3" x14ac:dyDescent="0.25">
      <c r="C2101" s="21"/>
    </row>
    <row r="2102" spans="3:3" x14ac:dyDescent="0.25">
      <c r="C2102" s="21"/>
    </row>
    <row r="2103" spans="3:3" x14ac:dyDescent="0.25">
      <c r="C2103" s="21"/>
    </row>
    <row r="2104" spans="3:3" x14ac:dyDescent="0.25">
      <c r="C2104" s="21"/>
    </row>
    <row r="2105" spans="3:3" x14ac:dyDescent="0.25">
      <c r="C2105" s="21"/>
    </row>
    <row r="2106" spans="3:3" x14ac:dyDescent="0.25">
      <c r="C2106" s="21"/>
    </row>
    <row r="2107" spans="3:3" x14ac:dyDescent="0.25">
      <c r="C2107" s="21"/>
    </row>
    <row r="2108" spans="3:3" x14ac:dyDescent="0.25">
      <c r="C2108" s="21"/>
    </row>
    <row r="2109" spans="3:3" x14ac:dyDescent="0.25">
      <c r="C2109" s="21"/>
    </row>
    <row r="2110" spans="3:3" x14ac:dyDescent="0.25">
      <c r="C2110" s="21"/>
    </row>
    <row r="2111" spans="3:3" x14ac:dyDescent="0.25">
      <c r="C2111" s="21"/>
    </row>
    <row r="2112" spans="3:3" x14ac:dyDescent="0.25">
      <c r="C2112" s="21"/>
    </row>
    <row r="2113" spans="3:3" x14ac:dyDescent="0.25">
      <c r="C2113" s="21"/>
    </row>
    <row r="2114" spans="3:3" x14ac:dyDescent="0.25">
      <c r="C2114" s="21"/>
    </row>
    <row r="2115" spans="3:3" x14ac:dyDescent="0.25">
      <c r="C2115" s="21"/>
    </row>
    <row r="2116" spans="3:3" x14ac:dyDescent="0.25">
      <c r="C2116" s="21"/>
    </row>
    <row r="2117" spans="3:3" x14ac:dyDescent="0.25">
      <c r="C2117" s="21"/>
    </row>
    <row r="2118" spans="3:3" x14ac:dyDescent="0.25">
      <c r="C2118" s="21"/>
    </row>
    <row r="2119" spans="3:3" x14ac:dyDescent="0.25">
      <c r="C2119" s="21"/>
    </row>
    <row r="2120" spans="3:3" x14ac:dyDescent="0.25">
      <c r="C2120" s="21"/>
    </row>
    <row r="2121" spans="3:3" x14ac:dyDescent="0.25">
      <c r="C2121" s="21"/>
    </row>
    <row r="2122" spans="3:3" x14ac:dyDescent="0.25">
      <c r="C2122" s="21"/>
    </row>
    <row r="2123" spans="3:3" x14ac:dyDescent="0.25">
      <c r="C2123" s="21"/>
    </row>
    <row r="2124" spans="3:3" x14ac:dyDescent="0.25">
      <c r="C2124" s="21"/>
    </row>
    <row r="2125" spans="3:3" x14ac:dyDescent="0.25">
      <c r="C2125" s="21"/>
    </row>
    <row r="2126" spans="3:3" x14ac:dyDescent="0.25">
      <c r="C2126" s="21"/>
    </row>
    <row r="2127" spans="3:3" x14ac:dyDescent="0.25">
      <c r="C2127" s="21"/>
    </row>
    <row r="2128" spans="3:3" x14ac:dyDescent="0.25">
      <c r="C2128" s="21"/>
    </row>
    <row r="2129" spans="3:3" x14ac:dyDescent="0.25">
      <c r="C2129" s="21"/>
    </row>
    <row r="2130" spans="3:3" x14ac:dyDescent="0.25">
      <c r="C2130" s="21"/>
    </row>
    <row r="2131" spans="3:3" x14ac:dyDescent="0.25">
      <c r="C2131" s="21"/>
    </row>
    <row r="2132" spans="3:3" x14ac:dyDescent="0.25">
      <c r="C2132" s="21"/>
    </row>
    <row r="2133" spans="3:3" x14ac:dyDescent="0.25">
      <c r="C2133" s="21"/>
    </row>
    <row r="2134" spans="3:3" x14ac:dyDescent="0.25">
      <c r="C2134" s="21"/>
    </row>
    <row r="2135" spans="3:3" x14ac:dyDescent="0.25">
      <c r="C2135" s="21"/>
    </row>
    <row r="2136" spans="3:3" x14ac:dyDescent="0.25">
      <c r="C2136" s="21"/>
    </row>
    <row r="2137" spans="3:3" x14ac:dyDescent="0.25">
      <c r="C2137" s="21"/>
    </row>
    <row r="2138" spans="3:3" x14ac:dyDescent="0.25">
      <c r="C2138" s="21"/>
    </row>
    <row r="2139" spans="3:3" x14ac:dyDescent="0.25">
      <c r="C2139" s="21"/>
    </row>
    <row r="2140" spans="3:3" x14ac:dyDescent="0.25">
      <c r="C2140" s="21"/>
    </row>
    <row r="2141" spans="3:3" x14ac:dyDescent="0.25">
      <c r="C2141" s="21"/>
    </row>
    <row r="2142" spans="3:3" x14ac:dyDescent="0.25">
      <c r="C2142" s="21"/>
    </row>
    <row r="2143" spans="3:3" x14ac:dyDescent="0.25">
      <c r="C2143" s="21"/>
    </row>
    <row r="2144" spans="3:3" x14ac:dyDescent="0.25">
      <c r="C2144" s="21"/>
    </row>
    <row r="2145" spans="3:3" x14ac:dyDescent="0.25">
      <c r="C2145" s="21"/>
    </row>
    <row r="2146" spans="3:3" x14ac:dyDescent="0.25">
      <c r="C2146" s="21"/>
    </row>
    <row r="2147" spans="3:3" x14ac:dyDescent="0.25">
      <c r="C2147" s="21"/>
    </row>
    <row r="2148" spans="3:3" x14ac:dyDescent="0.25">
      <c r="C2148" s="21"/>
    </row>
    <row r="2149" spans="3:3" x14ac:dyDescent="0.25">
      <c r="C2149" s="21"/>
    </row>
    <row r="2150" spans="3:3" x14ac:dyDescent="0.25">
      <c r="C2150" s="21"/>
    </row>
    <row r="2151" spans="3:3" x14ac:dyDescent="0.25">
      <c r="C2151" s="21"/>
    </row>
    <row r="2152" spans="3:3" x14ac:dyDescent="0.25">
      <c r="C2152" s="21"/>
    </row>
    <row r="2153" spans="3:3" x14ac:dyDescent="0.25">
      <c r="C2153" s="21"/>
    </row>
    <row r="2154" spans="3:3" x14ac:dyDescent="0.25">
      <c r="C2154" s="21"/>
    </row>
    <row r="2155" spans="3:3" x14ac:dyDescent="0.25">
      <c r="C2155" s="21"/>
    </row>
    <row r="2156" spans="3:3" x14ac:dyDescent="0.25">
      <c r="C2156" s="21"/>
    </row>
    <row r="2157" spans="3:3" x14ac:dyDescent="0.25">
      <c r="C2157" s="21"/>
    </row>
    <row r="2158" spans="3:3" x14ac:dyDescent="0.25">
      <c r="C2158" s="21"/>
    </row>
    <row r="2159" spans="3:3" x14ac:dyDescent="0.25">
      <c r="C2159" s="21"/>
    </row>
    <row r="2160" spans="3:3" x14ac:dyDescent="0.25">
      <c r="C2160" s="21"/>
    </row>
    <row r="2161" spans="3:3" x14ac:dyDescent="0.25">
      <c r="C2161" s="21"/>
    </row>
    <row r="2162" spans="3:3" x14ac:dyDescent="0.25">
      <c r="C2162" s="21"/>
    </row>
    <row r="2163" spans="3:3" x14ac:dyDescent="0.25">
      <c r="C2163" s="21"/>
    </row>
    <row r="2164" spans="3:3" x14ac:dyDescent="0.25">
      <c r="C2164" s="21"/>
    </row>
    <row r="2165" spans="3:3" x14ac:dyDescent="0.25">
      <c r="C2165" s="21"/>
    </row>
    <row r="2166" spans="3:3" x14ac:dyDescent="0.25">
      <c r="C2166" s="21"/>
    </row>
    <row r="2167" spans="3:3" x14ac:dyDescent="0.25">
      <c r="C2167" s="21"/>
    </row>
    <row r="2168" spans="3:3" x14ac:dyDescent="0.25">
      <c r="C2168" s="21"/>
    </row>
    <row r="2169" spans="3:3" x14ac:dyDescent="0.25">
      <c r="C2169" s="21"/>
    </row>
    <row r="2170" spans="3:3" x14ac:dyDescent="0.25">
      <c r="C2170" s="21"/>
    </row>
    <row r="2171" spans="3:3" x14ac:dyDescent="0.25">
      <c r="C2171" s="21"/>
    </row>
    <row r="2172" spans="3:3" x14ac:dyDescent="0.25">
      <c r="C2172" s="21"/>
    </row>
    <row r="2173" spans="3:3" x14ac:dyDescent="0.25">
      <c r="C2173" s="21"/>
    </row>
    <row r="2174" spans="3:3" x14ac:dyDescent="0.25">
      <c r="C2174" s="21"/>
    </row>
    <row r="2175" spans="3:3" x14ac:dyDescent="0.25">
      <c r="C2175" s="21"/>
    </row>
    <row r="2176" spans="3:3" x14ac:dyDescent="0.25">
      <c r="C2176" s="21"/>
    </row>
    <row r="2177" spans="3:3" x14ac:dyDescent="0.25">
      <c r="C2177" s="21"/>
    </row>
    <row r="2178" spans="3:3" x14ac:dyDescent="0.25">
      <c r="C2178" s="21"/>
    </row>
    <row r="2179" spans="3:3" x14ac:dyDescent="0.25">
      <c r="C2179" s="21"/>
    </row>
    <row r="2180" spans="3:3" x14ac:dyDescent="0.25">
      <c r="C2180" s="21"/>
    </row>
    <row r="2181" spans="3:3" x14ac:dyDescent="0.25">
      <c r="C2181" s="21"/>
    </row>
    <row r="2182" spans="3:3" x14ac:dyDescent="0.25">
      <c r="C2182" s="21"/>
    </row>
    <row r="2183" spans="3:3" x14ac:dyDescent="0.25">
      <c r="C2183" s="21"/>
    </row>
    <row r="2184" spans="3:3" x14ac:dyDescent="0.25">
      <c r="C2184" s="21"/>
    </row>
    <row r="2185" spans="3:3" x14ac:dyDescent="0.25">
      <c r="C2185" s="21"/>
    </row>
    <row r="2186" spans="3:3" x14ac:dyDescent="0.25">
      <c r="C2186" s="21"/>
    </row>
    <row r="2187" spans="3:3" x14ac:dyDescent="0.25">
      <c r="C2187" s="21"/>
    </row>
    <row r="2188" spans="3:3" x14ac:dyDescent="0.25">
      <c r="C2188" s="21"/>
    </row>
    <row r="2189" spans="3:3" x14ac:dyDescent="0.25">
      <c r="C2189" s="21"/>
    </row>
    <row r="2190" spans="3:3" x14ac:dyDescent="0.25">
      <c r="C2190" s="21"/>
    </row>
    <row r="2191" spans="3:3" x14ac:dyDescent="0.25">
      <c r="C2191" s="21"/>
    </row>
    <row r="2192" spans="3:3" x14ac:dyDescent="0.25">
      <c r="C2192" s="21"/>
    </row>
    <row r="2193" spans="3:3" x14ac:dyDescent="0.25">
      <c r="C2193" s="21"/>
    </row>
    <row r="2194" spans="3:3" x14ac:dyDescent="0.25">
      <c r="C2194" s="21"/>
    </row>
    <row r="2195" spans="3:3" x14ac:dyDescent="0.25">
      <c r="C2195" s="21"/>
    </row>
    <row r="2196" spans="3:3" x14ac:dyDescent="0.25">
      <c r="C2196" s="21"/>
    </row>
    <row r="2197" spans="3:3" x14ac:dyDescent="0.25">
      <c r="C2197" s="21"/>
    </row>
    <row r="2198" spans="3:3" x14ac:dyDescent="0.25">
      <c r="C2198" s="21"/>
    </row>
    <row r="2199" spans="3:3" x14ac:dyDescent="0.25">
      <c r="C2199" s="21"/>
    </row>
    <row r="2200" spans="3:3" x14ac:dyDescent="0.25">
      <c r="C2200" s="21"/>
    </row>
    <row r="2201" spans="3:3" x14ac:dyDescent="0.25">
      <c r="C2201" s="21"/>
    </row>
    <row r="2202" spans="3:3" x14ac:dyDescent="0.25">
      <c r="C2202" s="21"/>
    </row>
    <row r="2203" spans="3:3" x14ac:dyDescent="0.25">
      <c r="C2203" s="21"/>
    </row>
    <row r="2204" spans="3:3" x14ac:dyDescent="0.25">
      <c r="C2204" s="21"/>
    </row>
    <row r="2205" spans="3:3" x14ac:dyDescent="0.25">
      <c r="C2205" s="21"/>
    </row>
    <row r="2206" spans="3:3" x14ac:dyDescent="0.25">
      <c r="C2206" s="21"/>
    </row>
    <row r="2207" spans="3:3" x14ac:dyDescent="0.25">
      <c r="C2207" s="21"/>
    </row>
    <row r="2208" spans="3:3" x14ac:dyDescent="0.25">
      <c r="C2208" s="21"/>
    </row>
    <row r="2209" spans="3:3" x14ac:dyDescent="0.25">
      <c r="C2209" s="21"/>
    </row>
    <row r="2210" spans="3:3" x14ac:dyDescent="0.25">
      <c r="C2210" s="21"/>
    </row>
    <row r="2211" spans="3:3" x14ac:dyDescent="0.25">
      <c r="C2211" s="21"/>
    </row>
    <row r="2212" spans="3:3" x14ac:dyDescent="0.25">
      <c r="C2212" s="21"/>
    </row>
    <row r="2213" spans="3:3" x14ac:dyDescent="0.25">
      <c r="C2213" s="21"/>
    </row>
    <row r="2214" spans="3:3" x14ac:dyDescent="0.25">
      <c r="C2214" s="21"/>
    </row>
    <row r="2215" spans="3:3" x14ac:dyDescent="0.25">
      <c r="C2215" s="21"/>
    </row>
    <row r="2216" spans="3:3" x14ac:dyDescent="0.25">
      <c r="C2216" s="21"/>
    </row>
    <row r="2217" spans="3:3" x14ac:dyDescent="0.25">
      <c r="C2217" s="21"/>
    </row>
    <row r="2218" spans="3:3" x14ac:dyDescent="0.25">
      <c r="C2218" s="21"/>
    </row>
    <row r="2219" spans="3:3" x14ac:dyDescent="0.25">
      <c r="C2219" s="21"/>
    </row>
    <row r="2220" spans="3:3" x14ac:dyDescent="0.25">
      <c r="C2220" s="21"/>
    </row>
    <row r="2221" spans="3:3" x14ac:dyDescent="0.25">
      <c r="C2221" s="21"/>
    </row>
    <row r="2222" spans="3:3" x14ac:dyDescent="0.25">
      <c r="C2222" s="21"/>
    </row>
    <row r="2223" spans="3:3" x14ac:dyDescent="0.25">
      <c r="C2223" s="21"/>
    </row>
    <row r="2224" spans="3:3" x14ac:dyDescent="0.25">
      <c r="C2224" s="21"/>
    </row>
    <row r="2225" spans="3:3" x14ac:dyDescent="0.25">
      <c r="C2225" s="21"/>
    </row>
    <row r="2226" spans="3:3" x14ac:dyDescent="0.25">
      <c r="C2226" s="21"/>
    </row>
    <row r="2227" spans="3:3" x14ac:dyDescent="0.25">
      <c r="C2227" s="21"/>
    </row>
    <row r="2228" spans="3:3" x14ac:dyDescent="0.25">
      <c r="C2228" s="21"/>
    </row>
    <row r="2229" spans="3:3" x14ac:dyDescent="0.25">
      <c r="C2229" s="21"/>
    </row>
    <row r="2230" spans="3:3" x14ac:dyDescent="0.25">
      <c r="C2230" s="21"/>
    </row>
    <row r="2231" spans="3:3" x14ac:dyDescent="0.25">
      <c r="C2231" s="21"/>
    </row>
    <row r="2232" spans="3:3" x14ac:dyDescent="0.25">
      <c r="C2232" s="21"/>
    </row>
    <row r="2233" spans="3:3" x14ac:dyDescent="0.25">
      <c r="C2233" s="21"/>
    </row>
    <row r="2234" spans="3:3" x14ac:dyDescent="0.25">
      <c r="C2234" s="21"/>
    </row>
    <row r="2235" spans="3:3" x14ac:dyDescent="0.25">
      <c r="C2235" s="21"/>
    </row>
    <row r="2236" spans="3:3" x14ac:dyDescent="0.25">
      <c r="C2236" s="21"/>
    </row>
    <row r="2237" spans="3:3" x14ac:dyDescent="0.25">
      <c r="C2237" s="21"/>
    </row>
    <row r="2238" spans="3:3" x14ac:dyDescent="0.25">
      <c r="C2238" s="21"/>
    </row>
    <row r="2239" spans="3:3" x14ac:dyDescent="0.25">
      <c r="C2239" s="21"/>
    </row>
    <row r="2240" spans="3:3" x14ac:dyDescent="0.25">
      <c r="C2240" s="21"/>
    </row>
    <row r="2241" spans="3:3" x14ac:dyDescent="0.25">
      <c r="C2241" s="21"/>
    </row>
    <row r="2242" spans="3:3" x14ac:dyDescent="0.25">
      <c r="C2242" s="21"/>
    </row>
    <row r="2243" spans="3:3" x14ac:dyDescent="0.25">
      <c r="C2243" s="21"/>
    </row>
    <row r="2244" spans="3:3" x14ac:dyDescent="0.25">
      <c r="C2244" s="21"/>
    </row>
    <row r="2245" spans="3:3" x14ac:dyDescent="0.25">
      <c r="C2245" s="21"/>
    </row>
    <row r="2246" spans="3:3" x14ac:dyDescent="0.25">
      <c r="C2246" s="21"/>
    </row>
    <row r="2247" spans="3:3" x14ac:dyDescent="0.25">
      <c r="C2247" s="21"/>
    </row>
    <row r="2248" spans="3:3" x14ac:dyDescent="0.25">
      <c r="C2248" s="21"/>
    </row>
    <row r="2249" spans="3:3" x14ac:dyDescent="0.25">
      <c r="C2249" s="21"/>
    </row>
    <row r="2250" spans="3:3" x14ac:dyDescent="0.25">
      <c r="C2250" s="21"/>
    </row>
    <row r="2251" spans="3:3" x14ac:dyDescent="0.25">
      <c r="C2251" s="21"/>
    </row>
    <row r="2252" spans="3:3" x14ac:dyDescent="0.25">
      <c r="C2252" s="21"/>
    </row>
    <row r="2253" spans="3:3" x14ac:dyDescent="0.25">
      <c r="C2253" s="21"/>
    </row>
    <row r="2254" spans="3:3" x14ac:dyDescent="0.25">
      <c r="C2254" s="21"/>
    </row>
    <row r="2255" spans="3:3" x14ac:dyDescent="0.25">
      <c r="C2255" s="21"/>
    </row>
    <row r="2256" spans="3:3" x14ac:dyDescent="0.25">
      <c r="C2256" s="21"/>
    </row>
    <row r="2257" spans="3:3" x14ac:dyDescent="0.25">
      <c r="C2257" s="21"/>
    </row>
    <row r="2258" spans="3:3" x14ac:dyDescent="0.25">
      <c r="C2258" s="21"/>
    </row>
    <row r="2259" spans="3:3" x14ac:dyDescent="0.25">
      <c r="C2259" s="21"/>
    </row>
    <row r="2260" spans="3:3" x14ac:dyDescent="0.25">
      <c r="C2260" s="21"/>
    </row>
    <row r="2261" spans="3:3" x14ac:dyDescent="0.25">
      <c r="C2261" s="21"/>
    </row>
    <row r="2262" spans="3:3" x14ac:dyDescent="0.25">
      <c r="C2262" s="21"/>
    </row>
    <row r="2263" spans="3:3" x14ac:dyDescent="0.25">
      <c r="C2263" s="21"/>
    </row>
    <row r="2264" spans="3:3" x14ac:dyDescent="0.25">
      <c r="C2264" s="21"/>
    </row>
    <row r="2265" spans="3:3" x14ac:dyDescent="0.25">
      <c r="C2265" s="21"/>
    </row>
    <row r="2266" spans="3:3" x14ac:dyDescent="0.25">
      <c r="C2266" s="21"/>
    </row>
    <row r="2267" spans="3:3" x14ac:dyDescent="0.25">
      <c r="C2267" s="21"/>
    </row>
    <row r="2268" spans="3:3" x14ac:dyDescent="0.25">
      <c r="C2268" s="21"/>
    </row>
    <row r="2269" spans="3:3" x14ac:dyDescent="0.25">
      <c r="C2269" s="21"/>
    </row>
    <row r="2270" spans="3:3" x14ac:dyDescent="0.25">
      <c r="C2270" s="21"/>
    </row>
    <row r="2271" spans="3:3" x14ac:dyDescent="0.25">
      <c r="C2271" s="21"/>
    </row>
    <row r="2272" spans="3:3" x14ac:dyDescent="0.25">
      <c r="C2272" s="21"/>
    </row>
    <row r="2273" spans="3:3" x14ac:dyDescent="0.25">
      <c r="C2273" s="21"/>
    </row>
    <row r="2274" spans="3:3" x14ac:dyDescent="0.25">
      <c r="C2274" s="21"/>
    </row>
    <row r="2275" spans="3:3" x14ac:dyDescent="0.25">
      <c r="C2275" s="21"/>
    </row>
    <row r="2276" spans="3:3" x14ac:dyDescent="0.25">
      <c r="C2276" s="21"/>
    </row>
    <row r="2277" spans="3:3" x14ac:dyDescent="0.25">
      <c r="C2277" s="21"/>
    </row>
    <row r="2278" spans="3:3" x14ac:dyDescent="0.25">
      <c r="C2278" s="21"/>
    </row>
    <row r="2279" spans="3:3" x14ac:dyDescent="0.25">
      <c r="C2279" s="21"/>
    </row>
    <row r="2280" spans="3:3" x14ac:dyDescent="0.25">
      <c r="C2280" s="21"/>
    </row>
    <row r="2281" spans="3:3" x14ac:dyDescent="0.25">
      <c r="C2281" s="21"/>
    </row>
    <row r="2282" spans="3:3" x14ac:dyDescent="0.25">
      <c r="C2282" s="21"/>
    </row>
    <row r="2283" spans="3:3" x14ac:dyDescent="0.25">
      <c r="C2283" s="21"/>
    </row>
    <row r="2284" spans="3:3" x14ac:dyDescent="0.25">
      <c r="C2284" s="21"/>
    </row>
    <row r="2285" spans="3:3" x14ac:dyDescent="0.25">
      <c r="C2285" s="21"/>
    </row>
    <row r="2286" spans="3:3" x14ac:dyDescent="0.25">
      <c r="C2286" s="21"/>
    </row>
    <row r="2287" spans="3:3" x14ac:dyDescent="0.25">
      <c r="C2287" s="21"/>
    </row>
    <row r="2288" spans="3:3" x14ac:dyDescent="0.25">
      <c r="C2288" s="21"/>
    </row>
    <row r="2289" spans="3:3" x14ac:dyDescent="0.25">
      <c r="C2289" s="21"/>
    </row>
    <row r="2290" spans="3:3" x14ac:dyDescent="0.25">
      <c r="C2290" s="21"/>
    </row>
    <row r="2291" spans="3:3" x14ac:dyDescent="0.25">
      <c r="C2291" s="21"/>
    </row>
    <row r="2292" spans="3:3" x14ac:dyDescent="0.25">
      <c r="C2292" s="21"/>
    </row>
    <row r="2293" spans="3:3" x14ac:dyDescent="0.25">
      <c r="C2293" s="21"/>
    </row>
    <row r="2294" spans="3:3" x14ac:dyDescent="0.25">
      <c r="C2294" s="21"/>
    </row>
    <row r="2295" spans="3:3" x14ac:dyDescent="0.25">
      <c r="C2295" s="21"/>
    </row>
    <row r="2296" spans="3:3" x14ac:dyDescent="0.25">
      <c r="C2296" s="21"/>
    </row>
    <row r="2297" spans="3:3" x14ac:dyDescent="0.25">
      <c r="C2297" s="21"/>
    </row>
    <row r="2298" spans="3:3" x14ac:dyDescent="0.25">
      <c r="C2298" s="21"/>
    </row>
    <row r="2299" spans="3:3" x14ac:dyDescent="0.25">
      <c r="C2299" s="21"/>
    </row>
    <row r="2300" spans="3:3" x14ac:dyDescent="0.25">
      <c r="C2300" s="21"/>
    </row>
    <row r="2301" spans="3:3" x14ac:dyDescent="0.25">
      <c r="C2301" s="21"/>
    </row>
    <row r="2302" spans="3:3" x14ac:dyDescent="0.25">
      <c r="C2302" s="21"/>
    </row>
    <row r="2303" spans="3:3" x14ac:dyDescent="0.25">
      <c r="C2303" s="21"/>
    </row>
    <row r="2304" spans="3:3" x14ac:dyDescent="0.25">
      <c r="C2304" s="21"/>
    </row>
    <row r="2305" spans="3:3" x14ac:dyDescent="0.25">
      <c r="C2305" s="21"/>
    </row>
    <row r="2306" spans="3:3" x14ac:dyDescent="0.25">
      <c r="C2306" s="21"/>
    </row>
    <row r="2307" spans="3:3" x14ac:dyDescent="0.25">
      <c r="C2307" s="21"/>
    </row>
    <row r="2308" spans="3:3" x14ac:dyDescent="0.25">
      <c r="C2308" s="21"/>
    </row>
    <row r="2309" spans="3:3" x14ac:dyDescent="0.25">
      <c r="C2309" s="21"/>
    </row>
    <row r="2310" spans="3:3" x14ac:dyDescent="0.25">
      <c r="C2310" s="21"/>
    </row>
    <row r="2311" spans="3:3" x14ac:dyDescent="0.25">
      <c r="C2311" s="21"/>
    </row>
    <row r="2312" spans="3:3" x14ac:dyDescent="0.25">
      <c r="C2312" s="21"/>
    </row>
    <row r="2313" spans="3:3" x14ac:dyDescent="0.25">
      <c r="C2313" s="21"/>
    </row>
    <row r="2314" spans="3:3" x14ac:dyDescent="0.25">
      <c r="C2314" s="21"/>
    </row>
    <row r="2315" spans="3:3" x14ac:dyDescent="0.25">
      <c r="C2315" s="21"/>
    </row>
    <row r="2316" spans="3:3" x14ac:dyDescent="0.25">
      <c r="C2316" s="21"/>
    </row>
    <row r="2317" spans="3:3" x14ac:dyDescent="0.25">
      <c r="C2317" s="21"/>
    </row>
    <row r="2318" spans="3:3" x14ac:dyDescent="0.25">
      <c r="C2318" s="21"/>
    </row>
    <row r="2319" spans="3:3" x14ac:dyDescent="0.25">
      <c r="C2319" s="21"/>
    </row>
    <row r="2320" spans="3:3" x14ac:dyDescent="0.25">
      <c r="C2320" s="21"/>
    </row>
    <row r="2321" spans="3:3" x14ac:dyDescent="0.25">
      <c r="C2321" s="21"/>
    </row>
    <row r="2322" spans="3:3" x14ac:dyDescent="0.25">
      <c r="C2322" s="21"/>
    </row>
    <row r="2323" spans="3:3" x14ac:dyDescent="0.25">
      <c r="C2323" s="21"/>
    </row>
    <row r="2324" spans="3:3" x14ac:dyDescent="0.25">
      <c r="C2324" s="21"/>
    </row>
    <row r="2325" spans="3:3" x14ac:dyDescent="0.25">
      <c r="C2325" s="21"/>
    </row>
    <row r="2326" spans="3:3" x14ac:dyDescent="0.25">
      <c r="C2326" s="21"/>
    </row>
    <row r="2327" spans="3:3" x14ac:dyDescent="0.25">
      <c r="C2327" s="21"/>
    </row>
    <row r="2328" spans="3:3" x14ac:dyDescent="0.25">
      <c r="C2328" s="21"/>
    </row>
    <row r="2329" spans="3:3" x14ac:dyDescent="0.25">
      <c r="C2329" s="21"/>
    </row>
    <row r="2330" spans="3:3" x14ac:dyDescent="0.25">
      <c r="C2330" s="21"/>
    </row>
    <row r="2331" spans="3:3" x14ac:dyDescent="0.25">
      <c r="C2331" s="21"/>
    </row>
    <row r="2332" spans="3:3" x14ac:dyDescent="0.25">
      <c r="C2332" s="21"/>
    </row>
    <row r="2333" spans="3:3" x14ac:dyDescent="0.25">
      <c r="C2333" s="21"/>
    </row>
    <row r="2334" spans="3:3" x14ac:dyDescent="0.25">
      <c r="C2334" s="21"/>
    </row>
    <row r="2335" spans="3:3" x14ac:dyDescent="0.25">
      <c r="C2335" s="21"/>
    </row>
    <row r="2336" spans="3:3" x14ac:dyDescent="0.25">
      <c r="C2336" s="21"/>
    </row>
    <row r="2337" spans="3:3" x14ac:dyDescent="0.25">
      <c r="C2337" s="21"/>
    </row>
    <row r="2338" spans="3:3" x14ac:dyDescent="0.25">
      <c r="C2338" s="21"/>
    </row>
    <row r="2339" spans="3:3" x14ac:dyDescent="0.25">
      <c r="C2339" s="21"/>
    </row>
    <row r="2340" spans="3:3" x14ac:dyDescent="0.25">
      <c r="C2340" s="21"/>
    </row>
    <row r="2341" spans="3:3" x14ac:dyDescent="0.25">
      <c r="C2341" s="21"/>
    </row>
    <row r="2342" spans="3:3" x14ac:dyDescent="0.25">
      <c r="C2342" s="21"/>
    </row>
    <row r="2343" spans="3:3" x14ac:dyDescent="0.25">
      <c r="C2343" s="21"/>
    </row>
    <row r="2344" spans="3:3" x14ac:dyDescent="0.25">
      <c r="C2344" s="21"/>
    </row>
    <row r="2345" spans="3:3" x14ac:dyDescent="0.25">
      <c r="C2345" s="21"/>
    </row>
    <row r="2346" spans="3:3" x14ac:dyDescent="0.25">
      <c r="C2346" s="21"/>
    </row>
    <row r="2347" spans="3:3" x14ac:dyDescent="0.25">
      <c r="C2347" s="21"/>
    </row>
    <row r="2348" spans="3:3" x14ac:dyDescent="0.25">
      <c r="C2348" s="21"/>
    </row>
    <row r="2349" spans="3:3" x14ac:dyDescent="0.25">
      <c r="C2349" s="21"/>
    </row>
    <row r="2350" spans="3:3" x14ac:dyDescent="0.25">
      <c r="C2350" s="21"/>
    </row>
    <row r="2351" spans="3:3" x14ac:dyDescent="0.25">
      <c r="C2351" s="21"/>
    </row>
    <row r="2352" spans="3:3" x14ac:dyDescent="0.25">
      <c r="C2352" s="21"/>
    </row>
    <row r="2353" spans="3:3" x14ac:dyDescent="0.25">
      <c r="C2353" s="21"/>
    </row>
    <row r="2354" spans="3:3" x14ac:dyDescent="0.25">
      <c r="C2354" s="21"/>
    </row>
    <row r="2355" spans="3:3" x14ac:dyDescent="0.25">
      <c r="C2355" s="21"/>
    </row>
    <row r="2356" spans="3:3" x14ac:dyDescent="0.25">
      <c r="C2356" s="21"/>
    </row>
    <row r="2357" spans="3:3" x14ac:dyDescent="0.25">
      <c r="C2357" s="21"/>
    </row>
    <row r="2358" spans="3:3" x14ac:dyDescent="0.25">
      <c r="C2358" s="21"/>
    </row>
    <row r="2359" spans="3:3" x14ac:dyDescent="0.25">
      <c r="C2359" s="21"/>
    </row>
    <row r="2360" spans="3:3" x14ac:dyDescent="0.25">
      <c r="C2360" s="21"/>
    </row>
    <row r="2361" spans="3:3" x14ac:dyDescent="0.25">
      <c r="C2361" s="21"/>
    </row>
    <row r="2362" spans="3:3" x14ac:dyDescent="0.25">
      <c r="C2362" s="21"/>
    </row>
    <row r="2363" spans="3:3" x14ac:dyDescent="0.25">
      <c r="C2363" s="21"/>
    </row>
    <row r="2364" spans="3:3" x14ac:dyDescent="0.25">
      <c r="C2364" s="21"/>
    </row>
    <row r="2365" spans="3:3" x14ac:dyDescent="0.25">
      <c r="C2365" s="21"/>
    </row>
    <row r="2366" spans="3:3" x14ac:dyDescent="0.25">
      <c r="C2366" s="21"/>
    </row>
    <row r="2367" spans="3:3" x14ac:dyDescent="0.25">
      <c r="C2367" s="21"/>
    </row>
    <row r="2368" spans="3:3" x14ac:dyDescent="0.25">
      <c r="C2368" s="21"/>
    </row>
    <row r="2369" spans="3:3" x14ac:dyDescent="0.25">
      <c r="C2369" s="21"/>
    </row>
    <row r="2370" spans="3:3" x14ac:dyDescent="0.25">
      <c r="C2370" s="21"/>
    </row>
    <row r="2371" spans="3:3" x14ac:dyDescent="0.25">
      <c r="C2371" s="21"/>
    </row>
    <row r="2372" spans="3:3" x14ac:dyDescent="0.25">
      <c r="C2372" s="21"/>
    </row>
    <row r="2373" spans="3:3" x14ac:dyDescent="0.25">
      <c r="C2373" s="21"/>
    </row>
    <row r="2374" spans="3:3" x14ac:dyDescent="0.25">
      <c r="C2374" s="21"/>
    </row>
    <row r="2375" spans="3:3" x14ac:dyDescent="0.25">
      <c r="C2375" s="21"/>
    </row>
    <row r="2376" spans="3:3" x14ac:dyDescent="0.25">
      <c r="C2376" s="21"/>
    </row>
    <row r="2377" spans="3:3" x14ac:dyDescent="0.25">
      <c r="C2377" s="21"/>
    </row>
    <row r="2378" spans="3:3" x14ac:dyDescent="0.25">
      <c r="C2378" s="21"/>
    </row>
    <row r="2379" spans="3:3" x14ac:dyDescent="0.25">
      <c r="C2379" s="21"/>
    </row>
    <row r="2380" spans="3:3" x14ac:dyDescent="0.25">
      <c r="C2380" s="21"/>
    </row>
    <row r="2381" spans="3:3" x14ac:dyDescent="0.25">
      <c r="C2381" s="21"/>
    </row>
    <row r="2382" spans="3:3" x14ac:dyDescent="0.25">
      <c r="C2382" s="21"/>
    </row>
    <row r="2383" spans="3:3" x14ac:dyDescent="0.25">
      <c r="C2383" s="21"/>
    </row>
    <row r="2384" spans="3:3" x14ac:dyDescent="0.25">
      <c r="C2384" s="21"/>
    </row>
    <row r="2385" spans="3:3" x14ac:dyDescent="0.25">
      <c r="C2385" s="21"/>
    </row>
    <row r="2386" spans="3:3" x14ac:dyDescent="0.25">
      <c r="C2386" s="21"/>
    </row>
    <row r="2387" spans="3:3" x14ac:dyDescent="0.25">
      <c r="C2387" s="21"/>
    </row>
    <row r="2388" spans="3:3" x14ac:dyDescent="0.25">
      <c r="C2388" s="21"/>
    </row>
    <row r="2389" spans="3:3" x14ac:dyDescent="0.25">
      <c r="C2389" s="21"/>
    </row>
    <row r="2390" spans="3:3" x14ac:dyDescent="0.25">
      <c r="C2390" s="21"/>
    </row>
    <row r="2391" spans="3:3" x14ac:dyDescent="0.25">
      <c r="C2391" s="21"/>
    </row>
    <row r="2392" spans="3:3" x14ac:dyDescent="0.25">
      <c r="C2392" s="21"/>
    </row>
    <row r="2393" spans="3:3" x14ac:dyDescent="0.25">
      <c r="C2393" s="21"/>
    </row>
    <row r="2394" spans="3:3" x14ac:dyDescent="0.25">
      <c r="C2394" s="21"/>
    </row>
    <row r="2395" spans="3:3" x14ac:dyDescent="0.25">
      <c r="C2395" s="21"/>
    </row>
    <row r="2396" spans="3:3" x14ac:dyDescent="0.25">
      <c r="C2396" s="21"/>
    </row>
    <row r="2397" spans="3:3" x14ac:dyDescent="0.25">
      <c r="C2397" s="21"/>
    </row>
    <row r="2398" spans="3:3" x14ac:dyDescent="0.25">
      <c r="C2398" s="21"/>
    </row>
    <row r="2399" spans="3:3" x14ac:dyDescent="0.25">
      <c r="C2399" s="21"/>
    </row>
    <row r="2400" spans="3:3" x14ac:dyDescent="0.25">
      <c r="C2400" s="21"/>
    </row>
    <row r="2401" spans="3:3" x14ac:dyDescent="0.25">
      <c r="C2401" s="21"/>
    </row>
    <row r="2402" spans="3:3" x14ac:dyDescent="0.25">
      <c r="C2402" s="21"/>
    </row>
    <row r="2403" spans="3:3" x14ac:dyDescent="0.25">
      <c r="C2403" s="21"/>
    </row>
    <row r="2404" spans="3:3" x14ac:dyDescent="0.25">
      <c r="C2404" s="21"/>
    </row>
    <row r="2405" spans="3:3" x14ac:dyDescent="0.25">
      <c r="C2405" s="21"/>
    </row>
    <row r="2406" spans="3:3" x14ac:dyDescent="0.25">
      <c r="C2406" s="21"/>
    </row>
    <row r="2407" spans="3:3" x14ac:dyDescent="0.25">
      <c r="C2407" s="21"/>
    </row>
    <row r="2408" spans="3:3" x14ac:dyDescent="0.25">
      <c r="C2408" s="21"/>
    </row>
    <row r="2409" spans="3:3" x14ac:dyDescent="0.25">
      <c r="C2409" s="21"/>
    </row>
    <row r="2410" spans="3:3" x14ac:dyDescent="0.25">
      <c r="C2410" s="21"/>
    </row>
    <row r="2411" spans="3:3" x14ac:dyDescent="0.25">
      <c r="C2411" s="21"/>
    </row>
    <row r="2412" spans="3:3" x14ac:dyDescent="0.25">
      <c r="C2412" s="21"/>
    </row>
    <row r="2413" spans="3:3" x14ac:dyDescent="0.25">
      <c r="C2413" s="21"/>
    </row>
    <row r="2414" spans="3:3" x14ac:dyDescent="0.25">
      <c r="C2414" s="21"/>
    </row>
    <row r="2415" spans="3:3" x14ac:dyDescent="0.25">
      <c r="C2415" s="21"/>
    </row>
    <row r="2416" spans="3:3" x14ac:dyDescent="0.25">
      <c r="C2416" s="21"/>
    </row>
    <row r="2417" spans="3:3" x14ac:dyDescent="0.25">
      <c r="C2417" s="21"/>
    </row>
    <row r="2418" spans="3:3" x14ac:dyDescent="0.25">
      <c r="C2418" s="21"/>
    </row>
    <row r="2419" spans="3:3" x14ac:dyDescent="0.25">
      <c r="C2419" s="21"/>
    </row>
    <row r="2420" spans="3:3" x14ac:dyDescent="0.25">
      <c r="C2420" s="21"/>
    </row>
    <row r="2421" spans="3:3" x14ac:dyDescent="0.25">
      <c r="C2421" s="21"/>
    </row>
    <row r="2422" spans="3:3" x14ac:dyDescent="0.25">
      <c r="C2422" s="21"/>
    </row>
    <row r="2423" spans="3:3" x14ac:dyDescent="0.25">
      <c r="C2423" s="21"/>
    </row>
    <row r="2424" spans="3:3" x14ac:dyDescent="0.25">
      <c r="C2424" s="21"/>
    </row>
    <row r="2425" spans="3:3" x14ac:dyDescent="0.25">
      <c r="C2425" s="21"/>
    </row>
    <row r="2426" spans="3:3" x14ac:dyDescent="0.25">
      <c r="C2426" s="21"/>
    </row>
    <row r="2427" spans="3:3" x14ac:dyDescent="0.25">
      <c r="C2427" s="21"/>
    </row>
    <row r="2428" spans="3:3" x14ac:dyDescent="0.25">
      <c r="C2428" s="21"/>
    </row>
    <row r="2429" spans="3:3" x14ac:dyDescent="0.25">
      <c r="C2429" s="21"/>
    </row>
    <row r="2430" spans="3:3" x14ac:dyDescent="0.25">
      <c r="C2430" s="21"/>
    </row>
    <row r="2431" spans="3:3" x14ac:dyDescent="0.25">
      <c r="C2431" s="21"/>
    </row>
    <row r="2432" spans="3:3" x14ac:dyDescent="0.25">
      <c r="C2432" s="21"/>
    </row>
    <row r="2433" spans="3:3" x14ac:dyDescent="0.25">
      <c r="C2433" s="21"/>
    </row>
    <row r="2434" spans="3:3" x14ac:dyDescent="0.25">
      <c r="C2434" s="21"/>
    </row>
    <row r="2435" spans="3:3" x14ac:dyDescent="0.25">
      <c r="C2435" s="21"/>
    </row>
    <row r="2436" spans="3:3" x14ac:dyDescent="0.25">
      <c r="C2436" s="21"/>
    </row>
    <row r="2437" spans="3:3" x14ac:dyDescent="0.25">
      <c r="C2437" s="21"/>
    </row>
    <row r="2438" spans="3:3" x14ac:dyDescent="0.25">
      <c r="C2438" s="21"/>
    </row>
    <row r="2439" spans="3:3" x14ac:dyDescent="0.25">
      <c r="C2439" s="21"/>
    </row>
    <row r="2440" spans="3:3" x14ac:dyDescent="0.25">
      <c r="C2440" s="21"/>
    </row>
    <row r="2441" spans="3:3" x14ac:dyDescent="0.25">
      <c r="C2441" s="21"/>
    </row>
    <row r="2442" spans="3:3" x14ac:dyDescent="0.25">
      <c r="C2442" s="21"/>
    </row>
    <row r="2443" spans="3:3" x14ac:dyDescent="0.25">
      <c r="C2443" s="21"/>
    </row>
    <row r="2444" spans="3:3" x14ac:dyDescent="0.25">
      <c r="C2444" s="21"/>
    </row>
    <row r="2445" spans="3:3" x14ac:dyDescent="0.25">
      <c r="C2445" s="21"/>
    </row>
    <row r="2446" spans="3:3" x14ac:dyDescent="0.25">
      <c r="C2446" s="21"/>
    </row>
    <row r="2447" spans="3:3" x14ac:dyDescent="0.25">
      <c r="C2447" s="21"/>
    </row>
    <row r="2448" spans="3:3" x14ac:dyDescent="0.25">
      <c r="C2448" s="21"/>
    </row>
    <row r="2449" spans="3:3" x14ac:dyDescent="0.25">
      <c r="C2449" s="21"/>
    </row>
    <row r="2450" spans="3:3" x14ac:dyDescent="0.25">
      <c r="C2450" s="21"/>
    </row>
    <row r="2451" spans="3:3" x14ac:dyDescent="0.25">
      <c r="C2451" s="21"/>
    </row>
    <row r="2452" spans="3:3" x14ac:dyDescent="0.25">
      <c r="C2452" s="21"/>
    </row>
    <row r="2453" spans="3:3" x14ac:dyDescent="0.25">
      <c r="C2453" s="21"/>
    </row>
    <row r="2454" spans="3:3" x14ac:dyDescent="0.25">
      <c r="C2454" s="21"/>
    </row>
    <row r="2455" spans="3:3" x14ac:dyDescent="0.25">
      <c r="C2455" s="21"/>
    </row>
    <row r="2456" spans="3:3" x14ac:dyDescent="0.25">
      <c r="C2456" s="21"/>
    </row>
    <row r="2457" spans="3:3" x14ac:dyDescent="0.25">
      <c r="C2457" s="21"/>
    </row>
    <row r="2458" spans="3:3" x14ac:dyDescent="0.25">
      <c r="C2458" s="21"/>
    </row>
    <row r="2459" spans="3:3" x14ac:dyDescent="0.25">
      <c r="C2459" s="21"/>
    </row>
    <row r="2460" spans="3:3" x14ac:dyDescent="0.25">
      <c r="C2460" s="21"/>
    </row>
    <row r="2461" spans="3:3" x14ac:dyDescent="0.25">
      <c r="C2461" s="21"/>
    </row>
    <row r="2462" spans="3:3" x14ac:dyDescent="0.25">
      <c r="C2462" s="21"/>
    </row>
    <row r="2463" spans="3:3" x14ac:dyDescent="0.25">
      <c r="C2463" s="21"/>
    </row>
    <row r="2464" spans="3:3" x14ac:dyDescent="0.25">
      <c r="C2464" s="21"/>
    </row>
    <row r="2465" spans="3:3" x14ac:dyDescent="0.25">
      <c r="C2465" s="21"/>
    </row>
    <row r="2466" spans="3:3" x14ac:dyDescent="0.25">
      <c r="C2466" s="21"/>
    </row>
    <row r="2467" spans="3:3" x14ac:dyDescent="0.25">
      <c r="C2467" s="21"/>
    </row>
    <row r="2468" spans="3:3" x14ac:dyDescent="0.25">
      <c r="C2468" s="21"/>
    </row>
    <row r="2469" spans="3:3" x14ac:dyDescent="0.25">
      <c r="C2469" s="21"/>
    </row>
    <row r="2470" spans="3:3" x14ac:dyDescent="0.25">
      <c r="C2470" s="21"/>
    </row>
    <row r="2471" spans="3:3" x14ac:dyDescent="0.25">
      <c r="C2471" s="21"/>
    </row>
    <row r="2472" spans="3:3" x14ac:dyDescent="0.25">
      <c r="C2472" s="21"/>
    </row>
    <row r="2473" spans="3:3" x14ac:dyDescent="0.25">
      <c r="C2473" s="21"/>
    </row>
    <row r="2474" spans="3:3" x14ac:dyDescent="0.25">
      <c r="C2474" s="21"/>
    </row>
    <row r="2475" spans="3:3" x14ac:dyDescent="0.25">
      <c r="C2475" s="21"/>
    </row>
    <row r="2476" spans="3:3" x14ac:dyDescent="0.25">
      <c r="C2476" s="21"/>
    </row>
    <row r="2477" spans="3:3" x14ac:dyDescent="0.25">
      <c r="C2477" s="21"/>
    </row>
    <row r="2478" spans="3:3" x14ac:dyDescent="0.25">
      <c r="C2478" s="21"/>
    </row>
    <row r="2479" spans="3:3" x14ac:dyDescent="0.25">
      <c r="C2479" s="21"/>
    </row>
    <row r="2480" spans="3:3" x14ac:dyDescent="0.25">
      <c r="C2480" s="21"/>
    </row>
    <row r="2481" spans="3:3" x14ac:dyDescent="0.25">
      <c r="C2481" s="21"/>
    </row>
    <row r="2482" spans="3:3" x14ac:dyDescent="0.25">
      <c r="C2482" s="21"/>
    </row>
    <row r="2483" spans="3:3" x14ac:dyDescent="0.25">
      <c r="C2483" s="21"/>
    </row>
    <row r="2484" spans="3:3" x14ac:dyDescent="0.25">
      <c r="C2484" s="21"/>
    </row>
    <row r="2485" spans="3:3" x14ac:dyDescent="0.25">
      <c r="C2485" s="21"/>
    </row>
    <row r="2486" spans="3:3" x14ac:dyDescent="0.25">
      <c r="C2486" s="21"/>
    </row>
    <row r="2487" spans="3:3" x14ac:dyDescent="0.25">
      <c r="C2487" s="21"/>
    </row>
    <row r="2488" spans="3:3" x14ac:dyDescent="0.25">
      <c r="C2488" s="21"/>
    </row>
    <row r="2489" spans="3:3" x14ac:dyDescent="0.25">
      <c r="C2489" s="21"/>
    </row>
    <row r="2490" spans="3:3" x14ac:dyDescent="0.25">
      <c r="C2490" s="21"/>
    </row>
    <row r="2491" spans="3:3" x14ac:dyDescent="0.25">
      <c r="C2491" s="21"/>
    </row>
    <row r="2492" spans="3:3" x14ac:dyDescent="0.25">
      <c r="C2492" s="21"/>
    </row>
    <row r="2493" spans="3:3" x14ac:dyDescent="0.25">
      <c r="C2493" s="21"/>
    </row>
    <row r="2494" spans="3:3" x14ac:dyDescent="0.25">
      <c r="C2494" s="21"/>
    </row>
    <row r="2495" spans="3:3" x14ac:dyDescent="0.25">
      <c r="C2495" s="21"/>
    </row>
    <row r="2496" spans="3:3" x14ac:dyDescent="0.25">
      <c r="C2496" s="21"/>
    </row>
    <row r="2497" spans="3:3" x14ac:dyDescent="0.25">
      <c r="C2497" s="21"/>
    </row>
    <row r="2498" spans="3:3" x14ac:dyDescent="0.25">
      <c r="C2498" s="21"/>
    </row>
    <row r="2499" spans="3:3" x14ac:dyDescent="0.25">
      <c r="C2499" s="21"/>
    </row>
    <row r="2500" spans="3:3" x14ac:dyDescent="0.25">
      <c r="C2500" s="21"/>
    </row>
    <row r="2501" spans="3:3" x14ac:dyDescent="0.25">
      <c r="C2501" s="21"/>
    </row>
    <row r="2502" spans="3:3" x14ac:dyDescent="0.25">
      <c r="C2502" s="21"/>
    </row>
    <row r="2503" spans="3:3" x14ac:dyDescent="0.25">
      <c r="C2503" s="21"/>
    </row>
    <row r="2504" spans="3:3" x14ac:dyDescent="0.25">
      <c r="C2504" s="21"/>
    </row>
    <row r="2505" spans="3:3" x14ac:dyDescent="0.25">
      <c r="C2505" s="21"/>
    </row>
    <row r="2506" spans="3:3" x14ac:dyDescent="0.25">
      <c r="C2506" s="21"/>
    </row>
    <row r="2507" spans="3:3" x14ac:dyDescent="0.25">
      <c r="C2507" s="21"/>
    </row>
    <row r="2508" spans="3:3" x14ac:dyDescent="0.25">
      <c r="C2508" s="21"/>
    </row>
    <row r="2509" spans="3:3" x14ac:dyDescent="0.25">
      <c r="C2509" s="21"/>
    </row>
    <row r="2510" spans="3:3" x14ac:dyDescent="0.25">
      <c r="C2510" s="21"/>
    </row>
    <row r="2511" spans="3:3" x14ac:dyDescent="0.25">
      <c r="C2511" s="21"/>
    </row>
    <row r="2512" spans="3:3" x14ac:dyDescent="0.25">
      <c r="C2512" s="21"/>
    </row>
    <row r="2513" spans="3:3" x14ac:dyDescent="0.25">
      <c r="C2513" s="21"/>
    </row>
    <row r="2514" spans="3:3" x14ac:dyDescent="0.25">
      <c r="C2514" s="21"/>
    </row>
    <row r="2515" spans="3:3" x14ac:dyDescent="0.25">
      <c r="C2515" s="21"/>
    </row>
    <row r="2516" spans="3:3" x14ac:dyDescent="0.25">
      <c r="C2516" s="21"/>
    </row>
    <row r="2517" spans="3:3" x14ac:dyDescent="0.25">
      <c r="C2517" s="21"/>
    </row>
    <row r="2518" spans="3:3" x14ac:dyDescent="0.25">
      <c r="C2518" s="21"/>
    </row>
    <row r="2519" spans="3:3" x14ac:dyDescent="0.25">
      <c r="C2519" s="21"/>
    </row>
    <row r="2520" spans="3:3" x14ac:dyDescent="0.25">
      <c r="C2520" s="21"/>
    </row>
    <row r="2521" spans="3:3" x14ac:dyDescent="0.25">
      <c r="C2521" s="21"/>
    </row>
    <row r="2522" spans="3:3" x14ac:dyDescent="0.25">
      <c r="C2522" s="21"/>
    </row>
    <row r="2523" spans="3:3" x14ac:dyDescent="0.25">
      <c r="C2523" s="21"/>
    </row>
    <row r="2524" spans="3:3" x14ac:dyDescent="0.25">
      <c r="C2524" s="21"/>
    </row>
    <row r="2525" spans="3:3" x14ac:dyDescent="0.25">
      <c r="C2525" s="21"/>
    </row>
    <row r="2526" spans="3:3" x14ac:dyDescent="0.25">
      <c r="C2526" s="21"/>
    </row>
    <row r="2527" spans="3:3" x14ac:dyDescent="0.25">
      <c r="C2527" s="21"/>
    </row>
    <row r="2528" spans="3:3" x14ac:dyDescent="0.25">
      <c r="C2528" s="21"/>
    </row>
    <row r="2529" spans="3:3" x14ac:dyDescent="0.25">
      <c r="C2529" s="21"/>
    </row>
    <row r="2530" spans="3:3" x14ac:dyDescent="0.25">
      <c r="C2530" s="21"/>
    </row>
    <row r="2531" spans="3:3" x14ac:dyDescent="0.25">
      <c r="C2531" s="21"/>
    </row>
    <row r="2532" spans="3:3" x14ac:dyDescent="0.25">
      <c r="C2532" s="21"/>
    </row>
    <row r="2533" spans="3:3" x14ac:dyDescent="0.25">
      <c r="C2533" s="21"/>
    </row>
    <row r="2534" spans="3:3" x14ac:dyDescent="0.25">
      <c r="C2534" s="21"/>
    </row>
    <row r="2535" spans="3:3" x14ac:dyDescent="0.25">
      <c r="C2535" s="21"/>
    </row>
    <row r="2536" spans="3:3" x14ac:dyDescent="0.25">
      <c r="C2536" s="21"/>
    </row>
    <row r="2537" spans="3:3" x14ac:dyDescent="0.25">
      <c r="C2537" s="21"/>
    </row>
    <row r="2538" spans="3:3" x14ac:dyDescent="0.25">
      <c r="C2538" s="21"/>
    </row>
    <row r="2539" spans="3:3" x14ac:dyDescent="0.25">
      <c r="C2539" s="21"/>
    </row>
    <row r="2540" spans="3:3" x14ac:dyDescent="0.25">
      <c r="C2540" s="21"/>
    </row>
    <row r="2541" spans="3:3" x14ac:dyDescent="0.25">
      <c r="C2541" s="21"/>
    </row>
    <row r="2542" spans="3:3" x14ac:dyDescent="0.25">
      <c r="C2542" s="21"/>
    </row>
    <row r="2543" spans="3:3" x14ac:dyDescent="0.25">
      <c r="C2543" s="21"/>
    </row>
    <row r="2544" spans="3:3" x14ac:dyDescent="0.25">
      <c r="C2544" s="21"/>
    </row>
    <row r="2545" spans="3:3" x14ac:dyDescent="0.25">
      <c r="C2545" s="21"/>
    </row>
    <row r="2546" spans="3:3" x14ac:dyDescent="0.25">
      <c r="C2546" s="21"/>
    </row>
    <row r="2547" spans="3:3" x14ac:dyDescent="0.25">
      <c r="C2547" s="21"/>
    </row>
    <row r="2548" spans="3:3" x14ac:dyDescent="0.25">
      <c r="C2548" s="21"/>
    </row>
    <row r="2549" spans="3:3" x14ac:dyDescent="0.25">
      <c r="C2549" s="21"/>
    </row>
    <row r="2550" spans="3:3" x14ac:dyDescent="0.25">
      <c r="C2550" s="21"/>
    </row>
    <row r="2551" spans="3:3" x14ac:dyDescent="0.25">
      <c r="C2551" s="21"/>
    </row>
    <row r="2552" spans="3:3" x14ac:dyDescent="0.25">
      <c r="C2552" s="21"/>
    </row>
    <row r="2553" spans="3:3" x14ac:dyDescent="0.25">
      <c r="C2553" s="21"/>
    </row>
    <row r="2554" spans="3:3" x14ac:dyDescent="0.25">
      <c r="C2554" s="21"/>
    </row>
    <row r="2555" spans="3:3" x14ac:dyDescent="0.25">
      <c r="C2555" s="21"/>
    </row>
    <row r="2556" spans="3:3" x14ac:dyDescent="0.25">
      <c r="C2556" s="21"/>
    </row>
    <row r="2557" spans="3:3" x14ac:dyDescent="0.25">
      <c r="C2557" s="21"/>
    </row>
    <row r="2558" spans="3:3" x14ac:dyDescent="0.25">
      <c r="C2558" s="21"/>
    </row>
    <row r="2559" spans="3:3" x14ac:dyDescent="0.25">
      <c r="C2559" s="21"/>
    </row>
    <row r="2560" spans="3:3" x14ac:dyDescent="0.25">
      <c r="C2560" s="21"/>
    </row>
    <row r="2561" spans="3:3" x14ac:dyDescent="0.25">
      <c r="C2561" s="21"/>
    </row>
    <row r="2562" spans="3:3" x14ac:dyDescent="0.25">
      <c r="C2562" s="21"/>
    </row>
    <row r="2563" spans="3:3" x14ac:dyDescent="0.25">
      <c r="C2563" s="21"/>
    </row>
    <row r="2564" spans="3:3" x14ac:dyDescent="0.25">
      <c r="C2564" s="21"/>
    </row>
    <row r="2565" spans="3:3" x14ac:dyDescent="0.25">
      <c r="C2565" s="21"/>
    </row>
    <row r="2566" spans="3:3" x14ac:dyDescent="0.25">
      <c r="C2566" s="21"/>
    </row>
    <row r="2567" spans="3:3" x14ac:dyDescent="0.25">
      <c r="C2567" s="21"/>
    </row>
    <row r="2568" spans="3:3" x14ac:dyDescent="0.25">
      <c r="C2568" s="21"/>
    </row>
    <row r="2569" spans="3:3" x14ac:dyDescent="0.25">
      <c r="C2569" s="21"/>
    </row>
    <row r="2570" spans="3:3" x14ac:dyDescent="0.25">
      <c r="C2570" s="21"/>
    </row>
    <row r="2571" spans="3:3" x14ac:dyDescent="0.25">
      <c r="C2571" s="21"/>
    </row>
    <row r="2572" spans="3:3" x14ac:dyDescent="0.25">
      <c r="C2572" s="21"/>
    </row>
    <row r="2573" spans="3:3" x14ac:dyDescent="0.25">
      <c r="C2573" s="21"/>
    </row>
    <row r="2574" spans="3:3" x14ac:dyDescent="0.25">
      <c r="C2574" s="21"/>
    </row>
    <row r="2575" spans="3:3" x14ac:dyDescent="0.25">
      <c r="C2575" s="21"/>
    </row>
    <row r="2576" spans="3:3" x14ac:dyDescent="0.25">
      <c r="C2576" s="21"/>
    </row>
    <row r="2577" spans="3:3" x14ac:dyDescent="0.25">
      <c r="C2577" s="21"/>
    </row>
    <row r="2578" spans="3:3" x14ac:dyDescent="0.25">
      <c r="C2578" s="21"/>
    </row>
    <row r="2579" spans="3:3" x14ac:dyDescent="0.25">
      <c r="C2579" s="21"/>
    </row>
    <row r="2580" spans="3:3" x14ac:dyDescent="0.25">
      <c r="C2580" s="21"/>
    </row>
    <row r="2581" spans="3:3" x14ac:dyDescent="0.25">
      <c r="C2581" s="21"/>
    </row>
    <row r="2582" spans="3:3" x14ac:dyDescent="0.25">
      <c r="C2582" s="21"/>
    </row>
    <row r="2583" spans="3:3" x14ac:dyDescent="0.25">
      <c r="C2583" s="21"/>
    </row>
    <row r="2584" spans="3:3" x14ac:dyDescent="0.25">
      <c r="C2584" s="21"/>
    </row>
    <row r="2585" spans="3:3" x14ac:dyDescent="0.25">
      <c r="C2585" s="21"/>
    </row>
    <row r="2586" spans="3:3" x14ac:dyDescent="0.25">
      <c r="C2586" s="21"/>
    </row>
    <row r="2587" spans="3:3" x14ac:dyDescent="0.25">
      <c r="C2587" s="21"/>
    </row>
    <row r="2588" spans="3:3" x14ac:dyDescent="0.25">
      <c r="C2588" s="21"/>
    </row>
    <row r="2589" spans="3:3" x14ac:dyDescent="0.25">
      <c r="C2589" s="21"/>
    </row>
    <row r="2590" spans="3:3" x14ac:dyDescent="0.25">
      <c r="C2590" s="21"/>
    </row>
    <row r="2591" spans="3:3" x14ac:dyDescent="0.25">
      <c r="C2591" s="21"/>
    </row>
    <row r="2592" spans="3:3" x14ac:dyDescent="0.25">
      <c r="C2592" s="21"/>
    </row>
    <row r="2593" spans="3:3" x14ac:dyDescent="0.25">
      <c r="C2593" s="21"/>
    </row>
    <row r="2594" spans="3:3" x14ac:dyDescent="0.25">
      <c r="C2594" s="21"/>
    </row>
    <row r="2595" spans="3:3" x14ac:dyDescent="0.25">
      <c r="C2595" s="21"/>
    </row>
    <row r="2596" spans="3:3" x14ac:dyDescent="0.25">
      <c r="C2596" s="21"/>
    </row>
    <row r="2597" spans="3:3" x14ac:dyDescent="0.25">
      <c r="C2597" s="21"/>
    </row>
    <row r="2598" spans="3:3" x14ac:dyDescent="0.25">
      <c r="C2598" s="21"/>
    </row>
    <row r="2599" spans="3:3" x14ac:dyDescent="0.25">
      <c r="C2599" s="21"/>
    </row>
    <row r="2600" spans="3:3" x14ac:dyDescent="0.25">
      <c r="C2600" s="21"/>
    </row>
    <row r="2601" spans="3:3" x14ac:dyDescent="0.25">
      <c r="C2601" s="21"/>
    </row>
    <row r="2602" spans="3:3" x14ac:dyDescent="0.25">
      <c r="C2602" s="21"/>
    </row>
    <row r="2603" spans="3:3" x14ac:dyDescent="0.25">
      <c r="C2603" s="21"/>
    </row>
    <row r="2604" spans="3:3" x14ac:dyDescent="0.25">
      <c r="C2604" s="21"/>
    </row>
    <row r="2605" spans="3:3" x14ac:dyDescent="0.25">
      <c r="C2605" s="21"/>
    </row>
    <row r="2606" spans="3:3" x14ac:dyDescent="0.25">
      <c r="C2606" s="21"/>
    </row>
    <row r="2607" spans="3:3" x14ac:dyDescent="0.25">
      <c r="C2607" s="21"/>
    </row>
    <row r="2608" spans="3:3" x14ac:dyDescent="0.25">
      <c r="C2608" s="21"/>
    </row>
    <row r="2609" spans="3:3" x14ac:dyDescent="0.25">
      <c r="C2609" s="21"/>
    </row>
    <row r="2610" spans="3:3" x14ac:dyDescent="0.25">
      <c r="C2610" s="21"/>
    </row>
    <row r="2611" spans="3:3" x14ac:dyDescent="0.25">
      <c r="C2611" s="21"/>
    </row>
    <row r="2612" spans="3:3" x14ac:dyDescent="0.25">
      <c r="C2612" s="21"/>
    </row>
    <row r="2613" spans="3:3" x14ac:dyDescent="0.25">
      <c r="C2613" s="21"/>
    </row>
    <row r="2614" spans="3:3" x14ac:dyDescent="0.25">
      <c r="C2614" s="21"/>
    </row>
    <row r="2615" spans="3:3" x14ac:dyDescent="0.25">
      <c r="C2615" s="21"/>
    </row>
    <row r="2616" spans="3:3" x14ac:dyDescent="0.25">
      <c r="C2616" s="21"/>
    </row>
    <row r="2617" spans="3:3" x14ac:dyDescent="0.25">
      <c r="C2617" s="21"/>
    </row>
    <row r="2618" spans="3:3" x14ac:dyDescent="0.25">
      <c r="C2618" s="21"/>
    </row>
    <row r="2619" spans="3:3" x14ac:dyDescent="0.25">
      <c r="C2619" s="21"/>
    </row>
    <row r="2620" spans="3:3" x14ac:dyDescent="0.25">
      <c r="C2620" s="21"/>
    </row>
    <row r="2621" spans="3:3" x14ac:dyDescent="0.25">
      <c r="C2621" s="21"/>
    </row>
    <row r="2622" spans="3:3" x14ac:dyDescent="0.25">
      <c r="C2622" s="21"/>
    </row>
    <row r="2623" spans="3:3" x14ac:dyDescent="0.25">
      <c r="C2623" s="21"/>
    </row>
    <row r="2624" spans="3:3" x14ac:dyDescent="0.25">
      <c r="C2624" s="21"/>
    </row>
    <row r="2625" spans="3:3" x14ac:dyDescent="0.25">
      <c r="C2625" s="21"/>
    </row>
    <row r="2626" spans="3:3" x14ac:dyDescent="0.25">
      <c r="C2626" s="21"/>
    </row>
    <row r="2627" spans="3:3" x14ac:dyDescent="0.25">
      <c r="C2627" s="21"/>
    </row>
    <row r="2628" spans="3:3" x14ac:dyDescent="0.25">
      <c r="C2628" s="21"/>
    </row>
    <row r="2629" spans="3:3" x14ac:dyDescent="0.25">
      <c r="C2629" s="21"/>
    </row>
    <row r="2630" spans="3:3" x14ac:dyDescent="0.25">
      <c r="C2630" s="21"/>
    </row>
    <row r="2631" spans="3:3" x14ac:dyDescent="0.25">
      <c r="C2631" s="21"/>
    </row>
    <row r="2632" spans="3:3" x14ac:dyDescent="0.25">
      <c r="C2632" s="21"/>
    </row>
    <row r="2633" spans="3:3" x14ac:dyDescent="0.25">
      <c r="C2633" s="21"/>
    </row>
    <row r="2634" spans="3:3" x14ac:dyDescent="0.25">
      <c r="C2634" s="21"/>
    </row>
    <row r="2635" spans="3:3" x14ac:dyDescent="0.25">
      <c r="C2635" s="21"/>
    </row>
    <row r="2636" spans="3:3" x14ac:dyDescent="0.25">
      <c r="C2636" s="21"/>
    </row>
    <row r="2637" spans="3:3" x14ac:dyDescent="0.25">
      <c r="C2637" s="21"/>
    </row>
    <row r="2638" spans="3:3" x14ac:dyDescent="0.25">
      <c r="C2638" s="21"/>
    </row>
    <row r="2639" spans="3:3" x14ac:dyDescent="0.25">
      <c r="C2639" s="21"/>
    </row>
    <row r="2640" spans="3:3" x14ac:dyDescent="0.25">
      <c r="C2640" s="21"/>
    </row>
    <row r="2641" spans="3:3" x14ac:dyDescent="0.25">
      <c r="C2641" s="21"/>
    </row>
    <row r="2642" spans="3:3" x14ac:dyDescent="0.25">
      <c r="C2642" s="21"/>
    </row>
    <row r="2643" spans="3:3" x14ac:dyDescent="0.25">
      <c r="C2643" s="21"/>
    </row>
    <row r="2644" spans="3:3" x14ac:dyDescent="0.25">
      <c r="C2644" s="21"/>
    </row>
    <row r="2645" spans="3:3" x14ac:dyDescent="0.25">
      <c r="C2645" s="21"/>
    </row>
    <row r="2646" spans="3:3" x14ac:dyDescent="0.25">
      <c r="C2646" s="21"/>
    </row>
    <row r="2647" spans="3:3" x14ac:dyDescent="0.25">
      <c r="C2647" s="21"/>
    </row>
    <row r="2648" spans="3:3" x14ac:dyDescent="0.25">
      <c r="C2648" s="21"/>
    </row>
    <row r="2649" spans="3:3" x14ac:dyDescent="0.25">
      <c r="C2649" s="21"/>
    </row>
    <row r="2650" spans="3:3" x14ac:dyDescent="0.25">
      <c r="C2650" s="21"/>
    </row>
    <row r="2651" spans="3:3" x14ac:dyDescent="0.25">
      <c r="C2651" s="21"/>
    </row>
    <row r="2652" spans="3:3" x14ac:dyDescent="0.25">
      <c r="C2652" s="21"/>
    </row>
    <row r="2653" spans="3:3" x14ac:dyDescent="0.25">
      <c r="C2653" s="21"/>
    </row>
    <row r="2654" spans="3:3" x14ac:dyDescent="0.25">
      <c r="C2654" s="21"/>
    </row>
    <row r="2655" spans="3:3" x14ac:dyDescent="0.25">
      <c r="C2655" s="21"/>
    </row>
    <row r="2656" spans="3:3" x14ac:dyDescent="0.25">
      <c r="C2656" s="21"/>
    </row>
    <row r="2657" spans="3:3" x14ac:dyDescent="0.25">
      <c r="C2657" s="21"/>
    </row>
    <row r="2658" spans="3:3" x14ac:dyDescent="0.25">
      <c r="C2658" s="21"/>
    </row>
    <row r="2659" spans="3:3" x14ac:dyDescent="0.25">
      <c r="C2659" s="21"/>
    </row>
    <row r="2660" spans="3:3" x14ac:dyDescent="0.25">
      <c r="C2660" s="21"/>
    </row>
    <row r="2661" spans="3:3" x14ac:dyDescent="0.25">
      <c r="C2661" s="21"/>
    </row>
    <row r="2662" spans="3:3" x14ac:dyDescent="0.25">
      <c r="C2662" s="21"/>
    </row>
    <row r="2663" spans="3:3" x14ac:dyDescent="0.25">
      <c r="C2663" s="21"/>
    </row>
    <row r="2664" spans="3:3" x14ac:dyDescent="0.25">
      <c r="C2664" s="21"/>
    </row>
    <row r="2665" spans="3:3" x14ac:dyDescent="0.25">
      <c r="C2665" s="21"/>
    </row>
    <row r="2666" spans="3:3" x14ac:dyDescent="0.25">
      <c r="C2666" s="21"/>
    </row>
    <row r="2667" spans="3:3" x14ac:dyDescent="0.25">
      <c r="C2667" s="21"/>
    </row>
    <row r="2668" spans="3:3" x14ac:dyDescent="0.25">
      <c r="C2668" s="21"/>
    </row>
    <row r="2669" spans="3:3" x14ac:dyDescent="0.25">
      <c r="C2669" s="21"/>
    </row>
    <row r="2670" spans="3:3" x14ac:dyDescent="0.25">
      <c r="C2670" s="21"/>
    </row>
    <row r="2671" spans="3:3" x14ac:dyDescent="0.25">
      <c r="C2671" s="21"/>
    </row>
    <row r="2672" spans="3:3" x14ac:dyDescent="0.25">
      <c r="C2672" s="21"/>
    </row>
    <row r="2673" spans="3:3" x14ac:dyDescent="0.25">
      <c r="C2673" s="21"/>
    </row>
    <row r="2674" spans="3:3" x14ac:dyDescent="0.25">
      <c r="C2674" s="21"/>
    </row>
    <row r="2675" spans="3:3" x14ac:dyDescent="0.25">
      <c r="C2675" s="21"/>
    </row>
    <row r="2676" spans="3:3" x14ac:dyDescent="0.25">
      <c r="C2676" s="21"/>
    </row>
    <row r="2677" spans="3:3" x14ac:dyDescent="0.25">
      <c r="C2677" s="21"/>
    </row>
    <row r="2678" spans="3:3" x14ac:dyDescent="0.25">
      <c r="C2678" s="21"/>
    </row>
    <row r="2679" spans="3:3" x14ac:dyDescent="0.25">
      <c r="C2679" s="21"/>
    </row>
    <row r="2680" spans="3:3" x14ac:dyDescent="0.25">
      <c r="C2680" s="21"/>
    </row>
    <row r="2681" spans="3:3" x14ac:dyDescent="0.25">
      <c r="C2681" s="21"/>
    </row>
    <row r="2682" spans="3:3" x14ac:dyDescent="0.25">
      <c r="C2682" s="21"/>
    </row>
    <row r="2683" spans="3:3" x14ac:dyDescent="0.25">
      <c r="C2683" s="21"/>
    </row>
    <row r="2684" spans="3:3" x14ac:dyDescent="0.25">
      <c r="C2684" s="21"/>
    </row>
    <row r="2685" spans="3:3" x14ac:dyDescent="0.25">
      <c r="C2685" s="21"/>
    </row>
    <row r="2686" spans="3:3" x14ac:dyDescent="0.25">
      <c r="C2686" s="21"/>
    </row>
    <row r="2687" spans="3:3" x14ac:dyDescent="0.25">
      <c r="C2687" s="21"/>
    </row>
    <row r="2688" spans="3:3" x14ac:dyDescent="0.25">
      <c r="C2688" s="21"/>
    </row>
    <row r="2689" spans="3:3" x14ac:dyDescent="0.25">
      <c r="C2689" s="21"/>
    </row>
    <row r="2690" spans="3:3" x14ac:dyDescent="0.25">
      <c r="C2690" s="21"/>
    </row>
    <row r="2691" spans="3:3" x14ac:dyDescent="0.25">
      <c r="C2691" s="21"/>
    </row>
    <row r="2692" spans="3:3" x14ac:dyDescent="0.25">
      <c r="C2692" s="21"/>
    </row>
    <row r="2693" spans="3:3" x14ac:dyDescent="0.25">
      <c r="C2693" s="21"/>
    </row>
    <row r="2694" spans="3:3" x14ac:dyDescent="0.25">
      <c r="C2694" s="21"/>
    </row>
    <row r="2695" spans="3:3" x14ac:dyDescent="0.25">
      <c r="C2695" s="21"/>
    </row>
    <row r="2696" spans="3:3" x14ac:dyDescent="0.25">
      <c r="C2696" s="21"/>
    </row>
    <row r="2697" spans="3:3" x14ac:dyDescent="0.25">
      <c r="C2697" s="21"/>
    </row>
    <row r="2698" spans="3:3" x14ac:dyDescent="0.25">
      <c r="C2698" s="21"/>
    </row>
    <row r="2699" spans="3:3" x14ac:dyDescent="0.25">
      <c r="C2699" s="21"/>
    </row>
    <row r="2700" spans="3:3" x14ac:dyDescent="0.25">
      <c r="C2700" s="21"/>
    </row>
    <row r="2701" spans="3:3" x14ac:dyDescent="0.25">
      <c r="C2701" s="21"/>
    </row>
    <row r="2702" spans="3:3" x14ac:dyDescent="0.25">
      <c r="C2702" s="21"/>
    </row>
    <row r="2703" spans="3:3" x14ac:dyDescent="0.25">
      <c r="C2703" s="21"/>
    </row>
    <row r="2704" spans="3:3" x14ac:dyDescent="0.25">
      <c r="C2704" s="21"/>
    </row>
    <row r="2705" spans="3:3" x14ac:dyDescent="0.25">
      <c r="C2705" s="21"/>
    </row>
    <row r="2706" spans="3:3" x14ac:dyDescent="0.25">
      <c r="C2706" s="21"/>
    </row>
    <row r="2707" spans="3:3" x14ac:dyDescent="0.25">
      <c r="C2707" s="21"/>
    </row>
    <row r="2708" spans="3:3" x14ac:dyDescent="0.25">
      <c r="C2708" s="21"/>
    </row>
    <row r="2709" spans="3:3" x14ac:dyDescent="0.25">
      <c r="C2709" s="21"/>
    </row>
    <row r="2710" spans="3:3" x14ac:dyDescent="0.25">
      <c r="C2710" s="21"/>
    </row>
    <row r="2711" spans="3:3" x14ac:dyDescent="0.25">
      <c r="C2711" s="21"/>
    </row>
    <row r="2712" spans="3:3" x14ac:dyDescent="0.25">
      <c r="C2712" s="21"/>
    </row>
    <row r="2713" spans="3:3" x14ac:dyDescent="0.25">
      <c r="C2713" s="21"/>
    </row>
    <row r="2714" spans="3:3" x14ac:dyDescent="0.25">
      <c r="C2714" s="21"/>
    </row>
    <row r="2715" spans="3:3" x14ac:dyDescent="0.25">
      <c r="C2715" s="21"/>
    </row>
    <row r="2716" spans="3:3" x14ac:dyDescent="0.25">
      <c r="C2716" s="21"/>
    </row>
    <row r="2717" spans="3:3" x14ac:dyDescent="0.25">
      <c r="C2717" s="21"/>
    </row>
    <row r="2718" spans="3:3" x14ac:dyDescent="0.25">
      <c r="C2718" s="21"/>
    </row>
    <row r="2719" spans="3:3" x14ac:dyDescent="0.25">
      <c r="C2719" s="21"/>
    </row>
    <row r="2720" spans="3:3" x14ac:dyDescent="0.25">
      <c r="C2720" s="21"/>
    </row>
    <row r="2721" spans="3:3" x14ac:dyDescent="0.25">
      <c r="C2721" s="21"/>
    </row>
    <row r="2722" spans="3:3" x14ac:dyDescent="0.25">
      <c r="C2722" s="21"/>
    </row>
    <row r="2723" spans="3:3" x14ac:dyDescent="0.25">
      <c r="C2723" s="21"/>
    </row>
    <row r="2724" spans="3:3" x14ac:dyDescent="0.25">
      <c r="C2724" s="21"/>
    </row>
    <row r="2725" spans="3:3" x14ac:dyDescent="0.25">
      <c r="C2725" s="21"/>
    </row>
    <row r="2726" spans="3:3" x14ac:dyDescent="0.25">
      <c r="C2726" s="21"/>
    </row>
    <row r="2727" spans="3:3" x14ac:dyDescent="0.25">
      <c r="C2727" s="21"/>
    </row>
    <row r="2728" spans="3:3" x14ac:dyDescent="0.25">
      <c r="C2728" s="21"/>
    </row>
    <row r="2729" spans="3:3" x14ac:dyDescent="0.25">
      <c r="C2729" s="21"/>
    </row>
    <row r="2730" spans="3:3" x14ac:dyDescent="0.25">
      <c r="C2730" s="21"/>
    </row>
    <row r="2731" spans="3:3" x14ac:dyDescent="0.25">
      <c r="C2731" s="21"/>
    </row>
    <row r="2732" spans="3:3" x14ac:dyDescent="0.25">
      <c r="C2732" s="21"/>
    </row>
    <row r="2733" spans="3:3" x14ac:dyDescent="0.25">
      <c r="C2733" s="21"/>
    </row>
    <row r="2734" spans="3:3" x14ac:dyDescent="0.25">
      <c r="C2734" s="21"/>
    </row>
    <row r="2735" spans="3:3" x14ac:dyDescent="0.25">
      <c r="C2735" s="21"/>
    </row>
    <row r="2736" spans="3:3" x14ac:dyDescent="0.25">
      <c r="C2736" s="21"/>
    </row>
    <row r="2737" spans="3:3" x14ac:dyDescent="0.25">
      <c r="C2737" s="21"/>
    </row>
    <row r="2738" spans="3:3" x14ac:dyDescent="0.25">
      <c r="C2738" s="21"/>
    </row>
    <row r="2739" spans="3:3" x14ac:dyDescent="0.25">
      <c r="C2739" s="21"/>
    </row>
    <row r="2740" spans="3:3" x14ac:dyDescent="0.25">
      <c r="C2740" s="21"/>
    </row>
    <row r="2741" spans="3:3" x14ac:dyDescent="0.25">
      <c r="C2741" s="21"/>
    </row>
    <row r="2742" spans="3:3" x14ac:dyDescent="0.25">
      <c r="C2742" s="21"/>
    </row>
    <row r="2743" spans="3:3" x14ac:dyDescent="0.25">
      <c r="C2743" s="21"/>
    </row>
    <row r="2744" spans="3:3" x14ac:dyDescent="0.25">
      <c r="C2744" s="21"/>
    </row>
    <row r="2745" spans="3:3" x14ac:dyDescent="0.25">
      <c r="C2745" s="21"/>
    </row>
    <row r="2746" spans="3:3" x14ac:dyDescent="0.25">
      <c r="C2746" s="21"/>
    </row>
    <row r="2747" spans="3:3" x14ac:dyDescent="0.25">
      <c r="C2747" s="21"/>
    </row>
    <row r="2748" spans="3:3" x14ac:dyDescent="0.25">
      <c r="C2748" s="21"/>
    </row>
    <row r="2749" spans="3:3" x14ac:dyDescent="0.25">
      <c r="C2749" s="21"/>
    </row>
    <row r="2750" spans="3:3" x14ac:dyDescent="0.25">
      <c r="C2750" s="21"/>
    </row>
    <row r="2751" spans="3:3" x14ac:dyDescent="0.25">
      <c r="C2751" s="21"/>
    </row>
    <row r="2752" spans="3:3" x14ac:dyDescent="0.25">
      <c r="C2752" s="21"/>
    </row>
    <row r="2753" spans="3:3" x14ac:dyDescent="0.25">
      <c r="C2753" s="21"/>
    </row>
    <row r="2754" spans="3:3" x14ac:dyDescent="0.25">
      <c r="C2754" s="21"/>
    </row>
    <row r="2755" spans="3:3" x14ac:dyDescent="0.25">
      <c r="C2755" s="21"/>
    </row>
    <row r="2756" spans="3:3" x14ac:dyDescent="0.25">
      <c r="C2756" s="21"/>
    </row>
    <row r="2757" spans="3:3" x14ac:dyDescent="0.25">
      <c r="C2757" s="21"/>
    </row>
    <row r="2758" spans="3:3" x14ac:dyDescent="0.25">
      <c r="C2758" s="21"/>
    </row>
    <row r="2759" spans="3:3" x14ac:dyDescent="0.25">
      <c r="C2759" s="21"/>
    </row>
    <row r="2760" spans="3:3" x14ac:dyDescent="0.25">
      <c r="C2760" s="21"/>
    </row>
    <row r="2761" spans="3:3" x14ac:dyDescent="0.25">
      <c r="C2761" s="21"/>
    </row>
    <row r="2762" spans="3:3" x14ac:dyDescent="0.25">
      <c r="C2762" s="21"/>
    </row>
    <row r="2763" spans="3:3" x14ac:dyDescent="0.25">
      <c r="C2763" s="21"/>
    </row>
    <row r="2764" spans="3:3" x14ac:dyDescent="0.25">
      <c r="C2764" s="21"/>
    </row>
    <row r="2765" spans="3:3" x14ac:dyDescent="0.25">
      <c r="C2765" s="21"/>
    </row>
    <row r="2766" spans="3:3" x14ac:dyDescent="0.25">
      <c r="C2766" s="21"/>
    </row>
    <row r="2767" spans="3:3" x14ac:dyDescent="0.25">
      <c r="C2767" s="21"/>
    </row>
    <row r="2768" spans="3:3" x14ac:dyDescent="0.25">
      <c r="C2768" s="21"/>
    </row>
    <row r="2769" spans="3:3" x14ac:dyDescent="0.25">
      <c r="C2769" s="21"/>
    </row>
    <row r="2770" spans="3:3" x14ac:dyDescent="0.25">
      <c r="C2770" s="21"/>
    </row>
    <row r="2771" spans="3:3" x14ac:dyDescent="0.25">
      <c r="C2771" s="21"/>
    </row>
    <row r="2772" spans="3:3" x14ac:dyDescent="0.25">
      <c r="C2772" s="21"/>
    </row>
    <row r="2773" spans="3:3" x14ac:dyDescent="0.25">
      <c r="C2773" s="21"/>
    </row>
    <row r="2774" spans="3:3" x14ac:dyDescent="0.25">
      <c r="C2774" s="21"/>
    </row>
    <row r="2775" spans="3:3" x14ac:dyDescent="0.25">
      <c r="C2775" s="21"/>
    </row>
    <row r="2776" spans="3:3" x14ac:dyDescent="0.25">
      <c r="C2776" s="21"/>
    </row>
    <row r="2777" spans="3:3" x14ac:dyDescent="0.25">
      <c r="C2777" s="21"/>
    </row>
    <row r="2778" spans="3:3" x14ac:dyDescent="0.25">
      <c r="C2778" s="21"/>
    </row>
    <row r="2779" spans="3:3" x14ac:dyDescent="0.25">
      <c r="C2779" s="21"/>
    </row>
    <row r="2780" spans="3:3" x14ac:dyDescent="0.25">
      <c r="C2780" s="21"/>
    </row>
    <row r="2781" spans="3:3" x14ac:dyDescent="0.25">
      <c r="C2781" s="21"/>
    </row>
    <row r="2782" spans="3:3" x14ac:dyDescent="0.25">
      <c r="C2782" s="21"/>
    </row>
    <row r="2783" spans="3:3" x14ac:dyDescent="0.25">
      <c r="C2783" s="21"/>
    </row>
    <row r="2784" spans="3:3" x14ac:dyDescent="0.25">
      <c r="C2784" s="21"/>
    </row>
    <row r="2785" spans="3:3" x14ac:dyDescent="0.25">
      <c r="C2785" s="21"/>
    </row>
    <row r="2786" spans="3:3" x14ac:dyDescent="0.25">
      <c r="C2786" s="21"/>
    </row>
    <row r="2787" spans="3:3" x14ac:dyDescent="0.25">
      <c r="C2787" s="21"/>
    </row>
    <row r="2788" spans="3:3" x14ac:dyDescent="0.25">
      <c r="C2788" s="21"/>
    </row>
    <row r="2789" spans="3:3" x14ac:dyDescent="0.25">
      <c r="C2789" s="21"/>
    </row>
    <row r="2790" spans="3:3" x14ac:dyDescent="0.25">
      <c r="C2790" s="21"/>
    </row>
    <row r="2791" spans="3:3" x14ac:dyDescent="0.25">
      <c r="C2791" s="21"/>
    </row>
    <row r="2792" spans="3:3" x14ac:dyDescent="0.25">
      <c r="C2792" s="21"/>
    </row>
    <row r="2793" spans="3:3" x14ac:dyDescent="0.25">
      <c r="C2793" s="21"/>
    </row>
    <row r="2794" spans="3:3" x14ac:dyDescent="0.25">
      <c r="C2794" s="21"/>
    </row>
    <row r="2795" spans="3:3" x14ac:dyDescent="0.25">
      <c r="C2795" s="21"/>
    </row>
    <row r="2796" spans="3:3" x14ac:dyDescent="0.25">
      <c r="C2796" s="21"/>
    </row>
    <row r="2797" spans="3:3" x14ac:dyDescent="0.25">
      <c r="C2797" s="21"/>
    </row>
    <row r="2798" spans="3:3" x14ac:dyDescent="0.25">
      <c r="C2798" s="21"/>
    </row>
    <row r="2799" spans="3:3" x14ac:dyDescent="0.25">
      <c r="C2799" s="21"/>
    </row>
    <row r="2800" spans="3:3" x14ac:dyDescent="0.25">
      <c r="C2800" s="21"/>
    </row>
    <row r="2801" spans="3:3" x14ac:dyDescent="0.25">
      <c r="C2801" s="21"/>
    </row>
    <row r="2802" spans="3:3" x14ac:dyDescent="0.25">
      <c r="C2802" s="21"/>
    </row>
    <row r="2803" spans="3:3" x14ac:dyDescent="0.25">
      <c r="C2803" s="21"/>
    </row>
    <row r="2804" spans="3:3" x14ac:dyDescent="0.25">
      <c r="C2804" s="21"/>
    </row>
    <row r="2805" spans="3:3" x14ac:dyDescent="0.25">
      <c r="C2805" s="21"/>
    </row>
    <row r="2806" spans="3:3" x14ac:dyDescent="0.25">
      <c r="C2806" s="21"/>
    </row>
    <row r="2807" spans="3:3" x14ac:dyDescent="0.25">
      <c r="C2807" s="21"/>
    </row>
    <row r="2808" spans="3:3" x14ac:dyDescent="0.25">
      <c r="C2808" s="21"/>
    </row>
    <row r="2809" spans="3:3" x14ac:dyDescent="0.25">
      <c r="C2809" s="21"/>
    </row>
    <row r="2810" spans="3:3" x14ac:dyDescent="0.25">
      <c r="C2810" s="21"/>
    </row>
    <row r="2811" spans="3:3" x14ac:dyDescent="0.25">
      <c r="C2811" s="21"/>
    </row>
    <row r="2812" spans="3:3" x14ac:dyDescent="0.25">
      <c r="C2812" s="21"/>
    </row>
    <row r="2813" spans="3:3" x14ac:dyDescent="0.25">
      <c r="C2813" s="21"/>
    </row>
    <row r="2814" spans="3:3" x14ac:dyDescent="0.25">
      <c r="C2814" s="21"/>
    </row>
    <row r="2815" spans="3:3" x14ac:dyDescent="0.25">
      <c r="C2815" s="21"/>
    </row>
    <row r="2816" spans="3:3" x14ac:dyDescent="0.25">
      <c r="C2816" s="21"/>
    </row>
    <row r="2817" spans="3:3" x14ac:dyDescent="0.25">
      <c r="C2817" s="21"/>
    </row>
    <row r="2818" spans="3:3" x14ac:dyDescent="0.25">
      <c r="C2818" s="21"/>
    </row>
    <row r="2819" spans="3:3" x14ac:dyDescent="0.25">
      <c r="C2819" s="21"/>
    </row>
    <row r="2820" spans="3:3" x14ac:dyDescent="0.25">
      <c r="C2820" s="21"/>
    </row>
    <row r="2821" spans="3:3" x14ac:dyDescent="0.25">
      <c r="C2821" s="21"/>
    </row>
    <row r="2822" spans="3:3" x14ac:dyDescent="0.25">
      <c r="C2822" s="21"/>
    </row>
    <row r="2823" spans="3:3" x14ac:dyDescent="0.25">
      <c r="C2823" s="21"/>
    </row>
    <row r="2824" spans="3:3" x14ac:dyDescent="0.25">
      <c r="C2824" s="21"/>
    </row>
    <row r="2825" spans="3:3" x14ac:dyDescent="0.25">
      <c r="C2825" s="21"/>
    </row>
    <row r="2826" spans="3:3" x14ac:dyDescent="0.25">
      <c r="C2826" s="21"/>
    </row>
    <row r="2827" spans="3:3" x14ac:dyDescent="0.25">
      <c r="C2827" s="21"/>
    </row>
    <row r="2828" spans="3:3" x14ac:dyDescent="0.25">
      <c r="C2828" s="21"/>
    </row>
    <row r="2829" spans="3:3" x14ac:dyDescent="0.25">
      <c r="C2829" s="21"/>
    </row>
    <row r="2830" spans="3:3" x14ac:dyDescent="0.25">
      <c r="C2830" s="21"/>
    </row>
    <row r="2831" spans="3:3" x14ac:dyDescent="0.25">
      <c r="C2831" s="21"/>
    </row>
    <row r="2832" spans="3:3" x14ac:dyDescent="0.25">
      <c r="C2832" s="21"/>
    </row>
    <row r="2833" spans="3:3" x14ac:dyDescent="0.25">
      <c r="C2833" s="21"/>
    </row>
    <row r="2834" spans="3:3" x14ac:dyDescent="0.25">
      <c r="C2834" s="21"/>
    </row>
    <row r="2835" spans="3:3" x14ac:dyDescent="0.25">
      <c r="C2835" s="21"/>
    </row>
    <row r="2836" spans="3:3" x14ac:dyDescent="0.25">
      <c r="C2836" s="21"/>
    </row>
    <row r="2837" spans="3:3" x14ac:dyDescent="0.25">
      <c r="C2837" s="21"/>
    </row>
    <row r="2838" spans="3:3" x14ac:dyDescent="0.25">
      <c r="C2838" s="21"/>
    </row>
    <row r="2839" spans="3:3" x14ac:dyDescent="0.25">
      <c r="C2839" s="21"/>
    </row>
    <row r="2840" spans="3:3" x14ac:dyDescent="0.25">
      <c r="C2840" s="21"/>
    </row>
    <row r="2841" spans="3:3" x14ac:dyDescent="0.25">
      <c r="C2841" s="21"/>
    </row>
    <row r="2842" spans="3:3" x14ac:dyDescent="0.25">
      <c r="C2842" s="21"/>
    </row>
    <row r="2843" spans="3:3" x14ac:dyDescent="0.25">
      <c r="C2843" s="21"/>
    </row>
    <row r="2844" spans="3:3" x14ac:dyDescent="0.25">
      <c r="C2844" s="21"/>
    </row>
    <row r="2845" spans="3:3" x14ac:dyDescent="0.25">
      <c r="C2845" s="21"/>
    </row>
    <row r="2846" spans="3:3" x14ac:dyDescent="0.25">
      <c r="C2846" s="21"/>
    </row>
    <row r="2847" spans="3:3" x14ac:dyDescent="0.25">
      <c r="C2847" s="21"/>
    </row>
    <row r="2848" spans="3:3" x14ac:dyDescent="0.25">
      <c r="C2848" s="21"/>
    </row>
    <row r="2849" spans="3:3" x14ac:dyDescent="0.25">
      <c r="C2849" s="21"/>
    </row>
    <row r="2850" spans="3:3" x14ac:dyDescent="0.25">
      <c r="C2850" s="21"/>
    </row>
    <row r="2851" spans="3:3" x14ac:dyDescent="0.25">
      <c r="C2851" s="21"/>
    </row>
    <row r="2852" spans="3:3" x14ac:dyDescent="0.25">
      <c r="C2852" s="21"/>
    </row>
    <row r="2853" spans="3:3" x14ac:dyDescent="0.25">
      <c r="C2853" s="21"/>
    </row>
    <row r="2854" spans="3:3" x14ac:dyDescent="0.25">
      <c r="C2854" s="21"/>
    </row>
    <row r="2855" spans="3:3" x14ac:dyDescent="0.25">
      <c r="C2855" s="21"/>
    </row>
    <row r="2856" spans="3:3" x14ac:dyDescent="0.25">
      <c r="C2856" s="21"/>
    </row>
    <row r="2857" spans="3:3" x14ac:dyDescent="0.25">
      <c r="C2857" s="21"/>
    </row>
    <row r="2858" spans="3:3" x14ac:dyDescent="0.25">
      <c r="C2858" s="21"/>
    </row>
    <row r="2859" spans="3:3" x14ac:dyDescent="0.25">
      <c r="C2859" s="21"/>
    </row>
    <row r="2860" spans="3:3" x14ac:dyDescent="0.25">
      <c r="C2860" s="21"/>
    </row>
    <row r="2861" spans="3:3" x14ac:dyDescent="0.25">
      <c r="C2861" s="21"/>
    </row>
    <row r="2862" spans="3:3" x14ac:dyDescent="0.25">
      <c r="C2862" s="21"/>
    </row>
    <row r="2863" spans="3:3" x14ac:dyDescent="0.25">
      <c r="C2863" s="21"/>
    </row>
    <row r="2864" spans="3:3" x14ac:dyDescent="0.25">
      <c r="C2864" s="21"/>
    </row>
    <row r="2865" spans="3:3" x14ac:dyDescent="0.25">
      <c r="C2865" s="21"/>
    </row>
    <row r="2866" spans="3:3" x14ac:dyDescent="0.25">
      <c r="C2866" s="21"/>
    </row>
    <row r="2867" spans="3:3" x14ac:dyDescent="0.25">
      <c r="C2867" s="21"/>
    </row>
    <row r="2868" spans="3:3" x14ac:dyDescent="0.25">
      <c r="C2868" s="21"/>
    </row>
    <row r="2869" spans="3:3" x14ac:dyDescent="0.25">
      <c r="C2869" s="21"/>
    </row>
    <row r="2870" spans="3:3" x14ac:dyDescent="0.25">
      <c r="C2870" s="21"/>
    </row>
    <row r="2871" spans="3:3" x14ac:dyDescent="0.25">
      <c r="C2871" s="21"/>
    </row>
    <row r="2872" spans="3:3" x14ac:dyDescent="0.25">
      <c r="C2872" s="21"/>
    </row>
    <row r="2873" spans="3:3" x14ac:dyDescent="0.25">
      <c r="C2873" s="21"/>
    </row>
    <row r="2874" spans="3:3" x14ac:dyDescent="0.25">
      <c r="C2874" s="21"/>
    </row>
    <row r="2875" spans="3:3" x14ac:dyDescent="0.25">
      <c r="C2875" s="21"/>
    </row>
    <row r="2876" spans="3:3" x14ac:dyDescent="0.25">
      <c r="C2876" s="21"/>
    </row>
    <row r="2877" spans="3:3" x14ac:dyDescent="0.25">
      <c r="C2877" s="21"/>
    </row>
    <row r="2878" spans="3:3" x14ac:dyDescent="0.25">
      <c r="C2878" s="21"/>
    </row>
    <row r="2879" spans="3:3" x14ac:dyDescent="0.25">
      <c r="C2879" s="21"/>
    </row>
    <row r="2880" spans="3:3" x14ac:dyDescent="0.25">
      <c r="C2880" s="21"/>
    </row>
    <row r="2881" spans="3:3" x14ac:dyDescent="0.25">
      <c r="C2881" s="21"/>
    </row>
    <row r="2882" spans="3:3" x14ac:dyDescent="0.25">
      <c r="C2882" s="21"/>
    </row>
    <row r="2883" spans="3:3" x14ac:dyDescent="0.25">
      <c r="C2883" s="21"/>
    </row>
    <row r="2884" spans="3:3" x14ac:dyDescent="0.25">
      <c r="C2884" s="21"/>
    </row>
    <row r="2885" spans="3:3" x14ac:dyDescent="0.25">
      <c r="C2885" s="21"/>
    </row>
    <row r="2886" spans="3:3" x14ac:dyDescent="0.25">
      <c r="C2886" s="21"/>
    </row>
    <row r="2887" spans="3:3" x14ac:dyDescent="0.25">
      <c r="C2887" s="21"/>
    </row>
    <row r="2888" spans="3:3" x14ac:dyDescent="0.25">
      <c r="C2888" s="21"/>
    </row>
    <row r="2889" spans="3:3" x14ac:dyDescent="0.25">
      <c r="C2889" s="21"/>
    </row>
    <row r="2890" spans="3:3" x14ac:dyDescent="0.25">
      <c r="C2890" s="21"/>
    </row>
    <row r="2891" spans="3:3" x14ac:dyDescent="0.25">
      <c r="C2891" s="21"/>
    </row>
    <row r="2892" spans="3:3" x14ac:dyDescent="0.25">
      <c r="C2892" s="21"/>
    </row>
    <row r="2893" spans="3:3" x14ac:dyDescent="0.25">
      <c r="C2893" s="21"/>
    </row>
    <row r="2894" spans="3:3" x14ac:dyDescent="0.25">
      <c r="C2894" s="21"/>
    </row>
    <row r="2895" spans="3:3" x14ac:dyDescent="0.25">
      <c r="C2895" s="21"/>
    </row>
    <row r="2896" spans="3:3" x14ac:dyDescent="0.25">
      <c r="C2896" s="21"/>
    </row>
    <row r="2897" spans="3:3" x14ac:dyDescent="0.25">
      <c r="C2897" s="21"/>
    </row>
    <row r="2898" spans="3:3" x14ac:dyDescent="0.25">
      <c r="C2898" s="21"/>
    </row>
    <row r="2899" spans="3:3" x14ac:dyDescent="0.25">
      <c r="C2899" s="21"/>
    </row>
    <row r="2900" spans="3:3" x14ac:dyDescent="0.25">
      <c r="C2900" s="21"/>
    </row>
    <row r="2901" spans="3:3" x14ac:dyDescent="0.25">
      <c r="C2901" s="21"/>
    </row>
    <row r="2902" spans="3:3" x14ac:dyDescent="0.25">
      <c r="C2902" s="21"/>
    </row>
    <row r="2903" spans="3:3" x14ac:dyDescent="0.25">
      <c r="C2903" s="21"/>
    </row>
    <row r="2904" spans="3:3" x14ac:dyDescent="0.25">
      <c r="C2904" s="21"/>
    </row>
    <row r="2905" spans="3:3" x14ac:dyDescent="0.25">
      <c r="C2905" s="21"/>
    </row>
    <row r="2906" spans="3:3" x14ac:dyDescent="0.25">
      <c r="C2906" s="21"/>
    </row>
    <row r="2907" spans="3:3" x14ac:dyDescent="0.25">
      <c r="C2907" s="21"/>
    </row>
    <row r="2908" spans="3:3" x14ac:dyDescent="0.25">
      <c r="C2908" s="21"/>
    </row>
    <row r="2909" spans="3:3" x14ac:dyDescent="0.25">
      <c r="C2909" s="21"/>
    </row>
    <row r="2910" spans="3:3" x14ac:dyDescent="0.25">
      <c r="C2910" s="21"/>
    </row>
    <row r="2911" spans="3:3" x14ac:dyDescent="0.25">
      <c r="C2911" s="21"/>
    </row>
    <row r="2912" spans="3:3" x14ac:dyDescent="0.25">
      <c r="C2912" s="21"/>
    </row>
    <row r="2913" spans="3:3" x14ac:dyDescent="0.25">
      <c r="C2913" s="21"/>
    </row>
    <row r="2914" spans="3:3" x14ac:dyDescent="0.25">
      <c r="C2914" s="21"/>
    </row>
    <row r="2915" spans="3:3" x14ac:dyDescent="0.25">
      <c r="C2915" s="21"/>
    </row>
    <row r="2916" spans="3:3" x14ac:dyDescent="0.25">
      <c r="C2916" s="21"/>
    </row>
    <row r="2917" spans="3:3" x14ac:dyDescent="0.25">
      <c r="C2917" s="21"/>
    </row>
    <row r="2918" spans="3:3" x14ac:dyDescent="0.25">
      <c r="C2918" s="21"/>
    </row>
    <row r="2919" spans="3:3" x14ac:dyDescent="0.25">
      <c r="C2919" s="21"/>
    </row>
    <row r="2920" spans="3:3" x14ac:dyDescent="0.25">
      <c r="C2920" s="21"/>
    </row>
    <row r="2921" spans="3:3" x14ac:dyDescent="0.25">
      <c r="C2921" s="21"/>
    </row>
    <row r="2922" spans="3:3" x14ac:dyDescent="0.25">
      <c r="C2922" s="21"/>
    </row>
    <row r="2923" spans="3:3" x14ac:dyDescent="0.25">
      <c r="C2923" s="21"/>
    </row>
    <row r="2924" spans="3:3" x14ac:dyDescent="0.25">
      <c r="C2924" s="21"/>
    </row>
    <row r="2925" spans="3:3" x14ac:dyDescent="0.25">
      <c r="C2925" s="21"/>
    </row>
    <row r="2926" spans="3:3" x14ac:dyDescent="0.25">
      <c r="C2926" s="21"/>
    </row>
    <row r="2927" spans="3:3" x14ac:dyDescent="0.25">
      <c r="C2927" s="21"/>
    </row>
    <row r="2928" spans="3:3" x14ac:dyDescent="0.25">
      <c r="C2928" s="21"/>
    </row>
    <row r="2929" spans="3:3" x14ac:dyDescent="0.25">
      <c r="C2929" s="21"/>
    </row>
    <row r="2930" spans="3:3" x14ac:dyDescent="0.25">
      <c r="C2930" s="21"/>
    </row>
    <row r="2931" spans="3:3" x14ac:dyDescent="0.25">
      <c r="C2931" s="21"/>
    </row>
    <row r="2932" spans="3:3" x14ac:dyDescent="0.25">
      <c r="C2932" s="21"/>
    </row>
    <row r="2933" spans="3:3" x14ac:dyDescent="0.25">
      <c r="C2933" s="21"/>
    </row>
    <row r="2934" spans="3:3" x14ac:dyDescent="0.25">
      <c r="C2934" s="21"/>
    </row>
    <row r="2935" spans="3:3" x14ac:dyDescent="0.25">
      <c r="C2935" s="21"/>
    </row>
    <row r="2936" spans="3:3" x14ac:dyDescent="0.25">
      <c r="C2936" s="21"/>
    </row>
    <row r="2937" spans="3:3" x14ac:dyDescent="0.25">
      <c r="C2937" s="21"/>
    </row>
    <row r="2938" spans="3:3" x14ac:dyDescent="0.25">
      <c r="C2938" s="21"/>
    </row>
    <row r="2939" spans="3:3" x14ac:dyDescent="0.25">
      <c r="C2939" s="21"/>
    </row>
    <row r="2940" spans="3:3" x14ac:dyDescent="0.25">
      <c r="C2940" s="21"/>
    </row>
    <row r="2941" spans="3:3" x14ac:dyDescent="0.25">
      <c r="C2941" s="21"/>
    </row>
    <row r="2942" spans="3:3" x14ac:dyDescent="0.25">
      <c r="C2942" s="21"/>
    </row>
    <row r="2943" spans="3:3" x14ac:dyDescent="0.25">
      <c r="C2943" s="21"/>
    </row>
    <row r="2944" spans="3:3" x14ac:dyDescent="0.25">
      <c r="C2944" s="21"/>
    </row>
    <row r="2945" spans="3:3" x14ac:dyDescent="0.25">
      <c r="C2945" s="21"/>
    </row>
    <row r="2946" spans="3:3" x14ac:dyDescent="0.25">
      <c r="C2946" s="21"/>
    </row>
    <row r="2947" spans="3:3" x14ac:dyDescent="0.25">
      <c r="C2947" s="21"/>
    </row>
    <row r="2948" spans="3:3" x14ac:dyDescent="0.25">
      <c r="C2948" s="21"/>
    </row>
    <row r="2949" spans="3:3" x14ac:dyDescent="0.25">
      <c r="C2949" s="21"/>
    </row>
    <row r="2950" spans="3:3" x14ac:dyDescent="0.25">
      <c r="C2950" s="21"/>
    </row>
    <row r="2951" spans="3:3" x14ac:dyDescent="0.25">
      <c r="C2951" s="21"/>
    </row>
    <row r="2952" spans="3:3" x14ac:dyDescent="0.25">
      <c r="C2952" s="21"/>
    </row>
    <row r="2953" spans="3:3" x14ac:dyDescent="0.25">
      <c r="C2953" s="21"/>
    </row>
    <row r="2954" spans="3:3" x14ac:dyDescent="0.25">
      <c r="C2954" s="21"/>
    </row>
    <row r="2955" spans="3:3" x14ac:dyDescent="0.25">
      <c r="C2955" s="21"/>
    </row>
    <row r="2956" spans="3:3" x14ac:dyDescent="0.25">
      <c r="C2956" s="21"/>
    </row>
    <row r="2957" spans="3:3" x14ac:dyDescent="0.25">
      <c r="C2957" s="21"/>
    </row>
    <row r="2958" spans="3:3" x14ac:dyDescent="0.25">
      <c r="C2958" s="21"/>
    </row>
    <row r="2959" spans="3:3" x14ac:dyDescent="0.25">
      <c r="C2959" s="21"/>
    </row>
    <row r="2960" spans="3:3" x14ac:dyDescent="0.25">
      <c r="C2960" s="21"/>
    </row>
    <row r="2961" spans="3:3" x14ac:dyDescent="0.25">
      <c r="C2961" s="21"/>
    </row>
    <row r="2962" spans="3:3" x14ac:dyDescent="0.25">
      <c r="C2962" s="21"/>
    </row>
    <row r="2963" spans="3:3" x14ac:dyDescent="0.25">
      <c r="C2963" s="21"/>
    </row>
    <row r="2964" spans="3:3" x14ac:dyDescent="0.25">
      <c r="C2964" s="21"/>
    </row>
    <row r="2965" spans="3:3" x14ac:dyDescent="0.25">
      <c r="C2965" s="21"/>
    </row>
    <row r="2966" spans="3:3" x14ac:dyDescent="0.25">
      <c r="C2966" s="21"/>
    </row>
    <row r="2967" spans="3:3" x14ac:dyDescent="0.25">
      <c r="C2967" s="21"/>
    </row>
    <row r="2968" spans="3:3" x14ac:dyDescent="0.25">
      <c r="C2968" s="21"/>
    </row>
    <row r="2969" spans="3:3" x14ac:dyDescent="0.25">
      <c r="C2969" s="21"/>
    </row>
    <row r="2970" spans="3:3" x14ac:dyDescent="0.25">
      <c r="C2970" s="21"/>
    </row>
    <row r="2971" spans="3:3" x14ac:dyDescent="0.25">
      <c r="C2971" s="21"/>
    </row>
    <row r="2972" spans="3:3" x14ac:dyDescent="0.25">
      <c r="C2972" s="21"/>
    </row>
    <row r="2973" spans="3:3" x14ac:dyDescent="0.25">
      <c r="C2973" s="21"/>
    </row>
    <row r="2974" spans="3:3" x14ac:dyDescent="0.25">
      <c r="C2974" s="21"/>
    </row>
    <row r="2975" spans="3:3" x14ac:dyDescent="0.25">
      <c r="C2975" s="21"/>
    </row>
    <row r="2976" spans="3:3" x14ac:dyDescent="0.25">
      <c r="C2976" s="21"/>
    </row>
    <row r="2977" spans="3:3" x14ac:dyDescent="0.25">
      <c r="C2977" s="21"/>
    </row>
    <row r="2978" spans="3:3" x14ac:dyDescent="0.25">
      <c r="C2978" s="21"/>
    </row>
    <row r="2979" spans="3:3" x14ac:dyDescent="0.25">
      <c r="C2979" s="21"/>
    </row>
    <row r="2980" spans="3:3" x14ac:dyDescent="0.25">
      <c r="C2980" s="21"/>
    </row>
    <row r="2981" spans="3:3" x14ac:dyDescent="0.25">
      <c r="C2981" s="21"/>
    </row>
    <row r="2982" spans="3:3" x14ac:dyDescent="0.25">
      <c r="C2982" s="21"/>
    </row>
    <row r="2983" spans="3:3" x14ac:dyDescent="0.25">
      <c r="C2983" s="21"/>
    </row>
    <row r="2984" spans="3:3" x14ac:dyDescent="0.25">
      <c r="C2984" s="21"/>
    </row>
    <row r="2985" spans="3:3" x14ac:dyDescent="0.25">
      <c r="C2985" s="21"/>
    </row>
    <row r="2986" spans="3:3" x14ac:dyDescent="0.25">
      <c r="C2986" s="21"/>
    </row>
    <row r="2987" spans="3:3" x14ac:dyDescent="0.25">
      <c r="C2987" s="21"/>
    </row>
    <row r="2988" spans="3:3" x14ac:dyDescent="0.25">
      <c r="C2988" s="21"/>
    </row>
    <row r="2989" spans="3:3" x14ac:dyDescent="0.25">
      <c r="C2989" s="21"/>
    </row>
    <row r="2990" spans="3:3" x14ac:dyDescent="0.25">
      <c r="C2990" s="21"/>
    </row>
    <row r="2991" spans="3:3" x14ac:dyDescent="0.25">
      <c r="C2991" s="21"/>
    </row>
    <row r="2992" spans="3:3" x14ac:dyDescent="0.25">
      <c r="C2992" s="21"/>
    </row>
    <row r="2993" spans="3:3" x14ac:dyDescent="0.25">
      <c r="C2993" s="21"/>
    </row>
    <row r="2994" spans="3:3" x14ac:dyDescent="0.25">
      <c r="C2994" s="21"/>
    </row>
    <row r="2995" spans="3:3" x14ac:dyDescent="0.25">
      <c r="C2995" s="21"/>
    </row>
    <row r="2996" spans="3:3" x14ac:dyDescent="0.25">
      <c r="C2996" s="21"/>
    </row>
    <row r="2997" spans="3:3" x14ac:dyDescent="0.25">
      <c r="C2997" s="21"/>
    </row>
    <row r="2998" spans="3:3" x14ac:dyDescent="0.25">
      <c r="C2998" s="21"/>
    </row>
    <row r="2999" spans="3:3" x14ac:dyDescent="0.25">
      <c r="C2999" s="21"/>
    </row>
    <row r="3000" spans="3:3" x14ac:dyDescent="0.25">
      <c r="C3000" s="21"/>
    </row>
    <row r="3001" spans="3:3" x14ac:dyDescent="0.25">
      <c r="C3001" s="21"/>
    </row>
    <row r="3002" spans="3:3" x14ac:dyDescent="0.25">
      <c r="C3002" s="21"/>
    </row>
    <row r="3003" spans="3:3" x14ac:dyDescent="0.25">
      <c r="C3003" s="21"/>
    </row>
    <row r="3004" spans="3:3" x14ac:dyDescent="0.25">
      <c r="C3004" s="21"/>
    </row>
    <row r="3005" spans="3:3" x14ac:dyDescent="0.25">
      <c r="C3005" s="21"/>
    </row>
    <row r="3006" spans="3:3" x14ac:dyDescent="0.25">
      <c r="C3006" s="21"/>
    </row>
    <row r="3007" spans="3:3" x14ac:dyDescent="0.25">
      <c r="C3007" s="21"/>
    </row>
    <row r="3008" spans="3:3" x14ac:dyDescent="0.25">
      <c r="C3008" s="21"/>
    </row>
    <row r="3009" spans="3:3" x14ac:dyDescent="0.25">
      <c r="C3009" s="21"/>
    </row>
    <row r="3010" spans="3:3" x14ac:dyDescent="0.25">
      <c r="C3010" s="21"/>
    </row>
    <row r="3011" spans="3:3" x14ac:dyDescent="0.25">
      <c r="C3011" s="21"/>
    </row>
    <row r="3012" spans="3:3" x14ac:dyDescent="0.25">
      <c r="C3012" s="21"/>
    </row>
    <row r="3013" spans="3:3" x14ac:dyDescent="0.25">
      <c r="C3013" s="21"/>
    </row>
    <row r="3014" spans="3:3" x14ac:dyDescent="0.25">
      <c r="C3014" s="21"/>
    </row>
    <row r="3015" spans="3:3" x14ac:dyDescent="0.25">
      <c r="C3015" s="21"/>
    </row>
    <row r="3016" spans="3:3" x14ac:dyDescent="0.25">
      <c r="C3016" s="21"/>
    </row>
    <row r="3017" spans="3:3" x14ac:dyDescent="0.25">
      <c r="C3017" s="21"/>
    </row>
    <row r="3018" spans="3:3" x14ac:dyDescent="0.25">
      <c r="C3018" s="21"/>
    </row>
    <row r="3019" spans="3:3" x14ac:dyDescent="0.25">
      <c r="C3019" s="21"/>
    </row>
    <row r="3020" spans="3:3" x14ac:dyDescent="0.25">
      <c r="C3020" s="21"/>
    </row>
    <row r="3021" spans="3:3" x14ac:dyDescent="0.25">
      <c r="C3021" s="21"/>
    </row>
    <row r="3022" spans="3:3" x14ac:dyDescent="0.25">
      <c r="C3022" s="21"/>
    </row>
    <row r="3023" spans="3:3" x14ac:dyDescent="0.25">
      <c r="C3023" s="21"/>
    </row>
    <row r="3024" spans="3:3" x14ac:dyDescent="0.25">
      <c r="C3024" s="21"/>
    </row>
    <row r="3025" spans="3:3" x14ac:dyDescent="0.25">
      <c r="C3025" s="21"/>
    </row>
    <row r="3026" spans="3:3" x14ac:dyDescent="0.25">
      <c r="C3026" s="21"/>
    </row>
    <row r="3027" spans="3:3" x14ac:dyDescent="0.25">
      <c r="C3027" s="21"/>
    </row>
    <row r="3028" spans="3:3" x14ac:dyDescent="0.25">
      <c r="C3028" s="21"/>
    </row>
    <row r="3029" spans="3:3" x14ac:dyDescent="0.25">
      <c r="C3029" s="21"/>
    </row>
    <row r="3030" spans="3:3" x14ac:dyDescent="0.25">
      <c r="C3030" s="21"/>
    </row>
    <row r="3031" spans="3:3" x14ac:dyDescent="0.25">
      <c r="C3031" s="21"/>
    </row>
    <row r="3032" spans="3:3" x14ac:dyDescent="0.25">
      <c r="C3032" s="21"/>
    </row>
    <row r="3033" spans="3:3" x14ac:dyDescent="0.25">
      <c r="C3033" s="21"/>
    </row>
    <row r="3034" spans="3:3" x14ac:dyDescent="0.25">
      <c r="C3034" s="21"/>
    </row>
    <row r="3035" spans="3:3" x14ac:dyDescent="0.25">
      <c r="C3035" s="21"/>
    </row>
    <row r="3036" spans="3:3" x14ac:dyDescent="0.25">
      <c r="C3036" s="21"/>
    </row>
    <row r="3037" spans="3:3" x14ac:dyDescent="0.25">
      <c r="C3037" s="21"/>
    </row>
    <row r="3038" spans="3:3" x14ac:dyDescent="0.25">
      <c r="C3038" s="21"/>
    </row>
    <row r="3039" spans="3:3" x14ac:dyDescent="0.25">
      <c r="C3039" s="21"/>
    </row>
    <row r="3040" spans="3:3" x14ac:dyDescent="0.25">
      <c r="C3040" s="21"/>
    </row>
    <row r="3041" spans="3:3" x14ac:dyDescent="0.25">
      <c r="C3041" s="21"/>
    </row>
    <row r="3042" spans="3:3" x14ac:dyDescent="0.25">
      <c r="C3042" s="21"/>
    </row>
    <row r="3043" spans="3:3" x14ac:dyDescent="0.25">
      <c r="C3043" s="21"/>
    </row>
    <row r="3044" spans="3:3" x14ac:dyDescent="0.25">
      <c r="C3044" s="21"/>
    </row>
    <row r="3045" spans="3:3" x14ac:dyDescent="0.25">
      <c r="C3045" s="21"/>
    </row>
    <row r="3046" spans="3:3" x14ac:dyDescent="0.25">
      <c r="C3046" s="21"/>
    </row>
    <row r="3047" spans="3:3" x14ac:dyDescent="0.25">
      <c r="C3047" s="21"/>
    </row>
    <row r="3048" spans="3:3" x14ac:dyDescent="0.25">
      <c r="C3048" s="21"/>
    </row>
    <row r="3049" spans="3:3" x14ac:dyDescent="0.25">
      <c r="C3049" s="21"/>
    </row>
    <row r="3050" spans="3:3" x14ac:dyDescent="0.25">
      <c r="C3050" s="21"/>
    </row>
    <row r="3051" spans="3:3" x14ac:dyDescent="0.25">
      <c r="C3051" s="21"/>
    </row>
    <row r="3052" spans="3:3" x14ac:dyDescent="0.25">
      <c r="C3052" s="21"/>
    </row>
    <row r="3053" spans="3:3" x14ac:dyDescent="0.25">
      <c r="C3053" s="21"/>
    </row>
    <row r="3054" spans="3:3" x14ac:dyDescent="0.25">
      <c r="C3054" s="21"/>
    </row>
    <row r="3055" spans="3:3" x14ac:dyDescent="0.25">
      <c r="C3055" s="21"/>
    </row>
    <row r="3056" spans="3:3" x14ac:dyDescent="0.25">
      <c r="C3056" s="21"/>
    </row>
    <row r="3057" spans="3:3" x14ac:dyDescent="0.25">
      <c r="C3057" s="21"/>
    </row>
    <row r="3058" spans="3:3" x14ac:dyDescent="0.25">
      <c r="C3058" s="21"/>
    </row>
    <row r="3059" spans="3:3" x14ac:dyDescent="0.25">
      <c r="C3059" s="21"/>
    </row>
    <row r="3060" spans="3:3" x14ac:dyDescent="0.25">
      <c r="C3060" s="21"/>
    </row>
    <row r="3061" spans="3:3" x14ac:dyDescent="0.25">
      <c r="C3061" s="21"/>
    </row>
    <row r="3062" spans="3:3" x14ac:dyDescent="0.25">
      <c r="C3062" s="21"/>
    </row>
    <row r="3063" spans="3:3" x14ac:dyDescent="0.25">
      <c r="C3063" s="21"/>
    </row>
    <row r="3064" spans="3:3" x14ac:dyDescent="0.25">
      <c r="C3064" s="21"/>
    </row>
    <row r="3065" spans="3:3" x14ac:dyDescent="0.25">
      <c r="C3065" s="21"/>
    </row>
    <row r="3066" spans="3:3" x14ac:dyDescent="0.25">
      <c r="C3066" s="21"/>
    </row>
    <row r="3067" spans="3:3" x14ac:dyDescent="0.25">
      <c r="C3067" s="21"/>
    </row>
    <row r="3068" spans="3:3" x14ac:dyDescent="0.25">
      <c r="C3068" s="21"/>
    </row>
    <row r="3069" spans="3:3" x14ac:dyDescent="0.25">
      <c r="C3069" s="21"/>
    </row>
    <row r="3070" spans="3:3" x14ac:dyDescent="0.25">
      <c r="C3070" s="21"/>
    </row>
    <row r="3071" spans="3:3" x14ac:dyDescent="0.25">
      <c r="C3071" s="21"/>
    </row>
    <row r="3072" spans="3:3" x14ac:dyDescent="0.25">
      <c r="C3072" s="21"/>
    </row>
    <row r="3073" spans="3:3" x14ac:dyDescent="0.25">
      <c r="C3073" s="21"/>
    </row>
    <row r="3074" spans="3:3" x14ac:dyDescent="0.25">
      <c r="C3074" s="21"/>
    </row>
    <row r="3075" spans="3:3" x14ac:dyDescent="0.25">
      <c r="C3075" s="21"/>
    </row>
    <row r="3076" spans="3:3" x14ac:dyDescent="0.25">
      <c r="C3076" s="21"/>
    </row>
    <row r="3077" spans="3:3" x14ac:dyDescent="0.25">
      <c r="C3077" s="21"/>
    </row>
    <row r="3078" spans="3:3" x14ac:dyDescent="0.25">
      <c r="C3078" s="21"/>
    </row>
    <row r="3079" spans="3:3" x14ac:dyDescent="0.25">
      <c r="C3079" s="21"/>
    </row>
    <row r="3080" spans="3:3" x14ac:dyDescent="0.25">
      <c r="C3080" s="21"/>
    </row>
    <row r="3081" spans="3:3" x14ac:dyDescent="0.25">
      <c r="C3081" s="21"/>
    </row>
    <row r="3082" spans="3:3" x14ac:dyDescent="0.25">
      <c r="C3082" s="21"/>
    </row>
    <row r="3083" spans="3:3" x14ac:dyDescent="0.25">
      <c r="C3083" s="21"/>
    </row>
    <row r="3084" spans="3:3" x14ac:dyDescent="0.25">
      <c r="C3084" s="21"/>
    </row>
    <row r="3085" spans="3:3" x14ac:dyDescent="0.25">
      <c r="C3085" s="21"/>
    </row>
    <row r="3086" spans="3:3" x14ac:dyDescent="0.25">
      <c r="C3086" s="21"/>
    </row>
    <row r="3087" spans="3:3" x14ac:dyDescent="0.25">
      <c r="C3087" s="21"/>
    </row>
    <row r="3088" spans="3:3" x14ac:dyDescent="0.25">
      <c r="C3088" s="21"/>
    </row>
    <row r="3089" spans="3:3" x14ac:dyDescent="0.25">
      <c r="C3089" s="21"/>
    </row>
    <row r="3090" spans="3:3" x14ac:dyDescent="0.25">
      <c r="C3090" s="21"/>
    </row>
    <row r="3091" spans="3:3" x14ac:dyDescent="0.25">
      <c r="C3091" s="21"/>
    </row>
    <row r="3092" spans="3:3" x14ac:dyDescent="0.25">
      <c r="C3092" s="21"/>
    </row>
    <row r="3093" spans="3:3" x14ac:dyDescent="0.25">
      <c r="C3093" s="21"/>
    </row>
    <row r="3094" spans="3:3" x14ac:dyDescent="0.25">
      <c r="C3094" s="21"/>
    </row>
    <row r="3095" spans="3:3" x14ac:dyDescent="0.25">
      <c r="C3095" s="21"/>
    </row>
    <row r="3096" spans="3:3" x14ac:dyDescent="0.25">
      <c r="C3096" s="21"/>
    </row>
    <row r="3097" spans="3:3" x14ac:dyDescent="0.25">
      <c r="C3097" s="21"/>
    </row>
    <row r="3098" spans="3:3" x14ac:dyDescent="0.25">
      <c r="C3098" s="21"/>
    </row>
    <row r="3099" spans="3:3" x14ac:dyDescent="0.25">
      <c r="C3099" s="21"/>
    </row>
    <row r="3100" spans="3:3" x14ac:dyDescent="0.25">
      <c r="C3100" s="21"/>
    </row>
    <row r="3101" spans="3:3" x14ac:dyDescent="0.25">
      <c r="C3101" s="21"/>
    </row>
    <row r="3102" spans="3:3" x14ac:dyDescent="0.25">
      <c r="C3102" s="21"/>
    </row>
    <row r="3103" spans="3:3" x14ac:dyDescent="0.25">
      <c r="C3103" s="21"/>
    </row>
    <row r="3104" spans="3:3" x14ac:dyDescent="0.25">
      <c r="C3104" s="21"/>
    </row>
    <row r="3105" spans="3:3" x14ac:dyDescent="0.25">
      <c r="C3105" s="21"/>
    </row>
    <row r="3106" spans="3:3" x14ac:dyDescent="0.25">
      <c r="C3106" s="21"/>
    </row>
    <row r="3107" spans="3:3" x14ac:dyDescent="0.25">
      <c r="C3107" s="21"/>
    </row>
    <row r="3108" spans="3:3" x14ac:dyDescent="0.25">
      <c r="C3108" s="21"/>
    </row>
    <row r="3109" spans="3:3" x14ac:dyDescent="0.25">
      <c r="C3109" s="21"/>
    </row>
    <row r="3110" spans="3:3" x14ac:dyDescent="0.25">
      <c r="C3110" s="21"/>
    </row>
    <row r="3111" spans="3:3" x14ac:dyDescent="0.25">
      <c r="C3111" s="21"/>
    </row>
    <row r="3112" spans="3:3" x14ac:dyDescent="0.25">
      <c r="C3112" s="21"/>
    </row>
    <row r="3113" spans="3:3" x14ac:dyDescent="0.25">
      <c r="C3113" s="21"/>
    </row>
    <row r="3114" spans="3:3" x14ac:dyDescent="0.25">
      <c r="C3114" s="21"/>
    </row>
    <row r="3115" spans="3:3" x14ac:dyDescent="0.25">
      <c r="C3115" s="21"/>
    </row>
    <row r="3116" spans="3:3" x14ac:dyDescent="0.25">
      <c r="C3116" s="21"/>
    </row>
    <row r="3117" spans="3:3" x14ac:dyDescent="0.25">
      <c r="C3117" s="21"/>
    </row>
    <row r="3118" spans="3:3" x14ac:dyDescent="0.25">
      <c r="C3118" s="21"/>
    </row>
    <row r="3119" spans="3:3" x14ac:dyDescent="0.25">
      <c r="C3119" s="21"/>
    </row>
    <row r="3120" spans="3:3" x14ac:dyDescent="0.25">
      <c r="C3120" s="21"/>
    </row>
    <row r="3121" spans="3:3" x14ac:dyDescent="0.25">
      <c r="C3121" s="21"/>
    </row>
    <row r="3122" spans="3:3" x14ac:dyDescent="0.25">
      <c r="C3122" s="21"/>
    </row>
    <row r="3123" spans="3:3" x14ac:dyDescent="0.25">
      <c r="C3123" s="21"/>
    </row>
    <row r="3124" spans="3:3" x14ac:dyDescent="0.25">
      <c r="C3124" s="21"/>
    </row>
    <row r="3125" spans="3:3" x14ac:dyDescent="0.25">
      <c r="C3125" s="21"/>
    </row>
    <row r="3126" spans="3:3" x14ac:dyDescent="0.25">
      <c r="C3126" s="21"/>
    </row>
    <row r="3127" spans="3:3" x14ac:dyDescent="0.25">
      <c r="C3127" s="21"/>
    </row>
    <row r="3128" spans="3:3" x14ac:dyDescent="0.25">
      <c r="C3128" s="21"/>
    </row>
    <row r="3129" spans="3:3" x14ac:dyDescent="0.25">
      <c r="C3129" s="21"/>
    </row>
    <row r="3130" spans="3:3" x14ac:dyDescent="0.25">
      <c r="C3130" s="21"/>
    </row>
    <row r="3131" spans="3:3" x14ac:dyDescent="0.25">
      <c r="C3131" s="21"/>
    </row>
    <row r="3132" spans="3:3" x14ac:dyDescent="0.25">
      <c r="C3132" s="21"/>
    </row>
    <row r="3133" spans="3:3" x14ac:dyDescent="0.25">
      <c r="C3133" s="21"/>
    </row>
    <row r="3134" spans="3:3" x14ac:dyDescent="0.25">
      <c r="C3134" s="21"/>
    </row>
    <row r="3135" spans="3:3" x14ac:dyDescent="0.25">
      <c r="C3135" s="21"/>
    </row>
    <row r="3136" spans="3:3" x14ac:dyDescent="0.25">
      <c r="C3136" s="21"/>
    </row>
    <row r="3137" spans="3:3" x14ac:dyDescent="0.25">
      <c r="C3137" s="21"/>
    </row>
    <row r="3138" spans="3:3" x14ac:dyDescent="0.25">
      <c r="C3138" s="21"/>
    </row>
    <row r="3139" spans="3:3" x14ac:dyDescent="0.25">
      <c r="C3139" s="21"/>
    </row>
    <row r="3140" spans="3:3" x14ac:dyDescent="0.25">
      <c r="C3140" s="21"/>
    </row>
    <row r="3141" spans="3:3" x14ac:dyDescent="0.25">
      <c r="C3141" s="21"/>
    </row>
    <row r="3142" spans="3:3" x14ac:dyDescent="0.25">
      <c r="C3142" s="21"/>
    </row>
    <row r="3143" spans="3:3" x14ac:dyDescent="0.25">
      <c r="C3143" s="21"/>
    </row>
    <row r="3144" spans="3:3" x14ac:dyDescent="0.25">
      <c r="C3144" s="21"/>
    </row>
    <row r="3145" spans="3:3" x14ac:dyDescent="0.25">
      <c r="C3145" s="21"/>
    </row>
    <row r="3146" spans="3:3" x14ac:dyDescent="0.25">
      <c r="C3146" s="21"/>
    </row>
    <row r="3147" spans="3:3" x14ac:dyDescent="0.25">
      <c r="C3147" s="21"/>
    </row>
    <row r="3148" spans="3:3" x14ac:dyDescent="0.25">
      <c r="C3148" s="21"/>
    </row>
    <row r="3149" spans="3:3" x14ac:dyDescent="0.25">
      <c r="C3149" s="21"/>
    </row>
    <row r="3150" spans="3:3" x14ac:dyDescent="0.25">
      <c r="C3150" s="21"/>
    </row>
    <row r="3151" spans="3:3" x14ac:dyDescent="0.25">
      <c r="C3151" s="21"/>
    </row>
    <row r="3152" spans="3:3" x14ac:dyDescent="0.25">
      <c r="C3152" s="21"/>
    </row>
    <row r="3153" spans="3:3" x14ac:dyDescent="0.25">
      <c r="C3153" s="21"/>
    </row>
    <row r="3154" spans="3:3" x14ac:dyDescent="0.25">
      <c r="C3154" s="21"/>
    </row>
    <row r="3155" spans="3:3" x14ac:dyDescent="0.25">
      <c r="C3155" s="21"/>
    </row>
    <row r="3156" spans="3:3" x14ac:dyDescent="0.25">
      <c r="C3156" s="21"/>
    </row>
    <row r="3157" spans="3:3" x14ac:dyDescent="0.25">
      <c r="C3157" s="21"/>
    </row>
    <row r="3158" spans="3:3" x14ac:dyDescent="0.25">
      <c r="C3158" s="21"/>
    </row>
    <row r="3159" spans="3:3" x14ac:dyDescent="0.25">
      <c r="C3159" s="21"/>
    </row>
    <row r="3160" spans="3:3" x14ac:dyDescent="0.25">
      <c r="C3160" s="21"/>
    </row>
    <row r="3161" spans="3:3" x14ac:dyDescent="0.25">
      <c r="C3161" s="21"/>
    </row>
    <row r="3162" spans="3:3" x14ac:dyDescent="0.25">
      <c r="C3162" s="21"/>
    </row>
    <row r="3163" spans="3:3" x14ac:dyDescent="0.25">
      <c r="C3163" s="21"/>
    </row>
    <row r="3164" spans="3:3" x14ac:dyDescent="0.25">
      <c r="C3164" s="21"/>
    </row>
    <row r="3165" spans="3:3" x14ac:dyDescent="0.25">
      <c r="C3165" s="21"/>
    </row>
    <row r="3166" spans="3:3" x14ac:dyDescent="0.25">
      <c r="C3166" s="21"/>
    </row>
    <row r="3167" spans="3:3" x14ac:dyDescent="0.25">
      <c r="C3167" s="21"/>
    </row>
    <row r="3168" spans="3:3" x14ac:dyDescent="0.25">
      <c r="C3168" s="21"/>
    </row>
    <row r="3169" spans="3:3" x14ac:dyDescent="0.25">
      <c r="C3169" s="21"/>
    </row>
    <row r="3170" spans="3:3" x14ac:dyDescent="0.25">
      <c r="C3170" s="21"/>
    </row>
    <row r="3171" spans="3:3" x14ac:dyDescent="0.25">
      <c r="C3171" s="21"/>
    </row>
    <row r="3172" spans="3:3" x14ac:dyDescent="0.25">
      <c r="C3172" s="21"/>
    </row>
    <row r="3173" spans="3:3" x14ac:dyDescent="0.25">
      <c r="C3173" s="21"/>
    </row>
    <row r="3174" spans="3:3" x14ac:dyDescent="0.25">
      <c r="C3174" s="21"/>
    </row>
    <row r="3175" spans="3:3" x14ac:dyDescent="0.25">
      <c r="C3175" s="21"/>
    </row>
    <row r="3176" spans="3:3" x14ac:dyDescent="0.25">
      <c r="C3176" s="21"/>
    </row>
    <row r="3177" spans="3:3" x14ac:dyDescent="0.25">
      <c r="C3177" s="21"/>
    </row>
    <row r="3178" spans="3:3" x14ac:dyDescent="0.25">
      <c r="C3178" s="21"/>
    </row>
    <row r="3179" spans="3:3" x14ac:dyDescent="0.25">
      <c r="C3179" s="21"/>
    </row>
    <row r="3180" spans="3:3" x14ac:dyDescent="0.25">
      <c r="C3180" s="21"/>
    </row>
    <row r="3181" spans="3:3" x14ac:dyDescent="0.25">
      <c r="C3181" s="21"/>
    </row>
    <row r="3182" spans="3:3" x14ac:dyDescent="0.25">
      <c r="C3182" s="21"/>
    </row>
    <row r="3183" spans="3:3" x14ac:dyDescent="0.25">
      <c r="C3183" s="21"/>
    </row>
    <row r="3184" spans="3:3" x14ac:dyDescent="0.25">
      <c r="C3184" s="21"/>
    </row>
    <row r="3185" spans="3:3" x14ac:dyDescent="0.25">
      <c r="C3185" s="21"/>
    </row>
    <row r="3186" spans="3:3" x14ac:dyDescent="0.25">
      <c r="C3186" s="21"/>
    </row>
    <row r="3187" spans="3:3" x14ac:dyDescent="0.25">
      <c r="C3187" s="21"/>
    </row>
    <row r="3188" spans="3:3" x14ac:dyDescent="0.25">
      <c r="C3188" s="21"/>
    </row>
    <row r="3189" spans="3:3" x14ac:dyDescent="0.25">
      <c r="C3189" s="21"/>
    </row>
    <row r="3190" spans="3:3" x14ac:dyDescent="0.25">
      <c r="C3190" s="21"/>
    </row>
    <row r="3191" spans="3:3" x14ac:dyDescent="0.25">
      <c r="C3191" s="21"/>
    </row>
    <row r="3192" spans="3:3" x14ac:dyDescent="0.25">
      <c r="C3192" s="21"/>
    </row>
    <row r="3193" spans="3:3" x14ac:dyDescent="0.25">
      <c r="C3193" s="21"/>
    </row>
    <row r="3194" spans="3:3" x14ac:dyDescent="0.25">
      <c r="C3194" s="21"/>
    </row>
    <row r="3195" spans="3:3" x14ac:dyDescent="0.25">
      <c r="C3195" s="21"/>
    </row>
    <row r="3196" spans="3:3" x14ac:dyDescent="0.25">
      <c r="C3196" s="21"/>
    </row>
    <row r="3197" spans="3:3" x14ac:dyDescent="0.25">
      <c r="C3197" s="21"/>
    </row>
    <row r="3198" spans="3:3" x14ac:dyDescent="0.25">
      <c r="C3198" s="21"/>
    </row>
    <row r="3199" spans="3:3" x14ac:dyDescent="0.25">
      <c r="C3199" s="21"/>
    </row>
    <row r="3200" spans="3:3" x14ac:dyDescent="0.25">
      <c r="C3200" s="21"/>
    </row>
    <row r="3201" spans="3:3" x14ac:dyDescent="0.25">
      <c r="C3201" s="21"/>
    </row>
    <row r="3202" spans="3:3" x14ac:dyDescent="0.25">
      <c r="C3202" s="21"/>
    </row>
    <row r="3203" spans="3:3" x14ac:dyDescent="0.25">
      <c r="C3203" s="21"/>
    </row>
    <row r="3204" spans="3:3" x14ac:dyDescent="0.25">
      <c r="C3204" s="21"/>
    </row>
    <row r="3205" spans="3:3" x14ac:dyDescent="0.25">
      <c r="C3205" s="21"/>
    </row>
    <row r="3206" spans="3:3" x14ac:dyDescent="0.25">
      <c r="C3206" s="21"/>
    </row>
    <row r="3207" spans="3:3" x14ac:dyDescent="0.25">
      <c r="C3207" s="21"/>
    </row>
    <row r="3208" spans="3:3" x14ac:dyDescent="0.25">
      <c r="C3208" s="21"/>
    </row>
    <row r="3209" spans="3:3" x14ac:dyDescent="0.25">
      <c r="C3209" s="21"/>
    </row>
    <row r="3210" spans="3:3" x14ac:dyDescent="0.25">
      <c r="C3210" s="21"/>
    </row>
    <row r="3211" spans="3:3" x14ac:dyDescent="0.25">
      <c r="C3211" s="21"/>
    </row>
    <row r="3212" spans="3:3" x14ac:dyDescent="0.25">
      <c r="C3212" s="21"/>
    </row>
    <row r="3213" spans="3:3" x14ac:dyDescent="0.25">
      <c r="C3213" s="21"/>
    </row>
    <row r="3214" spans="3:3" x14ac:dyDescent="0.25">
      <c r="C3214" s="21"/>
    </row>
    <row r="3215" spans="3:3" x14ac:dyDescent="0.25">
      <c r="C3215" s="21"/>
    </row>
    <row r="3216" spans="3:3" x14ac:dyDescent="0.25">
      <c r="C3216" s="21"/>
    </row>
    <row r="3217" spans="3:3" x14ac:dyDescent="0.25">
      <c r="C3217" s="21"/>
    </row>
    <row r="3218" spans="3:3" x14ac:dyDescent="0.25">
      <c r="C3218" s="21"/>
    </row>
    <row r="3219" spans="3:3" x14ac:dyDescent="0.25">
      <c r="C3219" s="21"/>
    </row>
    <row r="3220" spans="3:3" x14ac:dyDescent="0.25">
      <c r="C3220" s="21"/>
    </row>
    <row r="3221" spans="3:3" x14ac:dyDescent="0.25">
      <c r="C3221" s="21"/>
    </row>
    <row r="3222" spans="3:3" x14ac:dyDescent="0.25">
      <c r="C3222" s="21"/>
    </row>
    <row r="3223" spans="3:3" x14ac:dyDescent="0.25">
      <c r="C3223" s="21"/>
    </row>
    <row r="3224" spans="3:3" x14ac:dyDescent="0.25">
      <c r="C3224" s="21"/>
    </row>
    <row r="3225" spans="3:3" x14ac:dyDescent="0.25">
      <c r="C3225" s="21"/>
    </row>
    <row r="3226" spans="3:3" x14ac:dyDescent="0.25">
      <c r="C3226" s="21"/>
    </row>
    <row r="3227" spans="3:3" x14ac:dyDescent="0.25">
      <c r="C3227" s="21"/>
    </row>
    <row r="3228" spans="3:3" x14ac:dyDescent="0.25">
      <c r="C3228" s="21"/>
    </row>
    <row r="3229" spans="3:3" x14ac:dyDescent="0.25">
      <c r="C3229" s="21"/>
    </row>
    <row r="3230" spans="3:3" x14ac:dyDescent="0.25">
      <c r="C3230" s="21"/>
    </row>
    <row r="3231" spans="3:3" x14ac:dyDescent="0.25">
      <c r="C3231" s="21"/>
    </row>
    <row r="3232" spans="3:3" x14ac:dyDescent="0.25">
      <c r="C3232" s="21"/>
    </row>
    <row r="3233" spans="3:3" x14ac:dyDescent="0.25">
      <c r="C3233" s="21"/>
    </row>
    <row r="3234" spans="3:3" x14ac:dyDescent="0.25">
      <c r="C3234" s="21"/>
    </row>
    <row r="3235" spans="3:3" x14ac:dyDescent="0.25">
      <c r="C3235" s="21"/>
    </row>
    <row r="3236" spans="3:3" x14ac:dyDescent="0.25">
      <c r="C3236" s="21"/>
    </row>
    <row r="3237" spans="3:3" x14ac:dyDescent="0.25">
      <c r="C3237" s="21"/>
    </row>
    <row r="3238" spans="3:3" x14ac:dyDescent="0.25">
      <c r="C3238" s="21"/>
    </row>
    <row r="3239" spans="3:3" x14ac:dyDescent="0.25">
      <c r="C3239" s="21"/>
    </row>
    <row r="3240" spans="3:3" x14ac:dyDescent="0.25">
      <c r="C3240" s="21"/>
    </row>
    <row r="3241" spans="3:3" x14ac:dyDescent="0.25">
      <c r="C3241" s="21"/>
    </row>
    <row r="3242" spans="3:3" x14ac:dyDescent="0.25">
      <c r="C3242" s="21"/>
    </row>
    <row r="3243" spans="3:3" x14ac:dyDescent="0.25">
      <c r="C3243" s="21"/>
    </row>
    <row r="3244" spans="3:3" x14ac:dyDescent="0.25">
      <c r="C3244" s="21"/>
    </row>
    <row r="3245" spans="3:3" x14ac:dyDescent="0.25">
      <c r="C3245" s="21"/>
    </row>
    <row r="3246" spans="3:3" x14ac:dyDescent="0.25">
      <c r="C3246" s="21"/>
    </row>
    <row r="3247" spans="3:3" x14ac:dyDescent="0.25">
      <c r="C3247" s="21"/>
    </row>
    <row r="3248" spans="3:3" x14ac:dyDescent="0.25">
      <c r="C3248" s="21"/>
    </row>
    <row r="3249" spans="3:3" x14ac:dyDescent="0.25">
      <c r="C3249" s="21"/>
    </row>
    <row r="3250" spans="3:3" x14ac:dyDescent="0.25">
      <c r="C3250" s="21"/>
    </row>
    <row r="3251" spans="3:3" x14ac:dyDescent="0.25">
      <c r="C3251" s="21"/>
    </row>
    <row r="3252" spans="3:3" x14ac:dyDescent="0.25">
      <c r="C3252" s="21"/>
    </row>
    <row r="3253" spans="3:3" x14ac:dyDescent="0.25">
      <c r="C3253" s="21"/>
    </row>
    <row r="3254" spans="3:3" x14ac:dyDescent="0.25">
      <c r="C3254" s="21"/>
    </row>
    <row r="3255" spans="3:3" x14ac:dyDescent="0.25">
      <c r="C3255" s="21"/>
    </row>
    <row r="3256" spans="3:3" x14ac:dyDescent="0.25">
      <c r="C3256" s="21"/>
    </row>
    <row r="3257" spans="3:3" x14ac:dyDescent="0.25">
      <c r="C3257" s="21"/>
    </row>
    <row r="3258" spans="3:3" x14ac:dyDescent="0.25">
      <c r="C3258" s="21"/>
    </row>
    <row r="3259" spans="3:3" x14ac:dyDescent="0.25">
      <c r="C3259" s="21"/>
    </row>
    <row r="3260" spans="3:3" x14ac:dyDescent="0.25">
      <c r="C3260" s="21"/>
    </row>
    <row r="3261" spans="3:3" x14ac:dyDescent="0.25">
      <c r="C3261" s="21"/>
    </row>
    <row r="3262" spans="3:3" x14ac:dyDescent="0.25">
      <c r="C3262" s="21"/>
    </row>
    <row r="3263" spans="3:3" x14ac:dyDescent="0.25">
      <c r="C3263" s="21"/>
    </row>
    <row r="3264" spans="3:3" x14ac:dyDescent="0.25">
      <c r="C3264" s="21"/>
    </row>
    <row r="3265" spans="3:3" x14ac:dyDescent="0.25">
      <c r="C3265" s="21"/>
    </row>
    <row r="3266" spans="3:3" x14ac:dyDescent="0.25">
      <c r="C3266" s="21"/>
    </row>
    <row r="3267" spans="3:3" x14ac:dyDescent="0.25">
      <c r="C3267" s="21"/>
    </row>
    <row r="3268" spans="3:3" x14ac:dyDescent="0.25">
      <c r="C3268" s="21"/>
    </row>
    <row r="3269" spans="3:3" x14ac:dyDescent="0.25">
      <c r="C3269" s="21"/>
    </row>
    <row r="3270" spans="3:3" x14ac:dyDescent="0.25">
      <c r="C3270" s="21"/>
    </row>
    <row r="3271" spans="3:3" x14ac:dyDescent="0.25">
      <c r="C3271" s="21"/>
    </row>
    <row r="3272" spans="3:3" x14ac:dyDescent="0.25">
      <c r="C3272" s="21"/>
    </row>
    <row r="3273" spans="3:3" x14ac:dyDescent="0.25">
      <c r="C3273" s="21"/>
    </row>
    <row r="3274" spans="3:3" x14ac:dyDescent="0.25">
      <c r="C3274" s="21"/>
    </row>
    <row r="3275" spans="3:3" x14ac:dyDescent="0.25">
      <c r="C3275" s="21"/>
    </row>
    <row r="3276" spans="3:3" x14ac:dyDescent="0.25">
      <c r="C3276" s="21"/>
    </row>
    <row r="3277" spans="3:3" x14ac:dyDescent="0.25">
      <c r="C3277" s="21"/>
    </row>
    <row r="3278" spans="3:3" x14ac:dyDescent="0.25">
      <c r="C3278" s="21"/>
    </row>
    <row r="3279" spans="3:3" x14ac:dyDescent="0.25">
      <c r="C3279" s="21"/>
    </row>
    <row r="3280" spans="3:3" x14ac:dyDescent="0.25">
      <c r="C3280" s="21"/>
    </row>
    <row r="3281" spans="3:3" x14ac:dyDescent="0.25">
      <c r="C3281" s="21"/>
    </row>
    <row r="3282" spans="3:3" x14ac:dyDescent="0.25">
      <c r="C3282" s="21"/>
    </row>
    <row r="3283" spans="3:3" x14ac:dyDescent="0.25">
      <c r="C3283" s="21"/>
    </row>
    <row r="3284" spans="3:3" x14ac:dyDescent="0.25">
      <c r="C3284" s="21"/>
    </row>
    <row r="3285" spans="3:3" x14ac:dyDescent="0.25">
      <c r="C3285" s="21"/>
    </row>
    <row r="3286" spans="3:3" x14ac:dyDescent="0.25">
      <c r="C3286" s="21"/>
    </row>
    <row r="3287" spans="3:3" x14ac:dyDescent="0.25">
      <c r="C3287" s="21"/>
    </row>
    <row r="3288" spans="3:3" x14ac:dyDescent="0.25">
      <c r="C3288" s="21"/>
    </row>
    <row r="3289" spans="3:3" x14ac:dyDescent="0.25">
      <c r="C3289" s="21"/>
    </row>
    <row r="3290" spans="3:3" x14ac:dyDescent="0.25">
      <c r="C3290" s="21"/>
    </row>
    <row r="3291" spans="3:3" x14ac:dyDescent="0.25">
      <c r="C3291" s="21"/>
    </row>
    <row r="3292" spans="3:3" x14ac:dyDescent="0.25">
      <c r="C3292" s="21"/>
    </row>
    <row r="3293" spans="3:3" x14ac:dyDescent="0.25">
      <c r="C3293" s="21"/>
    </row>
    <row r="3294" spans="3:3" x14ac:dyDescent="0.25">
      <c r="C3294" s="21"/>
    </row>
    <row r="3295" spans="3:3" x14ac:dyDescent="0.25">
      <c r="C3295" s="21"/>
    </row>
    <row r="3296" spans="3:3" x14ac:dyDescent="0.25">
      <c r="C3296" s="21"/>
    </row>
    <row r="3297" spans="3:3" x14ac:dyDescent="0.25">
      <c r="C3297" s="21"/>
    </row>
    <row r="3298" spans="3:3" x14ac:dyDescent="0.25">
      <c r="C3298" s="21"/>
    </row>
    <row r="3299" spans="3:3" x14ac:dyDescent="0.25">
      <c r="C3299" s="21"/>
    </row>
    <row r="3300" spans="3:3" x14ac:dyDescent="0.25">
      <c r="C3300" s="21"/>
    </row>
    <row r="3301" spans="3:3" x14ac:dyDescent="0.25">
      <c r="C3301" s="21"/>
    </row>
    <row r="3302" spans="3:3" x14ac:dyDescent="0.25">
      <c r="C3302" s="21"/>
    </row>
    <row r="3303" spans="3:3" x14ac:dyDescent="0.25">
      <c r="C3303" s="21"/>
    </row>
    <row r="3304" spans="3:3" x14ac:dyDescent="0.25">
      <c r="C3304" s="21"/>
    </row>
    <row r="3305" spans="3:3" x14ac:dyDescent="0.25">
      <c r="C3305" s="21"/>
    </row>
    <row r="3306" spans="3:3" x14ac:dyDescent="0.25">
      <c r="C3306" s="21"/>
    </row>
    <row r="3307" spans="3:3" x14ac:dyDescent="0.25">
      <c r="C3307" s="21"/>
    </row>
    <row r="3308" spans="3:3" x14ac:dyDescent="0.25">
      <c r="C3308" s="21"/>
    </row>
    <row r="3309" spans="3:3" x14ac:dyDescent="0.25">
      <c r="C3309" s="21"/>
    </row>
    <row r="3310" spans="3:3" x14ac:dyDescent="0.25">
      <c r="C3310" s="21"/>
    </row>
    <row r="3311" spans="3:3" x14ac:dyDescent="0.25">
      <c r="C3311" s="21"/>
    </row>
    <row r="3312" spans="3:3" x14ac:dyDescent="0.25">
      <c r="C3312" s="21"/>
    </row>
    <row r="3313" spans="3:3" x14ac:dyDescent="0.25">
      <c r="C3313" s="21"/>
    </row>
    <row r="3314" spans="3:3" x14ac:dyDescent="0.25">
      <c r="C3314" s="21"/>
    </row>
    <row r="3315" spans="3:3" x14ac:dyDescent="0.25">
      <c r="C3315" s="21"/>
    </row>
    <row r="3316" spans="3:3" x14ac:dyDescent="0.25">
      <c r="C3316" s="21"/>
    </row>
    <row r="3317" spans="3:3" x14ac:dyDescent="0.25">
      <c r="C3317" s="21"/>
    </row>
    <row r="3318" spans="3:3" x14ac:dyDescent="0.25">
      <c r="C3318" s="21"/>
    </row>
    <row r="3319" spans="3:3" x14ac:dyDescent="0.25">
      <c r="C3319" s="21"/>
    </row>
    <row r="3320" spans="3:3" x14ac:dyDescent="0.25">
      <c r="C3320" s="21"/>
    </row>
    <row r="3321" spans="3:3" x14ac:dyDescent="0.25">
      <c r="C3321" s="21"/>
    </row>
    <row r="3322" spans="3:3" x14ac:dyDescent="0.25">
      <c r="C3322" s="21"/>
    </row>
    <row r="3323" spans="3:3" x14ac:dyDescent="0.25">
      <c r="C3323" s="21"/>
    </row>
    <row r="3324" spans="3:3" x14ac:dyDescent="0.25">
      <c r="C3324" s="21"/>
    </row>
    <row r="3325" spans="3:3" x14ac:dyDescent="0.25">
      <c r="C3325" s="21"/>
    </row>
    <row r="3326" spans="3:3" x14ac:dyDescent="0.25">
      <c r="C3326" s="21"/>
    </row>
    <row r="3327" spans="3:3" x14ac:dyDescent="0.25">
      <c r="C3327" s="21"/>
    </row>
    <row r="3328" spans="3:3" x14ac:dyDescent="0.25">
      <c r="C3328" s="21"/>
    </row>
    <row r="3329" spans="3:3" x14ac:dyDescent="0.25">
      <c r="C3329" s="21"/>
    </row>
    <row r="3330" spans="3:3" x14ac:dyDescent="0.25">
      <c r="C3330" s="21"/>
    </row>
    <row r="3331" spans="3:3" x14ac:dyDescent="0.25">
      <c r="C3331" s="21"/>
    </row>
    <row r="3332" spans="3:3" x14ac:dyDescent="0.25">
      <c r="C3332" s="21"/>
    </row>
    <row r="3333" spans="3:3" x14ac:dyDescent="0.25">
      <c r="C3333" s="21"/>
    </row>
    <row r="3334" spans="3:3" x14ac:dyDescent="0.25">
      <c r="C3334" s="21"/>
    </row>
    <row r="3335" spans="3:3" x14ac:dyDescent="0.25">
      <c r="C3335" s="21"/>
    </row>
    <row r="3336" spans="3:3" x14ac:dyDescent="0.25">
      <c r="C3336" s="21"/>
    </row>
    <row r="3337" spans="3:3" x14ac:dyDescent="0.25">
      <c r="C3337" s="21"/>
    </row>
    <row r="3338" spans="3:3" x14ac:dyDescent="0.25">
      <c r="C3338" s="21"/>
    </row>
    <row r="3339" spans="3:3" x14ac:dyDescent="0.25">
      <c r="C3339" s="21"/>
    </row>
    <row r="3340" spans="3:3" x14ac:dyDescent="0.25">
      <c r="C3340" s="21"/>
    </row>
    <row r="3341" spans="3:3" x14ac:dyDescent="0.25">
      <c r="C3341" s="21"/>
    </row>
    <row r="3342" spans="3:3" x14ac:dyDescent="0.25">
      <c r="C3342" s="21"/>
    </row>
    <row r="3343" spans="3:3" x14ac:dyDescent="0.25">
      <c r="C3343" s="21"/>
    </row>
    <row r="3344" spans="3:3" x14ac:dyDescent="0.25">
      <c r="C3344" s="21"/>
    </row>
    <row r="3345" spans="3:3" x14ac:dyDescent="0.25">
      <c r="C3345" s="21"/>
    </row>
    <row r="3346" spans="3:3" x14ac:dyDescent="0.25">
      <c r="C3346" s="21"/>
    </row>
    <row r="3347" spans="3:3" x14ac:dyDescent="0.25">
      <c r="C3347" s="21"/>
    </row>
    <row r="3348" spans="3:3" x14ac:dyDescent="0.25">
      <c r="C3348" s="21"/>
    </row>
    <row r="3349" spans="3:3" x14ac:dyDescent="0.25">
      <c r="C3349" s="21"/>
    </row>
    <row r="3350" spans="3:3" x14ac:dyDescent="0.25">
      <c r="C3350" s="21"/>
    </row>
    <row r="3351" spans="3:3" x14ac:dyDescent="0.25">
      <c r="C3351" s="21"/>
    </row>
    <row r="3352" spans="3:3" x14ac:dyDescent="0.25">
      <c r="C3352" s="21"/>
    </row>
    <row r="3353" spans="3:3" x14ac:dyDescent="0.25">
      <c r="C3353" s="21"/>
    </row>
    <row r="3354" spans="3:3" x14ac:dyDescent="0.25">
      <c r="C3354" s="21"/>
    </row>
    <row r="3355" spans="3:3" x14ac:dyDescent="0.25">
      <c r="C3355" s="21"/>
    </row>
    <row r="3356" spans="3:3" x14ac:dyDescent="0.25">
      <c r="C3356" s="21"/>
    </row>
    <row r="3357" spans="3:3" x14ac:dyDescent="0.25">
      <c r="C3357" s="21"/>
    </row>
    <row r="3358" spans="3:3" x14ac:dyDescent="0.25">
      <c r="C3358" s="21"/>
    </row>
    <row r="3359" spans="3:3" x14ac:dyDescent="0.25">
      <c r="C3359" s="21"/>
    </row>
    <row r="3360" spans="3:3" x14ac:dyDescent="0.25">
      <c r="C3360" s="21"/>
    </row>
    <row r="3361" spans="3:3" x14ac:dyDescent="0.25">
      <c r="C3361" s="21"/>
    </row>
    <row r="3362" spans="3:3" x14ac:dyDescent="0.25">
      <c r="C3362" s="21"/>
    </row>
    <row r="3363" spans="3:3" x14ac:dyDescent="0.25">
      <c r="C3363" s="21"/>
    </row>
    <row r="3364" spans="3:3" x14ac:dyDescent="0.25">
      <c r="C3364" s="21"/>
    </row>
    <row r="3365" spans="3:3" x14ac:dyDescent="0.25">
      <c r="C3365" s="21"/>
    </row>
    <row r="3366" spans="3:3" x14ac:dyDescent="0.25">
      <c r="C3366" s="21"/>
    </row>
    <row r="3367" spans="3:3" x14ac:dyDescent="0.25">
      <c r="C3367" s="21"/>
    </row>
    <row r="3368" spans="3:3" x14ac:dyDescent="0.25">
      <c r="C3368" s="21"/>
    </row>
    <row r="3369" spans="3:3" x14ac:dyDescent="0.25">
      <c r="C3369" s="21"/>
    </row>
    <row r="3370" spans="3:3" x14ac:dyDescent="0.25">
      <c r="C3370" s="21"/>
    </row>
    <row r="3371" spans="3:3" x14ac:dyDescent="0.25">
      <c r="C3371" s="21"/>
    </row>
    <row r="3372" spans="3:3" x14ac:dyDescent="0.25">
      <c r="C3372" s="21"/>
    </row>
    <row r="3373" spans="3:3" x14ac:dyDescent="0.25">
      <c r="C3373" s="21"/>
    </row>
    <row r="3374" spans="3:3" x14ac:dyDescent="0.25">
      <c r="C3374" s="21"/>
    </row>
    <row r="3375" spans="3:3" x14ac:dyDescent="0.25">
      <c r="C3375" s="21"/>
    </row>
    <row r="3376" spans="3:3" x14ac:dyDescent="0.25">
      <c r="C3376" s="21"/>
    </row>
    <row r="3377" spans="3:3" x14ac:dyDescent="0.25">
      <c r="C3377" s="21"/>
    </row>
    <row r="3378" spans="3:3" x14ac:dyDescent="0.25">
      <c r="C3378" s="21"/>
    </row>
    <row r="3379" spans="3:3" x14ac:dyDescent="0.25">
      <c r="C3379" s="21"/>
    </row>
    <row r="3380" spans="3:3" x14ac:dyDescent="0.25">
      <c r="C3380" s="21"/>
    </row>
    <row r="3381" spans="3:3" x14ac:dyDescent="0.25">
      <c r="C3381" s="21"/>
    </row>
    <row r="3382" spans="3:3" x14ac:dyDescent="0.25">
      <c r="C3382" s="21"/>
    </row>
    <row r="3383" spans="3:3" x14ac:dyDescent="0.25">
      <c r="C3383" s="21"/>
    </row>
    <row r="3384" spans="3:3" x14ac:dyDescent="0.25">
      <c r="C3384" s="21"/>
    </row>
    <row r="3385" spans="3:3" x14ac:dyDescent="0.25">
      <c r="C3385" s="21"/>
    </row>
    <row r="3386" spans="3:3" x14ac:dyDescent="0.25">
      <c r="C3386" s="21"/>
    </row>
    <row r="3387" spans="3:3" x14ac:dyDescent="0.25">
      <c r="C3387" s="21"/>
    </row>
    <row r="3388" spans="3:3" x14ac:dyDescent="0.25">
      <c r="C3388" s="21"/>
    </row>
    <row r="3389" spans="3:3" x14ac:dyDescent="0.25">
      <c r="C3389" s="21"/>
    </row>
    <row r="3390" spans="3:3" x14ac:dyDescent="0.25">
      <c r="C3390" s="21"/>
    </row>
    <row r="3391" spans="3:3" x14ac:dyDescent="0.25">
      <c r="C3391" s="21"/>
    </row>
    <row r="3392" spans="3:3" x14ac:dyDescent="0.25">
      <c r="C3392" s="21"/>
    </row>
    <row r="3393" spans="3:3" x14ac:dyDescent="0.25">
      <c r="C3393" s="21"/>
    </row>
    <row r="3394" spans="3:3" x14ac:dyDescent="0.25">
      <c r="C3394" s="21"/>
    </row>
    <row r="3395" spans="3:3" x14ac:dyDescent="0.25">
      <c r="C3395" s="21"/>
    </row>
    <row r="3396" spans="3:3" x14ac:dyDescent="0.25">
      <c r="C3396" s="21"/>
    </row>
    <row r="3397" spans="3:3" x14ac:dyDescent="0.25">
      <c r="C3397" s="21"/>
    </row>
    <row r="3398" spans="3:3" x14ac:dyDescent="0.25">
      <c r="C3398" s="21"/>
    </row>
    <row r="3399" spans="3:3" x14ac:dyDescent="0.25">
      <c r="C3399" s="21"/>
    </row>
    <row r="3400" spans="3:3" x14ac:dyDescent="0.25">
      <c r="C3400" s="21"/>
    </row>
    <row r="3401" spans="3:3" x14ac:dyDescent="0.25">
      <c r="C3401" s="21"/>
    </row>
    <row r="3402" spans="3:3" x14ac:dyDescent="0.25">
      <c r="C3402" s="21"/>
    </row>
    <row r="3403" spans="3:3" x14ac:dyDescent="0.25">
      <c r="C3403" s="21"/>
    </row>
    <row r="3404" spans="3:3" x14ac:dyDescent="0.25">
      <c r="C3404" s="21"/>
    </row>
    <row r="3405" spans="3:3" x14ac:dyDescent="0.25">
      <c r="C3405" s="21"/>
    </row>
    <row r="3406" spans="3:3" x14ac:dyDescent="0.25">
      <c r="C3406" s="21"/>
    </row>
    <row r="3407" spans="3:3" x14ac:dyDescent="0.25">
      <c r="C3407" s="21"/>
    </row>
    <row r="3408" spans="3:3" x14ac:dyDescent="0.25">
      <c r="C3408" s="21"/>
    </row>
    <row r="3409" spans="3:3" x14ac:dyDescent="0.25">
      <c r="C3409" s="21"/>
    </row>
    <row r="3410" spans="3:3" x14ac:dyDescent="0.25">
      <c r="C3410" s="21"/>
    </row>
    <row r="3411" spans="3:3" x14ac:dyDescent="0.25">
      <c r="C3411" s="21"/>
    </row>
    <row r="3412" spans="3:3" x14ac:dyDescent="0.25">
      <c r="C3412" s="21"/>
    </row>
    <row r="3413" spans="3:3" x14ac:dyDescent="0.25">
      <c r="C3413" s="21"/>
    </row>
    <row r="3414" spans="3:3" x14ac:dyDescent="0.25">
      <c r="C3414" s="21"/>
    </row>
    <row r="3415" spans="3:3" x14ac:dyDescent="0.25">
      <c r="C3415" s="21"/>
    </row>
    <row r="3416" spans="3:3" x14ac:dyDescent="0.25">
      <c r="C3416" s="21"/>
    </row>
    <row r="3417" spans="3:3" x14ac:dyDescent="0.25">
      <c r="C3417" s="21"/>
    </row>
    <row r="3418" spans="3:3" x14ac:dyDescent="0.25">
      <c r="C3418" s="21"/>
    </row>
    <row r="3419" spans="3:3" x14ac:dyDescent="0.25">
      <c r="C3419" s="21"/>
    </row>
    <row r="3420" spans="3:3" x14ac:dyDescent="0.25">
      <c r="C3420" s="21"/>
    </row>
    <row r="3421" spans="3:3" x14ac:dyDescent="0.25">
      <c r="C3421" s="21"/>
    </row>
    <row r="3422" spans="3:3" x14ac:dyDescent="0.25">
      <c r="C3422" s="21"/>
    </row>
    <row r="3423" spans="3:3" x14ac:dyDescent="0.25">
      <c r="C3423" s="21"/>
    </row>
    <row r="3424" spans="3:3" x14ac:dyDescent="0.25">
      <c r="C3424" s="21"/>
    </row>
    <row r="3425" spans="3:3" x14ac:dyDescent="0.25">
      <c r="C3425" s="21"/>
    </row>
    <row r="3426" spans="3:3" x14ac:dyDescent="0.25">
      <c r="C3426" s="21"/>
    </row>
    <row r="3427" spans="3:3" x14ac:dyDescent="0.25">
      <c r="C3427" s="21"/>
    </row>
    <row r="3428" spans="3:3" x14ac:dyDescent="0.25">
      <c r="C3428" s="21"/>
    </row>
    <row r="3429" spans="3:3" x14ac:dyDescent="0.25">
      <c r="C3429" s="21"/>
    </row>
    <row r="3430" spans="3:3" x14ac:dyDescent="0.25">
      <c r="C3430" s="21"/>
    </row>
    <row r="3431" spans="3:3" x14ac:dyDescent="0.25">
      <c r="C3431" s="21"/>
    </row>
    <row r="3432" spans="3:3" x14ac:dyDescent="0.25">
      <c r="C3432" s="21"/>
    </row>
    <row r="3433" spans="3:3" x14ac:dyDescent="0.25">
      <c r="C3433" s="21"/>
    </row>
    <row r="3434" spans="3:3" x14ac:dyDescent="0.25">
      <c r="C3434" s="21"/>
    </row>
    <row r="3435" spans="3:3" x14ac:dyDescent="0.25">
      <c r="C3435" s="21"/>
    </row>
    <row r="3436" spans="3:3" x14ac:dyDescent="0.25">
      <c r="C3436" s="21"/>
    </row>
    <row r="3437" spans="3:3" x14ac:dyDescent="0.25">
      <c r="C3437" s="21"/>
    </row>
    <row r="3438" spans="3:3" x14ac:dyDescent="0.25">
      <c r="C3438" s="21"/>
    </row>
    <row r="3439" spans="3:3" x14ac:dyDescent="0.25">
      <c r="C3439" s="21"/>
    </row>
    <row r="3440" spans="3:3" x14ac:dyDescent="0.25">
      <c r="C3440" s="21"/>
    </row>
    <row r="3441" spans="3:3" x14ac:dyDescent="0.25">
      <c r="C3441" s="21"/>
    </row>
    <row r="3442" spans="3:3" x14ac:dyDescent="0.25">
      <c r="C3442" s="21"/>
    </row>
    <row r="3443" spans="3:3" x14ac:dyDescent="0.25">
      <c r="C3443" s="21"/>
    </row>
    <row r="3444" spans="3:3" x14ac:dyDescent="0.25">
      <c r="C3444" s="21"/>
    </row>
    <row r="3445" spans="3:3" x14ac:dyDescent="0.25">
      <c r="C3445" s="21"/>
    </row>
    <row r="3446" spans="3:3" x14ac:dyDescent="0.25">
      <c r="C3446" s="21"/>
    </row>
    <row r="3447" spans="3:3" x14ac:dyDescent="0.25">
      <c r="C3447" s="21"/>
    </row>
    <row r="3448" spans="3:3" x14ac:dyDescent="0.25">
      <c r="C3448" s="21"/>
    </row>
    <row r="3449" spans="3:3" x14ac:dyDescent="0.25">
      <c r="C3449" s="21"/>
    </row>
    <row r="3450" spans="3:3" x14ac:dyDescent="0.25">
      <c r="C3450" s="21"/>
    </row>
    <row r="3451" spans="3:3" x14ac:dyDescent="0.25">
      <c r="C3451" s="21"/>
    </row>
    <row r="3452" spans="3:3" x14ac:dyDescent="0.25">
      <c r="C3452" s="21"/>
    </row>
    <row r="3453" spans="3:3" x14ac:dyDescent="0.25">
      <c r="C3453" s="21"/>
    </row>
    <row r="3454" spans="3:3" x14ac:dyDescent="0.25">
      <c r="C3454" s="21"/>
    </row>
    <row r="3455" spans="3:3" x14ac:dyDescent="0.25">
      <c r="C3455" s="21"/>
    </row>
    <row r="3456" spans="3:3" x14ac:dyDescent="0.25">
      <c r="C3456" s="21"/>
    </row>
    <row r="3457" spans="3:3" x14ac:dyDescent="0.25">
      <c r="C3457" s="21"/>
    </row>
    <row r="3458" spans="3:3" x14ac:dyDescent="0.25">
      <c r="C3458" s="21"/>
    </row>
    <row r="3459" spans="3:3" x14ac:dyDescent="0.25">
      <c r="C3459" s="21"/>
    </row>
    <row r="3460" spans="3:3" x14ac:dyDescent="0.25">
      <c r="C3460" s="21"/>
    </row>
    <row r="3461" spans="3:3" x14ac:dyDescent="0.25">
      <c r="C3461" s="21"/>
    </row>
    <row r="3462" spans="3:3" x14ac:dyDescent="0.25">
      <c r="C3462" s="21"/>
    </row>
    <row r="3463" spans="3:3" x14ac:dyDescent="0.25">
      <c r="C3463" s="21"/>
    </row>
    <row r="3464" spans="3:3" x14ac:dyDescent="0.25">
      <c r="C3464" s="21"/>
    </row>
    <row r="3465" spans="3:3" x14ac:dyDescent="0.25">
      <c r="C3465" s="21"/>
    </row>
    <row r="3466" spans="3:3" x14ac:dyDescent="0.25">
      <c r="C3466" s="21"/>
    </row>
    <row r="3467" spans="3:3" x14ac:dyDescent="0.25">
      <c r="C3467" s="21"/>
    </row>
    <row r="3468" spans="3:3" x14ac:dyDescent="0.25">
      <c r="C3468" s="21"/>
    </row>
    <row r="3469" spans="3:3" x14ac:dyDescent="0.25">
      <c r="C3469" s="21"/>
    </row>
    <row r="3470" spans="3:3" x14ac:dyDescent="0.25">
      <c r="C3470" s="21"/>
    </row>
    <row r="3471" spans="3:3" x14ac:dyDescent="0.25">
      <c r="C3471" s="21"/>
    </row>
    <row r="3472" spans="3:3" x14ac:dyDescent="0.25">
      <c r="C3472" s="21"/>
    </row>
    <row r="3473" spans="3:3" x14ac:dyDescent="0.25">
      <c r="C3473" s="21"/>
    </row>
    <row r="3474" spans="3:3" x14ac:dyDescent="0.25">
      <c r="C3474" s="21"/>
    </row>
    <row r="3475" spans="3:3" x14ac:dyDescent="0.25">
      <c r="C3475" s="21"/>
    </row>
    <row r="3476" spans="3:3" x14ac:dyDescent="0.25">
      <c r="C3476" s="21"/>
    </row>
    <row r="3477" spans="3:3" x14ac:dyDescent="0.25">
      <c r="C3477" s="21"/>
    </row>
    <row r="3478" spans="3:3" x14ac:dyDescent="0.25">
      <c r="C3478" s="21"/>
    </row>
    <row r="3479" spans="3:3" x14ac:dyDescent="0.25">
      <c r="C3479" s="21"/>
    </row>
    <row r="3480" spans="3:3" x14ac:dyDescent="0.25">
      <c r="C3480" s="21"/>
    </row>
    <row r="3481" spans="3:3" x14ac:dyDescent="0.25">
      <c r="C3481" s="21"/>
    </row>
    <row r="3482" spans="3:3" x14ac:dyDescent="0.25">
      <c r="C3482" s="21"/>
    </row>
    <row r="3483" spans="3:3" x14ac:dyDescent="0.25">
      <c r="C3483" s="21"/>
    </row>
    <row r="3484" spans="3:3" x14ac:dyDescent="0.25">
      <c r="C3484" s="21"/>
    </row>
    <row r="3485" spans="3:3" x14ac:dyDescent="0.25">
      <c r="C3485" s="21"/>
    </row>
    <row r="3486" spans="3:3" x14ac:dyDescent="0.25">
      <c r="C3486" s="21"/>
    </row>
    <row r="3487" spans="3:3" x14ac:dyDescent="0.25">
      <c r="C3487" s="21"/>
    </row>
    <row r="3488" spans="3:3" x14ac:dyDescent="0.25">
      <c r="C3488" s="21"/>
    </row>
    <row r="3489" spans="3:3" x14ac:dyDescent="0.25">
      <c r="C3489" s="21"/>
    </row>
    <row r="3490" spans="3:3" x14ac:dyDescent="0.25">
      <c r="C3490" s="21"/>
    </row>
    <row r="3491" spans="3:3" x14ac:dyDescent="0.25">
      <c r="C3491" s="21"/>
    </row>
    <row r="3492" spans="3:3" x14ac:dyDescent="0.25">
      <c r="C3492" s="21"/>
    </row>
    <row r="3493" spans="3:3" x14ac:dyDescent="0.25">
      <c r="C3493" s="21"/>
    </row>
    <row r="3494" spans="3:3" x14ac:dyDescent="0.25">
      <c r="C3494" s="21"/>
    </row>
    <row r="3495" spans="3:3" x14ac:dyDescent="0.25">
      <c r="C3495" s="21"/>
    </row>
    <row r="3496" spans="3:3" x14ac:dyDescent="0.25">
      <c r="C3496" s="21"/>
    </row>
    <row r="3497" spans="3:3" x14ac:dyDescent="0.25">
      <c r="C3497" s="21"/>
    </row>
    <row r="3498" spans="3:3" x14ac:dyDescent="0.25">
      <c r="C3498" s="21"/>
    </row>
    <row r="3499" spans="3:3" x14ac:dyDescent="0.25">
      <c r="C3499" s="21"/>
    </row>
    <row r="3500" spans="3:3" x14ac:dyDescent="0.25">
      <c r="C3500" s="21"/>
    </row>
    <row r="3501" spans="3:3" x14ac:dyDescent="0.25">
      <c r="C3501" s="21"/>
    </row>
    <row r="3502" spans="3:3" x14ac:dyDescent="0.25">
      <c r="C3502" s="21"/>
    </row>
    <row r="3503" spans="3:3" x14ac:dyDescent="0.25">
      <c r="C3503" s="21"/>
    </row>
    <row r="3504" spans="3:3" x14ac:dyDescent="0.25">
      <c r="C3504" s="21"/>
    </row>
    <row r="3505" spans="3:3" x14ac:dyDescent="0.25">
      <c r="C3505" s="21"/>
    </row>
    <row r="3506" spans="3:3" x14ac:dyDescent="0.25">
      <c r="C3506" s="21"/>
    </row>
    <row r="3507" spans="3:3" x14ac:dyDescent="0.25">
      <c r="C3507" s="21"/>
    </row>
    <row r="3508" spans="3:3" x14ac:dyDescent="0.25">
      <c r="C3508" s="21"/>
    </row>
    <row r="3509" spans="3:3" x14ac:dyDescent="0.25">
      <c r="C3509" s="21"/>
    </row>
    <row r="3510" spans="3:3" x14ac:dyDescent="0.25">
      <c r="C3510" s="21"/>
    </row>
    <row r="3511" spans="3:3" x14ac:dyDescent="0.25">
      <c r="C3511" s="21"/>
    </row>
    <row r="3512" spans="3:3" x14ac:dyDescent="0.25">
      <c r="C3512" s="21"/>
    </row>
    <row r="3513" spans="3:3" x14ac:dyDescent="0.25">
      <c r="C3513" s="21"/>
    </row>
    <row r="3514" spans="3:3" x14ac:dyDescent="0.25">
      <c r="C3514" s="21"/>
    </row>
    <row r="3515" spans="3:3" x14ac:dyDescent="0.25">
      <c r="C3515" s="21"/>
    </row>
    <row r="3516" spans="3:3" x14ac:dyDescent="0.25">
      <c r="C3516" s="21"/>
    </row>
    <row r="3517" spans="3:3" x14ac:dyDescent="0.25">
      <c r="C3517" s="21"/>
    </row>
    <row r="3518" spans="3:3" x14ac:dyDescent="0.25">
      <c r="C3518" s="21"/>
    </row>
    <row r="3519" spans="3:3" x14ac:dyDescent="0.25">
      <c r="C3519" s="21"/>
    </row>
    <row r="3520" spans="3:3" x14ac:dyDescent="0.25">
      <c r="C3520" s="21"/>
    </row>
    <row r="3521" spans="3:3" x14ac:dyDescent="0.25">
      <c r="C3521" s="21"/>
    </row>
    <row r="3522" spans="3:3" x14ac:dyDescent="0.25">
      <c r="C3522" s="21"/>
    </row>
    <row r="3523" spans="3:3" x14ac:dyDescent="0.25">
      <c r="C3523" s="21"/>
    </row>
    <row r="3524" spans="3:3" x14ac:dyDescent="0.25">
      <c r="C3524" s="21"/>
    </row>
    <row r="3525" spans="3:3" x14ac:dyDescent="0.25">
      <c r="C3525" s="21"/>
    </row>
    <row r="3526" spans="3:3" x14ac:dyDescent="0.25">
      <c r="C3526" s="21"/>
    </row>
    <row r="3527" spans="3:3" x14ac:dyDescent="0.25">
      <c r="C3527" s="21"/>
    </row>
    <row r="3528" spans="3:3" x14ac:dyDescent="0.25">
      <c r="C3528" s="21"/>
    </row>
    <row r="3529" spans="3:3" x14ac:dyDescent="0.25">
      <c r="C3529" s="21"/>
    </row>
    <row r="3530" spans="3:3" x14ac:dyDescent="0.25">
      <c r="C3530" s="21"/>
    </row>
    <row r="3531" spans="3:3" x14ac:dyDescent="0.25">
      <c r="C3531" s="21"/>
    </row>
    <row r="3532" spans="3:3" x14ac:dyDescent="0.25">
      <c r="C3532" s="21"/>
    </row>
    <row r="3533" spans="3:3" x14ac:dyDescent="0.25">
      <c r="C3533" s="21"/>
    </row>
    <row r="3534" spans="3:3" x14ac:dyDescent="0.25">
      <c r="C3534" s="21"/>
    </row>
    <row r="3535" spans="3:3" x14ac:dyDescent="0.25">
      <c r="C3535" s="21"/>
    </row>
    <row r="3536" spans="3:3" x14ac:dyDescent="0.25">
      <c r="C3536" s="21"/>
    </row>
    <row r="3537" spans="3:3" x14ac:dyDescent="0.25">
      <c r="C3537" s="21"/>
    </row>
    <row r="3538" spans="3:3" x14ac:dyDescent="0.25">
      <c r="C3538" s="21"/>
    </row>
    <row r="3539" spans="3:3" x14ac:dyDescent="0.25">
      <c r="C3539" s="21"/>
    </row>
    <row r="3540" spans="3:3" x14ac:dyDescent="0.25">
      <c r="C3540" s="21"/>
    </row>
    <row r="3541" spans="3:3" x14ac:dyDescent="0.25">
      <c r="C3541" s="21"/>
    </row>
    <row r="3542" spans="3:3" x14ac:dyDescent="0.25">
      <c r="C3542" s="21"/>
    </row>
    <row r="3543" spans="3:3" x14ac:dyDescent="0.25">
      <c r="C3543" s="21"/>
    </row>
    <row r="3544" spans="3:3" x14ac:dyDescent="0.25">
      <c r="C3544" s="21"/>
    </row>
    <row r="3545" spans="3:3" x14ac:dyDescent="0.25">
      <c r="C3545" s="21"/>
    </row>
    <row r="3546" spans="3:3" x14ac:dyDescent="0.25">
      <c r="C3546" s="21"/>
    </row>
    <row r="3547" spans="3:3" x14ac:dyDescent="0.25">
      <c r="C3547" s="21"/>
    </row>
    <row r="3548" spans="3:3" x14ac:dyDescent="0.25">
      <c r="C3548" s="21"/>
    </row>
    <row r="3549" spans="3:3" x14ac:dyDescent="0.25">
      <c r="C3549" s="21"/>
    </row>
    <row r="3550" spans="3:3" x14ac:dyDescent="0.25">
      <c r="C3550" s="21"/>
    </row>
    <row r="3551" spans="3:3" x14ac:dyDescent="0.25">
      <c r="C3551" s="21"/>
    </row>
    <row r="3552" spans="3:3" x14ac:dyDescent="0.25">
      <c r="C3552" s="21"/>
    </row>
    <row r="3553" spans="3:3" x14ac:dyDescent="0.25">
      <c r="C3553" s="21"/>
    </row>
    <row r="3554" spans="3:3" x14ac:dyDescent="0.25">
      <c r="C3554" s="21"/>
    </row>
    <row r="3555" spans="3:3" x14ac:dyDescent="0.25">
      <c r="C3555" s="21"/>
    </row>
    <row r="3556" spans="3:3" x14ac:dyDescent="0.25">
      <c r="C3556" s="21"/>
    </row>
    <row r="3557" spans="3:3" x14ac:dyDescent="0.25">
      <c r="C3557" s="21"/>
    </row>
    <row r="3558" spans="3:3" x14ac:dyDescent="0.25">
      <c r="C3558" s="21"/>
    </row>
    <row r="3559" spans="3:3" x14ac:dyDescent="0.25">
      <c r="C3559" s="21"/>
    </row>
    <row r="3560" spans="3:3" x14ac:dyDescent="0.25">
      <c r="C3560" s="21"/>
    </row>
    <row r="3561" spans="3:3" x14ac:dyDescent="0.25">
      <c r="C3561" s="21"/>
    </row>
    <row r="3562" spans="3:3" x14ac:dyDescent="0.25">
      <c r="C3562" s="21"/>
    </row>
    <row r="3563" spans="3:3" x14ac:dyDescent="0.25">
      <c r="C3563" s="21"/>
    </row>
    <row r="3564" spans="3:3" x14ac:dyDescent="0.25">
      <c r="C3564" s="21"/>
    </row>
    <row r="3565" spans="3:3" x14ac:dyDescent="0.25">
      <c r="C3565" s="21"/>
    </row>
    <row r="3566" spans="3:3" x14ac:dyDescent="0.25">
      <c r="C3566" s="21"/>
    </row>
    <row r="3567" spans="3:3" x14ac:dyDescent="0.25">
      <c r="C3567" s="21"/>
    </row>
    <row r="3568" spans="3:3" x14ac:dyDescent="0.25">
      <c r="C3568" s="21"/>
    </row>
    <row r="3569" spans="3:3" x14ac:dyDescent="0.25">
      <c r="C3569" s="21"/>
    </row>
    <row r="3570" spans="3:3" x14ac:dyDescent="0.25">
      <c r="C3570" s="21"/>
    </row>
    <row r="3571" spans="3:3" x14ac:dyDescent="0.25">
      <c r="C3571" s="21"/>
    </row>
    <row r="3572" spans="3:3" x14ac:dyDescent="0.25">
      <c r="C3572" s="21"/>
    </row>
    <row r="3573" spans="3:3" x14ac:dyDescent="0.25">
      <c r="C3573" s="21"/>
    </row>
    <row r="3574" spans="3:3" x14ac:dyDescent="0.25">
      <c r="C3574" s="21"/>
    </row>
    <row r="3575" spans="3:3" x14ac:dyDescent="0.25">
      <c r="C3575" s="21"/>
    </row>
    <row r="3576" spans="3:3" x14ac:dyDescent="0.25">
      <c r="C3576" s="21"/>
    </row>
    <row r="3577" spans="3:3" x14ac:dyDescent="0.25">
      <c r="C3577" s="21"/>
    </row>
    <row r="3578" spans="3:3" x14ac:dyDescent="0.25">
      <c r="C3578" s="21"/>
    </row>
    <row r="3579" spans="3:3" x14ac:dyDescent="0.25">
      <c r="C3579" s="21"/>
    </row>
    <row r="3580" spans="3:3" x14ac:dyDescent="0.25">
      <c r="C3580" s="21"/>
    </row>
    <row r="3581" spans="3:3" x14ac:dyDescent="0.25">
      <c r="C3581" s="21"/>
    </row>
    <row r="3582" spans="3:3" x14ac:dyDescent="0.25">
      <c r="C3582" s="21"/>
    </row>
    <row r="3583" spans="3:3" x14ac:dyDescent="0.25">
      <c r="C3583" s="21"/>
    </row>
    <row r="3584" spans="3:3" x14ac:dyDescent="0.25">
      <c r="C3584" s="21"/>
    </row>
    <row r="3585" spans="3:3" x14ac:dyDescent="0.25">
      <c r="C3585" s="21"/>
    </row>
    <row r="3586" spans="3:3" x14ac:dyDescent="0.25">
      <c r="C3586" s="21"/>
    </row>
    <row r="3587" spans="3:3" x14ac:dyDescent="0.25">
      <c r="C3587" s="21"/>
    </row>
    <row r="3588" spans="3:3" x14ac:dyDescent="0.25">
      <c r="C3588" s="21"/>
    </row>
    <row r="3589" spans="3:3" x14ac:dyDescent="0.25">
      <c r="C3589" s="21"/>
    </row>
    <row r="3590" spans="3:3" x14ac:dyDescent="0.25">
      <c r="C3590" s="21"/>
    </row>
    <row r="3591" spans="3:3" x14ac:dyDescent="0.25">
      <c r="C3591" s="21"/>
    </row>
    <row r="3592" spans="3:3" x14ac:dyDescent="0.25">
      <c r="C3592" s="21"/>
    </row>
    <row r="3593" spans="3:3" x14ac:dyDescent="0.25">
      <c r="C3593" s="21"/>
    </row>
    <row r="3594" spans="3:3" x14ac:dyDescent="0.25">
      <c r="C3594" s="21"/>
    </row>
    <row r="3595" spans="3:3" x14ac:dyDescent="0.25">
      <c r="C3595" s="21"/>
    </row>
    <row r="3596" spans="3:3" x14ac:dyDescent="0.25">
      <c r="C3596" s="21"/>
    </row>
    <row r="3597" spans="3:3" x14ac:dyDescent="0.25">
      <c r="C3597" s="21"/>
    </row>
    <row r="3598" spans="3:3" x14ac:dyDescent="0.25">
      <c r="C3598" s="21"/>
    </row>
    <row r="3599" spans="3:3" x14ac:dyDescent="0.25">
      <c r="C3599" s="21"/>
    </row>
    <row r="3600" spans="3:3" x14ac:dyDescent="0.25">
      <c r="C3600" s="21"/>
    </row>
    <row r="3601" spans="3:3" x14ac:dyDescent="0.25">
      <c r="C3601" s="21"/>
    </row>
    <row r="3602" spans="3:3" x14ac:dyDescent="0.25">
      <c r="C3602" s="21"/>
    </row>
    <row r="3603" spans="3:3" x14ac:dyDescent="0.25">
      <c r="C3603" s="21"/>
    </row>
    <row r="3604" spans="3:3" x14ac:dyDescent="0.25">
      <c r="C3604" s="21"/>
    </row>
    <row r="3605" spans="3:3" x14ac:dyDescent="0.25">
      <c r="C3605" s="21"/>
    </row>
    <row r="3606" spans="3:3" x14ac:dyDescent="0.25">
      <c r="C3606" s="21"/>
    </row>
    <row r="3607" spans="3:3" x14ac:dyDescent="0.25">
      <c r="C3607" s="21"/>
    </row>
    <row r="3608" spans="3:3" x14ac:dyDescent="0.25">
      <c r="C3608" s="21"/>
    </row>
    <row r="3609" spans="3:3" x14ac:dyDescent="0.25">
      <c r="C3609" s="21"/>
    </row>
    <row r="3610" spans="3:3" x14ac:dyDescent="0.25">
      <c r="C3610" s="21"/>
    </row>
    <row r="3611" spans="3:3" x14ac:dyDescent="0.25">
      <c r="C3611" s="21"/>
    </row>
    <row r="3612" spans="3:3" x14ac:dyDescent="0.25">
      <c r="C3612" s="21"/>
    </row>
    <row r="3613" spans="3:3" x14ac:dyDescent="0.25">
      <c r="C3613" s="21"/>
    </row>
    <row r="3614" spans="3:3" x14ac:dyDescent="0.25">
      <c r="C3614" s="21"/>
    </row>
    <row r="3615" spans="3:3" x14ac:dyDescent="0.25">
      <c r="C3615" s="21"/>
    </row>
    <row r="3616" spans="3:3" x14ac:dyDescent="0.25">
      <c r="C3616" s="21"/>
    </row>
    <row r="3617" spans="3:3" x14ac:dyDescent="0.25">
      <c r="C3617" s="21"/>
    </row>
    <row r="3618" spans="3:3" x14ac:dyDescent="0.25">
      <c r="C3618" s="21"/>
    </row>
    <row r="3619" spans="3:3" x14ac:dyDescent="0.25">
      <c r="C3619" s="21"/>
    </row>
    <row r="3620" spans="3:3" x14ac:dyDescent="0.25">
      <c r="C3620" s="21"/>
    </row>
    <row r="3621" spans="3:3" x14ac:dyDescent="0.25">
      <c r="C3621" s="21"/>
    </row>
    <row r="3622" spans="3:3" x14ac:dyDescent="0.25">
      <c r="C3622" s="21"/>
    </row>
    <row r="3623" spans="3:3" x14ac:dyDescent="0.25">
      <c r="C3623" s="21"/>
    </row>
    <row r="3624" spans="3:3" x14ac:dyDescent="0.25">
      <c r="C3624" s="21"/>
    </row>
    <row r="3625" spans="3:3" x14ac:dyDescent="0.25">
      <c r="C3625" s="21"/>
    </row>
    <row r="3626" spans="3:3" x14ac:dyDescent="0.25">
      <c r="C3626" s="21"/>
    </row>
    <row r="3627" spans="3:3" x14ac:dyDescent="0.25">
      <c r="C3627" s="21"/>
    </row>
    <row r="3628" spans="3:3" x14ac:dyDescent="0.25">
      <c r="C3628" s="21"/>
    </row>
    <row r="3629" spans="3:3" x14ac:dyDescent="0.25">
      <c r="C3629" s="21"/>
    </row>
    <row r="3630" spans="3:3" x14ac:dyDescent="0.25">
      <c r="C3630" s="21"/>
    </row>
    <row r="3631" spans="3:3" x14ac:dyDescent="0.25">
      <c r="C3631" s="21"/>
    </row>
    <row r="3632" spans="3:3" x14ac:dyDescent="0.25">
      <c r="C3632" s="21"/>
    </row>
    <row r="3633" spans="3:3" x14ac:dyDescent="0.25">
      <c r="C3633" s="21"/>
    </row>
    <row r="3634" spans="3:3" x14ac:dyDescent="0.25">
      <c r="C3634" s="21"/>
    </row>
    <row r="3635" spans="3:3" x14ac:dyDescent="0.25">
      <c r="C3635" s="21"/>
    </row>
    <row r="3636" spans="3:3" x14ac:dyDescent="0.25">
      <c r="C3636" s="21"/>
    </row>
    <row r="3637" spans="3:3" x14ac:dyDescent="0.25">
      <c r="C3637" s="21"/>
    </row>
    <row r="3638" spans="3:3" x14ac:dyDescent="0.25">
      <c r="C3638" s="21"/>
    </row>
    <row r="3639" spans="3:3" x14ac:dyDescent="0.25">
      <c r="C3639" s="21"/>
    </row>
    <row r="3640" spans="3:3" x14ac:dyDescent="0.25">
      <c r="C3640" s="21"/>
    </row>
    <row r="3641" spans="3:3" x14ac:dyDescent="0.25">
      <c r="C3641" s="21"/>
    </row>
    <row r="3642" spans="3:3" x14ac:dyDescent="0.25">
      <c r="C3642" s="21"/>
    </row>
    <row r="3643" spans="3:3" x14ac:dyDescent="0.25">
      <c r="C3643" s="21"/>
    </row>
    <row r="3644" spans="3:3" x14ac:dyDescent="0.25">
      <c r="C3644" s="21"/>
    </row>
    <row r="3645" spans="3:3" x14ac:dyDescent="0.25">
      <c r="C3645" s="21"/>
    </row>
    <row r="3646" spans="3:3" x14ac:dyDescent="0.25">
      <c r="C3646" s="21"/>
    </row>
    <row r="3647" spans="3:3" x14ac:dyDescent="0.25">
      <c r="C3647" s="21"/>
    </row>
    <row r="3648" spans="3:3" x14ac:dyDescent="0.25">
      <c r="C3648" s="21"/>
    </row>
    <row r="3649" spans="3:3" x14ac:dyDescent="0.25">
      <c r="C3649" s="21"/>
    </row>
    <row r="3650" spans="3:3" x14ac:dyDescent="0.25">
      <c r="C3650" s="21"/>
    </row>
    <row r="3651" spans="3:3" x14ac:dyDescent="0.25">
      <c r="C3651" s="21"/>
    </row>
    <row r="3652" spans="3:3" x14ac:dyDescent="0.25">
      <c r="C3652" s="21"/>
    </row>
    <row r="3653" spans="3:3" x14ac:dyDescent="0.25">
      <c r="C3653" s="21"/>
    </row>
    <row r="3654" spans="3:3" x14ac:dyDescent="0.25">
      <c r="C3654" s="21"/>
    </row>
    <row r="3655" spans="3:3" x14ac:dyDescent="0.25">
      <c r="C3655" s="21"/>
    </row>
    <row r="3656" spans="3:3" x14ac:dyDescent="0.25">
      <c r="C3656" s="21"/>
    </row>
    <row r="3657" spans="3:3" x14ac:dyDescent="0.25">
      <c r="C3657" s="21"/>
    </row>
    <row r="3658" spans="3:3" x14ac:dyDescent="0.25">
      <c r="C3658" s="21"/>
    </row>
    <row r="3659" spans="3:3" x14ac:dyDescent="0.25">
      <c r="C3659" s="21"/>
    </row>
    <row r="3660" spans="3:3" x14ac:dyDescent="0.25">
      <c r="C3660" s="21"/>
    </row>
    <row r="3661" spans="3:3" x14ac:dyDescent="0.25">
      <c r="C3661" s="21"/>
    </row>
    <row r="3662" spans="3:3" x14ac:dyDescent="0.25">
      <c r="C3662" s="21"/>
    </row>
    <row r="3663" spans="3:3" x14ac:dyDescent="0.25">
      <c r="C3663" s="21"/>
    </row>
    <row r="3664" spans="3:3" x14ac:dyDescent="0.25">
      <c r="C3664" s="21"/>
    </row>
    <row r="3665" spans="3:3" x14ac:dyDescent="0.25">
      <c r="C3665" s="21"/>
    </row>
    <row r="3666" spans="3:3" x14ac:dyDescent="0.25">
      <c r="C3666" s="21"/>
    </row>
    <row r="3667" spans="3:3" x14ac:dyDescent="0.25">
      <c r="C3667" s="21"/>
    </row>
    <row r="3668" spans="3:3" x14ac:dyDescent="0.25">
      <c r="C3668" s="21"/>
    </row>
    <row r="3669" spans="3:3" x14ac:dyDescent="0.25">
      <c r="C3669" s="21"/>
    </row>
    <row r="3670" spans="3:3" x14ac:dyDescent="0.25">
      <c r="C3670" s="21"/>
    </row>
    <row r="3671" spans="3:3" x14ac:dyDescent="0.25">
      <c r="C3671" s="21"/>
    </row>
    <row r="3672" spans="3:3" x14ac:dyDescent="0.25">
      <c r="C3672" s="21"/>
    </row>
    <row r="3673" spans="3:3" x14ac:dyDescent="0.25">
      <c r="C3673" s="21"/>
    </row>
    <row r="3674" spans="3:3" x14ac:dyDescent="0.25">
      <c r="C3674" s="21"/>
    </row>
    <row r="3675" spans="3:3" x14ac:dyDescent="0.25">
      <c r="C3675" s="21"/>
    </row>
    <row r="3676" spans="3:3" x14ac:dyDescent="0.25">
      <c r="C3676" s="21"/>
    </row>
    <row r="3677" spans="3:3" x14ac:dyDescent="0.25">
      <c r="C3677" s="21"/>
    </row>
    <row r="3678" spans="3:3" x14ac:dyDescent="0.25">
      <c r="C3678" s="21"/>
    </row>
    <row r="3679" spans="3:3" x14ac:dyDescent="0.25">
      <c r="C3679" s="21"/>
    </row>
    <row r="3680" spans="3:3" x14ac:dyDescent="0.25">
      <c r="C3680" s="21"/>
    </row>
    <row r="3681" spans="3:3" x14ac:dyDescent="0.25">
      <c r="C3681" s="21"/>
    </row>
    <row r="3682" spans="3:3" x14ac:dyDescent="0.25">
      <c r="C3682" s="21"/>
    </row>
    <row r="3683" spans="3:3" x14ac:dyDescent="0.25">
      <c r="C3683" s="21"/>
    </row>
    <row r="3684" spans="3:3" x14ac:dyDescent="0.25">
      <c r="C3684" s="21"/>
    </row>
    <row r="3685" spans="3:3" x14ac:dyDescent="0.25">
      <c r="C3685" s="21"/>
    </row>
    <row r="3686" spans="3:3" x14ac:dyDescent="0.25">
      <c r="C3686" s="21"/>
    </row>
    <row r="3687" spans="3:3" x14ac:dyDescent="0.25">
      <c r="C3687" s="21"/>
    </row>
    <row r="3688" spans="3:3" x14ac:dyDescent="0.25">
      <c r="C3688" s="21"/>
    </row>
    <row r="3689" spans="3:3" x14ac:dyDescent="0.25">
      <c r="C3689" s="21"/>
    </row>
    <row r="3690" spans="3:3" x14ac:dyDescent="0.25">
      <c r="C3690" s="21"/>
    </row>
    <row r="3691" spans="3:3" x14ac:dyDescent="0.25">
      <c r="C3691" s="21"/>
    </row>
    <row r="3692" spans="3:3" x14ac:dyDescent="0.25">
      <c r="C3692" s="21"/>
    </row>
    <row r="3693" spans="3:3" x14ac:dyDescent="0.25">
      <c r="C3693" s="21"/>
    </row>
    <row r="3694" spans="3:3" x14ac:dyDescent="0.25">
      <c r="C3694" s="21"/>
    </row>
    <row r="3695" spans="3:3" x14ac:dyDescent="0.25">
      <c r="C3695" s="21"/>
    </row>
    <row r="3696" spans="3:3" x14ac:dyDescent="0.25">
      <c r="C3696" s="21"/>
    </row>
    <row r="3697" spans="3:3" x14ac:dyDescent="0.25">
      <c r="C3697" s="21"/>
    </row>
    <row r="3698" spans="3:3" x14ac:dyDescent="0.25">
      <c r="C3698" s="21"/>
    </row>
    <row r="3699" spans="3:3" x14ac:dyDescent="0.25">
      <c r="C3699" s="21"/>
    </row>
    <row r="3700" spans="3:3" x14ac:dyDescent="0.25">
      <c r="C3700" s="21"/>
    </row>
    <row r="3701" spans="3:3" x14ac:dyDescent="0.25">
      <c r="C3701" s="21"/>
    </row>
    <row r="3702" spans="3:3" x14ac:dyDescent="0.25">
      <c r="C3702" s="21"/>
    </row>
    <row r="3703" spans="3:3" x14ac:dyDescent="0.25">
      <c r="C3703" s="21"/>
    </row>
    <row r="3704" spans="3:3" x14ac:dyDescent="0.25">
      <c r="C3704" s="21"/>
    </row>
    <row r="3705" spans="3:3" x14ac:dyDescent="0.25">
      <c r="C3705" s="21"/>
    </row>
    <row r="3706" spans="3:3" x14ac:dyDescent="0.25">
      <c r="C3706" s="21"/>
    </row>
    <row r="3707" spans="3:3" x14ac:dyDescent="0.25">
      <c r="C3707" s="21"/>
    </row>
    <row r="3708" spans="3:3" x14ac:dyDescent="0.25">
      <c r="C3708" s="21"/>
    </row>
    <row r="3709" spans="3:3" x14ac:dyDescent="0.25">
      <c r="C3709" s="21"/>
    </row>
    <row r="3710" spans="3:3" x14ac:dyDescent="0.25">
      <c r="C3710" s="21"/>
    </row>
    <row r="3711" spans="3:3" x14ac:dyDescent="0.25">
      <c r="C3711" s="21"/>
    </row>
    <row r="3712" spans="3:3" x14ac:dyDescent="0.25">
      <c r="C3712" s="21"/>
    </row>
    <row r="3713" spans="3:3" x14ac:dyDescent="0.25">
      <c r="C3713" s="21"/>
    </row>
    <row r="3714" spans="3:3" x14ac:dyDescent="0.25">
      <c r="C3714" s="21"/>
    </row>
    <row r="3715" spans="3:3" x14ac:dyDescent="0.25">
      <c r="C3715" s="21"/>
    </row>
    <row r="3716" spans="3:3" x14ac:dyDescent="0.25">
      <c r="C3716" s="21"/>
    </row>
    <row r="3717" spans="3:3" x14ac:dyDescent="0.25">
      <c r="C3717" s="21"/>
    </row>
    <row r="3718" spans="3:3" x14ac:dyDescent="0.25">
      <c r="C3718" s="21"/>
    </row>
    <row r="3719" spans="3:3" x14ac:dyDescent="0.25">
      <c r="C3719" s="21"/>
    </row>
    <row r="3720" spans="3:3" x14ac:dyDescent="0.25">
      <c r="C3720" s="21"/>
    </row>
    <row r="3721" spans="3:3" x14ac:dyDescent="0.25">
      <c r="C3721" s="21"/>
    </row>
    <row r="3722" spans="3:3" x14ac:dyDescent="0.25">
      <c r="C3722" s="21"/>
    </row>
    <row r="3723" spans="3:3" x14ac:dyDescent="0.25">
      <c r="C3723" s="21"/>
    </row>
    <row r="3724" spans="3:3" x14ac:dyDescent="0.25">
      <c r="C3724" s="21"/>
    </row>
    <row r="3725" spans="3:3" x14ac:dyDescent="0.25">
      <c r="C3725" s="21"/>
    </row>
    <row r="3726" spans="3:3" x14ac:dyDescent="0.25">
      <c r="C3726" s="21"/>
    </row>
    <row r="3727" spans="3:3" x14ac:dyDescent="0.25">
      <c r="C3727" s="21"/>
    </row>
    <row r="3728" spans="3:3" x14ac:dyDescent="0.25">
      <c r="C3728" s="21"/>
    </row>
    <row r="3729" spans="3:3" x14ac:dyDescent="0.25">
      <c r="C3729" s="21"/>
    </row>
    <row r="3730" spans="3:3" x14ac:dyDescent="0.25">
      <c r="C3730" s="21"/>
    </row>
    <row r="3731" spans="3:3" x14ac:dyDescent="0.25">
      <c r="C3731" s="21"/>
    </row>
    <row r="3732" spans="3:3" x14ac:dyDescent="0.25">
      <c r="C3732" s="21"/>
    </row>
    <row r="3733" spans="3:3" x14ac:dyDescent="0.25">
      <c r="C3733" s="21"/>
    </row>
    <row r="3734" spans="3:3" x14ac:dyDescent="0.25">
      <c r="C3734" s="21"/>
    </row>
    <row r="3735" spans="3:3" x14ac:dyDescent="0.25">
      <c r="C3735" s="21"/>
    </row>
    <row r="3736" spans="3:3" x14ac:dyDescent="0.25">
      <c r="C3736" s="21"/>
    </row>
    <row r="3737" spans="3:3" x14ac:dyDescent="0.25">
      <c r="C3737" s="21"/>
    </row>
    <row r="3738" spans="3:3" x14ac:dyDescent="0.25">
      <c r="C3738" s="21"/>
    </row>
    <row r="3739" spans="3:3" x14ac:dyDescent="0.25">
      <c r="C3739" s="21"/>
    </row>
    <row r="3740" spans="3:3" x14ac:dyDescent="0.25">
      <c r="C3740" s="21"/>
    </row>
    <row r="3741" spans="3:3" x14ac:dyDescent="0.25">
      <c r="C3741" s="21"/>
    </row>
    <row r="3742" spans="3:3" x14ac:dyDescent="0.25">
      <c r="C3742" s="21"/>
    </row>
    <row r="3743" spans="3:3" x14ac:dyDescent="0.25">
      <c r="C3743" s="21"/>
    </row>
    <row r="3744" spans="3:3" x14ac:dyDescent="0.25">
      <c r="C3744" s="21"/>
    </row>
    <row r="3745" spans="3:3" x14ac:dyDescent="0.25">
      <c r="C3745" s="21"/>
    </row>
    <row r="3746" spans="3:3" x14ac:dyDescent="0.25">
      <c r="C3746" s="21"/>
    </row>
    <row r="3747" spans="3:3" x14ac:dyDescent="0.25">
      <c r="C3747" s="21"/>
    </row>
    <row r="3748" spans="3:3" x14ac:dyDescent="0.25">
      <c r="C3748" s="21"/>
    </row>
    <row r="3749" spans="3:3" x14ac:dyDescent="0.25">
      <c r="C3749" s="21"/>
    </row>
    <row r="3750" spans="3:3" x14ac:dyDescent="0.25">
      <c r="C3750" s="21"/>
    </row>
    <row r="3751" spans="3:3" x14ac:dyDescent="0.25">
      <c r="C3751" s="21"/>
    </row>
    <row r="3752" spans="3:3" x14ac:dyDescent="0.25">
      <c r="C3752" s="21"/>
    </row>
    <row r="3753" spans="3:3" x14ac:dyDescent="0.25">
      <c r="C3753" s="21"/>
    </row>
    <row r="3754" spans="3:3" x14ac:dyDescent="0.25">
      <c r="C3754" s="21"/>
    </row>
    <row r="3755" spans="3:3" x14ac:dyDescent="0.25">
      <c r="C3755" s="21"/>
    </row>
    <row r="3756" spans="3:3" x14ac:dyDescent="0.25">
      <c r="C3756" s="21"/>
    </row>
    <row r="3757" spans="3:3" x14ac:dyDescent="0.25">
      <c r="C3757" s="21"/>
    </row>
    <row r="3758" spans="3:3" x14ac:dyDescent="0.25">
      <c r="C3758" s="21"/>
    </row>
    <row r="3759" spans="3:3" x14ac:dyDescent="0.25">
      <c r="C3759" s="21"/>
    </row>
    <row r="3760" spans="3:3" x14ac:dyDescent="0.25">
      <c r="C3760" s="21"/>
    </row>
    <row r="3761" spans="3:3" x14ac:dyDescent="0.25">
      <c r="C3761" s="21"/>
    </row>
    <row r="3762" spans="3:3" x14ac:dyDescent="0.25">
      <c r="C3762" s="21"/>
    </row>
    <row r="3763" spans="3:3" x14ac:dyDescent="0.25">
      <c r="C3763" s="21"/>
    </row>
    <row r="3764" spans="3:3" x14ac:dyDescent="0.25">
      <c r="C3764" s="21"/>
    </row>
    <row r="3765" spans="3:3" x14ac:dyDescent="0.25">
      <c r="C3765" s="21"/>
    </row>
    <row r="3766" spans="3:3" x14ac:dyDescent="0.25">
      <c r="C3766" s="21"/>
    </row>
    <row r="3767" spans="3:3" x14ac:dyDescent="0.25">
      <c r="C3767" s="21"/>
    </row>
    <row r="3768" spans="3:3" x14ac:dyDescent="0.25">
      <c r="C3768" s="21"/>
    </row>
    <row r="3769" spans="3:3" x14ac:dyDescent="0.25">
      <c r="C3769" s="21"/>
    </row>
    <row r="3770" spans="3:3" x14ac:dyDescent="0.25">
      <c r="C3770" s="21"/>
    </row>
    <row r="3771" spans="3:3" x14ac:dyDescent="0.25">
      <c r="C3771" s="21"/>
    </row>
    <row r="3772" spans="3:3" x14ac:dyDescent="0.25">
      <c r="C3772" s="21"/>
    </row>
    <row r="3773" spans="3:3" x14ac:dyDescent="0.25">
      <c r="C3773" s="21"/>
    </row>
    <row r="3774" spans="3:3" x14ac:dyDescent="0.25">
      <c r="C3774" s="21"/>
    </row>
    <row r="3775" spans="3:3" x14ac:dyDescent="0.25">
      <c r="C3775" s="21"/>
    </row>
    <row r="3776" spans="3:3" x14ac:dyDescent="0.25">
      <c r="C3776" s="21"/>
    </row>
    <row r="3777" spans="3:3" x14ac:dyDescent="0.25">
      <c r="C3777" s="21"/>
    </row>
    <row r="3778" spans="3:3" x14ac:dyDescent="0.25">
      <c r="C3778" s="21"/>
    </row>
    <row r="3779" spans="3:3" x14ac:dyDescent="0.25">
      <c r="C3779" s="21"/>
    </row>
    <row r="3780" spans="3:3" x14ac:dyDescent="0.25">
      <c r="C3780" s="21"/>
    </row>
    <row r="3781" spans="3:3" x14ac:dyDescent="0.25">
      <c r="C3781" s="21"/>
    </row>
    <row r="3782" spans="3:3" x14ac:dyDescent="0.25">
      <c r="C3782" s="21"/>
    </row>
    <row r="3783" spans="3:3" x14ac:dyDescent="0.25">
      <c r="C3783" s="21"/>
    </row>
    <row r="3784" spans="3:3" x14ac:dyDescent="0.25">
      <c r="C3784" s="21"/>
    </row>
    <row r="3785" spans="3:3" x14ac:dyDescent="0.25">
      <c r="C3785" s="21"/>
    </row>
    <row r="3786" spans="3:3" x14ac:dyDescent="0.25">
      <c r="C3786" s="21"/>
    </row>
    <row r="3787" spans="3:3" x14ac:dyDescent="0.25">
      <c r="C3787" s="21"/>
    </row>
    <row r="3788" spans="3:3" x14ac:dyDescent="0.25">
      <c r="C3788" s="21"/>
    </row>
    <row r="3789" spans="3:3" x14ac:dyDescent="0.25">
      <c r="C3789" s="21"/>
    </row>
    <row r="3790" spans="3:3" x14ac:dyDescent="0.25">
      <c r="C3790" s="21"/>
    </row>
    <row r="3791" spans="3:3" x14ac:dyDescent="0.25">
      <c r="C3791" s="21"/>
    </row>
    <row r="3792" spans="3:3" x14ac:dyDescent="0.25">
      <c r="C3792" s="21"/>
    </row>
    <row r="3793" spans="3:3" x14ac:dyDescent="0.25">
      <c r="C3793" s="21"/>
    </row>
    <row r="3794" spans="3:3" x14ac:dyDescent="0.25">
      <c r="C3794" s="21"/>
    </row>
    <row r="3795" spans="3:3" x14ac:dyDescent="0.25">
      <c r="C3795" s="21"/>
    </row>
    <row r="3796" spans="3:3" x14ac:dyDescent="0.25">
      <c r="C3796" s="21"/>
    </row>
    <row r="3797" spans="3:3" x14ac:dyDescent="0.25">
      <c r="C3797" s="21"/>
    </row>
    <row r="3798" spans="3:3" x14ac:dyDescent="0.25">
      <c r="C3798" s="21"/>
    </row>
    <row r="3799" spans="3:3" x14ac:dyDescent="0.25">
      <c r="C3799" s="21"/>
    </row>
    <row r="3800" spans="3:3" x14ac:dyDescent="0.25">
      <c r="C3800" s="21"/>
    </row>
    <row r="3801" spans="3:3" x14ac:dyDescent="0.25">
      <c r="C3801" s="21"/>
    </row>
    <row r="3802" spans="3:3" x14ac:dyDescent="0.25">
      <c r="C3802" s="21"/>
    </row>
    <row r="3803" spans="3:3" x14ac:dyDescent="0.25">
      <c r="C3803" s="21"/>
    </row>
    <row r="3804" spans="3:3" x14ac:dyDescent="0.25">
      <c r="C3804" s="21"/>
    </row>
    <row r="3805" spans="3:3" x14ac:dyDescent="0.25">
      <c r="C3805" s="21"/>
    </row>
    <row r="3806" spans="3:3" x14ac:dyDescent="0.25">
      <c r="C3806" s="21"/>
    </row>
    <row r="3807" spans="3:3" x14ac:dyDescent="0.25">
      <c r="C3807" s="21"/>
    </row>
    <row r="3808" spans="3:3" x14ac:dyDescent="0.25">
      <c r="C3808" s="21"/>
    </row>
    <row r="3809" spans="3:3" x14ac:dyDescent="0.25">
      <c r="C3809" s="21"/>
    </row>
    <row r="3810" spans="3:3" x14ac:dyDescent="0.25">
      <c r="C3810" s="21"/>
    </row>
    <row r="3811" spans="3:3" x14ac:dyDescent="0.25">
      <c r="C3811" s="21"/>
    </row>
    <row r="3812" spans="3:3" x14ac:dyDescent="0.25">
      <c r="C3812" s="21"/>
    </row>
    <row r="3813" spans="3:3" x14ac:dyDescent="0.25">
      <c r="C3813" s="21"/>
    </row>
    <row r="3814" spans="3:3" x14ac:dyDescent="0.25">
      <c r="C3814" s="21"/>
    </row>
    <row r="3815" spans="3:3" x14ac:dyDescent="0.25">
      <c r="C3815" s="21"/>
    </row>
    <row r="3816" spans="3:3" x14ac:dyDescent="0.25">
      <c r="C3816" s="21"/>
    </row>
    <row r="3817" spans="3:3" x14ac:dyDescent="0.25">
      <c r="C3817" s="21"/>
    </row>
    <row r="3818" spans="3:3" x14ac:dyDescent="0.25">
      <c r="C3818" s="21"/>
    </row>
    <row r="3819" spans="3:3" x14ac:dyDescent="0.25">
      <c r="C3819" s="21"/>
    </row>
    <row r="3820" spans="3:3" x14ac:dyDescent="0.25">
      <c r="C3820" s="21"/>
    </row>
    <row r="3821" spans="3:3" x14ac:dyDescent="0.25">
      <c r="C3821" s="21"/>
    </row>
    <row r="3822" spans="3:3" x14ac:dyDescent="0.25">
      <c r="C3822" s="21"/>
    </row>
    <row r="3823" spans="3:3" x14ac:dyDescent="0.25">
      <c r="C3823" s="21"/>
    </row>
    <row r="3824" spans="3:3" x14ac:dyDescent="0.25">
      <c r="C3824" s="21"/>
    </row>
    <row r="3825" spans="3:3" x14ac:dyDescent="0.25">
      <c r="C3825" s="21"/>
    </row>
    <row r="3826" spans="3:3" x14ac:dyDescent="0.25">
      <c r="C3826" s="21"/>
    </row>
    <row r="3827" spans="3:3" x14ac:dyDescent="0.25">
      <c r="C3827" s="21"/>
    </row>
    <row r="3828" spans="3:3" x14ac:dyDescent="0.25">
      <c r="C3828" s="21"/>
    </row>
    <row r="3829" spans="3:3" x14ac:dyDescent="0.25">
      <c r="C3829" s="21"/>
    </row>
    <row r="3830" spans="3:3" x14ac:dyDescent="0.25">
      <c r="C3830" s="21"/>
    </row>
    <row r="3831" spans="3:3" x14ac:dyDescent="0.25">
      <c r="C3831" s="21"/>
    </row>
    <row r="3832" spans="3:3" x14ac:dyDescent="0.25">
      <c r="C3832" s="21"/>
    </row>
    <row r="3833" spans="3:3" x14ac:dyDescent="0.25">
      <c r="C3833" s="21"/>
    </row>
    <row r="3834" spans="3:3" x14ac:dyDescent="0.25">
      <c r="C3834" s="21"/>
    </row>
    <row r="3835" spans="3:3" x14ac:dyDescent="0.25">
      <c r="C3835" s="21"/>
    </row>
    <row r="3836" spans="3:3" x14ac:dyDescent="0.25">
      <c r="C3836" s="21"/>
    </row>
    <row r="3837" spans="3:3" x14ac:dyDescent="0.25">
      <c r="C3837" s="21"/>
    </row>
    <row r="3838" spans="3:3" x14ac:dyDescent="0.25">
      <c r="C3838" s="21"/>
    </row>
    <row r="3839" spans="3:3" x14ac:dyDescent="0.25">
      <c r="C3839" s="21"/>
    </row>
    <row r="3840" spans="3:3" x14ac:dyDescent="0.25">
      <c r="C3840" s="21"/>
    </row>
    <row r="3841" spans="3:3" x14ac:dyDescent="0.25">
      <c r="C3841" s="21"/>
    </row>
    <row r="3842" spans="3:3" x14ac:dyDescent="0.25">
      <c r="C3842" s="21"/>
    </row>
    <row r="3843" spans="3:3" x14ac:dyDescent="0.25">
      <c r="C3843" s="21"/>
    </row>
    <row r="3844" spans="3:3" x14ac:dyDescent="0.25">
      <c r="C3844" s="21"/>
    </row>
    <row r="3845" spans="3:3" x14ac:dyDescent="0.25">
      <c r="C3845" s="21"/>
    </row>
    <row r="3846" spans="3:3" x14ac:dyDescent="0.25">
      <c r="C3846" s="21"/>
    </row>
    <row r="3847" spans="3:3" x14ac:dyDescent="0.25">
      <c r="C3847" s="21"/>
    </row>
    <row r="3848" spans="3:3" x14ac:dyDescent="0.25">
      <c r="C3848" s="21"/>
    </row>
    <row r="3849" spans="3:3" x14ac:dyDescent="0.25">
      <c r="C3849" s="21"/>
    </row>
    <row r="3850" spans="3:3" x14ac:dyDescent="0.25">
      <c r="C3850" s="21"/>
    </row>
    <row r="3851" spans="3:3" x14ac:dyDescent="0.25">
      <c r="C3851" s="21"/>
    </row>
    <row r="3852" spans="3:3" x14ac:dyDescent="0.25">
      <c r="C3852" s="21"/>
    </row>
    <row r="3853" spans="3:3" x14ac:dyDescent="0.25">
      <c r="C3853" s="21"/>
    </row>
    <row r="3854" spans="3:3" x14ac:dyDescent="0.25">
      <c r="C3854" s="21"/>
    </row>
    <row r="3855" spans="3:3" x14ac:dyDescent="0.25">
      <c r="C3855" s="21"/>
    </row>
    <row r="3856" spans="3:3" x14ac:dyDescent="0.25">
      <c r="C3856" s="21"/>
    </row>
    <row r="3857" spans="3:3" x14ac:dyDescent="0.25">
      <c r="C3857" s="21"/>
    </row>
    <row r="3858" spans="3:3" x14ac:dyDescent="0.25">
      <c r="C3858" s="21"/>
    </row>
    <row r="3859" spans="3:3" x14ac:dyDescent="0.25">
      <c r="C3859" s="21"/>
    </row>
    <row r="3860" spans="3:3" x14ac:dyDescent="0.25">
      <c r="C3860" s="21"/>
    </row>
    <row r="3861" spans="3:3" x14ac:dyDescent="0.25">
      <c r="C3861" s="21"/>
    </row>
    <row r="3862" spans="3:3" x14ac:dyDescent="0.25">
      <c r="C3862" s="21"/>
    </row>
    <row r="3863" spans="3:3" x14ac:dyDescent="0.25">
      <c r="C3863" s="21"/>
    </row>
    <row r="3864" spans="3:3" x14ac:dyDescent="0.25">
      <c r="C3864" s="21"/>
    </row>
    <row r="3865" spans="3:3" x14ac:dyDescent="0.25">
      <c r="C3865" s="21"/>
    </row>
    <row r="3866" spans="3:3" x14ac:dyDescent="0.25">
      <c r="C3866" s="21"/>
    </row>
    <row r="3867" spans="3:3" x14ac:dyDescent="0.25">
      <c r="C3867" s="21"/>
    </row>
    <row r="3868" spans="3:3" x14ac:dyDescent="0.25">
      <c r="C3868" s="21"/>
    </row>
    <row r="3869" spans="3:3" x14ac:dyDescent="0.25">
      <c r="C3869" s="21"/>
    </row>
    <row r="3870" spans="3:3" x14ac:dyDescent="0.25">
      <c r="C3870" s="21"/>
    </row>
    <row r="3871" spans="3:3" x14ac:dyDescent="0.25">
      <c r="C3871" s="21"/>
    </row>
    <row r="3872" spans="3:3" x14ac:dyDescent="0.25">
      <c r="C3872" s="21"/>
    </row>
    <row r="3873" spans="3:3" x14ac:dyDescent="0.25">
      <c r="C3873" s="21"/>
    </row>
    <row r="3874" spans="3:3" x14ac:dyDescent="0.25">
      <c r="C3874" s="21"/>
    </row>
    <row r="3875" spans="3:3" x14ac:dyDescent="0.25">
      <c r="C3875" s="21"/>
    </row>
    <row r="3876" spans="3:3" x14ac:dyDescent="0.25">
      <c r="C3876" s="21"/>
    </row>
    <row r="3877" spans="3:3" x14ac:dyDescent="0.25">
      <c r="C3877" s="21"/>
    </row>
    <row r="3878" spans="3:3" x14ac:dyDescent="0.25">
      <c r="C3878" s="21"/>
    </row>
    <row r="3879" spans="3:3" x14ac:dyDescent="0.25">
      <c r="C3879" s="21"/>
    </row>
    <row r="3880" spans="3:3" x14ac:dyDescent="0.25">
      <c r="C3880" s="21"/>
    </row>
    <row r="3881" spans="3:3" x14ac:dyDescent="0.25">
      <c r="C3881" s="21"/>
    </row>
    <row r="3882" spans="3:3" x14ac:dyDescent="0.25">
      <c r="C3882" s="21"/>
    </row>
    <row r="3883" spans="3:3" x14ac:dyDescent="0.25">
      <c r="C3883" s="21"/>
    </row>
    <row r="3884" spans="3:3" x14ac:dyDescent="0.25">
      <c r="C3884" s="21"/>
    </row>
    <row r="3885" spans="3:3" x14ac:dyDescent="0.25">
      <c r="C3885" s="21"/>
    </row>
    <row r="3886" spans="3:3" x14ac:dyDescent="0.25">
      <c r="C3886" s="21"/>
    </row>
    <row r="3887" spans="3:3" x14ac:dyDescent="0.25">
      <c r="C3887" s="21"/>
    </row>
    <row r="3888" spans="3:3" x14ac:dyDescent="0.25">
      <c r="C3888" s="21"/>
    </row>
    <row r="3889" spans="1:10" x14ac:dyDescent="0.25">
      <c r="C3889" s="21"/>
    </row>
    <row r="3890" spans="1:10" x14ac:dyDescent="0.25">
      <c r="C3890" s="21"/>
    </row>
    <row r="3891" spans="1:10" x14ac:dyDescent="0.25">
      <c r="C3891" s="21"/>
    </row>
    <row r="3892" spans="1:10" x14ac:dyDescent="0.25">
      <c r="C3892" s="21"/>
    </row>
    <row r="3893" spans="1:10" x14ac:dyDescent="0.25">
      <c r="C3893" s="21"/>
    </row>
    <row r="3894" spans="1:10" x14ac:dyDescent="0.25">
      <c r="C3894" s="21"/>
    </row>
    <row r="3895" spans="1:10" x14ac:dyDescent="0.25">
      <c r="C3895" s="21"/>
    </row>
    <row r="3896" spans="1:10" x14ac:dyDescent="0.25">
      <c r="C3896" s="21"/>
    </row>
    <row r="3897" spans="1:10" x14ac:dyDescent="0.25">
      <c r="C3897" s="21"/>
    </row>
    <row r="3898" spans="1:10" x14ac:dyDescent="0.25">
      <c r="C3898" s="21"/>
    </row>
    <row r="3899" spans="1:10" x14ac:dyDescent="0.25">
      <c r="C3899" s="21"/>
    </row>
    <row r="3900" spans="1:10" x14ac:dyDescent="0.25">
      <c r="A3900" t="s">
        <v>2977</v>
      </c>
      <c r="B3900" t="s">
        <v>399</v>
      </c>
      <c r="C3900" s="22">
        <v>46183</v>
      </c>
      <c r="D3900" t="s">
        <v>21</v>
      </c>
      <c r="E3900" t="s">
        <v>81</v>
      </c>
      <c r="F3900">
        <v>5443</v>
      </c>
      <c r="G3900" t="s">
        <v>41</v>
      </c>
      <c r="H3900" t="s">
        <v>350</v>
      </c>
      <c r="I3900" t="s">
        <v>347</v>
      </c>
      <c r="J3900" t="s">
        <v>2978</v>
      </c>
    </row>
    <row r="3901" spans="1:10" x14ac:dyDescent="0.25">
      <c r="A3901" t="s">
        <v>2979</v>
      </c>
      <c r="B3901" t="s">
        <v>399</v>
      </c>
      <c r="C3901" s="22">
        <v>46183</v>
      </c>
      <c r="D3901" t="s">
        <v>21</v>
      </c>
      <c r="E3901" t="s">
        <v>81</v>
      </c>
      <c r="F3901">
        <v>5443</v>
      </c>
      <c r="G3901" t="s">
        <v>43</v>
      </c>
      <c r="H3901" t="s">
        <v>346</v>
      </c>
      <c r="I3901" t="s">
        <v>347</v>
      </c>
      <c r="J3901" t="s">
        <v>2980</v>
      </c>
    </row>
    <row r="3902" spans="1:10" x14ac:dyDescent="0.25">
      <c r="A3902" t="s">
        <v>2981</v>
      </c>
      <c r="B3902" t="s">
        <v>399</v>
      </c>
      <c r="C3902" s="22">
        <v>46183</v>
      </c>
      <c r="D3902" t="s">
        <v>21</v>
      </c>
      <c r="E3902" t="s">
        <v>81</v>
      </c>
      <c r="F3902">
        <v>5443</v>
      </c>
      <c r="G3902" t="s">
        <v>44</v>
      </c>
      <c r="H3902" t="s">
        <v>353</v>
      </c>
      <c r="I3902" t="s">
        <v>347</v>
      </c>
      <c r="J3902" t="s">
        <v>2982</v>
      </c>
    </row>
    <row r="3903" spans="1:10" x14ac:dyDescent="0.25">
      <c r="A3903" t="s">
        <v>2983</v>
      </c>
      <c r="B3903" t="s">
        <v>399</v>
      </c>
      <c r="C3903" s="22">
        <v>46183</v>
      </c>
      <c r="D3903" t="s">
        <v>21</v>
      </c>
      <c r="E3903" t="s">
        <v>81</v>
      </c>
      <c r="F3903">
        <v>5443</v>
      </c>
      <c r="G3903" t="s">
        <v>366</v>
      </c>
      <c r="H3903" t="s">
        <v>353</v>
      </c>
      <c r="I3903" t="s">
        <v>347</v>
      </c>
      <c r="J3903" t="s">
        <v>2984</v>
      </c>
    </row>
    <row r="3904" spans="1:10" x14ac:dyDescent="0.25">
      <c r="A3904" t="s">
        <v>2985</v>
      </c>
      <c r="B3904" t="s">
        <v>410</v>
      </c>
      <c r="C3904" s="22">
        <v>46183</v>
      </c>
      <c r="D3904" t="s">
        <v>22</v>
      </c>
      <c r="E3904" t="s">
        <v>81</v>
      </c>
      <c r="F3904">
        <v>5453</v>
      </c>
      <c r="G3904" t="s">
        <v>41</v>
      </c>
      <c r="H3904" t="s">
        <v>350</v>
      </c>
      <c r="I3904" t="s">
        <v>347</v>
      </c>
      <c r="J3904" t="s">
        <v>2986</v>
      </c>
    </row>
    <row r="3905" spans="1:10" x14ac:dyDescent="0.25">
      <c r="A3905" t="s">
        <v>2987</v>
      </c>
      <c r="B3905" t="s">
        <v>410</v>
      </c>
      <c r="C3905" s="22">
        <v>46183</v>
      </c>
      <c r="D3905" t="s">
        <v>22</v>
      </c>
      <c r="E3905" t="s">
        <v>81</v>
      </c>
      <c r="F3905">
        <v>5453</v>
      </c>
      <c r="G3905" t="s">
        <v>43</v>
      </c>
      <c r="H3905" t="s">
        <v>346</v>
      </c>
      <c r="I3905" t="s">
        <v>347</v>
      </c>
      <c r="J3905" t="s">
        <v>2988</v>
      </c>
    </row>
    <row r="3906" spans="1:10" x14ac:dyDescent="0.25">
      <c r="A3906" t="s">
        <v>2989</v>
      </c>
      <c r="B3906" t="s">
        <v>410</v>
      </c>
      <c r="C3906" s="22">
        <v>46183</v>
      </c>
      <c r="D3906" t="s">
        <v>22</v>
      </c>
      <c r="E3906" t="s">
        <v>81</v>
      </c>
      <c r="F3906">
        <v>5453</v>
      </c>
      <c r="G3906" t="s">
        <v>44</v>
      </c>
      <c r="H3906" t="s">
        <v>353</v>
      </c>
      <c r="I3906" t="s">
        <v>347</v>
      </c>
      <c r="J3906" t="s">
        <v>2990</v>
      </c>
    </row>
    <row r="3907" spans="1:10" x14ac:dyDescent="0.25">
      <c r="A3907" t="s">
        <v>2991</v>
      </c>
      <c r="B3907" t="s">
        <v>410</v>
      </c>
      <c r="C3907" s="22">
        <v>46183</v>
      </c>
      <c r="D3907" t="s">
        <v>22</v>
      </c>
      <c r="E3907" t="s">
        <v>81</v>
      </c>
      <c r="F3907">
        <v>5453</v>
      </c>
      <c r="G3907" t="s">
        <v>366</v>
      </c>
      <c r="H3907" t="s">
        <v>353</v>
      </c>
      <c r="I3907" t="s">
        <v>347</v>
      </c>
      <c r="J3907" t="s">
        <v>2992</v>
      </c>
    </row>
    <row r="3908" spans="1:10" x14ac:dyDescent="0.25">
      <c r="A3908" t="s">
        <v>2993</v>
      </c>
      <c r="B3908" t="s">
        <v>412</v>
      </c>
      <c r="C3908" s="22">
        <v>46183</v>
      </c>
      <c r="D3908" t="s">
        <v>22</v>
      </c>
      <c r="E3908" t="s">
        <v>81</v>
      </c>
      <c r="F3908">
        <v>5455</v>
      </c>
      <c r="G3908" t="s">
        <v>41</v>
      </c>
      <c r="H3908" t="s">
        <v>350</v>
      </c>
      <c r="I3908" t="s">
        <v>347</v>
      </c>
      <c r="J3908" t="s">
        <v>2994</v>
      </c>
    </row>
    <row r="3909" spans="1:10" x14ac:dyDescent="0.25">
      <c r="A3909" t="s">
        <v>2995</v>
      </c>
      <c r="B3909" t="s">
        <v>412</v>
      </c>
      <c r="C3909" s="22">
        <v>46183</v>
      </c>
      <c r="D3909" t="s">
        <v>22</v>
      </c>
      <c r="E3909" t="s">
        <v>81</v>
      </c>
      <c r="F3909">
        <v>5455</v>
      </c>
      <c r="G3909" t="s">
        <v>43</v>
      </c>
      <c r="H3909" t="s">
        <v>346</v>
      </c>
      <c r="I3909" t="s">
        <v>347</v>
      </c>
      <c r="J3909" t="s">
        <v>2996</v>
      </c>
    </row>
    <row r="3910" spans="1:10" x14ac:dyDescent="0.25">
      <c r="A3910" t="s">
        <v>2997</v>
      </c>
      <c r="B3910" t="s">
        <v>412</v>
      </c>
      <c r="C3910" s="22">
        <v>46183</v>
      </c>
      <c r="D3910" t="s">
        <v>22</v>
      </c>
      <c r="E3910" t="s">
        <v>81</v>
      </c>
      <c r="F3910">
        <v>5455</v>
      </c>
      <c r="G3910" t="s">
        <v>44</v>
      </c>
      <c r="H3910" t="s">
        <v>353</v>
      </c>
      <c r="I3910" t="s">
        <v>347</v>
      </c>
      <c r="J3910" t="s">
        <v>2998</v>
      </c>
    </row>
    <row r="3911" spans="1:10" x14ac:dyDescent="0.25">
      <c r="A3911" t="s">
        <v>2999</v>
      </c>
      <c r="B3911" t="s">
        <v>412</v>
      </c>
      <c r="C3911" s="22">
        <v>46183</v>
      </c>
      <c r="D3911" t="s">
        <v>22</v>
      </c>
      <c r="E3911" t="s">
        <v>81</v>
      </c>
      <c r="F3911">
        <v>5455</v>
      </c>
      <c r="G3911" t="s">
        <v>366</v>
      </c>
      <c r="H3911" t="s">
        <v>353</v>
      </c>
      <c r="I3911" t="s">
        <v>347</v>
      </c>
      <c r="J3911" t="s">
        <v>3000</v>
      </c>
    </row>
    <row r="3912" spans="1:10" x14ac:dyDescent="0.25">
      <c r="A3912" t="s">
        <v>3001</v>
      </c>
      <c r="B3912" t="s">
        <v>414</v>
      </c>
      <c r="C3912" s="22">
        <v>46183</v>
      </c>
      <c r="D3912" t="s">
        <v>21</v>
      </c>
      <c r="E3912" t="s">
        <v>81</v>
      </c>
      <c r="F3912">
        <v>5457</v>
      </c>
      <c r="G3912" t="s">
        <v>41</v>
      </c>
      <c r="H3912" t="s">
        <v>350</v>
      </c>
      <c r="I3912" t="s">
        <v>347</v>
      </c>
      <c r="J3912" t="s">
        <v>3002</v>
      </c>
    </row>
    <row r="3913" spans="1:10" x14ac:dyDescent="0.25">
      <c r="A3913" t="s">
        <v>3003</v>
      </c>
      <c r="B3913" t="s">
        <v>414</v>
      </c>
      <c r="C3913" s="22">
        <v>46183</v>
      </c>
      <c r="D3913" t="s">
        <v>21</v>
      </c>
      <c r="E3913" t="s">
        <v>81</v>
      </c>
      <c r="F3913">
        <v>5457</v>
      </c>
      <c r="G3913" t="s">
        <v>43</v>
      </c>
      <c r="H3913" t="s">
        <v>346</v>
      </c>
      <c r="I3913" t="s">
        <v>347</v>
      </c>
      <c r="J3913" t="s">
        <v>3004</v>
      </c>
    </row>
    <row r="3914" spans="1:10" x14ac:dyDescent="0.25">
      <c r="A3914" t="s">
        <v>3005</v>
      </c>
      <c r="B3914" t="s">
        <v>414</v>
      </c>
      <c r="C3914" s="22">
        <v>46183</v>
      </c>
      <c r="D3914" t="s">
        <v>21</v>
      </c>
      <c r="E3914" t="s">
        <v>81</v>
      </c>
      <c r="F3914">
        <v>5457</v>
      </c>
      <c r="G3914" t="s">
        <v>44</v>
      </c>
      <c r="H3914" t="s">
        <v>353</v>
      </c>
      <c r="I3914" t="s">
        <v>347</v>
      </c>
      <c r="J3914" t="s">
        <v>3006</v>
      </c>
    </row>
    <row r="3915" spans="1:10" x14ac:dyDescent="0.25">
      <c r="A3915" t="s">
        <v>3007</v>
      </c>
      <c r="B3915" t="s">
        <v>414</v>
      </c>
      <c r="C3915" s="22">
        <v>46183</v>
      </c>
      <c r="D3915" t="s">
        <v>21</v>
      </c>
      <c r="E3915" t="s">
        <v>81</v>
      </c>
      <c r="F3915">
        <v>5457</v>
      </c>
      <c r="G3915" t="s">
        <v>366</v>
      </c>
      <c r="H3915" t="s">
        <v>353</v>
      </c>
      <c r="I3915" t="s">
        <v>347</v>
      </c>
      <c r="J3915" t="s">
        <v>3008</v>
      </c>
    </row>
    <row r="3916" spans="1:10" x14ac:dyDescent="0.25">
      <c r="A3916" t="s">
        <v>3009</v>
      </c>
      <c r="B3916" t="s">
        <v>416</v>
      </c>
      <c r="C3916" s="22">
        <v>46183</v>
      </c>
      <c r="D3916" t="s">
        <v>22</v>
      </c>
      <c r="E3916" t="s">
        <v>81</v>
      </c>
      <c r="F3916">
        <v>5459</v>
      </c>
      <c r="G3916" t="s">
        <v>41</v>
      </c>
      <c r="H3916" t="s">
        <v>350</v>
      </c>
      <c r="I3916" t="s">
        <v>347</v>
      </c>
      <c r="J3916" t="s">
        <v>3010</v>
      </c>
    </row>
    <row r="3917" spans="1:10" x14ac:dyDescent="0.25">
      <c r="A3917" t="s">
        <v>3011</v>
      </c>
      <c r="B3917" t="s">
        <v>416</v>
      </c>
      <c r="C3917" s="22">
        <v>46183</v>
      </c>
      <c r="D3917" t="s">
        <v>22</v>
      </c>
      <c r="E3917" t="s">
        <v>81</v>
      </c>
      <c r="F3917">
        <v>5459</v>
      </c>
      <c r="G3917" t="s">
        <v>43</v>
      </c>
      <c r="H3917" t="s">
        <v>346</v>
      </c>
      <c r="I3917" t="s">
        <v>347</v>
      </c>
      <c r="J3917" t="s">
        <v>3012</v>
      </c>
    </row>
    <row r="3918" spans="1:10" x14ac:dyDescent="0.25">
      <c r="A3918" t="s">
        <v>3013</v>
      </c>
      <c r="B3918" t="s">
        <v>416</v>
      </c>
      <c r="C3918" s="22">
        <v>46183</v>
      </c>
      <c r="D3918" t="s">
        <v>22</v>
      </c>
      <c r="E3918" t="s">
        <v>81</v>
      </c>
      <c r="F3918">
        <v>5459</v>
      </c>
      <c r="G3918" t="s">
        <v>44</v>
      </c>
      <c r="H3918" t="s">
        <v>353</v>
      </c>
      <c r="I3918" t="s">
        <v>347</v>
      </c>
      <c r="J3918" t="s">
        <v>3014</v>
      </c>
    </row>
    <row r="3919" spans="1:10" x14ac:dyDescent="0.25">
      <c r="A3919" t="s">
        <v>3015</v>
      </c>
      <c r="B3919" t="s">
        <v>416</v>
      </c>
      <c r="C3919" s="22">
        <v>46183</v>
      </c>
      <c r="D3919" t="s">
        <v>22</v>
      </c>
      <c r="E3919" t="s">
        <v>81</v>
      </c>
      <c r="F3919">
        <v>5459</v>
      </c>
      <c r="G3919" t="s">
        <v>366</v>
      </c>
      <c r="H3919" t="s">
        <v>353</v>
      </c>
      <c r="I3919" t="s">
        <v>347</v>
      </c>
      <c r="J3919" t="s">
        <v>3016</v>
      </c>
    </row>
    <row r="3920" spans="1:10" x14ac:dyDescent="0.25">
      <c r="A3920" t="s">
        <v>3017</v>
      </c>
      <c r="B3920" t="s">
        <v>417</v>
      </c>
      <c r="C3920" s="22">
        <v>46183</v>
      </c>
      <c r="D3920" t="s">
        <v>22</v>
      </c>
      <c r="E3920" t="s">
        <v>81</v>
      </c>
      <c r="F3920">
        <v>5460</v>
      </c>
      <c r="G3920" t="s">
        <v>41</v>
      </c>
      <c r="H3920" t="s">
        <v>350</v>
      </c>
      <c r="I3920" t="s">
        <v>347</v>
      </c>
      <c r="J3920" t="s">
        <v>3010</v>
      </c>
    </row>
    <row r="3921" spans="1:10" x14ac:dyDescent="0.25">
      <c r="A3921" t="s">
        <v>3018</v>
      </c>
      <c r="B3921" t="s">
        <v>417</v>
      </c>
      <c r="C3921" s="22">
        <v>46183</v>
      </c>
      <c r="D3921" t="s">
        <v>22</v>
      </c>
      <c r="E3921" t="s">
        <v>81</v>
      </c>
      <c r="F3921">
        <v>5460</v>
      </c>
      <c r="G3921" t="s">
        <v>43</v>
      </c>
      <c r="H3921" t="s">
        <v>346</v>
      </c>
      <c r="I3921" t="s">
        <v>347</v>
      </c>
      <c r="J3921" t="s">
        <v>3012</v>
      </c>
    </row>
    <row r="3922" spans="1:10" x14ac:dyDescent="0.25">
      <c r="A3922" t="s">
        <v>3019</v>
      </c>
      <c r="B3922" t="s">
        <v>417</v>
      </c>
      <c r="C3922" s="22">
        <v>46183</v>
      </c>
      <c r="D3922" t="s">
        <v>22</v>
      </c>
      <c r="E3922" t="s">
        <v>81</v>
      </c>
      <c r="F3922">
        <v>5460</v>
      </c>
      <c r="G3922" t="s">
        <v>44</v>
      </c>
      <c r="H3922" t="s">
        <v>353</v>
      </c>
      <c r="I3922" t="s">
        <v>347</v>
      </c>
      <c r="J3922" t="s">
        <v>3014</v>
      </c>
    </row>
    <row r="3923" spans="1:10" x14ac:dyDescent="0.25">
      <c r="A3923" t="s">
        <v>3020</v>
      </c>
      <c r="B3923" t="s">
        <v>417</v>
      </c>
      <c r="C3923" s="22">
        <v>46183</v>
      </c>
      <c r="D3923" t="s">
        <v>22</v>
      </c>
      <c r="E3923" t="s">
        <v>81</v>
      </c>
      <c r="F3923">
        <v>5460</v>
      </c>
      <c r="G3923" t="s">
        <v>366</v>
      </c>
      <c r="H3923" t="s">
        <v>353</v>
      </c>
      <c r="I3923" t="s">
        <v>347</v>
      </c>
      <c r="J3923" t="s">
        <v>3016</v>
      </c>
    </row>
    <row r="3924" spans="1:10" x14ac:dyDescent="0.25">
      <c r="A3924" t="s">
        <v>3021</v>
      </c>
      <c r="B3924" t="s">
        <v>420</v>
      </c>
      <c r="C3924" s="22">
        <v>46183</v>
      </c>
      <c r="D3924" t="s">
        <v>22</v>
      </c>
      <c r="E3924" t="s">
        <v>81</v>
      </c>
      <c r="F3924">
        <v>5463</v>
      </c>
      <c r="G3924" t="s">
        <v>41</v>
      </c>
      <c r="H3924" t="s">
        <v>350</v>
      </c>
      <c r="I3924" t="s">
        <v>347</v>
      </c>
      <c r="J3924" t="s">
        <v>3022</v>
      </c>
    </row>
    <row r="3925" spans="1:10" x14ac:dyDescent="0.25">
      <c r="A3925" t="s">
        <v>3023</v>
      </c>
      <c r="B3925" t="s">
        <v>420</v>
      </c>
      <c r="C3925" s="22">
        <v>46183</v>
      </c>
      <c r="D3925" t="s">
        <v>22</v>
      </c>
      <c r="E3925" t="s">
        <v>81</v>
      </c>
      <c r="F3925">
        <v>5463</v>
      </c>
      <c r="G3925" t="s">
        <v>43</v>
      </c>
      <c r="H3925" t="s">
        <v>346</v>
      </c>
      <c r="I3925" t="s">
        <v>347</v>
      </c>
      <c r="J3925" t="s">
        <v>3024</v>
      </c>
    </row>
    <row r="3926" spans="1:10" x14ac:dyDescent="0.25">
      <c r="A3926" t="s">
        <v>3025</v>
      </c>
      <c r="B3926" t="s">
        <v>420</v>
      </c>
      <c r="C3926" s="22">
        <v>46183</v>
      </c>
      <c r="D3926" t="s">
        <v>22</v>
      </c>
      <c r="E3926" t="s">
        <v>81</v>
      </c>
      <c r="F3926">
        <v>5463</v>
      </c>
      <c r="G3926" t="s">
        <v>44</v>
      </c>
      <c r="H3926" t="s">
        <v>353</v>
      </c>
      <c r="I3926" t="s">
        <v>347</v>
      </c>
      <c r="J3926" t="s">
        <v>3026</v>
      </c>
    </row>
    <row r="3927" spans="1:10" x14ac:dyDescent="0.25">
      <c r="A3927" t="s">
        <v>3027</v>
      </c>
      <c r="B3927" t="s">
        <v>420</v>
      </c>
      <c r="C3927" s="22">
        <v>46183</v>
      </c>
      <c r="D3927" t="s">
        <v>22</v>
      </c>
      <c r="E3927" t="s">
        <v>81</v>
      </c>
      <c r="F3927">
        <v>5463</v>
      </c>
      <c r="G3927" t="s">
        <v>366</v>
      </c>
      <c r="H3927" t="s">
        <v>353</v>
      </c>
      <c r="I3927" t="s">
        <v>347</v>
      </c>
      <c r="J3927" t="s">
        <v>3028</v>
      </c>
    </row>
    <row r="3928" spans="1:10" x14ac:dyDescent="0.25">
      <c r="A3928" t="s">
        <v>3029</v>
      </c>
      <c r="B3928" t="s">
        <v>423</v>
      </c>
      <c r="C3928" s="22">
        <v>46183</v>
      </c>
      <c r="D3928" t="s">
        <v>22</v>
      </c>
      <c r="E3928" t="s">
        <v>81</v>
      </c>
      <c r="F3928">
        <v>5466</v>
      </c>
      <c r="G3928" t="s">
        <v>41</v>
      </c>
      <c r="H3928" t="s">
        <v>350</v>
      </c>
      <c r="I3928" t="s">
        <v>347</v>
      </c>
      <c r="J3928" t="s">
        <v>3022</v>
      </c>
    </row>
    <row r="3929" spans="1:10" x14ac:dyDescent="0.25">
      <c r="A3929" t="s">
        <v>3030</v>
      </c>
      <c r="B3929" t="s">
        <v>423</v>
      </c>
      <c r="C3929" s="22">
        <v>46183</v>
      </c>
      <c r="D3929" t="s">
        <v>22</v>
      </c>
      <c r="E3929" t="s">
        <v>81</v>
      </c>
      <c r="F3929">
        <v>5466</v>
      </c>
      <c r="G3929" t="s">
        <v>43</v>
      </c>
      <c r="H3929" t="s">
        <v>346</v>
      </c>
      <c r="I3929" t="s">
        <v>347</v>
      </c>
      <c r="J3929" t="s">
        <v>3024</v>
      </c>
    </row>
    <row r="3930" spans="1:10" x14ac:dyDescent="0.25">
      <c r="A3930" t="s">
        <v>3031</v>
      </c>
      <c r="B3930" t="s">
        <v>423</v>
      </c>
      <c r="C3930" s="22">
        <v>46183</v>
      </c>
      <c r="D3930" t="s">
        <v>22</v>
      </c>
      <c r="E3930" t="s">
        <v>81</v>
      </c>
      <c r="F3930">
        <v>5466</v>
      </c>
      <c r="G3930" t="s">
        <v>44</v>
      </c>
      <c r="H3930" t="s">
        <v>353</v>
      </c>
      <c r="I3930" t="s">
        <v>347</v>
      </c>
      <c r="J3930" t="s">
        <v>3026</v>
      </c>
    </row>
    <row r="3931" spans="1:10" x14ac:dyDescent="0.25">
      <c r="A3931" t="s">
        <v>3032</v>
      </c>
      <c r="B3931" t="s">
        <v>423</v>
      </c>
      <c r="C3931" s="22">
        <v>46183</v>
      </c>
      <c r="D3931" t="s">
        <v>22</v>
      </c>
      <c r="E3931" t="s">
        <v>81</v>
      </c>
      <c r="F3931">
        <v>5466</v>
      </c>
      <c r="G3931" t="s">
        <v>366</v>
      </c>
      <c r="H3931" t="s">
        <v>353</v>
      </c>
      <c r="I3931" t="s">
        <v>347</v>
      </c>
      <c r="J3931" t="s">
        <v>3028</v>
      </c>
    </row>
    <row r="3932" spans="1:10" x14ac:dyDescent="0.25">
      <c r="A3932" t="s">
        <v>3033</v>
      </c>
      <c r="B3932" t="s">
        <v>424</v>
      </c>
      <c r="C3932" s="22">
        <v>46183</v>
      </c>
      <c r="D3932" t="s">
        <v>22</v>
      </c>
      <c r="E3932" t="s">
        <v>81</v>
      </c>
      <c r="F3932">
        <v>5467</v>
      </c>
      <c r="G3932" t="s">
        <v>41</v>
      </c>
      <c r="H3932" t="s">
        <v>350</v>
      </c>
      <c r="I3932" t="s">
        <v>347</v>
      </c>
      <c r="J3932" t="s">
        <v>3022</v>
      </c>
    </row>
    <row r="3933" spans="1:10" x14ac:dyDescent="0.25">
      <c r="A3933" t="s">
        <v>3034</v>
      </c>
      <c r="B3933" t="s">
        <v>424</v>
      </c>
      <c r="C3933" s="22">
        <v>46183</v>
      </c>
      <c r="D3933" t="s">
        <v>22</v>
      </c>
      <c r="E3933" t="s">
        <v>81</v>
      </c>
      <c r="F3933">
        <v>5467</v>
      </c>
      <c r="G3933" t="s">
        <v>43</v>
      </c>
      <c r="H3933" t="s">
        <v>346</v>
      </c>
      <c r="I3933" t="s">
        <v>347</v>
      </c>
      <c r="J3933" t="s">
        <v>3024</v>
      </c>
    </row>
    <row r="3934" spans="1:10" x14ac:dyDescent="0.25">
      <c r="A3934" t="s">
        <v>3035</v>
      </c>
      <c r="B3934" t="s">
        <v>424</v>
      </c>
      <c r="C3934" s="22">
        <v>46183</v>
      </c>
      <c r="D3934" t="s">
        <v>22</v>
      </c>
      <c r="E3934" t="s">
        <v>81</v>
      </c>
      <c r="F3934">
        <v>5467</v>
      </c>
      <c r="G3934" t="s">
        <v>44</v>
      </c>
      <c r="H3934" t="s">
        <v>353</v>
      </c>
      <c r="I3934" t="s">
        <v>347</v>
      </c>
      <c r="J3934" t="s">
        <v>3026</v>
      </c>
    </row>
    <row r="3935" spans="1:10" x14ac:dyDescent="0.25">
      <c r="A3935" t="s">
        <v>3036</v>
      </c>
      <c r="B3935" t="s">
        <v>424</v>
      </c>
      <c r="C3935" s="22">
        <v>46183</v>
      </c>
      <c r="D3935" t="s">
        <v>22</v>
      </c>
      <c r="E3935" t="s">
        <v>81</v>
      </c>
      <c r="F3935">
        <v>5467</v>
      </c>
      <c r="G3935" t="s">
        <v>366</v>
      </c>
      <c r="H3935" t="s">
        <v>353</v>
      </c>
      <c r="I3935" t="s">
        <v>347</v>
      </c>
      <c r="J3935" t="s">
        <v>3028</v>
      </c>
    </row>
    <row r="3936" spans="1:10" x14ac:dyDescent="0.25">
      <c r="A3936" t="s">
        <v>3037</v>
      </c>
      <c r="B3936" t="s">
        <v>425</v>
      </c>
      <c r="C3936" s="22">
        <v>46183</v>
      </c>
      <c r="D3936" t="s">
        <v>22</v>
      </c>
      <c r="E3936" t="s">
        <v>81</v>
      </c>
      <c r="F3936">
        <v>5468</v>
      </c>
      <c r="G3936" t="s">
        <v>41</v>
      </c>
      <c r="H3936" t="s">
        <v>350</v>
      </c>
      <c r="I3936" t="s">
        <v>347</v>
      </c>
      <c r="J3936" t="s">
        <v>3038</v>
      </c>
    </row>
    <row r="3937" spans="1:10" x14ac:dyDescent="0.25">
      <c r="A3937" t="s">
        <v>3039</v>
      </c>
      <c r="B3937" t="s">
        <v>425</v>
      </c>
      <c r="C3937" s="22">
        <v>46183</v>
      </c>
      <c r="D3937" t="s">
        <v>22</v>
      </c>
      <c r="E3937" t="s">
        <v>81</v>
      </c>
      <c r="F3937">
        <v>5468</v>
      </c>
      <c r="G3937" t="s">
        <v>43</v>
      </c>
      <c r="H3937" t="s">
        <v>346</v>
      </c>
      <c r="I3937" t="s">
        <v>347</v>
      </c>
      <c r="J3937" t="s">
        <v>3040</v>
      </c>
    </row>
    <row r="3938" spans="1:10" x14ac:dyDescent="0.25">
      <c r="A3938" t="s">
        <v>3041</v>
      </c>
      <c r="B3938" t="s">
        <v>425</v>
      </c>
      <c r="C3938" s="22">
        <v>46183</v>
      </c>
      <c r="D3938" t="s">
        <v>22</v>
      </c>
      <c r="E3938" t="s">
        <v>81</v>
      </c>
      <c r="F3938">
        <v>5468</v>
      </c>
      <c r="G3938" t="s">
        <v>44</v>
      </c>
      <c r="H3938" t="s">
        <v>353</v>
      </c>
      <c r="I3938" t="s">
        <v>347</v>
      </c>
      <c r="J3938" t="s">
        <v>3042</v>
      </c>
    </row>
    <row r="3939" spans="1:10" x14ac:dyDescent="0.25">
      <c r="A3939" t="s">
        <v>3043</v>
      </c>
      <c r="B3939" t="s">
        <v>425</v>
      </c>
      <c r="C3939" s="22">
        <v>46183</v>
      </c>
      <c r="D3939" t="s">
        <v>22</v>
      </c>
      <c r="E3939" t="s">
        <v>81</v>
      </c>
      <c r="F3939">
        <v>5468</v>
      </c>
      <c r="G3939" t="s">
        <v>366</v>
      </c>
      <c r="H3939" t="s">
        <v>353</v>
      </c>
      <c r="I3939" t="s">
        <v>347</v>
      </c>
      <c r="J3939" t="s">
        <v>3044</v>
      </c>
    </row>
    <row r="3940" spans="1:10" x14ac:dyDescent="0.25">
      <c r="A3940" t="s">
        <v>3045</v>
      </c>
      <c r="B3940" t="s">
        <v>426</v>
      </c>
      <c r="C3940" s="22">
        <v>46183</v>
      </c>
      <c r="D3940" t="s">
        <v>22</v>
      </c>
      <c r="E3940" t="s">
        <v>81</v>
      </c>
      <c r="F3940">
        <v>5469</v>
      </c>
      <c r="G3940" t="s">
        <v>41</v>
      </c>
      <c r="H3940" t="s">
        <v>350</v>
      </c>
      <c r="I3940" t="s">
        <v>347</v>
      </c>
      <c r="J3940" t="s">
        <v>3038</v>
      </c>
    </row>
    <row r="3941" spans="1:10" x14ac:dyDescent="0.25">
      <c r="A3941" t="s">
        <v>3046</v>
      </c>
      <c r="B3941" t="s">
        <v>426</v>
      </c>
      <c r="C3941" s="22">
        <v>46183</v>
      </c>
      <c r="D3941" t="s">
        <v>22</v>
      </c>
      <c r="E3941" t="s">
        <v>81</v>
      </c>
      <c r="F3941">
        <v>5469</v>
      </c>
      <c r="G3941" t="s">
        <v>43</v>
      </c>
      <c r="H3941" t="s">
        <v>346</v>
      </c>
      <c r="I3941" t="s">
        <v>347</v>
      </c>
      <c r="J3941" t="s">
        <v>3040</v>
      </c>
    </row>
    <row r="3942" spans="1:10" x14ac:dyDescent="0.25">
      <c r="A3942" t="s">
        <v>3047</v>
      </c>
      <c r="B3942" t="s">
        <v>426</v>
      </c>
      <c r="C3942" s="22">
        <v>46183</v>
      </c>
      <c r="D3942" t="s">
        <v>22</v>
      </c>
      <c r="E3942" t="s">
        <v>81</v>
      </c>
      <c r="F3942">
        <v>5469</v>
      </c>
      <c r="G3942" t="s">
        <v>44</v>
      </c>
      <c r="H3942" t="s">
        <v>353</v>
      </c>
      <c r="I3942" t="s">
        <v>347</v>
      </c>
      <c r="J3942" t="s">
        <v>3042</v>
      </c>
    </row>
    <row r="3943" spans="1:10" x14ac:dyDescent="0.25">
      <c r="A3943" t="s">
        <v>3048</v>
      </c>
      <c r="B3943" t="s">
        <v>426</v>
      </c>
      <c r="C3943" s="22">
        <v>46183</v>
      </c>
      <c r="D3943" t="s">
        <v>22</v>
      </c>
      <c r="E3943" t="s">
        <v>81</v>
      </c>
      <c r="F3943">
        <v>5469</v>
      </c>
      <c r="G3943" t="s">
        <v>366</v>
      </c>
      <c r="H3943" t="s">
        <v>353</v>
      </c>
      <c r="I3943" t="s">
        <v>347</v>
      </c>
      <c r="J3943" t="s">
        <v>3044</v>
      </c>
    </row>
    <row r="3944" spans="1:10" x14ac:dyDescent="0.25">
      <c r="A3944" t="s">
        <v>3049</v>
      </c>
      <c r="B3944" t="s">
        <v>435</v>
      </c>
      <c r="C3944" s="22">
        <v>46183</v>
      </c>
      <c r="D3944" t="s">
        <v>22</v>
      </c>
      <c r="E3944" t="s">
        <v>81</v>
      </c>
      <c r="F3944">
        <v>5478</v>
      </c>
      <c r="G3944" t="s">
        <v>41</v>
      </c>
      <c r="H3944" t="s">
        <v>350</v>
      </c>
      <c r="I3944" t="s">
        <v>347</v>
      </c>
      <c r="J3944" t="s">
        <v>3050</v>
      </c>
    </row>
    <row r="3945" spans="1:10" x14ac:dyDescent="0.25">
      <c r="A3945" t="s">
        <v>3051</v>
      </c>
      <c r="B3945" t="s">
        <v>435</v>
      </c>
      <c r="C3945" s="22">
        <v>46183</v>
      </c>
      <c r="D3945" t="s">
        <v>22</v>
      </c>
      <c r="E3945" t="s">
        <v>81</v>
      </c>
      <c r="F3945">
        <v>5478</v>
      </c>
      <c r="G3945" t="s">
        <v>43</v>
      </c>
      <c r="H3945" t="s">
        <v>346</v>
      </c>
      <c r="I3945" t="s">
        <v>347</v>
      </c>
      <c r="J3945" t="s">
        <v>3052</v>
      </c>
    </row>
    <row r="3946" spans="1:10" x14ac:dyDescent="0.25">
      <c r="A3946" t="s">
        <v>3053</v>
      </c>
      <c r="B3946" t="s">
        <v>435</v>
      </c>
      <c r="C3946" s="22">
        <v>46183</v>
      </c>
      <c r="D3946" t="s">
        <v>22</v>
      </c>
      <c r="E3946" t="s">
        <v>81</v>
      </c>
      <c r="F3946">
        <v>5478</v>
      </c>
      <c r="G3946" t="s">
        <v>44</v>
      </c>
      <c r="H3946" t="s">
        <v>353</v>
      </c>
      <c r="I3946" t="s">
        <v>347</v>
      </c>
      <c r="J3946" t="s">
        <v>3054</v>
      </c>
    </row>
    <row r="3947" spans="1:10" x14ac:dyDescent="0.25">
      <c r="A3947" t="s">
        <v>3055</v>
      </c>
      <c r="B3947" t="s">
        <v>435</v>
      </c>
      <c r="C3947" s="22">
        <v>46183</v>
      </c>
      <c r="D3947" t="s">
        <v>22</v>
      </c>
      <c r="E3947" t="s">
        <v>81</v>
      </c>
      <c r="F3947">
        <v>5478</v>
      </c>
      <c r="G3947" t="s">
        <v>366</v>
      </c>
      <c r="H3947" t="s">
        <v>353</v>
      </c>
      <c r="I3947" t="s">
        <v>347</v>
      </c>
      <c r="J3947" t="s">
        <v>3056</v>
      </c>
    </row>
    <row r="3948" spans="1:10" x14ac:dyDescent="0.25">
      <c r="A3948" t="s">
        <v>3057</v>
      </c>
      <c r="B3948" t="s">
        <v>436</v>
      </c>
      <c r="C3948" s="22">
        <v>46183</v>
      </c>
      <c r="D3948" t="s">
        <v>22</v>
      </c>
      <c r="E3948" t="s">
        <v>81</v>
      </c>
      <c r="F3948">
        <v>5479</v>
      </c>
      <c r="G3948" t="s">
        <v>41</v>
      </c>
      <c r="H3948" t="s">
        <v>350</v>
      </c>
      <c r="I3948" t="s">
        <v>347</v>
      </c>
      <c r="J3948" t="s">
        <v>3058</v>
      </c>
    </row>
    <row r="3949" spans="1:10" x14ac:dyDescent="0.25">
      <c r="A3949" t="s">
        <v>3059</v>
      </c>
      <c r="B3949" t="s">
        <v>436</v>
      </c>
      <c r="C3949" s="22">
        <v>46183</v>
      </c>
      <c r="D3949" t="s">
        <v>22</v>
      </c>
      <c r="E3949" t="s">
        <v>81</v>
      </c>
      <c r="F3949">
        <v>5479</v>
      </c>
      <c r="G3949" t="s">
        <v>43</v>
      </c>
      <c r="H3949" t="s">
        <v>346</v>
      </c>
      <c r="I3949" t="s">
        <v>347</v>
      </c>
      <c r="J3949" t="s">
        <v>3060</v>
      </c>
    </row>
    <row r="3950" spans="1:10" x14ac:dyDescent="0.25">
      <c r="A3950" t="s">
        <v>3061</v>
      </c>
      <c r="B3950" t="s">
        <v>436</v>
      </c>
      <c r="C3950" s="22">
        <v>46183</v>
      </c>
      <c r="D3950" t="s">
        <v>22</v>
      </c>
      <c r="E3950" t="s">
        <v>81</v>
      </c>
      <c r="F3950">
        <v>5479</v>
      </c>
      <c r="G3950" t="s">
        <v>44</v>
      </c>
      <c r="H3950" t="s">
        <v>353</v>
      </c>
      <c r="I3950" t="s">
        <v>347</v>
      </c>
      <c r="J3950" t="s">
        <v>3062</v>
      </c>
    </row>
    <row r="3951" spans="1:10" x14ac:dyDescent="0.25">
      <c r="A3951" t="s">
        <v>3063</v>
      </c>
      <c r="B3951" t="s">
        <v>436</v>
      </c>
      <c r="C3951" s="22">
        <v>46183</v>
      </c>
      <c r="D3951" t="s">
        <v>22</v>
      </c>
      <c r="E3951" t="s">
        <v>81</v>
      </c>
      <c r="F3951">
        <v>5479</v>
      </c>
      <c r="G3951" t="s">
        <v>366</v>
      </c>
      <c r="H3951" t="s">
        <v>353</v>
      </c>
      <c r="I3951" t="s">
        <v>347</v>
      </c>
      <c r="J3951" t="s">
        <v>3064</v>
      </c>
    </row>
    <row r="3952" spans="1:10" x14ac:dyDescent="0.25">
      <c r="A3952" t="s">
        <v>3065</v>
      </c>
      <c r="B3952" t="s">
        <v>437</v>
      </c>
      <c r="C3952" s="22">
        <v>46183</v>
      </c>
      <c r="D3952" t="s">
        <v>21</v>
      </c>
      <c r="E3952" t="s">
        <v>81</v>
      </c>
      <c r="F3952">
        <v>5480</v>
      </c>
      <c r="G3952" t="s">
        <v>41</v>
      </c>
      <c r="H3952" t="s">
        <v>350</v>
      </c>
      <c r="I3952" t="s">
        <v>347</v>
      </c>
      <c r="J3952" t="s">
        <v>3058</v>
      </c>
    </row>
    <row r="3953" spans="1:10" x14ac:dyDescent="0.25">
      <c r="A3953" t="s">
        <v>3066</v>
      </c>
      <c r="B3953" t="s">
        <v>437</v>
      </c>
      <c r="C3953" s="22">
        <v>46183</v>
      </c>
      <c r="D3953" t="s">
        <v>21</v>
      </c>
      <c r="E3953" t="s">
        <v>81</v>
      </c>
      <c r="F3953">
        <v>5480</v>
      </c>
      <c r="G3953" t="s">
        <v>43</v>
      </c>
      <c r="H3953" t="s">
        <v>346</v>
      </c>
      <c r="I3953" t="s">
        <v>347</v>
      </c>
      <c r="J3953" t="s">
        <v>3060</v>
      </c>
    </row>
    <row r="3954" spans="1:10" x14ac:dyDescent="0.25">
      <c r="A3954" t="s">
        <v>3067</v>
      </c>
      <c r="B3954" t="s">
        <v>437</v>
      </c>
      <c r="C3954" s="22">
        <v>46183</v>
      </c>
      <c r="D3954" t="s">
        <v>21</v>
      </c>
      <c r="E3954" t="s">
        <v>81</v>
      </c>
      <c r="F3954">
        <v>5480</v>
      </c>
      <c r="G3954" t="s">
        <v>44</v>
      </c>
      <c r="H3954" t="s">
        <v>353</v>
      </c>
      <c r="I3954" t="s">
        <v>347</v>
      </c>
      <c r="J3954" t="s">
        <v>3062</v>
      </c>
    </row>
    <row r="3955" spans="1:10" x14ac:dyDescent="0.25">
      <c r="A3955" t="s">
        <v>3068</v>
      </c>
      <c r="B3955" t="s">
        <v>437</v>
      </c>
      <c r="C3955" s="22">
        <v>46183</v>
      </c>
      <c r="D3955" t="s">
        <v>21</v>
      </c>
      <c r="E3955" t="s">
        <v>81</v>
      </c>
      <c r="F3955">
        <v>5480</v>
      </c>
      <c r="G3955" t="s">
        <v>366</v>
      </c>
      <c r="H3955" t="s">
        <v>353</v>
      </c>
      <c r="I3955" t="s">
        <v>347</v>
      </c>
      <c r="J3955" t="s">
        <v>3064</v>
      </c>
    </row>
    <row r="3956" spans="1:10" x14ac:dyDescent="0.25">
      <c r="A3956" t="s">
        <v>3069</v>
      </c>
      <c r="B3956" t="s">
        <v>438</v>
      </c>
      <c r="C3956" s="22">
        <v>46183</v>
      </c>
      <c r="D3956" t="s">
        <v>22</v>
      </c>
      <c r="E3956" t="s">
        <v>81</v>
      </c>
      <c r="F3956">
        <v>5481</v>
      </c>
      <c r="G3956" t="s">
        <v>41</v>
      </c>
      <c r="H3956" t="s">
        <v>350</v>
      </c>
      <c r="I3956" t="s">
        <v>347</v>
      </c>
      <c r="J3956" t="s">
        <v>3070</v>
      </c>
    </row>
    <row r="3957" spans="1:10" x14ac:dyDescent="0.25">
      <c r="A3957" t="s">
        <v>3071</v>
      </c>
      <c r="B3957" t="s">
        <v>438</v>
      </c>
      <c r="C3957" s="22">
        <v>46183</v>
      </c>
      <c r="D3957" t="s">
        <v>22</v>
      </c>
      <c r="E3957" t="s">
        <v>81</v>
      </c>
      <c r="F3957">
        <v>5481</v>
      </c>
      <c r="G3957" t="s">
        <v>43</v>
      </c>
      <c r="H3957" t="s">
        <v>346</v>
      </c>
      <c r="I3957" t="s">
        <v>347</v>
      </c>
      <c r="J3957" t="s">
        <v>3072</v>
      </c>
    </row>
    <row r="3958" spans="1:10" x14ac:dyDescent="0.25">
      <c r="A3958" t="s">
        <v>3073</v>
      </c>
      <c r="B3958" t="s">
        <v>438</v>
      </c>
      <c r="C3958" s="22">
        <v>46183</v>
      </c>
      <c r="D3958" t="s">
        <v>22</v>
      </c>
      <c r="E3958" t="s">
        <v>81</v>
      </c>
      <c r="F3958">
        <v>5481</v>
      </c>
      <c r="G3958" t="s">
        <v>44</v>
      </c>
      <c r="H3958" t="s">
        <v>353</v>
      </c>
      <c r="I3958" t="s">
        <v>347</v>
      </c>
      <c r="J3958" t="s">
        <v>3074</v>
      </c>
    </row>
    <row r="3959" spans="1:10" x14ac:dyDescent="0.25">
      <c r="A3959" t="s">
        <v>3075</v>
      </c>
      <c r="B3959" t="s">
        <v>438</v>
      </c>
      <c r="C3959" s="22">
        <v>46183</v>
      </c>
      <c r="D3959" t="s">
        <v>22</v>
      </c>
      <c r="E3959" t="s">
        <v>81</v>
      </c>
      <c r="F3959">
        <v>5481</v>
      </c>
      <c r="G3959" t="s">
        <v>366</v>
      </c>
      <c r="H3959" t="s">
        <v>353</v>
      </c>
      <c r="I3959" t="s">
        <v>347</v>
      </c>
      <c r="J3959" t="s">
        <v>3076</v>
      </c>
    </row>
    <row r="3960" spans="1:10" x14ac:dyDescent="0.25">
      <c r="A3960" t="s">
        <v>3077</v>
      </c>
      <c r="B3960" t="s">
        <v>440</v>
      </c>
      <c r="C3960" s="22">
        <v>46183</v>
      </c>
      <c r="D3960" t="s">
        <v>22</v>
      </c>
      <c r="E3960" t="s">
        <v>81</v>
      </c>
      <c r="F3960">
        <v>5483</v>
      </c>
      <c r="G3960" t="s">
        <v>41</v>
      </c>
      <c r="H3960" t="s">
        <v>350</v>
      </c>
      <c r="I3960" t="s">
        <v>347</v>
      </c>
      <c r="J3960" t="s">
        <v>3070</v>
      </c>
    </row>
    <row r="3961" spans="1:10" x14ac:dyDescent="0.25">
      <c r="A3961" t="s">
        <v>3078</v>
      </c>
      <c r="B3961" t="s">
        <v>440</v>
      </c>
      <c r="C3961" s="22">
        <v>46183</v>
      </c>
      <c r="D3961" t="s">
        <v>22</v>
      </c>
      <c r="E3961" t="s">
        <v>81</v>
      </c>
      <c r="F3961">
        <v>5483</v>
      </c>
      <c r="G3961" t="s">
        <v>43</v>
      </c>
      <c r="H3961" t="s">
        <v>346</v>
      </c>
      <c r="I3961" t="s">
        <v>347</v>
      </c>
      <c r="J3961" t="s">
        <v>3072</v>
      </c>
    </row>
    <row r="3962" spans="1:10" x14ac:dyDescent="0.25">
      <c r="A3962" t="s">
        <v>3079</v>
      </c>
      <c r="B3962" t="s">
        <v>440</v>
      </c>
      <c r="C3962" s="22">
        <v>46183</v>
      </c>
      <c r="D3962" t="s">
        <v>22</v>
      </c>
      <c r="E3962" t="s">
        <v>81</v>
      </c>
      <c r="F3962">
        <v>5483</v>
      </c>
      <c r="G3962" t="s">
        <v>44</v>
      </c>
      <c r="H3962" t="s">
        <v>353</v>
      </c>
      <c r="I3962" t="s">
        <v>347</v>
      </c>
      <c r="J3962" t="s">
        <v>3074</v>
      </c>
    </row>
    <row r="3963" spans="1:10" x14ac:dyDescent="0.25">
      <c r="A3963" t="s">
        <v>3080</v>
      </c>
      <c r="B3963" t="s">
        <v>440</v>
      </c>
      <c r="C3963" s="22">
        <v>46183</v>
      </c>
      <c r="D3963" t="s">
        <v>22</v>
      </c>
      <c r="E3963" t="s">
        <v>81</v>
      </c>
      <c r="F3963">
        <v>5483</v>
      </c>
      <c r="G3963" t="s">
        <v>366</v>
      </c>
      <c r="H3963" t="s">
        <v>353</v>
      </c>
      <c r="I3963" t="s">
        <v>347</v>
      </c>
      <c r="J3963" t="s">
        <v>3076</v>
      </c>
    </row>
    <row r="3964" spans="1:10" x14ac:dyDescent="0.25">
      <c r="A3964" t="s">
        <v>3081</v>
      </c>
      <c r="B3964" t="s">
        <v>441</v>
      </c>
      <c r="C3964" s="22">
        <v>46183</v>
      </c>
      <c r="D3964" t="s">
        <v>22</v>
      </c>
      <c r="E3964" t="s">
        <v>81</v>
      </c>
      <c r="F3964">
        <v>5484</v>
      </c>
      <c r="G3964" t="s">
        <v>41</v>
      </c>
      <c r="H3964" t="s">
        <v>350</v>
      </c>
      <c r="I3964" t="s">
        <v>347</v>
      </c>
      <c r="J3964" t="s">
        <v>3082</v>
      </c>
    </row>
    <row r="3965" spans="1:10" x14ac:dyDescent="0.25">
      <c r="A3965" t="s">
        <v>3083</v>
      </c>
      <c r="B3965" t="s">
        <v>441</v>
      </c>
      <c r="C3965" s="22">
        <v>46183</v>
      </c>
      <c r="D3965" t="s">
        <v>22</v>
      </c>
      <c r="E3965" t="s">
        <v>81</v>
      </c>
      <c r="F3965">
        <v>5484</v>
      </c>
      <c r="G3965" t="s">
        <v>43</v>
      </c>
      <c r="H3965" t="s">
        <v>346</v>
      </c>
      <c r="I3965" t="s">
        <v>347</v>
      </c>
      <c r="J3965" t="s">
        <v>3084</v>
      </c>
    </row>
    <row r="3966" spans="1:10" x14ac:dyDescent="0.25">
      <c r="A3966" t="s">
        <v>3085</v>
      </c>
      <c r="B3966" t="s">
        <v>441</v>
      </c>
      <c r="C3966" s="22">
        <v>46183</v>
      </c>
      <c r="D3966" t="s">
        <v>22</v>
      </c>
      <c r="E3966" t="s">
        <v>81</v>
      </c>
      <c r="F3966">
        <v>5484</v>
      </c>
      <c r="G3966" t="s">
        <v>44</v>
      </c>
      <c r="H3966" t="s">
        <v>353</v>
      </c>
      <c r="I3966" t="s">
        <v>347</v>
      </c>
      <c r="J3966" t="s">
        <v>3086</v>
      </c>
    </row>
    <row r="3967" spans="1:10" x14ac:dyDescent="0.25">
      <c r="A3967" t="s">
        <v>3087</v>
      </c>
      <c r="B3967" t="s">
        <v>441</v>
      </c>
      <c r="C3967" s="22">
        <v>46183</v>
      </c>
      <c r="D3967" t="s">
        <v>22</v>
      </c>
      <c r="E3967" t="s">
        <v>81</v>
      </c>
      <c r="F3967">
        <v>5484</v>
      </c>
      <c r="G3967" t="s">
        <v>366</v>
      </c>
      <c r="H3967" t="s">
        <v>353</v>
      </c>
      <c r="I3967" t="s">
        <v>347</v>
      </c>
      <c r="J3967" t="s">
        <v>3088</v>
      </c>
    </row>
    <row r="3968" spans="1:10" x14ac:dyDescent="0.25">
      <c r="A3968" t="s">
        <v>3089</v>
      </c>
      <c r="B3968" t="s">
        <v>442</v>
      </c>
      <c r="C3968" s="22">
        <v>46183</v>
      </c>
      <c r="D3968" t="s">
        <v>22</v>
      </c>
      <c r="E3968" t="s">
        <v>81</v>
      </c>
      <c r="F3968">
        <v>5485</v>
      </c>
      <c r="G3968" t="s">
        <v>41</v>
      </c>
      <c r="H3968" t="s">
        <v>350</v>
      </c>
      <c r="I3968" t="s">
        <v>347</v>
      </c>
      <c r="J3968" t="s">
        <v>3090</v>
      </c>
    </row>
    <row r="3969" spans="1:10" x14ac:dyDescent="0.25">
      <c r="A3969" t="s">
        <v>3091</v>
      </c>
      <c r="B3969" t="s">
        <v>442</v>
      </c>
      <c r="C3969" s="22">
        <v>46183</v>
      </c>
      <c r="D3969" t="s">
        <v>22</v>
      </c>
      <c r="E3969" t="s">
        <v>81</v>
      </c>
      <c r="F3969">
        <v>5485</v>
      </c>
      <c r="G3969" t="s">
        <v>43</v>
      </c>
      <c r="H3969" t="s">
        <v>346</v>
      </c>
      <c r="I3969" t="s">
        <v>347</v>
      </c>
      <c r="J3969" t="s">
        <v>3092</v>
      </c>
    </row>
    <row r="3970" spans="1:10" x14ac:dyDescent="0.25">
      <c r="A3970" t="s">
        <v>3093</v>
      </c>
      <c r="B3970" t="s">
        <v>442</v>
      </c>
      <c r="C3970" s="22">
        <v>46183</v>
      </c>
      <c r="D3970" t="s">
        <v>22</v>
      </c>
      <c r="E3970" t="s">
        <v>81</v>
      </c>
      <c r="F3970">
        <v>5485</v>
      </c>
      <c r="G3970" t="s">
        <v>44</v>
      </c>
      <c r="H3970" t="s">
        <v>353</v>
      </c>
      <c r="I3970" t="s">
        <v>347</v>
      </c>
      <c r="J3970" t="s">
        <v>3094</v>
      </c>
    </row>
    <row r="3971" spans="1:10" x14ac:dyDescent="0.25">
      <c r="A3971" t="s">
        <v>3095</v>
      </c>
      <c r="B3971" t="s">
        <v>442</v>
      </c>
      <c r="C3971" s="22">
        <v>46183</v>
      </c>
      <c r="D3971" t="s">
        <v>22</v>
      </c>
      <c r="E3971" t="s">
        <v>81</v>
      </c>
      <c r="F3971">
        <v>5485</v>
      </c>
      <c r="G3971" t="s">
        <v>366</v>
      </c>
      <c r="H3971" t="s">
        <v>353</v>
      </c>
      <c r="I3971" t="s">
        <v>347</v>
      </c>
      <c r="J3971" t="s">
        <v>3096</v>
      </c>
    </row>
    <row r="3972" spans="1:10" x14ac:dyDescent="0.25">
      <c r="A3972" t="s">
        <v>3097</v>
      </c>
      <c r="B3972" t="s">
        <v>443</v>
      </c>
      <c r="C3972" s="22">
        <v>46183</v>
      </c>
      <c r="D3972" t="s">
        <v>22</v>
      </c>
      <c r="E3972" t="s">
        <v>81</v>
      </c>
      <c r="F3972">
        <v>5486</v>
      </c>
      <c r="G3972" t="s">
        <v>41</v>
      </c>
      <c r="H3972" t="s">
        <v>350</v>
      </c>
      <c r="I3972" t="s">
        <v>347</v>
      </c>
      <c r="J3972" t="s">
        <v>3090</v>
      </c>
    </row>
    <row r="3973" spans="1:10" x14ac:dyDescent="0.25">
      <c r="A3973" t="s">
        <v>3098</v>
      </c>
      <c r="B3973" t="s">
        <v>443</v>
      </c>
      <c r="C3973" s="22">
        <v>46183</v>
      </c>
      <c r="D3973" t="s">
        <v>22</v>
      </c>
      <c r="E3973" t="s">
        <v>81</v>
      </c>
      <c r="F3973">
        <v>5486</v>
      </c>
      <c r="G3973" t="s">
        <v>43</v>
      </c>
      <c r="H3973" t="s">
        <v>346</v>
      </c>
      <c r="I3973" t="s">
        <v>347</v>
      </c>
      <c r="J3973" t="s">
        <v>3092</v>
      </c>
    </row>
    <row r="3974" spans="1:10" x14ac:dyDescent="0.25">
      <c r="A3974" t="s">
        <v>3099</v>
      </c>
      <c r="B3974" t="s">
        <v>443</v>
      </c>
      <c r="C3974" s="22">
        <v>46183</v>
      </c>
      <c r="D3974" t="s">
        <v>22</v>
      </c>
      <c r="E3974" t="s">
        <v>81</v>
      </c>
      <c r="F3974">
        <v>5486</v>
      </c>
      <c r="G3974" t="s">
        <v>44</v>
      </c>
      <c r="H3974" t="s">
        <v>353</v>
      </c>
      <c r="I3974" t="s">
        <v>347</v>
      </c>
      <c r="J3974" t="s">
        <v>3094</v>
      </c>
    </row>
    <row r="3975" spans="1:10" x14ac:dyDescent="0.25">
      <c r="A3975" t="s">
        <v>3100</v>
      </c>
      <c r="B3975" t="s">
        <v>443</v>
      </c>
      <c r="C3975" s="22">
        <v>46183</v>
      </c>
      <c r="D3975" t="s">
        <v>22</v>
      </c>
      <c r="E3975" t="s">
        <v>81</v>
      </c>
      <c r="F3975">
        <v>5486</v>
      </c>
      <c r="G3975" t="s">
        <v>366</v>
      </c>
      <c r="H3975" t="s">
        <v>353</v>
      </c>
      <c r="I3975" t="s">
        <v>347</v>
      </c>
      <c r="J3975" t="s">
        <v>3096</v>
      </c>
    </row>
    <row r="3976" spans="1:10" x14ac:dyDescent="0.25">
      <c r="A3976" t="s">
        <v>3101</v>
      </c>
      <c r="B3976" t="s">
        <v>444</v>
      </c>
      <c r="C3976" s="22">
        <v>46183</v>
      </c>
      <c r="D3976" t="s">
        <v>22</v>
      </c>
      <c r="E3976" t="s">
        <v>81</v>
      </c>
      <c r="F3976">
        <v>5487</v>
      </c>
      <c r="G3976" t="s">
        <v>41</v>
      </c>
      <c r="H3976" t="s">
        <v>350</v>
      </c>
      <c r="I3976" t="s">
        <v>347</v>
      </c>
      <c r="J3976" t="s">
        <v>3090</v>
      </c>
    </row>
    <row r="3977" spans="1:10" x14ac:dyDescent="0.25">
      <c r="A3977" t="s">
        <v>3102</v>
      </c>
      <c r="B3977" t="s">
        <v>444</v>
      </c>
      <c r="C3977" s="22">
        <v>46183</v>
      </c>
      <c r="D3977" t="s">
        <v>22</v>
      </c>
      <c r="E3977" t="s">
        <v>81</v>
      </c>
      <c r="F3977">
        <v>5487</v>
      </c>
      <c r="G3977" t="s">
        <v>43</v>
      </c>
      <c r="H3977" t="s">
        <v>346</v>
      </c>
      <c r="I3977" t="s">
        <v>347</v>
      </c>
      <c r="J3977" t="s">
        <v>3092</v>
      </c>
    </row>
    <row r="3978" spans="1:10" x14ac:dyDescent="0.25">
      <c r="A3978" t="s">
        <v>3103</v>
      </c>
      <c r="B3978" t="s">
        <v>444</v>
      </c>
      <c r="C3978" s="22">
        <v>46183</v>
      </c>
      <c r="D3978" t="s">
        <v>22</v>
      </c>
      <c r="E3978" t="s">
        <v>81</v>
      </c>
      <c r="F3978">
        <v>5487</v>
      </c>
      <c r="G3978" t="s">
        <v>44</v>
      </c>
      <c r="H3978" t="s">
        <v>353</v>
      </c>
      <c r="I3978" t="s">
        <v>347</v>
      </c>
      <c r="J3978" t="s">
        <v>3094</v>
      </c>
    </row>
    <row r="3979" spans="1:10" x14ac:dyDescent="0.25">
      <c r="A3979" t="s">
        <v>3104</v>
      </c>
      <c r="B3979" t="s">
        <v>444</v>
      </c>
      <c r="C3979" s="22">
        <v>46183</v>
      </c>
      <c r="D3979" t="s">
        <v>22</v>
      </c>
      <c r="E3979" t="s">
        <v>81</v>
      </c>
      <c r="F3979">
        <v>5487</v>
      </c>
      <c r="G3979" t="s">
        <v>366</v>
      </c>
      <c r="H3979" t="s">
        <v>353</v>
      </c>
      <c r="I3979" t="s">
        <v>347</v>
      </c>
      <c r="J3979" t="s">
        <v>3096</v>
      </c>
    </row>
    <row r="3980" spans="1:10" x14ac:dyDescent="0.25">
      <c r="A3980" t="s">
        <v>3105</v>
      </c>
      <c r="B3980" t="s">
        <v>445</v>
      </c>
      <c r="C3980" s="22">
        <v>46183</v>
      </c>
      <c r="D3980" t="s">
        <v>22</v>
      </c>
      <c r="E3980" t="s">
        <v>81</v>
      </c>
      <c r="F3980">
        <v>5488</v>
      </c>
      <c r="G3980" t="s">
        <v>41</v>
      </c>
      <c r="H3980" t="s">
        <v>350</v>
      </c>
      <c r="I3980" t="s">
        <v>347</v>
      </c>
      <c r="J3980" t="s">
        <v>3106</v>
      </c>
    </row>
    <row r="3981" spans="1:10" x14ac:dyDescent="0.25">
      <c r="A3981" t="s">
        <v>3107</v>
      </c>
      <c r="B3981" t="s">
        <v>445</v>
      </c>
      <c r="C3981" s="22">
        <v>46183</v>
      </c>
      <c r="D3981" t="s">
        <v>22</v>
      </c>
      <c r="E3981" t="s">
        <v>81</v>
      </c>
      <c r="F3981">
        <v>5488</v>
      </c>
      <c r="G3981" t="s">
        <v>43</v>
      </c>
      <c r="H3981" t="s">
        <v>346</v>
      </c>
      <c r="I3981" t="s">
        <v>347</v>
      </c>
      <c r="J3981" t="s">
        <v>3108</v>
      </c>
    </row>
    <row r="3982" spans="1:10" x14ac:dyDescent="0.25">
      <c r="A3982" t="s">
        <v>3109</v>
      </c>
      <c r="B3982" t="s">
        <v>445</v>
      </c>
      <c r="C3982" s="22">
        <v>46183</v>
      </c>
      <c r="D3982" t="s">
        <v>22</v>
      </c>
      <c r="E3982" t="s">
        <v>81</v>
      </c>
      <c r="F3982">
        <v>5488</v>
      </c>
      <c r="G3982" t="s">
        <v>44</v>
      </c>
      <c r="H3982" t="s">
        <v>353</v>
      </c>
      <c r="I3982" t="s">
        <v>347</v>
      </c>
      <c r="J3982" t="s">
        <v>3110</v>
      </c>
    </row>
    <row r="3983" spans="1:10" x14ac:dyDescent="0.25">
      <c r="A3983" t="s">
        <v>3111</v>
      </c>
      <c r="B3983" t="s">
        <v>445</v>
      </c>
      <c r="C3983" s="22">
        <v>46183</v>
      </c>
      <c r="D3983" t="s">
        <v>22</v>
      </c>
      <c r="E3983" t="s">
        <v>81</v>
      </c>
      <c r="F3983">
        <v>5488</v>
      </c>
      <c r="G3983" t="s">
        <v>366</v>
      </c>
      <c r="H3983" t="s">
        <v>353</v>
      </c>
      <c r="I3983" t="s">
        <v>347</v>
      </c>
      <c r="J3983" t="s">
        <v>3112</v>
      </c>
    </row>
    <row r="3984" spans="1:10" x14ac:dyDescent="0.25">
      <c r="A3984" t="s">
        <v>3113</v>
      </c>
      <c r="B3984" t="s">
        <v>452</v>
      </c>
      <c r="C3984" s="22">
        <v>46183</v>
      </c>
      <c r="D3984" t="s">
        <v>21</v>
      </c>
      <c r="E3984" t="s">
        <v>81</v>
      </c>
      <c r="F3984">
        <v>5494</v>
      </c>
      <c r="G3984" t="s">
        <v>41</v>
      </c>
      <c r="H3984" t="s">
        <v>350</v>
      </c>
      <c r="I3984" t="s">
        <v>347</v>
      </c>
      <c r="J3984" t="s">
        <v>3114</v>
      </c>
    </row>
    <row r="3985" spans="1:10" x14ac:dyDescent="0.25">
      <c r="A3985" t="s">
        <v>3115</v>
      </c>
      <c r="B3985" t="s">
        <v>452</v>
      </c>
      <c r="C3985" s="22">
        <v>46183</v>
      </c>
      <c r="D3985" t="s">
        <v>21</v>
      </c>
      <c r="E3985" t="s">
        <v>81</v>
      </c>
      <c r="F3985">
        <v>5494</v>
      </c>
      <c r="G3985" t="s">
        <v>43</v>
      </c>
      <c r="H3985" t="s">
        <v>346</v>
      </c>
      <c r="I3985" t="s">
        <v>347</v>
      </c>
      <c r="J3985" t="s">
        <v>3116</v>
      </c>
    </row>
    <row r="3986" spans="1:10" x14ac:dyDescent="0.25">
      <c r="A3986" t="s">
        <v>3117</v>
      </c>
      <c r="B3986" t="s">
        <v>452</v>
      </c>
      <c r="C3986" s="22">
        <v>46183</v>
      </c>
      <c r="D3986" t="s">
        <v>21</v>
      </c>
      <c r="E3986" t="s">
        <v>81</v>
      </c>
      <c r="F3986">
        <v>5494</v>
      </c>
      <c r="G3986" t="s">
        <v>44</v>
      </c>
      <c r="H3986" t="s">
        <v>353</v>
      </c>
      <c r="I3986" t="s">
        <v>347</v>
      </c>
      <c r="J3986" t="s">
        <v>3118</v>
      </c>
    </row>
    <row r="3987" spans="1:10" x14ac:dyDescent="0.25">
      <c r="A3987" t="s">
        <v>3119</v>
      </c>
      <c r="B3987" t="s">
        <v>452</v>
      </c>
      <c r="C3987" s="22">
        <v>46183</v>
      </c>
      <c r="D3987" t="s">
        <v>21</v>
      </c>
      <c r="E3987" t="s">
        <v>81</v>
      </c>
      <c r="F3987">
        <v>5494</v>
      </c>
      <c r="G3987" t="s">
        <v>366</v>
      </c>
      <c r="H3987" t="s">
        <v>353</v>
      </c>
      <c r="I3987" t="s">
        <v>347</v>
      </c>
      <c r="J3987" t="s">
        <v>3120</v>
      </c>
    </row>
    <row r="3988" spans="1:10" x14ac:dyDescent="0.25">
      <c r="A3988" t="s">
        <v>3121</v>
      </c>
      <c r="B3988" t="s">
        <v>453</v>
      </c>
      <c r="C3988" s="22">
        <v>46183</v>
      </c>
      <c r="D3988" t="s">
        <v>21</v>
      </c>
      <c r="E3988" t="s">
        <v>81</v>
      </c>
      <c r="F3988">
        <v>5495</v>
      </c>
      <c r="G3988" t="s">
        <v>41</v>
      </c>
      <c r="H3988" t="s">
        <v>350</v>
      </c>
      <c r="I3988" t="s">
        <v>347</v>
      </c>
      <c r="J3988" t="s">
        <v>3122</v>
      </c>
    </row>
    <row r="3989" spans="1:10" x14ac:dyDescent="0.25">
      <c r="A3989" t="s">
        <v>3123</v>
      </c>
      <c r="B3989" t="s">
        <v>453</v>
      </c>
      <c r="C3989" s="22">
        <v>46183</v>
      </c>
      <c r="D3989" t="s">
        <v>21</v>
      </c>
      <c r="E3989" t="s">
        <v>81</v>
      </c>
      <c r="F3989">
        <v>5495</v>
      </c>
      <c r="G3989" t="s">
        <v>43</v>
      </c>
      <c r="H3989" t="s">
        <v>346</v>
      </c>
      <c r="I3989" t="s">
        <v>347</v>
      </c>
      <c r="J3989" t="s">
        <v>3124</v>
      </c>
    </row>
    <row r="3990" spans="1:10" x14ac:dyDescent="0.25">
      <c r="A3990" t="s">
        <v>3125</v>
      </c>
      <c r="B3990" t="s">
        <v>453</v>
      </c>
      <c r="C3990" s="22">
        <v>46183</v>
      </c>
      <c r="D3990" t="s">
        <v>21</v>
      </c>
      <c r="E3990" t="s">
        <v>81</v>
      </c>
      <c r="F3990">
        <v>5495</v>
      </c>
      <c r="G3990" t="s">
        <v>44</v>
      </c>
      <c r="H3990" t="s">
        <v>353</v>
      </c>
      <c r="I3990" t="s">
        <v>347</v>
      </c>
      <c r="J3990" t="s">
        <v>3126</v>
      </c>
    </row>
    <row r="3991" spans="1:10" x14ac:dyDescent="0.25">
      <c r="A3991" t="s">
        <v>3127</v>
      </c>
      <c r="B3991" t="s">
        <v>453</v>
      </c>
      <c r="C3991" s="22">
        <v>46183</v>
      </c>
      <c r="D3991" t="s">
        <v>21</v>
      </c>
      <c r="E3991" t="s">
        <v>81</v>
      </c>
      <c r="F3991">
        <v>5495</v>
      </c>
      <c r="G3991" t="s">
        <v>366</v>
      </c>
      <c r="H3991" t="s">
        <v>353</v>
      </c>
      <c r="I3991" t="s">
        <v>347</v>
      </c>
      <c r="J3991" t="s">
        <v>3128</v>
      </c>
    </row>
    <row r="3992" spans="1:10" x14ac:dyDescent="0.25">
      <c r="A3992" t="s">
        <v>3129</v>
      </c>
      <c r="B3992" t="s">
        <v>455</v>
      </c>
      <c r="C3992" s="22">
        <v>46183</v>
      </c>
      <c r="D3992" t="s">
        <v>22</v>
      </c>
      <c r="E3992" t="s">
        <v>81</v>
      </c>
      <c r="F3992">
        <v>5497</v>
      </c>
      <c r="G3992" t="s">
        <v>41</v>
      </c>
      <c r="H3992" t="s">
        <v>350</v>
      </c>
      <c r="I3992" t="s">
        <v>347</v>
      </c>
      <c r="J3992" t="s">
        <v>3122</v>
      </c>
    </row>
    <row r="3993" spans="1:10" x14ac:dyDescent="0.25">
      <c r="A3993" t="s">
        <v>3130</v>
      </c>
      <c r="B3993" t="s">
        <v>455</v>
      </c>
      <c r="C3993" s="22">
        <v>46183</v>
      </c>
      <c r="D3993" t="s">
        <v>22</v>
      </c>
      <c r="E3993" t="s">
        <v>81</v>
      </c>
      <c r="F3993">
        <v>5497</v>
      </c>
      <c r="G3993" t="s">
        <v>43</v>
      </c>
      <c r="H3993" t="s">
        <v>346</v>
      </c>
      <c r="I3993" t="s">
        <v>347</v>
      </c>
      <c r="J3993" t="s">
        <v>3124</v>
      </c>
    </row>
    <row r="3994" spans="1:10" x14ac:dyDescent="0.25">
      <c r="A3994" t="s">
        <v>3131</v>
      </c>
      <c r="B3994" t="s">
        <v>455</v>
      </c>
      <c r="C3994" s="22">
        <v>46183</v>
      </c>
      <c r="D3994" t="s">
        <v>22</v>
      </c>
      <c r="E3994" t="s">
        <v>81</v>
      </c>
      <c r="F3994">
        <v>5497</v>
      </c>
      <c r="G3994" t="s">
        <v>44</v>
      </c>
      <c r="H3994" t="s">
        <v>353</v>
      </c>
      <c r="I3994" t="s">
        <v>347</v>
      </c>
      <c r="J3994" t="s">
        <v>3126</v>
      </c>
    </row>
    <row r="3995" spans="1:10" x14ac:dyDescent="0.25">
      <c r="A3995" t="s">
        <v>3132</v>
      </c>
      <c r="B3995" t="s">
        <v>455</v>
      </c>
      <c r="C3995" s="22">
        <v>46183</v>
      </c>
      <c r="D3995" t="s">
        <v>22</v>
      </c>
      <c r="E3995" t="s">
        <v>81</v>
      </c>
      <c r="F3995">
        <v>5497</v>
      </c>
      <c r="G3995" t="s">
        <v>366</v>
      </c>
      <c r="H3995" t="s">
        <v>353</v>
      </c>
      <c r="I3995" t="s">
        <v>347</v>
      </c>
      <c r="J3995" t="s">
        <v>3128</v>
      </c>
    </row>
    <row r="3996" spans="1:10" x14ac:dyDescent="0.25">
      <c r="A3996" t="s">
        <v>3133</v>
      </c>
      <c r="B3996" t="s">
        <v>456</v>
      </c>
      <c r="C3996" s="22">
        <v>46183</v>
      </c>
      <c r="D3996" t="s">
        <v>22</v>
      </c>
      <c r="E3996" t="s">
        <v>81</v>
      </c>
      <c r="F3996">
        <v>5498</v>
      </c>
      <c r="G3996" t="s">
        <v>41</v>
      </c>
      <c r="H3996" t="s">
        <v>350</v>
      </c>
      <c r="I3996" t="s">
        <v>347</v>
      </c>
      <c r="J3996" t="s">
        <v>3134</v>
      </c>
    </row>
    <row r="3997" spans="1:10" x14ac:dyDescent="0.25">
      <c r="A3997" t="s">
        <v>3135</v>
      </c>
      <c r="B3997" t="s">
        <v>456</v>
      </c>
      <c r="C3997" s="22">
        <v>46183</v>
      </c>
      <c r="D3997" t="s">
        <v>22</v>
      </c>
      <c r="E3997" t="s">
        <v>81</v>
      </c>
      <c r="F3997">
        <v>5498</v>
      </c>
      <c r="G3997" t="s">
        <v>43</v>
      </c>
      <c r="H3997" t="s">
        <v>346</v>
      </c>
      <c r="I3997" t="s">
        <v>347</v>
      </c>
      <c r="J3997" t="s">
        <v>3136</v>
      </c>
    </row>
    <row r="3998" spans="1:10" x14ac:dyDescent="0.25">
      <c r="A3998" t="s">
        <v>3137</v>
      </c>
      <c r="B3998" t="s">
        <v>456</v>
      </c>
      <c r="C3998" s="22">
        <v>46183</v>
      </c>
      <c r="D3998" t="s">
        <v>22</v>
      </c>
      <c r="E3998" t="s">
        <v>81</v>
      </c>
      <c r="F3998">
        <v>5498</v>
      </c>
      <c r="G3998" t="s">
        <v>44</v>
      </c>
      <c r="H3998" t="s">
        <v>353</v>
      </c>
      <c r="I3998" t="s">
        <v>347</v>
      </c>
      <c r="J3998" t="s">
        <v>3138</v>
      </c>
    </row>
    <row r="3999" spans="1:10" x14ac:dyDescent="0.25">
      <c r="A3999" t="s">
        <v>3139</v>
      </c>
      <c r="B3999" t="s">
        <v>456</v>
      </c>
      <c r="C3999" s="22">
        <v>46183</v>
      </c>
      <c r="D3999" t="s">
        <v>22</v>
      </c>
      <c r="E3999" t="s">
        <v>81</v>
      </c>
      <c r="F3999">
        <v>5498</v>
      </c>
      <c r="G3999" t="s">
        <v>366</v>
      </c>
      <c r="H3999" t="s">
        <v>353</v>
      </c>
      <c r="I3999" t="s">
        <v>347</v>
      </c>
      <c r="J3999" t="s">
        <v>3140</v>
      </c>
    </row>
    <row r="4000" spans="1:10" x14ac:dyDescent="0.25">
      <c r="A4000" t="s">
        <v>3141</v>
      </c>
      <c r="B4000" t="s">
        <v>457</v>
      </c>
      <c r="C4000" s="22">
        <v>46183</v>
      </c>
      <c r="D4000" t="s">
        <v>22</v>
      </c>
      <c r="E4000" t="s">
        <v>81</v>
      </c>
      <c r="F4000">
        <v>5499</v>
      </c>
      <c r="G4000" t="s">
        <v>41</v>
      </c>
      <c r="H4000" t="s">
        <v>350</v>
      </c>
      <c r="I4000" t="s">
        <v>347</v>
      </c>
      <c r="J4000" t="s">
        <v>3142</v>
      </c>
    </row>
    <row r="4001" spans="1:10" x14ac:dyDescent="0.25">
      <c r="A4001" t="s">
        <v>3143</v>
      </c>
      <c r="B4001" t="s">
        <v>457</v>
      </c>
      <c r="C4001" s="22">
        <v>46183</v>
      </c>
      <c r="D4001" t="s">
        <v>22</v>
      </c>
      <c r="E4001" t="s">
        <v>81</v>
      </c>
      <c r="F4001">
        <v>5499</v>
      </c>
      <c r="G4001" t="s">
        <v>43</v>
      </c>
      <c r="H4001" t="s">
        <v>346</v>
      </c>
      <c r="I4001" t="s">
        <v>347</v>
      </c>
      <c r="J4001" t="s">
        <v>3144</v>
      </c>
    </row>
    <row r="4002" spans="1:10" x14ac:dyDescent="0.25">
      <c r="A4002" t="s">
        <v>3145</v>
      </c>
      <c r="B4002" t="s">
        <v>457</v>
      </c>
      <c r="C4002" s="22">
        <v>46183</v>
      </c>
      <c r="D4002" t="s">
        <v>22</v>
      </c>
      <c r="E4002" t="s">
        <v>81</v>
      </c>
      <c r="F4002">
        <v>5499</v>
      </c>
      <c r="G4002" t="s">
        <v>44</v>
      </c>
      <c r="H4002" t="s">
        <v>353</v>
      </c>
      <c r="I4002" t="s">
        <v>347</v>
      </c>
      <c r="J4002" t="s">
        <v>3146</v>
      </c>
    </row>
    <row r="4003" spans="1:10" x14ac:dyDescent="0.25">
      <c r="A4003" t="s">
        <v>3147</v>
      </c>
      <c r="B4003" t="s">
        <v>457</v>
      </c>
      <c r="C4003" s="22">
        <v>46183</v>
      </c>
      <c r="D4003" t="s">
        <v>22</v>
      </c>
      <c r="E4003" t="s">
        <v>81</v>
      </c>
      <c r="F4003">
        <v>5499</v>
      </c>
      <c r="G4003" t="s">
        <v>366</v>
      </c>
      <c r="H4003" t="s">
        <v>353</v>
      </c>
      <c r="I4003" t="s">
        <v>347</v>
      </c>
      <c r="J4003" t="s">
        <v>3148</v>
      </c>
    </row>
    <row r="4004" spans="1:10" x14ac:dyDescent="0.25">
      <c r="A4004" t="s">
        <v>3149</v>
      </c>
      <c r="B4004" t="s">
        <v>458</v>
      </c>
      <c r="C4004" s="22">
        <v>46183</v>
      </c>
      <c r="D4004" t="s">
        <v>22</v>
      </c>
      <c r="E4004" t="s">
        <v>81</v>
      </c>
      <c r="F4004">
        <v>5500</v>
      </c>
      <c r="G4004" t="s">
        <v>41</v>
      </c>
      <c r="H4004" t="s">
        <v>350</v>
      </c>
      <c r="I4004" t="s">
        <v>347</v>
      </c>
      <c r="J4004" t="s">
        <v>3150</v>
      </c>
    </row>
    <row r="4005" spans="1:10" x14ac:dyDescent="0.25">
      <c r="A4005" t="s">
        <v>3151</v>
      </c>
      <c r="B4005" t="s">
        <v>458</v>
      </c>
      <c r="C4005" s="22">
        <v>46183</v>
      </c>
      <c r="D4005" t="s">
        <v>22</v>
      </c>
      <c r="E4005" t="s">
        <v>81</v>
      </c>
      <c r="F4005">
        <v>5500</v>
      </c>
      <c r="G4005" t="s">
        <v>43</v>
      </c>
      <c r="H4005" t="s">
        <v>346</v>
      </c>
      <c r="I4005" t="s">
        <v>347</v>
      </c>
      <c r="J4005" t="s">
        <v>3152</v>
      </c>
    </row>
    <row r="4006" spans="1:10" x14ac:dyDescent="0.25">
      <c r="A4006" t="s">
        <v>3153</v>
      </c>
      <c r="B4006" t="s">
        <v>458</v>
      </c>
      <c r="C4006" s="22">
        <v>46183</v>
      </c>
      <c r="D4006" t="s">
        <v>22</v>
      </c>
      <c r="E4006" t="s">
        <v>81</v>
      </c>
      <c r="F4006">
        <v>5500</v>
      </c>
      <c r="G4006" t="s">
        <v>44</v>
      </c>
      <c r="H4006" t="s">
        <v>353</v>
      </c>
      <c r="I4006" t="s">
        <v>347</v>
      </c>
      <c r="J4006" t="s">
        <v>3154</v>
      </c>
    </row>
    <row r="4007" spans="1:10" x14ac:dyDescent="0.25">
      <c r="A4007" t="s">
        <v>3155</v>
      </c>
      <c r="B4007" t="s">
        <v>458</v>
      </c>
      <c r="C4007" s="22">
        <v>46183</v>
      </c>
      <c r="D4007" t="s">
        <v>22</v>
      </c>
      <c r="E4007" t="s">
        <v>81</v>
      </c>
      <c r="F4007">
        <v>5500</v>
      </c>
      <c r="G4007" t="s">
        <v>366</v>
      </c>
      <c r="H4007" t="s">
        <v>353</v>
      </c>
      <c r="I4007" t="s">
        <v>347</v>
      </c>
      <c r="J4007" t="s">
        <v>3156</v>
      </c>
    </row>
    <row r="4008" spans="1:10" x14ac:dyDescent="0.25">
      <c r="A4008" t="s">
        <v>3157</v>
      </c>
      <c r="B4008" t="s">
        <v>463</v>
      </c>
      <c r="C4008" s="22">
        <v>46183</v>
      </c>
      <c r="D4008" t="s">
        <v>21</v>
      </c>
      <c r="E4008" t="s">
        <v>81</v>
      </c>
      <c r="F4008">
        <v>5505</v>
      </c>
      <c r="G4008" t="s">
        <v>41</v>
      </c>
      <c r="H4008" t="s">
        <v>350</v>
      </c>
      <c r="I4008" t="s">
        <v>347</v>
      </c>
      <c r="J4008" t="s">
        <v>3158</v>
      </c>
    </row>
    <row r="4009" spans="1:10" x14ac:dyDescent="0.25">
      <c r="A4009" t="s">
        <v>3159</v>
      </c>
      <c r="B4009" t="s">
        <v>463</v>
      </c>
      <c r="C4009" s="22">
        <v>46183</v>
      </c>
      <c r="D4009" t="s">
        <v>21</v>
      </c>
      <c r="E4009" t="s">
        <v>81</v>
      </c>
      <c r="F4009">
        <v>5505</v>
      </c>
      <c r="G4009" t="s">
        <v>43</v>
      </c>
      <c r="H4009" t="s">
        <v>346</v>
      </c>
      <c r="I4009" t="s">
        <v>347</v>
      </c>
      <c r="J4009" t="s">
        <v>3160</v>
      </c>
    </row>
    <row r="4010" spans="1:10" x14ac:dyDescent="0.25">
      <c r="A4010" t="s">
        <v>3161</v>
      </c>
      <c r="B4010" t="s">
        <v>463</v>
      </c>
      <c r="C4010" s="22">
        <v>46183</v>
      </c>
      <c r="D4010" t="s">
        <v>21</v>
      </c>
      <c r="E4010" t="s">
        <v>81</v>
      </c>
      <c r="F4010">
        <v>5505</v>
      </c>
      <c r="G4010" t="s">
        <v>44</v>
      </c>
      <c r="H4010" t="s">
        <v>353</v>
      </c>
      <c r="I4010" t="s">
        <v>347</v>
      </c>
      <c r="J4010" t="s">
        <v>3162</v>
      </c>
    </row>
    <row r="4011" spans="1:10" x14ac:dyDescent="0.25">
      <c r="A4011" t="s">
        <v>3163</v>
      </c>
      <c r="B4011" t="s">
        <v>463</v>
      </c>
      <c r="C4011" s="22">
        <v>46183</v>
      </c>
      <c r="D4011" t="s">
        <v>21</v>
      </c>
      <c r="E4011" t="s">
        <v>81</v>
      </c>
      <c r="F4011">
        <v>5505</v>
      </c>
      <c r="G4011" t="s">
        <v>366</v>
      </c>
      <c r="H4011" t="s">
        <v>353</v>
      </c>
      <c r="I4011" t="s">
        <v>347</v>
      </c>
      <c r="J4011" t="s">
        <v>3164</v>
      </c>
    </row>
    <row r="4012" spans="1:10" x14ac:dyDescent="0.25">
      <c r="A4012" t="s">
        <v>3165</v>
      </c>
      <c r="B4012" t="s">
        <v>464</v>
      </c>
      <c r="C4012" s="22">
        <v>46183</v>
      </c>
      <c r="D4012" t="s">
        <v>22</v>
      </c>
      <c r="E4012" t="s">
        <v>81</v>
      </c>
      <c r="F4012">
        <v>5506</v>
      </c>
      <c r="G4012" t="s">
        <v>41</v>
      </c>
      <c r="H4012" t="s">
        <v>350</v>
      </c>
      <c r="I4012" t="s">
        <v>347</v>
      </c>
      <c r="J4012" t="s">
        <v>3158</v>
      </c>
    </row>
    <row r="4013" spans="1:10" x14ac:dyDescent="0.25">
      <c r="A4013" t="s">
        <v>3166</v>
      </c>
      <c r="B4013" t="s">
        <v>464</v>
      </c>
      <c r="C4013" s="22">
        <v>46183</v>
      </c>
      <c r="D4013" t="s">
        <v>22</v>
      </c>
      <c r="E4013" t="s">
        <v>81</v>
      </c>
      <c r="F4013">
        <v>5506</v>
      </c>
      <c r="G4013" t="s">
        <v>43</v>
      </c>
      <c r="H4013" t="s">
        <v>346</v>
      </c>
      <c r="I4013" t="s">
        <v>347</v>
      </c>
      <c r="J4013" t="s">
        <v>3160</v>
      </c>
    </row>
    <row r="4014" spans="1:10" x14ac:dyDescent="0.25">
      <c r="A4014" t="s">
        <v>3167</v>
      </c>
      <c r="B4014" t="s">
        <v>464</v>
      </c>
      <c r="C4014" s="22">
        <v>46183</v>
      </c>
      <c r="D4014" t="s">
        <v>22</v>
      </c>
      <c r="E4014" t="s">
        <v>81</v>
      </c>
      <c r="F4014">
        <v>5506</v>
      </c>
      <c r="G4014" t="s">
        <v>44</v>
      </c>
      <c r="H4014" t="s">
        <v>353</v>
      </c>
      <c r="I4014" t="s">
        <v>347</v>
      </c>
      <c r="J4014" t="s">
        <v>3162</v>
      </c>
    </row>
    <row r="4015" spans="1:10" x14ac:dyDescent="0.25">
      <c r="A4015" t="s">
        <v>3168</v>
      </c>
      <c r="B4015" t="s">
        <v>464</v>
      </c>
      <c r="C4015" s="22">
        <v>46183</v>
      </c>
      <c r="D4015" t="s">
        <v>22</v>
      </c>
      <c r="E4015" t="s">
        <v>81</v>
      </c>
      <c r="F4015">
        <v>5506</v>
      </c>
      <c r="G4015" t="s">
        <v>366</v>
      </c>
      <c r="H4015" t="s">
        <v>353</v>
      </c>
      <c r="I4015" t="s">
        <v>347</v>
      </c>
      <c r="J4015" t="s">
        <v>3164</v>
      </c>
    </row>
    <row r="4016" spans="1:10" x14ac:dyDescent="0.25">
      <c r="A4016" t="s">
        <v>3169</v>
      </c>
      <c r="B4016" t="s">
        <v>465</v>
      </c>
      <c r="C4016" s="22">
        <v>46183</v>
      </c>
      <c r="D4016" t="s">
        <v>21</v>
      </c>
      <c r="E4016" t="s">
        <v>81</v>
      </c>
      <c r="F4016">
        <v>5507</v>
      </c>
      <c r="G4016" t="s">
        <v>41</v>
      </c>
      <c r="H4016" t="s">
        <v>350</v>
      </c>
      <c r="I4016" t="s">
        <v>347</v>
      </c>
      <c r="J4016" t="s">
        <v>3170</v>
      </c>
    </row>
    <row r="4017" spans="1:10" x14ac:dyDescent="0.25">
      <c r="A4017" t="s">
        <v>3171</v>
      </c>
      <c r="B4017" t="s">
        <v>465</v>
      </c>
      <c r="C4017" s="22">
        <v>46183</v>
      </c>
      <c r="D4017" t="s">
        <v>21</v>
      </c>
      <c r="E4017" t="s">
        <v>81</v>
      </c>
      <c r="F4017">
        <v>5507</v>
      </c>
      <c r="G4017" t="s">
        <v>43</v>
      </c>
      <c r="H4017" t="s">
        <v>346</v>
      </c>
      <c r="I4017" t="s">
        <v>347</v>
      </c>
      <c r="J4017" t="s">
        <v>3172</v>
      </c>
    </row>
    <row r="4018" spans="1:10" x14ac:dyDescent="0.25">
      <c r="A4018" t="s">
        <v>3173</v>
      </c>
      <c r="B4018" t="s">
        <v>465</v>
      </c>
      <c r="C4018" s="22">
        <v>46183</v>
      </c>
      <c r="D4018" t="s">
        <v>21</v>
      </c>
      <c r="E4018" t="s">
        <v>81</v>
      </c>
      <c r="F4018">
        <v>5507</v>
      </c>
      <c r="G4018" t="s">
        <v>44</v>
      </c>
      <c r="H4018" t="s">
        <v>353</v>
      </c>
      <c r="I4018" t="s">
        <v>347</v>
      </c>
      <c r="J4018" t="s">
        <v>3174</v>
      </c>
    </row>
    <row r="4019" spans="1:10" x14ac:dyDescent="0.25">
      <c r="A4019" t="s">
        <v>3175</v>
      </c>
      <c r="B4019" t="s">
        <v>465</v>
      </c>
      <c r="C4019" s="22">
        <v>46183</v>
      </c>
      <c r="D4019" t="s">
        <v>21</v>
      </c>
      <c r="E4019" t="s">
        <v>81</v>
      </c>
      <c r="F4019">
        <v>5507</v>
      </c>
      <c r="G4019" t="s">
        <v>366</v>
      </c>
      <c r="H4019" t="s">
        <v>353</v>
      </c>
      <c r="I4019" t="s">
        <v>347</v>
      </c>
      <c r="J4019" t="s">
        <v>3176</v>
      </c>
    </row>
    <row r="4020" spans="1:10" x14ac:dyDescent="0.25">
      <c r="A4020" t="s">
        <v>3177</v>
      </c>
      <c r="B4020" t="s">
        <v>467</v>
      </c>
      <c r="C4020" s="22">
        <v>46183</v>
      </c>
      <c r="D4020" t="s">
        <v>21</v>
      </c>
      <c r="E4020" t="s">
        <v>81</v>
      </c>
      <c r="F4020">
        <v>5509</v>
      </c>
      <c r="G4020" t="s">
        <v>41</v>
      </c>
      <c r="H4020" t="s">
        <v>350</v>
      </c>
      <c r="I4020" t="s">
        <v>347</v>
      </c>
      <c r="J4020" t="s">
        <v>3170</v>
      </c>
    </row>
    <row r="4021" spans="1:10" x14ac:dyDescent="0.25">
      <c r="A4021" t="s">
        <v>3178</v>
      </c>
      <c r="B4021" t="s">
        <v>467</v>
      </c>
      <c r="C4021" s="22">
        <v>46183</v>
      </c>
      <c r="D4021" t="s">
        <v>21</v>
      </c>
      <c r="E4021" t="s">
        <v>81</v>
      </c>
      <c r="F4021">
        <v>5509</v>
      </c>
      <c r="G4021" t="s">
        <v>43</v>
      </c>
      <c r="H4021" t="s">
        <v>346</v>
      </c>
      <c r="I4021" t="s">
        <v>347</v>
      </c>
      <c r="J4021" t="s">
        <v>3172</v>
      </c>
    </row>
    <row r="4022" spans="1:10" x14ac:dyDescent="0.25">
      <c r="A4022" t="s">
        <v>3179</v>
      </c>
      <c r="B4022" t="s">
        <v>467</v>
      </c>
      <c r="C4022" s="22">
        <v>46183</v>
      </c>
      <c r="D4022" t="s">
        <v>21</v>
      </c>
      <c r="E4022" t="s">
        <v>81</v>
      </c>
      <c r="F4022">
        <v>5509</v>
      </c>
      <c r="G4022" t="s">
        <v>44</v>
      </c>
      <c r="H4022" t="s">
        <v>353</v>
      </c>
      <c r="I4022" t="s">
        <v>347</v>
      </c>
      <c r="J4022" t="s">
        <v>3174</v>
      </c>
    </row>
    <row r="4023" spans="1:10" x14ac:dyDescent="0.25">
      <c r="A4023" t="s">
        <v>3180</v>
      </c>
      <c r="B4023" t="s">
        <v>467</v>
      </c>
      <c r="C4023" s="22">
        <v>46183</v>
      </c>
      <c r="D4023" t="s">
        <v>21</v>
      </c>
      <c r="E4023" t="s">
        <v>81</v>
      </c>
      <c r="F4023">
        <v>5509</v>
      </c>
      <c r="G4023" t="s">
        <v>366</v>
      </c>
      <c r="H4023" t="s">
        <v>353</v>
      </c>
      <c r="I4023" t="s">
        <v>347</v>
      </c>
      <c r="J4023" t="s">
        <v>3176</v>
      </c>
    </row>
    <row r="4024" spans="1:10" x14ac:dyDescent="0.25">
      <c r="A4024" t="s">
        <v>3181</v>
      </c>
      <c r="B4024" t="s">
        <v>469</v>
      </c>
      <c r="C4024" s="22">
        <v>46183</v>
      </c>
      <c r="D4024" t="s">
        <v>22</v>
      </c>
      <c r="E4024" t="s">
        <v>81</v>
      </c>
      <c r="F4024">
        <v>5511</v>
      </c>
      <c r="G4024" t="s">
        <v>41</v>
      </c>
      <c r="H4024" t="s">
        <v>350</v>
      </c>
      <c r="I4024" t="s">
        <v>347</v>
      </c>
      <c r="J4024" t="s">
        <v>3170</v>
      </c>
    </row>
    <row r="4025" spans="1:10" x14ac:dyDescent="0.25">
      <c r="A4025" t="s">
        <v>3182</v>
      </c>
      <c r="B4025" t="s">
        <v>469</v>
      </c>
      <c r="C4025" s="22">
        <v>46183</v>
      </c>
      <c r="D4025" t="s">
        <v>22</v>
      </c>
      <c r="E4025" t="s">
        <v>81</v>
      </c>
      <c r="F4025">
        <v>5511</v>
      </c>
      <c r="G4025" t="s">
        <v>43</v>
      </c>
      <c r="H4025" t="s">
        <v>346</v>
      </c>
      <c r="I4025" t="s">
        <v>347</v>
      </c>
      <c r="J4025" t="s">
        <v>3172</v>
      </c>
    </row>
    <row r="4026" spans="1:10" x14ac:dyDescent="0.25">
      <c r="A4026" t="s">
        <v>3183</v>
      </c>
      <c r="B4026" t="s">
        <v>469</v>
      </c>
      <c r="C4026" s="22">
        <v>46183</v>
      </c>
      <c r="D4026" t="s">
        <v>22</v>
      </c>
      <c r="E4026" t="s">
        <v>81</v>
      </c>
      <c r="F4026">
        <v>5511</v>
      </c>
      <c r="G4026" t="s">
        <v>44</v>
      </c>
      <c r="H4026" t="s">
        <v>353</v>
      </c>
      <c r="I4026" t="s">
        <v>347</v>
      </c>
      <c r="J4026" t="s">
        <v>3174</v>
      </c>
    </row>
    <row r="4027" spans="1:10" x14ac:dyDescent="0.25">
      <c r="A4027" t="s">
        <v>3184</v>
      </c>
      <c r="B4027" t="s">
        <v>469</v>
      </c>
      <c r="C4027" s="22">
        <v>46183</v>
      </c>
      <c r="D4027" t="s">
        <v>22</v>
      </c>
      <c r="E4027" t="s">
        <v>81</v>
      </c>
      <c r="F4027">
        <v>5511</v>
      </c>
      <c r="G4027" t="s">
        <v>366</v>
      </c>
      <c r="H4027" t="s">
        <v>353</v>
      </c>
      <c r="I4027" t="s">
        <v>347</v>
      </c>
      <c r="J4027" t="s">
        <v>3176</v>
      </c>
    </row>
    <row r="4028" spans="1:10" x14ac:dyDescent="0.25">
      <c r="A4028" t="s">
        <v>3185</v>
      </c>
      <c r="B4028" t="s">
        <v>470</v>
      </c>
      <c r="C4028" s="22">
        <v>46183</v>
      </c>
      <c r="D4028" t="s">
        <v>21</v>
      </c>
      <c r="E4028" t="s">
        <v>81</v>
      </c>
      <c r="F4028">
        <v>5512</v>
      </c>
      <c r="G4028" t="s">
        <v>41</v>
      </c>
      <c r="H4028" t="s">
        <v>350</v>
      </c>
      <c r="I4028" t="s">
        <v>347</v>
      </c>
      <c r="J4028" t="s">
        <v>3186</v>
      </c>
    </row>
    <row r="4029" spans="1:10" x14ac:dyDescent="0.25">
      <c r="A4029" t="s">
        <v>3187</v>
      </c>
      <c r="B4029" t="s">
        <v>470</v>
      </c>
      <c r="C4029" s="22">
        <v>46183</v>
      </c>
      <c r="D4029" t="s">
        <v>21</v>
      </c>
      <c r="E4029" t="s">
        <v>81</v>
      </c>
      <c r="F4029">
        <v>5512</v>
      </c>
      <c r="G4029" t="s">
        <v>43</v>
      </c>
      <c r="H4029" t="s">
        <v>346</v>
      </c>
      <c r="I4029" t="s">
        <v>347</v>
      </c>
      <c r="J4029" t="s">
        <v>3188</v>
      </c>
    </row>
    <row r="4030" spans="1:10" x14ac:dyDescent="0.25">
      <c r="A4030" t="s">
        <v>3189</v>
      </c>
      <c r="B4030" t="s">
        <v>470</v>
      </c>
      <c r="C4030" s="22">
        <v>46183</v>
      </c>
      <c r="D4030" t="s">
        <v>21</v>
      </c>
      <c r="E4030" t="s">
        <v>81</v>
      </c>
      <c r="F4030">
        <v>5512</v>
      </c>
      <c r="G4030" t="s">
        <v>44</v>
      </c>
      <c r="H4030" t="s">
        <v>353</v>
      </c>
      <c r="I4030" t="s">
        <v>347</v>
      </c>
      <c r="J4030" t="s">
        <v>3190</v>
      </c>
    </row>
    <row r="4031" spans="1:10" x14ac:dyDescent="0.25">
      <c r="A4031" t="s">
        <v>3191</v>
      </c>
      <c r="B4031" t="s">
        <v>470</v>
      </c>
      <c r="C4031" s="22">
        <v>46183</v>
      </c>
      <c r="D4031" t="s">
        <v>21</v>
      </c>
      <c r="E4031" t="s">
        <v>81</v>
      </c>
      <c r="F4031">
        <v>5512</v>
      </c>
      <c r="G4031" t="s">
        <v>366</v>
      </c>
      <c r="H4031" t="s">
        <v>353</v>
      </c>
      <c r="I4031" t="s">
        <v>347</v>
      </c>
      <c r="J4031" t="s">
        <v>3192</v>
      </c>
    </row>
    <row r="4032" spans="1:10" x14ac:dyDescent="0.25">
      <c r="A4032" t="s">
        <v>3193</v>
      </c>
      <c r="B4032" t="s">
        <v>471</v>
      </c>
      <c r="C4032" s="22">
        <v>46183</v>
      </c>
      <c r="D4032" t="s">
        <v>21</v>
      </c>
      <c r="E4032" t="s">
        <v>81</v>
      </c>
      <c r="F4032">
        <v>5513</v>
      </c>
      <c r="G4032" t="s">
        <v>41</v>
      </c>
      <c r="H4032" t="s">
        <v>350</v>
      </c>
      <c r="I4032" t="s">
        <v>347</v>
      </c>
      <c r="J4032" t="s">
        <v>3186</v>
      </c>
    </row>
    <row r="4033" spans="1:10" x14ac:dyDescent="0.25">
      <c r="A4033" t="s">
        <v>3194</v>
      </c>
      <c r="B4033" t="s">
        <v>471</v>
      </c>
      <c r="C4033" s="22">
        <v>46183</v>
      </c>
      <c r="D4033" t="s">
        <v>21</v>
      </c>
      <c r="E4033" t="s">
        <v>81</v>
      </c>
      <c r="F4033">
        <v>5513</v>
      </c>
      <c r="G4033" t="s">
        <v>43</v>
      </c>
      <c r="H4033" t="s">
        <v>346</v>
      </c>
      <c r="I4033" t="s">
        <v>347</v>
      </c>
      <c r="J4033" t="s">
        <v>3188</v>
      </c>
    </row>
    <row r="4034" spans="1:10" x14ac:dyDescent="0.25">
      <c r="A4034" t="s">
        <v>3195</v>
      </c>
      <c r="B4034" t="s">
        <v>471</v>
      </c>
      <c r="C4034" s="22">
        <v>46183</v>
      </c>
      <c r="D4034" t="s">
        <v>21</v>
      </c>
      <c r="E4034" t="s">
        <v>81</v>
      </c>
      <c r="F4034">
        <v>5513</v>
      </c>
      <c r="G4034" t="s">
        <v>44</v>
      </c>
      <c r="H4034" t="s">
        <v>353</v>
      </c>
      <c r="I4034" t="s">
        <v>347</v>
      </c>
      <c r="J4034" t="s">
        <v>3190</v>
      </c>
    </row>
    <row r="4035" spans="1:10" x14ac:dyDescent="0.25">
      <c r="A4035" t="s">
        <v>3196</v>
      </c>
      <c r="B4035" t="s">
        <v>471</v>
      </c>
      <c r="C4035" s="22">
        <v>46183</v>
      </c>
      <c r="D4035" t="s">
        <v>21</v>
      </c>
      <c r="E4035" t="s">
        <v>81</v>
      </c>
      <c r="F4035">
        <v>5513</v>
      </c>
      <c r="G4035" t="s">
        <v>366</v>
      </c>
      <c r="H4035" t="s">
        <v>353</v>
      </c>
      <c r="I4035" t="s">
        <v>347</v>
      </c>
      <c r="J4035" t="s">
        <v>3192</v>
      </c>
    </row>
    <row r="4036" spans="1:10" x14ac:dyDescent="0.25">
      <c r="A4036" t="s">
        <v>3197</v>
      </c>
      <c r="B4036" t="s">
        <v>472</v>
      </c>
      <c r="C4036" s="22">
        <v>46183</v>
      </c>
      <c r="D4036" t="s">
        <v>21</v>
      </c>
      <c r="E4036" t="s">
        <v>81</v>
      </c>
      <c r="F4036">
        <v>5514</v>
      </c>
      <c r="G4036" t="s">
        <v>41</v>
      </c>
      <c r="H4036" t="s">
        <v>350</v>
      </c>
      <c r="I4036" t="s">
        <v>347</v>
      </c>
      <c r="J4036" t="s">
        <v>3186</v>
      </c>
    </row>
    <row r="4037" spans="1:10" x14ac:dyDescent="0.25">
      <c r="A4037" t="s">
        <v>3198</v>
      </c>
      <c r="B4037" t="s">
        <v>472</v>
      </c>
      <c r="C4037" s="22">
        <v>46183</v>
      </c>
      <c r="D4037" t="s">
        <v>21</v>
      </c>
      <c r="E4037" t="s">
        <v>81</v>
      </c>
      <c r="F4037">
        <v>5514</v>
      </c>
      <c r="G4037" t="s">
        <v>43</v>
      </c>
      <c r="H4037" t="s">
        <v>346</v>
      </c>
      <c r="I4037" t="s">
        <v>347</v>
      </c>
      <c r="J4037" t="s">
        <v>3188</v>
      </c>
    </row>
    <row r="4038" spans="1:10" x14ac:dyDescent="0.25">
      <c r="A4038" t="s">
        <v>3199</v>
      </c>
      <c r="B4038" t="s">
        <v>472</v>
      </c>
      <c r="C4038" s="22">
        <v>46183</v>
      </c>
      <c r="D4038" t="s">
        <v>21</v>
      </c>
      <c r="E4038" t="s">
        <v>81</v>
      </c>
      <c r="F4038">
        <v>5514</v>
      </c>
      <c r="G4038" t="s">
        <v>44</v>
      </c>
      <c r="H4038" t="s">
        <v>353</v>
      </c>
      <c r="I4038" t="s">
        <v>347</v>
      </c>
      <c r="J4038" t="s">
        <v>3190</v>
      </c>
    </row>
    <row r="4039" spans="1:10" x14ac:dyDescent="0.25">
      <c r="A4039" t="s">
        <v>3200</v>
      </c>
      <c r="B4039" t="s">
        <v>472</v>
      </c>
      <c r="C4039" s="22">
        <v>46183</v>
      </c>
      <c r="D4039" t="s">
        <v>21</v>
      </c>
      <c r="E4039" t="s">
        <v>81</v>
      </c>
      <c r="F4039">
        <v>5514</v>
      </c>
      <c r="G4039" t="s">
        <v>366</v>
      </c>
      <c r="H4039" t="s">
        <v>353</v>
      </c>
      <c r="I4039" t="s">
        <v>347</v>
      </c>
      <c r="J4039" t="s">
        <v>3192</v>
      </c>
    </row>
    <row r="4040" spans="1:10" x14ac:dyDescent="0.25">
      <c r="A4040" t="s">
        <v>3201</v>
      </c>
      <c r="B4040" t="s">
        <v>474</v>
      </c>
      <c r="C4040" s="22">
        <v>46183</v>
      </c>
      <c r="D4040" t="s">
        <v>21</v>
      </c>
      <c r="E4040" t="s">
        <v>81</v>
      </c>
      <c r="F4040">
        <v>5516</v>
      </c>
      <c r="G4040" t="s">
        <v>41</v>
      </c>
      <c r="H4040" t="s">
        <v>350</v>
      </c>
      <c r="I4040" t="s">
        <v>347</v>
      </c>
      <c r="J4040" t="s">
        <v>3202</v>
      </c>
    </row>
    <row r="4041" spans="1:10" x14ac:dyDescent="0.25">
      <c r="A4041" t="s">
        <v>3203</v>
      </c>
      <c r="B4041" t="s">
        <v>474</v>
      </c>
      <c r="C4041" s="22">
        <v>46183</v>
      </c>
      <c r="D4041" t="s">
        <v>21</v>
      </c>
      <c r="E4041" t="s">
        <v>81</v>
      </c>
      <c r="F4041">
        <v>5516</v>
      </c>
      <c r="G4041" t="s">
        <v>43</v>
      </c>
      <c r="H4041" t="s">
        <v>346</v>
      </c>
      <c r="I4041" t="s">
        <v>347</v>
      </c>
      <c r="J4041" t="s">
        <v>3204</v>
      </c>
    </row>
    <row r="4042" spans="1:10" x14ac:dyDescent="0.25">
      <c r="A4042" t="s">
        <v>3205</v>
      </c>
      <c r="B4042" t="s">
        <v>474</v>
      </c>
      <c r="C4042" s="22">
        <v>46183</v>
      </c>
      <c r="D4042" t="s">
        <v>21</v>
      </c>
      <c r="E4042" t="s">
        <v>81</v>
      </c>
      <c r="F4042">
        <v>5516</v>
      </c>
      <c r="G4042" t="s">
        <v>44</v>
      </c>
      <c r="H4042" t="s">
        <v>353</v>
      </c>
      <c r="I4042" t="s">
        <v>347</v>
      </c>
      <c r="J4042" t="s">
        <v>3206</v>
      </c>
    </row>
    <row r="4043" spans="1:10" x14ac:dyDescent="0.25">
      <c r="A4043" t="s">
        <v>3207</v>
      </c>
      <c r="B4043" t="s">
        <v>474</v>
      </c>
      <c r="C4043" s="22">
        <v>46183</v>
      </c>
      <c r="D4043" t="s">
        <v>21</v>
      </c>
      <c r="E4043" t="s">
        <v>81</v>
      </c>
      <c r="F4043">
        <v>5516</v>
      </c>
      <c r="G4043" t="s">
        <v>366</v>
      </c>
      <c r="H4043" t="s">
        <v>353</v>
      </c>
      <c r="I4043" t="s">
        <v>347</v>
      </c>
      <c r="J4043" t="s">
        <v>3208</v>
      </c>
    </row>
    <row r="4044" spans="1:10" x14ac:dyDescent="0.25">
      <c r="A4044" t="s">
        <v>3209</v>
      </c>
      <c r="B4044" t="s">
        <v>477</v>
      </c>
      <c r="C4044" s="22">
        <v>46183</v>
      </c>
      <c r="D4044" t="s">
        <v>22</v>
      </c>
      <c r="E4044" t="s">
        <v>81</v>
      </c>
      <c r="F4044">
        <v>5519</v>
      </c>
      <c r="G4044" t="s">
        <v>41</v>
      </c>
      <c r="H4044" t="s">
        <v>350</v>
      </c>
      <c r="I4044" t="s">
        <v>347</v>
      </c>
      <c r="J4044" t="s">
        <v>3210</v>
      </c>
    </row>
    <row r="4045" spans="1:10" x14ac:dyDescent="0.25">
      <c r="A4045" t="s">
        <v>3211</v>
      </c>
      <c r="B4045" t="s">
        <v>477</v>
      </c>
      <c r="C4045" s="22">
        <v>46183</v>
      </c>
      <c r="D4045" t="s">
        <v>22</v>
      </c>
      <c r="E4045" t="s">
        <v>81</v>
      </c>
      <c r="F4045">
        <v>5519</v>
      </c>
      <c r="G4045" t="s">
        <v>43</v>
      </c>
      <c r="H4045" t="s">
        <v>346</v>
      </c>
      <c r="I4045" t="s">
        <v>347</v>
      </c>
      <c r="J4045" t="s">
        <v>3212</v>
      </c>
    </row>
    <row r="4046" spans="1:10" x14ac:dyDescent="0.25">
      <c r="A4046" t="s">
        <v>3213</v>
      </c>
      <c r="B4046" t="s">
        <v>477</v>
      </c>
      <c r="C4046" s="22">
        <v>46183</v>
      </c>
      <c r="D4046" t="s">
        <v>22</v>
      </c>
      <c r="E4046" t="s">
        <v>81</v>
      </c>
      <c r="F4046">
        <v>5519</v>
      </c>
      <c r="G4046" t="s">
        <v>44</v>
      </c>
      <c r="H4046" t="s">
        <v>353</v>
      </c>
      <c r="I4046" t="s">
        <v>347</v>
      </c>
      <c r="J4046" t="s">
        <v>3214</v>
      </c>
    </row>
    <row r="4047" spans="1:10" x14ac:dyDescent="0.25">
      <c r="A4047" t="s">
        <v>3215</v>
      </c>
      <c r="B4047" t="s">
        <v>477</v>
      </c>
      <c r="C4047" s="22">
        <v>46183</v>
      </c>
      <c r="D4047" t="s">
        <v>22</v>
      </c>
      <c r="E4047" t="s">
        <v>81</v>
      </c>
      <c r="F4047">
        <v>5519</v>
      </c>
      <c r="G4047" t="s">
        <v>366</v>
      </c>
      <c r="H4047" t="s">
        <v>353</v>
      </c>
      <c r="I4047" t="s">
        <v>347</v>
      </c>
      <c r="J4047" t="s">
        <v>3216</v>
      </c>
    </row>
    <row r="4048" spans="1:10" x14ac:dyDescent="0.25">
      <c r="A4048" t="s">
        <v>3217</v>
      </c>
      <c r="B4048" t="s">
        <v>478</v>
      </c>
      <c r="C4048" s="22">
        <v>46183</v>
      </c>
      <c r="D4048" t="s">
        <v>21</v>
      </c>
      <c r="E4048" t="s">
        <v>81</v>
      </c>
      <c r="F4048">
        <v>5520</v>
      </c>
      <c r="G4048" t="s">
        <v>41</v>
      </c>
      <c r="H4048" t="s">
        <v>350</v>
      </c>
      <c r="I4048" t="s">
        <v>347</v>
      </c>
      <c r="J4048" t="s">
        <v>3218</v>
      </c>
    </row>
    <row r="4049" spans="1:10" x14ac:dyDescent="0.25">
      <c r="A4049" t="s">
        <v>3219</v>
      </c>
      <c r="B4049" t="s">
        <v>478</v>
      </c>
      <c r="C4049" s="22">
        <v>46183</v>
      </c>
      <c r="D4049" t="s">
        <v>21</v>
      </c>
      <c r="E4049" t="s">
        <v>81</v>
      </c>
      <c r="F4049">
        <v>5520</v>
      </c>
      <c r="G4049" t="s">
        <v>43</v>
      </c>
      <c r="H4049" t="s">
        <v>346</v>
      </c>
      <c r="I4049" t="s">
        <v>347</v>
      </c>
      <c r="J4049" t="s">
        <v>3220</v>
      </c>
    </row>
    <row r="4050" spans="1:10" x14ac:dyDescent="0.25">
      <c r="A4050" t="s">
        <v>3221</v>
      </c>
      <c r="B4050" t="s">
        <v>478</v>
      </c>
      <c r="C4050" s="22">
        <v>46183</v>
      </c>
      <c r="D4050" t="s">
        <v>21</v>
      </c>
      <c r="E4050" t="s">
        <v>81</v>
      </c>
      <c r="F4050">
        <v>5520</v>
      </c>
      <c r="G4050" t="s">
        <v>44</v>
      </c>
      <c r="H4050" t="s">
        <v>353</v>
      </c>
      <c r="I4050" t="s">
        <v>347</v>
      </c>
      <c r="J4050" t="s">
        <v>3222</v>
      </c>
    </row>
    <row r="4051" spans="1:10" x14ac:dyDescent="0.25">
      <c r="A4051" t="s">
        <v>3223</v>
      </c>
      <c r="B4051" t="s">
        <v>478</v>
      </c>
      <c r="C4051" s="22">
        <v>46183</v>
      </c>
      <c r="D4051" t="s">
        <v>21</v>
      </c>
      <c r="E4051" t="s">
        <v>81</v>
      </c>
      <c r="F4051">
        <v>5520</v>
      </c>
      <c r="G4051" t="s">
        <v>366</v>
      </c>
      <c r="H4051" t="s">
        <v>353</v>
      </c>
      <c r="I4051" t="s">
        <v>347</v>
      </c>
      <c r="J4051" t="s">
        <v>3224</v>
      </c>
    </row>
    <row r="4052" spans="1:10" x14ac:dyDescent="0.25">
      <c r="A4052" t="s">
        <v>3225</v>
      </c>
      <c r="B4052" t="s">
        <v>479</v>
      </c>
      <c r="C4052" s="22">
        <v>46183</v>
      </c>
      <c r="D4052" t="s">
        <v>22</v>
      </c>
      <c r="E4052" t="s">
        <v>81</v>
      </c>
      <c r="F4052">
        <v>5521</v>
      </c>
      <c r="G4052" t="s">
        <v>41</v>
      </c>
      <c r="H4052" t="s">
        <v>350</v>
      </c>
      <c r="I4052" t="s">
        <v>347</v>
      </c>
      <c r="J4052" t="s">
        <v>3226</v>
      </c>
    </row>
    <row r="4053" spans="1:10" x14ac:dyDescent="0.25">
      <c r="A4053" t="s">
        <v>3227</v>
      </c>
      <c r="B4053" t="s">
        <v>479</v>
      </c>
      <c r="C4053" s="22">
        <v>46183</v>
      </c>
      <c r="D4053" t="s">
        <v>22</v>
      </c>
      <c r="E4053" t="s">
        <v>81</v>
      </c>
      <c r="F4053">
        <v>5521</v>
      </c>
      <c r="G4053" t="s">
        <v>43</v>
      </c>
      <c r="H4053" t="s">
        <v>346</v>
      </c>
      <c r="I4053" t="s">
        <v>347</v>
      </c>
      <c r="J4053" t="s">
        <v>3228</v>
      </c>
    </row>
    <row r="4054" spans="1:10" x14ac:dyDescent="0.25">
      <c r="A4054" t="s">
        <v>3229</v>
      </c>
      <c r="B4054" t="s">
        <v>479</v>
      </c>
      <c r="C4054" s="22">
        <v>46183</v>
      </c>
      <c r="D4054" t="s">
        <v>22</v>
      </c>
      <c r="E4054" t="s">
        <v>81</v>
      </c>
      <c r="F4054">
        <v>5521</v>
      </c>
      <c r="G4054" t="s">
        <v>44</v>
      </c>
      <c r="H4054" t="s">
        <v>353</v>
      </c>
      <c r="I4054" t="s">
        <v>347</v>
      </c>
      <c r="J4054" t="s">
        <v>3230</v>
      </c>
    </row>
    <row r="4055" spans="1:10" x14ac:dyDescent="0.25">
      <c r="A4055" t="s">
        <v>3231</v>
      </c>
      <c r="B4055" t="s">
        <v>479</v>
      </c>
      <c r="C4055" s="22">
        <v>46183</v>
      </c>
      <c r="D4055" t="s">
        <v>22</v>
      </c>
      <c r="E4055" t="s">
        <v>81</v>
      </c>
      <c r="F4055">
        <v>5521</v>
      </c>
      <c r="G4055" t="s">
        <v>366</v>
      </c>
      <c r="H4055" t="s">
        <v>353</v>
      </c>
      <c r="I4055" t="s">
        <v>347</v>
      </c>
      <c r="J4055" t="s">
        <v>3232</v>
      </c>
    </row>
    <row r="4056" spans="1:10" x14ac:dyDescent="0.25">
      <c r="A4056" t="s">
        <v>3233</v>
      </c>
      <c r="B4056" t="s">
        <v>480</v>
      </c>
      <c r="C4056" s="22">
        <v>46183</v>
      </c>
      <c r="D4056" t="s">
        <v>21</v>
      </c>
      <c r="E4056" t="s">
        <v>81</v>
      </c>
      <c r="F4056">
        <v>5522</v>
      </c>
      <c r="G4056" t="s">
        <v>41</v>
      </c>
      <c r="H4056" t="s">
        <v>350</v>
      </c>
      <c r="I4056" t="s">
        <v>347</v>
      </c>
      <c r="J4056" t="s">
        <v>3226</v>
      </c>
    </row>
    <row r="4057" spans="1:10" x14ac:dyDescent="0.25">
      <c r="A4057" t="s">
        <v>3234</v>
      </c>
      <c r="B4057" t="s">
        <v>480</v>
      </c>
      <c r="C4057" s="22">
        <v>46183</v>
      </c>
      <c r="D4057" t="s">
        <v>21</v>
      </c>
      <c r="E4057" t="s">
        <v>81</v>
      </c>
      <c r="F4057">
        <v>5522</v>
      </c>
      <c r="G4057" t="s">
        <v>43</v>
      </c>
      <c r="H4057" t="s">
        <v>346</v>
      </c>
      <c r="I4057" t="s">
        <v>347</v>
      </c>
      <c r="J4057" t="s">
        <v>3228</v>
      </c>
    </row>
    <row r="4058" spans="1:10" x14ac:dyDescent="0.25">
      <c r="A4058" t="s">
        <v>3235</v>
      </c>
      <c r="B4058" t="s">
        <v>480</v>
      </c>
      <c r="C4058" s="22">
        <v>46183</v>
      </c>
      <c r="D4058" t="s">
        <v>21</v>
      </c>
      <c r="E4058" t="s">
        <v>81</v>
      </c>
      <c r="F4058">
        <v>5522</v>
      </c>
      <c r="G4058" t="s">
        <v>44</v>
      </c>
      <c r="H4058" t="s">
        <v>353</v>
      </c>
      <c r="I4058" t="s">
        <v>347</v>
      </c>
      <c r="J4058" t="s">
        <v>3230</v>
      </c>
    </row>
    <row r="4059" spans="1:10" x14ac:dyDescent="0.25">
      <c r="A4059" t="s">
        <v>3236</v>
      </c>
      <c r="B4059" t="s">
        <v>480</v>
      </c>
      <c r="C4059" s="22">
        <v>46183</v>
      </c>
      <c r="D4059" t="s">
        <v>21</v>
      </c>
      <c r="E4059" t="s">
        <v>81</v>
      </c>
      <c r="F4059">
        <v>5522</v>
      </c>
      <c r="G4059" t="s">
        <v>366</v>
      </c>
      <c r="H4059" t="s">
        <v>353</v>
      </c>
      <c r="I4059" t="s">
        <v>347</v>
      </c>
      <c r="J4059" t="s">
        <v>3232</v>
      </c>
    </row>
    <row r="4060" spans="1:10" x14ac:dyDescent="0.25">
      <c r="A4060" t="s">
        <v>3237</v>
      </c>
      <c r="B4060" t="s">
        <v>482</v>
      </c>
      <c r="C4060" s="22">
        <v>46183</v>
      </c>
      <c r="D4060" t="s">
        <v>21</v>
      </c>
      <c r="E4060" t="s">
        <v>81</v>
      </c>
      <c r="F4060">
        <v>5524</v>
      </c>
      <c r="G4060" t="s">
        <v>41</v>
      </c>
      <c r="H4060" t="s">
        <v>350</v>
      </c>
      <c r="I4060" t="s">
        <v>347</v>
      </c>
      <c r="J4060" t="s">
        <v>3226</v>
      </c>
    </row>
    <row r="4061" spans="1:10" x14ac:dyDescent="0.25">
      <c r="A4061" t="s">
        <v>3238</v>
      </c>
      <c r="B4061" t="s">
        <v>482</v>
      </c>
      <c r="C4061" s="22">
        <v>46183</v>
      </c>
      <c r="D4061" t="s">
        <v>21</v>
      </c>
      <c r="E4061" t="s">
        <v>81</v>
      </c>
      <c r="F4061">
        <v>5524</v>
      </c>
      <c r="G4061" t="s">
        <v>43</v>
      </c>
      <c r="H4061" t="s">
        <v>346</v>
      </c>
      <c r="I4061" t="s">
        <v>347</v>
      </c>
      <c r="J4061" t="s">
        <v>3228</v>
      </c>
    </row>
    <row r="4062" spans="1:10" x14ac:dyDescent="0.25">
      <c r="A4062" t="s">
        <v>3239</v>
      </c>
      <c r="B4062" t="s">
        <v>482</v>
      </c>
      <c r="C4062" s="22">
        <v>46183</v>
      </c>
      <c r="D4062" t="s">
        <v>21</v>
      </c>
      <c r="E4062" t="s">
        <v>81</v>
      </c>
      <c r="F4062">
        <v>5524</v>
      </c>
      <c r="G4062" t="s">
        <v>44</v>
      </c>
      <c r="H4062" t="s">
        <v>353</v>
      </c>
      <c r="I4062" t="s">
        <v>347</v>
      </c>
      <c r="J4062" t="s">
        <v>3230</v>
      </c>
    </row>
    <row r="4063" spans="1:10" x14ac:dyDescent="0.25">
      <c r="A4063" t="s">
        <v>3240</v>
      </c>
      <c r="B4063" t="s">
        <v>482</v>
      </c>
      <c r="C4063" s="22">
        <v>46183</v>
      </c>
      <c r="D4063" t="s">
        <v>21</v>
      </c>
      <c r="E4063" t="s">
        <v>81</v>
      </c>
      <c r="F4063">
        <v>5524</v>
      </c>
      <c r="G4063" t="s">
        <v>366</v>
      </c>
      <c r="H4063" t="s">
        <v>353</v>
      </c>
      <c r="I4063" t="s">
        <v>347</v>
      </c>
      <c r="J4063" t="s">
        <v>3232</v>
      </c>
    </row>
    <row r="4064" spans="1:10" x14ac:dyDescent="0.25">
      <c r="A4064" t="s">
        <v>3241</v>
      </c>
      <c r="B4064" t="s">
        <v>483</v>
      </c>
      <c r="C4064" s="22">
        <v>46183</v>
      </c>
      <c r="D4064" t="s">
        <v>22</v>
      </c>
      <c r="E4064" t="s">
        <v>81</v>
      </c>
      <c r="F4064">
        <v>5525</v>
      </c>
      <c r="G4064" t="s">
        <v>41</v>
      </c>
      <c r="H4064" t="s">
        <v>350</v>
      </c>
      <c r="I4064" t="s">
        <v>347</v>
      </c>
      <c r="J4064" t="s">
        <v>3226</v>
      </c>
    </row>
    <row r="4065" spans="1:10" x14ac:dyDescent="0.25">
      <c r="A4065" t="s">
        <v>3242</v>
      </c>
      <c r="B4065" t="s">
        <v>483</v>
      </c>
      <c r="C4065" s="22">
        <v>46183</v>
      </c>
      <c r="D4065" t="s">
        <v>22</v>
      </c>
      <c r="E4065" t="s">
        <v>81</v>
      </c>
      <c r="F4065">
        <v>5525</v>
      </c>
      <c r="G4065" t="s">
        <v>43</v>
      </c>
      <c r="H4065" t="s">
        <v>346</v>
      </c>
      <c r="I4065" t="s">
        <v>347</v>
      </c>
      <c r="J4065" t="s">
        <v>3228</v>
      </c>
    </row>
    <row r="4066" spans="1:10" x14ac:dyDescent="0.25">
      <c r="A4066" t="s">
        <v>3243</v>
      </c>
      <c r="B4066" t="s">
        <v>483</v>
      </c>
      <c r="C4066" s="22">
        <v>46183</v>
      </c>
      <c r="D4066" t="s">
        <v>22</v>
      </c>
      <c r="E4066" t="s">
        <v>81</v>
      </c>
      <c r="F4066">
        <v>5525</v>
      </c>
      <c r="G4066" t="s">
        <v>44</v>
      </c>
      <c r="H4066" t="s">
        <v>353</v>
      </c>
      <c r="I4066" t="s">
        <v>347</v>
      </c>
      <c r="J4066" t="s">
        <v>3230</v>
      </c>
    </row>
    <row r="4067" spans="1:10" x14ac:dyDescent="0.25">
      <c r="A4067" t="s">
        <v>3244</v>
      </c>
      <c r="B4067" t="s">
        <v>483</v>
      </c>
      <c r="C4067" s="22">
        <v>46183</v>
      </c>
      <c r="D4067" t="s">
        <v>22</v>
      </c>
      <c r="E4067" t="s">
        <v>81</v>
      </c>
      <c r="F4067">
        <v>5525</v>
      </c>
      <c r="G4067" t="s">
        <v>366</v>
      </c>
      <c r="H4067" t="s">
        <v>353</v>
      </c>
      <c r="I4067" t="s">
        <v>347</v>
      </c>
      <c r="J4067" t="s">
        <v>3232</v>
      </c>
    </row>
    <row r="4068" spans="1:10" x14ac:dyDescent="0.25">
      <c r="A4068" t="s">
        <v>3245</v>
      </c>
      <c r="B4068" t="s">
        <v>484</v>
      </c>
      <c r="C4068" s="22">
        <v>46183</v>
      </c>
      <c r="D4068" t="s">
        <v>22</v>
      </c>
      <c r="E4068" t="s">
        <v>81</v>
      </c>
      <c r="F4068">
        <v>5526</v>
      </c>
      <c r="G4068" t="s">
        <v>41</v>
      </c>
      <c r="H4068" t="s">
        <v>350</v>
      </c>
      <c r="I4068" t="s">
        <v>347</v>
      </c>
      <c r="J4068" t="s">
        <v>3226</v>
      </c>
    </row>
    <row r="4069" spans="1:10" x14ac:dyDescent="0.25">
      <c r="A4069" t="s">
        <v>3246</v>
      </c>
      <c r="B4069" t="s">
        <v>484</v>
      </c>
      <c r="C4069" s="22">
        <v>46183</v>
      </c>
      <c r="D4069" t="s">
        <v>22</v>
      </c>
      <c r="E4069" t="s">
        <v>81</v>
      </c>
      <c r="F4069">
        <v>5526</v>
      </c>
      <c r="G4069" t="s">
        <v>43</v>
      </c>
      <c r="H4069" t="s">
        <v>346</v>
      </c>
      <c r="I4069" t="s">
        <v>347</v>
      </c>
      <c r="J4069" t="s">
        <v>3228</v>
      </c>
    </row>
    <row r="4070" spans="1:10" x14ac:dyDescent="0.25">
      <c r="A4070" t="s">
        <v>3247</v>
      </c>
      <c r="B4070" t="s">
        <v>484</v>
      </c>
      <c r="C4070" s="22">
        <v>46183</v>
      </c>
      <c r="D4070" t="s">
        <v>22</v>
      </c>
      <c r="E4070" t="s">
        <v>81</v>
      </c>
      <c r="F4070">
        <v>5526</v>
      </c>
      <c r="G4070" t="s">
        <v>44</v>
      </c>
      <c r="H4070" t="s">
        <v>353</v>
      </c>
      <c r="I4070" t="s">
        <v>347</v>
      </c>
      <c r="J4070" t="s">
        <v>3230</v>
      </c>
    </row>
    <row r="4071" spans="1:10" x14ac:dyDescent="0.25">
      <c r="A4071" t="s">
        <v>3248</v>
      </c>
      <c r="B4071" t="s">
        <v>484</v>
      </c>
      <c r="C4071" s="22">
        <v>46183</v>
      </c>
      <c r="D4071" t="s">
        <v>22</v>
      </c>
      <c r="E4071" t="s">
        <v>81</v>
      </c>
      <c r="F4071">
        <v>5526</v>
      </c>
      <c r="G4071" t="s">
        <v>366</v>
      </c>
      <c r="H4071" t="s">
        <v>353</v>
      </c>
      <c r="I4071" t="s">
        <v>347</v>
      </c>
      <c r="J4071" t="s">
        <v>3232</v>
      </c>
    </row>
    <row r="4072" spans="1:10" x14ac:dyDescent="0.25">
      <c r="A4072" t="s">
        <v>3249</v>
      </c>
      <c r="B4072" t="s">
        <v>486</v>
      </c>
      <c r="C4072" s="22">
        <v>46183</v>
      </c>
      <c r="D4072" t="s">
        <v>21</v>
      </c>
      <c r="E4072" t="s">
        <v>81</v>
      </c>
      <c r="F4072">
        <v>5528</v>
      </c>
      <c r="G4072" t="s">
        <v>41</v>
      </c>
      <c r="H4072" t="s">
        <v>350</v>
      </c>
      <c r="I4072" t="s">
        <v>347</v>
      </c>
      <c r="J4072" t="s">
        <v>3250</v>
      </c>
    </row>
    <row r="4073" spans="1:10" x14ac:dyDescent="0.25">
      <c r="A4073" t="s">
        <v>3251</v>
      </c>
      <c r="B4073" t="s">
        <v>486</v>
      </c>
      <c r="C4073" s="22">
        <v>46183</v>
      </c>
      <c r="D4073" t="s">
        <v>21</v>
      </c>
      <c r="E4073" t="s">
        <v>81</v>
      </c>
      <c r="F4073">
        <v>5528</v>
      </c>
      <c r="G4073" t="s">
        <v>43</v>
      </c>
      <c r="H4073" t="s">
        <v>346</v>
      </c>
      <c r="I4073" t="s">
        <v>347</v>
      </c>
      <c r="J4073" t="s">
        <v>3252</v>
      </c>
    </row>
    <row r="4074" spans="1:10" x14ac:dyDescent="0.25">
      <c r="A4074" t="s">
        <v>3253</v>
      </c>
      <c r="B4074" t="s">
        <v>486</v>
      </c>
      <c r="C4074" s="22">
        <v>46183</v>
      </c>
      <c r="D4074" t="s">
        <v>21</v>
      </c>
      <c r="E4074" t="s">
        <v>81</v>
      </c>
      <c r="F4074">
        <v>5528</v>
      </c>
      <c r="G4074" t="s">
        <v>44</v>
      </c>
      <c r="H4074" t="s">
        <v>353</v>
      </c>
      <c r="I4074" t="s">
        <v>347</v>
      </c>
      <c r="J4074" t="s">
        <v>3254</v>
      </c>
    </row>
    <row r="4075" spans="1:10" x14ac:dyDescent="0.25">
      <c r="A4075" t="s">
        <v>3255</v>
      </c>
      <c r="B4075" t="s">
        <v>486</v>
      </c>
      <c r="C4075" s="22">
        <v>46183</v>
      </c>
      <c r="D4075" t="s">
        <v>21</v>
      </c>
      <c r="E4075" t="s">
        <v>81</v>
      </c>
      <c r="F4075">
        <v>5528</v>
      </c>
      <c r="G4075" t="s">
        <v>366</v>
      </c>
      <c r="H4075" t="s">
        <v>353</v>
      </c>
      <c r="I4075" t="s">
        <v>347</v>
      </c>
      <c r="J4075" t="s">
        <v>3256</v>
      </c>
    </row>
    <row r="4076" spans="1:10" x14ac:dyDescent="0.25">
      <c r="A4076" t="s">
        <v>3257</v>
      </c>
      <c r="B4076" t="s">
        <v>487</v>
      </c>
      <c r="C4076" s="22">
        <v>46183</v>
      </c>
      <c r="D4076" t="s">
        <v>21</v>
      </c>
      <c r="E4076" t="s">
        <v>81</v>
      </c>
      <c r="F4076">
        <v>5529</v>
      </c>
      <c r="G4076" t="s">
        <v>41</v>
      </c>
      <c r="H4076" t="s">
        <v>350</v>
      </c>
      <c r="I4076" t="s">
        <v>347</v>
      </c>
      <c r="J4076" t="s">
        <v>3250</v>
      </c>
    </row>
    <row r="4077" spans="1:10" x14ac:dyDescent="0.25">
      <c r="A4077" t="s">
        <v>3258</v>
      </c>
      <c r="B4077" t="s">
        <v>487</v>
      </c>
      <c r="C4077" s="22">
        <v>46183</v>
      </c>
      <c r="D4077" t="s">
        <v>21</v>
      </c>
      <c r="E4077" t="s">
        <v>81</v>
      </c>
      <c r="F4077">
        <v>5529</v>
      </c>
      <c r="G4077" t="s">
        <v>43</v>
      </c>
      <c r="H4077" t="s">
        <v>346</v>
      </c>
      <c r="I4077" t="s">
        <v>347</v>
      </c>
      <c r="J4077" t="s">
        <v>3252</v>
      </c>
    </row>
    <row r="4078" spans="1:10" x14ac:dyDescent="0.25">
      <c r="A4078" t="s">
        <v>3259</v>
      </c>
      <c r="B4078" t="s">
        <v>487</v>
      </c>
      <c r="C4078" s="22">
        <v>46183</v>
      </c>
      <c r="D4078" t="s">
        <v>21</v>
      </c>
      <c r="E4078" t="s">
        <v>81</v>
      </c>
      <c r="F4078">
        <v>5529</v>
      </c>
      <c r="G4078" t="s">
        <v>44</v>
      </c>
      <c r="H4078" t="s">
        <v>353</v>
      </c>
      <c r="I4078" t="s">
        <v>347</v>
      </c>
      <c r="J4078" t="s">
        <v>3254</v>
      </c>
    </row>
    <row r="4079" spans="1:10" x14ac:dyDescent="0.25">
      <c r="A4079" t="s">
        <v>3260</v>
      </c>
      <c r="B4079" t="s">
        <v>487</v>
      </c>
      <c r="C4079" s="22">
        <v>46183</v>
      </c>
      <c r="D4079" t="s">
        <v>21</v>
      </c>
      <c r="E4079" t="s">
        <v>81</v>
      </c>
      <c r="F4079">
        <v>5529</v>
      </c>
      <c r="G4079" t="s">
        <v>366</v>
      </c>
      <c r="H4079" t="s">
        <v>353</v>
      </c>
      <c r="I4079" t="s">
        <v>347</v>
      </c>
      <c r="J4079" t="s">
        <v>3256</v>
      </c>
    </row>
    <row r="4080" spans="1:10" x14ac:dyDescent="0.25">
      <c r="A4080" t="s">
        <v>3261</v>
      </c>
      <c r="B4080" t="s">
        <v>488</v>
      </c>
      <c r="C4080" s="22">
        <v>46183</v>
      </c>
      <c r="D4080" t="s">
        <v>21</v>
      </c>
      <c r="E4080" t="s">
        <v>81</v>
      </c>
      <c r="F4080">
        <v>5530</v>
      </c>
      <c r="G4080" t="s">
        <v>41</v>
      </c>
      <c r="H4080" t="s">
        <v>350</v>
      </c>
      <c r="I4080" t="s">
        <v>347</v>
      </c>
      <c r="J4080" t="s">
        <v>3250</v>
      </c>
    </row>
    <row r="4081" spans="1:10" x14ac:dyDescent="0.25">
      <c r="A4081" t="s">
        <v>3262</v>
      </c>
      <c r="B4081" t="s">
        <v>488</v>
      </c>
      <c r="C4081" s="22">
        <v>46183</v>
      </c>
      <c r="D4081" t="s">
        <v>21</v>
      </c>
      <c r="E4081" t="s">
        <v>81</v>
      </c>
      <c r="F4081">
        <v>5530</v>
      </c>
      <c r="G4081" t="s">
        <v>43</v>
      </c>
      <c r="H4081" t="s">
        <v>346</v>
      </c>
      <c r="I4081" t="s">
        <v>347</v>
      </c>
      <c r="J4081" t="s">
        <v>3252</v>
      </c>
    </row>
    <row r="4082" spans="1:10" x14ac:dyDescent="0.25">
      <c r="A4082" t="s">
        <v>3263</v>
      </c>
      <c r="B4082" t="s">
        <v>488</v>
      </c>
      <c r="C4082" s="22">
        <v>46183</v>
      </c>
      <c r="D4082" t="s">
        <v>21</v>
      </c>
      <c r="E4082" t="s">
        <v>81</v>
      </c>
      <c r="F4082">
        <v>5530</v>
      </c>
      <c r="G4082" t="s">
        <v>44</v>
      </c>
      <c r="H4082" t="s">
        <v>353</v>
      </c>
      <c r="I4082" t="s">
        <v>347</v>
      </c>
      <c r="J4082" t="s">
        <v>3254</v>
      </c>
    </row>
    <row r="4083" spans="1:10" x14ac:dyDescent="0.25">
      <c r="A4083" t="s">
        <v>3264</v>
      </c>
      <c r="B4083" t="s">
        <v>488</v>
      </c>
      <c r="C4083" s="22">
        <v>46183</v>
      </c>
      <c r="D4083" t="s">
        <v>21</v>
      </c>
      <c r="E4083" t="s">
        <v>81</v>
      </c>
      <c r="F4083">
        <v>5530</v>
      </c>
      <c r="G4083" t="s">
        <v>366</v>
      </c>
      <c r="H4083" t="s">
        <v>353</v>
      </c>
      <c r="I4083" t="s">
        <v>347</v>
      </c>
      <c r="J4083" t="s">
        <v>3256</v>
      </c>
    </row>
    <row r="4084" spans="1:10" x14ac:dyDescent="0.25">
      <c r="A4084" t="s">
        <v>3265</v>
      </c>
      <c r="B4084" t="s">
        <v>489</v>
      </c>
      <c r="C4084" s="22">
        <v>46183</v>
      </c>
      <c r="D4084" t="s">
        <v>21</v>
      </c>
      <c r="E4084" t="s">
        <v>81</v>
      </c>
      <c r="F4084">
        <v>5531</v>
      </c>
      <c r="G4084" t="s">
        <v>41</v>
      </c>
      <c r="H4084" t="s">
        <v>350</v>
      </c>
      <c r="I4084" t="s">
        <v>347</v>
      </c>
      <c r="J4084" t="s">
        <v>3266</v>
      </c>
    </row>
    <row r="4085" spans="1:10" x14ac:dyDescent="0.25">
      <c r="A4085" t="s">
        <v>3267</v>
      </c>
      <c r="B4085" t="s">
        <v>489</v>
      </c>
      <c r="C4085" s="22">
        <v>46183</v>
      </c>
      <c r="D4085" t="s">
        <v>21</v>
      </c>
      <c r="E4085" t="s">
        <v>81</v>
      </c>
      <c r="F4085">
        <v>5531</v>
      </c>
      <c r="G4085" t="s">
        <v>43</v>
      </c>
      <c r="H4085" t="s">
        <v>346</v>
      </c>
      <c r="I4085" t="s">
        <v>347</v>
      </c>
      <c r="J4085" t="s">
        <v>3268</v>
      </c>
    </row>
    <row r="4086" spans="1:10" x14ac:dyDescent="0.25">
      <c r="A4086" t="s">
        <v>3269</v>
      </c>
      <c r="B4086" t="s">
        <v>489</v>
      </c>
      <c r="C4086" s="22">
        <v>46183</v>
      </c>
      <c r="D4086" t="s">
        <v>21</v>
      </c>
      <c r="E4086" t="s">
        <v>81</v>
      </c>
      <c r="F4086">
        <v>5531</v>
      </c>
      <c r="G4086" t="s">
        <v>44</v>
      </c>
      <c r="H4086" t="s">
        <v>353</v>
      </c>
      <c r="I4086" t="s">
        <v>347</v>
      </c>
      <c r="J4086" t="s">
        <v>3270</v>
      </c>
    </row>
    <row r="4087" spans="1:10" x14ac:dyDescent="0.25">
      <c r="A4087" t="s">
        <v>3271</v>
      </c>
      <c r="B4087" t="s">
        <v>489</v>
      </c>
      <c r="C4087" s="22">
        <v>46183</v>
      </c>
      <c r="D4087" t="s">
        <v>21</v>
      </c>
      <c r="E4087" t="s">
        <v>81</v>
      </c>
      <c r="F4087">
        <v>5531</v>
      </c>
      <c r="G4087" t="s">
        <v>366</v>
      </c>
      <c r="H4087" t="s">
        <v>353</v>
      </c>
      <c r="I4087" t="s">
        <v>347</v>
      </c>
      <c r="J4087" t="s">
        <v>3272</v>
      </c>
    </row>
    <row r="4088" spans="1:10" x14ac:dyDescent="0.25">
      <c r="A4088" t="s">
        <v>3273</v>
      </c>
      <c r="B4088" t="s">
        <v>490</v>
      </c>
      <c r="C4088" s="22">
        <v>46183</v>
      </c>
      <c r="D4088" t="s">
        <v>21</v>
      </c>
      <c r="E4088" t="s">
        <v>81</v>
      </c>
      <c r="F4088">
        <v>5532</v>
      </c>
      <c r="G4088" t="s">
        <v>41</v>
      </c>
      <c r="H4088" t="s">
        <v>350</v>
      </c>
      <c r="I4088" t="s">
        <v>347</v>
      </c>
      <c r="J4088" t="s">
        <v>3250</v>
      </c>
    </row>
    <row r="4089" spans="1:10" x14ac:dyDescent="0.25">
      <c r="A4089" t="s">
        <v>3274</v>
      </c>
      <c r="B4089" t="s">
        <v>490</v>
      </c>
      <c r="C4089" s="22">
        <v>46183</v>
      </c>
      <c r="D4089" t="s">
        <v>21</v>
      </c>
      <c r="E4089" t="s">
        <v>81</v>
      </c>
      <c r="F4089">
        <v>5532</v>
      </c>
      <c r="G4089" t="s">
        <v>43</v>
      </c>
      <c r="H4089" t="s">
        <v>346</v>
      </c>
      <c r="I4089" t="s">
        <v>347</v>
      </c>
      <c r="J4089" t="s">
        <v>3252</v>
      </c>
    </row>
    <row r="4090" spans="1:10" x14ac:dyDescent="0.25">
      <c r="A4090" t="s">
        <v>3275</v>
      </c>
      <c r="B4090" t="s">
        <v>490</v>
      </c>
      <c r="C4090" s="22">
        <v>46183</v>
      </c>
      <c r="D4090" t="s">
        <v>21</v>
      </c>
      <c r="E4090" t="s">
        <v>81</v>
      </c>
      <c r="F4090">
        <v>5532</v>
      </c>
      <c r="G4090" t="s">
        <v>44</v>
      </c>
      <c r="H4090" t="s">
        <v>353</v>
      </c>
      <c r="I4090" t="s">
        <v>347</v>
      </c>
      <c r="J4090" t="s">
        <v>3254</v>
      </c>
    </row>
    <row r="4091" spans="1:10" x14ac:dyDescent="0.25">
      <c r="A4091" t="s">
        <v>3276</v>
      </c>
      <c r="B4091" t="s">
        <v>490</v>
      </c>
      <c r="C4091" s="22">
        <v>46183</v>
      </c>
      <c r="D4091" t="s">
        <v>21</v>
      </c>
      <c r="E4091" t="s">
        <v>81</v>
      </c>
      <c r="F4091">
        <v>5532</v>
      </c>
      <c r="G4091" t="s">
        <v>366</v>
      </c>
      <c r="H4091" t="s">
        <v>353</v>
      </c>
      <c r="I4091" t="s">
        <v>347</v>
      </c>
      <c r="J4091" t="s">
        <v>3256</v>
      </c>
    </row>
    <row r="4092" spans="1:10" x14ac:dyDescent="0.25">
      <c r="A4092" t="s">
        <v>3277</v>
      </c>
      <c r="B4092" t="s">
        <v>492</v>
      </c>
      <c r="C4092" s="22">
        <v>46183</v>
      </c>
      <c r="D4092" t="s">
        <v>22</v>
      </c>
      <c r="E4092" t="s">
        <v>81</v>
      </c>
      <c r="F4092">
        <v>5534</v>
      </c>
      <c r="G4092" t="s">
        <v>41</v>
      </c>
      <c r="H4092" t="s">
        <v>350</v>
      </c>
      <c r="I4092" t="s">
        <v>347</v>
      </c>
      <c r="J4092" t="s">
        <v>3250</v>
      </c>
    </row>
    <row r="4093" spans="1:10" x14ac:dyDescent="0.25">
      <c r="A4093" t="s">
        <v>3278</v>
      </c>
      <c r="B4093" t="s">
        <v>492</v>
      </c>
      <c r="C4093" s="22">
        <v>46183</v>
      </c>
      <c r="D4093" t="s">
        <v>22</v>
      </c>
      <c r="E4093" t="s">
        <v>81</v>
      </c>
      <c r="F4093">
        <v>5534</v>
      </c>
      <c r="G4093" t="s">
        <v>43</v>
      </c>
      <c r="H4093" t="s">
        <v>346</v>
      </c>
      <c r="I4093" t="s">
        <v>347</v>
      </c>
      <c r="J4093" t="s">
        <v>3252</v>
      </c>
    </row>
    <row r="4094" spans="1:10" x14ac:dyDescent="0.25">
      <c r="A4094" t="s">
        <v>3279</v>
      </c>
      <c r="B4094" t="s">
        <v>492</v>
      </c>
      <c r="C4094" s="22">
        <v>46183</v>
      </c>
      <c r="D4094" t="s">
        <v>22</v>
      </c>
      <c r="E4094" t="s">
        <v>81</v>
      </c>
      <c r="F4094">
        <v>5534</v>
      </c>
      <c r="G4094" t="s">
        <v>44</v>
      </c>
      <c r="H4094" t="s">
        <v>353</v>
      </c>
      <c r="I4094" t="s">
        <v>347</v>
      </c>
      <c r="J4094" t="s">
        <v>3254</v>
      </c>
    </row>
    <row r="4095" spans="1:10" x14ac:dyDescent="0.25">
      <c r="A4095" t="s">
        <v>3280</v>
      </c>
      <c r="B4095" t="s">
        <v>492</v>
      </c>
      <c r="C4095" s="22">
        <v>46183</v>
      </c>
      <c r="D4095" t="s">
        <v>22</v>
      </c>
      <c r="E4095" t="s">
        <v>81</v>
      </c>
      <c r="F4095">
        <v>5534</v>
      </c>
      <c r="G4095" t="s">
        <v>366</v>
      </c>
      <c r="H4095" t="s">
        <v>353</v>
      </c>
      <c r="I4095" t="s">
        <v>347</v>
      </c>
      <c r="J4095" t="s">
        <v>3256</v>
      </c>
    </row>
    <row r="4096" spans="1:10" x14ac:dyDescent="0.25">
      <c r="A4096" t="s">
        <v>3281</v>
      </c>
      <c r="B4096" t="s">
        <v>493</v>
      </c>
      <c r="C4096" s="22">
        <v>46183</v>
      </c>
      <c r="D4096" t="s">
        <v>21</v>
      </c>
      <c r="E4096" t="s">
        <v>81</v>
      </c>
      <c r="F4096">
        <v>5535</v>
      </c>
      <c r="G4096" t="s">
        <v>41</v>
      </c>
      <c r="H4096" t="s">
        <v>350</v>
      </c>
      <c r="I4096" t="s">
        <v>347</v>
      </c>
      <c r="J4096" t="s">
        <v>3282</v>
      </c>
    </row>
    <row r="4097" spans="1:10" x14ac:dyDescent="0.25">
      <c r="A4097" t="s">
        <v>3283</v>
      </c>
      <c r="B4097" t="s">
        <v>493</v>
      </c>
      <c r="C4097" s="22">
        <v>46183</v>
      </c>
      <c r="D4097" t="s">
        <v>21</v>
      </c>
      <c r="E4097" t="s">
        <v>81</v>
      </c>
      <c r="F4097">
        <v>5535</v>
      </c>
      <c r="G4097" t="s">
        <v>43</v>
      </c>
      <c r="H4097" t="s">
        <v>346</v>
      </c>
      <c r="I4097" t="s">
        <v>347</v>
      </c>
      <c r="J4097" t="s">
        <v>3284</v>
      </c>
    </row>
    <row r="4098" spans="1:10" x14ac:dyDescent="0.25">
      <c r="A4098" t="s">
        <v>3285</v>
      </c>
      <c r="B4098" t="s">
        <v>493</v>
      </c>
      <c r="C4098" s="22">
        <v>46183</v>
      </c>
      <c r="D4098" t="s">
        <v>21</v>
      </c>
      <c r="E4098" t="s">
        <v>81</v>
      </c>
      <c r="F4098">
        <v>5535</v>
      </c>
      <c r="G4098" t="s">
        <v>44</v>
      </c>
      <c r="H4098" t="s">
        <v>353</v>
      </c>
      <c r="I4098" t="s">
        <v>347</v>
      </c>
      <c r="J4098" t="s">
        <v>3286</v>
      </c>
    </row>
    <row r="4099" spans="1:10" x14ac:dyDescent="0.25">
      <c r="A4099" t="s">
        <v>3287</v>
      </c>
      <c r="B4099" t="s">
        <v>493</v>
      </c>
      <c r="C4099" s="22">
        <v>46183</v>
      </c>
      <c r="D4099" t="s">
        <v>21</v>
      </c>
      <c r="E4099" t="s">
        <v>81</v>
      </c>
      <c r="F4099">
        <v>5535</v>
      </c>
      <c r="G4099" t="s">
        <v>366</v>
      </c>
      <c r="H4099" t="s">
        <v>353</v>
      </c>
      <c r="I4099" t="s">
        <v>347</v>
      </c>
      <c r="J4099" t="s">
        <v>3288</v>
      </c>
    </row>
    <row r="4100" spans="1:10" x14ac:dyDescent="0.25">
      <c r="A4100" t="s">
        <v>3289</v>
      </c>
      <c r="B4100" t="s">
        <v>494</v>
      </c>
      <c r="C4100" s="22">
        <v>46183</v>
      </c>
      <c r="D4100" t="s">
        <v>21</v>
      </c>
      <c r="E4100" t="s">
        <v>81</v>
      </c>
      <c r="F4100">
        <v>5536</v>
      </c>
      <c r="G4100" t="s">
        <v>41</v>
      </c>
      <c r="H4100" t="s">
        <v>350</v>
      </c>
      <c r="I4100" t="s">
        <v>347</v>
      </c>
      <c r="J4100" t="s">
        <v>3282</v>
      </c>
    </row>
    <row r="4101" spans="1:10" x14ac:dyDescent="0.25">
      <c r="A4101" t="s">
        <v>3290</v>
      </c>
      <c r="B4101" t="s">
        <v>494</v>
      </c>
      <c r="C4101" s="22">
        <v>46183</v>
      </c>
      <c r="D4101" t="s">
        <v>21</v>
      </c>
      <c r="E4101" t="s">
        <v>81</v>
      </c>
      <c r="F4101">
        <v>5536</v>
      </c>
      <c r="G4101" t="s">
        <v>43</v>
      </c>
      <c r="H4101" t="s">
        <v>346</v>
      </c>
      <c r="I4101" t="s">
        <v>347</v>
      </c>
      <c r="J4101" t="s">
        <v>3284</v>
      </c>
    </row>
    <row r="4102" spans="1:10" x14ac:dyDescent="0.25">
      <c r="A4102" t="s">
        <v>3291</v>
      </c>
      <c r="B4102" t="s">
        <v>494</v>
      </c>
      <c r="C4102" s="22">
        <v>46183</v>
      </c>
      <c r="D4102" t="s">
        <v>21</v>
      </c>
      <c r="E4102" t="s">
        <v>81</v>
      </c>
      <c r="F4102">
        <v>5536</v>
      </c>
      <c r="G4102" t="s">
        <v>44</v>
      </c>
      <c r="H4102" t="s">
        <v>353</v>
      </c>
      <c r="I4102" t="s">
        <v>347</v>
      </c>
      <c r="J4102" t="s">
        <v>3286</v>
      </c>
    </row>
    <row r="4103" spans="1:10" x14ac:dyDescent="0.25">
      <c r="A4103" t="s">
        <v>3292</v>
      </c>
      <c r="B4103" t="s">
        <v>494</v>
      </c>
      <c r="C4103" s="22">
        <v>46183</v>
      </c>
      <c r="D4103" t="s">
        <v>21</v>
      </c>
      <c r="E4103" t="s">
        <v>81</v>
      </c>
      <c r="F4103">
        <v>5536</v>
      </c>
      <c r="G4103" t="s">
        <v>366</v>
      </c>
      <c r="H4103" t="s">
        <v>353</v>
      </c>
      <c r="I4103" t="s">
        <v>347</v>
      </c>
      <c r="J4103" t="s">
        <v>3288</v>
      </c>
    </row>
    <row r="4104" spans="1:10" x14ac:dyDescent="0.25">
      <c r="A4104" t="s">
        <v>3293</v>
      </c>
      <c r="B4104" t="s">
        <v>495</v>
      </c>
      <c r="C4104" s="22">
        <v>46183</v>
      </c>
      <c r="D4104" t="s">
        <v>21</v>
      </c>
      <c r="E4104" t="s">
        <v>81</v>
      </c>
      <c r="F4104">
        <v>5537</v>
      </c>
      <c r="G4104" t="s">
        <v>41</v>
      </c>
      <c r="H4104" t="s">
        <v>350</v>
      </c>
      <c r="I4104" t="s">
        <v>347</v>
      </c>
      <c r="J4104" t="s">
        <v>3294</v>
      </c>
    </row>
    <row r="4105" spans="1:10" x14ac:dyDescent="0.25">
      <c r="A4105" t="s">
        <v>3295</v>
      </c>
      <c r="B4105" t="s">
        <v>495</v>
      </c>
      <c r="C4105" s="22">
        <v>46183</v>
      </c>
      <c r="D4105" t="s">
        <v>21</v>
      </c>
      <c r="E4105" t="s">
        <v>81</v>
      </c>
      <c r="F4105">
        <v>5537</v>
      </c>
      <c r="G4105" t="s">
        <v>43</v>
      </c>
      <c r="H4105" t="s">
        <v>346</v>
      </c>
      <c r="I4105" t="s">
        <v>347</v>
      </c>
      <c r="J4105" t="s">
        <v>3296</v>
      </c>
    </row>
    <row r="4106" spans="1:10" x14ac:dyDescent="0.25">
      <c r="A4106" t="s">
        <v>3297</v>
      </c>
      <c r="B4106" t="s">
        <v>495</v>
      </c>
      <c r="C4106" s="22">
        <v>46183</v>
      </c>
      <c r="D4106" t="s">
        <v>21</v>
      </c>
      <c r="E4106" t="s">
        <v>81</v>
      </c>
      <c r="F4106">
        <v>5537</v>
      </c>
      <c r="G4106" t="s">
        <v>44</v>
      </c>
      <c r="H4106" t="s">
        <v>353</v>
      </c>
      <c r="I4106" t="s">
        <v>347</v>
      </c>
      <c r="J4106" t="s">
        <v>3298</v>
      </c>
    </row>
    <row r="4107" spans="1:10" x14ac:dyDescent="0.25">
      <c r="A4107" t="s">
        <v>3299</v>
      </c>
      <c r="B4107" t="s">
        <v>495</v>
      </c>
      <c r="C4107" s="22">
        <v>46183</v>
      </c>
      <c r="D4107" t="s">
        <v>21</v>
      </c>
      <c r="E4107" t="s">
        <v>81</v>
      </c>
      <c r="F4107">
        <v>5537</v>
      </c>
      <c r="G4107" t="s">
        <v>366</v>
      </c>
      <c r="H4107" t="s">
        <v>353</v>
      </c>
      <c r="I4107" t="s">
        <v>347</v>
      </c>
      <c r="J4107" t="s">
        <v>3300</v>
      </c>
    </row>
    <row r="4108" spans="1:10" x14ac:dyDescent="0.25">
      <c r="A4108" t="s">
        <v>3301</v>
      </c>
      <c r="B4108" t="s">
        <v>496</v>
      </c>
      <c r="C4108" s="22">
        <v>46183</v>
      </c>
      <c r="D4108" t="s">
        <v>21</v>
      </c>
      <c r="E4108" t="s">
        <v>81</v>
      </c>
      <c r="F4108">
        <v>5538</v>
      </c>
      <c r="G4108" t="s">
        <v>41</v>
      </c>
      <c r="H4108" t="s">
        <v>350</v>
      </c>
      <c r="I4108" t="s">
        <v>347</v>
      </c>
      <c r="J4108" t="s">
        <v>3294</v>
      </c>
    </row>
    <row r="4109" spans="1:10" x14ac:dyDescent="0.25">
      <c r="A4109" t="s">
        <v>3302</v>
      </c>
      <c r="B4109" t="s">
        <v>496</v>
      </c>
      <c r="C4109" s="22">
        <v>46183</v>
      </c>
      <c r="D4109" t="s">
        <v>21</v>
      </c>
      <c r="E4109" t="s">
        <v>81</v>
      </c>
      <c r="F4109">
        <v>5538</v>
      </c>
      <c r="G4109" t="s">
        <v>43</v>
      </c>
      <c r="H4109" t="s">
        <v>346</v>
      </c>
      <c r="I4109" t="s">
        <v>347</v>
      </c>
      <c r="J4109" t="s">
        <v>3296</v>
      </c>
    </row>
    <row r="4110" spans="1:10" x14ac:dyDescent="0.25">
      <c r="A4110" t="s">
        <v>3303</v>
      </c>
      <c r="B4110" t="s">
        <v>496</v>
      </c>
      <c r="C4110" s="22">
        <v>46183</v>
      </c>
      <c r="D4110" t="s">
        <v>21</v>
      </c>
      <c r="E4110" t="s">
        <v>81</v>
      </c>
      <c r="F4110">
        <v>5538</v>
      </c>
      <c r="G4110" t="s">
        <v>44</v>
      </c>
      <c r="H4110" t="s">
        <v>353</v>
      </c>
      <c r="I4110" t="s">
        <v>347</v>
      </c>
      <c r="J4110" t="s">
        <v>3298</v>
      </c>
    </row>
    <row r="4111" spans="1:10" x14ac:dyDescent="0.25">
      <c r="A4111" t="s">
        <v>3304</v>
      </c>
      <c r="B4111" t="s">
        <v>496</v>
      </c>
      <c r="C4111" s="22">
        <v>46183</v>
      </c>
      <c r="D4111" t="s">
        <v>21</v>
      </c>
      <c r="E4111" t="s">
        <v>81</v>
      </c>
      <c r="F4111">
        <v>5538</v>
      </c>
      <c r="G4111" t="s">
        <v>366</v>
      </c>
      <c r="H4111" t="s">
        <v>353</v>
      </c>
      <c r="I4111" t="s">
        <v>347</v>
      </c>
      <c r="J4111" t="s">
        <v>3300</v>
      </c>
    </row>
    <row r="4112" spans="1:10" x14ac:dyDescent="0.25">
      <c r="A4112" t="s">
        <v>3305</v>
      </c>
      <c r="B4112" t="s">
        <v>497</v>
      </c>
      <c r="C4112" s="22">
        <v>46183</v>
      </c>
      <c r="D4112" t="s">
        <v>21</v>
      </c>
      <c r="E4112" t="s">
        <v>81</v>
      </c>
      <c r="F4112">
        <v>5539</v>
      </c>
      <c r="G4112" t="s">
        <v>41</v>
      </c>
      <c r="H4112" t="s">
        <v>350</v>
      </c>
      <c r="I4112" t="s">
        <v>347</v>
      </c>
      <c r="J4112" t="s">
        <v>3306</v>
      </c>
    </row>
    <row r="4113" spans="1:10" x14ac:dyDescent="0.25">
      <c r="A4113" t="s">
        <v>3307</v>
      </c>
      <c r="B4113" t="s">
        <v>497</v>
      </c>
      <c r="C4113" s="22">
        <v>46183</v>
      </c>
      <c r="D4113" t="s">
        <v>21</v>
      </c>
      <c r="E4113" t="s">
        <v>81</v>
      </c>
      <c r="F4113">
        <v>5539</v>
      </c>
      <c r="G4113" t="s">
        <v>43</v>
      </c>
      <c r="H4113" t="s">
        <v>346</v>
      </c>
      <c r="I4113" t="s">
        <v>347</v>
      </c>
      <c r="J4113" t="s">
        <v>3308</v>
      </c>
    </row>
    <row r="4114" spans="1:10" x14ac:dyDescent="0.25">
      <c r="A4114" t="s">
        <v>3309</v>
      </c>
      <c r="B4114" t="s">
        <v>497</v>
      </c>
      <c r="C4114" s="22">
        <v>46183</v>
      </c>
      <c r="D4114" t="s">
        <v>21</v>
      </c>
      <c r="E4114" t="s">
        <v>81</v>
      </c>
      <c r="F4114">
        <v>5539</v>
      </c>
      <c r="G4114" t="s">
        <v>44</v>
      </c>
      <c r="H4114" t="s">
        <v>353</v>
      </c>
      <c r="I4114" t="s">
        <v>347</v>
      </c>
      <c r="J4114" t="s">
        <v>3310</v>
      </c>
    </row>
    <row r="4115" spans="1:10" x14ac:dyDescent="0.25">
      <c r="A4115" t="s">
        <v>3311</v>
      </c>
      <c r="B4115" t="s">
        <v>497</v>
      </c>
      <c r="C4115" s="22">
        <v>46183</v>
      </c>
      <c r="D4115" t="s">
        <v>21</v>
      </c>
      <c r="E4115" t="s">
        <v>81</v>
      </c>
      <c r="F4115">
        <v>5539</v>
      </c>
      <c r="G4115" t="s">
        <v>366</v>
      </c>
      <c r="H4115" t="s">
        <v>353</v>
      </c>
      <c r="I4115" t="s">
        <v>347</v>
      </c>
      <c r="J4115" t="s">
        <v>3312</v>
      </c>
    </row>
    <row r="4116" spans="1:10" x14ac:dyDescent="0.25">
      <c r="A4116" t="s">
        <v>3313</v>
      </c>
      <c r="B4116" t="s">
        <v>498</v>
      </c>
      <c r="C4116" s="22">
        <v>46183</v>
      </c>
      <c r="D4116" t="s">
        <v>21</v>
      </c>
      <c r="E4116" t="s">
        <v>81</v>
      </c>
      <c r="F4116">
        <v>5540</v>
      </c>
      <c r="G4116" t="s">
        <v>41</v>
      </c>
      <c r="H4116" t="s">
        <v>350</v>
      </c>
      <c r="I4116" t="s">
        <v>347</v>
      </c>
      <c r="J4116" t="s">
        <v>3314</v>
      </c>
    </row>
    <row r="4117" spans="1:10" x14ac:dyDescent="0.25">
      <c r="A4117" t="s">
        <v>3315</v>
      </c>
      <c r="B4117" t="s">
        <v>498</v>
      </c>
      <c r="C4117" s="22">
        <v>46183</v>
      </c>
      <c r="D4117" t="s">
        <v>21</v>
      </c>
      <c r="E4117" t="s">
        <v>81</v>
      </c>
      <c r="F4117">
        <v>5540</v>
      </c>
      <c r="G4117" t="s">
        <v>43</v>
      </c>
      <c r="H4117" t="s">
        <v>346</v>
      </c>
      <c r="I4117" t="s">
        <v>347</v>
      </c>
      <c r="J4117" t="s">
        <v>3316</v>
      </c>
    </row>
    <row r="4118" spans="1:10" x14ac:dyDescent="0.25">
      <c r="A4118" t="s">
        <v>3317</v>
      </c>
      <c r="B4118" t="s">
        <v>498</v>
      </c>
      <c r="C4118" s="22">
        <v>46183</v>
      </c>
      <c r="D4118" t="s">
        <v>21</v>
      </c>
      <c r="E4118" t="s">
        <v>81</v>
      </c>
      <c r="F4118">
        <v>5540</v>
      </c>
      <c r="G4118" t="s">
        <v>44</v>
      </c>
      <c r="H4118" t="s">
        <v>353</v>
      </c>
      <c r="I4118" t="s">
        <v>347</v>
      </c>
      <c r="J4118" t="s">
        <v>3318</v>
      </c>
    </row>
    <row r="4119" spans="1:10" x14ac:dyDescent="0.25">
      <c r="A4119" t="s">
        <v>3319</v>
      </c>
      <c r="B4119" t="s">
        <v>498</v>
      </c>
      <c r="C4119" s="22">
        <v>46183</v>
      </c>
      <c r="D4119" t="s">
        <v>21</v>
      </c>
      <c r="E4119" t="s">
        <v>81</v>
      </c>
      <c r="F4119">
        <v>5540</v>
      </c>
      <c r="G4119" t="s">
        <v>366</v>
      </c>
      <c r="H4119" t="s">
        <v>353</v>
      </c>
      <c r="I4119" t="s">
        <v>347</v>
      </c>
      <c r="J4119" t="s">
        <v>3320</v>
      </c>
    </row>
    <row r="4120" spans="1:10" x14ac:dyDescent="0.25">
      <c r="A4120" t="s">
        <v>3321</v>
      </c>
      <c r="B4120" t="s">
        <v>499</v>
      </c>
      <c r="C4120" s="22">
        <v>46183</v>
      </c>
      <c r="D4120" t="s">
        <v>21</v>
      </c>
      <c r="E4120" t="s">
        <v>81</v>
      </c>
      <c r="F4120">
        <v>5541</v>
      </c>
      <c r="G4120" t="s">
        <v>41</v>
      </c>
      <c r="H4120" t="s">
        <v>350</v>
      </c>
      <c r="I4120" t="s">
        <v>347</v>
      </c>
      <c r="J4120" t="s">
        <v>3314</v>
      </c>
    </row>
    <row r="4121" spans="1:10" x14ac:dyDescent="0.25">
      <c r="A4121" t="s">
        <v>3322</v>
      </c>
      <c r="B4121" t="s">
        <v>499</v>
      </c>
      <c r="C4121" s="22">
        <v>46183</v>
      </c>
      <c r="D4121" t="s">
        <v>21</v>
      </c>
      <c r="E4121" t="s">
        <v>81</v>
      </c>
      <c r="F4121">
        <v>5541</v>
      </c>
      <c r="G4121" t="s">
        <v>43</v>
      </c>
      <c r="H4121" t="s">
        <v>346</v>
      </c>
      <c r="I4121" t="s">
        <v>347</v>
      </c>
      <c r="J4121" t="s">
        <v>3316</v>
      </c>
    </row>
    <row r="4122" spans="1:10" x14ac:dyDescent="0.25">
      <c r="A4122" t="s">
        <v>3323</v>
      </c>
      <c r="B4122" t="s">
        <v>499</v>
      </c>
      <c r="C4122" s="22">
        <v>46183</v>
      </c>
      <c r="D4122" t="s">
        <v>21</v>
      </c>
      <c r="E4122" t="s">
        <v>81</v>
      </c>
      <c r="F4122">
        <v>5541</v>
      </c>
      <c r="G4122" t="s">
        <v>44</v>
      </c>
      <c r="H4122" t="s">
        <v>353</v>
      </c>
      <c r="I4122" t="s">
        <v>347</v>
      </c>
      <c r="J4122" t="s">
        <v>3318</v>
      </c>
    </row>
    <row r="4123" spans="1:10" x14ac:dyDescent="0.25">
      <c r="A4123" t="s">
        <v>3324</v>
      </c>
      <c r="B4123" t="s">
        <v>499</v>
      </c>
      <c r="C4123" s="22">
        <v>46183</v>
      </c>
      <c r="D4123" t="s">
        <v>21</v>
      </c>
      <c r="E4123" t="s">
        <v>81</v>
      </c>
      <c r="F4123">
        <v>5541</v>
      </c>
      <c r="G4123" t="s">
        <v>366</v>
      </c>
      <c r="H4123" t="s">
        <v>353</v>
      </c>
      <c r="I4123" t="s">
        <v>347</v>
      </c>
      <c r="J4123" t="s">
        <v>3320</v>
      </c>
    </row>
    <row r="4124" spans="1:10" x14ac:dyDescent="0.25">
      <c r="A4124" t="s">
        <v>3325</v>
      </c>
      <c r="B4124" t="s">
        <v>500</v>
      </c>
      <c r="C4124" s="22">
        <v>46183</v>
      </c>
      <c r="D4124" t="s">
        <v>22</v>
      </c>
      <c r="E4124" t="s">
        <v>81</v>
      </c>
      <c r="F4124">
        <v>5543</v>
      </c>
      <c r="G4124" t="s">
        <v>41</v>
      </c>
      <c r="H4124" t="s">
        <v>350</v>
      </c>
      <c r="I4124" t="s">
        <v>347</v>
      </c>
      <c r="J4124" t="s">
        <v>3326</v>
      </c>
    </row>
    <row r="4125" spans="1:10" x14ac:dyDescent="0.25">
      <c r="A4125" t="s">
        <v>3327</v>
      </c>
      <c r="B4125" t="s">
        <v>500</v>
      </c>
      <c r="C4125" s="22">
        <v>46183</v>
      </c>
      <c r="D4125" t="s">
        <v>22</v>
      </c>
      <c r="E4125" t="s">
        <v>81</v>
      </c>
      <c r="F4125">
        <v>5543</v>
      </c>
      <c r="G4125" t="s">
        <v>43</v>
      </c>
      <c r="H4125" t="s">
        <v>346</v>
      </c>
      <c r="I4125" t="s">
        <v>347</v>
      </c>
      <c r="J4125" t="s">
        <v>3328</v>
      </c>
    </row>
    <row r="4126" spans="1:10" x14ac:dyDescent="0.25">
      <c r="A4126" t="s">
        <v>3329</v>
      </c>
      <c r="B4126" t="s">
        <v>500</v>
      </c>
      <c r="C4126" s="22">
        <v>46183</v>
      </c>
      <c r="D4126" t="s">
        <v>22</v>
      </c>
      <c r="E4126" t="s">
        <v>81</v>
      </c>
      <c r="F4126">
        <v>5543</v>
      </c>
      <c r="G4126" t="s">
        <v>44</v>
      </c>
      <c r="H4126" t="s">
        <v>353</v>
      </c>
      <c r="I4126" t="s">
        <v>347</v>
      </c>
      <c r="J4126" t="s">
        <v>3330</v>
      </c>
    </row>
    <row r="4127" spans="1:10" x14ac:dyDescent="0.25">
      <c r="A4127" t="s">
        <v>3331</v>
      </c>
      <c r="B4127" t="s">
        <v>501</v>
      </c>
      <c r="C4127" s="22">
        <v>46183</v>
      </c>
      <c r="D4127" t="s">
        <v>22</v>
      </c>
      <c r="E4127" t="s">
        <v>81</v>
      </c>
      <c r="F4127">
        <v>5544</v>
      </c>
      <c r="G4127" t="s">
        <v>41</v>
      </c>
      <c r="H4127" t="s">
        <v>350</v>
      </c>
      <c r="I4127" t="s">
        <v>347</v>
      </c>
      <c r="J4127" t="s">
        <v>3326</v>
      </c>
    </row>
    <row r="4128" spans="1:10" x14ac:dyDescent="0.25">
      <c r="A4128" t="s">
        <v>3332</v>
      </c>
      <c r="B4128" t="s">
        <v>501</v>
      </c>
      <c r="C4128" s="22">
        <v>46183</v>
      </c>
      <c r="D4128" t="s">
        <v>22</v>
      </c>
      <c r="E4128" t="s">
        <v>81</v>
      </c>
      <c r="F4128">
        <v>5544</v>
      </c>
      <c r="G4128" t="s">
        <v>43</v>
      </c>
      <c r="H4128" t="s">
        <v>346</v>
      </c>
      <c r="I4128" t="s">
        <v>347</v>
      </c>
      <c r="J4128" t="s">
        <v>3328</v>
      </c>
    </row>
    <row r="4129" spans="1:10" x14ac:dyDescent="0.25">
      <c r="A4129" t="s">
        <v>3333</v>
      </c>
      <c r="B4129" t="s">
        <v>501</v>
      </c>
      <c r="C4129" s="22">
        <v>46183</v>
      </c>
      <c r="D4129" t="s">
        <v>22</v>
      </c>
      <c r="E4129" t="s">
        <v>81</v>
      </c>
      <c r="F4129">
        <v>5544</v>
      </c>
      <c r="G4129" t="s">
        <v>44</v>
      </c>
      <c r="H4129" t="s">
        <v>353</v>
      </c>
      <c r="I4129" t="s">
        <v>347</v>
      </c>
      <c r="J4129" t="s">
        <v>3330</v>
      </c>
    </row>
    <row r="4130" spans="1:10" x14ac:dyDescent="0.25">
      <c r="A4130" t="s">
        <v>3334</v>
      </c>
      <c r="B4130" t="s">
        <v>502</v>
      </c>
      <c r="C4130" s="22">
        <v>46183</v>
      </c>
      <c r="D4130" t="s">
        <v>21</v>
      </c>
      <c r="E4130" t="s">
        <v>81</v>
      </c>
      <c r="F4130">
        <v>5545</v>
      </c>
      <c r="G4130" t="s">
        <v>41</v>
      </c>
      <c r="H4130" t="s">
        <v>350</v>
      </c>
      <c r="I4130" t="s">
        <v>347</v>
      </c>
      <c r="J4130" t="s">
        <v>3326</v>
      </c>
    </row>
    <row r="4131" spans="1:10" x14ac:dyDescent="0.25">
      <c r="A4131" t="s">
        <v>3335</v>
      </c>
      <c r="B4131" t="s">
        <v>502</v>
      </c>
      <c r="C4131" s="22">
        <v>46183</v>
      </c>
      <c r="D4131" t="s">
        <v>21</v>
      </c>
      <c r="E4131" t="s">
        <v>81</v>
      </c>
      <c r="F4131">
        <v>5545</v>
      </c>
      <c r="G4131" t="s">
        <v>43</v>
      </c>
      <c r="H4131" t="s">
        <v>346</v>
      </c>
      <c r="I4131" t="s">
        <v>347</v>
      </c>
      <c r="J4131" t="s">
        <v>3328</v>
      </c>
    </row>
    <row r="4132" spans="1:10" x14ac:dyDescent="0.25">
      <c r="A4132" t="s">
        <v>3336</v>
      </c>
      <c r="B4132" t="s">
        <v>502</v>
      </c>
      <c r="C4132" s="22">
        <v>46183</v>
      </c>
      <c r="D4132" t="s">
        <v>21</v>
      </c>
      <c r="E4132" t="s">
        <v>81</v>
      </c>
      <c r="F4132">
        <v>5545</v>
      </c>
      <c r="G4132" t="s">
        <v>44</v>
      </c>
      <c r="H4132" t="s">
        <v>353</v>
      </c>
      <c r="I4132" t="s">
        <v>347</v>
      </c>
      <c r="J4132" t="s">
        <v>3330</v>
      </c>
    </row>
    <row r="4133" spans="1:10" x14ac:dyDescent="0.25">
      <c r="A4133" t="s">
        <v>3337</v>
      </c>
      <c r="B4133" t="s">
        <v>504</v>
      </c>
      <c r="C4133" s="22">
        <v>46183</v>
      </c>
      <c r="D4133" t="s">
        <v>21</v>
      </c>
      <c r="E4133" t="s">
        <v>81</v>
      </c>
      <c r="F4133">
        <v>5547</v>
      </c>
      <c r="G4133" t="s">
        <v>41</v>
      </c>
      <c r="H4133" t="s">
        <v>350</v>
      </c>
      <c r="I4133" t="s">
        <v>347</v>
      </c>
      <c r="J4133" t="s">
        <v>3326</v>
      </c>
    </row>
    <row r="4134" spans="1:10" x14ac:dyDescent="0.25">
      <c r="A4134" t="s">
        <v>3338</v>
      </c>
      <c r="B4134" t="s">
        <v>504</v>
      </c>
      <c r="C4134" s="22">
        <v>46183</v>
      </c>
      <c r="D4134" t="s">
        <v>21</v>
      </c>
      <c r="E4134" t="s">
        <v>81</v>
      </c>
      <c r="F4134">
        <v>5547</v>
      </c>
      <c r="G4134" t="s">
        <v>43</v>
      </c>
      <c r="H4134" t="s">
        <v>346</v>
      </c>
      <c r="I4134" t="s">
        <v>347</v>
      </c>
      <c r="J4134" t="s">
        <v>3328</v>
      </c>
    </row>
    <row r="4135" spans="1:10" x14ac:dyDescent="0.25">
      <c r="A4135" t="s">
        <v>3339</v>
      </c>
      <c r="B4135" t="s">
        <v>504</v>
      </c>
      <c r="C4135" s="22">
        <v>46183</v>
      </c>
      <c r="D4135" t="s">
        <v>21</v>
      </c>
      <c r="E4135" t="s">
        <v>81</v>
      </c>
      <c r="F4135">
        <v>5547</v>
      </c>
      <c r="G4135" t="s">
        <v>44</v>
      </c>
      <c r="H4135" t="s">
        <v>353</v>
      </c>
      <c r="I4135" t="s">
        <v>347</v>
      </c>
      <c r="J4135" t="s">
        <v>3330</v>
      </c>
    </row>
    <row r="4136" spans="1:10" x14ac:dyDescent="0.25">
      <c r="A4136" t="s">
        <v>3340</v>
      </c>
      <c r="B4136" t="s">
        <v>505</v>
      </c>
      <c r="C4136" s="22">
        <v>46183</v>
      </c>
      <c r="D4136" t="s">
        <v>21</v>
      </c>
      <c r="E4136" t="s">
        <v>81</v>
      </c>
      <c r="F4136">
        <v>5548</v>
      </c>
      <c r="G4136" t="s">
        <v>41</v>
      </c>
      <c r="H4136" t="s">
        <v>350</v>
      </c>
      <c r="I4136" t="s">
        <v>347</v>
      </c>
      <c r="J4136" t="s">
        <v>3326</v>
      </c>
    </row>
    <row r="4137" spans="1:10" x14ac:dyDescent="0.25">
      <c r="A4137" t="s">
        <v>3341</v>
      </c>
      <c r="B4137" t="s">
        <v>505</v>
      </c>
      <c r="C4137" s="22">
        <v>46183</v>
      </c>
      <c r="D4137" t="s">
        <v>21</v>
      </c>
      <c r="E4137" t="s">
        <v>81</v>
      </c>
      <c r="F4137">
        <v>5548</v>
      </c>
      <c r="G4137" t="s">
        <v>43</v>
      </c>
      <c r="H4137" t="s">
        <v>346</v>
      </c>
      <c r="I4137" t="s">
        <v>347</v>
      </c>
      <c r="J4137" t="s">
        <v>3328</v>
      </c>
    </row>
    <row r="4138" spans="1:10" x14ac:dyDescent="0.25">
      <c r="A4138" t="s">
        <v>3342</v>
      </c>
      <c r="B4138" t="s">
        <v>505</v>
      </c>
      <c r="C4138" s="22">
        <v>46183</v>
      </c>
      <c r="D4138" t="s">
        <v>21</v>
      </c>
      <c r="E4138" t="s">
        <v>81</v>
      </c>
      <c r="F4138">
        <v>5548</v>
      </c>
      <c r="G4138" t="s">
        <v>44</v>
      </c>
      <c r="H4138" t="s">
        <v>353</v>
      </c>
      <c r="I4138" t="s">
        <v>347</v>
      </c>
      <c r="J4138" t="s">
        <v>3330</v>
      </c>
    </row>
    <row r="4139" spans="1:10" x14ac:dyDescent="0.25">
      <c r="A4139" t="s">
        <v>3343</v>
      </c>
      <c r="B4139" t="s">
        <v>506</v>
      </c>
      <c r="C4139" s="22">
        <v>46183</v>
      </c>
      <c r="D4139" t="s">
        <v>21</v>
      </c>
      <c r="E4139" t="s">
        <v>81</v>
      </c>
      <c r="F4139">
        <v>5549</v>
      </c>
      <c r="G4139" t="s">
        <v>41</v>
      </c>
      <c r="H4139" t="s">
        <v>350</v>
      </c>
      <c r="I4139" t="s">
        <v>347</v>
      </c>
      <c r="J4139" t="s">
        <v>3344</v>
      </c>
    </row>
    <row r="4140" spans="1:10" x14ac:dyDescent="0.25">
      <c r="A4140" t="s">
        <v>3345</v>
      </c>
      <c r="B4140" t="s">
        <v>506</v>
      </c>
      <c r="C4140" s="22">
        <v>46183</v>
      </c>
      <c r="D4140" t="s">
        <v>21</v>
      </c>
      <c r="E4140" t="s">
        <v>81</v>
      </c>
      <c r="F4140">
        <v>5549</v>
      </c>
      <c r="G4140" t="s">
        <v>43</v>
      </c>
      <c r="H4140" t="s">
        <v>346</v>
      </c>
      <c r="I4140" t="s">
        <v>347</v>
      </c>
      <c r="J4140" t="s">
        <v>3346</v>
      </c>
    </row>
    <row r="4141" spans="1:10" x14ac:dyDescent="0.25">
      <c r="A4141" t="s">
        <v>3347</v>
      </c>
      <c r="B4141" t="s">
        <v>506</v>
      </c>
      <c r="C4141" s="22">
        <v>46183</v>
      </c>
      <c r="D4141" t="s">
        <v>21</v>
      </c>
      <c r="E4141" t="s">
        <v>81</v>
      </c>
      <c r="F4141">
        <v>5549</v>
      </c>
      <c r="G4141" t="s">
        <v>44</v>
      </c>
      <c r="H4141" t="s">
        <v>353</v>
      </c>
      <c r="I4141" t="s">
        <v>347</v>
      </c>
      <c r="J4141" t="s">
        <v>3348</v>
      </c>
    </row>
    <row r="4142" spans="1:10" x14ac:dyDescent="0.25">
      <c r="A4142" t="s">
        <v>3349</v>
      </c>
      <c r="B4142" t="s">
        <v>507</v>
      </c>
      <c r="C4142" s="22">
        <v>46183</v>
      </c>
      <c r="D4142" t="s">
        <v>22</v>
      </c>
      <c r="E4142" t="s">
        <v>81</v>
      </c>
      <c r="F4142">
        <v>5550</v>
      </c>
      <c r="G4142" t="s">
        <v>41</v>
      </c>
      <c r="H4142" t="s">
        <v>350</v>
      </c>
      <c r="I4142" t="s">
        <v>347</v>
      </c>
      <c r="J4142" t="s">
        <v>3350</v>
      </c>
    </row>
    <row r="4143" spans="1:10" x14ac:dyDescent="0.25">
      <c r="A4143" t="s">
        <v>3351</v>
      </c>
      <c r="B4143" t="s">
        <v>507</v>
      </c>
      <c r="C4143" s="22">
        <v>46183</v>
      </c>
      <c r="D4143" t="s">
        <v>22</v>
      </c>
      <c r="E4143" t="s">
        <v>81</v>
      </c>
      <c r="F4143">
        <v>5550</v>
      </c>
      <c r="G4143" t="s">
        <v>43</v>
      </c>
      <c r="H4143" t="s">
        <v>346</v>
      </c>
      <c r="I4143" t="s">
        <v>347</v>
      </c>
      <c r="J4143" t="s">
        <v>3352</v>
      </c>
    </row>
    <row r="4144" spans="1:10" x14ac:dyDescent="0.25">
      <c r="A4144" t="s">
        <v>3353</v>
      </c>
      <c r="B4144" t="s">
        <v>507</v>
      </c>
      <c r="C4144" s="22">
        <v>46183</v>
      </c>
      <c r="D4144" t="s">
        <v>22</v>
      </c>
      <c r="E4144" t="s">
        <v>81</v>
      </c>
      <c r="F4144">
        <v>5550</v>
      </c>
      <c r="G4144" t="s">
        <v>44</v>
      </c>
      <c r="H4144" t="s">
        <v>353</v>
      </c>
      <c r="I4144" t="s">
        <v>347</v>
      </c>
      <c r="J4144" t="s">
        <v>3354</v>
      </c>
    </row>
    <row r="4145" spans="1:10" x14ac:dyDescent="0.25">
      <c r="A4145" t="s">
        <v>3355</v>
      </c>
      <c r="B4145" t="s">
        <v>508</v>
      </c>
      <c r="C4145" s="22">
        <v>46183</v>
      </c>
      <c r="D4145" t="s">
        <v>21</v>
      </c>
      <c r="E4145" t="s">
        <v>81</v>
      </c>
      <c r="F4145">
        <v>5551</v>
      </c>
      <c r="G4145" t="s">
        <v>41</v>
      </c>
      <c r="H4145" t="s">
        <v>350</v>
      </c>
      <c r="I4145" t="s">
        <v>347</v>
      </c>
      <c r="J4145" t="s">
        <v>3356</v>
      </c>
    </row>
    <row r="4146" spans="1:10" x14ac:dyDescent="0.25">
      <c r="A4146" t="s">
        <v>3357</v>
      </c>
      <c r="B4146" t="s">
        <v>508</v>
      </c>
      <c r="C4146" s="22">
        <v>46183</v>
      </c>
      <c r="D4146" t="s">
        <v>21</v>
      </c>
      <c r="E4146" t="s">
        <v>81</v>
      </c>
      <c r="F4146">
        <v>5551</v>
      </c>
      <c r="G4146" t="s">
        <v>43</v>
      </c>
      <c r="H4146" t="s">
        <v>346</v>
      </c>
      <c r="I4146" t="s">
        <v>347</v>
      </c>
      <c r="J4146" t="s">
        <v>3358</v>
      </c>
    </row>
    <row r="4147" spans="1:10" x14ac:dyDescent="0.25">
      <c r="A4147" t="s">
        <v>3359</v>
      </c>
      <c r="B4147" t="s">
        <v>508</v>
      </c>
      <c r="C4147" s="22">
        <v>46183</v>
      </c>
      <c r="D4147" t="s">
        <v>21</v>
      </c>
      <c r="E4147" t="s">
        <v>81</v>
      </c>
      <c r="F4147">
        <v>5551</v>
      </c>
      <c r="G4147" t="s">
        <v>44</v>
      </c>
      <c r="H4147" t="s">
        <v>353</v>
      </c>
      <c r="I4147" t="s">
        <v>347</v>
      </c>
      <c r="J4147" t="s">
        <v>3360</v>
      </c>
    </row>
    <row r="4148" spans="1:10" x14ac:dyDescent="0.25">
      <c r="A4148" t="s">
        <v>3361</v>
      </c>
      <c r="B4148" t="s">
        <v>509</v>
      </c>
      <c r="C4148" s="22">
        <v>46183</v>
      </c>
      <c r="D4148" t="s">
        <v>21</v>
      </c>
      <c r="E4148" t="s">
        <v>81</v>
      </c>
      <c r="F4148">
        <v>5552</v>
      </c>
      <c r="G4148" t="s">
        <v>41</v>
      </c>
      <c r="H4148" t="s">
        <v>350</v>
      </c>
      <c r="I4148" t="s">
        <v>347</v>
      </c>
      <c r="J4148" t="s">
        <v>3356</v>
      </c>
    </row>
    <row r="4149" spans="1:10" x14ac:dyDescent="0.25">
      <c r="A4149" t="s">
        <v>3362</v>
      </c>
      <c r="B4149" t="s">
        <v>509</v>
      </c>
      <c r="C4149" s="22">
        <v>46183</v>
      </c>
      <c r="D4149" t="s">
        <v>21</v>
      </c>
      <c r="E4149" t="s">
        <v>81</v>
      </c>
      <c r="F4149">
        <v>5552</v>
      </c>
      <c r="G4149" t="s">
        <v>43</v>
      </c>
      <c r="H4149" t="s">
        <v>346</v>
      </c>
      <c r="I4149" t="s">
        <v>347</v>
      </c>
      <c r="J4149" t="s">
        <v>3358</v>
      </c>
    </row>
    <row r="4150" spans="1:10" x14ac:dyDescent="0.25">
      <c r="A4150" t="s">
        <v>3363</v>
      </c>
      <c r="B4150" t="s">
        <v>509</v>
      </c>
      <c r="C4150" s="22">
        <v>46183</v>
      </c>
      <c r="D4150" t="s">
        <v>21</v>
      </c>
      <c r="E4150" t="s">
        <v>81</v>
      </c>
      <c r="F4150">
        <v>5552</v>
      </c>
      <c r="G4150" t="s">
        <v>44</v>
      </c>
      <c r="H4150" t="s">
        <v>353</v>
      </c>
      <c r="I4150" t="s">
        <v>347</v>
      </c>
      <c r="J4150" t="s">
        <v>3360</v>
      </c>
    </row>
    <row r="4151" spans="1:10" x14ac:dyDescent="0.25">
      <c r="A4151" t="s">
        <v>3364</v>
      </c>
      <c r="B4151" t="s">
        <v>510</v>
      </c>
      <c r="C4151" s="22">
        <v>46183</v>
      </c>
      <c r="D4151" t="s">
        <v>21</v>
      </c>
      <c r="E4151" t="s">
        <v>81</v>
      </c>
      <c r="F4151">
        <v>5553</v>
      </c>
      <c r="G4151" t="s">
        <v>41</v>
      </c>
      <c r="H4151" t="s">
        <v>350</v>
      </c>
      <c r="I4151" t="s">
        <v>347</v>
      </c>
      <c r="J4151" t="s">
        <v>3356</v>
      </c>
    </row>
    <row r="4152" spans="1:10" x14ac:dyDescent="0.25">
      <c r="A4152" t="s">
        <v>3365</v>
      </c>
      <c r="B4152" t="s">
        <v>510</v>
      </c>
      <c r="C4152" s="22">
        <v>46183</v>
      </c>
      <c r="D4152" t="s">
        <v>21</v>
      </c>
      <c r="E4152" t="s">
        <v>81</v>
      </c>
      <c r="F4152">
        <v>5553</v>
      </c>
      <c r="G4152" t="s">
        <v>43</v>
      </c>
      <c r="H4152" t="s">
        <v>346</v>
      </c>
      <c r="I4152" t="s">
        <v>347</v>
      </c>
      <c r="J4152" t="s">
        <v>3358</v>
      </c>
    </row>
    <row r="4153" spans="1:10" x14ac:dyDescent="0.25">
      <c r="A4153" t="s">
        <v>3366</v>
      </c>
      <c r="B4153" t="s">
        <v>510</v>
      </c>
      <c r="C4153" s="22">
        <v>46183</v>
      </c>
      <c r="D4153" t="s">
        <v>21</v>
      </c>
      <c r="E4153" t="s">
        <v>81</v>
      </c>
      <c r="F4153">
        <v>5553</v>
      </c>
      <c r="G4153" t="s">
        <v>44</v>
      </c>
      <c r="H4153" t="s">
        <v>353</v>
      </c>
      <c r="I4153" t="s">
        <v>347</v>
      </c>
      <c r="J4153" t="s">
        <v>3360</v>
      </c>
    </row>
    <row r="4154" spans="1:10" x14ac:dyDescent="0.25">
      <c r="A4154" t="s">
        <v>3367</v>
      </c>
      <c r="B4154" t="s">
        <v>511</v>
      </c>
      <c r="C4154" s="22">
        <v>46183</v>
      </c>
      <c r="D4154" t="s">
        <v>21</v>
      </c>
      <c r="E4154" t="s">
        <v>81</v>
      </c>
      <c r="F4154">
        <v>5554</v>
      </c>
      <c r="G4154" t="s">
        <v>41</v>
      </c>
      <c r="H4154" t="s">
        <v>350</v>
      </c>
      <c r="I4154" t="s">
        <v>347</v>
      </c>
      <c r="J4154" t="s">
        <v>3356</v>
      </c>
    </row>
    <row r="4155" spans="1:10" x14ac:dyDescent="0.25">
      <c r="A4155" t="s">
        <v>3368</v>
      </c>
      <c r="B4155" t="s">
        <v>511</v>
      </c>
      <c r="C4155" s="22">
        <v>46183</v>
      </c>
      <c r="D4155" t="s">
        <v>21</v>
      </c>
      <c r="E4155" t="s">
        <v>81</v>
      </c>
      <c r="F4155">
        <v>5554</v>
      </c>
      <c r="G4155" t="s">
        <v>43</v>
      </c>
      <c r="H4155" t="s">
        <v>346</v>
      </c>
      <c r="I4155" t="s">
        <v>347</v>
      </c>
      <c r="J4155" t="s">
        <v>3358</v>
      </c>
    </row>
    <row r="4156" spans="1:10" x14ac:dyDescent="0.25">
      <c r="A4156" t="s">
        <v>3369</v>
      </c>
      <c r="B4156" t="s">
        <v>511</v>
      </c>
      <c r="C4156" s="22">
        <v>46183</v>
      </c>
      <c r="D4156" t="s">
        <v>21</v>
      </c>
      <c r="E4156" t="s">
        <v>81</v>
      </c>
      <c r="F4156">
        <v>5554</v>
      </c>
      <c r="G4156" t="s">
        <v>44</v>
      </c>
      <c r="H4156" t="s">
        <v>353</v>
      </c>
      <c r="I4156" t="s">
        <v>347</v>
      </c>
      <c r="J4156" t="s">
        <v>3360</v>
      </c>
    </row>
    <row r="4157" spans="1:10" x14ac:dyDescent="0.25">
      <c r="A4157" t="s">
        <v>3370</v>
      </c>
      <c r="B4157" t="s">
        <v>512</v>
      </c>
      <c r="C4157" s="22">
        <v>46183</v>
      </c>
      <c r="D4157" t="s">
        <v>22</v>
      </c>
      <c r="E4157" t="s">
        <v>81</v>
      </c>
      <c r="F4157">
        <v>5555</v>
      </c>
      <c r="G4157" t="s">
        <v>41</v>
      </c>
      <c r="H4157" t="s">
        <v>350</v>
      </c>
      <c r="I4157" t="s">
        <v>347</v>
      </c>
      <c r="J4157" t="s">
        <v>3356</v>
      </c>
    </row>
    <row r="4158" spans="1:10" x14ac:dyDescent="0.25">
      <c r="A4158" t="s">
        <v>3371</v>
      </c>
      <c r="B4158" t="s">
        <v>512</v>
      </c>
      <c r="C4158" s="22">
        <v>46183</v>
      </c>
      <c r="D4158" t="s">
        <v>22</v>
      </c>
      <c r="E4158" t="s">
        <v>81</v>
      </c>
      <c r="F4158">
        <v>5555</v>
      </c>
      <c r="G4158" t="s">
        <v>43</v>
      </c>
      <c r="H4158" t="s">
        <v>346</v>
      </c>
      <c r="I4158" t="s">
        <v>347</v>
      </c>
      <c r="J4158" t="s">
        <v>3358</v>
      </c>
    </row>
    <row r="4159" spans="1:10" x14ac:dyDescent="0.25">
      <c r="A4159" t="s">
        <v>3372</v>
      </c>
      <c r="B4159" t="s">
        <v>512</v>
      </c>
      <c r="C4159" s="22">
        <v>46183</v>
      </c>
      <c r="D4159" t="s">
        <v>22</v>
      </c>
      <c r="E4159" t="s">
        <v>81</v>
      </c>
      <c r="F4159">
        <v>5555</v>
      </c>
      <c r="G4159" t="s">
        <v>44</v>
      </c>
      <c r="H4159" t="s">
        <v>353</v>
      </c>
      <c r="I4159" t="s">
        <v>347</v>
      </c>
      <c r="J4159" t="s">
        <v>3360</v>
      </c>
    </row>
    <row r="4160" spans="1:10" x14ac:dyDescent="0.25">
      <c r="A4160" t="s">
        <v>3373</v>
      </c>
      <c r="B4160" t="s">
        <v>513</v>
      </c>
      <c r="C4160" s="22">
        <v>46183</v>
      </c>
      <c r="D4160" t="s">
        <v>22</v>
      </c>
      <c r="E4160" t="s">
        <v>81</v>
      </c>
      <c r="F4160">
        <v>5556</v>
      </c>
      <c r="G4160" t="s">
        <v>41</v>
      </c>
      <c r="H4160" t="s">
        <v>350</v>
      </c>
      <c r="I4160" t="s">
        <v>347</v>
      </c>
      <c r="J4160" t="s">
        <v>3374</v>
      </c>
    </row>
    <row r="4161" spans="1:10" x14ac:dyDescent="0.25">
      <c r="A4161" t="s">
        <v>3375</v>
      </c>
      <c r="B4161" t="s">
        <v>513</v>
      </c>
      <c r="C4161" s="22">
        <v>46183</v>
      </c>
      <c r="D4161" t="s">
        <v>22</v>
      </c>
      <c r="E4161" t="s">
        <v>81</v>
      </c>
      <c r="F4161">
        <v>5556</v>
      </c>
      <c r="G4161" t="s">
        <v>43</v>
      </c>
      <c r="H4161" t="s">
        <v>346</v>
      </c>
      <c r="I4161" t="s">
        <v>347</v>
      </c>
      <c r="J4161" t="s">
        <v>3376</v>
      </c>
    </row>
    <row r="4162" spans="1:10" x14ac:dyDescent="0.25">
      <c r="A4162" t="s">
        <v>3377</v>
      </c>
      <c r="B4162" t="s">
        <v>513</v>
      </c>
      <c r="C4162" s="22">
        <v>46183</v>
      </c>
      <c r="D4162" t="s">
        <v>22</v>
      </c>
      <c r="E4162" t="s">
        <v>81</v>
      </c>
      <c r="F4162">
        <v>5556</v>
      </c>
      <c r="G4162" t="s">
        <v>44</v>
      </c>
      <c r="H4162" t="s">
        <v>353</v>
      </c>
      <c r="I4162" t="s">
        <v>347</v>
      </c>
      <c r="J4162" t="s">
        <v>3378</v>
      </c>
    </row>
    <row r="4163" spans="1:10" x14ac:dyDescent="0.25">
      <c r="A4163" t="s">
        <v>3379</v>
      </c>
      <c r="B4163" t="s">
        <v>514</v>
      </c>
      <c r="C4163" s="22">
        <v>46183</v>
      </c>
      <c r="D4163" t="s">
        <v>21</v>
      </c>
      <c r="E4163" t="s">
        <v>81</v>
      </c>
      <c r="F4163">
        <v>5557</v>
      </c>
      <c r="G4163" t="s">
        <v>41</v>
      </c>
      <c r="H4163" t="s">
        <v>350</v>
      </c>
      <c r="I4163" t="s">
        <v>347</v>
      </c>
      <c r="J4163" t="s">
        <v>3380</v>
      </c>
    </row>
    <row r="4164" spans="1:10" x14ac:dyDescent="0.25">
      <c r="A4164" t="s">
        <v>3381</v>
      </c>
      <c r="B4164" t="s">
        <v>514</v>
      </c>
      <c r="C4164" s="22">
        <v>46183</v>
      </c>
      <c r="D4164" t="s">
        <v>21</v>
      </c>
      <c r="E4164" t="s">
        <v>81</v>
      </c>
      <c r="F4164">
        <v>5557</v>
      </c>
      <c r="G4164" t="s">
        <v>43</v>
      </c>
      <c r="H4164" t="s">
        <v>346</v>
      </c>
      <c r="I4164" t="s">
        <v>347</v>
      </c>
      <c r="J4164" t="s">
        <v>3382</v>
      </c>
    </row>
    <row r="4165" spans="1:10" x14ac:dyDescent="0.25">
      <c r="A4165" t="s">
        <v>3383</v>
      </c>
      <c r="B4165" t="s">
        <v>514</v>
      </c>
      <c r="C4165" s="22">
        <v>46183</v>
      </c>
      <c r="D4165" t="s">
        <v>21</v>
      </c>
      <c r="E4165" t="s">
        <v>81</v>
      </c>
      <c r="F4165">
        <v>5557</v>
      </c>
      <c r="G4165" t="s">
        <v>44</v>
      </c>
      <c r="H4165" t="s">
        <v>353</v>
      </c>
      <c r="I4165" t="s">
        <v>347</v>
      </c>
      <c r="J4165" t="s">
        <v>3384</v>
      </c>
    </row>
    <row r="4166" spans="1:10" x14ac:dyDescent="0.25">
      <c r="A4166" t="s">
        <v>3385</v>
      </c>
      <c r="B4166" t="s">
        <v>515</v>
      </c>
      <c r="C4166" s="22">
        <v>46183</v>
      </c>
      <c r="D4166" t="s">
        <v>21</v>
      </c>
      <c r="E4166" t="s">
        <v>81</v>
      </c>
      <c r="F4166">
        <v>5558</v>
      </c>
      <c r="G4166" t="s">
        <v>41</v>
      </c>
      <c r="H4166" t="s">
        <v>350</v>
      </c>
      <c r="I4166" t="s">
        <v>347</v>
      </c>
      <c r="J4166" t="s">
        <v>3374</v>
      </c>
    </row>
    <row r="4167" spans="1:10" x14ac:dyDescent="0.25">
      <c r="A4167" t="s">
        <v>3386</v>
      </c>
      <c r="B4167" t="s">
        <v>515</v>
      </c>
      <c r="C4167" s="22">
        <v>46183</v>
      </c>
      <c r="D4167" t="s">
        <v>21</v>
      </c>
      <c r="E4167" t="s">
        <v>81</v>
      </c>
      <c r="F4167">
        <v>5558</v>
      </c>
      <c r="G4167" t="s">
        <v>43</v>
      </c>
      <c r="H4167" t="s">
        <v>346</v>
      </c>
      <c r="I4167" t="s">
        <v>347</v>
      </c>
      <c r="J4167" t="s">
        <v>3376</v>
      </c>
    </row>
    <row r="4168" spans="1:10" x14ac:dyDescent="0.25">
      <c r="A4168" t="s">
        <v>3387</v>
      </c>
      <c r="B4168" t="s">
        <v>515</v>
      </c>
      <c r="C4168" s="22">
        <v>46183</v>
      </c>
      <c r="D4168" t="s">
        <v>21</v>
      </c>
      <c r="E4168" t="s">
        <v>81</v>
      </c>
      <c r="F4168">
        <v>5558</v>
      </c>
      <c r="G4168" t="s">
        <v>44</v>
      </c>
      <c r="H4168" t="s">
        <v>353</v>
      </c>
      <c r="I4168" t="s">
        <v>347</v>
      </c>
      <c r="J4168" t="s">
        <v>3378</v>
      </c>
    </row>
    <row r="4169" spans="1:10" x14ac:dyDescent="0.25">
      <c r="A4169" t="s">
        <v>3388</v>
      </c>
      <c r="B4169" t="s">
        <v>516</v>
      </c>
      <c r="C4169" s="22">
        <v>46183</v>
      </c>
      <c r="D4169" t="s">
        <v>21</v>
      </c>
      <c r="E4169" t="s">
        <v>81</v>
      </c>
      <c r="F4169">
        <v>5559</v>
      </c>
      <c r="G4169" t="s">
        <v>41</v>
      </c>
      <c r="H4169" t="s">
        <v>350</v>
      </c>
      <c r="I4169" t="s">
        <v>347</v>
      </c>
      <c r="J4169" t="s">
        <v>3374</v>
      </c>
    </row>
    <row r="4170" spans="1:10" x14ac:dyDescent="0.25">
      <c r="A4170" t="s">
        <v>3389</v>
      </c>
      <c r="B4170" t="s">
        <v>516</v>
      </c>
      <c r="C4170" s="22">
        <v>46183</v>
      </c>
      <c r="D4170" t="s">
        <v>21</v>
      </c>
      <c r="E4170" t="s">
        <v>81</v>
      </c>
      <c r="F4170">
        <v>5559</v>
      </c>
      <c r="G4170" t="s">
        <v>43</v>
      </c>
      <c r="H4170" t="s">
        <v>346</v>
      </c>
      <c r="I4170" t="s">
        <v>347</v>
      </c>
      <c r="J4170" t="s">
        <v>3376</v>
      </c>
    </row>
    <row r="4171" spans="1:10" x14ac:dyDescent="0.25">
      <c r="A4171" t="s">
        <v>3390</v>
      </c>
      <c r="B4171" t="s">
        <v>516</v>
      </c>
      <c r="C4171" s="22">
        <v>46183</v>
      </c>
      <c r="D4171" t="s">
        <v>21</v>
      </c>
      <c r="E4171" t="s">
        <v>81</v>
      </c>
      <c r="F4171">
        <v>5559</v>
      </c>
      <c r="G4171" t="s">
        <v>44</v>
      </c>
      <c r="H4171" t="s">
        <v>353</v>
      </c>
      <c r="I4171" t="s">
        <v>347</v>
      </c>
      <c r="J4171" t="s">
        <v>3378</v>
      </c>
    </row>
    <row r="4172" spans="1:10" x14ac:dyDescent="0.25">
      <c r="A4172" t="s">
        <v>3391</v>
      </c>
      <c r="B4172" t="s">
        <v>517</v>
      </c>
      <c r="C4172" s="22">
        <v>46183</v>
      </c>
      <c r="D4172" t="s">
        <v>21</v>
      </c>
      <c r="E4172" t="s">
        <v>81</v>
      </c>
      <c r="F4172">
        <v>5560</v>
      </c>
      <c r="G4172" t="s">
        <v>41</v>
      </c>
      <c r="H4172" t="s">
        <v>350</v>
      </c>
      <c r="I4172" t="s">
        <v>347</v>
      </c>
      <c r="J4172" t="s">
        <v>3392</v>
      </c>
    </row>
    <row r="4173" spans="1:10" x14ac:dyDescent="0.25">
      <c r="A4173" t="s">
        <v>3393</v>
      </c>
      <c r="B4173" t="s">
        <v>517</v>
      </c>
      <c r="C4173" s="22">
        <v>46183</v>
      </c>
      <c r="D4173" t="s">
        <v>21</v>
      </c>
      <c r="E4173" t="s">
        <v>81</v>
      </c>
      <c r="F4173">
        <v>5560</v>
      </c>
      <c r="G4173" t="s">
        <v>43</v>
      </c>
      <c r="H4173" t="s">
        <v>346</v>
      </c>
      <c r="I4173" t="s">
        <v>347</v>
      </c>
      <c r="J4173" t="s">
        <v>3394</v>
      </c>
    </row>
    <row r="4174" spans="1:10" x14ac:dyDescent="0.25">
      <c r="A4174" t="s">
        <v>3395</v>
      </c>
      <c r="B4174" t="s">
        <v>517</v>
      </c>
      <c r="C4174" s="22">
        <v>46183</v>
      </c>
      <c r="D4174" t="s">
        <v>21</v>
      </c>
      <c r="E4174" t="s">
        <v>81</v>
      </c>
      <c r="F4174">
        <v>5560</v>
      </c>
      <c r="G4174" t="s">
        <v>44</v>
      </c>
      <c r="H4174" t="s">
        <v>353</v>
      </c>
      <c r="I4174" t="s">
        <v>347</v>
      </c>
      <c r="J4174" t="s">
        <v>3396</v>
      </c>
    </row>
    <row r="4175" spans="1:10" x14ac:dyDescent="0.25">
      <c r="A4175" t="s">
        <v>3397</v>
      </c>
      <c r="B4175" t="s">
        <v>518</v>
      </c>
      <c r="C4175" s="22">
        <v>46183</v>
      </c>
      <c r="D4175" t="s">
        <v>21</v>
      </c>
      <c r="E4175" t="s">
        <v>81</v>
      </c>
      <c r="F4175">
        <v>5561</v>
      </c>
      <c r="G4175" t="s">
        <v>41</v>
      </c>
      <c r="H4175" t="s">
        <v>350</v>
      </c>
      <c r="I4175" t="s">
        <v>347</v>
      </c>
      <c r="J4175" t="s">
        <v>3392</v>
      </c>
    </row>
    <row r="4176" spans="1:10" x14ac:dyDescent="0.25">
      <c r="A4176" t="s">
        <v>3398</v>
      </c>
      <c r="B4176" t="s">
        <v>518</v>
      </c>
      <c r="C4176" s="22">
        <v>46183</v>
      </c>
      <c r="D4176" t="s">
        <v>21</v>
      </c>
      <c r="E4176" t="s">
        <v>81</v>
      </c>
      <c r="F4176">
        <v>5561</v>
      </c>
      <c r="G4176" t="s">
        <v>43</v>
      </c>
      <c r="H4176" t="s">
        <v>346</v>
      </c>
      <c r="I4176" t="s">
        <v>347</v>
      </c>
      <c r="J4176" t="s">
        <v>3394</v>
      </c>
    </row>
    <row r="4177" spans="1:10" x14ac:dyDescent="0.25">
      <c r="A4177" t="s">
        <v>3399</v>
      </c>
      <c r="B4177" t="s">
        <v>518</v>
      </c>
      <c r="C4177" s="22">
        <v>46183</v>
      </c>
      <c r="D4177" t="s">
        <v>21</v>
      </c>
      <c r="E4177" t="s">
        <v>81</v>
      </c>
      <c r="F4177">
        <v>5561</v>
      </c>
      <c r="G4177" t="s">
        <v>44</v>
      </c>
      <c r="H4177" t="s">
        <v>353</v>
      </c>
      <c r="I4177" t="s">
        <v>347</v>
      </c>
      <c r="J4177" t="s">
        <v>3396</v>
      </c>
    </row>
    <row r="4178" spans="1:10" x14ac:dyDescent="0.25">
      <c r="A4178" t="s">
        <v>3400</v>
      </c>
      <c r="B4178" t="s">
        <v>520</v>
      </c>
      <c r="C4178" s="22">
        <v>46183</v>
      </c>
      <c r="D4178" t="s">
        <v>21</v>
      </c>
      <c r="E4178" t="s">
        <v>81</v>
      </c>
      <c r="F4178">
        <v>5563</v>
      </c>
      <c r="G4178" t="s">
        <v>41</v>
      </c>
      <c r="H4178" t="s">
        <v>350</v>
      </c>
      <c r="I4178" t="s">
        <v>347</v>
      </c>
      <c r="J4178" t="s">
        <v>3401</v>
      </c>
    </row>
    <row r="4179" spans="1:10" x14ac:dyDescent="0.25">
      <c r="A4179" t="s">
        <v>3402</v>
      </c>
      <c r="B4179" t="s">
        <v>520</v>
      </c>
      <c r="C4179" s="22">
        <v>46183</v>
      </c>
      <c r="D4179" t="s">
        <v>21</v>
      </c>
      <c r="E4179" t="s">
        <v>81</v>
      </c>
      <c r="F4179">
        <v>5563</v>
      </c>
      <c r="G4179" t="s">
        <v>43</v>
      </c>
      <c r="H4179" t="s">
        <v>346</v>
      </c>
      <c r="I4179" t="s">
        <v>347</v>
      </c>
      <c r="J4179" t="s">
        <v>3403</v>
      </c>
    </row>
    <row r="4180" spans="1:10" x14ac:dyDescent="0.25">
      <c r="A4180" t="s">
        <v>3404</v>
      </c>
      <c r="B4180" t="s">
        <v>520</v>
      </c>
      <c r="C4180" s="22">
        <v>46183</v>
      </c>
      <c r="D4180" t="s">
        <v>21</v>
      </c>
      <c r="E4180" t="s">
        <v>81</v>
      </c>
      <c r="F4180">
        <v>5563</v>
      </c>
      <c r="G4180" t="s">
        <v>44</v>
      </c>
      <c r="H4180" t="s">
        <v>353</v>
      </c>
      <c r="I4180" t="s">
        <v>347</v>
      </c>
      <c r="J4180" t="s">
        <v>3405</v>
      </c>
    </row>
    <row r="4181" spans="1:10" x14ac:dyDescent="0.25">
      <c r="A4181" t="s">
        <v>3406</v>
      </c>
      <c r="B4181" t="s">
        <v>521</v>
      </c>
      <c r="C4181" s="22">
        <v>46183</v>
      </c>
      <c r="D4181" t="s">
        <v>22</v>
      </c>
      <c r="E4181" t="s">
        <v>81</v>
      </c>
      <c r="F4181">
        <v>5564</v>
      </c>
      <c r="G4181" t="s">
        <v>41</v>
      </c>
      <c r="H4181" t="s">
        <v>350</v>
      </c>
      <c r="I4181" t="s">
        <v>347</v>
      </c>
      <c r="J4181" t="s">
        <v>3401</v>
      </c>
    </row>
    <row r="4182" spans="1:10" x14ac:dyDescent="0.25">
      <c r="A4182" t="s">
        <v>3407</v>
      </c>
      <c r="B4182" t="s">
        <v>521</v>
      </c>
      <c r="C4182" s="22">
        <v>46183</v>
      </c>
      <c r="D4182" t="s">
        <v>22</v>
      </c>
      <c r="E4182" t="s">
        <v>81</v>
      </c>
      <c r="F4182">
        <v>5564</v>
      </c>
      <c r="G4182" t="s">
        <v>43</v>
      </c>
      <c r="H4182" t="s">
        <v>346</v>
      </c>
      <c r="I4182" t="s">
        <v>347</v>
      </c>
      <c r="J4182" t="s">
        <v>3403</v>
      </c>
    </row>
    <row r="4183" spans="1:10" x14ac:dyDescent="0.25">
      <c r="A4183" t="s">
        <v>3408</v>
      </c>
      <c r="B4183" t="s">
        <v>521</v>
      </c>
      <c r="C4183" s="22">
        <v>46183</v>
      </c>
      <c r="D4183" t="s">
        <v>22</v>
      </c>
      <c r="E4183" t="s">
        <v>81</v>
      </c>
      <c r="F4183">
        <v>5564</v>
      </c>
      <c r="G4183" t="s">
        <v>44</v>
      </c>
      <c r="H4183" t="s">
        <v>353</v>
      </c>
      <c r="I4183" t="s">
        <v>347</v>
      </c>
      <c r="J4183" t="s">
        <v>3405</v>
      </c>
    </row>
    <row r="4184" spans="1:10" x14ac:dyDescent="0.25">
      <c r="A4184" t="s">
        <v>3409</v>
      </c>
      <c r="B4184" t="s">
        <v>522</v>
      </c>
      <c r="C4184" s="22">
        <v>46183</v>
      </c>
      <c r="D4184" t="s">
        <v>22</v>
      </c>
      <c r="E4184" t="s">
        <v>81</v>
      </c>
      <c r="F4184">
        <v>5565</v>
      </c>
      <c r="G4184" t="s">
        <v>41</v>
      </c>
      <c r="H4184" t="s">
        <v>350</v>
      </c>
      <c r="I4184" t="s">
        <v>347</v>
      </c>
      <c r="J4184" t="s">
        <v>3410</v>
      </c>
    </row>
    <row r="4185" spans="1:10" x14ac:dyDescent="0.25">
      <c r="A4185" t="s">
        <v>3411</v>
      </c>
      <c r="B4185" t="s">
        <v>522</v>
      </c>
      <c r="C4185" s="22">
        <v>46183</v>
      </c>
      <c r="D4185" t="s">
        <v>22</v>
      </c>
      <c r="E4185" t="s">
        <v>81</v>
      </c>
      <c r="F4185">
        <v>5565</v>
      </c>
      <c r="G4185" t="s">
        <v>43</v>
      </c>
      <c r="H4185" t="s">
        <v>346</v>
      </c>
      <c r="I4185" t="s">
        <v>347</v>
      </c>
      <c r="J4185" t="s">
        <v>3412</v>
      </c>
    </row>
    <row r="4186" spans="1:10" x14ac:dyDescent="0.25">
      <c r="A4186" t="s">
        <v>3413</v>
      </c>
      <c r="B4186" t="s">
        <v>522</v>
      </c>
      <c r="C4186" s="22">
        <v>46183</v>
      </c>
      <c r="D4186" t="s">
        <v>22</v>
      </c>
      <c r="E4186" t="s">
        <v>81</v>
      </c>
      <c r="F4186">
        <v>5565</v>
      </c>
      <c r="G4186" t="s">
        <v>44</v>
      </c>
      <c r="H4186" t="s">
        <v>353</v>
      </c>
      <c r="I4186" t="s">
        <v>347</v>
      </c>
      <c r="J4186" t="s">
        <v>3414</v>
      </c>
    </row>
    <row r="4187" spans="1:10" x14ac:dyDescent="0.25">
      <c r="A4187" t="s">
        <v>3415</v>
      </c>
      <c r="B4187" t="s">
        <v>523</v>
      </c>
      <c r="C4187" s="22">
        <v>46183</v>
      </c>
      <c r="D4187" t="s">
        <v>21</v>
      </c>
      <c r="E4187" t="s">
        <v>81</v>
      </c>
      <c r="F4187">
        <v>5566</v>
      </c>
      <c r="G4187" t="s">
        <v>41</v>
      </c>
      <c r="H4187" t="s">
        <v>350</v>
      </c>
      <c r="I4187" t="s">
        <v>347</v>
      </c>
      <c r="J4187" t="s">
        <v>3410</v>
      </c>
    </row>
    <row r="4188" spans="1:10" x14ac:dyDescent="0.25">
      <c r="A4188" t="s">
        <v>3416</v>
      </c>
      <c r="B4188" t="s">
        <v>523</v>
      </c>
      <c r="C4188" s="22">
        <v>46183</v>
      </c>
      <c r="D4188" t="s">
        <v>21</v>
      </c>
      <c r="E4188" t="s">
        <v>81</v>
      </c>
      <c r="F4188">
        <v>5566</v>
      </c>
      <c r="G4188" t="s">
        <v>43</v>
      </c>
      <c r="H4188" t="s">
        <v>346</v>
      </c>
      <c r="I4188" t="s">
        <v>347</v>
      </c>
      <c r="J4188" t="s">
        <v>3412</v>
      </c>
    </row>
    <row r="4189" spans="1:10" x14ac:dyDescent="0.25">
      <c r="A4189" t="s">
        <v>3417</v>
      </c>
      <c r="B4189" t="s">
        <v>523</v>
      </c>
      <c r="C4189" s="22">
        <v>46183</v>
      </c>
      <c r="D4189" t="s">
        <v>21</v>
      </c>
      <c r="E4189" t="s">
        <v>81</v>
      </c>
      <c r="F4189">
        <v>5566</v>
      </c>
      <c r="G4189" t="s">
        <v>44</v>
      </c>
      <c r="H4189" t="s">
        <v>353</v>
      </c>
      <c r="I4189" t="s">
        <v>347</v>
      </c>
      <c r="J4189" t="s">
        <v>3414</v>
      </c>
    </row>
    <row r="4190" spans="1:10" x14ac:dyDescent="0.25">
      <c r="A4190" t="s">
        <v>3418</v>
      </c>
      <c r="B4190" t="s">
        <v>524</v>
      </c>
      <c r="C4190" s="22">
        <v>46183</v>
      </c>
      <c r="D4190" t="s">
        <v>21</v>
      </c>
      <c r="E4190" t="s">
        <v>81</v>
      </c>
      <c r="F4190">
        <v>5567</v>
      </c>
      <c r="G4190" t="s">
        <v>41</v>
      </c>
      <c r="H4190" t="s">
        <v>350</v>
      </c>
      <c r="I4190" t="s">
        <v>347</v>
      </c>
      <c r="J4190" t="s">
        <v>3410</v>
      </c>
    </row>
    <row r="4191" spans="1:10" x14ac:dyDescent="0.25">
      <c r="A4191" t="s">
        <v>3419</v>
      </c>
      <c r="B4191" t="s">
        <v>524</v>
      </c>
      <c r="C4191" s="22">
        <v>46183</v>
      </c>
      <c r="D4191" t="s">
        <v>21</v>
      </c>
      <c r="E4191" t="s">
        <v>81</v>
      </c>
      <c r="F4191">
        <v>5567</v>
      </c>
      <c r="G4191" t="s">
        <v>43</v>
      </c>
      <c r="H4191" t="s">
        <v>346</v>
      </c>
      <c r="I4191" t="s">
        <v>347</v>
      </c>
      <c r="J4191" t="s">
        <v>3412</v>
      </c>
    </row>
    <row r="4192" spans="1:10" x14ac:dyDescent="0.25">
      <c r="A4192" t="s">
        <v>3420</v>
      </c>
      <c r="B4192" t="s">
        <v>524</v>
      </c>
      <c r="C4192" s="22">
        <v>46183</v>
      </c>
      <c r="D4192" t="s">
        <v>21</v>
      </c>
      <c r="E4192" t="s">
        <v>81</v>
      </c>
      <c r="F4192">
        <v>5567</v>
      </c>
      <c r="G4192" t="s">
        <v>44</v>
      </c>
      <c r="H4192" t="s">
        <v>353</v>
      </c>
      <c r="I4192" t="s">
        <v>347</v>
      </c>
      <c r="J4192" t="s">
        <v>3414</v>
      </c>
    </row>
    <row r="4193" spans="1:10" x14ac:dyDescent="0.25">
      <c r="A4193" t="s">
        <v>3421</v>
      </c>
      <c r="B4193" t="s">
        <v>525</v>
      </c>
      <c r="C4193" s="22">
        <v>46183</v>
      </c>
      <c r="D4193" t="s">
        <v>21</v>
      </c>
      <c r="E4193" t="s">
        <v>81</v>
      </c>
      <c r="F4193">
        <v>5568</v>
      </c>
      <c r="G4193" t="s">
        <v>41</v>
      </c>
      <c r="H4193" t="s">
        <v>350</v>
      </c>
      <c r="I4193" t="s">
        <v>347</v>
      </c>
      <c r="J4193" t="s">
        <v>3410</v>
      </c>
    </row>
    <row r="4194" spans="1:10" x14ac:dyDescent="0.25">
      <c r="A4194" t="s">
        <v>3422</v>
      </c>
      <c r="B4194" t="s">
        <v>525</v>
      </c>
      <c r="C4194" s="22">
        <v>46183</v>
      </c>
      <c r="D4194" t="s">
        <v>21</v>
      </c>
      <c r="E4194" t="s">
        <v>81</v>
      </c>
      <c r="F4194">
        <v>5568</v>
      </c>
      <c r="G4194" t="s">
        <v>43</v>
      </c>
      <c r="H4194" t="s">
        <v>346</v>
      </c>
      <c r="I4194" t="s">
        <v>347</v>
      </c>
      <c r="J4194" t="s">
        <v>3412</v>
      </c>
    </row>
    <row r="4195" spans="1:10" x14ac:dyDescent="0.25">
      <c r="A4195" t="s">
        <v>3423</v>
      </c>
      <c r="B4195" t="s">
        <v>525</v>
      </c>
      <c r="C4195" s="22">
        <v>46183</v>
      </c>
      <c r="D4195" t="s">
        <v>21</v>
      </c>
      <c r="E4195" t="s">
        <v>81</v>
      </c>
      <c r="F4195">
        <v>5568</v>
      </c>
      <c r="G4195" t="s">
        <v>44</v>
      </c>
      <c r="H4195" t="s">
        <v>353</v>
      </c>
      <c r="I4195" t="s">
        <v>347</v>
      </c>
      <c r="J4195" t="s">
        <v>3414</v>
      </c>
    </row>
    <row r="4196" spans="1:10" x14ac:dyDescent="0.25">
      <c r="A4196" t="s">
        <v>3424</v>
      </c>
      <c r="B4196" t="s">
        <v>526</v>
      </c>
      <c r="C4196" s="22">
        <v>46183</v>
      </c>
      <c r="D4196" t="s">
        <v>21</v>
      </c>
      <c r="E4196" t="s">
        <v>81</v>
      </c>
      <c r="F4196">
        <v>5569</v>
      </c>
      <c r="G4196" t="s">
        <v>41</v>
      </c>
      <c r="H4196" t="s">
        <v>350</v>
      </c>
      <c r="I4196" t="s">
        <v>347</v>
      </c>
      <c r="J4196" t="s">
        <v>3425</v>
      </c>
    </row>
    <row r="4197" spans="1:10" x14ac:dyDescent="0.25">
      <c r="A4197" t="s">
        <v>3426</v>
      </c>
      <c r="B4197" t="s">
        <v>526</v>
      </c>
      <c r="C4197" s="22">
        <v>46183</v>
      </c>
      <c r="D4197" t="s">
        <v>21</v>
      </c>
      <c r="E4197" t="s">
        <v>81</v>
      </c>
      <c r="F4197">
        <v>5569</v>
      </c>
      <c r="G4197" t="s">
        <v>43</v>
      </c>
      <c r="H4197" t="s">
        <v>346</v>
      </c>
      <c r="I4197" t="s">
        <v>347</v>
      </c>
      <c r="J4197" t="s">
        <v>3427</v>
      </c>
    </row>
    <row r="4198" spans="1:10" x14ac:dyDescent="0.25">
      <c r="A4198" t="s">
        <v>3428</v>
      </c>
      <c r="B4198" t="s">
        <v>526</v>
      </c>
      <c r="C4198" s="22">
        <v>46183</v>
      </c>
      <c r="D4198" t="s">
        <v>21</v>
      </c>
      <c r="E4198" t="s">
        <v>81</v>
      </c>
      <c r="F4198">
        <v>5569</v>
      </c>
      <c r="G4198" t="s">
        <v>44</v>
      </c>
      <c r="H4198" t="s">
        <v>353</v>
      </c>
      <c r="I4198" t="s">
        <v>347</v>
      </c>
      <c r="J4198" t="s">
        <v>3429</v>
      </c>
    </row>
    <row r="4199" spans="1:10" x14ac:dyDescent="0.25">
      <c r="A4199" t="s">
        <v>3430</v>
      </c>
      <c r="B4199" t="s">
        <v>528</v>
      </c>
      <c r="C4199" s="22">
        <v>46183</v>
      </c>
      <c r="D4199" t="s">
        <v>22</v>
      </c>
      <c r="E4199" t="s">
        <v>81</v>
      </c>
      <c r="F4199">
        <v>5571</v>
      </c>
      <c r="G4199" t="s">
        <v>41</v>
      </c>
      <c r="H4199" t="s">
        <v>350</v>
      </c>
      <c r="I4199" t="s">
        <v>347</v>
      </c>
      <c r="J4199" t="s">
        <v>3425</v>
      </c>
    </row>
    <row r="4200" spans="1:10" x14ac:dyDescent="0.25">
      <c r="A4200" t="s">
        <v>3431</v>
      </c>
      <c r="B4200" t="s">
        <v>528</v>
      </c>
      <c r="C4200" s="22">
        <v>46183</v>
      </c>
      <c r="D4200" t="s">
        <v>22</v>
      </c>
      <c r="E4200" t="s">
        <v>81</v>
      </c>
      <c r="F4200">
        <v>5571</v>
      </c>
      <c r="G4200" t="s">
        <v>43</v>
      </c>
      <c r="H4200" t="s">
        <v>346</v>
      </c>
      <c r="I4200" t="s">
        <v>347</v>
      </c>
      <c r="J4200" t="s">
        <v>3427</v>
      </c>
    </row>
    <row r="4201" spans="1:10" x14ac:dyDescent="0.25">
      <c r="A4201" t="s">
        <v>3432</v>
      </c>
      <c r="B4201" t="s">
        <v>528</v>
      </c>
      <c r="C4201" s="22">
        <v>46183</v>
      </c>
      <c r="D4201" t="s">
        <v>22</v>
      </c>
      <c r="E4201" t="s">
        <v>81</v>
      </c>
      <c r="F4201">
        <v>5571</v>
      </c>
      <c r="G4201" t="s">
        <v>44</v>
      </c>
      <c r="H4201" t="s">
        <v>353</v>
      </c>
      <c r="I4201" t="s">
        <v>347</v>
      </c>
      <c r="J4201" t="s">
        <v>3429</v>
      </c>
    </row>
    <row r="4202" spans="1:10" x14ac:dyDescent="0.25">
      <c r="A4202" t="s">
        <v>3433</v>
      </c>
      <c r="B4202" t="s">
        <v>529</v>
      </c>
      <c r="C4202" s="22">
        <v>46183</v>
      </c>
      <c r="D4202" t="s">
        <v>22</v>
      </c>
      <c r="E4202" t="s">
        <v>81</v>
      </c>
      <c r="F4202">
        <v>5572</v>
      </c>
      <c r="G4202" t="s">
        <v>41</v>
      </c>
      <c r="H4202" t="s">
        <v>350</v>
      </c>
      <c r="I4202" t="s">
        <v>347</v>
      </c>
      <c r="J4202" t="s">
        <v>3425</v>
      </c>
    </row>
    <row r="4203" spans="1:10" x14ac:dyDescent="0.25">
      <c r="A4203" t="s">
        <v>3434</v>
      </c>
      <c r="B4203" t="s">
        <v>529</v>
      </c>
      <c r="C4203" s="22">
        <v>46183</v>
      </c>
      <c r="D4203" t="s">
        <v>22</v>
      </c>
      <c r="E4203" t="s">
        <v>81</v>
      </c>
      <c r="F4203">
        <v>5572</v>
      </c>
      <c r="G4203" t="s">
        <v>43</v>
      </c>
      <c r="H4203" t="s">
        <v>346</v>
      </c>
      <c r="I4203" t="s">
        <v>347</v>
      </c>
      <c r="J4203" t="s">
        <v>3427</v>
      </c>
    </row>
    <row r="4204" spans="1:10" x14ac:dyDescent="0.25">
      <c r="A4204" t="s">
        <v>3435</v>
      </c>
      <c r="B4204" t="s">
        <v>529</v>
      </c>
      <c r="C4204" s="22">
        <v>46183</v>
      </c>
      <c r="D4204" t="s">
        <v>22</v>
      </c>
      <c r="E4204" t="s">
        <v>81</v>
      </c>
      <c r="F4204">
        <v>5572</v>
      </c>
      <c r="G4204" t="s">
        <v>44</v>
      </c>
      <c r="H4204" t="s">
        <v>353</v>
      </c>
      <c r="I4204" t="s">
        <v>347</v>
      </c>
      <c r="J4204" t="s">
        <v>3429</v>
      </c>
    </row>
    <row r="4205" spans="1:10" x14ac:dyDescent="0.25">
      <c r="A4205" t="s">
        <v>3436</v>
      </c>
      <c r="B4205" t="s">
        <v>530</v>
      </c>
      <c r="C4205" s="22">
        <v>46183</v>
      </c>
      <c r="D4205" t="s">
        <v>21</v>
      </c>
      <c r="E4205" t="s">
        <v>81</v>
      </c>
      <c r="F4205">
        <v>5573</v>
      </c>
      <c r="G4205" t="s">
        <v>41</v>
      </c>
      <c r="H4205" t="s">
        <v>350</v>
      </c>
      <c r="I4205" t="s">
        <v>347</v>
      </c>
      <c r="J4205" t="s">
        <v>3437</v>
      </c>
    </row>
    <row r="4206" spans="1:10" x14ac:dyDescent="0.25">
      <c r="A4206" t="s">
        <v>3438</v>
      </c>
      <c r="B4206" t="s">
        <v>530</v>
      </c>
      <c r="C4206" s="22">
        <v>46183</v>
      </c>
      <c r="D4206" t="s">
        <v>21</v>
      </c>
      <c r="E4206" t="s">
        <v>81</v>
      </c>
      <c r="F4206">
        <v>5573</v>
      </c>
      <c r="G4206" t="s">
        <v>43</v>
      </c>
      <c r="H4206" t="s">
        <v>346</v>
      </c>
      <c r="I4206" t="s">
        <v>347</v>
      </c>
      <c r="J4206" t="s">
        <v>3439</v>
      </c>
    </row>
    <row r="4207" spans="1:10" x14ac:dyDescent="0.25">
      <c r="A4207" t="s">
        <v>3440</v>
      </c>
      <c r="B4207" t="s">
        <v>530</v>
      </c>
      <c r="C4207" s="22">
        <v>46183</v>
      </c>
      <c r="D4207" t="s">
        <v>21</v>
      </c>
      <c r="E4207" t="s">
        <v>81</v>
      </c>
      <c r="F4207">
        <v>5573</v>
      </c>
      <c r="G4207" t="s">
        <v>44</v>
      </c>
      <c r="H4207" t="s">
        <v>353</v>
      </c>
      <c r="I4207" t="s">
        <v>347</v>
      </c>
      <c r="J4207" t="s">
        <v>3441</v>
      </c>
    </row>
    <row r="4208" spans="1:10" x14ac:dyDescent="0.25">
      <c r="A4208" t="s">
        <v>3442</v>
      </c>
      <c r="B4208" t="s">
        <v>531</v>
      </c>
      <c r="C4208" s="22">
        <v>46183</v>
      </c>
      <c r="D4208" t="s">
        <v>22</v>
      </c>
      <c r="E4208" t="s">
        <v>81</v>
      </c>
      <c r="F4208">
        <v>5574</v>
      </c>
      <c r="G4208" t="s">
        <v>41</v>
      </c>
      <c r="H4208" t="s">
        <v>350</v>
      </c>
      <c r="I4208" t="s">
        <v>347</v>
      </c>
      <c r="J4208" t="s">
        <v>3443</v>
      </c>
    </row>
    <row r="4209" spans="1:10" x14ac:dyDescent="0.25">
      <c r="A4209" t="s">
        <v>3444</v>
      </c>
      <c r="B4209" t="s">
        <v>531</v>
      </c>
      <c r="C4209" s="22">
        <v>46183</v>
      </c>
      <c r="D4209" t="s">
        <v>22</v>
      </c>
      <c r="E4209" t="s">
        <v>81</v>
      </c>
      <c r="F4209">
        <v>5574</v>
      </c>
      <c r="G4209" t="s">
        <v>43</v>
      </c>
      <c r="H4209" t="s">
        <v>346</v>
      </c>
      <c r="I4209" t="s">
        <v>347</v>
      </c>
      <c r="J4209" t="s">
        <v>3445</v>
      </c>
    </row>
    <row r="4210" spans="1:10" x14ac:dyDescent="0.25">
      <c r="A4210" t="s">
        <v>3446</v>
      </c>
      <c r="B4210" t="s">
        <v>531</v>
      </c>
      <c r="C4210" s="22">
        <v>46183</v>
      </c>
      <c r="D4210" t="s">
        <v>22</v>
      </c>
      <c r="E4210" t="s">
        <v>81</v>
      </c>
      <c r="F4210">
        <v>5574</v>
      </c>
      <c r="G4210" t="s">
        <v>44</v>
      </c>
      <c r="H4210" t="s">
        <v>353</v>
      </c>
      <c r="I4210" t="s">
        <v>347</v>
      </c>
      <c r="J4210" t="s">
        <v>3447</v>
      </c>
    </row>
    <row r="4211" spans="1:10" x14ac:dyDescent="0.25">
      <c r="A4211" t="s">
        <v>3448</v>
      </c>
      <c r="B4211" t="s">
        <v>532</v>
      </c>
      <c r="C4211" s="22">
        <v>46183</v>
      </c>
      <c r="D4211" t="s">
        <v>22</v>
      </c>
      <c r="E4211" t="s">
        <v>81</v>
      </c>
      <c r="F4211">
        <v>5575</v>
      </c>
      <c r="G4211" t="s">
        <v>41</v>
      </c>
      <c r="H4211" t="s">
        <v>350</v>
      </c>
      <c r="I4211" t="s">
        <v>347</v>
      </c>
      <c r="J4211" t="s">
        <v>3443</v>
      </c>
    </row>
    <row r="4212" spans="1:10" x14ac:dyDescent="0.25">
      <c r="A4212" t="s">
        <v>3449</v>
      </c>
      <c r="B4212" t="s">
        <v>532</v>
      </c>
      <c r="C4212" s="22">
        <v>46183</v>
      </c>
      <c r="D4212" t="s">
        <v>22</v>
      </c>
      <c r="E4212" t="s">
        <v>81</v>
      </c>
      <c r="F4212">
        <v>5575</v>
      </c>
      <c r="G4212" t="s">
        <v>43</v>
      </c>
      <c r="H4212" t="s">
        <v>346</v>
      </c>
      <c r="I4212" t="s">
        <v>347</v>
      </c>
      <c r="J4212" t="s">
        <v>3445</v>
      </c>
    </row>
    <row r="4213" spans="1:10" x14ac:dyDescent="0.25">
      <c r="A4213" t="s">
        <v>3450</v>
      </c>
      <c r="B4213" t="s">
        <v>532</v>
      </c>
      <c r="C4213" s="22">
        <v>46183</v>
      </c>
      <c r="D4213" t="s">
        <v>22</v>
      </c>
      <c r="E4213" t="s">
        <v>81</v>
      </c>
      <c r="F4213">
        <v>5575</v>
      </c>
      <c r="G4213" t="s">
        <v>44</v>
      </c>
      <c r="H4213" t="s">
        <v>353</v>
      </c>
      <c r="I4213" t="s">
        <v>347</v>
      </c>
      <c r="J4213" t="s">
        <v>3447</v>
      </c>
    </row>
    <row r="4214" spans="1:10" x14ac:dyDescent="0.25">
      <c r="A4214" t="s">
        <v>3451</v>
      </c>
      <c r="B4214" t="s">
        <v>534</v>
      </c>
      <c r="C4214" s="22">
        <v>46183</v>
      </c>
      <c r="D4214" t="s">
        <v>22</v>
      </c>
      <c r="E4214" t="s">
        <v>81</v>
      </c>
      <c r="F4214">
        <v>5577</v>
      </c>
      <c r="G4214" t="s">
        <v>41</v>
      </c>
      <c r="H4214" t="s">
        <v>350</v>
      </c>
      <c r="I4214" t="s">
        <v>347</v>
      </c>
      <c r="J4214" t="s">
        <v>3452</v>
      </c>
    </row>
    <row r="4215" spans="1:10" x14ac:dyDescent="0.25">
      <c r="A4215" t="s">
        <v>3453</v>
      </c>
      <c r="B4215" t="s">
        <v>534</v>
      </c>
      <c r="C4215" s="22">
        <v>46183</v>
      </c>
      <c r="D4215" t="s">
        <v>22</v>
      </c>
      <c r="E4215" t="s">
        <v>81</v>
      </c>
      <c r="F4215">
        <v>5577</v>
      </c>
      <c r="G4215" t="s">
        <v>43</v>
      </c>
      <c r="H4215" t="s">
        <v>346</v>
      </c>
      <c r="I4215" t="s">
        <v>347</v>
      </c>
      <c r="J4215" t="s">
        <v>3454</v>
      </c>
    </row>
    <row r="4216" spans="1:10" x14ac:dyDescent="0.25">
      <c r="A4216" t="s">
        <v>3455</v>
      </c>
      <c r="B4216" t="s">
        <v>534</v>
      </c>
      <c r="C4216" s="22">
        <v>46183</v>
      </c>
      <c r="D4216" t="s">
        <v>22</v>
      </c>
      <c r="E4216" t="s">
        <v>81</v>
      </c>
      <c r="F4216">
        <v>5577</v>
      </c>
      <c r="G4216" t="s">
        <v>44</v>
      </c>
      <c r="H4216" t="s">
        <v>353</v>
      </c>
      <c r="I4216" t="s">
        <v>347</v>
      </c>
      <c r="J4216" t="s">
        <v>3456</v>
      </c>
    </row>
    <row r="4217" spans="1:10" x14ac:dyDescent="0.25">
      <c r="A4217" t="s">
        <v>3457</v>
      </c>
      <c r="B4217" t="s">
        <v>535</v>
      </c>
      <c r="C4217" s="22">
        <v>46183</v>
      </c>
      <c r="D4217" t="s">
        <v>22</v>
      </c>
      <c r="E4217" t="s">
        <v>81</v>
      </c>
      <c r="F4217">
        <v>5578</v>
      </c>
      <c r="G4217" t="s">
        <v>41</v>
      </c>
      <c r="H4217" t="s">
        <v>350</v>
      </c>
      <c r="I4217" t="s">
        <v>347</v>
      </c>
      <c r="J4217" t="s">
        <v>3452</v>
      </c>
    </row>
    <row r="4218" spans="1:10" x14ac:dyDescent="0.25">
      <c r="A4218" t="s">
        <v>3458</v>
      </c>
      <c r="B4218" t="s">
        <v>535</v>
      </c>
      <c r="C4218" s="22">
        <v>46183</v>
      </c>
      <c r="D4218" t="s">
        <v>22</v>
      </c>
      <c r="E4218" t="s">
        <v>81</v>
      </c>
      <c r="F4218">
        <v>5578</v>
      </c>
      <c r="G4218" t="s">
        <v>43</v>
      </c>
      <c r="H4218" t="s">
        <v>346</v>
      </c>
      <c r="I4218" t="s">
        <v>347</v>
      </c>
      <c r="J4218" t="s">
        <v>3454</v>
      </c>
    </row>
    <row r="4219" spans="1:10" x14ac:dyDescent="0.25">
      <c r="A4219" t="s">
        <v>3459</v>
      </c>
      <c r="B4219" t="s">
        <v>535</v>
      </c>
      <c r="C4219" s="22">
        <v>46183</v>
      </c>
      <c r="D4219" t="s">
        <v>22</v>
      </c>
      <c r="E4219" t="s">
        <v>81</v>
      </c>
      <c r="F4219">
        <v>5578</v>
      </c>
      <c r="G4219" t="s">
        <v>44</v>
      </c>
      <c r="H4219" t="s">
        <v>353</v>
      </c>
      <c r="I4219" t="s">
        <v>347</v>
      </c>
      <c r="J4219" t="s">
        <v>3456</v>
      </c>
    </row>
    <row r="4220" spans="1:10" x14ac:dyDescent="0.25">
      <c r="A4220" t="s">
        <v>3460</v>
      </c>
      <c r="B4220" t="s">
        <v>537</v>
      </c>
      <c r="C4220" s="22">
        <v>46183</v>
      </c>
      <c r="D4220" t="s">
        <v>21</v>
      </c>
      <c r="E4220" t="s">
        <v>81</v>
      </c>
      <c r="F4220">
        <v>5580</v>
      </c>
      <c r="G4220" t="s">
        <v>41</v>
      </c>
      <c r="H4220" t="s">
        <v>350</v>
      </c>
      <c r="I4220" t="s">
        <v>347</v>
      </c>
      <c r="J4220" t="s">
        <v>3461</v>
      </c>
    </row>
    <row r="4221" spans="1:10" x14ac:dyDescent="0.25">
      <c r="A4221" t="s">
        <v>3462</v>
      </c>
      <c r="B4221" t="s">
        <v>537</v>
      </c>
      <c r="C4221" s="22">
        <v>46183</v>
      </c>
      <c r="D4221" t="s">
        <v>21</v>
      </c>
      <c r="E4221" t="s">
        <v>81</v>
      </c>
      <c r="F4221">
        <v>5580</v>
      </c>
      <c r="G4221" t="s">
        <v>43</v>
      </c>
      <c r="H4221" t="s">
        <v>346</v>
      </c>
      <c r="I4221" t="s">
        <v>347</v>
      </c>
      <c r="J4221" t="s">
        <v>3463</v>
      </c>
    </row>
    <row r="4222" spans="1:10" x14ac:dyDescent="0.25">
      <c r="A4222" t="s">
        <v>3464</v>
      </c>
      <c r="B4222" t="s">
        <v>537</v>
      </c>
      <c r="C4222" s="22">
        <v>46183</v>
      </c>
      <c r="D4222" t="s">
        <v>21</v>
      </c>
      <c r="E4222" t="s">
        <v>81</v>
      </c>
      <c r="F4222">
        <v>5580</v>
      </c>
      <c r="G4222" t="s">
        <v>44</v>
      </c>
      <c r="H4222" t="s">
        <v>353</v>
      </c>
      <c r="I4222" t="s">
        <v>347</v>
      </c>
      <c r="J4222" t="s">
        <v>3465</v>
      </c>
    </row>
    <row r="4223" spans="1:10" x14ac:dyDescent="0.25">
      <c r="A4223" t="s">
        <v>3466</v>
      </c>
      <c r="B4223" t="s">
        <v>538</v>
      </c>
      <c r="C4223" s="22">
        <v>46183</v>
      </c>
      <c r="D4223" t="s">
        <v>21</v>
      </c>
      <c r="E4223" t="s">
        <v>81</v>
      </c>
      <c r="F4223">
        <v>5581</v>
      </c>
      <c r="G4223" t="s">
        <v>41</v>
      </c>
      <c r="H4223" t="s">
        <v>350</v>
      </c>
      <c r="I4223" t="s">
        <v>347</v>
      </c>
      <c r="J4223" t="s">
        <v>3461</v>
      </c>
    </row>
    <row r="4224" spans="1:10" x14ac:dyDescent="0.25">
      <c r="A4224" t="s">
        <v>3467</v>
      </c>
      <c r="B4224" t="s">
        <v>538</v>
      </c>
      <c r="C4224" s="22">
        <v>46183</v>
      </c>
      <c r="D4224" t="s">
        <v>21</v>
      </c>
      <c r="E4224" t="s">
        <v>81</v>
      </c>
      <c r="F4224">
        <v>5581</v>
      </c>
      <c r="G4224" t="s">
        <v>43</v>
      </c>
      <c r="H4224" t="s">
        <v>346</v>
      </c>
      <c r="I4224" t="s">
        <v>347</v>
      </c>
      <c r="J4224" t="s">
        <v>3463</v>
      </c>
    </row>
    <row r="4225" spans="1:10" x14ac:dyDescent="0.25">
      <c r="A4225" t="s">
        <v>3468</v>
      </c>
      <c r="B4225" t="s">
        <v>538</v>
      </c>
      <c r="C4225" s="22">
        <v>46183</v>
      </c>
      <c r="D4225" t="s">
        <v>21</v>
      </c>
      <c r="E4225" t="s">
        <v>81</v>
      </c>
      <c r="F4225">
        <v>5581</v>
      </c>
      <c r="G4225" t="s">
        <v>44</v>
      </c>
      <c r="H4225" t="s">
        <v>353</v>
      </c>
      <c r="I4225" t="s">
        <v>347</v>
      </c>
      <c r="J4225" t="s">
        <v>3465</v>
      </c>
    </row>
    <row r="4226" spans="1:10" x14ac:dyDescent="0.25">
      <c r="A4226" t="s">
        <v>3469</v>
      </c>
      <c r="B4226" t="s">
        <v>540</v>
      </c>
      <c r="C4226" s="22">
        <v>46183</v>
      </c>
      <c r="D4226" t="s">
        <v>21</v>
      </c>
      <c r="E4226" t="s">
        <v>81</v>
      </c>
      <c r="F4226">
        <v>5583</v>
      </c>
      <c r="G4226" t="s">
        <v>41</v>
      </c>
      <c r="H4226" t="s">
        <v>350</v>
      </c>
      <c r="I4226" t="s">
        <v>347</v>
      </c>
      <c r="J4226" t="s">
        <v>3461</v>
      </c>
    </row>
    <row r="4227" spans="1:10" x14ac:dyDescent="0.25">
      <c r="A4227" t="s">
        <v>3470</v>
      </c>
      <c r="B4227" t="s">
        <v>540</v>
      </c>
      <c r="C4227" s="22">
        <v>46183</v>
      </c>
      <c r="D4227" t="s">
        <v>21</v>
      </c>
      <c r="E4227" t="s">
        <v>81</v>
      </c>
      <c r="F4227">
        <v>5583</v>
      </c>
      <c r="G4227" t="s">
        <v>43</v>
      </c>
      <c r="H4227" t="s">
        <v>346</v>
      </c>
      <c r="I4227" t="s">
        <v>347</v>
      </c>
      <c r="J4227" t="s">
        <v>3463</v>
      </c>
    </row>
    <row r="4228" spans="1:10" x14ac:dyDescent="0.25">
      <c r="A4228" t="s">
        <v>3471</v>
      </c>
      <c r="B4228" t="s">
        <v>540</v>
      </c>
      <c r="C4228" s="22">
        <v>46183</v>
      </c>
      <c r="D4228" t="s">
        <v>21</v>
      </c>
      <c r="E4228" t="s">
        <v>81</v>
      </c>
      <c r="F4228">
        <v>5583</v>
      </c>
      <c r="G4228" t="s">
        <v>44</v>
      </c>
      <c r="H4228" t="s">
        <v>353</v>
      </c>
      <c r="I4228" t="s">
        <v>347</v>
      </c>
      <c r="J4228" t="s">
        <v>3465</v>
      </c>
    </row>
    <row r="4229" spans="1:10" x14ac:dyDescent="0.25">
      <c r="A4229" t="s">
        <v>3472</v>
      </c>
      <c r="B4229" t="s">
        <v>542</v>
      </c>
      <c r="C4229" s="22">
        <v>46183</v>
      </c>
      <c r="D4229" t="s">
        <v>21</v>
      </c>
      <c r="E4229" t="s">
        <v>81</v>
      </c>
      <c r="F4229">
        <v>5585</v>
      </c>
      <c r="G4229" t="s">
        <v>41</v>
      </c>
      <c r="H4229" t="s">
        <v>350</v>
      </c>
      <c r="I4229" t="s">
        <v>347</v>
      </c>
      <c r="J4229" t="s">
        <v>3473</v>
      </c>
    </row>
    <row r="4230" spans="1:10" x14ac:dyDescent="0.25">
      <c r="A4230" t="s">
        <v>3474</v>
      </c>
      <c r="B4230" t="s">
        <v>542</v>
      </c>
      <c r="C4230" s="22">
        <v>46183</v>
      </c>
      <c r="D4230" t="s">
        <v>21</v>
      </c>
      <c r="E4230" t="s">
        <v>81</v>
      </c>
      <c r="F4230">
        <v>5585</v>
      </c>
      <c r="G4230" t="s">
        <v>43</v>
      </c>
      <c r="H4230" t="s">
        <v>346</v>
      </c>
      <c r="I4230" t="s">
        <v>347</v>
      </c>
      <c r="J4230" t="s">
        <v>3475</v>
      </c>
    </row>
    <row r="4231" spans="1:10" x14ac:dyDescent="0.25">
      <c r="A4231" t="s">
        <v>3476</v>
      </c>
      <c r="B4231" t="s">
        <v>542</v>
      </c>
      <c r="C4231" s="22">
        <v>46183</v>
      </c>
      <c r="D4231" t="s">
        <v>21</v>
      </c>
      <c r="E4231" t="s">
        <v>81</v>
      </c>
      <c r="F4231">
        <v>5585</v>
      </c>
      <c r="G4231" t="s">
        <v>44</v>
      </c>
      <c r="H4231" t="s">
        <v>353</v>
      </c>
      <c r="I4231" t="s">
        <v>347</v>
      </c>
      <c r="J4231" t="s">
        <v>3477</v>
      </c>
    </row>
    <row r="4232" spans="1:10" x14ac:dyDescent="0.25">
      <c r="A4232" t="s">
        <v>3478</v>
      </c>
      <c r="B4232" t="s">
        <v>543</v>
      </c>
      <c r="C4232" s="22">
        <v>46183</v>
      </c>
      <c r="D4232" t="s">
        <v>21</v>
      </c>
      <c r="E4232" t="s">
        <v>81</v>
      </c>
      <c r="F4232">
        <v>5586</v>
      </c>
      <c r="G4232" t="s">
        <v>41</v>
      </c>
      <c r="H4232" t="s">
        <v>350</v>
      </c>
      <c r="I4232" t="s">
        <v>347</v>
      </c>
      <c r="J4232" t="s">
        <v>3473</v>
      </c>
    </row>
    <row r="4233" spans="1:10" x14ac:dyDescent="0.25">
      <c r="A4233" t="s">
        <v>3479</v>
      </c>
      <c r="B4233" t="s">
        <v>543</v>
      </c>
      <c r="C4233" s="22">
        <v>46183</v>
      </c>
      <c r="D4233" t="s">
        <v>21</v>
      </c>
      <c r="E4233" t="s">
        <v>81</v>
      </c>
      <c r="F4233">
        <v>5586</v>
      </c>
      <c r="G4233" t="s">
        <v>43</v>
      </c>
      <c r="H4233" t="s">
        <v>346</v>
      </c>
      <c r="I4233" t="s">
        <v>347</v>
      </c>
      <c r="J4233" t="s">
        <v>3475</v>
      </c>
    </row>
    <row r="4234" spans="1:10" x14ac:dyDescent="0.25">
      <c r="A4234" t="s">
        <v>3480</v>
      </c>
      <c r="B4234" t="s">
        <v>543</v>
      </c>
      <c r="C4234" s="22">
        <v>46183</v>
      </c>
      <c r="D4234" t="s">
        <v>21</v>
      </c>
      <c r="E4234" t="s">
        <v>81</v>
      </c>
      <c r="F4234">
        <v>5586</v>
      </c>
      <c r="G4234" t="s">
        <v>44</v>
      </c>
      <c r="H4234" t="s">
        <v>353</v>
      </c>
      <c r="I4234" t="s">
        <v>347</v>
      </c>
      <c r="J4234" t="s">
        <v>3477</v>
      </c>
    </row>
    <row r="4235" spans="1:10" x14ac:dyDescent="0.25">
      <c r="A4235" t="s">
        <v>3481</v>
      </c>
      <c r="B4235" t="s">
        <v>544</v>
      </c>
      <c r="C4235" s="22">
        <v>46183</v>
      </c>
      <c r="D4235" t="s">
        <v>21</v>
      </c>
      <c r="E4235" t="s">
        <v>81</v>
      </c>
      <c r="F4235">
        <v>5587</v>
      </c>
      <c r="G4235" t="s">
        <v>41</v>
      </c>
      <c r="H4235" t="s">
        <v>350</v>
      </c>
      <c r="I4235" t="s">
        <v>347</v>
      </c>
      <c r="J4235" t="s">
        <v>3482</v>
      </c>
    </row>
    <row r="4236" spans="1:10" x14ac:dyDescent="0.25">
      <c r="A4236" t="s">
        <v>3483</v>
      </c>
      <c r="B4236" t="s">
        <v>544</v>
      </c>
      <c r="C4236" s="22">
        <v>46183</v>
      </c>
      <c r="D4236" t="s">
        <v>21</v>
      </c>
      <c r="E4236" t="s">
        <v>81</v>
      </c>
      <c r="F4236">
        <v>5587</v>
      </c>
      <c r="G4236" t="s">
        <v>43</v>
      </c>
      <c r="H4236" t="s">
        <v>346</v>
      </c>
      <c r="I4236" t="s">
        <v>347</v>
      </c>
      <c r="J4236" t="s">
        <v>3484</v>
      </c>
    </row>
    <row r="4237" spans="1:10" x14ac:dyDescent="0.25">
      <c r="A4237" t="s">
        <v>3485</v>
      </c>
      <c r="B4237" t="s">
        <v>544</v>
      </c>
      <c r="C4237" s="22">
        <v>46183</v>
      </c>
      <c r="D4237" t="s">
        <v>21</v>
      </c>
      <c r="E4237" t="s">
        <v>81</v>
      </c>
      <c r="F4237">
        <v>5587</v>
      </c>
      <c r="G4237" t="s">
        <v>44</v>
      </c>
      <c r="H4237" t="s">
        <v>353</v>
      </c>
      <c r="I4237" t="s">
        <v>347</v>
      </c>
      <c r="J4237" t="s">
        <v>3486</v>
      </c>
    </row>
    <row r="4238" spans="1:10" x14ac:dyDescent="0.25">
      <c r="A4238" t="s">
        <v>3487</v>
      </c>
      <c r="B4238" t="s">
        <v>545</v>
      </c>
      <c r="C4238" s="22">
        <v>46183</v>
      </c>
      <c r="D4238" t="s">
        <v>21</v>
      </c>
      <c r="E4238" t="s">
        <v>81</v>
      </c>
      <c r="F4238">
        <v>5588</v>
      </c>
      <c r="G4238" t="s">
        <v>41</v>
      </c>
      <c r="H4238" t="s">
        <v>350</v>
      </c>
      <c r="I4238" t="s">
        <v>347</v>
      </c>
      <c r="J4238" t="s">
        <v>3482</v>
      </c>
    </row>
    <row r="4239" spans="1:10" x14ac:dyDescent="0.25">
      <c r="A4239" t="s">
        <v>3488</v>
      </c>
      <c r="B4239" t="s">
        <v>545</v>
      </c>
      <c r="C4239" s="22">
        <v>46183</v>
      </c>
      <c r="D4239" t="s">
        <v>21</v>
      </c>
      <c r="E4239" t="s">
        <v>81</v>
      </c>
      <c r="F4239">
        <v>5588</v>
      </c>
      <c r="G4239" t="s">
        <v>43</v>
      </c>
      <c r="H4239" t="s">
        <v>346</v>
      </c>
      <c r="I4239" t="s">
        <v>347</v>
      </c>
      <c r="J4239" t="s">
        <v>3484</v>
      </c>
    </row>
    <row r="4240" spans="1:10" x14ac:dyDescent="0.25">
      <c r="A4240" t="s">
        <v>3489</v>
      </c>
      <c r="B4240" t="s">
        <v>545</v>
      </c>
      <c r="C4240" s="22">
        <v>46183</v>
      </c>
      <c r="D4240" t="s">
        <v>21</v>
      </c>
      <c r="E4240" t="s">
        <v>81</v>
      </c>
      <c r="F4240">
        <v>5588</v>
      </c>
      <c r="G4240" t="s">
        <v>44</v>
      </c>
      <c r="H4240" t="s">
        <v>353</v>
      </c>
      <c r="I4240" t="s">
        <v>347</v>
      </c>
      <c r="J4240" t="s">
        <v>3486</v>
      </c>
    </row>
    <row r="4241" spans="1:10" x14ac:dyDescent="0.25">
      <c r="A4241" t="s">
        <v>3490</v>
      </c>
      <c r="B4241" t="s">
        <v>546</v>
      </c>
      <c r="C4241" s="22">
        <v>46183</v>
      </c>
      <c r="D4241" t="s">
        <v>21</v>
      </c>
      <c r="E4241" t="s">
        <v>81</v>
      </c>
      <c r="F4241">
        <v>5593</v>
      </c>
      <c r="G4241" t="s">
        <v>41</v>
      </c>
      <c r="H4241" t="s">
        <v>350</v>
      </c>
      <c r="I4241" t="s">
        <v>347</v>
      </c>
      <c r="J4241" t="s">
        <v>3482</v>
      </c>
    </row>
    <row r="4242" spans="1:10" x14ac:dyDescent="0.25">
      <c r="A4242" t="s">
        <v>3491</v>
      </c>
      <c r="B4242" t="s">
        <v>546</v>
      </c>
      <c r="C4242" s="22">
        <v>46183</v>
      </c>
      <c r="D4242" t="s">
        <v>21</v>
      </c>
      <c r="E4242" t="s">
        <v>81</v>
      </c>
      <c r="F4242">
        <v>5593</v>
      </c>
      <c r="G4242" t="s">
        <v>43</v>
      </c>
      <c r="H4242" t="s">
        <v>346</v>
      </c>
      <c r="I4242" t="s">
        <v>347</v>
      </c>
      <c r="J4242" t="s">
        <v>3484</v>
      </c>
    </row>
    <row r="4243" spans="1:10" x14ac:dyDescent="0.25">
      <c r="A4243" t="s">
        <v>3492</v>
      </c>
      <c r="B4243" t="s">
        <v>546</v>
      </c>
      <c r="C4243" s="22">
        <v>46183</v>
      </c>
      <c r="D4243" t="s">
        <v>21</v>
      </c>
      <c r="E4243" t="s">
        <v>81</v>
      </c>
      <c r="F4243">
        <v>5593</v>
      </c>
      <c r="G4243" t="s">
        <v>44</v>
      </c>
      <c r="H4243" t="s">
        <v>353</v>
      </c>
      <c r="I4243" t="s">
        <v>347</v>
      </c>
      <c r="J4243" t="s">
        <v>3486</v>
      </c>
    </row>
    <row r="4244" spans="1:10" x14ac:dyDescent="0.25">
      <c r="A4244" t="s">
        <v>3493</v>
      </c>
      <c r="B4244" t="s">
        <v>547</v>
      </c>
      <c r="C4244" s="22">
        <v>46183</v>
      </c>
      <c r="D4244" t="s">
        <v>21</v>
      </c>
      <c r="E4244" t="s">
        <v>81</v>
      </c>
      <c r="F4244">
        <v>5590</v>
      </c>
      <c r="G4244" t="s">
        <v>41</v>
      </c>
      <c r="H4244" t="s">
        <v>350</v>
      </c>
      <c r="I4244" t="s">
        <v>347</v>
      </c>
      <c r="J4244" t="s">
        <v>3494</v>
      </c>
    </row>
    <row r="4245" spans="1:10" x14ac:dyDescent="0.25">
      <c r="A4245" t="s">
        <v>3495</v>
      </c>
      <c r="B4245" t="s">
        <v>547</v>
      </c>
      <c r="C4245" s="22">
        <v>46183</v>
      </c>
      <c r="D4245" t="s">
        <v>21</v>
      </c>
      <c r="E4245" t="s">
        <v>81</v>
      </c>
      <c r="F4245">
        <v>5590</v>
      </c>
      <c r="G4245" t="s">
        <v>43</v>
      </c>
      <c r="H4245" t="s">
        <v>346</v>
      </c>
      <c r="I4245" t="s">
        <v>347</v>
      </c>
      <c r="J4245" t="s">
        <v>3496</v>
      </c>
    </row>
    <row r="4246" spans="1:10" x14ac:dyDescent="0.25">
      <c r="A4246" t="s">
        <v>3497</v>
      </c>
      <c r="B4246" t="s">
        <v>547</v>
      </c>
      <c r="C4246" s="22">
        <v>46183</v>
      </c>
      <c r="D4246" t="s">
        <v>21</v>
      </c>
      <c r="E4246" t="s">
        <v>81</v>
      </c>
      <c r="F4246">
        <v>5590</v>
      </c>
      <c r="G4246" t="s">
        <v>44</v>
      </c>
      <c r="H4246" t="s">
        <v>353</v>
      </c>
      <c r="I4246" t="s">
        <v>347</v>
      </c>
      <c r="J4246" t="s">
        <v>3498</v>
      </c>
    </row>
    <row r="4247" spans="1:10" x14ac:dyDescent="0.25">
      <c r="A4247" t="s">
        <v>3499</v>
      </c>
      <c r="B4247" t="s">
        <v>548</v>
      </c>
      <c r="C4247" s="22">
        <v>46183</v>
      </c>
      <c r="D4247" t="s">
        <v>21</v>
      </c>
      <c r="E4247" t="s">
        <v>81</v>
      </c>
      <c r="F4247">
        <v>5591</v>
      </c>
      <c r="G4247" t="s">
        <v>41</v>
      </c>
      <c r="H4247" t="s">
        <v>350</v>
      </c>
      <c r="I4247" t="s">
        <v>347</v>
      </c>
      <c r="J4247" t="s">
        <v>3494</v>
      </c>
    </row>
    <row r="4248" spans="1:10" x14ac:dyDescent="0.25">
      <c r="A4248" t="s">
        <v>3500</v>
      </c>
      <c r="B4248" t="s">
        <v>548</v>
      </c>
      <c r="C4248" s="22">
        <v>46183</v>
      </c>
      <c r="D4248" t="s">
        <v>21</v>
      </c>
      <c r="E4248" t="s">
        <v>81</v>
      </c>
      <c r="F4248">
        <v>5591</v>
      </c>
      <c r="G4248" t="s">
        <v>43</v>
      </c>
      <c r="H4248" t="s">
        <v>346</v>
      </c>
      <c r="I4248" t="s">
        <v>347</v>
      </c>
      <c r="J4248" t="s">
        <v>3496</v>
      </c>
    </row>
    <row r="4249" spans="1:10" x14ac:dyDescent="0.25">
      <c r="A4249" t="s">
        <v>3501</v>
      </c>
      <c r="B4249" t="s">
        <v>548</v>
      </c>
      <c r="C4249" s="22">
        <v>46183</v>
      </c>
      <c r="D4249" t="s">
        <v>21</v>
      </c>
      <c r="E4249" t="s">
        <v>81</v>
      </c>
      <c r="F4249">
        <v>5591</v>
      </c>
      <c r="G4249" t="s">
        <v>44</v>
      </c>
      <c r="H4249" t="s">
        <v>353</v>
      </c>
      <c r="I4249" t="s">
        <v>347</v>
      </c>
      <c r="J4249" t="s">
        <v>3498</v>
      </c>
    </row>
    <row r="4250" spans="1:10" x14ac:dyDescent="0.25">
      <c r="A4250" t="s">
        <v>3502</v>
      </c>
      <c r="B4250" t="s">
        <v>549</v>
      </c>
      <c r="C4250" s="22">
        <v>46183</v>
      </c>
      <c r="D4250" t="s">
        <v>21</v>
      </c>
      <c r="E4250" t="s">
        <v>81</v>
      </c>
      <c r="F4250">
        <v>5592</v>
      </c>
      <c r="G4250" t="s">
        <v>41</v>
      </c>
      <c r="H4250" t="s">
        <v>350</v>
      </c>
      <c r="I4250" t="s">
        <v>347</v>
      </c>
      <c r="J4250" t="s">
        <v>3494</v>
      </c>
    </row>
    <row r="4251" spans="1:10" x14ac:dyDescent="0.25">
      <c r="A4251" t="s">
        <v>3503</v>
      </c>
      <c r="B4251" t="s">
        <v>549</v>
      </c>
      <c r="C4251" s="22">
        <v>46183</v>
      </c>
      <c r="D4251" t="s">
        <v>21</v>
      </c>
      <c r="E4251" t="s">
        <v>81</v>
      </c>
      <c r="F4251">
        <v>5592</v>
      </c>
      <c r="G4251" t="s">
        <v>43</v>
      </c>
      <c r="H4251" t="s">
        <v>346</v>
      </c>
      <c r="I4251" t="s">
        <v>347</v>
      </c>
      <c r="J4251" t="s">
        <v>3496</v>
      </c>
    </row>
    <row r="4252" spans="1:10" x14ac:dyDescent="0.25">
      <c r="A4252" t="s">
        <v>3504</v>
      </c>
      <c r="B4252" t="s">
        <v>549</v>
      </c>
      <c r="C4252" s="22">
        <v>46183</v>
      </c>
      <c r="D4252" t="s">
        <v>21</v>
      </c>
      <c r="E4252" t="s">
        <v>81</v>
      </c>
      <c r="F4252">
        <v>5592</v>
      </c>
      <c r="G4252" t="s">
        <v>44</v>
      </c>
      <c r="H4252" t="s">
        <v>353</v>
      </c>
      <c r="I4252" t="s">
        <v>347</v>
      </c>
      <c r="J4252" t="s">
        <v>3498</v>
      </c>
    </row>
    <row r="4253" spans="1:10" x14ac:dyDescent="0.25">
      <c r="A4253" t="s">
        <v>3505</v>
      </c>
      <c r="B4253" t="s">
        <v>551</v>
      </c>
      <c r="C4253" s="22">
        <v>46183</v>
      </c>
      <c r="D4253" t="s">
        <v>21</v>
      </c>
      <c r="E4253" t="s">
        <v>81</v>
      </c>
      <c r="F4253">
        <v>5594</v>
      </c>
      <c r="G4253" t="s">
        <v>41</v>
      </c>
      <c r="H4253" t="s">
        <v>350</v>
      </c>
      <c r="I4253" t="s">
        <v>347</v>
      </c>
      <c r="J4253" t="s">
        <v>3506</v>
      </c>
    </row>
    <row r="4254" spans="1:10" x14ac:dyDescent="0.25">
      <c r="A4254" t="s">
        <v>3507</v>
      </c>
      <c r="B4254" t="s">
        <v>551</v>
      </c>
      <c r="C4254" s="22">
        <v>46183</v>
      </c>
      <c r="D4254" t="s">
        <v>21</v>
      </c>
      <c r="E4254" t="s">
        <v>81</v>
      </c>
      <c r="F4254">
        <v>5594</v>
      </c>
      <c r="G4254" t="s">
        <v>43</v>
      </c>
      <c r="H4254" t="s">
        <v>346</v>
      </c>
      <c r="I4254" t="s">
        <v>347</v>
      </c>
      <c r="J4254" t="s">
        <v>3508</v>
      </c>
    </row>
    <row r="4255" spans="1:10" x14ac:dyDescent="0.25">
      <c r="A4255" t="s">
        <v>3509</v>
      </c>
      <c r="B4255" t="s">
        <v>551</v>
      </c>
      <c r="C4255" s="22">
        <v>46183</v>
      </c>
      <c r="D4255" t="s">
        <v>21</v>
      </c>
      <c r="E4255" t="s">
        <v>81</v>
      </c>
      <c r="F4255">
        <v>5594</v>
      </c>
      <c r="G4255" t="s">
        <v>44</v>
      </c>
      <c r="H4255" t="s">
        <v>353</v>
      </c>
      <c r="I4255" t="s">
        <v>347</v>
      </c>
      <c r="J4255" t="s">
        <v>3510</v>
      </c>
    </row>
    <row r="4256" spans="1:10" x14ac:dyDescent="0.25">
      <c r="A4256" t="s">
        <v>3511</v>
      </c>
      <c r="B4256" t="s">
        <v>552</v>
      </c>
      <c r="C4256" s="22">
        <v>46183</v>
      </c>
      <c r="D4256" t="s">
        <v>22</v>
      </c>
      <c r="E4256" t="s">
        <v>81</v>
      </c>
      <c r="F4256">
        <v>5595</v>
      </c>
      <c r="G4256" t="s">
        <v>41</v>
      </c>
      <c r="H4256" t="s">
        <v>350</v>
      </c>
      <c r="I4256" t="s">
        <v>347</v>
      </c>
      <c r="J4256" t="s">
        <v>3506</v>
      </c>
    </row>
    <row r="4257" spans="1:10" x14ac:dyDescent="0.25">
      <c r="A4257" t="s">
        <v>3512</v>
      </c>
      <c r="B4257" t="s">
        <v>552</v>
      </c>
      <c r="C4257" s="22">
        <v>46183</v>
      </c>
      <c r="D4257" t="s">
        <v>22</v>
      </c>
      <c r="E4257" t="s">
        <v>81</v>
      </c>
      <c r="F4257">
        <v>5595</v>
      </c>
      <c r="G4257" t="s">
        <v>43</v>
      </c>
      <c r="H4257" t="s">
        <v>346</v>
      </c>
      <c r="I4257" t="s">
        <v>347</v>
      </c>
      <c r="J4257" t="s">
        <v>3508</v>
      </c>
    </row>
    <row r="4258" spans="1:10" x14ac:dyDescent="0.25">
      <c r="A4258" t="s">
        <v>3513</v>
      </c>
      <c r="B4258" t="s">
        <v>552</v>
      </c>
      <c r="C4258" s="22">
        <v>46183</v>
      </c>
      <c r="D4258" t="s">
        <v>22</v>
      </c>
      <c r="E4258" t="s">
        <v>81</v>
      </c>
      <c r="F4258">
        <v>5595</v>
      </c>
      <c r="G4258" t="s">
        <v>44</v>
      </c>
      <c r="H4258" t="s">
        <v>353</v>
      </c>
      <c r="I4258" t="s">
        <v>347</v>
      </c>
      <c r="J4258" t="s">
        <v>3510</v>
      </c>
    </row>
    <row r="4259" spans="1:10" x14ac:dyDescent="0.25">
      <c r="A4259" t="s">
        <v>3514</v>
      </c>
      <c r="B4259" t="s">
        <v>553</v>
      </c>
      <c r="C4259" s="22">
        <v>46183</v>
      </c>
      <c r="D4259" t="s">
        <v>22</v>
      </c>
      <c r="E4259" t="s">
        <v>81</v>
      </c>
      <c r="F4259">
        <v>5596</v>
      </c>
      <c r="G4259" t="s">
        <v>41</v>
      </c>
      <c r="H4259" t="s">
        <v>350</v>
      </c>
      <c r="I4259" t="s">
        <v>347</v>
      </c>
      <c r="J4259" t="s">
        <v>3515</v>
      </c>
    </row>
    <row r="4260" spans="1:10" x14ac:dyDescent="0.25">
      <c r="A4260" t="s">
        <v>3516</v>
      </c>
      <c r="B4260" t="s">
        <v>553</v>
      </c>
      <c r="C4260" s="22">
        <v>46183</v>
      </c>
      <c r="D4260" t="s">
        <v>22</v>
      </c>
      <c r="E4260" t="s">
        <v>81</v>
      </c>
      <c r="F4260">
        <v>5596</v>
      </c>
      <c r="G4260" t="s">
        <v>43</v>
      </c>
      <c r="H4260" t="s">
        <v>346</v>
      </c>
      <c r="I4260" t="s">
        <v>347</v>
      </c>
      <c r="J4260" t="s">
        <v>3517</v>
      </c>
    </row>
    <row r="4261" spans="1:10" x14ac:dyDescent="0.25">
      <c r="A4261" t="s">
        <v>3518</v>
      </c>
      <c r="B4261" t="s">
        <v>553</v>
      </c>
      <c r="C4261" s="22">
        <v>46183</v>
      </c>
      <c r="D4261" t="s">
        <v>22</v>
      </c>
      <c r="E4261" t="s">
        <v>81</v>
      </c>
      <c r="F4261">
        <v>5596</v>
      </c>
      <c r="G4261" t="s">
        <v>44</v>
      </c>
      <c r="H4261" t="s">
        <v>353</v>
      </c>
      <c r="I4261" t="s">
        <v>347</v>
      </c>
      <c r="J4261" t="s">
        <v>3519</v>
      </c>
    </row>
    <row r="4262" spans="1:10" x14ac:dyDescent="0.25">
      <c r="A4262" t="s">
        <v>3520</v>
      </c>
      <c r="B4262" t="s">
        <v>554</v>
      </c>
      <c r="C4262" s="22">
        <v>46183</v>
      </c>
      <c r="D4262" t="s">
        <v>21</v>
      </c>
      <c r="E4262" t="s">
        <v>81</v>
      </c>
      <c r="F4262">
        <v>5597</v>
      </c>
      <c r="G4262" t="s">
        <v>41</v>
      </c>
      <c r="H4262" t="s">
        <v>350</v>
      </c>
      <c r="I4262" t="s">
        <v>347</v>
      </c>
      <c r="J4262" t="s">
        <v>3521</v>
      </c>
    </row>
    <row r="4263" spans="1:10" x14ac:dyDescent="0.25">
      <c r="A4263" t="s">
        <v>3522</v>
      </c>
      <c r="B4263" t="s">
        <v>554</v>
      </c>
      <c r="C4263" s="22">
        <v>46183</v>
      </c>
      <c r="D4263" t="s">
        <v>21</v>
      </c>
      <c r="E4263" t="s">
        <v>81</v>
      </c>
      <c r="F4263">
        <v>5597</v>
      </c>
      <c r="G4263" t="s">
        <v>43</v>
      </c>
      <c r="H4263" t="s">
        <v>346</v>
      </c>
      <c r="I4263" t="s">
        <v>347</v>
      </c>
      <c r="J4263" t="s">
        <v>3523</v>
      </c>
    </row>
    <row r="4264" spans="1:10" x14ac:dyDescent="0.25">
      <c r="A4264" t="s">
        <v>3524</v>
      </c>
      <c r="B4264" t="s">
        <v>554</v>
      </c>
      <c r="C4264" s="22">
        <v>46183</v>
      </c>
      <c r="D4264" t="s">
        <v>21</v>
      </c>
      <c r="E4264" t="s">
        <v>81</v>
      </c>
      <c r="F4264">
        <v>5597</v>
      </c>
      <c r="G4264" t="s">
        <v>44</v>
      </c>
      <c r="H4264" t="s">
        <v>353</v>
      </c>
      <c r="I4264" t="s">
        <v>347</v>
      </c>
      <c r="J4264" t="s">
        <v>3525</v>
      </c>
    </row>
    <row r="4265" spans="1:10" x14ac:dyDescent="0.25">
      <c r="A4265" t="s">
        <v>3526</v>
      </c>
      <c r="B4265" t="s">
        <v>555</v>
      </c>
      <c r="C4265" s="22">
        <v>46183</v>
      </c>
      <c r="D4265" t="s">
        <v>21</v>
      </c>
      <c r="E4265" t="s">
        <v>81</v>
      </c>
      <c r="F4265">
        <v>5598</v>
      </c>
      <c r="G4265" t="s">
        <v>41</v>
      </c>
      <c r="H4265" t="s">
        <v>350</v>
      </c>
      <c r="I4265" t="s">
        <v>347</v>
      </c>
      <c r="J4265" t="s">
        <v>3521</v>
      </c>
    </row>
    <row r="4266" spans="1:10" x14ac:dyDescent="0.25">
      <c r="A4266" t="s">
        <v>3527</v>
      </c>
      <c r="B4266" t="s">
        <v>555</v>
      </c>
      <c r="C4266" s="22">
        <v>46183</v>
      </c>
      <c r="D4266" t="s">
        <v>21</v>
      </c>
      <c r="E4266" t="s">
        <v>81</v>
      </c>
      <c r="F4266">
        <v>5598</v>
      </c>
      <c r="G4266" t="s">
        <v>43</v>
      </c>
      <c r="H4266" t="s">
        <v>346</v>
      </c>
      <c r="I4266" t="s">
        <v>347</v>
      </c>
      <c r="J4266" t="s">
        <v>3523</v>
      </c>
    </row>
    <row r="4267" spans="1:10" x14ac:dyDescent="0.25">
      <c r="A4267" t="s">
        <v>3528</v>
      </c>
      <c r="B4267" t="s">
        <v>555</v>
      </c>
      <c r="C4267" s="22">
        <v>46183</v>
      </c>
      <c r="D4267" t="s">
        <v>21</v>
      </c>
      <c r="E4267" t="s">
        <v>81</v>
      </c>
      <c r="F4267">
        <v>5598</v>
      </c>
      <c r="G4267" t="s">
        <v>44</v>
      </c>
      <c r="H4267" t="s">
        <v>353</v>
      </c>
      <c r="I4267" t="s">
        <v>347</v>
      </c>
      <c r="J4267" t="s">
        <v>3525</v>
      </c>
    </row>
    <row r="4268" spans="1:10" x14ac:dyDescent="0.25">
      <c r="A4268" t="s">
        <v>3529</v>
      </c>
      <c r="B4268" t="s">
        <v>556</v>
      </c>
      <c r="C4268" s="22">
        <v>46183</v>
      </c>
      <c r="D4268" t="s">
        <v>22</v>
      </c>
      <c r="E4268" t="s">
        <v>81</v>
      </c>
      <c r="F4268">
        <v>5599</v>
      </c>
      <c r="G4268" t="s">
        <v>41</v>
      </c>
      <c r="H4268" t="s">
        <v>350</v>
      </c>
      <c r="I4268" t="s">
        <v>347</v>
      </c>
      <c r="J4268" t="s">
        <v>3530</v>
      </c>
    </row>
    <row r="4269" spans="1:10" x14ac:dyDescent="0.25">
      <c r="A4269" t="s">
        <v>3531</v>
      </c>
      <c r="B4269" t="s">
        <v>556</v>
      </c>
      <c r="C4269" s="22">
        <v>46183</v>
      </c>
      <c r="D4269" t="s">
        <v>22</v>
      </c>
      <c r="E4269" t="s">
        <v>81</v>
      </c>
      <c r="F4269">
        <v>5599</v>
      </c>
      <c r="G4269" t="s">
        <v>43</v>
      </c>
      <c r="H4269" t="s">
        <v>346</v>
      </c>
      <c r="I4269" t="s">
        <v>347</v>
      </c>
      <c r="J4269" t="s">
        <v>3532</v>
      </c>
    </row>
    <row r="4270" spans="1:10" x14ac:dyDescent="0.25">
      <c r="A4270" t="s">
        <v>3533</v>
      </c>
      <c r="B4270" t="s">
        <v>556</v>
      </c>
      <c r="C4270" s="22">
        <v>46183</v>
      </c>
      <c r="D4270" t="s">
        <v>22</v>
      </c>
      <c r="E4270" t="s">
        <v>81</v>
      </c>
      <c r="F4270">
        <v>5599</v>
      </c>
      <c r="G4270" t="s">
        <v>44</v>
      </c>
      <c r="H4270" t="s">
        <v>353</v>
      </c>
      <c r="I4270" t="s">
        <v>347</v>
      </c>
      <c r="J4270" t="s">
        <v>3534</v>
      </c>
    </row>
    <row r="4271" spans="1:10" x14ac:dyDescent="0.25">
      <c r="A4271" t="s">
        <v>3535</v>
      </c>
      <c r="B4271" t="s">
        <v>557</v>
      </c>
      <c r="C4271" s="22">
        <v>46183</v>
      </c>
      <c r="D4271" t="s">
        <v>21</v>
      </c>
      <c r="E4271" t="s">
        <v>81</v>
      </c>
      <c r="F4271">
        <v>5600</v>
      </c>
      <c r="G4271" t="s">
        <v>41</v>
      </c>
      <c r="H4271" t="s">
        <v>350</v>
      </c>
      <c r="I4271" t="s">
        <v>347</v>
      </c>
      <c r="J4271" t="s">
        <v>3530</v>
      </c>
    </row>
    <row r="4272" spans="1:10" x14ac:dyDescent="0.25">
      <c r="A4272" t="s">
        <v>3536</v>
      </c>
      <c r="B4272" t="s">
        <v>557</v>
      </c>
      <c r="C4272" s="22">
        <v>46183</v>
      </c>
      <c r="D4272" t="s">
        <v>21</v>
      </c>
      <c r="E4272" t="s">
        <v>81</v>
      </c>
      <c r="F4272">
        <v>5600</v>
      </c>
      <c r="G4272" t="s">
        <v>43</v>
      </c>
      <c r="H4272" t="s">
        <v>346</v>
      </c>
      <c r="I4272" t="s">
        <v>347</v>
      </c>
      <c r="J4272" t="s">
        <v>3532</v>
      </c>
    </row>
    <row r="4273" spans="1:10" x14ac:dyDescent="0.25">
      <c r="A4273" t="s">
        <v>3537</v>
      </c>
      <c r="B4273" t="s">
        <v>557</v>
      </c>
      <c r="C4273" s="22">
        <v>46183</v>
      </c>
      <c r="D4273" t="s">
        <v>21</v>
      </c>
      <c r="E4273" t="s">
        <v>81</v>
      </c>
      <c r="F4273">
        <v>5600</v>
      </c>
      <c r="G4273" t="s">
        <v>44</v>
      </c>
      <c r="H4273" t="s">
        <v>353</v>
      </c>
      <c r="I4273" t="s">
        <v>347</v>
      </c>
      <c r="J4273" t="s">
        <v>3534</v>
      </c>
    </row>
    <row r="4274" spans="1:10" x14ac:dyDescent="0.25">
      <c r="A4274" t="s">
        <v>3538</v>
      </c>
      <c r="B4274" t="s">
        <v>558</v>
      </c>
      <c r="C4274" s="22">
        <v>46183</v>
      </c>
      <c r="D4274" t="s">
        <v>22</v>
      </c>
      <c r="E4274" t="s">
        <v>81</v>
      </c>
      <c r="F4274">
        <v>5601</v>
      </c>
      <c r="G4274" t="s">
        <v>41</v>
      </c>
      <c r="H4274" t="s">
        <v>350</v>
      </c>
      <c r="I4274" t="s">
        <v>347</v>
      </c>
      <c r="J4274" t="s">
        <v>3539</v>
      </c>
    </row>
    <row r="4275" spans="1:10" x14ac:dyDescent="0.25">
      <c r="A4275" t="s">
        <v>3540</v>
      </c>
      <c r="B4275" t="s">
        <v>558</v>
      </c>
      <c r="C4275" s="22">
        <v>46183</v>
      </c>
      <c r="D4275" t="s">
        <v>22</v>
      </c>
      <c r="E4275" t="s">
        <v>81</v>
      </c>
      <c r="F4275">
        <v>5601</v>
      </c>
      <c r="G4275" t="s">
        <v>43</v>
      </c>
      <c r="H4275" t="s">
        <v>346</v>
      </c>
      <c r="I4275" t="s">
        <v>347</v>
      </c>
      <c r="J4275" t="s">
        <v>3541</v>
      </c>
    </row>
    <row r="4276" spans="1:10" x14ac:dyDescent="0.25">
      <c r="A4276" t="s">
        <v>3542</v>
      </c>
      <c r="B4276" t="s">
        <v>558</v>
      </c>
      <c r="C4276" s="22">
        <v>46183</v>
      </c>
      <c r="D4276" t="s">
        <v>22</v>
      </c>
      <c r="E4276" t="s">
        <v>81</v>
      </c>
      <c r="F4276">
        <v>5601</v>
      </c>
      <c r="G4276" t="s">
        <v>44</v>
      </c>
      <c r="H4276" t="s">
        <v>353</v>
      </c>
      <c r="I4276" t="s">
        <v>347</v>
      </c>
      <c r="J4276" t="s">
        <v>3543</v>
      </c>
    </row>
    <row r="4277" spans="1:10" x14ac:dyDescent="0.25">
      <c r="A4277" t="s">
        <v>3544</v>
      </c>
      <c r="B4277" t="s">
        <v>559</v>
      </c>
      <c r="C4277" s="22">
        <v>46183</v>
      </c>
      <c r="D4277" t="s">
        <v>21</v>
      </c>
      <c r="E4277" t="s">
        <v>81</v>
      </c>
      <c r="F4277">
        <v>5602</v>
      </c>
      <c r="G4277" t="s">
        <v>41</v>
      </c>
      <c r="H4277" t="s">
        <v>350</v>
      </c>
      <c r="I4277" t="s">
        <v>347</v>
      </c>
      <c r="J4277" t="s">
        <v>3539</v>
      </c>
    </row>
    <row r="4278" spans="1:10" x14ac:dyDescent="0.25">
      <c r="A4278" t="s">
        <v>3545</v>
      </c>
      <c r="B4278" t="s">
        <v>559</v>
      </c>
      <c r="C4278" s="22">
        <v>46183</v>
      </c>
      <c r="D4278" t="s">
        <v>21</v>
      </c>
      <c r="E4278" t="s">
        <v>81</v>
      </c>
      <c r="F4278">
        <v>5602</v>
      </c>
      <c r="G4278" t="s">
        <v>43</v>
      </c>
      <c r="H4278" t="s">
        <v>346</v>
      </c>
      <c r="I4278" t="s">
        <v>347</v>
      </c>
      <c r="J4278" t="s">
        <v>3541</v>
      </c>
    </row>
    <row r="4279" spans="1:10" x14ac:dyDescent="0.25">
      <c r="A4279" t="s">
        <v>3546</v>
      </c>
      <c r="B4279" t="s">
        <v>559</v>
      </c>
      <c r="C4279" s="22">
        <v>46183</v>
      </c>
      <c r="D4279" t="s">
        <v>21</v>
      </c>
      <c r="E4279" t="s">
        <v>81</v>
      </c>
      <c r="F4279">
        <v>5602</v>
      </c>
      <c r="G4279" t="s">
        <v>44</v>
      </c>
      <c r="H4279" t="s">
        <v>353</v>
      </c>
      <c r="I4279" t="s">
        <v>347</v>
      </c>
      <c r="J4279" t="s">
        <v>3543</v>
      </c>
    </row>
    <row r="4280" spans="1:10" x14ac:dyDescent="0.25">
      <c r="A4280" t="s">
        <v>3547</v>
      </c>
      <c r="B4280" t="s">
        <v>560</v>
      </c>
      <c r="C4280" s="22">
        <v>46183</v>
      </c>
      <c r="D4280" t="s">
        <v>22</v>
      </c>
      <c r="E4280" t="s">
        <v>81</v>
      </c>
      <c r="F4280">
        <v>5603</v>
      </c>
      <c r="G4280" t="s">
        <v>41</v>
      </c>
      <c r="H4280" t="s">
        <v>350</v>
      </c>
      <c r="I4280" t="s">
        <v>347</v>
      </c>
      <c r="J4280" t="s">
        <v>3548</v>
      </c>
    </row>
    <row r="4281" spans="1:10" x14ac:dyDescent="0.25">
      <c r="A4281" t="s">
        <v>3549</v>
      </c>
      <c r="B4281" t="s">
        <v>560</v>
      </c>
      <c r="C4281" s="22">
        <v>46183</v>
      </c>
      <c r="D4281" t="s">
        <v>22</v>
      </c>
      <c r="E4281" t="s">
        <v>81</v>
      </c>
      <c r="F4281">
        <v>5603</v>
      </c>
      <c r="G4281" t="s">
        <v>43</v>
      </c>
      <c r="H4281" t="s">
        <v>346</v>
      </c>
      <c r="I4281" t="s">
        <v>347</v>
      </c>
      <c r="J4281" t="s">
        <v>3550</v>
      </c>
    </row>
    <row r="4282" spans="1:10" x14ac:dyDescent="0.25">
      <c r="A4282" t="s">
        <v>3551</v>
      </c>
      <c r="B4282" t="s">
        <v>560</v>
      </c>
      <c r="C4282" s="22">
        <v>46183</v>
      </c>
      <c r="D4282" t="s">
        <v>22</v>
      </c>
      <c r="E4282" t="s">
        <v>81</v>
      </c>
      <c r="F4282">
        <v>5603</v>
      </c>
      <c r="G4282" t="s">
        <v>44</v>
      </c>
      <c r="H4282" t="s">
        <v>353</v>
      </c>
      <c r="I4282" t="s">
        <v>347</v>
      </c>
      <c r="J4282" t="s">
        <v>3552</v>
      </c>
    </row>
    <row r="4283" spans="1:10" x14ac:dyDescent="0.25">
      <c r="A4283" t="s">
        <v>3553</v>
      </c>
      <c r="B4283" t="s">
        <v>561</v>
      </c>
      <c r="C4283" s="22">
        <v>46183</v>
      </c>
      <c r="D4283" t="s">
        <v>22</v>
      </c>
      <c r="E4283" t="s">
        <v>81</v>
      </c>
      <c r="F4283">
        <v>5604</v>
      </c>
      <c r="G4283" t="s">
        <v>41</v>
      </c>
      <c r="H4283" t="s">
        <v>350</v>
      </c>
      <c r="I4283" t="s">
        <v>347</v>
      </c>
      <c r="J4283" t="s">
        <v>3548</v>
      </c>
    </row>
    <row r="4284" spans="1:10" x14ac:dyDescent="0.25">
      <c r="A4284" t="s">
        <v>3554</v>
      </c>
      <c r="B4284" t="s">
        <v>561</v>
      </c>
      <c r="C4284" s="22">
        <v>46183</v>
      </c>
      <c r="D4284" t="s">
        <v>22</v>
      </c>
      <c r="E4284" t="s">
        <v>81</v>
      </c>
      <c r="F4284">
        <v>5604</v>
      </c>
      <c r="G4284" t="s">
        <v>43</v>
      </c>
      <c r="H4284" t="s">
        <v>346</v>
      </c>
      <c r="I4284" t="s">
        <v>347</v>
      </c>
      <c r="J4284" t="s">
        <v>3550</v>
      </c>
    </row>
    <row r="4285" spans="1:10" x14ac:dyDescent="0.25">
      <c r="A4285" t="s">
        <v>3555</v>
      </c>
      <c r="B4285" t="s">
        <v>561</v>
      </c>
      <c r="C4285" s="22">
        <v>46183</v>
      </c>
      <c r="D4285" t="s">
        <v>22</v>
      </c>
      <c r="E4285" t="s">
        <v>81</v>
      </c>
      <c r="F4285">
        <v>5604</v>
      </c>
      <c r="G4285" t="s">
        <v>44</v>
      </c>
      <c r="H4285" t="s">
        <v>353</v>
      </c>
      <c r="I4285" t="s">
        <v>347</v>
      </c>
      <c r="J4285" t="s">
        <v>3552</v>
      </c>
    </row>
    <row r="4286" spans="1:10" x14ac:dyDescent="0.25">
      <c r="A4286" t="s">
        <v>3556</v>
      </c>
      <c r="B4286" t="s">
        <v>563</v>
      </c>
      <c r="C4286" s="22">
        <v>46183</v>
      </c>
      <c r="D4286" t="s">
        <v>21</v>
      </c>
      <c r="E4286" t="s">
        <v>81</v>
      </c>
      <c r="F4286">
        <v>5606</v>
      </c>
      <c r="G4286" t="s">
        <v>41</v>
      </c>
      <c r="H4286" t="s">
        <v>350</v>
      </c>
      <c r="I4286" t="s">
        <v>347</v>
      </c>
      <c r="J4286" t="s">
        <v>3548</v>
      </c>
    </row>
    <row r="4287" spans="1:10" x14ac:dyDescent="0.25">
      <c r="A4287" t="s">
        <v>3557</v>
      </c>
      <c r="B4287" t="s">
        <v>563</v>
      </c>
      <c r="C4287" s="22">
        <v>46183</v>
      </c>
      <c r="D4287" t="s">
        <v>21</v>
      </c>
      <c r="E4287" t="s">
        <v>81</v>
      </c>
      <c r="F4287">
        <v>5606</v>
      </c>
      <c r="G4287" t="s">
        <v>43</v>
      </c>
      <c r="H4287" t="s">
        <v>346</v>
      </c>
      <c r="I4287" t="s">
        <v>347</v>
      </c>
      <c r="J4287" t="s">
        <v>3550</v>
      </c>
    </row>
    <row r="4288" spans="1:10" x14ac:dyDescent="0.25">
      <c r="A4288" t="s">
        <v>3558</v>
      </c>
      <c r="B4288" t="s">
        <v>563</v>
      </c>
      <c r="C4288" s="22">
        <v>46183</v>
      </c>
      <c r="D4288" t="s">
        <v>21</v>
      </c>
      <c r="E4288" t="s">
        <v>81</v>
      </c>
      <c r="F4288">
        <v>5606</v>
      </c>
      <c r="G4288" t="s">
        <v>44</v>
      </c>
      <c r="H4288" t="s">
        <v>353</v>
      </c>
      <c r="I4288" t="s">
        <v>347</v>
      </c>
      <c r="J4288" t="s">
        <v>3552</v>
      </c>
    </row>
    <row r="4289" spans="1:10" x14ac:dyDescent="0.25">
      <c r="A4289" t="s">
        <v>3559</v>
      </c>
      <c r="B4289" t="s">
        <v>564</v>
      </c>
      <c r="C4289" s="22">
        <v>46183</v>
      </c>
      <c r="D4289" t="s">
        <v>21</v>
      </c>
      <c r="E4289" t="s">
        <v>81</v>
      </c>
      <c r="F4289">
        <v>5607</v>
      </c>
      <c r="G4289" t="s">
        <v>41</v>
      </c>
      <c r="H4289" t="s">
        <v>350</v>
      </c>
      <c r="I4289" t="s">
        <v>347</v>
      </c>
      <c r="J4289" t="s">
        <v>3560</v>
      </c>
    </row>
    <row r="4290" spans="1:10" x14ac:dyDescent="0.25">
      <c r="A4290" t="s">
        <v>3561</v>
      </c>
      <c r="B4290" t="s">
        <v>564</v>
      </c>
      <c r="C4290" s="22">
        <v>46183</v>
      </c>
      <c r="D4290" t="s">
        <v>21</v>
      </c>
      <c r="E4290" t="s">
        <v>81</v>
      </c>
      <c r="F4290">
        <v>5607</v>
      </c>
      <c r="G4290" t="s">
        <v>43</v>
      </c>
      <c r="H4290" t="s">
        <v>346</v>
      </c>
      <c r="I4290" t="s">
        <v>347</v>
      </c>
      <c r="J4290" t="s">
        <v>3562</v>
      </c>
    </row>
    <row r="4291" spans="1:10" x14ac:dyDescent="0.25">
      <c r="A4291" t="s">
        <v>3563</v>
      </c>
      <c r="B4291" t="s">
        <v>564</v>
      </c>
      <c r="C4291" s="22">
        <v>46183</v>
      </c>
      <c r="D4291" t="s">
        <v>21</v>
      </c>
      <c r="E4291" t="s">
        <v>81</v>
      </c>
      <c r="F4291">
        <v>5607</v>
      </c>
      <c r="G4291" t="s">
        <v>44</v>
      </c>
      <c r="H4291" t="s">
        <v>353</v>
      </c>
      <c r="I4291" t="s">
        <v>347</v>
      </c>
      <c r="J4291" t="s">
        <v>3564</v>
      </c>
    </row>
    <row r="4292" spans="1:10" x14ac:dyDescent="0.25">
      <c r="A4292" t="s">
        <v>3565</v>
      </c>
      <c r="B4292" t="s">
        <v>565</v>
      </c>
      <c r="C4292" s="22">
        <v>46183</v>
      </c>
      <c r="D4292" t="s">
        <v>21</v>
      </c>
      <c r="E4292" t="s">
        <v>81</v>
      </c>
      <c r="F4292">
        <v>5608</v>
      </c>
      <c r="G4292" t="s">
        <v>41</v>
      </c>
      <c r="H4292" t="s">
        <v>350</v>
      </c>
      <c r="I4292" t="s">
        <v>347</v>
      </c>
      <c r="J4292" t="s">
        <v>3560</v>
      </c>
    </row>
    <row r="4293" spans="1:10" x14ac:dyDescent="0.25">
      <c r="A4293" t="s">
        <v>3566</v>
      </c>
      <c r="B4293" t="s">
        <v>565</v>
      </c>
      <c r="C4293" s="22">
        <v>46183</v>
      </c>
      <c r="D4293" t="s">
        <v>21</v>
      </c>
      <c r="E4293" t="s">
        <v>81</v>
      </c>
      <c r="F4293">
        <v>5608</v>
      </c>
      <c r="G4293" t="s">
        <v>43</v>
      </c>
      <c r="H4293" t="s">
        <v>346</v>
      </c>
      <c r="I4293" t="s">
        <v>347</v>
      </c>
      <c r="J4293" t="s">
        <v>3562</v>
      </c>
    </row>
    <row r="4294" spans="1:10" x14ac:dyDescent="0.25">
      <c r="A4294" t="s">
        <v>3567</v>
      </c>
      <c r="B4294" t="s">
        <v>565</v>
      </c>
      <c r="C4294" s="22">
        <v>46183</v>
      </c>
      <c r="D4294" t="s">
        <v>21</v>
      </c>
      <c r="E4294" t="s">
        <v>81</v>
      </c>
      <c r="F4294">
        <v>5608</v>
      </c>
      <c r="G4294" t="s">
        <v>44</v>
      </c>
      <c r="H4294" t="s">
        <v>353</v>
      </c>
      <c r="I4294" t="s">
        <v>347</v>
      </c>
      <c r="J4294" t="s">
        <v>3564</v>
      </c>
    </row>
    <row r="4295" spans="1:10" x14ac:dyDescent="0.25">
      <c r="A4295" t="s">
        <v>3568</v>
      </c>
      <c r="B4295" t="s">
        <v>566</v>
      </c>
      <c r="C4295" s="22">
        <v>46183</v>
      </c>
      <c r="D4295" t="s">
        <v>21</v>
      </c>
      <c r="E4295" t="s">
        <v>81</v>
      </c>
      <c r="F4295">
        <v>5609</v>
      </c>
      <c r="G4295" t="s">
        <v>41</v>
      </c>
      <c r="H4295" t="s">
        <v>350</v>
      </c>
      <c r="I4295" t="s">
        <v>347</v>
      </c>
      <c r="J4295" t="s">
        <v>3560</v>
      </c>
    </row>
    <row r="4296" spans="1:10" x14ac:dyDescent="0.25">
      <c r="A4296" t="s">
        <v>3569</v>
      </c>
      <c r="B4296" t="s">
        <v>566</v>
      </c>
      <c r="C4296" s="22">
        <v>46183</v>
      </c>
      <c r="D4296" t="s">
        <v>21</v>
      </c>
      <c r="E4296" t="s">
        <v>81</v>
      </c>
      <c r="F4296">
        <v>5609</v>
      </c>
      <c r="G4296" t="s">
        <v>43</v>
      </c>
      <c r="H4296" t="s">
        <v>346</v>
      </c>
      <c r="I4296" t="s">
        <v>347</v>
      </c>
      <c r="J4296" t="s">
        <v>3562</v>
      </c>
    </row>
    <row r="4297" spans="1:10" x14ac:dyDescent="0.25">
      <c r="A4297" t="s">
        <v>3570</v>
      </c>
      <c r="B4297" t="s">
        <v>566</v>
      </c>
      <c r="C4297" s="22">
        <v>46183</v>
      </c>
      <c r="D4297" t="s">
        <v>21</v>
      </c>
      <c r="E4297" t="s">
        <v>81</v>
      </c>
      <c r="F4297">
        <v>5609</v>
      </c>
      <c r="G4297" t="s">
        <v>44</v>
      </c>
      <c r="H4297" t="s">
        <v>353</v>
      </c>
      <c r="I4297" t="s">
        <v>347</v>
      </c>
      <c r="J4297" t="s">
        <v>3564</v>
      </c>
    </row>
    <row r="4298" spans="1:10" x14ac:dyDescent="0.25">
      <c r="A4298" t="s">
        <v>3571</v>
      </c>
      <c r="B4298" t="s">
        <v>567</v>
      </c>
      <c r="C4298" s="22">
        <v>46183</v>
      </c>
      <c r="D4298" t="s">
        <v>21</v>
      </c>
      <c r="E4298" t="s">
        <v>81</v>
      </c>
      <c r="F4298">
        <v>5610</v>
      </c>
      <c r="G4298" t="s">
        <v>41</v>
      </c>
      <c r="H4298" t="s">
        <v>350</v>
      </c>
      <c r="I4298" t="s">
        <v>347</v>
      </c>
      <c r="J4298" t="s">
        <v>3572</v>
      </c>
    </row>
    <row r="4299" spans="1:10" x14ac:dyDescent="0.25">
      <c r="A4299" t="s">
        <v>3573</v>
      </c>
      <c r="B4299" t="s">
        <v>567</v>
      </c>
      <c r="C4299" s="22">
        <v>46183</v>
      </c>
      <c r="D4299" t="s">
        <v>21</v>
      </c>
      <c r="E4299" t="s">
        <v>81</v>
      </c>
      <c r="F4299">
        <v>5610</v>
      </c>
      <c r="G4299" t="s">
        <v>43</v>
      </c>
      <c r="H4299" t="s">
        <v>346</v>
      </c>
      <c r="I4299" t="s">
        <v>347</v>
      </c>
      <c r="J4299" t="s">
        <v>3574</v>
      </c>
    </row>
    <row r="4300" spans="1:10" x14ac:dyDescent="0.25">
      <c r="A4300" t="s">
        <v>3575</v>
      </c>
      <c r="B4300" t="s">
        <v>567</v>
      </c>
      <c r="C4300" s="22">
        <v>46183</v>
      </c>
      <c r="D4300" t="s">
        <v>21</v>
      </c>
      <c r="E4300" t="s">
        <v>81</v>
      </c>
      <c r="F4300">
        <v>5610</v>
      </c>
      <c r="G4300" t="s">
        <v>44</v>
      </c>
      <c r="H4300" t="s">
        <v>353</v>
      </c>
      <c r="I4300" t="s">
        <v>347</v>
      </c>
      <c r="J4300" t="s">
        <v>3576</v>
      </c>
    </row>
    <row r="4301" spans="1:10" x14ac:dyDescent="0.25">
      <c r="A4301" t="s">
        <v>3577</v>
      </c>
      <c r="B4301" t="s">
        <v>569</v>
      </c>
      <c r="C4301" s="22">
        <v>46183</v>
      </c>
      <c r="D4301" t="s">
        <v>22</v>
      </c>
      <c r="E4301" t="s">
        <v>81</v>
      </c>
      <c r="F4301">
        <v>5612</v>
      </c>
      <c r="G4301" t="s">
        <v>41</v>
      </c>
      <c r="H4301" t="s">
        <v>350</v>
      </c>
      <c r="I4301" t="s">
        <v>347</v>
      </c>
      <c r="J4301" t="s">
        <v>3578</v>
      </c>
    </row>
    <row r="4302" spans="1:10" x14ac:dyDescent="0.25">
      <c r="A4302" t="s">
        <v>3579</v>
      </c>
      <c r="B4302" t="s">
        <v>569</v>
      </c>
      <c r="C4302" s="22">
        <v>46183</v>
      </c>
      <c r="D4302" t="s">
        <v>22</v>
      </c>
      <c r="E4302" t="s">
        <v>81</v>
      </c>
      <c r="F4302">
        <v>5612</v>
      </c>
      <c r="G4302" t="s">
        <v>43</v>
      </c>
      <c r="H4302" t="s">
        <v>346</v>
      </c>
      <c r="I4302" t="s">
        <v>347</v>
      </c>
      <c r="J4302" t="s">
        <v>3580</v>
      </c>
    </row>
    <row r="4303" spans="1:10" x14ac:dyDescent="0.25">
      <c r="A4303" t="s">
        <v>3581</v>
      </c>
      <c r="B4303" t="s">
        <v>569</v>
      </c>
      <c r="C4303" s="22">
        <v>46183</v>
      </c>
      <c r="D4303" t="s">
        <v>22</v>
      </c>
      <c r="E4303" t="s">
        <v>81</v>
      </c>
      <c r="F4303">
        <v>5612</v>
      </c>
      <c r="G4303" t="s">
        <v>44</v>
      </c>
      <c r="H4303" t="s">
        <v>353</v>
      </c>
      <c r="I4303" t="s">
        <v>347</v>
      </c>
      <c r="J4303" t="s">
        <v>3582</v>
      </c>
    </row>
    <row r="4304" spans="1:10" x14ac:dyDescent="0.25">
      <c r="A4304" t="s">
        <v>3583</v>
      </c>
      <c r="B4304" t="s">
        <v>571</v>
      </c>
      <c r="C4304" s="22">
        <v>46183</v>
      </c>
      <c r="D4304" t="s">
        <v>22</v>
      </c>
      <c r="E4304" t="s">
        <v>81</v>
      </c>
      <c r="F4304">
        <v>5614</v>
      </c>
      <c r="G4304" t="s">
        <v>41</v>
      </c>
      <c r="H4304" t="s">
        <v>350</v>
      </c>
      <c r="I4304" t="s">
        <v>347</v>
      </c>
      <c r="J4304" t="s">
        <v>3584</v>
      </c>
    </row>
    <row r="4305" spans="1:10" x14ac:dyDescent="0.25">
      <c r="A4305" t="s">
        <v>3585</v>
      </c>
      <c r="B4305" t="s">
        <v>571</v>
      </c>
      <c r="C4305" s="22">
        <v>46183</v>
      </c>
      <c r="D4305" t="s">
        <v>22</v>
      </c>
      <c r="E4305" t="s">
        <v>81</v>
      </c>
      <c r="F4305">
        <v>5614</v>
      </c>
      <c r="G4305" t="s">
        <v>43</v>
      </c>
      <c r="H4305" t="s">
        <v>346</v>
      </c>
      <c r="I4305" t="s">
        <v>347</v>
      </c>
      <c r="J4305" t="s">
        <v>3586</v>
      </c>
    </row>
    <row r="4306" spans="1:10" x14ac:dyDescent="0.25">
      <c r="A4306" t="s">
        <v>3587</v>
      </c>
      <c r="B4306" t="s">
        <v>571</v>
      </c>
      <c r="C4306" s="22">
        <v>46183</v>
      </c>
      <c r="D4306" t="s">
        <v>22</v>
      </c>
      <c r="E4306" t="s">
        <v>81</v>
      </c>
      <c r="F4306">
        <v>5614</v>
      </c>
      <c r="G4306" t="s">
        <v>44</v>
      </c>
      <c r="H4306" t="s">
        <v>353</v>
      </c>
      <c r="I4306" t="s">
        <v>347</v>
      </c>
      <c r="J4306" t="s">
        <v>3588</v>
      </c>
    </row>
    <row r="4307" spans="1:10" x14ac:dyDescent="0.25">
      <c r="A4307" t="s">
        <v>3589</v>
      </c>
      <c r="B4307" t="s">
        <v>572</v>
      </c>
      <c r="C4307" s="22">
        <v>46183</v>
      </c>
      <c r="D4307" t="s">
        <v>22</v>
      </c>
      <c r="E4307" t="s">
        <v>81</v>
      </c>
      <c r="F4307">
        <v>5615</v>
      </c>
      <c r="G4307" t="s">
        <v>41</v>
      </c>
      <c r="H4307" t="s">
        <v>350</v>
      </c>
      <c r="I4307" t="s">
        <v>347</v>
      </c>
      <c r="J4307" t="s">
        <v>3584</v>
      </c>
    </row>
    <row r="4308" spans="1:10" x14ac:dyDescent="0.25">
      <c r="A4308" t="s">
        <v>3590</v>
      </c>
      <c r="B4308" t="s">
        <v>572</v>
      </c>
      <c r="C4308" s="22">
        <v>46183</v>
      </c>
      <c r="D4308" t="s">
        <v>22</v>
      </c>
      <c r="E4308" t="s">
        <v>81</v>
      </c>
      <c r="F4308">
        <v>5615</v>
      </c>
      <c r="G4308" t="s">
        <v>43</v>
      </c>
      <c r="H4308" t="s">
        <v>346</v>
      </c>
      <c r="I4308" t="s">
        <v>347</v>
      </c>
      <c r="J4308" t="s">
        <v>3586</v>
      </c>
    </row>
    <row r="4309" spans="1:10" x14ac:dyDescent="0.25">
      <c r="A4309" t="s">
        <v>3591</v>
      </c>
      <c r="B4309" t="s">
        <v>572</v>
      </c>
      <c r="C4309" s="22">
        <v>46183</v>
      </c>
      <c r="D4309" t="s">
        <v>22</v>
      </c>
      <c r="E4309" t="s">
        <v>81</v>
      </c>
      <c r="F4309">
        <v>5615</v>
      </c>
      <c r="G4309" t="s">
        <v>44</v>
      </c>
      <c r="H4309" t="s">
        <v>353</v>
      </c>
      <c r="I4309" t="s">
        <v>347</v>
      </c>
      <c r="J4309" t="s">
        <v>3588</v>
      </c>
    </row>
    <row r="4310" spans="1:10" x14ac:dyDescent="0.25">
      <c r="A4310" t="s">
        <v>3592</v>
      </c>
      <c r="B4310" t="s">
        <v>573</v>
      </c>
      <c r="C4310" s="22">
        <v>46183</v>
      </c>
      <c r="D4310" t="s">
        <v>21</v>
      </c>
      <c r="E4310" t="s">
        <v>81</v>
      </c>
      <c r="F4310">
        <v>5616</v>
      </c>
      <c r="G4310" t="s">
        <v>41</v>
      </c>
      <c r="H4310" t="s">
        <v>350</v>
      </c>
      <c r="I4310" t="s">
        <v>347</v>
      </c>
      <c r="J4310" t="s">
        <v>3584</v>
      </c>
    </row>
    <row r="4311" spans="1:10" x14ac:dyDescent="0.25">
      <c r="A4311" t="s">
        <v>3593</v>
      </c>
      <c r="B4311" t="s">
        <v>573</v>
      </c>
      <c r="C4311" s="22">
        <v>46183</v>
      </c>
      <c r="D4311" t="s">
        <v>21</v>
      </c>
      <c r="E4311" t="s">
        <v>81</v>
      </c>
      <c r="F4311">
        <v>5616</v>
      </c>
      <c r="G4311" t="s">
        <v>43</v>
      </c>
      <c r="H4311" t="s">
        <v>346</v>
      </c>
      <c r="I4311" t="s">
        <v>347</v>
      </c>
      <c r="J4311" t="s">
        <v>3586</v>
      </c>
    </row>
    <row r="4312" spans="1:10" x14ac:dyDescent="0.25">
      <c r="A4312" t="s">
        <v>3594</v>
      </c>
      <c r="B4312" t="s">
        <v>573</v>
      </c>
      <c r="C4312" s="22">
        <v>46183</v>
      </c>
      <c r="D4312" t="s">
        <v>21</v>
      </c>
      <c r="E4312" t="s">
        <v>81</v>
      </c>
      <c r="F4312">
        <v>5616</v>
      </c>
      <c r="G4312" t="s">
        <v>44</v>
      </c>
      <c r="H4312" t="s">
        <v>353</v>
      </c>
      <c r="I4312" t="s">
        <v>347</v>
      </c>
      <c r="J4312" t="s">
        <v>3588</v>
      </c>
    </row>
    <row r="4313" spans="1:10" x14ac:dyDescent="0.25">
      <c r="A4313" t="s">
        <v>3595</v>
      </c>
      <c r="B4313" t="s">
        <v>574</v>
      </c>
      <c r="C4313" s="22">
        <v>46183</v>
      </c>
      <c r="D4313" t="s">
        <v>21</v>
      </c>
      <c r="E4313" t="s">
        <v>81</v>
      </c>
      <c r="F4313">
        <v>5617</v>
      </c>
      <c r="G4313" t="s">
        <v>41</v>
      </c>
      <c r="H4313" t="s">
        <v>350</v>
      </c>
      <c r="I4313" t="s">
        <v>347</v>
      </c>
      <c r="J4313" t="s">
        <v>3584</v>
      </c>
    </row>
    <row r="4314" spans="1:10" x14ac:dyDescent="0.25">
      <c r="A4314" t="s">
        <v>3596</v>
      </c>
      <c r="B4314" t="s">
        <v>574</v>
      </c>
      <c r="C4314" s="22">
        <v>46183</v>
      </c>
      <c r="D4314" t="s">
        <v>21</v>
      </c>
      <c r="E4314" t="s">
        <v>81</v>
      </c>
      <c r="F4314">
        <v>5617</v>
      </c>
      <c r="G4314" t="s">
        <v>43</v>
      </c>
      <c r="H4314" t="s">
        <v>346</v>
      </c>
      <c r="I4314" t="s">
        <v>347</v>
      </c>
      <c r="J4314" t="s">
        <v>3586</v>
      </c>
    </row>
    <row r="4315" spans="1:10" x14ac:dyDescent="0.25">
      <c r="A4315" t="s">
        <v>3597</v>
      </c>
      <c r="B4315" t="s">
        <v>574</v>
      </c>
      <c r="C4315" s="22">
        <v>46183</v>
      </c>
      <c r="D4315" t="s">
        <v>21</v>
      </c>
      <c r="E4315" t="s">
        <v>81</v>
      </c>
      <c r="F4315">
        <v>5617</v>
      </c>
      <c r="G4315" t="s">
        <v>44</v>
      </c>
      <c r="H4315" t="s">
        <v>353</v>
      </c>
      <c r="I4315" t="s">
        <v>347</v>
      </c>
      <c r="J4315" t="s">
        <v>3588</v>
      </c>
    </row>
    <row r="4316" spans="1:10" x14ac:dyDescent="0.25">
      <c r="A4316" t="s">
        <v>3598</v>
      </c>
      <c r="B4316" t="s">
        <v>575</v>
      </c>
      <c r="C4316" s="22">
        <v>46183</v>
      </c>
      <c r="D4316" t="s">
        <v>21</v>
      </c>
      <c r="E4316" t="s">
        <v>81</v>
      </c>
      <c r="F4316">
        <v>5618</v>
      </c>
      <c r="G4316" t="s">
        <v>41</v>
      </c>
      <c r="H4316" t="s">
        <v>350</v>
      </c>
      <c r="I4316" t="s">
        <v>347</v>
      </c>
      <c r="J4316" t="s">
        <v>3584</v>
      </c>
    </row>
    <row r="4317" spans="1:10" x14ac:dyDescent="0.25">
      <c r="A4317" t="s">
        <v>3599</v>
      </c>
      <c r="B4317" t="s">
        <v>575</v>
      </c>
      <c r="C4317" s="22">
        <v>46183</v>
      </c>
      <c r="D4317" t="s">
        <v>21</v>
      </c>
      <c r="E4317" t="s">
        <v>81</v>
      </c>
      <c r="F4317">
        <v>5618</v>
      </c>
      <c r="G4317" t="s">
        <v>43</v>
      </c>
      <c r="H4317" t="s">
        <v>346</v>
      </c>
      <c r="I4317" t="s">
        <v>347</v>
      </c>
      <c r="J4317" t="s">
        <v>3586</v>
      </c>
    </row>
    <row r="4318" spans="1:10" x14ac:dyDescent="0.25">
      <c r="A4318" t="s">
        <v>3600</v>
      </c>
      <c r="B4318" t="s">
        <v>575</v>
      </c>
      <c r="C4318" s="22">
        <v>46183</v>
      </c>
      <c r="D4318" t="s">
        <v>21</v>
      </c>
      <c r="E4318" t="s">
        <v>81</v>
      </c>
      <c r="F4318">
        <v>5618</v>
      </c>
      <c r="G4318" t="s">
        <v>44</v>
      </c>
      <c r="H4318" t="s">
        <v>353</v>
      </c>
      <c r="I4318" t="s">
        <v>347</v>
      </c>
      <c r="J4318" t="s">
        <v>3588</v>
      </c>
    </row>
    <row r="4319" spans="1:10" x14ac:dyDescent="0.25">
      <c r="A4319" t="s">
        <v>3601</v>
      </c>
      <c r="B4319" t="s">
        <v>576</v>
      </c>
      <c r="C4319" s="22">
        <v>46183</v>
      </c>
      <c r="D4319" t="s">
        <v>21</v>
      </c>
      <c r="E4319" t="s">
        <v>81</v>
      </c>
      <c r="F4319">
        <v>5619</v>
      </c>
      <c r="G4319" t="s">
        <v>41</v>
      </c>
      <c r="H4319" t="s">
        <v>350</v>
      </c>
      <c r="I4319" t="s">
        <v>347</v>
      </c>
      <c r="J4319" t="s">
        <v>3584</v>
      </c>
    </row>
    <row r="4320" spans="1:10" x14ac:dyDescent="0.25">
      <c r="A4320" t="s">
        <v>3602</v>
      </c>
      <c r="B4320" t="s">
        <v>576</v>
      </c>
      <c r="C4320" s="22">
        <v>46183</v>
      </c>
      <c r="D4320" t="s">
        <v>21</v>
      </c>
      <c r="E4320" t="s">
        <v>81</v>
      </c>
      <c r="F4320">
        <v>5619</v>
      </c>
      <c r="G4320" t="s">
        <v>43</v>
      </c>
      <c r="H4320" t="s">
        <v>346</v>
      </c>
      <c r="I4320" t="s">
        <v>347</v>
      </c>
      <c r="J4320" t="s">
        <v>3586</v>
      </c>
    </row>
    <row r="4321" spans="1:10" x14ac:dyDescent="0.25">
      <c r="A4321" t="s">
        <v>3603</v>
      </c>
      <c r="B4321" t="s">
        <v>576</v>
      </c>
      <c r="C4321" s="22">
        <v>46183</v>
      </c>
      <c r="D4321" t="s">
        <v>21</v>
      </c>
      <c r="E4321" t="s">
        <v>81</v>
      </c>
      <c r="F4321">
        <v>5619</v>
      </c>
      <c r="G4321" t="s">
        <v>44</v>
      </c>
      <c r="H4321" t="s">
        <v>353</v>
      </c>
      <c r="I4321" t="s">
        <v>347</v>
      </c>
      <c r="J4321" t="s">
        <v>3588</v>
      </c>
    </row>
    <row r="4322" spans="1:10" x14ac:dyDescent="0.25">
      <c r="A4322" t="s">
        <v>3604</v>
      </c>
      <c r="B4322" t="s">
        <v>578</v>
      </c>
      <c r="C4322" s="22">
        <v>46183</v>
      </c>
      <c r="D4322" t="s">
        <v>22</v>
      </c>
      <c r="E4322" t="s">
        <v>81</v>
      </c>
      <c r="F4322">
        <v>5621</v>
      </c>
      <c r="G4322" t="s">
        <v>41</v>
      </c>
      <c r="H4322" t="s">
        <v>350</v>
      </c>
      <c r="I4322" t="s">
        <v>347</v>
      </c>
      <c r="J4322" t="s">
        <v>3605</v>
      </c>
    </row>
    <row r="4323" spans="1:10" x14ac:dyDescent="0.25">
      <c r="A4323" t="s">
        <v>3606</v>
      </c>
      <c r="B4323" t="s">
        <v>578</v>
      </c>
      <c r="C4323" s="22">
        <v>46183</v>
      </c>
      <c r="D4323" t="s">
        <v>22</v>
      </c>
      <c r="E4323" t="s">
        <v>81</v>
      </c>
      <c r="F4323">
        <v>5621</v>
      </c>
      <c r="G4323" t="s">
        <v>43</v>
      </c>
      <c r="H4323" t="s">
        <v>346</v>
      </c>
      <c r="I4323" t="s">
        <v>347</v>
      </c>
      <c r="J4323" t="s">
        <v>3607</v>
      </c>
    </row>
    <row r="4324" spans="1:10" x14ac:dyDescent="0.25">
      <c r="A4324" t="s">
        <v>3608</v>
      </c>
      <c r="B4324" t="s">
        <v>578</v>
      </c>
      <c r="C4324" s="22">
        <v>46183</v>
      </c>
      <c r="D4324" t="s">
        <v>22</v>
      </c>
      <c r="E4324" t="s">
        <v>81</v>
      </c>
      <c r="F4324">
        <v>5621</v>
      </c>
      <c r="G4324" t="s">
        <v>44</v>
      </c>
      <c r="H4324" t="s">
        <v>353</v>
      </c>
      <c r="I4324" t="s">
        <v>347</v>
      </c>
      <c r="J4324" t="s">
        <v>3609</v>
      </c>
    </row>
    <row r="4325" spans="1:10" x14ac:dyDescent="0.25">
      <c r="A4325" t="s">
        <v>3610</v>
      </c>
      <c r="B4325" t="s">
        <v>579</v>
      </c>
      <c r="C4325" s="22">
        <v>46183</v>
      </c>
      <c r="D4325" t="s">
        <v>21</v>
      </c>
      <c r="E4325" t="s">
        <v>81</v>
      </c>
      <c r="F4325">
        <v>5622</v>
      </c>
      <c r="G4325" t="s">
        <v>41</v>
      </c>
      <c r="H4325" t="s">
        <v>350</v>
      </c>
      <c r="I4325" t="s">
        <v>347</v>
      </c>
      <c r="J4325" t="s">
        <v>3605</v>
      </c>
    </row>
    <row r="4326" spans="1:10" x14ac:dyDescent="0.25">
      <c r="A4326" t="s">
        <v>3611</v>
      </c>
      <c r="B4326" t="s">
        <v>579</v>
      </c>
      <c r="C4326" s="22">
        <v>46183</v>
      </c>
      <c r="D4326" t="s">
        <v>21</v>
      </c>
      <c r="E4326" t="s">
        <v>81</v>
      </c>
      <c r="F4326">
        <v>5622</v>
      </c>
      <c r="G4326" t="s">
        <v>43</v>
      </c>
      <c r="H4326" t="s">
        <v>346</v>
      </c>
      <c r="I4326" t="s">
        <v>347</v>
      </c>
      <c r="J4326" t="s">
        <v>3607</v>
      </c>
    </row>
    <row r="4327" spans="1:10" x14ac:dyDescent="0.25">
      <c r="A4327" t="s">
        <v>3612</v>
      </c>
      <c r="B4327" t="s">
        <v>579</v>
      </c>
      <c r="C4327" s="22">
        <v>46183</v>
      </c>
      <c r="D4327" t="s">
        <v>21</v>
      </c>
      <c r="E4327" t="s">
        <v>81</v>
      </c>
      <c r="F4327">
        <v>5622</v>
      </c>
      <c r="G4327" t="s">
        <v>44</v>
      </c>
      <c r="H4327" t="s">
        <v>353</v>
      </c>
      <c r="I4327" t="s">
        <v>347</v>
      </c>
      <c r="J4327" t="s">
        <v>3609</v>
      </c>
    </row>
    <row r="4328" spans="1:10" x14ac:dyDescent="0.25">
      <c r="A4328" t="s">
        <v>3613</v>
      </c>
      <c r="B4328" t="s">
        <v>580</v>
      </c>
      <c r="C4328" s="22">
        <v>46183</v>
      </c>
      <c r="D4328" t="s">
        <v>21</v>
      </c>
      <c r="E4328" t="s">
        <v>81</v>
      </c>
      <c r="F4328">
        <v>5623</v>
      </c>
      <c r="G4328" t="s">
        <v>41</v>
      </c>
      <c r="H4328" t="s">
        <v>350</v>
      </c>
      <c r="I4328" t="s">
        <v>347</v>
      </c>
      <c r="J4328" t="s">
        <v>3614</v>
      </c>
    </row>
    <row r="4329" spans="1:10" x14ac:dyDescent="0.25">
      <c r="A4329" t="s">
        <v>3615</v>
      </c>
      <c r="B4329" t="s">
        <v>580</v>
      </c>
      <c r="C4329" s="22">
        <v>46183</v>
      </c>
      <c r="D4329" t="s">
        <v>21</v>
      </c>
      <c r="E4329" t="s">
        <v>81</v>
      </c>
      <c r="F4329">
        <v>5623</v>
      </c>
      <c r="G4329" t="s">
        <v>43</v>
      </c>
      <c r="H4329" t="s">
        <v>346</v>
      </c>
      <c r="I4329" t="s">
        <v>347</v>
      </c>
      <c r="J4329" t="s">
        <v>3616</v>
      </c>
    </row>
    <row r="4330" spans="1:10" x14ac:dyDescent="0.25">
      <c r="A4330" t="s">
        <v>3617</v>
      </c>
      <c r="B4330" t="s">
        <v>580</v>
      </c>
      <c r="C4330" s="22">
        <v>46183</v>
      </c>
      <c r="D4330" t="s">
        <v>21</v>
      </c>
      <c r="E4330" t="s">
        <v>81</v>
      </c>
      <c r="F4330">
        <v>5623</v>
      </c>
      <c r="G4330" t="s">
        <v>44</v>
      </c>
      <c r="H4330" t="s">
        <v>353</v>
      </c>
      <c r="I4330" t="s">
        <v>347</v>
      </c>
      <c r="J4330" t="s">
        <v>3618</v>
      </c>
    </row>
    <row r="4331" spans="1:10" x14ac:dyDescent="0.25">
      <c r="A4331" t="s">
        <v>3619</v>
      </c>
      <c r="B4331" t="s">
        <v>581</v>
      </c>
      <c r="C4331" s="22">
        <v>46183</v>
      </c>
      <c r="D4331" t="s">
        <v>21</v>
      </c>
      <c r="E4331" t="s">
        <v>81</v>
      </c>
      <c r="F4331">
        <v>5624</v>
      </c>
      <c r="G4331" t="s">
        <v>41</v>
      </c>
      <c r="H4331" t="s">
        <v>350</v>
      </c>
      <c r="I4331" t="s">
        <v>347</v>
      </c>
      <c r="J4331" t="s">
        <v>3620</v>
      </c>
    </row>
    <row r="4332" spans="1:10" x14ac:dyDescent="0.25">
      <c r="A4332" t="s">
        <v>3621</v>
      </c>
      <c r="B4332" t="s">
        <v>581</v>
      </c>
      <c r="C4332" s="22">
        <v>46183</v>
      </c>
      <c r="D4332" t="s">
        <v>21</v>
      </c>
      <c r="E4332" t="s">
        <v>81</v>
      </c>
      <c r="F4332">
        <v>5624</v>
      </c>
      <c r="G4332" t="s">
        <v>43</v>
      </c>
      <c r="H4332" t="s">
        <v>346</v>
      </c>
      <c r="I4332" t="s">
        <v>347</v>
      </c>
      <c r="J4332" t="s">
        <v>3622</v>
      </c>
    </row>
    <row r="4333" spans="1:10" x14ac:dyDescent="0.25">
      <c r="A4333" t="s">
        <v>3623</v>
      </c>
      <c r="B4333" t="s">
        <v>582</v>
      </c>
      <c r="C4333" s="22">
        <v>46183</v>
      </c>
      <c r="D4333" t="s">
        <v>22</v>
      </c>
      <c r="E4333" t="s">
        <v>81</v>
      </c>
      <c r="F4333">
        <v>5625</v>
      </c>
      <c r="G4333" t="s">
        <v>41</v>
      </c>
      <c r="H4333" t="s">
        <v>350</v>
      </c>
      <c r="I4333" t="s">
        <v>347</v>
      </c>
      <c r="J4333" t="s">
        <v>3624</v>
      </c>
    </row>
    <row r="4334" spans="1:10" x14ac:dyDescent="0.25">
      <c r="A4334" t="s">
        <v>3625</v>
      </c>
      <c r="B4334" t="s">
        <v>582</v>
      </c>
      <c r="C4334" s="22">
        <v>46183</v>
      </c>
      <c r="D4334" t="s">
        <v>22</v>
      </c>
      <c r="E4334" t="s">
        <v>81</v>
      </c>
      <c r="F4334">
        <v>5625</v>
      </c>
      <c r="G4334" t="s">
        <v>43</v>
      </c>
      <c r="H4334" t="s">
        <v>346</v>
      </c>
      <c r="I4334" t="s">
        <v>347</v>
      </c>
      <c r="J4334" t="s">
        <v>3626</v>
      </c>
    </row>
    <row r="4335" spans="1:10" x14ac:dyDescent="0.25">
      <c r="A4335" t="s">
        <v>3627</v>
      </c>
      <c r="B4335" t="s">
        <v>582</v>
      </c>
      <c r="C4335" s="22">
        <v>46183</v>
      </c>
      <c r="D4335" t="s">
        <v>22</v>
      </c>
      <c r="E4335" t="s">
        <v>81</v>
      </c>
      <c r="F4335">
        <v>5625</v>
      </c>
      <c r="G4335" t="s">
        <v>44</v>
      </c>
      <c r="H4335" t="s">
        <v>353</v>
      </c>
      <c r="I4335" t="s">
        <v>347</v>
      </c>
      <c r="J4335" t="s">
        <v>3628</v>
      </c>
    </row>
    <row r="4336" spans="1:10" x14ac:dyDescent="0.25">
      <c r="A4336" t="s">
        <v>3629</v>
      </c>
      <c r="B4336" t="s">
        <v>583</v>
      </c>
      <c r="C4336" s="22">
        <v>46183</v>
      </c>
      <c r="D4336" t="s">
        <v>22</v>
      </c>
      <c r="E4336" t="s">
        <v>81</v>
      </c>
      <c r="F4336">
        <v>5626</v>
      </c>
      <c r="G4336" t="s">
        <v>41</v>
      </c>
      <c r="H4336" t="s">
        <v>350</v>
      </c>
      <c r="I4336" t="s">
        <v>347</v>
      </c>
      <c r="J4336" t="s">
        <v>3630</v>
      </c>
    </row>
    <row r="4337" spans="1:10" x14ac:dyDescent="0.25">
      <c r="A4337" t="s">
        <v>3631</v>
      </c>
      <c r="B4337" t="s">
        <v>583</v>
      </c>
      <c r="C4337" s="22">
        <v>46183</v>
      </c>
      <c r="D4337" t="s">
        <v>22</v>
      </c>
      <c r="E4337" t="s">
        <v>81</v>
      </c>
      <c r="F4337">
        <v>5626</v>
      </c>
      <c r="G4337" t="s">
        <v>43</v>
      </c>
      <c r="H4337" t="s">
        <v>346</v>
      </c>
      <c r="I4337" t="s">
        <v>347</v>
      </c>
      <c r="J4337" t="s">
        <v>3632</v>
      </c>
    </row>
    <row r="4338" spans="1:10" x14ac:dyDescent="0.25">
      <c r="A4338" t="s">
        <v>3633</v>
      </c>
      <c r="B4338" t="s">
        <v>583</v>
      </c>
      <c r="C4338" s="22">
        <v>46183</v>
      </c>
      <c r="D4338" t="s">
        <v>22</v>
      </c>
      <c r="E4338" t="s">
        <v>81</v>
      </c>
      <c r="F4338">
        <v>5626</v>
      </c>
      <c r="G4338" t="s">
        <v>44</v>
      </c>
      <c r="H4338" t="s">
        <v>353</v>
      </c>
      <c r="I4338" t="s">
        <v>347</v>
      </c>
      <c r="J4338" t="s">
        <v>3634</v>
      </c>
    </row>
    <row r="4339" spans="1:10" x14ac:dyDescent="0.25">
      <c r="A4339" t="s">
        <v>3635</v>
      </c>
      <c r="B4339" t="s">
        <v>584</v>
      </c>
      <c r="C4339" s="22">
        <v>46183</v>
      </c>
      <c r="D4339" t="s">
        <v>21</v>
      </c>
      <c r="E4339" t="s">
        <v>81</v>
      </c>
      <c r="F4339">
        <v>5627</v>
      </c>
      <c r="G4339" t="s">
        <v>41</v>
      </c>
      <c r="H4339" t="s">
        <v>350</v>
      </c>
      <c r="I4339" t="s">
        <v>347</v>
      </c>
      <c r="J4339" t="s">
        <v>3636</v>
      </c>
    </row>
    <row r="4340" spans="1:10" x14ac:dyDescent="0.25">
      <c r="A4340" t="s">
        <v>3637</v>
      </c>
      <c r="B4340" t="s">
        <v>584</v>
      </c>
      <c r="C4340" s="22">
        <v>46183</v>
      </c>
      <c r="D4340" t="s">
        <v>21</v>
      </c>
      <c r="E4340" t="s">
        <v>81</v>
      </c>
      <c r="F4340">
        <v>5627</v>
      </c>
      <c r="G4340" t="s">
        <v>43</v>
      </c>
      <c r="H4340" t="s">
        <v>346</v>
      </c>
      <c r="I4340" t="s">
        <v>347</v>
      </c>
      <c r="J4340" t="s">
        <v>3638</v>
      </c>
    </row>
    <row r="4341" spans="1:10" x14ac:dyDescent="0.25">
      <c r="A4341" t="s">
        <v>3639</v>
      </c>
      <c r="B4341" t="s">
        <v>585</v>
      </c>
      <c r="C4341" s="22">
        <v>46183</v>
      </c>
      <c r="D4341" t="s">
        <v>22</v>
      </c>
      <c r="E4341" t="s">
        <v>81</v>
      </c>
      <c r="F4341">
        <v>5628</v>
      </c>
      <c r="G4341" t="s">
        <v>41</v>
      </c>
      <c r="H4341" t="s">
        <v>350</v>
      </c>
      <c r="I4341" t="s">
        <v>347</v>
      </c>
      <c r="J4341" t="s">
        <v>3640</v>
      </c>
    </row>
    <row r="4342" spans="1:10" x14ac:dyDescent="0.25">
      <c r="A4342" t="s">
        <v>3641</v>
      </c>
      <c r="B4342" t="s">
        <v>585</v>
      </c>
      <c r="C4342" s="22">
        <v>46183</v>
      </c>
      <c r="D4342" t="s">
        <v>22</v>
      </c>
      <c r="E4342" t="s">
        <v>81</v>
      </c>
      <c r="F4342">
        <v>5628</v>
      </c>
      <c r="G4342" t="s">
        <v>43</v>
      </c>
      <c r="H4342" t="s">
        <v>346</v>
      </c>
      <c r="I4342" t="s">
        <v>347</v>
      </c>
      <c r="J4342" t="s">
        <v>3642</v>
      </c>
    </row>
    <row r="4343" spans="1:10" x14ac:dyDescent="0.25">
      <c r="A4343" t="s">
        <v>3643</v>
      </c>
      <c r="B4343" t="s">
        <v>586</v>
      </c>
      <c r="C4343" s="22">
        <v>46183</v>
      </c>
      <c r="D4343" t="s">
        <v>21</v>
      </c>
      <c r="E4343" t="s">
        <v>81</v>
      </c>
      <c r="F4343">
        <v>5629</v>
      </c>
      <c r="G4343" t="s">
        <v>41</v>
      </c>
      <c r="H4343" t="s">
        <v>350</v>
      </c>
      <c r="I4343" t="s">
        <v>347</v>
      </c>
      <c r="J4343" t="s">
        <v>3640</v>
      </c>
    </row>
    <row r="4344" spans="1:10" x14ac:dyDescent="0.25">
      <c r="A4344" t="s">
        <v>3644</v>
      </c>
      <c r="B4344" t="s">
        <v>586</v>
      </c>
      <c r="C4344" s="22">
        <v>46183</v>
      </c>
      <c r="D4344" t="s">
        <v>21</v>
      </c>
      <c r="E4344" t="s">
        <v>81</v>
      </c>
      <c r="F4344">
        <v>5629</v>
      </c>
      <c r="G4344" t="s">
        <v>43</v>
      </c>
      <c r="H4344" t="s">
        <v>346</v>
      </c>
      <c r="I4344" t="s">
        <v>347</v>
      </c>
      <c r="J4344" t="s">
        <v>3642</v>
      </c>
    </row>
    <row r="4345" spans="1:10" x14ac:dyDescent="0.25">
      <c r="A4345" t="s">
        <v>3645</v>
      </c>
      <c r="B4345" t="s">
        <v>587</v>
      </c>
      <c r="C4345" s="22">
        <v>46183</v>
      </c>
      <c r="D4345" t="s">
        <v>22</v>
      </c>
      <c r="E4345" t="s">
        <v>81</v>
      </c>
      <c r="F4345">
        <v>5630</v>
      </c>
      <c r="G4345" t="s">
        <v>41</v>
      </c>
      <c r="H4345" t="s">
        <v>350</v>
      </c>
      <c r="I4345" t="s">
        <v>347</v>
      </c>
      <c r="J4345" t="s">
        <v>3646</v>
      </c>
    </row>
    <row r="4346" spans="1:10" x14ac:dyDescent="0.25">
      <c r="A4346" t="s">
        <v>3647</v>
      </c>
      <c r="B4346" t="s">
        <v>587</v>
      </c>
      <c r="C4346" s="22">
        <v>46183</v>
      </c>
      <c r="D4346" t="s">
        <v>22</v>
      </c>
      <c r="E4346" t="s">
        <v>81</v>
      </c>
      <c r="F4346">
        <v>5630</v>
      </c>
      <c r="G4346" t="s">
        <v>43</v>
      </c>
      <c r="H4346" t="s">
        <v>346</v>
      </c>
      <c r="I4346" t="s">
        <v>347</v>
      </c>
      <c r="J4346" t="s">
        <v>3648</v>
      </c>
    </row>
    <row r="4347" spans="1:10" x14ac:dyDescent="0.25">
      <c r="A4347" t="s">
        <v>3649</v>
      </c>
      <c r="B4347" t="s">
        <v>589</v>
      </c>
      <c r="C4347" s="22">
        <v>46183</v>
      </c>
      <c r="D4347" t="s">
        <v>22</v>
      </c>
      <c r="E4347" t="s">
        <v>81</v>
      </c>
      <c r="F4347">
        <v>5632</v>
      </c>
      <c r="G4347" t="s">
        <v>41</v>
      </c>
      <c r="H4347" t="s">
        <v>350</v>
      </c>
      <c r="I4347" t="s">
        <v>347</v>
      </c>
      <c r="J4347" t="s">
        <v>3650</v>
      </c>
    </row>
    <row r="4348" spans="1:10" x14ac:dyDescent="0.25">
      <c r="A4348" t="s">
        <v>3651</v>
      </c>
      <c r="B4348" t="s">
        <v>589</v>
      </c>
      <c r="C4348" s="22">
        <v>46183</v>
      </c>
      <c r="D4348" t="s">
        <v>22</v>
      </c>
      <c r="E4348" t="s">
        <v>81</v>
      </c>
      <c r="F4348">
        <v>5632</v>
      </c>
      <c r="G4348" t="s">
        <v>43</v>
      </c>
      <c r="H4348" t="s">
        <v>346</v>
      </c>
      <c r="I4348" t="s">
        <v>347</v>
      </c>
      <c r="J4348" t="s">
        <v>3652</v>
      </c>
    </row>
    <row r="4349" spans="1:10" x14ac:dyDescent="0.25">
      <c r="A4349" t="s">
        <v>3653</v>
      </c>
      <c r="B4349" t="s">
        <v>590</v>
      </c>
      <c r="C4349" s="22">
        <v>46183</v>
      </c>
      <c r="D4349" t="s">
        <v>22</v>
      </c>
      <c r="E4349" t="s">
        <v>81</v>
      </c>
      <c r="F4349">
        <v>5633</v>
      </c>
      <c r="G4349" t="s">
        <v>41</v>
      </c>
      <c r="H4349" t="s">
        <v>350</v>
      </c>
      <c r="I4349" t="s">
        <v>347</v>
      </c>
      <c r="J4349" t="s">
        <v>3654</v>
      </c>
    </row>
    <row r="4350" spans="1:10" x14ac:dyDescent="0.25">
      <c r="A4350" t="s">
        <v>3655</v>
      </c>
      <c r="B4350" t="s">
        <v>590</v>
      </c>
      <c r="C4350" s="22">
        <v>46183</v>
      </c>
      <c r="D4350" t="s">
        <v>22</v>
      </c>
      <c r="E4350" t="s">
        <v>81</v>
      </c>
      <c r="F4350">
        <v>5633</v>
      </c>
      <c r="G4350" t="s">
        <v>43</v>
      </c>
      <c r="H4350" t="s">
        <v>346</v>
      </c>
      <c r="I4350" t="s">
        <v>347</v>
      </c>
      <c r="J4350" t="s">
        <v>3656</v>
      </c>
    </row>
    <row r="4351" spans="1:10" x14ac:dyDescent="0.25">
      <c r="A4351" t="s">
        <v>3657</v>
      </c>
      <c r="B4351" t="s">
        <v>591</v>
      </c>
      <c r="C4351" s="22">
        <v>46183</v>
      </c>
      <c r="D4351" t="s">
        <v>22</v>
      </c>
      <c r="E4351" t="s">
        <v>81</v>
      </c>
      <c r="F4351">
        <v>5634</v>
      </c>
      <c r="G4351" t="s">
        <v>41</v>
      </c>
      <c r="H4351" t="s">
        <v>350</v>
      </c>
      <c r="I4351" t="s">
        <v>347</v>
      </c>
      <c r="J4351" t="s">
        <v>3658</v>
      </c>
    </row>
    <row r="4352" spans="1:10" x14ac:dyDescent="0.25">
      <c r="A4352" t="s">
        <v>3659</v>
      </c>
      <c r="B4352" t="s">
        <v>591</v>
      </c>
      <c r="C4352" s="22">
        <v>46183</v>
      </c>
      <c r="D4352" t="s">
        <v>22</v>
      </c>
      <c r="E4352" t="s">
        <v>81</v>
      </c>
      <c r="F4352">
        <v>5634</v>
      </c>
      <c r="G4352" t="s">
        <v>43</v>
      </c>
      <c r="H4352" t="s">
        <v>346</v>
      </c>
      <c r="I4352" t="s">
        <v>347</v>
      </c>
      <c r="J4352" t="s">
        <v>3660</v>
      </c>
    </row>
    <row r="4353" spans="1:10" x14ac:dyDescent="0.25">
      <c r="A4353" t="s">
        <v>3661</v>
      </c>
      <c r="B4353" t="s">
        <v>592</v>
      </c>
      <c r="C4353" s="22">
        <v>46183</v>
      </c>
      <c r="D4353" t="s">
        <v>21</v>
      </c>
      <c r="E4353" t="s">
        <v>81</v>
      </c>
      <c r="F4353">
        <v>5635</v>
      </c>
      <c r="G4353" t="s">
        <v>41</v>
      </c>
      <c r="H4353" t="s">
        <v>350</v>
      </c>
      <c r="I4353" t="s">
        <v>347</v>
      </c>
      <c r="J4353" t="s">
        <v>3662</v>
      </c>
    </row>
    <row r="4354" spans="1:10" x14ac:dyDescent="0.25">
      <c r="A4354" t="s">
        <v>3663</v>
      </c>
      <c r="B4354" t="s">
        <v>592</v>
      </c>
      <c r="C4354" s="22">
        <v>46183</v>
      </c>
      <c r="D4354" t="s">
        <v>21</v>
      </c>
      <c r="E4354" t="s">
        <v>81</v>
      </c>
      <c r="F4354">
        <v>5635</v>
      </c>
      <c r="G4354" t="s">
        <v>43</v>
      </c>
      <c r="H4354" t="s">
        <v>346</v>
      </c>
      <c r="I4354" t="s">
        <v>347</v>
      </c>
      <c r="J4354" t="s">
        <v>3664</v>
      </c>
    </row>
    <row r="4355" spans="1:10" x14ac:dyDescent="0.25">
      <c r="A4355" t="s">
        <v>3665</v>
      </c>
      <c r="B4355" t="s">
        <v>593</v>
      </c>
      <c r="C4355" s="22">
        <v>46183</v>
      </c>
      <c r="D4355" t="s">
        <v>21</v>
      </c>
      <c r="E4355" t="s">
        <v>81</v>
      </c>
      <c r="F4355">
        <v>5636</v>
      </c>
      <c r="G4355" t="s">
        <v>41</v>
      </c>
      <c r="H4355" t="s">
        <v>350</v>
      </c>
      <c r="I4355" t="s">
        <v>347</v>
      </c>
      <c r="J4355" t="s">
        <v>3666</v>
      </c>
    </row>
    <row r="4356" spans="1:10" x14ac:dyDescent="0.25">
      <c r="A4356" t="s">
        <v>3667</v>
      </c>
      <c r="B4356" t="s">
        <v>593</v>
      </c>
      <c r="C4356" s="22">
        <v>46183</v>
      </c>
      <c r="D4356" t="s">
        <v>21</v>
      </c>
      <c r="E4356" t="s">
        <v>81</v>
      </c>
      <c r="F4356">
        <v>5636</v>
      </c>
      <c r="G4356" t="s">
        <v>43</v>
      </c>
      <c r="H4356" t="s">
        <v>346</v>
      </c>
      <c r="I4356" t="s">
        <v>347</v>
      </c>
      <c r="J4356" t="s">
        <v>3668</v>
      </c>
    </row>
    <row r="4357" spans="1:10" x14ac:dyDescent="0.25">
      <c r="A4357" t="s">
        <v>3669</v>
      </c>
      <c r="B4357" t="s">
        <v>594</v>
      </c>
      <c r="C4357" s="22">
        <v>46183</v>
      </c>
      <c r="D4357" t="s">
        <v>22</v>
      </c>
      <c r="E4357" t="s">
        <v>81</v>
      </c>
      <c r="F4357">
        <v>5637</v>
      </c>
      <c r="G4357" t="s">
        <v>41</v>
      </c>
      <c r="H4357" t="s">
        <v>350</v>
      </c>
      <c r="I4357" t="s">
        <v>347</v>
      </c>
      <c r="J4357" t="s">
        <v>3666</v>
      </c>
    </row>
    <row r="4358" spans="1:10" x14ac:dyDescent="0.25">
      <c r="A4358" t="s">
        <v>3670</v>
      </c>
      <c r="B4358" t="s">
        <v>594</v>
      </c>
      <c r="C4358" s="22">
        <v>46183</v>
      </c>
      <c r="D4358" t="s">
        <v>22</v>
      </c>
      <c r="E4358" t="s">
        <v>81</v>
      </c>
      <c r="F4358">
        <v>5637</v>
      </c>
      <c r="G4358" t="s">
        <v>43</v>
      </c>
      <c r="H4358" t="s">
        <v>346</v>
      </c>
      <c r="I4358" t="s">
        <v>347</v>
      </c>
      <c r="J4358" t="s">
        <v>3668</v>
      </c>
    </row>
    <row r="4359" spans="1:10" x14ac:dyDescent="0.25">
      <c r="A4359" t="s">
        <v>3671</v>
      </c>
      <c r="B4359" t="s">
        <v>595</v>
      </c>
      <c r="C4359" s="22">
        <v>46183</v>
      </c>
      <c r="D4359" t="s">
        <v>22</v>
      </c>
      <c r="E4359" t="s">
        <v>81</v>
      </c>
      <c r="F4359">
        <v>5638</v>
      </c>
      <c r="G4359" t="s">
        <v>41</v>
      </c>
      <c r="H4359" t="s">
        <v>350</v>
      </c>
      <c r="I4359" t="s">
        <v>347</v>
      </c>
      <c r="J4359" t="s">
        <v>3666</v>
      </c>
    </row>
    <row r="4360" spans="1:10" x14ac:dyDescent="0.25">
      <c r="A4360" t="s">
        <v>3672</v>
      </c>
      <c r="B4360" t="s">
        <v>595</v>
      </c>
      <c r="C4360" s="22">
        <v>46183</v>
      </c>
      <c r="D4360" t="s">
        <v>22</v>
      </c>
      <c r="E4360" t="s">
        <v>81</v>
      </c>
      <c r="F4360">
        <v>5638</v>
      </c>
      <c r="G4360" t="s">
        <v>43</v>
      </c>
      <c r="H4360" t="s">
        <v>346</v>
      </c>
      <c r="I4360" t="s">
        <v>347</v>
      </c>
      <c r="J4360" t="s">
        <v>3668</v>
      </c>
    </row>
    <row r="4361" spans="1:10" x14ac:dyDescent="0.25">
      <c r="A4361" t="s">
        <v>3673</v>
      </c>
      <c r="B4361" t="s">
        <v>597</v>
      </c>
      <c r="C4361" s="22">
        <v>46183</v>
      </c>
      <c r="D4361" t="s">
        <v>22</v>
      </c>
      <c r="E4361" t="s">
        <v>81</v>
      </c>
      <c r="F4361">
        <v>5640</v>
      </c>
      <c r="G4361" t="s">
        <v>41</v>
      </c>
      <c r="H4361" t="s">
        <v>350</v>
      </c>
      <c r="I4361" t="s">
        <v>347</v>
      </c>
      <c r="J4361" t="s">
        <v>3666</v>
      </c>
    </row>
    <row r="4362" spans="1:10" x14ac:dyDescent="0.25">
      <c r="A4362" t="s">
        <v>3674</v>
      </c>
      <c r="B4362" t="s">
        <v>597</v>
      </c>
      <c r="C4362" s="22">
        <v>46183</v>
      </c>
      <c r="D4362" t="s">
        <v>22</v>
      </c>
      <c r="E4362" t="s">
        <v>81</v>
      </c>
      <c r="F4362">
        <v>5640</v>
      </c>
      <c r="G4362" t="s">
        <v>43</v>
      </c>
      <c r="H4362" t="s">
        <v>346</v>
      </c>
      <c r="I4362" t="s">
        <v>347</v>
      </c>
      <c r="J4362" t="s">
        <v>3668</v>
      </c>
    </row>
    <row r="4363" spans="1:10" x14ac:dyDescent="0.25">
      <c r="A4363" t="s">
        <v>3675</v>
      </c>
      <c r="B4363" t="s">
        <v>598</v>
      </c>
      <c r="C4363" s="22">
        <v>46183</v>
      </c>
      <c r="D4363" t="s">
        <v>21</v>
      </c>
      <c r="E4363" t="s">
        <v>81</v>
      </c>
      <c r="F4363">
        <v>5641</v>
      </c>
      <c r="G4363" t="s">
        <v>41</v>
      </c>
      <c r="H4363" t="s">
        <v>350</v>
      </c>
      <c r="I4363" t="s">
        <v>347</v>
      </c>
      <c r="J4363" t="s">
        <v>3666</v>
      </c>
    </row>
    <row r="4364" spans="1:10" x14ac:dyDescent="0.25">
      <c r="A4364" t="s">
        <v>3676</v>
      </c>
      <c r="B4364" t="s">
        <v>598</v>
      </c>
      <c r="C4364" s="22">
        <v>46183</v>
      </c>
      <c r="D4364" t="s">
        <v>21</v>
      </c>
      <c r="E4364" t="s">
        <v>81</v>
      </c>
      <c r="F4364">
        <v>5641</v>
      </c>
      <c r="G4364" t="s">
        <v>43</v>
      </c>
      <c r="H4364" t="s">
        <v>346</v>
      </c>
      <c r="I4364" t="s">
        <v>347</v>
      </c>
      <c r="J4364" t="s">
        <v>3668</v>
      </c>
    </row>
    <row r="4365" spans="1:10" x14ac:dyDescent="0.25">
      <c r="A4365" t="s">
        <v>3677</v>
      </c>
      <c r="B4365" t="s">
        <v>599</v>
      </c>
      <c r="C4365" s="22">
        <v>46183</v>
      </c>
      <c r="D4365" t="s">
        <v>21</v>
      </c>
      <c r="E4365" t="s">
        <v>81</v>
      </c>
      <c r="F4365">
        <v>5642</v>
      </c>
      <c r="G4365" t="s">
        <v>41</v>
      </c>
      <c r="H4365" t="s">
        <v>350</v>
      </c>
      <c r="I4365" t="s">
        <v>347</v>
      </c>
      <c r="J4365" t="s">
        <v>3666</v>
      </c>
    </row>
    <row r="4366" spans="1:10" x14ac:dyDescent="0.25">
      <c r="A4366" t="s">
        <v>3678</v>
      </c>
      <c r="B4366" t="s">
        <v>599</v>
      </c>
      <c r="C4366" s="22">
        <v>46183</v>
      </c>
      <c r="D4366" t="s">
        <v>21</v>
      </c>
      <c r="E4366" t="s">
        <v>81</v>
      </c>
      <c r="F4366">
        <v>5642</v>
      </c>
      <c r="G4366" t="s">
        <v>43</v>
      </c>
      <c r="H4366" t="s">
        <v>346</v>
      </c>
      <c r="I4366" t="s">
        <v>347</v>
      </c>
      <c r="J4366" t="s">
        <v>3668</v>
      </c>
    </row>
    <row r="4367" spans="1:10" x14ac:dyDescent="0.25">
      <c r="A4367" t="s">
        <v>3679</v>
      </c>
      <c r="B4367" t="s">
        <v>600</v>
      </c>
      <c r="C4367" s="22">
        <v>46183</v>
      </c>
      <c r="D4367" t="s">
        <v>21</v>
      </c>
      <c r="E4367" t="s">
        <v>81</v>
      </c>
      <c r="F4367">
        <v>5643</v>
      </c>
      <c r="G4367" t="s">
        <v>41</v>
      </c>
      <c r="H4367" t="s">
        <v>350</v>
      </c>
      <c r="I4367" t="s">
        <v>347</v>
      </c>
      <c r="J4367" t="s">
        <v>3680</v>
      </c>
    </row>
    <row r="4368" spans="1:10" x14ac:dyDescent="0.25">
      <c r="A4368" t="s">
        <v>3681</v>
      </c>
      <c r="B4368" t="s">
        <v>600</v>
      </c>
      <c r="C4368" s="22">
        <v>46183</v>
      </c>
      <c r="D4368" t="s">
        <v>21</v>
      </c>
      <c r="E4368" t="s">
        <v>81</v>
      </c>
      <c r="F4368">
        <v>5643</v>
      </c>
      <c r="G4368" t="s">
        <v>43</v>
      </c>
      <c r="H4368" t="s">
        <v>346</v>
      </c>
      <c r="I4368" t="s">
        <v>347</v>
      </c>
      <c r="J4368" t="s">
        <v>3682</v>
      </c>
    </row>
    <row r="4369" spans="1:10" x14ac:dyDescent="0.25">
      <c r="A4369" t="s">
        <v>3683</v>
      </c>
      <c r="B4369" t="s">
        <v>601</v>
      </c>
      <c r="C4369" s="22">
        <v>46183</v>
      </c>
      <c r="D4369" t="s">
        <v>22</v>
      </c>
      <c r="E4369" t="s">
        <v>81</v>
      </c>
      <c r="F4369">
        <v>5644</v>
      </c>
      <c r="G4369" t="s">
        <v>41</v>
      </c>
      <c r="H4369" t="s">
        <v>350</v>
      </c>
      <c r="I4369" t="s">
        <v>347</v>
      </c>
      <c r="J4369" t="s">
        <v>3680</v>
      </c>
    </row>
    <row r="4370" spans="1:10" x14ac:dyDescent="0.25">
      <c r="A4370" t="s">
        <v>3684</v>
      </c>
      <c r="B4370" t="s">
        <v>601</v>
      </c>
      <c r="C4370" s="22">
        <v>46183</v>
      </c>
      <c r="D4370" t="s">
        <v>22</v>
      </c>
      <c r="E4370" t="s">
        <v>81</v>
      </c>
      <c r="F4370">
        <v>5644</v>
      </c>
      <c r="G4370" t="s">
        <v>43</v>
      </c>
      <c r="H4370" t="s">
        <v>346</v>
      </c>
      <c r="I4370" t="s">
        <v>347</v>
      </c>
      <c r="J4370" t="s">
        <v>3682</v>
      </c>
    </row>
    <row r="4371" spans="1:10" x14ac:dyDescent="0.25">
      <c r="A4371" t="s">
        <v>3685</v>
      </c>
      <c r="B4371" t="s">
        <v>602</v>
      </c>
      <c r="C4371" s="22">
        <v>46183</v>
      </c>
      <c r="D4371" t="s">
        <v>21</v>
      </c>
      <c r="E4371" t="s">
        <v>81</v>
      </c>
      <c r="F4371">
        <v>5645</v>
      </c>
      <c r="G4371" t="s">
        <v>41</v>
      </c>
      <c r="H4371" t="s">
        <v>350</v>
      </c>
      <c r="I4371" t="s">
        <v>347</v>
      </c>
      <c r="J4371" t="s">
        <v>3680</v>
      </c>
    </row>
    <row r="4372" spans="1:10" x14ac:dyDescent="0.25">
      <c r="A4372" t="s">
        <v>3686</v>
      </c>
      <c r="B4372" t="s">
        <v>602</v>
      </c>
      <c r="C4372" s="22">
        <v>46183</v>
      </c>
      <c r="D4372" t="s">
        <v>21</v>
      </c>
      <c r="E4372" t="s">
        <v>81</v>
      </c>
      <c r="F4372">
        <v>5645</v>
      </c>
      <c r="G4372" t="s">
        <v>43</v>
      </c>
      <c r="H4372" t="s">
        <v>346</v>
      </c>
      <c r="I4372" t="s">
        <v>347</v>
      </c>
      <c r="J4372" t="s">
        <v>3682</v>
      </c>
    </row>
    <row r="4373" spans="1:10" x14ac:dyDescent="0.25">
      <c r="A4373" t="s">
        <v>3687</v>
      </c>
      <c r="B4373" t="s">
        <v>603</v>
      </c>
      <c r="C4373" s="22">
        <v>46183</v>
      </c>
      <c r="D4373" t="s">
        <v>21</v>
      </c>
      <c r="E4373" t="s">
        <v>81</v>
      </c>
      <c r="F4373">
        <v>5646</v>
      </c>
      <c r="G4373" t="s">
        <v>41</v>
      </c>
      <c r="H4373" t="s">
        <v>350</v>
      </c>
      <c r="I4373" t="s">
        <v>347</v>
      </c>
      <c r="J4373" t="s">
        <v>3680</v>
      </c>
    </row>
    <row r="4374" spans="1:10" x14ac:dyDescent="0.25">
      <c r="A4374" t="s">
        <v>3688</v>
      </c>
      <c r="B4374" t="s">
        <v>603</v>
      </c>
      <c r="C4374" s="22">
        <v>46183</v>
      </c>
      <c r="D4374" t="s">
        <v>21</v>
      </c>
      <c r="E4374" t="s">
        <v>81</v>
      </c>
      <c r="F4374">
        <v>5646</v>
      </c>
      <c r="G4374" t="s">
        <v>43</v>
      </c>
      <c r="H4374" t="s">
        <v>346</v>
      </c>
      <c r="I4374" t="s">
        <v>347</v>
      </c>
      <c r="J4374" t="s">
        <v>3682</v>
      </c>
    </row>
    <row r="4375" spans="1:10" x14ac:dyDescent="0.25">
      <c r="A4375" t="s">
        <v>3689</v>
      </c>
      <c r="B4375" t="s">
        <v>604</v>
      </c>
      <c r="C4375" s="22">
        <v>46183</v>
      </c>
      <c r="D4375" t="s">
        <v>22</v>
      </c>
      <c r="E4375" t="s">
        <v>81</v>
      </c>
      <c r="F4375">
        <v>5647</v>
      </c>
      <c r="G4375" t="s">
        <v>41</v>
      </c>
      <c r="H4375" t="s">
        <v>350</v>
      </c>
      <c r="I4375" t="s">
        <v>347</v>
      </c>
      <c r="J4375" t="s">
        <v>3680</v>
      </c>
    </row>
    <row r="4376" spans="1:10" x14ac:dyDescent="0.25">
      <c r="A4376" t="s">
        <v>3690</v>
      </c>
      <c r="B4376" t="s">
        <v>604</v>
      </c>
      <c r="C4376" s="22">
        <v>46183</v>
      </c>
      <c r="D4376" t="s">
        <v>22</v>
      </c>
      <c r="E4376" t="s">
        <v>81</v>
      </c>
      <c r="F4376">
        <v>5647</v>
      </c>
      <c r="G4376" t="s">
        <v>43</v>
      </c>
      <c r="H4376" t="s">
        <v>346</v>
      </c>
      <c r="I4376" t="s">
        <v>347</v>
      </c>
      <c r="J4376" t="s">
        <v>3682</v>
      </c>
    </row>
    <row r="4377" spans="1:10" x14ac:dyDescent="0.25">
      <c r="A4377" t="s">
        <v>3691</v>
      </c>
      <c r="B4377" t="s">
        <v>605</v>
      </c>
      <c r="C4377" s="22">
        <v>46183</v>
      </c>
      <c r="D4377" t="s">
        <v>22</v>
      </c>
      <c r="E4377" t="s">
        <v>81</v>
      </c>
      <c r="F4377">
        <v>5648</v>
      </c>
      <c r="G4377" t="s">
        <v>41</v>
      </c>
      <c r="H4377" t="s">
        <v>350</v>
      </c>
      <c r="I4377" t="s">
        <v>347</v>
      </c>
      <c r="J4377" t="s">
        <v>3692</v>
      </c>
    </row>
    <row r="4378" spans="1:10" x14ac:dyDescent="0.25">
      <c r="A4378" t="s">
        <v>3693</v>
      </c>
      <c r="B4378" t="s">
        <v>605</v>
      </c>
      <c r="C4378" s="22">
        <v>46183</v>
      </c>
      <c r="D4378" t="s">
        <v>22</v>
      </c>
      <c r="E4378" t="s">
        <v>81</v>
      </c>
      <c r="F4378">
        <v>5648</v>
      </c>
      <c r="G4378" t="s">
        <v>43</v>
      </c>
      <c r="H4378" t="s">
        <v>346</v>
      </c>
      <c r="I4378" t="s">
        <v>347</v>
      </c>
      <c r="J4378" t="s">
        <v>3694</v>
      </c>
    </row>
    <row r="4379" spans="1:10" x14ac:dyDescent="0.25">
      <c r="A4379" t="s">
        <v>3695</v>
      </c>
      <c r="B4379" t="s">
        <v>606</v>
      </c>
      <c r="C4379" s="22">
        <v>46183</v>
      </c>
      <c r="D4379" t="s">
        <v>21</v>
      </c>
      <c r="E4379" t="s">
        <v>81</v>
      </c>
      <c r="F4379">
        <v>5650</v>
      </c>
      <c r="G4379" t="s">
        <v>41</v>
      </c>
      <c r="H4379" t="s">
        <v>350</v>
      </c>
      <c r="I4379" t="s">
        <v>347</v>
      </c>
      <c r="J4379" t="s">
        <v>3692</v>
      </c>
    </row>
    <row r="4380" spans="1:10" x14ac:dyDescent="0.25">
      <c r="A4380" t="s">
        <v>3696</v>
      </c>
      <c r="B4380" t="s">
        <v>606</v>
      </c>
      <c r="C4380" s="22">
        <v>46183</v>
      </c>
      <c r="D4380" t="s">
        <v>21</v>
      </c>
      <c r="E4380" t="s">
        <v>81</v>
      </c>
      <c r="F4380">
        <v>5650</v>
      </c>
      <c r="G4380" t="s">
        <v>43</v>
      </c>
      <c r="H4380" t="s">
        <v>346</v>
      </c>
      <c r="I4380" t="s">
        <v>347</v>
      </c>
      <c r="J4380" t="s">
        <v>3694</v>
      </c>
    </row>
    <row r="4381" spans="1:10" x14ac:dyDescent="0.25">
      <c r="A4381" t="s">
        <v>3697</v>
      </c>
      <c r="B4381" t="s">
        <v>607</v>
      </c>
      <c r="C4381" s="22">
        <v>46183</v>
      </c>
      <c r="D4381" t="s">
        <v>22</v>
      </c>
      <c r="E4381" t="s">
        <v>81</v>
      </c>
      <c r="F4381">
        <v>5651</v>
      </c>
      <c r="G4381" t="s">
        <v>41</v>
      </c>
      <c r="H4381" t="s">
        <v>350</v>
      </c>
      <c r="I4381" t="s">
        <v>347</v>
      </c>
      <c r="J4381" t="s">
        <v>3692</v>
      </c>
    </row>
    <row r="4382" spans="1:10" x14ac:dyDescent="0.25">
      <c r="A4382" t="s">
        <v>3698</v>
      </c>
      <c r="B4382" t="s">
        <v>607</v>
      </c>
      <c r="C4382" s="22">
        <v>46183</v>
      </c>
      <c r="D4382" t="s">
        <v>22</v>
      </c>
      <c r="E4382" t="s">
        <v>81</v>
      </c>
      <c r="F4382">
        <v>5651</v>
      </c>
      <c r="G4382" t="s">
        <v>43</v>
      </c>
      <c r="H4382" t="s">
        <v>346</v>
      </c>
      <c r="I4382" t="s">
        <v>347</v>
      </c>
      <c r="J4382" t="s">
        <v>3694</v>
      </c>
    </row>
    <row r="4383" spans="1:10" x14ac:dyDescent="0.25">
      <c r="A4383" t="s">
        <v>3699</v>
      </c>
      <c r="B4383" t="s">
        <v>608</v>
      </c>
      <c r="C4383" s="22">
        <v>46183</v>
      </c>
      <c r="D4383" t="s">
        <v>22</v>
      </c>
      <c r="E4383" t="s">
        <v>81</v>
      </c>
      <c r="F4383">
        <v>5652</v>
      </c>
      <c r="G4383" t="s">
        <v>41</v>
      </c>
      <c r="H4383" t="s">
        <v>350</v>
      </c>
      <c r="I4383" t="s">
        <v>347</v>
      </c>
      <c r="J4383" t="s">
        <v>3700</v>
      </c>
    </row>
    <row r="4384" spans="1:10" x14ac:dyDescent="0.25">
      <c r="A4384" t="s">
        <v>3701</v>
      </c>
      <c r="B4384" t="s">
        <v>610</v>
      </c>
      <c r="C4384" s="22">
        <v>46183</v>
      </c>
      <c r="D4384" t="s">
        <v>22</v>
      </c>
      <c r="E4384" t="s">
        <v>81</v>
      </c>
      <c r="F4384">
        <v>5654</v>
      </c>
      <c r="G4384" t="s">
        <v>41</v>
      </c>
      <c r="H4384" t="s">
        <v>350</v>
      </c>
      <c r="I4384" t="s">
        <v>347</v>
      </c>
      <c r="J4384" t="s">
        <v>3700</v>
      </c>
    </row>
    <row r="4385" spans="1:10" x14ac:dyDescent="0.25">
      <c r="A4385" t="s">
        <v>3702</v>
      </c>
      <c r="B4385" t="s">
        <v>1457</v>
      </c>
      <c r="C4385" s="22">
        <v>46183</v>
      </c>
      <c r="D4385" t="s">
        <v>22</v>
      </c>
      <c r="E4385" t="s">
        <v>333</v>
      </c>
      <c r="F4385">
        <v>5314</v>
      </c>
      <c r="G4385" t="s">
        <v>41</v>
      </c>
      <c r="H4385" t="s">
        <v>350</v>
      </c>
      <c r="I4385" t="s">
        <v>347</v>
      </c>
      <c r="J4385" t="s">
        <v>3703</v>
      </c>
    </row>
    <row r="4386" spans="1:10" x14ac:dyDescent="0.25">
      <c r="A4386" t="s">
        <v>3704</v>
      </c>
      <c r="B4386" t="s">
        <v>1457</v>
      </c>
      <c r="C4386" s="22">
        <v>46183</v>
      </c>
      <c r="D4386" t="s">
        <v>22</v>
      </c>
      <c r="E4386" t="s">
        <v>333</v>
      </c>
      <c r="F4386">
        <v>5314</v>
      </c>
      <c r="G4386" t="s">
        <v>43</v>
      </c>
      <c r="H4386" t="s">
        <v>346</v>
      </c>
      <c r="I4386" t="s">
        <v>347</v>
      </c>
      <c r="J4386" t="s">
        <v>3705</v>
      </c>
    </row>
    <row r="4387" spans="1:10" x14ac:dyDescent="0.25">
      <c r="A4387" t="s">
        <v>3706</v>
      </c>
      <c r="B4387" t="s">
        <v>1457</v>
      </c>
      <c r="C4387" s="22">
        <v>46183</v>
      </c>
      <c r="D4387" t="s">
        <v>22</v>
      </c>
      <c r="E4387" t="s">
        <v>333</v>
      </c>
      <c r="F4387">
        <v>5314</v>
      </c>
      <c r="G4387" t="s">
        <v>44</v>
      </c>
      <c r="H4387" t="s">
        <v>353</v>
      </c>
      <c r="I4387" t="s">
        <v>347</v>
      </c>
      <c r="J4387" t="s">
        <v>3707</v>
      </c>
    </row>
    <row r="4388" spans="1:10" x14ac:dyDescent="0.25">
      <c r="A4388" t="s">
        <v>3708</v>
      </c>
      <c r="B4388" t="s">
        <v>1457</v>
      </c>
      <c r="C4388" s="22">
        <v>46183</v>
      </c>
      <c r="D4388" t="s">
        <v>22</v>
      </c>
      <c r="E4388" t="s">
        <v>333</v>
      </c>
      <c r="F4388">
        <v>5314</v>
      </c>
      <c r="G4388" t="s">
        <v>366</v>
      </c>
      <c r="H4388" t="s">
        <v>353</v>
      </c>
      <c r="I4388" t="s">
        <v>347</v>
      </c>
      <c r="J4388" t="s">
        <v>3709</v>
      </c>
    </row>
    <row r="4389" spans="1:10" x14ac:dyDescent="0.25">
      <c r="A4389" t="s">
        <v>3710</v>
      </c>
      <c r="B4389" t="s">
        <v>1458</v>
      </c>
      <c r="C4389" s="22">
        <v>46183</v>
      </c>
      <c r="D4389" t="s">
        <v>21</v>
      </c>
      <c r="E4389" t="s">
        <v>335</v>
      </c>
      <c r="F4389">
        <v>5315</v>
      </c>
      <c r="G4389" t="s">
        <v>41</v>
      </c>
      <c r="H4389" t="s">
        <v>350</v>
      </c>
      <c r="I4389" t="s">
        <v>347</v>
      </c>
      <c r="J4389" t="s">
        <v>3703</v>
      </c>
    </row>
    <row r="4390" spans="1:10" x14ac:dyDescent="0.25">
      <c r="A4390" t="s">
        <v>3711</v>
      </c>
      <c r="B4390" t="s">
        <v>1458</v>
      </c>
      <c r="C4390" s="22">
        <v>46183</v>
      </c>
      <c r="D4390" t="s">
        <v>21</v>
      </c>
      <c r="E4390" t="s">
        <v>335</v>
      </c>
      <c r="F4390">
        <v>5315</v>
      </c>
      <c r="G4390" t="s">
        <v>43</v>
      </c>
      <c r="H4390" t="s">
        <v>346</v>
      </c>
      <c r="I4390" t="s">
        <v>347</v>
      </c>
      <c r="J4390" t="s">
        <v>3705</v>
      </c>
    </row>
    <row r="4391" spans="1:10" x14ac:dyDescent="0.25">
      <c r="A4391" t="s">
        <v>3712</v>
      </c>
      <c r="B4391" t="s">
        <v>1458</v>
      </c>
      <c r="C4391" s="22">
        <v>46183</v>
      </c>
      <c r="D4391" t="s">
        <v>21</v>
      </c>
      <c r="E4391" t="s">
        <v>335</v>
      </c>
      <c r="F4391">
        <v>5315</v>
      </c>
      <c r="G4391" t="s">
        <v>44</v>
      </c>
      <c r="H4391" t="s">
        <v>353</v>
      </c>
      <c r="I4391" t="s">
        <v>347</v>
      </c>
      <c r="J4391" t="s">
        <v>3707</v>
      </c>
    </row>
    <row r="4392" spans="1:10" x14ac:dyDescent="0.25">
      <c r="A4392" t="s">
        <v>3713</v>
      </c>
      <c r="B4392" t="s">
        <v>1458</v>
      </c>
      <c r="C4392" s="22">
        <v>46183</v>
      </c>
      <c r="D4392" t="s">
        <v>21</v>
      </c>
      <c r="E4392" t="s">
        <v>335</v>
      </c>
      <c r="F4392">
        <v>5315</v>
      </c>
      <c r="G4392" t="s">
        <v>366</v>
      </c>
      <c r="H4392" t="s">
        <v>353</v>
      </c>
      <c r="I4392" t="s">
        <v>347</v>
      </c>
      <c r="J4392" t="s">
        <v>3709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00000"/>
  </sheetPr>
  <dimension ref="A1:K1640"/>
  <sheetViews>
    <sheetView showGridLines="0" workbookViewId="0">
      <selection sqref="A1:J1"/>
    </sheetView>
  </sheetViews>
  <sheetFormatPr defaultRowHeight="15" x14ac:dyDescent="0.25"/>
  <cols>
    <col min="1" max="1" width="9.140625" bestFit="1" customWidth="1"/>
    <col min="2" max="2" width="13.140625" bestFit="1" customWidth="1"/>
    <col min="3" max="3" width="10.7109375" bestFit="1" customWidth="1"/>
    <col min="4" max="4" width="9.5703125" bestFit="1" customWidth="1"/>
    <col min="5" max="5" width="25.85546875" bestFit="1" customWidth="1"/>
    <col min="6" max="6" width="10.7109375" bestFit="1" customWidth="1"/>
    <col min="7" max="7" width="23.28515625" bestFit="1" customWidth="1"/>
    <col min="8" max="8" width="11.140625" bestFit="1" customWidth="1"/>
    <col min="9" max="9" width="7.7109375" bestFit="1" customWidth="1"/>
    <col min="10" max="10" width="36.85546875" bestFit="1" customWidth="1"/>
    <col min="11" max="11" width="49.7109375" bestFit="1" customWidth="1"/>
  </cols>
  <sheetData>
    <row r="1" spans="1:11" ht="32.1" customHeight="1" x14ac:dyDescent="0.25">
      <c r="A1" s="87" t="s">
        <v>393</v>
      </c>
      <c r="B1" s="64"/>
      <c r="C1" s="64"/>
      <c r="D1" s="64"/>
      <c r="E1" s="64"/>
      <c r="F1" s="64"/>
      <c r="G1" s="64"/>
      <c r="H1" s="64"/>
      <c r="I1" s="64"/>
      <c r="J1" s="64"/>
      <c r="K1" s="16" t="s">
        <v>394</v>
      </c>
    </row>
    <row r="2" spans="1:11" x14ac:dyDescent="0.25">
      <c r="A2" s="70" t="s">
        <v>3714</v>
      </c>
      <c r="B2" s="64"/>
      <c r="C2" s="64"/>
      <c r="D2" s="64"/>
      <c r="E2" s="64"/>
      <c r="F2" s="64"/>
      <c r="G2" s="64"/>
      <c r="H2" s="64"/>
      <c r="I2" s="64"/>
      <c r="J2" s="64"/>
    </row>
    <row r="4" spans="1:11" ht="33.950000000000003" customHeight="1" x14ac:dyDescent="0.25">
      <c r="A4" s="17" t="s">
        <v>3715</v>
      </c>
      <c r="B4" s="17" t="s">
        <v>3716</v>
      </c>
      <c r="C4" s="17" t="s">
        <v>396</v>
      </c>
      <c r="D4" s="17" t="s">
        <v>112</v>
      </c>
      <c r="E4" s="17" t="s">
        <v>108</v>
      </c>
      <c r="F4" s="17" t="s">
        <v>111</v>
      </c>
      <c r="G4" s="17" t="s">
        <v>3717</v>
      </c>
      <c r="H4" s="17" t="s">
        <v>3718</v>
      </c>
      <c r="I4" s="17" t="s">
        <v>117</v>
      </c>
      <c r="J4" s="17" t="s">
        <v>1475</v>
      </c>
      <c r="K4" s="18" t="s">
        <v>1476</v>
      </c>
    </row>
    <row r="5" spans="1:11" x14ac:dyDescent="0.25">
      <c r="A5" s="1" t="s">
        <v>3719</v>
      </c>
      <c r="B5" s="19">
        <v>46182</v>
      </c>
      <c r="C5" s="1" t="s">
        <v>399</v>
      </c>
      <c r="D5" s="1" t="s">
        <v>21</v>
      </c>
      <c r="E5" s="1" t="s">
        <v>77</v>
      </c>
      <c r="F5" s="1">
        <v>5443</v>
      </c>
      <c r="G5" s="1" t="s">
        <v>345</v>
      </c>
      <c r="H5" s="1" t="s">
        <v>76</v>
      </c>
      <c r="I5" s="1" t="s">
        <v>3720</v>
      </c>
      <c r="J5" s="1" t="s">
        <v>78</v>
      </c>
    </row>
    <row r="6" spans="1:11" x14ac:dyDescent="0.25">
      <c r="A6" s="1" t="s">
        <v>3721</v>
      </c>
      <c r="B6" s="19">
        <v>46182</v>
      </c>
      <c r="C6" s="1" t="s">
        <v>399</v>
      </c>
      <c r="D6" s="1" t="s">
        <v>21</v>
      </c>
      <c r="E6" s="1" t="s">
        <v>77</v>
      </c>
      <c r="F6" s="1">
        <v>5443</v>
      </c>
      <c r="G6" s="1" t="s">
        <v>352</v>
      </c>
      <c r="H6" s="1" t="s">
        <v>79</v>
      </c>
      <c r="I6" s="1" t="s">
        <v>3720</v>
      </c>
      <c r="J6" s="1" t="s">
        <v>80</v>
      </c>
    </row>
    <row r="7" spans="1:11" x14ac:dyDescent="0.25">
      <c r="A7" s="1" t="s">
        <v>3722</v>
      </c>
      <c r="B7" s="19">
        <v>46182</v>
      </c>
      <c r="C7" s="1" t="s">
        <v>410</v>
      </c>
      <c r="D7" s="1" t="s">
        <v>22</v>
      </c>
      <c r="E7" s="1" t="s">
        <v>81</v>
      </c>
      <c r="F7" s="1">
        <v>5453</v>
      </c>
      <c r="G7" s="1" t="s">
        <v>355</v>
      </c>
      <c r="H7" s="1" t="s">
        <v>76</v>
      </c>
      <c r="I7" s="1" t="s">
        <v>3720</v>
      </c>
      <c r="J7" s="1" t="s">
        <v>82</v>
      </c>
    </row>
    <row r="8" spans="1:11" x14ac:dyDescent="0.25">
      <c r="A8" s="1" t="s">
        <v>3723</v>
      </c>
      <c r="B8" s="19">
        <v>46182</v>
      </c>
      <c r="C8" s="1" t="s">
        <v>410</v>
      </c>
      <c r="D8" s="1" t="s">
        <v>22</v>
      </c>
      <c r="E8" s="1" t="s">
        <v>81</v>
      </c>
      <c r="F8" s="1">
        <v>5453</v>
      </c>
      <c r="G8" s="1" t="s">
        <v>345</v>
      </c>
      <c r="H8" s="1" t="s">
        <v>76</v>
      </c>
      <c r="I8" s="1" t="s">
        <v>3720</v>
      </c>
      <c r="J8" s="1" t="s">
        <v>78</v>
      </c>
    </row>
    <row r="9" spans="1:11" x14ac:dyDescent="0.25">
      <c r="A9" s="1" t="s">
        <v>3724</v>
      </c>
      <c r="B9" s="19">
        <v>46182</v>
      </c>
      <c r="C9" s="1" t="s">
        <v>410</v>
      </c>
      <c r="D9" s="1" t="s">
        <v>22</v>
      </c>
      <c r="E9" s="1" t="s">
        <v>81</v>
      </c>
      <c r="F9" s="1">
        <v>5453</v>
      </c>
      <c r="G9" s="1" t="s">
        <v>352</v>
      </c>
      <c r="H9" s="1" t="s">
        <v>79</v>
      </c>
      <c r="I9" s="1" t="s">
        <v>3720</v>
      </c>
      <c r="J9" s="1" t="s">
        <v>83</v>
      </c>
    </row>
    <row r="10" spans="1:11" x14ac:dyDescent="0.25">
      <c r="A10" s="1" t="s">
        <v>3725</v>
      </c>
      <c r="B10" s="19">
        <v>46182</v>
      </c>
      <c r="C10" s="1" t="s">
        <v>412</v>
      </c>
      <c r="D10" s="1" t="s">
        <v>22</v>
      </c>
      <c r="E10" s="1" t="s">
        <v>81</v>
      </c>
      <c r="F10" s="1">
        <v>5455</v>
      </c>
      <c r="G10" s="1" t="s">
        <v>345</v>
      </c>
      <c r="H10" s="1" t="s">
        <v>76</v>
      </c>
      <c r="I10" s="1" t="s">
        <v>3720</v>
      </c>
      <c r="J10" s="1" t="s">
        <v>78</v>
      </c>
    </row>
    <row r="11" spans="1:11" x14ac:dyDescent="0.25">
      <c r="A11" s="1" t="s">
        <v>3726</v>
      </c>
      <c r="B11" s="19">
        <v>46182</v>
      </c>
      <c r="C11" s="1" t="s">
        <v>412</v>
      </c>
      <c r="D11" s="1" t="s">
        <v>22</v>
      </c>
      <c r="E11" s="1" t="s">
        <v>81</v>
      </c>
      <c r="F11" s="1">
        <v>5455</v>
      </c>
      <c r="G11" s="1" t="s">
        <v>352</v>
      </c>
      <c r="H11" s="1" t="s">
        <v>79</v>
      </c>
      <c r="I11" s="1" t="s">
        <v>3720</v>
      </c>
      <c r="J11" s="1" t="s">
        <v>85</v>
      </c>
    </row>
    <row r="12" spans="1:11" x14ac:dyDescent="0.25">
      <c r="A12" s="1" t="s">
        <v>3727</v>
      </c>
      <c r="B12" s="19">
        <v>46182</v>
      </c>
      <c r="C12" s="1" t="s">
        <v>414</v>
      </c>
      <c r="D12" s="1" t="s">
        <v>21</v>
      </c>
      <c r="E12" s="1" t="s">
        <v>149</v>
      </c>
      <c r="F12" s="1">
        <v>5457</v>
      </c>
      <c r="G12" s="1" t="s">
        <v>345</v>
      </c>
      <c r="H12" s="1" t="s">
        <v>76</v>
      </c>
      <c r="I12" s="1" t="s">
        <v>3720</v>
      </c>
      <c r="J12" s="1" t="s">
        <v>78</v>
      </c>
    </row>
    <row r="13" spans="1:11" x14ac:dyDescent="0.25">
      <c r="A13" s="1" t="s">
        <v>3728</v>
      </c>
      <c r="B13" s="19">
        <v>46182</v>
      </c>
      <c r="C13" s="1" t="s">
        <v>414</v>
      </c>
      <c r="D13" s="1" t="s">
        <v>21</v>
      </c>
      <c r="E13" s="1" t="s">
        <v>149</v>
      </c>
      <c r="F13" s="1">
        <v>5457</v>
      </c>
      <c r="G13" s="1" t="s">
        <v>352</v>
      </c>
      <c r="H13" s="1" t="s">
        <v>79</v>
      </c>
      <c r="I13" s="1" t="s">
        <v>3720</v>
      </c>
      <c r="J13" s="1" t="s">
        <v>3729</v>
      </c>
    </row>
    <row r="14" spans="1:11" x14ac:dyDescent="0.25">
      <c r="A14" s="1" t="s">
        <v>3730</v>
      </c>
      <c r="B14" s="19">
        <v>46182</v>
      </c>
      <c r="C14" s="1" t="s">
        <v>416</v>
      </c>
      <c r="D14" s="1" t="s">
        <v>22</v>
      </c>
      <c r="E14" s="1" t="s">
        <v>81</v>
      </c>
      <c r="F14" s="1">
        <v>5459</v>
      </c>
      <c r="G14" s="1" t="s">
        <v>345</v>
      </c>
      <c r="H14" s="1" t="s">
        <v>76</v>
      </c>
      <c r="I14" s="1" t="s">
        <v>3720</v>
      </c>
      <c r="J14" s="1" t="s">
        <v>78</v>
      </c>
    </row>
    <row r="15" spans="1:11" x14ac:dyDescent="0.25">
      <c r="A15" s="1" t="s">
        <v>3731</v>
      </c>
      <c r="B15" s="19">
        <v>46182</v>
      </c>
      <c r="C15" s="1" t="s">
        <v>416</v>
      </c>
      <c r="D15" s="1" t="s">
        <v>22</v>
      </c>
      <c r="E15" s="1" t="s">
        <v>81</v>
      </c>
      <c r="F15" s="1">
        <v>5459</v>
      </c>
      <c r="G15" s="1" t="s">
        <v>352</v>
      </c>
      <c r="H15" s="1" t="s">
        <v>79</v>
      </c>
      <c r="I15" s="1" t="s">
        <v>3720</v>
      </c>
      <c r="J15" s="1" t="s">
        <v>3732</v>
      </c>
    </row>
    <row r="16" spans="1:11" x14ac:dyDescent="0.25">
      <c r="A16" s="1" t="s">
        <v>3733</v>
      </c>
      <c r="B16" s="19">
        <v>46182</v>
      </c>
      <c r="C16" s="1" t="s">
        <v>417</v>
      </c>
      <c r="D16" s="1" t="s">
        <v>22</v>
      </c>
      <c r="E16" s="1" t="s">
        <v>81</v>
      </c>
      <c r="F16" s="1">
        <v>5460</v>
      </c>
      <c r="G16" s="1" t="s">
        <v>345</v>
      </c>
      <c r="H16" s="1" t="s">
        <v>76</v>
      </c>
      <c r="I16" s="1" t="s">
        <v>3720</v>
      </c>
      <c r="J16" s="1" t="s">
        <v>78</v>
      </c>
    </row>
    <row r="17" spans="1:10" x14ac:dyDescent="0.25">
      <c r="A17" s="1" t="s">
        <v>3734</v>
      </c>
      <c r="B17" s="19">
        <v>46182</v>
      </c>
      <c r="C17" s="1" t="s">
        <v>417</v>
      </c>
      <c r="D17" s="1" t="s">
        <v>22</v>
      </c>
      <c r="E17" s="1" t="s">
        <v>81</v>
      </c>
      <c r="F17" s="1">
        <v>5460</v>
      </c>
      <c r="G17" s="1" t="s">
        <v>352</v>
      </c>
      <c r="H17" s="1" t="s">
        <v>79</v>
      </c>
      <c r="I17" s="1" t="s">
        <v>3720</v>
      </c>
      <c r="J17" s="1" t="s">
        <v>3732</v>
      </c>
    </row>
    <row r="18" spans="1:10" x14ac:dyDescent="0.25">
      <c r="A18" s="1" t="s">
        <v>3735</v>
      </c>
      <c r="B18" s="19">
        <v>46182</v>
      </c>
      <c r="C18" s="1" t="s">
        <v>420</v>
      </c>
      <c r="D18" s="1" t="s">
        <v>22</v>
      </c>
      <c r="E18" s="1" t="s">
        <v>153</v>
      </c>
      <c r="F18" s="1">
        <v>5463</v>
      </c>
      <c r="G18" s="1" t="s">
        <v>345</v>
      </c>
      <c r="H18" s="1" t="s">
        <v>76</v>
      </c>
      <c r="I18" s="1" t="s">
        <v>3720</v>
      </c>
      <c r="J18" s="1" t="s">
        <v>78</v>
      </c>
    </row>
    <row r="19" spans="1:10" x14ac:dyDescent="0.25">
      <c r="A19" s="1" t="s">
        <v>3736</v>
      </c>
      <c r="B19" s="19">
        <v>46182</v>
      </c>
      <c r="C19" s="1" t="s">
        <v>420</v>
      </c>
      <c r="D19" s="1" t="s">
        <v>22</v>
      </c>
      <c r="E19" s="1" t="s">
        <v>153</v>
      </c>
      <c r="F19" s="1">
        <v>5463</v>
      </c>
      <c r="G19" s="1" t="s">
        <v>352</v>
      </c>
      <c r="H19" s="1" t="s">
        <v>79</v>
      </c>
      <c r="I19" s="1" t="s">
        <v>3720</v>
      </c>
      <c r="J19" s="1" t="s">
        <v>3737</v>
      </c>
    </row>
    <row r="20" spans="1:10" x14ac:dyDescent="0.25">
      <c r="A20" s="1" t="s">
        <v>3738</v>
      </c>
      <c r="B20" s="19">
        <v>46182</v>
      </c>
      <c r="C20" s="1" t="s">
        <v>423</v>
      </c>
      <c r="D20" s="1" t="s">
        <v>22</v>
      </c>
      <c r="E20" s="1" t="s">
        <v>159</v>
      </c>
      <c r="F20" s="1">
        <v>5466</v>
      </c>
      <c r="G20" s="1" t="s">
        <v>345</v>
      </c>
      <c r="H20" s="1" t="s">
        <v>76</v>
      </c>
      <c r="I20" s="1" t="s">
        <v>3720</v>
      </c>
      <c r="J20" s="1" t="s">
        <v>78</v>
      </c>
    </row>
    <row r="21" spans="1:10" x14ac:dyDescent="0.25">
      <c r="A21" s="1" t="s">
        <v>3739</v>
      </c>
      <c r="B21" s="19">
        <v>46182</v>
      </c>
      <c r="C21" s="1" t="s">
        <v>423</v>
      </c>
      <c r="D21" s="1" t="s">
        <v>22</v>
      </c>
      <c r="E21" s="1" t="s">
        <v>159</v>
      </c>
      <c r="F21" s="1">
        <v>5466</v>
      </c>
      <c r="G21" s="1" t="s">
        <v>352</v>
      </c>
      <c r="H21" s="1" t="s">
        <v>79</v>
      </c>
      <c r="I21" s="1" t="s">
        <v>3720</v>
      </c>
      <c r="J21" s="1" t="s">
        <v>3737</v>
      </c>
    </row>
    <row r="22" spans="1:10" x14ac:dyDescent="0.25">
      <c r="A22" s="1" t="s">
        <v>3740</v>
      </c>
      <c r="B22" s="19">
        <v>46182</v>
      </c>
      <c r="C22" s="1" t="s">
        <v>424</v>
      </c>
      <c r="D22" s="1" t="s">
        <v>22</v>
      </c>
      <c r="E22" s="1" t="s">
        <v>81</v>
      </c>
      <c r="F22" s="1">
        <v>5467</v>
      </c>
      <c r="G22" s="1" t="s">
        <v>345</v>
      </c>
      <c r="H22" s="1" t="s">
        <v>76</v>
      </c>
      <c r="I22" s="1" t="s">
        <v>3720</v>
      </c>
      <c r="J22" s="1" t="s">
        <v>78</v>
      </c>
    </row>
    <row r="23" spans="1:10" x14ac:dyDescent="0.25">
      <c r="A23" s="1" t="s">
        <v>3741</v>
      </c>
      <c r="B23" s="19">
        <v>46182</v>
      </c>
      <c r="C23" s="1" t="s">
        <v>424</v>
      </c>
      <c r="D23" s="1" t="s">
        <v>22</v>
      </c>
      <c r="E23" s="1" t="s">
        <v>81</v>
      </c>
      <c r="F23" s="1">
        <v>5467</v>
      </c>
      <c r="G23" s="1" t="s">
        <v>352</v>
      </c>
      <c r="H23" s="1" t="s">
        <v>79</v>
      </c>
      <c r="I23" s="1" t="s">
        <v>3720</v>
      </c>
      <c r="J23" s="1" t="s">
        <v>3737</v>
      </c>
    </row>
    <row r="24" spans="1:10" x14ac:dyDescent="0.25">
      <c r="A24" s="1" t="s">
        <v>3742</v>
      </c>
      <c r="B24" s="19">
        <v>46182</v>
      </c>
      <c r="C24" s="1" t="s">
        <v>425</v>
      </c>
      <c r="D24" s="1" t="s">
        <v>22</v>
      </c>
      <c r="E24" s="1" t="s">
        <v>160</v>
      </c>
      <c r="F24" s="1">
        <v>5468</v>
      </c>
      <c r="G24" s="1" t="s">
        <v>345</v>
      </c>
      <c r="H24" s="1" t="s">
        <v>76</v>
      </c>
      <c r="I24" s="1" t="s">
        <v>3720</v>
      </c>
      <c r="J24" s="1" t="s">
        <v>78</v>
      </c>
    </row>
    <row r="25" spans="1:10" x14ac:dyDescent="0.25">
      <c r="A25" s="1" t="s">
        <v>3743</v>
      </c>
      <c r="B25" s="19">
        <v>46182</v>
      </c>
      <c r="C25" s="1" t="s">
        <v>425</v>
      </c>
      <c r="D25" s="1" t="s">
        <v>22</v>
      </c>
      <c r="E25" s="1" t="s">
        <v>160</v>
      </c>
      <c r="F25" s="1">
        <v>5468</v>
      </c>
      <c r="G25" s="1" t="s">
        <v>352</v>
      </c>
      <c r="H25" s="1" t="s">
        <v>79</v>
      </c>
      <c r="I25" s="1" t="s">
        <v>3720</v>
      </c>
      <c r="J25" s="1" t="s">
        <v>3744</v>
      </c>
    </row>
    <row r="26" spans="1:10" x14ac:dyDescent="0.25">
      <c r="A26" s="1" t="s">
        <v>3745</v>
      </c>
      <c r="B26" s="19">
        <v>46182</v>
      </c>
      <c r="C26" s="1" t="s">
        <v>426</v>
      </c>
      <c r="D26" s="1" t="s">
        <v>22</v>
      </c>
      <c r="E26" s="1" t="s">
        <v>161</v>
      </c>
      <c r="F26" s="1">
        <v>5469</v>
      </c>
      <c r="G26" s="1" t="s">
        <v>345</v>
      </c>
      <c r="H26" s="1" t="s">
        <v>76</v>
      </c>
      <c r="I26" s="1" t="s">
        <v>3720</v>
      </c>
      <c r="J26" s="1" t="s">
        <v>78</v>
      </c>
    </row>
    <row r="27" spans="1:10" x14ac:dyDescent="0.25">
      <c r="A27" s="1" t="s">
        <v>3746</v>
      </c>
      <c r="B27" s="19">
        <v>46182</v>
      </c>
      <c r="C27" s="1" t="s">
        <v>426</v>
      </c>
      <c r="D27" s="1" t="s">
        <v>22</v>
      </c>
      <c r="E27" s="1" t="s">
        <v>161</v>
      </c>
      <c r="F27" s="1">
        <v>5469</v>
      </c>
      <c r="G27" s="1" t="s">
        <v>352</v>
      </c>
      <c r="H27" s="1" t="s">
        <v>79</v>
      </c>
      <c r="I27" s="1" t="s">
        <v>3720</v>
      </c>
      <c r="J27" s="1" t="s">
        <v>3744</v>
      </c>
    </row>
    <row r="28" spans="1:10" x14ac:dyDescent="0.25">
      <c r="A28" s="1" t="s">
        <v>3747</v>
      </c>
      <c r="B28" s="19">
        <v>46182</v>
      </c>
      <c r="C28" s="1" t="s">
        <v>435</v>
      </c>
      <c r="D28" s="1" t="s">
        <v>22</v>
      </c>
      <c r="E28" s="1" t="s">
        <v>153</v>
      </c>
      <c r="F28" s="1">
        <v>5478</v>
      </c>
      <c r="G28" s="1" t="s">
        <v>345</v>
      </c>
      <c r="H28" s="1" t="s">
        <v>76</v>
      </c>
      <c r="I28" s="1" t="s">
        <v>3720</v>
      </c>
      <c r="J28" s="1" t="s">
        <v>78</v>
      </c>
    </row>
    <row r="29" spans="1:10" x14ac:dyDescent="0.25">
      <c r="A29" s="1" t="s">
        <v>3748</v>
      </c>
      <c r="B29" s="19">
        <v>46182</v>
      </c>
      <c r="C29" s="1" t="s">
        <v>435</v>
      </c>
      <c r="D29" s="1" t="s">
        <v>22</v>
      </c>
      <c r="E29" s="1" t="s">
        <v>153</v>
      </c>
      <c r="F29" s="1">
        <v>5478</v>
      </c>
      <c r="G29" s="1" t="s">
        <v>352</v>
      </c>
      <c r="H29" s="1" t="s">
        <v>79</v>
      </c>
      <c r="I29" s="1" t="s">
        <v>3720</v>
      </c>
      <c r="J29" s="1" t="s">
        <v>3749</v>
      </c>
    </row>
    <row r="30" spans="1:10" x14ac:dyDescent="0.25">
      <c r="A30" s="1" t="s">
        <v>3750</v>
      </c>
      <c r="B30" s="19">
        <v>46182</v>
      </c>
      <c r="C30" s="1" t="s">
        <v>436</v>
      </c>
      <c r="D30" s="1" t="s">
        <v>22</v>
      </c>
      <c r="E30" s="1" t="s">
        <v>81</v>
      </c>
      <c r="F30" s="1">
        <v>5479</v>
      </c>
      <c r="G30" s="1" t="s">
        <v>345</v>
      </c>
      <c r="H30" s="1" t="s">
        <v>76</v>
      </c>
      <c r="I30" s="1" t="s">
        <v>3720</v>
      </c>
      <c r="J30" s="1" t="s">
        <v>78</v>
      </c>
    </row>
    <row r="31" spans="1:10" x14ac:dyDescent="0.25">
      <c r="A31" s="1" t="s">
        <v>3751</v>
      </c>
      <c r="B31" s="19">
        <v>46182</v>
      </c>
      <c r="C31" s="1" t="s">
        <v>436</v>
      </c>
      <c r="D31" s="1" t="s">
        <v>22</v>
      </c>
      <c r="E31" s="1" t="s">
        <v>81</v>
      </c>
      <c r="F31" s="1">
        <v>5479</v>
      </c>
      <c r="G31" s="1" t="s">
        <v>352</v>
      </c>
      <c r="H31" s="1" t="s">
        <v>79</v>
      </c>
      <c r="I31" s="1" t="s">
        <v>3720</v>
      </c>
      <c r="J31" s="1" t="s">
        <v>3752</v>
      </c>
    </row>
    <row r="32" spans="1:10" x14ac:dyDescent="0.25">
      <c r="A32" s="1" t="s">
        <v>3753</v>
      </c>
      <c r="B32" s="19">
        <v>46182</v>
      </c>
      <c r="C32" s="1" t="s">
        <v>437</v>
      </c>
      <c r="D32" s="1" t="s">
        <v>21</v>
      </c>
      <c r="E32" s="1" t="s">
        <v>175</v>
      </c>
      <c r="F32" s="1">
        <v>5480</v>
      </c>
      <c r="G32" s="1" t="s">
        <v>345</v>
      </c>
      <c r="H32" s="1" t="s">
        <v>76</v>
      </c>
      <c r="I32" s="1" t="s">
        <v>3720</v>
      </c>
      <c r="J32" s="1" t="s">
        <v>78</v>
      </c>
    </row>
    <row r="33" spans="1:10" x14ac:dyDescent="0.25">
      <c r="A33" s="1" t="s">
        <v>3754</v>
      </c>
      <c r="B33" s="19">
        <v>46182</v>
      </c>
      <c r="C33" s="1" t="s">
        <v>437</v>
      </c>
      <c r="D33" s="1" t="s">
        <v>21</v>
      </c>
      <c r="E33" s="1" t="s">
        <v>175</v>
      </c>
      <c r="F33" s="1">
        <v>5480</v>
      </c>
      <c r="G33" s="1" t="s">
        <v>352</v>
      </c>
      <c r="H33" s="1" t="s">
        <v>79</v>
      </c>
      <c r="I33" s="1" t="s">
        <v>3720</v>
      </c>
      <c r="J33" s="1" t="s">
        <v>3752</v>
      </c>
    </row>
    <row r="34" spans="1:10" x14ac:dyDescent="0.25">
      <c r="A34" s="1" t="s">
        <v>3755</v>
      </c>
      <c r="B34" s="19">
        <v>46182</v>
      </c>
      <c r="C34" s="1" t="s">
        <v>438</v>
      </c>
      <c r="D34" s="1" t="s">
        <v>22</v>
      </c>
      <c r="E34" s="1" t="s">
        <v>81</v>
      </c>
      <c r="F34" s="1">
        <v>5481</v>
      </c>
      <c r="G34" s="1" t="s">
        <v>355</v>
      </c>
      <c r="H34" s="1" t="s">
        <v>76</v>
      </c>
      <c r="I34" s="1" t="s">
        <v>3720</v>
      </c>
      <c r="J34" s="1" t="s">
        <v>82</v>
      </c>
    </row>
    <row r="35" spans="1:10" x14ac:dyDescent="0.25">
      <c r="A35" s="1" t="s">
        <v>3756</v>
      </c>
      <c r="B35" s="19">
        <v>46182</v>
      </c>
      <c r="C35" s="1" t="s">
        <v>438</v>
      </c>
      <c r="D35" s="1" t="s">
        <v>22</v>
      </c>
      <c r="E35" s="1" t="s">
        <v>81</v>
      </c>
      <c r="F35" s="1">
        <v>5481</v>
      </c>
      <c r="G35" s="1" t="s">
        <v>345</v>
      </c>
      <c r="H35" s="1" t="s">
        <v>76</v>
      </c>
      <c r="I35" s="1" t="s">
        <v>3720</v>
      </c>
      <c r="J35" s="1" t="s">
        <v>78</v>
      </c>
    </row>
    <row r="36" spans="1:10" x14ac:dyDescent="0.25">
      <c r="A36" s="1" t="s">
        <v>3757</v>
      </c>
      <c r="B36" s="19">
        <v>46182</v>
      </c>
      <c r="C36" s="1" t="s">
        <v>438</v>
      </c>
      <c r="D36" s="1" t="s">
        <v>22</v>
      </c>
      <c r="E36" s="1" t="s">
        <v>81</v>
      </c>
      <c r="F36" s="1">
        <v>5481</v>
      </c>
      <c r="G36" s="1" t="s">
        <v>352</v>
      </c>
      <c r="H36" s="1" t="s">
        <v>79</v>
      </c>
      <c r="I36" s="1" t="s">
        <v>3720</v>
      </c>
      <c r="J36" s="1" t="s">
        <v>3758</v>
      </c>
    </row>
    <row r="37" spans="1:10" x14ac:dyDescent="0.25">
      <c r="A37" s="1" t="s">
        <v>3759</v>
      </c>
      <c r="B37" s="19">
        <v>46182</v>
      </c>
      <c r="C37" s="1" t="s">
        <v>440</v>
      </c>
      <c r="D37" s="1" t="s">
        <v>22</v>
      </c>
      <c r="E37" s="1" t="s">
        <v>178</v>
      </c>
      <c r="F37" s="1">
        <v>5483</v>
      </c>
      <c r="G37" s="1" t="s">
        <v>345</v>
      </c>
      <c r="H37" s="1" t="s">
        <v>76</v>
      </c>
      <c r="I37" s="1" t="s">
        <v>3720</v>
      </c>
      <c r="J37" s="1" t="s">
        <v>78</v>
      </c>
    </row>
    <row r="38" spans="1:10" x14ac:dyDescent="0.25">
      <c r="A38" s="1" t="s">
        <v>3760</v>
      </c>
      <c r="B38" s="19">
        <v>46182</v>
      </c>
      <c r="C38" s="1" t="s">
        <v>440</v>
      </c>
      <c r="D38" s="1" t="s">
        <v>22</v>
      </c>
      <c r="E38" s="1" t="s">
        <v>178</v>
      </c>
      <c r="F38" s="1">
        <v>5483</v>
      </c>
      <c r="G38" s="1" t="s">
        <v>352</v>
      </c>
      <c r="H38" s="1" t="s">
        <v>79</v>
      </c>
      <c r="I38" s="1" t="s">
        <v>3720</v>
      </c>
      <c r="J38" s="1" t="s">
        <v>3758</v>
      </c>
    </row>
    <row r="39" spans="1:10" x14ac:dyDescent="0.25">
      <c r="A39" s="1" t="s">
        <v>3761</v>
      </c>
      <c r="B39" s="19">
        <v>46182</v>
      </c>
      <c r="C39" s="1" t="s">
        <v>441</v>
      </c>
      <c r="D39" s="1" t="s">
        <v>22</v>
      </c>
      <c r="E39" s="1" t="s">
        <v>179</v>
      </c>
      <c r="F39" s="1">
        <v>5484</v>
      </c>
      <c r="G39" s="1" t="s">
        <v>345</v>
      </c>
      <c r="H39" s="1" t="s">
        <v>76</v>
      </c>
      <c r="I39" s="1" t="s">
        <v>3720</v>
      </c>
      <c r="J39" s="1" t="s">
        <v>78</v>
      </c>
    </row>
    <row r="40" spans="1:10" x14ac:dyDescent="0.25">
      <c r="A40" s="1" t="s">
        <v>3762</v>
      </c>
      <c r="B40" s="19">
        <v>46182</v>
      </c>
      <c r="C40" s="1" t="s">
        <v>441</v>
      </c>
      <c r="D40" s="1" t="s">
        <v>22</v>
      </c>
      <c r="E40" s="1" t="s">
        <v>179</v>
      </c>
      <c r="F40" s="1">
        <v>5484</v>
      </c>
      <c r="G40" s="1" t="s">
        <v>352</v>
      </c>
      <c r="H40" s="1" t="s">
        <v>79</v>
      </c>
      <c r="I40" s="1" t="s">
        <v>3720</v>
      </c>
      <c r="J40" s="1" t="s">
        <v>3763</v>
      </c>
    </row>
    <row r="41" spans="1:10" x14ac:dyDescent="0.25">
      <c r="A41" s="1" t="s">
        <v>3764</v>
      </c>
      <c r="B41" s="19">
        <v>46182</v>
      </c>
      <c r="C41" s="1" t="s">
        <v>442</v>
      </c>
      <c r="D41" s="1" t="s">
        <v>22</v>
      </c>
      <c r="E41" s="1" t="s">
        <v>180</v>
      </c>
      <c r="F41" s="1">
        <v>5485</v>
      </c>
      <c r="G41" s="1" t="s">
        <v>345</v>
      </c>
      <c r="H41" s="1" t="s">
        <v>76</v>
      </c>
      <c r="I41" s="1" t="s">
        <v>3720</v>
      </c>
      <c r="J41" s="1" t="s">
        <v>78</v>
      </c>
    </row>
    <row r="42" spans="1:10" x14ac:dyDescent="0.25">
      <c r="A42" s="1" t="s">
        <v>3765</v>
      </c>
      <c r="B42" s="19">
        <v>46182</v>
      </c>
      <c r="C42" s="1" t="s">
        <v>442</v>
      </c>
      <c r="D42" s="1" t="s">
        <v>22</v>
      </c>
      <c r="E42" s="1" t="s">
        <v>180</v>
      </c>
      <c r="F42" s="1">
        <v>5485</v>
      </c>
      <c r="G42" s="1" t="s">
        <v>352</v>
      </c>
      <c r="H42" s="1" t="s">
        <v>79</v>
      </c>
      <c r="I42" s="1" t="s">
        <v>3720</v>
      </c>
      <c r="J42" s="1" t="s">
        <v>3766</v>
      </c>
    </row>
    <row r="43" spans="1:10" x14ac:dyDescent="0.25">
      <c r="A43" s="1" t="s">
        <v>3767</v>
      </c>
      <c r="B43" s="19">
        <v>46182</v>
      </c>
      <c r="C43" s="1" t="s">
        <v>443</v>
      </c>
      <c r="D43" s="1" t="s">
        <v>22</v>
      </c>
      <c r="E43" s="1" t="s">
        <v>181</v>
      </c>
      <c r="F43" s="1">
        <v>5486</v>
      </c>
      <c r="G43" s="1" t="s">
        <v>345</v>
      </c>
      <c r="H43" s="1" t="s">
        <v>76</v>
      </c>
      <c r="I43" s="1" t="s">
        <v>3720</v>
      </c>
      <c r="J43" s="1" t="s">
        <v>78</v>
      </c>
    </row>
    <row r="44" spans="1:10" x14ac:dyDescent="0.25">
      <c r="A44" s="1" t="s">
        <v>3768</v>
      </c>
      <c r="B44" s="19">
        <v>46182</v>
      </c>
      <c r="C44" s="1" t="s">
        <v>443</v>
      </c>
      <c r="D44" s="1" t="s">
        <v>22</v>
      </c>
      <c r="E44" s="1" t="s">
        <v>181</v>
      </c>
      <c r="F44" s="1">
        <v>5486</v>
      </c>
      <c r="G44" s="1" t="s">
        <v>352</v>
      </c>
      <c r="H44" s="1" t="s">
        <v>79</v>
      </c>
      <c r="I44" s="1" t="s">
        <v>3720</v>
      </c>
      <c r="J44" s="1" t="s">
        <v>3766</v>
      </c>
    </row>
    <row r="45" spans="1:10" x14ac:dyDescent="0.25">
      <c r="A45" s="1" t="s">
        <v>3769</v>
      </c>
      <c r="B45" s="19">
        <v>46182</v>
      </c>
      <c r="C45" s="1" t="s">
        <v>444</v>
      </c>
      <c r="D45" s="1" t="s">
        <v>22</v>
      </c>
      <c r="E45" s="1" t="s">
        <v>182</v>
      </c>
      <c r="F45" s="1">
        <v>5487</v>
      </c>
      <c r="G45" s="1" t="s">
        <v>345</v>
      </c>
      <c r="H45" s="1" t="s">
        <v>76</v>
      </c>
      <c r="I45" s="1" t="s">
        <v>3720</v>
      </c>
      <c r="J45" s="1" t="s">
        <v>78</v>
      </c>
    </row>
    <row r="46" spans="1:10" x14ac:dyDescent="0.25">
      <c r="A46" s="1" t="s">
        <v>3770</v>
      </c>
      <c r="B46" s="19">
        <v>46182</v>
      </c>
      <c r="C46" s="1" t="s">
        <v>444</v>
      </c>
      <c r="D46" s="1" t="s">
        <v>22</v>
      </c>
      <c r="E46" s="1" t="s">
        <v>182</v>
      </c>
      <c r="F46" s="1">
        <v>5487</v>
      </c>
      <c r="G46" s="1" t="s">
        <v>352</v>
      </c>
      <c r="H46" s="1" t="s">
        <v>79</v>
      </c>
      <c r="I46" s="1" t="s">
        <v>3720</v>
      </c>
      <c r="J46" s="1" t="s">
        <v>3766</v>
      </c>
    </row>
    <row r="47" spans="1:10" x14ac:dyDescent="0.25">
      <c r="A47" s="1" t="s">
        <v>3771</v>
      </c>
      <c r="B47" s="19">
        <v>46182</v>
      </c>
      <c r="C47" s="1" t="s">
        <v>445</v>
      </c>
      <c r="D47" s="1" t="s">
        <v>22</v>
      </c>
      <c r="E47" s="1" t="s">
        <v>183</v>
      </c>
      <c r="F47" s="1">
        <v>5488</v>
      </c>
      <c r="G47" s="1" t="s">
        <v>345</v>
      </c>
      <c r="H47" s="1" t="s">
        <v>76</v>
      </c>
      <c r="I47" s="1" t="s">
        <v>3720</v>
      </c>
      <c r="J47" s="1" t="s">
        <v>78</v>
      </c>
    </row>
    <row r="48" spans="1:10" x14ac:dyDescent="0.25">
      <c r="A48" s="1" t="s">
        <v>3772</v>
      </c>
      <c r="B48" s="19">
        <v>46182</v>
      </c>
      <c r="C48" s="1" t="s">
        <v>445</v>
      </c>
      <c r="D48" s="1" t="s">
        <v>22</v>
      </c>
      <c r="E48" s="1" t="s">
        <v>183</v>
      </c>
      <c r="F48" s="1">
        <v>5488</v>
      </c>
      <c r="G48" s="1" t="s">
        <v>352</v>
      </c>
      <c r="H48" s="1" t="s">
        <v>79</v>
      </c>
      <c r="I48" s="1" t="s">
        <v>3720</v>
      </c>
      <c r="J48" s="1" t="s">
        <v>3773</v>
      </c>
    </row>
    <row r="49" spans="1:10" x14ac:dyDescent="0.25">
      <c r="A49" s="1" t="s">
        <v>3774</v>
      </c>
      <c r="B49" s="19">
        <v>46182</v>
      </c>
      <c r="C49" s="1" t="s">
        <v>452</v>
      </c>
      <c r="D49" s="1" t="s">
        <v>21</v>
      </c>
      <c r="E49" s="1" t="s">
        <v>191</v>
      </c>
      <c r="F49" s="1">
        <v>5494</v>
      </c>
      <c r="G49" s="1" t="s">
        <v>345</v>
      </c>
      <c r="H49" s="1" t="s">
        <v>76</v>
      </c>
      <c r="I49" s="1" t="s">
        <v>3720</v>
      </c>
      <c r="J49" s="1" t="s">
        <v>78</v>
      </c>
    </row>
    <row r="50" spans="1:10" x14ac:dyDescent="0.25">
      <c r="A50" s="1" t="s">
        <v>3775</v>
      </c>
      <c r="B50" s="19">
        <v>46182</v>
      </c>
      <c r="C50" s="1" t="s">
        <v>452</v>
      </c>
      <c r="D50" s="1" t="s">
        <v>21</v>
      </c>
      <c r="E50" s="1" t="s">
        <v>191</v>
      </c>
      <c r="F50" s="1">
        <v>5494</v>
      </c>
      <c r="G50" s="1" t="s">
        <v>352</v>
      </c>
      <c r="H50" s="1" t="s">
        <v>79</v>
      </c>
      <c r="I50" s="1" t="s">
        <v>3720</v>
      </c>
      <c r="J50" s="1" t="s">
        <v>3776</v>
      </c>
    </row>
    <row r="51" spans="1:10" x14ac:dyDescent="0.25">
      <c r="A51" s="1" t="s">
        <v>3777</v>
      </c>
      <c r="B51" s="19">
        <v>46182</v>
      </c>
      <c r="C51" s="1" t="s">
        <v>453</v>
      </c>
      <c r="D51" s="1" t="s">
        <v>21</v>
      </c>
      <c r="E51" s="1" t="s">
        <v>192</v>
      </c>
      <c r="F51" s="1">
        <v>5495</v>
      </c>
      <c r="G51" s="1" t="s">
        <v>345</v>
      </c>
      <c r="H51" s="1" t="s">
        <v>76</v>
      </c>
      <c r="I51" s="1" t="s">
        <v>3720</v>
      </c>
      <c r="J51" s="1" t="s">
        <v>78</v>
      </c>
    </row>
    <row r="52" spans="1:10" x14ac:dyDescent="0.25">
      <c r="A52" s="1" t="s">
        <v>3778</v>
      </c>
      <c r="B52" s="19">
        <v>46182</v>
      </c>
      <c r="C52" s="1" t="s">
        <v>453</v>
      </c>
      <c r="D52" s="1" t="s">
        <v>21</v>
      </c>
      <c r="E52" s="1" t="s">
        <v>192</v>
      </c>
      <c r="F52" s="1">
        <v>5495</v>
      </c>
      <c r="G52" s="1" t="s">
        <v>352</v>
      </c>
      <c r="H52" s="1" t="s">
        <v>79</v>
      </c>
      <c r="I52" s="1" t="s">
        <v>3720</v>
      </c>
      <c r="J52" s="1" t="s">
        <v>3779</v>
      </c>
    </row>
    <row r="53" spans="1:10" x14ac:dyDescent="0.25">
      <c r="A53" s="1" t="s">
        <v>3780</v>
      </c>
      <c r="B53" s="19">
        <v>46182</v>
      </c>
      <c r="C53" s="1" t="s">
        <v>455</v>
      </c>
      <c r="D53" s="1" t="s">
        <v>22</v>
      </c>
      <c r="E53" s="1" t="s">
        <v>81</v>
      </c>
      <c r="F53" s="1">
        <v>5497</v>
      </c>
      <c r="G53" s="1" t="s">
        <v>345</v>
      </c>
      <c r="H53" s="1" t="s">
        <v>76</v>
      </c>
      <c r="I53" s="1" t="s">
        <v>3720</v>
      </c>
      <c r="J53" s="1" t="s">
        <v>78</v>
      </c>
    </row>
    <row r="54" spans="1:10" x14ac:dyDescent="0.25">
      <c r="A54" s="1" t="s">
        <v>3781</v>
      </c>
      <c r="B54" s="19">
        <v>46182</v>
      </c>
      <c r="C54" s="1" t="s">
        <v>455</v>
      </c>
      <c r="D54" s="1" t="s">
        <v>22</v>
      </c>
      <c r="E54" s="1" t="s">
        <v>81</v>
      </c>
      <c r="F54" s="1">
        <v>5497</v>
      </c>
      <c r="G54" s="1" t="s">
        <v>352</v>
      </c>
      <c r="H54" s="1" t="s">
        <v>79</v>
      </c>
      <c r="I54" s="1" t="s">
        <v>3720</v>
      </c>
      <c r="J54" s="1" t="s">
        <v>3779</v>
      </c>
    </row>
    <row r="55" spans="1:10" x14ac:dyDescent="0.25">
      <c r="A55" s="1" t="s">
        <v>3782</v>
      </c>
      <c r="B55" s="19">
        <v>46182</v>
      </c>
      <c r="C55" s="1" t="s">
        <v>456</v>
      </c>
      <c r="D55" s="1" t="s">
        <v>22</v>
      </c>
      <c r="E55" s="1" t="s">
        <v>194</v>
      </c>
      <c r="F55" s="1">
        <v>5498</v>
      </c>
      <c r="G55" s="1" t="s">
        <v>345</v>
      </c>
      <c r="H55" s="1" t="s">
        <v>76</v>
      </c>
      <c r="I55" s="1" t="s">
        <v>3720</v>
      </c>
      <c r="J55" s="1" t="s">
        <v>78</v>
      </c>
    </row>
    <row r="56" spans="1:10" x14ac:dyDescent="0.25">
      <c r="A56" s="1" t="s">
        <v>3783</v>
      </c>
      <c r="B56" s="19">
        <v>46182</v>
      </c>
      <c r="C56" s="1" t="s">
        <v>456</v>
      </c>
      <c r="D56" s="1" t="s">
        <v>22</v>
      </c>
      <c r="E56" s="1" t="s">
        <v>194</v>
      </c>
      <c r="F56" s="1">
        <v>5498</v>
      </c>
      <c r="G56" s="1" t="s">
        <v>352</v>
      </c>
      <c r="H56" s="1" t="s">
        <v>79</v>
      </c>
      <c r="I56" s="1" t="s">
        <v>3720</v>
      </c>
      <c r="J56" s="1" t="s">
        <v>3784</v>
      </c>
    </row>
    <row r="57" spans="1:10" x14ac:dyDescent="0.25">
      <c r="A57" s="1" t="s">
        <v>3785</v>
      </c>
      <c r="B57" s="19">
        <v>46182</v>
      </c>
      <c r="C57" s="1" t="s">
        <v>457</v>
      </c>
      <c r="D57" s="1" t="s">
        <v>22</v>
      </c>
      <c r="E57" s="1" t="s">
        <v>195</v>
      </c>
      <c r="F57" s="1">
        <v>5499</v>
      </c>
      <c r="G57" s="1" t="s">
        <v>345</v>
      </c>
      <c r="H57" s="1" t="s">
        <v>76</v>
      </c>
      <c r="I57" s="1" t="s">
        <v>3720</v>
      </c>
      <c r="J57" s="1" t="s">
        <v>78</v>
      </c>
    </row>
    <row r="58" spans="1:10" x14ac:dyDescent="0.25">
      <c r="A58" s="1" t="s">
        <v>3786</v>
      </c>
      <c r="B58" s="19">
        <v>46182</v>
      </c>
      <c r="C58" s="1" t="s">
        <v>457</v>
      </c>
      <c r="D58" s="1" t="s">
        <v>22</v>
      </c>
      <c r="E58" s="1" t="s">
        <v>195</v>
      </c>
      <c r="F58" s="1">
        <v>5499</v>
      </c>
      <c r="G58" s="1" t="s">
        <v>352</v>
      </c>
      <c r="H58" s="1" t="s">
        <v>79</v>
      </c>
      <c r="I58" s="1" t="s">
        <v>3720</v>
      </c>
      <c r="J58" s="1" t="s">
        <v>3787</v>
      </c>
    </row>
    <row r="59" spans="1:10" x14ac:dyDescent="0.25">
      <c r="A59" s="1" t="s">
        <v>3788</v>
      </c>
      <c r="B59" s="19">
        <v>46182</v>
      </c>
      <c r="C59" s="1" t="s">
        <v>458</v>
      </c>
      <c r="D59" s="1" t="s">
        <v>22</v>
      </c>
      <c r="E59" s="1" t="s">
        <v>196</v>
      </c>
      <c r="F59" s="1">
        <v>5500</v>
      </c>
      <c r="G59" s="1" t="s">
        <v>345</v>
      </c>
      <c r="H59" s="1" t="s">
        <v>76</v>
      </c>
      <c r="I59" s="1" t="s">
        <v>3720</v>
      </c>
      <c r="J59" s="1" t="s">
        <v>78</v>
      </c>
    </row>
    <row r="60" spans="1:10" x14ac:dyDescent="0.25">
      <c r="A60" s="1" t="s">
        <v>3789</v>
      </c>
      <c r="B60" s="19">
        <v>46182</v>
      </c>
      <c r="C60" s="1" t="s">
        <v>458</v>
      </c>
      <c r="D60" s="1" t="s">
        <v>22</v>
      </c>
      <c r="E60" s="1" t="s">
        <v>196</v>
      </c>
      <c r="F60" s="1">
        <v>5500</v>
      </c>
      <c r="G60" s="1" t="s">
        <v>352</v>
      </c>
      <c r="H60" s="1" t="s">
        <v>79</v>
      </c>
      <c r="I60" s="1" t="s">
        <v>3720</v>
      </c>
      <c r="J60" s="1" t="s">
        <v>3790</v>
      </c>
    </row>
    <row r="61" spans="1:10" x14ac:dyDescent="0.25">
      <c r="A61" s="1" t="s">
        <v>3791</v>
      </c>
      <c r="B61" s="19">
        <v>46182</v>
      </c>
      <c r="C61" s="1" t="s">
        <v>460</v>
      </c>
      <c r="D61" s="1" t="s">
        <v>21</v>
      </c>
      <c r="E61" s="1" t="s">
        <v>81</v>
      </c>
      <c r="F61" s="1">
        <v>5502</v>
      </c>
      <c r="G61" s="1" t="s">
        <v>355</v>
      </c>
      <c r="H61" s="1" t="s">
        <v>76</v>
      </c>
      <c r="I61" s="1" t="s">
        <v>3720</v>
      </c>
      <c r="J61" s="1" t="s">
        <v>82</v>
      </c>
    </row>
    <row r="62" spans="1:10" x14ac:dyDescent="0.25">
      <c r="A62" s="1" t="s">
        <v>3792</v>
      </c>
      <c r="B62" s="19">
        <v>46182</v>
      </c>
      <c r="C62" s="1" t="s">
        <v>460</v>
      </c>
      <c r="D62" s="1" t="s">
        <v>21</v>
      </c>
      <c r="E62" s="1" t="s">
        <v>81</v>
      </c>
      <c r="F62" s="1">
        <v>5502</v>
      </c>
      <c r="G62" s="1" t="s">
        <v>345</v>
      </c>
      <c r="H62" s="1" t="s">
        <v>76</v>
      </c>
      <c r="I62" s="1" t="s">
        <v>3720</v>
      </c>
      <c r="J62" s="1" t="s">
        <v>78</v>
      </c>
    </row>
    <row r="63" spans="1:10" x14ac:dyDescent="0.25">
      <c r="A63" s="1" t="s">
        <v>3793</v>
      </c>
      <c r="B63" s="19">
        <v>46182</v>
      </c>
      <c r="C63" s="1" t="s">
        <v>460</v>
      </c>
      <c r="D63" s="1" t="s">
        <v>21</v>
      </c>
      <c r="E63" s="1" t="s">
        <v>81</v>
      </c>
      <c r="F63" s="1">
        <v>5502</v>
      </c>
      <c r="G63" s="1" t="s">
        <v>352</v>
      </c>
      <c r="H63" s="1" t="s">
        <v>79</v>
      </c>
      <c r="I63" s="1" t="s">
        <v>3720</v>
      </c>
      <c r="J63" s="1" t="s">
        <v>3794</v>
      </c>
    </row>
    <row r="64" spans="1:10" x14ac:dyDescent="0.25">
      <c r="A64" s="1" t="s">
        <v>3795</v>
      </c>
      <c r="B64" s="19">
        <v>46182</v>
      </c>
      <c r="C64" s="1" t="s">
        <v>463</v>
      </c>
      <c r="D64" s="1" t="s">
        <v>21</v>
      </c>
      <c r="E64" s="1" t="s">
        <v>203</v>
      </c>
      <c r="F64" s="1">
        <v>5505</v>
      </c>
      <c r="G64" s="1" t="s">
        <v>345</v>
      </c>
      <c r="H64" s="1" t="s">
        <v>76</v>
      </c>
      <c r="I64" s="1" t="s">
        <v>3720</v>
      </c>
      <c r="J64" s="1" t="s">
        <v>78</v>
      </c>
    </row>
    <row r="65" spans="1:10" x14ac:dyDescent="0.25">
      <c r="A65" s="1" t="s">
        <v>3796</v>
      </c>
      <c r="B65" s="19">
        <v>46182</v>
      </c>
      <c r="C65" s="1" t="s">
        <v>463</v>
      </c>
      <c r="D65" s="1" t="s">
        <v>21</v>
      </c>
      <c r="E65" s="1" t="s">
        <v>203</v>
      </c>
      <c r="F65" s="1">
        <v>5505</v>
      </c>
      <c r="G65" s="1" t="s">
        <v>352</v>
      </c>
      <c r="H65" s="1" t="s">
        <v>79</v>
      </c>
      <c r="I65" s="1" t="s">
        <v>3720</v>
      </c>
      <c r="J65" s="1" t="s">
        <v>3797</v>
      </c>
    </row>
    <row r="66" spans="1:10" x14ac:dyDescent="0.25">
      <c r="A66" s="1" t="s">
        <v>3798</v>
      </c>
      <c r="B66" s="19">
        <v>46182</v>
      </c>
      <c r="C66" s="1" t="s">
        <v>464</v>
      </c>
      <c r="D66" s="1" t="s">
        <v>22</v>
      </c>
      <c r="E66" s="1" t="s">
        <v>204</v>
      </c>
      <c r="F66" s="1">
        <v>5506</v>
      </c>
      <c r="G66" s="1" t="s">
        <v>345</v>
      </c>
      <c r="H66" s="1" t="s">
        <v>76</v>
      </c>
      <c r="I66" s="1" t="s">
        <v>3720</v>
      </c>
      <c r="J66" s="1" t="s">
        <v>78</v>
      </c>
    </row>
    <row r="67" spans="1:10" x14ac:dyDescent="0.25">
      <c r="A67" s="1" t="s">
        <v>3799</v>
      </c>
      <c r="B67" s="19">
        <v>46182</v>
      </c>
      <c r="C67" s="1" t="s">
        <v>464</v>
      </c>
      <c r="D67" s="1" t="s">
        <v>22</v>
      </c>
      <c r="E67" s="1" t="s">
        <v>204</v>
      </c>
      <c r="F67" s="1">
        <v>5506</v>
      </c>
      <c r="G67" s="1" t="s">
        <v>352</v>
      </c>
      <c r="H67" s="1" t="s">
        <v>79</v>
      </c>
      <c r="I67" s="1" t="s">
        <v>3720</v>
      </c>
      <c r="J67" s="1" t="s">
        <v>3797</v>
      </c>
    </row>
    <row r="68" spans="1:10" x14ac:dyDescent="0.25">
      <c r="A68" s="1" t="s">
        <v>3800</v>
      </c>
      <c r="B68" s="19">
        <v>46182</v>
      </c>
      <c r="C68" s="1" t="s">
        <v>465</v>
      </c>
      <c r="D68" s="1" t="s">
        <v>21</v>
      </c>
      <c r="E68" s="1" t="s">
        <v>205</v>
      </c>
      <c r="F68" s="1">
        <v>5507</v>
      </c>
      <c r="G68" s="1" t="s">
        <v>345</v>
      </c>
      <c r="H68" s="1" t="s">
        <v>76</v>
      </c>
      <c r="I68" s="1" t="s">
        <v>3720</v>
      </c>
      <c r="J68" s="1" t="s">
        <v>78</v>
      </c>
    </row>
    <row r="69" spans="1:10" x14ac:dyDescent="0.25">
      <c r="A69" s="1" t="s">
        <v>3801</v>
      </c>
      <c r="B69" s="19">
        <v>46182</v>
      </c>
      <c r="C69" s="1" t="s">
        <v>465</v>
      </c>
      <c r="D69" s="1" t="s">
        <v>21</v>
      </c>
      <c r="E69" s="1" t="s">
        <v>205</v>
      </c>
      <c r="F69" s="1">
        <v>5507</v>
      </c>
      <c r="G69" s="1" t="s">
        <v>352</v>
      </c>
      <c r="H69" s="1" t="s">
        <v>79</v>
      </c>
      <c r="I69" s="1" t="s">
        <v>3720</v>
      </c>
      <c r="J69" s="1" t="s">
        <v>3802</v>
      </c>
    </row>
    <row r="70" spans="1:10" x14ac:dyDescent="0.25">
      <c r="A70" s="1" t="s">
        <v>3803</v>
      </c>
      <c r="B70" s="19">
        <v>46182</v>
      </c>
      <c r="C70" s="1" t="s">
        <v>467</v>
      </c>
      <c r="D70" s="1" t="s">
        <v>21</v>
      </c>
      <c r="E70" s="1" t="s">
        <v>206</v>
      </c>
      <c r="F70" s="1">
        <v>5509</v>
      </c>
      <c r="G70" s="1" t="s">
        <v>345</v>
      </c>
      <c r="H70" s="1" t="s">
        <v>76</v>
      </c>
      <c r="I70" s="1" t="s">
        <v>3720</v>
      </c>
      <c r="J70" s="1" t="s">
        <v>78</v>
      </c>
    </row>
    <row r="71" spans="1:10" x14ac:dyDescent="0.25">
      <c r="A71" s="1" t="s">
        <v>3804</v>
      </c>
      <c r="B71" s="19">
        <v>46182</v>
      </c>
      <c r="C71" s="1" t="s">
        <v>467</v>
      </c>
      <c r="D71" s="1" t="s">
        <v>21</v>
      </c>
      <c r="E71" s="1" t="s">
        <v>206</v>
      </c>
      <c r="F71" s="1">
        <v>5509</v>
      </c>
      <c r="G71" s="1" t="s">
        <v>352</v>
      </c>
      <c r="H71" s="1" t="s">
        <v>79</v>
      </c>
      <c r="I71" s="1" t="s">
        <v>3720</v>
      </c>
      <c r="J71" s="1" t="s">
        <v>3802</v>
      </c>
    </row>
    <row r="72" spans="1:10" x14ac:dyDescent="0.25">
      <c r="A72" s="1" t="s">
        <v>3805</v>
      </c>
      <c r="B72" s="19">
        <v>46182</v>
      </c>
      <c r="C72" s="1" t="s">
        <v>469</v>
      </c>
      <c r="D72" s="1" t="s">
        <v>22</v>
      </c>
      <c r="E72" s="1" t="s">
        <v>81</v>
      </c>
      <c r="F72" s="1">
        <v>5511</v>
      </c>
      <c r="G72" s="1" t="s">
        <v>355</v>
      </c>
      <c r="H72" s="1" t="s">
        <v>76</v>
      </c>
      <c r="I72" s="1" t="s">
        <v>3720</v>
      </c>
      <c r="J72" s="1" t="s">
        <v>82</v>
      </c>
    </row>
    <row r="73" spans="1:10" x14ac:dyDescent="0.25">
      <c r="A73" s="1" t="s">
        <v>3806</v>
      </c>
      <c r="B73" s="19">
        <v>46182</v>
      </c>
      <c r="C73" s="1" t="s">
        <v>469</v>
      </c>
      <c r="D73" s="1" t="s">
        <v>22</v>
      </c>
      <c r="E73" s="1" t="s">
        <v>81</v>
      </c>
      <c r="F73" s="1">
        <v>5511</v>
      </c>
      <c r="G73" s="1" t="s">
        <v>345</v>
      </c>
      <c r="H73" s="1" t="s">
        <v>76</v>
      </c>
      <c r="I73" s="1" t="s">
        <v>3720</v>
      </c>
      <c r="J73" s="1" t="s">
        <v>78</v>
      </c>
    </row>
    <row r="74" spans="1:10" x14ac:dyDescent="0.25">
      <c r="A74" s="1" t="s">
        <v>3807</v>
      </c>
      <c r="B74" s="19">
        <v>46182</v>
      </c>
      <c r="C74" s="1" t="s">
        <v>469</v>
      </c>
      <c r="D74" s="1" t="s">
        <v>22</v>
      </c>
      <c r="E74" s="1" t="s">
        <v>81</v>
      </c>
      <c r="F74" s="1">
        <v>5511</v>
      </c>
      <c r="G74" s="1" t="s">
        <v>352</v>
      </c>
      <c r="H74" s="1" t="s">
        <v>79</v>
      </c>
      <c r="I74" s="1" t="s">
        <v>3720</v>
      </c>
      <c r="J74" s="1" t="s">
        <v>3802</v>
      </c>
    </row>
    <row r="75" spans="1:10" x14ac:dyDescent="0.25">
      <c r="A75" s="1" t="s">
        <v>3808</v>
      </c>
      <c r="B75" s="19">
        <v>46182</v>
      </c>
      <c r="C75" s="1" t="s">
        <v>470</v>
      </c>
      <c r="D75" s="1" t="s">
        <v>21</v>
      </c>
      <c r="E75" s="1" t="s">
        <v>209</v>
      </c>
      <c r="F75" s="1">
        <v>5512</v>
      </c>
      <c r="G75" s="1" t="s">
        <v>345</v>
      </c>
      <c r="H75" s="1" t="s">
        <v>76</v>
      </c>
      <c r="I75" s="1" t="s">
        <v>3720</v>
      </c>
      <c r="J75" s="1" t="s">
        <v>78</v>
      </c>
    </row>
    <row r="76" spans="1:10" x14ac:dyDescent="0.25">
      <c r="A76" s="1" t="s">
        <v>3809</v>
      </c>
      <c r="B76" s="19">
        <v>46182</v>
      </c>
      <c r="C76" s="1" t="s">
        <v>470</v>
      </c>
      <c r="D76" s="1" t="s">
        <v>21</v>
      </c>
      <c r="E76" s="1" t="s">
        <v>209</v>
      </c>
      <c r="F76" s="1">
        <v>5512</v>
      </c>
      <c r="G76" s="1" t="s">
        <v>352</v>
      </c>
      <c r="H76" s="1" t="s">
        <v>79</v>
      </c>
      <c r="I76" s="1" t="s">
        <v>3720</v>
      </c>
      <c r="J76" s="1" t="s">
        <v>3810</v>
      </c>
    </row>
    <row r="77" spans="1:10" x14ac:dyDescent="0.25">
      <c r="A77" s="1" t="s">
        <v>3811</v>
      </c>
      <c r="B77" s="19">
        <v>46182</v>
      </c>
      <c r="C77" s="1" t="s">
        <v>471</v>
      </c>
      <c r="D77" s="1" t="s">
        <v>21</v>
      </c>
      <c r="E77" s="1" t="s">
        <v>210</v>
      </c>
      <c r="F77" s="1">
        <v>5513</v>
      </c>
      <c r="G77" s="1" t="s">
        <v>345</v>
      </c>
      <c r="H77" s="1" t="s">
        <v>76</v>
      </c>
      <c r="I77" s="1" t="s">
        <v>3720</v>
      </c>
      <c r="J77" s="1" t="s">
        <v>78</v>
      </c>
    </row>
    <row r="78" spans="1:10" x14ac:dyDescent="0.25">
      <c r="A78" s="1" t="s">
        <v>3812</v>
      </c>
      <c r="B78" s="19">
        <v>46182</v>
      </c>
      <c r="C78" s="1" t="s">
        <v>471</v>
      </c>
      <c r="D78" s="1" t="s">
        <v>21</v>
      </c>
      <c r="E78" s="1" t="s">
        <v>210</v>
      </c>
      <c r="F78" s="1">
        <v>5513</v>
      </c>
      <c r="G78" s="1" t="s">
        <v>352</v>
      </c>
      <c r="H78" s="1" t="s">
        <v>79</v>
      </c>
      <c r="I78" s="1" t="s">
        <v>3720</v>
      </c>
      <c r="J78" s="1" t="s">
        <v>3810</v>
      </c>
    </row>
    <row r="79" spans="1:10" x14ac:dyDescent="0.25">
      <c r="A79" s="1" t="s">
        <v>3813</v>
      </c>
      <c r="B79" s="19">
        <v>46182</v>
      </c>
      <c r="C79" s="1" t="s">
        <v>472</v>
      </c>
      <c r="D79" s="1" t="s">
        <v>21</v>
      </c>
      <c r="E79" s="1" t="s">
        <v>81</v>
      </c>
      <c r="F79" s="1">
        <v>5514</v>
      </c>
      <c r="G79" s="1" t="s">
        <v>345</v>
      </c>
      <c r="H79" s="1" t="s">
        <v>76</v>
      </c>
      <c r="I79" s="1" t="s">
        <v>3720</v>
      </c>
      <c r="J79" s="1" t="s">
        <v>78</v>
      </c>
    </row>
    <row r="80" spans="1:10" x14ac:dyDescent="0.25">
      <c r="A80" s="1" t="s">
        <v>3814</v>
      </c>
      <c r="B80" s="19">
        <v>46182</v>
      </c>
      <c r="C80" s="1" t="s">
        <v>472</v>
      </c>
      <c r="D80" s="1" t="s">
        <v>21</v>
      </c>
      <c r="E80" s="1" t="s">
        <v>81</v>
      </c>
      <c r="F80" s="1">
        <v>5514</v>
      </c>
      <c r="G80" s="1" t="s">
        <v>352</v>
      </c>
      <c r="H80" s="1" t="s">
        <v>79</v>
      </c>
      <c r="I80" s="1" t="s">
        <v>3720</v>
      </c>
      <c r="J80" s="1" t="s">
        <v>3810</v>
      </c>
    </row>
    <row r="81" spans="1:10" x14ac:dyDescent="0.25">
      <c r="A81" s="1" t="s">
        <v>3815</v>
      </c>
      <c r="B81" s="19">
        <v>46182</v>
      </c>
      <c r="C81" s="1" t="s">
        <v>474</v>
      </c>
      <c r="D81" s="1" t="s">
        <v>21</v>
      </c>
      <c r="E81" s="1" t="s">
        <v>212</v>
      </c>
      <c r="F81" s="1">
        <v>5516</v>
      </c>
      <c r="G81" s="1" t="s">
        <v>345</v>
      </c>
      <c r="H81" s="1" t="s">
        <v>76</v>
      </c>
      <c r="I81" s="1" t="s">
        <v>3720</v>
      </c>
      <c r="J81" s="1" t="s">
        <v>78</v>
      </c>
    </row>
    <row r="82" spans="1:10" x14ac:dyDescent="0.25">
      <c r="A82" s="1" t="s">
        <v>3816</v>
      </c>
      <c r="B82" s="19">
        <v>46182</v>
      </c>
      <c r="C82" s="1" t="s">
        <v>474</v>
      </c>
      <c r="D82" s="1" t="s">
        <v>21</v>
      </c>
      <c r="E82" s="1" t="s">
        <v>212</v>
      </c>
      <c r="F82" s="1">
        <v>5516</v>
      </c>
      <c r="G82" s="1" t="s">
        <v>352</v>
      </c>
      <c r="H82" s="1" t="s">
        <v>79</v>
      </c>
      <c r="I82" s="1" t="s">
        <v>3720</v>
      </c>
      <c r="J82" s="1" t="s">
        <v>3817</v>
      </c>
    </row>
    <row r="83" spans="1:10" x14ac:dyDescent="0.25">
      <c r="A83" s="1" t="s">
        <v>3818</v>
      </c>
      <c r="B83" s="19">
        <v>46182</v>
      </c>
      <c r="C83" s="1" t="s">
        <v>477</v>
      </c>
      <c r="D83" s="1" t="s">
        <v>22</v>
      </c>
      <c r="E83" s="1" t="s">
        <v>216</v>
      </c>
      <c r="F83" s="1">
        <v>5519</v>
      </c>
      <c r="G83" s="1" t="s">
        <v>345</v>
      </c>
      <c r="H83" s="1" t="s">
        <v>76</v>
      </c>
      <c r="I83" s="1" t="s">
        <v>3720</v>
      </c>
      <c r="J83" s="1" t="s">
        <v>78</v>
      </c>
    </row>
    <row r="84" spans="1:10" x14ac:dyDescent="0.25">
      <c r="A84" s="1" t="s">
        <v>3819</v>
      </c>
      <c r="B84" s="19">
        <v>46182</v>
      </c>
      <c r="C84" s="1" t="s">
        <v>477</v>
      </c>
      <c r="D84" s="1" t="s">
        <v>22</v>
      </c>
      <c r="E84" s="1" t="s">
        <v>216</v>
      </c>
      <c r="F84" s="1">
        <v>5519</v>
      </c>
      <c r="G84" s="1" t="s">
        <v>352</v>
      </c>
      <c r="H84" s="1" t="s">
        <v>79</v>
      </c>
      <c r="I84" s="1" t="s">
        <v>3720</v>
      </c>
      <c r="J84" s="1" t="s">
        <v>3820</v>
      </c>
    </row>
    <row r="85" spans="1:10" x14ac:dyDescent="0.25">
      <c r="A85" s="1" t="s">
        <v>3821</v>
      </c>
      <c r="B85" s="19">
        <v>46182</v>
      </c>
      <c r="C85" s="1" t="s">
        <v>478</v>
      </c>
      <c r="D85" s="1" t="s">
        <v>21</v>
      </c>
      <c r="E85" s="1" t="s">
        <v>217</v>
      </c>
      <c r="F85" s="1">
        <v>5520</v>
      </c>
      <c r="G85" s="1" t="s">
        <v>345</v>
      </c>
      <c r="H85" s="1" t="s">
        <v>76</v>
      </c>
      <c r="I85" s="1" t="s">
        <v>3720</v>
      </c>
      <c r="J85" s="1" t="s">
        <v>78</v>
      </c>
    </row>
    <row r="86" spans="1:10" x14ac:dyDescent="0.25">
      <c r="A86" s="1" t="s">
        <v>3822</v>
      </c>
      <c r="B86" s="19">
        <v>46182</v>
      </c>
      <c r="C86" s="1" t="s">
        <v>478</v>
      </c>
      <c r="D86" s="1" t="s">
        <v>21</v>
      </c>
      <c r="E86" s="1" t="s">
        <v>217</v>
      </c>
      <c r="F86" s="1">
        <v>5520</v>
      </c>
      <c r="G86" s="1" t="s">
        <v>352</v>
      </c>
      <c r="H86" s="1" t="s">
        <v>79</v>
      </c>
      <c r="I86" s="1" t="s">
        <v>3720</v>
      </c>
      <c r="J86" s="1" t="s">
        <v>3823</v>
      </c>
    </row>
    <row r="87" spans="1:10" x14ac:dyDescent="0.25">
      <c r="A87" s="1" t="s">
        <v>3824</v>
      </c>
      <c r="B87" s="19">
        <v>46182</v>
      </c>
      <c r="C87" s="1" t="s">
        <v>479</v>
      </c>
      <c r="D87" s="1" t="s">
        <v>22</v>
      </c>
      <c r="E87" s="1" t="s">
        <v>81</v>
      </c>
      <c r="F87" s="1">
        <v>5521</v>
      </c>
      <c r="G87" s="1" t="s">
        <v>355</v>
      </c>
      <c r="H87" s="1" t="s">
        <v>76</v>
      </c>
      <c r="I87" s="1" t="s">
        <v>3720</v>
      </c>
      <c r="J87" s="1" t="s">
        <v>82</v>
      </c>
    </row>
    <row r="88" spans="1:10" x14ac:dyDescent="0.25">
      <c r="A88" s="1" t="s">
        <v>3825</v>
      </c>
      <c r="B88" s="19">
        <v>46182</v>
      </c>
      <c r="C88" s="1" t="s">
        <v>479</v>
      </c>
      <c r="D88" s="1" t="s">
        <v>22</v>
      </c>
      <c r="E88" s="1" t="s">
        <v>81</v>
      </c>
      <c r="F88" s="1">
        <v>5521</v>
      </c>
      <c r="G88" s="1" t="s">
        <v>345</v>
      </c>
      <c r="H88" s="1" t="s">
        <v>76</v>
      </c>
      <c r="I88" s="1" t="s">
        <v>3720</v>
      </c>
      <c r="J88" s="1" t="s">
        <v>78</v>
      </c>
    </row>
    <row r="89" spans="1:10" x14ac:dyDescent="0.25">
      <c r="A89" s="1" t="s">
        <v>3826</v>
      </c>
      <c r="B89" s="19">
        <v>46182</v>
      </c>
      <c r="C89" s="1" t="s">
        <v>479</v>
      </c>
      <c r="D89" s="1" t="s">
        <v>22</v>
      </c>
      <c r="E89" s="1" t="s">
        <v>81</v>
      </c>
      <c r="F89" s="1">
        <v>5521</v>
      </c>
      <c r="G89" s="1" t="s">
        <v>352</v>
      </c>
      <c r="H89" s="1" t="s">
        <v>79</v>
      </c>
      <c r="I89" s="1" t="s">
        <v>3720</v>
      </c>
      <c r="J89" s="1" t="s">
        <v>3827</v>
      </c>
    </row>
    <row r="90" spans="1:10" x14ac:dyDescent="0.25">
      <c r="A90" s="1" t="s">
        <v>3828</v>
      </c>
      <c r="B90" s="19">
        <v>46182</v>
      </c>
      <c r="C90" s="1" t="s">
        <v>480</v>
      </c>
      <c r="D90" s="1" t="s">
        <v>21</v>
      </c>
      <c r="E90" s="1" t="s">
        <v>219</v>
      </c>
      <c r="F90" s="1">
        <v>5522</v>
      </c>
      <c r="G90" s="1" t="s">
        <v>345</v>
      </c>
      <c r="H90" s="1" t="s">
        <v>76</v>
      </c>
      <c r="I90" s="1" t="s">
        <v>3720</v>
      </c>
      <c r="J90" s="1" t="s">
        <v>78</v>
      </c>
    </row>
    <row r="91" spans="1:10" x14ac:dyDescent="0.25">
      <c r="A91" s="1" t="s">
        <v>3829</v>
      </c>
      <c r="B91" s="19">
        <v>46182</v>
      </c>
      <c r="C91" s="1" t="s">
        <v>480</v>
      </c>
      <c r="D91" s="1" t="s">
        <v>21</v>
      </c>
      <c r="E91" s="1" t="s">
        <v>219</v>
      </c>
      <c r="F91" s="1">
        <v>5522</v>
      </c>
      <c r="G91" s="1" t="s">
        <v>352</v>
      </c>
      <c r="H91" s="1" t="s">
        <v>79</v>
      </c>
      <c r="I91" s="1" t="s">
        <v>3720</v>
      </c>
      <c r="J91" s="1" t="s">
        <v>3827</v>
      </c>
    </row>
    <row r="92" spans="1:10" x14ac:dyDescent="0.25">
      <c r="A92" s="1" t="s">
        <v>3830</v>
      </c>
      <c r="B92" s="19">
        <v>46182</v>
      </c>
      <c r="C92" s="1" t="s">
        <v>482</v>
      </c>
      <c r="D92" s="1" t="s">
        <v>21</v>
      </c>
      <c r="E92" s="1" t="s">
        <v>221</v>
      </c>
      <c r="F92" s="1">
        <v>5524</v>
      </c>
      <c r="G92" s="1" t="s">
        <v>345</v>
      </c>
      <c r="H92" s="1" t="s">
        <v>76</v>
      </c>
      <c r="I92" s="1" t="s">
        <v>3720</v>
      </c>
      <c r="J92" s="1" t="s">
        <v>78</v>
      </c>
    </row>
    <row r="93" spans="1:10" x14ac:dyDescent="0.25">
      <c r="A93" s="1" t="s">
        <v>3831</v>
      </c>
      <c r="B93" s="19">
        <v>46182</v>
      </c>
      <c r="C93" s="1" t="s">
        <v>482</v>
      </c>
      <c r="D93" s="1" t="s">
        <v>21</v>
      </c>
      <c r="E93" s="1" t="s">
        <v>221</v>
      </c>
      <c r="F93" s="1">
        <v>5524</v>
      </c>
      <c r="G93" s="1" t="s">
        <v>352</v>
      </c>
      <c r="H93" s="1" t="s">
        <v>79</v>
      </c>
      <c r="I93" s="1" t="s">
        <v>3720</v>
      </c>
      <c r="J93" s="1" t="s">
        <v>3827</v>
      </c>
    </row>
    <row r="94" spans="1:10" x14ac:dyDescent="0.25">
      <c r="A94" s="1" t="s">
        <v>3832</v>
      </c>
      <c r="B94" s="19">
        <v>46182</v>
      </c>
      <c r="C94" s="1" t="s">
        <v>483</v>
      </c>
      <c r="D94" s="1" t="s">
        <v>22</v>
      </c>
      <c r="E94" s="1" t="s">
        <v>222</v>
      </c>
      <c r="F94" s="1">
        <v>5525</v>
      </c>
      <c r="G94" s="1" t="s">
        <v>345</v>
      </c>
      <c r="H94" s="1" t="s">
        <v>76</v>
      </c>
      <c r="I94" s="1" t="s">
        <v>3720</v>
      </c>
      <c r="J94" s="1" t="s">
        <v>78</v>
      </c>
    </row>
    <row r="95" spans="1:10" x14ac:dyDescent="0.25">
      <c r="A95" s="1" t="s">
        <v>3833</v>
      </c>
      <c r="B95" s="19">
        <v>46182</v>
      </c>
      <c r="C95" s="1" t="s">
        <v>483</v>
      </c>
      <c r="D95" s="1" t="s">
        <v>22</v>
      </c>
      <c r="E95" s="1" t="s">
        <v>222</v>
      </c>
      <c r="F95" s="1">
        <v>5525</v>
      </c>
      <c r="G95" s="1" t="s">
        <v>352</v>
      </c>
      <c r="H95" s="1" t="s">
        <v>79</v>
      </c>
      <c r="I95" s="1" t="s">
        <v>3720</v>
      </c>
      <c r="J95" s="1" t="s">
        <v>3827</v>
      </c>
    </row>
    <row r="96" spans="1:10" x14ac:dyDescent="0.25">
      <c r="A96" s="1" t="s">
        <v>3834</v>
      </c>
      <c r="B96" s="19">
        <v>46182</v>
      </c>
      <c r="C96" s="1" t="s">
        <v>484</v>
      </c>
      <c r="D96" s="1" t="s">
        <v>22</v>
      </c>
      <c r="E96" s="1" t="s">
        <v>225</v>
      </c>
      <c r="F96" s="1">
        <v>5526</v>
      </c>
      <c r="G96" s="1" t="s">
        <v>345</v>
      </c>
      <c r="H96" s="1" t="s">
        <v>76</v>
      </c>
      <c r="I96" s="1" t="s">
        <v>3720</v>
      </c>
      <c r="J96" s="1" t="s">
        <v>78</v>
      </c>
    </row>
    <row r="97" spans="1:10" x14ac:dyDescent="0.25">
      <c r="A97" s="1" t="s">
        <v>3835</v>
      </c>
      <c r="B97" s="19">
        <v>46182</v>
      </c>
      <c r="C97" s="1" t="s">
        <v>484</v>
      </c>
      <c r="D97" s="1" t="s">
        <v>22</v>
      </c>
      <c r="E97" s="1" t="s">
        <v>225</v>
      </c>
      <c r="F97" s="1">
        <v>5526</v>
      </c>
      <c r="G97" s="1" t="s">
        <v>352</v>
      </c>
      <c r="H97" s="1" t="s">
        <v>79</v>
      </c>
      <c r="I97" s="1" t="s">
        <v>3720</v>
      </c>
      <c r="J97" s="1" t="s">
        <v>3827</v>
      </c>
    </row>
    <row r="98" spans="1:10" x14ac:dyDescent="0.25">
      <c r="A98" s="1" t="s">
        <v>3836</v>
      </c>
      <c r="B98" s="19">
        <v>46182</v>
      </c>
      <c r="C98" s="1" t="s">
        <v>486</v>
      </c>
      <c r="D98" s="1" t="s">
        <v>21</v>
      </c>
      <c r="E98" s="1" t="s">
        <v>166</v>
      </c>
      <c r="F98" s="1">
        <v>5528</v>
      </c>
      <c r="G98" s="1" t="s">
        <v>345</v>
      </c>
      <c r="H98" s="1" t="s">
        <v>76</v>
      </c>
      <c r="I98" s="1" t="s">
        <v>3720</v>
      </c>
      <c r="J98" s="1" t="s">
        <v>78</v>
      </c>
    </row>
    <row r="99" spans="1:10" x14ac:dyDescent="0.25">
      <c r="A99" s="1" t="s">
        <v>3837</v>
      </c>
      <c r="B99" s="19">
        <v>46182</v>
      </c>
      <c r="C99" s="1" t="s">
        <v>486</v>
      </c>
      <c r="D99" s="1" t="s">
        <v>21</v>
      </c>
      <c r="E99" s="1" t="s">
        <v>166</v>
      </c>
      <c r="F99" s="1">
        <v>5528</v>
      </c>
      <c r="G99" s="1" t="s">
        <v>352</v>
      </c>
      <c r="H99" s="1" t="s">
        <v>79</v>
      </c>
      <c r="I99" s="1" t="s">
        <v>3720</v>
      </c>
      <c r="J99" s="1" t="s">
        <v>3838</v>
      </c>
    </row>
    <row r="100" spans="1:10" x14ac:dyDescent="0.25">
      <c r="A100" s="1" t="s">
        <v>3839</v>
      </c>
      <c r="B100" s="19">
        <v>46182</v>
      </c>
      <c r="C100" s="1" t="s">
        <v>487</v>
      </c>
      <c r="D100" s="1" t="s">
        <v>21</v>
      </c>
      <c r="E100" s="1" t="s">
        <v>143</v>
      </c>
      <c r="F100" s="1">
        <v>5529</v>
      </c>
      <c r="G100" s="1" t="s">
        <v>345</v>
      </c>
      <c r="H100" s="1" t="s">
        <v>76</v>
      </c>
      <c r="I100" s="1" t="s">
        <v>3720</v>
      </c>
      <c r="J100" s="1" t="s">
        <v>78</v>
      </c>
    </row>
    <row r="101" spans="1:10" x14ac:dyDescent="0.25">
      <c r="A101" s="1" t="s">
        <v>3840</v>
      </c>
      <c r="B101" s="19">
        <v>46182</v>
      </c>
      <c r="C101" s="1" t="s">
        <v>487</v>
      </c>
      <c r="D101" s="1" t="s">
        <v>21</v>
      </c>
      <c r="E101" s="1" t="s">
        <v>143</v>
      </c>
      <c r="F101" s="1">
        <v>5529</v>
      </c>
      <c r="G101" s="1" t="s">
        <v>352</v>
      </c>
      <c r="H101" s="1" t="s">
        <v>79</v>
      </c>
      <c r="I101" s="1" t="s">
        <v>3720</v>
      </c>
      <c r="J101" s="1" t="s">
        <v>3838</v>
      </c>
    </row>
    <row r="102" spans="1:10" x14ac:dyDescent="0.25">
      <c r="A102" s="1" t="s">
        <v>3841</v>
      </c>
      <c r="B102" s="19">
        <v>46182</v>
      </c>
      <c r="C102" s="1" t="s">
        <v>488</v>
      </c>
      <c r="D102" s="1" t="s">
        <v>21</v>
      </c>
      <c r="E102" s="1" t="s">
        <v>227</v>
      </c>
      <c r="F102" s="1">
        <v>5530</v>
      </c>
      <c r="G102" s="1" t="s">
        <v>345</v>
      </c>
      <c r="H102" s="1" t="s">
        <v>76</v>
      </c>
      <c r="I102" s="1" t="s">
        <v>3720</v>
      </c>
      <c r="J102" s="1" t="s">
        <v>78</v>
      </c>
    </row>
    <row r="103" spans="1:10" x14ac:dyDescent="0.25">
      <c r="A103" s="1" t="s">
        <v>3842</v>
      </c>
      <c r="B103" s="19">
        <v>46182</v>
      </c>
      <c r="C103" s="1" t="s">
        <v>488</v>
      </c>
      <c r="D103" s="1" t="s">
        <v>21</v>
      </c>
      <c r="E103" s="1" t="s">
        <v>227</v>
      </c>
      <c r="F103" s="1">
        <v>5530</v>
      </c>
      <c r="G103" s="1" t="s">
        <v>352</v>
      </c>
      <c r="H103" s="1" t="s">
        <v>79</v>
      </c>
      <c r="I103" s="1" t="s">
        <v>3720</v>
      </c>
      <c r="J103" s="1" t="s">
        <v>3838</v>
      </c>
    </row>
    <row r="104" spans="1:10" x14ac:dyDescent="0.25">
      <c r="A104" s="1" t="s">
        <v>3843</v>
      </c>
      <c r="B104" s="19">
        <v>46182</v>
      </c>
      <c r="C104" s="1" t="s">
        <v>489</v>
      </c>
      <c r="D104" s="1" t="s">
        <v>21</v>
      </c>
      <c r="E104" s="1" t="s">
        <v>229</v>
      </c>
      <c r="F104" s="1">
        <v>5531</v>
      </c>
      <c r="G104" s="1" t="s">
        <v>345</v>
      </c>
      <c r="H104" s="1" t="s">
        <v>76</v>
      </c>
      <c r="I104" s="1" t="s">
        <v>3720</v>
      </c>
      <c r="J104" s="1" t="s">
        <v>78</v>
      </c>
    </row>
    <row r="105" spans="1:10" x14ac:dyDescent="0.25">
      <c r="A105" s="1" t="s">
        <v>3844</v>
      </c>
      <c r="B105" s="19">
        <v>46182</v>
      </c>
      <c r="C105" s="1" t="s">
        <v>489</v>
      </c>
      <c r="D105" s="1" t="s">
        <v>21</v>
      </c>
      <c r="E105" s="1" t="s">
        <v>229</v>
      </c>
      <c r="F105" s="1">
        <v>5531</v>
      </c>
      <c r="G105" s="1" t="s">
        <v>352</v>
      </c>
      <c r="H105" s="1" t="s">
        <v>79</v>
      </c>
      <c r="I105" s="1" t="s">
        <v>3720</v>
      </c>
      <c r="J105" s="1" t="s">
        <v>3845</v>
      </c>
    </row>
    <row r="106" spans="1:10" x14ac:dyDescent="0.25">
      <c r="A106" s="1" t="s">
        <v>3846</v>
      </c>
      <c r="B106" s="19">
        <v>46182</v>
      </c>
      <c r="C106" s="1" t="s">
        <v>490</v>
      </c>
      <c r="D106" s="1" t="s">
        <v>21</v>
      </c>
      <c r="E106" s="1" t="s">
        <v>230</v>
      </c>
      <c r="F106" s="1">
        <v>5532</v>
      </c>
      <c r="G106" s="1" t="s">
        <v>345</v>
      </c>
      <c r="H106" s="1" t="s">
        <v>76</v>
      </c>
      <c r="I106" s="1" t="s">
        <v>3720</v>
      </c>
      <c r="J106" s="1" t="s">
        <v>78</v>
      </c>
    </row>
    <row r="107" spans="1:10" x14ac:dyDescent="0.25">
      <c r="A107" s="1" t="s">
        <v>3847</v>
      </c>
      <c r="B107" s="19">
        <v>46182</v>
      </c>
      <c r="C107" s="1" t="s">
        <v>490</v>
      </c>
      <c r="D107" s="1" t="s">
        <v>21</v>
      </c>
      <c r="E107" s="1" t="s">
        <v>230</v>
      </c>
      <c r="F107" s="1">
        <v>5532</v>
      </c>
      <c r="G107" s="1" t="s">
        <v>352</v>
      </c>
      <c r="H107" s="1" t="s">
        <v>79</v>
      </c>
      <c r="I107" s="1" t="s">
        <v>3720</v>
      </c>
      <c r="J107" s="1" t="s">
        <v>3838</v>
      </c>
    </row>
    <row r="108" spans="1:10" x14ac:dyDescent="0.25">
      <c r="A108" s="1" t="s">
        <v>3848</v>
      </c>
      <c r="B108" s="19">
        <v>46182</v>
      </c>
      <c r="C108" s="1" t="s">
        <v>492</v>
      </c>
      <c r="D108" s="1" t="s">
        <v>22</v>
      </c>
      <c r="E108" s="1" t="s">
        <v>81</v>
      </c>
      <c r="F108" s="1">
        <v>5534</v>
      </c>
      <c r="G108" s="1" t="s">
        <v>355</v>
      </c>
      <c r="H108" s="1" t="s">
        <v>76</v>
      </c>
      <c r="I108" s="1" t="s">
        <v>3720</v>
      </c>
      <c r="J108" s="1" t="s">
        <v>82</v>
      </c>
    </row>
    <row r="109" spans="1:10" x14ac:dyDescent="0.25">
      <c r="A109" s="1" t="s">
        <v>3849</v>
      </c>
      <c r="B109" s="19">
        <v>46182</v>
      </c>
      <c r="C109" s="1" t="s">
        <v>492</v>
      </c>
      <c r="D109" s="1" t="s">
        <v>22</v>
      </c>
      <c r="E109" s="1" t="s">
        <v>81</v>
      </c>
      <c r="F109" s="1">
        <v>5534</v>
      </c>
      <c r="G109" s="1" t="s">
        <v>345</v>
      </c>
      <c r="H109" s="1" t="s">
        <v>76</v>
      </c>
      <c r="I109" s="1" t="s">
        <v>3720</v>
      </c>
      <c r="J109" s="1" t="s">
        <v>78</v>
      </c>
    </row>
    <row r="110" spans="1:10" x14ac:dyDescent="0.25">
      <c r="A110" s="1" t="s">
        <v>3850</v>
      </c>
      <c r="B110" s="19">
        <v>46182</v>
      </c>
      <c r="C110" s="1" t="s">
        <v>492</v>
      </c>
      <c r="D110" s="1" t="s">
        <v>22</v>
      </c>
      <c r="E110" s="1" t="s">
        <v>81</v>
      </c>
      <c r="F110" s="1">
        <v>5534</v>
      </c>
      <c r="G110" s="1" t="s">
        <v>352</v>
      </c>
      <c r="H110" s="1" t="s">
        <v>79</v>
      </c>
      <c r="I110" s="1" t="s">
        <v>3720</v>
      </c>
      <c r="J110" s="1" t="s">
        <v>3838</v>
      </c>
    </row>
    <row r="111" spans="1:10" x14ac:dyDescent="0.25">
      <c r="A111" s="1" t="s">
        <v>3851</v>
      </c>
      <c r="B111" s="19">
        <v>46182</v>
      </c>
      <c r="C111" s="1" t="s">
        <v>493</v>
      </c>
      <c r="D111" s="1" t="s">
        <v>21</v>
      </c>
      <c r="E111" s="1" t="s">
        <v>232</v>
      </c>
      <c r="F111" s="1">
        <v>5535</v>
      </c>
      <c r="G111" s="1" t="s">
        <v>345</v>
      </c>
      <c r="H111" s="1" t="s">
        <v>76</v>
      </c>
      <c r="I111" s="1" t="s">
        <v>3720</v>
      </c>
      <c r="J111" s="1" t="s">
        <v>78</v>
      </c>
    </row>
    <row r="112" spans="1:10" x14ac:dyDescent="0.25">
      <c r="A112" s="1" t="s">
        <v>3852</v>
      </c>
      <c r="B112" s="19">
        <v>46182</v>
      </c>
      <c r="C112" s="1" t="s">
        <v>493</v>
      </c>
      <c r="D112" s="1" t="s">
        <v>21</v>
      </c>
      <c r="E112" s="1" t="s">
        <v>232</v>
      </c>
      <c r="F112" s="1">
        <v>5535</v>
      </c>
      <c r="G112" s="1" t="s">
        <v>352</v>
      </c>
      <c r="H112" s="1" t="s">
        <v>79</v>
      </c>
      <c r="I112" s="1" t="s">
        <v>3720</v>
      </c>
      <c r="J112" s="1" t="s">
        <v>3853</v>
      </c>
    </row>
    <row r="113" spans="1:10" x14ac:dyDescent="0.25">
      <c r="A113" s="1" t="s">
        <v>3854</v>
      </c>
      <c r="B113" s="19">
        <v>46182</v>
      </c>
      <c r="C113" s="1" t="s">
        <v>494</v>
      </c>
      <c r="D113" s="1" t="s">
        <v>21</v>
      </c>
      <c r="E113" s="1" t="s">
        <v>233</v>
      </c>
      <c r="F113" s="1">
        <v>5536</v>
      </c>
      <c r="G113" s="1" t="s">
        <v>355</v>
      </c>
      <c r="H113" s="1" t="s">
        <v>76</v>
      </c>
      <c r="I113" s="1" t="s">
        <v>3720</v>
      </c>
      <c r="J113" s="1" t="s">
        <v>82</v>
      </c>
    </row>
    <row r="114" spans="1:10" x14ac:dyDescent="0.25">
      <c r="A114" s="1" t="s">
        <v>3855</v>
      </c>
      <c r="B114" s="19">
        <v>46182</v>
      </c>
      <c r="C114" s="1" t="s">
        <v>494</v>
      </c>
      <c r="D114" s="1" t="s">
        <v>21</v>
      </c>
      <c r="E114" s="1" t="s">
        <v>233</v>
      </c>
      <c r="F114" s="1">
        <v>5536</v>
      </c>
      <c r="G114" s="1" t="s">
        <v>345</v>
      </c>
      <c r="H114" s="1" t="s">
        <v>76</v>
      </c>
      <c r="I114" s="1" t="s">
        <v>3720</v>
      </c>
      <c r="J114" s="1" t="s">
        <v>78</v>
      </c>
    </row>
    <row r="115" spans="1:10" x14ac:dyDescent="0.25">
      <c r="A115" s="1" t="s">
        <v>3856</v>
      </c>
      <c r="B115" s="19">
        <v>46182</v>
      </c>
      <c r="C115" s="1" t="s">
        <v>494</v>
      </c>
      <c r="D115" s="1" t="s">
        <v>21</v>
      </c>
      <c r="E115" s="1" t="s">
        <v>233</v>
      </c>
      <c r="F115" s="1">
        <v>5536</v>
      </c>
      <c r="G115" s="1" t="s">
        <v>352</v>
      </c>
      <c r="H115" s="1" t="s">
        <v>79</v>
      </c>
      <c r="I115" s="1" t="s">
        <v>3720</v>
      </c>
      <c r="J115" s="1" t="s">
        <v>3853</v>
      </c>
    </row>
    <row r="116" spans="1:10" x14ac:dyDescent="0.25">
      <c r="A116" s="1" t="s">
        <v>3857</v>
      </c>
      <c r="B116" s="19">
        <v>46182</v>
      </c>
      <c r="C116" s="1" t="s">
        <v>495</v>
      </c>
      <c r="D116" s="1" t="s">
        <v>21</v>
      </c>
      <c r="E116" s="1" t="s">
        <v>234</v>
      </c>
      <c r="F116" s="1">
        <v>5537</v>
      </c>
      <c r="G116" s="1" t="s">
        <v>355</v>
      </c>
      <c r="H116" s="1" t="s">
        <v>76</v>
      </c>
      <c r="I116" s="1" t="s">
        <v>3720</v>
      </c>
      <c r="J116" s="1" t="s">
        <v>82</v>
      </c>
    </row>
    <row r="117" spans="1:10" x14ac:dyDescent="0.25">
      <c r="A117" s="1" t="s">
        <v>3858</v>
      </c>
      <c r="B117" s="19">
        <v>46182</v>
      </c>
      <c r="C117" s="1" t="s">
        <v>495</v>
      </c>
      <c r="D117" s="1" t="s">
        <v>21</v>
      </c>
      <c r="E117" s="1" t="s">
        <v>234</v>
      </c>
      <c r="F117" s="1">
        <v>5537</v>
      </c>
      <c r="G117" s="1" t="s">
        <v>345</v>
      </c>
      <c r="H117" s="1" t="s">
        <v>76</v>
      </c>
      <c r="I117" s="1" t="s">
        <v>3720</v>
      </c>
      <c r="J117" s="1" t="s">
        <v>78</v>
      </c>
    </row>
    <row r="118" spans="1:10" x14ac:dyDescent="0.25">
      <c r="A118" s="1" t="s">
        <v>3859</v>
      </c>
      <c r="B118" s="19">
        <v>46182</v>
      </c>
      <c r="C118" s="1" t="s">
        <v>495</v>
      </c>
      <c r="D118" s="1" t="s">
        <v>21</v>
      </c>
      <c r="E118" s="1" t="s">
        <v>234</v>
      </c>
      <c r="F118" s="1">
        <v>5537</v>
      </c>
      <c r="G118" s="1" t="s">
        <v>352</v>
      </c>
      <c r="H118" s="1" t="s">
        <v>79</v>
      </c>
      <c r="I118" s="1" t="s">
        <v>3720</v>
      </c>
      <c r="J118" s="1" t="s">
        <v>3860</v>
      </c>
    </row>
    <row r="119" spans="1:10" x14ac:dyDescent="0.25">
      <c r="A119" s="1" t="s">
        <v>3861</v>
      </c>
      <c r="B119" s="19">
        <v>46182</v>
      </c>
      <c r="C119" s="1" t="s">
        <v>496</v>
      </c>
      <c r="D119" s="1" t="s">
        <v>21</v>
      </c>
      <c r="E119" s="1" t="s">
        <v>235</v>
      </c>
      <c r="F119" s="1">
        <v>5538</v>
      </c>
      <c r="G119" s="1" t="s">
        <v>345</v>
      </c>
      <c r="H119" s="1" t="s">
        <v>76</v>
      </c>
      <c r="I119" s="1" t="s">
        <v>3720</v>
      </c>
      <c r="J119" s="1" t="s">
        <v>78</v>
      </c>
    </row>
    <row r="120" spans="1:10" x14ac:dyDescent="0.25">
      <c r="A120" s="1" t="s">
        <v>3862</v>
      </c>
      <c r="B120" s="19">
        <v>46182</v>
      </c>
      <c r="C120" s="1" t="s">
        <v>496</v>
      </c>
      <c r="D120" s="1" t="s">
        <v>21</v>
      </c>
      <c r="E120" s="1" t="s">
        <v>235</v>
      </c>
      <c r="F120" s="1">
        <v>5538</v>
      </c>
      <c r="G120" s="1" t="s">
        <v>352</v>
      </c>
      <c r="H120" s="1" t="s">
        <v>79</v>
      </c>
      <c r="I120" s="1" t="s">
        <v>3720</v>
      </c>
      <c r="J120" s="1" t="s">
        <v>3860</v>
      </c>
    </row>
    <row r="121" spans="1:10" x14ac:dyDescent="0.25">
      <c r="A121" s="1" t="s">
        <v>3863</v>
      </c>
      <c r="B121" s="19">
        <v>46182</v>
      </c>
      <c r="C121" s="1" t="s">
        <v>497</v>
      </c>
      <c r="D121" s="1" t="s">
        <v>21</v>
      </c>
      <c r="E121" s="1" t="s">
        <v>236</v>
      </c>
      <c r="F121" s="1">
        <v>5539</v>
      </c>
      <c r="G121" s="1" t="s">
        <v>345</v>
      </c>
      <c r="H121" s="1" t="s">
        <v>76</v>
      </c>
      <c r="I121" s="1" t="s">
        <v>3720</v>
      </c>
      <c r="J121" s="1" t="s">
        <v>78</v>
      </c>
    </row>
    <row r="122" spans="1:10" x14ac:dyDescent="0.25">
      <c r="A122" s="1" t="s">
        <v>3864</v>
      </c>
      <c r="B122" s="19">
        <v>46182</v>
      </c>
      <c r="C122" s="1" t="s">
        <v>497</v>
      </c>
      <c r="D122" s="1" t="s">
        <v>21</v>
      </c>
      <c r="E122" s="1" t="s">
        <v>236</v>
      </c>
      <c r="F122" s="1">
        <v>5539</v>
      </c>
      <c r="G122" s="1" t="s">
        <v>352</v>
      </c>
      <c r="H122" s="1" t="s">
        <v>79</v>
      </c>
      <c r="I122" s="1" t="s">
        <v>3720</v>
      </c>
      <c r="J122" s="1" t="s">
        <v>3865</v>
      </c>
    </row>
    <row r="123" spans="1:10" x14ac:dyDescent="0.25">
      <c r="A123" s="1" t="s">
        <v>3866</v>
      </c>
      <c r="B123" s="19">
        <v>46182</v>
      </c>
      <c r="C123" s="1" t="s">
        <v>498</v>
      </c>
      <c r="D123" s="1" t="s">
        <v>21</v>
      </c>
      <c r="E123" s="1" t="s">
        <v>237</v>
      </c>
      <c r="F123" s="1">
        <v>5540</v>
      </c>
      <c r="G123" s="1" t="s">
        <v>345</v>
      </c>
      <c r="H123" s="1" t="s">
        <v>76</v>
      </c>
      <c r="I123" s="1" t="s">
        <v>3720</v>
      </c>
      <c r="J123" s="1" t="s">
        <v>78</v>
      </c>
    </row>
    <row r="124" spans="1:10" x14ac:dyDescent="0.25">
      <c r="A124" s="1" t="s">
        <v>3867</v>
      </c>
      <c r="B124" s="19">
        <v>46182</v>
      </c>
      <c r="C124" s="1" t="s">
        <v>498</v>
      </c>
      <c r="D124" s="1" t="s">
        <v>21</v>
      </c>
      <c r="E124" s="1" t="s">
        <v>237</v>
      </c>
      <c r="F124" s="1">
        <v>5540</v>
      </c>
      <c r="G124" s="1" t="s">
        <v>3868</v>
      </c>
      <c r="H124" s="1" t="s">
        <v>76</v>
      </c>
      <c r="I124" s="1" t="s">
        <v>3720</v>
      </c>
      <c r="J124" s="1" t="s">
        <v>3869</v>
      </c>
    </row>
    <row r="125" spans="1:10" x14ac:dyDescent="0.25">
      <c r="A125" s="1" t="s">
        <v>3870</v>
      </c>
      <c r="B125" s="19">
        <v>46182</v>
      </c>
      <c r="C125" s="1" t="s">
        <v>499</v>
      </c>
      <c r="D125" s="1" t="s">
        <v>21</v>
      </c>
      <c r="E125" s="1" t="s">
        <v>238</v>
      </c>
      <c r="F125" s="1">
        <v>5541</v>
      </c>
      <c r="G125" s="1" t="s">
        <v>345</v>
      </c>
      <c r="H125" s="1" t="s">
        <v>76</v>
      </c>
      <c r="I125" s="1" t="s">
        <v>3720</v>
      </c>
      <c r="J125" s="1" t="s">
        <v>78</v>
      </c>
    </row>
    <row r="126" spans="1:10" x14ac:dyDescent="0.25">
      <c r="A126" s="1" t="s">
        <v>3871</v>
      </c>
      <c r="B126" s="19">
        <v>46182</v>
      </c>
      <c r="C126" s="1" t="s">
        <v>499</v>
      </c>
      <c r="D126" s="1" t="s">
        <v>21</v>
      </c>
      <c r="E126" s="1" t="s">
        <v>238</v>
      </c>
      <c r="F126" s="1">
        <v>5541</v>
      </c>
      <c r="G126" s="1" t="s">
        <v>3868</v>
      </c>
      <c r="H126" s="1" t="s">
        <v>76</v>
      </c>
      <c r="I126" s="1" t="s">
        <v>3720</v>
      </c>
      <c r="J126" s="1" t="s">
        <v>3869</v>
      </c>
    </row>
    <row r="127" spans="1:10" x14ac:dyDescent="0.25">
      <c r="A127" s="1" t="s">
        <v>3872</v>
      </c>
      <c r="B127" s="19">
        <v>46182</v>
      </c>
      <c r="C127" s="1" t="s">
        <v>500</v>
      </c>
      <c r="D127" s="1" t="s">
        <v>22</v>
      </c>
      <c r="E127" s="1" t="s">
        <v>181</v>
      </c>
      <c r="F127" s="1">
        <v>5543</v>
      </c>
      <c r="G127" s="1" t="s">
        <v>345</v>
      </c>
      <c r="H127" s="1" t="s">
        <v>76</v>
      </c>
      <c r="I127" s="1" t="s">
        <v>3720</v>
      </c>
      <c r="J127" s="1" t="s">
        <v>78</v>
      </c>
    </row>
    <row r="128" spans="1:10" x14ac:dyDescent="0.25">
      <c r="A128" s="1" t="s">
        <v>3873</v>
      </c>
      <c r="B128" s="19">
        <v>46182</v>
      </c>
      <c r="C128" s="1" t="s">
        <v>500</v>
      </c>
      <c r="D128" s="1" t="s">
        <v>22</v>
      </c>
      <c r="E128" s="1" t="s">
        <v>181</v>
      </c>
      <c r="F128" s="1">
        <v>5543</v>
      </c>
      <c r="G128" s="1" t="s">
        <v>3868</v>
      </c>
      <c r="H128" s="1" t="s">
        <v>76</v>
      </c>
      <c r="I128" s="1" t="s">
        <v>3720</v>
      </c>
      <c r="J128" s="1" t="s">
        <v>3874</v>
      </c>
    </row>
    <row r="129" spans="1:10" x14ac:dyDescent="0.25">
      <c r="A129" s="1" t="s">
        <v>3875</v>
      </c>
      <c r="B129" s="19">
        <v>46182</v>
      </c>
      <c r="C129" s="1" t="s">
        <v>501</v>
      </c>
      <c r="D129" s="1" t="s">
        <v>22</v>
      </c>
      <c r="E129" s="1" t="s">
        <v>240</v>
      </c>
      <c r="F129" s="1">
        <v>5544</v>
      </c>
      <c r="G129" s="1" t="s">
        <v>355</v>
      </c>
      <c r="H129" s="1" t="s">
        <v>76</v>
      </c>
      <c r="I129" s="1" t="s">
        <v>3720</v>
      </c>
      <c r="J129" s="1" t="s">
        <v>82</v>
      </c>
    </row>
    <row r="130" spans="1:10" x14ac:dyDescent="0.25">
      <c r="A130" s="1" t="s">
        <v>3876</v>
      </c>
      <c r="B130" s="19">
        <v>46182</v>
      </c>
      <c r="C130" s="1" t="s">
        <v>501</v>
      </c>
      <c r="D130" s="1" t="s">
        <v>22</v>
      </c>
      <c r="E130" s="1" t="s">
        <v>240</v>
      </c>
      <c r="F130" s="1">
        <v>5544</v>
      </c>
      <c r="G130" s="1" t="s">
        <v>345</v>
      </c>
      <c r="H130" s="1" t="s">
        <v>76</v>
      </c>
      <c r="I130" s="1" t="s">
        <v>3720</v>
      </c>
      <c r="J130" s="1" t="s">
        <v>78</v>
      </c>
    </row>
    <row r="131" spans="1:10" x14ac:dyDescent="0.25">
      <c r="A131" s="1" t="s">
        <v>3877</v>
      </c>
      <c r="B131" s="19">
        <v>46182</v>
      </c>
      <c r="C131" s="1" t="s">
        <v>501</v>
      </c>
      <c r="D131" s="1" t="s">
        <v>22</v>
      </c>
      <c r="E131" s="1" t="s">
        <v>240</v>
      </c>
      <c r="F131" s="1">
        <v>5544</v>
      </c>
      <c r="G131" s="1" t="s">
        <v>3868</v>
      </c>
      <c r="H131" s="1" t="s">
        <v>76</v>
      </c>
      <c r="I131" s="1" t="s">
        <v>3720</v>
      </c>
      <c r="J131" s="1" t="s">
        <v>3874</v>
      </c>
    </row>
    <row r="132" spans="1:10" x14ac:dyDescent="0.25">
      <c r="A132" s="1" t="s">
        <v>3878</v>
      </c>
      <c r="B132" s="19">
        <v>46182</v>
      </c>
      <c r="C132" s="1" t="s">
        <v>502</v>
      </c>
      <c r="D132" s="1" t="s">
        <v>21</v>
      </c>
      <c r="E132" s="1" t="s">
        <v>241</v>
      </c>
      <c r="F132" s="1">
        <v>5545</v>
      </c>
      <c r="G132" s="1" t="s">
        <v>355</v>
      </c>
      <c r="H132" s="1" t="s">
        <v>76</v>
      </c>
      <c r="I132" s="1" t="s">
        <v>3720</v>
      </c>
      <c r="J132" s="1" t="s">
        <v>82</v>
      </c>
    </row>
    <row r="133" spans="1:10" x14ac:dyDescent="0.25">
      <c r="A133" s="1" t="s">
        <v>3879</v>
      </c>
      <c r="B133" s="19">
        <v>46182</v>
      </c>
      <c r="C133" s="1" t="s">
        <v>502</v>
      </c>
      <c r="D133" s="1" t="s">
        <v>21</v>
      </c>
      <c r="E133" s="1" t="s">
        <v>241</v>
      </c>
      <c r="F133" s="1">
        <v>5545</v>
      </c>
      <c r="G133" s="1" t="s">
        <v>345</v>
      </c>
      <c r="H133" s="1" t="s">
        <v>76</v>
      </c>
      <c r="I133" s="1" t="s">
        <v>3720</v>
      </c>
      <c r="J133" s="1" t="s">
        <v>78</v>
      </c>
    </row>
    <row r="134" spans="1:10" x14ac:dyDescent="0.25">
      <c r="A134" s="1" t="s">
        <v>3880</v>
      </c>
      <c r="B134" s="19">
        <v>46182</v>
      </c>
      <c r="C134" s="1" t="s">
        <v>502</v>
      </c>
      <c r="D134" s="1" t="s">
        <v>21</v>
      </c>
      <c r="E134" s="1" t="s">
        <v>241</v>
      </c>
      <c r="F134" s="1">
        <v>5545</v>
      </c>
      <c r="G134" s="1" t="s">
        <v>3868</v>
      </c>
      <c r="H134" s="1" t="s">
        <v>76</v>
      </c>
      <c r="I134" s="1" t="s">
        <v>3720</v>
      </c>
      <c r="J134" s="1" t="s">
        <v>3874</v>
      </c>
    </row>
    <row r="135" spans="1:10" x14ac:dyDescent="0.25">
      <c r="A135" s="1" t="s">
        <v>3881</v>
      </c>
      <c r="B135" s="19">
        <v>46182</v>
      </c>
      <c r="C135" s="1" t="s">
        <v>504</v>
      </c>
      <c r="D135" s="1" t="s">
        <v>21</v>
      </c>
      <c r="E135" s="1" t="s">
        <v>242</v>
      </c>
      <c r="F135" s="1">
        <v>5547</v>
      </c>
      <c r="G135" s="1" t="s">
        <v>355</v>
      </c>
      <c r="H135" s="1" t="s">
        <v>76</v>
      </c>
      <c r="I135" s="1" t="s">
        <v>3720</v>
      </c>
      <c r="J135" s="1" t="s">
        <v>82</v>
      </c>
    </row>
    <row r="136" spans="1:10" x14ac:dyDescent="0.25">
      <c r="A136" s="1" t="s">
        <v>3882</v>
      </c>
      <c r="B136" s="19">
        <v>46182</v>
      </c>
      <c r="C136" s="1" t="s">
        <v>504</v>
      </c>
      <c r="D136" s="1" t="s">
        <v>21</v>
      </c>
      <c r="E136" s="1" t="s">
        <v>242</v>
      </c>
      <c r="F136" s="1">
        <v>5547</v>
      </c>
      <c r="G136" s="1" t="s">
        <v>345</v>
      </c>
      <c r="H136" s="1" t="s">
        <v>76</v>
      </c>
      <c r="I136" s="1" t="s">
        <v>3720</v>
      </c>
      <c r="J136" s="1" t="s">
        <v>78</v>
      </c>
    </row>
    <row r="137" spans="1:10" x14ac:dyDescent="0.25">
      <c r="A137" s="1" t="s">
        <v>3883</v>
      </c>
      <c r="B137" s="19">
        <v>46182</v>
      </c>
      <c r="C137" s="1" t="s">
        <v>504</v>
      </c>
      <c r="D137" s="1" t="s">
        <v>21</v>
      </c>
      <c r="E137" s="1" t="s">
        <v>242</v>
      </c>
      <c r="F137" s="1">
        <v>5547</v>
      </c>
      <c r="G137" s="1" t="s">
        <v>3868</v>
      </c>
      <c r="H137" s="1" t="s">
        <v>76</v>
      </c>
      <c r="I137" s="1" t="s">
        <v>3720</v>
      </c>
      <c r="J137" s="1" t="s">
        <v>3874</v>
      </c>
    </row>
    <row r="138" spans="1:10" x14ac:dyDescent="0.25">
      <c r="A138" s="1" t="s">
        <v>3884</v>
      </c>
      <c r="B138" s="19">
        <v>46182</v>
      </c>
      <c r="C138" s="1" t="s">
        <v>505</v>
      </c>
      <c r="D138" s="1" t="s">
        <v>21</v>
      </c>
      <c r="E138" s="1" t="s">
        <v>81</v>
      </c>
      <c r="F138" s="1">
        <v>5548</v>
      </c>
      <c r="G138" s="1" t="s">
        <v>355</v>
      </c>
      <c r="H138" s="1" t="s">
        <v>76</v>
      </c>
      <c r="I138" s="1" t="s">
        <v>3720</v>
      </c>
      <c r="J138" s="1" t="s">
        <v>82</v>
      </c>
    </row>
    <row r="139" spans="1:10" x14ac:dyDescent="0.25">
      <c r="A139" s="1" t="s">
        <v>3885</v>
      </c>
      <c r="B139" s="19">
        <v>46182</v>
      </c>
      <c r="C139" s="1" t="s">
        <v>505</v>
      </c>
      <c r="D139" s="1" t="s">
        <v>21</v>
      </c>
      <c r="E139" s="1" t="s">
        <v>81</v>
      </c>
      <c r="F139" s="1">
        <v>5548</v>
      </c>
      <c r="G139" s="1" t="s">
        <v>345</v>
      </c>
      <c r="H139" s="1" t="s">
        <v>76</v>
      </c>
      <c r="I139" s="1" t="s">
        <v>3720</v>
      </c>
      <c r="J139" s="1" t="s">
        <v>78</v>
      </c>
    </row>
    <row r="140" spans="1:10" x14ac:dyDescent="0.25">
      <c r="A140" s="1" t="s">
        <v>3886</v>
      </c>
      <c r="B140" s="19">
        <v>46182</v>
      </c>
      <c r="C140" s="1" t="s">
        <v>505</v>
      </c>
      <c r="D140" s="1" t="s">
        <v>21</v>
      </c>
      <c r="E140" s="1" t="s">
        <v>81</v>
      </c>
      <c r="F140" s="1">
        <v>5548</v>
      </c>
      <c r="G140" s="1" t="s">
        <v>3868</v>
      </c>
      <c r="H140" s="1" t="s">
        <v>76</v>
      </c>
      <c r="I140" s="1" t="s">
        <v>3720</v>
      </c>
      <c r="J140" s="1" t="s">
        <v>3874</v>
      </c>
    </row>
    <row r="141" spans="1:10" x14ac:dyDescent="0.25">
      <c r="A141" s="1" t="s">
        <v>3887</v>
      </c>
      <c r="B141" s="19">
        <v>46182</v>
      </c>
      <c r="C141" s="1" t="s">
        <v>506</v>
      </c>
      <c r="D141" s="1" t="s">
        <v>21</v>
      </c>
      <c r="E141" s="1" t="s">
        <v>245</v>
      </c>
      <c r="F141" s="1">
        <v>5549</v>
      </c>
      <c r="G141" s="1" t="s">
        <v>345</v>
      </c>
      <c r="H141" s="1" t="s">
        <v>76</v>
      </c>
      <c r="I141" s="1" t="s">
        <v>3720</v>
      </c>
      <c r="J141" s="1" t="s">
        <v>78</v>
      </c>
    </row>
    <row r="142" spans="1:10" x14ac:dyDescent="0.25">
      <c r="A142" s="1" t="s">
        <v>3888</v>
      </c>
      <c r="B142" s="19">
        <v>46182</v>
      </c>
      <c r="C142" s="1" t="s">
        <v>506</v>
      </c>
      <c r="D142" s="1" t="s">
        <v>21</v>
      </c>
      <c r="E142" s="1" t="s">
        <v>245</v>
      </c>
      <c r="F142" s="1">
        <v>5549</v>
      </c>
      <c r="G142" s="1" t="s">
        <v>3868</v>
      </c>
      <c r="H142" s="1" t="s">
        <v>76</v>
      </c>
      <c r="I142" s="1" t="s">
        <v>3720</v>
      </c>
      <c r="J142" s="1" t="s">
        <v>3889</v>
      </c>
    </row>
    <row r="143" spans="1:10" x14ac:dyDescent="0.25">
      <c r="A143" s="1" t="s">
        <v>3890</v>
      </c>
      <c r="B143" s="19">
        <v>46182</v>
      </c>
      <c r="C143" s="1" t="s">
        <v>507</v>
      </c>
      <c r="D143" s="1" t="s">
        <v>22</v>
      </c>
      <c r="E143" s="1" t="s">
        <v>81</v>
      </c>
      <c r="F143" s="1">
        <v>5550</v>
      </c>
      <c r="G143" s="1" t="s">
        <v>345</v>
      </c>
      <c r="H143" s="1" t="s">
        <v>76</v>
      </c>
      <c r="I143" s="1" t="s">
        <v>3720</v>
      </c>
      <c r="J143" s="1" t="s">
        <v>78</v>
      </c>
    </row>
    <row r="144" spans="1:10" x14ac:dyDescent="0.25">
      <c r="A144" s="1" t="s">
        <v>3891</v>
      </c>
      <c r="B144" s="19">
        <v>46182</v>
      </c>
      <c r="C144" s="1" t="s">
        <v>507</v>
      </c>
      <c r="D144" s="1" t="s">
        <v>22</v>
      </c>
      <c r="E144" s="1" t="s">
        <v>81</v>
      </c>
      <c r="F144" s="1">
        <v>5550</v>
      </c>
      <c r="G144" s="1" t="s">
        <v>3868</v>
      </c>
      <c r="H144" s="1" t="s">
        <v>76</v>
      </c>
      <c r="I144" s="1" t="s">
        <v>3720</v>
      </c>
      <c r="J144" s="1" t="s">
        <v>3892</v>
      </c>
    </row>
    <row r="145" spans="1:10" x14ac:dyDescent="0.25">
      <c r="A145" s="1" t="s">
        <v>3893</v>
      </c>
      <c r="B145" s="19">
        <v>46182</v>
      </c>
      <c r="C145" s="1" t="s">
        <v>508</v>
      </c>
      <c r="D145" s="1" t="s">
        <v>21</v>
      </c>
      <c r="E145" s="1" t="s">
        <v>246</v>
      </c>
      <c r="F145" s="1">
        <v>5551</v>
      </c>
      <c r="G145" s="1" t="s">
        <v>345</v>
      </c>
      <c r="H145" s="1" t="s">
        <v>76</v>
      </c>
      <c r="I145" s="1" t="s">
        <v>3720</v>
      </c>
      <c r="J145" s="1" t="s">
        <v>78</v>
      </c>
    </row>
    <row r="146" spans="1:10" x14ac:dyDescent="0.25">
      <c r="A146" s="1" t="s">
        <v>3894</v>
      </c>
      <c r="B146" s="19">
        <v>46182</v>
      </c>
      <c r="C146" s="1" t="s">
        <v>508</v>
      </c>
      <c r="D146" s="1" t="s">
        <v>21</v>
      </c>
      <c r="E146" s="1" t="s">
        <v>246</v>
      </c>
      <c r="F146" s="1">
        <v>5551</v>
      </c>
      <c r="G146" s="1" t="s">
        <v>3868</v>
      </c>
      <c r="H146" s="1" t="s">
        <v>76</v>
      </c>
      <c r="I146" s="1" t="s">
        <v>3720</v>
      </c>
      <c r="J146" s="1" t="s">
        <v>3895</v>
      </c>
    </row>
    <row r="147" spans="1:10" x14ac:dyDescent="0.25">
      <c r="A147" s="1" t="s">
        <v>3896</v>
      </c>
      <c r="B147" s="19">
        <v>46182</v>
      </c>
      <c r="C147" s="1" t="s">
        <v>509</v>
      </c>
      <c r="D147" s="1" t="s">
        <v>21</v>
      </c>
      <c r="E147" s="1" t="s">
        <v>247</v>
      </c>
      <c r="F147" s="1">
        <v>5552</v>
      </c>
      <c r="G147" s="1" t="s">
        <v>345</v>
      </c>
      <c r="H147" s="1" t="s">
        <v>76</v>
      </c>
      <c r="I147" s="1" t="s">
        <v>3720</v>
      </c>
      <c r="J147" s="1" t="s">
        <v>78</v>
      </c>
    </row>
    <row r="148" spans="1:10" x14ac:dyDescent="0.25">
      <c r="A148" s="1" t="s">
        <v>3897</v>
      </c>
      <c r="B148" s="19">
        <v>46182</v>
      </c>
      <c r="C148" s="1" t="s">
        <v>509</v>
      </c>
      <c r="D148" s="1" t="s">
        <v>21</v>
      </c>
      <c r="E148" s="1" t="s">
        <v>247</v>
      </c>
      <c r="F148" s="1">
        <v>5552</v>
      </c>
      <c r="G148" s="1" t="s">
        <v>3868</v>
      </c>
      <c r="H148" s="1" t="s">
        <v>76</v>
      </c>
      <c r="I148" s="1" t="s">
        <v>3720</v>
      </c>
      <c r="J148" s="1" t="s">
        <v>3895</v>
      </c>
    </row>
    <row r="149" spans="1:10" x14ac:dyDescent="0.25">
      <c r="A149" s="1" t="s">
        <v>3898</v>
      </c>
      <c r="B149" s="19">
        <v>46182</v>
      </c>
      <c r="C149" s="1" t="s">
        <v>510</v>
      </c>
      <c r="D149" s="1" t="s">
        <v>21</v>
      </c>
      <c r="E149" s="1" t="s">
        <v>248</v>
      </c>
      <c r="F149" s="1">
        <v>5553</v>
      </c>
      <c r="G149" s="1" t="s">
        <v>345</v>
      </c>
      <c r="H149" s="1" t="s">
        <v>76</v>
      </c>
      <c r="I149" s="1" t="s">
        <v>3720</v>
      </c>
      <c r="J149" s="1" t="s">
        <v>78</v>
      </c>
    </row>
    <row r="150" spans="1:10" x14ac:dyDescent="0.25">
      <c r="A150" s="1" t="s">
        <v>3899</v>
      </c>
      <c r="B150" s="19">
        <v>46182</v>
      </c>
      <c r="C150" s="1" t="s">
        <v>510</v>
      </c>
      <c r="D150" s="1" t="s">
        <v>21</v>
      </c>
      <c r="E150" s="1" t="s">
        <v>248</v>
      </c>
      <c r="F150" s="1">
        <v>5553</v>
      </c>
      <c r="G150" s="1" t="s">
        <v>3868</v>
      </c>
      <c r="H150" s="1" t="s">
        <v>76</v>
      </c>
      <c r="I150" s="1" t="s">
        <v>3720</v>
      </c>
      <c r="J150" s="1" t="s">
        <v>3895</v>
      </c>
    </row>
    <row r="151" spans="1:10" x14ac:dyDescent="0.25">
      <c r="A151" s="1" t="s">
        <v>3900</v>
      </c>
      <c r="B151" s="19">
        <v>46182</v>
      </c>
      <c r="C151" s="1" t="s">
        <v>511</v>
      </c>
      <c r="D151" s="1" t="s">
        <v>21</v>
      </c>
      <c r="E151" s="1" t="s">
        <v>249</v>
      </c>
      <c r="F151" s="1">
        <v>5554</v>
      </c>
      <c r="G151" s="1" t="s">
        <v>355</v>
      </c>
      <c r="H151" s="1" t="s">
        <v>76</v>
      </c>
      <c r="I151" s="1" t="s">
        <v>3720</v>
      </c>
      <c r="J151" s="1" t="s">
        <v>82</v>
      </c>
    </row>
    <row r="152" spans="1:10" x14ac:dyDescent="0.25">
      <c r="A152" s="1" t="s">
        <v>3901</v>
      </c>
      <c r="B152" s="19">
        <v>46182</v>
      </c>
      <c r="C152" s="1" t="s">
        <v>511</v>
      </c>
      <c r="D152" s="1" t="s">
        <v>21</v>
      </c>
      <c r="E152" s="1" t="s">
        <v>249</v>
      </c>
      <c r="F152" s="1">
        <v>5554</v>
      </c>
      <c r="G152" s="1" t="s">
        <v>345</v>
      </c>
      <c r="H152" s="1" t="s">
        <v>76</v>
      </c>
      <c r="I152" s="1" t="s">
        <v>3720</v>
      </c>
      <c r="J152" s="1" t="s">
        <v>78</v>
      </c>
    </row>
    <row r="153" spans="1:10" x14ac:dyDescent="0.25">
      <c r="A153" s="1" t="s">
        <v>3902</v>
      </c>
      <c r="B153" s="19">
        <v>46182</v>
      </c>
      <c r="C153" s="1" t="s">
        <v>511</v>
      </c>
      <c r="D153" s="1" t="s">
        <v>21</v>
      </c>
      <c r="E153" s="1" t="s">
        <v>249</v>
      </c>
      <c r="F153" s="1">
        <v>5554</v>
      </c>
      <c r="G153" s="1" t="s">
        <v>3868</v>
      </c>
      <c r="H153" s="1" t="s">
        <v>76</v>
      </c>
      <c r="I153" s="1" t="s">
        <v>3720</v>
      </c>
      <c r="J153" s="1" t="s">
        <v>3895</v>
      </c>
    </row>
    <row r="154" spans="1:10" x14ac:dyDescent="0.25">
      <c r="A154" s="1" t="s">
        <v>3903</v>
      </c>
      <c r="B154" s="19">
        <v>46182</v>
      </c>
      <c r="C154" s="1" t="s">
        <v>512</v>
      </c>
      <c r="D154" s="1" t="s">
        <v>22</v>
      </c>
      <c r="E154" s="1" t="s">
        <v>250</v>
      </c>
      <c r="F154" s="1">
        <v>5555</v>
      </c>
      <c r="G154" s="1" t="s">
        <v>345</v>
      </c>
      <c r="H154" s="1" t="s">
        <v>76</v>
      </c>
      <c r="I154" s="1" t="s">
        <v>3720</v>
      </c>
      <c r="J154" s="1" t="s">
        <v>78</v>
      </c>
    </row>
    <row r="155" spans="1:10" x14ac:dyDescent="0.25">
      <c r="A155" s="1" t="s">
        <v>3904</v>
      </c>
      <c r="B155" s="19">
        <v>46182</v>
      </c>
      <c r="C155" s="1" t="s">
        <v>512</v>
      </c>
      <c r="D155" s="1" t="s">
        <v>22</v>
      </c>
      <c r="E155" s="1" t="s">
        <v>250</v>
      </c>
      <c r="F155" s="1">
        <v>5555</v>
      </c>
      <c r="G155" s="1" t="s">
        <v>3868</v>
      </c>
      <c r="H155" s="1" t="s">
        <v>76</v>
      </c>
      <c r="I155" s="1" t="s">
        <v>3720</v>
      </c>
      <c r="J155" s="1" t="s">
        <v>3895</v>
      </c>
    </row>
    <row r="156" spans="1:10" x14ac:dyDescent="0.25">
      <c r="A156" s="1" t="s">
        <v>3905</v>
      </c>
      <c r="B156" s="19">
        <v>46182</v>
      </c>
      <c r="C156" s="1" t="s">
        <v>513</v>
      </c>
      <c r="D156" s="1" t="s">
        <v>22</v>
      </c>
      <c r="E156" s="1" t="s">
        <v>81</v>
      </c>
      <c r="F156" s="1">
        <v>5556</v>
      </c>
      <c r="G156" s="1" t="s">
        <v>345</v>
      </c>
      <c r="H156" s="1" t="s">
        <v>76</v>
      </c>
      <c r="I156" s="1" t="s">
        <v>3720</v>
      </c>
      <c r="J156" s="1" t="s">
        <v>78</v>
      </c>
    </row>
    <row r="157" spans="1:10" x14ac:dyDescent="0.25">
      <c r="A157" s="1" t="s">
        <v>3906</v>
      </c>
      <c r="B157" s="19">
        <v>46182</v>
      </c>
      <c r="C157" s="1" t="s">
        <v>513</v>
      </c>
      <c r="D157" s="1" t="s">
        <v>22</v>
      </c>
      <c r="E157" s="1" t="s">
        <v>81</v>
      </c>
      <c r="F157" s="1">
        <v>5556</v>
      </c>
      <c r="G157" s="1" t="s">
        <v>3868</v>
      </c>
      <c r="H157" s="1" t="s">
        <v>76</v>
      </c>
      <c r="I157" s="1" t="s">
        <v>3720</v>
      </c>
      <c r="J157" s="1" t="s">
        <v>3907</v>
      </c>
    </row>
    <row r="158" spans="1:10" x14ac:dyDescent="0.25">
      <c r="A158" s="1" t="s">
        <v>3908</v>
      </c>
      <c r="B158" s="19">
        <v>46182</v>
      </c>
      <c r="C158" s="1" t="s">
        <v>514</v>
      </c>
      <c r="D158" s="1" t="s">
        <v>21</v>
      </c>
      <c r="E158" s="1" t="s">
        <v>247</v>
      </c>
      <c r="F158" s="1">
        <v>5557</v>
      </c>
      <c r="G158" s="1" t="s">
        <v>345</v>
      </c>
      <c r="H158" s="1" t="s">
        <v>76</v>
      </c>
      <c r="I158" s="1" t="s">
        <v>3720</v>
      </c>
      <c r="J158" s="1" t="s">
        <v>78</v>
      </c>
    </row>
    <row r="159" spans="1:10" x14ac:dyDescent="0.25">
      <c r="A159" s="1" t="s">
        <v>3909</v>
      </c>
      <c r="B159" s="19">
        <v>46182</v>
      </c>
      <c r="C159" s="1" t="s">
        <v>514</v>
      </c>
      <c r="D159" s="1" t="s">
        <v>21</v>
      </c>
      <c r="E159" s="1" t="s">
        <v>247</v>
      </c>
      <c r="F159" s="1">
        <v>5557</v>
      </c>
      <c r="G159" s="1" t="s">
        <v>3868</v>
      </c>
      <c r="H159" s="1" t="s">
        <v>76</v>
      </c>
      <c r="I159" s="1" t="s">
        <v>3720</v>
      </c>
      <c r="J159" s="1" t="s">
        <v>3910</v>
      </c>
    </row>
    <row r="160" spans="1:10" x14ac:dyDescent="0.25">
      <c r="A160" s="1" t="s">
        <v>3911</v>
      </c>
      <c r="B160" s="19">
        <v>46182</v>
      </c>
      <c r="C160" s="1" t="s">
        <v>515</v>
      </c>
      <c r="D160" s="1" t="s">
        <v>21</v>
      </c>
      <c r="E160" s="1" t="s">
        <v>252</v>
      </c>
      <c r="F160" s="1">
        <v>5558</v>
      </c>
      <c r="G160" s="1" t="s">
        <v>345</v>
      </c>
      <c r="H160" s="1" t="s">
        <v>76</v>
      </c>
      <c r="I160" s="1" t="s">
        <v>3720</v>
      </c>
      <c r="J160" s="1" t="s">
        <v>78</v>
      </c>
    </row>
    <row r="161" spans="1:10" x14ac:dyDescent="0.25">
      <c r="A161" s="1" t="s">
        <v>3912</v>
      </c>
      <c r="B161" s="19">
        <v>46182</v>
      </c>
      <c r="C161" s="1" t="s">
        <v>515</v>
      </c>
      <c r="D161" s="1" t="s">
        <v>21</v>
      </c>
      <c r="E161" s="1" t="s">
        <v>252</v>
      </c>
      <c r="F161" s="1">
        <v>5558</v>
      </c>
      <c r="G161" s="1" t="s">
        <v>3868</v>
      </c>
      <c r="H161" s="1" t="s">
        <v>76</v>
      </c>
      <c r="I161" s="1" t="s">
        <v>3720</v>
      </c>
      <c r="J161" s="1" t="s">
        <v>3907</v>
      </c>
    </row>
    <row r="162" spans="1:10" x14ac:dyDescent="0.25">
      <c r="A162" s="1" t="s">
        <v>3913</v>
      </c>
      <c r="B162" s="19">
        <v>46182</v>
      </c>
      <c r="C162" s="1" t="s">
        <v>516</v>
      </c>
      <c r="D162" s="1" t="s">
        <v>21</v>
      </c>
      <c r="E162" s="1" t="s">
        <v>253</v>
      </c>
      <c r="F162" s="1">
        <v>5559</v>
      </c>
      <c r="G162" s="1" t="s">
        <v>345</v>
      </c>
      <c r="H162" s="1" t="s">
        <v>76</v>
      </c>
      <c r="I162" s="1" t="s">
        <v>3720</v>
      </c>
      <c r="J162" s="1" t="s">
        <v>78</v>
      </c>
    </row>
    <row r="163" spans="1:10" x14ac:dyDescent="0.25">
      <c r="A163" s="1" t="s">
        <v>3914</v>
      </c>
      <c r="B163" s="19">
        <v>46182</v>
      </c>
      <c r="C163" s="1" t="s">
        <v>516</v>
      </c>
      <c r="D163" s="1" t="s">
        <v>21</v>
      </c>
      <c r="E163" s="1" t="s">
        <v>253</v>
      </c>
      <c r="F163" s="1">
        <v>5559</v>
      </c>
      <c r="G163" s="1" t="s">
        <v>3868</v>
      </c>
      <c r="H163" s="1" t="s">
        <v>76</v>
      </c>
      <c r="I163" s="1" t="s">
        <v>3720</v>
      </c>
      <c r="J163" s="1" t="s">
        <v>3907</v>
      </c>
    </row>
    <row r="164" spans="1:10" x14ac:dyDescent="0.25">
      <c r="A164" s="1" t="s">
        <v>3915</v>
      </c>
      <c r="B164" s="19">
        <v>46182</v>
      </c>
      <c r="C164" s="1" t="s">
        <v>517</v>
      </c>
      <c r="D164" s="1" t="s">
        <v>21</v>
      </c>
      <c r="E164" s="1" t="s">
        <v>254</v>
      </c>
      <c r="F164" s="1">
        <v>5560</v>
      </c>
      <c r="G164" s="1" t="s">
        <v>345</v>
      </c>
      <c r="H164" s="1" t="s">
        <v>76</v>
      </c>
      <c r="I164" s="1" t="s">
        <v>3720</v>
      </c>
      <c r="J164" s="1" t="s">
        <v>78</v>
      </c>
    </row>
    <row r="165" spans="1:10" x14ac:dyDescent="0.25">
      <c r="A165" s="1" t="s">
        <v>3916</v>
      </c>
      <c r="B165" s="19">
        <v>46182</v>
      </c>
      <c r="C165" s="1" t="s">
        <v>517</v>
      </c>
      <c r="D165" s="1" t="s">
        <v>21</v>
      </c>
      <c r="E165" s="1" t="s">
        <v>254</v>
      </c>
      <c r="F165" s="1">
        <v>5560</v>
      </c>
      <c r="G165" s="1" t="s">
        <v>3868</v>
      </c>
      <c r="H165" s="1" t="s">
        <v>76</v>
      </c>
      <c r="I165" s="1" t="s">
        <v>3720</v>
      </c>
      <c r="J165" s="1" t="s">
        <v>3917</v>
      </c>
    </row>
    <row r="166" spans="1:10" x14ac:dyDescent="0.25">
      <c r="A166" s="1" t="s">
        <v>3918</v>
      </c>
      <c r="B166" s="19">
        <v>46182</v>
      </c>
      <c r="C166" s="1" t="s">
        <v>518</v>
      </c>
      <c r="D166" s="1" t="s">
        <v>21</v>
      </c>
      <c r="E166" s="1" t="s">
        <v>255</v>
      </c>
      <c r="F166" s="1">
        <v>5561</v>
      </c>
      <c r="G166" s="1" t="s">
        <v>345</v>
      </c>
      <c r="H166" s="1" t="s">
        <v>76</v>
      </c>
      <c r="I166" s="1" t="s">
        <v>3720</v>
      </c>
      <c r="J166" s="1" t="s">
        <v>78</v>
      </c>
    </row>
    <row r="167" spans="1:10" x14ac:dyDescent="0.25">
      <c r="A167" s="1" t="s">
        <v>3919</v>
      </c>
      <c r="B167" s="19">
        <v>46182</v>
      </c>
      <c r="C167" s="1" t="s">
        <v>518</v>
      </c>
      <c r="D167" s="1" t="s">
        <v>21</v>
      </c>
      <c r="E167" s="1" t="s">
        <v>255</v>
      </c>
      <c r="F167" s="1">
        <v>5561</v>
      </c>
      <c r="G167" s="1" t="s">
        <v>3868</v>
      </c>
      <c r="H167" s="1" t="s">
        <v>76</v>
      </c>
      <c r="I167" s="1" t="s">
        <v>3720</v>
      </c>
      <c r="J167" s="1" t="s">
        <v>3917</v>
      </c>
    </row>
    <row r="168" spans="1:10" x14ac:dyDescent="0.25">
      <c r="A168" s="1" t="s">
        <v>3920</v>
      </c>
      <c r="B168" s="19">
        <v>46182</v>
      </c>
      <c r="C168" s="1" t="s">
        <v>520</v>
      </c>
      <c r="D168" s="1" t="s">
        <v>21</v>
      </c>
      <c r="E168" s="1" t="s">
        <v>257</v>
      </c>
      <c r="F168" s="1">
        <v>5563</v>
      </c>
      <c r="G168" s="1" t="s">
        <v>345</v>
      </c>
      <c r="H168" s="1" t="s">
        <v>76</v>
      </c>
      <c r="I168" s="1" t="s">
        <v>3720</v>
      </c>
      <c r="J168" s="1" t="s">
        <v>78</v>
      </c>
    </row>
    <row r="169" spans="1:10" x14ac:dyDescent="0.25">
      <c r="A169" s="1" t="s">
        <v>3921</v>
      </c>
      <c r="B169" s="19">
        <v>46182</v>
      </c>
      <c r="C169" s="1" t="s">
        <v>520</v>
      </c>
      <c r="D169" s="1" t="s">
        <v>21</v>
      </c>
      <c r="E169" s="1" t="s">
        <v>257</v>
      </c>
      <c r="F169" s="1">
        <v>5563</v>
      </c>
      <c r="G169" s="1" t="s">
        <v>3868</v>
      </c>
      <c r="H169" s="1" t="s">
        <v>76</v>
      </c>
      <c r="I169" s="1" t="s">
        <v>3720</v>
      </c>
      <c r="J169" s="1" t="s">
        <v>3922</v>
      </c>
    </row>
    <row r="170" spans="1:10" x14ac:dyDescent="0.25">
      <c r="A170" s="1" t="s">
        <v>3923</v>
      </c>
      <c r="B170" s="19">
        <v>46182</v>
      </c>
      <c r="C170" s="1" t="s">
        <v>521</v>
      </c>
      <c r="D170" s="1" t="s">
        <v>22</v>
      </c>
      <c r="E170" s="1" t="s">
        <v>81</v>
      </c>
      <c r="F170" s="1">
        <v>5564</v>
      </c>
      <c r="G170" s="1" t="s">
        <v>355</v>
      </c>
      <c r="H170" s="1" t="s">
        <v>76</v>
      </c>
      <c r="I170" s="1" t="s">
        <v>3720</v>
      </c>
      <c r="J170" s="1" t="s">
        <v>82</v>
      </c>
    </row>
    <row r="171" spans="1:10" x14ac:dyDescent="0.25">
      <c r="A171" s="1" t="s">
        <v>3924</v>
      </c>
      <c r="B171" s="19">
        <v>46182</v>
      </c>
      <c r="C171" s="1" t="s">
        <v>521</v>
      </c>
      <c r="D171" s="1" t="s">
        <v>22</v>
      </c>
      <c r="E171" s="1" t="s">
        <v>81</v>
      </c>
      <c r="F171" s="1">
        <v>5564</v>
      </c>
      <c r="G171" s="1" t="s">
        <v>345</v>
      </c>
      <c r="H171" s="1" t="s">
        <v>76</v>
      </c>
      <c r="I171" s="1" t="s">
        <v>3720</v>
      </c>
      <c r="J171" s="1" t="s">
        <v>78</v>
      </c>
    </row>
    <row r="172" spans="1:10" x14ac:dyDescent="0.25">
      <c r="A172" s="1" t="s">
        <v>3925</v>
      </c>
      <c r="B172" s="19">
        <v>46182</v>
      </c>
      <c r="C172" s="1" t="s">
        <v>521</v>
      </c>
      <c r="D172" s="1" t="s">
        <v>22</v>
      </c>
      <c r="E172" s="1" t="s">
        <v>81</v>
      </c>
      <c r="F172" s="1">
        <v>5564</v>
      </c>
      <c r="G172" s="1" t="s">
        <v>3868</v>
      </c>
      <c r="H172" s="1" t="s">
        <v>76</v>
      </c>
      <c r="I172" s="1" t="s">
        <v>3720</v>
      </c>
      <c r="J172" s="1" t="s">
        <v>3922</v>
      </c>
    </row>
    <row r="173" spans="1:10" x14ac:dyDescent="0.25">
      <c r="A173" s="1" t="s">
        <v>3926</v>
      </c>
      <c r="B173" s="19">
        <v>46182</v>
      </c>
      <c r="C173" s="1" t="s">
        <v>522</v>
      </c>
      <c r="D173" s="1" t="s">
        <v>22</v>
      </c>
      <c r="E173" s="1" t="s">
        <v>258</v>
      </c>
      <c r="F173" s="1">
        <v>5565</v>
      </c>
      <c r="G173" s="1" t="s">
        <v>345</v>
      </c>
      <c r="H173" s="1" t="s">
        <v>76</v>
      </c>
      <c r="I173" s="1" t="s">
        <v>3720</v>
      </c>
      <c r="J173" s="1" t="s">
        <v>78</v>
      </c>
    </row>
    <row r="174" spans="1:10" x14ac:dyDescent="0.25">
      <c r="A174" s="1" t="s">
        <v>3927</v>
      </c>
      <c r="B174" s="19">
        <v>46182</v>
      </c>
      <c r="C174" s="1" t="s">
        <v>522</v>
      </c>
      <c r="D174" s="1" t="s">
        <v>22</v>
      </c>
      <c r="E174" s="1" t="s">
        <v>258</v>
      </c>
      <c r="F174" s="1">
        <v>5565</v>
      </c>
      <c r="G174" s="1" t="s">
        <v>3868</v>
      </c>
      <c r="H174" s="1" t="s">
        <v>76</v>
      </c>
      <c r="I174" s="1" t="s">
        <v>3720</v>
      </c>
      <c r="J174" s="1" t="s">
        <v>3928</v>
      </c>
    </row>
    <row r="175" spans="1:10" x14ac:dyDescent="0.25">
      <c r="A175" s="1" t="s">
        <v>3929</v>
      </c>
      <c r="B175" s="19">
        <v>46182</v>
      </c>
      <c r="C175" s="1" t="s">
        <v>523</v>
      </c>
      <c r="D175" s="1" t="s">
        <v>21</v>
      </c>
      <c r="E175" s="1" t="s">
        <v>259</v>
      </c>
      <c r="F175" s="1">
        <v>5566</v>
      </c>
      <c r="G175" s="1" t="s">
        <v>345</v>
      </c>
      <c r="H175" s="1" t="s">
        <v>76</v>
      </c>
      <c r="I175" s="1" t="s">
        <v>3720</v>
      </c>
      <c r="J175" s="1" t="s">
        <v>78</v>
      </c>
    </row>
    <row r="176" spans="1:10" x14ac:dyDescent="0.25">
      <c r="A176" s="1" t="s">
        <v>3930</v>
      </c>
      <c r="B176" s="19">
        <v>46182</v>
      </c>
      <c r="C176" s="1" t="s">
        <v>523</v>
      </c>
      <c r="D176" s="1" t="s">
        <v>21</v>
      </c>
      <c r="E176" s="1" t="s">
        <v>259</v>
      </c>
      <c r="F176" s="1">
        <v>5566</v>
      </c>
      <c r="G176" s="1" t="s">
        <v>3868</v>
      </c>
      <c r="H176" s="1" t="s">
        <v>76</v>
      </c>
      <c r="I176" s="1" t="s">
        <v>3720</v>
      </c>
      <c r="J176" s="1" t="s">
        <v>3928</v>
      </c>
    </row>
    <row r="177" spans="1:10" x14ac:dyDescent="0.25">
      <c r="A177" s="1" t="s">
        <v>3931</v>
      </c>
      <c r="B177" s="19">
        <v>46182</v>
      </c>
      <c r="C177" s="1" t="s">
        <v>524</v>
      </c>
      <c r="D177" s="1" t="s">
        <v>21</v>
      </c>
      <c r="E177" s="1" t="s">
        <v>260</v>
      </c>
      <c r="F177" s="1">
        <v>5567</v>
      </c>
      <c r="G177" s="1" t="s">
        <v>345</v>
      </c>
      <c r="H177" s="1" t="s">
        <v>76</v>
      </c>
      <c r="I177" s="1" t="s">
        <v>3720</v>
      </c>
      <c r="J177" s="1" t="s">
        <v>78</v>
      </c>
    </row>
    <row r="178" spans="1:10" x14ac:dyDescent="0.25">
      <c r="A178" s="1" t="s">
        <v>3932</v>
      </c>
      <c r="B178" s="19">
        <v>46182</v>
      </c>
      <c r="C178" s="1" t="s">
        <v>524</v>
      </c>
      <c r="D178" s="1" t="s">
        <v>21</v>
      </c>
      <c r="E178" s="1" t="s">
        <v>260</v>
      </c>
      <c r="F178" s="1">
        <v>5567</v>
      </c>
      <c r="G178" s="1" t="s">
        <v>3868</v>
      </c>
      <c r="H178" s="1" t="s">
        <v>76</v>
      </c>
      <c r="I178" s="1" t="s">
        <v>3720</v>
      </c>
      <c r="J178" s="1" t="s">
        <v>3928</v>
      </c>
    </row>
    <row r="179" spans="1:10" x14ac:dyDescent="0.25">
      <c r="A179" s="1" t="s">
        <v>3933</v>
      </c>
      <c r="B179" s="19">
        <v>46182</v>
      </c>
      <c r="C179" s="1" t="s">
        <v>525</v>
      </c>
      <c r="D179" s="1" t="s">
        <v>21</v>
      </c>
      <c r="E179" s="1" t="s">
        <v>261</v>
      </c>
      <c r="F179" s="1">
        <v>5568</v>
      </c>
      <c r="G179" s="1" t="s">
        <v>345</v>
      </c>
      <c r="H179" s="1" t="s">
        <v>76</v>
      </c>
      <c r="I179" s="1" t="s">
        <v>3720</v>
      </c>
      <c r="J179" s="1" t="s">
        <v>78</v>
      </c>
    </row>
    <row r="180" spans="1:10" x14ac:dyDescent="0.25">
      <c r="A180" s="1" t="s">
        <v>3934</v>
      </c>
      <c r="B180" s="19">
        <v>46182</v>
      </c>
      <c r="C180" s="1" t="s">
        <v>525</v>
      </c>
      <c r="D180" s="1" t="s">
        <v>21</v>
      </c>
      <c r="E180" s="1" t="s">
        <v>261</v>
      </c>
      <c r="F180" s="1">
        <v>5568</v>
      </c>
      <c r="G180" s="1" t="s">
        <v>3868</v>
      </c>
      <c r="H180" s="1" t="s">
        <v>76</v>
      </c>
      <c r="I180" s="1" t="s">
        <v>3720</v>
      </c>
      <c r="J180" s="1" t="s">
        <v>3928</v>
      </c>
    </row>
    <row r="181" spans="1:10" x14ac:dyDescent="0.25">
      <c r="A181" s="1" t="s">
        <v>3935</v>
      </c>
      <c r="B181" s="19">
        <v>46182</v>
      </c>
      <c r="C181" s="1" t="s">
        <v>526</v>
      </c>
      <c r="D181" s="1" t="s">
        <v>21</v>
      </c>
      <c r="E181" s="1" t="s">
        <v>262</v>
      </c>
      <c r="F181" s="1">
        <v>5569</v>
      </c>
      <c r="G181" s="1" t="s">
        <v>345</v>
      </c>
      <c r="H181" s="1" t="s">
        <v>76</v>
      </c>
      <c r="I181" s="1" t="s">
        <v>3720</v>
      </c>
      <c r="J181" s="1" t="s">
        <v>78</v>
      </c>
    </row>
    <row r="182" spans="1:10" x14ac:dyDescent="0.25">
      <c r="A182" s="1" t="s">
        <v>3936</v>
      </c>
      <c r="B182" s="19">
        <v>46182</v>
      </c>
      <c r="C182" s="1" t="s">
        <v>526</v>
      </c>
      <c r="D182" s="1" t="s">
        <v>21</v>
      </c>
      <c r="E182" s="1" t="s">
        <v>262</v>
      </c>
      <c r="F182" s="1">
        <v>5569</v>
      </c>
      <c r="G182" s="1" t="s">
        <v>3868</v>
      </c>
      <c r="H182" s="1" t="s">
        <v>76</v>
      </c>
      <c r="I182" s="1" t="s">
        <v>3720</v>
      </c>
      <c r="J182" s="1" t="s">
        <v>3937</v>
      </c>
    </row>
    <row r="183" spans="1:10" x14ac:dyDescent="0.25">
      <c r="A183" s="1" t="s">
        <v>3938</v>
      </c>
      <c r="B183" s="19">
        <v>46182</v>
      </c>
      <c r="C183" s="1" t="s">
        <v>528</v>
      </c>
      <c r="D183" s="1" t="s">
        <v>22</v>
      </c>
      <c r="E183" s="1" t="s">
        <v>81</v>
      </c>
      <c r="F183" s="1">
        <v>5571</v>
      </c>
      <c r="G183" s="1" t="s">
        <v>345</v>
      </c>
      <c r="H183" s="1" t="s">
        <v>76</v>
      </c>
      <c r="I183" s="1" t="s">
        <v>3720</v>
      </c>
      <c r="J183" s="1" t="s">
        <v>78</v>
      </c>
    </row>
    <row r="184" spans="1:10" x14ac:dyDescent="0.25">
      <c r="A184" s="1" t="s">
        <v>3939</v>
      </c>
      <c r="B184" s="19">
        <v>46182</v>
      </c>
      <c r="C184" s="1" t="s">
        <v>528</v>
      </c>
      <c r="D184" s="1" t="s">
        <v>22</v>
      </c>
      <c r="E184" s="1" t="s">
        <v>81</v>
      </c>
      <c r="F184" s="1">
        <v>5571</v>
      </c>
      <c r="G184" s="1" t="s">
        <v>3868</v>
      </c>
      <c r="H184" s="1" t="s">
        <v>76</v>
      </c>
      <c r="I184" s="1" t="s">
        <v>3720</v>
      </c>
      <c r="J184" s="1" t="s">
        <v>3937</v>
      </c>
    </row>
    <row r="185" spans="1:10" x14ac:dyDescent="0.25">
      <c r="A185" s="1" t="s">
        <v>3940</v>
      </c>
      <c r="B185" s="19">
        <v>46182</v>
      </c>
      <c r="C185" s="1" t="s">
        <v>529</v>
      </c>
      <c r="D185" s="1" t="s">
        <v>22</v>
      </c>
      <c r="E185" s="1" t="s">
        <v>265</v>
      </c>
      <c r="F185" s="1">
        <v>5572</v>
      </c>
      <c r="G185" s="1" t="s">
        <v>345</v>
      </c>
      <c r="H185" s="1" t="s">
        <v>76</v>
      </c>
      <c r="I185" s="1" t="s">
        <v>3720</v>
      </c>
      <c r="J185" s="1" t="s">
        <v>78</v>
      </c>
    </row>
    <row r="186" spans="1:10" x14ac:dyDescent="0.25">
      <c r="A186" s="1" t="s">
        <v>3941</v>
      </c>
      <c r="B186" s="19">
        <v>46182</v>
      </c>
      <c r="C186" s="1" t="s">
        <v>529</v>
      </c>
      <c r="D186" s="1" t="s">
        <v>22</v>
      </c>
      <c r="E186" s="1" t="s">
        <v>265</v>
      </c>
      <c r="F186" s="1">
        <v>5572</v>
      </c>
      <c r="G186" s="1" t="s">
        <v>3868</v>
      </c>
      <c r="H186" s="1" t="s">
        <v>76</v>
      </c>
      <c r="I186" s="1" t="s">
        <v>3720</v>
      </c>
      <c r="J186" s="1" t="s">
        <v>3937</v>
      </c>
    </row>
    <row r="187" spans="1:10" x14ac:dyDescent="0.25">
      <c r="A187" s="1" t="s">
        <v>3942</v>
      </c>
      <c r="B187" s="19">
        <v>46182</v>
      </c>
      <c r="C187" s="1" t="s">
        <v>530</v>
      </c>
      <c r="D187" s="1" t="s">
        <v>21</v>
      </c>
      <c r="E187" s="1" t="s">
        <v>81</v>
      </c>
      <c r="F187" s="1">
        <v>5573</v>
      </c>
      <c r="G187" s="1" t="s">
        <v>355</v>
      </c>
      <c r="H187" s="1" t="s">
        <v>76</v>
      </c>
      <c r="I187" s="1" t="s">
        <v>3720</v>
      </c>
      <c r="J187" s="1" t="s">
        <v>82</v>
      </c>
    </row>
    <row r="188" spans="1:10" x14ac:dyDescent="0.25">
      <c r="A188" s="1" t="s">
        <v>3943</v>
      </c>
      <c r="B188" s="19">
        <v>46182</v>
      </c>
      <c r="C188" s="1" t="s">
        <v>530</v>
      </c>
      <c r="D188" s="1" t="s">
        <v>21</v>
      </c>
      <c r="E188" s="1" t="s">
        <v>81</v>
      </c>
      <c r="F188" s="1">
        <v>5573</v>
      </c>
      <c r="G188" s="1" t="s">
        <v>345</v>
      </c>
      <c r="H188" s="1" t="s">
        <v>76</v>
      </c>
      <c r="I188" s="1" t="s">
        <v>3720</v>
      </c>
      <c r="J188" s="1" t="s">
        <v>78</v>
      </c>
    </row>
    <row r="189" spans="1:10" x14ac:dyDescent="0.25">
      <c r="A189" s="1" t="s">
        <v>3944</v>
      </c>
      <c r="B189" s="19">
        <v>46182</v>
      </c>
      <c r="C189" s="1" t="s">
        <v>530</v>
      </c>
      <c r="D189" s="1" t="s">
        <v>21</v>
      </c>
      <c r="E189" s="1" t="s">
        <v>81</v>
      </c>
      <c r="F189" s="1">
        <v>5573</v>
      </c>
      <c r="G189" s="1" t="s">
        <v>3868</v>
      </c>
      <c r="H189" s="1" t="s">
        <v>76</v>
      </c>
      <c r="I189" s="1" t="s">
        <v>3720</v>
      </c>
      <c r="J189" s="1" t="s">
        <v>3945</v>
      </c>
    </row>
    <row r="190" spans="1:10" x14ac:dyDescent="0.25">
      <c r="A190" s="1" t="s">
        <v>3946</v>
      </c>
      <c r="B190" s="19">
        <v>46182</v>
      </c>
      <c r="C190" s="1" t="s">
        <v>531</v>
      </c>
      <c r="D190" s="1" t="s">
        <v>22</v>
      </c>
      <c r="E190" s="1" t="s">
        <v>81</v>
      </c>
      <c r="F190" s="1">
        <v>5574</v>
      </c>
      <c r="G190" s="1" t="s">
        <v>355</v>
      </c>
      <c r="H190" s="1" t="s">
        <v>76</v>
      </c>
      <c r="I190" s="1" t="s">
        <v>3720</v>
      </c>
      <c r="J190" s="1" t="s">
        <v>82</v>
      </c>
    </row>
    <row r="191" spans="1:10" x14ac:dyDescent="0.25">
      <c r="A191" s="1" t="s">
        <v>3947</v>
      </c>
      <c r="B191" s="19">
        <v>46182</v>
      </c>
      <c r="C191" s="1" t="s">
        <v>531</v>
      </c>
      <c r="D191" s="1" t="s">
        <v>22</v>
      </c>
      <c r="E191" s="1" t="s">
        <v>81</v>
      </c>
      <c r="F191" s="1">
        <v>5574</v>
      </c>
      <c r="G191" s="1" t="s">
        <v>345</v>
      </c>
      <c r="H191" s="1" t="s">
        <v>76</v>
      </c>
      <c r="I191" s="1" t="s">
        <v>3720</v>
      </c>
      <c r="J191" s="1" t="s">
        <v>78</v>
      </c>
    </row>
    <row r="192" spans="1:10" x14ac:dyDescent="0.25">
      <c r="A192" s="1" t="s">
        <v>3948</v>
      </c>
      <c r="B192" s="19">
        <v>46182</v>
      </c>
      <c r="C192" s="1" t="s">
        <v>531</v>
      </c>
      <c r="D192" s="1" t="s">
        <v>22</v>
      </c>
      <c r="E192" s="1" t="s">
        <v>81</v>
      </c>
      <c r="F192" s="1">
        <v>5574</v>
      </c>
      <c r="G192" s="1" t="s">
        <v>3868</v>
      </c>
      <c r="H192" s="1" t="s">
        <v>76</v>
      </c>
      <c r="I192" s="1" t="s">
        <v>3720</v>
      </c>
      <c r="J192" s="1" t="s">
        <v>3949</v>
      </c>
    </row>
    <row r="193" spans="1:10" x14ac:dyDescent="0.25">
      <c r="A193" s="1" t="s">
        <v>3950</v>
      </c>
      <c r="B193" s="19">
        <v>46182</v>
      </c>
      <c r="C193" s="1" t="s">
        <v>532</v>
      </c>
      <c r="D193" s="1" t="s">
        <v>22</v>
      </c>
      <c r="E193" s="1" t="s">
        <v>266</v>
      </c>
      <c r="F193" s="1">
        <v>5575</v>
      </c>
      <c r="G193" s="1" t="s">
        <v>345</v>
      </c>
      <c r="H193" s="1" t="s">
        <v>76</v>
      </c>
      <c r="I193" s="1" t="s">
        <v>3720</v>
      </c>
      <c r="J193" s="1" t="s">
        <v>78</v>
      </c>
    </row>
    <row r="194" spans="1:10" x14ac:dyDescent="0.25">
      <c r="A194" s="1" t="s">
        <v>3951</v>
      </c>
      <c r="B194" s="19">
        <v>46182</v>
      </c>
      <c r="C194" s="1" t="s">
        <v>532</v>
      </c>
      <c r="D194" s="1" t="s">
        <v>22</v>
      </c>
      <c r="E194" s="1" t="s">
        <v>266</v>
      </c>
      <c r="F194" s="1">
        <v>5575</v>
      </c>
      <c r="G194" s="1" t="s">
        <v>3868</v>
      </c>
      <c r="H194" s="1" t="s">
        <v>76</v>
      </c>
      <c r="I194" s="1" t="s">
        <v>3720</v>
      </c>
      <c r="J194" s="1" t="s">
        <v>3949</v>
      </c>
    </row>
    <row r="195" spans="1:10" x14ac:dyDescent="0.25">
      <c r="A195" s="1" t="s">
        <v>3952</v>
      </c>
      <c r="B195" s="19">
        <v>46182</v>
      </c>
      <c r="C195" s="1" t="s">
        <v>534</v>
      </c>
      <c r="D195" s="1" t="s">
        <v>22</v>
      </c>
      <c r="E195" s="1" t="s">
        <v>268</v>
      </c>
      <c r="F195" s="1">
        <v>5577</v>
      </c>
      <c r="G195" s="1" t="s">
        <v>345</v>
      </c>
      <c r="H195" s="1" t="s">
        <v>76</v>
      </c>
      <c r="I195" s="1" t="s">
        <v>3720</v>
      </c>
      <c r="J195" s="1" t="s">
        <v>78</v>
      </c>
    </row>
    <row r="196" spans="1:10" x14ac:dyDescent="0.25">
      <c r="A196" s="1" t="s">
        <v>3953</v>
      </c>
      <c r="B196" s="19">
        <v>46182</v>
      </c>
      <c r="C196" s="1" t="s">
        <v>534</v>
      </c>
      <c r="D196" s="1" t="s">
        <v>22</v>
      </c>
      <c r="E196" s="1" t="s">
        <v>268</v>
      </c>
      <c r="F196" s="1">
        <v>5577</v>
      </c>
      <c r="G196" s="1" t="s">
        <v>3868</v>
      </c>
      <c r="H196" s="1" t="s">
        <v>76</v>
      </c>
      <c r="I196" s="1" t="s">
        <v>3720</v>
      </c>
      <c r="J196" s="1" t="s">
        <v>3954</v>
      </c>
    </row>
    <row r="197" spans="1:10" x14ac:dyDescent="0.25">
      <c r="A197" s="1" t="s">
        <v>3955</v>
      </c>
      <c r="B197" s="19">
        <v>46182</v>
      </c>
      <c r="C197" s="1" t="s">
        <v>535</v>
      </c>
      <c r="D197" s="1" t="s">
        <v>22</v>
      </c>
      <c r="E197" s="1" t="s">
        <v>250</v>
      </c>
      <c r="F197" s="1">
        <v>5578</v>
      </c>
      <c r="G197" s="1" t="s">
        <v>345</v>
      </c>
      <c r="H197" s="1" t="s">
        <v>76</v>
      </c>
      <c r="I197" s="1" t="s">
        <v>3720</v>
      </c>
      <c r="J197" s="1" t="s">
        <v>78</v>
      </c>
    </row>
    <row r="198" spans="1:10" x14ac:dyDescent="0.25">
      <c r="A198" s="1" t="s">
        <v>3956</v>
      </c>
      <c r="B198" s="19">
        <v>46182</v>
      </c>
      <c r="C198" s="1" t="s">
        <v>535</v>
      </c>
      <c r="D198" s="1" t="s">
        <v>22</v>
      </c>
      <c r="E198" s="1" t="s">
        <v>250</v>
      </c>
      <c r="F198" s="1">
        <v>5578</v>
      </c>
      <c r="G198" s="1" t="s">
        <v>3868</v>
      </c>
      <c r="H198" s="1" t="s">
        <v>76</v>
      </c>
      <c r="I198" s="1" t="s">
        <v>3720</v>
      </c>
      <c r="J198" s="1" t="s">
        <v>3954</v>
      </c>
    </row>
    <row r="199" spans="1:10" x14ac:dyDescent="0.25">
      <c r="A199" s="1" t="s">
        <v>3957</v>
      </c>
      <c r="B199" s="19">
        <v>46182</v>
      </c>
      <c r="C199" s="1" t="s">
        <v>537</v>
      </c>
      <c r="D199" s="1" t="s">
        <v>21</v>
      </c>
      <c r="E199" s="1" t="s">
        <v>269</v>
      </c>
      <c r="F199" s="1">
        <v>5580</v>
      </c>
      <c r="G199" s="1" t="s">
        <v>345</v>
      </c>
      <c r="H199" s="1" t="s">
        <v>76</v>
      </c>
      <c r="I199" s="1" t="s">
        <v>3720</v>
      </c>
      <c r="J199" s="1" t="s">
        <v>78</v>
      </c>
    </row>
    <row r="200" spans="1:10" x14ac:dyDescent="0.25">
      <c r="A200" s="1" t="s">
        <v>3958</v>
      </c>
      <c r="B200" s="19">
        <v>46182</v>
      </c>
      <c r="C200" s="1" t="s">
        <v>537</v>
      </c>
      <c r="D200" s="1" t="s">
        <v>21</v>
      </c>
      <c r="E200" s="1" t="s">
        <v>269</v>
      </c>
      <c r="F200" s="1">
        <v>5580</v>
      </c>
      <c r="G200" s="1" t="s">
        <v>3868</v>
      </c>
      <c r="H200" s="1" t="s">
        <v>76</v>
      </c>
      <c r="I200" s="1" t="s">
        <v>3720</v>
      </c>
      <c r="J200" s="1" t="s">
        <v>3959</v>
      </c>
    </row>
    <row r="201" spans="1:10" x14ac:dyDescent="0.25">
      <c r="A201" s="1" t="s">
        <v>3960</v>
      </c>
      <c r="B201" s="19">
        <v>46182</v>
      </c>
      <c r="C201" s="1" t="s">
        <v>538</v>
      </c>
      <c r="D201" s="1" t="s">
        <v>21</v>
      </c>
      <c r="E201" s="1" t="s">
        <v>81</v>
      </c>
      <c r="F201" s="1">
        <v>5581</v>
      </c>
      <c r="G201" s="1" t="s">
        <v>345</v>
      </c>
      <c r="H201" s="1" t="s">
        <v>76</v>
      </c>
      <c r="I201" s="1" t="s">
        <v>3720</v>
      </c>
      <c r="J201" s="1" t="s">
        <v>78</v>
      </c>
    </row>
    <row r="202" spans="1:10" x14ac:dyDescent="0.25">
      <c r="A202" s="1" t="s">
        <v>3961</v>
      </c>
      <c r="B202" s="19">
        <v>46182</v>
      </c>
      <c r="C202" s="1" t="s">
        <v>538</v>
      </c>
      <c r="D202" s="1" t="s">
        <v>21</v>
      </c>
      <c r="E202" s="1" t="s">
        <v>81</v>
      </c>
      <c r="F202" s="1">
        <v>5581</v>
      </c>
      <c r="G202" s="1" t="s">
        <v>3868</v>
      </c>
      <c r="H202" s="1" t="s">
        <v>76</v>
      </c>
      <c r="I202" s="1" t="s">
        <v>3720</v>
      </c>
      <c r="J202" s="1" t="s">
        <v>3959</v>
      </c>
    </row>
    <row r="203" spans="1:10" x14ac:dyDescent="0.25">
      <c r="A203" s="1" t="s">
        <v>3962</v>
      </c>
      <c r="B203" s="19">
        <v>46182</v>
      </c>
      <c r="C203" s="1" t="s">
        <v>540</v>
      </c>
      <c r="D203" s="1" t="s">
        <v>21</v>
      </c>
      <c r="E203" s="1" t="s">
        <v>271</v>
      </c>
      <c r="F203" s="1">
        <v>5583</v>
      </c>
      <c r="G203" s="1" t="s">
        <v>355</v>
      </c>
      <c r="H203" s="1" t="s">
        <v>76</v>
      </c>
      <c r="I203" s="1" t="s">
        <v>3720</v>
      </c>
      <c r="J203" s="1" t="s">
        <v>82</v>
      </c>
    </row>
    <row r="204" spans="1:10" x14ac:dyDescent="0.25">
      <c r="A204" s="1" t="s">
        <v>3963</v>
      </c>
      <c r="B204" s="19">
        <v>46182</v>
      </c>
      <c r="C204" s="1" t="s">
        <v>540</v>
      </c>
      <c r="D204" s="1" t="s">
        <v>21</v>
      </c>
      <c r="E204" s="1" t="s">
        <v>271</v>
      </c>
      <c r="F204" s="1">
        <v>5583</v>
      </c>
      <c r="G204" s="1" t="s">
        <v>345</v>
      </c>
      <c r="H204" s="1" t="s">
        <v>76</v>
      </c>
      <c r="I204" s="1" t="s">
        <v>3720</v>
      </c>
      <c r="J204" s="1" t="s">
        <v>78</v>
      </c>
    </row>
    <row r="205" spans="1:10" x14ac:dyDescent="0.25">
      <c r="A205" s="1" t="s">
        <v>3964</v>
      </c>
      <c r="B205" s="19">
        <v>46182</v>
      </c>
      <c r="C205" s="1" t="s">
        <v>540</v>
      </c>
      <c r="D205" s="1" t="s">
        <v>21</v>
      </c>
      <c r="E205" s="1" t="s">
        <v>271</v>
      </c>
      <c r="F205" s="1">
        <v>5583</v>
      </c>
      <c r="G205" s="1" t="s">
        <v>3868</v>
      </c>
      <c r="H205" s="1" t="s">
        <v>76</v>
      </c>
      <c r="I205" s="1" t="s">
        <v>3720</v>
      </c>
      <c r="J205" s="1" t="s">
        <v>3959</v>
      </c>
    </row>
    <row r="206" spans="1:10" x14ac:dyDescent="0.25">
      <c r="A206" s="1" t="s">
        <v>3965</v>
      </c>
      <c r="B206" s="19">
        <v>46182</v>
      </c>
      <c r="C206" s="1" t="s">
        <v>542</v>
      </c>
      <c r="D206" s="1" t="s">
        <v>21</v>
      </c>
      <c r="E206" s="1" t="s">
        <v>273</v>
      </c>
      <c r="F206" s="1">
        <v>5585</v>
      </c>
      <c r="G206" s="1" t="s">
        <v>345</v>
      </c>
      <c r="H206" s="1" t="s">
        <v>76</v>
      </c>
      <c r="I206" s="1" t="s">
        <v>3720</v>
      </c>
      <c r="J206" s="1" t="s">
        <v>78</v>
      </c>
    </row>
    <row r="207" spans="1:10" x14ac:dyDescent="0.25">
      <c r="A207" s="1" t="s">
        <v>3966</v>
      </c>
      <c r="B207" s="19">
        <v>46182</v>
      </c>
      <c r="C207" s="1" t="s">
        <v>542</v>
      </c>
      <c r="D207" s="1" t="s">
        <v>21</v>
      </c>
      <c r="E207" s="1" t="s">
        <v>273</v>
      </c>
      <c r="F207" s="1">
        <v>5585</v>
      </c>
      <c r="G207" s="1" t="s">
        <v>3868</v>
      </c>
      <c r="H207" s="1" t="s">
        <v>76</v>
      </c>
      <c r="I207" s="1" t="s">
        <v>3720</v>
      </c>
      <c r="J207" s="1" t="s">
        <v>3967</v>
      </c>
    </row>
    <row r="208" spans="1:10" x14ac:dyDescent="0.25">
      <c r="A208" s="1" t="s">
        <v>3968</v>
      </c>
      <c r="B208" s="19">
        <v>46182</v>
      </c>
      <c r="C208" s="1" t="s">
        <v>543</v>
      </c>
      <c r="D208" s="1" t="s">
        <v>21</v>
      </c>
      <c r="E208" s="1" t="s">
        <v>274</v>
      </c>
      <c r="F208" s="1">
        <v>5586</v>
      </c>
      <c r="G208" s="1" t="s">
        <v>345</v>
      </c>
      <c r="H208" s="1" t="s">
        <v>76</v>
      </c>
      <c r="I208" s="1" t="s">
        <v>3720</v>
      </c>
      <c r="J208" s="1" t="s">
        <v>78</v>
      </c>
    </row>
    <row r="209" spans="1:10" x14ac:dyDescent="0.25">
      <c r="A209" s="1" t="s">
        <v>3969</v>
      </c>
      <c r="B209" s="19">
        <v>46182</v>
      </c>
      <c r="C209" s="1" t="s">
        <v>543</v>
      </c>
      <c r="D209" s="1" t="s">
        <v>21</v>
      </c>
      <c r="E209" s="1" t="s">
        <v>274</v>
      </c>
      <c r="F209" s="1">
        <v>5586</v>
      </c>
      <c r="G209" s="1" t="s">
        <v>3868</v>
      </c>
      <c r="H209" s="1" t="s">
        <v>76</v>
      </c>
      <c r="I209" s="1" t="s">
        <v>3720</v>
      </c>
      <c r="J209" s="1" t="s">
        <v>3967</v>
      </c>
    </row>
    <row r="210" spans="1:10" x14ac:dyDescent="0.25">
      <c r="A210" s="1" t="s">
        <v>3970</v>
      </c>
      <c r="B210" s="19">
        <v>46182</v>
      </c>
      <c r="C210" s="1" t="s">
        <v>544</v>
      </c>
      <c r="D210" s="1" t="s">
        <v>21</v>
      </c>
      <c r="E210" s="1" t="s">
        <v>275</v>
      </c>
      <c r="F210" s="1">
        <v>5587</v>
      </c>
      <c r="G210" s="1" t="s">
        <v>345</v>
      </c>
      <c r="H210" s="1" t="s">
        <v>76</v>
      </c>
      <c r="I210" s="1" t="s">
        <v>3720</v>
      </c>
      <c r="J210" s="1" t="s">
        <v>78</v>
      </c>
    </row>
    <row r="211" spans="1:10" x14ac:dyDescent="0.25">
      <c r="A211" s="1" t="s">
        <v>3971</v>
      </c>
      <c r="B211" s="19">
        <v>46182</v>
      </c>
      <c r="C211" s="1" t="s">
        <v>544</v>
      </c>
      <c r="D211" s="1" t="s">
        <v>21</v>
      </c>
      <c r="E211" s="1" t="s">
        <v>275</v>
      </c>
      <c r="F211" s="1">
        <v>5587</v>
      </c>
      <c r="G211" s="1" t="s">
        <v>3868</v>
      </c>
      <c r="H211" s="1" t="s">
        <v>76</v>
      </c>
      <c r="I211" s="1" t="s">
        <v>3720</v>
      </c>
      <c r="J211" s="1" t="s">
        <v>3972</v>
      </c>
    </row>
    <row r="212" spans="1:10" x14ac:dyDescent="0.25">
      <c r="A212" s="1" t="s">
        <v>3973</v>
      </c>
      <c r="B212" s="19">
        <v>46182</v>
      </c>
      <c r="C212" s="1" t="s">
        <v>545</v>
      </c>
      <c r="D212" s="1" t="s">
        <v>21</v>
      </c>
      <c r="E212" s="1" t="s">
        <v>81</v>
      </c>
      <c r="F212" s="1">
        <v>5588</v>
      </c>
      <c r="G212" s="1" t="s">
        <v>355</v>
      </c>
      <c r="H212" s="1" t="s">
        <v>76</v>
      </c>
      <c r="I212" s="1" t="s">
        <v>3720</v>
      </c>
      <c r="J212" s="1" t="s">
        <v>82</v>
      </c>
    </row>
    <row r="213" spans="1:10" x14ac:dyDescent="0.25">
      <c r="A213" s="1" t="s">
        <v>3974</v>
      </c>
      <c r="B213" s="19">
        <v>46182</v>
      </c>
      <c r="C213" s="1" t="s">
        <v>545</v>
      </c>
      <c r="D213" s="1" t="s">
        <v>21</v>
      </c>
      <c r="E213" s="1" t="s">
        <v>81</v>
      </c>
      <c r="F213" s="1">
        <v>5588</v>
      </c>
      <c r="G213" s="1" t="s">
        <v>345</v>
      </c>
      <c r="H213" s="1" t="s">
        <v>76</v>
      </c>
      <c r="I213" s="1" t="s">
        <v>3720</v>
      </c>
      <c r="J213" s="1" t="s">
        <v>78</v>
      </c>
    </row>
    <row r="214" spans="1:10" x14ac:dyDescent="0.25">
      <c r="A214" s="1" t="s">
        <v>3975</v>
      </c>
      <c r="B214" s="19">
        <v>46182</v>
      </c>
      <c r="C214" s="1" t="s">
        <v>545</v>
      </c>
      <c r="D214" s="1" t="s">
        <v>21</v>
      </c>
      <c r="E214" s="1" t="s">
        <v>81</v>
      </c>
      <c r="F214" s="1">
        <v>5588</v>
      </c>
      <c r="G214" s="1" t="s">
        <v>3868</v>
      </c>
      <c r="H214" s="1" t="s">
        <v>76</v>
      </c>
      <c r="I214" s="1" t="s">
        <v>3720</v>
      </c>
      <c r="J214" s="1" t="s">
        <v>3972</v>
      </c>
    </row>
    <row r="215" spans="1:10" x14ac:dyDescent="0.25">
      <c r="A215" s="1" t="s">
        <v>3976</v>
      </c>
      <c r="B215" s="19">
        <v>46182</v>
      </c>
      <c r="C215" s="1" t="s">
        <v>546</v>
      </c>
      <c r="D215" s="1" t="s">
        <v>21</v>
      </c>
      <c r="E215" s="1" t="s">
        <v>81</v>
      </c>
      <c r="F215" s="1">
        <v>5593</v>
      </c>
      <c r="G215" s="1" t="s">
        <v>345</v>
      </c>
      <c r="H215" s="1" t="s">
        <v>76</v>
      </c>
      <c r="I215" s="1" t="s">
        <v>3720</v>
      </c>
      <c r="J215" s="1" t="s">
        <v>78</v>
      </c>
    </row>
    <row r="216" spans="1:10" x14ac:dyDescent="0.25">
      <c r="A216" s="1" t="s">
        <v>3977</v>
      </c>
      <c r="B216" s="19">
        <v>46182</v>
      </c>
      <c r="C216" s="1" t="s">
        <v>546</v>
      </c>
      <c r="D216" s="1" t="s">
        <v>21</v>
      </c>
      <c r="E216" s="1" t="s">
        <v>81</v>
      </c>
      <c r="F216" s="1">
        <v>5593</v>
      </c>
      <c r="G216" s="1" t="s">
        <v>3868</v>
      </c>
      <c r="H216" s="1" t="s">
        <v>76</v>
      </c>
      <c r="I216" s="1" t="s">
        <v>3720</v>
      </c>
      <c r="J216" s="1" t="s">
        <v>3972</v>
      </c>
    </row>
    <row r="217" spans="1:10" x14ac:dyDescent="0.25">
      <c r="A217" s="1" t="s">
        <v>3978</v>
      </c>
      <c r="B217" s="19">
        <v>46182</v>
      </c>
      <c r="C217" s="1" t="s">
        <v>547</v>
      </c>
      <c r="D217" s="1" t="s">
        <v>21</v>
      </c>
      <c r="E217" s="1" t="s">
        <v>278</v>
      </c>
      <c r="F217" s="1">
        <v>5590</v>
      </c>
      <c r="G217" s="1" t="s">
        <v>345</v>
      </c>
      <c r="H217" s="1" t="s">
        <v>76</v>
      </c>
      <c r="I217" s="1" t="s">
        <v>3720</v>
      </c>
      <c r="J217" s="1" t="s">
        <v>78</v>
      </c>
    </row>
    <row r="218" spans="1:10" x14ac:dyDescent="0.25">
      <c r="A218" s="1" t="s">
        <v>3979</v>
      </c>
      <c r="B218" s="19">
        <v>46182</v>
      </c>
      <c r="C218" s="1" t="s">
        <v>547</v>
      </c>
      <c r="D218" s="1" t="s">
        <v>21</v>
      </c>
      <c r="E218" s="1" t="s">
        <v>278</v>
      </c>
      <c r="F218" s="1">
        <v>5590</v>
      </c>
      <c r="G218" s="1" t="s">
        <v>3868</v>
      </c>
      <c r="H218" s="1" t="s">
        <v>76</v>
      </c>
      <c r="I218" s="1" t="s">
        <v>3720</v>
      </c>
      <c r="J218" s="1" t="s">
        <v>3980</v>
      </c>
    </row>
    <row r="219" spans="1:10" x14ac:dyDescent="0.25">
      <c r="A219" s="1" t="s">
        <v>3981</v>
      </c>
      <c r="B219" s="19">
        <v>46182</v>
      </c>
      <c r="C219" s="1" t="s">
        <v>548</v>
      </c>
      <c r="D219" s="1" t="s">
        <v>21</v>
      </c>
      <c r="E219" s="1" t="s">
        <v>279</v>
      </c>
      <c r="F219" s="1">
        <v>5591</v>
      </c>
      <c r="G219" s="1" t="s">
        <v>345</v>
      </c>
      <c r="H219" s="1" t="s">
        <v>76</v>
      </c>
      <c r="I219" s="1" t="s">
        <v>3720</v>
      </c>
      <c r="J219" s="1" t="s">
        <v>78</v>
      </c>
    </row>
    <row r="220" spans="1:10" x14ac:dyDescent="0.25">
      <c r="A220" s="1" t="s">
        <v>3982</v>
      </c>
      <c r="B220" s="19">
        <v>46182</v>
      </c>
      <c r="C220" s="1" t="s">
        <v>548</v>
      </c>
      <c r="D220" s="1" t="s">
        <v>21</v>
      </c>
      <c r="E220" s="1" t="s">
        <v>279</v>
      </c>
      <c r="F220" s="1">
        <v>5591</v>
      </c>
      <c r="G220" s="1" t="s">
        <v>3868</v>
      </c>
      <c r="H220" s="1" t="s">
        <v>76</v>
      </c>
      <c r="I220" s="1" t="s">
        <v>3720</v>
      </c>
      <c r="J220" s="1" t="s">
        <v>3980</v>
      </c>
    </row>
    <row r="221" spans="1:10" x14ac:dyDescent="0.25">
      <c r="A221" s="1" t="s">
        <v>3983</v>
      </c>
      <c r="B221" s="19">
        <v>46182</v>
      </c>
      <c r="C221" s="1" t="s">
        <v>549</v>
      </c>
      <c r="D221" s="1" t="s">
        <v>21</v>
      </c>
      <c r="E221" s="1" t="s">
        <v>270</v>
      </c>
      <c r="F221" s="1">
        <v>5592</v>
      </c>
      <c r="G221" s="1" t="s">
        <v>345</v>
      </c>
      <c r="H221" s="1" t="s">
        <v>76</v>
      </c>
      <c r="I221" s="1" t="s">
        <v>3720</v>
      </c>
      <c r="J221" s="1" t="s">
        <v>78</v>
      </c>
    </row>
    <row r="222" spans="1:10" x14ac:dyDescent="0.25">
      <c r="A222" s="1" t="s">
        <v>3984</v>
      </c>
      <c r="B222" s="19">
        <v>46182</v>
      </c>
      <c r="C222" s="1" t="s">
        <v>549</v>
      </c>
      <c r="D222" s="1" t="s">
        <v>21</v>
      </c>
      <c r="E222" s="1" t="s">
        <v>270</v>
      </c>
      <c r="F222" s="1">
        <v>5592</v>
      </c>
      <c r="G222" s="1" t="s">
        <v>3868</v>
      </c>
      <c r="H222" s="1" t="s">
        <v>76</v>
      </c>
      <c r="I222" s="1" t="s">
        <v>3720</v>
      </c>
      <c r="J222" s="1" t="s">
        <v>3980</v>
      </c>
    </row>
    <row r="223" spans="1:10" x14ac:dyDescent="0.25">
      <c r="A223" s="1" t="s">
        <v>3985</v>
      </c>
      <c r="B223" s="19">
        <v>46182</v>
      </c>
      <c r="C223" s="1" t="s">
        <v>550</v>
      </c>
      <c r="D223" s="1" t="s">
        <v>21</v>
      </c>
      <c r="E223" s="1" t="s">
        <v>81</v>
      </c>
      <c r="F223" s="1">
        <v>5593</v>
      </c>
      <c r="G223" s="1" t="s">
        <v>345</v>
      </c>
      <c r="H223" s="1" t="s">
        <v>76</v>
      </c>
      <c r="I223" s="1" t="s">
        <v>3720</v>
      </c>
      <c r="J223" s="1" t="s">
        <v>78</v>
      </c>
    </row>
    <row r="224" spans="1:10" x14ac:dyDescent="0.25">
      <c r="A224" s="1" t="s">
        <v>3986</v>
      </c>
      <c r="B224" s="19">
        <v>46182</v>
      </c>
      <c r="C224" s="1" t="s">
        <v>550</v>
      </c>
      <c r="D224" s="1" t="s">
        <v>21</v>
      </c>
      <c r="E224" s="1" t="s">
        <v>81</v>
      </c>
      <c r="F224" s="1">
        <v>5593</v>
      </c>
      <c r="G224" s="1" t="s">
        <v>3868</v>
      </c>
      <c r="H224" s="1" t="s">
        <v>76</v>
      </c>
      <c r="I224" s="1" t="s">
        <v>3720</v>
      </c>
      <c r="J224" s="1" t="s">
        <v>3980</v>
      </c>
    </row>
    <row r="225" spans="1:10" x14ac:dyDescent="0.25">
      <c r="A225" s="1" t="s">
        <v>3987</v>
      </c>
      <c r="B225" s="19">
        <v>46182</v>
      </c>
      <c r="C225" s="1" t="s">
        <v>551</v>
      </c>
      <c r="D225" s="1" t="s">
        <v>21</v>
      </c>
      <c r="E225" s="1" t="s">
        <v>81</v>
      </c>
      <c r="F225" s="1">
        <v>5594</v>
      </c>
      <c r="G225" s="1" t="s">
        <v>355</v>
      </c>
      <c r="H225" s="1" t="s">
        <v>76</v>
      </c>
      <c r="I225" s="1" t="s">
        <v>3720</v>
      </c>
      <c r="J225" s="1" t="s">
        <v>82</v>
      </c>
    </row>
    <row r="226" spans="1:10" x14ac:dyDescent="0.25">
      <c r="A226" s="1" t="s">
        <v>3988</v>
      </c>
      <c r="B226" s="19">
        <v>46182</v>
      </c>
      <c r="C226" s="1" t="s">
        <v>551</v>
      </c>
      <c r="D226" s="1" t="s">
        <v>21</v>
      </c>
      <c r="E226" s="1" t="s">
        <v>81</v>
      </c>
      <c r="F226" s="1">
        <v>5594</v>
      </c>
      <c r="G226" s="1" t="s">
        <v>345</v>
      </c>
      <c r="H226" s="1" t="s">
        <v>76</v>
      </c>
      <c r="I226" s="1" t="s">
        <v>3720</v>
      </c>
      <c r="J226" s="1" t="s">
        <v>78</v>
      </c>
    </row>
    <row r="227" spans="1:10" x14ac:dyDescent="0.25">
      <c r="A227" s="1" t="s">
        <v>3989</v>
      </c>
      <c r="B227" s="19">
        <v>46182</v>
      </c>
      <c r="C227" s="1" t="s">
        <v>551</v>
      </c>
      <c r="D227" s="1" t="s">
        <v>21</v>
      </c>
      <c r="E227" s="1" t="s">
        <v>81</v>
      </c>
      <c r="F227" s="1">
        <v>5594</v>
      </c>
      <c r="G227" s="1" t="s">
        <v>3868</v>
      </c>
      <c r="H227" s="1" t="s">
        <v>76</v>
      </c>
      <c r="I227" s="1" t="s">
        <v>3720</v>
      </c>
      <c r="J227" s="1" t="s">
        <v>3990</v>
      </c>
    </row>
    <row r="228" spans="1:10" x14ac:dyDescent="0.25">
      <c r="A228" s="1" t="s">
        <v>3991</v>
      </c>
      <c r="B228" s="19">
        <v>46182</v>
      </c>
      <c r="C228" s="1" t="s">
        <v>552</v>
      </c>
      <c r="D228" s="1" t="s">
        <v>22</v>
      </c>
      <c r="E228" s="1" t="s">
        <v>267</v>
      </c>
      <c r="F228" s="1">
        <v>5595</v>
      </c>
      <c r="G228" s="1" t="s">
        <v>345</v>
      </c>
      <c r="H228" s="1" t="s">
        <v>76</v>
      </c>
      <c r="I228" s="1" t="s">
        <v>3720</v>
      </c>
      <c r="J228" s="1" t="s">
        <v>78</v>
      </c>
    </row>
    <row r="229" spans="1:10" x14ac:dyDescent="0.25">
      <c r="A229" s="1" t="s">
        <v>3992</v>
      </c>
      <c r="B229" s="19">
        <v>46182</v>
      </c>
      <c r="C229" s="1" t="s">
        <v>552</v>
      </c>
      <c r="D229" s="1" t="s">
        <v>22</v>
      </c>
      <c r="E229" s="1" t="s">
        <v>267</v>
      </c>
      <c r="F229" s="1">
        <v>5595</v>
      </c>
      <c r="G229" s="1" t="s">
        <v>3868</v>
      </c>
      <c r="H229" s="1" t="s">
        <v>76</v>
      </c>
      <c r="I229" s="1" t="s">
        <v>3720</v>
      </c>
      <c r="J229" s="1" t="s">
        <v>3990</v>
      </c>
    </row>
    <row r="230" spans="1:10" x14ac:dyDescent="0.25">
      <c r="A230" s="1" t="s">
        <v>3993</v>
      </c>
      <c r="B230" s="19">
        <v>46182</v>
      </c>
      <c r="C230" s="1" t="s">
        <v>553</v>
      </c>
      <c r="D230" s="1" t="s">
        <v>22</v>
      </c>
      <c r="E230" s="1" t="s">
        <v>81</v>
      </c>
      <c r="F230" s="1">
        <v>5596</v>
      </c>
      <c r="G230" s="1" t="s">
        <v>355</v>
      </c>
      <c r="H230" s="1" t="s">
        <v>76</v>
      </c>
      <c r="I230" s="1" t="s">
        <v>3720</v>
      </c>
      <c r="J230" s="1" t="s">
        <v>82</v>
      </c>
    </row>
    <row r="231" spans="1:10" x14ac:dyDescent="0.25">
      <c r="A231" s="1" t="s">
        <v>3994</v>
      </c>
      <c r="B231" s="19">
        <v>46182</v>
      </c>
      <c r="C231" s="1" t="s">
        <v>553</v>
      </c>
      <c r="D231" s="1" t="s">
        <v>22</v>
      </c>
      <c r="E231" s="1" t="s">
        <v>81</v>
      </c>
      <c r="F231" s="1">
        <v>5596</v>
      </c>
      <c r="G231" s="1" t="s">
        <v>345</v>
      </c>
      <c r="H231" s="1" t="s">
        <v>76</v>
      </c>
      <c r="I231" s="1" t="s">
        <v>3720</v>
      </c>
      <c r="J231" s="1" t="s">
        <v>78</v>
      </c>
    </row>
    <row r="232" spans="1:10" x14ac:dyDescent="0.25">
      <c r="A232" s="1" t="s">
        <v>3995</v>
      </c>
      <c r="B232" s="19">
        <v>46182</v>
      </c>
      <c r="C232" s="1" t="s">
        <v>553</v>
      </c>
      <c r="D232" s="1" t="s">
        <v>22</v>
      </c>
      <c r="E232" s="1" t="s">
        <v>81</v>
      </c>
      <c r="F232" s="1">
        <v>5596</v>
      </c>
      <c r="G232" s="1" t="s">
        <v>3868</v>
      </c>
      <c r="H232" s="1" t="s">
        <v>76</v>
      </c>
      <c r="I232" s="1" t="s">
        <v>3720</v>
      </c>
      <c r="J232" s="1" t="s">
        <v>3996</v>
      </c>
    </row>
    <row r="233" spans="1:10" x14ac:dyDescent="0.25">
      <c r="A233" s="1" t="s">
        <v>3997</v>
      </c>
      <c r="B233" s="19">
        <v>46182</v>
      </c>
      <c r="C233" s="1" t="s">
        <v>554</v>
      </c>
      <c r="D233" s="1" t="s">
        <v>21</v>
      </c>
      <c r="E233" s="1" t="s">
        <v>283</v>
      </c>
      <c r="F233" s="1">
        <v>5597</v>
      </c>
      <c r="G233" s="1" t="s">
        <v>345</v>
      </c>
      <c r="H233" s="1" t="s">
        <v>76</v>
      </c>
      <c r="I233" s="1" t="s">
        <v>3720</v>
      </c>
      <c r="J233" s="1" t="s">
        <v>78</v>
      </c>
    </row>
    <row r="234" spans="1:10" x14ac:dyDescent="0.25">
      <c r="A234" s="1" t="s">
        <v>3998</v>
      </c>
      <c r="B234" s="19">
        <v>46182</v>
      </c>
      <c r="C234" s="1" t="s">
        <v>554</v>
      </c>
      <c r="D234" s="1" t="s">
        <v>21</v>
      </c>
      <c r="E234" s="1" t="s">
        <v>283</v>
      </c>
      <c r="F234" s="1">
        <v>5597</v>
      </c>
      <c r="G234" s="1" t="s">
        <v>3868</v>
      </c>
      <c r="H234" s="1" t="s">
        <v>76</v>
      </c>
      <c r="I234" s="1" t="s">
        <v>3720</v>
      </c>
      <c r="J234" s="1" t="s">
        <v>3999</v>
      </c>
    </row>
    <row r="235" spans="1:10" x14ac:dyDescent="0.25">
      <c r="A235" s="1" t="s">
        <v>4000</v>
      </c>
      <c r="B235" s="19">
        <v>46182</v>
      </c>
      <c r="C235" s="1" t="s">
        <v>555</v>
      </c>
      <c r="D235" s="1" t="s">
        <v>21</v>
      </c>
      <c r="E235" s="1" t="s">
        <v>284</v>
      </c>
      <c r="F235" s="1">
        <v>5598</v>
      </c>
      <c r="G235" s="1" t="s">
        <v>345</v>
      </c>
      <c r="H235" s="1" t="s">
        <v>76</v>
      </c>
      <c r="I235" s="1" t="s">
        <v>3720</v>
      </c>
      <c r="J235" s="1" t="s">
        <v>78</v>
      </c>
    </row>
    <row r="236" spans="1:10" x14ac:dyDescent="0.25">
      <c r="A236" s="1" t="s">
        <v>4001</v>
      </c>
      <c r="B236" s="19">
        <v>46182</v>
      </c>
      <c r="C236" s="1" t="s">
        <v>555</v>
      </c>
      <c r="D236" s="1" t="s">
        <v>21</v>
      </c>
      <c r="E236" s="1" t="s">
        <v>284</v>
      </c>
      <c r="F236" s="1">
        <v>5598</v>
      </c>
      <c r="G236" s="1" t="s">
        <v>3868</v>
      </c>
      <c r="H236" s="1" t="s">
        <v>76</v>
      </c>
      <c r="I236" s="1" t="s">
        <v>3720</v>
      </c>
      <c r="J236" s="1" t="s">
        <v>3999</v>
      </c>
    </row>
    <row r="237" spans="1:10" x14ac:dyDescent="0.25">
      <c r="A237" s="1" t="s">
        <v>4002</v>
      </c>
      <c r="B237" s="19">
        <v>46182</v>
      </c>
      <c r="C237" s="1" t="s">
        <v>556</v>
      </c>
      <c r="D237" s="1" t="s">
        <v>22</v>
      </c>
      <c r="E237" s="1" t="s">
        <v>286</v>
      </c>
      <c r="F237" s="1">
        <v>5599</v>
      </c>
      <c r="G237" s="1" t="s">
        <v>345</v>
      </c>
      <c r="H237" s="1" t="s">
        <v>76</v>
      </c>
      <c r="I237" s="1" t="s">
        <v>3720</v>
      </c>
      <c r="J237" s="1" t="s">
        <v>78</v>
      </c>
    </row>
    <row r="238" spans="1:10" x14ac:dyDescent="0.25">
      <c r="A238" s="1" t="s">
        <v>4003</v>
      </c>
      <c r="B238" s="19">
        <v>46182</v>
      </c>
      <c r="C238" s="1" t="s">
        <v>556</v>
      </c>
      <c r="D238" s="1" t="s">
        <v>22</v>
      </c>
      <c r="E238" s="1" t="s">
        <v>286</v>
      </c>
      <c r="F238" s="1">
        <v>5599</v>
      </c>
      <c r="G238" s="1" t="s">
        <v>3868</v>
      </c>
      <c r="H238" s="1" t="s">
        <v>76</v>
      </c>
      <c r="I238" s="1" t="s">
        <v>3720</v>
      </c>
      <c r="J238" s="1" t="s">
        <v>4004</v>
      </c>
    </row>
    <row r="239" spans="1:10" x14ac:dyDescent="0.25">
      <c r="A239" s="1" t="s">
        <v>4005</v>
      </c>
      <c r="B239" s="19">
        <v>46182</v>
      </c>
      <c r="C239" s="1" t="s">
        <v>557</v>
      </c>
      <c r="D239" s="1" t="s">
        <v>21</v>
      </c>
      <c r="E239" s="1" t="s">
        <v>81</v>
      </c>
      <c r="F239" s="1">
        <v>5600</v>
      </c>
      <c r="G239" s="1" t="s">
        <v>355</v>
      </c>
      <c r="H239" s="1" t="s">
        <v>76</v>
      </c>
      <c r="I239" s="1" t="s">
        <v>3720</v>
      </c>
      <c r="J239" s="1" t="s">
        <v>82</v>
      </c>
    </row>
    <row r="240" spans="1:10" x14ac:dyDescent="0.25">
      <c r="A240" s="1" t="s">
        <v>4006</v>
      </c>
      <c r="B240" s="19">
        <v>46182</v>
      </c>
      <c r="C240" s="1" t="s">
        <v>557</v>
      </c>
      <c r="D240" s="1" t="s">
        <v>21</v>
      </c>
      <c r="E240" s="1" t="s">
        <v>81</v>
      </c>
      <c r="F240" s="1">
        <v>5600</v>
      </c>
      <c r="G240" s="1" t="s">
        <v>345</v>
      </c>
      <c r="H240" s="1" t="s">
        <v>76</v>
      </c>
      <c r="I240" s="1" t="s">
        <v>3720</v>
      </c>
      <c r="J240" s="1" t="s">
        <v>78</v>
      </c>
    </row>
    <row r="241" spans="1:10" x14ac:dyDescent="0.25">
      <c r="A241" s="1" t="s">
        <v>4007</v>
      </c>
      <c r="B241" s="19">
        <v>46182</v>
      </c>
      <c r="C241" s="1" t="s">
        <v>557</v>
      </c>
      <c r="D241" s="1" t="s">
        <v>21</v>
      </c>
      <c r="E241" s="1" t="s">
        <v>81</v>
      </c>
      <c r="F241" s="1">
        <v>5600</v>
      </c>
      <c r="G241" s="1" t="s">
        <v>3868</v>
      </c>
      <c r="H241" s="1" t="s">
        <v>76</v>
      </c>
      <c r="I241" s="1" t="s">
        <v>3720</v>
      </c>
      <c r="J241" s="1" t="s">
        <v>4004</v>
      </c>
    </row>
    <row r="242" spans="1:10" x14ac:dyDescent="0.25">
      <c r="A242" s="1" t="s">
        <v>4008</v>
      </c>
      <c r="B242" s="19">
        <v>46182</v>
      </c>
      <c r="C242" s="1" t="s">
        <v>558</v>
      </c>
      <c r="D242" s="1" t="s">
        <v>22</v>
      </c>
      <c r="E242" s="1" t="s">
        <v>247</v>
      </c>
      <c r="F242" s="1">
        <v>5601</v>
      </c>
      <c r="G242" s="1" t="s">
        <v>345</v>
      </c>
      <c r="H242" s="1" t="s">
        <v>76</v>
      </c>
      <c r="I242" s="1" t="s">
        <v>3720</v>
      </c>
      <c r="J242" s="1" t="s">
        <v>78</v>
      </c>
    </row>
    <row r="243" spans="1:10" x14ac:dyDescent="0.25">
      <c r="A243" s="1" t="s">
        <v>4009</v>
      </c>
      <c r="B243" s="19">
        <v>46182</v>
      </c>
      <c r="C243" s="1" t="s">
        <v>558</v>
      </c>
      <c r="D243" s="1" t="s">
        <v>22</v>
      </c>
      <c r="E243" s="1" t="s">
        <v>247</v>
      </c>
      <c r="F243" s="1">
        <v>5601</v>
      </c>
      <c r="G243" s="1" t="s">
        <v>3868</v>
      </c>
      <c r="H243" s="1" t="s">
        <v>76</v>
      </c>
      <c r="I243" s="1" t="s">
        <v>3720</v>
      </c>
      <c r="J243" s="1" t="s">
        <v>4010</v>
      </c>
    </row>
    <row r="244" spans="1:10" x14ac:dyDescent="0.25">
      <c r="A244" s="1" t="s">
        <v>4011</v>
      </c>
      <c r="B244" s="19">
        <v>46182</v>
      </c>
      <c r="C244" s="1" t="s">
        <v>559</v>
      </c>
      <c r="D244" s="1" t="s">
        <v>21</v>
      </c>
      <c r="E244" s="1" t="s">
        <v>81</v>
      </c>
      <c r="F244" s="1">
        <v>5602</v>
      </c>
      <c r="G244" s="1" t="s">
        <v>355</v>
      </c>
      <c r="H244" s="1" t="s">
        <v>76</v>
      </c>
      <c r="I244" s="1" t="s">
        <v>3720</v>
      </c>
      <c r="J244" s="1" t="s">
        <v>82</v>
      </c>
    </row>
    <row r="245" spans="1:10" x14ac:dyDescent="0.25">
      <c r="A245" s="1" t="s">
        <v>4012</v>
      </c>
      <c r="B245" s="19">
        <v>46182</v>
      </c>
      <c r="C245" s="1" t="s">
        <v>559</v>
      </c>
      <c r="D245" s="1" t="s">
        <v>21</v>
      </c>
      <c r="E245" s="1" t="s">
        <v>81</v>
      </c>
      <c r="F245" s="1">
        <v>5602</v>
      </c>
      <c r="G245" s="1" t="s">
        <v>345</v>
      </c>
      <c r="H245" s="1" t="s">
        <v>76</v>
      </c>
      <c r="I245" s="1" t="s">
        <v>3720</v>
      </c>
      <c r="J245" s="1" t="s">
        <v>78</v>
      </c>
    </row>
    <row r="246" spans="1:10" x14ac:dyDescent="0.25">
      <c r="A246" s="1" t="s">
        <v>4013</v>
      </c>
      <c r="B246" s="19">
        <v>46182</v>
      </c>
      <c r="C246" s="1" t="s">
        <v>559</v>
      </c>
      <c r="D246" s="1" t="s">
        <v>21</v>
      </c>
      <c r="E246" s="1" t="s">
        <v>81</v>
      </c>
      <c r="F246" s="1">
        <v>5602</v>
      </c>
      <c r="G246" s="1" t="s">
        <v>3868</v>
      </c>
      <c r="H246" s="1" t="s">
        <v>76</v>
      </c>
      <c r="I246" s="1" t="s">
        <v>3720</v>
      </c>
      <c r="J246" s="1" t="s">
        <v>4010</v>
      </c>
    </row>
    <row r="247" spans="1:10" x14ac:dyDescent="0.25">
      <c r="A247" s="1" t="s">
        <v>4014</v>
      </c>
      <c r="B247" s="19">
        <v>46182</v>
      </c>
      <c r="C247" s="1" t="s">
        <v>560</v>
      </c>
      <c r="D247" s="1" t="s">
        <v>22</v>
      </c>
      <c r="E247" s="1" t="s">
        <v>225</v>
      </c>
      <c r="F247" s="1">
        <v>5603</v>
      </c>
      <c r="G247" s="1" t="s">
        <v>345</v>
      </c>
      <c r="H247" s="1" t="s">
        <v>76</v>
      </c>
      <c r="I247" s="1" t="s">
        <v>3720</v>
      </c>
      <c r="J247" s="1" t="s">
        <v>78</v>
      </c>
    </row>
    <row r="248" spans="1:10" x14ac:dyDescent="0.25">
      <c r="A248" s="1" t="s">
        <v>4015</v>
      </c>
      <c r="B248" s="19">
        <v>46182</v>
      </c>
      <c r="C248" s="1" t="s">
        <v>560</v>
      </c>
      <c r="D248" s="1" t="s">
        <v>22</v>
      </c>
      <c r="E248" s="1" t="s">
        <v>225</v>
      </c>
      <c r="F248" s="1">
        <v>5603</v>
      </c>
      <c r="G248" s="1" t="s">
        <v>3868</v>
      </c>
      <c r="H248" s="1" t="s">
        <v>76</v>
      </c>
      <c r="I248" s="1" t="s">
        <v>3720</v>
      </c>
      <c r="J248" s="1" t="s">
        <v>4016</v>
      </c>
    </row>
    <row r="249" spans="1:10" x14ac:dyDescent="0.25">
      <c r="A249" s="1" t="s">
        <v>4017</v>
      </c>
      <c r="B249" s="19">
        <v>46182</v>
      </c>
      <c r="C249" s="1" t="s">
        <v>561</v>
      </c>
      <c r="D249" s="1" t="s">
        <v>22</v>
      </c>
      <c r="E249" s="1" t="s">
        <v>288</v>
      </c>
      <c r="F249" s="1">
        <v>5604</v>
      </c>
      <c r="G249" s="1" t="s">
        <v>345</v>
      </c>
      <c r="H249" s="1" t="s">
        <v>76</v>
      </c>
      <c r="I249" s="1" t="s">
        <v>3720</v>
      </c>
      <c r="J249" s="1" t="s">
        <v>78</v>
      </c>
    </row>
    <row r="250" spans="1:10" x14ac:dyDescent="0.25">
      <c r="A250" s="1" t="s">
        <v>4018</v>
      </c>
      <c r="B250" s="19">
        <v>46182</v>
      </c>
      <c r="C250" s="1" t="s">
        <v>561</v>
      </c>
      <c r="D250" s="1" t="s">
        <v>22</v>
      </c>
      <c r="E250" s="1" t="s">
        <v>288</v>
      </c>
      <c r="F250" s="1">
        <v>5604</v>
      </c>
      <c r="G250" s="1" t="s">
        <v>3868</v>
      </c>
      <c r="H250" s="1" t="s">
        <v>76</v>
      </c>
      <c r="I250" s="1" t="s">
        <v>3720</v>
      </c>
      <c r="J250" s="1" t="s">
        <v>4016</v>
      </c>
    </row>
    <row r="251" spans="1:10" x14ac:dyDescent="0.25">
      <c r="A251" s="1" t="s">
        <v>4019</v>
      </c>
      <c r="B251" s="19">
        <v>46182</v>
      </c>
      <c r="C251" s="1" t="s">
        <v>563</v>
      </c>
      <c r="D251" s="1" t="s">
        <v>21</v>
      </c>
      <c r="E251" s="1" t="s">
        <v>81</v>
      </c>
      <c r="F251" s="1">
        <v>5606</v>
      </c>
      <c r="G251" s="1" t="s">
        <v>355</v>
      </c>
      <c r="H251" s="1" t="s">
        <v>76</v>
      </c>
      <c r="I251" s="1" t="s">
        <v>3720</v>
      </c>
      <c r="J251" s="1" t="s">
        <v>82</v>
      </c>
    </row>
    <row r="252" spans="1:10" x14ac:dyDescent="0.25">
      <c r="A252" s="1" t="s">
        <v>4020</v>
      </c>
      <c r="B252" s="19">
        <v>46182</v>
      </c>
      <c r="C252" s="1" t="s">
        <v>563</v>
      </c>
      <c r="D252" s="1" t="s">
        <v>21</v>
      </c>
      <c r="E252" s="1" t="s">
        <v>81</v>
      </c>
      <c r="F252" s="1">
        <v>5606</v>
      </c>
      <c r="G252" s="1" t="s">
        <v>345</v>
      </c>
      <c r="H252" s="1" t="s">
        <v>76</v>
      </c>
      <c r="I252" s="1" t="s">
        <v>3720</v>
      </c>
      <c r="J252" s="1" t="s">
        <v>78</v>
      </c>
    </row>
    <row r="253" spans="1:10" x14ac:dyDescent="0.25">
      <c r="A253" s="1" t="s">
        <v>4021</v>
      </c>
      <c r="B253" s="19">
        <v>46182</v>
      </c>
      <c r="C253" s="1" t="s">
        <v>563</v>
      </c>
      <c r="D253" s="1" t="s">
        <v>21</v>
      </c>
      <c r="E253" s="1" t="s">
        <v>81</v>
      </c>
      <c r="F253" s="1">
        <v>5606</v>
      </c>
      <c r="G253" s="1" t="s">
        <v>3868</v>
      </c>
      <c r="H253" s="1" t="s">
        <v>76</v>
      </c>
      <c r="I253" s="1" t="s">
        <v>3720</v>
      </c>
      <c r="J253" s="1" t="s">
        <v>4016</v>
      </c>
    </row>
    <row r="254" spans="1:10" x14ac:dyDescent="0.25">
      <c r="A254" s="1" t="s">
        <v>4022</v>
      </c>
      <c r="B254" s="19">
        <v>46182</v>
      </c>
      <c r="C254" s="1" t="s">
        <v>564</v>
      </c>
      <c r="D254" s="1" t="s">
        <v>21</v>
      </c>
      <c r="E254" s="1" t="s">
        <v>290</v>
      </c>
      <c r="F254" s="1">
        <v>5607</v>
      </c>
      <c r="G254" s="1" t="s">
        <v>345</v>
      </c>
      <c r="H254" s="1" t="s">
        <v>76</v>
      </c>
      <c r="I254" s="1" t="s">
        <v>3720</v>
      </c>
      <c r="J254" s="1" t="s">
        <v>78</v>
      </c>
    </row>
    <row r="255" spans="1:10" x14ac:dyDescent="0.25">
      <c r="A255" s="1" t="s">
        <v>4023</v>
      </c>
      <c r="B255" s="19">
        <v>46182</v>
      </c>
      <c r="C255" s="1" t="s">
        <v>564</v>
      </c>
      <c r="D255" s="1" t="s">
        <v>21</v>
      </c>
      <c r="E255" s="1" t="s">
        <v>290</v>
      </c>
      <c r="F255" s="1">
        <v>5607</v>
      </c>
      <c r="G255" s="1" t="s">
        <v>3868</v>
      </c>
      <c r="H255" s="1" t="s">
        <v>76</v>
      </c>
      <c r="I255" s="1" t="s">
        <v>3720</v>
      </c>
      <c r="J255" s="1" t="s">
        <v>4024</v>
      </c>
    </row>
    <row r="256" spans="1:10" x14ac:dyDescent="0.25">
      <c r="A256" s="1" t="s">
        <v>4025</v>
      </c>
      <c r="B256" s="19">
        <v>46182</v>
      </c>
      <c r="C256" s="1" t="s">
        <v>565</v>
      </c>
      <c r="D256" s="1" t="s">
        <v>21</v>
      </c>
      <c r="E256" s="1" t="s">
        <v>291</v>
      </c>
      <c r="F256" s="1">
        <v>5608</v>
      </c>
      <c r="G256" s="1" t="s">
        <v>345</v>
      </c>
      <c r="H256" s="1" t="s">
        <v>76</v>
      </c>
      <c r="I256" s="1" t="s">
        <v>3720</v>
      </c>
      <c r="J256" s="1" t="s">
        <v>78</v>
      </c>
    </row>
    <row r="257" spans="1:10" x14ac:dyDescent="0.25">
      <c r="A257" s="1" t="s">
        <v>4026</v>
      </c>
      <c r="B257" s="19">
        <v>46182</v>
      </c>
      <c r="C257" s="1" t="s">
        <v>565</v>
      </c>
      <c r="D257" s="1" t="s">
        <v>21</v>
      </c>
      <c r="E257" s="1" t="s">
        <v>291</v>
      </c>
      <c r="F257" s="1">
        <v>5608</v>
      </c>
      <c r="G257" s="1" t="s">
        <v>3868</v>
      </c>
      <c r="H257" s="1" t="s">
        <v>76</v>
      </c>
      <c r="I257" s="1" t="s">
        <v>3720</v>
      </c>
      <c r="J257" s="1" t="s">
        <v>4024</v>
      </c>
    </row>
    <row r="258" spans="1:10" x14ac:dyDescent="0.25">
      <c r="A258" s="1" t="s">
        <v>4027</v>
      </c>
      <c r="B258" s="19">
        <v>46182</v>
      </c>
      <c r="C258" s="1" t="s">
        <v>566</v>
      </c>
      <c r="D258" s="1" t="s">
        <v>21</v>
      </c>
      <c r="E258" s="1" t="s">
        <v>247</v>
      </c>
      <c r="F258" s="1">
        <v>5609</v>
      </c>
      <c r="G258" s="1" t="s">
        <v>345</v>
      </c>
      <c r="H258" s="1" t="s">
        <v>76</v>
      </c>
      <c r="I258" s="1" t="s">
        <v>3720</v>
      </c>
      <c r="J258" s="1" t="s">
        <v>78</v>
      </c>
    </row>
    <row r="259" spans="1:10" x14ac:dyDescent="0.25">
      <c r="A259" s="1" t="s">
        <v>4028</v>
      </c>
      <c r="B259" s="19">
        <v>46182</v>
      </c>
      <c r="C259" s="1" t="s">
        <v>566</v>
      </c>
      <c r="D259" s="1" t="s">
        <v>21</v>
      </c>
      <c r="E259" s="1" t="s">
        <v>247</v>
      </c>
      <c r="F259" s="1">
        <v>5609</v>
      </c>
      <c r="G259" s="1" t="s">
        <v>3868</v>
      </c>
      <c r="H259" s="1" t="s">
        <v>76</v>
      </c>
      <c r="I259" s="1" t="s">
        <v>3720</v>
      </c>
      <c r="J259" s="1" t="s">
        <v>4024</v>
      </c>
    </row>
    <row r="260" spans="1:10" x14ac:dyDescent="0.25">
      <c r="A260" s="1" t="s">
        <v>4029</v>
      </c>
      <c r="B260" s="19">
        <v>46182</v>
      </c>
      <c r="C260" s="1" t="s">
        <v>567</v>
      </c>
      <c r="D260" s="1" t="s">
        <v>21</v>
      </c>
      <c r="E260" s="1" t="s">
        <v>292</v>
      </c>
      <c r="F260" s="1">
        <v>5610</v>
      </c>
      <c r="G260" s="1" t="s">
        <v>345</v>
      </c>
      <c r="H260" s="1" t="s">
        <v>76</v>
      </c>
      <c r="I260" s="1" t="s">
        <v>3720</v>
      </c>
      <c r="J260" s="1" t="s">
        <v>78</v>
      </c>
    </row>
    <row r="261" spans="1:10" x14ac:dyDescent="0.25">
      <c r="A261" s="1" t="s">
        <v>4030</v>
      </c>
      <c r="B261" s="19">
        <v>46182</v>
      </c>
      <c r="C261" s="1" t="s">
        <v>567</v>
      </c>
      <c r="D261" s="1" t="s">
        <v>21</v>
      </c>
      <c r="E261" s="1" t="s">
        <v>292</v>
      </c>
      <c r="F261" s="1">
        <v>5610</v>
      </c>
      <c r="G261" s="1" t="s">
        <v>3868</v>
      </c>
      <c r="H261" s="1" t="s">
        <v>76</v>
      </c>
      <c r="I261" s="1" t="s">
        <v>3720</v>
      </c>
      <c r="J261" s="1" t="s">
        <v>4031</v>
      </c>
    </row>
    <row r="262" spans="1:10" x14ac:dyDescent="0.25">
      <c r="A262" s="1" t="s">
        <v>4032</v>
      </c>
      <c r="B262" s="19">
        <v>46182</v>
      </c>
      <c r="C262" s="1" t="s">
        <v>568</v>
      </c>
      <c r="D262" s="1" t="s">
        <v>22</v>
      </c>
      <c r="E262" s="1" t="s">
        <v>247</v>
      </c>
      <c r="F262" s="1">
        <v>5611</v>
      </c>
      <c r="G262" s="1" t="s">
        <v>345</v>
      </c>
      <c r="H262" s="1" t="s">
        <v>76</v>
      </c>
      <c r="I262" s="1" t="s">
        <v>3720</v>
      </c>
      <c r="J262" s="1" t="s">
        <v>78</v>
      </c>
    </row>
    <row r="263" spans="1:10" x14ac:dyDescent="0.25">
      <c r="A263" s="1" t="s">
        <v>4033</v>
      </c>
      <c r="B263" s="19">
        <v>46182</v>
      </c>
      <c r="C263" s="1" t="s">
        <v>569</v>
      </c>
      <c r="D263" s="1" t="s">
        <v>22</v>
      </c>
      <c r="E263" s="1" t="s">
        <v>247</v>
      </c>
      <c r="F263" s="1">
        <v>5612</v>
      </c>
      <c r="G263" s="1" t="s">
        <v>345</v>
      </c>
      <c r="H263" s="1" t="s">
        <v>76</v>
      </c>
      <c r="I263" s="1" t="s">
        <v>3720</v>
      </c>
      <c r="J263" s="1" t="s">
        <v>78</v>
      </c>
    </row>
    <row r="264" spans="1:10" x14ac:dyDescent="0.25">
      <c r="A264" s="1" t="s">
        <v>4034</v>
      </c>
      <c r="B264" s="19">
        <v>46182</v>
      </c>
      <c r="C264" s="1" t="s">
        <v>569</v>
      </c>
      <c r="D264" s="1" t="s">
        <v>22</v>
      </c>
      <c r="E264" s="1" t="s">
        <v>247</v>
      </c>
      <c r="F264" s="1">
        <v>5612</v>
      </c>
      <c r="G264" s="1" t="s">
        <v>3868</v>
      </c>
      <c r="H264" s="1" t="s">
        <v>76</v>
      </c>
      <c r="I264" s="1" t="s">
        <v>3720</v>
      </c>
      <c r="J264" s="1" t="s">
        <v>4035</v>
      </c>
    </row>
    <row r="265" spans="1:10" x14ac:dyDescent="0.25">
      <c r="A265" s="1" t="s">
        <v>4036</v>
      </c>
      <c r="B265" s="19">
        <v>46182</v>
      </c>
      <c r="C265" s="1" t="s">
        <v>571</v>
      </c>
      <c r="D265" s="1" t="s">
        <v>22</v>
      </c>
      <c r="E265" s="1" t="s">
        <v>267</v>
      </c>
      <c r="F265" s="1">
        <v>5614</v>
      </c>
      <c r="G265" s="1" t="s">
        <v>345</v>
      </c>
      <c r="H265" s="1" t="s">
        <v>76</v>
      </c>
      <c r="I265" s="1" t="s">
        <v>3720</v>
      </c>
      <c r="J265" s="1" t="s">
        <v>78</v>
      </c>
    </row>
    <row r="266" spans="1:10" x14ac:dyDescent="0.25">
      <c r="A266" s="1" t="s">
        <v>4037</v>
      </c>
      <c r="B266" s="19">
        <v>46182</v>
      </c>
      <c r="C266" s="1" t="s">
        <v>571</v>
      </c>
      <c r="D266" s="1" t="s">
        <v>22</v>
      </c>
      <c r="E266" s="1" t="s">
        <v>267</v>
      </c>
      <c r="F266" s="1">
        <v>5614</v>
      </c>
      <c r="G266" s="1" t="s">
        <v>3868</v>
      </c>
      <c r="H266" s="1" t="s">
        <v>76</v>
      </c>
      <c r="I266" s="1" t="s">
        <v>3720</v>
      </c>
      <c r="J266" s="1" t="s">
        <v>4038</v>
      </c>
    </row>
    <row r="267" spans="1:10" x14ac:dyDescent="0.25">
      <c r="A267" s="1" t="s">
        <v>4039</v>
      </c>
      <c r="B267" s="19">
        <v>46182</v>
      </c>
      <c r="C267" s="1" t="s">
        <v>572</v>
      </c>
      <c r="D267" s="1" t="s">
        <v>22</v>
      </c>
      <c r="E267" s="1" t="s">
        <v>81</v>
      </c>
      <c r="F267" s="1">
        <v>5615</v>
      </c>
      <c r="G267" s="1" t="s">
        <v>355</v>
      </c>
      <c r="H267" s="1" t="s">
        <v>76</v>
      </c>
      <c r="I267" s="1" t="s">
        <v>3720</v>
      </c>
      <c r="J267" s="1" t="s">
        <v>82</v>
      </c>
    </row>
    <row r="268" spans="1:10" x14ac:dyDescent="0.25">
      <c r="A268" s="1" t="s">
        <v>4040</v>
      </c>
      <c r="B268" s="19">
        <v>46182</v>
      </c>
      <c r="C268" s="1" t="s">
        <v>572</v>
      </c>
      <c r="D268" s="1" t="s">
        <v>22</v>
      </c>
      <c r="E268" s="1" t="s">
        <v>81</v>
      </c>
      <c r="F268" s="1">
        <v>5615</v>
      </c>
      <c r="G268" s="1" t="s">
        <v>345</v>
      </c>
      <c r="H268" s="1" t="s">
        <v>76</v>
      </c>
      <c r="I268" s="1" t="s">
        <v>3720</v>
      </c>
      <c r="J268" s="1" t="s">
        <v>78</v>
      </c>
    </row>
    <row r="269" spans="1:10" x14ac:dyDescent="0.25">
      <c r="A269" s="1" t="s">
        <v>4041</v>
      </c>
      <c r="B269" s="19">
        <v>46182</v>
      </c>
      <c r="C269" s="1" t="s">
        <v>572</v>
      </c>
      <c r="D269" s="1" t="s">
        <v>22</v>
      </c>
      <c r="E269" s="1" t="s">
        <v>81</v>
      </c>
      <c r="F269" s="1">
        <v>5615</v>
      </c>
      <c r="G269" s="1" t="s">
        <v>3868</v>
      </c>
      <c r="H269" s="1" t="s">
        <v>76</v>
      </c>
      <c r="I269" s="1" t="s">
        <v>3720</v>
      </c>
      <c r="J269" s="1" t="s">
        <v>4038</v>
      </c>
    </row>
    <row r="270" spans="1:10" x14ac:dyDescent="0.25">
      <c r="A270" s="1" t="s">
        <v>4042</v>
      </c>
      <c r="B270" s="19">
        <v>46182</v>
      </c>
      <c r="C270" s="1" t="s">
        <v>573</v>
      </c>
      <c r="D270" s="1" t="s">
        <v>21</v>
      </c>
      <c r="E270" s="1" t="s">
        <v>295</v>
      </c>
      <c r="F270" s="1">
        <v>5616</v>
      </c>
      <c r="G270" s="1" t="s">
        <v>345</v>
      </c>
      <c r="H270" s="1" t="s">
        <v>76</v>
      </c>
      <c r="I270" s="1" t="s">
        <v>3720</v>
      </c>
      <c r="J270" s="1" t="s">
        <v>78</v>
      </c>
    </row>
    <row r="271" spans="1:10" x14ac:dyDescent="0.25">
      <c r="A271" s="1" t="s">
        <v>4043</v>
      </c>
      <c r="B271" s="19">
        <v>46182</v>
      </c>
      <c r="C271" s="1" t="s">
        <v>573</v>
      </c>
      <c r="D271" s="1" t="s">
        <v>21</v>
      </c>
      <c r="E271" s="1" t="s">
        <v>295</v>
      </c>
      <c r="F271" s="1">
        <v>5616</v>
      </c>
      <c r="G271" s="1" t="s">
        <v>3868</v>
      </c>
      <c r="H271" s="1" t="s">
        <v>76</v>
      </c>
      <c r="I271" s="1" t="s">
        <v>3720</v>
      </c>
      <c r="J271" s="1" t="s">
        <v>4038</v>
      </c>
    </row>
    <row r="272" spans="1:10" x14ac:dyDescent="0.25">
      <c r="A272" s="1" t="s">
        <v>4044</v>
      </c>
      <c r="B272" s="19">
        <v>46182</v>
      </c>
      <c r="C272" s="1" t="s">
        <v>574</v>
      </c>
      <c r="D272" s="1" t="s">
        <v>21</v>
      </c>
      <c r="E272" s="1" t="s">
        <v>296</v>
      </c>
      <c r="F272" s="1">
        <v>5617</v>
      </c>
      <c r="G272" s="1" t="s">
        <v>345</v>
      </c>
      <c r="H272" s="1" t="s">
        <v>76</v>
      </c>
      <c r="I272" s="1" t="s">
        <v>3720</v>
      </c>
      <c r="J272" s="1" t="s">
        <v>78</v>
      </c>
    </row>
    <row r="273" spans="1:10" x14ac:dyDescent="0.25">
      <c r="A273" s="1" t="s">
        <v>4045</v>
      </c>
      <c r="B273" s="19">
        <v>46182</v>
      </c>
      <c r="C273" s="1" t="s">
        <v>574</v>
      </c>
      <c r="D273" s="1" t="s">
        <v>21</v>
      </c>
      <c r="E273" s="1" t="s">
        <v>296</v>
      </c>
      <c r="F273" s="1">
        <v>5617</v>
      </c>
      <c r="G273" s="1" t="s">
        <v>3868</v>
      </c>
      <c r="H273" s="1" t="s">
        <v>76</v>
      </c>
      <c r="I273" s="1" t="s">
        <v>3720</v>
      </c>
      <c r="J273" s="1" t="s">
        <v>4038</v>
      </c>
    </row>
    <row r="274" spans="1:10" x14ac:dyDescent="0.25">
      <c r="A274" s="1" t="s">
        <v>4046</v>
      </c>
      <c r="B274" s="19">
        <v>46182</v>
      </c>
      <c r="C274" s="1" t="s">
        <v>575</v>
      </c>
      <c r="D274" s="1" t="s">
        <v>21</v>
      </c>
      <c r="E274" s="1" t="s">
        <v>297</v>
      </c>
      <c r="F274" s="1">
        <v>5618</v>
      </c>
      <c r="G274" s="1" t="s">
        <v>355</v>
      </c>
      <c r="H274" s="1" t="s">
        <v>76</v>
      </c>
      <c r="I274" s="1" t="s">
        <v>3720</v>
      </c>
      <c r="J274" s="1" t="s">
        <v>82</v>
      </c>
    </row>
    <row r="275" spans="1:10" x14ac:dyDescent="0.25">
      <c r="A275" s="1" t="s">
        <v>4047</v>
      </c>
      <c r="B275" s="19">
        <v>46182</v>
      </c>
      <c r="C275" s="1" t="s">
        <v>575</v>
      </c>
      <c r="D275" s="1" t="s">
        <v>21</v>
      </c>
      <c r="E275" s="1" t="s">
        <v>297</v>
      </c>
      <c r="F275" s="1">
        <v>5618</v>
      </c>
      <c r="G275" s="1" t="s">
        <v>345</v>
      </c>
      <c r="H275" s="1" t="s">
        <v>76</v>
      </c>
      <c r="I275" s="1" t="s">
        <v>3720</v>
      </c>
      <c r="J275" s="1" t="s">
        <v>78</v>
      </c>
    </row>
    <row r="276" spans="1:10" x14ac:dyDescent="0.25">
      <c r="A276" s="1" t="s">
        <v>4048</v>
      </c>
      <c r="B276" s="19">
        <v>46182</v>
      </c>
      <c r="C276" s="1" t="s">
        <v>575</v>
      </c>
      <c r="D276" s="1" t="s">
        <v>21</v>
      </c>
      <c r="E276" s="1" t="s">
        <v>297</v>
      </c>
      <c r="F276" s="1">
        <v>5618</v>
      </c>
      <c r="G276" s="1" t="s">
        <v>3868</v>
      </c>
      <c r="H276" s="1" t="s">
        <v>76</v>
      </c>
      <c r="I276" s="1" t="s">
        <v>3720</v>
      </c>
      <c r="J276" s="1" t="s">
        <v>4038</v>
      </c>
    </row>
    <row r="277" spans="1:10" x14ac:dyDescent="0.25">
      <c r="A277" s="1" t="s">
        <v>4049</v>
      </c>
      <c r="B277" s="19">
        <v>46182</v>
      </c>
      <c r="C277" s="1" t="s">
        <v>576</v>
      </c>
      <c r="D277" s="1" t="s">
        <v>21</v>
      </c>
      <c r="E277" s="1" t="s">
        <v>81</v>
      </c>
      <c r="F277" s="1">
        <v>5619</v>
      </c>
      <c r="G277" s="1" t="s">
        <v>345</v>
      </c>
      <c r="H277" s="1" t="s">
        <v>76</v>
      </c>
      <c r="I277" s="1" t="s">
        <v>3720</v>
      </c>
      <c r="J277" s="1" t="s">
        <v>78</v>
      </c>
    </row>
    <row r="278" spans="1:10" x14ac:dyDescent="0.25">
      <c r="A278" s="1" t="s">
        <v>4050</v>
      </c>
      <c r="B278" s="19">
        <v>46182</v>
      </c>
      <c r="C278" s="1" t="s">
        <v>576</v>
      </c>
      <c r="D278" s="1" t="s">
        <v>21</v>
      </c>
      <c r="E278" s="1" t="s">
        <v>81</v>
      </c>
      <c r="F278" s="1">
        <v>5619</v>
      </c>
      <c r="G278" s="1" t="s">
        <v>3868</v>
      </c>
      <c r="H278" s="1" t="s">
        <v>76</v>
      </c>
      <c r="I278" s="1" t="s">
        <v>3720</v>
      </c>
      <c r="J278" s="1" t="s">
        <v>4038</v>
      </c>
    </row>
    <row r="279" spans="1:10" x14ac:dyDescent="0.25">
      <c r="A279" s="1" t="s">
        <v>4051</v>
      </c>
      <c r="B279" s="19">
        <v>46182</v>
      </c>
      <c r="C279" s="1" t="s">
        <v>578</v>
      </c>
      <c r="D279" s="1" t="s">
        <v>22</v>
      </c>
      <c r="E279" s="1" t="s">
        <v>81</v>
      </c>
      <c r="F279" s="1">
        <v>5621</v>
      </c>
      <c r="G279" s="1" t="s">
        <v>345</v>
      </c>
      <c r="H279" s="1" t="s">
        <v>76</v>
      </c>
      <c r="I279" s="1" t="s">
        <v>3720</v>
      </c>
      <c r="J279" s="1" t="s">
        <v>78</v>
      </c>
    </row>
    <row r="280" spans="1:10" x14ac:dyDescent="0.25">
      <c r="A280" s="1" t="s">
        <v>4052</v>
      </c>
      <c r="B280" s="19">
        <v>46182</v>
      </c>
      <c r="C280" s="1" t="s">
        <v>578</v>
      </c>
      <c r="D280" s="1" t="s">
        <v>22</v>
      </c>
      <c r="E280" s="1" t="s">
        <v>81</v>
      </c>
      <c r="F280" s="1">
        <v>5621</v>
      </c>
      <c r="G280" s="1" t="s">
        <v>3868</v>
      </c>
      <c r="H280" s="1" t="s">
        <v>76</v>
      </c>
      <c r="I280" s="1" t="s">
        <v>3720</v>
      </c>
      <c r="J280" s="1" t="s">
        <v>4053</v>
      </c>
    </row>
    <row r="281" spans="1:10" x14ac:dyDescent="0.25">
      <c r="A281" s="1" t="s">
        <v>4054</v>
      </c>
      <c r="B281" s="19">
        <v>46182</v>
      </c>
      <c r="C281" s="1" t="s">
        <v>579</v>
      </c>
      <c r="D281" s="1" t="s">
        <v>21</v>
      </c>
      <c r="E281" s="1" t="s">
        <v>301</v>
      </c>
      <c r="F281" s="1">
        <v>5622</v>
      </c>
      <c r="G281" s="1" t="s">
        <v>345</v>
      </c>
      <c r="H281" s="1" t="s">
        <v>76</v>
      </c>
      <c r="I281" s="1" t="s">
        <v>3720</v>
      </c>
      <c r="J281" s="1" t="s">
        <v>78</v>
      </c>
    </row>
    <row r="282" spans="1:10" x14ac:dyDescent="0.25">
      <c r="A282" s="1" t="s">
        <v>4055</v>
      </c>
      <c r="B282" s="19">
        <v>46182</v>
      </c>
      <c r="C282" s="1" t="s">
        <v>579</v>
      </c>
      <c r="D282" s="1" t="s">
        <v>21</v>
      </c>
      <c r="E282" s="1" t="s">
        <v>301</v>
      </c>
      <c r="F282" s="1">
        <v>5622</v>
      </c>
      <c r="G282" s="1" t="s">
        <v>3868</v>
      </c>
      <c r="H282" s="1" t="s">
        <v>76</v>
      </c>
      <c r="I282" s="1" t="s">
        <v>3720</v>
      </c>
      <c r="J282" s="1" t="s">
        <v>4053</v>
      </c>
    </row>
    <row r="283" spans="1:10" x14ac:dyDescent="0.25">
      <c r="A283" s="1" t="s">
        <v>4056</v>
      </c>
      <c r="B283" s="19">
        <v>46182</v>
      </c>
      <c r="C283" s="1" t="s">
        <v>580</v>
      </c>
      <c r="D283" s="1" t="s">
        <v>21</v>
      </c>
      <c r="E283" s="1" t="s">
        <v>302</v>
      </c>
      <c r="F283" s="1">
        <v>5623</v>
      </c>
      <c r="G283" s="1" t="s">
        <v>345</v>
      </c>
      <c r="H283" s="1" t="s">
        <v>76</v>
      </c>
      <c r="I283" s="1" t="s">
        <v>3720</v>
      </c>
      <c r="J283" s="1" t="s">
        <v>78</v>
      </c>
    </row>
    <row r="284" spans="1:10" x14ac:dyDescent="0.25">
      <c r="A284" s="1" t="s">
        <v>4057</v>
      </c>
      <c r="B284" s="19">
        <v>46182</v>
      </c>
      <c r="C284" s="1" t="s">
        <v>580</v>
      </c>
      <c r="D284" s="1" t="s">
        <v>21</v>
      </c>
      <c r="E284" s="1" t="s">
        <v>302</v>
      </c>
      <c r="F284" s="1">
        <v>5623</v>
      </c>
      <c r="G284" s="1" t="s">
        <v>3868</v>
      </c>
      <c r="H284" s="1" t="s">
        <v>76</v>
      </c>
      <c r="I284" s="1" t="s">
        <v>3720</v>
      </c>
      <c r="J284" s="1" t="s">
        <v>4058</v>
      </c>
    </row>
    <row r="285" spans="1:10" x14ac:dyDescent="0.25">
      <c r="A285" s="1" t="s">
        <v>4059</v>
      </c>
      <c r="B285" s="19">
        <v>46182</v>
      </c>
      <c r="C285" s="1" t="s">
        <v>581</v>
      </c>
      <c r="D285" s="1" t="s">
        <v>21</v>
      </c>
      <c r="E285" s="1" t="s">
        <v>304</v>
      </c>
      <c r="F285" s="1">
        <v>5624</v>
      </c>
      <c r="G285" s="1" t="s">
        <v>345</v>
      </c>
      <c r="H285" s="1" t="s">
        <v>76</v>
      </c>
      <c r="I285" s="1" t="s">
        <v>3720</v>
      </c>
      <c r="J285" s="1" t="s">
        <v>78</v>
      </c>
    </row>
    <row r="286" spans="1:10" ht="30" customHeight="1" x14ac:dyDescent="0.25">
      <c r="A286" s="1" t="s">
        <v>4060</v>
      </c>
      <c r="B286" s="19">
        <v>46182</v>
      </c>
      <c r="C286" s="1" t="s">
        <v>581</v>
      </c>
      <c r="D286" s="1" t="s">
        <v>21</v>
      </c>
      <c r="E286" s="1" t="s">
        <v>304</v>
      </c>
      <c r="F286" s="1">
        <v>5624</v>
      </c>
      <c r="G286" s="1" t="s">
        <v>4061</v>
      </c>
      <c r="H286" s="1" t="s">
        <v>79</v>
      </c>
      <c r="I286" s="1" t="s">
        <v>3720</v>
      </c>
      <c r="J286" s="1" t="s">
        <v>4062</v>
      </c>
    </row>
    <row r="287" spans="1:10" x14ac:dyDescent="0.25">
      <c r="A287" s="1" t="s">
        <v>4063</v>
      </c>
      <c r="B287" s="19">
        <v>46182</v>
      </c>
      <c r="C287" s="1" t="s">
        <v>582</v>
      </c>
      <c r="D287" s="1" t="s">
        <v>22</v>
      </c>
      <c r="E287" s="1" t="s">
        <v>81</v>
      </c>
      <c r="F287" s="1">
        <v>5625</v>
      </c>
      <c r="G287" s="1" t="s">
        <v>355</v>
      </c>
      <c r="H287" s="1" t="s">
        <v>76</v>
      </c>
      <c r="I287" s="1" t="s">
        <v>3720</v>
      </c>
      <c r="J287" s="1" t="s">
        <v>82</v>
      </c>
    </row>
    <row r="288" spans="1:10" x14ac:dyDescent="0.25">
      <c r="A288" s="1" t="s">
        <v>4064</v>
      </c>
      <c r="B288" s="19">
        <v>46182</v>
      </c>
      <c r="C288" s="1" t="s">
        <v>582</v>
      </c>
      <c r="D288" s="1" t="s">
        <v>22</v>
      </c>
      <c r="E288" s="1" t="s">
        <v>81</v>
      </c>
      <c r="F288" s="1">
        <v>5625</v>
      </c>
      <c r="G288" s="1" t="s">
        <v>345</v>
      </c>
      <c r="H288" s="1" t="s">
        <v>76</v>
      </c>
      <c r="I288" s="1" t="s">
        <v>3720</v>
      </c>
      <c r="J288" s="1" t="s">
        <v>78</v>
      </c>
    </row>
    <row r="289" spans="1:10" x14ac:dyDescent="0.25">
      <c r="A289" s="1" t="s">
        <v>4065</v>
      </c>
      <c r="B289" s="19">
        <v>46182</v>
      </c>
      <c r="C289" s="1" t="s">
        <v>583</v>
      </c>
      <c r="D289" s="1" t="s">
        <v>22</v>
      </c>
      <c r="E289" s="1" t="s">
        <v>267</v>
      </c>
      <c r="F289" s="1">
        <v>5626</v>
      </c>
      <c r="G289" s="1" t="s">
        <v>345</v>
      </c>
      <c r="H289" s="1" t="s">
        <v>76</v>
      </c>
      <c r="I289" s="1" t="s">
        <v>3720</v>
      </c>
      <c r="J289" s="1" t="s">
        <v>78</v>
      </c>
    </row>
    <row r="290" spans="1:10" x14ac:dyDescent="0.25">
      <c r="A290" s="1" t="s">
        <v>4066</v>
      </c>
      <c r="B290" s="19">
        <v>46182</v>
      </c>
      <c r="C290" s="1" t="s">
        <v>583</v>
      </c>
      <c r="D290" s="1" t="s">
        <v>22</v>
      </c>
      <c r="E290" s="1" t="s">
        <v>267</v>
      </c>
      <c r="F290" s="1">
        <v>5626</v>
      </c>
      <c r="G290" s="1" t="s">
        <v>3868</v>
      </c>
      <c r="H290" s="1" t="s">
        <v>76</v>
      </c>
      <c r="I290" s="1" t="s">
        <v>3720</v>
      </c>
      <c r="J290" s="1" t="s">
        <v>4067</v>
      </c>
    </row>
    <row r="291" spans="1:10" x14ac:dyDescent="0.25">
      <c r="A291" s="1" t="s">
        <v>4068</v>
      </c>
      <c r="B291" s="19">
        <v>46182</v>
      </c>
      <c r="C291" s="1" t="s">
        <v>584</v>
      </c>
      <c r="D291" s="1" t="s">
        <v>21</v>
      </c>
      <c r="E291" s="1" t="s">
        <v>278</v>
      </c>
      <c r="F291" s="1">
        <v>5627</v>
      </c>
      <c r="G291" s="1" t="s">
        <v>345</v>
      </c>
      <c r="H291" s="1" t="s">
        <v>76</v>
      </c>
      <c r="I291" s="1" t="s">
        <v>3720</v>
      </c>
      <c r="J291" s="1" t="s">
        <v>78</v>
      </c>
    </row>
    <row r="292" spans="1:10" x14ac:dyDescent="0.25">
      <c r="A292" s="1" t="s">
        <v>4069</v>
      </c>
      <c r="B292" s="19">
        <v>46182</v>
      </c>
      <c r="C292" s="1" t="s">
        <v>585</v>
      </c>
      <c r="D292" s="1" t="s">
        <v>22</v>
      </c>
      <c r="E292" s="1" t="s">
        <v>81</v>
      </c>
      <c r="F292" s="1">
        <v>5628</v>
      </c>
      <c r="G292" s="1" t="s">
        <v>345</v>
      </c>
      <c r="H292" s="1" t="s">
        <v>76</v>
      </c>
      <c r="I292" s="1" t="s">
        <v>3720</v>
      </c>
      <c r="J292" s="1" t="s">
        <v>78</v>
      </c>
    </row>
    <row r="293" spans="1:10" ht="30" customHeight="1" x14ac:dyDescent="0.25">
      <c r="A293" s="1" t="s">
        <v>4070</v>
      </c>
      <c r="B293" s="19">
        <v>46182</v>
      </c>
      <c r="C293" s="1" t="s">
        <v>585</v>
      </c>
      <c r="D293" s="1" t="s">
        <v>22</v>
      </c>
      <c r="E293" s="1" t="s">
        <v>81</v>
      </c>
      <c r="F293" s="1">
        <v>5628</v>
      </c>
      <c r="G293" s="1" t="s">
        <v>4061</v>
      </c>
      <c r="H293" s="1" t="s">
        <v>79</v>
      </c>
      <c r="I293" s="1" t="s">
        <v>3720</v>
      </c>
      <c r="J293" s="1" t="s">
        <v>4071</v>
      </c>
    </row>
    <row r="294" spans="1:10" x14ac:dyDescent="0.25">
      <c r="A294" s="1" t="s">
        <v>4072</v>
      </c>
      <c r="B294" s="19">
        <v>46182</v>
      </c>
      <c r="C294" s="1" t="s">
        <v>586</v>
      </c>
      <c r="D294" s="1" t="s">
        <v>21</v>
      </c>
      <c r="E294" s="1" t="s">
        <v>306</v>
      </c>
      <c r="F294" s="1">
        <v>5629</v>
      </c>
      <c r="G294" s="1" t="s">
        <v>345</v>
      </c>
      <c r="H294" s="1" t="s">
        <v>76</v>
      </c>
      <c r="I294" s="1" t="s">
        <v>3720</v>
      </c>
      <c r="J294" s="1" t="s">
        <v>78</v>
      </c>
    </row>
    <row r="295" spans="1:10" x14ac:dyDescent="0.25">
      <c r="A295" s="1" t="s">
        <v>4073</v>
      </c>
      <c r="B295" s="19">
        <v>46182</v>
      </c>
      <c r="C295" s="1" t="s">
        <v>587</v>
      </c>
      <c r="D295" s="1" t="s">
        <v>22</v>
      </c>
      <c r="E295" s="1" t="s">
        <v>81</v>
      </c>
      <c r="F295" s="1">
        <v>5630</v>
      </c>
      <c r="G295" s="1" t="s">
        <v>355</v>
      </c>
      <c r="H295" s="1" t="s">
        <v>76</v>
      </c>
      <c r="I295" s="1" t="s">
        <v>3720</v>
      </c>
      <c r="J295" s="1" t="s">
        <v>82</v>
      </c>
    </row>
    <row r="296" spans="1:10" x14ac:dyDescent="0.25">
      <c r="A296" s="1" t="s">
        <v>4074</v>
      </c>
      <c r="B296" s="19">
        <v>46182</v>
      </c>
      <c r="C296" s="1" t="s">
        <v>587</v>
      </c>
      <c r="D296" s="1" t="s">
        <v>22</v>
      </c>
      <c r="E296" s="1" t="s">
        <v>81</v>
      </c>
      <c r="F296" s="1">
        <v>5630</v>
      </c>
      <c r="G296" s="1" t="s">
        <v>345</v>
      </c>
      <c r="H296" s="1" t="s">
        <v>76</v>
      </c>
      <c r="I296" s="1" t="s">
        <v>3720</v>
      </c>
      <c r="J296" s="1" t="s">
        <v>78</v>
      </c>
    </row>
    <row r="297" spans="1:10" x14ac:dyDescent="0.25">
      <c r="A297" s="1" t="s">
        <v>4075</v>
      </c>
      <c r="B297" s="19">
        <v>46182</v>
      </c>
      <c r="C297" s="1" t="s">
        <v>589</v>
      </c>
      <c r="D297" s="1" t="s">
        <v>22</v>
      </c>
      <c r="E297" s="1" t="s">
        <v>247</v>
      </c>
      <c r="F297" s="1">
        <v>5632</v>
      </c>
      <c r="G297" s="1" t="s">
        <v>345</v>
      </c>
      <c r="H297" s="1" t="s">
        <v>76</v>
      </c>
      <c r="I297" s="1" t="s">
        <v>3720</v>
      </c>
      <c r="J297" s="1" t="s">
        <v>78</v>
      </c>
    </row>
    <row r="298" spans="1:10" ht="30" customHeight="1" x14ac:dyDescent="0.25">
      <c r="A298" s="1" t="s">
        <v>4076</v>
      </c>
      <c r="B298" s="19">
        <v>46182</v>
      </c>
      <c r="C298" s="1" t="s">
        <v>589</v>
      </c>
      <c r="D298" s="1" t="s">
        <v>22</v>
      </c>
      <c r="E298" s="1" t="s">
        <v>247</v>
      </c>
      <c r="F298" s="1">
        <v>5632</v>
      </c>
      <c r="G298" s="1" t="s">
        <v>4061</v>
      </c>
      <c r="H298" s="1" t="s">
        <v>79</v>
      </c>
      <c r="I298" s="1" t="s">
        <v>3720</v>
      </c>
      <c r="J298" s="1" t="s">
        <v>4077</v>
      </c>
    </row>
    <row r="299" spans="1:10" x14ac:dyDescent="0.25">
      <c r="A299" s="1" t="s">
        <v>4078</v>
      </c>
      <c r="B299" s="19">
        <v>46182</v>
      </c>
      <c r="C299" s="1" t="s">
        <v>590</v>
      </c>
      <c r="D299" s="1" t="s">
        <v>22</v>
      </c>
      <c r="E299" s="1" t="s">
        <v>81</v>
      </c>
      <c r="F299" s="1">
        <v>5633</v>
      </c>
      <c r="G299" s="1" t="s">
        <v>345</v>
      </c>
      <c r="H299" s="1" t="s">
        <v>76</v>
      </c>
      <c r="I299" s="1" t="s">
        <v>3720</v>
      </c>
      <c r="J299" s="1" t="s">
        <v>78</v>
      </c>
    </row>
    <row r="300" spans="1:10" x14ac:dyDescent="0.25">
      <c r="A300" s="1" t="s">
        <v>4079</v>
      </c>
      <c r="B300" s="19">
        <v>46182</v>
      </c>
      <c r="C300" s="1" t="s">
        <v>591</v>
      </c>
      <c r="D300" s="1" t="s">
        <v>22</v>
      </c>
      <c r="E300" s="1" t="s">
        <v>267</v>
      </c>
      <c r="F300" s="1">
        <v>5634</v>
      </c>
      <c r="G300" s="1" t="s">
        <v>345</v>
      </c>
      <c r="H300" s="1" t="s">
        <v>76</v>
      </c>
      <c r="I300" s="1" t="s">
        <v>3720</v>
      </c>
      <c r="J300" s="1" t="s">
        <v>78</v>
      </c>
    </row>
    <row r="301" spans="1:10" x14ac:dyDescent="0.25">
      <c r="A301" s="1" t="s">
        <v>4080</v>
      </c>
      <c r="B301" s="19">
        <v>46182</v>
      </c>
      <c r="C301" s="1" t="s">
        <v>592</v>
      </c>
      <c r="D301" s="1" t="s">
        <v>21</v>
      </c>
      <c r="E301" s="1" t="s">
        <v>308</v>
      </c>
      <c r="F301" s="1">
        <v>5635</v>
      </c>
      <c r="G301" s="1" t="s">
        <v>345</v>
      </c>
      <c r="H301" s="1" t="s">
        <v>76</v>
      </c>
      <c r="I301" s="1" t="s">
        <v>3720</v>
      </c>
      <c r="J301" s="1" t="s">
        <v>78</v>
      </c>
    </row>
    <row r="302" spans="1:10" x14ac:dyDescent="0.25">
      <c r="A302" s="1" t="s">
        <v>4081</v>
      </c>
      <c r="B302" s="19">
        <v>46182</v>
      </c>
      <c r="C302" s="1" t="s">
        <v>593</v>
      </c>
      <c r="D302" s="1" t="s">
        <v>21</v>
      </c>
      <c r="E302" s="1" t="s">
        <v>309</v>
      </c>
      <c r="F302" s="1">
        <v>5636</v>
      </c>
      <c r="G302" s="1" t="s">
        <v>345</v>
      </c>
      <c r="H302" s="1" t="s">
        <v>76</v>
      </c>
      <c r="I302" s="1" t="s">
        <v>3720</v>
      </c>
      <c r="J302" s="1" t="s">
        <v>78</v>
      </c>
    </row>
    <row r="303" spans="1:10" x14ac:dyDescent="0.25">
      <c r="A303" s="1" t="s">
        <v>4082</v>
      </c>
      <c r="B303" s="19">
        <v>46182</v>
      </c>
      <c r="C303" s="1" t="s">
        <v>594</v>
      </c>
      <c r="D303" s="1" t="s">
        <v>22</v>
      </c>
      <c r="E303" s="1" t="s">
        <v>267</v>
      </c>
      <c r="F303" s="1">
        <v>5637</v>
      </c>
      <c r="G303" s="1" t="s">
        <v>345</v>
      </c>
      <c r="H303" s="1" t="s">
        <v>76</v>
      </c>
      <c r="I303" s="1" t="s">
        <v>3720</v>
      </c>
      <c r="J303" s="1" t="s">
        <v>78</v>
      </c>
    </row>
    <row r="304" spans="1:10" x14ac:dyDescent="0.25">
      <c r="A304" s="1" t="s">
        <v>4083</v>
      </c>
      <c r="B304" s="19">
        <v>46182</v>
      </c>
      <c r="C304" s="1" t="s">
        <v>595</v>
      </c>
      <c r="D304" s="1" t="s">
        <v>22</v>
      </c>
      <c r="E304" s="1" t="s">
        <v>267</v>
      </c>
      <c r="F304" s="1">
        <v>5638</v>
      </c>
      <c r="G304" s="1" t="s">
        <v>345</v>
      </c>
      <c r="H304" s="1" t="s">
        <v>76</v>
      </c>
      <c r="I304" s="1" t="s">
        <v>3720</v>
      </c>
      <c r="J304" s="1" t="s">
        <v>78</v>
      </c>
    </row>
    <row r="305" spans="1:10" x14ac:dyDescent="0.25">
      <c r="A305" s="1" t="s">
        <v>4084</v>
      </c>
      <c r="B305" s="19">
        <v>46182</v>
      </c>
      <c r="C305" s="1" t="s">
        <v>597</v>
      </c>
      <c r="D305" s="1" t="s">
        <v>22</v>
      </c>
      <c r="E305" s="1" t="s">
        <v>314</v>
      </c>
      <c r="F305" s="1">
        <v>5640</v>
      </c>
      <c r="G305" s="1" t="s">
        <v>345</v>
      </c>
      <c r="H305" s="1" t="s">
        <v>76</v>
      </c>
      <c r="I305" s="1" t="s">
        <v>3720</v>
      </c>
      <c r="J305" s="1" t="s">
        <v>78</v>
      </c>
    </row>
    <row r="306" spans="1:10" x14ac:dyDescent="0.25">
      <c r="A306" s="1" t="s">
        <v>4085</v>
      </c>
      <c r="B306" s="19">
        <v>46182</v>
      </c>
      <c r="C306" s="1" t="s">
        <v>598</v>
      </c>
      <c r="D306" s="1" t="s">
        <v>21</v>
      </c>
      <c r="E306" s="1" t="s">
        <v>81</v>
      </c>
      <c r="F306" s="1">
        <v>5641</v>
      </c>
      <c r="G306" s="1" t="s">
        <v>345</v>
      </c>
      <c r="H306" s="1" t="s">
        <v>76</v>
      </c>
      <c r="I306" s="1" t="s">
        <v>3720</v>
      </c>
      <c r="J306" s="1" t="s">
        <v>78</v>
      </c>
    </row>
    <row r="307" spans="1:10" x14ac:dyDescent="0.25">
      <c r="A307" s="1" t="s">
        <v>4086</v>
      </c>
      <c r="B307" s="19">
        <v>46182</v>
      </c>
      <c r="C307" s="1" t="s">
        <v>599</v>
      </c>
      <c r="D307" s="1" t="s">
        <v>21</v>
      </c>
      <c r="E307" s="1" t="s">
        <v>315</v>
      </c>
      <c r="F307" s="1">
        <v>5642</v>
      </c>
      <c r="G307" s="1" t="s">
        <v>345</v>
      </c>
      <c r="H307" s="1" t="s">
        <v>76</v>
      </c>
      <c r="I307" s="1" t="s">
        <v>3720</v>
      </c>
      <c r="J307" s="1" t="s">
        <v>78</v>
      </c>
    </row>
    <row r="308" spans="1:10" x14ac:dyDescent="0.25">
      <c r="A308" s="1" t="s">
        <v>4087</v>
      </c>
      <c r="B308" s="19">
        <v>46182</v>
      </c>
      <c r="C308" s="1" t="s">
        <v>600</v>
      </c>
      <c r="D308" s="1" t="s">
        <v>21</v>
      </c>
      <c r="E308" s="1" t="s">
        <v>316</v>
      </c>
      <c r="F308" s="1">
        <v>5643</v>
      </c>
      <c r="G308" s="1" t="s">
        <v>345</v>
      </c>
      <c r="H308" s="1" t="s">
        <v>76</v>
      </c>
      <c r="I308" s="1" t="s">
        <v>3720</v>
      </c>
      <c r="J308" s="1" t="s">
        <v>78</v>
      </c>
    </row>
    <row r="309" spans="1:10" x14ac:dyDescent="0.25">
      <c r="A309" s="1" t="s">
        <v>4088</v>
      </c>
      <c r="B309" s="19">
        <v>46182</v>
      </c>
      <c r="C309" s="1" t="s">
        <v>601</v>
      </c>
      <c r="D309" s="1" t="s">
        <v>22</v>
      </c>
      <c r="E309" s="1" t="s">
        <v>317</v>
      </c>
      <c r="F309" s="1">
        <v>5644</v>
      </c>
      <c r="G309" s="1" t="s">
        <v>345</v>
      </c>
      <c r="H309" s="1" t="s">
        <v>76</v>
      </c>
      <c r="I309" s="1" t="s">
        <v>3720</v>
      </c>
      <c r="J309" s="1" t="s">
        <v>78</v>
      </c>
    </row>
    <row r="310" spans="1:10" ht="30" customHeight="1" x14ac:dyDescent="0.25">
      <c r="A310" s="1" t="s">
        <v>4089</v>
      </c>
      <c r="B310" s="19">
        <v>46182</v>
      </c>
      <c r="C310" s="1" t="s">
        <v>601</v>
      </c>
      <c r="D310" s="1" t="s">
        <v>22</v>
      </c>
      <c r="E310" s="1" t="s">
        <v>317</v>
      </c>
      <c r="F310" s="1">
        <v>5644</v>
      </c>
      <c r="G310" s="1" t="s">
        <v>4061</v>
      </c>
      <c r="H310" s="1" t="s">
        <v>79</v>
      </c>
      <c r="I310" s="1" t="s">
        <v>3720</v>
      </c>
      <c r="J310" s="1" t="s">
        <v>4090</v>
      </c>
    </row>
    <row r="311" spans="1:10" x14ac:dyDescent="0.25">
      <c r="A311" s="1" t="s">
        <v>4091</v>
      </c>
      <c r="B311" s="19">
        <v>46182</v>
      </c>
      <c r="C311" s="1" t="s">
        <v>602</v>
      </c>
      <c r="D311" s="1" t="s">
        <v>21</v>
      </c>
      <c r="E311" s="1" t="s">
        <v>318</v>
      </c>
      <c r="F311" s="1">
        <v>5645</v>
      </c>
      <c r="G311" s="1" t="s">
        <v>345</v>
      </c>
      <c r="H311" s="1" t="s">
        <v>76</v>
      </c>
      <c r="I311" s="1" t="s">
        <v>3720</v>
      </c>
      <c r="J311" s="1" t="s">
        <v>78</v>
      </c>
    </row>
    <row r="312" spans="1:10" x14ac:dyDescent="0.25">
      <c r="A312" s="1" t="s">
        <v>4092</v>
      </c>
      <c r="B312" s="19">
        <v>46182</v>
      </c>
      <c r="C312" s="1" t="s">
        <v>603</v>
      </c>
      <c r="D312" s="1" t="s">
        <v>21</v>
      </c>
      <c r="E312" s="1" t="s">
        <v>319</v>
      </c>
      <c r="F312" s="1">
        <v>5646</v>
      </c>
      <c r="G312" s="1" t="s">
        <v>345</v>
      </c>
      <c r="H312" s="1" t="s">
        <v>76</v>
      </c>
      <c r="I312" s="1" t="s">
        <v>3720</v>
      </c>
      <c r="J312" s="1" t="s">
        <v>78</v>
      </c>
    </row>
    <row r="313" spans="1:10" ht="30" customHeight="1" x14ac:dyDescent="0.25">
      <c r="A313" s="1" t="s">
        <v>4093</v>
      </c>
      <c r="B313" s="19">
        <v>46182</v>
      </c>
      <c r="C313" s="1" t="s">
        <v>603</v>
      </c>
      <c r="D313" s="1" t="s">
        <v>21</v>
      </c>
      <c r="E313" s="1" t="s">
        <v>319</v>
      </c>
      <c r="F313" s="1">
        <v>5646</v>
      </c>
      <c r="G313" s="1" t="s">
        <v>4061</v>
      </c>
      <c r="H313" s="1" t="s">
        <v>79</v>
      </c>
      <c r="I313" s="1" t="s">
        <v>3720</v>
      </c>
      <c r="J313" s="1" t="s">
        <v>4094</v>
      </c>
    </row>
    <row r="314" spans="1:10" x14ac:dyDescent="0.25">
      <c r="A314" s="1" t="s">
        <v>4095</v>
      </c>
      <c r="B314" s="19">
        <v>46182</v>
      </c>
      <c r="C314" s="1" t="s">
        <v>604</v>
      </c>
      <c r="D314" s="1" t="s">
        <v>22</v>
      </c>
      <c r="E314" s="1" t="s">
        <v>321</v>
      </c>
      <c r="F314" s="1">
        <v>5647</v>
      </c>
      <c r="G314" s="1" t="s">
        <v>345</v>
      </c>
      <c r="H314" s="1" t="s">
        <v>76</v>
      </c>
      <c r="I314" s="1" t="s">
        <v>3720</v>
      </c>
      <c r="J314" s="1" t="s">
        <v>78</v>
      </c>
    </row>
    <row r="315" spans="1:10" ht="30" customHeight="1" x14ac:dyDescent="0.25">
      <c r="A315" s="1" t="s">
        <v>4096</v>
      </c>
      <c r="B315" s="19">
        <v>46182</v>
      </c>
      <c r="C315" s="1" t="s">
        <v>604</v>
      </c>
      <c r="D315" s="1" t="s">
        <v>22</v>
      </c>
      <c r="E315" s="1" t="s">
        <v>321</v>
      </c>
      <c r="F315" s="1">
        <v>5647</v>
      </c>
      <c r="G315" s="1" t="s">
        <v>4061</v>
      </c>
      <c r="H315" s="1" t="s">
        <v>79</v>
      </c>
      <c r="I315" s="1" t="s">
        <v>3720</v>
      </c>
      <c r="J315" s="1" t="s">
        <v>4097</v>
      </c>
    </row>
    <row r="316" spans="1:10" x14ac:dyDescent="0.25">
      <c r="A316" s="1" t="s">
        <v>4098</v>
      </c>
      <c r="B316" s="19">
        <v>46182</v>
      </c>
      <c r="C316" s="1" t="s">
        <v>605</v>
      </c>
      <c r="D316" s="1" t="s">
        <v>22</v>
      </c>
      <c r="E316" s="1" t="s">
        <v>322</v>
      </c>
      <c r="F316" s="1">
        <v>5648</v>
      </c>
      <c r="G316" s="1" t="s">
        <v>345</v>
      </c>
      <c r="H316" s="1" t="s">
        <v>76</v>
      </c>
      <c r="I316" s="1" t="s">
        <v>3720</v>
      </c>
      <c r="J316" s="1" t="s">
        <v>78</v>
      </c>
    </row>
    <row r="317" spans="1:10" x14ac:dyDescent="0.25">
      <c r="A317" s="1" t="s">
        <v>4099</v>
      </c>
      <c r="B317" s="19">
        <v>46182</v>
      </c>
      <c r="C317" s="1" t="s">
        <v>606</v>
      </c>
      <c r="D317" s="1" t="s">
        <v>21</v>
      </c>
      <c r="E317" s="1" t="s">
        <v>323</v>
      </c>
      <c r="F317" s="1">
        <v>5650</v>
      </c>
      <c r="G317" s="1" t="s">
        <v>345</v>
      </c>
      <c r="H317" s="1" t="s">
        <v>76</v>
      </c>
      <c r="I317" s="1" t="s">
        <v>3720</v>
      </c>
      <c r="J317" s="1" t="s">
        <v>78</v>
      </c>
    </row>
    <row r="318" spans="1:10" x14ac:dyDescent="0.25">
      <c r="A318" s="1" t="s">
        <v>4100</v>
      </c>
      <c r="B318" s="19">
        <v>46182</v>
      </c>
      <c r="C318" s="1" t="s">
        <v>607</v>
      </c>
      <c r="D318" s="1" t="s">
        <v>22</v>
      </c>
      <c r="E318" s="1" t="s">
        <v>324</v>
      </c>
      <c r="F318" s="1">
        <v>5651</v>
      </c>
      <c r="G318" s="1" t="s">
        <v>345</v>
      </c>
      <c r="H318" s="1" t="s">
        <v>76</v>
      </c>
      <c r="I318" s="1" t="s">
        <v>3720</v>
      </c>
      <c r="J318" s="1" t="s">
        <v>78</v>
      </c>
    </row>
    <row r="319" spans="1:10" ht="30" customHeight="1" x14ac:dyDescent="0.25">
      <c r="A319" s="1" t="s">
        <v>4101</v>
      </c>
      <c r="B319" s="19">
        <v>46182</v>
      </c>
      <c r="C319" s="1" t="s">
        <v>607</v>
      </c>
      <c r="D319" s="1" t="s">
        <v>22</v>
      </c>
      <c r="E319" s="1" t="s">
        <v>324</v>
      </c>
      <c r="F319" s="1">
        <v>5651</v>
      </c>
      <c r="G319" s="1" t="s">
        <v>4061</v>
      </c>
      <c r="H319" s="1" t="s">
        <v>79</v>
      </c>
      <c r="I319" s="1" t="s">
        <v>3720</v>
      </c>
      <c r="J319" s="1" t="s">
        <v>4102</v>
      </c>
    </row>
    <row r="320" spans="1:10" x14ac:dyDescent="0.25">
      <c r="A320" s="1" t="s">
        <v>4103</v>
      </c>
      <c r="B320" s="19">
        <v>46182</v>
      </c>
      <c r="C320" s="1" t="s">
        <v>608</v>
      </c>
      <c r="D320" s="1" t="s">
        <v>22</v>
      </c>
      <c r="E320" s="1" t="s">
        <v>325</v>
      </c>
      <c r="F320" s="1">
        <v>5652</v>
      </c>
      <c r="G320" s="1" t="s">
        <v>345</v>
      </c>
      <c r="H320" s="1" t="s">
        <v>76</v>
      </c>
      <c r="I320" s="1" t="s">
        <v>3720</v>
      </c>
      <c r="J320" s="1" t="s">
        <v>78</v>
      </c>
    </row>
    <row r="321" spans="1:10" x14ac:dyDescent="0.25">
      <c r="A321" s="1" t="s">
        <v>4104</v>
      </c>
      <c r="B321" s="19">
        <v>46182</v>
      </c>
      <c r="C321" s="1" t="s">
        <v>610</v>
      </c>
      <c r="D321" s="1" t="s">
        <v>22</v>
      </c>
      <c r="E321" s="1" t="s">
        <v>328</v>
      </c>
      <c r="F321" s="1">
        <v>5654</v>
      </c>
      <c r="G321" s="1" t="s">
        <v>345</v>
      </c>
      <c r="H321" s="1" t="s">
        <v>76</v>
      </c>
      <c r="I321" s="1" t="s">
        <v>3720</v>
      </c>
      <c r="J321" s="1" t="s">
        <v>78</v>
      </c>
    </row>
    <row r="322" spans="1:10" x14ac:dyDescent="0.25">
      <c r="A322" s="1" t="s">
        <v>4105</v>
      </c>
      <c r="B322" s="19">
        <v>46182</v>
      </c>
      <c r="C322" s="1" t="s">
        <v>611</v>
      </c>
      <c r="D322" s="1" t="s">
        <v>21</v>
      </c>
      <c r="E322" s="1" t="s">
        <v>329</v>
      </c>
      <c r="F322" s="1">
        <v>5655</v>
      </c>
      <c r="G322" s="1" t="s">
        <v>345</v>
      </c>
      <c r="H322" s="1" t="s">
        <v>76</v>
      </c>
      <c r="I322" s="1" t="s">
        <v>3720</v>
      </c>
      <c r="J322" s="1" t="s">
        <v>78</v>
      </c>
    </row>
    <row r="323" spans="1:10" x14ac:dyDescent="0.25">
      <c r="A323" s="1" t="s">
        <v>4106</v>
      </c>
      <c r="B323" s="19">
        <v>46182</v>
      </c>
      <c r="C323" s="1" t="s">
        <v>612</v>
      </c>
      <c r="D323" s="1" t="s">
        <v>22</v>
      </c>
      <c r="E323" s="1" t="s">
        <v>330</v>
      </c>
      <c r="F323" s="1">
        <v>5656</v>
      </c>
      <c r="G323" s="1" t="s">
        <v>345</v>
      </c>
      <c r="H323" s="1" t="s">
        <v>76</v>
      </c>
      <c r="I323" s="1" t="s">
        <v>3720</v>
      </c>
      <c r="J323" s="1" t="s">
        <v>78</v>
      </c>
    </row>
    <row r="324" spans="1:10" x14ac:dyDescent="0.25">
      <c r="A324" s="1" t="s">
        <v>4107</v>
      </c>
      <c r="B324" s="19">
        <v>46182</v>
      </c>
      <c r="C324" s="1" t="s">
        <v>613</v>
      </c>
      <c r="D324" s="1" t="s">
        <v>22</v>
      </c>
      <c r="E324" s="1" t="s">
        <v>331</v>
      </c>
      <c r="F324" s="1">
        <v>5657</v>
      </c>
      <c r="G324" s="1" t="s">
        <v>345</v>
      </c>
      <c r="H324" s="1" t="s">
        <v>76</v>
      </c>
      <c r="I324" s="1" t="s">
        <v>3720</v>
      </c>
      <c r="J324" s="1" t="s">
        <v>78</v>
      </c>
    </row>
    <row r="325" spans="1:10" x14ac:dyDescent="0.25">
      <c r="A325" s="1" t="s">
        <v>4108</v>
      </c>
      <c r="B325" s="19">
        <v>46182</v>
      </c>
      <c r="C325" s="1" t="s">
        <v>614</v>
      </c>
      <c r="D325" s="1" t="s">
        <v>22</v>
      </c>
      <c r="E325" s="1" t="s">
        <v>332</v>
      </c>
      <c r="F325" s="1">
        <v>5658</v>
      </c>
      <c r="G325" s="1" t="s">
        <v>345</v>
      </c>
      <c r="H325" s="1" t="s">
        <v>76</v>
      </c>
      <c r="I325" s="1" t="s">
        <v>3720</v>
      </c>
      <c r="J325" s="1" t="s">
        <v>78</v>
      </c>
    </row>
    <row r="326" spans="1:10" x14ac:dyDescent="0.25">
      <c r="A326" s="1" t="s">
        <v>4109</v>
      </c>
      <c r="B326" s="19">
        <v>46182</v>
      </c>
      <c r="C326" s="1" t="s">
        <v>615</v>
      </c>
      <c r="D326" s="1" t="s">
        <v>21</v>
      </c>
      <c r="E326" s="1" t="s">
        <v>81</v>
      </c>
      <c r="F326" s="1">
        <v>5659</v>
      </c>
      <c r="G326" s="1" t="s">
        <v>355</v>
      </c>
      <c r="H326" s="1" t="s">
        <v>76</v>
      </c>
      <c r="I326" s="1" t="s">
        <v>3720</v>
      </c>
      <c r="J326" s="1" t="s">
        <v>82</v>
      </c>
    </row>
    <row r="327" spans="1:10" x14ac:dyDescent="0.25">
      <c r="A327" s="1" t="s">
        <v>4110</v>
      </c>
      <c r="B327" s="19">
        <v>46182</v>
      </c>
      <c r="C327" s="1" t="s">
        <v>615</v>
      </c>
      <c r="D327" s="1" t="s">
        <v>21</v>
      </c>
      <c r="E327" s="1" t="s">
        <v>81</v>
      </c>
      <c r="F327" s="1">
        <v>5659</v>
      </c>
      <c r="G327" s="1" t="s">
        <v>345</v>
      </c>
      <c r="H327" s="1" t="s">
        <v>76</v>
      </c>
      <c r="I327" s="1" t="s">
        <v>3720</v>
      </c>
      <c r="J327" s="1" t="s">
        <v>78</v>
      </c>
    </row>
    <row r="328" spans="1:10" x14ac:dyDescent="0.25">
      <c r="A328" s="1" t="s">
        <v>4111</v>
      </c>
      <c r="B328" s="19">
        <v>46182</v>
      </c>
      <c r="C328" s="1" t="s">
        <v>615</v>
      </c>
      <c r="D328" s="1" t="s">
        <v>21</v>
      </c>
      <c r="E328" s="1" t="s">
        <v>81</v>
      </c>
      <c r="F328" s="1">
        <v>5659</v>
      </c>
      <c r="G328" s="1" t="s">
        <v>361</v>
      </c>
      <c r="H328" s="1" t="s">
        <v>79</v>
      </c>
      <c r="I328" s="1" t="s">
        <v>3720</v>
      </c>
      <c r="J328" s="1" t="s">
        <v>4112</v>
      </c>
    </row>
    <row r="329" spans="1:10" x14ac:dyDescent="0.25">
      <c r="A329" s="1" t="s">
        <v>4113</v>
      </c>
      <c r="B329" s="19">
        <v>46182</v>
      </c>
      <c r="C329" s="1" t="s">
        <v>616</v>
      </c>
      <c r="D329" s="1" t="s">
        <v>21</v>
      </c>
      <c r="E329" s="1" t="s">
        <v>81</v>
      </c>
      <c r="F329" s="1">
        <v>5660</v>
      </c>
      <c r="G329" s="1" t="s">
        <v>355</v>
      </c>
      <c r="H329" s="1" t="s">
        <v>76</v>
      </c>
      <c r="I329" s="1" t="s">
        <v>3720</v>
      </c>
      <c r="J329" s="1" t="s">
        <v>82</v>
      </c>
    </row>
    <row r="330" spans="1:10" x14ac:dyDescent="0.25">
      <c r="A330" s="1" t="s">
        <v>4114</v>
      </c>
      <c r="B330" s="19">
        <v>46182</v>
      </c>
      <c r="C330" s="1" t="s">
        <v>616</v>
      </c>
      <c r="D330" s="1" t="s">
        <v>21</v>
      </c>
      <c r="E330" s="1" t="s">
        <v>81</v>
      </c>
      <c r="F330" s="1">
        <v>5660</v>
      </c>
      <c r="G330" s="1" t="s">
        <v>345</v>
      </c>
      <c r="H330" s="1" t="s">
        <v>76</v>
      </c>
      <c r="I330" s="1" t="s">
        <v>3720</v>
      </c>
      <c r="J330" s="1" t="s">
        <v>78</v>
      </c>
    </row>
    <row r="331" spans="1:10" x14ac:dyDescent="0.25">
      <c r="A331" s="1" t="s">
        <v>4115</v>
      </c>
      <c r="B331" s="19">
        <v>46182</v>
      </c>
      <c r="C331" s="1" t="s">
        <v>616</v>
      </c>
      <c r="D331" s="1" t="s">
        <v>21</v>
      </c>
      <c r="E331" s="1" t="s">
        <v>81</v>
      </c>
      <c r="F331" s="1">
        <v>5660</v>
      </c>
      <c r="G331" s="1" t="s">
        <v>361</v>
      </c>
      <c r="H331" s="1" t="s">
        <v>79</v>
      </c>
      <c r="I331" s="1" t="s">
        <v>3720</v>
      </c>
      <c r="J331" s="1" t="s">
        <v>4112</v>
      </c>
    </row>
    <row r="332" spans="1:10" x14ac:dyDescent="0.25">
      <c r="A332" s="1" t="s">
        <v>4116</v>
      </c>
      <c r="B332" s="19">
        <v>46182</v>
      </c>
      <c r="C332" s="1" t="s">
        <v>617</v>
      </c>
      <c r="D332" s="1" t="s">
        <v>21</v>
      </c>
      <c r="E332" s="1" t="s">
        <v>81</v>
      </c>
      <c r="F332" s="1">
        <v>5661</v>
      </c>
      <c r="G332" s="1" t="s">
        <v>355</v>
      </c>
      <c r="H332" s="1" t="s">
        <v>76</v>
      </c>
      <c r="I332" s="1" t="s">
        <v>3720</v>
      </c>
      <c r="J332" s="1" t="s">
        <v>82</v>
      </c>
    </row>
    <row r="333" spans="1:10" x14ac:dyDescent="0.25">
      <c r="A333" s="1" t="s">
        <v>4117</v>
      </c>
      <c r="B333" s="19">
        <v>46182</v>
      </c>
      <c r="C333" s="1" t="s">
        <v>617</v>
      </c>
      <c r="D333" s="1" t="s">
        <v>21</v>
      </c>
      <c r="E333" s="1" t="s">
        <v>81</v>
      </c>
      <c r="F333" s="1">
        <v>5661</v>
      </c>
      <c r="G333" s="1" t="s">
        <v>345</v>
      </c>
      <c r="H333" s="1" t="s">
        <v>76</v>
      </c>
      <c r="I333" s="1" t="s">
        <v>3720</v>
      </c>
      <c r="J333" s="1" t="s">
        <v>78</v>
      </c>
    </row>
    <row r="334" spans="1:10" x14ac:dyDescent="0.25">
      <c r="A334" s="1" t="s">
        <v>4118</v>
      </c>
      <c r="B334" s="19">
        <v>46182</v>
      </c>
      <c r="C334" s="1" t="s">
        <v>617</v>
      </c>
      <c r="D334" s="1" t="s">
        <v>21</v>
      </c>
      <c r="E334" s="1" t="s">
        <v>81</v>
      </c>
      <c r="F334" s="1">
        <v>5661</v>
      </c>
      <c r="G334" s="1" t="s">
        <v>361</v>
      </c>
      <c r="H334" s="1" t="s">
        <v>79</v>
      </c>
      <c r="I334" s="1" t="s">
        <v>3720</v>
      </c>
      <c r="J334" s="1" t="s">
        <v>4112</v>
      </c>
    </row>
    <row r="335" spans="1:10" x14ac:dyDescent="0.25">
      <c r="A335" s="1" t="s">
        <v>4119</v>
      </c>
      <c r="B335" s="19">
        <v>46182</v>
      </c>
      <c r="C335" s="1" t="s">
        <v>618</v>
      </c>
      <c r="D335" s="1" t="s">
        <v>21</v>
      </c>
      <c r="E335" s="1" t="s">
        <v>81</v>
      </c>
      <c r="F335" s="1">
        <v>5662</v>
      </c>
      <c r="G335" s="1" t="s">
        <v>355</v>
      </c>
      <c r="H335" s="1" t="s">
        <v>76</v>
      </c>
      <c r="I335" s="1" t="s">
        <v>3720</v>
      </c>
      <c r="J335" s="1" t="s">
        <v>82</v>
      </c>
    </row>
    <row r="336" spans="1:10" x14ac:dyDescent="0.25">
      <c r="A336" s="1" t="s">
        <v>4120</v>
      </c>
      <c r="B336" s="19">
        <v>46182</v>
      </c>
      <c r="C336" s="1" t="s">
        <v>618</v>
      </c>
      <c r="D336" s="1" t="s">
        <v>21</v>
      </c>
      <c r="E336" s="1" t="s">
        <v>81</v>
      </c>
      <c r="F336" s="1">
        <v>5662</v>
      </c>
      <c r="G336" s="1" t="s">
        <v>345</v>
      </c>
      <c r="H336" s="1" t="s">
        <v>76</v>
      </c>
      <c r="I336" s="1" t="s">
        <v>3720</v>
      </c>
      <c r="J336" s="1" t="s">
        <v>78</v>
      </c>
    </row>
    <row r="337" spans="1:10" x14ac:dyDescent="0.25">
      <c r="A337" s="1" t="s">
        <v>4121</v>
      </c>
      <c r="B337" s="19">
        <v>46182</v>
      </c>
      <c r="C337" s="1" t="s">
        <v>618</v>
      </c>
      <c r="D337" s="1" t="s">
        <v>21</v>
      </c>
      <c r="E337" s="1" t="s">
        <v>81</v>
      </c>
      <c r="F337" s="1">
        <v>5662</v>
      </c>
      <c r="G337" s="1" t="s">
        <v>361</v>
      </c>
      <c r="H337" s="1" t="s">
        <v>79</v>
      </c>
      <c r="I337" s="1" t="s">
        <v>3720</v>
      </c>
      <c r="J337" s="1" t="s">
        <v>4112</v>
      </c>
    </row>
    <row r="338" spans="1:10" x14ac:dyDescent="0.25">
      <c r="A338" s="1" t="s">
        <v>4122</v>
      </c>
      <c r="B338" s="19">
        <v>46182</v>
      </c>
      <c r="C338" s="1" t="s">
        <v>619</v>
      </c>
      <c r="D338" s="1" t="s">
        <v>21</v>
      </c>
      <c r="E338" s="1" t="s">
        <v>81</v>
      </c>
      <c r="F338" s="1">
        <v>5663</v>
      </c>
      <c r="G338" s="1" t="s">
        <v>355</v>
      </c>
      <c r="H338" s="1" t="s">
        <v>76</v>
      </c>
      <c r="I338" s="1" t="s">
        <v>3720</v>
      </c>
      <c r="J338" s="1" t="s">
        <v>82</v>
      </c>
    </row>
    <row r="339" spans="1:10" x14ac:dyDescent="0.25">
      <c r="A339" s="1" t="s">
        <v>4123</v>
      </c>
      <c r="B339" s="19">
        <v>46182</v>
      </c>
      <c r="C339" s="1" t="s">
        <v>619</v>
      </c>
      <c r="D339" s="1" t="s">
        <v>21</v>
      </c>
      <c r="E339" s="1" t="s">
        <v>81</v>
      </c>
      <c r="F339" s="1">
        <v>5663</v>
      </c>
      <c r="G339" s="1" t="s">
        <v>345</v>
      </c>
      <c r="H339" s="1" t="s">
        <v>76</v>
      </c>
      <c r="I339" s="1" t="s">
        <v>3720</v>
      </c>
      <c r="J339" s="1" t="s">
        <v>78</v>
      </c>
    </row>
    <row r="340" spans="1:10" x14ac:dyDescent="0.25">
      <c r="A340" s="1" t="s">
        <v>4124</v>
      </c>
      <c r="B340" s="19">
        <v>46182</v>
      </c>
      <c r="C340" s="1" t="s">
        <v>619</v>
      </c>
      <c r="D340" s="1" t="s">
        <v>21</v>
      </c>
      <c r="E340" s="1" t="s">
        <v>81</v>
      </c>
      <c r="F340" s="1">
        <v>5663</v>
      </c>
      <c r="G340" s="1" t="s">
        <v>361</v>
      </c>
      <c r="H340" s="1" t="s">
        <v>79</v>
      </c>
      <c r="I340" s="1" t="s">
        <v>3720</v>
      </c>
      <c r="J340" s="1" t="s">
        <v>4112</v>
      </c>
    </row>
    <row r="341" spans="1:10" x14ac:dyDescent="0.25">
      <c r="A341" s="1" t="s">
        <v>4125</v>
      </c>
      <c r="B341" s="19">
        <v>46182</v>
      </c>
      <c r="C341" s="1" t="s">
        <v>620</v>
      </c>
      <c r="D341" s="1" t="s">
        <v>21</v>
      </c>
      <c r="E341" s="1" t="s">
        <v>81</v>
      </c>
      <c r="F341" s="1">
        <v>5664</v>
      </c>
      <c r="G341" s="1" t="s">
        <v>355</v>
      </c>
      <c r="H341" s="1" t="s">
        <v>76</v>
      </c>
      <c r="I341" s="1" t="s">
        <v>3720</v>
      </c>
      <c r="J341" s="1" t="s">
        <v>82</v>
      </c>
    </row>
    <row r="342" spans="1:10" x14ac:dyDescent="0.25">
      <c r="A342" s="1" t="s">
        <v>4126</v>
      </c>
      <c r="B342" s="19">
        <v>46182</v>
      </c>
      <c r="C342" s="1" t="s">
        <v>620</v>
      </c>
      <c r="D342" s="1" t="s">
        <v>21</v>
      </c>
      <c r="E342" s="1" t="s">
        <v>81</v>
      </c>
      <c r="F342" s="1">
        <v>5664</v>
      </c>
      <c r="G342" s="1" t="s">
        <v>345</v>
      </c>
      <c r="H342" s="1" t="s">
        <v>76</v>
      </c>
      <c r="I342" s="1" t="s">
        <v>3720</v>
      </c>
      <c r="J342" s="1" t="s">
        <v>78</v>
      </c>
    </row>
    <row r="343" spans="1:10" x14ac:dyDescent="0.25">
      <c r="A343" s="1" t="s">
        <v>4127</v>
      </c>
      <c r="B343" s="19">
        <v>46182</v>
      </c>
      <c r="C343" s="1" t="s">
        <v>620</v>
      </c>
      <c r="D343" s="1" t="s">
        <v>21</v>
      </c>
      <c r="E343" s="1" t="s">
        <v>81</v>
      </c>
      <c r="F343" s="1">
        <v>5664</v>
      </c>
      <c r="G343" s="1" t="s">
        <v>361</v>
      </c>
      <c r="H343" s="1" t="s">
        <v>79</v>
      </c>
      <c r="I343" s="1" t="s">
        <v>3720</v>
      </c>
      <c r="J343" s="1" t="s">
        <v>4112</v>
      </c>
    </row>
    <row r="344" spans="1:10" x14ac:dyDescent="0.25">
      <c r="A344" s="1" t="s">
        <v>4128</v>
      </c>
      <c r="B344" s="19">
        <v>46182</v>
      </c>
      <c r="C344" s="1" t="s">
        <v>621</v>
      </c>
      <c r="D344" s="1" t="s">
        <v>21</v>
      </c>
      <c r="E344" s="1" t="s">
        <v>81</v>
      </c>
      <c r="F344" s="1">
        <v>5665</v>
      </c>
      <c r="G344" s="1" t="s">
        <v>355</v>
      </c>
      <c r="H344" s="1" t="s">
        <v>76</v>
      </c>
      <c r="I344" s="1" t="s">
        <v>3720</v>
      </c>
      <c r="J344" s="1" t="s">
        <v>82</v>
      </c>
    </row>
    <row r="345" spans="1:10" x14ac:dyDescent="0.25">
      <c r="A345" s="1" t="s">
        <v>4129</v>
      </c>
      <c r="B345" s="19">
        <v>46182</v>
      </c>
      <c r="C345" s="1" t="s">
        <v>621</v>
      </c>
      <c r="D345" s="1" t="s">
        <v>21</v>
      </c>
      <c r="E345" s="1" t="s">
        <v>81</v>
      </c>
      <c r="F345" s="1">
        <v>5665</v>
      </c>
      <c r="G345" s="1" t="s">
        <v>345</v>
      </c>
      <c r="H345" s="1" t="s">
        <v>76</v>
      </c>
      <c r="I345" s="1" t="s">
        <v>3720</v>
      </c>
      <c r="J345" s="1" t="s">
        <v>78</v>
      </c>
    </row>
    <row r="346" spans="1:10" x14ac:dyDescent="0.25">
      <c r="A346" s="1" t="s">
        <v>4130</v>
      </c>
      <c r="B346" s="19">
        <v>46182</v>
      </c>
      <c r="C346" s="1" t="s">
        <v>621</v>
      </c>
      <c r="D346" s="1" t="s">
        <v>21</v>
      </c>
      <c r="E346" s="1" t="s">
        <v>81</v>
      </c>
      <c r="F346" s="1">
        <v>5665</v>
      </c>
      <c r="G346" s="1" t="s">
        <v>361</v>
      </c>
      <c r="H346" s="1" t="s">
        <v>79</v>
      </c>
      <c r="I346" s="1" t="s">
        <v>3720</v>
      </c>
      <c r="J346" s="1" t="s">
        <v>4112</v>
      </c>
    </row>
    <row r="347" spans="1:10" x14ac:dyDescent="0.25">
      <c r="A347" s="1" t="s">
        <v>4131</v>
      </c>
      <c r="B347" s="19">
        <v>46182</v>
      </c>
      <c r="C347" s="1" t="s">
        <v>622</v>
      </c>
      <c r="D347" s="1" t="s">
        <v>21</v>
      </c>
      <c r="E347" s="1" t="s">
        <v>81</v>
      </c>
      <c r="F347" s="1">
        <v>5666</v>
      </c>
      <c r="G347" s="1" t="s">
        <v>355</v>
      </c>
      <c r="H347" s="1" t="s">
        <v>76</v>
      </c>
      <c r="I347" s="1" t="s">
        <v>3720</v>
      </c>
      <c r="J347" s="1" t="s">
        <v>82</v>
      </c>
    </row>
    <row r="348" spans="1:10" x14ac:dyDescent="0.25">
      <c r="A348" s="1" t="s">
        <v>4132</v>
      </c>
      <c r="B348" s="19">
        <v>46182</v>
      </c>
      <c r="C348" s="1" t="s">
        <v>622</v>
      </c>
      <c r="D348" s="1" t="s">
        <v>21</v>
      </c>
      <c r="E348" s="1" t="s">
        <v>81</v>
      </c>
      <c r="F348" s="1">
        <v>5666</v>
      </c>
      <c r="G348" s="1" t="s">
        <v>345</v>
      </c>
      <c r="H348" s="1" t="s">
        <v>76</v>
      </c>
      <c r="I348" s="1" t="s">
        <v>3720</v>
      </c>
      <c r="J348" s="1" t="s">
        <v>78</v>
      </c>
    </row>
    <row r="349" spans="1:10" x14ac:dyDescent="0.25">
      <c r="A349" s="1" t="s">
        <v>4133</v>
      </c>
      <c r="B349" s="19">
        <v>46182</v>
      </c>
      <c r="C349" s="1" t="s">
        <v>622</v>
      </c>
      <c r="D349" s="1" t="s">
        <v>21</v>
      </c>
      <c r="E349" s="1" t="s">
        <v>81</v>
      </c>
      <c r="F349" s="1">
        <v>5666</v>
      </c>
      <c r="G349" s="1" t="s">
        <v>361</v>
      </c>
      <c r="H349" s="1" t="s">
        <v>79</v>
      </c>
      <c r="I349" s="1" t="s">
        <v>3720</v>
      </c>
      <c r="J349" s="1" t="s">
        <v>4112</v>
      </c>
    </row>
    <row r="350" spans="1:10" x14ac:dyDescent="0.25">
      <c r="A350" s="1" t="s">
        <v>4134</v>
      </c>
      <c r="B350" s="19">
        <v>46182</v>
      </c>
      <c r="C350" s="1" t="s">
        <v>623</v>
      </c>
      <c r="D350" s="1" t="s">
        <v>21</v>
      </c>
      <c r="E350" s="1" t="s">
        <v>81</v>
      </c>
      <c r="F350" s="1">
        <v>5667</v>
      </c>
      <c r="G350" s="1" t="s">
        <v>355</v>
      </c>
      <c r="H350" s="1" t="s">
        <v>76</v>
      </c>
      <c r="I350" s="1" t="s">
        <v>3720</v>
      </c>
      <c r="J350" s="1" t="s">
        <v>82</v>
      </c>
    </row>
    <row r="351" spans="1:10" x14ac:dyDescent="0.25">
      <c r="A351" s="1" t="s">
        <v>4135</v>
      </c>
      <c r="B351" s="19">
        <v>46182</v>
      </c>
      <c r="C351" s="1" t="s">
        <v>623</v>
      </c>
      <c r="D351" s="1" t="s">
        <v>21</v>
      </c>
      <c r="E351" s="1" t="s">
        <v>81</v>
      </c>
      <c r="F351" s="1">
        <v>5667</v>
      </c>
      <c r="G351" s="1" t="s">
        <v>345</v>
      </c>
      <c r="H351" s="1" t="s">
        <v>76</v>
      </c>
      <c r="I351" s="1" t="s">
        <v>3720</v>
      </c>
      <c r="J351" s="1" t="s">
        <v>78</v>
      </c>
    </row>
    <row r="352" spans="1:10" x14ac:dyDescent="0.25">
      <c r="A352" s="1" t="s">
        <v>4136</v>
      </c>
      <c r="B352" s="19">
        <v>46182</v>
      </c>
      <c r="C352" s="1" t="s">
        <v>623</v>
      </c>
      <c r="D352" s="1" t="s">
        <v>21</v>
      </c>
      <c r="E352" s="1" t="s">
        <v>81</v>
      </c>
      <c r="F352" s="1">
        <v>5667</v>
      </c>
      <c r="G352" s="1" t="s">
        <v>361</v>
      </c>
      <c r="H352" s="1" t="s">
        <v>79</v>
      </c>
      <c r="I352" s="1" t="s">
        <v>3720</v>
      </c>
      <c r="J352" s="1" t="s">
        <v>4112</v>
      </c>
    </row>
    <row r="353" spans="1:10" x14ac:dyDescent="0.25">
      <c r="A353" s="1" t="s">
        <v>4137</v>
      </c>
      <c r="B353" s="19">
        <v>46182</v>
      </c>
      <c r="C353" s="1" t="s">
        <v>624</v>
      </c>
      <c r="D353" s="1" t="s">
        <v>21</v>
      </c>
      <c r="E353" s="1" t="s">
        <v>81</v>
      </c>
      <c r="F353" s="1">
        <v>5668</v>
      </c>
      <c r="G353" s="1" t="s">
        <v>355</v>
      </c>
      <c r="H353" s="1" t="s">
        <v>76</v>
      </c>
      <c r="I353" s="1" t="s">
        <v>3720</v>
      </c>
      <c r="J353" s="1" t="s">
        <v>82</v>
      </c>
    </row>
    <row r="354" spans="1:10" x14ac:dyDescent="0.25">
      <c r="A354" s="1" t="s">
        <v>4138</v>
      </c>
      <c r="B354" s="19">
        <v>46182</v>
      </c>
      <c r="C354" s="1" t="s">
        <v>624</v>
      </c>
      <c r="D354" s="1" t="s">
        <v>21</v>
      </c>
      <c r="E354" s="1" t="s">
        <v>81</v>
      </c>
      <c r="F354" s="1">
        <v>5668</v>
      </c>
      <c r="G354" s="1" t="s">
        <v>345</v>
      </c>
      <c r="H354" s="1" t="s">
        <v>76</v>
      </c>
      <c r="I354" s="1" t="s">
        <v>3720</v>
      </c>
      <c r="J354" s="1" t="s">
        <v>78</v>
      </c>
    </row>
    <row r="355" spans="1:10" x14ac:dyDescent="0.25">
      <c r="A355" s="1" t="s">
        <v>4139</v>
      </c>
      <c r="B355" s="19">
        <v>46182</v>
      </c>
      <c r="C355" s="1" t="s">
        <v>624</v>
      </c>
      <c r="D355" s="1" t="s">
        <v>21</v>
      </c>
      <c r="E355" s="1" t="s">
        <v>81</v>
      </c>
      <c r="F355" s="1">
        <v>5668</v>
      </c>
      <c r="G355" s="1" t="s">
        <v>361</v>
      </c>
      <c r="H355" s="1" t="s">
        <v>79</v>
      </c>
      <c r="I355" s="1" t="s">
        <v>3720</v>
      </c>
      <c r="J355" s="1" t="s">
        <v>4112</v>
      </c>
    </row>
    <row r="356" spans="1:10" x14ac:dyDescent="0.25">
      <c r="A356" s="1" t="s">
        <v>4140</v>
      </c>
      <c r="B356" s="19">
        <v>46182</v>
      </c>
      <c r="C356" s="1" t="s">
        <v>625</v>
      </c>
      <c r="D356" s="1" t="s">
        <v>21</v>
      </c>
      <c r="E356" s="1" t="s">
        <v>81</v>
      </c>
      <c r="F356" s="1">
        <v>5669</v>
      </c>
      <c r="G356" s="1" t="s">
        <v>355</v>
      </c>
      <c r="H356" s="1" t="s">
        <v>76</v>
      </c>
      <c r="I356" s="1" t="s">
        <v>3720</v>
      </c>
      <c r="J356" s="1" t="s">
        <v>82</v>
      </c>
    </row>
    <row r="357" spans="1:10" x14ac:dyDescent="0.25">
      <c r="A357" s="1" t="s">
        <v>4141</v>
      </c>
      <c r="B357" s="19">
        <v>46182</v>
      </c>
      <c r="C357" s="1" t="s">
        <v>625</v>
      </c>
      <c r="D357" s="1" t="s">
        <v>21</v>
      </c>
      <c r="E357" s="1" t="s">
        <v>81</v>
      </c>
      <c r="F357" s="1">
        <v>5669</v>
      </c>
      <c r="G357" s="1" t="s">
        <v>345</v>
      </c>
      <c r="H357" s="1" t="s">
        <v>76</v>
      </c>
      <c r="I357" s="1" t="s">
        <v>3720</v>
      </c>
      <c r="J357" s="1" t="s">
        <v>78</v>
      </c>
    </row>
    <row r="358" spans="1:10" x14ac:dyDescent="0.25">
      <c r="A358" s="1" t="s">
        <v>4142</v>
      </c>
      <c r="B358" s="19">
        <v>46182</v>
      </c>
      <c r="C358" s="1" t="s">
        <v>625</v>
      </c>
      <c r="D358" s="1" t="s">
        <v>21</v>
      </c>
      <c r="E358" s="1" t="s">
        <v>81</v>
      </c>
      <c r="F358" s="1">
        <v>5669</v>
      </c>
      <c r="G358" s="1" t="s">
        <v>361</v>
      </c>
      <c r="H358" s="1" t="s">
        <v>79</v>
      </c>
      <c r="I358" s="1" t="s">
        <v>3720</v>
      </c>
      <c r="J358" s="1" t="s">
        <v>4112</v>
      </c>
    </row>
    <row r="359" spans="1:10" x14ac:dyDescent="0.25">
      <c r="A359" s="1" t="s">
        <v>4143</v>
      </c>
      <c r="B359" s="19">
        <v>46182</v>
      </c>
      <c r="C359" s="1" t="s">
        <v>626</v>
      </c>
      <c r="D359" s="1" t="s">
        <v>21</v>
      </c>
      <c r="E359" s="1" t="s">
        <v>81</v>
      </c>
      <c r="F359" s="1">
        <v>5670</v>
      </c>
      <c r="G359" s="1" t="s">
        <v>355</v>
      </c>
      <c r="H359" s="1" t="s">
        <v>76</v>
      </c>
      <c r="I359" s="1" t="s">
        <v>3720</v>
      </c>
      <c r="J359" s="1" t="s">
        <v>82</v>
      </c>
    </row>
    <row r="360" spans="1:10" x14ac:dyDescent="0.25">
      <c r="A360" s="1" t="s">
        <v>4144</v>
      </c>
      <c r="B360" s="19">
        <v>46182</v>
      </c>
      <c r="C360" s="1" t="s">
        <v>626</v>
      </c>
      <c r="D360" s="1" t="s">
        <v>21</v>
      </c>
      <c r="E360" s="1" t="s">
        <v>81</v>
      </c>
      <c r="F360" s="1">
        <v>5670</v>
      </c>
      <c r="G360" s="1" t="s">
        <v>345</v>
      </c>
      <c r="H360" s="1" t="s">
        <v>76</v>
      </c>
      <c r="I360" s="1" t="s">
        <v>3720</v>
      </c>
      <c r="J360" s="1" t="s">
        <v>78</v>
      </c>
    </row>
    <row r="361" spans="1:10" x14ac:dyDescent="0.25">
      <c r="A361" s="1" t="s">
        <v>4145</v>
      </c>
      <c r="B361" s="19">
        <v>46182</v>
      </c>
      <c r="C361" s="1" t="s">
        <v>626</v>
      </c>
      <c r="D361" s="1" t="s">
        <v>21</v>
      </c>
      <c r="E361" s="1" t="s">
        <v>81</v>
      </c>
      <c r="F361" s="1">
        <v>5670</v>
      </c>
      <c r="G361" s="1" t="s">
        <v>361</v>
      </c>
      <c r="H361" s="1" t="s">
        <v>79</v>
      </c>
      <c r="I361" s="1" t="s">
        <v>3720</v>
      </c>
      <c r="J361" s="1" t="s">
        <v>4112</v>
      </c>
    </row>
    <row r="362" spans="1:10" x14ac:dyDescent="0.25">
      <c r="A362" s="1" t="s">
        <v>4146</v>
      </c>
      <c r="B362" s="19">
        <v>46182</v>
      </c>
      <c r="C362" s="1" t="s">
        <v>627</v>
      </c>
      <c r="D362" s="1" t="s">
        <v>21</v>
      </c>
      <c r="E362" s="1" t="s">
        <v>81</v>
      </c>
      <c r="F362" s="1">
        <v>5671</v>
      </c>
      <c r="G362" s="1" t="s">
        <v>355</v>
      </c>
      <c r="H362" s="1" t="s">
        <v>76</v>
      </c>
      <c r="I362" s="1" t="s">
        <v>3720</v>
      </c>
      <c r="J362" s="1" t="s">
        <v>82</v>
      </c>
    </row>
    <row r="363" spans="1:10" x14ac:dyDescent="0.25">
      <c r="A363" s="1" t="s">
        <v>4147</v>
      </c>
      <c r="B363" s="19">
        <v>46182</v>
      </c>
      <c r="C363" s="1" t="s">
        <v>627</v>
      </c>
      <c r="D363" s="1" t="s">
        <v>21</v>
      </c>
      <c r="E363" s="1" t="s">
        <v>81</v>
      </c>
      <c r="F363" s="1">
        <v>5671</v>
      </c>
      <c r="G363" s="1" t="s">
        <v>345</v>
      </c>
      <c r="H363" s="1" t="s">
        <v>76</v>
      </c>
      <c r="I363" s="1" t="s">
        <v>3720</v>
      </c>
      <c r="J363" s="1" t="s">
        <v>78</v>
      </c>
    </row>
    <row r="364" spans="1:10" x14ac:dyDescent="0.25">
      <c r="A364" s="1" t="s">
        <v>4148</v>
      </c>
      <c r="B364" s="19">
        <v>46182</v>
      </c>
      <c r="C364" s="1" t="s">
        <v>627</v>
      </c>
      <c r="D364" s="1" t="s">
        <v>21</v>
      </c>
      <c r="E364" s="1" t="s">
        <v>81</v>
      </c>
      <c r="F364" s="1">
        <v>5671</v>
      </c>
      <c r="G364" s="1" t="s">
        <v>361</v>
      </c>
      <c r="H364" s="1" t="s">
        <v>79</v>
      </c>
      <c r="I364" s="1" t="s">
        <v>3720</v>
      </c>
      <c r="J364" s="1" t="s">
        <v>4112</v>
      </c>
    </row>
    <row r="365" spans="1:10" x14ac:dyDescent="0.25">
      <c r="A365" s="1" t="s">
        <v>4149</v>
      </c>
      <c r="B365" s="19">
        <v>46182</v>
      </c>
      <c r="C365" s="1" t="s">
        <v>628</v>
      </c>
      <c r="D365" s="1" t="s">
        <v>21</v>
      </c>
      <c r="E365" s="1" t="s">
        <v>81</v>
      </c>
      <c r="F365" s="1">
        <v>5672</v>
      </c>
      <c r="G365" s="1" t="s">
        <v>355</v>
      </c>
      <c r="H365" s="1" t="s">
        <v>76</v>
      </c>
      <c r="I365" s="1" t="s">
        <v>3720</v>
      </c>
      <c r="J365" s="1" t="s">
        <v>82</v>
      </c>
    </row>
    <row r="366" spans="1:10" x14ac:dyDescent="0.25">
      <c r="A366" s="1" t="s">
        <v>4150</v>
      </c>
      <c r="B366" s="19">
        <v>46182</v>
      </c>
      <c r="C366" s="1" t="s">
        <v>628</v>
      </c>
      <c r="D366" s="1" t="s">
        <v>21</v>
      </c>
      <c r="E366" s="1" t="s">
        <v>81</v>
      </c>
      <c r="F366" s="1">
        <v>5672</v>
      </c>
      <c r="G366" s="1" t="s">
        <v>345</v>
      </c>
      <c r="H366" s="1" t="s">
        <v>76</v>
      </c>
      <c r="I366" s="1" t="s">
        <v>3720</v>
      </c>
      <c r="J366" s="1" t="s">
        <v>78</v>
      </c>
    </row>
    <row r="367" spans="1:10" x14ac:dyDescent="0.25">
      <c r="A367" s="1" t="s">
        <v>4151</v>
      </c>
      <c r="B367" s="19">
        <v>46182</v>
      </c>
      <c r="C367" s="1" t="s">
        <v>628</v>
      </c>
      <c r="D367" s="1" t="s">
        <v>21</v>
      </c>
      <c r="E367" s="1" t="s">
        <v>81</v>
      </c>
      <c r="F367" s="1">
        <v>5672</v>
      </c>
      <c r="G367" s="1" t="s">
        <v>361</v>
      </c>
      <c r="H367" s="1" t="s">
        <v>79</v>
      </c>
      <c r="I367" s="1" t="s">
        <v>3720</v>
      </c>
      <c r="J367" s="1" t="s">
        <v>4112</v>
      </c>
    </row>
    <row r="368" spans="1:10" x14ac:dyDescent="0.25">
      <c r="A368" s="1" t="s">
        <v>4152</v>
      </c>
      <c r="B368" s="19">
        <v>46182</v>
      </c>
      <c r="C368" s="1" t="s">
        <v>629</v>
      </c>
      <c r="D368" s="1" t="s">
        <v>21</v>
      </c>
      <c r="E368" s="1" t="s">
        <v>81</v>
      </c>
      <c r="F368" s="1">
        <v>5673</v>
      </c>
      <c r="G368" s="1" t="s">
        <v>355</v>
      </c>
      <c r="H368" s="1" t="s">
        <v>76</v>
      </c>
      <c r="I368" s="1" t="s">
        <v>3720</v>
      </c>
      <c r="J368" s="1" t="s">
        <v>82</v>
      </c>
    </row>
    <row r="369" spans="1:10" x14ac:dyDescent="0.25">
      <c r="A369" s="1" t="s">
        <v>4153</v>
      </c>
      <c r="B369" s="19">
        <v>46182</v>
      </c>
      <c r="C369" s="1" t="s">
        <v>629</v>
      </c>
      <c r="D369" s="1" t="s">
        <v>21</v>
      </c>
      <c r="E369" s="1" t="s">
        <v>81</v>
      </c>
      <c r="F369" s="1">
        <v>5673</v>
      </c>
      <c r="G369" s="1" t="s">
        <v>345</v>
      </c>
      <c r="H369" s="1" t="s">
        <v>76</v>
      </c>
      <c r="I369" s="1" t="s">
        <v>3720</v>
      </c>
      <c r="J369" s="1" t="s">
        <v>78</v>
      </c>
    </row>
    <row r="370" spans="1:10" x14ac:dyDescent="0.25">
      <c r="A370" s="1" t="s">
        <v>4154</v>
      </c>
      <c r="B370" s="19">
        <v>46182</v>
      </c>
      <c r="C370" s="1" t="s">
        <v>629</v>
      </c>
      <c r="D370" s="1" t="s">
        <v>21</v>
      </c>
      <c r="E370" s="1" t="s">
        <v>81</v>
      </c>
      <c r="F370" s="1">
        <v>5673</v>
      </c>
      <c r="G370" s="1" t="s">
        <v>361</v>
      </c>
      <c r="H370" s="1" t="s">
        <v>79</v>
      </c>
      <c r="I370" s="1" t="s">
        <v>3720</v>
      </c>
      <c r="J370" s="1" t="s">
        <v>4112</v>
      </c>
    </row>
    <row r="371" spans="1:10" x14ac:dyDescent="0.25">
      <c r="A371" s="1" t="s">
        <v>4155</v>
      </c>
      <c r="B371" s="19">
        <v>46182</v>
      </c>
      <c r="C371" s="1" t="s">
        <v>630</v>
      </c>
      <c r="D371" s="1" t="s">
        <v>21</v>
      </c>
      <c r="E371" s="1" t="s">
        <v>81</v>
      </c>
      <c r="F371" s="1">
        <v>5674</v>
      </c>
      <c r="G371" s="1" t="s">
        <v>355</v>
      </c>
      <c r="H371" s="1" t="s">
        <v>76</v>
      </c>
      <c r="I371" s="1" t="s">
        <v>3720</v>
      </c>
      <c r="J371" s="1" t="s">
        <v>82</v>
      </c>
    </row>
    <row r="372" spans="1:10" x14ac:dyDescent="0.25">
      <c r="A372" s="1" t="s">
        <v>4156</v>
      </c>
      <c r="B372" s="19">
        <v>46182</v>
      </c>
      <c r="C372" s="1" t="s">
        <v>630</v>
      </c>
      <c r="D372" s="1" t="s">
        <v>21</v>
      </c>
      <c r="E372" s="1" t="s">
        <v>81</v>
      </c>
      <c r="F372" s="1">
        <v>5674</v>
      </c>
      <c r="G372" s="1" t="s">
        <v>345</v>
      </c>
      <c r="H372" s="1" t="s">
        <v>76</v>
      </c>
      <c r="I372" s="1" t="s">
        <v>3720</v>
      </c>
      <c r="J372" s="1" t="s">
        <v>78</v>
      </c>
    </row>
    <row r="373" spans="1:10" x14ac:dyDescent="0.25">
      <c r="A373" s="1" t="s">
        <v>4157</v>
      </c>
      <c r="B373" s="19">
        <v>46182</v>
      </c>
      <c r="C373" s="1" t="s">
        <v>630</v>
      </c>
      <c r="D373" s="1" t="s">
        <v>21</v>
      </c>
      <c r="E373" s="1" t="s">
        <v>81</v>
      </c>
      <c r="F373" s="1">
        <v>5674</v>
      </c>
      <c r="G373" s="1" t="s">
        <v>361</v>
      </c>
      <c r="H373" s="1" t="s">
        <v>79</v>
      </c>
      <c r="I373" s="1" t="s">
        <v>3720</v>
      </c>
      <c r="J373" s="1" t="s">
        <v>4112</v>
      </c>
    </row>
    <row r="374" spans="1:10" x14ac:dyDescent="0.25">
      <c r="A374" s="1" t="s">
        <v>4158</v>
      </c>
      <c r="B374" s="19">
        <v>46182</v>
      </c>
      <c r="C374" s="1" t="s">
        <v>631</v>
      </c>
      <c r="D374" s="1" t="s">
        <v>21</v>
      </c>
      <c r="E374" s="1" t="s">
        <v>81</v>
      </c>
      <c r="F374" s="1">
        <v>5675</v>
      </c>
      <c r="G374" s="1" t="s">
        <v>355</v>
      </c>
      <c r="H374" s="1" t="s">
        <v>76</v>
      </c>
      <c r="I374" s="1" t="s">
        <v>3720</v>
      </c>
      <c r="J374" s="1" t="s">
        <v>82</v>
      </c>
    </row>
    <row r="375" spans="1:10" x14ac:dyDescent="0.25">
      <c r="A375" s="1" t="s">
        <v>4159</v>
      </c>
      <c r="B375" s="19">
        <v>46182</v>
      </c>
      <c r="C375" s="1" t="s">
        <v>631</v>
      </c>
      <c r="D375" s="1" t="s">
        <v>21</v>
      </c>
      <c r="E375" s="1" t="s">
        <v>81</v>
      </c>
      <c r="F375" s="1">
        <v>5675</v>
      </c>
      <c r="G375" s="1" t="s">
        <v>345</v>
      </c>
      <c r="H375" s="1" t="s">
        <v>76</v>
      </c>
      <c r="I375" s="1" t="s">
        <v>3720</v>
      </c>
      <c r="J375" s="1" t="s">
        <v>78</v>
      </c>
    </row>
    <row r="376" spans="1:10" x14ac:dyDescent="0.25">
      <c r="A376" s="1" t="s">
        <v>4160</v>
      </c>
      <c r="B376" s="19">
        <v>46182</v>
      </c>
      <c r="C376" s="1" t="s">
        <v>631</v>
      </c>
      <c r="D376" s="1" t="s">
        <v>21</v>
      </c>
      <c r="E376" s="1" t="s">
        <v>81</v>
      </c>
      <c r="F376" s="1">
        <v>5675</v>
      </c>
      <c r="G376" s="1" t="s">
        <v>361</v>
      </c>
      <c r="H376" s="1" t="s">
        <v>79</v>
      </c>
      <c r="I376" s="1" t="s">
        <v>3720</v>
      </c>
      <c r="J376" s="1" t="s">
        <v>4112</v>
      </c>
    </row>
    <row r="377" spans="1:10" x14ac:dyDescent="0.25">
      <c r="A377" s="1" t="s">
        <v>4161</v>
      </c>
      <c r="B377" s="19">
        <v>46182</v>
      </c>
      <c r="C377" s="1" t="s">
        <v>632</v>
      </c>
      <c r="D377" s="1" t="s">
        <v>21</v>
      </c>
      <c r="E377" s="1" t="s">
        <v>81</v>
      </c>
      <c r="F377" s="1">
        <v>5676</v>
      </c>
      <c r="G377" s="1" t="s">
        <v>355</v>
      </c>
      <c r="H377" s="1" t="s">
        <v>76</v>
      </c>
      <c r="I377" s="1" t="s">
        <v>3720</v>
      </c>
      <c r="J377" s="1" t="s">
        <v>82</v>
      </c>
    </row>
    <row r="378" spans="1:10" x14ac:dyDescent="0.25">
      <c r="A378" s="1" t="s">
        <v>4162</v>
      </c>
      <c r="B378" s="19">
        <v>46182</v>
      </c>
      <c r="C378" s="1" t="s">
        <v>632</v>
      </c>
      <c r="D378" s="1" t="s">
        <v>21</v>
      </c>
      <c r="E378" s="1" t="s">
        <v>81</v>
      </c>
      <c r="F378" s="1">
        <v>5676</v>
      </c>
      <c r="G378" s="1" t="s">
        <v>345</v>
      </c>
      <c r="H378" s="1" t="s">
        <v>76</v>
      </c>
      <c r="I378" s="1" t="s">
        <v>3720</v>
      </c>
      <c r="J378" s="1" t="s">
        <v>78</v>
      </c>
    </row>
    <row r="379" spans="1:10" x14ac:dyDescent="0.25">
      <c r="A379" s="1" t="s">
        <v>4163</v>
      </c>
      <c r="B379" s="19">
        <v>46182</v>
      </c>
      <c r="C379" s="1" t="s">
        <v>632</v>
      </c>
      <c r="D379" s="1" t="s">
        <v>21</v>
      </c>
      <c r="E379" s="1" t="s">
        <v>81</v>
      </c>
      <c r="F379" s="1">
        <v>5676</v>
      </c>
      <c r="G379" s="1" t="s">
        <v>361</v>
      </c>
      <c r="H379" s="1" t="s">
        <v>79</v>
      </c>
      <c r="I379" s="1" t="s">
        <v>3720</v>
      </c>
      <c r="J379" s="1" t="s">
        <v>4112</v>
      </c>
    </row>
    <row r="380" spans="1:10" x14ac:dyDescent="0.25">
      <c r="A380" s="1" t="s">
        <v>4164</v>
      </c>
      <c r="B380" s="19">
        <v>46182</v>
      </c>
      <c r="C380" s="1" t="s">
        <v>633</v>
      </c>
      <c r="D380" s="1" t="s">
        <v>21</v>
      </c>
      <c r="E380" s="1" t="s">
        <v>81</v>
      </c>
      <c r="F380" s="1">
        <v>5677</v>
      </c>
      <c r="G380" s="1" t="s">
        <v>355</v>
      </c>
      <c r="H380" s="1" t="s">
        <v>76</v>
      </c>
      <c r="I380" s="1" t="s">
        <v>3720</v>
      </c>
      <c r="J380" s="1" t="s">
        <v>82</v>
      </c>
    </row>
    <row r="381" spans="1:10" x14ac:dyDescent="0.25">
      <c r="A381" s="1" t="s">
        <v>4165</v>
      </c>
      <c r="B381" s="19">
        <v>46182</v>
      </c>
      <c r="C381" s="1" t="s">
        <v>633</v>
      </c>
      <c r="D381" s="1" t="s">
        <v>21</v>
      </c>
      <c r="E381" s="1" t="s">
        <v>81</v>
      </c>
      <c r="F381" s="1">
        <v>5677</v>
      </c>
      <c r="G381" s="1" t="s">
        <v>345</v>
      </c>
      <c r="H381" s="1" t="s">
        <v>76</v>
      </c>
      <c r="I381" s="1" t="s">
        <v>3720</v>
      </c>
      <c r="J381" s="1" t="s">
        <v>78</v>
      </c>
    </row>
    <row r="382" spans="1:10" x14ac:dyDescent="0.25">
      <c r="A382" s="1" t="s">
        <v>4166</v>
      </c>
      <c r="B382" s="19">
        <v>46182</v>
      </c>
      <c r="C382" s="1" t="s">
        <v>633</v>
      </c>
      <c r="D382" s="1" t="s">
        <v>21</v>
      </c>
      <c r="E382" s="1" t="s">
        <v>81</v>
      </c>
      <c r="F382" s="1">
        <v>5677</v>
      </c>
      <c r="G382" s="1" t="s">
        <v>361</v>
      </c>
      <c r="H382" s="1" t="s">
        <v>79</v>
      </c>
      <c r="I382" s="1" t="s">
        <v>3720</v>
      </c>
      <c r="J382" s="1" t="s">
        <v>4112</v>
      </c>
    </row>
    <row r="383" spans="1:10" x14ac:dyDescent="0.25">
      <c r="A383" s="1" t="s">
        <v>4167</v>
      </c>
      <c r="B383" s="19">
        <v>46182</v>
      </c>
      <c r="C383" s="1" t="s">
        <v>634</v>
      </c>
      <c r="D383" s="1" t="s">
        <v>21</v>
      </c>
      <c r="E383" s="1" t="s">
        <v>81</v>
      </c>
      <c r="F383" s="1">
        <v>5678</v>
      </c>
      <c r="G383" s="1" t="s">
        <v>355</v>
      </c>
      <c r="H383" s="1" t="s">
        <v>76</v>
      </c>
      <c r="I383" s="1" t="s">
        <v>3720</v>
      </c>
      <c r="J383" s="1" t="s">
        <v>82</v>
      </c>
    </row>
    <row r="384" spans="1:10" x14ac:dyDescent="0.25">
      <c r="A384" s="1" t="s">
        <v>4168</v>
      </c>
      <c r="B384" s="19">
        <v>46182</v>
      </c>
      <c r="C384" s="1" t="s">
        <v>634</v>
      </c>
      <c r="D384" s="1" t="s">
        <v>21</v>
      </c>
      <c r="E384" s="1" t="s">
        <v>81</v>
      </c>
      <c r="F384" s="1">
        <v>5678</v>
      </c>
      <c r="G384" s="1" t="s">
        <v>345</v>
      </c>
      <c r="H384" s="1" t="s">
        <v>76</v>
      </c>
      <c r="I384" s="1" t="s">
        <v>3720</v>
      </c>
      <c r="J384" s="1" t="s">
        <v>78</v>
      </c>
    </row>
    <row r="385" spans="1:10" x14ac:dyDescent="0.25">
      <c r="A385" s="1" t="s">
        <v>4169</v>
      </c>
      <c r="B385" s="19">
        <v>46182</v>
      </c>
      <c r="C385" s="1" t="s">
        <v>634</v>
      </c>
      <c r="D385" s="1" t="s">
        <v>21</v>
      </c>
      <c r="E385" s="1" t="s">
        <v>81</v>
      </c>
      <c r="F385" s="1">
        <v>5678</v>
      </c>
      <c r="G385" s="1" t="s">
        <v>361</v>
      </c>
      <c r="H385" s="1" t="s">
        <v>79</v>
      </c>
      <c r="I385" s="1" t="s">
        <v>3720</v>
      </c>
      <c r="J385" s="1" t="s">
        <v>4112</v>
      </c>
    </row>
    <row r="386" spans="1:10" x14ac:dyDescent="0.25">
      <c r="A386" s="1" t="s">
        <v>4170</v>
      </c>
      <c r="B386" s="19">
        <v>46182</v>
      </c>
      <c r="C386" s="1" t="s">
        <v>635</v>
      </c>
      <c r="D386" s="1" t="s">
        <v>21</v>
      </c>
      <c r="E386" s="1" t="s">
        <v>81</v>
      </c>
      <c r="F386" s="1">
        <v>5679</v>
      </c>
      <c r="G386" s="1" t="s">
        <v>355</v>
      </c>
      <c r="H386" s="1" t="s">
        <v>76</v>
      </c>
      <c r="I386" s="1" t="s">
        <v>3720</v>
      </c>
      <c r="J386" s="1" t="s">
        <v>82</v>
      </c>
    </row>
    <row r="387" spans="1:10" x14ac:dyDescent="0.25">
      <c r="A387" s="1" t="s">
        <v>4171</v>
      </c>
      <c r="B387" s="19">
        <v>46182</v>
      </c>
      <c r="C387" s="1" t="s">
        <v>635</v>
      </c>
      <c r="D387" s="1" t="s">
        <v>21</v>
      </c>
      <c r="E387" s="1" t="s">
        <v>81</v>
      </c>
      <c r="F387" s="1">
        <v>5679</v>
      </c>
      <c r="G387" s="1" t="s">
        <v>345</v>
      </c>
      <c r="H387" s="1" t="s">
        <v>76</v>
      </c>
      <c r="I387" s="1" t="s">
        <v>3720</v>
      </c>
      <c r="J387" s="1" t="s">
        <v>78</v>
      </c>
    </row>
    <row r="388" spans="1:10" x14ac:dyDescent="0.25">
      <c r="A388" s="1" t="s">
        <v>4172</v>
      </c>
      <c r="B388" s="19">
        <v>46182</v>
      </c>
      <c r="C388" s="1" t="s">
        <v>635</v>
      </c>
      <c r="D388" s="1" t="s">
        <v>21</v>
      </c>
      <c r="E388" s="1" t="s">
        <v>81</v>
      </c>
      <c r="F388" s="1">
        <v>5679</v>
      </c>
      <c r="G388" s="1" t="s">
        <v>361</v>
      </c>
      <c r="H388" s="1" t="s">
        <v>79</v>
      </c>
      <c r="I388" s="1" t="s">
        <v>3720</v>
      </c>
      <c r="J388" s="1" t="s">
        <v>4112</v>
      </c>
    </row>
    <row r="389" spans="1:10" x14ac:dyDescent="0.25">
      <c r="A389" s="1" t="s">
        <v>4173</v>
      </c>
      <c r="B389" s="19">
        <v>46182</v>
      </c>
      <c r="C389" s="1" t="s">
        <v>636</v>
      </c>
      <c r="D389" s="1" t="s">
        <v>21</v>
      </c>
      <c r="E389" s="1" t="s">
        <v>81</v>
      </c>
      <c r="F389" s="1">
        <v>5680</v>
      </c>
      <c r="G389" s="1" t="s">
        <v>355</v>
      </c>
      <c r="H389" s="1" t="s">
        <v>76</v>
      </c>
      <c r="I389" s="1" t="s">
        <v>3720</v>
      </c>
      <c r="J389" s="1" t="s">
        <v>82</v>
      </c>
    </row>
    <row r="390" spans="1:10" x14ac:dyDescent="0.25">
      <c r="A390" s="1" t="s">
        <v>4174</v>
      </c>
      <c r="B390" s="19">
        <v>46182</v>
      </c>
      <c r="C390" s="1" t="s">
        <v>636</v>
      </c>
      <c r="D390" s="1" t="s">
        <v>21</v>
      </c>
      <c r="E390" s="1" t="s">
        <v>81</v>
      </c>
      <c r="F390" s="1">
        <v>5680</v>
      </c>
      <c r="G390" s="1" t="s">
        <v>345</v>
      </c>
      <c r="H390" s="1" t="s">
        <v>76</v>
      </c>
      <c r="I390" s="1" t="s">
        <v>3720</v>
      </c>
      <c r="J390" s="1" t="s">
        <v>78</v>
      </c>
    </row>
    <row r="391" spans="1:10" x14ac:dyDescent="0.25">
      <c r="A391" s="1" t="s">
        <v>4175</v>
      </c>
      <c r="B391" s="19">
        <v>46182</v>
      </c>
      <c r="C391" s="1" t="s">
        <v>636</v>
      </c>
      <c r="D391" s="1" t="s">
        <v>21</v>
      </c>
      <c r="E391" s="1" t="s">
        <v>81</v>
      </c>
      <c r="F391" s="1">
        <v>5680</v>
      </c>
      <c r="G391" s="1" t="s">
        <v>361</v>
      </c>
      <c r="H391" s="1" t="s">
        <v>79</v>
      </c>
      <c r="I391" s="1" t="s">
        <v>3720</v>
      </c>
      <c r="J391" s="1" t="s">
        <v>4112</v>
      </c>
    </row>
    <row r="392" spans="1:10" x14ac:dyDescent="0.25">
      <c r="A392" s="1" t="s">
        <v>4176</v>
      </c>
      <c r="B392" s="19">
        <v>46182</v>
      </c>
      <c r="C392" s="1" t="s">
        <v>637</v>
      </c>
      <c r="D392" s="1" t="s">
        <v>21</v>
      </c>
      <c r="E392" s="1" t="s">
        <v>81</v>
      </c>
      <c r="F392" s="1">
        <v>5681</v>
      </c>
      <c r="G392" s="1" t="s">
        <v>355</v>
      </c>
      <c r="H392" s="1" t="s">
        <v>76</v>
      </c>
      <c r="I392" s="1" t="s">
        <v>3720</v>
      </c>
      <c r="J392" s="1" t="s">
        <v>82</v>
      </c>
    </row>
    <row r="393" spans="1:10" x14ac:dyDescent="0.25">
      <c r="A393" s="1" t="s">
        <v>4177</v>
      </c>
      <c r="B393" s="19">
        <v>46182</v>
      </c>
      <c r="C393" s="1" t="s">
        <v>637</v>
      </c>
      <c r="D393" s="1" t="s">
        <v>21</v>
      </c>
      <c r="E393" s="1" t="s">
        <v>81</v>
      </c>
      <c r="F393" s="1">
        <v>5681</v>
      </c>
      <c r="G393" s="1" t="s">
        <v>345</v>
      </c>
      <c r="H393" s="1" t="s">
        <v>76</v>
      </c>
      <c r="I393" s="1" t="s">
        <v>3720</v>
      </c>
      <c r="J393" s="1" t="s">
        <v>78</v>
      </c>
    </row>
    <row r="394" spans="1:10" x14ac:dyDescent="0.25">
      <c r="A394" s="1" t="s">
        <v>4178</v>
      </c>
      <c r="B394" s="19">
        <v>46182</v>
      </c>
      <c r="C394" s="1" t="s">
        <v>637</v>
      </c>
      <c r="D394" s="1" t="s">
        <v>21</v>
      </c>
      <c r="E394" s="1" t="s">
        <v>81</v>
      </c>
      <c r="F394" s="1">
        <v>5681</v>
      </c>
      <c r="G394" s="1" t="s">
        <v>361</v>
      </c>
      <c r="H394" s="1" t="s">
        <v>79</v>
      </c>
      <c r="I394" s="1" t="s">
        <v>3720</v>
      </c>
      <c r="J394" s="1" t="s">
        <v>4112</v>
      </c>
    </row>
    <row r="395" spans="1:10" x14ac:dyDescent="0.25">
      <c r="A395" s="1" t="s">
        <v>4179</v>
      </c>
      <c r="B395" s="19">
        <v>46182</v>
      </c>
      <c r="C395" s="1" t="s">
        <v>638</v>
      </c>
      <c r="D395" s="1" t="s">
        <v>21</v>
      </c>
      <c r="E395" s="1" t="s">
        <v>81</v>
      </c>
      <c r="F395" s="1">
        <v>5682</v>
      </c>
      <c r="G395" s="1" t="s">
        <v>355</v>
      </c>
      <c r="H395" s="1" t="s">
        <v>76</v>
      </c>
      <c r="I395" s="1" t="s">
        <v>3720</v>
      </c>
      <c r="J395" s="1" t="s">
        <v>82</v>
      </c>
    </row>
    <row r="396" spans="1:10" x14ac:dyDescent="0.25">
      <c r="A396" s="1" t="s">
        <v>4180</v>
      </c>
      <c r="B396" s="19">
        <v>46182</v>
      </c>
      <c r="C396" s="1" t="s">
        <v>638</v>
      </c>
      <c r="D396" s="1" t="s">
        <v>21</v>
      </c>
      <c r="E396" s="1" t="s">
        <v>81</v>
      </c>
      <c r="F396" s="1">
        <v>5682</v>
      </c>
      <c r="G396" s="1" t="s">
        <v>345</v>
      </c>
      <c r="H396" s="1" t="s">
        <v>76</v>
      </c>
      <c r="I396" s="1" t="s">
        <v>3720</v>
      </c>
      <c r="J396" s="1" t="s">
        <v>78</v>
      </c>
    </row>
    <row r="397" spans="1:10" x14ac:dyDescent="0.25">
      <c r="A397" s="1" t="s">
        <v>4181</v>
      </c>
      <c r="B397" s="19">
        <v>46182</v>
      </c>
      <c r="C397" s="1" t="s">
        <v>638</v>
      </c>
      <c r="D397" s="1" t="s">
        <v>21</v>
      </c>
      <c r="E397" s="1" t="s">
        <v>81</v>
      </c>
      <c r="F397" s="1">
        <v>5682</v>
      </c>
      <c r="G397" s="1" t="s">
        <v>361</v>
      </c>
      <c r="H397" s="1" t="s">
        <v>79</v>
      </c>
      <c r="I397" s="1" t="s">
        <v>3720</v>
      </c>
      <c r="J397" s="1" t="s">
        <v>4112</v>
      </c>
    </row>
    <row r="398" spans="1:10" x14ac:dyDescent="0.25">
      <c r="A398" s="1" t="s">
        <v>4182</v>
      </c>
      <c r="B398" s="19">
        <v>46182</v>
      </c>
      <c r="C398" s="1" t="s">
        <v>639</v>
      </c>
      <c r="D398" s="1" t="s">
        <v>21</v>
      </c>
      <c r="E398" s="1" t="s">
        <v>81</v>
      </c>
      <c r="F398" s="1">
        <v>5683</v>
      </c>
      <c r="G398" s="1" t="s">
        <v>355</v>
      </c>
      <c r="H398" s="1" t="s">
        <v>76</v>
      </c>
      <c r="I398" s="1" t="s">
        <v>3720</v>
      </c>
      <c r="J398" s="1" t="s">
        <v>82</v>
      </c>
    </row>
    <row r="399" spans="1:10" x14ac:dyDescent="0.25">
      <c r="A399" s="1" t="s">
        <v>4183</v>
      </c>
      <c r="B399" s="19">
        <v>46182</v>
      </c>
      <c r="C399" s="1" t="s">
        <v>639</v>
      </c>
      <c r="D399" s="1" t="s">
        <v>21</v>
      </c>
      <c r="E399" s="1" t="s">
        <v>81</v>
      </c>
      <c r="F399" s="1">
        <v>5683</v>
      </c>
      <c r="G399" s="1" t="s">
        <v>345</v>
      </c>
      <c r="H399" s="1" t="s">
        <v>76</v>
      </c>
      <c r="I399" s="1" t="s">
        <v>3720</v>
      </c>
      <c r="J399" s="1" t="s">
        <v>78</v>
      </c>
    </row>
    <row r="400" spans="1:10" x14ac:dyDescent="0.25">
      <c r="A400" s="1" t="s">
        <v>4184</v>
      </c>
      <c r="B400" s="19">
        <v>46182</v>
      </c>
      <c r="C400" s="1" t="s">
        <v>639</v>
      </c>
      <c r="D400" s="1" t="s">
        <v>21</v>
      </c>
      <c r="E400" s="1" t="s">
        <v>81</v>
      </c>
      <c r="F400" s="1">
        <v>5683</v>
      </c>
      <c r="G400" s="1" t="s">
        <v>361</v>
      </c>
      <c r="H400" s="1" t="s">
        <v>79</v>
      </c>
      <c r="I400" s="1" t="s">
        <v>3720</v>
      </c>
      <c r="J400" s="1" t="s">
        <v>4112</v>
      </c>
    </row>
    <row r="401" spans="1:10" x14ac:dyDescent="0.25">
      <c r="A401" s="1" t="s">
        <v>4185</v>
      </c>
      <c r="B401" s="19">
        <v>46182</v>
      </c>
      <c r="C401" s="1" t="s">
        <v>640</v>
      </c>
      <c r="D401" s="1" t="s">
        <v>21</v>
      </c>
      <c r="E401" s="1" t="s">
        <v>81</v>
      </c>
      <c r="F401" s="1">
        <v>5684</v>
      </c>
      <c r="G401" s="1" t="s">
        <v>355</v>
      </c>
      <c r="H401" s="1" t="s">
        <v>76</v>
      </c>
      <c r="I401" s="1" t="s">
        <v>3720</v>
      </c>
      <c r="J401" s="1" t="s">
        <v>82</v>
      </c>
    </row>
    <row r="402" spans="1:10" x14ac:dyDescent="0.25">
      <c r="A402" s="1" t="s">
        <v>4186</v>
      </c>
      <c r="B402" s="19">
        <v>46182</v>
      </c>
      <c r="C402" s="1" t="s">
        <v>640</v>
      </c>
      <c r="D402" s="1" t="s">
        <v>21</v>
      </c>
      <c r="E402" s="1" t="s">
        <v>81</v>
      </c>
      <c r="F402" s="1">
        <v>5684</v>
      </c>
      <c r="G402" s="1" t="s">
        <v>345</v>
      </c>
      <c r="H402" s="1" t="s">
        <v>76</v>
      </c>
      <c r="I402" s="1" t="s">
        <v>3720</v>
      </c>
      <c r="J402" s="1" t="s">
        <v>78</v>
      </c>
    </row>
    <row r="403" spans="1:10" x14ac:dyDescent="0.25">
      <c r="A403" s="1" t="s">
        <v>4187</v>
      </c>
      <c r="B403" s="19">
        <v>46182</v>
      </c>
      <c r="C403" s="1" t="s">
        <v>640</v>
      </c>
      <c r="D403" s="1" t="s">
        <v>21</v>
      </c>
      <c r="E403" s="1" t="s">
        <v>81</v>
      </c>
      <c r="F403" s="1">
        <v>5684</v>
      </c>
      <c r="G403" s="1" t="s">
        <v>361</v>
      </c>
      <c r="H403" s="1" t="s">
        <v>79</v>
      </c>
      <c r="I403" s="1" t="s">
        <v>3720</v>
      </c>
      <c r="J403" s="1" t="s">
        <v>4112</v>
      </c>
    </row>
    <row r="404" spans="1:10" x14ac:dyDescent="0.25">
      <c r="A404" s="1" t="s">
        <v>4188</v>
      </c>
      <c r="B404" s="19">
        <v>46182</v>
      </c>
      <c r="C404" s="1" t="s">
        <v>641</v>
      </c>
      <c r="D404" s="1" t="s">
        <v>21</v>
      </c>
      <c r="E404" s="1" t="s">
        <v>81</v>
      </c>
      <c r="F404" s="1">
        <v>5685</v>
      </c>
      <c r="G404" s="1" t="s">
        <v>355</v>
      </c>
      <c r="H404" s="1" t="s">
        <v>76</v>
      </c>
      <c r="I404" s="1" t="s">
        <v>3720</v>
      </c>
      <c r="J404" s="1" t="s">
        <v>82</v>
      </c>
    </row>
    <row r="405" spans="1:10" x14ac:dyDescent="0.25">
      <c r="A405" s="1" t="s">
        <v>4189</v>
      </c>
      <c r="B405" s="19">
        <v>46182</v>
      </c>
      <c r="C405" s="1" t="s">
        <v>641</v>
      </c>
      <c r="D405" s="1" t="s">
        <v>21</v>
      </c>
      <c r="E405" s="1" t="s">
        <v>81</v>
      </c>
      <c r="F405" s="1">
        <v>5685</v>
      </c>
      <c r="G405" s="1" t="s">
        <v>345</v>
      </c>
      <c r="H405" s="1" t="s">
        <v>76</v>
      </c>
      <c r="I405" s="1" t="s">
        <v>3720</v>
      </c>
      <c r="J405" s="1" t="s">
        <v>78</v>
      </c>
    </row>
    <row r="406" spans="1:10" x14ac:dyDescent="0.25">
      <c r="A406" s="1" t="s">
        <v>4190</v>
      </c>
      <c r="B406" s="19">
        <v>46182</v>
      </c>
      <c r="C406" s="1" t="s">
        <v>641</v>
      </c>
      <c r="D406" s="1" t="s">
        <v>21</v>
      </c>
      <c r="E406" s="1" t="s">
        <v>81</v>
      </c>
      <c r="F406" s="1">
        <v>5685</v>
      </c>
      <c r="G406" s="1" t="s">
        <v>361</v>
      </c>
      <c r="H406" s="1" t="s">
        <v>79</v>
      </c>
      <c r="I406" s="1" t="s">
        <v>3720</v>
      </c>
      <c r="J406" s="1" t="s">
        <v>4112</v>
      </c>
    </row>
    <row r="407" spans="1:10" x14ac:dyDescent="0.25">
      <c r="A407" s="1" t="s">
        <v>4191</v>
      </c>
      <c r="B407" s="19">
        <v>46182</v>
      </c>
      <c r="C407" s="1" t="s">
        <v>642</v>
      </c>
      <c r="D407" s="1" t="s">
        <v>21</v>
      </c>
      <c r="E407" s="1" t="s">
        <v>81</v>
      </c>
      <c r="F407" s="1">
        <v>5686</v>
      </c>
      <c r="G407" s="1" t="s">
        <v>355</v>
      </c>
      <c r="H407" s="1" t="s">
        <v>76</v>
      </c>
      <c r="I407" s="1" t="s">
        <v>3720</v>
      </c>
      <c r="J407" s="1" t="s">
        <v>82</v>
      </c>
    </row>
    <row r="408" spans="1:10" x14ac:dyDescent="0.25">
      <c r="A408" s="1" t="s">
        <v>4192</v>
      </c>
      <c r="B408" s="19">
        <v>46182</v>
      </c>
      <c r="C408" s="1" t="s">
        <v>642</v>
      </c>
      <c r="D408" s="1" t="s">
        <v>21</v>
      </c>
      <c r="E408" s="1" t="s">
        <v>81</v>
      </c>
      <c r="F408" s="1">
        <v>5686</v>
      </c>
      <c r="G408" s="1" t="s">
        <v>345</v>
      </c>
      <c r="H408" s="1" t="s">
        <v>76</v>
      </c>
      <c r="I408" s="1" t="s">
        <v>3720</v>
      </c>
      <c r="J408" s="1" t="s">
        <v>78</v>
      </c>
    </row>
    <row r="409" spans="1:10" x14ac:dyDescent="0.25">
      <c r="A409" s="1" t="s">
        <v>4193</v>
      </c>
      <c r="B409" s="19">
        <v>46182</v>
      </c>
      <c r="C409" s="1" t="s">
        <v>642</v>
      </c>
      <c r="D409" s="1" t="s">
        <v>21</v>
      </c>
      <c r="E409" s="1" t="s">
        <v>81</v>
      </c>
      <c r="F409" s="1">
        <v>5686</v>
      </c>
      <c r="G409" s="1" t="s">
        <v>361</v>
      </c>
      <c r="H409" s="1" t="s">
        <v>79</v>
      </c>
      <c r="I409" s="1" t="s">
        <v>3720</v>
      </c>
      <c r="J409" s="1" t="s">
        <v>4112</v>
      </c>
    </row>
    <row r="410" spans="1:10" x14ac:dyDescent="0.25">
      <c r="A410" s="1" t="s">
        <v>4194</v>
      </c>
      <c r="B410" s="19">
        <v>46182</v>
      </c>
      <c r="C410" s="1" t="s">
        <v>643</v>
      </c>
      <c r="D410" s="1" t="s">
        <v>21</v>
      </c>
      <c r="E410" s="1" t="s">
        <v>81</v>
      </c>
      <c r="F410" s="1">
        <v>5687</v>
      </c>
      <c r="G410" s="1" t="s">
        <v>355</v>
      </c>
      <c r="H410" s="1" t="s">
        <v>76</v>
      </c>
      <c r="I410" s="1" t="s">
        <v>3720</v>
      </c>
      <c r="J410" s="1" t="s">
        <v>82</v>
      </c>
    </row>
    <row r="411" spans="1:10" x14ac:dyDescent="0.25">
      <c r="A411" s="1" t="s">
        <v>4195</v>
      </c>
      <c r="B411" s="19">
        <v>46182</v>
      </c>
      <c r="C411" s="1" t="s">
        <v>643</v>
      </c>
      <c r="D411" s="1" t="s">
        <v>21</v>
      </c>
      <c r="E411" s="1" t="s">
        <v>81</v>
      </c>
      <c r="F411" s="1">
        <v>5687</v>
      </c>
      <c r="G411" s="1" t="s">
        <v>345</v>
      </c>
      <c r="H411" s="1" t="s">
        <v>76</v>
      </c>
      <c r="I411" s="1" t="s">
        <v>3720</v>
      </c>
      <c r="J411" s="1" t="s">
        <v>78</v>
      </c>
    </row>
    <row r="412" spans="1:10" x14ac:dyDescent="0.25">
      <c r="A412" s="1" t="s">
        <v>4196</v>
      </c>
      <c r="B412" s="19">
        <v>46182</v>
      </c>
      <c r="C412" s="1" t="s">
        <v>643</v>
      </c>
      <c r="D412" s="1" t="s">
        <v>21</v>
      </c>
      <c r="E412" s="1" t="s">
        <v>81</v>
      </c>
      <c r="F412" s="1">
        <v>5687</v>
      </c>
      <c r="G412" s="1" t="s">
        <v>361</v>
      </c>
      <c r="H412" s="1" t="s">
        <v>79</v>
      </c>
      <c r="I412" s="1" t="s">
        <v>3720</v>
      </c>
      <c r="J412" s="1" t="s">
        <v>4112</v>
      </c>
    </row>
    <row r="413" spans="1:10" x14ac:dyDescent="0.25">
      <c r="A413" s="1" t="s">
        <v>4197</v>
      </c>
      <c r="B413" s="19">
        <v>46182</v>
      </c>
      <c r="C413" s="1" t="s">
        <v>644</v>
      </c>
      <c r="D413" s="1" t="s">
        <v>21</v>
      </c>
      <c r="E413" s="1" t="s">
        <v>81</v>
      </c>
      <c r="F413" s="1">
        <v>5688</v>
      </c>
      <c r="G413" s="1" t="s">
        <v>355</v>
      </c>
      <c r="H413" s="1" t="s">
        <v>76</v>
      </c>
      <c r="I413" s="1" t="s">
        <v>3720</v>
      </c>
      <c r="J413" s="1" t="s">
        <v>82</v>
      </c>
    </row>
    <row r="414" spans="1:10" x14ac:dyDescent="0.25">
      <c r="A414" s="1" t="s">
        <v>4198</v>
      </c>
      <c r="B414" s="19">
        <v>46182</v>
      </c>
      <c r="C414" s="1" t="s">
        <v>644</v>
      </c>
      <c r="D414" s="1" t="s">
        <v>21</v>
      </c>
      <c r="E414" s="1" t="s">
        <v>81</v>
      </c>
      <c r="F414" s="1">
        <v>5688</v>
      </c>
      <c r="G414" s="1" t="s">
        <v>345</v>
      </c>
      <c r="H414" s="1" t="s">
        <v>76</v>
      </c>
      <c r="I414" s="1" t="s">
        <v>3720</v>
      </c>
      <c r="J414" s="1" t="s">
        <v>78</v>
      </c>
    </row>
    <row r="415" spans="1:10" x14ac:dyDescent="0.25">
      <c r="A415" s="1" t="s">
        <v>4199</v>
      </c>
      <c r="B415" s="19">
        <v>46182</v>
      </c>
      <c r="C415" s="1" t="s">
        <v>644</v>
      </c>
      <c r="D415" s="1" t="s">
        <v>21</v>
      </c>
      <c r="E415" s="1" t="s">
        <v>81</v>
      </c>
      <c r="F415" s="1">
        <v>5688</v>
      </c>
      <c r="G415" s="1" t="s">
        <v>361</v>
      </c>
      <c r="H415" s="1" t="s">
        <v>79</v>
      </c>
      <c r="I415" s="1" t="s">
        <v>3720</v>
      </c>
      <c r="J415" s="1" t="s">
        <v>4112</v>
      </c>
    </row>
    <row r="416" spans="1:10" x14ac:dyDescent="0.25">
      <c r="A416" s="1" t="s">
        <v>4200</v>
      </c>
      <c r="B416" s="19">
        <v>46182</v>
      </c>
      <c r="C416" s="1" t="s">
        <v>645</v>
      </c>
      <c r="D416" s="1" t="s">
        <v>21</v>
      </c>
      <c r="E416" s="1" t="s">
        <v>81</v>
      </c>
      <c r="F416" s="1">
        <v>5689</v>
      </c>
      <c r="G416" s="1" t="s">
        <v>355</v>
      </c>
      <c r="H416" s="1" t="s">
        <v>76</v>
      </c>
      <c r="I416" s="1" t="s">
        <v>3720</v>
      </c>
      <c r="J416" s="1" t="s">
        <v>82</v>
      </c>
    </row>
    <row r="417" spans="1:10" x14ac:dyDescent="0.25">
      <c r="A417" s="1" t="s">
        <v>4201</v>
      </c>
      <c r="B417" s="19">
        <v>46182</v>
      </c>
      <c r="C417" s="1" t="s">
        <v>645</v>
      </c>
      <c r="D417" s="1" t="s">
        <v>21</v>
      </c>
      <c r="E417" s="1" t="s">
        <v>81</v>
      </c>
      <c r="F417" s="1">
        <v>5689</v>
      </c>
      <c r="G417" s="1" t="s">
        <v>345</v>
      </c>
      <c r="H417" s="1" t="s">
        <v>76</v>
      </c>
      <c r="I417" s="1" t="s">
        <v>3720</v>
      </c>
      <c r="J417" s="1" t="s">
        <v>78</v>
      </c>
    </row>
    <row r="418" spans="1:10" x14ac:dyDescent="0.25">
      <c r="A418" s="1" t="s">
        <v>4202</v>
      </c>
      <c r="B418" s="19">
        <v>46182</v>
      </c>
      <c r="C418" s="1" t="s">
        <v>645</v>
      </c>
      <c r="D418" s="1" t="s">
        <v>21</v>
      </c>
      <c r="E418" s="1" t="s">
        <v>81</v>
      </c>
      <c r="F418" s="1">
        <v>5689</v>
      </c>
      <c r="G418" s="1" t="s">
        <v>361</v>
      </c>
      <c r="H418" s="1" t="s">
        <v>79</v>
      </c>
      <c r="I418" s="1" t="s">
        <v>3720</v>
      </c>
      <c r="J418" s="1" t="s">
        <v>4112</v>
      </c>
    </row>
    <row r="419" spans="1:10" x14ac:dyDescent="0.25">
      <c r="A419" s="1" t="s">
        <v>4203</v>
      </c>
      <c r="B419" s="19">
        <v>46182</v>
      </c>
      <c r="C419" s="1" t="s">
        <v>646</v>
      </c>
      <c r="D419" s="1" t="s">
        <v>21</v>
      </c>
      <c r="E419" s="1" t="s">
        <v>81</v>
      </c>
      <c r="F419" s="1">
        <v>5690</v>
      </c>
      <c r="G419" s="1" t="s">
        <v>355</v>
      </c>
      <c r="H419" s="1" t="s">
        <v>76</v>
      </c>
      <c r="I419" s="1" t="s">
        <v>3720</v>
      </c>
      <c r="J419" s="1" t="s">
        <v>82</v>
      </c>
    </row>
    <row r="420" spans="1:10" x14ac:dyDescent="0.25">
      <c r="A420" s="1" t="s">
        <v>4204</v>
      </c>
      <c r="B420" s="19">
        <v>46182</v>
      </c>
      <c r="C420" s="1" t="s">
        <v>646</v>
      </c>
      <c r="D420" s="1" t="s">
        <v>21</v>
      </c>
      <c r="E420" s="1" t="s">
        <v>81</v>
      </c>
      <c r="F420" s="1">
        <v>5690</v>
      </c>
      <c r="G420" s="1" t="s">
        <v>345</v>
      </c>
      <c r="H420" s="1" t="s">
        <v>76</v>
      </c>
      <c r="I420" s="1" t="s">
        <v>3720</v>
      </c>
      <c r="J420" s="1" t="s">
        <v>78</v>
      </c>
    </row>
    <row r="421" spans="1:10" x14ac:dyDescent="0.25">
      <c r="A421" s="1" t="s">
        <v>4205</v>
      </c>
      <c r="B421" s="19">
        <v>46182</v>
      </c>
      <c r="C421" s="1" t="s">
        <v>646</v>
      </c>
      <c r="D421" s="1" t="s">
        <v>21</v>
      </c>
      <c r="E421" s="1" t="s">
        <v>81</v>
      </c>
      <c r="F421" s="1">
        <v>5690</v>
      </c>
      <c r="G421" s="1" t="s">
        <v>361</v>
      </c>
      <c r="H421" s="1" t="s">
        <v>79</v>
      </c>
      <c r="I421" s="1" t="s">
        <v>3720</v>
      </c>
      <c r="J421" s="1" t="s">
        <v>4112</v>
      </c>
    </row>
    <row r="422" spans="1:10" x14ac:dyDescent="0.25">
      <c r="A422" s="1" t="s">
        <v>4206</v>
      </c>
      <c r="B422" s="19">
        <v>46182</v>
      </c>
      <c r="C422" s="1" t="s">
        <v>647</v>
      </c>
      <c r="D422" s="1" t="s">
        <v>21</v>
      </c>
      <c r="E422" s="1" t="s">
        <v>81</v>
      </c>
      <c r="F422" s="1">
        <v>5691</v>
      </c>
      <c r="G422" s="1" t="s">
        <v>355</v>
      </c>
      <c r="H422" s="1" t="s">
        <v>76</v>
      </c>
      <c r="I422" s="1" t="s">
        <v>3720</v>
      </c>
      <c r="J422" s="1" t="s">
        <v>82</v>
      </c>
    </row>
    <row r="423" spans="1:10" x14ac:dyDescent="0.25">
      <c r="A423" s="1" t="s">
        <v>4207</v>
      </c>
      <c r="B423" s="19">
        <v>46182</v>
      </c>
      <c r="C423" s="1" t="s">
        <v>647</v>
      </c>
      <c r="D423" s="1" t="s">
        <v>21</v>
      </c>
      <c r="E423" s="1" t="s">
        <v>81</v>
      </c>
      <c r="F423" s="1">
        <v>5691</v>
      </c>
      <c r="G423" s="1" t="s">
        <v>345</v>
      </c>
      <c r="H423" s="1" t="s">
        <v>76</v>
      </c>
      <c r="I423" s="1" t="s">
        <v>3720</v>
      </c>
      <c r="J423" s="1" t="s">
        <v>78</v>
      </c>
    </row>
    <row r="424" spans="1:10" x14ac:dyDescent="0.25">
      <c r="A424" s="1" t="s">
        <v>4208</v>
      </c>
      <c r="B424" s="19">
        <v>46182</v>
      </c>
      <c r="C424" s="1" t="s">
        <v>647</v>
      </c>
      <c r="D424" s="1" t="s">
        <v>21</v>
      </c>
      <c r="E424" s="1" t="s">
        <v>81</v>
      </c>
      <c r="F424" s="1">
        <v>5691</v>
      </c>
      <c r="G424" s="1" t="s">
        <v>361</v>
      </c>
      <c r="H424" s="1" t="s">
        <v>79</v>
      </c>
      <c r="I424" s="1" t="s">
        <v>3720</v>
      </c>
      <c r="J424" s="1" t="s">
        <v>4112</v>
      </c>
    </row>
    <row r="425" spans="1:10" x14ac:dyDescent="0.25">
      <c r="A425" s="1" t="s">
        <v>4209</v>
      </c>
      <c r="B425" s="19">
        <v>46182</v>
      </c>
      <c r="C425" s="1" t="s">
        <v>648</v>
      </c>
      <c r="D425" s="1" t="s">
        <v>21</v>
      </c>
      <c r="E425" s="1" t="s">
        <v>81</v>
      </c>
      <c r="F425" s="1">
        <v>5692</v>
      </c>
      <c r="G425" s="1" t="s">
        <v>355</v>
      </c>
      <c r="H425" s="1" t="s">
        <v>76</v>
      </c>
      <c r="I425" s="1" t="s">
        <v>3720</v>
      </c>
      <c r="J425" s="1" t="s">
        <v>82</v>
      </c>
    </row>
    <row r="426" spans="1:10" x14ac:dyDescent="0.25">
      <c r="A426" s="1" t="s">
        <v>4210</v>
      </c>
      <c r="B426" s="19">
        <v>46182</v>
      </c>
      <c r="C426" s="1" t="s">
        <v>648</v>
      </c>
      <c r="D426" s="1" t="s">
        <v>21</v>
      </c>
      <c r="E426" s="1" t="s">
        <v>81</v>
      </c>
      <c r="F426" s="1">
        <v>5692</v>
      </c>
      <c r="G426" s="1" t="s">
        <v>345</v>
      </c>
      <c r="H426" s="1" t="s">
        <v>76</v>
      </c>
      <c r="I426" s="1" t="s">
        <v>3720</v>
      </c>
      <c r="J426" s="1" t="s">
        <v>78</v>
      </c>
    </row>
    <row r="427" spans="1:10" x14ac:dyDescent="0.25">
      <c r="A427" s="1" t="s">
        <v>4211</v>
      </c>
      <c r="B427" s="19">
        <v>46182</v>
      </c>
      <c r="C427" s="1" t="s">
        <v>648</v>
      </c>
      <c r="D427" s="1" t="s">
        <v>21</v>
      </c>
      <c r="E427" s="1" t="s">
        <v>81</v>
      </c>
      <c r="F427" s="1">
        <v>5692</v>
      </c>
      <c r="G427" s="1" t="s">
        <v>361</v>
      </c>
      <c r="H427" s="1" t="s">
        <v>79</v>
      </c>
      <c r="I427" s="1" t="s">
        <v>3720</v>
      </c>
      <c r="J427" s="1" t="s">
        <v>4112</v>
      </c>
    </row>
    <row r="428" spans="1:10" x14ac:dyDescent="0.25">
      <c r="A428" s="1" t="s">
        <v>4212</v>
      </c>
      <c r="B428" s="19">
        <v>46182</v>
      </c>
      <c r="C428" s="1" t="s">
        <v>649</v>
      </c>
      <c r="D428" s="1" t="s">
        <v>21</v>
      </c>
      <c r="E428" s="1" t="s">
        <v>81</v>
      </c>
      <c r="F428" s="1">
        <v>5693</v>
      </c>
      <c r="G428" s="1" t="s">
        <v>355</v>
      </c>
      <c r="H428" s="1" t="s">
        <v>76</v>
      </c>
      <c r="I428" s="1" t="s">
        <v>3720</v>
      </c>
      <c r="J428" s="1" t="s">
        <v>82</v>
      </c>
    </row>
    <row r="429" spans="1:10" x14ac:dyDescent="0.25">
      <c r="A429" s="1" t="s">
        <v>4213</v>
      </c>
      <c r="B429" s="19">
        <v>46182</v>
      </c>
      <c r="C429" s="1" t="s">
        <v>649</v>
      </c>
      <c r="D429" s="1" t="s">
        <v>21</v>
      </c>
      <c r="E429" s="1" t="s">
        <v>81</v>
      </c>
      <c r="F429" s="1">
        <v>5693</v>
      </c>
      <c r="G429" s="1" t="s">
        <v>345</v>
      </c>
      <c r="H429" s="1" t="s">
        <v>76</v>
      </c>
      <c r="I429" s="1" t="s">
        <v>3720</v>
      </c>
      <c r="J429" s="1" t="s">
        <v>78</v>
      </c>
    </row>
    <row r="430" spans="1:10" x14ac:dyDescent="0.25">
      <c r="A430" s="1" t="s">
        <v>4214</v>
      </c>
      <c r="B430" s="19">
        <v>46182</v>
      </c>
      <c r="C430" s="1" t="s">
        <v>649</v>
      </c>
      <c r="D430" s="1" t="s">
        <v>21</v>
      </c>
      <c r="E430" s="1" t="s">
        <v>81</v>
      </c>
      <c r="F430" s="1">
        <v>5693</v>
      </c>
      <c r="G430" s="1" t="s">
        <v>361</v>
      </c>
      <c r="H430" s="1" t="s">
        <v>79</v>
      </c>
      <c r="I430" s="1" t="s">
        <v>3720</v>
      </c>
      <c r="J430" s="1" t="s">
        <v>4112</v>
      </c>
    </row>
    <row r="431" spans="1:10" x14ac:dyDescent="0.25">
      <c r="A431" s="1" t="s">
        <v>4215</v>
      </c>
      <c r="B431" s="19">
        <v>46182</v>
      </c>
      <c r="C431" s="1" t="s">
        <v>650</v>
      </c>
      <c r="D431" s="1" t="s">
        <v>21</v>
      </c>
      <c r="E431" s="1" t="s">
        <v>81</v>
      </c>
      <c r="F431" s="1">
        <v>5694</v>
      </c>
      <c r="G431" s="1" t="s">
        <v>355</v>
      </c>
      <c r="H431" s="1" t="s">
        <v>76</v>
      </c>
      <c r="I431" s="1" t="s">
        <v>3720</v>
      </c>
      <c r="J431" s="1" t="s">
        <v>82</v>
      </c>
    </row>
    <row r="432" spans="1:10" x14ac:dyDescent="0.25">
      <c r="A432" s="1" t="s">
        <v>4216</v>
      </c>
      <c r="B432" s="19">
        <v>46182</v>
      </c>
      <c r="C432" s="1" t="s">
        <v>650</v>
      </c>
      <c r="D432" s="1" t="s">
        <v>21</v>
      </c>
      <c r="E432" s="1" t="s">
        <v>81</v>
      </c>
      <c r="F432" s="1">
        <v>5694</v>
      </c>
      <c r="G432" s="1" t="s">
        <v>345</v>
      </c>
      <c r="H432" s="1" t="s">
        <v>76</v>
      </c>
      <c r="I432" s="1" t="s">
        <v>3720</v>
      </c>
      <c r="J432" s="1" t="s">
        <v>78</v>
      </c>
    </row>
    <row r="433" spans="1:10" x14ac:dyDescent="0.25">
      <c r="A433" s="1" t="s">
        <v>4217</v>
      </c>
      <c r="B433" s="19">
        <v>46182</v>
      </c>
      <c r="C433" s="1" t="s">
        <v>650</v>
      </c>
      <c r="D433" s="1" t="s">
        <v>21</v>
      </c>
      <c r="E433" s="1" t="s">
        <v>81</v>
      </c>
      <c r="F433" s="1">
        <v>5694</v>
      </c>
      <c r="G433" s="1" t="s">
        <v>361</v>
      </c>
      <c r="H433" s="1" t="s">
        <v>79</v>
      </c>
      <c r="I433" s="1" t="s">
        <v>3720</v>
      </c>
      <c r="J433" s="1" t="s">
        <v>4112</v>
      </c>
    </row>
    <row r="434" spans="1:10" x14ac:dyDescent="0.25">
      <c r="A434" s="1" t="s">
        <v>4218</v>
      </c>
      <c r="B434" s="19">
        <v>46182</v>
      </c>
      <c r="C434" s="1" t="s">
        <v>651</v>
      </c>
      <c r="D434" s="1" t="s">
        <v>21</v>
      </c>
      <c r="E434" s="1" t="s">
        <v>81</v>
      </c>
      <c r="F434" s="1">
        <v>5695</v>
      </c>
      <c r="G434" s="1" t="s">
        <v>355</v>
      </c>
      <c r="H434" s="1" t="s">
        <v>76</v>
      </c>
      <c r="I434" s="1" t="s">
        <v>3720</v>
      </c>
      <c r="J434" s="1" t="s">
        <v>82</v>
      </c>
    </row>
    <row r="435" spans="1:10" x14ac:dyDescent="0.25">
      <c r="A435" s="1" t="s">
        <v>4219</v>
      </c>
      <c r="B435" s="19">
        <v>46182</v>
      </c>
      <c r="C435" s="1" t="s">
        <v>651</v>
      </c>
      <c r="D435" s="1" t="s">
        <v>21</v>
      </c>
      <c r="E435" s="1" t="s">
        <v>81</v>
      </c>
      <c r="F435" s="1">
        <v>5695</v>
      </c>
      <c r="G435" s="1" t="s">
        <v>345</v>
      </c>
      <c r="H435" s="1" t="s">
        <v>76</v>
      </c>
      <c r="I435" s="1" t="s">
        <v>3720</v>
      </c>
      <c r="J435" s="1" t="s">
        <v>78</v>
      </c>
    </row>
    <row r="436" spans="1:10" x14ac:dyDescent="0.25">
      <c r="A436" s="1" t="s">
        <v>4220</v>
      </c>
      <c r="B436" s="19">
        <v>46182</v>
      </c>
      <c r="C436" s="1" t="s">
        <v>651</v>
      </c>
      <c r="D436" s="1" t="s">
        <v>21</v>
      </c>
      <c r="E436" s="1" t="s">
        <v>81</v>
      </c>
      <c r="F436" s="1">
        <v>5695</v>
      </c>
      <c r="G436" s="1" t="s">
        <v>361</v>
      </c>
      <c r="H436" s="1" t="s">
        <v>79</v>
      </c>
      <c r="I436" s="1" t="s">
        <v>3720</v>
      </c>
      <c r="J436" s="1" t="s">
        <v>4112</v>
      </c>
    </row>
    <row r="437" spans="1:10" x14ac:dyDescent="0.25">
      <c r="A437" s="1" t="s">
        <v>4221</v>
      </c>
      <c r="B437" s="19">
        <v>46182</v>
      </c>
      <c r="C437" s="1" t="s">
        <v>652</v>
      </c>
      <c r="D437" s="1" t="s">
        <v>21</v>
      </c>
      <c r="E437" s="1" t="s">
        <v>81</v>
      </c>
      <c r="F437" s="1">
        <v>5696</v>
      </c>
      <c r="G437" s="1" t="s">
        <v>355</v>
      </c>
      <c r="H437" s="1" t="s">
        <v>76</v>
      </c>
      <c r="I437" s="1" t="s">
        <v>3720</v>
      </c>
      <c r="J437" s="1" t="s">
        <v>82</v>
      </c>
    </row>
    <row r="438" spans="1:10" x14ac:dyDescent="0.25">
      <c r="A438" s="1" t="s">
        <v>4222</v>
      </c>
      <c r="B438" s="19">
        <v>46182</v>
      </c>
      <c r="C438" s="1" t="s">
        <v>652</v>
      </c>
      <c r="D438" s="1" t="s">
        <v>21</v>
      </c>
      <c r="E438" s="1" t="s">
        <v>81</v>
      </c>
      <c r="F438" s="1">
        <v>5696</v>
      </c>
      <c r="G438" s="1" t="s">
        <v>345</v>
      </c>
      <c r="H438" s="1" t="s">
        <v>76</v>
      </c>
      <c r="I438" s="1" t="s">
        <v>3720</v>
      </c>
      <c r="J438" s="1" t="s">
        <v>78</v>
      </c>
    </row>
    <row r="439" spans="1:10" x14ac:dyDescent="0.25">
      <c r="A439" s="1" t="s">
        <v>4223</v>
      </c>
      <c r="B439" s="19">
        <v>46182</v>
      </c>
      <c r="C439" s="1" t="s">
        <v>652</v>
      </c>
      <c r="D439" s="1" t="s">
        <v>21</v>
      </c>
      <c r="E439" s="1" t="s">
        <v>81</v>
      </c>
      <c r="F439" s="1">
        <v>5696</v>
      </c>
      <c r="G439" s="1" t="s">
        <v>361</v>
      </c>
      <c r="H439" s="1" t="s">
        <v>79</v>
      </c>
      <c r="I439" s="1" t="s">
        <v>3720</v>
      </c>
      <c r="J439" s="1" t="s">
        <v>4112</v>
      </c>
    </row>
    <row r="440" spans="1:10" x14ac:dyDescent="0.25">
      <c r="A440" s="1" t="s">
        <v>4224</v>
      </c>
      <c r="B440" s="19">
        <v>46182</v>
      </c>
      <c r="C440" s="1" t="s">
        <v>653</v>
      </c>
      <c r="D440" s="1" t="s">
        <v>21</v>
      </c>
      <c r="E440" s="1" t="s">
        <v>81</v>
      </c>
      <c r="F440" s="1">
        <v>5697</v>
      </c>
      <c r="G440" s="1" t="s">
        <v>355</v>
      </c>
      <c r="H440" s="1" t="s">
        <v>76</v>
      </c>
      <c r="I440" s="1" t="s">
        <v>3720</v>
      </c>
      <c r="J440" s="1" t="s">
        <v>82</v>
      </c>
    </row>
    <row r="441" spans="1:10" x14ac:dyDescent="0.25">
      <c r="A441" s="1" t="s">
        <v>4225</v>
      </c>
      <c r="B441" s="19">
        <v>46182</v>
      </c>
      <c r="C441" s="1" t="s">
        <v>653</v>
      </c>
      <c r="D441" s="1" t="s">
        <v>21</v>
      </c>
      <c r="E441" s="1" t="s">
        <v>81</v>
      </c>
      <c r="F441" s="1">
        <v>5697</v>
      </c>
      <c r="G441" s="1" t="s">
        <v>345</v>
      </c>
      <c r="H441" s="1" t="s">
        <v>76</v>
      </c>
      <c r="I441" s="1" t="s">
        <v>3720</v>
      </c>
      <c r="J441" s="1" t="s">
        <v>78</v>
      </c>
    </row>
    <row r="442" spans="1:10" x14ac:dyDescent="0.25">
      <c r="A442" s="1" t="s">
        <v>4226</v>
      </c>
      <c r="B442" s="19">
        <v>46182</v>
      </c>
      <c r="C442" s="1" t="s">
        <v>653</v>
      </c>
      <c r="D442" s="1" t="s">
        <v>21</v>
      </c>
      <c r="E442" s="1" t="s">
        <v>81</v>
      </c>
      <c r="F442" s="1">
        <v>5697</v>
      </c>
      <c r="G442" s="1" t="s">
        <v>361</v>
      </c>
      <c r="H442" s="1" t="s">
        <v>79</v>
      </c>
      <c r="I442" s="1" t="s">
        <v>3720</v>
      </c>
      <c r="J442" s="1" t="s">
        <v>4112</v>
      </c>
    </row>
    <row r="443" spans="1:10" x14ac:dyDescent="0.25">
      <c r="A443" s="1" t="s">
        <v>4227</v>
      </c>
      <c r="B443" s="19">
        <v>46182</v>
      </c>
      <c r="C443" s="1" t="s">
        <v>654</v>
      </c>
      <c r="D443" s="1" t="s">
        <v>21</v>
      </c>
      <c r="E443" s="1" t="s">
        <v>81</v>
      </c>
      <c r="F443" s="1">
        <v>5698</v>
      </c>
      <c r="G443" s="1" t="s">
        <v>355</v>
      </c>
      <c r="H443" s="1" t="s">
        <v>76</v>
      </c>
      <c r="I443" s="1" t="s">
        <v>3720</v>
      </c>
      <c r="J443" s="1" t="s">
        <v>82</v>
      </c>
    </row>
    <row r="444" spans="1:10" x14ac:dyDescent="0.25">
      <c r="A444" s="1" t="s">
        <v>4228</v>
      </c>
      <c r="B444" s="19">
        <v>46182</v>
      </c>
      <c r="C444" s="1" t="s">
        <v>654</v>
      </c>
      <c r="D444" s="1" t="s">
        <v>21</v>
      </c>
      <c r="E444" s="1" t="s">
        <v>81</v>
      </c>
      <c r="F444" s="1">
        <v>5698</v>
      </c>
      <c r="G444" s="1" t="s">
        <v>345</v>
      </c>
      <c r="H444" s="1" t="s">
        <v>76</v>
      </c>
      <c r="I444" s="1" t="s">
        <v>3720</v>
      </c>
      <c r="J444" s="1" t="s">
        <v>78</v>
      </c>
    </row>
    <row r="445" spans="1:10" x14ac:dyDescent="0.25">
      <c r="A445" s="1" t="s">
        <v>4229</v>
      </c>
      <c r="B445" s="19">
        <v>46182</v>
      </c>
      <c r="C445" s="1" t="s">
        <v>654</v>
      </c>
      <c r="D445" s="1" t="s">
        <v>21</v>
      </c>
      <c r="E445" s="1" t="s">
        <v>81</v>
      </c>
      <c r="F445" s="1">
        <v>5698</v>
      </c>
      <c r="G445" s="1" t="s">
        <v>361</v>
      </c>
      <c r="H445" s="1" t="s">
        <v>79</v>
      </c>
      <c r="I445" s="1" t="s">
        <v>3720</v>
      </c>
      <c r="J445" s="1" t="s">
        <v>4112</v>
      </c>
    </row>
    <row r="446" spans="1:10" x14ac:dyDescent="0.25">
      <c r="A446" s="1" t="s">
        <v>4230</v>
      </c>
      <c r="B446" s="19">
        <v>46182</v>
      </c>
      <c r="C446" s="1" t="s">
        <v>655</v>
      </c>
      <c r="D446" s="1" t="s">
        <v>21</v>
      </c>
      <c r="E446" s="1" t="s">
        <v>81</v>
      </c>
      <c r="F446" s="1">
        <v>5699</v>
      </c>
      <c r="G446" s="1" t="s">
        <v>355</v>
      </c>
      <c r="H446" s="1" t="s">
        <v>76</v>
      </c>
      <c r="I446" s="1" t="s">
        <v>3720</v>
      </c>
      <c r="J446" s="1" t="s">
        <v>82</v>
      </c>
    </row>
    <row r="447" spans="1:10" x14ac:dyDescent="0.25">
      <c r="A447" s="1" t="s">
        <v>4231</v>
      </c>
      <c r="B447" s="19">
        <v>46182</v>
      </c>
      <c r="C447" s="1" t="s">
        <v>655</v>
      </c>
      <c r="D447" s="1" t="s">
        <v>21</v>
      </c>
      <c r="E447" s="1" t="s">
        <v>81</v>
      </c>
      <c r="F447" s="1">
        <v>5699</v>
      </c>
      <c r="G447" s="1" t="s">
        <v>345</v>
      </c>
      <c r="H447" s="1" t="s">
        <v>76</v>
      </c>
      <c r="I447" s="1" t="s">
        <v>3720</v>
      </c>
      <c r="J447" s="1" t="s">
        <v>78</v>
      </c>
    </row>
    <row r="448" spans="1:10" x14ac:dyDescent="0.25">
      <c r="A448" s="1" t="s">
        <v>4232</v>
      </c>
      <c r="B448" s="19">
        <v>46182</v>
      </c>
      <c r="C448" s="1" t="s">
        <v>655</v>
      </c>
      <c r="D448" s="1" t="s">
        <v>21</v>
      </c>
      <c r="E448" s="1" t="s">
        <v>81</v>
      </c>
      <c r="F448" s="1">
        <v>5699</v>
      </c>
      <c r="G448" s="1" t="s">
        <v>361</v>
      </c>
      <c r="H448" s="1" t="s">
        <v>79</v>
      </c>
      <c r="I448" s="1" t="s">
        <v>3720</v>
      </c>
      <c r="J448" s="1" t="s">
        <v>4112</v>
      </c>
    </row>
    <row r="449" spans="1:10" x14ac:dyDescent="0.25">
      <c r="A449" s="1" t="s">
        <v>4233</v>
      </c>
      <c r="B449" s="19">
        <v>46182</v>
      </c>
      <c r="C449" s="1" t="s">
        <v>656</v>
      </c>
      <c r="D449" s="1" t="s">
        <v>21</v>
      </c>
      <c r="E449" s="1" t="s">
        <v>81</v>
      </c>
      <c r="F449" s="1">
        <v>5700</v>
      </c>
      <c r="G449" s="1" t="s">
        <v>355</v>
      </c>
      <c r="H449" s="1" t="s">
        <v>76</v>
      </c>
      <c r="I449" s="1" t="s">
        <v>3720</v>
      </c>
      <c r="J449" s="1" t="s">
        <v>82</v>
      </c>
    </row>
    <row r="450" spans="1:10" x14ac:dyDescent="0.25">
      <c r="A450" s="1" t="s">
        <v>4234</v>
      </c>
      <c r="B450" s="19">
        <v>46182</v>
      </c>
      <c r="C450" s="1" t="s">
        <v>656</v>
      </c>
      <c r="D450" s="1" t="s">
        <v>21</v>
      </c>
      <c r="E450" s="1" t="s">
        <v>81</v>
      </c>
      <c r="F450" s="1">
        <v>5700</v>
      </c>
      <c r="G450" s="1" t="s">
        <v>345</v>
      </c>
      <c r="H450" s="1" t="s">
        <v>76</v>
      </c>
      <c r="I450" s="1" t="s">
        <v>3720</v>
      </c>
      <c r="J450" s="1" t="s">
        <v>78</v>
      </c>
    </row>
    <row r="451" spans="1:10" x14ac:dyDescent="0.25">
      <c r="A451" s="1" t="s">
        <v>4235</v>
      </c>
      <c r="B451" s="19">
        <v>46182</v>
      </c>
      <c r="C451" s="1" t="s">
        <v>656</v>
      </c>
      <c r="D451" s="1" t="s">
        <v>21</v>
      </c>
      <c r="E451" s="1" t="s">
        <v>81</v>
      </c>
      <c r="F451" s="1">
        <v>5700</v>
      </c>
      <c r="G451" s="1" t="s">
        <v>361</v>
      </c>
      <c r="H451" s="1" t="s">
        <v>79</v>
      </c>
      <c r="I451" s="1" t="s">
        <v>3720</v>
      </c>
      <c r="J451" s="1" t="s">
        <v>4112</v>
      </c>
    </row>
    <row r="452" spans="1:10" x14ac:dyDescent="0.25">
      <c r="A452" s="1" t="s">
        <v>4236</v>
      </c>
      <c r="B452" s="19">
        <v>46182</v>
      </c>
      <c r="C452" s="1" t="s">
        <v>657</v>
      </c>
      <c r="D452" s="1" t="s">
        <v>21</v>
      </c>
      <c r="E452" s="1" t="s">
        <v>81</v>
      </c>
      <c r="F452" s="1">
        <v>5701</v>
      </c>
      <c r="G452" s="1" t="s">
        <v>355</v>
      </c>
      <c r="H452" s="1" t="s">
        <v>76</v>
      </c>
      <c r="I452" s="1" t="s">
        <v>3720</v>
      </c>
      <c r="J452" s="1" t="s">
        <v>82</v>
      </c>
    </row>
    <row r="453" spans="1:10" x14ac:dyDescent="0.25">
      <c r="A453" s="1" t="s">
        <v>4237</v>
      </c>
      <c r="B453" s="19">
        <v>46182</v>
      </c>
      <c r="C453" s="1" t="s">
        <v>657</v>
      </c>
      <c r="D453" s="1" t="s">
        <v>21</v>
      </c>
      <c r="E453" s="1" t="s">
        <v>81</v>
      </c>
      <c r="F453" s="1">
        <v>5701</v>
      </c>
      <c r="G453" s="1" t="s">
        <v>345</v>
      </c>
      <c r="H453" s="1" t="s">
        <v>76</v>
      </c>
      <c r="I453" s="1" t="s">
        <v>3720</v>
      </c>
      <c r="J453" s="1" t="s">
        <v>78</v>
      </c>
    </row>
    <row r="454" spans="1:10" x14ac:dyDescent="0.25">
      <c r="A454" s="1" t="s">
        <v>4238</v>
      </c>
      <c r="B454" s="19">
        <v>46182</v>
      </c>
      <c r="C454" s="1" t="s">
        <v>657</v>
      </c>
      <c r="D454" s="1" t="s">
        <v>21</v>
      </c>
      <c r="E454" s="1" t="s">
        <v>81</v>
      </c>
      <c r="F454" s="1">
        <v>5701</v>
      </c>
      <c r="G454" s="1" t="s">
        <v>361</v>
      </c>
      <c r="H454" s="1" t="s">
        <v>79</v>
      </c>
      <c r="I454" s="1" t="s">
        <v>3720</v>
      </c>
      <c r="J454" s="1" t="s">
        <v>4112</v>
      </c>
    </row>
    <row r="455" spans="1:10" x14ac:dyDescent="0.25">
      <c r="A455" s="1" t="s">
        <v>4239</v>
      </c>
      <c r="B455" s="19">
        <v>46182</v>
      </c>
      <c r="C455" s="1" t="s">
        <v>658</v>
      </c>
      <c r="D455" s="1" t="s">
        <v>21</v>
      </c>
      <c r="E455" s="1" t="s">
        <v>81</v>
      </c>
      <c r="F455" s="1">
        <v>5702</v>
      </c>
      <c r="G455" s="1" t="s">
        <v>355</v>
      </c>
      <c r="H455" s="1" t="s">
        <v>76</v>
      </c>
      <c r="I455" s="1" t="s">
        <v>3720</v>
      </c>
      <c r="J455" s="1" t="s">
        <v>82</v>
      </c>
    </row>
    <row r="456" spans="1:10" x14ac:dyDescent="0.25">
      <c r="A456" s="1" t="s">
        <v>4240</v>
      </c>
      <c r="B456" s="19">
        <v>46182</v>
      </c>
      <c r="C456" s="1" t="s">
        <v>658</v>
      </c>
      <c r="D456" s="1" t="s">
        <v>21</v>
      </c>
      <c r="E456" s="1" t="s">
        <v>81</v>
      </c>
      <c r="F456" s="1">
        <v>5702</v>
      </c>
      <c r="G456" s="1" t="s">
        <v>345</v>
      </c>
      <c r="H456" s="1" t="s">
        <v>76</v>
      </c>
      <c r="I456" s="1" t="s">
        <v>3720</v>
      </c>
      <c r="J456" s="1" t="s">
        <v>78</v>
      </c>
    </row>
    <row r="457" spans="1:10" x14ac:dyDescent="0.25">
      <c r="A457" s="1" t="s">
        <v>4241</v>
      </c>
      <c r="B457" s="19">
        <v>46182</v>
      </c>
      <c r="C457" s="1" t="s">
        <v>658</v>
      </c>
      <c r="D457" s="1" t="s">
        <v>21</v>
      </c>
      <c r="E457" s="1" t="s">
        <v>81</v>
      </c>
      <c r="F457" s="1">
        <v>5702</v>
      </c>
      <c r="G457" s="1" t="s">
        <v>361</v>
      </c>
      <c r="H457" s="1" t="s">
        <v>79</v>
      </c>
      <c r="I457" s="1" t="s">
        <v>3720</v>
      </c>
      <c r="J457" s="1" t="s">
        <v>4112</v>
      </c>
    </row>
    <row r="458" spans="1:10" x14ac:dyDescent="0.25">
      <c r="A458" s="1" t="s">
        <v>4242</v>
      </c>
      <c r="B458" s="19">
        <v>46182</v>
      </c>
      <c r="C458" s="1" t="s">
        <v>659</v>
      </c>
      <c r="D458" s="1" t="s">
        <v>21</v>
      </c>
      <c r="E458" s="1" t="s">
        <v>81</v>
      </c>
      <c r="F458" s="1">
        <v>5703</v>
      </c>
      <c r="G458" s="1" t="s">
        <v>355</v>
      </c>
      <c r="H458" s="1" t="s">
        <v>76</v>
      </c>
      <c r="I458" s="1" t="s">
        <v>3720</v>
      </c>
      <c r="J458" s="1" t="s">
        <v>82</v>
      </c>
    </row>
    <row r="459" spans="1:10" x14ac:dyDescent="0.25">
      <c r="A459" s="1" t="s">
        <v>4243</v>
      </c>
      <c r="B459" s="19">
        <v>46182</v>
      </c>
      <c r="C459" s="1" t="s">
        <v>659</v>
      </c>
      <c r="D459" s="1" t="s">
        <v>21</v>
      </c>
      <c r="E459" s="1" t="s">
        <v>81</v>
      </c>
      <c r="F459" s="1">
        <v>5703</v>
      </c>
      <c r="G459" s="1" t="s">
        <v>345</v>
      </c>
      <c r="H459" s="1" t="s">
        <v>76</v>
      </c>
      <c r="I459" s="1" t="s">
        <v>3720</v>
      </c>
      <c r="J459" s="1" t="s">
        <v>78</v>
      </c>
    </row>
    <row r="460" spans="1:10" x14ac:dyDescent="0.25">
      <c r="A460" s="1" t="s">
        <v>4244</v>
      </c>
      <c r="B460" s="19">
        <v>46182</v>
      </c>
      <c r="C460" s="1" t="s">
        <v>659</v>
      </c>
      <c r="D460" s="1" t="s">
        <v>21</v>
      </c>
      <c r="E460" s="1" t="s">
        <v>81</v>
      </c>
      <c r="F460" s="1">
        <v>5703</v>
      </c>
      <c r="G460" s="1" t="s">
        <v>361</v>
      </c>
      <c r="H460" s="1" t="s">
        <v>79</v>
      </c>
      <c r="I460" s="1" t="s">
        <v>3720</v>
      </c>
      <c r="J460" s="1" t="s">
        <v>4112</v>
      </c>
    </row>
    <row r="461" spans="1:10" x14ac:dyDescent="0.25">
      <c r="A461" s="1" t="s">
        <v>4245</v>
      </c>
      <c r="B461" s="19">
        <v>46182</v>
      </c>
      <c r="C461" s="1" t="s">
        <v>660</v>
      </c>
      <c r="D461" s="1" t="s">
        <v>21</v>
      </c>
      <c r="E461" s="1" t="s">
        <v>81</v>
      </c>
      <c r="F461" s="1">
        <v>5704</v>
      </c>
      <c r="G461" s="1" t="s">
        <v>355</v>
      </c>
      <c r="H461" s="1" t="s">
        <v>76</v>
      </c>
      <c r="I461" s="1" t="s">
        <v>3720</v>
      </c>
      <c r="J461" s="1" t="s">
        <v>82</v>
      </c>
    </row>
    <row r="462" spans="1:10" x14ac:dyDescent="0.25">
      <c r="A462" s="1" t="s">
        <v>4246</v>
      </c>
      <c r="B462" s="19">
        <v>46182</v>
      </c>
      <c r="C462" s="1" t="s">
        <v>660</v>
      </c>
      <c r="D462" s="1" t="s">
        <v>21</v>
      </c>
      <c r="E462" s="1" t="s">
        <v>81</v>
      </c>
      <c r="F462" s="1">
        <v>5704</v>
      </c>
      <c r="G462" s="1" t="s">
        <v>345</v>
      </c>
      <c r="H462" s="1" t="s">
        <v>76</v>
      </c>
      <c r="I462" s="1" t="s">
        <v>3720</v>
      </c>
      <c r="J462" s="1" t="s">
        <v>78</v>
      </c>
    </row>
    <row r="463" spans="1:10" x14ac:dyDescent="0.25">
      <c r="A463" s="1" t="s">
        <v>4247</v>
      </c>
      <c r="B463" s="19">
        <v>46182</v>
      </c>
      <c r="C463" s="1" t="s">
        <v>660</v>
      </c>
      <c r="D463" s="1" t="s">
        <v>21</v>
      </c>
      <c r="E463" s="1" t="s">
        <v>81</v>
      </c>
      <c r="F463" s="1">
        <v>5704</v>
      </c>
      <c r="G463" s="1" t="s">
        <v>361</v>
      </c>
      <c r="H463" s="1" t="s">
        <v>79</v>
      </c>
      <c r="I463" s="1" t="s">
        <v>3720</v>
      </c>
      <c r="J463" s="1" t="s">
        <v>4112</v>
      </c>
    </row>
    <row r="464" spans="1:10" x14ac:dyDescent="0.25">
      <c r="A464" s="1" t="s">
        <v>4248</v>
      </c>
      <c r="B464" s="19">
        <v>46182</v>
      </c>
      <c r="C464" s="1" t="s">
        <v>661</v>
      </c>
      <c r="D464" s="1" t="s">
        <v>21</v>
      </c>
      <c r="E464" s="1" t="s">
        <v>81</v>
      </c>
      <c r="F464" s="1">
        <v>5705</v>
      </c>
      <c r="G464" s="1" t="s">
        <v>355</v>
      </c>
      <c r="H464" s="1" t="s">
        <v>76</v>
      </c>
      <c r="I464" s="1" t="s">
        <v>3720</v>
      </c>
      <c r="J464" s="1" t="s">
        <v>82</v>
      </c>
    </row>
    <row r="465" spans="1:10" x14ac:dyDescent="0.25">
      <c r="A465" s="1" t="s">
        <v>4249</v>
      </c>
      <c r="B465" s="19">
        <v>46182</v>
      </c>
      <c r="C465" s="1" t="s">
        <v>661</v>
      </c>
      <c r="D465" s="1" t="s">
        <v>21</v>
      </c>
      <c r="E465" s="1" t="s">
        <v>81</v>
      </c>
      <c r="F465" s="1">
        <v>5705</v>
      </c>
      <c r="G465" s="1" t="s">
        <v>345</v>
      </c>
      <c r="H465" s="1" t="s">
        <v>76</v>
      </c>
      <c r="I465" s="1" t="s">
        <v>3720</v>
      </c>
      <c r="J465" s="1" t="s">
        <v>78</v>
      </c>
    </row>
    <row r="466" spans="1:10" x14ac:dyDescent="0.25">
      <c r="A466" s="1" t="s">
        <v>4250</v>
      </c>
      <c r="B466" s="19">
        <v>46182</v>
      </c>
      <c r="C466" s="1" t="s">
        <v>661</v>
      </c>
      <c r="D466" s="1" t="s">
        <v>21</v>
      </c>
      <c r="E466" s="1" t="s">
        <v>81</v>
      </c>
      <c r="F466" s="1">
        <v>5705</v>
      </c>
      <c r="G466" s="1" t="s">
        <v>361</v>
      </c>
      <c r="H466" s="1" t="s">
        <v>79</v>
      </c>
      <c r="I466" s="1" t="s">
        <v>3720</v>
      </c>
      <c r="J466" s="1" t="s">
        <v>4112</v>
      </c>
    </row>
    <row r="467" spans="1:10" x14ac:dyDescent="0.25">
      <c r="A467" s="1" t="s">
        <v>4251</v>
      </c>
      <c r="B467" s="19">
        <v>46182</v>
      </c>
      <c r="C467" s="1" t="s">
        <v>662</v>
      </c>
      <c r="D467" s="1" t="s">
        <v>21</v>
      </c>
      <c r="E467" s="1" t="s">
        <v>81</v>
      </c>
      <c r="F467" s="1">
        <v>5706</v>
      </c>
      <c r="G467" s="1" t="s">
        <v>355</v>
      </c>
      <c r="H467" s="1" t="s">
        <v>76</v>
      </c>
      <c r="I467" s="1" t="s">
        <v>3720</v>
      </c>
      <c r="J467" s="1" t="s">
        <v>82</v>
      </c>
    </row>
    <row r="468" spans="1:10" x14ac:dyDescent="0.25">
      <c r="A468" s="1" t="s">
        <v>4252</v>
      </c>
      <c r="B468" s="19">
        <v>46182</v>
      </c>
      <c r="C468" s="1" t="s">
        <v>662</v>
      </c>
      <c r="D468" s="1" t="s">
        <v>21</v>
      </c>
      <c r="E468" s="1" t="s">
        <v>81</v>
      </c>
      <c r="F468" s="1">
        <v>5706</v>
      </c>
      <c r="G468" s="1" t="s">
        <v>345</v>
      </c>
      <c r="H468" s="1" t="s">
        <v>76</v>
      </c>
      <c r="I468" s="1" t="s">
        <v>3720</v>
      </c>
      <c r="J468" s="1" t="s">
        <v>78</v>
      </c>
    </row>
    <row r="469" spans="1:10" x14ac:dyDescent="0.25">
      <c r="A469" s="1" t="s">
        <v>4253</v>
      </c>
      <c r="B469" s="19">
        <v>46182</v>
      </c>
      <c r="C469" s="1" t="s">
        <v>662</v>
      </c>
      <c r="D469" s="1" t="s">
        <v>21</v>
      </c>
      <c r="E469" s="1" t="s">
        <v>81</v>
      </c>
      <c r="F469" s="1">
        <v>5706</v>
      </c>
      <c r="G469" s="1" t="s">
        <v>361</v>
      </c>
      <c r="H469" s="1" t="s">
        <v>79</v>
      </c>
      <c r="I469" s="1" t="s">
        <v>3720</v>
      </c>
      <c r="J469" s="1" t="s">
        <v>4112</v>
      </c>
    </row>
    <row r="470" spans="1:10" x14ac:dyDescent="0.25">
      <c r="A470" s="1" t="s">
        <v>4254</v>
      </c>
      <c r="B470" s="19">
        <v>46182</v>
      </c>
      <c r="C470" s="1" t="s">
        <v>663</v>
      </c>
      <c r="D470" s="1" t="s">
        <v>21</v>
      </c>
      <c r="E470" s="1" t="s">
        <v>81</v>
      </c>
      <c r="F470" s="1">
        <v>5707</v>
      </c>
      <c r="G470" s="1" t="s">
        <v>355</v>
      </c>
      <c r="H470" s="1" t="s">
        <v>76</v>
      </c>
      <c r="I470" s="1" t="s">
        <v>3720</v>
      </c>
      <c r="J470" s="1" t="s">
        <v>82</v>
      </c>
    </row>
    <row r="471" spans="1:10" x14ac:dyDescent="0.25">
      <c r="A471" s="1" t="s">
        <v>4255</v>
      </c>
      <c r="B471" s="19">
        <v>46182</v>
      </c>
      <c r="C471" s="1" t="s">
        <v>663</v>
      </c>
      <c r="D471" s="1" t="s">
        <v>21</v>
      </c>
      <c r="E471" s="1" t="s">
        <v>81</v>
      </c>
      <c r="F471" s="1">
        <v>5707</v>
      </c>
      <c r="G471" s="1" t="s">
        <v>345</v>
      </c>
      <c r="H471" s="1" t="s">
        <v>76</v>
      </c>
      <c r="I471" s="1" t="s">
        <v>3720</v>
      </c>
      <c r="J471" s="1" t="s">
        <v>78</v>
      </c>
    </row>
    <row r="472" spans="1:10" x14ac:dyDescent="0.25">
      <c r="A472" s="1" t="s">
        <v>4256</v>
      </c>
      <c r="B472" s="19">
        <v>46182</v>
      </c>
      <c r="C472" s="1" t="s">
        <v>663</v>
      </c>
      <c r="D472" s="1" t="s">
        <v>21</v>
      </c>
      <c r="E472" s="1" t="s">
        <v>81</v>
      </c>
      <c r="F472" s="1">
        <v>5707</v>
      </c>
      <c r="G472" s="1" t="s">
        <v>361</v>
      </c>
      <c r="H472" s="1" t="s">
        <v>79</v>
      </c>
      <c r="I472" s="1" t="s">
        <v>3720</v>
      </c>
      <c r="J472" s="1" t="s">
        <v>4112</v>
      </c>
    </row>
    <row r="473" spans="1:10" x14ac:dyDescent="0.25">
      <c r="A473" s="1" t="s">
        <v>4257</v>
      </c>
      <c r="B473" s="19">
        <v>46182</v>
      </c>
      <c r="C473" s="1" t="s">
        <v>664</v>
      </c>
      <c r="D473" s="1" t="s">
        <v>21</v>
      </c>
      <c r="E473" s="1" t="s">
        <v>81</v>
      </c>
      <c r="F473" s="1">
        <v>5708</v>
      </c>
      <c r="G473" s="1" t="s">
        <v>355</v>
      </c>
      <c r="H473" s="1" t="s">
        <v>76</v>
      </c>
      <c r="I473" s="1" t="s">
        <v>3720</v>
      </c>
      <c r="J473" s="1" t="s">
        <v>82</v>
      </c>
    </row>
    <row r="474" spans="1:10" x14ac:dyDescent="0.25">
      <c r="A474" s="1" t="s">
        <v>4258</v>
      </c>
      <c r="B474" s="19">
        <v>46182</v>
      </c>
      <c r="C474" s="1" t="s">
        <v>664</v>
      </c>
      <c r="D474" s="1" t="s">
        <v>21</v>
      </c>
      <c r="E474" s="1" t="s">
        <v>81</v>
      </c>
      <c r="F474" s="1">
        <v>5708</v>
      </c>
      <c r="G474" s="1" t="s">
        <v>345</v>
      </c>
      <c r="H474" s="1" t="s">
        <v>76</v>
      </c>
      <c r="I474" s="1" t="s">
        <v>3720</v>
      </c>
      <c r="J474" s="1" t="s">
        <v>78</v>
      </c>
    </row>
    <row r="475" spans="1:10" x14ac:dyDescent="0.25">
      <c r="A475" s="1" t="s">
        <v>4259</v>
      </c>
      <c r="B475" s="19">
        <v>46182</v>
      </c>
      <c r="C475" s="1" t="s">
        <v>664</v>
      </c>
      <c r="D475" s="1" t="s">
        <v>21</v>
      </c>
      <c r="E475" s="1" t="s">
        <v>81</v>
      </c>
      <c r="F475" s="1">
        <v>5708</v>
      </c>
      <c r="G475" s="1" t="s">
        <v>361</v>
      </c>
      <c r="H475" s="1" t="s">
        <v>79</v>
      </c>
      <c r="I475" s="1" t="s">
        <v>3720</v>
      </c>
      <c r="J475" s="1" t="s">
        <v>4112</v>
      </c>
    </row>
    <row r="476" spans="1:10" x14ac:dyDescent="0.25">
      <c r="A476" s="1" t="s">
        <v>4260</v>
      </c>
      <c r="B476" s="19">
        <v>46182</v>
      </c>
      <c r="C476" s="1" t="s">
        <v>665</v>
      </c>
      <c r="D476" s="1" t="s">
        <v>21</v>
      </c>
      <c r="E476" s="1" t="s">
        <v>81</v>
      </c>
      <c r="F476" s="1">
        <v>5709</v>
      </c>
      <c r="G476" s="1" t="s">
        <v>355</v>
      </c>
      <c r="H476" s="1" t="s">
        <v>76</v>
      </c>
      <c r="I476" s="1" t="s">
        <v>3720</v>
      </c>
      <c r="J476" s="1" t="s">
        <v>82</v>
      </c>
    </row>
    <row r="477" spans="1:10" x14ac:dyDescent="0.25">
      <c r="A477" s="1" t="s">
        <v>4261</v>
      </c>
      <c r="B477" s="19">
        <v>46182</v>
      </c>
      <c r="C477" s="1" t="s">
        <v>665</v>
      </c>
      <c r="D477" s="1" t="s">
        <v>21</v>
      </c>
      <c r="E477" s="1" t="s">
        <v>81</v>
      </c>
      <c r="F477" s="1">
        <v>5709</v>
      </c>
      <c r="G477" s="1" t="s">
        <v>345</v>
      </c>
      <c r="H477" s="1" t="s">
        <v>76</v>
      </c>
      <c r="I477" s="1" t="s">
        <v>3720</v>
      </c>
      <c r="J477" s="1" t="s">
        <v>78</v>
      </c>
    </row>
    <row r="478" spans="1:10" x14ac:dyDescent="0.25">
      <c r="A478" s="1" t="s">
        <v>4262</v>
      </c>
      <c r="B478" s="19">
        <v>46182</v>
      </c>
      <c r="C478" s="1" t="s">
        <v>665</v>
      </c>
      <c r="D478" s="1" t="s">
        <v>21</v>
      </c>
      <c r="E478" s="1" t="s">
        <v>81</v>
      </c>
      <c r="F478" s="1">
        <v>5709</v>
      </c>
      <c r="G478" s="1" t="s">
        <v>361</v>
      </c>
      <c r="H478" s="1" t="s">
        <v>79</v>
      </c>
      <c r="I478" s="1" t="s">
        <v>3720</v>
      </c>
      <c r="J478" s="1" t="s">
        <v>4112</v>
      </c>
    </row>
    <row r="479" spans="1:10" x14ac:dyDescent="0.25">
      <c r="A479" s="1" t="s">
        <v>4263</v>
      </c>
      <c r="B479" s="19">
        <v>46182</v>
      </c>
      <c r="C479" s="1" t="s">
        <v>666</v>
      </c>
      <c r="D479" s="1" t="s">
        <v>21</v>
      </c>
      <c r="E479" s="1" t="s">
        <v>81</v>
      </c>
      <c r="F479" s="1">
        <v>5710</v>
      </c>
      <c r="G479" s="1" t="s">
        <v>355</v>
      </c>
      <c r="H479" s="1" t="s">
        <v>76</v>
      </c>
      <c r="I479" s="1" t="s">
        <v>3720</v>
      </c>
      <c r="J479" s="1" t="s">
        <v>82</v>
      </c>
    </row>
    <row r="480" spans="1:10" x14ac:dyDescent="0.25">
      <c r="A480" s="1" t="s">
        <v>4264</v>
      </c>
      <c r="B480" s="19">
        <v>46182</v>
      </c>
      <c r="C480" s="1" t="s">
        <v>666</v>
      </c>
      <c r="D480" s="1" t="s">
        <v>21</v>
      </c>
      <c r="E480" s="1" t="s">
        <v>81</v>
      </c>
      <c r="F480" s="1">
        <v>5710</v>
      </c>
      <c r="G480" s="1" t="s">
        <v>345</v>
      </c>
      <c r="H480" s="1" t="s">
        <v>76</v>
      </c>
      <c r="I480" s="1" t="s">
        <v>3720</v>
      </c>
      <c r="J480" s="1" t="s">
        <v>78</v>
      </c>
    </row>
    <row r="481" spans="1:10" x14ac:dyDescent="0.25">
      <c r="A481" s="1" t="s">
        <v>4265</v>
      </c>
      <c r="B481" s="19">
        <v>46182</v>
      </c>
      <c r="C481" s="1" t="s">
        <v>666</v>
      </c>
      <c r="D481" s="1" t="s">
        <v>21</v>
      </c>
      <c r="E481" s="1" t="s">
        <v>81</v>
      </c>
      <c r="F481" s="1">
        <v>5710</v>
      </c>
      <c r="G481" s="1" t="s">
        <v>361</v>
      </c>
      <c r="H481" s="1" t="s">
        <v>79</v>
      </c>
      <c r="I481" s="1" t="s">
        <v>3720</v>
      </c>
      <c r="J481" s="1" t="s">
        <v>4112</v>
      </c>
    </row>
    <row r="482" spans="1:10" x14ac:dyDescent="0.25">
      <c r="A482" s="1" t="s">
        <v>4266</v>
      </c>
      <c r="B482" s="19">
        <v>46182</v>
      </c>
      <c r="C482" s="1" t="s">
        <v>667</v>
      </c>
      <c r="D482" s="1" t="s">
        <v>21</v>
      </c>
      <c r="E482" s="1" t="s">
        <v>81</v>
      </c>
      <c r="F482" s="1">
        <v>5711</v>
      </c>
      <c r="G482" s="1" t="s">
        <v>355</v>
      </c>
      <c r="H482" s="1" t="s">
        <v>76</v>
      </c>
      <c r="I482" s="1" t="s">
        <v>3720</v>
      </c>
      <c r="J482" s="1" t="s">
        <v>82</v>
      </c>
    </row>
    <row r="483" spans="1:10" x14ac:dyDescent="0.25">
      <c r="A483" s="1" t="s">
        <v>4267</v>
      </c>
      <c r="B483" s="19">
        <v>46182</v>
      </c>
      <c r="C483" s="1" t="s">
        <v>667</v>
      </c>
      <c r="D483" s="1" t="s">
        <v>21</v>
      </c>
      <c r="E483" s="1" t="s">
        <v>81</v>
      </c>
      <c r="F483" s="1">
        <v>5711</v>
      </c>
      <c r="G483" s="1" t="s">
        <v>345</v>
      </c>
      <c r="H483" s="1" t="s">
        <v>76</v>
      </c>
      <c r="I483" s="1" t="s">
        <v>3720</v>
      </c>
      <c r="J483" s="1" t="s">
        <v>78</v>
      </c>
    </row>
    <row r="484" spans="1:10" x14ac:dyDescent="0.25">
      <c r="A484" s="1" t="s">
        <v>4268</v>
      </c>
      <c r="B484" s="19">
        <v>46182</v>
      </c>
      <c r="C484" s="1" t="s">
        <v>667</v>
      </c>
      <c r="D484" s="1" t="s">
        <v>21</v>
      </c>
      <c r="E484" s="1" t="s">
        <v>81</v>
      </c>
      <c r="F484" s="1">
        <v>5711</v>
      </c>
      <c r="G484" s="1" t="s">
        <v>361</v>
      </c>
      <c r="H484" s="1" t="s">
        <v>79</v>
      </c>
      <c r="I484" s="1" t="s">
        <v>3720</v>
      </c>
      <c r="J484" s="1" t="s">
        <v>4112</v>
      </c>
    </row>
    <row r="485" spans="1:10" x14ac:dyDescent="0.25">
      <c r="A485" s="1" t="s">
        <v>4269</v>
      </c>
      <c r="B485" s="19">
        <v>46182</v>
      </c>
      <c r="C485" s="1" t="s">
        <v>668</v>
      </c>
      <c r="D485" s="1" t="s">
        <v>21</v>
      </c>
      <c r="E485" s="1" t="s">
        <v>81</v>
      </c>
      <c r="F485" s="1">
        <v>5712</v>
      </c>
      <c r="G485" s="1" t="s">
        <v>355</v>
      </c>
      <c r="H485" s="1" t="s">
        <v>76</v>
      </c>
      <c r="I485" s="1" t="s">
        <v>3720</v>
      </c>
      <c r="J485" s="1" t="s">
        <v>82</v>
      </c>
    </row>
    <row r="486" spans="1:10" x14ac:dyDescent="0.25">
      <c r="A486" s="1" t="s">
        <v>4270</v>
      </c>
      <c r="B486" s="19">
        <v>46182</v>
      </c>
      <c r="C486" s="1" t="s">
        <v>668</v>
      </c>
      <c r="D486" s="1" t="s">
        <v>21</v>
      </c>
      <c r="E486" s="1" t="s">
        <v>81</v>
      </c>
      <c r="F486" s="1">
        <v>5712</v>
      </c>
      <c r="G486" s="1" t="s">
        <v>345</v>
      </c>
      <c r="H486" s="1" t="s">
        <v>76</v>
      </c>
      <c r="I486" s="1" t="s">
        <v>3720</v>
      </c>
      <c r="J486" s="1" t="s">
        <v>78</v>
      </c>
    </row>
    <row r="487" spans="1:10" x14ac:dyDescent="0.25">
      <c r="A487" s="1" t="s">
        <v>4271</v>
      </c>
      <c r="B487" s="19">
        <v>46182</v>
      </c>
      <c r="C487" s="1" t="s">
        <v>668</v>
      </c>
      <c r="D487" s="1" t="s">
        <v>21</v>
      </c>
      <c r="E487" s="1" t="s">
        <v>81</v>
      </c>
      <c r="F487" s="1">
        <v>5712</v>
      </c>
      <c r="G487" s="1" t="s">
        <v>361</v>
      </c>
      <c r="H487" s="1" t="s">
        <v>79</v>
      </c>
      <c r="I487" s="1" t="s">
        <v>3720</v>
      </c>
      <c r="J487" s="1" t="s">
        <v>4112</v>
      </c>
    </row>
    <row r="488" spans="1:10" x14ac:dyDescent="0.25">
      <c r="A488" s="1" t="s">
        <v>4272</v>
      </c>
      <c r="B488" s="19">
        <v>46182</v>
      </c>
      <c r="C488" s="1" t="s">
        <v>669</v>
      </c>
      <c r="D488" s="1" t="s">
        <v>21</v>
      </c>
      <c r="E488" s="1" t="s">
        <v>81</v>
      </c>
      <c r="F488" s="1">
        <v>5713</v>
      </c>
      <c r="G488" s="1" t="s">
        <v>355</v>
      </c>
      <c r="H488" s="1" t="s">
        <v>76</v>
      </c>
      <c r="I488" s="1" t="s">
        <v>3720</v>
      </c>
      <c r="J488" s="1" t="s">
        <v>82</v>
      </c>
    </row>
    <row r="489" spans="1:10" x14ac:dyDescent="0.25">
      <c r="A489" s="1" t="s">
        <v>4273</v>
      </c>
      <c r="B489" s="19">
        <v>46182</v>
      </c>
      <c r="C489" s="1" t="s">
        <v>669</v>
      </c>
      <c r="D489" s="1" t="s">
        <v>21</v>
      </c>
      <c r="E489" s="1" t="s">
        <v>81</v>
      </c>
      <c r="F489" s="1">
        <v>5713</v>
      </c>
      <c r="G489" s="1" t="s">
        <v>345</v>
      </c>
      <c r="H489" s="1" t="s">
        <v>76</v>
      </c>
      <c r="I489" s="1" t="s">
        <v>3720</v>
      </c>
      <c r="J489" s="1" t="s">
        <v>78</v>
      </c>
    </row>
    <row r="490" spans="1:10" x14ac:dyDescent="0.25">
      <c r="A490" s="1" t="s">
        <v>4274</v>
      </c>
      <c r="B490" s="19">
        <v>46182</v>
      </c>
      <c r="C490" s="1" t="s">
        <v>669</v>
      </c>
      <c r="D490" s="1" t="s">
        <v>21</v>
      </c>
      <c r="E490" s="1" t="s">
        <v>81</v>
      </c>
      <c r="F490" s="1">
        <v>5713</v>
      </c>
      <c r="G490" s="1" t="s">
        <v>361</v>
      </c>
      <c r="H490" s="1" t="s">
        <v>79</v>
      </c>
      <c r="I490" s="1" t="s">
        <v>3720</v>
      </c>
      <c r="J490" s="1" t="s">
        <v>4112</v>
      </c>
    </row>
    <row r="491" spans="1:10" x14ac:dyDescent="0.25">
      <c r="A491" s="1" t="s">
        <v>4275</v>
      </c>
      <c r="B491" s="19">
        <v>46182</v>
      </c>
      <c r="C491" s="1" t="s">
        <v>670</v>
      </c>
      <c r="D491" s="1" t="s">
        <v>21</v>
      </c>
      <c r="E491" s="1" t="s">
        <v>81</v>
      </c>
      <c r="F491" s="1">
        <v>5714</v>
      </c>
      <c r="G491" s="1" t="s">
        <v>355</v>
      </c>
      <c r="H491" s="1" t="s">
        <v>76</v>
      </c>
      <c r="I491" s="1" t="s">
        <v>3720</v>
      </c>
      <c r="J491" s="1" t="s">
        <v>82</v>
      </c>
    </row>
    <row r="492" spans="1:10" x14ac:dyDescent="0.25">
      <c r="A492" s="1" t="s">
        <v>4276</v>
      </c>
      <c r="B492" s="19">
        <v>46182</v>
      </c>
      <c r="C492" s="1" t="s">
        <v>670</v>
      </c>
      <c r="D492" s="1" t="s">
        <v>21</v>
      </c>
      <c r="E492" s="1" t="s">
        <v>81</v>
      </c>
      <c r="F492" s="1">
        <v>5714</v>
      </c>
      <c r="G492" s="1" t="s">
        <v>345</v>
      </c>
      <c r="H492" s="1" t="s">
        <v>76</v>
      </c>
      <c r="I492" s="1" t="s">
        <v>3720</v>
      </c>
      <c r="J492" s="1" t="s">
        <v>78</v>
      </c>
    </row>
    <row r="493" spans="1:10" x14ac:dyDescent="0.25">
      <c r="A493" s="1" t="s">
        <v>4277</v>
      </c>
      <c r="B493" s="19">
        <v>46182</v>
      </c>
      <c r="C493" s="1" t="s">
        <v>670</v>
      </c>
      <c r="D493" s="1" t="s">
        <v>21</v>
      </c>
      <c r="E493" s="1" t="s">
        <v>81</v>
      </c>
      <c r="F493" s="1">
        <v>5714</v>
      </c>
      <c r="G493" s="1" t="s">
        <v>361</v>
      </c>
      <c r="H493" s="1" t="s">
        <v>79</v>
      </c>
      <c r="I493" s="1" t="s">
        <v>3720</v>
      </c>
      <c r="J493" s="1" t="s">
        <v>4112</v>
      </c>
    </row>
    <row r="494" spans="1:10" x14ac:dyDescent="0.25">
      <c r="A494" s="1" t="s">
        <v>4278</v>
      </c>
      <c r="B494" s="19">
        <v>46182</v>
      </c>
      <c r="C494" s="1" t="s">
        <v>671</v>
      </c>
      <c r="D494" s="1" t="s">
        <v>21</v>
      </c>
      <c r="E494" s="1" t="s">
        <v>81</v>
      </c>
      <c r="F494" s="1">
        <v>5715</v>
      </c>
      <c r="G494" s="1" t="s">
        <v>355</v>
      </c>
      <c r="H494" s="1" t="s">
        <v>76</v>
      </c>
      <c r="I494" s="1" t="s">
        <v>3720</v>
      </c>
      <c r="J494" s="1" t="s">
        <v>82</v>
      </c>
    </row>
    <row r="495" spans="1:10" x14ac:dyDescent="0.25">
      <c r="A495" s="1" t="s">
        <v>4279</v>
      </c>
      <c r="B495" s="19">
        <v>46182</v>
      </c>
      <c r="C495" s="1" t="s">
        <v>671</v>
      </c>
      <c r="D495" s="1" t="s">
        <v>21</v>
      </c>
      <c r="E495" s="1" t="s">
        <v>81</v>
      </c>
      <c r="F495" s="1">
        <v>5715</v>
      </c>
      <c r="G495" s="1" t="s">
        <v>345</v>
      </c>
      <c r="H495" s="1" t="s">
        <v>76</v>
      </c>
      <c r="I495" s="1" t="s">
        <v>3720</v>
      </c>
      <c r="J495" s="1" t="s">
        <v>78</v>
      </c>
    </row>
    <row r="496" spans="1:10" x14ac:dyDescent="0.25">
      <c r="A496" s="1" t="s">
        <v>4280</v>
      </c>
      <c r="B496" s="19">
        <v>46182</v>
      </c>
      <c r="C496" s="1" t="s">
        <v>671</v>
      </c>
      <c r="D496" s="1" t="s">
        <v>21</v>
      </c>
      <c r="E496" s="1" t="s">
        <v>81</v>
      </c>
      <c r="F496" s="1">
        <v>5715</v>
      </c>
      <c r="G496" s="1" t="s">
        <v>361</v>
      </c>
      <c r="H496" s="1" t="s">
        <v>79</v>
      </c>
      <c r="I496" s="1" t="s">
        <v>3720</v>
      </c>
      <c r="J496" s="1" t="s">
        <v>4112</v>
      </c>
    </row>
    <row r="497" spans="1:10" x14ac:dyDescent="0.25">
      <c r="A497" s="1" t="s">
        <v>4281</v>
      </c>
      <c r="B497" s="19">
        <v>46182</v>
      </c>
      <c r="C497" s="1" t="s">
        <v>672</v>
      </c>
      <c r="D497" s="1" t="s">
        <v>21</v>
      </c>
      <c r="E497" s="1" t="s">
        <v>81</v>
      </c>
      <c r="F497" s="1">
        <v>5716</v>
      </c>
      <c r="G497" s="1" t="s">
        <v>355</v>
      </c>
      <c r="H497" s="1" t="s">
        <v>76</v>
      </c>
      <c r="I497" s="1" t="s">
        <v>3720</v>
      </c>
      <c r="J497" s="1" t="s">
        <v>82</v>
      </c>
    </row>
    <row r="498" spans="1:10" x14ac:dyDescent="0.25">
      <c r="A498" s="1" t="s">
        <v>4282</v>
      </c>
      <c r="B498" s="19">
        <v>46182</v>
      </c>
      <c r="C498" s="1" t="s">
        <v>672</v>
      </c>
      <c r="D498" s="1" t="s">
        <v>21</v>
      </c>
      <c r="E498" s="1" t="s">
        <v>81</v>
      </c>
      <c r="F498" s="1">
        <v>5716</v>
      </c>
      <c r="G498" s="1" t="s">
        <v>345</v>
      </c>
      <c r="H498" s="1" t="s">
        <v>76</v>
      </c>
      <c r="I498" s="1" t="s">
        <v>3720</v>
      </c>
      <c r="J498" s="1" t="s">
        <v>78</v>
      </c>
    </row>
    <row r="499" spans="1:10" x14ac:dyDescent="0.25">
      <c r="A499" s="1" t="s">
        <v>4283</v>
      </c>
      <c r="B499" s="19">
        <v>46182</v>
      </c>
      <c r="C499" s="1" t="s">
        <v>672</v>
      </c>
      <c r="D499" s="1" t="s">
        <v>21</v>
      </c>
      <c r="E499" s="1" t="s">
        <v>81</v>
      </c>
      <c r="F499" s="1">
        <v>5716</v>
      </c>
      <c r="G499" s="1" t="s">
        <v>361</v>
      </c>
      <c r="H499" s="1" t="s">
        <v>79</v>
      </c>
      <c r="I499" s="1" t="s">
        <v>3720</v>
      </c>
      <c r="J499" s="1" t="s">
        <v>4112</v>
      </c>
    </row>
    <row r="500" spans="1:10" x14ac:dyDescent="0.25">
      <c r="A500" s="1" t="s">
        <v>4284</v>
      </c>
      <c r="B500" s="19">
        <v>46182</v>
      </c>
      <c r="C500" s="1" t="s">
        <v>673</v>
      </c>
      <c r="D500" s="1" t="s">
        <v>21</v>
      </c>
      <c r="E500" s="1" t="s">
        <v>81</v>
      </c>
      <c r="F500" s="1">
        <v>5717</v>
      </c>
      <c r="G500" s="1" t="s">
        <v>355</v>
      </c>
      <c r="H500" s="1" t="s">
        <v>76</v>
      </c>
      <c r="I500" s="1" t="s">
        <v>3720</v>
      </c>
      <c r="J500" s="1" t="s">
        <v>82</v>
      </c>
    </row>
    <row r="501" spans="1:10" x14ac:dyDescent="0.25">
      <c r="A501" s="1" t="s">
        <v>4285</v>
      </c>
      <c r="B501" s="19">
        <v>46182</v>
      </c>
      <c r="C501" s="1" t="s">
        <v>673</v>
      </c>
      <c r="D501" s="1" t="s">
        <v>21</v>
      </c>
      <c r="E501" s="1" t="s">
        <v>81</v>
      </c>
      <c r="F501" s="1">
        <v>5717</v>
      </c>
      <c r="G501" s="1" t="s">
        <v>345</v>
      </c>
      <c r="H501" s="1" t="s">
        <v>76</v>
      </c>
      <c r="I501" s="1" t="s">
        <v>3720</v>
      </c>
      <c r="J501" s="1" t="s">
        <v>78</v>
      </c>
    </row>
    <row r="502" spans="1:10" x14ac:dyDescent="0.25">
      <c r="A502" s="1" t="s">
        <v>4286</v>
      </c>
      <c r="B502" s="19">
        <v>46182</v>
      </c>
      <c r="C502" s="1" t="s">
        <v>673</v>
      </c>
      <c r="D502" s="1" t="s">
        <v>21</v>
      </c>
      <c r="E502" s="1" t="s">
        <v>81</v>
      </c>
      <c r="F502" s="1">
        <v>5717</v>
      </c>
      <c r="G502" s="1" t="s">
        <v>361</v>
      </c>
      <c r="H502" s="1" t="s">
        <v>79</v>
      </c>
      <c r="I502" s="1" t="s">
        <v>3720</v>
      </c>
      <c r="J502" s="1" t="s">
        <v>4112</v>
      </c>
    </row>
    <row r="503" spans="1:10" x14ac:dyDescent="0.25">
      <c r="A503" s="1" t="s">
        <v>4287</v>
      </c>
      <c r="B503" s="19">
        <v>46182</v>
      </c>
      <c r="C503" s="1" t="s">
        <v>674</v>
      </c>
      <c r="D503" s="1" t="s">
        <v>21</v>
      </c>
      <c r="E503" s="1" t="s">
        <v>81</v>
      </c>
      <c r="F503" s="1">
        <v>5718</v>
      </c>
      <c r="G503" s="1" t="s">
        <v>355</v>
      </c>
      <c r="H503" s="1" t="s">
        <v>76</v>
      </c>
      <c r="I503" s="1" t="s">
        <v>3720</v>
      </c>
      <c r="J503" s="1" t="s">
        <v>82</v>
      </c>
    </row>
    <row r="504" spans="1:10" x14ac:dyDescent="0.25">
      <c r="A504" s="1" t="s">
        <v>4288</v>
      </c>
      <c r="B504" s="19">
        <v>46182</v>
      </c>
      <c r="C504" s="1" t="s">
        <v>674</v>
      </c>
      <c r="D504" s="1" t="s">
        <v>21</v>
      </c>
      <c r="E504" s="1" t="s">
        <v>81</v>
      </c>
      <c r="F504" s="1">
        <v>5718</v>
      </c>
      <c r="G504" s="1" t="s">
        <v>345</v>
      </c>
      <c r="H504" s="1" t="s">
        <v>76</v>
      </c>
      <c r="I504" s="1" t="s">
        <v>3720</v>
      </c>
      <c r="J504" s="1" t="s">
        <v>78</v>
      </c>
    </row>
    <row r="505" spans="1:10" x14ac:dyDescent="0.25">
      <c r="A505" s="1" t="s">
        <v>4289</v>
      </c>
      <c r="B505" s="19">
        <v>46182</v>
      </c>
      <c r="C505" s="1" t="s">
        <v>674</v>
      </c>
      <c r="D505" s="1" t="s">
        <v>21</v>
      </c>
      <c r="E505" s="1" t="s">
        <v>81</v>
      </c>
      <c r="F505" s="1">
        <v>5718</v>
      </c>
      <c r="G505" s="1" t="s">
        <v>361</v>
      </c>
      <c r="H505" s="1" t="s">
        <v>79</v>
      </c>
      <c r="I505" s="1" t="s">
        <v>3720</v>
      </c>
      <c r="J505" s="1" t="s">
        <v>4112</v>
      </c>
    </row>
    <row r="506" spans="1:10" x14ac:dyDescent="0.25">
      <c r="A506" s="1" t="s">
        <v>4290</v>
      </c>
      <c r="B506" s="19">
        <v>46182</v>
      </c>
      <c r="C506" s="1" t="s">
        <v>675</v>
      </c>
      <c r="D506" s="1" t="s">
        <v>21</v>
      </c>
      <c r="E506" s="1" t="s">
        <v>81</v>
      </c>
      <c r="F506" s="1">
        <v>5719</v>
      </c>
      <c r="G506" s="1" t="s">
        <v>355</v>
      </c>
      <c r="H506" s="1" t="s">
        <v>76</v>
      </c>
      <c r="I506" s="1" t="s">
        <v>3720</v>
      </c>
      <c r="J506" s="1" t="s">
        <v>82</v>
      </c>
    </row>
    <row r="507" spans="1:10" x14ac:dyDescent="0.25">
      <c r="A507" s="1" t="s">
        <v>4291</v>
      </c>
      <c r="B507" s="19">
        <v>46182</v>
      </c>
      <c r="C507" s="1" t="s">
        <v>675</v>
      </c>
      <c r="D507" s="1" t="s">
        <v>21</v>
      </c>
      <c r="E507" s="1" t="s">
        <v>81</v>
      </c>
      <c r="F507" s="1">
        <v>5719</v>
      </c>
      <c r="G507" s="1" t="s">
        <v>345</v>
      </c>
      <c r="H507" s="1" t="s">
        <v>76</v>
      </c>
      <c r="I507" s="1" t="s">
        <v>3720</v>
      </c>
      <c r="J507" s="1" t="s">
        <v>78</v>
      </c>
    </row>
    <row r="508" spans="1:10" x14ac:dyDescent="0.25">
      <c r="A508" s="1" t="s">
        <v>4292</v>
      </c>
      <c r="B508" s="19">
        <v>46182</v>
      </c>
      <c r="C508" s="1" t="s">
        <v>675</v>
      </c>
      <c r="D508" s="1" t="s">
        <v>21</v>
      </c>
      <c r="E508" s="1" t="s">
        <v>81</v>
      </c>
      <c r="F508" s="1">
        <v>5719</v>
      </c>
      <c r="G508" s="1" t="s">
        <v>361</v>
      </c>
      <c r="H508" s="1" t="s">
        <v>79</v>
      </c>
      <c r="I508" s="1" t="s">
        <v>3720</v>
      </c>
      <c r="J508" s="1" t="s">
        <v>4112</v>
      </c>
    </row>
    <row r="509" spans="1:10" x14ac:dyDescent="0.25">
      <c r="A509" s="1" t="s">
        <v>4293</v>
      </c>
      <c r="B509" s="19">
        <v>46182</v>
      </c>
      <c r="C509" s="1" t="s">
        <v>676</v>
      </c>
      <c r="D509" s="1" t="s">
        <v>21</v>
      </c>
      <c r="E509" s="1" t="s">
        <v>81</v>
      </c>
      <c r="F509" s="1">
        <v>5720</v>
      </c>
      <c r="G509" s="1" t="s">
        <v>355</v>
      </c>
      <c r="H509" s="1" t="s">
        <v>76</v>
      </c>
      <c r="I509" s="1" t="s">
        <v>3720</v>
      </c>
      <c r="J509" s="1" t="s">
        <v>82</v>
      </c>
    </row>
    <row r="510" spans="1:10" x14ac:dyDescent="0.25">
      <c r="A510" s="1" t="s">
        <v>4294</v>
      </c>
      <c r="B510" s="19">
        <v>46182</v>
      </c>
      <c r="C510" s="1" t="s">
        <v>676</v>
      </c>
      <c r="D510" s="1" t="s">
        <v>21</v>
      </c>
      <c r="E510" s="1" t="s">
        <v>81</v>
      </c>
      <c r="F510" s="1">
        <v>5720</v>
      </c>
      <c r="G510" s="1" t="s">
        <v>345</v>
      </c>
      <c r="H510" s="1" t="s">
        <v>76</v>
      </c>
      <c r="I510" s="1" t="s">
        <v>3720</v>
      </c>
      <c r="J510" s="1" t="s">
        <v>78</v>
      </c>
    </row>
    <row r="511" spans="1:10" x14ac:dyDescent="0.25">
      <c r="A511" s="1" t="s">
        <v>4295</v>
      </c>
      <c r="B511" s="19">
        <v>46182</v>
      </c>
      <c r="C511" s="1" t="s">
        <v>676</v>
      </c>
      <c r="D511" s="1" t="s">
        <v>21</v>
      </c>
      <c r="E511" s="1" t="s">
        <v>81</v>
      </c>
      <c r="F511" s="1">
        <v>5720</v>
      </c>
      <c r="G511" s="1" t="s">
        <v>361</v>
      </c>
      <c r="H511" s="1" t="s">
        <v>79</v>
      </c>
      <c r="I511" s="1" t="s">
        <v>3720</v>
      </c>
      <c r="J511" s="1" t="s">
        <v>4112</v>
      </c>
    </row>
    <row r="512" spans="1:10" x14ac:dyDescent="0.25">
      <c r="A512" s="1" t="s">
        <v>4296</v>
      </c>
      <c r="B512" s="19">
        <v>46182</v>
      </c>
      <c r="C512" s="1" t="s">
        <v>677</v>
      </c>
      <c r="D512" s="1" t="s">
        <v>21</v>
      </c>
      <c r="E512" s="1" t="s">
        <v>81</v>
      </c>
      <c r="F512" s="1">
        <v>5721</v>
      </c>
      <c r="G512" s="1" t="s">
        <v>355</v>
      </c>
      <c r="H512" s="1" t="s">
        <v>76</v>
      </c>
      <c r="I512" s="1" t="s">
        <v>3720</v>
      </c>
      <c r="J512" s="1" t="s">
        <v>82</v>
      </c>
    </row>
    <row r="513" spans="1:10" x14ac:dyDescent="0.25">
      <c r="A513" s="1" t="s">
        <v>4297</v>
      </c>
      <c r="B513" s="19">
        <v>46182</v>
      </c>
      <c r="C513" s="1" t="s">
        <v>677</v>
      </c>
      <c r="D513" s="1" t="s">
        <v>21</v>
      </c>
      <c r="E513" s="1" t="s">
        <v>81</v>
      </c>
      <c r="F513" s="1">
        <v>5721</v>
      </c>
      <c r="G513" s="1" t="s">
        <v>345</v>
      </c>
      <c r="H513" s="1" t="s">
        <v>76</v>
      </c>
      <c r="I513" s="1" t="s">
        <v>3720</v>
      </c>
      <c r="J513" s="1" t="s">
        <v>78</v>
      </c>
    </row>
    <row r="514" spans="1:10" x14ac:dyDescent="0.25">
      <c r="A514" s="1" t="s">
        <v>4298</v>
      </c>
      <c r="B514" s="19">
        <v>46182</v>
      </c>
      <c r="C514" s="1" t="s">
        <v>677</v>
      </c>
      <c r="D514" s="1" t="s">
        <v>21</v>
      </c>
      <c r="E514" s="1" t="s">
        <v>81</v>
      </c>
      <c r="F514" s="1">
        <v>5721</v>
      </c>
      <c r="G514" s="1" t="s">
        <v>361</v>
      </c>
      <c r="H514" s="1" t="s">
        <v>79</v>
      </c>
      <c r="I514" s="1" t="s">
        <v>3720</v>
      </c>
      <c r="J514" s="1" t="s">
        <v>4112</v>
      </c>
    </row>
    <row r="515" spans="1:10" x14ac:dyDescent="0.25">
      <c r="A515" s="1" t="s">
        <v>4299</v>
      </c>
      <c r="B515" s="19">
        <v>46182</v>
      </c>
      <c r="C515" s="1" t="s">
        <v>678</v>
      </c>
      <c r="D515" s="1" t="s">
        <v>21</v>
      </c>
      <c r="E515" s="1" t="s">
        <v>81</v>
      </c>
      <c r="F515" s="1">
        <v>5722</v>
      </c>
      <c r="G515" s="1" t="s">
        <v>355</v>
      </c>
      <c r="H515" s="1" t="s">
        <v>76</v>
      </c>
      <c r="I515" s="1" t="s">
        <v>3720</v>
      </c>
      <c r="J515" s="1" t="s">
        <v>82</v>
      </c>
    </row>
    <row r="516" spans="1:10" x14ac:dyDescent="0.25">
      <c r="A516" s="1" t="s">
        <v>4300</v>
      </c>
      <c r="B516" s="19">
        <v>46182</v>
      </c>
      <c r="C516" s="1" t="s">
        <v>678</v>
      </c>
      <c r="D516" s="1" t="s">
        <v>21</v>
      </c>
      <c r="E516" s="1" t="s">
        <v>81</v>
      </c>
      <c r="F516" s="1">
        <v>5722</v>
      </c>
      <c r="G516" s="1" t="s">
        <v>345</v>
      </c>
      <c r="H516" s="1" t="s">
        <v>76</v>
      </c>
      <c r="I516" s="1" t="s">
        <v>3720</v>
      </c>
      <c r="J516" s="1" t="s">
        <v>78</v>
      </c>
    </row>
    <row r="517" spans="1:10" x14ac:dyDescent="0.25">
      <c r="A517" s="1" t="s">
        <v>4301</v>
      </c>
      <c r="B517" s="19">
        <v>46182</v>
      </c>
      <c r="C517" s="1" t="s">
        <v>678</v>
      </c>
      <c r="D517" s="1" t="s">
        <v>21</v>
      </c>
      <c r="E517" s="1" t="s">
        <v>81</v>
      </c>
      <c r="F517" s="1">
        <v>5722</v>
      </c>
      <c r="G517" s="1" t="s">
        <v>361</v>
      </c>
      <c r="H517" s="1" t="s">
        <v>79</v>
      </c>
      <c r="I517" s="1" t="s">
        <v>3720</v>
      </c>
      <c r="J517" s="1" t="s">
        <v>4112</v>
      </c>
    </row>
    <row r="518" spans="1:10" x14ac:dyDescent="0.25">
      <c r="A518" s="1" t="s">
        <v>4302</v>
      </c>
      <c r="B518" s="19">
        <v>46182</v>
      </c>
      <c r="C518" s="1" t="s">
        <v>679</v>
      </c>
      <c r="D518" s="1" t="s">
        <v>21</v>
      </c>
      <c r="E518" s="1" t="s">
        <v>81</v>
      </c>
      <c r="F518" s="1">
        <v>5723</v>
      </c>
      <c r="G518" s="1" t="s">
        <v>355</v>
      </c>
      <c r="H518" s="1" t="s">
        <v>76</v>
      </c>
      <c r="I518" s="1" t="s">
        <v>3720</v>
      </c>
      <c r="J518" s="1" t="s">
        <v>82</v>
      </c>
    </row>
    <row r="519" spans="1:10" x14ac:dyDescent="0.25">
      <c r="A519" s="1" t="s">
        <v>4303</v>
      </c>
      <c r="B519" s="19">
        <v>46182</v>
      </c>
      <c r="C519" s="1" t="s">
        <v>679</v>
      </c>
      <c r="D519" s="1" t="s">
        <v>21</v>
      </c>
      <c r="E519" s="1" t="s">
        <v>81</v>
      </c>
      <c r="F519" s="1">
        <v>5723</v>
      </c>
      <c r="G519" s="1" t="s">
        <v>345</v>
      </c>
      <c r="H519" s="1" t="s">
        <v>76</v>
      </c>
      <c r="I519" s="1" t="s">
        <v>3720</v>
      </c>
      <c r="J519" s="1" t="s">
        <v>78</v>
      </c>
    </row>
    <row r="520" spans="1:10" x14ac:dyDescent="0.25">
      <c r="A520" s="1" t="s">
        <v>4304</v>
      </c>
      <c r="B520" s="19">
        <v>46182</v>
      </c>
      <c r="C520" s="1" t="s">
        <v>679</v>
      </c>
      <c r="D520" s="1" t="s">
        <v>21</v>
      </c>
      <c r="E520" s="1" t="s">
        <v>81</v>
      </c>
      <c r="F520" s="1">
        <v>5723</v>
      </c>
      <c r="G520" s="1" t="s">
        <v>361</v>
      </c>
      <c r="H520" s="1" t="s">
        <v>79</v>
      </c>
      <c r="I520" s="1" t="s">
        <v>3720</v>
      </c>
      <c r="J520" s="1" t="s">
        <v>4112</v>
      </c>
    </row>
    <row r="521" spans="1:10" x14ac:dyDescent="0.25">
      <c r="A521" s="1" t="s">
        <v>4305</v>
      </c>
      <c r="B521" s="19">
        <v>46182</v>
      </c>
      <c r="C521" s="1" t="s">
        <v>680</v>
      </c>
      <c r="D521" s="1" t="s">
        <v>21</v>
      </c>
      <c r="E521" s="1" t="s">
        <v>81</v>
      </c>
      <c r="F521" s="1">
        <v>5724</v>
      </c>
      <c r="G521" s="1" t="s">
        <v>355</v>
      </c>
      <c r="H521" s="1" t="s">
        <v>76</v>
      </c>
      <c r="I521" s="1" t="s">
        <v>3720</v>
      </c>
      <c r="J521" s="1" t="s">
        <v>82</v>
      </c>
    </row>
    <row r="522" spans="1:10" x14ac:dyDescent="0.25">
      <c r="A522" s="1" t="s">
        <v>4306</v>
      </c>
      <c r="B522" s="19">
        <v>46182</v>
      </c>
      <c r="C522" s="1" t="s">
        <v>680</v>
      </c>
      <c r="D522" s="1" t="s">
        <v>21</v>
      </c>
      <c r="E522" s="1" t="s">
        <v>81</v>
      </c>
      <c r="F522" s="1">
        <v>5724</v>
      </c>
      <c r="G522" s="1" t="s">
        <v>345</v>
      </c>
      <c r="H522" s="1" t="s">
        <v>76</v>
      </c>
      <c r="I522" s="1" t="s">
        <v>3720</v>
      </c>
      <c r="J522" s="1" t="s">
        <v>78</v>
      </c>
    </row>
    <row r="523" spans="1:10" x14ac:dyDescent="0.25">
      <c r="A523" s="1" t="s">
        <v>4307</v>
      </c>
      <c r="B523" s="19">
        <v>46182</v>
      </c>
      <c r="C523" s="1" t="s">
        <v>680</v>
      </c>
      <c r="D523" s="1" t="s">
        <v>21</v>
      </c>
      <c r="E523" s="1" t="s">
        <v>81</v>
      </c>
      <c r="F523" s="1">
        <v>5724</v>
      </c>
      <c r="G523" s="1" t="s">
        <v>361</v>
      </c>
      <c r="H523" s="1" t="s">
        <v>79</v>
      </c>
      <c r="I523" s="1" t="s">
        <v>3720</v>
      </c>
      <c r="J523" s="1" t="s">
        <v>4112</v>
      </c>
    </row>
    <row r="524" spans="1:10" x14ac:dyDescent="0.25">
      <c r="A524" s="1" t="s">
        <v>4308</v>
      </c>
      <c r="B524" s="19">
        <v>46182</v>
      </c>
      <c r="C524" s="1" t="s">
        <v>681</v>
      </c>
      <c r="D524" s="1" t="s">
        <v>21</v>
      </c>
      <c r="E524" s="1" t="s">
        <v>81</v>
      </c>
      <c r="F524" s="1">
        <v>5725</v>
      </c>
      <c r="G524" s="1" t="s">
        <v>355</v>
      </c>
      <c r="H524" s="1" t="s">
        <v>76</v>
      </c>
      <c r="I524" s="1" t="s">
        <v>3720</v>
      </c>
      <c r="J524" s="1" t="s">
        <v>82</v>
      </c>
    </row>
    <row r="525" spans="1:10" x14ac:dyDescent="0.25">
      <c r="A525" s="1" t="s">
        <v>4309</v>
      </c>
      <c r="B525" s="19">
        <v>46182</v>
      </c>
      <c r="C525" s="1" t="s">
        <v>681</v>
      </c>
      <c r="D525" s="1" t="s">
        <v>21</v>
      </c>
      <c r="E525" s="1" t="s">
        <v>81</v>
      </c>
      <c r="F525" s="1">
        <v>5725</v>
      </c>
      <c r="G525" s="1" t="s">
        <v>345</v>
      </c>
      <c r="H525" s="1" t="s">
        <v>76</v>
      </c>
      <c r="I525" s="1" t="s">
        <v>3720</v>
      </c>
      <c r="J525" s="1" t="s">
        <v>78</v>
      </c>
    </row>
    <row r="526" spans="1:10" x14ac:dyDescent="0.25">
      <c r="A526" s="1" t="s">
        <v>4310</v>
      </c>
      <c r="B526" s="19">
        <v>46182</v>
      </c>
      <c r="C526" s="1" t="s">
        <v>681</v>
      </c>
      <c r="D526" s="1" t="s">
        <v>21</v>
      </c>
      <c r="E526" s="1" t="s">
        <v>81</v>
      </c>
      <c r="F526" s="1">
        <v>5725</v>
      </c>
      <c r="G526" s="1" t="s">
        <v>361</v>
      </c>
      <c r="H526" s="1" t="s">
        <v>79</v>
      </c>
      <c r="I526" s="1" t="s">
        <v>3720</v>
      </c>
      <c r="J526" s="1" t="s">
        <v>4112</v>
      </c>
    </row>
    <row r="527" spans="1:10" x14ac:dyDescent="0.25">
      <c r="A527" s="1" t="s">
        <v>4311</v>
      </c>
      <c r="B527" s="19">
        <v>46182</v>
      </c>
      <c r="C527" s="1" t="s">
        <v>682</v>
      </c>
      <c r="D527" s="1" t="s">
        <v>21</v>
      </c>
      <c r="E527" s="1" t="s">
        <v>81</v>
      </c>
      <c r="F527" s="1">
        <v>5726</v>
      </c>
      <c r="G527" s="1" t="s">
        <v>355</v>
      </c>
      <c r="H527" s="1" t="s">
        <v>76</v>
      </c>
      <c r="I527" s="1" t="s">
        <v>3720</v>
      </c>
      <c r="J527" s="1" t="s">
        <v>82</v>
      </c>
    </row>
    <row r="528" spans="1:10" x14ac:dyDescent="0.25">
      <c r="A528" s="1" t="s">
        <v>4312</v>
      </c>
      <c r="B528" s="19">
        <v>46182</v>
      </c>
      <c r="C528" s="1" t="s">
        <v>682</v>
      </c>
      <c r="D528" s="1" t="s">
        <v>21</v>
      </c>
      <c r="E528" s="1" t="s">
        <v>81</v>
      </c>
      <c r="F528" s="1">
        <v>5726</v>
      </c>
      <c r="G528" s="1" t="s">
        <v>345</v>
      </c>
      <c r="H528" s="1" t="s">
        <v>76</v>
      </c>
      <c r="I528" s="1" t="s">
        <v>3720</v>
      </c>
      <c r="J528" s="1" t="s">
        <v>78</v>
      </c>
    </row>
    <row r="529" spans="1:10" x14ac:dyDescent="0.25">
      <c r="A529" s="1" t="s">
        <v>4313</v>
      </c>
      <c r="B529" s="19">
        <v>46182</v>
      </c>
      <c r="C529" s="1" t="s">
        <v>682</v>
      </c>
      <c r="D529" s="1" t="s">
        <v>21</v>
      </c>
      <c r="E529" s="1" t="s">
        <v>81</v>
      </c>
      <c r="F529" s="1">
        <v>5726</v>
      </c>
      <c r="G529" s="1" t="s">
        <v>361</v>
      </c>
      <c r="H529" s="1" t="s">
        <v>79</v>
      </c>
      <c r="I529" s="1" t="s">
        <v>3720</v>
      </c>
      <c r="J529" s="1" t="s">
        <v>4112</v>
      </c>
    </row>
    <row r="530" spans="1:10" x14ac:dyDescent="0.25">
      <c r="A530" s="1" t="s">
        <v>4314</v>
      </c>
      <c r="B530" s="19">
        <v>46182</v>
      </c>
      <c r="C530" s="1" t="s">
        <v>683</v>
      </c>
      <c r="D530" s="1" t="s">
        <v>21</v>
      </c>
      <c r="E530" s="1" t="s">
        <v>81</v>
      </c>
      <c r="F530" s="1">
        <v>5727</v>
      </c>
      <c r="G530" s="1" t="s">
        <v>355</v>
      </c>
      <c r="H530" s="1" t="s">
        <v>76</v>
      </c>
      <c r="I530" s="1" t="s">
        <v>3720</v>
      </c>
      <c r="J530" s="1" t="s">
        <v>82</v>
      </c>
    </row>
    <row r="531" spans="1:10" x14ac:dyDescent="0.25">
      <c r="A531" s="1" t="s">
        <v>4315</v>
      </c>
      <c r="B531" s="19">
        <v>46182</v>
      </c>
      <c r="C531" s="1" t="s">
        <v>683</v>
      </c>
      <c r="D531" s="1" t="s">
        <v>21</v>
      </c>
      <c r="E531" s="1" t="s">
        <v>81</v>
      </c>
      <c r="F531" s="1">
        <v>5727</v>
      </c>
      <c r="G531" s="1" t="s">
        <v>345</v>
      </c>
      <c r="H531" s="1" t="s">
        <v>76</v>
      </c>
      <c r="I531" s="1" t="s">
        <v>3720</v>
      </c>
      <c r="J531" s="1" t="s">
        <v>78</v>
      </c>
    </row>
    <row r="532" spans="1:10" x14ac:dyDescent="0.25">
      <c r="A532" s="1" t="s">
        <v>4316</v>
      </c>
      <c r="B532" s="19">
        <v>46182</v>
      </c>
      <c r="C532" s="1" t="s">
        <v>683</v>
      </c>
      <c r="D532" s="1" t="s">
        <v>21</v>
      </c>
      <c r="E532" s="1" t="s">
        <v>81</v>
      </c>
      <c r="F532" s="1">
        <v>5727</v>
      </c>
      <c r="G532" s="1" t="s">
        <v>361</v>
      </c>
      <c r="H532" s="1" t="s">
        <v>79</v>
      </c>
      <c r="I532" s="1" t="s">
        <v>3720</v>
      </c>
      <c r="J532" s="1" t="s">
        <v>4112</v>
      </c>
    </row>
    <row r="533" spans="1:10" x14ac:dyDescent="0.25">
      <c r="A533" s="1" t="s">
        <v>4317</v>
      </c>
      <c r="B533" s="19">
        <v>46182</v>
      </c>
      <c r="C533" s="1" t="s">
        <v>684</v>
      </c>
      <c r="D533" s="1" t="s">
        <v>21</v>
      </c>
      <c r="E533" s="1" t="s">
        <v>81</v>
      </c>
      <c r="F533" s="1">
        <v>5728</v>
      </c>
      <c r="G533" s="1" t="s">
        <v>355</v>
      </c>
      <c r="H533" s="1" t="s">
        <v>76</v>
      </c>
      <c r="I533" s="1" t="s">
        <v>3720</v>
      </c>
      <c r="J533" s="1" t="s">
        <v>82</v>
      </c>
    </row>
    <row r="534" spans="1:10" x14ac:dyDescent="0.25">
      <c r="A534" s="1" t="s">
        <v>4318</v>
      </c>
      <c r="B534" s="19">
        <v>46182</v>
      </c>
      <c r="C534" s="1" t="s">
        <v>684</v>
      </c>
      <c r="D534" s="1" t="s">
        <v>21</v>
      </c>
      <c r="E534" s="1" t="s">
        <v>81</v>
      </c>
      <c r="F534" s="1">
        <v>5728</v>
      </c>
      <c r="G534" s="1" t="s">
        <v>345</v>
      </c>
      <c r="H534" s="1" t="s">
        <v>76</v>
      </c>
      <c r="I534" s="1" t="s">
        <v>3720</v>
      </c>
      <c r="J534" s="1" t="s">
        <v>78</v>
      </c>
    </row>
    <row r="535" spans="1:10" x14ac:dyDescent="0.25">
      <c r="A535" s="1" t="s">
        <v>4319</v>
      </c>
      <c r="B535" s="19">
        <v>46182</v>
      </c>
      <c r="C535" s="1" t="s">
        <v>684</v>
      </c>
      <c r="D535" s="1" t="s">
        <v>21</v>
      </c>
      <c r="E535" s="1" t="s">
        <v>81</v>
      </c>
      <c r="F535" s="1">
        <v>5728</v>
      </c>
      <c r="G535" s="1" t="s">
        <v>361</v>
      </c>
      <c r="H535" s="1" t="s">
        <v>79</v>
      </c>
      <c r="I535" s="1" t="s">
        <v>3720</v>
      </c>
      <c r="J535" s="1" t="s">
        <v>4112</v>
      </c>
    </row>
    <row r="536" spans="1:10" x14ac:dyDescent="0.25">
      <c r="A536" s="1" t="s">
        <v>4320</v>
      </c>
      <c r="B536" s="19">
        <v>46182</v>
      </c>
      <c r="C536" s="1" t="s">
        <v>685</v>
      </c>
      <c r="D536" s="1" t="s">
        <v>21</v>
      </c>
      <c r="E536" s="1" t="s">
        <v>81</v>
      </c>
      <c r="F536" s="1">
        <v>5729</v>
      </c>
      <c r="G536" s="1" t="s">
        <v>355</v>
      </c>
      <c r="H536" s="1" t="s">
        <v>76</v>
      </c>
      <c r="I536" s="1" t="s">
        <v>3720</v>
      </c>
      <c r="J536" s="1" t="s">
        <v>82</v>
      </c>
    </row>
    <row r="537" spans="1:10" x14ac:dyDescent="0.25">
      <c r="A537" s="1" t="s">
        <v>4321</v>
      </c>
      <c r="B537" s="19">
        <v>46182</v>
      </c>
      <c r="C537" s="1" t="s">
        <v>685</v>
      </c>
      <c r="D537" s="1" t="s">
        <v>21</v>
      </c>
      <c r="E537" s="1" t="s">
        <v>81</v>
      </c>
      <c r="F537" s="1">
        <v>5729</v>
      </c>
      <c r="G537" s="1" t="s">
        <v>345</v>
      </c>
      <c r="H537" s="1" t="s">
        <v>76</v>
      </c>
      <c r="I537" s="1" t="s">
        <v>3720</v>
      </c>
      <c r="J537" s="1" t="s">
        <v>78</v>
      </c>
    </row>
    <row r="538" spans="1:10" x14ac:dyDescent="0.25">
      <c r="A538" s="1" t="s">
        <v>4322</v>
      </c>
      <c r="B538" s="19">
        <v>46182</v>
      </c>
      <c r="C538" s="1" t="s">
        <v>685</v>
      </c>
      <c r="D538" s="1" t="s">
        <v>21</v>
      </c>
      <c r="E538" s="1" t="s">
        <v>81</v>
      </c>
      <c r="F538" s="1">
        <v>5729</v>
      </c>
      <c r="G538" s="1" t="s">
        <v>361</v>
      </c>
      <c r="H538" s="1" t="s">
        <v>79</v>
      </c>
      <c r="I538" s="1" t="s">
        <v>3720</v>
      </c>
      <c r="J538" s="1" t="s">
        <v>4112</v>
      </c>
    </row>
    <row r="539" spans="1:10" x14ac:dyDescent="0.25">
      <c r="A539" s="1" t="s">
        <v>4323</v>
      </c>
      <c r="B539" s="19">
        <v>46182</v>
      </c>
      <c r="C539" s="1" t="s">
        <v>686</v>
      </c>
      <c r="D539" s="1" t="s">
        <v>21</v>
      </c>
      <c r="E539" s="1" t="s">
        <v>81</v>
      </c>
      <c r="F539" s="1">
        <v>5730</v>
      </c>
      <c r="G539" s="1" t="s">
        <v>355</v>
      </c>
      <c r="H539" s="1" t="s">
        <v>76</v>
      </c>
      <c r="I539" s="1" t="s">
        <v>3720</v>
      </c>
      <c r="J539" s="1" t="s">
        <v>82</v>
      </c>
    </row>
    <row r="540" spans="1:10" x14ac:dyDescent="0.25">
      <c r="A540" s="1" t="s">
        <v>4324</v>
      </c>
      <c r="B540" s="19">
        <v>46182</v>
      </c>
      <c r="C540" s="1" t="s">
        <v>686</v>
      </c>
      <c r="D540" s="1" t="s">
        <v>21</v>
      </c>
      <c r="E540" s="1" t="s">
        <v>81</v>
      </c>
      <c r="F540" s="1">
        <v>5730</v>
      </c>
      <c r="G540" s="1" t="s">
        <v>345</v>
      </c>
      <c r="H540" s="1" t="s">
        <v>76</v>
      </c>
      <c r="I540" s="1" t="s">
        <v>3720</v>
      </c>
      <c r="J540" s="1" t="s">
        <v>78</v>
      </c>
    </row>
    <row r="541" spans="1:10" x14ac:dyDescent="0.25">
      <c r="A541" s="1" t="s">
        <v>4325</v>
      </c>
      <c r="B541" s="19">
        <v>46182</v>
      </c>
      <c r="C541" s="1" t="s">
        <v>686</v>
      </c>
      <c r="D541" s="1" t="s">
        <v>21</v>
      </c>
      <c r="E541" s="1" t="s">
        <v>81</v>
      </c>
      <c r="F541" s="1">
        <v>5730</v>
      </c>
      <c r="G541" s="1" t="s">
        <v>361</v>
      </c>
      <c r="H541" s="1" t="s">
        <v>79</v>
      </c>
      <c r="I541" s="1" t="s">
        <v>3720</v>
      </c>
      <c r="J541" s="1" t="s">
        <v>4112</v>
      </c>
    </row>
    <row r="542" spans="1:10" x14ac:dyDescent="0.25">
      <c r="A542" s="1" t="s">
        <v>4326</v>
      </c>
      <c r="B542" s="19">
        <v>46182</v>
      </c>
      <c r="C542" s="1" t="s">
        <v>687</v>
      </c>
      <c r="D542" s="1" t="s">
        <v>21</v>
      </c>
      <c r="E542" s="1" t="s">
        <v>81</v>
      </c>
      <c r="F542" s="1">
        <v>5731</v>
      </c>
      <c r="G542" s="1" t="s">
        <v>355</v>
      </c>
      <c r="H542" s="1" t="s">
        <v>76</v>
      </c>
      <c r="I542" s="1" t="s">
        <v>3720</v>
      </c>
      <c r="J542" s="1" t="s">
        <v>82</v>
      </c>
    </row>
    <row r="543" spans="1:10" x14ac:dyDescent="0.25">
      <c r="A543" s="1" t="s">
        <v>4327</v>
      </c>
      <c r="B543" s="19">
        <v>46182</v>
      </c>
      <c r="C543" s="1" t="s">
        <v>687</v>
      </c>
      <c r="D543" s="1" t="s">
        <v>21</v>
      </c>
      <c r="E543" s="1" t="s">
        <v>81</v>
      </c>
      <c r="F543" s="1">
        <v>5731</v>
      </c>
      <c r="G543" s="1" t="s">
        <v>345</v>
      </c>
      <c r="H543" s="1" t="s">
        <v>76</v>
      </c>
      <c r="I543" s="1" t="s">
        <v>3720</v>
      </c>
      <c r="J543" s="1" t="s">
        <v>78</v>
      </c>
    </row>
    <row r="544" spans="1:10" x14ac:dyDescent="0.25">
      <c r="A544" s="1" t="s">
        <v>4328</v>
      </c>
      <c r="B544" s="19">
        <v>46182</v>
      </c>
      <c r="C544" s="1" t="s">
        <v>687</v>
      </c>
      <c r="D544" s="1" t="s">
        <v>21</v>
      </c>
      <c r="E544" s="1" t="s">
        <v>81</v>
      </c>
      <c r="F544" s="1">
        <v>5731</v>
      </c>
      <c r="G544" s="1" t="s">
        <v>361</v>
      </c>
      <c r="H544" s="1" t="s">
        <v>79</v>
      </c>
      <c r="I544" s="1" t="s">
        <v>3720</v>
      </c>
      <c r="J544" s="1" t="s">
        <v>4112</v>
      </c>
    </row>
    <row r="545" spans="1:10" x14ac:dyDescent="0.25">
      <c r="A545" s="1" t="s">
        <v>4329</v>
      </c>
      <c r="B545" s="19">
        <v>46182</v>
      </c>
      <c r="C545" s="1" t="s">
        <v>688</v>
      </c>
      <c r="D545" s="1" t="s">
        <v>21</v>
      </c>
      <c r="E545" s="1" t="s">
        <v>81</v>
      </c>
      <c r="F545" s="1">
        <v>5732</v>
      </c>
      <c r="G545" s="1" t="s">
        <v>355</v>
      </c>
      <c r="H545" s="1" t="s">
        <v>76</v>
      </c>
      <c r="I545" s="1" t="s">
        <v>3720</v>
      </c>
      <c r="J545" s="1" t="s">
        <v>82</v>
      </c>
    </row>
    <row r="546" spans="1:10" x14ac:dyDescent="0.25">
      <c r="A546" s="1" t="s">
        <v>4330</v>
      </c>
      <c r="B546" s="19">
        <v>46182</v>
      </c>
      <c r="C546" s="1" t="s">
        <v>688</v>
      </c>
      <c r="D546" s="1" t="s">
        <v>21</v>
      </c>
      <c r="E546" s="1" t="s">
        <v>81</v>
      </c>
      <c r="F546" s="1">
        <v>5732</v>
      </c>
      <c r="G546" s="1" t="s">
        <v>345</v>
      </c>
      <c r="H546" s="1" t="s">
        <v>76</v>
      </c>
      <c r="I546" s="1" t="s">
        <v>3720</v>
      </c>
      <c r="J546" s="1" t="s">
        <v>78</v>
      </c>
    </row>
    <row r="547" spans="1:10" x14ac:dyDescent="0.25">
      <c r="A547" s="1" t="s">
        <v>4331</v>
      </c>
      <c r="B547" s="19">
        <v>46182</v>
      </c>
      <c r="C547" s="1" t="s">
        <v>688</v>
      </c>
      <c r="D547" s="1" t="s">
        <v>21</v>
      </c>
      <c r="E547" s="1" t="s">
        <v>81</v>
      </c>
      <c r="F547" s="1">
        <v>5732</v>
      </c>
      <c r="G547" s="1" t="s">
        <v>361</v>
      </c>
      <c r="H547" s="1" t="s">
        <v>79</v>
      </c>
      <c r="I547" s="1" t="s">
        <v>3720</v>
      </c>
      <c r="J547" s="1" t="s">
        <v>4112</v>
      </c>
    </row>
    <row r="548" spans="1:10" x14ac:dyDescent="0.25">
      <c r="A548" s="1" t="s">
        <v>4332</v>
      </c>
      <c r="B548" s="19">
        <v>46182</v>
      </c>
      <c r="C548" s="1" t="s">
        <v>689</v>
      </c>
      <c r="D548" s="1" t="s">
        <v>21</v>
      </c>
      <c r="E548" s="1" t="s">
        <v>81</v>
      </c>
      <c r="F548" s="1">
        <v>5733</v>
      </c>
      <c r="G548" s="1" t="s">
        <v>355</v>
      </c>
      <c r="H548" s="1" t="s">
        <v>76</v>
      </c>
      <c r="I548" s="1" t="s">
        <v>3720</v>
      </c>
      <c r="J548" s="1" t="s">
        <v>82</v>
      </c>
    </row>
    <row r="549" spans="1:10" x14ac:dyDescent="0.25">
      <c r="A549" s="1" t="s">
        <v>4333</v>
      </c>
      <c r="B549" s="19">
        <v>46182</v>
      </c>
      <c r="C549" s="1" t="s">
        <v>689</v>
      </c>
      <c r="D549" s="1" t="s">
        <v>21</v>
      </c>
      <c r="E549" s="1" t="s">
        <v>81</v>
      </c>
      <c r="F549" s="1">
        <v>5733</v>
      </c>
      <c r="G549" s="1" t="s">
        <v>345</v>
      </c>
      <c r="H549" s="1" t="s">
        <v>76</v>
      </c>
      <c r="I549" s="1" t="s">
        <v>3720</v>
      </c>
      <c r="J549" s="1" t="s">
        <v>78</v>
      </c>
    </row>
    <row r="550" spans="1:10" x14ac:dyDescent="0.25">
      <c r="A550" s="1" t="s">
        <v>4334</v>
      </c>
      <c r="B550" s="19">
        <v>46182</v>
      </c>
      <c r="C550" s="1" t="s">
        <v>689</v>
      </c>
      <c r="D550" s="1" t="s">
        <v>21</v>
      </c>
      <c r="E550" s="1" t="s">
        <v>81</v>
      </c>
      <c r="F550" s="1">
        <v>5733</v>
      </c>
      <c r="G550" s="1" t="s">
        <v>361</v>
      </c>
      <c r="H550" s="1" t="s">
        <v>79</v>
      </c>
      <c r="I550" s="1" t="s">
        <v>3720</v>
      </c>
      <c r="J550" s="1" t="s">
        <v>4112</v>
      </c>
    </row>
    <row r="551" spans="1:10" x14ac:dyDescent="0.25">
      <c r="A551" s="1" t="s">
        <v>4335</v>
      </c>
      <c r="B551" s="19">
        <v>46182</v>
      </c>
      <c r="C551" s="1" t="s">
        <v>690</v>
      </c>
      <c r="D551" s="1" t="s">
        <v>21</v>
      </c>
      <c r="E551" s="1" t="s">
        <v>81</v>
      </c>
      <c r="F551" s="1">
        <v>5734</v>
      </c>
      <c r="G551" s="1" t="s">
        <v>355</v>
      </c>
      <c r="H551" s="1" t="s">
        <v>76</v>
      </c>
      <c r="I551" s="1" t="s">
        <v>3720</v>
      </c>
      <c r="J551" s="1" t="s">
        <v>82</v>
      </c>
    </row>
    <row r="552" spans="1:10" x14ac:dyDescent="0.25">
      <c r="A552" s="1" t="s">
        <v>4336</v>
      </c>
      <c r="B552" s="19">
        <v>46182</v>
      </c>
      <c r="C552" s="1" t="s">
        <v>690</v>
      </c>
      <c r="D552" s="1" t="s">
        <v>21</v>
      </c>
      <c r="E552" s="1" t="s">
        <v>81</v>
      </c>
      <c r="F552" s="1">
        <v>5734</v>
      </c>
      <c r="G552" s="1" t="s">
        <v>345</v>
      </c>
      <c r="H552" s="1" t="s">
        <v>76</v>
      </c>
      <c r="I552" s="1" t="s">
        <v>3720</v>
      </c>
      <c r="J552" s="1" t="s">
        <v>78</v>
      </c>
    </row>
    <row r="553" spans="1:10" x14ac:dyDescent="0.25">
      <c r="A553" s="1" t="s">
        <v>4337</v>
      </c>
      <c r="B553" s="19">
        <v>46182</v>
      </c>
      <c r="C553" s="1" t="s">
        <v>690</v>
      </c>
      <c r="D553" s="1" t="s">
        <v>21</v>
      </c>
      <c r="E553" s="1" t="s">
        <v>81</v>
      </c>
      <c r="F553" s="1">
        <v>5734</v>
      </c>
      <c r="G553" s="1" t="s">
        <v>361</v>
      </c>
      <c r="H553" s="1" t="s">
        <v>79</v>
      </c>
      <c r="I553" s="1" t="s">
        <v>3720</v>
      </c>
      <c r="J553" s="1" t="s">
        <v>4112</v>
      </c>
    </row>
    <row r="554" spans="1:10" x14ac:dyDescent="0.25">
      <c r="A554" s="1" t="s">
        <v>4338</v>
      </c>
      <c r="B554" s="19">
        <v>46182</v>
      </c>
      <c r="C554" s="1" t="s">
        <v>691</v>
      </c>
      <c r="D554" s="1" t="s">
        <v>21</v>
      </c>
      <c r="E554" s="1" t="s">
        <v>81</v>
      </c>
      <c r="F554" s="1">
        <v>5735</v>
      </c>
      <c r="G554" s="1" t="s">
        <v>355</v>
      </c>
      <c r="H554" s="1" t="s">
        <v>76</v>
      </c>
      <c r="I554" s="1" t="s">
        <v>3720</v>
      </c>
      <c r="J554" s="1" t="s">
        <v>82</v>
      </c>
    </row>
    <row r="555" spans="1:10" x14ac:dyDescent="0.25">
      <c r="A555" s="1" t="s">
        <v>4339</v>
      </c>
      <c r="B555" s="19">
        <v>46182</v>
      </c>
      <c r="C555" s="1" t="s">
        <v>691</v>
      </c>
      <c r="D555" s="1" t="s">
        <v>21</v>
      </c>
      <c r="E555" s="1" t="s">
        <v>81</v>
      </c>
      <c r="F555" s="1">
        <v>5735</v>
      </c>
      <c r="G555" s="1" t="s">
        <v>345</v>
      </c>
      <c r="H555" s="1" t="s">
        <v>76</v>
      </c>
      <c r="I555" s="1" t="s">
        <v>3720</v>
      </c>
      <c r="J555" s="1" t="s">
        <v>78</v>
      </c>
    </row>
    <row r="556" spans="1:10" x14ac:dyDescent="0.25">
      <c r="A556" s="1" t="s">
        <v>4340</v>
      </c>
      <c r="B556" s="19">
        <v>46182</v>
      </c>
      <c r="C556" s="1" t="s">
        <v>691</v>
      </c>
      <c r="D556" s="1" t="s">
        <v>21</v>
      </c>
      <c r="E556" s="1" t="s">
        <v>81</v>
      </c>
      <c r="F556" s="1">
        <v>5735</v>
      </c>
      <c r="G556" s="1" t="s">
        <v>361</v>
      </c>
      <c r="H556" s="1" t="s">
        <v>79</v>
      </c>
      <c r="I556" s="1" t="s">
        <v>3720</v>
      </c>
      <c r="J556" s="1" t="s">
        <v>4112</v>
      </c>
    </row>
    <row r="557" spans="1:10" x14ac:dyDescent="0.25">
      <c r="A557" s="1" t="s">
        <v>4341</v>
      </c>
      <c r="B557" s="19">
        <v>46182</v>
      </c>
      <c r="C557" s="1" t="s">
        <v>692</v>
      </c>
      <c r="D557" s="1" t="s">
        <v>21</v>
      </c>
      <c r="E557" s="1" t="s">
        <v>81</v>
      </c>
      <c r="F557" s="1">
        <v>5736</v>
      </c>
      <c r="G557" s="1" t="s">
        <v>355</v>
      </c>
      <c r="H557" s="1" t="s">
        <v>76</v>
      </c>
      <c r="I557" s="1" t="s">
        <v>3720</v>
      </c>
      <c r="J557" s="1" t="s">
        <v>82</v>
      </c>
    </row>
    <row r="558" spans="1:10" x14ac:dyDescent="0.25">
      <c r="A558" s="1" t="s">
        <v>4342</v>
      </c>
      <c r="B558" s="19">
        <v>46182</v>
      </c>
      <c r="C558" s="1" t="s">
        <v>692</v>
      </c>
      <c r="D558" s="1" t="s">
        <v>21</v>
      </c>
      <c r="E558" s="1" t="s">
        <v>81</v>
      </c>
      <c r="F558" s="1">
        <v>5736</v>
      </c>
      <c r="G558" s="1" t="s">
        <v>345</v>
      </c>
      <c r="H558" s="1" t="s">
        <v>76</v>
      </c>
      <c r="I558" s="1" t="s">
        <v>3720</v>
      </c>
      <c r="J558" s="1" t="s">
        <v>78</v>
      </c>
    </row>
    <row r="559" spans="1:10" x14ac:dyDescent="0.25">
      <c r="A559" s="1" t="s">
        <v>4343</v>
      </c>
      <c r="B559" s="19">
        <v>46182</v>
      </c>
      <c r="C559" s="1" t="s">
        <v>692</v>
      </c>
      <c r="D559" s="1" t="s">
        <v>21</v>
      </c>
      <c r="E559" s="1" t="s">
        <v>81</v>
      </c>
      <c r="F559" s="1">
        <v>5736</v>
      </c>
      <c r="G559" s="1" t="s">
        <v>361</v>
      </c>
      <c r="H559" s="1" t="s">
        <v>79</v>
      </c>
      <c r="I559" s="1" t="s">
        <v>3720</v>
      </c>
      <c r="J559" s="1" t="s">
        <v>4112</v>
      </c>
    </row>
    <row r="560" spans="1:10" x14ac:dyDescent="0.25">
      <c r="A560" s="1" t="s">
        <v>4344</v>
      </c>
      <c r="B560" s="19">
        <v>46182</v>
      </c>
      <c r="C560" s="1" t="s">
        <v>693</v>
      </c>
      <c r="D560" s="1" t="s">
        <v>21</v>
      </c>
      <c r="E560" s="1" t="s">
        <v>81</v>
      </c>
      <c r="F560" s="1">
        <v>5737</v>
      </c>
      <c r="G560" s="1" t="s">
        <v>355</v>
      </c>
      <c r="H560" s="1" t="s">
        <v>76</v>
      </c>
      <c r="I560" s="1" t="s">
        <v>3720</v>
      </c>
      <c r="J560" s="1" t="s">
        <v>82</v>
      </c>
    </row>
    <row r="561" spans="1:10" x14ac:dyDescent="0.25">
      <c r="A561" s="1" t="s">
        <v>4345</v>
      </c>
      <c r="B561" s="19">
        <v>46182</v>
      </c>
      <c r="C561" s="1" t="s">
        <v>693</v>
      </c>
      <c r="D561" s="1" t="s">
        <v>21</v>
      </c>
      <c r="E561" s="1" t="s">
        <v>81</v>
      </c>
      <c r="F561" s="1">
        <v>5737</v>
      </c>
      <c r="G561" s="1" t="s">
        <v>345</v>
      </c>
      <c r="H561" s="1" t="s">
        <v>76</v>
      </c>
      <c r="I561" s="1" t="s">
        <v>3720</v>
      </c>
      <c r="J561" s="1" t="s">
        <v>78</v>
      </c>
    </row>
    <row r="562" spans="1:10" x14ac:dyDescent="0.25">
      <c r="A562" s="1" t="s">
        <v>4346</v>
      </c>
      <c r="B562" s="19">
        <v>46182</v>
      </c>
      <c r="C562" s="1" t="s">
        <v>693</v>
      </c>
      <c r="D562" s="1" t="s">
        <v>21</v>
      </c>
      <c r="E562" s="1" t="s">
        <v>81</v>
      </c>
      <c r="F562" s="1">
        <v>5737</v>
      </c>
      <c r="G562" s="1" t="s">
        <v>361</v>
      </c>
      <c r="H562" s="1" t="s">
        <v>79</v>
      </c>
      <c r="I562" s="1" t="s">
        <v>3720</v>
      </c>
      <c r="J562" s="1" t="s">
        <v>4112</v>
      </c>
    </row>
    <row r="563" spans="1:10" x14ac:dyDescent="0.25">
      <c r="A563" s="1" t="s">
        <v>4347</v>
      </c>
      <c r="B563" s="19">
        <v>46182</v>
      </c>
      <c r="C563" s="1" t="s">
        <v>694</v>
      </c>
      <c r="D563" s="1" t="s">
        <v>21</v>
      </c>
      <c r="E563" s="1" t="s">
        <v>81</v>
      </c>
      <c r="F563" s="1">
        <v>5738</v>
      </c>
      <c r="G563" s="1" t="s">
        <v>355</v>
      </c>
      <c r="H563" s="1" t="s">
        <v>76</v>
      </c>
      <c r="I563" s="1" t="s">
        <v>3720</v>
      </c>
      <c r="J563" s="1" t="s">
        <v>82</v>
      </c>
    </row>
    <row r="564" spans="1:10" x14ac:dyDescent="0.25">
      <c r="A564" s="1" t="s">
        <v>4348</v>
      </c>
      <c r="B564" s="19">
        <v>46182</v>
      </c>
      <c r="C564" s="1" t="s">
        <v>694</v>
      </c>
      <c r="D564" s="1" t="s">
        <v>21</v>
      </c>
      <c r="E564" s="1" t="s">
        <v>81</v>
      </c>
      <c r="F564" s="1">
        <v>5738</v>
      </c>
      <c r="G564" s="1" t="s">
        <v>345</v>
      </c>
      <c r="H564" s="1" t="s">
        <v>76</v>
      </c>
      <c r="I564" s="1" t="s">
        <v>3720</v>
      </c>
      <c r="J564" s="1" t="s">
        <v>78</v>
      </c>
    </row>
    <row r="565" spans="1:10" x14ac:dyDescent="0.25">
      <c r="A565" s="1" t="s">
        <v>4349</v>
      </c>
      <c r="B565" s="19">
        <v>46182</v>
      </c>
      <c r="C565" s="1" t="s">
        <v>694</v>
      </c>
      <c r="D565" s="1" t="s">
        <v>21</v>
      </c>
      <c r="E565" s="1" t="s">
        <v>81</v>
      </c>
      <c r="F565" s="1">
        <v>5738</v>
      </c>
      <c r="G565" s="1" t="s">
        <v>361</v>
      </c>
      <c r="H565" s="1" t="s">
        <v>79</v>
      </c>
      <c r="I565" s="1" t="s">
        <v>3720</v>
      </c>
      <c r="J565" s="1" t="s">
        <v>4112</v>
      </c>
    </row>
    <row r="566" spans="1:10" x14ac:dyDescent="0.25">
      <c r="A566" s="1" t="s">
        <v>4350</v>
      </c>
      <c r="B566" s="19">
        <v>46182</v>
      </c>
      <c r="C566" s="1" t="s">
        <v>695</v>
      </c>
      <c r="D566" s="1" t="s">
        <v>21</v>
      </c>
      <c r="E566" s="1" t="s">
        <v>81</v>
      </c>
      <c r="F566" s="1">
        <v>5739</v>
      </c>
      <c r="G566" s="1" t="s">
        <v>355</v>
      </c>
      <c r="H566" s="1" t="s">
        <v>76</v>
      </c>
      <c r="I566" s="1" t="s">
        <v>3720</v>
      </c>
      <c r="J566" s="1" t="s">
        <v>82</v>
      </c>
    </row>
    <row r="567" spans="1:10" x14ac:dyDescent="0.25">
      <c r="A567" s="1" t="s">
        <v>4351</v>
      </c>
      <c r="B567" s="19">
        <v>46182</v>
      </c>
      <c r="C567" s="1" t="s">
        <v>695</v>
      </c>
      <c r="D567" s="1" t="s">
        <v>21</v>
      </c>
      <c r="E567" s="1" t="s">
        <v>81</v>
      </c>
      <c r="F567" s="1">
        <v>5739</v>
      </c>
      <c r="G567" s="1" t="s">
        <v>345</v>
      </c>
      <c r="H567" s="1" t="s">
        <v>76</v>
      </c>
      <c r="I567" s="1" t="s">
        <v>3720</v>
      </c>
      <c r="J567" s="1" t="s">
        <v>78</v>
      </c>
    </row>
    <row r="568" spans="1:10" x14ac:dyDescent="0.25">
      <c r="A568" s="1" t="s">
        <v>4352</v>
      </c>
      <c r="B568" s="19">
        <v>46182</v>
      </c>
      <c r="C568" s="1" t="s">
        <v>695</v>
      </c>
      <c r="D568" s="1" t="s">
        <v>21</v>
      </c>
      <c r="E568" s="1" t="s">
        <v>81</v>
      </c>
      <c r="F568" s="1">
        <v>5739</v>
      </c>
      <c r="G568" s="1" t="s">
        <v>361</v>
      </c>
      <c r="H568" s="1" t="s">
        <v>79</v>
      </c>
      <c r="I568" s="1" t="s">
        <v>3720</v>
      </c>
      <c r="J568" s="1" t="s">
        <v>4112</v>
      </c>
    </row>
    <row r="569" spans="1:10" x14ac:dyDescent="0.25">
      <c r="A569" s="1" t="s">
        <v>4353</v>
      </c>
      <c r="B569" s="19">
        <v>46182</v>
      </c>
      <c r="C569" s="1" t="s">
        <v>696</v>
      </c>
      <c r="D569" s="1" t="s">
        <v>21</v>
      </c>
      <c r="E569" s="1" t="s">
        <v>81</v>
      </c>
      <c r="F569" s="1">
        <v>5740</v>
      </c>
      <c r="G569" s="1" t="s">
        <v>355</v>
      </c>
      <c r="H569" s="1" t="s">
        <v>76</v>
      </c>
      <c r="I569" s="1" t="s">
        <v>3720</v>
      </c>
      <c r="J569" s="1" t="s">
        <v>82</v>
      </c>
    </row>
    <row r="570" spans="1:10" x14ac:dyDescent="0.25">
      <c r="A570" s="1" t="s">
        <v>4354</v>
      </c>
      <c r="B570" s="19">
        <v>46182</v>
      </c>
      <c r="C570" s="1" t="s">
        <v>696</v>
      </c>
      <c r="D570" s="1" t="s">
        <v>21</v>
      </c>
      <c r="E570" s="1" t="s">
        <v>81</v>
      </c>
      <c r="F570" s="1">
        <v>5740</v>
      </c>
      <c r="G570" s="1" t="s">
        <v>345</v>
      </c>
      <c r="H570" s="1" t="s">
        <v>76</v>
      </c>
      <c r="I570" s="1" t="s">
        <v>3720</v>
      </c>
      <c r="J570" s="1" t="s">
        <v>78</v>
      </c>
    </row>
    <row r="571" spans="1:10" x14ac:dyDescent="0.25">
      <c r="A571" s="1" t="s">
        <v>4355</v>
      </c>
      <c r="B571" s="19">
        <v>46182</v>
      </c>
      <c r="C571" s="1" t="s">
        <v>696</v>
      </c>
      <c r="D571" s="1" t="s">
        <v>21</v>
      </c>
      <c r="E571" s="1" t="s">
        <v>81</v>
      </c>
      <c r="F571" s="1">
        <v>5740</v>
      </c>
      <c r="G571" s="1" t="s">
        <v>361</v>
      </c>
      <c r="H571" s="1" t="s">
        <v>79</v>
      </c>
      <c r="I571" s="1" t="s">
        <v>3720</v>
      </c>
      <c r="J571" s="1" t="s">
        <v>4112</v>
      </c>
    </row>
    <row r="572" spans="1:10" x14ac:dyDescent="0.25">
      <c r="A572" s="1" t="s">
        <v>4356</v>
      </c>
      <c r="B572" s="19">
        <v>46182</v>
      </c>
      <c r="C572" s="1" t="s">
        <v>697</v>
      </c>
      <c r="D572" s="1" t="s">
        <v>21</v>
      </c>
      <c r="E572" s="1" t="s">
        <v>81</v>
      </c>
      <c r="F572" s="1">
        <v>5741</v>
      </c>
      <c r="G572" s="1" t="s">
        <v>355</v>
      </c>
      <c r="H572" s="1" t="s">
        <v>76</v>
      </c>
      <c r="I572" s="1" t="s">
        <v>3720</v>
      </c>
      <c r="J572" s="1" t="s">
        <v>82</v>
      </c>
    </row>
    <row r="573" spans="1:10" x14ac:dyDescent="0.25">
      <c r="A573" s="1" t="s">
        <v>4357</v>
      </c>
      <c r="B573" s="19">
        <v>46182</v>
      </c>
      <c r="C573" s="1" t="s">
        <v>697</v>
      </c>
      <c r="D573" s="1" t="s">
        <v>21</v>
      </c>
      <c r="E573" s="1" t="s">
        <v>81</v>
      </c>
      <c r="F573" s="1">
        <v>5741</v>
      </c>
      <c r="G573" s="1" t="s">
        <v>345</v>
      </c>
      <c r="H573" s="1" t="s">
        <v>76</v>
      </c>
      <c r="I573" s="1" t="s">
        <v>3720</v>
      </c>
      <c r="J573" s="1" t="s">
        <v>78</v>
      </c>
    </row>
    <row r="574" spans="1:10" x14ac:dyDescent="0.25">
      <c r="A574" s="1" t="s">
        <v>4358</v>
      </c>
      <c r="B574" s="19">
        <v>46182</v>
      </c>
      <c r="C574" s="1" t="s">
        <v>697</v>
      </c>
      <c r="D574" s="1" t="s">
        <v>21</v>
      </c>
      <c r="E574" s="1" t="s">
        <v>81</v>
      </c>
      <c r="F574" s="1">
        <v>5741</v>
      </c>
      <c r="G574" s="1" t="s">
        <v>361</v>
      </c>
      <c r="H574" s="1" t="s">
        <v>79</v>
      </c>
      <c r="I574" s="1" t="s">
        <v>3720</v>
      </c>
      <c r="J574" s="1" t="s">
        <v>4112</v>
      </c>
    </row>
    <row r="575" spans="1:10" x14ac:dyDescent="0.25">
      <c r="A575" s="1" t="s">
        <v>4359</v>
      </c>
      <c r="B575" s="19">
        <v>46182</v>
      </c>
      <c r="C575" s="1" t="s">
        <v>698</v>
      </c>
      <c r="D575" s="1" t="s">
        <v>21</v>
      </c>
      <c r="E575" s="1" t="s">
        <v>81</v>
      </c>
      <c r="F575" s="1">
        <v>5742</v>
      </c>
      <c r="G575" s="1" t="s">
        <v>355</v>
      </c>
      <c r="H575" s="1" t="s">
        <v>76</v>
      </c>
      <c r="I575" s="1" t="s">
        <v>3720</v>
      </c>
      <c r="J575" s="1" t="s">
        <v>82</v>
      </c>
    </row>
    <row r="576" spans="1:10" x14ac:dyDescent="0.25">
      <c r="A576" s="1" t="s">
        <v>4360</v>
      </c>
      <c r="B576" s="19">
        <v>46182</v>
      </c>
      <c r="C576" s="1" t="s">
        <v>698</v>
      </c>
      <c r="D576" s="1" t="s">
        <v>21</v>
      </c>
      <c r="E576" s="1" t="s">
        <v>81</v>
      </c>
      <c r="F576" s="1">
        <v>5742</v>
      </c>
      <c r="G576" s="1" t="s">
        <v>345</v>
      </c>
      <c r="H576" s="1" t="s">
        <v>76</v>
      </c>
      <c r="I576" s="1" t="s">
        <v>3720</v>
      </c>
      <c r="J576" s="1" t="s">
        <v>78</v>
      </c>
    </row>
    <row r="577" spans="1:10" x14ac:dyDescent="0.25">
      <c r="A577" s="1" t="s">
        <v>4361</v>
      </c>
      <c r="B577" s="19">
        <v>46182</v>
      </c>
      <c r="C577" s="1" t="s">
        <v>698</v>
      </c>
      <c r="D577" s="1" t="s">
        <v>21</v>
      </c>
      <c r="E577" s="1" t="s">
        <v>81</v>
      </c>
      <c r="F577" s="1">
        <v>5742</v>
      </c>
      <c r="G577" s="1" t="s">
        <v>361</v>
      </c>
      <c r="H577" s="1" t="s">
        <v>79</v>
      </c>
      <c r="I577" s="1" t="s">
        <v>3720</v>
      </c>
      <c r="J577" s="1" t="s">
        <v>4112</v>
      </c>
    </row>
    <row r="578" spans="1:10" x14ac:dyDescent="0.25">
      <c r="A578" s="1" t="s">
        <v>4362</v>
      </c>
      <c r="B578" s="19">
        <v>46182</v>
      </c>
      <c r="C578" s="1" t="s">
        <v>699</v>
      </c>
      <c r="D578" s="1" t="s">
        <v>21</v>
      </c>
      <c r="E578" s="1" t="s">
        <v>81</v>
      </c>
      <c r="F578" s="1">
        <v>5743</v>
      </c>
      <c r="G578" s="1" t="s">
        <v>355</v>
      </c>
      <c r="H578" s="1" t="s">
        <v>76</v>
      </c>
      <c r="I578" s="1" t="s">
        <v>3720</v>
      </c>
      <c r="J578" s="1" t="s">
        <v>82</v>
      </c>
    </row>
    <row r="579" spans="1:10" x14ac:dyDescent="0.25">
      <c r="A579" s="1" t="s">
        <v>4363</v>
      </c>
      <c r="B579" s="19">
        <v>46182</v>
      </c>
      <c r="C579" s="1" t="s">
        <v>699</v>
      </c>
      <c r="D579" s="1" t="s">
        <v>21</v>
      </c>
      <c r="E579" s="1" t="s">
        <v>81</v>
      </c>
      <c r="F579" s="1">
        <v>5743</v>
      </c>
      <c r="G579" s="1" t="s">
        <v>345</v>
      </c>
      <c r="H579" s="1" t="s">
        <v>76</v>
      </c>
      <c r="I579" s="1" t="s">
        <v>3720</v>
      </c>
      <c r="J579" s="1" t="s">
        <v>78</v>
      </c>
    </row>
    <row r="580" spans="1:10" x14ac:dyDescent="0.25">
      <c r="A580" s="1" t="s">
        <v>4364</v>
      </c>
      <c r="B580" s="19">
        <v>46182</v>
      </c>
      <c r="C580" s="1" t="s">
        <v>699</v>
      </c>
      <c r="D580" s="1" t="s">
        <v>21</v>
      </c>
      <c r="E580" s="1" t="s">
        <v>81</v>
      </c>
      <c r="F580" s="1">
        <v>5743</v>
      </c>
      <c r="G580" s="1" t="s">
        <v>361</v>
      </c>
      <c r="H580" s="1" t="s">
        <v>79</v>
      </c>
      <c r="I580" s="1" t="s">
        <v>3720</v>
      </c>
      <c r="J580" s="1" t="s">
        <v>4112</v>
      </c>
    </row>
    <row r="581" spans="1:10" x14ac:dyDescent="0.25">
      <c r="A581" s="1" t="s">
        <v>4365</v>
      </c>
      <c r="B581" s="19">
        <v>46182</v>
      </c>
      <c r="C581" s="1" t="s">
        <v>700</v>
      </c>
      <c r="D581" s="1" t="s">
        <v>21</v>
      </c>
      <c r="E581" s="1" t="s">
        <v>81</v>
      </c>
      <c r="F581" s="1">
        <v>5744</v>
      </c>
      <c r="G581" s="1" t="s">
        <v>355</v>
      </c>
      <c r="H581" s="1" t="s">
        <v>76</v>
      </c>
      <c r="I581" s="1" t="s">
        <v>3720</v>
      </c>
      <c r="J581" s="1" t="s">
        <v>82</v>
      </c>
    </row>
    <row r="582" spans="1:10" x14ac:dyDescent="0.25">
      <c r="A582" s="1" t="s">
        <v>4366</v>
      </c>
      <c r="B582" s="19">
        <v>46182</v>
      </c>
      <c r="C582" s="1" t="s">
        <v>700</v>
      </c>
      <c r="D582" s="1" t="s">
        <v>21</v>
      </c>
      <c r="E582" s="1" t="s">
        <v>81</v>
      </c>
      <c r="F582" s="1">
        <v>5744</v>
      </c>
      <c r="G582" s="1" t="s">
        <v>345</v>
      </c>
      <c r="H582" s="1" t="s">
        <v>76</v>
      </c>
      <c r="I582" s="1" t="s">
        <v>3720</v>
      </c>
      <c r="J582" s="1" t="s">
        <v>78</v>
      </c>
    </row>
    <row r="583" spans="1:10" x14ac:dyDescent="0.25">
      <c r="A583" s="1" t="s">
        <v>4367</v>
      </c>
      <c r="B583" s="19">
        <v>46182</v>
      </c>
      <c r="C583" s="1" t="s">
        <v>700</v>
      </c>
      <c r="D583" s="1" t="s">
        <v>21</v>
      </c>
      <c r="E583" s="1" t="s">
        <v>81</v>
      </c>
      <c r="F583" s="1">
        <v>5744</v>
      </c>
      <c r="G583" s="1" t="s">
        <v>361</v>
      </c>
      <c r="H583" s="1" t="s">
        <v>79</v>
      </c>
      <c r="I583" s="1" t="s">
        <v>3720</v>
      </c>
      <c r="J583" s="1" t="s">
        <v>4112</v>
      </c>
    </row>
    <row r="584" spans="1:10" x14ac:dyDescent="0.25">
      <c r="A584" s="1" t="s">
        <v>4368</v>
      </c>
      <c r="B584" s="19">
        <v>46182</v>
      </c>
      <c r="C584" s="1" t="s">
        <v>701</v>
      </c>
      <c r="D584" s="1" t="s">
        <v>21</v>
      </c>
      <c r="E584" s="1" t="s">
        <v>81</v>
      </c>
      <c r="F584" s="1">
        <v>5745</v>
      </c>
      <c r="G584" s="1" t="s">
        <v>355</v>
      </c>
      <c r="H584" s="1" t="s">
        <v>76</v>
      </c>
      <c r="I584" s="1" t="s">
        <v>3720</v>
      </c>
      <c r="J584" s="1" t="s">
        <v>82</v>
      </c>
    </row>
    <row r="585" spans="1:10" x14ac:dyDescent="0.25">
      <c r="A585" s="1" t="s">
        <v>4369</v>
      </c>
      <c r="B585" s="19">
        <v>46182</v>
      </c>
      <c r="C585" s="1" t="s">
        <v>701</v>
      </c>
      <c r="D585" s="1" t="s">
        <v>21</v>
      </c>
      <c r="E585" s="1" t="s">
        <v>81</v>
      </c>
      <c r="F585" s="1">
        <v>5745</v>
      </c>
      <c r="G585" s="1" t="s">
        <v>345</v>
      </c>
      <c r="H585" s="1" t="s">
        <v>76</v>
      </c>
      <c r="I585" s="1" t="s">
        <v>3720</v>
      </c>
      <c r="J585" s="1" t="s">
        <v>78</v>
      </c>
    </row>
    <row r="586" spans="1:10" x14ac:dyDescent="0.25">
      <c r="A586" s="1" t="s">
        <v>4370</v>
      </c>
      <c r="B586" s="19">
        <v>46182</v>
      </c>
      <c r="C586" s="1" t="s">
        <v>701</v>
      </c>
      <c r="D586" s="1" t="s">
        <v>21</v>
      </c>
      <c r="E586" s="1" t="s">
        <v>81</v>
      </c>
      <c r="F586" s="1">
        <v>5745</v>
      </c>
      <c r="G586" s="1" t="s">
        <v>361</v>
      </c>
      <c r="H586" s="1" t="s">
        <v>79</v>
      </c>
      <c r="I586" s="1" t="s">
        <v>3720</v>
      </c>
      <c r="J586" s="1" t="s">
        <v>4112</v>
      </c>
    </row>
    <row r="587" spans="1:10" x14ac:dyDescent="0.25">
      <c r="A587" s="1" t="s">
        <v>4371</v>
      </c>
      <c r="B587" s="19">
        <v>46182</v>
      </c>
      <c r="C587" s="1" t="s">
        <v>702</v>
      </c>
      <c r="D587" s="1" t="s">
        <v>21</v>
      </c>
      <c r="E587" s="1" t="s">
        <v>81</v>
      </c>
      <c r="F587" s="1">
        <v>5746</v>
      </c>
      <c r="G587" s="1" t="s">
        <v>355</v>
      </c>
      <c r="H587" s="1" t="s">
        <v>76</v>
      </c>
      <c r="I587" s="1" t="s">
        <v>3720</v>
      </c>
      <c r="J587" s="1" t="s">
        <v>82</v>
      </c>
    </row>
    <row r="588" spans="1:10" x14ac:dyDescent="0.25">
      <c r="A588" s="1" t="s">
        <v>4372</v>
      </c>
      <c r="B588" s="19">
        <v>46182</v>
      </c>
      <c r="C588" s="1" t="s">
        <v>702</v>
      </c>
      <c r="D588" s="1" t="s">
        <v>21</v>
      </c>
      <c r="E588" s="1" t="s">
        <v>81</v>
      </c>
      <c r="F588" s="1">
        <v>5746</v>
      </c>
      <c r="G588" s="1" t="s">
        <v>345</v>
      </c>
      <c r="H588" s="1" t="s">
        <v>76</v>
      </c>
      <c r="I588" s="1" t="s">
        <v>3720</v>
      </c>
      <c r="J588" s="1" t="s">
        <v>78</v>
      </c>
    </row>
    <row r="589" spans="1:10" x14ac:dyDescent="0.25">
      <c r="A589" s="1" t="s">
        <v>4373</v>
      </c>
      <c r="B589" s="19">
        <v>46182</v>
      </c>
      <c r="C589" s="1" t="s">
        <v>702</v>
      </c>
      <c r="D589" s="1" t="s">
        <v>21</v>
      </c>
      <c r="E589" s="1" t="s">
        <v>81</v>
      </c>
      <c r="F589" s="1">
        <v>5746</v>
      </c>
      <c r="G589" s="1" t="s">
        <v>361</v>
      </c>
      <c r="H589" s="1" t="s">
        <v>79</v>
      </c>
      <c r="I589" s="1" t="s">
        <v>3720</v>
      </c>
      <c r="J589" s="1" t="s">
        <v>4112</v>
      </c>
    </row>
    <row r="590" spans="1:10" x14ac:dyDescent="0.25">
      <c r="A590" s="1" t="s">
        <v>4374</v>
      </c>
      <c r="B590" s="19">
        <v>46182</v>
      </c>
      <c r="C590" s="1" t="s">
        <v>703</v>
      </c>
      <c r="D590" s="1" t="s">
        <v>21</v>
      </c>
      <c r="E590" s="1" t="s">
        <v>81</v>
      </c>
      <c r="F590" s="1">
        <v>5747</v>
      </c>
      <c r="G590" s="1" t="s">
        <v>355</v>
      </c>
      <c r="H590" s="1" t="s">
        <v>76</v>
      </c>
      <c r="I590" s="1" t="s">
        <v>3720</v>
      </c>
      <c r="J590" s="1" t="s">
        <v>82</v>
      </c>
    </row>
    <row r="591" spans="1:10" x14ac:dyDescent="0.25">
      <c r="A591" s="1" t="s">
        <v>4375</v>
      </c>
      <c r="B591" s="19">
        <v>46182</v>
      </c>
      <c r="C591" s="1" t="s">
        <v>703</v>
      </c>
      <c r="D591" s="1" t="s">
        <v>21</v>
      </c>
      <c r="E591" s="1" t="s">
        <v>81</v>
      </c>
      <c r="F591" s="1">
        <v>5747</v>
      </c>
      <c r="G591" s="1" t="s">
        <v>345</v>
      </c>
      <c r="H591" s="1" t="s">
        <v>76</v>
      </c>
      <c r="I591" s="1" t="s">
        <v>3720</v>
      </c>
      <c r="J591" s="1" t="s">
        <v>78</v>
      </c>
    </row>
    <row r="592" spans="1:10" x14ac:dyDescent="0.25">
      <c r="A592" s="1" t="s">
        <v>4376</v>
      </c>
      <c r="B592" s="19">
        <v>46182</v>
      </c>
      <c r="C592" s="1" t="s">
        <v>703</v>
      </c>
      <c r="D592" s="1" t="s">
        <v>21</v>
      </c>
      <c r="E592" s="1" t="s">
        <v>81</v>
      </c>
      <c r="F592" s="1">
        <v>5747</v>
      </c>
      <c r="G592" s="1" t="s">
        <v>361</v>
      </c>
      <c r="H592" s="1" t="s">
        <v>79</v>
      </c>
      <c r="I592" s="1" t="s">
        <v>3720</v>
      </c>
      <c r="J592" s="1" t="s">
        <v>4112</v>
      </c>
    </row>
    <row r="593" spans="1:10" x14ac:dyDescent="0.25">
      <c r="A593" s="1" t="s">
        <v>4377</v>
      </c>
      <c r="B593" s="19">
        <v>46182</v>
      </c>
      <c r="C593" s="1" t="s">
        <v>704</v>
      </c>
      <c r="D593" s="1" t="s">
        <v>21</v>
      </c>
      <c r="E593" s="1" t="s">
        <v>81</v>
      </c>
      <c r="F593" s="1">
        <v>5748</v>
      </c>
      <c r="G593" s="1" t="s">
        <v>355</v>
      </c>
      <c r="H593" s="1" t="s">
        <v>76</v>
      </c>
      <c r="I593" s="1" t="s">
        <v>3720</v>
      </c>
      <c r="J593" s="1" t="s">
        <v>82</v>
      </c>
    </row>
    <row r="594" spans="1:10" x14ac:dyDescent="0.25">
      <c r="A594" s="1" t="s">
        <v>4378</v>
      </c>
      <c r="B594" s="19">
        <v>46182</v>
      </c>
      <c r="C594" s="1" t="s">
        <v>704</v>
      </c>
      <c r="D594" s="1" t="s">
        <v>21</v>
      </c>
      <c r="E594" s="1" t="s">
        <v>81</v>
      </c>
      <c r="F594" s="1">
        <v>5748</v>
      </c>
      <c r="G594" s="1" t="s">
        <v>345</v>
      </c>
      <c r="H594" s="1" t="s">
        <v>76</v>
      </c>
      <c r="I594" s="1" t="s">
        <v>3720</v>
      </c>
      <c r="J594" s="1" t="s">
        <v>78</v>
      </c>
    </row>
    <row r="595" spans="1:10" x14ac:dyDescent="0.25">
      <c r="A595" s="1" t="s">
        <v>4379</v>
      </c>
      <c r="B595" s="19">
        <v>46182</v>
      </c>
      <c r="C595" s="1" t="s">
        <v>704</v>
      </c>
      <c r="D595" s="1" t="s">
        <v>21</v>
      </c>
      <c r="E595" s="1" t="s">
        <v>81</v>
      </c>
      <c r="F595" s="1">
        <v>5748</v>
      </c>
      <c r="G595" s="1" t="s">
        <v>361</v>
      </c>
      <c r="H595" s="1" t="s">
        <v>79</v>
      </c>
      <c r="I595" s="1" t="s">
        <v>3720</v>
      </c>
      <c r="J595" s="1" t="s">
        <v>4112</v>
      </c>
    </row>
    <row r="596" spans="1:10" x14ac:dyDescent="0.25">
      <c r="A596" s="1" t="s">
        <v>4380</v>
      </c>
      <c r="B596" s="19">
        <v>46182</v>
      </c>
      <c r="C596" s="1" t="s">
        <v>705</v>
      </c>
      <c r="D596" s="1" t="s">
        <v>21</v>
      </c>
      <c r="E596" s="1" t="s">
        <v>81</v>
      </c>
      <c r="F596" s="1">
        <v>5749</v>
      </c>
      <c r="G596" s="1" t="s">
        <v>355</v>
      </c>
      <c r="H596" s="1" t="s">
        <v>76</v>
      </c>
      <c r="I596" s="1" t="s">
        <v>3720</v>
      </c>
      <c r="J596" s="1" t="s">
        <v>82</v>
      </c>
    </row>
    <row r="597" spans="1:10" x14ac:dyDescent="0.25">
      <c r="A597" s="1" t="s">
        <v>4381</v>
      </c>
      <c r="B597" s="19">
        <v>46182</v>
      </c>
      <c r="C597" s="1" t="s">
        <v>705</v>
      </c>
      <c r="D597" s="1" t="s">
        <v>21</v>
      </c>
      <c r="E597" s="1" t="s">
        <v>81</v>
      </c>
      <c r="F597" s="1">
        <v>5749</v>
      </c>
      <c r="G597" s="1" t="s">
        <v>345</v>
      </c>
      <c r="H597" s="1" t="s">
        <v>76</v>
      </c>
      <c r="I597" s="1" t="s">
        <v>3720</v>
      </c>
      <c r="J597" s="1" t="s">
        <v>78</v>
      </c>
    </row>
    <row r="598" spans="1:10" x14ac:dyDescent="0.25">
      <c r="A598" s="1" t="s">
        <v>4382</v>
      </c>
      <c r="B598" s="19">
        <v>46182</v>
      </c>
      <c r="C598" s="1" t="s">
        <v>705</v>
      </c>
      <c r="D598" s="1" t="s">
        <v>21</v>
      </c>
      <c r="E598" s="1" t="s">
        <v>81</v>
      </c>
      <c r="F598" s="1">
        <v>5749</v>
      </c>
      <c r="G598" s="1" t="s">
        <v>361</v>
      </c>
      <c r="H598" s="1" t="s">
        <v>79</v>
      </c>
      <c r="I598" s="1" t="s">
        <v>3720</v>
      </c>
      <c r="J598" s="1" t="s">
        <v>4112</v>
      </c>
    </row>
    <row r="599" spans="1:10" x14ac:dyDescent="0.25">
      <c r="A599" s="1" t="s">
        <v>4383</v>
      </c>
      <c r="B599" s="19">
        <v>46182</v>
      </c>
      <c r="C599" s="1" t="s">
        <v>706</v>
      </c>
      <c r="D599" s="1" t="s">
        <v>21</v>
      </c>
      <c r="E599" s="1" t="s">
        <v>81</v>
      </c>
      <c r="F599" s="1">
        <v>5750</v>
      </c>
      <c r="G599" s="1" t="s">
        <v>355</v>
      </c>
      <c r="H599" s="1" t="s">
        <v>76</v>
      </c>
      <c r="I599" s="1" t="s">
        <v>3720</v>
      </c>
      <c r="J599" s="1" t="s">
        <v>82</v>
      </c>
    </row>
    <row r="600" spans="1:10" x14ac:dyDescent="0.25">
      <c r="A600" s="1" t="s">
        <v>4384</v>
      </c>
      <c r="B600" s="19">
        <v>46182</v>
      </c>
      <c r="C600" s="1" t="s">
        <v>706</v>
      </c>
      <c r="D600" s="1" t="s">
        <v>21</v>
      </c>
      <c r="E600" s="1" t="s">
        <v>81</v>
      </c>
      <c r="F600" s="1">
        <v>5750</v>
      </c>
      <c r="G600" s="1" t="s">
        <v>345</v>
      </c>
      <c r="H600" s="1" t="s">
        <v>76</v>
      </c>
      <c r="I600" s="1" t="s">
        <v>3720</v>
      </c>
      <c r="J600" s="1" t="s">
        <v>78</v>
      </c>
    </row>
    <row r="601" spans="1:10" x14ac:dyDescent="0.25">
      <c r="A601" s="1" t="s">
        <v>4385</v>
      </c>
      <c r="B601" s="19">
        <v>46182</v>
      </c>
      <c r="C601" s="1" t="s">
        <v>706</v>
      </c>
      <c r="D601" s="1" t="s">
        <v>21</v>
      </c>
      <c r="E601" s="1" t="s">
        <v>81</v>
      </c>
      <c r="F601" s="1">
        <v>5750</v>
      </c>
      <c r="G601" s="1" t="s">
        <v>361</v>
      </c>
      <c r="H601" s="1" t="s">
        <v>79</v>
      </c>
      <c r="I601" s="1" t="s">
        <v>3720</v>
      </c>
      <c r="J601" s="1" t="s">
        <v>4112</v>
      </c>
    </row>
    <row r="602" spans="1:10" x14ac:dyDescent="0.25">
      <c r="A602" s="1" t="s">
        <v>4386</v>
      </c>
      <c r="B602" s="19">
        <v>46182</v>
      </c>
      <c r="C602" s="1" t="s">
        <v>707</v>
      </c>
      <c r="D602" s="1" t="s">
        <v>21</v>
      </c>
      <c r="E602" s="1" t="s">
        <v>81</v>
      </c>
      <c r="F602" s="1">
        <v>5751</v>
      </c>
      <c r="G602" s="1" t="s">
        <v>355</v>
      </c>
      <c r="H602" s="1" t="s">
        <v>76</v>
      </c>
      <c r="I602" s="1" t="s">
        <v>3720</v>
      </c>
      <c r="J602" s="1" t="s">
        <v>82</v>
      </c>
    </row>
    <row r="603" spans="1:10" x14ac:dyDescent="0.25">
      <c r="A603" s="1" t="s">
        <v>4387</v>
      </c>
      <c r="B603" s="19">
        <v>46182</v>
      </c>
      <c r="C603" s="1" t="s">
        <v>707</v>
      </c>
      <c r="D603" s="1" t="s">
        <v>21</v>
      </c>
      <c r="E603" s="1" t="s">
        <v>81</v>
      </c>
      <c r="F603" s="1">
        <v>5751</v>
      </c>
      <c r="G603" s="1" t="s">
        <v>345</v>
      </c>
      <c r="H603" s="1" t="s">
        <v>76</v>
      </c>
      <c r="I603" s="1" t="s">
        <v>3720</v>
      </c>
      <c r="J603" s="1" t="s">
        <v>78</v>
      </c>
    </row>
    <row r="604" spans="1:10" x14ac:dyDescent="0.25">
      <c r="A604" s="1" t="s">
        <v>4388</v>
      </c>
      <c r="B604" s="19">
        <v>46182</v>
      </c>
      <c r="C604" s="1" t="s">
        <v>707</v>
      </c>
      <c r="D604" s="1" t="s">
        <v>21</v>
      </c>
      <c r="E604" s="1" t="s">
        <v>81</v>
      </c>
      <c r="F604" s="1">
        <v>5751</v>
      </c>
      <c r="G604" s="1" t="s">
        <v>361</v>
      </c>
      <c r="H604" s="1" t="s">
        <v>79</v>
      </c>
      <c r="I604" s="1" t="s">
        <v>3720</v>
      </c>
      <c r="J604" s="1" t="s">
        <v>4112</v>
      </c>
    </row>
    <row r="605" spans="1:10" x14ac:dyDescent="0.25">
      <c r="A605" s="1" t="s">
        <v>4389</v>
      </c>
      <c r="B605" s="19">
        <v>46182</v>
      </c>
      <c r="C605" s="1" t="s">
        <v>708</v>
      </c>
      <c r="D605" s="1" t="s">
        <v>21</v>
      </c>
      <c r="E605" s="1" t="s">
        <v>81</v>
      </c>
      <c r="F605" s="1">
        <v>5752</v>
      </c>
      <c r="G605" s="1" t="s">
        <v>355</v>
      </c>
      <c r="H605" s="1" t="s">
        <v>76</v>
      </c>
      <c r="I605" s="1" t="s">
        <v>3720</v>
      </c>
      <c r="J605" s="1" t="s">
        <v>82</v>
      </c>
    </row>
    <row r="606" spans="1:10" x14ac:dyDescent="0.25">
      <c r="A606" s="1" t="s">
        <v>4390</v>
      </c>
      <c r="B606" s="19">
        <v>46182</v>
      </c>
      <c r="C606" s="1" t="s">
        <v>708</v>
      </c>
      <c r="D606" s="1" t="s">
        <v>21</v>
      </c>
      <c r="E606" s="1" t="s">
        <v>81</v>
      </c>
      <c r="F606" s="1">
        <v>5752</v>
      </c>
      <c r="G606" s="1" t="s">
        <v>345</v>
      </c>
      <c r="H606" s="1" t="s">
        <v>76</v>
      </c>
      <c r="I606" s="1" t="s">
        <v>3720</v>
      </c>
      <c r="J606" s="1" t="s">
        <v>78</v>
      </c>
    </row>
    <row r="607" spans="1:10" x14ac:dyDescent="0.25">
      <c r="A607" s="1" t="s">
        <v>4391</v>
      </c>
      <c r="B607" s="19">
        <v>46182</v>
      </c>
      <c r="C607" s="1" t="s">
        <v>708</v>
      </c>
      <c r="D607" s="1" t="s">
        <v>21</v>
      </c>
      <c r="E607" s="1" t="s">
        <v>81</v>
      </c>
      <c r="F607" s="1">
        <v>5752</v>
      </c>
      <c r="G607" s="1" t="s">
        <v>361</v>
      </c>
      <c r="H607" s="1" t="s">
        <v>79</v>
      </c>
      <c r="I607" s="1" t="s">
        <v>3720</v>
      </c>
      <c r="J607" s="1" t="s">
        <v>4112</v>
      </c>
    </row>
    <row r="608" spans="1:10" x14ac:dyDescent="0.25">
      <c r="A608" s="1" t="s">
        <v>4392</v>
      </c>
      <c r="B608" s="19">
        <v>46182</v>
      </c>
      <c r="C608" s="1" t="s">
        <v>709</v>
      </c>
      <c r="D608" s="1" t="s">
        <v>21</v>
      </c>
      <c r="E608" s="1" t="s">
        <v>81</v>
      </c>
      <c r="F608" s="1">
        <v>5753</v>
      </c>
      <c r="G608" s="1" t="s">
        <v>355</v>
      </c>
      <c r="H608" s="1" t="s">
        <v>76</v>
      </c>
      <c r="I608" s="1" t="s">
        <v>3720</v>
      </c>
      <c r="J608" s="1" t="s">
        <v>82</v>
      </c>
    </row>
    <row r="609" spans="1:10" x14ac:dyDescent="0.25">
      <c r="A609" s="1" t="s">
        <v>4393</v>
      </c>
      <c r="B609" s="19">
        <v>46182</v>
      </c>
      <c r="C609" s="1" t="s">
        <v>709</v>
      </c>
      <c r="D609" s="1" t="s">
        <v>21</v>
      </c>
      <c r="E609" s="1" t="s">
        <v>81</v>
      </c>
      <c r="F609" s="1">
        <v>5753</v>
      </c>
      <c r="G609" s="1" t="s">
        <v>345</v>
      </c>
      <c r="H609" s="1" t="s">
        <v>76</v>
      </c>
      <c r="I609" s="1" t="s">
        <v>3720</v>
      </c>
      <c r="J609" s="1" t="s">
        <v>78</v>
      </c>
    </row>
    <row r="610" spans="1:10" x14ac:dyDescent="0.25">
      <c r="A610" s="1" t="s">
        <v>4394</v>
      </c>
      <c r="B610" s="19">
        <v>46182</v>
      </c>
      <c r="C610" s="1" t="s">
        <v>709</v>
      </c>
      <c r="D610" s="1" t="s">
        <v>21</v>
      </c>
      <c r="E610" s="1" t="s">
        <v>81</v>
      </c>
      <c r="F610" s="1">
        <v>5753</v>
      </c>
      <c r="G610" s="1" t="s">
        <v>361</v>
      </c>
      <c r="H610" s="1" t="s">
        <v>79</v>
      </c>
      <c r="I610" s="1" t="s">
        <v>3720</v>
      </c>
      <c r="J610" s="1" t="s">
        <v>4112</v>
      </c>
    </row>
    <row r="611" spans="1:10" x14ac:dyDescent="0.25">
      <c r="A611" s="1" t="s">
        <v>4395</v>
      </c>
      <c r="B611" s="19">
        <v>46182</v>
      </c>
      <c r="C611" s="1" t="s">
        <v>710</v>
      </c>
      <c r="D611" s="1" t="s">
        <v>21</v>
      </c>
      <c r="E611" s="1" t="s">
        <v>81</v>
      </c>
      <c r="F611" s="1">
        <v>5754</v>
      </c>
      <c r="G611" s="1" t="s">
        <v>355</v>
      </c>
      <c r="H611" s="1" t="s">
        <v>76</v>
      </c>
      <c r="I611" s="1" t="s">
        <v>3720</v>
      </c>
      <c r="J611" s="1" t="s">
        <v>82</v>
      </c>
    </row>
    <row r="612" spans="1:10" x14ac:dyDescent="0.25">
      <c r="A612" s="1" t="s">
        <v>4396</v>
      </c>
      <c r="B612" s="19">
        <v>46182</v>
      </c>
      <c r="C612" s="1" t="s">
        <v>710</v>
      </c>
      <c r="D612" s="1" t="s">
        <v>21</v>
      </c>
      <c r="E612" s="1" t="s">
        <v>81</v>
      </c>
      <c r="F612" s="1">
        <v>5754</v>
      </c>
      <c r="G612" s="1" t="s">
        <v>345</v>
      </c>
      <c r="H612" s="1" t="s">
        <v>76</v>
      </c>
      <c r="I612" s="1" t="s">
        <v>3720</v>
      </c>
      <c r="J612" s="1" t="s">
        <v>78</v>
      </c>
    </row>
    <row r="613" spans="1:10" x14ac:dyDescent="0.25">
      <c r="A613" s="1" t="s">
        <v>4397</v>
      </c>
      <c r="B613" s="19">
        <v>46182</v>
      </c>
      <c r="C613" s="1" t="s">
        <v>710</v>
      </c>
      <c r="D613" s="1" t="s">
        <v>21</v>
      </c>
      <c r="E613" s="1" t="s">
        <v>81</v>
      </c>
      <c r="F613" s="1">
        <v>5754</v>
      </c>
      <c r="G613" s="1" t="s">
        <v>361</v>
      </c>
      <c r="H613" s="1" t="s">
        <v>79</v>
      </c>
      <c r="I613" s="1" t="s">
        <v>3720</v>
      </c>
      <c r="J613" s="1" t="s">
        <v>4112</v>
      </c>
    </row>
    <row r="614" spans="1:10" x14ac:dyDescent="0.25">
      <c r="A614" s="1" t="s">
        <v>4398</v>
      </c>
      <c r="B614" s="19">
        <v>46182</v>
      </c>
      <c r="C614" s="1" t="s">
        <v>711</v>
      </c>
      <c r="D614" s="1" t="s">
        <v>21</v>
      </c>
      <c r="E614" s="1" t="s">
        <v>81</v>
      </c>
      <c r="F614" s="1">
        <v>5755</v>
      </c>
      <c r="G614" s="1" t="s">
        <v>355</v>
      </c>
      <c r="H614" s="1" t="s">
        <v>76</v>
      </c>
      <c r="I614" s="1" t="s">
        <v>3720</v>
      </c>
      <c r="J614" s="1" t="s">
        <v>82</v>
      </c>
    </row>
    <row r="615" spans="1:10" x14ac:dyDescent="0.25">
      <c r="A615" s="1" t="s">
        <v>4399</v>
      </c>
      <c r="B615" s="19">
        <v>46182</v>
      </c>
      <c r="C615" s="1" t="s">
        <v>711</v>
      </c>
      <c r="D615" s="1" t="s">
        <v>21</v>
      </c>
      <c r="E615" s="1" t="s">
        <v>81</v>
      </c>
      <c r="F615" s="1">
        <v>5755</v>
      </c>
      <c r="G615" s="1" t="s">
        <v>345</v>
      </c>
      <c r="H615" s="1" t="s">
        <v>76</v>
      </c>
      <c r="I615" s="1" t="s">
        <v>3720</v>
      </c>
      <c r="J615" s="1" t="s">
        <v>78</v>
      </c>
    </row>
    <row r="616" spans="1:10" x14ac:dyDescent="0.25">
      <c r="A616" s="1" t="s">
        <v>4400</v>
      </c>
      <c r="B616" s="19">
        <v>46182</v>
      </c>
      <c r="C616" s="1" t="s">
        <v>711</v>
      </c>
      <c r="D616" s="1" t="s">
        <v>21</v>
      </c>
      <c r="E616" s="1" t="s">
        <v>81</v>
      </c>
      <c r="F616" s="1">
        <v>5755</v>
      </c>
      <c r="G616" s="1" t="s">
        <v>361</v>
      </c>
      <c r="H616" s="1" t="s">
        <v>79</v>
      </c>
      <c r="I616" s="1" t="s">
        <v>3720</v>
      </c>
      <c r="J616" s="1" t="s">
        <v>4112</v>
      </c>
    </row>
    <row r="617" spans="1:10" x14ac:dyDescent="0.25">
      <c r="A617" s="1" t="s">
        <v>4401</v>
      </c>
      <c r="B617" s="19">
        <v>46182</v>
      </c>
      <c r="C617" s="1" t="s">
        <v>712</v>
      </c>
      <c r="D617" s="1" t="s">
        <v>21</v>
      </c>
      <c r="E617" s="1" t="s">
        <v>81</v>
      </c>
      <c r="F617" s="1">
        <v>5756</v>
      </c>
      <c r="G617" s="1" t="s">
        <v>355</v>
      </c>
      <c r="H617" s="1" t="s">
        <v>76</v>
      </c>
      <c r="I617" s="1" t="s">
        <v>3720</v>
      </c>
      <c r="J617" s="1" t="s">
        <v>82</v>
      </c>
    </row>
    <row r="618" spans="1:10" x14ac:dyDescent="0.25">
      <c r="A618" s="1" t="s">
        <v>4402</v>
      </c>
      <c r="B618" s="19">
        <v>46182</v>
      </c>
      <c r="C618" s="1" t="s">
        <v>712</v>
      </c>
      <c r="D618" s="1" t="s">
        <v>21</v>
      </c>
      <c r="E618" s="1" t="s">
        <v>81</v>
      </c>
      <c r="F618" s="1">
        <v>5756</v>
      </c>
      <c r="G618" s="1" t="s">
        <v>345</v>
      </c>
      <c r="H618" s="1" t="s">
        <v>76</v>
      </c>
      <c r="I618" s="1" t="s">
        <v>3720</v>
      </c>
      <c r="J618" s="1" t="s">
        <v>78</v>
      </c>
    </row>
    <row r="619" spans="1:10" x14ac:dyDescent="0.25">
      <c r="A619" s="1" t="s">
        <v>4403</v>
      </c>
      <c r="B619" s="19">
        <v>46182</v>
      </c>
      <c r="C619" s="1" t="s">
        <v>712</v>
      </c>
      <c r="D619" s="1" t="s">
        <v>21</v>
      </c>
      <c r="E619" s="1" t="s">
        <v>81</v>
      </c>
      <c r="F619" s="1">
        <v>5756</v>
      </c>
      <c r="G619" s="1" t="s">
        <v>361</v>
      </c>
      <c r="H619" s="1" t="s">
        <v>79</v>
      </c>
      <c r="I619" s="1" t="s">
        <v>3720</v>
      </c>
      <c r="J619" s="1" t="s">
        <v>4112</v>
      </c>
    </row>
    <row r="620" spans="1:10" x14ac:dyDescent="0.25">
      <c r="A620" s="1" t="s">
        <v>4404</v>
      </c>
      <c r="B620" s="19">
        <v>46182</v>
      </c>
      <c r="C620" s="1" t="s">
        <v>713</v>
      </c>
      <c r="D620" s="1" t="s">
        <v>21</v>
      </c>
      <c r="E620" s="1" t="s">
        <v>81</v>
      </c>
      <c r="F620" s="1">
        <v>5757</v>
      </c>
      <c r="G620" s="1" t="s">
        <v>355</v>
      </c>
      <c r="H620" s="1" t="s">
        <v>76</v>
      </c>
      <c r="I620" s="1" t="s">
        <v>3720</v>
      </c>
      <c r="J620" s="1" t="s">
        <v>82</v>
      </c>
    </row>
    <row r="621" spans="1:10" x14ac:dyDescent="0.25">
      <c r="A621" s="1" t="s">
        <v>4405</v>
      </c>
      <c r="B621" s="19">
        <v>46182</v>
      </c>
      <c r="C621" s="1" t="s">
        <v>713</v>
      </c>
      <c r="D621" s="1" t="s">
        <v>21</v>
      </c>
      <c r="E621" s="1" t="s">
        <v>81</v>
      </c>
      <c r="F621" s="1">
        <v>5757</v>
      </c>
      <c r="G621" s="1" t="s">
        <v>345</v>
      </c>
      <c r="H621" s="1" t="s">
        <v>76</v>
      </c>
      <c r="I621" s="1" t="s">
        <v>3720</v>
      </c>
      <c r="J621" s="1" t="s">
        <v>78</v>
      </c>
    </row>
    <row r="622" spans="1:10" x14ac:dyDescent="0.25">
      <c r="A622" s="1" t="s">
        <v>4406</v>
      </c>
      <c r="B622" s="19">
        <v>46182</v>
      </c>
      <c r="C622" s="1" t="s">
        <v>713</v>
      </c>
      <c r="D622" s="1" t="s">
        <v>21</v>
      </c>
      <c r="E622" s="1" t="s">
        <v>81</v>
      </c>
      <c r="F622" s="1">
        <v>5757</v>
      </c>
      <c r="G622" s="1" t="s">
        <v>361</v>
      </c>
      <c r="H622" s="1" t="s">
        <v>79</v>
      </c>
      <c r="I622" s="1" t="s">
        <v>3720</v>
      </c>
      <c r="J622" s="1" t="s">
        <v>4112</v>
      </c>
    </row>
    <row r="623" spans="1:10" x14ac:dyDescent="0.25">
      <c r="A623" s="1" t="s">
        <v>4407</v>
      </c>
      <c r="B623" s="19">
        <v>46182</v>
      </c>
      <c r="C623" s="1" t="s">
        <v>714</v>
      </c>
      <c r="D623" s="1" t="s">
        <v>21</v>
      </c>
      <c r="E623" s="1" t="s">
        <v>81</v>
      </c>
      <c r="F623" s="1">
        <v>5758</v>
      </c>
      <c r="G623" s="1" t="s">
        <v>355</v>
      </c>
      <c r="H623" s="1" t="s">
        <v>76</v>
      </c>
      <c r="I623" s="1" t="s">
        <v>3720</v>
      </c>
      <c r="J623" s="1" t="s">
        <v>82</v>
      </c>
    </row>
    <row r="624" spans="1:10" x14ac:dyDescent="0.25">
      <c r="A624" s="1" t="s">
        <v>4408</v>
      </c>
      <c r="B624" s="19">
        <v>46182</v>
      </c>
      <c r="C624" s="1" t="s">
        <v>714</v>
      </c>
      <c r="D624" s="1" t="s">
        <v>21</v>
      </c>
      <c r="E624" s="1" t="s">
        <v>81</v>
      </c>
      <c r="F624" s="1">
        <v>5758</v>
      </c>
      <c r="G624" s="1" t="s">
        <v>345</v>
      </c>
      <c r="H624" s="1" t="s">
        <v>76</v>
      </c>
      <c r="I624" s="1" t="s">
        <v>3720</v>
      </c>
      <c r="J624" s="1" t="s">
        <v>78</v>
      </c>
    </row>
    <row r="625" spans="1:10" x14ac:dyDescent="0.25">
      <c r="A625" s="1" t="s">
        <v>4409</v>
      </c>
      <c r="B625" s="19">
        <v>46182</v>
      </c>
      <c r="C625" s="1" t="s">
        <v>714</v>
      </c>
      <c r="D625" s="1" t="s">
        <v>21</v>
      </c>
      <c r="E625" s="1" t="s">
        <v>81</v>
      </c>
      <c r="F625" s="1">
        <v>5758</v>
      </c>
      <c r="G625" s="1" t="s">
        <v>361</v>
      </c>
      <c r="H625" s="1" t="s">
        <v>79</v>
      </c>
      <c r="I625" s="1" t="s">
        <v>3720</v>
      </c>
      <c r="J625" s="1" t="s">
        <v>4112</v>
      </c>
    </row>
    <row r="626" spans="1:10" x14ac:dyDescent="0.25">
      <c r="A626" s="1" t="s">
        <v>4410</v>
      </c>
      <c r="B626" s="19">
        <v>46182</v>
      </c>
      <c r="C626" s="1" t="s">
        <v>715</v>
      </c>
      <c r="D626" s="1" t="s">
        <v>21</v>
      </c>
      <c r="E626" s="1" t="s">
        <v>81</v>
      </c>
      <c r="F626" s="1">
        <v>5759</v>
      </c>
      <c r="G626" s="1" t="s">
        <v>355</v>
      </c>
      <c r="H626" s="1" t="s">
        <v>76</v>
      </c>
      <c r="I626" s="1" t="s">
        <v>3720</v>
      </c>
      <c r="J626" s="1" t="s">
        <v>82</v>
      </c>
    </row>
    <row r="627" spans="1:10" x14ac:dyDescent="0.25">
      <c r="A627" s="1" t="s">
        <v>4411</v>
      </c>
      <c r="B627" s="19">
        <v>46182</v>
      </c>
      <c r="C627" s="1" t="s">
        <v>715</v>
      </c>
      <c r="D627" s="1" t="s">
        <v>21</v>
      </c>
      <c r="E627" s="1" t="s">
        <v>81</v>
      </c>
      <c r="F627" s="1">
        <v>5759</v>
      </c>
      <c r="G627" s="1" t="s">
        <v>345</v>
      </c>
      <c r="H627" s="1" t="s">
        <v>76</v>
      </c>
      <c r="I627" s="1" t="s">
        <v>3720</v>
      </c>
      <c r="J627" s="1" t="s">
        <v>78</v>
      </c>
    </row>
    <row r="628" spans="1:10" x14ac:dyDescent="0.25">
      <c r="A628" s="1" t="s">
        <v>4412</v>
      </c>
      <c r="B628" s="19">
        <v>46182</v>
      </c>
      <c r="C628" s="1" t="s">
        <v>715</v>
      </c>
      <c r="D628" s="1" t="s">
        <v>21</v>
      </c>
      <c r="E628" s="1" t="s">
        <v>81</v>
      </c>
      <c r="F628" s="1">
        <v>5759</v>
      </c>
      <c r="G628" s="1" t="s">
        <v>361</v>
      </c>
      <c r="H628" s="1" t="s">
        <v>79</v>
      </c>
      <c r="I628" s="1" t="s">
        <v>3720</v>
      </c>
      <c r="J628" s="1" t="s">
        <v>4112</v>
      </c>
    </row>
    <row r="629" spans="1:10" x14ac:dyDescent="0.25">
      <c r="A629" s="1" t="s">
        <v>4413</v>
      </c>
      <c r="B629" s="19">
        <v>46182</v>
      </c>
      <c r="C629" s="1" t="s">
        <v>716</v>
      </c>
      <c r="D629" s="1" t="s">
        <v>21</v>
      </c>
      <c r="E629" s="1" t="s">
        <v>81</v>
      </c>
      <c r="F629" s="1">
        <v>5760</v>
      </c>
      <c r="G629" s="1" t="s">
        <v>355</v>
      </c>
      <c r="H629" s="1" t="s">
        <v>76</v>
      </c>
      <c r="I629" s="1" t="s">
        <v>3720</v>
      </c>
      <c r="J629" s="1" t="s">
        <v>82</v>
      </c>
    </row>
    <row r="630" spans="1:10" x14ac:dyDescent="0.25">
      <c r="A630" s="1" t="s">
        <v>4414</v>
      </c>
      <c r="B630" s="19">
        <v>46182</v>
      </c>
      <c r="C630" s="1" t="s">
        <v>716</v>
      </c>
      <c r="D630" s="1" t="s">
        <v>21</v>
      </c>
      <c r="E630" s="1" t="s">
        <v>81</v>
      </c>
      <c r="F630" s="1">
        <v>5760</v>
      </c>
      <c r="G630" s="1" t="s">
        <v>345</v>
      </c>
      <c r="H630" s="1" t="s">
        <v>76</v>
      </c>
      <c r="I630" s="1" t="s">
        <v>3720</v>
      </c>
      <c r="J630" s="1" t="s">
        <v>78</v>
      </c>
    </row>
    <row r="631" spans="1:10" x14ac:dyDescent="0.25">
      <c r="A631" s="1" t="s">
        <v>4415</v>
      </c>
      <c r="B631" s="19">
        <v>46182</v>
      </c>
      <c r="C631" s="1" t="s">
        <v>716</v>
      </c>
      <c r="D631" s="1" t="s">
        <v>21</v>
      </c>
      <c r="E631" s="1" t="s">
        <v>81</v>
      </c>
      <c r="F631" s="1">
        <v>5760</v>
      </c>
      <c r="G631" s="1" t="s">
        <v>361</v>
      </c>
      <c r="H631" s="1" t="s">
        <v>79</v>
      </c>
      <c r="I631" s="1" t="s">
        <v>3720</v>
      </c>
      <c r="J631" s="1" t="s">
        <v>4112</v>
      </c>
    </row>
    <row r="632" spans="1:10" x14ac:dyDescent="0.25">
      <c r="A632" s="1" t="s">
        <v>4416</v>
      </c>
      <c r="B632" s="19">
        <v>46182</v>
      </c>
      <c r="C632" s="1" t="s">
        <v>717</v>
      </c>
      <c r="D632" s="1" t="s">
        <v>21</v>
      </c>
      <c r="E632" s="1" t="s">
        <v>81</v>
      </c>
      <c r="F632" s="1">
        <v>5761</v>
      </c>
      <c r="G632" s="1" t="s">
        <v>355</v>
      </c>
      <c r="H632" s="1" t="s">
        <v>76</v>
      </c>
      <c r="I632" s="1" t="s">
        <v>3720</v>
      </c>
      <c r="J632" s="1" t="s">
        <v>82</v>
      </c>
    </row>
    <row r="633" spans="1:10" x14ac:dyDescent="0.25">
      <c r="A633" s="1" t="s">
        <v>4417</v>
      </c>
      <c r="B633" s="19">
        <v>46182</v>
      </c>
      <c r="C633" s="1" t="s">
        <v>717</v>
      </c>
      <c r="D633" s="1" t="s">
        <v>21</v>
      </c>
      <c r="E633" s="1" t="s">
        <v>81</v>
      </c>
      <c r="F633" s="1">
        <v>5761</v>
      </c>
      <c r="G633" s="1" t="s">
        <v>345</v>
      </c>
      <c r="H633" s="1" t="s">
        <v>76</v>
      </c>
      <c r="I633" s="1" t="s">
        <v>3720</v>
      </c>
      <c r="J633" s="1" t="s">
        <v>78</v>
      </c>
    </row>
    <row r="634" spans="1:10" x14ac:dyDescent="0.25">
      <c r="A634" s="1" t="s">
        <v>4418</v>
      </c>
      <c r="B634" s="19">
        <v>46182</v>
      </c>
      <c r="C634" s="1" t="s">
        <v>717</v>
      </c>
      <c r="D634" s="1" t="s">
        <v>21</v>
      </c>
      <c r="E634" s="1" t="s">
        <v>81</v>
      </c>
      <c r="F634" s="1">
        <v>5761</v>
      </c>
      <c r="G634" s="1" t="s">
        <v>361</v>
      </c>
      <c r="H634" s="1" t="s">
        <v>79</v>
      </c>
      <c r="I634" s="1" t="s">
        <v>3720</v>
      </c>
      <c r="J634" s="1" t="s">
        <v>4112</v>
      </c>
    </row>
    <row r="635" spans="1:10" x14ac:dyDescent="0.25">
      <c r="A635" s="1" t="s">
        <v>4419</v>
      </c>
      <c r="B635" s="19">
        <v>46182</v>
      </c>
      <c r="C635" s="1" t="s">
        <v>718</v>
      </c>
      <c r="D635" s="1" t="s">
        <v>21</v>
      </c>
      <c r="E635" s="1" t="s">
        <v>81</v>
      </c>
      <c r="F635" s="1">
        <v>5762</v>
      </c>
      <c r="G635" s="1" t="s">
        <v>355</v>
      </c>
      <c r="H635" s="1" t="s">
        <v>76</v>
      </c>
      <c r="I635" s="1" t="s">
        <v>3720</v>
      </c>
      <c r="J635" s="1" t="s">
        <v>82</v>
      </c>
    </row>
    <row r="636" spans="1:10" x14ac:dyDescent="0.25">
      <c r="A636" s="1" t="s">
        <v>4420</v>
      </c>
      <c r="B636" s="19">
        <v>46182</v>
      </c>
      <c r="C636" s="1" t="s">
        <v>718</v>
      </c>
      <c r="D636" s="1" t="s">
        <v>21</v>
      </c>
      <c r="E636" s="1" t="s">
        <v>81</v>
      </c>
      <c r="F636" s="1">
        <v>5762</v>
      </c>
      <c r="G636" s="1" t="s">
        <v>345</v>
      </c>
      <c r="H636" s="1" t="s">
        <v>76</v>
      </c>
      <c r="I636" s="1" t="s">
        <v>3720</v>
      </c>
      <c r="J636" s="1" t="s">
        <v>78</v>
      </c>
    </row>
    <row r="637" spans="1:10" x14ac:dyDescent="0.25">
      <c r="A637" s="1" t="s">
        <v>4421</v>
      </c>
      <c r="B637" s="19">
        <v>46182</v>
      </c>
      <c r="C637" s="1" t="s">
        <v>718</v>
      </c>
      <c r="D637" s="1" t="s">
        <v>21</v>
      </c>
      <c r="E637" s="1" t="s">
        <v>81</v>
      </c>
      <c r="F637" s="1">
        <v>5762</v>
      </c>
      <c r="G637" s="1" t="s">
        <v>361</v>
      </c>
      <c r="H637" s="1" t="s">
        <v>79</v>
      </c>
      <c r="I637" s="1" t="s">
        <v>3720</v>
      </c>
      <c r="J637" s="1" t="s">
        <v>4112</v>
      </c>
    </row>
    <row r="638" spans="1:10" x14ac:dyDescent="0.25">
      <c r="A638" s="1" t="s">
        <v>4422</v>
      </c>
      <c r="B638" s="19">
        <v>46182</v>
      </c>
      <c r="C638" s="1" t="s">
        <v>719</v>
      </c>
      <c r="D638" s="1" t="s">
        <v>21</v>
      </c>
      <c r="E638" s="1" t="s">
        <v>81</v>
      </c>
      <c r="F638" s="1">
        <v>5763</v>
      </c>
      <c r="G638" s="1" t="s">
        <v>355</v>
      </c>
      <c r="H638" s="1" t="s">
        <v>76</v>
      </c>
      <c r="I638" s="1" t="s">
        <v>3720</v>
      </c>
      <c r="J638" s="1" t="s">
        <v>82</v>
      </c>
    </row>
    <row r="639" spans="1:10" x14ac:dyDescent="0.25">
      <c r="A639" s="1" t="s">
        <v>4423</v>
      </c>
      <c r="B639" s="19">
        <v>46182</v>
      </c>
      <c r="C639" s="1" t="s">
        <v>719</v>
      </c>
      <c r="D639" s="1" t="s">
        <v>21</v>
      </c>
      <c r="E639" s="1" t="s">
        <v>81</v>
      </c>
      <c r="F639" s="1">
        <v>5763</v>
      </c>
      <c r="G639" s="1" t="s">
        <v>345</v>
      </c>
      <c r="H639" s="1" t="s">
        <v>76</v>
      </c>
      <c r="I639" s="1" t="s">
        <v>3720</v>
      </c>
      <c r="J639" s="1" t="s">
        <v>78</v>
      </c>
    </row>
    <row r="640" spans="1:10" x14ac:dyDescent="0.25">
      <c r="A640" s="1" t="s">
        <v>4424</v>
      </c>
      <c r="B640" s="19">
        <v>46182</v>
      </c>
      <c r="C640" s="1" t="s">
        <v>719</v>
      </c>
      <c r="D640" s="1" t="s">
        <v>21</v>
      </c>
      <c r="E640" s="1" t="s">
        <v>81</v>
      </c>
      <c r="F640" s="1">
        <v>5763</v>
      </c>
      <c r="G640" s="1" t="s">
        <v>361</v>
      </c>
      <c r="H640" s="1" t="s">
        <v>79</v>
      </c>
      <c r="I640" s="1" t="s">
        <v>3720</v>
      </c>
      <c r="J640" s="1" t="s">
        <v>4112</v>
      </c>
    </row>
    <row r="641" spans="1:10" x14ac:dyDescent="0.25">
      <c r="A641" s="1" t="s">
        <v>4425</v>
      </c>
      <c r="B641" s="19">
        <v>46182</v>
      </c>
      <c r="C641" s="1" t="s">
        <v>720</v>
      </c>
      <c r="D641" s="1" t="s">
        <v>21</v>
      </c>
      <c r="E641" s="1" t="s">
        <v>81</v>
      </c>
      <c r="F641" s="1">
        <v>5764</v>
      </c>
      <c r="G641" s="1" t="s">
        <v>355</v>
      </c>
      <c r="H641" s="1" t="s">
        <v>76</v>
      </c>
      <c r="I641" s="1" t="s">
        <v>3720</v>
      </c>
      <c r="J641" s="1" t="s">
        <v>82</v>
      </c>
    </row>
    <row r="642" spans="1:10" x14ac:dyDescent="0.25">
      <c r="A642" s="1" t="s">
        <v>4426</v>
      </c>
      <c r="B642" s="19">
        <v>46182</v>
      </c>
      <c r="C642" s="1" t="s">
        <v>720</v>
      </c>
      <c r="D642" s="1" t="s">
        <v>21</v>
      </c>
      <c r="E642" s="1" t="s">
        <v>81</v>
      </c>
      <c r="F642" s="1">
        <v>5764</v>
      </c>
      <c r="G642" s="1" t="s">
        <v>345</v>
      </c>
      <c r="H642" s="1" t="s">
        <v>76</v>
      </c>
      <c r="I642" s="1" t="s">
        <v>3720</v>
      </c>
      <c r="J642" s="1" t="s">
        <v>78</v>
      </c>
    </row>
    <row r="643" spans="1:10" x14ac:dyDescent="0.25">
      <c r="A643" s="1" t="s">
        <v>4427</v>
      </c>
      <c r="B643" s="19">
        <v>46182</v>
      </c>
      <c r="C643" s="1" t="s">
        <v>720</v>
      </c>
      <c r="D643" s="1" t="s">
        <v>21</v>
      </c>
      <c r="E643" s="1" t="s">
        <v>81</v>
      </c>
      <c r="F643" s="1">
        <v>5764</v>
      </c>
      <c r="G643" s="1" t="s">
        <v>361</v>
      </c>
      <c r="H643" s="1" t="s">
        <v>79</v>
      </c>
      <c r="I643" s="1" t="s">
        <v>3720</v>
      </c>
      <c r="J643" s="1" t="s">
        <v>4112</v>
      </c>
    </row>
    <row r="644" spans="1:10" x14ac:dyDescent="0.25">
      <c r="A644" s="1" t="s">
        <v>4428</v>
      </c>
      <c r="B644" s="19">
        <v>46182</v>
      </c>
      <c r="C644" s="1" t="s">
        <v>721</v>
      </c>
      <c r="D644" s="1" t="s">
        <v>21</v>
      </c>
      <c r="E644" s="1" t="s">
        <v>81</v>
      </c>
      <c r="F644" s="1">
        <v>5765</v>
      </c>
      <c r="G644" s="1" t="s">
        <v>355</v>
      </c>
      <c r="H644" s="1" t="s">
        <v>76</v>
      </c>
      <c r="I644" s="1" t="s">
        <v>3720</v>
      </c>
      <c r="J644" s="1" t="s">
        <v>82</v>
      </c>
    </row>
    <row r="645" spans="1:10" x14ac:dyDescent="0.25">
      <c r="A645" s="1" t="s">
        <v>4429</v>
      </c>
      <c r="B645" s="19">
        <v>46182</v>
      </c>
      <c r="C645" s="1" t="s">
        <v>721</v>
      </c>
      <c r="D645" s="1" t="s">
        <v>21</v>
      </c>
      <c r="E645" s="1" t="s">
        <v>81</v>
      </c>
      <c r="F645" s="1">
        <v>5765</v>
      </c>
      <c r="G645" s="1" t="s">
        <v>345</v>
      </c>
      <c r="H645" s="1" t="s">
        <v>76</v>
      </c>
      <c r="I645" s="1" t="s">
        <v>3720</v>
      </c>
      <c r="J645" s="1" t="s">
        <v>78</v>
      </c>
    </row>
    <row r="646" spans="1:10" x14ac:dyDescent="0.25">
      <c r="A646" s="1" t="s">
        <v>4430</v>
      </c>
      <c r="B646" s="19">
        <v>46182</v>
      </c>
      <c r="C646" s="1" t="s">
        <v>721</v>
      </c>
      <c r="D646" s="1" t="s">
        <v>21</v>
      </c>
      <c r="E646" s="1" t="s">
        <v>81</v>
      </c>
      <c r="F646" s="1">
        <v>5765</v>
      </c>
      <c r="G646" s="1" t="s">
        <v>361</v>
      </c>
      <c r="H646" s="1" t="s">
        <v>79</v>
      </c>
      <c r="I646" s="1" t="s">
        <v>3720</v>
      </c>
      <c r="J646" s="1" t="s">
        <v>4112</v>
      </c>
    </row>
    <row r="647" spans="1:10" x14ac:dyDescent="0.25">
      <c r="A647" s="1" t="s">
        <v>4431</v>
      </c>
      <c r="B647" s="19">
        <v>46182</v>
      </c>
      <c r="C647" s="1" t="s">
        <v>722</v>
      </c>
      <c r="D647" s="1" t="s">
        <v>21</v>
      </c>
      <c r="E647" s="1" t="s">
        <v>81</v>
      </c>
      <c r="F647" s="1">
        <v>5766</v>
      </c>
      <c r="G647" s="1" t="s">
        <v>355</v>
      </c>
      <c r="H647" s="1" t="s">
        <v>76</v>
      </c>
      <c r="I647" s="1" t="s">
        <v>3720</v>
      </c>
      <c r="J647" s="1" t="s">
        <v>82</v>
      </c>
    </row>
    <row r="648" spans="1:10" x14ac:dyDescent="0.25">
      <c r="A648" s="1" t="s">
        <v>4432</v>
      </c>
      <c r="B648" s="19">
        <v>46182</v>
      </c>
      <c r="C648" s="1" t="s">
        <v>722</v>
      </c>
      <c r="D648" s="1" t="s">
        <v>21</v>
      </c>
      <c r="E648" s="1" t="s">
        <v>81</v>
      </c>
      <c r="F648" s="1">
        <v>5766</v>
      </c>
      <c r="G648" s="1" t="s">
        <v>345</v>
      </c>
      <c r="H648" s="1" t="s">
        <v>76</v>
      </c>
      <c r="I648" s="1" t="s">
        <v>3720</v>
      </c>
      <c r="J648" s="1" t="s">
        <v>78</v>
      </c>
    </row>
    <row r="649" spans="1:10" x14ac:dyDescent="0.25">
      <c r="A649" s="1" t="s">
        <v>4433</v>
      </c>
      <c r="B649" s="19">
        <v>46182</v>
      </c>
      <c r="C649" s="1" t="s">
        <v>722</v>
      </c>
      <c r="D649" s="1" t="s">
        <v>21</v>
      </c>
      <c r="E649" s="1" t="s">
        <v>81</v>
      </c>
      <c r="F649" s="1">
        <v>5766</v>
      </c>
      <c r="G649" s="1" t="s">
        <v>361</v>
      </c>
      <c r="H649" s="1" t="s">
        <v>79</v>
      </c>
      <c r="I649" s="1" t="s">
        <v>3720</v>
      </c>
      <c r="J649" s="1" t="s">
        <v>4112</v>
      </c>
    </row>
    <row r="650" spans="1:10" x14ac:dyDescent="0.25">
      <c r="A650" s="1" t="s">
        <v>4434</v>
      </c>
      <c r="B650" s="19">
        <v>46182</v>
      </c>
      <c r="C650" s="1" t="s">
        <v>723</v>
      </c>
      <c r="D650" s="1" t="s">
        <v>21</v>
      </c>
      <c r="E650" s="1" t="s">
        <v>81</v>
      </c>
      <c r="F650" s="1">
        <v>5767</v>
      </c>
      <c r="G650" s="1" t="s">
        <v>355</v>
      </c>
      <c r="H650" s="1" t="s">
        <v>76</v>
      </c>
      <c r="I650" s="1" t="s">
        <v>3720</v>
      </c>
      <c r="J650" s="1" t="s">
        <v>82</v>
      </c>
    </row>
    <row r="651" spans="1:10" x14ac:dyDescent="0.25">
      <c r="A651" s="1" t="s">
        <v>4435</v>
      </c>
      <c r="B651" s="19">
        <v>46182</v>
      </c>
      <c r="C651" s="1" t="s">
        <v>723</v>
      </c>
      <c r="D651" s="1" t="s">
        <v>21</v>
      </c>
      <c r="E651" s="1" t="s">
        <v>81</v>
      </c>
      <c r="F651" s="1">
        <v>5767</v>
      </c>
      <c r="G651" s="1" t="s">
        <v>345</v>
      </c>
      <c r="H651" s="1" t="s">
        <v>76</v>
      </c>
      <c r="I651" s="1" t="s">
        <v>3720</v>
      </c>
      <c r="J651" s="1" t="s">
        <v>78</v>
      </c>
    </row>
    <row r="652" spans="1:10" x14ac:dyDescent="0.25">
      <c r="A652" s="1" t="s">
        <v>4436</v>
      </c>
      <c r="B652" s="19">
        <v>46182</v>
      </c>
      <c r="C652" s="1" t="s">
        <v>723</v>
      </c>
      <c r="D652" s="1" t="s">
        <v>21</v>
      </c>
      <c r="E652" s="1" t="s">
        <v>81</v>
      </c>
      <c r="F652" s="1">
        <v>5767</v>
      </c>
      <c r="G652" s="1" t="s">
        <v>361</v>
      </c>
      <c r="H652" s="1" t="s">
        <v>79</v>
      </c>
      <c r="I652" s="1" t="s">
        <v>3720</v>
      </c>
      <c r="J652" s="1" t="s">
        <v>4112</v>
      </c>
    </row>
    <row r="653" spans="1:10" x14ac:dyDescent="0.25">
      <c r="A653" s="1" t="s">
        <v>4437</v>
      </c>
      <c r="B653" s="19">
        <v>46182</v>
      </c>
      <c r="C653" s="1" t="s">
        <v>724</v>
      </c>
      <c r="D653" s="1" t="s">
        <v>21</v>
      </c>
      <c r="E653" s="1" t="s">
        <v>81</v>
      </c>
      <c r="F653" s="1">
        <v>5768</v>
      </c>
      <c r="G653" s="1" t="s">
        <v>355</v>
      </c>
      <c r="H653" s="1" t="s">
        <v>76</v>
      </c>
      <c r="I653" s="1" t="s">
        <v>3720</v>
      </c>
      <c r="J653" s="1" t="s">
        <v>82</v>
      </c>
    </row>
    <row r="654" spans="1:10" x14ac:dyDescent="0.25">
      <c r="A654" s="1" t="s">
        <v>4438</v>
      </c>
      <c r="B654" s="19">
        <v>46182</v>
      </c>
      <c r="C654" s="1" t="s">
        <v>724</v>
      </c>
      <c r="D654" s="1" t="s">
        <v>21</v>
      </c>
      <c r="E654" s="1" t="s">
        <v>81</v>
      </c>
      <c r="F654" s="1">
        <v>5768</v>
      </c>
      <c r="G654" s="1" t="s">
        <v>345</v>
      </c>
      <c r="H654" s="1" t="s">
        <v>76</v>
      </c>
      <c r="I654" s="1" t="s">
        <v>3720</v>
      </c>
      <c r="J654" s="1" t="s">
        <v>78</v>
      </c>
    </row>
    <row r="655" spans="1:10" x14ac:dyDescent="0.25">
      <c r="A655" s="1" t="s">
        <v>4439</v>
      </c>
      <c r="B655" s="19">
        <v>46182</v>
      </c>
      <c r="C655" s="1" t="s">
        <v>724</v>
      </c>
      <c r="D655" s="1" t="s">
        <v>21</v>
      </c>
      <c r="E655" s="1" t="s">
        <v>81</v>
      </c>
      <c r="F655" s="1">
        <v>5768</v>
      </c>
      <c r="G655" s="1" t="s">
        <v>361</v>
      </c>
      <c r="H655" s="1" t="s">
        <v>79</v>
      </c>
      <c r="I655" s="1" t="s">
        <v>3720</v>
      </c>
      <c r="J655" s="1" t="s">
        <v>4112</v>
      </c>
    </row>
    <row r="656" spans="1:10" x14ac:dyDescent="0.25">
      <c r="A656" s="1" t="s">
        <v>4440</v>
      </c>
      <c r="B656" s="19">
        <v>46182</v>
      </c>
      <c r="C656" s="1" t="s">
        <v>725</v>
      </c>
      <c r="D656" s="1" t="s">
        <v>21</v>
      </c>
      <c r="E656" s="1" t="s">
        <v>81</v>
      </c>
      <c r="F656" s="1">
        <v>5769</v>
      </c>
      <c r="G656" s="1" t="s">
        <v>355</v>
      </c>
      <c r="H656" s="1" t="s">
        <v>76</v>
      </c>
      <c r="I656" s="1" t="s">
        <v>3720</v>
      </c>
      <c r="J656" s="1" t="s">
        <v>82</v>
      </c>
    </row>
    <row r="657" spans="1:10" x14ac:dyDescent="0.25">
      <c r="A657" s="1" t="s">
        <v>4441</v>
      </c>
      <c r="B657" s="19">
        <v>46182</v>
      </c>
      <c r="C657" s="1" t="s">
        <v>725</v>
      </c>
      <c r="D657" s="1" t="s">
        <v>21</v>
      </c>
      <c r="E657" s="1" t="s">
        <v>81</v>
      </c>
      <c r="F657" s="1">
        <v>5769</v>
      </c>
      <c r="G657" s="1" t="s">
        <v>345</v>
      </c>
      <c r="H657" s="1" t="s">
        <v>76</v>
      </c>
      <c r="I657" s="1" t="s">
        <v>3720</v>
      </c>
      <c r="J657" s="1" t="s">
        <v>78</v>
      </c>
    </row>
    <row r="658" spans="1:10" x14ac:dyDescent="0.25">
      <c r="A658" s="1" t="s">
        <v>4442</v>
      </c>
      <c r="B658" s="19">
        <v>46182</v>
      </c>
      <c r="C658" s="1" t="s">
        <v>725</v>
      </c>
      <c r="D658" s="1" t="s">
        <v>21</v>
      </c>
      <c r="E658" s="1" t="s">
        <v>81</v>
      </c>
      <c r="F658" s="1">
        <v>5769</v>
      </c>
      <c r="G658" s="1" t="s">
        <v>361</v>
      </c>
      <c r="H658" s="1" t="s">
        <v>79</v>
      </c>
      <c r="I658" s="1" t="s">
        <v>3720</v>
      </c>
      <c r="J658" s="1" t="s">
        <v>4112</v>
      </c>
    </row>
    <row r="659" spans="1:10" x14ac:dyDescent="0.25">
      <c r="A659" s="1" t="s">
        <v>4443</v>
      </c>
      <c r="B659" s="19">
        <v>46182</v>
      </c>
      <c r="C659" s="1" t="s">
        <v>726</v>
      </c>
      <c r="D659" s="1" t="s">
        <v>21</v>
      </c>
      <c r="E659" s="1" t="s">
        <v>81</v>
      </c>
      <c r="F659" s="1">
        <v>5770</v>
      </c>
      <c r="G659" s="1" t="s">
        <v>355</v>
      </c>
      <c r="H659" s="1" t="s">
        <v>76</v>
      </c>
      <c r="I659" s="1" t="s">
        <v>3720</v>
      </c>
      <c r="J659" s="1" t="s">
        <v>82</v>
      </c>
    </row>
    <row r="660" spans="1:10" x14ac:dyDescent="0.25">
      <c r="A660" s="1" t="s">
        <v>4444</v>
      </c>
      <c r="B660" s="19">
        <v>46182</v>
      </c>
      <c r="C660" s="1" t="s">
        <v>726</v>
      </c>
      <c r="D660" s="1" t="s">
        <v>21</v>
      </c>
      <c r="E660" s="1" t="s">
        <v>81</v>
      </c>
      <c r="F660" s="1">
        <v>5770</v>
      </c>
      <c r="G660" s="1" t="s">
        <v>345</v>
      </c>
      <c r="H660" s="1" t="s">
        <v>76</v>
      </c>
      <c r="I660" s="1" t="s">
        <v>3720</v>
      </c>
      <c r="J660" s="1" t="s">
        <v>78</v>
      </c>
    </row>
    <row r="661" spans="1:10" x14ac:dyDescent="0.25">
      <c r="A661" s="1" t="s">
        <v>4445</v>
      </c>
      <c r="B661" s="19">
        <v>46182</v>
      </c>
      <c r="C661" s="1" t="s">
        <v>726</v>
      </c>
      <c r="D661" s="1" t="s">
        <v>21</v>
      </c>
      <c r="E661" s="1" t="s">
        <v>81</v>
      </c>
      <c r="F661" s="1">
        <v>5770</v>
      </c>
      <c r="G661" s="1" t="s">
        <v>361</v>
      </c>
      <c r="H661" s="1" t="s">
        <v>79</v>
      </c>
      <c r="I661" s="1" t="s">
        <v>3720</v>
      </c>
      <c r="J661" s="1" t="s">
        <v>4112</v>
      </c>
    </row>
    <row r="662" spans="1:10" x14ac:dyDescent="0.25">
      <c r="A662" s="1" t="s">
        <v>4446</v>
      </c>
      <c r="B662" s="19">
        <v>46182</v>
      </c>
      <c r="C662" s="1" t="s">
        <v>727</v>
      </c>
      <c r="D662" s="1" t="s">
        <v>21</v>
      </c>
      <c r="E662" s="1" t="s">
        <v>81</v>
      </c>
      <c r="F662" s="1">
        <v>5771</v>
      </c>
      <c r="G662" s="1" t="s">
        <v>355</v>
      </c>
      <c r="H662" s="1" t="s">
        <v>76</v>
      </c>
      <c r="I662" s="1" t="s">
        <v>3720</v>
      </c>
      <c r="J662" s="1" t="s">
        <v>82</v>
      </c>
    </row>
    <row r="663" spans="1:10" x14ac:dyDescent="0.25">
      <c r="A663" s="1" t="s">
        <v>4447</v>
      </c>
      <c r="B663" s="19">
        <v>46182</v>
      </c>
      <c r="C663" s="1" t="s">
        <v>727</v>
      </c>
      <c r="D663" s="1" t="s">
        <v>21</v>
      </c>
      <c r="E663" s="1" t="s">
        <v>81</v>
      </c>
      <c r="F663" s="1">
        <v>5771</v>
      </c>
      <c r="G663" s="1" t="s">
        <v>345</v>
      </c>
      <c r="H663" s="1" t="s">
        <v>76</v>
      </c>
      <c r="I663" s="1" t="s">
        <v>3720</v>
      </c>
      <c r="J663" s="1" t="s">
        <v>78</v>
      </c>
    </row>
    <row r="664" spans="1:10" x14ac:dyDescent="0.25">
      <c r="A664" s="1" t="s">
        <v>4448</v>
      </c>
      <c r="B664" s="19">
        <v>46182</v>
      </c>
      <c r="C664" s="1" t="s">
        <v>727</v>
      </c>
      <c r="D664" s="1" t="s">
        <v>21</v>
      </c>
      <c r="E664" s="1" t="s">
        <v>81</v>
      </c>
      <c r="F664" s="1">
        <v>5771</v>
      </c>
      <c r="G664" s="1" t="s">
        <v>361</v>
      </c>
      <c r="H664" s="1" t="s">
        <v>79</v>
      </c>
      <c r="I664" s="1" t="s">
        <v>3720</v>
      </c>
      <c r="J664" s="1" t="s">
        <v>4112</v>
      </c>
    </row>
    <row r="665" spans="1:10" x14ac:dyDescent="0.25">
      <c r="A665" s="1" t="s">
        <v>4449</v>
      </c>
      <c r="B665" s="19">
        <v>46182</v>
      </c>
      <c r="C665" s="1" t="s">
        <v>728</v>
      </c>
      <c r="D665" s="1" t="s">
        <v>21</v>
      </c>
      <c r="E665" s="1" t="s">
        <v>81</v>
      </c>
      <c r="F665" s="1">
        <v>5772</v>
      </c>
      <c r="G665" s="1" t="s">
        <v>355</v>
      </c>
      <c r="H665" s="1" t="s">
        <v>76</v>
      </c>
      <c r="I665" s="1" t="s">
        <v>3720</v>
      </c>
      <c r="J665" s="1" t="s">
        <v>82</v>
      </c>
    </row>
    <row r="666" spans="1:10" x14ac:dyDescent="0.25">
      <c r="A666" s="1" t="s">
        <v>4450</v>
      </c>
      <c r="B666" s="19">
        <v>46182</v>
      </c>
      <c r="C666" s="1" t="s">
        <v>728</v>
      </c>
      <c r="D666" s="1" t="s">
        <v>21</v>
      </c>
      <c r="E666" s="1" t="s">
        <v>81</v>
      </c>
      <c r="F666" s="1">
        <v>5772</v>
      </c>
      <c r="G666" s="1" t="s">
        <v>345</v>
      </c>
      <c r="H666" s="1" t="s">
        <v>76</v>
      </c>
      <c r="I666" s="1" t="s">
        <v>3720</v>
      </c>
      <c r="J666" s="1" t="s">
        <v>78</v>
      </c>
    </row>
    <row r="667" spans="1:10" x14ac:dyDescent="0.25">
      <c r="A667" s="1" t="s">
        <v>4451</v>
      </c>
      <c r="B667" s="19">
        <v>46182</v>
      </c>
      <c r="C667" s="1" t="s">
        <v>728</v>
      </c>
      <c r="D667" s="1" t="s">
        <v>21</v>
      </c>
      <c r="E667" s="1" t="s">
        <v>81</v>
      </c>
      <c r="F667" s="1">
        <v>5772</v>
      </c>
      <c r="G667" s="1" t="s">
        <v>361</v>
      </c>
      <c r="H667" s="1" t="s">
        <v>79</v>
      </c>
      <c r="I667" s="1" t="s">
        <v>3720</v>
      </c>
      <c r="J667" s="1" t="s">
        <v>4112</v>
      </c>
    </row>
    <row r="668" spans="1:10" x14ac:dyDescent="0.25">
      <c r="A668" s="1" t="s">
        <v>4452</v>
      </c>
      <c r="B668" s="19">
        <v>46182</v>
      </c>
      <c r="C668" s="1" t="s">
        <v>729</v>
      </c>
      <c r="D668" s="1" t="s">
        <v>21</v>
      </c>
      <c r="E668" s="1" t="s">
        <v>81</v>
      </c>
      <c r="F668" s="1">
        <v>5773</v>
      </c>
      <c r="G668" s="1" t="s">
        <v>355</v>
      </c>
      <c r="H668" s="1" t="s">
        <v>76</v>
      </c>
      <c r="I668" s="1" t="s">
        <v>3720</v>
      </c>
      <c r="J668" s="1" t="s">
        <v>82</v>
      </c>
    </row>
    <row r="669" spans="1:10" x14ac:dyDescent="0.25">
      <c r="A669" s="1" t="s">
        <v>4453</v>
      </c>
      <c r="B669" s="19">
        <v>46182</v>
      </c>
      <c r="C669" s="1" t="s">
        <v>729</v>
      </c>
      <c r="D669" s="1" t="s">
        <v>21</v>
      </c>
      <c r="E669" s="1" t="s">
        <v>81</v>
      </c>
      <c r="F669" s="1">
        <v>5773</v>
      </c>
      <c r="G669" s="1" t="s">
        <v>345</v>
      </c>
      <c r="H669" s="1" t="s">
        <v>76</v>
      </c>
      <c r="I669" s="1" t="s">
        <v>3720</v>
      </c>
      <c r="J669" s="1" t="s">
        <v>78</v>
      </c>
    </row>
    <row r="670" spans="1:10" x14ac:dyDescent="0.25">
      <c r="A670" s="1" t="s">
        <v>4454</v>
      </c>
      <c r="B670" s="19">
        <v>46182</v>
      </c>
      <c r="C670" s="1" t="s">
        <v>729</v>
      </c>
      <c r="D670" s="1" t="s">
        <v>21</v>
      </c>
      <c r="E670" s="1" t="s">
        <v>81</v>
      </c>
      <c r="F670" s="1">
        <v>5773</v>
      </c>
      <c r="G670" s="1" t="s">
        <v>361</v>
      </c>
      <c r="H670" s="1" t="s">
        <v>79</v>
      </c>
      <c r="I670" s="1" t="s">
        <v>3720</v>
      </c>
      <c r="J670" s="1" t="s">
        <v>4112</v>
      </c>
    </row>
    <row r="671" spans="1:10" x14ac:dyDescent="0.25">
      <c r="A671" s="1" t="s">
        <v>4455</v>
      </c>
      <c r="B671" s="19">
        <v>46182</v>
      </c>
      <c r="C671" s="1" t="s">
        <v>730</v>
      </c>
      <c r="D671" s="1" t="s">
        <v>21</v>
      </c>
      <c r="E671" s="1" t="s">
        <v>81</v>
      </c>
      <c r="F671" s="1">
        <v>5774</v>
      </c>
      <c r="G671" s="1" t="s">
        <v>355</v>
      </c>
      <c r="H671" s="1" t="s">
        <v>76</v>
      </c>
      <c r="I671" s="1" t="s">
        <v>3720</v>
      </c>
      <c r="J671" s="1" t="s">
        <v>82</v>
      </c>
    </row>
    <row r="672" spans="1:10" x14ac:dyDescent="0.25">
      <c r="A672" s="1" t="s">
        <v>4456</v>
      </c>
      <c r="B672" s="19">
        <v>46182</v>
      </c>
      <c r="C672" s="1" t="s">
        <v>730</v>
      </c>
      <c r="D672" s="1" t="s">
        <v>21</v>
      </c>
      <c r="E672" s="1" t="s">
        <v>81</v>
      </c>
      <c r="F672" s="1">
        <v>5774</v>
      </c>
      <c r="G672" s="1" t="s">
        <v>345</v>
      </c>
      <c r="H672" s="1" t="s">
        <v>76</v>
      </c>
      <c r="I672" s="1" t="s">
        <v>3720</v>
      </c>
      <c r="J672" s="1" t="s">
        <v>78</v>
      </c>
    </row>
    <row r="673" spans="1:10" x14ac:dyDescent="0.25">
      <c r="A673" s="1" t="s">
        <v>4457</v>
      </c>
      <c r="B673" s="19">
        <v>46182</v>
      </c>
      <c r="C673" s="1" t="s">
        <v>730</v>
      </c>
      <c r="D673" s="1" t="s">
        <v>21</v>
      </c>
      <c r="E673" s="1" t="s">
        <v>81</v>
      </c>
      <c r="F673" s="1">
        <v>5774</v>
      </c>
      <c r="G673" s="1" t="s">
        <v>361</v>
      </c>
      <c r="H673" s="1" t="s">
        <v>79</v>
      </c>
      <c r="I673" s="1" t="s">
        <v>3720</v>
      </c>
      <c r="J673" s="1" t="s">
        <v>4112</v>
      </c>
    </row>
    <row r="674" spans="1:10" x14ac:dyDescent="0.25">
      <c r="A674" s="1" t="s">
        <v>4458</v>
      </c>
      <c r="B674" s="19">
        <v>46182</v>
      </c>
      <c r="C674" s="1" t="s">
        <v>731</v>
      </c>
      <c r="D674" s="1" t="s">
        <v>21</v>
      </c>
      <c r="E674" s="1" t="s">
        <v>81</v>
      </c>
      <c r="F674" s="1">
        <v>5775</v>
      </c>
      <c r="G674" s="1" t="s">
        <v>355</v>
      </c>
      <c r="H674" s="1" t="s">
        <v>76</v>
      </c>
      <c r="I674" s="1" t="s">
        <v>3720</v>
      </c>
      <c r="J674" s="1" t="s">
        <v>82</v>
      </c>
    </row>
    <row r="675" spans="1:10" x14ac:dyDescent="0.25">
      <c r="A675" s="1" t="s">
        <v>4459</v>
      </c>
      <c r="B675" s="19">
        <v>46182</v>
      </c>
      <c r="C675" s="1" t="s">
        <v>731</v>
      </c>
      <c r="D675" s="1" t="s">
        <v>21</v>
      </c>
      <c r="E675" s="1" t="s">
        <v>81</v>
      </c>
      <c r="F675" s="1">
        <v>5775</v>
      </c>
      <c r="G675" s="1" t="s">
        <v>345</v>
      </c>
      <c r="H675" s="1" t="s">
        <v>76</v>
      </c>
      <c r="I675" s="1" t="s">
        <v>3720</v>
      </c>
      <c r="J675" s="1" t="s">
        <v>78</v>
      </c>
    </row>
    <row r="676" spans="1:10" x14ac:dyDescent="0.25">
      <c r="A676" s="1" t="s">
        <v>4460</v>
      </c>
      <c r="B676" s="19">
        <v>46182</v>
      </c>
      <c r="C676" s="1" t="s">
        <v>731</v>
      </c>
      <c r="D676" s="1" t="s">
        <v>21</v>
      </c>
      <c r="E676" s="1" t="s">
        <v>81</v>
      </c>
      <c r="F676" s="1">
        <v>5775</v>
      </c>
      <c r="G676" s="1" t="s">
        <v>361</v>
      </c>
      <c r="H676" s="1" t="s">
        <v>79</v>
      </c>
      <c r="I676" s="1" t="s">
        <v>3720</v>
      </c>
      <c r="J676" s="1" t="s">
        <v>4112</v>
      </c>
    </row>
    <row r="677" spans="1:10" x14ac:dyDescent="0.25">
      <c r="A677" s="1" t="s">
        <v>4461</v>
      </c>
      <c r="B677" s="19">
        <v>46182</v>
      </c>
      <c r="C677" s="1" t="s">
        <v>732</v>
      </c>
      <c r="D677" s="1" t="s">
        <v>21</v>
      </c>
      <c r="E677" s="1" t="s">
        <v>81</v>
      </c>
      <c r="F677" s="1">
        <v>5776</v>
      </c>
      <c r="G677" s="1" t="s">
        <v>355</v>
      </c>
      <c r="H677" s="1" t="s">
        <v>76</v>
      </c>
      <c r="I677" s="1" t="s">
        <v>3720</v>
      </c>
      <c r="J677" s="1" t="s">
        <v>82</v>
      </c>
    </row>
    <row r="678" spans="1:10" x14ac:dyDescent="0.25">
      <c r="A678" s="1" t="s">
        <v>4462</v>
      </c>
      <c r="B678" s="19">
        <v>46182</v>
      </c>
      <c r="C678" s="1" t="s">
        <v>732</v>
      </c>
      <c r="D678" s="1" t="s">
        <v>21</v>
      </c>
      <c r="E678" s="1" t="s">
        <v>81</v>
      </c>
      <c r="F678" s="1">
        <v>5776</v>
      </c>
      <c r="G678" s="1" t="s">
        <v>345</v>
      </c>
      <c r="H678" s="1" t="s">
        <v>76</v>
      </c>
      <c r="I678" s="1" t="s">
        <v>3720</v>
      </c>
      <c r="J678" s="1" t="s">
        <v>78</v>
      </c>
    </row>
    <row r="679" spans="1:10" x14ac:dyDescent="0.25">
      <c r="A679" s="1" t="s">
        <v>4463</v>
      </c>
      <c r="B679" s="19">
        <v>46182</v>
      </c>
      <c r="C679" s="1" t="s">
        <v>732</v>
      </c>
      <c r="D679" s="1" t="s">
        <v>21</v>
      </c>
      <c r="E679" s="1" t="s">
        <v>81</v>
      </c>
      <c r="F679" s="1">
        <v>5776</v>
      </c>
      <c r="G679" s="1" t="s">
        <v>361</v>
      </c>
      <c r="H679" s="1" t="s">
        <v>79</v>
      </c>
      <c r="I679" s="1" t="s">
        <v>3720</v>
      </c>
      <c r="J679" s="1" t="s">
        <v>4112</v>
      </c>
    </row>
    <row r="680" spans="1:10" x14ac:dyDescent="0.25">
      <c r="A680" s="1" t="s">
        <v>4464</v>
      </c>
      <c r="B680" s="19">
        <v>46182</v>
      </c>
      <c r="C680" s="1" t="s">
        <v>733</v>
      </c>
      <c r="D680" s="1" t="s">
        <v>21</v>
      </c>
      <c r="E680" s="1" t="s">
        <v>81</v>
      </c>
      <c r="F680" s="1">
        <v>5777</v>
      </c>
      <c r="G680" s="1" t="s">
        <v>355</v>
      </c>
      <c r="H680" s="1" t="s">
        <v>76</v>
      </c>
      <c r="I680" s="1" t="s">
        <v>3720</v>
      </c>
      <c r="J680" s="1" t="s">
        <v>82</v>
      </c>
    </row>
    <row r="681" spans="1:10" x14ac:dyDescent="0.25">
      <c r="A681" s="1" t="s">
        <v>4465</v>
      </c>
      <c r="B681" s="19">
        <v>46182</v>
      </c>
      <c r="C681" s="1" t="s">
        <v>733</v>
      </c>
      <c r="D681" s="1" t="s">
        <v>21</v>
      </c>
      <c r="E681" s="1" t="s">
        <v>81</v>
      </c>
      <c r="F681" s="1">
        <v>5777</v>
      </c>
      <c r="G681" s="1" t="s">
        <v>345</v>
      </c>
      <c r="H681" s="1" t="s">
        <v>76</v>
      </c>
      <c r="I681" s="1" t="s">
        <v>3720</v>
      </c>
      <c r="J681" s="1" t="s">
        <v>78</v>
      </c>
    </row>
    <row r="682" spans="1:10" x14ac:dyDescent="0.25">
      <c r="A682" s="1" t="s">
        <v>4466</v>
      </c>
      <c r="B682" s="19">
        <v>46182</v>
      </c>
      <c r="C682" s="1" t="s">
        <v>733</v>
      </c>
      <c r="D682" s="1" t="s">
        <v>21</v>
      </c>
      <c r="E682" s="1" t="s">
        <v>81</v>
      </c>
      <c r="F682" s="1">
        <v>5777</v>
      </c>
      <c r="G682" s="1" t="s">
        <v>361</v>
      </c>
      <c r="H682" s="1" t="s">
        <v>79</v>
      </c>
      <c r="I682" s="1" t="s">
        <v>3720</v>
      </c>
      <c r="J682" s="1" t="s">
        <v>4112</v>
      </c>
    </row>
    <row r="683" spans="1:10" x14ac:dyDescent="0.25">
      <c r="A683" s="1" t="s">
        <v>4467</v>
      </c>
      <c r="B683" s="19">
        <v>46182</v>
      </c>
      <c r="C683" s="1" t="s">
        <v>734</v>
      </c>
      <c r="D683" s="1" t="s">
        <v>21</v>
      </c>
      <c r="E683" s="1" t="s">
        <v>81</v>
      </c>
      <c r="F683" s="1">
        <v>5778</v>
      </c>
      <c r="G683" s="1" t="s">
        <v>355</v>
      </c>
      <c r="H683" s="1" t="s">
        <v>76</v>
      </c>
      <c r="I683" s="1" t="s">
        <v>3720</v>
      </c>
      <c r="J683" s="1" t="s">
        <v>82</v>
      </c>
    </row>
    <row r="684" spans="1:10" x14ac:dyDescent="0.25">
      <c r="A684" s="1" t="s">
        <v>4468</v>
      </c>
      <c r="B684" s="19">
        <v>46182</v>
      </c>
      <c r="C684" s="1" t="s">
        <v>734</v>
      </c>
      <c r="D684" s="1" t="s">
        <v>21</v>
      </c>
      <c r="E684" s="1" t="s">
        <v>81</v>
      </c>
      <c r="F684" s="1">
        <v>5778</v>
      </c>
      <c r="G684" s="1" t="s">
        <v>345</v>
      </c>
      <c r="H684" s="1" t="s">
        <v>76</v>
      </c>
      <c r="I684" s="1" t="s">
        <v>3720</v>
      </c>
      <c r="J684" s="1" t="s">
        <v>78</v>
      </c>
    </row>
    <row r="685" spans="1:10" x14ac:dyDescent="0.25">
      <c r="A685" s="1" t="s">
        <v>4469</v>
      </c>
      <c r="B685" s="19">
        <v>46182</v>
      </c>
      <c r="C685" s="1" t="s">
        <v>734</v>
      </c>
      <c r="D685" s="1" t="s">
        <v>21</v>
      </c>
      <c r="E685" s="1" t="s">
        <v>81</v>
      </c>
      <c r="F685" s="1">
        <v>5778</v>
      </c>
      <c r="G685" s="1" t="s">
        <v>361</v>
      </c>
      <c r="H685" s="1" t="s">
        <v>79</v>
      </c>
      <c r="I685" s="1" t="s">
        <v>3720</v>
      </c>
      <c r="J685" s="1" t="s">
        <v>4112</v>
      </c>
    </row>
    <row r="686" spans="1:10" x14ac:dyDescent="0.25">
      <c r="A686" s="1" t="s">
        <v>4470</v>
      </c>
      <c r="B686" s="19">
        <v>46182</v>
      </c>
      <c r="C686" s="1" t="s">
        <v>735</v>
      </c>
      <c r="D686" s="1" t="s">
        <v>21</v>
      </c>
      <c r="E686" s="1" t="s">
        <v>81</v>
      </c>
      <c r="F686" s="1">
        <v>5779</v>
      </c>
      <c r="G686" s="1" t="s">
        <v>355</v>
      </c>
      <c r="H686" s="1" t="s">
        <v>76</v>
      </c>
      <c r="I686" s="1" t="s">
        <v>3720</v>
      </c>
      <c r="J686" s="1" t="s">
        <v>82</v>
      </c>
    </row>
    <row r="687" spans="1:10" x14ac:dyDescent="0.25">
      <c r="A687" s="1" t="s">
        <v>4471</v>
      </c>
      <c r="B687" s="19">
        <v>46182</v>
      </c>
      <c r="C687" s="1" t="s">
        <v>735</v>
      </c>
      <c r="D687" s="1" t="s">
        <v>21</v>
      </c>
      <c r="E687" s="1" t="s">
        <v>81</v>
      </c>
      <c r="F687" s="1">
        <v>5779</v>
      </c>
      <c r="G687" s="1" t="s">
        <v>345</v>
      </c>
      <c r="H687" s="1" t="s">
        <v>76</v>
      </c>
      <c r="I687" s="1" t="s">
        <v>3720</v>
      </c>
      <c r="J687" s="1" t="s">
        <v>78</v>
      </c>
    </row>
    <row r="688" spans="1:10" x14ac:dyDescent="0.25">
      <c r="A688" s="1" t="s">
        <v>4472</v>
      </c>
      <c r="B688" s="19">
        <v>46182</v>
      </c>
      <c r="C688" s="1" t="s">
        <v>735</v>
      </c>
      <c r="D688" s="1" t="s">
        <v>21</v>
      </c>
      <c r="E688" s="1" t="s">
        <v>81</v>
      </c>
      <c r="F688" s="1">
        <v>5779</v>
      </c>
      <c r="G688" s="1" t="s">
        <v>361</v>
      </c>
      <c r="H688" s="1" t="s">
        <v>79</v>
      </c>
      <c r="I688" s="1" t="s">
        <v>3720</v>
      </c>
      <c r="J688" s="1" t="s">
        <v>4112</v>
      </c>
    </row>
    <row r="689" spans="1:10" x14ac:dyDescent="0.25">
      <c r="A689" s="1" t="s">
        <v>4473</v>
      </c>
      <c r="B689" s="19">
        <v>46182</v>
      </c>
      <c r="C689" s="1" t="s">
        <v>736</v>
      </c>
      <c r="D689" s="1" t="s">
        <v>21</v>
      </c>
      <c r="E689" s="1" t="s">
        <v>81</v>
      </c>
      <c r="F689" s="1">
        <v>5780</v>
      </c>
      <c r="G689" s="1" t="s">
        <v>355</v>
      </c>
      <c r="H689" s="1" t="s">
        <v>76</v>
      </c>
      <c r="I689" s="1" t="s">
        <v>3720</v>
      </c>
      <c r="J689" s="1" t="s">
        <v>82</v>
      </c>
    </row>
    <row r="690" spans="1:10" x14ac:dyDescent="0.25">
      <c r="A690" s="1" t="s">
        <v>4474</v>
      </c>
      <c r="B690" s="19">
        <v>46182</v>
      </c>
      <c r="C690" s="1" t="s">
        <v>736</v>
      </c>
      <c r="D690" s="1" t="s">
        <v>21</v>
      </c>
      <c r="E690" s="1" t="s">
        <v>81</v>
      </c>
      <c r="F690" s="1">
        <v>5780</v>
      </c>
      <c r="G690" s="1" t="s">
        <v>345</v>
      </c>
      <c r="H690" s="1" t="s">
        <v>76</v>
      </c>
      <c r="I690" s="1" t="s">
        <v>3720</v>
      </c>
      <c r="J690" s="1" t="s">
        <v>78</v>
      </c>
    </row>
    <row r="691" spans="1:10" x14ac:dyDescent="0.25">
      <c r="A691" s="1" t="s">
        <v>4475</v>
      </c>
      <c r="B691" s="19">
        <v>46182</v>
      </c>
      <c r="C691" s="1" t="s">
        <v>736</v>
      </c>
      <c r="D691" s="1" t="s">
        <v>21</v>
      </c>
      <c r="E691" s="1" t="s">
        <v>81</v>
      </c>
      <c r="F691" s="1">
        <v>5780</v>
      </c>
      <c r="G691" s="1" t="s">
        <v>361</v>
      </c>
      <c r="H691" s="1" t="s">
        <v>79</v>
      </c>
      <c r="I691" s="1" t="s">
        <v>3720</v>
      </c>
      <c r="J691" s="1" t="s">
        <v>4112</v>
      </c>
    </row>
    <row r="692" spans="1:10" x14ac:dyDescent="0.25">
      <c r="A692" s="1" t="s">
        <v>4476</v>
      </c>
      <c r="B692" s="19">
        <v>46182</v>
      </c>
      <c r="C692" s="1" t="s">
        <v>737</v>
      </c>
      <c r="D692" s="1" t="s">
        <v>21</v>
      </c>
      <c r="E692" s="1" t="s">
        <v>81</v>
      </c>
      <c r="F692" s="1">
        <v>5781</v>
      </c>
      <c r="G692" s="1" t="s">
        <v>355</v>
      </c>
      <c r="H692" s="1" t="s">
        <v>76</v>
      </c>
      <c r="I692" s="1" t="s">
        <v>3720</v>
      </c>
      <c r="J692" s="1" t="s">
        <v>82</v>
      </c>
    </row>
    <row r="693" spans="1:10" x14ac:dyDescent="0.25">
      <c r="A693" s="1" t="s">
        <v>4477</v>
      </c>
      <c r="B693" s="19">
        <v>46182</v>
      </c>
      <c r="C693" s="1" t="s">
        <v>737</v>
      </c>
      <c r="D693" s="1" t="s">
        <v>21</v>
      </c>
      <c r="E693" s="1" t="s">
        <v>81</v>
      </c>
      <c r="F693" s="1">
        <v>5781</v>
      </c>
      <c r="G693" s="1" t="s">
        <v>345</v>
      </c>
      <c r="H693" s="1" t="s">
        <v>76</v>
      </c>
      <c r="I693" s="1" t="s">
        <v>3720</v>
      </c>
      <c r="J693" s="1" t="s">
        <v>78</v>
      </c>
    </row>
    <row r="694" spans="1:10" x14ac:dyDescent="0.25">
      <c r="A694" s="1" t="s">
        <v>4478</v>
      </c>
      <c r="B694" s="19">
        <v>46182</v>
      </c>
      <c r="C694" s="1" t="s">
        <v>737</v>
      </c>
      <c r="D694" s="1" t="s">
        <v>21</v>
      </c>
      <c r="E694" s="1" t="s">
        <v>81</v>
      </c>
      <c r="F694" s="1">
        <v>5781</v>
      </c>
      <c r="G694" s="1" t="s">
        <v>361</v>
      </c>
      <c r="H694" s="1" t="s">
        <v>79</v>
      </c>
      <c r="I694" s="1" t="s">
        <v>3720</v>
      </c>
      <c r="J694" s="1" t="s">
        <v>4112</v>
      </c>
    </row>
    <row r="695" spans="1:10" x14ac:dyDescent="0.25">
      <c r="A695" s="1" t="s">
        <v>4479</v>
      </c>
      <c r="B695" s="19">
        <v>46182</v>
      </c>
      <c r="C695" s="1" t="s">
        <v>738</v>
      </c>
      <c r="D695" s="1" t="s">
        <v>21</v>
      </c>
      <c r="E695" s="1" t="s">
        <v>81</v>
      </c>
      <c r="F695" s="1">
        <v>5782</v>
      </c>
      <c r="G695" s="1" t="s">
        <v>355</v>
      </c>
      <c r="H695" s="1" t="s">
        <v>76</v>
      </c>
      <c r="I695" s="1" t="s">
        <v>3720</v>
      </c>
      <c r="J695" s="1" t="s">
        <v>82</v>
      </c>
    </row>
    <row r="696" spans="1:10" x14ac:dyDescent="0.25">
      <c r="A696" s="1" t="s">
        <v>4480</v>
      </c>
      <c r="B696" s="19">
        <v>46182</v>
      </c>
      <c r="C696" s="1" t="s">
        <v>738</v>
      </c>
      <c r="D696" s="1" t="s">
        <v>21</v>
      </c>
      <c r="E696" s="1" t="s">
        <v>81</v>
      </c>
      <c r="F696" s="1">
        <v>5782</v>
      </c>
      <c r="G696" s="1" t="s">
        <v>345</v>
      </c>
      <c r="H696" s="1" t="s">
        <v>76</v>
      </c>
      <c r="I696" s="1" t="s">
        <v>3720</v>
      </c>
      <c r="J696" s="1" t="s">
        <v>78</v>
      </c>
    </row>
    <row r="697" spans="1:10" x14ac:dyDescent="0.25">
      <c r="A697" s="1" t="s">
        <v>4481</v>
      </c>
      <c r="B697" s="19">
        <v>46182</v>
      </c>
      <c r="C697" s="1" t="s">
        <v>738</v>
      </c>
      <c r="D697" s="1" t="s">
        <v>21</v>
      </c>
      <c r="E697" s="1" t="s">
        <v>81</v>
      </c>
      <c r="F697" s="1">
        <v>5782</v>
      </c>
      <c r="G697" s="1" t="s">
        <v>361</v>
      </c>
      <c r="H697" s="1" t="s">
        <v>79</v>
      </c>
      <c r="I697" s="1" t="s">
        <v>3720</v>
      </c>
      <c r="J697" s="1" t="s">
        <v>4112</v>
      </c>
    </row>
    <row r="698" spans="1:10" x14ac:dyDescent="0.25">
      <c r="A698" s="1" t="s">
        <v>4482</v>
      </c>
      <c r="B698" s="19">
        <v>46182</v>
      </c>
      <c r="C698" s="1" t="s">
        <v>739</v>
      </c>
      <c r="D698" s="1" t="s">
        <v>21</v>
      </c>
      <c r="E698" s="1" t="s">
        <v>81</v>
      </c>
      <c r="F698" s="1">
        <v>5783</v>
      </c>
      <c r="G698" s="1" t="s">
        <v>355</v>
      </c>
      <c r="H698" s="1" t="s">
        <v>76</v>
      </c>
      <c r="I698" s="1" t="s">
        <v>3720</v>
      </c>
      <c r="J698" s="1" t="s">
        <v>82</v>
      </c>
    </row>
    <row r="699" spans="1:10" x14ac:dyDescent="0.25">
      <c r="A699" s="1" t="s">
        <v>4483</v>
      </c>
      <c r="B699" s="19">
        <v>46182</v>
      </c>
      <c r="C699" s="1" t="s">
        <v>739</v>
      </c>
      <c r="D699" s="1" t="s">
        <v>21</v>
      </c>
      <c r="E699" s="1" t="s">
        <v>81</v>
      </c>
      <c r="F699" s="1">
        <v>5783</v>
      </c>
      <c r="G699" s="1" t="s">
        <v>345</v>
      </c>
      <c r="H699" s="1" t="s">
        <v>76</v>
      </c>
      <c r="I699" s="1" t="s">
        <v>3720</v>
      </c>
      <c r="J699" s="1" t="s">
        <v>78</v>
      </c>
    </row>
    <row r="700" spans="1:10" x14ac:dyDescent="0.25">
      <c r="A700" s="1" t="s">
        <v>4484</v>
      </c>
      <c r="B700" s="19">
        <v>46182</v>
      </c>
      <c r="C700" s="1" t="s">
        <v>739</v>
      </c>
      <c r="D700" s="1" t="s">
        <v>21</v>
      </c>
      <c r="E700" s="1" t="s">
        <v>81</v>
      </c>
      <c r="F700" s="1">
        <v>5783</v>
      </c>
      <c r="G700" s="1" t="s">
        <v>361</v>
      </c>
      <c r="H700" s="1" t="s">
        <v>79</v>
      </c>
      <c r="I700" s="1" t="s">
        <v>3720</v>
      </c>
      <c r="J700" s="1" t="s">
        <v>4112</v>
      </c>
    </row>
    <row r="701" spans="1:10" x14ac:dyDescent="0.25">
      <c r="A701" s="1" t="s">
        <v>4485</v>
      </c>
      <c r="B701" s="19">
        <v>46182</v>
      </c>
      <c r="C701" s="1" t="s">
        <v>740</v>
      </c>
      <c r="D701" s="1" t="s">
        <v>21</v>
      </c>
      <c r="E701" s="1" t="s">
        <v>81</v>
      </c>
      <c r="F701" s="1">
        <v>5784</v>
      </c>
      <c r="G701" s="1" t="s">
        <v>355</v>
      </c>
      <c r="H701" s="1" t="s">
        <v>76</v>
      </c>
      <c r="I701" s="1" t="s">
        <v>3720</v>
      </c>
      <c r="J701" s="1" t="s">
        <v>82</v>
      </c>
    </row>
    <row r="702" spans="1:10" x14ac:dyDescent="0.25">
      <c r="A702" s="1" t="s">
        <v>4486</v>
      </c>
      <c r="B702" s="19">
        <v>46182</v>
      </c>
      <c r="C702" s="1" t="s">
        <v>740</v>
      </c>
      <c r="D702" s="1" t="s">
        <v>21</v>
      </c>
      <c r="E702" s="1" t="s">
        <v>81</v>
      </c>
      <c r="F702" s="1">
        <v>5784</v>
      </c>
      <c r="G702" s="1" t="s">
        <v>345</v>
      </c>
      <c r="H702" s="1" t="s">
        <v>76</v>
      </c>
      <c r="I702" s="1" t="s">
        <v>3720</v>
      </c>
      <c r="J702" s="1" t="s">
        <v>78</v>
      </c>
    </row>
    <row r="703" spans="1:10" x14ac:dyDescent="0.25">
      <c r="A703" s="1" t="s">
        <v>4487</v>
      </c>
      <c r="B703" s="19">
        <v>46182</v>
      </c>
      <c r="C703" s="1" t="s">
        <v>740</v>
      </c>
      <c r="D703" s="1" t="s">
        <v>21</v>
      </c>
      <c r="E703" s="1" t="s">
        <v>81</v>
      </c>
      <c r="F703" s="1">
        <v>5784</v>
      </c>
      <c r="G703" s="1" t="s">
        <v>361</v>
      </c>
      <c r="H703" s="1" t="s">
        <v>79</v>
      </c>
      <c r="I703" s="1" t="s">
        <v>3720</v>
      </c>
      <c r="J703" s="1" t="s">
        <v>4112</v>
      </c>
    </row>
    <row r="704" spans="1:10" x14ac:dyDescent="0.25">
      <c r="A704" s="1" t="s">
        <v>4488</v>
      </c>
      <c r="B704" s="19">
        <v>46182</v>
      </c>
      <c r="C704" s="1" t="s">
        <v>741</v>
      </c>
      <c r="D704" s="1" t="s">
        <v>21</v>
      </c>
      <c r="E704" s="1" t="s">
        <v>81</v>
      </c>
      <c r="F704" s="1">
        <v>5785</v>
      </c>
      <c r="G704" s="1" t="s">
        <v>355</v>
      </c>
      <c r="H704" s="1" t="s">
        <v>76</v>
      </c>
      <c r="I704" s="1" t="s">
        <v>3720</v>
      </c>
      <c r="J704" s="1" t="s">
        <v>82</v>
      </c>
    </row>
    <row r="705" spans="1:10" x14ac:dyDescent="0.25">
      <c r="A705" s="1" t="s">
        <v>4489</v>
      </c>
      <c r="B705" s="19">
        <v>46182</v>
      </c>
      <c r="C705" s="1" t="s">
        <v>741</v>
      </c>
      <c r="D705" s="1" t="s">
        <v>21</v>
      </c>
      <c r="E705" s="1" t="s">
        <v>81</v>
      </c>
      <c r="F705" s="1">
        <v>5785</v>
      </c>
      <c r="G705" s="1" t="s">
        <v>345</v>
      </c>
      <c r="H705" s="1" t="s">
        <v>76</v>
      </c>
      <c r="I705" s="1" t="s">
        <v>3720</v>
      </c>
      <c r="J705" s="1" t="s">
        <v>78</v>
      </c>
    </row>
    <row r="706" spans="1:10" x14ac:dyDescent="0.25">
      <c r="A706" s="1" t="s">
        <v>4490</v>
      </c>
      <c r="B706" s="19">
        <v>46182</v>
      </c>
      <c r="C706" s="1" t="s">
        <v>741</v>
      </c>
      <c r="D706" s="1" t="s">
        <v>21</v>
      </c>
      <c r="E706" s="1" t="s">
        <v>81</v>
      </c>
      <c r="F706" s="1">
        <v>5785</v>
      </c>
      <c r="G706" s="1" t="s">
        <v>361</v>
      </c>
      <c r="H706" s="1" t="s">
        <v>79</v>
      </c>
      <c r="I706" s="1" t="s">
        <v>3720</v>
      </c>
      <c r="J706" s="1" t="s">
        <v>4112</v>
      </c>
    </row>
    <row r="707" spans="1:10" x14ac:dyDescent="0.25">
      <c r="A707" s="1" t="s">
        <v>4491</v>
      </c>
      <c r="B707" s="19">
        <v>46182</v>
      </c>
      <c r="C707" s="1" t="s">
        <v>742</v>
      </c>
      <c r="D707" s="1" t="s">
        <v>21</v>
      </c>
      <c r="E707" s="1" t="s">
        <v>81</v>
      </c>
      <c r="F707" s="1">
        <v>5786</v>
      </c>
      <c r="G707" s="1" t="s">
        <v>355</v>
      </c>
      <c r="H707" s="1" t="s">
        <v>76</v>
      </c>
      <c r="I707" s="1" t="s">
        <v>3720</v>
      </c>
      <c r="J707" s="1" t="s">
        <v>82</v>
      </c>
    </row>
    <row r="708" spans="1:10" x14ac:dyDescent="0.25">
      <c r="A708" s="1" t="s">
        <v>4492</v>
      </c>
      <c r="B708" s="19">
        <v>46182</v>
      </c>
      <c r="C708" s="1" t="s">
        <v>742</v>
      </c>
      <c r="D708" s="1" t="s">
        <v>21</v>
      </c>
      <c r="E708" s="1" t="s">
        <v>81</v>
      </c>
      <c r="F708" s="1">
        <v>5786</v>
      </c>
      <c r="G708" s="1" t="s">
        <v>345</v>
      </c>
      <c r="H708" s="1" t="s">
        <v>76</v>
      </c>
      <c r="I708" s="1" t="s">
        <v>3720</v>
      </c>
      <c r="J708" s="1" t="s">
        <v>78</v>
      </c>
    </row>
    <row r="709" spans="1:10" x14ac:dyDescent="0.25">
      <c r="A709" s="1" t="s">
        <v>4493</v>
      </c>
      <c r="B709" s="19">
        <v>46182</v>
      </c>
      <c r="C709" s="1" t="s">
        <v>742</v>
      </c>
      <c r="D709" s="1" t="s">
        <v>21</v>
      </c>
      <c r="E709" s="1" t="s">
        <v>81</v>
      </c>
      <c r="F709" s="1">
        <v>5786</v>
      </c>
      <c r="G709" s="1" t="s">
        <v>361</v>
      </c>
      <c r="H709" s="1" t="s">
        <v>79</v>
      </c>
      <c r="I709" s="1" t="s">
        <v>3720</v>
      </c>
      <c r="J709" s="1" t="s">
        <v>4112</v>
      </c>
    </row>
    <row r="710" spans="1:10" x14ac:dyDescent="0.25">
      <c r="A710" s="1" t="s">
        <v>4494</v>
      </c>
      <c r="B710" s="19">
        <v>46182</v>
      </c>
      <c r="C710" s="1" t="s">
        <v>743</v>
      </c>
      <c r="D710" s="1" t="s">
        <v>21</v>
      </c>
      <c r="E710" s="1" t="s">
        <v>81</v>
      </c>
      <c r="F710" s="1">
        <v>5787</v>
      </c>
      <c r="G710" s="1" t="s">
        <v>355</v>
      </c>
      <c r="H710" s="1" t="s">
        <v>76</v>
      </c>
      <c r="I710" s="1" t="s">
        <v>3720</v>
      </c>
      <c r="J710" s="1" t="s">
        <v>82</v>
      </c>
    </row>
    <row r="711" spans="1:10" x14ac:dyDescent="0.25">
      <c r="A711" s="1" t="s">
        <v>4495</v>
      </c>
      <c r="B711" s="19">
        <v>46182</v>
      </c>
      <c r="C711" s="1" t="s">
        <v>743</v>
      </c>
      <c r="D711" s="1" t="s">
        <v>21</v>
      </c>
      <c r="E711" s="1" t="s">
        <v>81</v>
      </c>
      <c r="F711" s="1">
        <v>5787</v>
      </c>
      <c r="G711" s="1" t="s">
        <v>345</v>
      </c>
      <c r="H711" s="1" t="s">
        <v>76</v>
      </c>
      <c r="I711" s="1" t="s">
        <v>3720</v>
      </c>
      <c r="J711" s="1" t="s">
        <v>78</v>
      </c>
    </row>
    <row r="712" spans="1:10" x14ac:dyDescent="0.25">
      <c r="A712" s="1" t="s">
        <v>4496</v>
      </c>
      <c r="B712" s="19">
        <v>46182</v>
      </c>
      <c r="C712" s="1" t="s">
        <v>743</v>
      </c>
      <c r="D712" s="1" t="s">
        <v>21</v>
      </c>
      <c r="E712" s="1" t="s">
        <v>81</v>
      </c>
      <c r="F712" s="1">
        <v>5787</v>
      </c>
      <c r="G712" s="1" t="s">
        <v>361</v>
      </c>
      <c r="H712" s="1" t="s">
        <v>79</v>
      </c>
      <c r="I712" s="1" t="s">
        <v>3720</v>
      </c>
      <c r="J712" s="1" t="s">
        <v>4112</v>
      </c>
    </row>
    <row r="713" spans="1:10" x14ac:dyDescent="0.25">
      <c r="A713" s="1" t="s">
        <v>4497</v>
      </c>
      <c r="B713" s="19">
        <v>46182</v>
      </c>
      <c r="C713" s="1" t="s">
        <v>744</v>
      </c>
      <c r="D713" s="1" t="s">
        <v>21</v>
      </c>
      <c r="E713" s="1" t="s">
        <v>81</v>
      </c>
      <c r="F713" s="1">
        <v>5788</v>
      </c>
      <c r="G713" s="1" t="s">
        <v>355</v>
      </c>
      <c r="H713" s="1" t="s">
        <v>76</v>
      </c>
      <c r="I713" s="1" t="s">
        <v>3720</v>
      </c>
      <c r="J713" s="1" t="s">
        <v>82</v>
      </c>
    </row>
    <row r="714" spans="1:10" x14ac:dyDescent="0.25">
      <c r="A714" s="1" t="s">
        <v>4498</v>
      </c>
      <c r="B714" s="19">
        <v>46182</v>
      </c>
      <c r="C714" s="1" t="s">
        <v>744</v>
      </c>
      <c r="D714" s="1" t="s">
        <v>21</v>
      </c>
      <c r="E714" s="1" t="s">
        <v>81</v>
      </c>
      <c r="F714" s="1">
        <v>5788</v>
      </c>
      <c r="G714" s="1" t="s">
        <v>345</v>
      </c>
      <c r="H714" s="1" t="s">
        <v>76</v>
      </c>
      <c r="I714" s="1" t="s">
        <v>3720</v>
      </c>
      <c r="J714" s="1" t="s">
        <v>78</v>
      </c>
    </row>
    <row r="715" spans="1:10" x14ac:dyDescent="0.25">
      <c r="A715" s="1" t="s">
        <v>4499</v>
      </c>
      <c r="B715" s="19">
        <v>46182</v>
      </c>
      <c r="C715" s="1" t="s">
        <v>744</v>
      </c>
      <c r="D715" s="1" t="s">
        <v>21</v>
      </c>
      <c r="E715" s="1" t="s">
        <v>81</v>
      </c>
      <c r="F715" s="1">
        <v>5788</v>
      </c>
      <c r="G715" s="1" t="s">
        <v>361</v>
      </c>
      <c r="H715" s="1" t="s">
        <v>79</v>
      </c>
      <c r="I715" s="1" t="s">
        <v>3720</v>
      </c>
      <c r="J715" s="1" t="s">
        <v>4112</v>
      </c>
    </row>
    <row r="716" spans="1:10" x14ac:dyDescent="0.25">
      <c r="A716" s="1" t="s">
        <v>4500</v>
      </c>
      <c r="B716" s="19">
        <v>46182</v>
      </c>
      <c r="C716" s="1" t="s">
        <v>745</v>
      </c>
      <c r="D716" s="1" t="s">
        <v>21</v>
      </c>
      <c r="E716" s="1" t="s">
        <v>81</v>
      </c>
      <c r="F716" s="1">
        <v>5789</v>
      </c>
      <c r="G716" s="1" t="s">
        <v>355</v>
      </c>
      <c r="H716" s="1" t="s">
        <v>76</v>
      </c>
      <c r="I716" s="1" t="s">
        <v>3720</v>
      </c>
      <c r="J716" s="1" t="s">
        <v>82</v>
      </c>
    </row>
    <row r="717" spans="1:10" x14ac:dyDescent="0.25">
      <c r="A717" s="1" t="s">
        <v>4501</v>
      </c>
      <c r="B717" s="19">
        <v>46182</v>
      </c>
      <c r="C717" s="1" t="s">
        <v>745</v>
      </c>
      <c r="D717" s="1" t="s">
        <v>21</v>
      </c>
      <c r="E717" s="1" t="s">
        <v>81</v>
      </c>
      <c r="F717" s="1">
        <v>5789</v>
      </c>
      <c r="G717" s="1" t="s">
        <v>345</v>
      </c>
      <c r="H717" s="1" t="s">
        <v>76</v>
      </c>
      <c r="I717" s="1" t="s">
        <v>3720</v>
      </c>
      <c r="J717" s="1" t="s">
        <v>78</v>
      </c>
    </row>
    <row r="718" spans="1:10" x14ac:dyDescent="0.25">
      <c r="A718" s="1" t="s">
        <v>4502</v>
      </c>
      <c r="B718" s="19">
        <v>46182</v>
      </c>
      <c r="C718" s="1" t="s">
        <v>745</v>
      </c>
      <c r="D718" s="1" t="s">
        <v>21</v>
      </c>
      <c r="E718" s="1" t="s">
        <v>81</v>
      </c>
      <c r="F718" s="1">
        <v>5789</v>
      </c>
      <c r="G718" s="1" t="s">
        <v>361</v>
      </c>
      <c r="H718" s="1" t="s">
        <v>79</v>
      </c>
      <c r="I718" s="1" t="s">
        <v>3720</v>
      </c>
      <c r="J718" s="1" t="s">
        <v>4112</v>
      </c>
    </row>
    <row r="719" spans="1:10" x14ac:dyDescent="0.25">
      <c r="A719" s="1" t="s">
        <v>4503</v>
      </c>
      <c r="B719" s="19">
        <v>46182</v>
      </c>
      <c r="C719" s="1" t="s">
        <v>746</v>
      </c>
      <c r="D719" s="1" t="s">
        <v>21</v>
      </c>
      <c r="E719" s="1" t="s">
        <v>81</v>
      </c>
      <c r="F719" s="1">
        <v>5790</v>
      </c>
      <c r="G719" s="1" t="s">
        <v>355</v>
      </c>
      <c r="H719" s="1" t="s">
        <v>76</v>
      </c>
      <c r="I719" s="1" t="s">
        <v>3720</v>
      </c>
      <c r="J719" s="1" t="s">
        <v>82</v>
      </c>
    </row>
    <row r="720" spans="1:10" x14ac:dyDescent="0.25">
      <c r="A720" s="1" t="s">
        <v>4504</v>
      </c>
      <c r="B720" s="19">
        <v>46182</v>
      </c>
      <c r="C720" s="1" t="s">
        <v>746</v>
      </c>
      <c r="D720" s="1" t="s">
        <v>21</v>
      </c>
      <c r="E720" s="1" t="s">
        <v>81</v>
      </c>
      <c r="F720" s="1">
        <v>5790</v>
      </c>
      <c r="G720" s="1" t="s">
        <v>345</v>
      </c>
      <c r="H720" s="1" t="s">
        <v>76</v>
      </c>
      <c r="I720" s="1" t="s">
        <v>3720</v>
      </c>
      <c r="J720" s="1" t="s">
        <v>78</v>
      </c>
    </row>
    <row r="721" spans="1:10" x14ac:dyDescent="0.25">
      <c r="A721" s="1" t="s">
        <v>4505</v>
      </c>
      <c r="B721" s="19">
        <v>46182</v>
      </c>
      <c r="C721" s="1" t="s">
        <v>746</v>
      </c>
      <c r="D721" s="1" t="s">
        <v>21</v>
      </c>
      <c r="E721" s="1" t="s">
        <v>81</v>
      </c>
      <c r="F721" s="1">
        <v>5790</v>
      </c>
      <c r="G721" s="1" t="s">
        <v>361</v>
      </c>
      <c r="H721" s="1" t="s">
        <v>79</v>
      </c>
      <c r="I721" s="1" t="s">
        <v>3720</v>
      </c>
      <c r="J721" s="1" t="s">
        <v>4112</v>
      </c>
    </row>
    <row r="722" spans="1:10" x14ac:dyDescent="0.25">
      <c r="A722" s="1" t="s">
        <v>4506</v>
      </c>
      <c r="B722" s="19">
        <v>46182</v>
      </c>
      <c r="C722" s="1" t="s">
        <v>747</v>
      </c>
      <c r="D722" s="1" t="s">
        <v>21</v>
      </c>
      <c r="E722" s="1" t="s">
        <v>81</v>
      </c>
      <c r="F722" s="1">
        <v>5791</v>
      </c>
      <c r="G722" s="1" t="s">
        <v>355</v>
      </c>
      <c r="H722" s="1" t="s">
        <v>76</v>
      </c>
      <c r="I722" s="1" t="s">
        <v>3720</v>
      </c>
      <c r="J722" s="1" t="s">
        <v>82</v>
      </c>
    </row>
    <row r="723" spans="1:10" x14ac:dyDescent="0.25">
      <c r="A723" s="1" t="s">
        <v>4507</v>
      </c>
      <c r="B723" s="19">
        <v>46182</v>
      </c>
      <c r="C723" s="1" t="s">
        <v>747</v>
      </c>
      <c r="D723" s="1" t="s">
        <v>21</v>
      </c>
      <c r="E723" s="1" t="s">
        <v>81</v>
      </c>
      <c r="F723" s="1">
        <v>5791</v>
      </c>
      <c r="G723" s="1" t="s">
        <v>345</v>
      </c>
      <c r="H723" s="1" t="s">
        <v>76</v>
      </c>
      <c r="I723" s="1" t="s">
        <v>3720</v>
      </c>
      <c r="J723" s="1" t="s">
        <v>78</v>
      </c>
    </row>
    <row r="724" spans="1:10" x14ac:dyDescent="0.25">
      <c r="A724" s="1" t="s">
        <v>4508</v>
      </c>
      <c r="B724" s="19">
        <v>46182</v>
      </c>
      <c r="C724" s="1" t="s">
        <v>747</v>
      </c>
      <c r="D724" s="1" t="s">
        <v>21</v>
      </c>
      <c r="E724" s="1" t="s">
        <v>81</v>
      </c>
      <c r="F724" s="1">
        <v>5791</v>
      </c>
      <c r="G724" s="1" t="s">
        <v>361</v>
      </c>
      <c r="H724" s="1" t="s">
        <v>79</v>
      </c>
      <c r="I724" s="1" t="s">
        <v>3720</v>
      </c>
      <c r="J724" s="1" t="s">
        <v>4112</v>
      </c>
    </row>
    <row r="725" spans="1:10" x14ac:dyDescent="0.25">
      <c r="A725" s="1" t="s">
        <v>4509</v>
      </c>
      <c r="B725" s="19">
        <v>46182</v>
      </c>
      <c r="C725" s="1" t="s">
        <v>748</v>
      </c>
      <c r="D725" s="1" t="s">
        <v>21</v>
      </c>
      <c r="E725" s="1" t="s">
        <v>81</v>
      </c>
      <c r="F725" s="1">
        <v>5792</v>
      </c>
      <c r="G725" s="1" t="s">
        <v>355</v>
      </c>
      <c r="H725" s="1" t="s">
        <v>76</v>
      </c>
      <c r="I725" s="1" t="s">
        <v>3720</v>
      </c>
      <c r="J725" s="1" t="s">
        <v>82</v>
      </c>
    </row>
    <row r="726" spans="1:10" x14ac:dyDescent="0.25">
      <c r="A726" s="1" t="s">
        <v>4510</v>
      </c>
      <c r="B726" s="19">
        <v>46182</v>
      </c>
      <c r="C726" s="1" t="s">
        <v>748</v>
      </c>
      <c r="D726" s="1" t="s">
        <v>21</v>
      </c>
      <c r="E726" s="1" t="s">
        <v>81</v>
      </c>
      <c r="F726" s="1">
        <v>5792</v>
      </c>
      <c r="G726" s="1" t="s">
        <v>345</v>
      </c>
      <c r="H726" s="1" t="s">
        <v>76</v>
      </c>
      <c r="I726" s="1" t="s">
        <v>3720</v>
      </c>
      <c r="J726" s="1" t="s">
        <v>78</v>
      </c>
    </row>
    <row r="727" spans="1:10" x14ac:dyDescent="0.25">
      <c r="A727" s="1" t="s">
        <v>4511</v>
      </c>
      <c r="B727" s="19">
        <v>46182</v>
      </c>
      <c r="C727" s="1" t="s">
        <v>748</v>
      </c>
      <c r="D727" s="1" t="s">
        <v>21</v>
      </c>
      <c r="E727" s="1" t="s">
        <v>81</v>
      </c>
      <c r="F727" s="1">
        <v>5792</v>
      </c>
      <c r="G727" s="1" t="s">
        <v>361</v>
      </c>
      <c r="H727" s="1" t="s">
        <v>79</v>
      </c>
      <c r="I727" s="1" t="s">
        <v>3720</v>
      </c>
      <c r="J727" s="1" t="s">
        <v>4112</v>
      </c>
    </row>
    <row r="728" spans="1:10" x14ac:dyDescent="0.25">
      <c r="A728" s="1" t="s">
        <v>4512</v>
      </c>
      <c r="B728" s="19">
        <v>46182</v>
      </c>
      <c r="C728" s="1" t="s">
        <v>749</v>
      </c>
      <c r="D728" s="1" t="s">
        <v>21</v>
      </c>
      <c r="E728" s="1" t="s">
        <v>81</v>
      </c>
      <c r="F728" s="1">
        <v>5793</v>
      </c>
      <c r="G728" s="1" t="s">
        <v>355</v>
      </c>
      <c r="H728" s="1" t="s">
        <v>76</v>
      </c>
      <c r="I728" s="1" t="s">
        <v>3720</v>
      </c>
      <c r="J728" s="1" t="s">
        <v>82</v>
      </c>
    </row>
    <row r="729" spans="1:10" x14ac:dyDescent="0.25">
      <c r="A729" s="1" t="s">
        <v>4513</v>
      </c>
      <c r="B729" s="19">
        <v>46182</v>
      </c>
      <c r="C729" s="1" t="s">
        <v>749</v>
      </c>
      <c r="D729" s="1" t="s">
        <v>21</v>
      </c>
      <c r="E729" s="1" t="s">
        <v>81</v>
      </c>
      <c r="F729" s="1">
        <v>5793</v>
      </c>
      <c r="G729" s="1" t="s">
        <v>345</v>
      </c>
      <c r="H729" s="1" t="s">
        <v>76</v>
      </c>
      <c r="I729" s="1" t="s">
        <v>3720</v>
      </c>
      <c r="J729" s="1" t="s">
        <v>78</v>
      </c>
    </row>
    <row r="730" spans="1:10" x14ac:dyDescent="0.25">
      <c r="A730" s="1" t="s">
        <v>4514</v>
      </c>
      <c r="B730" s="19">
        <v>46182</v>
      </c>
      <c r="C730" s="1" t="s">
        <v>749</v>
      </c>
      <c r="D730" s="1" t="s">
        <v>21</v>
      </c>
      <c r="E730" s="1" t="s">
        <v>81</v>
      </c>
      <c r="F730" s="1">
        <v>5793</v>
      </c>
      <c r="G730" s="1" t="s">
        <v>361</v>
      </c>
      <c r="H730" s="1" t="s">
        <v>79</v>
      </c>
      <c r="I730" s="1" t="s">
        <v>3720</v>
      </c>
      <c r="J730" s="1" t="s">
        <v>4112</v>
      </c>
    </row>
    <row r="731" spans="1:10" x14ac:dyDescent="0.25">
      <c r="A731" s="1" t="s">
        <v>4515</v>
      </c>
      <c r="B731" s="19">
        <v>46182</v>
      </c>
      <c r="C731" s="1" t="s">
        <v>750</v>
      </c>
      <c r="D731" s="1" t="s">
        <v>21</v>
      </c>
      <c r="E731" s="1" t="s">
        <v>81</v>
      </c>
      <c r="F731" s="1">
        <v>5794</v>
      </c>
      <c r="G731" s="1" t="s">
        <v>355</v>
      </c>
      <c r="H731" s="1" t="s">
        <v>76</v>
      </c>
      <c r="I731" s="1" t="s">
        <v>3720</v>
      </c>
      <c r="J731" s="1" t="s">
        <v>82</v>
      </c>
    </row>
    <row r="732" spans="1:10" x14ac:dyDescent="0.25">
      <c r="A732" s="1" t="s">
        <v>4516</v>
      </c>
      <c r="B732" s="19">
        <v>46182</v>
      </c>
      <c r="C732" s="1" t="s">
        <v>750</v>
      </c>
      <c r="D732" s="1" t="s">
        <v>21</v>
      </c>
      <c r="E732" s="1" t="s">
        <v>81</v>
      </c>
      <c r="F732" s="1">
        <v>5794</v>
      </c>
      <c r="G732" s="1" t="s">
        <v>345</v>
      </c>
      <c r="H732" s="1" t="s">
        <v>76</v>
      </c>
      <c r="I732" s="1" t="s">
        <v>3720</v>
      </c>
      <c r="J732" s="1" t="s">
        <v>78</v>
      </c>
    </row>
    <row r="733" spans="1:10" x14ac:dyDescent="0.25">
      <c r="A733" s="1" t="s">
        <v>4517</v>
      </c>
      <c r="B733" s="19">
        <v>46182</v>
      </c>
      <c r="C733" s="1" t="s">
        <v>750</v>
      </c>
      <c r="D733" s="1" t="s">
        <v>21</v>
      </c>
      <c r="E733" s="1" t="s">
        <v>81</v>
      </c>
      <c r="F733" s="1">
        <v>5794</v>
      </c>
      <c r="G733" s="1" t="s">
        <v>361</v>
      </c>
      <c r="H733" s="1" t="s">
        <v>79</v>
      </c>
      <c r="I733" s="1" t="s">
        <v>3720</v>
      </c>
      <c r="J733" s="1" t="s">
        <v>4112</v>
      </c>
    </row>
    <row r="734" spans="1:10" x14ac:dyDescent="0.25">
      <c r="A734" s="1" t="s">
        <v>4518</v>
      </c>
      <c r="B734" s="19">
        <v>46182</v>
      </c>
      <c r="C734" s="1" t="s">
        <v>751</v>
      </c>
      <c r="D734" s="1" t="s">
        <v>21</v>
      </c>
      <c r="E734" s="1" t="s">
        <v>81</v>
      </c>
      <c r="F734" s="1">
        <v>5795</v>
      </c>
      <c r="G734" s="1" t="s">
        <v>355</v>
      </c>
      <c r="H734" s="1" t="s">
        <v>76</v>
      </c>
      <c r="I734" s="1" t="s">
        <v>3720</v>
      </c>
      <c r="J734" s="1" t="s">
        <v>82</v>
      </c>
    </row>
    <row r="735" spans="1:10" x14ac:dyDescent="0.25">
      <c r="A735" s="1" t="s">
        <v>4519</v>
      </c>
      <c r="B735" s="19">
        <v>46182</v>
      </c>
      <c r="C735" s="1" t="s">
        <v>751</v>
      </c>
      <c r="D735" s="1" t="s">
        <v>21</v>
      </c>
      <c r="E735" s="1" t="s">
        <v>81</v>
      </c>
      <c r="F735" s="1">
        <v>5795</v>
      </c>
      <c r="G735" s="1" t="s">
        <v>345</v>
      </c>
      <c r="H735" s="1" t="s">
        <v>76</v>
      </c>
      <c r="I735" s="1" t="s">
        <v>3720</v>
      </c>
      <c r="J735" s="1" t="s">
        <v>78</v>
      </c>
    </row>
    <row r="736" spans="1:10" x14ac:dyDescent="0.25">
      <c r="A736" s="1" t="s">
        <v>4520</v>
      </c>
      <c r="B736" s="19">
        <v>46182</v>
      </c>
      <c r="C736" s="1" t="s">
        <v>751</v>
      </c>
      <c r="D736" s="1" t="s">
        <v>21</v>
      </c>
      <c r="E736" s="1" t="s">
        <v>81</v>
      </c>
      <c r="F736" s="1">
        <v>5795</v>
      </c>
      <c r="G736" s="1" t="s">
        <v>361</v>
      </c>
      <c r="H736" s="1" t="s">
        <v>79</v>
      </c>
      <c r="I736" s="1" t="s">
        <v>3720</v>
      </c>
      <c r="J736" s="1" t="s">
        <v>4112</v>
      </c>
    </row>
    <row r="737" spans="1:10" x14ac:dyDescent="0.25">
      <c r="A737" s="1" t="s">
        <v>4521</v>
      </c>
      <c r="B737" s="19">
        <v>46182</v>
      </c>
      <c r="C737" s="1" t="s">
        <v>752</v>
      </c>
      <c r="D737" s="1" t="s">
        <v>21</v>
      </c>
      <c r="E737" s="1" t="s">
        <v>81</v>
      </c>
      <c r="F737" s="1">
        <v>5796</v>
      </c>
      <c r="G737" s="1" t="s">
        <v>355</v>
      </c>
      <c r="H737" s="1" t="s">
        <v>76</v>
      </c>
      <c r="I737" s="1" t="s">
        <v>3720</v>
      </c>
      <c r="J737" s="1" t="s">
        <v>82</v>
      </c>
    </row>
    <row r="738" spans="1:10" x14ac:dyDescent="0.25">
      <c r="A738" s="1" t="s">
        <v>4522</v>
      </c>
      <c r="B738" s="19">
        <v>46182</v>
      </c>
      <c r="C738" s="1" t="s">
        <v>752</v>
      </c>
      <c r="D738" s="1" t="s">
        <v>21</v>
      </c>
      <c r="E738" s="1" t="s">
        <v>81</v>
      </c>
      <c r="F738" s="1">
        <v>5796</v>
      </c>
      <c r="G738" s="1" t="s">
        <v>345</v>
      </c>
      <c r="H738" s="1" t="s">
        <v>76</v>
      </c>
      <c r="I738" s="1" t="s">
        <v>3720</v>
      </c>
      <c r="J738" s="1" t="s">
        <v>78</v>
      </c>
    </row>
    <row r="739" spans="1:10" x14ac:dyDescent="0.25">
      <c r="A739" s="1" t="s">
        <v>4523</v>
      </c>
      <c r="B739" s="19">
        <v>46182</v>
      </c>
      <c r="C739" s="1" t="s">
        <v>752</v>
      </c>
      <c r="D739" s="1" t="s">
        <v>21</v>
      </c>
      <c r="E739" s="1" t="s">
        <v>81</v>
      </c>
      <c r="F739" s="1">
        <v>5796</v>
      </c>
      <c r="G739" s="1" t="s">
        <v>361</v>
      </c>
      <c r="H739" s="1" t="s">
        <v>79</v>
      </c>
      <c r="I739" s="1" t="s">
        <v>3720</v>
      </c>
      <c r="J739" s="1" t="s">
        <v>4112</v>
      </c>
    </row>
    <row r="740" spans="1:10" x14ac:dyDescent="0.25">
      <c r="A740" s="1" t="s">
        <v>4524</v>
      </c>
      <c r="B740" s="19">
        <v>46182</v>
      </c>
      <c r="C740" s="1" t="s">
        <v>753</v>
      </c>
      <c r="D740" s="1" t="s">
        <v>21</v>
      </c>
      <c r="E740" s="1" t="s">
        <v>81</v>
      </c>
      <c r="F740" s="1">
        <v>5797</v>
      </c>
      <c r="G740" s="1" t="s">
        <v>355</v>
      </c>
      <c r="H740" s="1" t="s">
        <v>76</v>
      </c>
      <c r="I740" s="1" t="s">
        <v>3720</v>
      </c>
      <c r="J740" s="1" t="s">
        <v>82</v>
      </c>
    </row>
    <row r="741" spans="1:10" x14ac:dyDescent="0.25">
      <c r="A741" s="1" t="s">
        <v>4525</v>
      </c>
      <c r="B741" s="19">
        <v>46182</v>
      </c>
      <c r="C741" s="1" t="s">
        <v>753</v>
      </c>
      <c r="D741" s="1" t="s">
        <v>21</v>
      </c>
      <c r="E741" s="1" t="s">
        <v>81</v>
      </c>
      <c r="F741" s="1">
        <v>5797</v>
      </c>
      <c r="G741" s="1" t="s">
        <v>345</v>
      </c>
      <c r="H741" s="1" t="s">
        <v>76</v>
      </c>
      <c r="I741" s="1" t="s">
        <v>3720</v>
      </c>
      <c r="J741" s="1" t="s">
        <v>78</v>
      </c>
    </row>
    <row r="742" spans="1:10" x14ac:dyDescent="0.25">
      <c r="A742" s="1" t="s">
        <v>4526</v>
      </c>
      <c r="B742" s="19">
        <v>46182</v>
      </c>
      <c r="C742" s="1" t="s">
        <v>753</v>
      </c>
      <c r="D742" s="1" t="s">
        <v>21</v>
      </c>
      <c r="E742" s="1" t="s">
        <v>81</v>
      </c>
      <c r="F742" s="1">
        <v>5797</v>
      </c>
      <c r="G742" s="1" t="s">
        <v>361</v>
      </c>
      <c r="H742" s="1" t="s">
        <v>79</v>
      </c>
      <c r="I742" s="1" t="s">
        <v>3720</v>
      </c>
      <c r="J742" s="1" t="s">
        <v>4112</v>
      </c>
    </row>
    <row r="743" spans="1:10" x14ac:dyDescent="0.25">
      <c r="A743" s="1" t="s">
        <v>4527</v>
      </c>
      <c r="B743" s="19">
        <v>46182</v>
      </c>
      <c r="C743" s="1" t="s">
        <v>754</v>
      </c>
      <c r="D743" s="1" t="s">
        <v>21</v>
      </c>
      <c r="E743" s="1" t="s">
        <v>81</v>
      </c>
      <c r="F743" s="1">
        <v>5798</v>
      </c>
      <c r="G743" s="1" t="s">
        <v>355</v>
      </c>
      <c r="H743" s="1" t="s">
        <v>76</v>
      </c>
      <c r="I743" s="1" t="s">
        <v>3720</v>
      </c>
      <c r="J743" s="1" t="s">
        <v>82</v>
      </c>
    </row>
    <row r="744" spans="1:10" x14ac:dyDescent="0.25">
      <c r="A744" s="1" t="s">
        <v>4528</v>
      </c>
      <c r="B744" s="19">
        <v>46182</v>
      </c>
      <c r="C744" s="1" t="s">
        <v>754</v>
      </c>
      <c r="D744" s="1" t="s">
        <v>21</v>
      </c>
      <c r="E744" s="1" t="s">
        <v>81</v>
      </c>
      <c r="F744" s="1">
        <v>5798</v>
      </c>
      <c r="G744" s="1" t="s">
        <v>345</v>
      </c>
      <c r="H744" s="1" t="s">
        <v>76</v>
      </c>
      <c r="I744" s="1" t="s">
        <v>3720</v>
      </c>
      <c r="J744" s="1" t="s">
        <v>78</v>
      </c>
    </row>
    <row r="745" spans="1:10" x14ac:dyDescent="0.25">
      <c r="A745" s="1" t="s">
        <v>4529</v>
      </c>
      <c r="B745" s="19">
        <v>46182</v>
      </c>
      <c r="C745" s="1" t="s">
        <v>754</v>
      </c>
      <c r="D745" s="1" t="s">
        <v>21</v>
      </c>
      <c r="E745" s="1" t="s">
        <v>81</v>
      </c>
      <c r="F745" s="1">
        <v>5798</v>
      </c>
      <c r="G745" s="1" t="s">
        <v>361</v>
      </c>
      <c r="H745" s="1" t="s">
        <v>79</v>
      </c>
      <c r="I745" s="1" t="s">
        <v>3720</v>
      </c>
      <c r="J745" s="1" t="s">
        <v>4112</v>
      </c>
    </row>
    <row r="746" spans="1:10" x14ac:dyDescent="0.25">
      <c r="A746" s="1" t="s">
        <v>4530</v>
      </c>
      <c r="B746" s="19">
        <v>46182</v>
      </c>
      <c r="C746" s="1" t="s">
        <v>755</v>
      </c>
      <c r="D746" s="1" t="s">
        <v>21</v>
      </c>
      <c r="E746" s="1" t="s">
        <v>81</v>
      </c>
      <c r="F746" s="1">
        <v>5799</v>
      </c>
      <c r="G746" s="1" t="s">
        <v>355</v>
      </c>
      <c r="H746" s="1" t="s">
        <v>76</v>
      </c>
      <c r="I746" s="1" t="s">
        <v>3720</v>
      </c>
      <c r="J746" s="1" t="s">
        <v>82</v>
      </c>
    </row>
    <row r="747" spans="1:10" x14ac:dyDescent="0.25">
      <c r="A747" s="1" t="s">
        <v>4531</v>
      </c>
      <c r="B747" s="19">
        <v>46182</v>
      </c>
      <c r="C747" s="1" t="s">
        <v>755</v>
      </c>
      <c r="D747" s="1" t="s">
        <v>21</v>
      </c>
      <c r="E747" s="1" t="s">
        <v>81</v>
      </c>
      <c r="F747" s="1">
        <v>5799</v>
      </c>
      <c r="G747" s="1" t="s">
        <v>345</v>
      </c>
      <c r="H747" s="1" t="s">
        <v>76</v>
      </c>
      <c r="I747" s="1" t="s">
        <v>3720</v>
      </c>
      <c r="J747" s="1" t="s">
        <v>78</v>
      </c>
    </row>
    <row r="748" spans="1:10" x14ac:dyDescent="0.25">
      <c r="A748" s="1" t="s">
        <v>4532</v>
      </c>
      <c r="B748" s="19">
        <v>46182</v>
      </c>
      <c r="C748" s="1" t="s">
        <v>755</v>
      </c>
      <c r="D748" s="1" t="s">
        <v>21</v>
      </c>
      <c r="E748" s="1" t="s">
        <v>81</v>
      </c>
      <c r="F748" s="1">
        <v>5799</v>
      </c>
      <c r="G748" s="1" t="s">
        <v>361</v>
      </c>
      <c r="H748" s="1" t="s">
        <v>79</v>
      </c>
      <c r="I748" s="1" t="s">
        <v>3720</v>
      </c>
      <c r="J748" s="1" t="s">
        <v>4112</v>
      </c>
    </row>
    <row r="749" spans="1:10" x14ac:dyDescent="0.25">
      <c r="A749" s="1" t="s">
        <v>4533</v>
      </c>
      <c r="B749" s="19">
        <v>46182</v>
      </c>
      <c r="C749" s="1" t="s">
        <v>756</v>
      </c>
      <c r="D749" s="1" t="s">
        <v>21</v>
      </c>
      <c r="E749" s="1" t="s">
        <v>81</v>
      </c>
      <c r="F749" s="1">
        <v>5800</v>
      </c>
      <c r="G749" s="1" t="s">
        <v>355</v>
      </c>
      <c r="H749" s="1" t="s">
        <v>76</v>
      </c>
      <c r="I749" s="1" t="s">
        <v>3720</v>
      </c>
      <c r="J749" s="1" t="s">
        <v>82</v>
      </c>
    </row>
    <row r="750" spans="1:10" x14ac:dyDescent="0.25">
      <c r="A750" s="1" t="s">
        <v>4534</v>
      </c>
      <c r="B750" s="19">
        <v>46182</v>
      </c>
      <c r="C750" s="1" t="s">
        <v>756</v>
      </c>
      <c r="D750" s="1" t="s">
        <v>21</v>
      </c>
      <c r="E750" s="1" t="s">
        <v>81</v>
      </c>
      <c r="F750" s="1">
        <v>5800</v>
      </c>
      <c r="G750" s="1" t="s">
        <v>345</v>
      </c>
      <c r="H750" s="1" t="s">
        <v>76</v>
      </c>
      <c r="I750" s="1" t="s">
        <v>3720</v>
      </c>
      <c r="J750" s="1" t="s">
        <v>78</v>
      </c>
    </row>
    <row r="751" spans="1:10" x14ac:dyDescent="0.25">
      <c r="A751" s="1" t="s">
        <v>4535</v>
      </c>
      <c r="B751" s="19">
        <v>46182</v>
      </c>
      <c r="C751" s="1" t="s">
        <v>756</v>
      </c>
      <c r="D751" s="1" t="s">
        <v>21</v>
      </c>
      <c r="E751" s="1" t="s">
        <v>81</v>
      </c>
      <c r="F751" s="1">
        <v>5800</v>
      </c>
      <c r="G751" s="1" t="s">
        <v>361</v>
      </c>
      <c r="H751" s="1" t="s">
        <v>79</v>
      </c>
      <c r="I751" s="1" t="s">
        <v>3720</v>
      </c>
      <c r="J751" s="1" t="s">
        <v>4112</v>
      </c>
    </row>
    <row r="752" spans="1:10" x14ac:dyDescent="0.25">
      <c r="A752" s="1" t="s">
        <v>4536</v>
      </c>
      <c r="B752" s="19">
        <v>46182</v>
      </c>
      <c r="C752" s="1" t="s">
        <v>757</v>
      </c>
      <c r="D752" s="1" t="s">
        <v>21</v>
      </c>
      <c r="E752" s="1" t="s">
        <v>81</v>
      </c>
      <c r="F752" s="1">
        <v>5801</v>
      </c>
      <c r="G752" s="1" t="s">
        <v>355</v>
      </c>
      <c r="H752" s="1" t="s">
        <v>76</v>
      </c>
      <c r="I752" s="1" t="s">
        <v>3720</v>
      </c>
      <c r="J752" s="1" t="s">
        <v>82</v>
      </c>
    </row>
    <row r="753" spans="1:10" x14ac:dyDescent="0.25">
      <c r="A753" s="1" t="s">
        <v>4537</v>
      </c>
      <c r="B753" s="19">
        <v>46182</v>
      </c>
      <c r="C753" s="1" t="s">
        <v>757</v>
      </c>
      <c r="D753" s="1" t="s">
        <v>21</v>
      </c>
      <c r="E753" s="1" t="s">
        <v>81</v>
      </c>
      <c r="F753" s="1">
        <v>5801</v>
      </c>
      <c r="G753" s="1" t="s">
        <v>345</v>
      </c>
      <c r="H753" s="1" t="s">
        <v>76</v>
      </c>
      <c r="I753" s="1" t="s">
        <v>3720</v>
      </c>
      <c r="J753" s="1" t="s">
        <v>78</v>
      </c>
    </row>
    <row r="754" spans="1:10" x14ac:dyDescent="0.25">
      <c r="A754" s="1" t="s">
        <v>4538</v>
      </c>
      <c r="B754" s="19">
        <v>46182</v>
      </c>
      <c r="C754" s="1" t="s">
        <v>757</v>
      </c>
      <c r="D754" s="1" t="s">
        <v>21</v>
      </c>
      <c r="E754" s="1" t="s">
        <v>81</v>
      </c>
      <c r="F754" s="1">
        <v>5801</v>
      </c>
      <c r="G754" s="1" t="s">
        <v>361</v>
      </c>
      <c r="H754" s="1" t="s">
        <v>79</v>
      </c>
      <c r="I754" s="1" t="s">
        <v>3720</v>
      </c>
      <c r="J754" s="1" t="s">
        <v>4112</v>
      </c>
    </row>
    <row r="755" spans="1:10" x14ac:dyDescent="0.25">
      <c r="A755" s="1" t="s">
        <v>4539</v>
      </c>
      <c r="B755" s="19">
        <v>46182</v>
      </c>
      <c r="C755" s="1" t="s">
        <v>758</v>
      </c>
      <c r="D755" s="1" t="s">
        <v>21</v>
      </c>
      <c r="E755" s="1" t="s">
        <v>81</v>
      </c>
      <c r="F755" s="1">
        <v>5802</v>
      </c>
      <c r="G755" s="1" t="s">
        <v>355</v>
      </c>
      <c r="H755" s="1" t="s">
        <v>76</v>
      </c>
      <c r="I755" s="1" t="s">
        <v>3720</v>
      </c>
      <c r="J755" s="1" t="s">
        <v>82</v>
      </c>
    </row>
    <row r="756" spans="1:10" x14ac:dyDescent="0.25">
      <c r="A756" s="1" t="s">
        <v>4540</v>
      </c>
      <c r="B756" s="19">
        <v>46182</v>
      </c>
      <c r="C756" s="1" t="s">
        <v>758</v>
      </c>
      <c r="D756" s="1" t="s">
        <v>21</v>
      </c>
      <c r="E756" s="1" t="s">
        <v>81</v>
      </c>
      <c r="F756" s="1">
        <v>5802</v>
      </c>
      <c r="G756" s="1" t="s">
        <v>345</v>
      </c>
      <c r="H756" s="1" t="s">
        <v>76</v>
      </c>
      <c r="I756" s="1" t="s">
        <v>3720</v>
      </c>
      <c r="J756" s="1" t="s">
        <v>78</v>
      </c>
    </row>
    <row r="757" spans="1:10" x14ac:dyDescent="0.25">
      <c r="A757" s="1" t="s">
        <v>4541</v>
      </c>
      <c r="B757" s="19">
        <v>46182</v>
      </c>
      <c r="C757" s="1" t="s">
        <v>758</v>
      </c>
      <c r="D757" s="1" t="s">
        <v>21</v>
      </c>
      <c r="E757" s="1" t="s">
        <v>81</v>
      </c>
      <c r="F757" s="1">
        <v>5802</v>
      </c>
      <c r="G757" s="1" t="s">
        <v>361</v>
      </c>
      <c r="H757" s="1" t="s">
        <v>79</v>
      </c>
      <c r="I757" s="1" t="s">
        <v>3720</v>
      </c>
      <c r="J757" s="1" t="s">
        <v>4112</v>
      </c>
    </row>
    <row r="758" spans="1:10" x14ac:dyDescent="0.25">
      <c r="A758" s="1" t="s">
        <v>4542</v>
      </c>
      <c r="B758" s="19">
        <v>46182</v>
      </c>
      <c r="C758" s="1" t="s">
        <v>759</v>
      </c>
      <c r="D758" s="1" t="s">
        <v>21</v>
      </c>
      <c r="E758" s="1" t="s">
        <v>81</v>
      </c>
      <c r="F758" s="1">
        <v>5803</v>
      </c>
      <c r="G758" s="1" t="s">
        <v>355</v>
      </c>
      <c r="H758" s="1" t="s">
        <v>76</v>
      </c>
      <c r="I758" s="1" t="s">
        <v>3720</v>
      </c>
      <c r="J758" s="1" t="s">
        <v>82</v>
      </c>
    </row>
    <row r="759" spans="1:10" x14ac:dyDescent="0.25">
      <c r="A759" s="1" t="s">
        <v>4543</v>
      </c>
      <c r="B759" s="19">
        <v>46182</v>
      </c>
      <c r="C759" s="1" t="s">
        <v>759</v>
      </c>
      <c r="D759" s="1" t="s">
        <v>21</v>
      </c>
      <c r="E759" s="1" t="s">
        <v>81</v>
      </c>
      <c r="F759" s="1">
        <v>5803</v>
      </c>
      <c r="G759" s="1" t="s">
        <v>345</v>
      </c>
      <c r="H759" s="1" t="s">
        <v>76</v>
      </c>
      <c r="I759" s="1" t="s">
        <v>3720</v>
      </c>
      <c r="J759" s="1" t="s">
        <v>78</v>
      </c>
    </row>
    <row r="760" spans="1:10" x14ac:dyDescent="0.25">
      <c r="A760" s="1" t="s">
        <v>4544</v>
      </c>
      <c r="B760" s="19">
        <v>46182</v>
      </c>
      <c r="C760" s="1" t="s">
        <v>759</v>
      </c>
      <c r="D760" s="1" t="s">
        <v>21</v>
      </c>
      <c r="E760" s="1" t="s">
        <v>81</v>
      </c>
      <c r="F760" s="1">
        <v>5803</v>
      </c>
      <c r="G760" s="1" t="s">
        <v>361</v>
      </c>
      <c r="H760" s="1" t="s">
        <v>79</v>
      </c>
      <c r="I760" s="1" t="s">
        <v>3720</v>
      </c>
      <c r="J760" s="1" t="s">
        <v>4112</v>
      </c>
    </row>
    <row r="761" spans="1:10" x14ac:dyDescent="0.25">
      <c r="A761" s="1" t="s">
        <v>4545</v>
      </c>
      <c r="B761" s="19">
        <v>46182</v>
      </c>
      <c r="C761" s="1" t="s">
        <v>760</v>
      </c>
      <c r="D761" s="1" t="s">
        <v>21</v>
      </c>
      <c r="E761" s="1" t="s">
        <v>81</v>
      </c>
      <c r="F761" s="1">
        <v>5804</v>
      </c>
      <c r="G761" s="1" t="s">
        <v>355</v>
      </c>
      <c r="H761" s="1" t="s">
        <v>76</v>
      </c>
      <c r="I761" s="1" t="s">
        <v>3720</v>
      </c>
      <c r="J761" s="1" t="s">
        <v>82</v>
      </c>
    </row>
    <row r="762" spans="1:10" x14ac:dyDescent="0.25">
      <c r="A762" s="1" t="s">
        <v>4546</v>
      </c>
      <c r="B762" s="19">
        <v>46182</v>
      </c>
      <c r="C762" s="1" t="s">
        <v>760</v>
      </c>
      <c r="D762" s="1" t="s">
        <v>21</v>
      </c>
      <c r="E762" s="1" t="s">
        <v>81</v>
      </c>
      <c r="F762" s="1">
        <v>5804</v>
      </c>
      <c r="G762" s="1" t="s">
        <v>345</v>
      </c>
      <c r="H762" s="1" t="s">
        <v>76</v>
      </c>
      <c r="I762" s="1" t="s">
        <v>3720</v>
      </c>
      <c r="J762" s="1" t="s">
        <v>78</v>
      </c>
    </row>
    <row r="763" spans="1:10" x14ac:dyDescent="0.25">
      <c r="A763" s="1" t="s">
        <v>4547</v>
      </c>
      <c r="B763" s="19">
        <v>46182</v>
      </c>
      <c r="C763" s="1" t="s">
        <v>760</v>
      </c>
      <c r="D763" s="1" t="s">
        <v>21</v>
      </c>
      <c r="E763" s="1" t="s">
        <v>81</v>
      </c>
      <c r="F763" s="1">
        <v>5804</v>
      </c>
      <c r="G763" s="1" t="s">
        <v>361</v>
      </c>
      <c r="H763" s="1" t="s">
        <v>79</v>
      </c>
      <c r="I763" s="1" t="s">
        <v>3720</v>
      </c>
      <c r="J763" s="1" t="s">
        <v>4112</v>
      </c>
    </row>
    <row r="764" spans="1:10" x14ac:dyDescent="0.25">
      <c r="A764" s="1" t="s">
        <v>4548</v>
      </c>
      <c r="B764" s="19">
        <v>46182</v>
      </c>
      <c r="C764" s="1" t="s">
        <v>761</v>
      </c>
      <c r="D764" s="1" t="s">
        <v>21</v>
      </c>
      <c r="E764" s="1" t="s">
        <v>81</v>
      </c>
      <c r="F764" s="1">
        <v>5805</v>
      </c>
      <c r="G764" s="1" t="s">
        <v>355</v>
      </c>
      <c r="H764" s="1" t="s">
        <v>76</v>
      </c>
      <c r="I764" s="1" t="s">
        <v>3720</v>
      </c>
      <c r="J764" s="1" t="s">
        <v>82</v>
      </c>
    </row>
    <row r="765" spans="1:10" x14ac:dyDescent="0.25">
      <c r="A765" s="1" t="s">
        <v>4549</v>
      </c>
      <c r="B765" s="19">
        <v>46182</v>
      </c>
      <c r="C765" s="1" t="s">
        <v>761</v>
      </c>
      <c r="D765" s="1" t="s">
        <v>21</v>
      </c>
      <c r="E765" s="1" t="s">
        <v>81</v>
      </c>
      <c r="F765" s="1">
        <v>5805</v>
      </c>
      <c r="G765" s="1" t="s">
        <v>345</v>
      </c>
      <c r="H765" s="1" t="s">
        <v>76</v>
      </c>
      <c r="I765" s="1" t="s">
        <v>3720</v>
      </c>
      <c r="J765" s="1" t="s">
        <v>78</v>
      </c>
    </row>
    <row r="766" spans="1:10" x14ac:dyDescent="0.25">
      <c r="A766" s="1" t="s">
        <v>4550</v>
      </c>
      <c r="B766" s="19">
        <v>46182</v>
      </c>
      <c r="C766" s="1" t="s">
        <v>761</v>
      </c>
      <c r="D766" s="1" t="s">
        <v>21</v>
      </c>
      <c r="E766" s="1" t="s">
        <v>81</v>
      </c>
      <c r="F766" s="1">
        <v>5805</v>
      </c>
      <c r="G766" s="1" t="s">
        <v>361</v>
      </c>
      <c r="H766" s="1" t="s">
        <v>79</v>
      </c>
      <c r="I766" s="1" t="s">
        <v>3720</v>
      </c>
      <c r="J766" s="1" t="s">
        <v>4112</v>
      </c>
    </row>
    <row r="767" spans="1:10" x14ac:dyDescent="0.25">
      <c r="A767" s="1" t="s">
        <v>4551</v>
      </c>
      <c r="B767" s="19">
        <v>46182</v>
      </c>
      <c r="C767" s="1" t="s">
        <v>762</v>
      </c>
      <c r="D767" s="1" t="s">
        <v>21</v>
      </c>
      <c r="E767" s="1" t="s">
        <v>81</v>
      </c>
      <c r="F767" s="1">
        <v>5806</v>
      </c>
      <c r="G767" s="1" t="s">
        <v>355</v>
      </c>
      <c r="H767" s="1" t="s">
        <v>76</v>
      </c>
      <c r="I767" s="1" t="s">
        <v>3720</v>
      </c>
      <c r="J767" s="1" t="s">
        <v>82</v>
      </c>
    </row>
    <row r="768" spans="1:10" x14ac:dyDescent="0.25">
      <c r="A768" s="1" t="s">
        <v>4552</v>
      </c>
      <c r="B768" s="19">
        <v>46182</v>
      </c>
      <c r="C768" s="1" t="s">
        <v>762</v>
      </c>
      <c r="D768" s="1" t="s">
        <v>21</v>
      </c>
      <c r="E768" s="1" t="s">
        <v>81</v>
      </c>
      <c r="F768" s="1">
        <v>5806</v>
      </c>
      <c r="G768" s="1" t="s">
        <v>345</v>
      </c>
      <c r="H768" s="1" t="s">
        <v>76</v>
      </c>
      <c r="I768" s="1" t="s">
        <v>3720</v>
      </c>
      <c r="J768" s="1" t="s">
        <v>78</v>
      </c>
    </row>
    <row r="769" spans="1:10" x14ac:dyDescent="0.25">
      <c r="A769" s="1" t="s">
        <v>4553</v>
      </c>
      <c r="B769" s="19">
        <v>46182</v>
      </c>
      <c r="C769" s="1" t="s">
        <v>762</v>
      </c>
      <c r="D769" s="1" t="s">
        <v>21</v>
      </c>
      <c r="E769" s="1" t="s">
        <v>81</v>
      </c>
      <c r="F769" s="1">
        <v>5806</v>
      </c>
      <c r="G769" s="1" t="s">
        <v>361</v>
      </c>
      <c r="H769" s="1" t="s">
        <v>79</v>
      </c>
      <c r="I769" s="1" t="s">
        <v>3720</v>
      </c>
      <c r="J769" s="1" t="s">
        <v>4112</v>
      </c>
    </row>
    <row r="770" spans="1:10" x14ac:dyDescent="0.25">
      <c r="A770" s="1" t="s">
        <v>4554</v>
      </c>
      <c r="B770" s="19">
        <v>46182</v>
      </c>
      <c r="C770" s="1" t="s">
        <v>763</v>
      </c>
      <c r="D770" s="1" t="s">
        <v>21</v>
      </c>
      <c r="E770" s="1" t="s">
        <v>81</v>
      </c>
      <c r="F770" s="1">
        <v>5807</v>
      </c>
      <c r="G770" s="1" t="s">
        <v>355</v>
      </c>
      <c r="H770" s="1" t="s">
        <v>76</v>
      </c>
      <c r="I770" s="1" t="s">
        <v>3720</v>
      </c>
      <c r="J770" s="1" t="s">
        <v>82</v>
      </c>
    </row>
    <row r="771" spans="1:10" x14ac:dyDescent="0.25">
      <c r="A771" s="1" t="s">
        <v>4555</v>
      </c>
      <c r="B771" s="19">
        <v>46182</v>
      </c>
      <c r="C771" s="1" t="s">
        <v>763</v>
      </c>
      <c r="D771" s="1" t="s">
        <v>21</v>
      </c>
      <c r="E771" s="1" t="s">
        <v>81</v>
      </c>
      <c r="F771" s="1">
        <v>5807</v>
      </c>
      <c r="G771" s="1" t="s">
        <v>345</v>
      </c>
      <c r="H771" s="1" t="s">
        <v>76</v>
      </c>
      <c r="I771" s="1" t="s">
        <v>3720</v>
      </c>
      <c r="J771" s="1" t="s">
        <v>78</v>
      </c>
    </row>
    <row r="772" spans="1:10" x14ac:dyDescent="0.25">
      <c r="A772" s="1" t="s">
        <v>4556</v>
      </c>
      <c r="B772" s="19">
        <v>46182</v>
      </c>
      <c r="C772" s="1" t="s">
        <v>763</v>
      </c>
      <c r="D772" s="1" t="s">
        <v>21</v>
      </c>
      <c r="E772" s="1" t="s">
        <v>81</v>
      </c>
      <c r="F772" s="1">
        <v>5807</v>
      </c>
      <c r="G772" s="1" t="s">
        <v>361</v>
      </c>
      <c r="H772" s="1" t="s">
        <v>79</v>
      </c>
      <c r="I772" s="1" t="s">
        <v>3720</v>
      </c>
      <c r="J772" s="1" t="s">
        <v>4112</v>
      </c>
    </row>
    <row r="773" spans="1:10" x14ac:dyDescent="0.25">
      <c r="A773" s="1" t="s">
        <v>4557</v>
      </c>
      <c r="B773" s="19">
        <v>46182</v>
      </c>
      <c r="C773" s="1" t="s">
        <v>764</v>
      </c>
      <c r="D773" s="1" t="s">
        <v>21</v>
      </c>
      <c r="E773" s="1" t="s">
        <v>81</v>
      </c>
      <c r="F773" s="1">
        <v>5808</v>
      </c>
      <c r="G773" s="1" t="s">
        <v>355</v>
      </c>
      <c r="H773" s="1" t="s">
        <v>76</v>
      </c>
      <c r="I773" s="1" t="s">
        <v>3720</v>
      </c>
      <c r="J773" s="1" t="s">
        <v>82</v>
      </c>
    </row>
    <row r="774" spans="1:10" x14ac:dyDescent="0.25">
      <c r="A774" s="1" t="s">
        <v>4558</v>
      </c>
      <c r="B774" s="19">
        <v>46182</v>
      </c>
      <c r="C774" s="1" t="s">
        <v>764</v>
      </c>
      <c r="D774" s="1" t="s">
        <v>21</v>
      </c>
      <c r="E774" s="1" t="s">
        <v>81</v>
      </c>
      <c r="F774" s="1">
        <v>5808</v>
      </c>
      <c r="G774" s="1" t="s">
        <v>345</v>
      </c>
      <c r="H774" s="1" t="s">
        <v>76</v>
      </c>
      <c r="I774" s="1" t="s">
        <v>3720</v>
      </c>
      <c r="J774" s="1" t="s">
        <v>78</v>
      </c>
    </row>
    <row r="775" spans="1:10" x14ac:dyDescent="0.25">
      <c r="A775" s="1" t="s">
        <v>4559</v>
      </c>
      <c r="B775" s="19">
        <v>46182</v>
      </c>
      <c r="C775" s="1" t="s">
        <v>764</v>
      </c>
      <c r="D775" s="1" t="s">
        <v>21</v>
      </c>
      <c r="E775" s="1" t="s">
        <v>81</v>
      </c>
      <c r="F775" s="1">
        <v>5808</v>
      </c>
      <c r="G775" s="1" t="s">
        <v>361</v>
      </c>
      <c r="H775" s="1" t="s">
        <v>79</v>
      </c>
      <c r="I775" s="1" t="s">
        <v>3720</v>
      </c>
      <c r="J775" s="1" t="s">
        <v>4112</v>
      </c>
    </row>
    <row r="776" spans="1:10" x14ac:dyDescent="0.25">
      <c r="A776" s="1" t="s">
        <v>4560</v>
      </c>
      <c r="B776" s="19">
        <v>46182</v>
      </c>
      <c r="C776" s="1" t="s">
        <v>765</v>
      </c>
      <c r="D776" s="1" t="s">
        <v>21</v>
      </c>
      <c r="E776" s="1" t="s">
        <v>81</v>
      </c>
      <c r="F776" s="1">
        <v>5809</v>
      </c>
      <c r="G776" s="1" t="s">
        <v>355</v>
      </c>
      <c r="H776" s="1" t="s">
        <v>76</v>
      </c>
      <c r="I776" s="1" t="s">
        <v>3720</v>
      </c>
      <c r="J776" s="1" t="s">
        <v>82</v>
      </c>
    </row>
    <row r="777" spans="1:10" x14ac:dyDescent="0.25">
      <c r="A777" s="1" t="s">
        <v>4561</v>
      </c>
      <c r="B777" s="19">
        <v>46182</v>
      </c>
      <c r="C777" s="1" t="s">
        <v>765</v>
      </c>
      <c r="D777" s="1" t="s">
        <v>21</v>
      </c>
      <c r="E777" s="1" t="s">
        <v>81</v>
      </c>
      <c r="F777" s="1">
        <v>5809</v>
      </c>
      <c r="G777" s="1" t="s">
        <v>345</v>
      </c>
      <c r="H777" s="1" t="s">
        <v>76</v>
      </c>
      <c r="I777" s="1" t="s">
        <v>3720</v>
      </c>
      <c r="J777" s="1" t="s">
        <v>78</v>
      </c>
    </row>
    <row r="778" spans="1:10" x14ac:dyDescent="0.25">
      <c r="A778" s="1" t="s">
        <v>4562</v>
      </c>
      <c r="B778" s="19">
        <v>46182</v>
      </c>
      <c r="C778" s="1" t="s">
        <v>765</v>
      </c>
      <c r="D778" s="1" t="s">
        <v>21</v>
      </c>
      <c r="E778" s="1" t="s">
        <v>81</v>
      </c>
      <c r="F778" s="1">
        <v>5809</v>
      </c>
      <c r="G778" s="1" t="s">
        <v>361</v>
      </c>
      <c r="H778" s="1" t="s">
        <v>79</v>
      </c>
      <c r="I778" s="1" t="s">
        <v>3720</v>
      </c>
      <c r="J778" s="1" t="s">
        <v>4112</v>
      </c>
    </row>
    <row r="779" spans="1:10" x14ac:dyDescent="0.25">
      <c r="A779" s="1" t="s">
        <v>4563</v>
      </c>
      <c r="B779" s="19">
        <v>46182</v>
      </c>
      <c r="C779" s="1" t="s">
        <v>766</v>
      </c>
      <c r="D779" s="1" t="s">
        <v>21</v>
      </c>
      <c r="E779" s="1" t="s">
        <v>81</v>
      </c>
      <c r="F779" s="1">
        <v>5810</v>
      </c>
      <c r="G779" s="1" t="s">
        <v>355</v>
      </c>
      <c r="H779" s="1" t="s">
        <v>76</v>
      </c>
      <c r="I779" s="1" t="s">
        <v>3720</v>
      </c>
      <c r="J779" s="1" t="s">
        <v>82</v>
      </c>
    </row>
    <row r="780" spans="1:10" x14ac:dyDescent="0.25">
      <c r="A780" s="1" t="s">
        <v>4564</v>
      </c>
      <c r="B780" s="19">
        <v>46182</v>
      </c>
      <c r="C780" s="1" t="s">
        <v>766</v>
      </c>
      <c r="D780" s="1" t="s">
        <v>21</v>
      </c>
      <c r="E780" s="1" t="s">
        <v>81</v>
      </c>
      <c r="F780" s="1">
        <v>5810</v>
      </c>
      <c r="G780" s="1" t="s">
        <v>345</v>
      </c>
      <c r="H780" s="1" t="s">
        <v>76</v>
      </c>
      <c r="I780" s="1" t="s">
        <v>3720</v>
      </c>
      <c r="J780" s="1" t="s">
        <v>78</v>
      </c>
    </row>
    <row r="781" spans="1:10" x14ac:dyDescent="0.25">
      <c r="A781" s="1" t="s">
        <v>4565</v>
      </c>
      <c r="B781" s="19">
        <v>46182</v>
      </c>
      <c r="C781" s="1" t="s">
        <v>766</v>
      </c>
      <c r="D781" s="1" t="s">
        <v>21</v>
      </c>
      <c r="E781" s="1" t="s">
        <v>81</v>
      </c>
      <c r="F781" s="1">
        <v>5810</v>
      </c>
      <c r="G781" s="1" t="s">
        <v>361</v>
      </c>
      <c r="H781" s="1" t="s">
        <v>79</v>
      </c>
      <c r="I781" s="1" t="s">
        <v>3720</v>
      </c>
      <c r="J781" s="1" t="s">
        <v>4112</v>
      </c>
    </row>
    <row r="782" spans="1:10" x14ac:dyDescent="0.25">
      <c r="A782" s="1" t="s">
        <v>4566</v>
      </c>
      <c r="B782" s="19">
        <v>46182</v>
      </c>
      <c r="C782" s="1" t="s">
        <v>767</v>
      </c>
      <c r="D782" s="1" t="s">
        <v>21</v>
      </c>
      <c r="E782" s="1" t="s">
        <v>81</v>
      </c>
      <c r="F782" s="1">
        <v>5811</v>
      </c>
      <c r="G782" s="1" t="s">
        <v>355</v>
      </c>
      <c r="H782" s="1" t="s">
        <v>76</v>
      </c>
      <c r="I782" s="1" t="s">
        <v>3720</v>
      </c>
      <c r="J782" s="1" t="s">
        <v>82</v>
      </c>
    </row>
    <row r="783" spans="1:10" x14ac:dyDescent="0.25">
      <c r="A783" s="1" t="s">
        <v>4567</v>
      </c>
      <c r="B783" s="19">
        <v>46182</v>
      </c>
      <c r="C783" s="1" t="s">
        <v>767</v>
      </c>
      <c r="D783" s="1" t="s">
        <v>21</v>
      </c>
      <c r="E783" s="1" t="s">
        <v>81</v>
      </c>
      <c r="F783" s="1">
        <v>5811</v>
      </c>
      <c r="G783" s="1" t="s">
        <v>345</v>
      </c>
      <c r="H783" s="1" t="s">
        <v>76</v>
      </c>
      <c r="I783" s="1" t="s">
        <v>3720</v>
      </c>
      <c r="J783" s="1" t="s">
        <v>78</v>
      </c>
    </row>
    <row r="784" spans="1:10" x14ac:dyDescent="0.25">
      <c r="A784" s="1" t="s">
        <v>4568</v>
      </c>
      <c r="B784" s="19">
        <v>46182</v>
      </c>
      <c r="C784" s="1" t="s">
        <v>767</v>
      </c>
      <c r="D784" s="1" t="s">
        <v>21</v>
      </c>
      <c r="E784" s="1" t="s">
        <v>81</v>
      </c>
      <c r="F784" s="1">
        <v>5811</v>
      </c>
      <c r="G784" s="1" t="s">
        <v>361</v>
      </c>
      <c r="H784" s="1" t="s">
        <v>79</v>
      </c>
      <c r="I784" s="1" t="s">
        <v>3720</v>
      </c>
      <c r="J784" s="1" t="s">
        <v>4112</v>
      </c>
    </row>
    <row r="785" spans="1:10" x14ac:dyDescent="0.25">
      <c r="A785" s="1" t="s">
        <v>4569</v>
      </c>
      <c r="B785" s="19">
        <v>46182</v>
      </c>
      <c r="C785" s="1" t="s">
        <v>768</v>
      </c>
      <c r="D785" s="1" t="s">
        <v>21</v>
      </c>
      <c r="E785" s="1" t="s">
        <v>81</v>
      </c>
      <c r="F785" s="1">
        <v>5812</v>
      </c>
      <c r="G785" s="1" t="s">
        <v>355</v>
      </c>
      <c r="H785" s="1" t="s">
        <v>76</v>
      </c>
      <c r="I785" s="1" t="s">
        <v>3720</v>
      </c>
      <c r="J785" s="1" t="s">
        <v>82</v>
      </c>
    </row>
    <row r="786" spans="1:10" x14ac:dyDescent="0.25">
      <c r="A786" s="1" t="s">
        <v>4570</v>
      </c>
      <c r="B786" s="19">
        <v>46182</v>
      </c>
      <c r="C786" s="1" t="s">
        <v>768</v>
      </c>
      <c r="D786" s="1" t="s">
        <v>21</v>
      </c>
      <c r="E786" s="1" t="s">
        <v>81</v>
      </c>
      <c r="F786" s="1">
        <v>5812</v>
      </c>
      <c r="G786" s="1" t="s">
        <v>345</v>
      </c>
      <c r="H786" s="1" t="s">
        <v>76</v>
      </c>
      <c r="I786" s="1" t="s">
        <v>3720</v>
      </c>
      <c r="J786" s="1" t="s">
        <v>78</v>
      </c>
    </row>
    <row r="787" spans="1:10" x14ac:dyDescent="0.25">
      <c r="A787" s="1" t="s">
        <v>4571</v>
      </c>
      <c r="B787" s="19">
        <v>46182</v>
      </c>
      <c r="C787" s="1" t="s">
        <v>768</v>
      </c>
      <c r="D787" s="1" t="s">
        <v>21</v>
      </c>
      <c r="E787" s="1" t="s">
        <v>81</v>
      </c>
      <c r="F787" s="1">
        <v>5812</v>
      </c>
      <c r="G787" s="1" t="s">
        <v>361</v>
      </c>
      <c r="H787" s="1" t="s">
        <v>79</v>
      </c>
      <c r="I787" s="1" t="s">
        <v>3720</v>
      </c>
      <c r="J787" s="1" t="s">
        <v>4112</v>
      </c>
    </row>
    <row r="788" spans="1:10" x14ac:dyDescent="0.25">
      <c r="A788" s="1" t="s">
        <v>4572</v>
      </c>
      <c r="B788" s="19">
        <v>46182</v>
      </c>
      <c r="C788" s="1" t="s">
        <v>769</v>
      </c>
      <c r="D788" s="1" t="s">
        <v>21</v>
      </c>
      <c r="E788" s="1" t="s">
        <v>81</v>
      </c>
      <c r="F788" s="1">
        <v>5813</v>
      </c>
      <c r="G788" s="1" t="s">
        <v>355</v>
      </c>
      <c r="H788" s="1" t="s">
        <v>76</v>
      </c>
      <c r="I788" s="1" t="s">
        <v>3720</v>
      </c>
      <c r="J788" s="1" t="s">
        <v>82</v>
      </c>
    </row>
    <row r="789" spans="1:10" x14ac:dyDescent="0.25">
      <c r="A789" s="1" t="s">
        <v>4573</v>
      </c>
      <c r="B789" s="19">
        <v>46182</v>
      </c>
      <c r="C789" s="1" t="s">
        <v>769</v>
      </c>
      <c r="D789" s="1" t="s">
        <v>21</v>
      </c>
      <c r="E789" s="1" t="s">
        <v>81</v>
      </c>
      <c r="F789" s="1">
        <v>5813</v>
      </c>
      <c r="G789" s="1" t="s">
        <v>345</v>
      </c>
      <c r="H789" s="1" t="s">
        <v>76</v>
      </c>
      <c r="I789" s="1" t="s">
        <v>3720</v>
      </c>
      <c r="J789" s="1" t="s">
        <v>78</v>
      </c>
    </row>
    <row r="790" spans="1:10" x14ac:dyDescent="0.25">
      <c r="A790" s="1" t="s">
        <v>4574</v>
      </c>
      <c r="B790" s="19">
        <v>46182</v>
      </c>
      <c r="C790" s="1" t="s">
        <v>769</v>
      </c>
      <c r="D790" s="1" t="s">
        <v>21</v>
      </c>
      <c r="E790" s="1" t="s">
        <v>81</v>
      </c>
      <c r="F790" s="1">
        <v>5813</v>
      </c>
      <c r="G790" s="1" t="s">
        <v>361</v>
      </c>
      <c r="H790" s="1" t="s">
        <v>79</v>
      </c>
      <c r="I790" s="1" t="s">
        <v>3720</v>
      </c>
      <c r="J790" s="1" t="s">
        <v>4112</v>
      </c>
    </row>
    <row r="791" spans="1:10" x14ac:dyDescent="0.25">
      <c r="A791" s="1" t="s">
        <v>4575</v>
      </c>
      <c r="B791" s="19">
        <v>46182</v>
      </c>
      <c r="C791" s="1" t="s">
        <v>770</v>
      </c>
      <c r="D791" s="1" t="s">
        <v>21</v>
      </c>
      <c r="E791" s="1" t="s">
        <v>81</v>
      </c>
      <c r="F791" s="1">
        <v>5814</v>
      </c>
      <c r="G791" s="1" t="s">
        <v>355</v>
      </c>
      <c r="H791" s="1" t="s">
        <v>76</v>
      </c>
      <c r="I791" s="1" t="s">
        <v>3720</v>
      </c>
      <c r="J791" s="1" t="s">
        <v>82</v>
      </c>
    </row>
    <row r="792" spans="1:10" x14ac:dyDescent="0.25">
      <c r="A792" s="1" t="s">
        <v>4576</v>
      </c>
      <c r="B792" s="19">
        <v>46182</v>
      </c>
      <c r="C792" s="1" t="s">
        <v>770</v>
      </c>
      <c r="D792" s="1" t="s">
        <v>21</v>
      </c>
      <c r="E792" s="1" t="s">
        <v>81</v>
      </c>
      <c r="F792" s="1">
        <v>5814</v>
      </c>
      <c r="G792" s="1" t="s">
        <v>345</v>
      </c>
      <c r="H792" s="1" t="s">
        <v>76</v>
      </c>
      <c r="I792" s="1" t="s">
        <v>3720</v>
      </c>
      <c r="J792" s="1" t="s">
        <v>78</v>
      </c>
    </row>
    <row r="793" spans="1:10" x14ac:dyDescent="0.25">
      <c r="A793" s="1" t="s">
        <v>4577</v>
      </c>
      <c r="B793" s="19">
        <v>46182</v>
      </c>
      <c r="C793" s="1" t="s">
        <v>770</v>
      </c>
      <c r="D793" s="1" t="s">
        <v>21</v>
      </c>
      <c r="E793" s="1" t="s">
        <v>81</v>
      </c>
      <c r="F793" s="1">
        <v>5814</v>
      </c>
      <c r="G793" s="1" t="s">
        <v>361</v>
      </c>
      <c r="H793" s="1" t="s">
        <v>79</v>
      </c>
      <c r="I793" s="1" t="s">
        <v>3720</v>
      </c>
      <c r="J793" s="1" t="s">
        <v>4112</v>
      </c>
    </row>
    <row r="794" spans="1:10" x14ac:dyDescent="0.25">
      <c r="A794" s="1" t="s">
        <v>4578</v>
      </c>
      <c r="B794" s="19">
        <v>46182</v>
      </c>
      <c r="C794" s="1" t="s">
        <v>771</v>
      </c>
      <c r="D794" s="1" t="s">
        <v>21</v>
      </c>
      <c r="E794" s="1" t="s">
        <v>81</v>
      </c>
      <c r="F794" s="1">
        <v>5815</v>
      </c>
      <c r="G794" s="1" t="s">
        <v>355</v>
      </c>
      <c r="H794" s="1" t="s">
        <v>76</v>
      </c>
      <c r="I794" s="1" t="s">
        <v>3720</v>
      </c>
      <c r="J794" s="1" t="s">
        <v>82</v>
      </c>
    </row>
    <row r="795" spans="1:10" x14ac:dyDescent="0.25">
      <c r="A795" s="1" t="s">
        <v>4579</v>
      </c>
      <c r="B795" s="19">
        <v>46182</v>
      </c>
      <c r="C795" s="1" t="s">
        <v>771</v>
      </c>
      <c r="D795" s="1" t="s">
        <v>21</v>
      </c>
      <c r="E795" s="1" t="s">
        <v>81</v>
      </c>
      <c r="F795" s="1">
        <v>5815</v>
      </c>
      <c r="G795" s="1" t="s">
        <v>345</v>
      </c>
      <c r="H795" s="1" t="s">
        <v>76</v>
      </c>
      <c r="I795" s="1" t="s">
        <v>3720</v>
      </c>
      <c r="J795" s="1" t="s">
        <v>78</v>
      </c>
    </row>
    <row r="796" spans="1:10" x14ac:dyDescent="0.25">
      <c r="A796" s="1" t="s">
        <v>4580</v>
      </c>
      <c r="B796" s="19">
        <v>46182</v>
      </c>
      <c r="C796" s="1" t="s">
        <v>771</v>
      </c>
      <c r="D796" s="1" t="s">
        <v>21</v>
      </c>
      <c r="E796" s="1" t="s">
        <v>81</v>
      </c>
      <c r="F796" s="1">
        <v>5815</v>
      </c>
      <c r="G796" s="1" t="s">
        <v>361</v>
      </c>
      <c r="H796" s="1" t="s">
        <v>79</v>
      </c>
      <c r="I796" s="1" t="s">
        <v>3720</v>
      </c>
      <c r="J796" s="1" t="s">
        <v>4112</v>
      </c>
    </row>
    <row r="797" spans="1:10" x14ac:dyDescent="0.25">
      <c r="A797" s="1" t="s">
        <v>4581</v>
      </c>
      <c r="B797" s="19">
        <v>46182</v>
      </c>
      <c r="C797" s="1" t="s">
        <v>772</v>
      </c>
      <c r="D797" s="1" t="s">
        <v>21</v>
      </c>
      <c r="E797" s="1" t="s">
        <v>81</v>
      </c>
      <c r="F797" s="1">
        <v>5816</v>
      </c>
      <c r="G797" s="1" t="s">
        <v>355</v>
      </c>
      <c r="H797" s="1" t="s">
        <v>76</v>
      </c>
      <c r="I797" s="1" t="s">
        <v>3720</v>
      </c>
      <c r="J797" s="1" t="s">
        <v>82</v>
      </c>
    </row>
    <row r="798" spans="1:10" x14ac:dyDescent="0.25">
      <c r="A798" s="1" t="s">
        <v>4582</v>
      </c>
      <c r="B798" s="19">
        <v>46182</v>
      </c>
      <c r="C798" s="1" t="s">
        <v>772</v>
      </c>
      <c r="D798" s="1" t="s">
        <v>21</v>
      </c>
      <c r="E798" s="1" t="s">
        <v>81</v>
      </c>
      <c r="F798" s="1">
        <v>5816</v>
      </c>
      <c r="G798" s="1" t="s">
        <v>345</v>
      </c>
      <c r="H798" s="1" t="s">
        <v>76</v>
      </c>
      <c r="I798" s="1" t="s">
        <v>3720</v>
      </c>
      <c r="J798" s="1" t="s">
        <v>78</v>
      </c>
    </row>
    <row r="799" spans="1:10" x14ac:dyDescent="0.25">
      <c r="A799" s="1" t="s">
        <v>4583</v>
      </c>
      <c r="B799" s="19">
        <v>46182</v>
      </c>
      <c r="C799" s="1" t="s">
        <v>772</v>
      </c>
      <c r="D799" s="1" t="s">
        <v>21</v>
      </c>
      <c r="E799" s="1" t="s">
        <v>81</v>
      </c>
      <c r="F799" s="1">
        <v>5816</v>
      </c>
      <c r="G799" s="1" t="s">
        <v>361</v>
      </c>
      <c r="H799" s="1" t="s">
        <v>79</v>
      </c>
      <c r="I799" s="1" t="s">
        <v>3720</v>
      </c>
      <c r="J799" s="1" t="s">
        <v>4112</v>
      </c>
    </row>
    <row r="800" spans="1:10" x14ac:dyDescent="0.25">
      <c r="A800" s="1" t="s">
        <v>4584</v>
      </c>
      <c r="B800" s="19">
        <v>46182</v>
      </c>
      <c r="C800" s="1" t="s">
        <v>773</v>
      </c>
      <c r="D800" s="1" t="s">
        <v>21</v>
      </c>
      <c r="E800" s="1" t="s">
        <v>81</v>
      </c>
      <c r="F800" s="1">
        <v>5817</v>
      </c>
      <c r="G800" s="1" t="s">
        <v>355</v>
      </c>
      <c r="H800" s="1" t="s">
        <v>76</v>
      </c>
      <c r="I800" s="1" t="s">
        <v>3720</v>
      </c>
      <c r="J800" s="1" t="s">
        <v>82</v>
      </c>
    </row>
    <row r="801" spans="1:10" x14ac:dyDescent="0.25">
      <c r="A801" s="1" t="s">
        <v>4585</v>
      </c>
      <c r="B801" s="19">
        <v>46182</v>
      </c>
      <c r="C801" s="1" t="s">
        <v>773</v>
      </c>
      <c r="D801" s="1" t="s">
        <v>21</v>
      </c>
      <c r="E801" s="1" t="s">
        <v>81</v>
      </c>
      <c r="F801" s="1">
        <v>5817</v>
      </c>
      <c r="G801" s="1" t="s">
        <v>345</v>
      </c>
      <c r="H801" s="1" t="s">
        <v>76</v>
      </c>
      <c r="I801" s="1" t="s">
        <v>3720</v>
      </c>
      <c r="J801" s="1" t="s">
        <v>78</v>
      </c>
    </row>
    <row r="802" spans="1:10" x14ac:dyDescent="0.25">
      <c r="A802" s="1" t="s">
        <v>4586</v>
      </c>
      <c r="B802" s="19">
        <v>46182</v>
      </c>
      <c r="C802" s="1" t="s">
        <v>773</v>
      </c>
      <c r="D802" s="1" t="s">
        <v>21</v>
      </c>
      <c r="E802" s="1" t="s">
        <v>81</v>
      </c>
      <c r="F802" s="1">
        <v>5817</v>
      </c>
      <c r="G802" s="1" t="s">
        <v>361</v>
      </c>
      <c r="H802" s="1" t="s">
        <v>79</v>
      </c>
      <c r="I802" s="1" t="s">
        <v>3720</v>
      </c>
      <c r="J802" s="1" t="s">
        <v>4112</v>
      </c>
    </row>
    <row r="803" spans="1:10" x14ac:dyDescent="0.25">
      <c r="A803" s="1" t="s">
        <v>4587</v>
      </c>
      <c r="B803" s="19">
        <v>46182</v>
      </c>
      <c r="C803" s="1" t="s">
        <v>774</v>
      </c>
      <c r="D803" s="1" t="s">
        <v>21</v>
      </c>
      <c r="E803" s="1" t="s">
        <v>81</v>
      </c>
      <c r="F803" s="1">
        <v>5818</v>
      </c>
      <c r="G803" s="1" t="s">
        <v>355</v>
      </c>
      <c r="H803" s="1" t="s">
        <v>76</v>
      </c>
      <c r="I803" s="1" t="s">
        <v>3720</v>
      </c>
      <c r="J803" s="1" t="s">
        <v>82</v>
      </c>
    </row>
    <row r="804" spans="1:10" x14ac:dyDescent="0.25">
      <c r="A804" s="1" t="s">
        <v>4588</v>
      </c>
      <c r="B804" s="19">
        <v>46182</v>
      </c>
      <c r="C804" s="1" t="s">
        <v>774</v>
      </c>
      <c r="D804" s="1" t="s">
        <v>21</v>
      </c>
      <c r="E804" s="1" t="s">
        <v>81</v>
      </c>
      <c r="F804" s="1">
        <v>5818</v>
      </c>
      <c r="G804" s="1" t="s">
        <v>345</v>
      </c>
      <c r="H804" s="1" t="s">
        <v>76</v>
      </c>
      <c r="I804" s="1" t="s">
        <v>3720</v>
      </c>
      <c r="J804" s="1" t="s">
        <v>78</v>
      </c>
    </row>
    <row r="805" spans="1:10" x14ac:dyDescent="0.25">
      <c r="A805" s="1" t="s">
        <v>4589</v>
      </c>
      <c r="B805" s="19">
        <v>46182</v>
      </c>
      <c r="C805" s="1" t="s">
        <v>774</v>
      </c>
      <c r="D805" s="1" t="s">
        <v>21</v>
      </c>
      <c r="E805" s="1" t="s">
        <v>81</v>
      </c>
      <c r="F805" s="1">
        <v>5818</v>
      </c>
      <c r="G805" s="1" t="s">
        <v>361</v>
      </c>
      <c r="H805" s="1" t="s">
        <v>79</v>
      </c>
      <c r="I805" s="1" t="s">
        <v>3720</v>
      </c>
      <c r="J805" s="1" t="s">
        <v>4112</v>
      </c>
    </row>
    <row r="806" spans="1:10" x14ac:dyDescent="0.25">
      <c r="A806" s="1" t="s">
        <v>4590</v>
      </c>
      <c r="B806" s="19">
        <v>46182</v>
      </c>
      <c r="C806" s="1" t="s">
        <v>775</v>
      </c>
      <c r="D806" s="1" t="s">
        <v>21</v>
      </c>
      <c r="E806" s="1" t="s">
        <v>81</v>
      </c>
      <c r="F806" s="1">
        <v>5819</v>
      </c>
      <c r="G806" s="1" t="s">
        <v>355</v>
      </c>
      <c r="H806" s="1" t="s">
        <v>76</v>
      </c>
      <c r="I806" s="1" t="s">
        <v>3720</v>
      </c>
      <c r="J806" s="1" t="s">
        <v>82</v>
      </c>
    </row>
    <row r="807" spans="1:10" x14ac:dyDescent="0.25">
      <c r="A807" s="1" t="s">
        <v>4591</v>
      </c>
      <c r="B807" s="19">
        <v>46182</v>
      </c>
      <c r="C807" s="1" t="s">
        <v>775</v>
      </c>
      <c r="D807" s="1" t="s">
        <v>21</v>
      </c>
      <c r="E807" s="1" t="s">
        <v>81</v>
      </c>
      <c r="F807" s="1">
        <v>5819</v>
      </c>
      <c r="G807" s="1" t="s">
        <v>345</v>
      </c>
      <c r="H807" s="1" t="s">
        <v>76</v>
      </c>
      <c r="I807" s="1" t="s">
        <v>3720</v>
      </c>
      <c r="J807" s="1" t="s">
        <v>78</v>
      </c>
    </row>
    <row r="808" spans="1:10" x14ac:dyDescent="0.25">
      <c r="A808" s="1" t="s">
        <v>4592</v>
      </c>
      <c r="B808" s="19">
        <v>46182</v>
      </c>
      <c r="C808" s="1" t="s">
        <v>775</v>
      </c>
      <c r="D808" s="1" t="s">
        <v>21</v>
      </c>
      <c r="E808" s="1" t="s">
        <v>81</v>
      </c>
      <c r="F808" s="1">
        <v>5819</v>
      </c>
      <c r="G808" s="1" t="s">
        <v>361</v>
      </c>
      <c r="H808" s="1" t="s">
        <v>79</v>
      </c>
      <c r="I808" s="1" t="s">
        <v>3720</v>
      </c>
      <c r="J808" s="1" t="s">
        <v>4112</v>
      </c>
    </row>
    <row r="809" spans="1:10" x14ac:dyDescent="0.25">
      <c r="A809" s="1" t="s">
        <v>4593</v>
      </c>
      <c r="B809" s="19">
        <v>46182</v>
      </c>
      <c r="C809" s="1" t="s">
        <v>776</v>
      </c>
      <c r="D809" s="1" t="s">
        <v>21</v>
      </c>
      <c r="E809" s="1" t="s">
        <v>81</v>
      </c>
      <c r="F809" s="1">
        <v>5820</v>
      </c>
      <c r="G809" s="1" t="s">
        <v>355</v>
      </c>
      <c r="H809" s="1" t="s">
        <v>76</v>
      </c>
      <c r="I809" s="1" t="s">
        <v>3720</v>
      </c>
      <c r="J809" s="1" t="s">
        <v>82</v>
      </c>
    </row>
    <row r="810" spans="1:10" x14ac:dyDescent="0.25">
      <c r="A810" s="1" t="s">
        <v>4594</v>
      </c>
      <c r="B810" s="19">
        <v>46182</v>
      </c>
      <c r="C810" s="1" t="s">
        <v>776</v>
      </c>
      <c r="D810" s="1" t="s">
        <v>21</v>
      </c>
      <c r="E810" s="1" t="s">
        <v>81</v>
      </c>
      <c r="F810" s="1">
        <v>5820</v>
      </c>
      <c r="G810" s="1" t="s">
        <v>345</v>
      </c>
      <c r="H810" s="1" t="s">
        <v>76</v>
      </c>
      <c r="I810" s="1" t="s">
        <v>3720</v>
      </c>
      <c r="J810" s="1" t="s">
        <v>78</v>
      </c>
    </row>
    <row r="811" spans="1:10" x14ac:dyDescent="0.25">
      <c r="A811" s="1" t="s">
        <v>4595</v>
      </c>
      <c r="B811" s="19">
        <v>46182</v>
      </c>
      <c r="C811" s="1" t="s">
        <v>776</v>
      </c>
      <c r="D811" s="1" t="s">
        <v>21</v>
      </c>
      <c r="E811" s="1" t="s">
        <v>81</v>
      </c>
      <c r="F811" s="1">
        <v>5820</v>
      </c>
      <c r="G811" s="1" t="s">
        <v>361</v>
      </c>
      <c r="H811" s="1" t="s">
        <v>79</v>
      </c>
      <c r="I811" s="1" t="s">
        <v>3720</v>
      </c>
      <c r="J811" s="1" t="s">
        <v>4112</v>
      </c>
    </row>
    <row r="812" spans="1:10" x14ac:dyDescent="0.25">
      <c r="A812" s="1" t="s">
        <v>4596</v>
      </c>
      <c r="B812" s="19">
        <v>46182</v>
      </c>
      <c r="C812" s="1" t="s">
        <v>777</v>
      </c>
      <c r="D812" s="1" t="s">
        <v>21</v>
      </c>
      <c r="E812" s="1" t="s">
        <v>81</v>
      </c>
      <c r="F812" s="1">
        <v>5821</v>
      </c>
      <c r="G812" s="1" t="s">
        <v>355</v>
      </c>
      <c r="H812" s="1" t="s">
        <v>76</v>
      </c>
      <c r="I812" s="1" t="s">
        <v>3720</v>
      </c>
      <c r="J812" s="1" t="s">
        <v>82</v>
      </c>
    </row>
    <row r="813" spans="1:10" x14ac:dyDescent="0.25">
      <c r="A813" s="1" t="s">
        <v>4597</v>
      </c>
      <c r="B813" s="19">
        <v>46182</v>
      </c>
      <c r="C813" s="1" t="s">
        <v>777</v>
      </c>
      <c r="D813" s="1" t="s">
        <v>21</v>
      </c>
      <c r="E813" s="1" t="s">
        <v>81</v>
      </c>
      <c r="F813" s="1">
        <v>5821</v>
      </c>
      <c r="G813" s="1" t="s">
        <v>345</v>
      </c>
      <c r="H813" s="1" t="s">
        <v>76</v>
      </c>
      <c r="I813" s="1" t="s">
        <v>3720</v>
      </c>
      <c r="J813" s="1" t="s">
        <v>78</v>
      </c>
    </row>
    <row r="814" spans="1:10" x14ac:dyDescent="0.25">
      <c r="A814" s="1" t="s">
        <v>4598</v>
      </c>
      <c r="B814" s="19">
        <v>46182</v>
      </c>
      <c r="C814" s="1" t="s">
        <v>777</v>
      </c>
      <c r="D814" s="1" t="s">
        <v>21</v>
      </c>
      <c r="E814" s="1" t="s">
        <v>81</v>
      </c>
      <c r="F814" s="1">
        <v>5821</v>
      </c>
      <c r="G814" s="1" t="s">
        <v>361</v>
      </c>
      <c r="H814" s="1" t="s">
        <v>79</v>
      </c>
      <c r="I814" s="1" t="s">
        <v>3720</v>
      </c>
      <c r="J814" s="1" t="s">
        <v>4112</v>
      </c>
    </row>
    <row r="815" spans="1:10" x14ac:dyDescent="0.25">
      <c r="A815" s="1" t="s">
        <v>4599</v>
      </c>
      <c r="B815" s="19">
        <v>46182</v>
      </c>
      <c r="C815" s="1" t="s">
        <v>778</v>
      </c>
      <c r="D815" s="1" t="s">
        <v>21</v>
      </c>
      <c r="E815" s="1" t="s">
        <v>81</v>
      </c>
      <c r="F815" s="1">
        <v>5822</v>
      </c>
      <c r="G815" s="1" t="s">
        <v>355</v>
      </c>
      <c r="H815" s="1" t="s">
        <v>76</v>
      </c>
      <c r="I815" s="1" t="s">
        <v>3720</v>
      </c>
      <c r="J815" s="1" t="s">
        <v>82</v>
      </c>
    </row>
    <row r="816" spans="1:10" x14ac:dyDescent="0.25">
      <c r="A816" s="1" t="s">
        <v>4600</v>
      </c>
      <c r="B816" s="19">
        <v>46182</v>
      </c>
      <c r="C816" s="1" t="s">
        <v>778</v>
      </c>
      <c r="D816" s="1" t="s">
        <v>21</v>
      </c>
      <c r="E816" s="1" t="s">
        <v>81</v>
      </c>
      <c r="F816" s="1">
        <v>5822</v>
      </c>
      <c r="G816" s="1" t="s">
        <v>345</v>
      </c>
      <c r="H816" s="1" t="s">
        <v>76</v>
      </c>
      <c r="I816" s="1" t="s">
        <v>3720</v>
      </c>
      <c r="J816" s="1" t="s">
        <v>78</v>
      </c>
    </row>
    <row r="817" spans="1:10" x14ac:dyDescent="0.25">
      <c r="A817" s="1" t="s">
        <v>4601</v>
      </c>
      <c r="B817" s="19">
        <v>46182</v>
      </c>
      <c r="C817" s="1" t="s">
        <v>778</v>
      </c>
      <c r="D817" s="1" t="s">
        <v>21</v>
      </c>
      <c r="E817" s="1" t="s">
        <v>81</v>
      </c>
      <c r="F817" s="1">
        <v>5822</v>
      </c>
      <c r="G817" s="1" t="s">
        <v>361</v>
      </c>
      <c r="H817" s="1" t="s">
        <v>79</v>
      </c>
      <c r="I817" s="1" t="s">
        <v>3720</v>
      </c>
      <c r="J817" s="1" t="s">
        <v>4112</v>
      </c>
    </row>
    <row r="818" spans="1:10" x14ac:dyDescent="0.25">
      <c r="A818" s="1" t="s">
        <v>4602</v>
      </c>
      <c r="B818" s="19">
        <v>46182</v>
      </c>
      <c r="C818" s="1" t="s">
        <v>779</v>
      </c>
      <c r="D818" s="1" t="s">
        <v>21</v>
      </c>
      <c r="E818" s="1" t="s">
        <v>81</v>
      </c>
      <c r="F818" s="1">
        <v>5823</v>
      </c>
      <c r="G818" s="1" t="s">
        <v>355</v>
      </c>
      <c r="H818" s="1" t="s">
        <v>76</v>
      </c>
      <c r="I818" s="1" t="s">
        <v>3720</v>
      </c>
      <c r="J818" s="1" t="s">
        <v>82</v>
      </c>
    </row>
    <row r="819" spans="1:10" x14ac:dyDescent="0.25">
      <c r="A819" s="1" t="s">
        <v>4603</v>
      </c>
      <c r="B819" s="19">
        <v>46182</v>
      </c>
      <c r="C819" s="1" t="s">
        <v>779</v>
      </c>
      <c r="D819" s="1" t="s">
        <v>21</v>
      </c>
      <c r="E819" s="1" t="s">
        <v>81</v>
      </c>
      <c r="F819" s="1">
        <v>5823</v>
      </c>
      <c r="G819" s="1" t="s">
        <v>345</v>
      </c>
      <c r="H819" s="1" t="s">
        <v>76</v>
      </c>
      <c r="I819" s="1" t="s">
        <v>3720</v>
      </c>
      <c r="J819" s="1" t="s">
        <v>78</v>
      </c>
    </row>
    <row r="820" spans="1:10" x14ac:dyDescent="0.25">
      <c r="A820" s="1" t="s">
        <v>4604</v>
      </c>
      <c r="B820" s="19">
        <v>46182</v>
      </c>
      <c r="C820" s="1" t="s">
        <v>779</v>
      </c>
      <c r="D820" s="1" t="s">
        <v>21</v>
      </c>
      <c r="E820" s="1" t="s">
        <v>81</v>
      </c>
      <c r="F820" s="1">
        <v>5823</v>
      </c>
      <c r="G820" s="1" t="s">
        <v>361</v>
      </c>
      <c r="H820" s="1" t="s">
        <v>79</v>
      </c>
      <c r="I820" s="1" t="s">
        <v>3720</v>
      </c>
      <c r="J820" s="1" t="s">
        <v>4112</v>
      </c>
    </row>
    <row r="821" spans="1:10" x14ac:dyDescent="0.25">
      <c r="A821" s="1" t="s">
        <v>4605</v>
      </c>
      <c r="B821" s="19">
        <v>46182</v>
      </c>
      <c r="C821" s="1" t="s">
        <v>780</v>
      </c>
      <c r="D821" s="1" t="s">
        <v>21</v>
      </c>
      <c r="E821" s="1" t="s">
        <v>81</v>
      </c>
      <c r="F821" s="1">
        <v>5824</v>
      </c>
      <c r="G821" s="1" t="s">
        <v>355</v>
      </c>
      <c r="H821" s="1" t="s">
        <v>76</v>
      </c>
      <c r="I821" s="1" t="s">
        <v>3720</v>
      </c>
      <c r="J821" s="1" t="s">
        <v>82</v>
      </c>
    </row>
    <row r="822" spans="1:10" x14ac:dyDescent="0.25">
      <c r="A822" s="1" t="s">
        <v>4606</v>
      </c>
      <c r="B822" s="19">
        <v>46182</v>
      </c>
      <c r="C822" s="1" t="s">
        <v>780</v>
      </c>
      <c r="D822" s="1" t="s">
        <v>21</v>
      </c>
      <c r="E822" s="1" t="s">
        <v>81</v>
      </c>
      <c r="F822" s="1">
        <v>5824</v>
      </c>
      <c r="G822" s="1" t="s">
        <v>345</v>
      </c>
      <c r="H822" s="1" t="s">
        <v>76</v>
      </c>
      <c r="I822" s="1" t="s">
        <v>3720</v>
      </c>
      <c r="J822" s="1" t="s">
        <v>78</v>
      </c>
    </row>
    <row r="823" spans="1:10" x14ac:dyDescent="0.25">
      <c r="A823" s="1" t="s">
        <v>4607</v>
      </c>
      <c r="B823" s="19">
        <v>46182</v>
      </c>
      <c r="C823" s="1" t="s">
        <v>780</v>
      </c>
      <c r="D823" s="1" t="s">
        <v>21</v>
      </c>
      <c r="E823" s="1" t="s">
        <v>81</v>
      </c>
      <c r="F823" s="1">
        <v>5824</v>
      </c>
      <c r="G823" s="1" t="s">
        <v>361</v>
      </c>
      <c r="H823" s="1" t="s">
        <v>79</v>
      </c>
      <c r="I823" s="1" t="s">
        <v>3720</v>
      </c>
      <c r="J823" s="1" t="s">
        <v>4112</v>
      </c>
    </row>
    <row r="824" spans="1:10" x14ac:dyDescent="0.25">
      <c r="A824" s="1" t="s">
        <v>4608</v>
      </c>
      <c r="B824" s="19">
        <v>46182</v>
      </c>
      <c r="C824" s="1" t="s">
        <v>781</v>
      </c>
      <c r="D824" s="1" t="s">
        <v>21</v>
      </c>
      <c r="E824" s="1" t="s">
        <v>81</v>
      </c>
      <c r="F824" s="1">
        <v>5825</v>
      </c>
      <c r="G824" s="1" t="s">
        <v>355</v>
      </c>
      <c r="H824" s="1" t="s">
        <v>76</v>
      </c>
      <c r="I824" s="1" t="s">
        <v>3720</v>
      </c>
      <c r="J824" s="1" t="s">
        <v>82</v>
      </c>
    </row>
    <row r="825" spans="1:10" x14ac:dyDescent="0.25">
      <c r="A825" s="1" t="s">
        <v>4609</v>
      </c>
      <c r="B825" s="19">
        <v>46182</v>
      </c>
      <c r="C825" s="1" t="s">
        <v>781</v>
      </c>
      <c r="D825" s="1" t="s">
        <v>21</v>
      </c>
      <c r="E825" s="1" t="s">
        <v>81</v>
      </c>
      <c r="F825" s="1">
        <v>5825</v>
      </c>
      <c r="G825" s="1" t="s">
        <v>345</v>
      </c>
      <c r="H825" s="1" t="s">
        <v>76</v>
      </c>
      <c r="I825" s="1" t="s">
        <v>3720</v>
      </c>
      <c r="J825" s="1" t="s">
        <v>78</v>
      </c>
    </row>
    <row r="826" spans="1:10" x14ac:dyDescent="0.25">
      <c r="A826" s="1" t="s">
        <v>4610</v>
      </c>
      <c r="B826" s="19">
        <v>46182</v>
      </c>
      <c r="C826" s="1" t="s">
        <v>781</v>
      </c>
      <c r="D826" s="1" t="s">
        <v>21</v>
      </c>
      <c r="E826" s="1" t="s">
        <v>81</v>
      </c>
      <c r="F826" s="1">
        <v>5825</v>
      </c>
      <c r="G826" s="1" t="s">
        <v>361</v>
      </c>
      <c r="H826" s="1" t="s">
        <v>79</v>
      </c>
      <c r="I826" s="1" t="s">
        <v>3720</v>
      </c>
      <c r="J826" s="1" t="s">
        <v>4112</v>
      </c>
    </row>
    <row r="827" spans="1:10" x14ac:dyDescent="0.25">
      <c r="A827" s="1" t="s">
        <v>4611</v>
      </c>
      <c r="B827" s="19">
        <v>46182</v>
      </c>
      <c r="C827" s="1" t="s">
        <v>782</v>
      </c>
      <c r="D827" s="1" t="s">
        <v>21</v>
      </c>
      <c r="E827" s="1" t="s">
        <v>81</v>
      </c>
      <c r="F827" s="1">
        <v>5826</v>
      </c>
      <c r="G827" s="1" t="s">
        <v>355</v>
      </c>
      <c r="H827" s="1" t="s">
        <v>76</v>
      </c>
      <c r="I827" s="1" t="s">
        <v>3720</v>
      </c>
      <c r="J827" s="1" t="s">
        <v>82</v>
      </c>
    </row>
    <row r="828" spans="1:10" x14ac:dyDescent="0.25">
      <c r="A828" s="1" t="s">
        <v>4612</v>
      </c>
      <c r="B828" s="19">
        <v>46182</v>
      </c>
      <c r="C828" s="1" t="s">
        <v>782</v>
      </c>
      <c r="D828" s="1" t="s">
        <v>21</v>
      </c>
      <c r="E828" s="1" t="s">
        <v>81</v>
      </c>
      <c r="F828" s="1">
        <v>5826</v>
      </c>
      <c r="G828" s="1" t="s">
        <v>345</v>
      </c>
      <c r="H828" s="1" t="s">
        <v>76</v>
      </c>
      <c r="I828" s="1" t="s">
        <v>3720</v>
      </c>
      <c r="J828" s="1" t="s">
        <v>78</v>
      </c>
    </row>
    <row r="829" spans="1:10" x14ac:dyDescent="0.25">
      <c r="A829" s="1" t="s">
        <v>4613</v>
      </c>
      <c r="B829" s="19">
        <v>46182</v>
      </c>
      <c r="C829" s="1" t="s">
        <v>782</v>
      </c>
      <c r="D829" s="1" t="s">
        <v>21</v>
      </c>
      <c r="E829" s="1" t="s">
        <v>81</v>
      </c>
      <c r="F829" s="1">
        <v>5826</v>
      </c>
      <c r="G829" s="1" t="s">
        <v>361</v>
      </c>
      <c r="H829" s="1" t="s">
        <v>79</v>
      </c>
      <c r="I829" s="1" t="s">
        <v>3720</v>
      </c>
      <c r="J829" s="1" t="s">
        <v>4112</v>
      </c>
    </row>
    <row r="830" spans="1:10" x14ac:dyDescent="0.25">
      <c r="A830" s="1" t="s">
        <v>4614</v>
      </c>
      <c r="B830" s="19">
        <v>46182</v>
      </c>
      <c r="C830" s="1" t="s">
        <v>783</v>
      </c>
      <c r="D830" s="1" t="s">
        <v>21</v>
      </c>
      <c r="E830" s="1" t="s">
        <v>81</v>
      </c>
      <c r="F830" s="1">
        <v>5827</v>
      </c>
      <c r="G830" s="1" t="s">
        <v>355</v>
      </c>
      <c r="H830" s="1" t="s">
        <v>76</v>
      </c>
      <c r="I830" s="1" t="s">
        <v>3720</v>
      </c>
      <c r="J830" s="1" t="s">
        <v>82</v>
      </c>
    </row>
    <row r="831" spans="1:10" x14ac:dyDescent="0.25">
      <c r="A831" s="1" t="s">
        <v>4615</v>
      </c>
      <c r="B831" s="19">
        <v>46182</v>
      </c>
      <c r="C831" s="1" t="s">
        <v>783</v>
      </c>
      <c r="D831" s="1" t="s">
        <v>21</v>
      </c>
      <c r="E831" s="1" t="s">
        <v>81</v>
      </c>
      <c r="F831" s="1">
        <v>5827</v>
      </c>
      <c r="G831" s="1" t="s">
        <v>345</v>
      </c>
      <c r="H831" s="1" t="s">
        <v>76</v>
      </c>
      <c r="I831" s="1" t="s">
        <v>3720</v>
      </c>
      <c r="J831" s="1" t="s">
        <v>78</v>
      </c>
    </row>
    <row r="832" spans="1:10" x14ac:dyDescent="0.25">
      <c r="A832" s="1" t="s">
        <v>4616</v>
      </c>
      <c r="B832" s="19">
        <v>46182</v>
      </c>
      <c r="C832" s="1" t="s">
        <v>783</v>
      </c>
      <c r="D832" s="1" t="s">
        <v>21</v>
      </c>
      <c r="E832" s="1" t="s">
        <v>81</v>
      </c>
      <c r="F832" s="1">
        <v>5827</v>
      </c>
      <c r="G832" s="1" t="s">
        <v>361</v>
      </c>
      <c r="H832" s="1" t="s">
        <v>79</v>
      </c>
      <c r="I832" s="1" t="s">
        <v>3720</v>
      </c>
      <c r="J832" s="1" t="s">
        <v>4112</v>
      </c>
    </row>
    <row r="833" spans="1:10" x14ac:dyDescent="0.25">
      <c r="A833" s="1" t="s">
        <v>4617</v>
      </c>
      <c r="B833" s="19">
        <v>46182</v>
      </c>
      <c r="C833" s="1" t="s">
        <v>784</v>
      </c>
      <c r="D833" s="1" t="s">
        <v>21</v>
      </c>
      <c r="E833" s="1" t="s">
        <v>81</v>
      </c>
      <c r="F833" s="1">
        <v>5828</v>
      </c>
      <c r="G833" s="1" t="s">
        <v>355</v>
      </c>
      <c r="H833" s="1" t="s">
        <v>76</v>
      </c>
      <c r="I833" s="1" t="s">
        <v>3720</v>
      </c>
      <c r="J833" s="1" t="s">
        <v>82</v>
      </c>
    </row>
    <row r="834" spans="1:10" x14ac:dyDescent="0.25">
      <c r="A834" s="1" t="s">
        <v>4618</v>
      </c>
      <c r="B834" s="19">
        <v>46182</v>
      </c>
      <c r="C834" s="1" t="s">
        <v>784</v>
      </c>
      <c r="D834" s="1" t="s">
        <v>21</v>
      </c>
      <c r="E834" s="1" t="s">
        <v>81</v>
      </c>
      <c r="F834" s="1">
        <v>5828</v>
      </c>
      <c r="G834" s="1" t="s">
        <v>345</v>
      </c>
      <c r="H834" s="1" t="s">
        <v>76</v>
      </c>
      <c r="I834" s="1" t="s">
        <v>3720</v>
      </c>
      <c r="J834" s="1" t="s">
        <v>78</v>
      </c>
    </row>
    <row r="835" spans="1:10" x14ac:dyDescent="0.25">
      <c r="A835" s="1" t="s">
        <v>4619</v>
      </c>
      <c r="B835" s="19">
        <v>46182</v>
      </c>
      <c r="C835" s="1" t="s">
        <v>784</v>
      </c>
      <c r="D835" s="1" t="s">
        <v>21</v>
      </c>
      <c r="E835" s="1" t="s">
        <v>81</v>
      </c>
      <c r="F835" s="1">
        <v>5828</v>
      </c>
      <c r="G835" s="1" t="s">
        <v>361</v>
      </c>
      <c r="H835" s="1" t="s">
        <v>79</v>
      </c>
      <c r="I835" s="1" t="s">
        <v>3720</v>
      </c>
      <c r="J835" s="1" t="s">
        <v>4112</v>
      </c>
    </row>
    <row r="836" spans="1:10" x14ac:dyDescent="0.25">
      <c r="A836" s="1" t="s">
        <v>4620</v>
      </c>
      <c r="B836" s="19">
        <v>46182</v>
      </c>
      <c r="C836" s="1" t="s">
        <v>785</v>
      </c>
      <c r="D836" s="1" t="s">
        <v>21</v>
      </c>
      <c r="E836" s="1" t="s">
        <v>81</v>
      </c>
      <c r="F836" s="1">
        <v>5829</v>
      </c>
      <c r="G836" s="1" t="s">
        <v>355</v>
      </c>
      <c r="H836" s="1" t="s">
        <v>76</v>
      </c>
      <c r="I836" s="1" t="s">
        <v>3720</v>
      </c>
      <c r="J836" s="1" t="s">
        <v>82</v>
      </c>
    </row>
    <row r="837" spans="1:10" x14ac:dyDescent="0.25">
      <c r="A837" s="1" t="s">
        <v>4621</v>
      </c>
      <c r="B837" s="19">
        <v>46182</v>
      </c>
      <c r="C837" s="1" t="s">
        <v>785</v>
      </c>
      <c r="D837" s="1" t="s">
        <v>21</v>
      </c>
      <c r="E837" s="1" t="s">
        <v>81</v>
      </c>
      <c r="F837" s="1">
        <v>5829</v>
      </c>
      <c r="G837" s="1" t="s">
        <v>345</v>
      </c>
      <c r="H837" s="1" t="s">
        <v>76</v>
      </c>
      <c r="I837" s="1" t="s">
        <v>3720</v>
      </c>
      <c r="J837" s="1" t="s">
        <v>78</v>
      </c>
    </row>
    <row r="838" spans="1:10" x14ac:dyDescent="0.25">
      <c r="A838" s="1" t="s">
        <v>4622</v>
      </c>
      <c r="B838" s="19">
        <v>46182</v>
      </c>
      <c r="C838" s="1" t="s">
        <v>785</v>
      </c>
      <c r="D838" s="1" t="s">
        <v>21</v>
      </c>
      <c r="E838" s="1" t="s">
        <v>81</v>
      </c>
      <c r="F838" s="1">
        <v>5829</v>
      </c>
      <c r="G838" s="1" t="s">
        <v>361</v>
      </c>
      <c r="H838" s="1" t="s">
        <v>79</v>
      </c>
      <c r="I838" s="1" t="s">
        <v>3720</v>
      </c>
      <c r="J838" s="1" t="s">
        <v>4112</v>
      </c>
    </row>
    <row r="839" spans="1:10" x14ac:dyDescent="0.25">
      <c r="A839" s="1" t="s">
        <v>4623</v>
      </c>
      <c r="B839" s="19">
        <v>46182</v>
      </c>
      <c r="C839" s="1" t="s">
        <v>786</v>
      </c>
      <c r="D839" s="1" t="s">
        <v>21</v>
      </c>
      <c r="E839" s="1" t="s">
        <v>81</v>
      </c>
      <c r="F839" s="1">
        <v>5830</v>
      </c>
      <c r="G839" s="1" t="s">
        <v>355</v>
      </c>
      <c r="H839" s="1" t="s">
        <v>76</v>
      </c>
      <c r="I839" s="1" t="s">
        <v>3720</v>
      </c>
      <c r="J839" s="1" t="s">
        <v>82</v>
      </c>
    </row>
    <row r="840" spans="1:10" x14ac:dyDescent="0.25">
      <c r="A840" s="1" t="s">
        <v>4624</v>
      </c>
      <c r="B840" s="19">
        <v>46182</v>
      </c>
      <c r="C840" s="1" t="s">
        <v>786</v>
      </c>
      <c r="D840" s="1" t="s">
        <v>21</v>
      </c>
      <c r="E840" s="1" t="s">
        <v>81</v>
      </c>
      <c r="F840" s="1">
        <v>5830</v>
      </c>
      <c r="G840" s="1" t="s">
        <v>345</v>
      </c>
      <c r="H840" s="1" t="s">
        <v>76</v>
      </c>
      <c r="I840" s="1" t="s">
        <v>3720</v>
      </c>
      <c r="J840" s="1" t="s">
        <v>78</v>
      </c>
    </row>
    <row r="841" spans="1:10" x14ac:dyDescent="0.25">
      <c r="A841" s="1" t="s">
        <v>4625</v>
      </c>
      <c r="B841" s="19">
        <v>46182</v>
      </c>
      <c r="C841" s="1" t="s">
        <v>786</v>
      </c>
      <c r="D841" s="1" t="s">
        <v>21</v>
      </c>
      <c r="E841" s="1" t="s">
        <v>81</v>
      </c>
      <c r="F841" s="1">
        <v>5830</v>
      </c>
      <c r="G841" s="1" t="s">
        <v>361</v>
      </c>
      <c r="H841" s="1" t="s">
        <v>79</v>
      </c>
      <c r="I841" s="1" t="s">
        <v>3720</v>
      </c>
      <c r="J841" s="1" t="s">
        <v>4112</v>
      </c>
    </row>
    <row r="842" spans="1:10" x14ac:dyDescent="0.25">
      <c r="A842" s="1" t="s">
        <v>4626</v>
      </c>
      <c r="B842" s="19">
        <v>46182</v>
      </c>
      <c r="C842" s="1" t="s">
        <v>787</v>
      </c>
      <c r="D842" s="1" t="s">
        <v>21</v>
      </c>
      <c r="E842" s="1" t="s">
        <v>81</v>
      </c>
      <c r="F842" s="1">
        <v>5831</v>
      </c>
      <c r="G842" s="1" t="s">
        <v>355</v>
      </c>
      <c r="H842" s="1" t="s">
        <v>76</v>
      </c>
      <c r="I842" s="1" t="s">
        <v>3720</v>
      </c>
      <c r="J842" s="1" t="s">
        <v>82</v>
      </c>
    </row>
    <row r="843" spans="1:10" x14ac:dyDescent="0.25">
      <c r="A843" s="1" t="s">
        <v>4627</v>
      </c>
      <c r="B843" s="19">
        <v>46182</v>
      </c>
      <c r="C843" s="1" t="s">
        <v>787</v>
      </c>
      <c r="D843" s="1" t="s">
        <v>21</v>
      </c>
      <c r="E843" s="1" t="s">
        <v>81</v>
      </c>
      <c r="F843" s="1">
        <v>5831</v>
      </c>
      <c r="G843" s="1" t="s">
        <v>345</v>
      </c>
      <c r="H843" s="1" t="s">
        <v>76</v>
      </c>
      <c r="I843" s="1" t="s">
        <v>3720</v>
      </c>
      <c r="J843" s="1" t="s">
        <v>78</v>
      </c>
    </row>
    <row r="844" spans="1:10" x14ac:dyDescent="0.25">
      <c r="A844" s="1" t="s">
        <v>4628</v>
      </c>
      <c r="B844" s="19">
        <v>46182</v>
      </c>
      <c r="C844" s="1" t="s">
        <v>787</v>
      </c>
      <c r="D844" s="1" t="s">
        <v>21</v>
      </c>
      <c r="E844" s="1" t="s">
        <v>81</v>
      </c>
      <c r="F844" s="1">
        <v>5831</v>
      </c>
      <c r="G844" s="1" t="s">
        <v>361</v>
      </c>
      <c r="H844" s="1" t="s">
        <v>79</v>
      </c>
      <c r="I844" s="1" t="s">
        <v>3720</v>
      </c>
      <c r="J844" s="1" t="s">
        <v>4112</v>
      </c>
    </row>
    <row r="845" spans="1:10" x14ac:dyDescent="0.25">
      <c r="A845" s="1" t="s">
        <v>4629</v>
      </c>
      <c r="B845" s="19">
        <v>46182</v>
      </c>
      <c r="C845" s="1" t="s">
        <v>788</v>
      </c>
      <c r="D845" s="1" t="s">
        <v>21</v>
      </c>
      <c r="E845" s="1" t="s">
        <v>81</v>
      </c>
      <c r="F845" s="1">
        <v>5832</v>
      </c>
      <c r="G845" s="1" t="s">
        <v>355</v>
      </c>
      <c r="H845" s="1" t="s">
        <v>76</v>
      </c>
      <c r="I845" s="1" t="s">
        <v>3720</v>
      </c>
      <c r="J845" s="1" t="s">
        <v>82</v>
      </c>
    </row>
    <row r="846" spans="1:10" x14ac:dyDescent="0.25">
      <c r="A846" s="1" t="s">
        <v>4630</v>
      </c>
      <c r="B846" s="19">
        <v>46182</v>
      </c>
      <c r="C846" s="1" t="s">
        <v>788</v>
      </c>
      <c r="D846" s="1" t="s">
        <v>21</v>
      </c>
      <c r="E846" s="1" t="s">
        <v>81</v>
      </c>
      <c r="F846" s="1">
        <v>5832</v>
      </c>
      <c r="G846" s="1" t="s">
        <v>345</v>
      </c>
      <c r="H846" s="1" t="s">
        <v>76</v>
      </c>
      <c r="I846" s="1" t="s">
        <v>3720</v>
      </c>
      <c r="J846" s="1" t="s">
        <v>78</v>
      </c>
    </row>
    <row r="847" spans="1:10" x14ac:dyDescent="0.25">
      <c r="A847" s="1" t="s">
        <v>4631</v>
      </c>
      <c r="B847" s="19">
        <v>46182</v>
      </c>
      <c r="C847" s="1" t="s">
        <v>788</v>
      </c>
      <c r="D847" s="1" t="s">
        <v>21</v>
      </c>
      <c r="E847" s="1" t="s">
        <v>81</v>
      </c>
      <c r="F847" s="1">
        <v>5832</v>
      </c>
      <c r="G847" s="1" t="s">
        <v>361</v>
      </c>
      <c r="H847" s="1" t="s">
        <v>79</v>
      </c>
      <c r="I847" s="1" t="s">
        <v>3720</v>
      </c>
      <c r="J847" s="1" t="s">
        <v>4112</v>
      </c>
    </row>
    <row r="848" spans="1:10" x14ac:dyDescent="0.25">
      <c r="A848" s="1" t="s">
        <v>4632</v>
      </c>
      <c r="B848" s="19">
        <v>46182</v>
      </c>
      <c r="C848" s="1" t="s">
        <v>789</v>
      </c>
      <c r="D848" s="1" t="s">
        <v>21</v>
      </c>
      <c r="E848" s="1" t="s">
        <v>81</v>
      </c>
      <c r="F848" s="1">
        <v>5833</v>
      </c>
      <c r="G848" s="1" t="s">
        <v>355</v>
      </c>
      <c r="H848" s="1" t="s">
        <v>76</v>
      </c>
      <c r="I848" s="1" t="s">
        <v>3720</v>
      </c>
      <c r="J848" s="1" t="s">
        <v>82</v>
      </c>
    </row>
    <row r="849" spans="1:10" x14ac:dyDescent="0.25">
      <c r="A849" s="1" t="s">
        <v>4633</v>
      </c>
      <c r="B849" s="19">
        <v>46182</v>
      </c>
      <c r="C849" s="1" t="s">
        <v>789</v>
      </c>
      <c r="D849" s="1" t="s">
        <v>21</v>
      </c>
      <c r="E849" s="1" t="s">
        <v>81</v>
      </c>
      <c r="F849" s="1">
        <v>5833</v>
      </c>
      <c r="G849" s="1" t="s">
        <v>345</v>
      </c>
      <c r="H849" s="1" t="s">
        <v>76</v>
      </c>
      <c r="I849" s="1" t="s">
        <v>3720</v>
      </c>
      <c r="J849" s="1" t="s">
        <v>78</v>
      </c>
    </row>
    <row r="850" spans="1:10" x14ac:dyDescent="0.25">
      <c r="A850" s="1" t="s">
        <v>4634</v>
      </c>
      <c r="B850" s="19">
        <v>46182</v>
      </c>
      <c r="C850" s="1" t="s">
        <v>789</v>
      </c>
      <c r="D850" s="1" t="s">
        <v>21</v>
      </c>
      <c r="E850" s="1" t="s">
        <v>81</v>
      </c>
      <c r="F850" s="1">
        <v>5833</v>
      </c>
      <c r="G850" s="1" t="s">
        <v>361</v>
      </c>
      <c r="H850" s="1" t="s">
        <v>79</v>
      </c>
      <c r="I850" s="1" t="s">
        <v>3720</v>
      </c>
      <c r="J850" s="1" t="s">
        <v>4112</v>
      </c>
    </row>
    <row r="851" spans="1:10" x14ac:dyDescent="0.25">
      <c r="A851" s="1" t="s">
        <v>4635</v>
      </c>
      <c r="B851" s="19">
        <v>46182</v>
      </c>
      <c r="C851" s="1" t="s">
        <v>790</v>
      </c>
      <c r="D851" s="1" t="s">
        <v>21</v>
      </c>
      <c r="E851" s="1" t="s">
        <v>81</v>
      </c>
      <c r="F851" s="1">
        <v>5834</v>
      </c>
      <c r="G851" s="1" t="s">
        <v>355</v>
      </c>
      <c r="H851" s="1" t="s">
        <v>76</v>
      </c>
      <c r="I851" s="1" t="s">
        <v>3720</v>
      </c>
      <c r="J851" s="1" t="s">
        <v>82</v>
      </c>
    </row>
    <row r="852" spans="1:10" x14ac:dyDescent="0.25">
      <c r="A852" s="1" t="s">
        <v>4636</v>
      </c>
      <c r="B852" s="19">
        <v>46182</v>
      </c>
      <c r="C852" s="1" t="s">
        <v>790</v>
      </c>
      <c r="D852" s="1" t="s">
        <v>21</v>
      </c>
      <c r="E852" s="1" t="s">
        <v>81</v>
      </c>
      <c r="F852" s="1">
        <v>5834</v>
      </c>
      <c r="G852" s="1" t="s">
        <v>345</v>
      </c>
      <c r="H852" s="1" t="s">
        <v>76</v>
      </c>
      <c r="I852" s="1" t="s">
        <v>3720</v>
      </c>
      <c r="J852" s="1" t="s">
        <v>78</v>
      </c>
    </row>
    <row r="853" spans="1:10" x14ac:dyDescent="0.25">
      <c r="A853" s="1" t="s">
        <v>4637</v>
      </c>
      <c r="B853" s="19">
        <v>46182</v>
      </c>
      <c r="C853" s="1" t="s">
        <v>790</v>
      </c>
      <c r="D853" s="1" t="s">
        <v>21</v>
      </c>
      <c r="E853" s="1" t="s">
        <v>81</v>
      </c>
      <c r="F853" s="1">
        <v>5834</v>
      </c>
      <c r="G853" s="1" t="s">
        <v>361</v>
      </c>
      <c r="H853" s="1" t="s">
        <v>79</v>
      </c>
      <c r="I853" s="1" t="s">
        <v>3720</v>
      </c>
      <c r="J853" s="1" t="s">
        <v>4112</v>
      </c>
    </row>
    <row r="854" spans="1:10" x14ac:dyDescent="0.25">
      <c r="A854" s="1" t="s">
        <v>4638</v>
      </c>
      <c r="B854" s="19">
        <v>46182</v>
      </c>
      <c r="C854" s="1" t="s">
        <v>791</v>
      </c>
      <c r="D854" s="1" t="s">
        <v>21</v>
      </c>
      <c r="E854" s="1" t="s">
        <v>81</v>
      </c>
      <c r="F854" s="1">
        <v>5835</v>
      </c>
      <c r="G854" s="1" t="s">
        <v>355</v>
      </c>
      <c r="H854" s="1" t="s">
        <v>76</v>
      </c>
      <c r="I854" s="1" t="s">
        <v>3720</v>
      </c>
      <c r="J854" s="1" t="s">
        <v>82</v>
      </c>
    </row>
    <row r="855" spans="1:10" x14ac:dyDescent="0.25">
      <c r="A855" s="1" t="s">
        <v>4639</v>
      </c>
      <c r="B855" s="19">
        <v>46182</v>
      </c>
      <c r="C855" s="1" t="s">
        <v>791</v>
      </c>
      <c r="D855" s="1" t="s">
        <v>21</v>
      </c>
      <c r="E855" s="1" t="s">
        <v>81</v>
      </c>
      <c r="F855" s="1">
        <v>5835</v>
      </c>
      <c r="G855" s="1" t="s">
        <v>345</v>
      </c>
      <c r="H855" s="1" t="s">
        <v>76</v>
      </c>
      <c r="I855" s="1" t="s">
        <v>3720</v>
      </c>
      <c r="J855" s="1" t="s">
        <v>78</v>
      </c>
    </row>
    <row r="856" spans="1:10" x14ac:dyDescent="0.25">
      <c r="A856" s="1" t="s">
        <v>4640</v>
      </c>
      <c r="B856" s="19">
        <v>46182</v>
      </c>
      <c r="C856" s="1" t="s">
        <v>791</v>
      </c>
      <c r="D856" s="1" t="s">
        <v>21</v>
      </c>
      <c r="E856" s="1" t="s">
        <v>81</v>
      </c>
      <c r="F856" s="1">
        <v>5835</v>
      </c>
      <c r="G856" s="1" t="s">
        <v>361</v>
      </c>
      <c r="H856" s="1" t="s">
        <v>79</v>
      </c>
      <c r="I856" s="1" t="s">
        <v>3720</v>
      </c>
      <c r="J856" s="1" t="s">
        <v>4112</v>
      </c>
    </row>
    <row r="857" spans="1:10" x14ac:dyDescent="0.25">
      <c r="A857" s="1" t="s">
        <v>4641</v>
      </c>
      <c r="B857" s="19">
        <v>46182</v>
      </c>
      <c r="C857" s="1" t="s">
        <v>792</v>
      </c>
      <c r="D857" s="1" t="s">
        <v>21</v>
      </c>
      <c r="E857" s="1" t="s">
        <v>81</v>
      </c>
      <c r="F857" s="1">
        <v>5836</v>
      </c>
      <c r="G857" s="1" t="s">
        <v>355</v>
      </c>
      <c r="H857" s="1" t="s">
        <v>76</v>
      </c>
      <c r="I857" s="1" t="s">
        <v>3720</v>
      </c>
      <c r="J857" s="1" t="s">
        <v>82</v>
      </c>
    </row>
    <row r="858" spans="1:10" x14ac:dyDescent="0.25">
      <c r="A858" s="1" t="s">
        <v>4642</v>
      </c>
      <c r="B858" s="19">
        <v>46182</v>
      </c>
      <c r="C858" s="1" t="s">
        <v>792</v>
      </c>
      <c r="D858" s="1" t="s">
        <v>21</v>
      </c>
      <c r="E858" s="1" t="s">
        <v>81</v>
      </c>
      <c r="F858" s="1">
        <v>5836</v>
      </c>
      <c r="G858" s="1" t="s">
        <v>345</v>
      </c>
      <c r="H858" s="1" t="s">
        <v>76</v>
      </c>
      <c r="I858" s="1" t="s">
        <v>3720</v>
      </c>
      <c r="J858" s="1" t="s">
        <v>78</v>
      </c>
    </row>
    <row r="859" spans="1:10" x14ac:dyDescent="0.25">
      <c r="A859" s="1" t="s">
        <v>4643</v>
      </c>
      <c r="B859" s="19">
        <v>46182</v>
      </c>
      <c r="C859" s="1" t="s">
        <v>792</v>
      </c>
      <c r="D859" s="1" t="s">
        <v>21</v>
      </c>
      <c r="E859" s="1" t="s">
        <v>81</v>
      </c>
      <c r="F859" s="1">
        <v>5836</v>
      </c>
      <c r="G859" s="1" t="s">
        <v>361</v>
      </c>
      <c r="H859" s="1" t="s">
        <v>79</v>
      </c>
      <c r="I859" s="1" t="s">
        <v>3720</v>
      </c>
      <c r="J859" s="1" t="s">
        <v>4112</v>
      </c>
    </row>
    <row r="860" spans="1:10" x14ac:dyDescent="0.25">
      <c r="A860" s="1" t="s">
        <v>4644</v>
      </c>
      <c r="B860" s="19">
        <v>46182</v>
      </c>
      <c r="C860" s="1" t="s">
        <v>793</v>
      </c>
      <c r="D860" s="1" t="s">
        <v>21</v>
      </c>
      <c r="E860" s="1" t="s">
        <v>81</v>
      </c>
      <c r="F860" s="1">
        <v>5837</v>
      </c>
      <c r="G860" s="1" t="s">
        <v>355</v>
      </c>
      <c r="H860" s="1" t="s">
        <v>76</v>
      </c>
      <c r="I860" s="1" t="s">
        <v>3720</v>
      </c>
      <c r="J860" s="1" t="s">
        <v>82</v>
      </c>
    </row>
    <row r="861" spans="1:10" x14ac:dyDescent="0.25">
      <c r="A861" s="1" t="s">
        <v>4645</v>
      </c>
      <c r="B861" s="19">
        <v>46182</v>
      </c>
      <c r="C861" s="1" t="s">
        <v>793</v>
      </c>
      <c r="D861" s="1" t="s">
        <v>21</v>
      </c>
      <c r="E861" s="1" t="s">
        <v>81</v>
      </c>
      <c r="F861" s="1">
        <v>5837</v>
      </c>
      <c r="G861" s="1" t="s">
        <v>345</v>
      </c>
      <c r="H861" s="1" t="s">
        <v>76</v>
      </c>
      <c r="I861" s="1" t="s">
        <v>3720</v>
      </c>
      <c r="J861" s="1" t="s">
        <v>78</v>
      </c>
    </row>
    <row r="862" spans="1:10" x14ac:dyDescent="0.25">
      <c r="A862" s="1" t="s">
        <v>4646</v>
      </c>
      <c r="B862" s="19">
        <v>46182</v>
      </c>
      <c r="C862" s="1" t="s">
        <v>793</v>
      </c>
      <c r="D862" s="1" t="s">
        <v>21</v>
      </c>
      <c r="E862" s="1" t="s">
        <v>81</v>
      </c>
      <c r="F862" s="1">
        <v>5837</v>
      </c>
      <c r="G862" s="1" t="s">
        <v>361</v>
      </c>
      <c r="H862" s="1" t="s">
        <v>79</v>
      </c>
      <c r="I862" s="1" t="s">
        <v>3720</v>
      </c>
      <c r="J862" s="1" t="s">
        <v>4112</v>
      </c>
    </row>
    <row r="863" spans="1:10" x14ac:dyDescent="0.25">
      <c r="A863" s="1" t="s">
        <v>4647</v>
      </c>
      <c r="B863" s="19">
        <v>46182</v>
      </c>
      <c r="C863" s="1" t="s">
        <v>794</v>
      </c>
      <c r="D863" s="1" t="s">
        <v>21</v>
      </c>
      <c r="E863" s="1" t="s">
        <v>81</v>
      </c>
      <c r="F863" s="1">
        <v>5838</v>
      </c>
      <c r="G863" s="1" t="s">
        <v>355</v>
      </c>
      <c r="H863" s="1" t="s">
        <v>76</v>
      </c>
      <c r="I863" s="1" t="s">
        <v>3720</v>
      </c>
      <c r="J863" s="1" t="s">
        <v>82</v>
      </c>
    </row>
    <row r="864" spans="1:10" x14ac:dyDescent="0.25">
      <c r="A864" s="1" t="s">
        <v>4648</v>
      </c>
      <c r="B864" s="19">
        <v>46182</v>
      </c>
      <c r="C864" s="1" t="s">
        <v>794</v>
      </c>
      <c r="D864" s="1" t="s">
        <v>21</v>
      </c>
      <c r="E864" s="1" t="s">
        <v>81</v>
      </c>
      <c r="F864" s="1">
        <v>5838</v>
      </c>
      <c r="G864" s="1" t="s">
        <v>345</v>
      </c>
      <c r="H864" s="1" t="s">
        <v>76</v>
      </c>
      <c r="I864" s="1" t="s">
        <v>3720</v>
      </c>
      <c r="J864" s="1" t="s">
        <v>78</v>
      </c>
    </row>
    <row r="865" spans="1:10" x14ac:dyDescent="0.25">
      <c r="A865" s="1" t="s">
        <v>4649</v>
      </c>
      <c r="B865" s="19">
        <v>46182</v>
      </c>
      <c r="C865" s="1" t="s">
        <v>794</v>
      </c>
      <c r="D865" s="1" t="s">
        <v>21</v>
      </c>
      <c r="E865" s="1" t="s">
        <v>81</v>
      </c>
      <c r="F865" s="1">
        <v>5838</v>
      </c>
      <c r="G865" s="1" t="s">
        <v>361</v>
      </c>
      <c r="H865" s="1" t="s">
        <v>79</v>
      </c>
      <c r="I865" s="1" t="s">
        <v>3720</v>
      </c>
      <c r="J865" s="1" t="s">
        <v>4112</v>
      </c>
    </row>
    <row r="866" spans="1:10" x14ac:dyDescent="0.25">
      <c r="A866" s="1" t="s">
        <v>4650</v>
      </c>
      <c r="B866" s="19">
        <v>46182</v>
      </c>
      <c r="C866" s="1" t="s">
        <v>795</v>
      </c>
      <c r="D866" s="1" t="s">
        <v>21</v>
      </c>
      <c r="E866" s="1" t="s">
        <v>81</v>
      </c>
      <c r="F866" s="1">
        <v>5839</v>
      </c>
      <c r="G866" s="1" t="s">
        <v>355</v>
      </c>
      <c r="H866" s="1" t="s">
        <v>76</v>
      </c>
      <c r="I866" s="1" t="s">
        <v>3720</v>
      </c>
      <c r="J866" s="1" t="s">
        <v>82</v>
      </c>
    </row>
    <row r="867" spans="1:10" x14ac:dyDescent="0.25">
      <c r="A867" s="1" t="s">
        <v>4651</v>
      </c>
      <c r="B867" s="19">
        <v>46182</v>
      </c>
      <c r="C867" s="1" t="s">
        <v>795</v>
      </c>
      <c r="D867" s="1" t="s">
        <v>21</v>
      </c>
      <c r="E867" s="1" t="s">
        <v>81</v>
      </c>
      <c r="F867" s="1">
        <v>5839</v>
      </c>
      <c r="G867" s="1" t="s">
        <v>345</v>
      </c>
      <c r="H867" s="1" t="s">
        <v>76</v>
      </c>
      <c r="I867" s="1" t="s">
        <v>3720</v>
      </c>
      <c r="J867" s="1" t="s">
        <v>78</v>
      </c>
    </row>
    <row r="868" spans="1:10" x14ac:dyDescent="0.25">
      <c r="A868" s="1" t="s">
        <v>4652</v>
      </c>
      <c r="B868" s="19">
        <v>46182</v>
      </c>
      <c r="C868" s="1" t="s">
        <v>795</v>
      </c>
      <c r="D868" s="1" t="s">
        <v>21</v>
      </c>
      <c r="E868" s="1" t="s">
        <v>81</v>
      </c>
      <c r="F868" s="1">
        <v>5839</v>
      </c>
      <c r="G868" s="1" t="s">
        <v>361</v>
      </c>
      <c r="H868" s="1" t="s">
        <v>79</v>
      </c>
      <c r="I868" s="1" t="s">
        <v>3720</v>
      </c>
      <c r="J868" s="1" t="s">
        <v>4112</v>
      </c>
    </row>
    <row r="869" spans="1:10" x14ac:dyDescent="0.25">
      <c r="A869" s="1" t="s">
        <v>4653</v>
      </c>
      <c r="B869" s="19">
        <v>46182</v>
      </c>
      <c r="C869" s="1" t="s">
        <v>796</v>
      </c>
      <c r="D869" s="1" t="s">
        <v>21</v>
      </c>
      <c r="E869" s="1" t="s">
        <v>81</v>
      </c>
      <c r="F869" s="1">
        <v>5840</v>
      </c>
      <c r="G869" s="1" t="s">
        <v>355</v>
      </c>
      <c r="H869" s="1" t="s">
        <v>76</v>
      </c>
      <c r="I869" s="1" t="s">
        <v>3720</v>
      </c>
      <c r="J869" s="1" t="s">
        <v>82</v>
      </c>
    </row>
    <row r="870" spans="1:10" x14ac:dyDescent="0.25">
      <c r="A870" s="1" t="s">
        <v>4654</v>
      </c>
      <c r="B870" s="19">
        <v>46182</v>
      </c>
      <c r="C870" s="1" t="s">
        <v>796</v>
      </c>
      <c r="D870" s="1" t="s">
        <v>21</v>
      </c>
      <c r="E870" s="1" t="s">
        <v>81</v>
      </c>
      <c r="F870" s="1">
        <v>5840</v>
      </c>
      <c r="G870" s="1" t="s">
        <v>345</v>
      </c>
      <c r="H870" s="1" t="s">
        <v>76</v>
      </c>
      <c r="I870" s="1" t="s">
        <v>3720</v>
      </c>
      <c r="J870" s="1" t="s">
        <v>78</v>
      </c>
    </row>
    <row r="871" spans="1:10" x14ac:dyDescent="0.25">
      <c r="A871" s="1" t="s">
        <v>4655</v>
      </c>
      <c r="B871" s="19">
        <v>46182</v>
      </c>
      <c r="C871" s="1" t="s">
        <v>796</v>
      </c>
      <c r="D871" s="1" t="s">
        <v>21</v>
      </c>
      <c r="E871" s="1" t="s">
        <v>81</v>
      </c>
      <c r="F871" s="1">
        <v>5840</v>
      </c>
      <c r="G871" s="1" t="s">
        <v>361</v>
      </c>
      <c r="H871" s="1" t="s">
        <v>79</v>
      </c>
      <c r="I871" s="1" t="s">
        <v>3720</v>
      </c>
      <c r="J871" s="1" t="s">
        <v>4112</v>
      </c>
    </row>
    <row r="872" spans="1:10" x14ac:dyDescent="0.25">
      <c r="A872" s="1" t="s">
        <v>4656</v>
      </c>
      <c r="B872" s="19">
        <v>46182</v>
      </c>
      <c r="C872" s="1" t="s">
        <v>797</v>
      </c>
      <c r="D872" s="1" t="s">
        <v>21</v>
      </c>
      <c r="E872" s="1" t="s">
        <v>81</v>
      </c>
      <c r="F872" s="1">
        <v>5841</v>
      </c>
      <c r="G872" s="1" t="s">
        <v>355</v>
      </c>
      <c r="H872" s="1" t="s">
        <v>76</v>
      </c>
      <c r="I872" s="1" t="s">
        <v>3720</v>
      </c>
      <c r="J872" s="1" t="s">
        <v>82</v>
      </c>
    </row>
    <row r="873" spans="1:10" x14ac:dyDescent="0.25">
      <c r="A873" s="1" t="s">
        <v>4657</v>
      </c>
      <c r="B873" s="19">
        <v>46182</v>
      </c>
      <c r="C873" s="1" t="s">
        <v>797</v>
      </c>
      <c r="D873" s="1" t="s">
        <v>21</v>
      </c>
      <c r="E873" s="1" t="s">
        <v>81</v>
      </c>
      <c r="F873" s="1">
        <v>5841</v>
      </c>
      <c r="G873" s="1" t="s">
        <v>345</v>
      </c>
      <c r="H873" s="1" t="s">
        <v>76</v>
      </c>
      <c r="I873" s="1" t="s">
        <v>3720</v>
      </c>
      <c r="J873" s="1" t="s">
        <v>78</v>
      </c>
    </row>
    <row r="874" spans="1:10" x14ac:dyDescent="0.25">
      <c r="A874" s="1" t="s">
        <v>4658</v>
      </c>
      <c r="B874" s="19">
        <v>46182</v>
      </c>
      <c r="C874" s="1" t="s">
        <v>797</v>
      </c>
      <c r="D874" s="1" t="s">
        <v>21</v>
      </c>
      <c r="E874" s="1" t="s">
        <v>81</v>
      </c>
      <c r="F874" s="1">
        <v>5841</v>
      </c>
      <c r="G874" s="1" t="s">
        <v>361</v>
      </c>
      <c r="H874" s="1" t="s">
        <v>79</v>
      </c>
      <c r="I874" s="1" t="s">
        <v>3720</v>
      </c>
      <c r="J874" s="1" t="s">
        <v>4112</v>
      </c>
    </row>
    <row r="875" spans="1:10" x14ac:dyDescent="0.25">
      <c r="A875" s="1" t="s">
        <v>4659</v>
      </c>
      <c r="B875" s="19">
        <v>46182</v>
      </c>
      <c r="C875" s="1" t="s">
        <v>798</v>
      </c>
      <c r="D875" s="1" t="s">
        <v>21</v>
      </c>
      <c r="E875" s="1" t="s">
        <v>81</v>
      </c>
      <c r="F875" s="1">
        <v>5842</v>
      </c>
      <c r="G875" s="1" t="s">
        <v>355</v>
      </c>
      <c r="H875" s="1" t="s">
        <v>76</v>
      </c>
      <c r="I875" s="1" t="s">
        <v>3720</v>
      </c>
      <c r="J875" s="1" t="s">
        <v>82</v>
      </c>
    </row>
    <row r="876" spans="1:10" x14ac:dyDescent="0.25">
      <c r="A876" s="1" t="s">
        <v>4660</v>
      </c>
      <c r="B876" s="19">
        <v>46182</v>
      </c>
      <c r="C876" s="1" t="s">
        <v>798</v>
      </c>
      <c r="D876" s="1" t="s">
        <v>21</v>
      </c>
      <c r="E876" s="1" t="s">
        <v>81</v>
      </c>
      <c r="F876" s="1">
        <v>5842</v>
      </c>
      <c r="G876" s="1" t="s">
        <v>345</v>
      </c>
      <c r="H876" s="1" t="s">
        <v>76</v>
      </c>
      <c r="I876" s="1" t="s">
        <v>3720</v>
      </c>
      <c r="J876" s="1" t="s">
        <v>78</v>
      </c>
    </row>
    <row r="877" spans="1:10" x14ac:dyDescent="0.25">
      <c r="A877" s="1" t="s">
        <v>4661</v>
      </c>
      <c r="B877" s="19">
        <v>46182</v>
      </c>
      <c r="C877" s="1" t="s">
        <v>798</v>
      </c>
      <c r="D877" s="1" t="s">
        <v>21</v>
      </c>
      <c r="E877" s="1" t="s">
        <v>81</v>
      </c>
      <c r="F877" s="1">
        <v>5842</v>
      </c>
      <c r="G877" s="1" t="s">
        <v>361</v>
      </c>
      <c r="H877" s="1" t="s">
        <v>79</v>
      </c>
      <c r="I877" s="1" t="s">
        <v>3720</v>
      </c>
      <c r="J877" s="1" t="s">
        <v>4112</v>
      </c>
    </row>
    <row r="878" spans="1:10" x14ac:dyDescent="0.25">
      <c r="A878" s="1" t="s">
        <v>4662</v>
      </c>
      <c r="B878" s="19">
        <v>46182</v>
      </c>
      <c r="C878" s="1" t="s">
        <v>799</v>
      </c>
      <c r="D878" s="1" t="s">
        <v>21</v>
      </c>
      <c r="E878" s="1" t="s">
        <v>81</v>
      </c>
      <c r="F878" s="1">
        <v>5843</v>
      </c>
      <c r="G878" s="1" t="s">
        <v>355</v>
      </c>
      <c r="H878" s="1" t="s">
        <v>76</v>
      </c>
      <c r="I878" s="1" t="s">
        <v>3720</v>
      </c>
      <c r="J878" s="1" t="s">
        <v>82</v>
      </c>
    </row>
    <row r="879" spans="1:10" x14ac:dyDescent="0.25">
      <c r="A879" s="1" t="s">
        <v>4663</v>
      </c>
      <c r="B879" s="19">
        <v>46182</v>
      </c>
      <c r="C879" s="1" t="s">
        <v>799</v>
      </c>
      <c r="D879" s="1" t="s">
        <v>21</v>
      </c>
      <c r="E879" s="1" t="s">
        <v>81</v>
      </c>
      <c r="F879" s="1">
        <v>5843</v>
      </c>
      <c r="G879" s="1" t="s">
        <v>345</v>
      </c>
      <c r="H879" s="1" t="s">
        <v>76</v>
      </c>
      <c r="I879" s="1" t="s">
        <v>3720</v>
      </c>
      <c r="J879" s="1" t="s">
        <v>78</v>
      </c>
    </row>
    <row r="880" spans="1:10" x14ac:dyDescent="0.25">
      <c r="A880" s="1" t="s">
        <v>4664</v>
      </c>
      <c r="B880" s="19">
        <v>46182</v>
      </c>
      <c r="C880" s="1" t="s">
        <v>799</v>
      </c>
      <c r="D880" s="1" t="s">
        <v>21</v>
      </c>
      <c r="E880" s="1" t="s">
        <v>81</v>
      </c>
      <c r="F880" s="1">
        <v>5843</v>
      </c>
      <c r="G880" s="1" t="s">
        <v>361</v>
      </c>
      <c r="H880" s="1" t="s">
        <v>79</v>
      </c>
      <c r="I880" s="1" t="s">
        <v>3720</v>
      </c>
      <c r="J880" s="1" t="s">
        <v>4112</v>
      </c>
    </row>
    <row r="881" spans="1:10" x14ac:dyDescent="0.25">
      <c r="A881" s="1" t="s">
        <v>4665</v>
      </c>
      <c r="B881" s="19">
        <v>46182</v>
      </c>
      <c r="C881" s="1" t="s">
        <v>800</v>
      </c>
      <c r="D881" s="1" t="s">
        <v>21</v>
      </c>
      <c r="E881" s="1" t="s">
        <v>81</v>
      </c>
      <c r="F881" s="1">
        <v>5844</v>
      </c>
      <c r="G881" s="1" t="s">
        <v>355</v>
      </c>
      <c r="H881" s="1" t="s">
        <v>76</v>
      </c>
      <c r="I881" s="1" t="s">
        <v>3720</v>
      </c>
      <c r="J881" s="1" t="s">
        <v>82</v>
      </c>
    </row>
    <row r="882" spans="1:10" x14ac:dyDescent="0.25">
      <c r="A882" s="1" t="s">
        <v>4666</v>
      </c>
      <c r="B882" s="19">
        <v>46182</v>
      </c>
      <c r="C882" s="1" t="s">
        <v>800</v>
      </c>
      <c r="D882" s="1" t="s">
        <v>21</v>
      </c>
      <c r="E882" s="1" t="s">
        <v>81</v>
      </c>
      <c r="F882" s="1">
        <v>5844</v>
      </c>
      <c r="G882" s="1" t="s">
        <v>345</v>
      </c>
      <c r="H882" s="1" t="s">
        <v>76</v>
      </c>
      <c r="I882" s="1" t="s">
        <v>3720</v>
      </c>
      <c r="J882" s="1" t="s">
        <v>78</v>
      </c>
    </row>
    <row r="883" spans="1:10" x14ac:dyDescent="0.25">
      <c r="A883" s="1" t="s">
        <v>4667</v>
      </c>
      <c r="B883" s="19">
        <v>46182</v>
      </c>
      <c r="C883" s="1" t="s">
        <v>800</v>
      </c>
      <c r="D883" s="1" t="s">
        <v>21</v>
      </c>
      <c r="E883" s="1" t="s">
        <v>81</v>
      </c>
      <c r="F883" s="1">
        <v>5844</v>
      </c>
      <c r="G883" s="1" t="s">
        <v>361</v>
      </c>
      <c r="H883" s="1" t="s">
        <v>79</v>
      </c>
      <c r="I883" s="1" t="s">
        <v>3720</v>
      </c>
      <c r="J883" s="1" t="s">
        <v>4112</v>
      </c>
    </row>
    <row r="884" spans="1:10" x14ac:dyDescent="0.25">
      <c r="A884" s="1" t="s">
        <v>4668</v>
      </c>
      <c r="B884" s="19">
        <v>46182</v>
      </c>
      <c r="C884" s="1" t="s">
        <v>801</v>
      </c>
      <c r="D884" s="1" t="s">
        <v>21</v>
      </c>
      <c r="E884" s="1" t="s">
        <v>81</v>
      </c>
      <c r="F884" s="1">
        <v>5845</v>
      </c>
      <c r="G884" s="1" t="s">
        <v>355</v>
      </c>
      <c r="H884" s="1" t="s">
        <v>76</v>
      </c>
      <c r="I884" s="1" t="s">
        <v>3720</v>
      </c>
      <c r="J884" s="1" t="s">
        <v>82</v>
      </c>
    </row>
    <row r="885" spans="1:10" x14ac:dyDescent="0.25">
      <c r="A885" s="1" t="s">
        <v>4669</v>
      </c>
      <c r="B885" s="19">
        <v>46182</v>
      </c>
      <c r="C885" s="1" t="s">
        <v>801</v>
      </c>
      <c r="D885" s="1" t="s">
        <v>21</v>
      </c>
      <c r="E885" s="1" t="s">
        <v>81</v>
      </c>
      <c r="F885" s="1">
        <v>5845</v>
      </c>
      <c r="G885" s="1" t="s">
        <v>345</v>
      </c>
      <c r="H885" s="1" t="s">
        <v>76</v>
      </c>
      <c r="I885" s="1" t="s">
        <v>3720</v>
      </c>
      <c r="J885" s="1" t="s">
        <v>78</v>
      </c>
    </row>
    <row r="886" spans="1:10" x14ac:dyDescent="0.25">
      <c r="A886" s="1" t="s">
        <v>4670</v>
      </c>
      <c r="B886" s="19">
        <v>46182</v>
      </c>
      <c r="C886" s="1" t="s">
        <v>801</v>
      </c>
      <c r="D886" s="1" t="s">
        <v>21</v>
      </c>
      <c r="E886" s="1" t="s">
        <v>81</v>
      </c>
      <c r="F886" s="1">
        <v>5845</v>
      </c>
      <c r="G886" s="1" t="s">
        <v>361</v>
      </c>
      <c r="H886" s="1" t="s">
        <v>79</v>
      </c>
      <c r="I886" s="1" t="s">
        <v>3720</v>
      </c>
      <c r="J886" s="1" t="s">
        <v>4112</v>
      </c>
    </row>
    <row r="887" spans="1:10" x14ac:dyDescent="0.25">
      <c r="A887" s="1" t="s">
        <v>4671</v>
      </c>
      <c r="B887" s="19">
        <v>46182</v>
      </c>
      <c r="C887" s="1" t="s">
        <v>802</v>
      </c>
      <c r="D887" s="1" t="s">
        <v>21</v>
      </c>
      <c r="E887" s="1" t="s">
        <v>81</v>
      </c>
      <c r="F887" s="1">
        <v>5846</v>
      </c>
      <c r="G887" s="1" t="s">
        <v>355</v>
      </c>
      <c r="H887" s="1" t="s">
        <v>76</v>
      </c>
      <c r="I887" s="1" t="s">
        <v>3720</v>
      </c>
      <c r="J887" s="1" t="s">
        <v>82</v>
      </c>
    </row>
    <row r="888" spans="1:10" x14ac:dyDescent="0.25">
      <c r="A888" s="1" t="s">
        <v>4672</v>
      </c>
      <c r="B888" s="19">
        <v>46182</v>
      </c>
      <c r="C888" s="1" t="s">
        <v>802</v>
      </c>
      <c r="D888" s="1" t="s">
        <v>21</v>
      </c>
      <c r="E888" s="1" t="s">
        <v>81</v>
      </c>
      <c r="F888" s="1">
        <v>5846</v>
      </c>
      <c r="G888" s="1" t="s">
        <v>345</v>
      </c>
      <c r="H888" s="1" t="s">
        <v>76</v>
      </c>
      <c r="I888" s="1" t="s">
        <v>3720</v>
      </c>
      <c r="J888" s="1" t="s">
        <v>78</v>
      </c>
    </row>
    <row r="889" spans="1:10" x14ac:dyDescent="0.25">
      <c r="A889" s="1" t="s">
        <v>4673</v>
      </c>
      <c r="B889" s="19">
        <v>46182</v>
      </c>
      <c r="C889" s="1" t="s">
        <v>802</v>
      </c>
      <c r="D889" s="1" t="s">
        <v>21</v>
      </c>
      <c r="E889" s="1" t="s">
        <v>81</v>
      </c>
      <c r="F889" s="1">
        <v>5846</v>
      </c>
      <c r="G889" s="1" t="s">
        <v>361</v>
      </c>
      <c r="H889" s="1" t="s">
        <v>79</v>
      </c>
      <c r="I889" s="1" t="s">
        <v>3720</v>
      </c>
      <c r="J889" s="1" t="s">
        <v>4112</v>
      </c>
    </row>
    <row r="890" spans="1:10" x14ac:dyDescent="0.25">
      <c r="A890" s="1" t="s">
        <v>4674</v>
      </c>
      <c r="B890" s="19">
        <v>46182</v>
      </c>
      <c r="C890" s="1" t="s">
        <v>803</v>
      </c>
      <c r="D890" s="1" t="s">
        <v>21</v>
      </c>
      <c r="E890" s="1" t="s">
        <v>81</v>
      </c>
      <c r="F890" s="1">
        <v>5847</v>
      </c>
      <c r="G890" s="1" t="s">
        <v>355</v>
      </c>
      <c r="H890" s="1" t="s">
        <v>76</v>
      </c>
      <c r="I890" s="1" t="s">
        <v>3720</v>
      </c>
      <c r="J890" s="1" t="s">
        <v>82</v>
      </c>
    </row>
    <row r="891" spans="1:10" x14ac:dyDescent="0.25">
      <c r="A891" s="1" t="s">
        <v>4675</v>
      </c>
      <c r="B891" s="19">
        <v>46182</v>
      </c>
      <c r="C891" s="1" t="s">
        <v>803</v>
      </c>
      <c r="D891" s="1" t="s">
        <v>21</v>
      </c>
      <c r="E891" s="1" t="s">
        <v>81</v>
      </c>
      <c r="F891" s="1">
        <v>5847</v>
      </c>
      <c r="G891" s="1" t="s">
        <v>345</v>
      </c>
      <c r="H891" s="1" t="s">
        <v>76</v>
      </c>
      <c r="I891" s="1" t="s">
        <v>3720</v>
      </c>
      <c r="J891" s="1" t="s">
        <v>78</v>
      </c>
    </row>
    <row r="892" spans="1:10" x14ac:dyDescent="0.25">
      <c r="A892" s="1" t="s">
        <v>4676</v>
      </c>
      <c r="B892" s="19">
        <v>46182</v>
      </c>
      <c r="C892" s="1" t="s">
        <v>803</v>
      </c>
      <c r="D892" s="1" t="s">
        <v>21</v>
      </c>
      <c r="E892" s="1" t="s">
        <v>81</v>
      </c>
      <c r="F892" s="1">
        <v>5847</v>
      </c>
      <c r="G892" s="1" t="s">
        <v>361</v>
      </c>
      <c r="H892" s="1" t="s">
        <v>79</v>
      </c>
      <c r="I892" s="1" t="s">
        <v>3720</v>
      </c>
      <c r="J892" s="1" t="s">
        <v>4112</v>
      </c>
    </row>
    <row r="893" spans="1:10" x14ac:dyDescent="0.25">
      <c r="A893" s="1" t="s">
        <v>4677</v>
      </c>
      <c r="B893" s="19">
        <v>46182</v>
      </c>
      <c r="C893" s="1" t="s">
        <v>804</v>
      </c>
      <c r="D893" s="1" t="s">
        <v>21</v>
      </c>
      <c r="E893" s="1" t="s">
        <v>81</v>
      </c>
      <c r="F893" s="1">
        <v>5848</v>
      </c>
      <c r="G893" s="1" t="s">
        <v>355</v>
      </c>
      <c r="H893" s="1" t="s">
        <v>76</v>
      </c>
      <c r="I893" s="1" t="s">
        <v>3720</v>
      </c>
      <c r="J893" s="1" t="s">
        <v>82</v>
      </c>
    </row>
    <row r="894" spans="1:10" x14ac:dyDescent="0.25">
      <c r="A894" s="1" t="s">
        <v>4678</v>
      </c>
      <c r="B894" s="19">
        <v>46182</v>
      </c>
      <c r="C894" s="1" t="s">
        <v>804</v>
      </c>
      <c r="D894" s="1" t="s">
        <v>21</v>
      </c>
      <c r="E894" s="1" t="s">
        <v>81</v>
      </c>
      <c r="F894" s="1">
        <v>5848</v>
      </c>
      <c r="G894" s="1" t="s">
        <v>345</v>
      </c>
      <c r="H894" s="1" t="s">
        <v>76</v>
      </c>
      <c r="I894" s="1" t="s">
        <v>3720</v>
      </c>
      <c r="J894" s="1" t="s">
        <v>78</v>
      </c>
    </row>
    <row r="895" spans="1:10" x14ac:dyDescent="0.25">
      <c r="A895" s="1" t="s">
        <v>4679</v>
      </c>
      <c r="B895" s="19">
        <v>46182</v>
      </c>
      <c r="C895" s="1" t="s">
        <v>804</v>
      </c>
      <c r="D895" s="1" t="s">
        <v>21</v>
      </c>
      <c r="E895" s="1" t="s">
        <v>81</v>
      </c>
      <c r="F895" s="1">
        <v>5848</v>
      </c>
      <c r="G895" s="1" t="s">
        <v>361</v>
      </c>
      <c r="H895" s="1" t="s">
        <v>79</v>
      </c>
      <c r="I895" s="1" t="s">
        <v>3720</v>
      </c>
      <c r="J895" s="1" t="s">
        <v>4112</v>
      </c>
    </row>
    <row r="896" spans="1:10" x14ac:dyDescent="0.25">
      <c r="A896" s="1" t="s">
        <v>4680</v>
      </c>
      <c r="B896" s="19">
        <v>46182</v>
      </c>
      <c r="C896" s="1" t="s">
        <v>805</v>
      </c>
      <c r="D896" s="1" t="s">
        <v>21</v>
      </c>
      <c r="E896" s="1" t="s">
        <v>81</v>
      </c>
      <c r="F896" s="1">
        <v>5849</v>
      </c>
      <c r="G896" s="1" t="s">
        <v>355</v>
      </c>
      <c r="H896" s="1" t="s">
        <v>76</v>
      </c>
      <c r="I896" s="1" t="s">
        <v>3720</v>
      </c>
      <c r="J896" s="1" t="s">
        <v>82</v>
      </c>
    </row>
    <row r="897" spans="1:10" x14ac:dyDescent="0.25">
      <c r="A897" s="1" t="s">
        <v>4681</v>
      </c>
      <c r="B897" s="19">
        <v>46182</v>
      </c>
      <c r="C897" s="1" t="s">
        <v>805</v>
      </c>
      <c r="D897" s="1" t="s">
        <v>21</v>
      </c>
      <c r="E897" s="1" t="s">
        <v>81</v>
      </c>
      <c r="F897" s="1">
        <v>5849</v>
      </c>
      <c r="G897" s="1" t="s">
        <v>345</v>
      </c>
      <c r="H897" s="1" t="s">
        <v>76</v>
      </c>
      <c r="I897" s="1" t="s">
        <v>3720</v>
      </c>
      <c r="J897" s="1" t="s">
        <v>78</v>
      </c>
    </row>
    <row r="898" spans="1:10" x14ac:dyDescent="0.25">
      <c r="A898" s="1" t="s">
        <v>4682</v>
      </c>
      <c r="B898" s="19">
        <v>46182</v>
      </c>
      <c r="C898" s="1" t="s">
        <v>805</v>
      </c>
      <c r="D898" s="1" t="s">
        <v>21</v>
      </c>
      <c r="E898" s="1" t="s">
        <v>81</v>
      </c>
      <c r="F898" s="1">
        <v>5849</v>
      </c>
      <c r="G898" s="1" t="s">
        <v>361</v>
      </c>
      <c r="H898" s="1" t="s">
        <v>79</v>
      </c>
      <c r="I898" s="1" t="s">
        <v>3720</v>
      </c>
      <c r="J898" s="1" t="s">
        <v>4112</v>
      </c>
    </row>
    <row r="899" spans="1:10" x14ac:dyDescent="0.25">
      <c r="A899" s="1" t="s">
        <v>4683</v>
      </c>
      <c r="B899" s="19">
        <v>46182</v>
      </c>
      <c r="C899" s="1" t="s">
        <v>806</v>
      </c>
      <c r="D899" s="1" t="s">
        <v>21</v>
      </c>
      <c r="E899" s="1" t="s">
        <v>81</v>
      </c>
      <c r="F899" s="1">
        <v>5850</v>
      </c>
      <c r="G899" s="1" t="s">
        <v>355</v>
      </c>
      <c r="H899" s="1" t="s">
        <v>76</v>
      </c>
      <c r="I899" s="1" t="s">
        <v>3720</v>
      </c>
      <c r="J899" s="1" t="s">
        <v>82</v>
      </c>
    </row>
    <row r="900" spans="1:10" x14ac:dyDescent="0.25">
      <c r="A900" s="1" t="s">
        <v>4684</v>
      </c>
      <c r="B900" s="19">
        <v>46182</v>
      </c>
      <c r="C900" s="1" t="s">
        <v>806</v>
      </c>
      <c r="D900" s="1" t="s">
        <v>21</v>
      </c>
      <c r="E900" s="1" t="s">
        <v>81</v>
      </c>
      <c r="F900" s="1">
        <v>5850</v>
      </c>
      <c r="G900" s="1" t="s">
        <v>345</v>
      </c>
      <c r="H900" s="1" t="s">
        <v>76</v>
      </c>
      <c r="I900" s="1" t="s">
        <v>3720</v>
      </c>
      <c r="J900" s="1" t="s">
        <v>78</v>
      </c>
    </row>
    <row r="901" spans="1:10" x14ac:dyDescent="0.25">
      <c r="A901" s="1" t="s">
        <v>4685</v>
      </c>
      <c r="B901" s="19">
        <v>46182</v>
      </c>
      <c r="C901" s="1" t="s">
        <v>806</v>
      </c>
      <c r="D901" s="1" t="s">
        <v>21</v>
      </c>
      <c r="E901" s="1" t="s">
        <v>81</v>
      </c>
      <c r="F901" s="1">
        <v>5850</v>
      </c>
      <c r="G901" s="1" t="s">
        <v>361</v>
      </c>
      <c r="H901" s="1" t="s">
        <v>79</v>
      </c>
      <c r="I901" s="1" t="s">
        <v>3720</v>
      </c>
      <c r="J901" s="1" t="s">
        <v>4112</v>
      </c>
    </row>
    <row r="902" spans="1:10" x14ac:dyDescent="0.25">
      <c r="A902" s="1" t="s">
        <v>4686</v>
      </c>
      <c r="B902" s="19">
        <v>46182</v>
      </c>
      <c r="C902" s="1" t="s">
        <v>807</v>
      </c>
      <c r="D902" s="1" t="s">
        <v>21</v>
      </c>
      <c r="E902" s="1" t="s">
        <v>81</v>
      </c>
      <c r="F902" s="1">
        <v>5851</v>
      </c>
      <c r="G902" s="1" t="s">
        <v>355</v>
      </c>
      <c r="H902" s="1" t="s">
        <v>76</v>
      </c>
      <c r="I902" s="1" t="s">
        <v>3720</v>
      </c>
      <c r="J902" s="1" t="s">
        <v>82</v>
      </c>
    </row>
    <row r="903" spans="1:10" x14ac:dyDescent="0.25">
      <c r="A903" s="1" t="s">
        <v>4687</v>
      </c>
      <c r="B903" s="19">
        <v>46182</v>
      </c>
      <c r="C903" s="1" t="s">
        <v>807</v>
      </c>
      <c r="D903" s="1" t="s">
        <v>21</v>
      </c>
      <c r="E903" s="1" t="s">
        <v>81</v>
      </c>
      <c r="F903" s="1">
        <v>5851</v>
      </c>
      <c r="G903" s="1" t="s">
        <v>345</v>
      </c>
      <c r="H903" s="1" t="s">
        <v>76</v>
      </c>
      <c r="I903" s="1" t="s">
        <v>3720</v>
      </c>
      <c r="J903" s="1" t="s">
        <v>78</v>
      </c>
    </row>
    <row r="904" spans="1:10" x14ac:dyDescent="0.25">
      <c r="A904" s="1" t="s">
        <v>4688</v>
      </c>
      <c r="B904" s="19">
        <v>46182</v>
      </c>
      <c r="C904" s="1" t="s">
        <v>807</v>
      </c>
      <c r="D904" s="1" t="s">
        <v>21</v>
      </c>
      <c r="E904" s="1" t="s">
        <v>81</v>
      </c>
      <c r="F904" s="1">
        <v>5851</v>
      </c>
      <c r="G904" s="1" t="s">
        <v>361</v>
      </c>
      <c r="H904" s="1" t="s">
        <v>79</v>
      </c>
      <c r="I904" s="1" t="s">
        <v>3720</v>
      </c>
      <c r="J904" s="1" t="s">
        <v>4112</v>
      </c>
    </row>
    <row r="905" spans="1:10" x14ac:dyDescent="0.25">
      <c r="A905" s="1" t="s">
        <v>4689</v>
      </c>
      <c r="B905" s="19">
        <v>46182</v>
      </c>
      <c r="C905" s="1" t="s">
        <v>808</v>
      </c>
      <c r="D905" s="1" t="s">
        <v>21</v>
      </c>
      <c r="E905" s="1" t="s">
        <v>81</v>
      </c>
      <c r="F905" s="1">
        <v>5852</v>
      </c>
      <c r="G905" s="1" t="s">
        <v>355</v>
      </c>
      <c r="H905" s="1" t="s">
        <v>76</v>
      </c>
      <c r="I905" s="1" t="s">
        <v>3720</v>
      </c>
      <c r="J905" s="1" t="s">
        <v>82</v>
      </c>
    </row>
    <row r="906" spans="1:10" x14ac:dyDescent="0.25">
      <c r="A906" s="1" t="s">
        <v>4690</v>
      </c>
      <c r="B906" s="19">
        <v>46182</v>
      </c>
      <c r="C906" s="1" t="s">
        <v>808</v>
      </c>
      <c r="D906" s="1" t="s">
        <v>21</v>
      </c>
      <c r="E906" s="1" t="s">
        <v>81</v>
      </c>
      <c r="F906" s="1">
        <v>5852</v>
      </c>
      <c r="G906" s="1" t="s">
        <v>345</v>
      </c>
      <c r="H906" s="1" t="s">
        <v>76</v>
      </c>
      <c r="I906" s="1" t="s">
        <v>3720</v>
      </c>
      <c r="J906" s="1" t="s">
        <v>78</v>
      </c>
    </row>
    <row r="907" spans="1:10" x14ac:dyDescent="0.25">
      <c r="A907" s="1" t="s">
        <v>4691</v>
      </c>
      <c r="B907" s="19">
        <v>46182</v>
      </c>
      <c r="C907" s="1" t="s">
        <v>808</v>
      </c>
      <c r="D907" s="1" t="s">
        <v>21</v>
      </c>
      <c r="E907" s="1" t="s">
        <v>81</v>
      </c>
      <c r="F907" s="1">
        <v>5852</v>
      </c>
      <c r="G907" s="1" t="s">
        <v>361</v>
      </c>
      <c r="H907" s="1" t="s">
        <v>79</v>
      </c>
      <c r="I907" s="1" t="s">
        <v>3720</v>
      </c>
      <c r="J907" s="1" t="s">
        <v>4112</v>
      </c>
    </row>
    <row r="908" spans="1:10" x14ac:dyDescent="0.25">
      <c r="A908" s="1" t="s">
        <v>4692</v>
      </c>
      <c r="B908" s="19">
        <v>46182</v>
      </c>
      <c r="C908" s="1" t="s">
        <v>809</v>
      </c>
      <c r="D908" s="1" t="s">
        <v>21</v>
      </c>
      <c r="E908" s="1" t="s">
        <v>81</v>
      </c>
      <c r="F908" s="1">
        <v>5853</v>
      </c>
      <c r="G908" s="1" t="s">
        <v>355</v>
      </c>
      <c r="H908" s="1" t="s">
        <v>76</v>
      </c>
      <c r="I908" s="1" t="s">
        <v>3720</v>
      </c>
      <c r="J908" s="1" t="s">
        <v>82</v>
      </c>
    </row>
    <row r="909" spans="1:10" x14ac:dyDescent="0.25">
      <c r="A909" s="1" t="s">
        <v>4693</v>
      </c>
      <c r="B909" s="19">
        <v>46182</v>
      </c>
      <c r="C909" s="1" t="s">
        <v>809</v>
      </c>
      <c r="D909" s="1" t="s">
        <v>21</v>
      </c>
      <c r="E909" s="1" t="s">
        <v>81</v>
      </c>
      <c r="F909" s="1">
        <v>5853</v>
      </c>
      <c r="G909" s="1" t="s">
        <v>345</v>
      </c>
      <c r="H909" s="1" t="s">
        <v>76</v>
      </c>
      <c r="I909" s="1" t="s">
        <v>3720</v>
      </c>
      <c r="J909" s="1" t="s">
        <v>78</v>
      </c>
    </row>
    <row r="910" spans="1:10" x14ac:dyDescent="0.25">
      <c r="A910" s="1" t="s">
        <v>4694</v>
      </c>
      <c r="B910" s="19">
        <v>46182</v>
      </c>
      <c r="C910" s="1" t="s">
        <v>809</v>
      </c>
      <c r="D910" s="1" t="s">
        <v>21</v>
      </c>
      <c r="E910" s="1" t="s">
        <v>81</v>
      </c>
      <c r="F910" s="1">
        <v>5853</v>
      </c>
      <c r="G910" s="1" t="s">
        <v>361</v>
      </c>
      <c r="H910" s="1" t="s">
        <v>79</v>
      </c>
      <c r="I910" s="1" t="s">
        <v>3720</v>
      </c>
      <c r="J910" s="1" t="s">
        <v>4112</v>
      </c>
    </row>
    <row r="911" spans="1:10" x14ac:dyDescent="0.25">
      <c r="A911" s="1" t="s">
        <v>4695</v>
      </c>
      <c r="B911" s="19">
        <v>46182</v>
      </c>
      <c r="C911" s="1" t="s">
        <v>810</v>
      </c>
      <c r="D911" s="1" t="s">
        <v>21</v>
      </c>
      <c r="E911" s="1" t="s">
        <v>81</v>
      </c>
      <c r="F911" s="1">
        <v>5854</v>
      </c>
      <c r="G911" s="1" t="s">
        <v>355</v>
      </c>
      <c r="H911" s="1" t="s">
        <v>76</v>
      </c>
      <c r="I911" s="1" t="s">
        <v>3720</v>
      </c>
      <c r="J911" s="1" t="s">
        <v>82</v>
      </c>
    </row>
    <row r="912" spans="1:10" x14ac:dyDescent="0.25">
      <c r="A912" s="1" t="s">
        <v>4696</v>
      </c>
      <c r="B912" s="19">
        <v>46182</v>
      </c>
      <c r="C912" s="1" t="s">
        <v>810</v>
      </c>
      <c r="D912" s="1" t="s">
        <v>21</v>
      </c>
      <c r="E912" s="1" t="s">
        <v>81</v>
      </c>
      <c r="F912" s="1">
        <v>5854</v>
      </c>
      <c r="G912" s="1" t="s">
        <v>345</v>
      </c>
      <c r="H912" s="1" t="s">
        <v>76</v>
      </c>
      <c r="I912" s="1" t="s">
        <v>3720</v>
      </c>
      <c r="J912" s="1" t="s">
        <v>78</v>
      </c>
    </row>
    <row r="913" spans="1:10" x14ac:dyDescent="0.25">
      <c r="A913" s="1" t="s">
        <v>4697</v>
      </c>
      <c r="B913" s="19">
        <v>46182</v>
      </c>
      <c r="C913" s="1" t="s">
        <v>810</v>
      </c>
      <c r="D913" s="1" t="s">
        <v>21</v>
      </c>
      <c r="E913" s="1" t="s">
        <v>81</v>
      </c>
      <c r="F913" s="1">
        <v>5854</v>
      </c>
      <c r="G913" s="1" t="s">
        <v>361</v>
      </c>
      <c r="H913" s="1" t="s">
        <v>79</v>
      </c>
      <c r="I913" s="1" t="s">
        <v>3720</v>
      </c>
      <c r="J913" s="1" t="s">
        <v>4112</v>
      </c>
    </row>
    <row r="914" spans="1:10" x14ac:dyDescent="0.25">
      <c r="A914" s="1" t="s">
        <v>4698</v>
      </c>
      <c r="B914" s="19">
        <v>46182</v>
      </c>
      <c r="C914" s="1" t="s">
        <v>811</v>
      </c>
      <c r="D914" s="1" t="s">
        <v>21</v>
      </c>
      <c r="E914" s="1" t="s">
        <v>81</v>
      </c>
      <c r="F914" s="1">
        <v>5855</v>
      </c>
      <c r="G914" s="1" t="s">
        <v>355</v>
      </c>
      <c r="H914" s="1" t="s">
        <v>76</v>
      </c>
      <c r="I914" s="1" t="s">
        <v>3720</v>
      </c>
      <c r="J914" s="1" t="s">
        <v>82</v>
      </c>
    </row>
    <row r="915" spans="1:10" x14ac:dyDescent="0.25">
      <c r="A915" s="1" t="s">
        <v>4699</v>
      </c>
      <c r="B915" s="19">
        <v>46182</v>
      </c>
      <c r="C915" s="1" t="s">
        <v>811</v>
      </c>
      <c r="D915" s="1" t="s">
        <v>21</v>
      </c>
      <c r="E915" s="1" t="s">
        <v>81</v>
      </c>
      <c r="F915" s="1">
        <v>5855</v>
      </c>
      <c r="G915" s="1" t="s">
        <v>345</v>
      </c>
      <c r="H915" s="1" t="s">
        <v>76</v>
      </c>
      <c r="I915" s="1" t="s">
        <v>3720</v>
      </c>
      <c r="J915" s="1" t="s">
        <v>78</v>
      </c>
    </row>
    <row r="916" spans="1:10" x14ac:dyDescent="0.25">
      <c r="A916" s="1" t="s">
        <v>4700</v>
      </c>
      <c r="B916" s="19">
        <v>46182</v>
      </c>
      <c r="C916" s="1" t="s">
        <v>811</v>
      </c>
      <c r="D916" s="1" t="s">
        <v>21</v>
      </c>
      <c r="E916" s="1" t="s">
        <v>81</v>
      </c>
      <c r="F916" s="1">
        <v>5855</v>
      </c>
      <c r="G916" s="1" t="s">
        <v>361</v>
      </c>
      <c r="H916" s="1" t="s">
        <v>79</v>
      </c>
      <c r="I916" s="1" t="s">
        <v>3720</v>
      </c>
      <c r="J916" s="1" t="s">
        <v>4112</v>
      </c>
    </row>
    <row r="917" spans="1:10" x14ac:dyDescent="0.25">
      <c r="A917" s="1" t="s">
        <v>4701</v>
      </c>
      <c r="B917" s="19">
        <v>46182</v>
      </c>
      <c r="C917" s="1" t="s">
        <v>812</v>
      </c>
      <c r="D917" s="1" t="s">
        <v>21</v>
      </c>
      <c r="E917" s="1" t="s">
        <v>81</v>
      </c>
      <c r="F917" s="1">
        <v>5856</v>
      </c>
      <c r="G917" s="1" t="s">
        <v>355</v>
      </c>
      <c r="H917" s="1" t="s">
        <v>76</v>
      </c>
      <c r="I917" s="1" t="s">
        <v>3720</v>
      </c>
      <c r="J917" s="1" t="s">
        <v>82</v>
      </c>
    </row>
    <row r="918" spans="1:10" x14ac:dyDescent="0.25">
      <c r="A918" s="1" t="s">
        <v>4702</v>
      </c>
      <c r="B918" s="19">
        <v>46182</v>
      </c>
      <c r="C918" s="1" t="s">
        <v>812</v>
      </c>
      <c r="D918" s="1" t="s">
        <v>21</v>
      </c>
      <c r="E918" s="1" t="s">
        <v>81</v>
      </c>
      <c r="F918" s="1">
        <v>5856</v>
      </c>
      <c r="G918" s="1" t="s">
        <v>345</v>
      </c>
      <c r="H918" s="1" t="s">
        <v>76</v>
      </c>
      <c r="I918" s="1" t="s">
        <v>3720</v>
      </c>
      <c r="J918" s="1" t="s">
        <v>78</v>
      </c>
    </row>
    <row r="919" spans="1:10" x14ac:dyDescent="0.25">
      <c r="A919" s="1" t="s">
        <v>4703</v>
      </c>
      <c r="B919" s="19">
        <v>46182</v>
      </c>
      <c r="C919" s="1" t="s">
        <v>812</v>
      </c>
      <c r="D919" s="1" t="s">
        <v>21</v>
      </c>
      <c r="E919" s="1" t="s">
        <v>81</v>
      </c>
      <c r="F919" s="1">
        <v>5856</v>
      </c>
      <c r="G919" s="1" t="s">
        <v>361</v>
      </c>
      <c r="H919" s="1" t="s">
        <v>79</v>
      </c>
      <c r="I919" s="1" t="s">
        <v>3720</v>
      </c>
      <c r="J919" s="1" t="s">
        <v>4112</v>
      </c>
    </row>
    <row r="920" spans="1:10" x14ac:dyDescent="0.25">
      <c r="A920" s="1" t="s">
        <v>4704</v>
      </c>
      <c r="B920" s="19">
        <v>46182</v>
      </c>
      <c r="C920" s="1" t="s">
        <v>813</v>
      </c>
      <c r="D920" s="1" t="s">
        <v>21</v>
      </c>
      <c r="E920" s="1" t="s">
        <v>81</v>
      </c>
      <c r="F920" s="1">
        <v>5857</v>
      </c>
      <c r="G920" s="1" t="s">
        <v>355</v>
      </c>
      <c r="H920" s="1" t="s">
        <v>76</v>
      </c>
      <c r="I920" s="1" t="s">
        <v>3720</v>
      </c>
      <c r="J920" s="1" t="s">
        <v>82</v>
      </c>
    </row>
    <row r="921" spans="1:10" x14ac:dyDescent="0.25">
      <c r="A921" s="1" t="s">
        <v>4705</v>
      </c>
      <c r="B921" s="19">
        <v>46182</v>
      </c>
      <c r="C921" s="1" t="s">
        <v>813</v>
      </c>
      <c r="D921" s="1" t="s">
        <v>21</v>
      </c>
      <c r="E921" s="1" t="s">
        <v>81</v>
      </c>
      <c r="F921" s="1">
        <v>5857</v>
      </c>
      <c r="G921" s="1" t="s">
        <v>345</v>
      </c>
      <c r="H921" s="1" t="s">
        <v>76</v>
      </c>
      <c r="I921" s="1" t="s">
        <v>3720</v>
      </c>
      <c r="J921" s="1" t="s">
        <v>78</v>
      </c>
    </row>
    <row r="922" spans="1:10" x14ac:dyDescent="0.25">
      <c r="A922" s="1" t="s">
        <v>4706</v>
      </c>
      <c r="B922" s="19">
        <v>46182</v>
      </c>
      <c r="C922" s="1" t="s">
        <v>813</v>
      </c>
      <c r="D922" s="1" t="s">
        <v>21</v>
      </c>
      <c r="E922" s="1" t="s">
        <v>81</v>
      </c>
      <c r="F922" s="1">
        <v>5857</v>
      </c>
      <c r="G922" s="1" t="s">
        <v>361</v>
      </c>
      <c r="H922" s="1" t="s">
        <v>79</v>
      </c>
      <c r="I922" s="1" t="s">
        <v>3720</v>
      </c>
      <c r="J922" s="1" t="s">
        <v>4112</v>
      </c>
    </row>
    <row r="923" spans="1:10" x14ac:dyDescent="0.25">
      <c r="A923" s="1" t="s">
        <v>4707</v>
      </c>
      <c r="B923" s="19">
        <v>46182</v>
      </c>
      <c r="C923" s="1" t="s">
        <v>814</v>
      </c>
      <c r="D923" s="1" t="s">
        <v>21</v>
      </c>
      <c r="E923" s="1" t="s">
        <v>81</v>
      </c>
      <c r="F923" s="1">
        <v>5858</v>
      </c>
      <c r="G923" s="1" t="s">
        <v>355</v>
      </c>
      <c r="H923" s="1" t="s">
        <v>76</v>
      </c>
      <c r="I923" s="1" t="s">
        <v>3720</v>
      </c>
      <c r="J923" s="1" t="s">
        <v>82</v>
      </c>
    </row>
    <row r="924" spans="1:10" x14ac:dyDescent="0.25">
      <c r="A924" s="1" t="s">
        <v>4708</v>
      </c>
      <c r="B924" s="19">
        <v>46182</v>
      </c>
      <c r="C924" s="1" t="s">
        <v>814</v>
      </c>
      <c r="D924" s="1" t="s">
        <v>21</v>
      </c>
      <c r="E924" s="1" t="s">
        <v>81</v>
      </c>
      <c r="F924" s="1">
        <v>5858</v>
      </c>
      <c r="G924" s="1" t="s">
        <v>345</v>
      </c>
      <c r="H924" s="1" t="s">
        <v>76</v>
      </c>
      <c r="I924" s="1" t="s">
        <v>3720</v>
      </c>
      <c r="J924" s="1" t="s">
        <v>78</v>
      </c>
    </row>
    <row r="925" spans="1:10" x14ac:dyDescent="0.25">
      <c r="A925" s="1" t="s">
        <v>4709</v>
      </c>
      <c r="B925" s="19">
        <v>46182</v>
      </c>
      <c r="C925" s="1" t="s">
        <v>814</v>
      </c>
      <c r="D925" s="1" t="s">
        <v>21</v>
      </c>
      <c r="E925" s="1" t="s">
        <v>81</v>
      </c>
      <c r="F925" s="1">
        <v>5858</v>
      </c>
      <c r="G925" s="1" t="s">
        <v>361</v>
      </c>
      <c r="H925" s="1" t="s">
        <v>79</v>
      </c>
      <c r="I925" s="1" t="s">
        <v>3720</v>
      </c>
      <c r="J925" s="1" t="s">
        <v>4112</v>
      </c>
    </row>
    <row r="926" spans="1:10" x14ac:dyDescent="0.25">
      <c r="A926" s="1" t="s">
        <v>4710</v>
      </c>
      <c r="B926" s="19">
        <v>46182</v>
      </c>
      <c r="C926" s="1" t="s">
        <v>815</v>
      </c>
      <c r="D926" s="1" t="s">
        <v>21</v>
      </c>
      <c r="E926" s="1" t="s">
        <v>81</v>
      </c>
      <c r="F926" s="1">
        <v>5859</v>
      </c>
      <c r="G926" s="1" t="s">
        <v>355</v>
      </c>
      <c r="H926" s="1" t="s">
        <v>76</v>
      </c>
      <c r="I926" s="1" t="s">
        <v>3720</v>
      </c>
      <c r="J926" s="1" t="s">
        <v>82</v>
      </c>
    </row>
    <row r="927" spans="1:10" x14ac:dyDescent="0.25">
      <c r="A927" s="1" t="s">
        <v>4711</v>
      </c>
      <c r="B927" s="19">
        <v>46182</v>
      </c>
      <c r="C927" s="1" t="s">
        <v>815</v>
      </c>
      <c r="D927" s="1" t="s">
        <v>21</v>
      </c>
      <c r="E927" s="1" t="s">
        <v>81</v>
      </c>
      <c r="F927" s="1">
        <v>5859</v>
      </c>
      <c r="G927" s="1" t="s">
        <v>345</v>
      </c>
      <c r="H927" s="1" t="s">
        <v>76</v>
      </c>
      <c r="I927" s="1" t="s">
        <v>3720</v>
      </c>
      <c r="J927" s="1" t="s">
        <v>78</v>
      </c>
    </row>
    <row r="928" spans="1:10" x14ac:dyDescent="0.25">
      <c r="A928" s="1" t="s">
        <v>4712</v>
      </c>
      <c r="B928" s="19">
        <v>46182</v>
      </c>
      <c r="C928" s="1" t="s">
        <v>815</v>
      </c>
      <c r="D928" s="1" t="s">
        <v>21</v>
      </c>
      <c r="E928" s="1" t="s">
        <v>81</v>
      </c>
      <c r="F928" s="1">
        <v>5859</v>
      </c>
      <c r="G928" s="1" t="s">
        <v>361</v>
      </c>
      <c r="H928" s="1" t="s">
        <v>79</v>
      </c>
      <c r="I928" s="1" t="s">
        <v>3720</v>
      </c>
      <c r="J928" s="1" t="s">
        <v>4112</v>
      </c>
    </row>
    <row r="929" spans="1:10" x14ac:dyDescent="0.25">
      <c r="A929" s="1" t="s">
        <v>4713</v>
      </c>
      <c r="B929" s="19">
        <v>46182</v>
      </c>
      <c r="C929" s="1" t="s">
        <v>816</v>
      </c>
      <c r="D929" s="1" t="s">
        <v>21</v>
      </c>
      <c r="E929" s="1" t="s">
        <v>81</v>
      </c>
      <c r="F929" s="1">
        <v>5860</v>
      </c>
      <c r="G929" s="1" t="s">
        <v>355</v>
      </c>
      <c r="H929" s="1" t="s">
        <v>76</v>
      </c>
      <c r="I929" s="1" t="s">
        <v>3720</v>
      </c>
      <c r="J929" s="1" t="s">
        <v>82</v>
      </c>
    </row>
    <row r="930" spans="1:10" x14ac:dyDescent="0.25">
      <c r="A930" s="1" t="s">
        <v>4714</v>
      </c>
      <c r="B930" s="19">
        <v>46182</v>
      </c>
      <c r="C930" s="1" t="s">
        <v>816</v>
      </c>
      <c r="D930" s="1" t="s">
        <v>21</v>
      </c>
      <c r="E930" s="1" t="s">
        <v>81</v>
      </c>
      <c r="F930" s="1">
        <v>5860</v>
      </c>
      <c r="G930" s="1" t="s">
        <v>345</v>
      </c>
      <c r="H930" s="1" t="s">
        <v>76</v>
      </c>
      <c r="I930" s="1" t="s">
        <v>3720</v>
      </c>
      <c r="J930" s="1" t="s">
        <v>78</v>
      </c>
    </row>
    <row r="931" spans="1:10" x14ac:dyDescent="0.25">
      <c r="A931" s="1" t="s">
        <v>4715</v>
      </c>
      <c r="B931" s="19">
        <v>46182</v>
      </c>
      <c r="C931" s="1" t="s">
        <v>816</v>
      </c>
      <c r="D931" s="1" t="s">
        <v>21</v>
      </c>
      <c r="E931" s="1" t="s">
        <v>81</v>
      </c>
      <c r="F931" s="1">
        <v>5860</v>
      </c>
      <c r="G931" s="1" t="s">
        <v>361</v>
      </c>
      <c r="H931" s="1" t="s">
        <v>79</v>
      </c>
      <c r="I931" s="1" t="s">
        <v>3720</v>
      </c>
      <c r="J931" s="1" t="s">
        <v>4112</v>
      </c>
    </row>
    <row r="932" spans="1:10" x14ac:dyDescent="0.25">
      <c r="A932" s="1" t="s">
        <v>4716</v>
      </c>
      <c r="B932" s="19">
        <v>46182</v>
      </c>
      <c r="C932" s="1" t="s">
        <v>817</v>
      </c>
      <c r="D932" s="1" t="s">
        <v>21</v>
      </c>
      <c r="E932" s="1" t="s">
        <v>81</v>
      </c>
      <c r="F932" s="1">
        <v>5861</v>
      </c>
      <c r="G932" s="1" t="s">
        <v>355</v>
      </c>
      <c r="H932" s="1" t="s">
        <v>76</v>
      </c>
      <c r="I932" s="1" t="s">
        <v>3720</v>
      </c>
      <c r="J932" s="1" t="s">
        <v>82</v>
      </c>
    </row>
    <row r="933" spans="1:10" x14ac:dyDescent="0.25">
      <c r="A933" s="1" t="s">
        <v>4717</v>
      </c>
      <c r="B933" s="19">
        <v>46182</v>
      </c>
      <c r="C933" s="1" t="s">
        <v>817</v>
      </c>
      <c r="D933" s="1" t="s">
        <v>21</v>
      </c>
      <c r="E933" s="1" t="s">
        <v>81</v>
      </c>
      <c r="F933" s="1">
        <v>5861</v>
      </c>
      <c r="G933" s="1" t="s">
        <v>345</v>
      </c>
      <c r="H933" s="1" t="s">
        <v>76</v>
      </c>
      <c r="I933" s="1" t="s">
        <v>3720</v>
      </c>
      <c r="J933" s="1" t="s">
        <v>78</v>
      </c>
    </row>
    <row r="934" spans="1:10" x14ac:dyDescent="0.25">
      <c r="A934" s="1" t="s">
        <v>4718</v>
      </c>
      <c r="B934" s="19">
        <v>46182</v>
      </c>
      <c r="C934" s="1" t="s">
        <v>817</v>
      </c>
      <c r="D934" s="1" t="s">
        <v>21</v>
      </c>
      <c r="E934" s="1" t="s">
        <v>81</v>
      </c>
      <c r="F934" s="1">
        <v>5861</v>
      </c>
      <c r="G934" s="1" t="s">
        <v>361</v>
      </c>
      <c r="H934" s="1" t="s">
        <v>79</v>
      </c>
      <c r="I934" s="1" t="s">
        <v>3720</v>
      </c>
      <c r="J934" s="1" t="s">
        <v>4112</v>
      </c>
    </row>
    <row r="935" spans="1:10" x14ac:dyDescent="0.25">
      <c r="A935" s="1" t="s">
        <v>4719</v>
      </c>
      <c r="B935" s="19">
        <v>46182</v>
      </c>
      <c r="C935" s="1" t="s">
        <v>818</v>
      </c>
      <c r="D935" s="1" t="s">
        <v>21</v>
      </c>
      <c r="E935" s="1" t="s">
        <v>81</v>
      </c>
      <c r="F935" s="1">
        <v>5862</v>
      </c>
      <c r="G935" s="1" t="s">
        <v>355</v>
      </c>
      <c r="H935" s="1" t="s">
        <v>76</v>
      </c>
      <c r="I935" s="1" t="s">
        <v>3720</v>
      </c>
      <c r="J935" s="1" t="s">
        <v>82</v>
      </c>
    </row>
    <row r="936" spans="1:10" x14ac:dyDescent="0.25">
      <c r="A936" s="1" t="s">
        <v>4720</v>
      </c>
      <c r="B936" s="19">
        <v>46182</v>
      </c>
      <c r="C936" s="1" t="s">
        <v>818</v>
      </c>
      <c r="D936" s="1" t="s">
        <v>21</v>
      </c>
      <c r="E936" s="1" t="s">
        <v>81</v>
      </c>
      <c r="F936" s="1">
        <v>5862</v>
      </c>
      <c r="G936" s="1" t="s">
        <v>345</v>
      </c>
      <c r="H936" s="1" t="s">
        <v>76</v>
      </c>
      <c r="I936" s="1" t="s">
        <v>3720</v>
      </c>
      <c r="J936" s="1" t="s">
        <v>78</v>
      </c>
    </row>
    <row r="937" spans="1:10" x14ac:dyDescent="0.25">
      <c r="A937" s="1" t="s">
        <v>4721</v>
      </c>
      <c r="B937" s="19">
        <v>46182</v>
      </c>
      <c r="C937" s="1" t="s">
        <v>818</v>
      </c>
      <c r="D937" s="1" t="s">
        <v>21</v>
      </c>
      <c r="E937" s="1" t="s">
        <v>81</v>
      </c>
      <c r="F937" s="1">
        <v>5862</v>
      </c>
      <c r="G937" s="1" t="s">
        <v>361</v>
      </c>
      <c r="H937" s="1" t="s">
        <v>79</v>
      </c>
      <c r="I937" s="1" t="s">
        <v>3720</v>
      </c>
      <c r="J937" s="1" t="s">
        <v>4112</v>
      </c>
    </row>
    <row r="938" spans="1:10" x14ac:dyDescent="0.25">
      <c r="A938" s="1" t="s">
        <v>4722</v>
      </c>
      <c r="B938" s="19">
        <v>46182</v>
      </c>
      <c r="C938" s="1" t="s">
        <v>819</v>
      </c>
      <c r="D938" s="1" t="s">
        <v>21</v>
      </c>
      <c r="E938" s="1" t="s">
        <v>81</v>
      </c>
      <c r="F938" s="1">
        <v>5863</v>
      </c>
      <c r="G938" s="1" t="s">
        <v>355</v>
      </c>
      <c r="H938" s="1" t="s">
        <v>76</v>
      </c>
      <c r="I938" s="1" t="s">
        <v>3720</v>
      </c>
      <c r="J938" s="1" t="s">
        <v>82</v>
      </c>
    </row>
    <row r="939" spans="1:10" x14ac:dyDescent="0.25">
      <c r="A939" s="1" t="s">
        <v>4723</v>
      </c>
      <c r="B939" s="19">
        <v>46182</v>
      </c>
      <c r="C939" s="1" t="s">
        <v>819</v>
      </c>
      <c r="D939" s="1" t="s">
        <v>21</v>
      </c>
      <c r="E939" s="1" t="s">
        <v>81</v>
      </c>
      <c r="F939" s="1">
        <v>5863</v>
      </c>
      <c r="G939" s="1" t="s">
        <v>345</v>
      </c>
      <c r="H939" s="1" t="s">
        <v>76</v>
      </c>
      <c r="I939" s="1" t="s">
        <v>3720</v>
      </c>
      <c r="J939" s="1" t="s">
        <v>78</v>
      </c>
    </row>
    <row r="940" spans="1:10" x14ac:dyDescent="0.25">
      <c r="A940" s="1" t="s">
        <v>4724</v>
      </c>
      <c r="B940" s="19">
        <v>46182</v>
      </c>
      <c r="C940" s="1" t="s">
        <v>819</v>
      </c>
      <c r="D940" s="1" t="s">
        <v>21</v>
      </c>
      <c r="E940" s="1" t="s">
        <v>81</v>
      </c>
      <c r="F940" s="1">
        <v>5863</v>
      </c>
      <c r="G940" s="1" t="s">
        <v>361</v>
      </c>
      <c r="H940" s="1" t="s">
        <v>79</v>
      </c>
      <c r="I940" s="1" t="s">
        <v>3720</v>
      </c>
      <c r="J940" s="1" t="s">
        <v>4112</v>
      </c>
    </row>
    <row r="941" spans="1:10" x14ac:dyDescent="0.25">
      <c r="A941" s="1" t="s">
        <v>4725</v>
      </c>
      <c r="B941" s="19">
        <v>46182</v>
      </c>
      <c r="C941" s="1" t="s">
        <v>820</v>
      </c>
      <c r="D941" s="1" t="s">
        <v>21</v>
      </c>
      <c r="E941" s="1" t="s">
        <v>81</v>
      </c>
      <c r="F941" s="1">
        <v>5864</v>
      </c>
      <c r="G941" s="1" t="s">
        <v>355</v>
      </c>
      <c r="H941" s="1" t="s">
        <v>76</v>
      </c>
      <c r="I941" s="1" t="s">
        <v>3720</v>
      </c>
      <c r="J941" s="1" t="s">
        <v>82</v>
      </c>
    </row>
    <row r="942" spans="1:10" x14ac:dyDescent="0.25">
      <c r="A942" s="1" t="s">
        <v>4726</v>
      </c>
      <c r="B942" s="19">
        <v>46182</v>
      </c>
      <c r="C942" s="1" t="s">
        <v>820</v>
      </c>
      <c r="D942" s="1" t="s">
        <v>21</v>
      </c>
      <c r="E942" s="1" t="s">
        <v>81</v>
      </c>
      <c r="F942" s="1">
        <v>5864</v>
      </c>
      <c r="G942" s="1" t="s">
        <v>345</v>
      </c>
      <c r="H942" s="1" t="s">
        <v>76</v>
      </c>
      <c r="I942" s="1" t="s">
        <v>3720</v>
      </c>
      <c r="J942" s="1" t="s">
        <v>78</v>
      </c>
    </row>
    <row r="943" spans="1:10" x14ac:dyDescent="0.25">
      <c r="A943" s="1" t="s">
        <v>4727</v>
      </c>
      <c r="B943" s="19">
        <v>46182</v>
      </c>
      <c r="C943" s="1" t="s">
        <v>820</v>
      </c>
      <c r="D943" s="1" t="s">
        <v>21</v>
      </c>
      <c r="E943" s="1" t="s">
        <v>81</v>
      </c>
      <c r="F943" s="1">
        <v>5864</v>
      </c>
      <c r="G943" s="1" t="s">
        <v>361</v>
      </c>
      <c r="H943" s="1" t="s">
        <v>79</v>
      </c>
      <c r="I943" s="1" t="s">
        <v>3720</v>
      </c>
      <c r="J943" s="1" t="s">
        <v>4112</v>
      </c>
    </row>
    <row r="944" spans="1:10" x14ac:dyDescent="0.25">
      <c r="A944" s="1" t="s">
        <v>4728</v>
      </c>
      <c r="B944" s="19">
        <v>46182</v>
      </c>
      <c r="C944" s="1" t="s">
        <v>821</v>
      </c>
      <c r="D944" s="1" t="s">
        <v>21</v>
      </c>
      <c r="E944" s="1" t="s">
        <v>81</v>
      </c>
      <c r="F944" s="1">
        <v>5865</v>
      </c>
      <c r="G944" s="1" t="s">
        <v>355</v>
      </c>
      <c r="H944" s="1" t="s">
        <v>76</v>
      </c>
      <c r="I944" s="1" t="s">
        <v>3720</v>
      </c>
      <c r="J944" s="1" t="s">
        <v>82</v>
      </c>
    </row>
    <row r="945" spans="1:10" x14ac:dyDescent="0.25">
      <c r="A945" s="1" t="s">
        <v>4729</v>
      </c>
      <c r="B945" s="19">
        <v>46182</v>
      </c>
      <c r="C945" s="1" t="s">
        <v>821</v>
      </c>
      <c r="D945" s="1" t="s">
        <v>21</v>
      </c>
      <c r="E945" s="1" t="s">
        <v>81</v>
      </c>
      <c r="F945" s="1">
        <v>5865</v>
      </c>
      <c r="G945" s="1" t="s">
        <v>345</v>
      </c>
      <c r="H945" s="1" t="s">
        <v>76</v>
      </c>
      <c r="I945" s="1" t="s">
        <v>3720</v>
      </c>
      <c r="J945" s="1" t="s">
        <v>78</v>
      </c>
    </row>
    <row r="946" spans="1:10" x14ac:dyDescent="0.25">
      <c r="A946" s="1" t="s">
        <v>4730</v>
      </c>
      <c r="B946" s="19">
        <v>46182</v>
      </c>
      <c r="C946" s="1" t="s">
        <v>821</v>
      </c>
      <c r="D946" s="1" t="s">
        <v>21</v>
      </c>
      <c r="E946" s="1" t="s">
        <v>81</v>
      </c>
      <c r="F946" s="1">
        <v>5865</v>
      </c>
      <c r="G946" s="1" t="s">
        <v>361</v>
      </c>
      <c r="H946" s="1" t="s">
        <v>79</v>
      </c>
      <c r="I946" s="1" t="s">
        <v>3720</v>
      </c>
      <c r="J946" s="1" t="s">
        <v>4112</v>
      </c>
    </row>
    <row r="947" spans="1:10" x14ac:dyDescent="0.25">
      <c r="A947" s="1" t="s">
        <v>4731</v>
      </c>
      <c r="B947" s="19">
        <v>46182</v>
      </c>
      <c r="C947" s="1" t="s">
        <v>822</v>
      </c>
      <c r="D947" s="1" t="s">
        <v>21</v>
      </c>
      <c r="E947" s="1" t="s">
        <v>81</v>
      </c>
      <c r="F947" s="1">
        <v>5866</v>
      </c>
      <c r="G947" s="1" t="s">
        <v>355</v>
      </c>
      <c r="H947" s="1" t="s">
        <v>76</v>
      </c>
      <c r="I947" s="1" t="s">
        <v>3720</v>
      </c>
      <c r="J947" s="1" t="s">
        <v>82</v>
      </c>
    </row>
    <row r="948" spans="1:10" x14ac:dyDescent="0.25">
      <c r="A948" s="1" t="s">
        <v>4732</v>
      </c>
      <c r="B948" s="19">
        <v>46182</v>
      </c>
      <c r="C948" s="1" t="s">
        <v>822</v>
      </c>
      <c r="D948" s="1" t="s">
        <v>21</v>
      </c>
      <c r="E948" s="1" t="s">
        <v>81</v>
      </c>
      <c r="F948" s="1">
        <v>5866</v>
      </c>
      <c r="G948" s="1" t="s">
        <v>345</v>
      </c>
      <c r="H948" s="1" t="s">
        <v>76</v>
      </c>
      <c r="I948" s="1" t="s">
        <v>3720</v>
      </c>
      <c r="J948" s="1" t="s">
        <v>78</v>
      </c>
    </row>
    <row r="949" spans="1:10" x14ac:dyDescent="0.25">
      <c r="A949" s="1" t="s">
        <v>4733</v>
      </c>
      <c r="B949" s="19">
        <v>46182</v>
      </c>
      <c r="C949" s="1" t="s">
        <v>822</v>
      </c>
      <c r="D949" s="1" t="s">
        <v>21</v>
      </c>
      <c r="E949" s="1" t="s">
        <v>81</v>
      </c>
      <c r="F949" s="1">
        <v>5866</v>
      </c>
      <c r="G949" s="1" t="s">
        <v>361</v>
      </c>
      <c r="H949" s="1" t="s">
        <v>79</v>
      </c>
      <c r="I949" s="1" t="s">
        <v>3720</v>
      </c>
      <c r="J949" s="1" t="s">
        <v>4112</v>
      </c>
    </row>
    <row r="950" spans="1:10" x14ac:dyDescent="0.25">
      <c r="A950" s="1" t="s">
        <v>4734</v>
      </c>
      <c r="B950" s="19">
        <v>46182</v>
      </c>
      <c r="C950" s="1" t="s">
        <v>823</v>
      </c>
      <c r="D950" s="1" t="s">
        <v>21</v>
      </c>
      <c r="E950" s="1" t="s">
        <v>81</v>
      </c>
      <c r="F950" s="1">
        <v>5867</v>
      </c>
      <c r="G950" s="1" t="s">
        <v>355</v>
      </c>
      <c r="H950" s="1" t="s">
        <v>76</v>
      </c>
      <c r="I950" s="1" t="s">
        <v>3720</v>
      </c>
      <c r="J950" s="1" t="s">
        <v>82</v>
      </c>
    </row>
    <row r="951" spans="1:10" x14ac:dyDescent="0.25">
      <c r="A951" s="1" t="s">
        <v>4735</v>
      </c>
      <c r="B951" s="19">
        <v>46182</v>
      </c>
      <c r="C951" s="1" t="s">
        <v>823</v>
      </c>
      <c r="D951" s="1" t="s">
        <v>21</v>
      </c>
      <c r="E951" s="1" t="s">
        <v>81</v>
      </c>
      <c r="F951" s="1">
        <v>5867</v>
      </c>
      <c r="G951" s="1" t="s">
        <v>345</v>
      </c>
      <c r="H951" s="1" t="s">
        <v>76</v>
      </c>
      <c r="I951" s="1" t="s">
        <v>3720</v>
      </c>
      <c r="J951" s="1" t="s">
        <v>78</v>
      </c>
    </row>
    <row r="952" spans="1:10" x14ac:dyDescent="0.25">
      <c r="A952" s="1" t="s">
        <v>4736</v>
      </c>
      <c r="B952" s="19">
        <v>46182</v>
      </c>
      <c r="C952" s="1" t="s">
        <v>823</v>
      </c>
      <c r="D952" s="1" t="s">
        <v>21</v>
      </c>
      <c r="E952" s="1" t="s">
        <v>81</v>
      </c>
      <c r="F952" s="1">
        <v>5867</v>
      </c>
      <c r="G952" s="1" t="s">
        <v>361</v>
      </c>
      <c r="H952" s="1" t="s">
        <v>79</v>
      </c>
      <c r="I952" s="1" t="s">
        <v>3720</v>
      </c>
      <c r="J952" s="1" t="s">
        <v>4112</v>
      </c>
    </row>
    <row r="953" spans="1:10" x14ac:dyDescent="0.25">
      <c r="A953" s="1" t="s">
        <v>4737</v>
      </c>
      <c r="B953" s="19">
        <v>46182</v>
      </c>
      <c r="C953" s="1" t="s">
        <v>824</v>
      </c>
      <c r="D953" s="1" t="s">
        <v>21</v>
      </c>
      <c r="E953" s="1" t="s">
        <v>81</v>
      </c>
      <c r="F953" s="1">
        <v>5868</v>
      </c>
      <c r="G953" s="1" t="s">
        <v>355</v>
      </c>
      <c r="H953" s="1" t="s">
        <v>76</v>
      </c>
      <c r="I953" s="1" t="s">
        <v>3720</v>
      </c>
      <c r="J953" s="1" t="s">
        <v>82</v>
      </c>
    </row>
    <row r="954" spans="1:10" x14ac:dyDescent="0.25">
      <c r="A954" s="1" t="s">
        <v>4738</v>
      </c>
      <c r="B954" s="19">
        <v>46182</v>
      </c>
      <c r="C954" s="1" t="s">
        <v>824</v>
      </c>
      <c r="D954" s="1" t="s">
        <v>21</v>
      </c>
      <c r="E954" s="1" t="s">
        <v>81</v>
      </c>
      <c r="F954" s="1">
        <v>5868</v>
      </c>
      <c r="G954" s="1" t="s">
        <v>345</v>
      </c>
      <c r="H954" s="1" t="s">
        <v>76</v>
      </c>
      <c r="I954" s="1" t="s">
        <v>3720</v>
      </c>
      <c r="J954" s="1" t="s">
        <v>78</v>
      </c>
    </row>
    <row r="955" spans="1:10" x14ac:dyDescent="0.25">
      <c r="A955" s="1" t="s">
        <v>4739</v>
      </c>
      <c r="B955" s="19">
        <v>46182</v>
      </c>
      <c r="C955" s="1" t="s">
        <v>824</v>
      </c>
      <c r="D955" s="1" t="s">
        <v>21</v>
      </c>
      <c r="E955" s="1" t="s">
        <v>81</v>
      </c>
      <c r="F955" s="1">
        <v>5868</v>
      </c>
      <c r="G955" s="1" t="s">
        <v>361</v>
      </c>
      <c r="H955" s="1" t="s">
        <v>79</v>
      </c>
      <c r="I955" s="1" t="s">
        <v>3720</v>
      </c>
      <c r="J955" s="1" t="s">
        <v>4112</v>
      </c>
    </row>
    <row r="956" spans="1:10" x14ac:dyDescent="0.25">
      <c r="A956" s="1" t="s">
        <v>4740</v>
      </c>
      <c r="B956" s="19">
        <v>46182</v>
      </c>
      <c r="C956" s="1" t="s">
        <v>825</v>
      </c>
      <c r="D956" s="1" t="s">
        <v>21</v>
      </c>
      <c r="E956" s="1" t="s">
        <v>81</v>
      </c>
      <c r="F956" s="1">
        <v>5869</v>
      </c>
      <c r="G956" s="1" t="s">
        <v>355</v>
      </c>
      <c r="H956" s="1" t="s">
        <v>76</v>
      </c>
      <c r="I956" s="1" t="s">
        <v>3720</v>
      </c>
      <c r="J956" s="1" t="s">
        <v>82</v>
      </c>
    </row>
    <row r="957" spans="1:10" x14ac:dyDescent="0.25">
      <c r="A957" s="1" t="s">
        <v>4741</v>
      </c>
      <c r="B957" s="19">
        <v>46182</v>
      </c>
      <c r="C957" s="1" t="s">
        <v>825</v>
      </c>
      <c r="D957" s="1" t="s">
        <v>21</v>
      </c>
      <c r="E957" s="1" t="s">
        <v>81</v>
      </c>
      <c r="F957" s="1">
        <v>5869</v>
      </c>
      <c r="G957" s="1" t="s">
        <v>345</v>
      </c>
      <c r="H957" s="1" t="s">
        <v>76</v>
      </c>
      <c r="I957" s="1" t="s">
        <v>3720</v>
      </c>
      <c r="J957" s="1" t="s">
        <v>78</v>
      </c>
    </row>
    <row r="958" spans="1:10" x14ac:dyDescent="0.25">
      <c r="A958" s="1" t="s">
        <v>4742</v>
      </c>
      <c r="B958" s="19">
        <v>46182</v>
      </c>
      <c r="C958" s="1" t="s">
        <v>825</v>
      </c>
      <c r="D958" s="1" t="s">
        <v>21</v>
      </c>
      <c r="E958" s="1" t="s">
        <v>81</v>
      </c>
      <c r="F958" s="1">
        <v>5869</v>
      </c>
      <c r="G958" s="1" t="s">
        <v>361</v>
      </c>
      <c r="H958" s="1" t="s">
        <v>79</v>
      </c>
      <c r="I958" s="1" t="s">
        <v>3720</v>
      </c>
      <c r="J958" s="1" t="s">
        <v>4112</v>
      </c>
    </row>
    <row r="959" spans="1:10" x14ac:dyDescent="0.25">
      <c r="A959" s="1" t="s">
        <v>4743</v>
      </c>
      <c r="B959" s="19">
        <v>46182</v>
      </c>
      <c r="C959" s="1" t="s">
        <v>826</v>
      </c>
      <c r="D959" s="1" t="s">
        <v>21</v>
      </c>
      <c r="E959" s="1" t="s">
        <v>81</v>
      </c>
      <c r="F959" s="1">
        <v>5870</v>
      </c>
      <c r="G959" s="1" t="s">
        <v>355</v>
      </c>
      <c r="H959" s="1" t="s">
        <v>76</v>
      </c>
      <c r="I959" s="1" t="s">
        <v>3720</v>
      </c>
      <c r="J959" s="1" t="s">
        <v>82</v>
      </c>
    </row>
    <row r="960" spans="1:10" x14ac:dyDescent="0.25">
      <c r="A960" s="1" t="s">
        <v>4744</v>
      </c>
      <c r="B960" s="19">
        <v>46182</v>
      </c>
      <c r="C960" s="1" t="s">
        <v>826</v>
      </c>
      <c r="D960" s="1" t="s">
        <v>21</v>
      </c>
      <c r="E960" s="1" t="s">
        <v>81</v>
      </c>
      <c r="F960" s="1">
        <v>5870</v>
      </c>
      <c r="G960" s="1" t="s">
        <v>345</v>
      </c>
      <c r="H960" s="1" t="s">
        <v>76</v>
      </c>
      <c r="I960" s="1" t="s">
        <v>3720</v>
      </c>
      <c r="J960" s="1" t="s">
        <v>78</v>
      </c>
    </row>
    <row r="961" spans="1:10" x14ac:dyDescent="0.25">
      <c r="A961" s="1" t="s">
        <v>4745</v>
      </c>
      <c r="B961" s="19">
        <v>46182</v>
      </c>
      <c r="C961" s="1" t="s">
        <v>826</v>
      </c>
      <c r="D961" s="1" t="s">
        <v>21</v>
      </c>
      <c r="E961" s="1" t="s">
        <v>81</v>
      </c>
      <c r="F961" s="1">
        <v>5870</v>
      </c>
      <c r="G961" s="1" t="s">
        <v>361</v>
      </c>
      <c r="H961" s="1" t="s">
        <v>79</v>
      </c>
      <c r="I961" s="1" t="s">
        <v>3720</v>
      </c>
      <c r="J961" s="1" t="s">
        <v>4112</v>
      </c>
    </row>
    <row r="962" spans="1:10" x14ac:dyDescent="0.25">
      <c r="A962" s="1" t="s">
        <v>4746</v>
      </c>
      <c r="B962" s="19">
        <v>46182</v>
      </c>
      <c r="C962" s="1" t="s">
        <v>827</v>
      </c>
      <c r="D962" s="1" t="s">
        <v>21</v>
      </c>
      <c r="E962" s="1" t="s">
        <v>81</v>
      </c>
      <c r="F962" s="1">
        <v>5871</v>
      </c>
      <c r="G962" s="1" t="s">
        <v>355</v>
      </c>
      <c r="H962" s="1" t="s">
        <v>76</v>
      </c>
      <c r="I962" s="1" t="s">
        <v>3720</v>
      </c>
      <c r="J962" s="1" t="s">
        <v>82</v>
      </c>
    </row>
    <row r="963" spans="1:10" x14ac:dyDescent="0.25">
      <c r="A963" s="1" t="s">
        <v>4747</v>
      </c>
      <c r="B963" s="19">
        <v>46182</v>
      </c>
      <c r="C963" s="1" t="s">
        <v>827</v>
      </c>
      <c r="D963" s="1" t="s">
        <v>21</v>
      </c>
      <c r="E963" s="1" t="s">
        <v>81</v>
      </c>
      <c r="F963" s="1">
        <v>5871</v>
      </c>
      <c r="G963" s="1" t="s">
        <v>345</v>
      </c>
      <c r="H963" s="1" t="s">
        <v>76</v>
      </c>
      <c r="I963" s="1" t="s">
        <v>3720</v>
      </c>
      <c r="J963" s="1" t="s">
        <v>78</v>
      </c>
    </row>
    <row r="964" spans="1:10" x14ac:dyDescent="0.25">
      <c r="A964" s="1" t="s">
        <v>4748</v>
      </c>
      <c r="B964" s="19">
        <v>46182</v>
      </c>
      <c r="C964" s="1" t="s">
        <v>827</v>
      </c>
      <c r="D964" s="1" t="s">
        <v>21</v>
      </c>
      <c r="E964" s="1" t="s">
        <v>81</v>
      </c>
      <c r="F964" s="1">
        <v>5871</v>
      </c>
      <c r="G964" s="1" t="s">
        <v>361</v>
      </c>
      <c r="H964" s="1" t="s">
        <v>79</v>
      </c>
      <c r="I964" s="1" t="s">
        <v>3720</v>
      </c>
      <c r="J964" s="1" t="s">
        <v>4112</v>
      </c>
    </row>
    <row r="965" spans="1:10" x14ac:dyDescent="0.25">
      <c r="A965" s="1" t="s">
        <v>4749</v>
      </c>
      <c r="B965" s="19">
        <v>46182</v>
      </c>
      <c r="C965" s="1" t="s">
        <v>828</v>
      </c>
      <c r="D965" s="1" t="s">
        <v>21</v>
      </c>
      <c r="E965" s="1" t="s">
        <v>81</v>
      </c>
      <c r="F965" s="1">
        <v>5872</v>
      </c>
      <c r="G965" s="1" t="s">
        <v>355</v>
      </c>
      <c r="H965" s="1" t="s">
        <v>76</v>
      </c>
      <c r="I965" s="1" t="s">
        <v>3720</v>
      </c>
      <c r="J965" s="1" t="s">
        <v>82</v>
      </c>
    </row>
    <row r="966" spans="1:10" x14ac:dyDescent="0.25">
      <c r="A966" s="1" t="s">
        <v>4750</v>
      </c>
      <c r="B966" s="19">
        <v>46182</v>
      </c>
      <c r="C966" s="1" t="s">
        <v>828</v>
      </c>
      <c r="D966" s="1" t="s">
        <v>21</v>
      </c>
      <c r="E966" s="1" t="s">
        <v>81</v>
      </c>
      <c r="F966" s="1">
        <v>5872</v>
      </c>
      <c r="G966" s="1" t="s">
        <v>345</v>
      </c>
      <c r="H966" s="1" t="s">
        <v>76</v>
      </c>
      <c r="I966" s="1" t="s">
        <v>3720</v>
      </c>
      <c r="J966" s="1" t="s">
        <v>78</v>
      </c>
    </row>
    <row r="967" spans="1:10" x14ac:dyDescent="0.25">
      <c r="A967" s="1" t="s">
        <v>4751</v>
      </c>
      <c r="B967" s="19">
        <v>46182</v>
      </c>
      <c r="C967" s="1" t="s">
        <v>828</v>
      </c>
      <c r="D967" s="1" t="s">
        <v>21</v>
      </c>
      <c r="E967" s="1" t="s">
        <v>81</v>
      </c>
      <c r="F967" s="1">
        <v>5872</v>
      </c>
      <c r="G967" s="1" t="s">
        <v>361</v>
      </c>
      <c r="H967" s="1" t="s">
        <v>79</v>
      </c>
      <c r="I967" s="1" t="s">
        <v>3720</v>
      </c>
      <c r="J967" s="1" t="s">
        <v>4112</v>
      </c>
    </row>
    <row r="968" spans="1:10" x14ac:dyDescent="0.25">
      <c r="A968" s="1" t="s">
        <v>4752</v>
      </c>
      <c r="B968" s="19">
        <v>46182</v>
      </c>
      <c r="C968" s="1" t="s">
        <v>829</v>
      </c>
      <c r="D968" s="1" t="s">
        <v>21</v>
      </c>
      <c r="E968" s="1" t="s">
        <v>81</v>
      </c>
      <c r="F968" s="1">
        <v>5873</v>
      </c>
      <c r="G968" s="1" t="s">
        <v>355</v>
      </c>
      <c r="H968" s="1" t="s">
        <v>76</v>
      </c>
      <c r="I968" s="1" t="s">
        <v>3720</v>
      </c>
      <c r="J968" s="1" t="s">
        <v>82</v>
      </c>
    </row>
    <row r="969" spans="1:10" x14ac:dyDescent="0.25">
      <c r="A969" s="1" t="s">
        <v>4753</v>
      </c>
      <c r="B969" s="19">
        <v>46182</v>
      </c>
      <c r="C969" s="1" t="s">
        <v>829</v>
      </c>
      <c r="D969" s="1" t="s">
        <v>21</v>
      </c>
      <c r="E969" s="1" t="s">
        <v>81</v>
      </c>
      <c r="F969" s="1">
        <v>5873</v>
      </c>
      <c r="G969" s="1" t="s">
        <v>345</v>
      </c>
      <c r="H969" s="1" t="s">
        <v>76</v>
      </c>
      <c r="I969" s="1" t="s">
        <v>3720</v>
      </c>
      <c r="J969" s="1" t="s">
        <v>78</v>
      </c>
    </row>
    <row r="970" spans="1:10" x14ac:dyDescent="0.25">
      <c r="A970" s="1" t="s">
        <v>4754</v>
      </c>
      <c r="B970" s="19">
        <v>46182</v>
      </c>
      <c r="C970" s="1" t="s">
        <v>829</v>
      </c>
      <c r="D970" s="1" t="s">
        <v>21</v>
      </c>
      <c r="E970" s="1" t="s">
        <v>81</v>
      </c>
      <c r="F970" s="1">
        <v>5873</v>
      </c>
      <c r="G970" s="1" t="s">
        <v>361</v>
      </c>
      <c r="H970" s="1" t="s">
        <v>79</v>
      </c>
      <c r="I970" s="1" t="s">
        <v>3720</v>
      </c>
      <c r="J970" s="1" t="s">
        <v>4112</v>
      </c>
    </row>
    <row r="971" spans="1:10" x14ac:dyDescent="0.25">
      <c r="A971" s="1" t="s">
        <v>4755</v>
      </c>
      <c r="B971" s="19">
        <v>46182</v>
      </c>
      <c r="C971" s="1" t="s">
        <v>830</v>
      </c>
      <c r="D971" s="1" t="s">
        <v>21</v>
      </c>
      <c r="E971" s="1" t="s">
        <v>81</v>
      </c>
      <c r="F971" s="1">
        <v>5874</v>
      </c>
      <c r="G971" s="1" t="s">
        <v>355</v>
      </c>
      <c r="H971" s="1" t="s">
        <v>76</v>
      </c>
      <c r="I971" s="1" t="s">
        <v>3720</v>
      </c>
      <c r="J971" s="1" t="s">
        <v>82</v>
      </c>
    </row>
    <row r="972" spans="1:10" x14ac:dyDescent="0.25">
      <c r="A972" s="1" t="s">
        <v>4756</v>
      </c>
      <c r="B972" s="19">
        <v>46182</v>
      </c>
      <c r="C972" s="1" t="s">
        <v>830</v>
      </c>
      <c r="D972" s="1" t="s">
        <v>21</v>
      </c>
      <c r="E972" s="1" t="s">
        <v>81</v>
      </c>
      <c r="F972" s="1">
        <v>5874</v>
      </c>
      <c r="G972" s="1" t="s">
        <v>345</v>
      </c>
      <c r="H972" s="1" t="s">
        <v>76</v>
      </c>
      <c r="I972" s="1" t="s">
        <v>3720</v>
      </c>
      <c r="J972" s="1" t="s">
        <v>78</v>
      </c>
    </row>
    <row r="973" spans="1:10" x14ac:dyDescent="0.25">
      <c r="A973" s="1" t="s">
        <v>4757</v>
      </c>
      <c r="B973" s="19">
        <v>46182</v>
      </c>
      <c r="C973" s="1" t="s">
        <v>830</v>
      </c>
      <c r="D973" s="1" t="s">
        <v>21</v>
      </c>
      <c r="E973" s="1" t="s">
        <v>81</v>
      </c>
      <c r="F973" s="1">
        <v>5874</v>
      </c>
      <c r="G973" s="1" t="s">
        <v>361</v>
      </c>
      <c r="H973" s="1" t="s">
        <v>79</v>
      </c>
      <c r="I973" s="1" t="s">
        <v>3720</v>
      </c>
      <c r="J973" s="1" t="s">
        <v>4112</v>
      </c>
    </row>
    <row r="974" spans="1:10" x14ac:dyDescent="0.25">
      <c r="A974" s="1" t="s">
        <v>4758</v>
      </c>
      <c r="B974" s="19">
        <v>46182</v>
      </c>
      <c r="C974" s="1" t="s">
        <v>831</v>
      </c>
      <c r="D974" s="1" t="s">
        <v>21</v>
      </c>
      <c r="E974" s="1" t="s">
        <v>81</v>
      </c>
      <c r="F974" s="1">
        <v>5875</v>
      </c>
      <c r="G974" s="1" t="s">
        <v>355</v>
      </c>
      <c r="H974" s="1" t="s">
        <v>76</v>
      </c>
      <c r="I974" s="1" t="s">
        <v>3720</v>
      </c>
      <c r="J974" s="1" t="s">
        <v>82</v>
      </c>
    </row>
    <row r="975" spans="1:10" x14ac:dyDescent="0.25">
      <c r="A975" s="1" t="s">
        <v>4759</v>
      </c>
      <c r="B975" s="19">
        <v>46182</v>
      </c>
      <c r="C975" s="1" t="s">
        <v>831</v>
      </c>
      <c r="D975" s="1" t="s">
        <v>21</v>
      </c>
      <c r="E975" s="1" t="s">
        <v>81</v>
      </c>
      <c r="F975" s="1">
        <v>5875</v>
      </c>
      <c r="G975" s="1" t="s">
        <v>345</v>
      </c>
      <c r="H975" s="1" t="s">
        <v>76</v>
      </c>
      <c r="I975" s="1" t="s">
        <v>3720</v>
      </c>
      <c r="J975" s="1" t="s">
        <v>78</v>
      </c>
    </row>
    <row r="976" spans="1:10" x14ac:dyDescent="0.25">
      <c r="A976" s="1" t="s">
        <v>4760</v>
      </c>
      <c r="B976" s="19">
        <v>46182</v>
      </c>
      <c r="C976" s="1" t="s">
        <v>831</v>
      </c>
      <c r="D976" s="1" t="s">
        <v>21</v>
      </c>
      <c r="E976" s="1" t="s">
        <v>81</v>
      </c>
      <c r="F976" s="1">
        <v>5875</v>
      </c>
      <c r="G976" s="1" t="s">
        <v>361</v>
      </c>
      <c r="H976" s="1" t="s">
        <v>79</v>
      </c>
      <c r="I976" s="1" t="s">
        <v>3720</v>
      </c>
      <c r="J976" s="1" t="s">
        <v>4112</v>
      </c>
    </row>
    <row r="977" spans="1:10" x14ac:dyDescent="0.25">
      <c r="A977" s="1" t="s">
        <v>4761</v>
      </c>
      <c r="B977" s="19">
        <v>46182</v>
      </c>
      <c r="C977" s="1" t="s">
        <v>832</v>
      </c>
      <c r="D977" s="1" t="s">
        <v>21</v>
      </c>
      <c r="E977" s="1" t="s">
        <v>81</v>
      </c>
      <c r="F977" s="1">
        <v>5876</v>
      </c>
      <c r="G977" s="1" t="s">
        <v>355</v>
      </c>
      <c r="H977" s="1" t="s">
        <v>76</v>
      </c>
      <c r="I977" s="1" t="s">
        <v>3720</v>
      </c>
      <c r="J977" s="1" t="s">
        <v>82</v>
      </c>
    </row>
    <row r="978" spans="1:10" x14ac:dyDescent="0.25">
      <c r="A978" s="1" t="s">
        <v>4762</v>
      </c>
      <c r="B978" s="19">
        <v>46182</v>
      </c>
      <c r="C978" s="1" t="s">
        <v>832</v>
      </c>
      <c r="D978" s="1" t="s">
        <v>21</v>
      </c>
      <c r="E978" s="1" t="s">
        <v>81</v>
      </c>
      <c r="F978" s="1">
        <v>5876</v>
      </c>
      <c r="G978" s="1" t="s">
        <v>345</v>
      </c>
      <c r="H978" s="1" t="s">
        <v>76</v>
      </c>
      <c r="I978" s="1" t="s">
        <v>3720</v>
      </c>
      <c r="J978" s="1" t="s">
        <v>78</v>
      </c>
    </row>
    <row r="979" spans="1:10" x14ac:dyDescent="0.25">
      <c r="A979" s="1" t="s">
        <v>4763</v>
      </c>
      <c r="B979" s="19">
        <v>46182</v>
      </c>
      <c r="C979" s="1" t="s">
        <v>832</v>
      </c>
      <c r="D979" s="1" t="s">
        <v>21</v>
      </c>
      <c r="E979" s="1" t="s">
        <v>81</v>
      </c>
      <c r="F979" s="1">
        <v>5876</v>
      </c>
      <c r="G979" s="1" t="s">
        <v>361</v>
      </c>
      <c r="H979" s="1" t="s">
        <v>79</v>
      </c>
      <c r="I979" s="1" t="s">
        <v>3720</v>
      </c>
      <c r="J979" s="1" t="s">
        <v>4112</v>
      </c>
    </row>
    <row r="980" spans="1:10" x14ac:dyDescent="0.25">
      <c r="A980" s="1" t="s">
        <v>4764</v>
      </c>
      <c r="B980" s="19">
        <v>46182</v>
      </c>
      <c r="C980" s="1" t="s">
        <v>833</v>
      </c>
      <c r="D980" s="1" t="s">
        <v>21</v>
      </c>
      <c r="E980" s="1" t="s">
        <v>81</v>
      </c>
      <c r="F980" s="1">
        <v>5877</v>
      </c>
      <c r="G980" s="1" t="s">
        <v>355</v>
      </c>
      <c r="H980" s="1" t="s">
        <v>76</v>
      </c>
      <c r="I980" s="1" t="s">
        <v>3720</v>
      </c>
      <c r="J980" s="1" t="s">
        <v>82</v>
      </c>
    </row>
    <row r="981" spans="1:10" x14ac:dyDescent="0.25">
      <c r="A981" s="1" t="s">
        <v>4765</v>
      </c>
      <c r="B981" s="19">
        <v>46182</v>
      </c>
      <c r="C981" s="1" t="s">
        <v>833</v>
      </c>
      <c r="D981" s="1" t="s">
        <v>21</v>
      </c>
      <c r="E981" s="1" t="s">
        <v>81</v>
      </c>
      <c r="F981" s="1">
        <v>5877</v>
      </c>
      <c r="G981" s="1" t="s">
        <v>345</v>
      </c>
      <c r="H981" s="1" t="s">
        <v>76</v>
      </c>
      <c r="I981" s="1" t="s">
        <v>3720</v>
      </c>
      <c r="J981" s="1" t="s">
        <v>78</v>
      </c>
    </row>
    <row r="982" spans="1:10" x14ac:dyDescent="0.25">
      <c r="A982" s="1" t="s">
        <v>4766</v>
      </c>
      <c r="B982" s="19">
        <v>46182</v>
      </c>
      <c r="C982" s="1" t="s">
        <v>833</v>
      </c>
      <c r="D982" s="1" t="s">
        <v>21</v>
      </c>
      <c r="E982" s="1" t="s">
        <v>81</v>
      </c>
      <c r="F982" s="1">
        <v>5877</v>
      </c>
      <c r="G982" s="1" t="s">
        <v>361</v>
      </c>
      <c r="H982" s="1" t="s">
        <v>79</v>
      </c>
      <c r="I982" s="1" t="s">
        <v>3720</v>
      </c>
      <c r="J982" s="1" t="s">
        <v>4112</v>
      </c>
    </row>
    <row r="983" spans="1:10" x14ac:dyDescent="0.25">
      <c r="A983" s="1" t="s">
        <v>4767</v>
      </c>
      <c r="B983" s="19">
        <v>46182</v>
      </c>
      <c r="C983" s="1" t="s">
        <v>834</v>
      </c>
      <c r="D983" s="1" t="s">
        <v>21</v>
      </c>
      <c r="E983" s="1" t="s">
        <v>81</v>
      </c>
      <c r="F983" s="1">
        <v>5878</v>
      </c>
      <c r="G983" s="1" t="s">
        <v>355</v>
      </c>
      <c r="H983" s="1" t="s">
        <v>76</v>
      </c>
      <c r="I983" s="1" t="s">
        <v>3720</v>
      </c>
      <c r="J983" s="1" t="s">
        <v>82</v>
      </c>
    </row>
    <row r="984" spans="1:10" x14ac:dyDescent="0.25">
      <c r="A984" s="1" t="s">
        <v>4768</v>
      </c>
      <c r="B984" s="19">
        <v>46182</v>
      </c>
      <c r="C984" s="1" t="s">
        <v>834</v>
      </c>
      <c r="D984" s="1" t="s">
        <v>21</v>
      </c>
      <c r="E984" s="1" t="s">
        <v>81</v>
      </c>
      <c r="F984" s="1">
        <v>5878</v>
      </c>
      <c r="G984" s="1" t="s">
        <v>345</v>
      </c>
      <c r="H984" s="1" t="s">
        <v>76</v>
      </c>
      <c r="I984" s="1" t="s">
        <v>3720</v>
      </c>
      <c r="J984" s="1" t="s">
        <v>78</v>
      </c>
    </row>
    <row r="985" spans="1:10" x14ac:dyDescent="0.25">
      <c r="A985" s="1" t="s">
        <v>4769</v>
      </c>
      <c r="B985" s="19">
        <v>46182</v>
      </c>
      <c r="C985" s="1" t="s">
        <v>834</v>
      </c>
      <c r="D985" s="1" t="s">
        <v>21</v>
      </c>
      <c r="E985" s="1" t="s">
        <v>81</v>
      </c>
      <c r="F985" s="1">
        <v>5878</v>
      </c>
      <c r="G985" s="1" t="s">
        <v>361</v>
      </c>
      <c r="H985" s="1" t="s">
        <v>79</v>
      </c>
      <c r="I985" s="1" t="s">
        <v>3720</v>
      </c>
      <c r="J985" s="1" t="s">
        <v>4112</v>
      </c>
    </row>
    <row r="986" spans="1:10" x14ac:dyDescent="0.25">
      <c r="A986" s="1" t="s">
        <v>4770</v>
      </c>
      <c r="B986" s="19">
        <v>46182</v>
      </c>
      <c r="C986" s="1" t="s">
        <v>835</v>
      </c>
      <c r="D986" s="1" t="s">
        <v>21</v>
      </c>
      <c r="E986" s="1" t="s">
        <v>81</v>
      </c>
      <c r="F986" s="1">
        <v>5879</v>
      </c>
      <c r="G986" s="1" t="s">
        <v>355</v>
      </c>
      <c r="H986" s="1" t="s">
        <v>76</v>
      </c>
      <c r="I986" s="1" t="s">
        <v>3720</v>
      </c>
      <c r="J986" s="1" t="s">
        <v>82</v>
      </c>
    </row>
    <row r="987" spans="1:10" x14ac:dyDescent="0.25">
      <c r="A987" s="1" t="s">
        <v>4771</v>
      </c>
      <c r="B987" s="19">
        <v>46182</v>
      </c>
      <c r="C987" s="1" t="s">
        <v>835</v>
      </c>
      <c r="D987" s="1" t="s">
        <v>21</v>
      </c>
      <c r="E987" s="1" t="s">
        <v>81</v>
      </c>
      <c r="F987" s="1">
        <v>5879</v>
      </c>
      <c r="G987" s="1" t="s">
        <v>345</v>
      </c>
      <c r="H987" s="1" t="s">
        <v>76</v>
      </c>
      <c r="I987" s="1" t="s">
        <v>3720</v>
      </c>
      <c r="J987" s="1" t="s">
        <v>78</v>
      </c>
    </row>
    <row r="988" spans="1:10" x14ac:dyDescent="0.25">
      <c r="A988" s="1" t="s">
        <v>4772</v>
      </c>
      <c r="B988" s="19">
        <v>46182</v>
      </c>
      <c r="C988" s="1" t="s">
        <v>835</v>
      </c>
      <c r="D988" s="1" t="s">
        <v>21</v>
      </c>
      <c r="E988" s="1" t="s">
        <v>81</v>
      </c>
      <c r="F988" s="1">
        <v>5879</v>
      </c>
      <c r="G988" s="1" t="s">
        <v>361</v>
      </c>
      <c r="H988" s="1" t="s">
        <v>79</v>
      </c>
      <c r="I988" s="1" t="s">
        <v>3720</v>
      </c>
      <c r="J988" s="1" t="s">
        <v>4112</v>
      </c>
    </row>
    <row r="989" spans="1:10" x14ac:dyDescent="0.25">
      <c r="A989" s="1" t="s">
        <v>4773</v>
      </c>
      <c r="B989" s="19">
        <v>46182</v>
      </c>
      <c r="C989" s="1" t="s">
        <v>836</v>
      </c>
      <c r="D989" s="1" t="s">
        <v>21</v>
      </c>
      <c r="E989" s="1" t="s">
        <v>81</v>
      </c>
      <c r="F989" s="1">
        <v>5880</v>
      </c>
      <c r="G989" s="1" t="s">
        <v>355</v>
      </c>
      <c r="H989" s="1" t="s">
        <v>76</v>
      </c>
      <c r="I989" s="1" t="s">
        <v>3720</v>
      </c>
      <c r="J989" s="1" t="s">
        <v>82</v>
      </c>
    </row>
    <row r="990" spans="1:10" x14ac:dyDescent="0.25">
      <c r="A990" s="1" t="s">
        <v>4774</v>
      </c>
      <c r="B990" s="19">
        <v>46182</v>
      </c>
      <c r="C990" s="1" t="s">
        <v>836</v>
      </c>
      <c r="D990" s="1" t="s">
        <v>21</v>
      </c>
      <c r="E990" s="1" t="s">
        <v>81</v>
      </c>
      <c r="F990" s="1">
        <v>5880</v>
      </c>
      <c r="G990" s="1" t="s">
        <v>345</v>
      </c>
      <c r="H990" s="1" t="s">
        <v>76</v>
      </c>
      <c r="I990" s="1" t="s">
        <v>3720</v>
      </c>
      <c r="J990" s="1" t="s">
        <v>78</v>
      </c>
    </row>
    <row r="991" spans="1:10" x14ac:dyDescent="0.25">
      <c r="A991" s="1" t="s">
        <v>4775</v>
      </c>
      <c r="B991" s="19">
        <v>46182</v>
      </c>
      <c r="C991" s="1" t="s">
        <v>836</v>
      </c>
      <c r="D991" s="1" t="s">
        <v>21</v>
      </c>
      <c r="E991" s="1" t="s">
        <v>81</v>
      </c>
      <c r="F991" s="1">
        <v>5880</v>
      </c>
      <c r="G991" s="1" t="s">
        <v>361</v>
      </c>
      <c r="H991" s="1" t="s">
        <v>79</v>
      </c>
      <c r="I991" s="1" t="s">
        <v>3720</v>
      </c>
      <c r="J991" s="1" t="s">
        <v>4112</v>
      </c>
    </row>
    <row r="992" spans="1:10" x14ac:dyDescent="0.25">
      <c r="A992" s="1" t="s">
        <v>4776</v>
      </c>
      <c r="B992" s="19">
        <v>46182</v>
      </c>
      <c r="C992" s="1" t="s">
        <v>837</v>
      </c>
      <c r="D992" s="1" t="s">
        <v>21</v>
      </c>
      <c r="E992" s="1" t="s">
        <v>81</v>
      </c>
      <c r="F992" s="1">
        <v>5881</v>
      </c>
      <c r="G992" s="1" t="s">
        <v>355</v>
      </c>
      <c r="H992" s="1" t="s">
        <v>76</v>
      </c>
      <c r="I992" s="1" t="s">
        <v>3720</v>
      </c>
      <c r="J992" s="1" t="s">
        <v>82</v>
      </c>
    </row>
    <row r="993" spans="1:10" x14ac:dyDescent="0.25">
      <c r="A993" s="1" t="s">
        <v>4777</v>
      </c>
      <c r="B993" s="19">
        <v>46182</v>
      </c>
      <c r="C993" s="1" t="s">
        <v>837</v>
      </c>
      <c r="D993" s="1" t="s">
        <v>21</v>
      </c>
      <c r="E993" s="1" t="s">
        <v>81</v>
      </c>
      <c r="F993" s="1">
        <v>5881</v>
      </c>
      <c r="G993" s="1" t="s">
        <v>345</v>
      </c>
      <c r="H993" s="1" t="s">
        <v>76</v>
      </c>
      <c r="I993" s="1" t="s">
        <v>3720</v>
      </c>
      <c r="J993" s="1" t="s">
        <v>78</v>
      </c>
    </row>
    <row r="994" spans="1:10" x14ac:dyDescent="0.25">
      <c r="A994" s="1" t="s">
        <v>4778</v>
      </c>
      <c r="B994" s="19">
        <v>46182</v>
      </c>
      <c r="C994" s="1" t="s">
        <v>837</v>
      </c>
      <c r="D994" s="1" t="s">
        <v>21</v>
      </c>
      <c r="E994" s="1" t="s">
        <v>81</v>
      </c>
      <c r="F994" s="1">
        <v>5881</v>
      </c>
      <c r="G994" s="1" t="s">
        <v>361</v>
      </c>
      <c r="H994" s="1" t="s">
        <v>79</v>
      </c>
      <c r="I994" s="1" t="s">
        <v>3720</v>
      </c>
      <c r="J994" s="1" t="s">
        <v>4112</v>
      </c>
    </row>
    <row r="995" spans="1:10" x14ac:dyDescent="0.25">
      <c r="A995" s="1" t="s">
        <v>4779</v>
      </c>
      <c r="B995" s="19">
        <v>46182</v>
      </c>
      <c r="C995" s="1" t="s">
        <v>838</v>
      </c>
      <c r="D995" s="1" t="s">
        <v>21</v>
      </c>
      <c r="E995" s="1" t="s">
        <v>81</v>
      </c>
      <c r="F995" s="1">
        <v>5882</v>
      </c>
      <c r="G995" s="1" t="s">
        <v>355</v>
      </c>
      <c r="H995" s="1" t="s">
        <v>76</v>
      </c>
      <c r="I995" s="1" t="s">
        <v>3720</v>
      </c>
      <c r="J995" s="1" t="s">
        <v>82</v>
      </c>
    </row>
    <row r="996" spans="1:10" x14ac:dyDescent="0.25">
      <c r="A996" s="1" t="s">
        <v>4780</v>
      </c>
      <c r="B996" s="19">
        <v>46182</v>
      </c>
      <c r="C996" s="1" t="s">
        <v>838</v>
      </c>
      <c r="D996" s="1" t="s">
        <v>21</v>
      </c>
      <c r="E996" s="1" t="s">
        <v>81</v>
      </c>
      <c r="F996" s="1">
        <v>5882</v>
      </c>
      <c r="G996" s="1" t="s">
        <v>345</v>
      </c>
      <c r="H996" s="1" t="s">
        <v>76</v>
      </c>
      <c r="I996" s="1" t="s">
        <v>3720</v>
      </c>
      <c r="J996" s="1" t="s">
        <v>78</v>
      </c>
    </row>
    <row r="997" spans="1:10" x14ac:dyDescent="0.25">
      <c r="A997" s="1" t="s">
        <v>4781</v>
      </c>
      <c r="B997" s="19">
        <v>46182</v>
      </c>
      <c r="C997" s="1" t="s">
        <v>838</v>
      </c>
      <c r="D997" s="1" t="s">
        <v>21</v>
      </c>
      <c r="E997" s="1" t="s">
        <v>81</v>
      </c>
      <c r="F997" s="1">
        <v>5882</v>
      </c>
      <c r="G997" s="1" t="s">
        <v>361</v>
      </c>
      <c r="H997" s="1" t="s">
        <v>79</v>
      </c>
      <c r="I997" s="1" t="s">
        <v>3720</v>
      </c>
      <c r="J997" s="1" t="s">
        <v>4112</v>
      </c>
    </row>
    <row r="998" spans="1:10" x14ac:dyDescent="0.25">
      <c r="A998" s="1" t="s">
        <v>4782</v>
      </c>
      <c r="B998" s="19">
        <v>46182</v>
      </c>
      <c r="C998" s="1" t="s">
        <v>839</v>
      </c>
      <c r="D998" s="1" t="s">
        <v>21</v>
      </c>
      <c r="E998" s="1" t="s">
        <v>81</v>
      </c>
      <c r="F998" s="1">
        <v>5883</v>
      </c>
      <c r="G998" s="1" t="s">
        <v>355</v>
      </c>
      <c r="H998" s="1" t="s">
        <v>76</v>
      </c>
      <c r="I998" s="1" t="s">
        <v>3720</v>
      </c>
      <c r="J998" s="1" t="s">
        <v>82</v>
      </c>
    </row>
    <row r="999" spans="1:10" x14ac:dyDescent="0.25">
      <c r="A999" s="1" t="s">
        <v>4783</v>
      </c>
      <c r="B999" s="19">
        <v>46182</v>
      </c>
      <c r="C999" s="1" t="s">
        <v>839</v>
      </c>
      <c r="D999" s="1" t="s">
        <v>21</v>
      </c>
      <c r="E999" s="1" t="s">
        <v>81</v>
      </c>
      <c r="F999" s="1">
        <v>5883</v>
      </c>
      <c r="G999" s="1" t="s">
        <v>345</v>
      </c>
      <c r="H999" s="1" t="s">
        <v>76</v>
      </c>
      <c r="I999" s="1" t="s">
        <v>3720</v>
      </c>
      <c r="J999" s="1" t="s">
        <v>78</v>
      </c>
    </row>
    <row r="1000" spans="1:10" x14ac:dyDescent="0.25">
      <c r="A1000" s="1" t="s">
        <v>4784</v>
      </c>
      <c r="B1000" s="19">
        <v>46182</v>
      </c>
      <c r="C1000" s="1" t="s">
        <v>839</v>
      </c>
      <c r="D1000" s="1" t="s">
        <v>21</v>
      </c>
      <c r="E1000" s="1" t="s">
        <v>81</v>
      </c>
      <c r="F1000" s="1">
        <v>5883</v>
      </c>
      <c r="G1000" s="1" t="s">
        <v>361</v>
      </c>
      <c r="H1000" s="1" t="s">
        <v>79</v>
      </c>
      <c r="I1000" s="1" t="s">
        <v>3720</v>
      </c>
      <c r="J1000" s="1" t="s">
        <v>4112</v>
      </c>
    </row>
    <row r="1001" spans="1:10" x14ac:dyDescent="0.25">
      <c r="A1001" s="1" t="s">
        <v>4785</v>
      </c>
      <c r="B1001" s="19">
        <v>46182</v>
      </c>
      <c r="C1001" s="1" t="s">
        <v>840</v>
      </c>
      <c r="D1001" s="1" t="s">
        <v>21</v>
      </c>
      <c r="E1001" s="1" t="s">
        <v>81</v>
      </c>
      <c r="F1001" s="1">
        <v>5884</v>
      </c>
      <c r="G1001" s="1" t="s">
        <v>355</v>
      </c>
      <c r="H1001" s="1" t="s">
        <v>76</v>
      </c>
      <c r="I1001" s="1" t="s">
        <v>3720</v>
      </c>
      <c r="J1001" s="1" t="s">
        <v>82</v>
      </c>
    </row>
    <row r="1002" spans="1:10" x14ac:dyDescent="0.25">
      <c r="A1002" s="1" t="s">
        <v>4786</v>
      </c>
      <c r="B1002" s="19">
        <v>46182</v>
      </c>
      <c r="C1002" s="1" t="s">
        <v>840</v>
      </c>
      <c r="D1002" s="1" t="s">
        <v>21</v>
      </c>
      <c r="E1002" s="1" t="s">
        <v>81</v>
      </c>
      <c r="F1002" s="1">
        <v>5884</v>
      </c>
      <c r="G1002" s="1" t="s">
        <v>345</v>
      </c>
      <c r="H1002" s="1" t="s">
        <v>76</v>
      </c>
      <c r="I1002" s="1" t="s">
        <v>3720</v>
      </c>
      <c r="J1002" s="1" t="s">
        <v>78</v>
      </c>
    </row>
    <row r="1003" spans="1:10" x14ac:dyDescent="0.25">
      <c r="A1003" s="1" t="s">
        <v>4787</v>
      </c>
      <c r="B1003" s="19">
        <v>46182</v>
      </c>
      <c r="C1003" s="1" t="s">
        <v>840</v>
      </c>
      <c r="D1003" s="1" t="s">
        <v>21</v>
      </c>
      <c r="E1003" s="1" t="s">
        <v>81</v>
      </c>
      <c r="F1003" s="1">
        <v>5884</v>
      </c>
      <c r="G1003" s="1" t="s">
        <v>361</v>
      </c>
      <c r="H1003" s="1" t="s">
        <v>79</v>
      </c>
      <c r="I1003" s="1" t="s">
        <v>3720</v>
      </c>
      <c r="J1003" s="1" t="s">
        <v>4112</v>
      </c>
    </row>
    <row r="1004" spans="1:10" x14ac:dyDescent="0.25">
      <c r="A1004" s="1" t="s">
        <v>4788</v>
      </c>
      <c r="B1004" s="19">
        <v>46182</v>
      </c>
      <c r="C1004" s="1" t="s">
        <v>841</v>
      </c>
      <c r="D1004" s="1" t="s">
        <v>21</v>
      </c>
      <c r="E1004" s="1" t="s">
        <v>81</v>
      </c>
      <c r="F1004" s="1">
        <v>5885</v>
      </c>
      <c r="G1004" s="1" t="s">
        <v>355</v>
      </c>
      <c r="H1004" s="1" t="s">
        <v>76</v>
      </c>
      <c r="I1004" s="1" t="s">
        <v>3720</v>
      </c>
      <c r="J1004" s="1" t="s">
        <v>82</v>
      </c>
    </row>
    <row r="1005" spans="1:10" x14ac:dyDescent="0.25">
      <c r="A1005" s="1" t="s">
        <v>4789</v>
      </c>
      <c r="B1005" s="19">
        <v>46182</v>
      </c>
      <c r="C1005" s="1" t="s">
        <v>841</v>
      </c>
      <c r="D1005" s="1" t="s">
        <v>21</v>
      </c>
      <c r="E1005" s="1" t="s">
        <v>81</v>
      </c>
      <c r="F1005" s="1">
        <v>5885</v>
      </c>
      <c r="G1005" s="1" t="s">
        <v>345</v>
      </c>
      <c r="H1005" s="1" t="s">
        <v>76</v>
      </c>
      <c r="I1005" s="1" t="s">
        <v>3720</v>
      </c>
      <c r="J1005" s="1" t="s">
        <v>78</v>
      </c>
    </row>
    <row r="1006" spans="1:10" x14ac:dyDescent="0.25">
      <c r="A1006" s="1" t="s">
        <v>4790</v>
      </c>
      <c r="B1006" s="19">
        <v>46182</v>
      </c>
      <c r="C1006" s="1" t="s">
        <v>841</v>
      </c>
      <c r="D1006" s="1" t="s">
        <v>21</v>
      </c>
      <c r="E1006" s="1" t="s">
        <v>81</v>
      </c>
      <c r="F1006" s="1">
        <v>5885</v>
      </c>
      <c r="G1006" s="1" t="s">
        <v>361</v>
      </c>
      <c r="H1006" s="1" t="s">
        <v>79</v>
      </c>
      <c r="I1006" s="1" t="s">
        <v>3720</v>
      </c>
      <c r="J1006" s="1" t="s">
        <v>4112</v>
      </c>
    </row>
    <row r="1007" spans="1:10" x14ac:dyDescent="0.25">
      <c r="A1007" s="1" t="s">
        <v>4791</v>
      </c>
      <c r="B1007" s="19">
        <v>46182</v>
      </c>
      <c r="C1007" s="1" t="s">
        <v>842</v>
      </c>
      <c r="D1007" s="1" t="s">
        <v>21</v>
      </c>
      <c r="E1007" s="1" t="s">
        <v>81</v>
      </c>
      <c r="F1007" s="1">
        <v>5886</v>
      </c>
      <c r="G1007" s="1" t="s">
        <v>355</v>
      </c>
      <c r="H1007" s="1" t="s">
        <v>76</v>
      </c>
      <c r="I1007" s="1" t="s">
        <v>3720</v>
      </c>
      <c r="J1007" s="1" t="s">
        <v>82</v>
      </c>
    </row>
    <row r="1008" spans="1:10" x14ac:dyDescent="0.25">
      <c r="A1008" s="1" t="s">
        <v>4792</v>
      </c>
      <c r="B1008" s="19">
        <v>46182</v>
      </c>
      <c r="C1008" s="1" t="s">
        <v>842</v>
      </c>
      <c r="D1008" s="1" t="s">
        <v>21</v>
      </c>
      <c r="E1008" s="1" t="s">
        <v>81</v>
      </c>
      <c r="F1008" s="1">
        <v>5886</v>
      </c>
      <c r="G1008" s="1" t="s">
        <v>345</v>
      </c>
      <c r="H1008" s="1" t="s">
        <v>76</v>
      </c>
      <c r="I1008" s="1" t="s">
        <v>3720</v>
      </c>
      <c r="J1008" s="1" t="s">
        <v>78</v>
      </c>
    </row>
    <row r="1009" spans="1:10" x14ac:dyDescent="0.25">
      <c r="A1009" s="1" t="s">
        <v>4793</v>
      </c>
      <c r="B1009" s="19">
        <v>46182</v>
      </c>
      <c r="C1009" s="1" t="s">
        <v>842</v>
      </c>
      <c r="D1009" s="1" t="s">
        <v>21</v>
      </c>
      <c r="E1009" s="1" t="s">
        <v>81</v>
      </c>
      <c r="F1009" s="1">
        <v>5886</v>
      </c>
      <c r="G1009" s="1" t="s">
        <v>361</v>
      </c>
      <c r="H1009" s="1" t="s">
        <v>79</v>
      </c>
      <c r="I1009" s="1" t="s">
        <v>3720</v>
      </c>
      <c r="J1009" s="1" t="s">
        <v>4112</v>
      </c>
    </row>
    <row r="1010" spans="1:10" x14ac:dyDescent="0.25">
      <c r="A1010" s="1" t="s">
        <v>4794</v>
      </c>
      <c r="B1010" s="19">
        <v>46182</v>
      </c>
      <c r="C1010" s="1" t="s">
        <v>843</v>
      </c>
      <c r="D1010" s="1" t="s">
        <v>21</v>
      </c>
      <c r="E1010" s="1" t="s">
        <v>81</v>
      </c>
      <c r="F1010" s="1">
        <v>5887</v>
      </c>
      <c r="G1010" s="1" t="s">
        <v>355</v>
      </c>
      <c r="H1010" s="1" t="s">
        <v>76</v>
      </c>
      <c r="I1010" s="1" t="s">
        <v>3720</v>
      </c>
      <c r="J1010" s="1" t="s">
        <v>82</v>
      </c>
    </row>
    <row r="1011" spans="1:10" x14ac:dyDescent="0.25">
      <c r="A1011" s="1" t="s">
        <v>4795</v>
      </c>
      <c r="B1011" s="19">
        <v>46182</v>
      </c>
      <c r="C1011" s="1" t="s">
        <v>843</v>
      </c>
      <c r="D1011" s="1" t="s">
        <v>21</v>
      </c>
      <c r="E1011" s="1" t="s">
        <v>81</v>
      </c>
      <c r="F1011" s="1">
        <v>5887</v>
      </c>
      <c r="G1011" s="1" t="s">
        <v>345</v>
      </c>
      <c r="H1011" s="1" t="s">
        <v>76</v>
      </c>
      <c r="I1011" s="1" t="s">
        <v>3720</v>
      </c>
      <c r="J1011" s="1" t="s">
        <v>78</v>
      </c>
    </row>
    <row r="1012" spans="1:10" x14ac:dyDescent="0.25">
      <c r="A1012" s="1" t="s">
        <v>4796</v>
      </c>
      <c r="B1012" s="19">
        <v>46182</v>
      </c>
      <c r="C1012" s="1" t="s">
        <v>843</v>
      </c>
      <c r="D1012" s="1" t="s">
        <v>21</v>
      </c>
      <c r="E1012" s="1" t="s">
        <v>81</v>
      </c>
      <c r="F1012" s="1">
        <v>5887</v>
      </c>
      <c r="G1012" s="1" t="s">
        <v>361</v>
      </c>
      <c r="H1012" s="1" t="s">
        <v>79</v>
      </c>
      <c r="I1012" s="1" t="s">
        <v>3720</v>
      </c>
      <c r="J1012" s="1" t="s">
        <v>4112</v>
      </c>
    </row>
    <row r="1013" spans="1:10" x14ac:dyDescent="0.25">
      <c r="A1013" s="1" t="s">
        <v>4797</v>
      </c>
      <c r="B1013" s="19">
        <v>46182</v>
      </c>
      <c r="C1013" s="1" t="s">
        <v>844</v>
      </c>
      <c r="D1013" s="1" t="s">
        <v>21</v>
      </c>
      <c r="E1013" s="1" t="s">
        <v>81</v>
      </c>
      <c r="F1013" s="1">
        <v>5888</v>
      </c>
      <c r="G1013" s="1" t="s">
        <v>355</v>
      </c>
      <c r="H1013" s="1" t="s">
        <v>76</v>
      </c>
      <c r="I1013" s="1" t="s">
        <v>3720</v>
      </c>
      <c r="J1013" s="1" t="s">
        <v>82</v>
      </c>
    </row>
    <row r="1014" spans="1:10" x14ac:dyDescent="0.25">
      <c r="A1014" s="1" t="s">
        <v>4798</v>
      </c>
      <c r="B1014" s="19">
        <v>46182</v>
      </c>
      <c r="C1014" s="1" t="s">
        <v>844</v>
      </c>
      <c r="D1014" s="1" t="s">
        <v>21</v>
      </c>
      <c r="E1014" s="1" t="s">
        <v>81</v>
      </c>
      <c r="F1014" s="1">
        <v>5888</v>
      </c>
      <c r="G1014" s="1" t="s">
        <v>345</v>
      </c>
      <c r="H1014" s="1" t="s">
        <v>76</v>
      </c>
      <c r="I1014" s="1" t="s">
        <v>3720</v>
      </c>
      <c r="J1014" s="1" t="s">
        <v>78</v>
      </c>
    </row>
    <row r="1015" spans="1:10" x14ac:dyDescent="0.25">
      <c r="A1015" s="1" t="s">
        <v>4799</v>
      </c>
      <c r="B1015" s="19">
        <v>46182</v>
      </c>
      <c r="C1015" s="1" t="s">
        <v>844</v>
      </c>
      <c r="D1015" s="1" t="s">
        <v>21</v>
      </c>
      <c r="E1015" s="1" t="s">
        <v>81</v>
      </c>
      <c r="F1015" s="1">
        <v>5888</v>
      </c>
      <c r="G1015" s="1" t="s">
        <v>361</v>
      </c>
      <c r="H1015" s="1" t="s">
        <v>79</v>
      </c>
      <c r="I1015" s="1" t="s">
        <v>3720</v>
      </c>
      <c r="J1015" s="1" t="s">
        <v>4112</v>
      </c>
    </row>
    <row r="1016" spans="1:10" x14ac:dyDescent="0.25">
      <c r="A1016" s="1" t="s">
        <v>4800</v>
      </c>
      <c r="B1016" s="19">
        <v>46182</v>
      </c>
      <c r="C1016" s="1" t="s">
        <v>845</v>
      </c>
      <c r="D1016" s="1" t="s">
        <v>21</v>
      </c>
      <c r="E1016" s="1" t="s">
        <v>81</v>
      </c>
      <c r="F1016" s="1">
        <v>5889</v>
      </c>
      <c r="G1016" s="1" t="s">
        <v>355</v>
      </c>
      <c r="H1016" s="1" t="s">
        <v>76</v>
      </c>
      <c r="I1016" s="1" t="s">
        <v>3720</v>
      </c>
      <c r="J1016" s="1" t="s">
        <v>82</v>
      </c>
    </row>
    <row r="1017" spans="1:10" x14ac:dyDescent="0.25">
      <c r="A1017" s="1" t="s">
        <v>4801</v>
      </c>
      <c r="B1017" s="19">
        <v>46182</v>
      </c>
      <c r="C1017" s="1" t="s">
        <v>845</v>
      </c>
      <c r="D1017" s="1" t="s">
        <v>21</v>
      </c>
      <c r="E1017" s="1" t="s">
        <v>81</v>
      </c>
      <c r="F1017" s="1">
        <v>5889</v>
      </c>
      <c r="G1017" s="1" t="s">
        <v>345</v>
      </c>
      <c r="H1017" s="1" t="s">
        <v>76</v>
      </c>
      <c r="I1017" s="1" t="s">
        <v>3720</v>
      </c>
      <c r="J1017" s="1" t="s">
        <v>78</v>
      </c>
    </row>
    <row r="1018" spans="1:10" x14ac:dyDescent="0.25">
      <c r="A1018" s="1" t="s">
        <v>4802</v>
      </c>
      <c r="B1018" s="19">
        <v>46182</v>
      </c>
      <c r="C1018" s="1" t="s">
        <v>845</v>
      </c>
      <c r="D1018" s="1" t="s">
        <v>21</v>
      </c>
      <c r="E1018" s="1" t="s">
        <v>81</v>
      </c>
      <c r="F1018" s="1">
        <v>5889</v>
      </c>
      <c r="G1018" s="1" t="s">
        <v>361</v>
      </c>
      <c r="H1018" s="1" t="s">
        <v>79</v>
      </c>
      <c r="I1018" s="1" t="s">
        <v>3720</v>
      </c>
      <c r="J1018" s="1" t="s">
        <v>4112</v>
      </c>
    </row>
    <row r="1019" spans="1:10" x14ac:dyDescent="0.25">
      <c r="A1019" s="1" t="s">
        <v>4803</v>
      </c>
      <c r="B1019" s="19">
        <v>46182</v>
      </c>
      <c r="C1019" s="1" t="s">
        <v>846</v>
      </c>
      <c r="D1019" s="1" t="s">
        <v>21</v>
      </c>
      <c r="E1019" s="1" t="s">
        <v>81</v>
      </c>
      <c r="F1019" s="1">
        <v>5890</v>
      </c>
      <c r="G1019" s="1" t="s">
        <v>355</v>
      </c>
      <c r="H1019" s="1" t="s">
        <v>76</v>
      </c>
      <c r="I1019" s="1" t="s">
        <v>3720</v>
      </c>
      <c r="J1019" s="1" t="s">
        <v>82</v>
      </c>
    </row>
    <row r="1020" spans="1:10" x14ac:dyDescent="0.25">
      <c r="A1020" s="1" t="s">
        <v>4804</v>
      </c>
      <c r="B1020" s="19">
        <v>46182</v>
      </c>
      <c r="C1020" s="1" t="s">
        <v>846</v>
      </c>
      <c r="D1020" s="1" t="s">
        <v>21</v>
      </c>
      <c r="E1020" s="1" t="s">
        <v>81</v>
      </c>
      <c r="F1020" s="1">
        <v>5890</v>
      </c>
      <c r="G1020" s="1" t="s">
        <v>345</v>
      </c>
      <c r="H1020" s="1" t="s">
        <v>76</v>
      </c>
      <c r="I1020" s="1" t="s">
        <v>3720</v>
      </c>
      <c r="J1020" s="1" t="s">
        <v>78</v>
      </c>
    </row>
    <row r="1021" spans="1:10" x14ac:dyDescent="0.25">
      <c r="A1021" s="1" t="s">
        <v>4805</v>
      </c>
      <c r="B1021" s="19">
        <v>46182</v>
      </c>
      <c r="C1021" s="1" t="s">
        <v>846</v>
      </c>
      <c r="D1021" s="1" t="s">
        <v>21</v>
      </c>
      <c r="E1021" s="1" t="s">
        <v>81</v>
      </c>
      <c r="F1021" s="1">
        <v>5890</v>
      </c>
      <c r="G1021" s="1" t="s">
        <v>361</v>
      </c>
      <c r="H1021" s="1" t="s">
        <v>79</v>
      </c>
      <c r="I1021" s="1" t="s">
        <v>3720</v>
      </c>
      <c r="J1021" s="1" t="s">
        <v>4112</v>
      </c>
    </row>
    <row r="1022" spans="1:10" x14ac:dyDescent="0.25">
      <c r="A1022" s="1" t="s">
        <v>4806</v>
      </c>
      <c r="B1022" s="19">
        <v>46182</v>
      </c>
      <c r="C1022" s="1" t="s">
        <v>847</v>
      </c>
      <c r="D1022" s="1" t="s">
        <v>21</v>
      </c>
      <c r="E1022" s="1" t="s">
        <v>81</v>
      </c>
      <c r="F1022" s="1">
        <v>5891</v>
      </c>
      <c r="G1022" s="1" t="s">
        <v>355</v>
      </c>
      <c r="H1022" s="1" t="s">
        <v>76</v>
      </c>
      <c r="I1022" s="1" t="s">
        <v>3720</v>
      </c>
      <c r="J1022" s="1" t="s">
        <v>82</v>
      </c>
    </row>
    <row r="1023" spans="1:10" x14ac:dyDescent="0.25">
      <c r="A1023" s="1" t="s">
        <v>4807</v>
      </c>
      <c r="B1023" s="19">
        <v>46182</v>
      </c>
      <c r="C1023" s="1" t="s">
        <v>847</v>
      </c>
      <c r="D1023" s="1" t="s">
        <v>21</v>
      </c>
      <c r="E1023" s="1" t="s">
        <v>81</v>
      </c>
      <c r="F1023" s="1">
        <v>5891</v>
      </c>
      <c r="G1023" s="1" t="s">
        <v>345</v>
      </c>
      <c r="H1023" s="1" t="s">
        <v>76</v>
      </c>
      <c r="I1023" s="1" t="s">
        <v>3720</v>
      </c>
      <c r="J1023" s="1" t="s">
        <v>78</v>
      </c>
    </row>
    <row r="1024" spans="1:10" x14ac:dyDescent="0.25">
      <c r="A1024" s="1" t="s">
        <v>4808</v>
      </c>
      <c r="B1024" s="19">
        <v>46182</v>
      </c>
      <c r="C1024" s="1" t="s">
        <v>847</v>
      </c>
      <c r="D1024" s="1" t="s">
        <v>21</v>
      </c>
      <c r="E1024" s="1" t="s">
        <v>81</v>
      </c>
      <c r="F1024" s="1">
        <v>5891</v>
      </c>
      <c r="G1024" s="1" t="s">
        <v>361</v>
      </c>
      <c r="H1024" s="1" t="s">
        <v>79</v>
      </c>
      <c r="I1024" s="1" t="s">
        <v>3720</v>
      </c>
      <c r="J1024" s="1" t="s">
        <v>4112</v>
      </c>
    </row>
    <row r="1025" spans="1:10" x14ac:dyDescent="0.25">
      <c r="A1025" s="1" t="s">
        <v>4809</v>
      </c>
      <c r="B1025" s="19">
        <v>46182</v>
      </c>
      <c r="C1025" s="1" t="s">
        <v>848</v>
      </c>
      <c r="D1025" s="1" t="s">
        <v>21</v>
      </c>
      <c r="E1025" s="1" t="s">
        <v>81</v>
      </c>
      <c r="F1025" s="1">
        <v>5892</v>
      </c>
      <c r="G1025" s="1" t="s">
        <v>355</v>
      </c>
      <c r="H1025" s="1" t="s">
        <v>76</v>
      </c>
      <c r="I1025" s="1" t="s">
        <v>3720</v>
      </c>
      <c r="J1025" s="1" t="s">
        <v>82</v>
      </c>
    </row>
    <row r="1026" spans="1:10" x14ac:dyDescent="0.25">
      <c r="A1026" s="1" t="s">
        <v>4810</v>
      </c>
      <c r="B1026" s="19">
        <v>46182</v>
      </c>
      <c r="C1026" s="1" t="s">
        <v>848</v>
      </c>
      <c r="D1026" s="1" t="s">
        <v>21</v>
      </c>
      <c r="E1026" s="1" t="s">
        <v>81</v>
      </c>
      <c r="F1026" s="1">
        <v>5892</v>
      </c>
      <c r="G1026" s="1" t="s">
        <v>345</v>
      </c>
      <c r="H1026" s="1" t="s">
        <v>76</v>
      </c>
      <c r="I1026" s="1" t="s">
        <v>3720</v>
      </c>
      <c r="J1026" s="1" t="s">
        <v>78</v>
      </c>
    </row>
    <row r="1027" spans="1:10" x14ac:dyDescent="0.25">
      <c r="A1027" s="1" t="s">
        <v>4811</v>
      </c>
      <c r="B1027" s="19">
        <v>46182</v>
      </c>
      <c r="C1027" s="1" t="s">
        <v>848</v>
      </c>
      <c r="D1027" s="1" t="s">
        <v>21</v>
      </c>
      <c r="E1027" s="1" t="s">
        <v>81</v>
      </c>
      <c r="F1027" s="1">
        <v>5892</v>
      </c>
      <c r="G1027" s="1" t="s">
        <v>361</v>
      </c>
      <c r="H1027" s="1" t="s">
        <v>79</v>
      </c>
      <c r="I1027" s="1" t="s">
        <v>3720</v>
      </c>
      <c r="J1027" s="1" t="s">
        <v>4112</v>
      </c>
    </row>
    <row r="1028" spans="1:10" x14ac:dyDescent="0.25">
      <c r="A1028" s="1" t="s">
        <v>4812</v>
      </c>
      <c r="B1028" s="19">
        <v>46182</v>
      </c>
      <c r="C1028" s="1" t="s">
        <v>849</v>
      </c>
      <c r="D1028" s="1" t="s">
        <v>21</v>
      </c>
      <c r="E1028" s="1" t="s">
        <v>81</v>
      </c>
      <c r="F1028" s="1">
        <v>5893</v>
      </c>
      <c r="G1028" s="1" t="s">
        <v>355</v>
      </c>
      <c r="H1028" s="1" t="s">
        <v>76</v>
      </c>
      <c r="I1028" s="1" t="s">
        <v>3720</v>
      </c>
      <c r="J1028" s="1" t="s">
        <v>82</v>
      </c>
    </row>
    <row r="1029" spans="1:10" x14ac:dyDescent="0.25">
      <c r="A1029" s="1" t="s">
        <v>4813</v>
      </c>
      <c r="B1029" s="19">
        <v>46182</v>
      </c>
      <c r="C1029" s="1" t="s">
        <v>849</v>
      </c>
      <c r="D1029" s="1" t="s">
        <v>21</v>
      </c>
      <c r="E1029" s="1" t="s">
        <v>81</v>
      </c>
      <c r="F1029" s="1">
        <v>5893</v>
      </c>
      <c r="G1029" s="1" t="s">
        <v>345</v>
      </c>
      <c r="H1029" s="1" t="s">
        <v>76</v>
      </c>
      <c r="I1029" s="1" t="s">
        <v>3720</v>
      </c>
      <c r="J1029" s="1" t="s">
        <v>78</v>
      </c>
    </row>
    <row r="1030" spans="1:10" x14ac:dyDescent="0.25">
      <c r="A1030" s="1" t="s">
        <v>4814</v>
      </c>
      <c r="B1030" s="19">
        <v>46182</v>
      </c>
      <c r="C1030" s="1" t="s">
        <v>849</v>
      </c>
      <c r="D1030" s="1" t="s">
        <v>21</v>
      </c>
      <c r="E1030" s="1" t="s">
        <v>81</v>
      </c>
      <c r="F1030" s="1">
        <v>5893</v>
      </c>
      <c r="G1030" s="1" t="s">
        <v>361</v>
      </c>
      <c r="H1030" s="1" t="s">
        <v>79</v>
      </c>
      <c r="I1030" s="1" t="s">
        <v>3720</v>
      </c>
      <c r="J1030" s="1" t="s">
        <v>4112</v>
      </c>
    </row>
    <row r="1031" spans="1:10" x14ac:dyDescent="0.25">
      <c r="A1031" s="1" t="s">
        <v>4815</v>
      </c>
      <c r="B1031" s="19">
        <v>46182</v>
      </c>
      <c r="C1031" s="1" t="s">
        <v>850</v>
      </c>
      <c r="D1031" s="1" t="s">
        <v>21</v>
      </c>
      <c r="E1031" s="1" t="s">
        <v>81</v>
      </c>
      <c r="F1031" s="1">
        <v>5894</v>
      </c>
      <c r="G1031" s="1" t="s">
        <v>355</v>
      </c>
      <c r="H1031" s="1" t="s">
        <v>76</v>
      </c>
      <c r="I1031" s="1" t="s">
        <v>3720</v>
      </c>
      <c r="J1031" s="1" t="s">
        <v>82</v>
      </c>
    </row>
    <row r="1032" spans="1:10" x14ac:dyDescent="0.25">
      <c r="A1032" s="1" t="s">
        <v>4816</v>
      </c>
      <c r="B1032" s="19">
        <v>46182</v>
      </c>
      <c r="C1032" s="1" t="s">
        <v>850</v>
      </c>
      <c r="D1032" s="1" t="s">
        <v>21</v>
      </c>
      <c r="E1032" s="1" t="s">
        <v>81</v>
      </c>
      <c r="F1032" s="1">
        <v>5894</v>
      </c>
      <c r="G1032" s="1" t="s">
        <v>345</v>
      </c>
      <c r="H1032" s="1" t="s">
        <v>76</v>
      </c>
      <c r="I1032" s="1" t="s">
        <v>3720</v>
      </c>
      <c r="J1032" s="1" t="s">
        <v>78</v>
      </c>
    </row>
    <row r="1033" spans="1:10" x14ac:dyDescent="0.25">
      <c r="A1033" s="1" t="s">
        <v>4817</v>
      </c>
      <c r="B1033" s="19">
        <v>46182</v>
      </c>
      <c r="C1033" s="1" t="s">
        <v>850</v>
      </c>
      <c r="D1033" s="1" t="s">
        <v>21</v>
      </c>
      <c r="E1033" s="1" t="s">
        <v>81</v>
      </c>
      <c r="F1033" s="1">
        <v>5894</v>
      </c>
      <c r="G1033" s="1" t="s">
        <v>361</v>
      </c>
      <c r="H1033" s="1" t="s">
        <v>79</v>
      </c>
      <c r="I1033" s="1" t="s">
        <v>3720</v>
      </c>
      <c r="J1033" s="1" t="s">
        <v>4112</v>
      </c>
    </row>
    <row r="1034" spans="1:10" x14ac:dyDescent="0.25">
      <c r="A1034" s="1" t="s">
        <v>4818</v>
      </c>
      <c r="B1034" s="19">
        <v>46182</v>
      </c>
      <c r="C1034" s="1" t="s">
        <v>851</v>
      </c>
      <c r="D1034" s="1" t="s">
        <v>21</v>
      </c>
      <c r="E1034" s="1" t="s">
        <v>81</v>
      </c>
      <c r="F1034" s="1">
        <v>5895</v>
      </c>
      <c r="G1034" s="1" t="s">
        <v>355</v>
      </c>
      <c r="H1034" s="1" t="s">
        <v>76</v>
      </c>
      <c r="I1034" s="1" t="s">
        <v>3720</v>
      </c>
      <c r="J1034" s="1" t="s">
        <v>82</v>
      </c>
    </row>
    <row r="1035" spans="1:10" x14ac:dyDescent="0.25">
      <c r="A1035" s="1" t="s">
        <v>4819</v>
      </c>
      <c r="B1035" s="19">
        <v>46182</v>
      </c>
      <c r="C1035" s="1" t="s">
        <v>851</v>
      </c>
      <c r="D1035" s="1" t="s">
        <v>21</v>
      </c>
      <c r="E1035" s="1" t="s">
        <v>81</v>
      </c>
      <c r="F1035" s="1">
        <v>5895</v>
      </c>
      <c r="G1035" s="1" t="s">
        <v>345</v>
      </c>
      <c r="H1035" s="1" t="s">
        <v>76</v>
      </c>
      <c r="I1035" s="1" t="s">
        <v>3720</v>
      </c>
      <c r="J1035" s="1" t="s">
        <v>78</v>
      </c>
    </row>
    <row r="1036" spans="1:10" x14ac:dyDescent="0.25">
      <c r="A1036" s="1" t="s">
        <v>4820</v>
      </c>
      <c r="B1036" s="19">
        <v>46182</v>
      </c>
      <c r="C1036" s="1" t="s">
        <v>851</v>
      </c>
      <c r="D1036" s="1" t="s">
        <v>21</v>
      </c>
      <c r="E1036" s="1" t="s">
        <v>81</v>
      </c>
      <c r="F1036" s="1">
        <v>5895</v>
      </c>
      <c r="G1036" s="1" t="s">
        <v>361</v>
      </c>
      <c r="H1036" s="1" t="s">
        <v>79</v>
      </c>
      <c r="I1036" s="1" t="s">
        <v>3720</v>
      </c>
      <c r="J1036" s="1" t="s">
        <v>4112</v>
      </c>
    </row>
    <row r="1037" spans="1:10" x14ac:dyDescent="0.25">
      <c r="A1037" s="1" t="s">
        <v>4821</v>
      </c>
      <c r="B1037" s="19">
        <v>46182</v>
      </c>
      <c r="C1037" s="1" t="s">
        <v>852</v>
      </c>
      <c r="D1037" s="1" t="s">
        <v>21</v>
      </c>
      <c r="E1037" s="1" t="s">
        <v>81</v>
      </c>
      <c r="F1037" s="1">
        <v>5896</v>
      </c>
      <c r="G1037" s="1" t="s">
        <v>355</v>
      </c>
      <c r="H1037" s="1" t="s">
        <v>76</v>
      </c>
      <c r="I1037" s="1" t="s">
        <v>3720</v>
      </c>
      <c r="J1037" s="1" t="s">
        <v>82</v>
      </c>
    </row>
    <row r="1038" spans="1:10" x14ac:dyDescent="0.25">
      <c r="A1038" s="1" t="s">
        <v>4822</v>
      </c>
      <c r="B1038" s="19">
        <v>46182</v>
      </c>
      <c r="C1038" s="1" t="s">
        <v>852</v>
      </c>
      <c r="D1038" s="1" t="s">
        <v>21</v>
      </c>
      <c r="E1038" s="1" t="s">
        <v>81</v>
      </c>
      <c r="F1038" s="1">
        <v>5896</v>
      </c>
      <c r="G1038" s="1" t="s">
        <v>345</v>
      </c>
      <c r="H1038" s="1" t="s">
        <v>76</v>
      </c>
      <c r="I1038" s="1" t="s">
        <v>3720</v>
      </c>
      <c r="J1038" s="1" t="s">
        <v>78</v>
      </c>
    </row>
    <row r="1039" spans="1:10" x14ac:dyDescent="0.25">
      <c r="A1039" s="1" t="s">
        <v>4823</v>
      </c>
      <c r="B1039" s="19">
        <v>46182</v>
      </c>
      <c r="C1039" s="1" t="s">
        <v>852</v>
      </c>
      <c r="D1039" s="1" t="s">
        <v>21</v>
      </c>
      <c r="E1039" s="1" t="s">
        <v>81</v>
      </c>
      <c r="F1039" s="1">
        <v>5896</v>
      </c>
      <c r="G1039" s="1" t="s">
        <v>361</v>
      </c>
      <c r="H1039" s="1" t="s">
        <v>79</v>
      </c>
      <c r="I1039" s="1" t="s">
        <v>3720</v>
      </c>
      <c r="J1039" s="1" t="s">
        <v>4112</v>
      </c>
    </row>
    <row r="1040" spans="1:10" x14ac:dyDescent="0.25">
      <c r="A1040" s="1" t="s">
        <v>4824</v>
      </c>
      <c r="B1040" s="19">
        <v>46182</v>
      </c>
      <c r="C1040" s="1" t="s">
        <v>853</v>
      </c>
      <c r="D1040" s="1" t="s">
        <v>21</v>
      </c>
      <c r="E1040" s="1" t="s">
        <v>81</v>
      </c>
      <c r="F1040" s="1">
        <v>5897</v>
      </c>
      <c r="G1040" s="1" t="s">
        <v>355</v>
      </c>
      <c r="H1040" s="1" t="s">
        <v>76</v>
      </c>
      <c r="I1040" s="1" t="s">
        <v>3720</v>
      </c>
      <c r="J1040" s="1" t="s">
        <v>82</v>
      </c>
    </row>
    <row r="1041" spans="1:10" x14ac:dyDescent="0.25">
      <c r="A1041" s="1" t="s">
        <v>4825</v>
      </c>
      <c r="B1041" s="19">
        <v>46182</v>
      </c>
      <c r="C1041" s="1" t="s">
        <v>853</v>
      </c>
      <c r="D1041" s="1" t="s">
        <v>21</v>
      </c>
      <c r="E1041" s="1" t="s">
        <v>81</v>
      </c>
      <c r="F1041" s="1">
        <v>5897</v>
      </c>
      <c r="G1041" s="1" t="s">
        <v>345</v>
      </c>
      <c r="H1041" s="1" t="s">
        <v>76</v>
      </c>
      <c r="I1041" s="1" t="s">
        <v>3720</v>
      </c>
      <c r="J1041" s="1" t="s">
        <v>78</v>
      </c>
    </row>
    <row r="1042" spans="1:10" x14ac:dyDescent="0.25">
      <c r="A1042" s="1" t="s">
        <v>4826</v>
      </c>
      <c r="B1042" s="19">
        <v>46182</v>
      </c>
      <c r="C1042" s="1" t="s">
        <v>853</v>
      </c>
      <c r="D1042" s="1" t="s">
        <v>21</v>
      </c>
      <c r="E1042" s="1" t="s">
        <v>81</v>
      </c>
      <c r="F1042" s="1">
        <v>5897</v>
      </c>
      <c r="G1042" s="1" t="s">
        <v>361</v>
      </c>
      <c r="H1042" s="1" t="s">
        <v>79</v>
      </c>
      <c r="I1042" s="1" t="s">
        <v>3720</v>
      </c>
      <c r="J1042" s="1" t="s">
        <v>4112</v>
      </c>
    </row>
    <row r="1043" spans="1:10" x14ac:dyDescent="0.25">
      <c r="A1043" s="1" t="s">
        <v>4827</v>
      </c>
      <c r="B1043" s="19">
        <v>46182</v>
      </c>
      <c r="C1043" s="1" t="s">
        <v>854</v>
      </c>
      <c r="D1043" s="1" t="s">
        <v>21</v>
      </c>
      <c r="E1043" s="1" t="s">
        <v>81</v>
      </c>
      <c r="F1043" s="1">
        <v>5898</v>
      </c>
      <c r="G1043" s="1" t="s">
        <v>355</v>
      </c>
      <c r="H1043" s="1" t="s">
        <v>76</v>
      </c>
      <c r="I1043" s="1" t="s">
        <v>3720</v>
      </c>
      <c r="J1043" s="1" t="s">
        <v>82</v>
      </c>
    </row>
    <row r="1044" spans="1:10" x14ac:dyDescent="0.25">
      <c r="A1044" s="1" t="s">
        <v>4828</v>
      </c>
      <c r="B1044" s="19">
        <v>46182</v>
      </c>
      <c r="C1044" s="1" t="s">
        <v>854</v>
      </c>
      <c r="D1044" s="1" t="s">
        <v>21</v>
      </c>
      <c r="E1044" s="1" t="s">
        <v>81</v>
      </c>
      <c r="F1044" s="1">
        <v>5898</v>
      </c>
      <c r="G1044" s="1" t="s">
        <v>345</v>
      </c>
      <c r="H1044" s="1" t="s">
        <v>76</v>
      </c>
      <c r="I1044" s="1" t="s">
        <v>3720</v>
      </c>
      <c r="J1044" s="1" t="s">
        <v>78</v>
      </c>
    </row>
    <row r="1045" spans="1:10" x14ac:dyDescent="0.25">
      <c r="A1045" s="1" t="s">
        <v>4829</v>
      </c>
      <c r="B1045" s="19">
        <v>46182</v>
      </c>
      <c r="C1045" s="1" t="s">
        <v>854</v>
      </c>
      <c r="D1045" s="1" t="s">
        <v>21</v>
      </c>
      <c r="E1045" s="1" t="s">
        <v>81</v>
      </c>
      <c r="F1045" s="1">
        <v>5898</v>
      </c>
      <c r="G1045" s="1" t="s">
        <v>361</v>
      </c>
      <c r="H1045" s="1" t="s">
        <v>79</v>
      </c>
      <c r="I1045" s="1" t="s">
        <v>3720</v>
      </c>
      <c r="J1045" s="1" t="s">
        <v>4112</v>
      </c>
    </row>
    <row r="1046" spans="1:10" x14ac:dyDescent="0.25">
      <c r="A1046" s="1" t="s">
        <v>4830</v>
      </c>
      <c r="B1046" s="19">
        <v>46182</v>
      </c>
      <c r="C1046" s="1" t="s">
        <v>855</v>
      </c>
      <c r="D1046" s="1" t="s">
        <v>21</v>
      </c>
      <c r="E1046" s="1" t="s">
        <v>81</v>
      </c>
      <c r="F1046" s="1">
        <v>5899</v>
      </c>
      <c r="G1046" s="1" t="s">
        <v>355</v>
      </c>
      <c r="H1046" s="1" t="s">
        <v>76</v>
      </c>
      <c r="I1046" s="1" t="s">
        <v>3720</v>
      </c>
      <c r="J1046" s="1" t="s">
        <v>82</v>
      </c>
    </row>
    <row r="1047" spans="1:10" x14ac:dyDescent="0.25">
      <c r="A1047" s="1" t="s">
        <v>4831</v>
      </c>
      <c r="B1047" s="19">
        <v>46182</v>
      </c>
      <c r="C1047" s="1" t="s">
        <v>855</v>
      </c>
      <c r="D1047" s="1" t="s">
        <v>21</v>
      </c>
      <c r="E1047" s="1" t="s">
        <v>81</v>
      </c>
      <c r="F1047" s="1">
        <v>5899</v>
      </c>
      <c r="G1047" s="1" t="s">
        <v>345</v>
      </c>
      <c r="H1047" s="1" t="s">
        <v>76</v>
      </c>
      <c r="I1047" s="1" t="s">
        <v>3720</v>
      </c>
      <c r="J1047" s="1" t="s">
        <v>78</v>
      </c>
    </row>
    <row r="1048" spans="1:10" x14ac:dyDescent="0.25">
      <c r="A1048" s="1" t="s">
        <v>4832</v>
      </c>
      <c r="B1048" s="19">
        <v>46182</v>
      </c>
      <c r="C1048" s="1" t="s">
        <v>855</v>
      </c>
      <c r="D1048" s="1" t="s">
        <v>21</v>
      </c>
      <c r="E1048" s="1" t="s">
        <v>81</v>
      </c>
      <c r="F1048" s="1">
        <v>5899</v>
      </c>
      <c r="G1048" s="1" t="s">
        <v>361</v>
      </c>
      <c r="H1048" s="1" t="s">
        <v>79</v>
      </c>
      <c r="I1048" s="1" t="s">
        <v>3720</v>
      </c>
      <c r="J1048" s="1" t="s">
        <v>4112</v>
      </c>
    </row>
    <row r="1049" spans="1:10" x14ac:dyDescent="0.25">
      <c r="A1049" s="1" t="s">
        <v>4833</v>
      </c>
      <c r="B1049" s="19">
        <v>46182</v>
      </c>
      <c r="C1049" s="1" t="s">
        <v>856</v>
      </c>
      <c r="D1049" s="1" t="s">
        <v>21</v>
      </c>
      <c r="E1049" s="1" t="s">
        <v>81</v>
      </c>
      <c r="F1049" s="1">
        <v>5900</v>
      </c>
      <c r="G1049" s="1" t="s">
        <v>355</v>
      </c>
      <c r="H1049" s="1" t="s">
        <v>76</v>
      </c>
      <c r="I1049" s="1" t="s">
        <v>3720</v>
      </c>
      <c r="J1049" s="1" t="s">
        <v>82</v>
      </c>
    </row>
    <row r="1050" spans="1:10" x14ac:dyDescent="0.25">
      <c r="A1050" s="1" t="s">
        <v>4834</v>
      </c>
      <c r="B1050" s="19">
        <v>46182</v>
      </c>
      <c r="C1050" s="1" t="s">
        <v>856</v>
      </c>
      <c r="D1050" s="1" t="s">
        <v>21</v>
      </c>
      <c r="E1050" s="1" t="s">
        <v>81</v>
      </c>
      <c r="F1050" s="1">
        <v>5900</v>
      </c>
      <c r="G1050" s="1" t="s">
        <v>345</v>
      </c>
      <c r="H1050" s="1" t="s">
        <v>76</v>
      </c>
      <c r="I1050" s="1" t="s">
        <v>3720</v>
      </c>
      <c r="J1050" s="1" t="s">
        <v>78</v>
      </c>
    </row>
    <row r="1051" spans="1:10" x14ac:dyDescent="0.25">
      <c r="A1051" s="1" t="s">
        <v>4835</v>
      </c>
      <c r="B1051" s="19">
        <v>46182</v>
      </c>
      <c r="C1051" s="1" t="s">
        <v>856</v>
      </c>
      <c r="D1051" s="1" t="s">
        <v>21</v>
      </c>
      <c r="E1051" s="1" t="s">
        <v>81</v>
      </c>
      <c r="F1051" s="1">
        <v>5900</v>
      </c>
      <c r="G1051" s="1" t="s">
        <v>361</v>
      </c>
      <c r="H1051" s="1" t="s">
        <v>79</v>
      </c>
      <c r="I1051" s="1" t="s">
        <v>3720</v>
      </c>
      <c r="J1051" s="1" t="s">
        <v>4112</v>
      </c>
    </row>
    <row r="1052" spans="1:10" x14ac:dyDescent="0.25">
      <c r="A1052" s="1" t="s">
        <v>4836</v>
      </c>
      <c r="B1052" s="19">
        <v>46182</v>
      </c>
      <c r="C1052" s="1" t="s">
        <v>857</v>
      </c>
      <c r="D1052" s="1" t="s">
        <v>21</v>
      </c>
      <c r="E1052" s="1" t="s">
        <v>81</v>
      </c>
      <c r="F1052" s="1">
        <v>5901</v>
      </c>
      <c r="G1052" s="1" t="s">
        <v>355</v>
      </c>
      <c r="H1052" s="1" t="s">
        <v>76</v>
      </c>
      <c r="I1052" s="1" t="s">
        <v>3720</v>
      </c>
      <c r="J1052" s="1" t="s">
        <v>82</v>
      </c>
    </row>
    <row r="1053" spans="1:10" x14ac:dyDescent="0.25">
      <c r="A1053" s="1" t="s">
        <v>4837</v>
      </c>
      <c r="B1053" s="19">
        <v>46182</v>
      </c>
      <c r="C1053" s="1" t="s">
        <v>857</v>
      </c>
      <c r="D1053" s="1" t="s">
        <v>21</v>
      </c>
      <c r="E1053" s="1" t="s">
        <v>81</v>
      </c>
      <c r="F1053" s="1">
        <v>5901</v>
      </c>
      <c r="G1053" s="1" t="s">
        <v>345</v>
      </c>
      <c r="H1053" s="1" t="s">
        <v>76</v>
      </c>
      <c r="I1053" s="1" t="s">
        <v>3720</v>
      </c>
      <c r="J1053" s="1" t="s">
        <v>78</v>
      </c>
    </row>
    <row r="1054" spans="1:10" x14ac:dyDescent="0.25">
      <c r="A1054" s="1" t="s">
        <v>4838</v>
      </c>
      <c r="B1054" s="19">
        <v>46182</v>
      </c>
      <c r="C1054" s="1" t="s">
        <v>857</v>
      </c>
      <c r="D1054" s="1" t="s">
        <v>21</v>
      </c>
      <c r="E1054" s="1" t="s">
        <v>81</v>
      </c>
      <c r="F1054" s="1">
        <v>5901</v>
      </c>
      <c r="G1054" s="1" t="s">
        <v>361</v>
      </c>
      <c r="H1054" s="1" t="s">
        <v>79</v>
      </c>
      <c r="I1054" s="1" t="s">
        <v>3720</v>
      </c>
      <c r="J1054" s="1" t="s">
        <v>4112</v>
      </c>
    </row>
    <row r="1055" spans="1:10" x14ac:dyDescent="0.25">
      <c r="A1055" s="1" t="s">
        <v>4839</v>
      </c>
      <c r="B1055" s="19">
        <v>46182</v>
      </c>
      <c r="C1055" s="1" t="s">
        <v>858</v>
      </c>
      <c r="D1055" s="1" t="s">
        <v>21</v>
      </c>
      <c r="E1055" s="1" t="s">
        <v>81</v>
      </c>
      <c r="F1055" s="1">
        <v>5902</v>
      </c>
      <c r="G1055" s="1" t="s">
        <v>355</v>
      </c>
      <c r="H1055" s="1" t="s">
        <v>76</v>
      </c>
      <c r="I1055" s="1" t="s">
        <v>3720</v>
      </c>
      <c r="J1055" s="1" t="s">
        <v>82</v>
      </c>
    </row>
    <row r="1056" spans="1:10" x14ac:dyDescent="0.25">
      <c r="A1056" s="1" t="s">
        <v>4840</v>
      </c>
      <c r="B1056" s="19">
        <v>46182</v>
      </c>
      <c r="C1056" s="1" t="s">
        <v>858</v>
      </c>
      <c r="D1056" s="1" t="s">
        <v>21</v>
      </c>
      <c r="E1056" s="1" t="s">
        <v>81</v>
      </c>
      <c r="F1056" s="1">
        <v>5902</v>
      </c>
      <c r="G1056" s="1" t="s">
        <v>345</v>
      </c>
      <c r="H1056" s="1" t="s">
        <v>76</v>
      </c>
      <c r="I1056" s="1" t="s">
        <v>3720</v>
      </c>
      <c r="J1056" s="1" t="s">
        <v>78</v>
      </c>
    </row>
    <row r="1057" spans="1:10" x14ac:dyDescent="0.25">
      <c r="A1057" s="1" t="s">
        <v>4841</v>
      </c>
      <c r="B1057" s="19">
        <v>46182</v>
      </c>
      <c r="C1057" s="1" t="s">
        <v>858</v>
      </c>
      <c r="D1057" s="1" t="s">
        <v>21</v>
      </c>
      <c r="E1057" s="1" t="s">
        <v>81</v>
      </c>
      <c r="F1057" s="1">
        <v>5902</v>
      </c>
      <c r="G1057" s="1" t="s">
        <v>361</v>
      </c>
      <c r="H1057" s="1" t="s">
        <v>79</v>
      </c>
      <c r="I1057" s="1" t="s">
        <v>3720</v>
      </c>
      <c r="J1057" s="1" t="s">
        <v>4112</v>
      </c>
    </row>
    <row r="1058" spans="1:10" x14ac:dyDescent="0.25">
      <c r="A1058" s="1" t="s">
        <v>4842</v>
      </c>
      <c r="B1058" s="19">
        <v>46182</v>
      </c>
      <c r="C1058" s="1" t="s">
        <v>859</v>
      </c>
      <c r="D1058" s="1" t="s">
        <v>21</v>
      </c>
      <c r="E1058" s="1" t="s">
        <v>81</v>
      </c>
      <c r="F1058" s="1">
        <v>5903</v>
      </c>
      <c r="G1058" s="1" t="s">
        <v>355</v>
      </c>
      <c r="H1058" s="1" t="s">
        <v>76</v>
      </c>
      <c r="I1058" s="1" t="s">
        <v>3720</v>
      </c>
      <c r="J1058" s="1" t="s">
        <v>82</v>
      </c>
    </row>
    <row r="1059" spans="1:10" x14ac:dyDescent="0.25">
      <c r="A1059" s="1" t="s">
        <v>4843</v>
      </c>
      <c r="B1059" s="19">
        <v>46182</v>
      </c>
      <c r="C1059" s="1" t="s">
        <v>859</v>
      </c>
      <c r="D1059" s="1" t="s">
        <v>21</v>
      </c>
      <c r="E1059" s="1" t="s">
        <v>81</v>
      </c>
      <c r="F1059" s="1">
        <v>5903</v>
      </c>
      <c r="G1059" s="1" t="s">
        <v>345</v>
      </c>
      <c r="H1059" s="1" t="s">
        <v>76</v>
      </c>
      <c r="I1059" s="1" t="s">
        <v>3720</v>
      </c>
      <c r="J1059" s="1" t="s">
        <v>78</v>
      </c>
    </row>
    <row r="1060" spans="1:10" x14ac:dyDescent="0.25">
      <c r="A1060" s="1" t="s">
        <v>4844</v>
      </c>
      <c r="B1060" s="19">
        <v>46182</v>
      </c>
      <c r="C1060" s="1" t="s">
        <v>859</v>
      </c>
      <c r="D1060" s="1" t="s">
        <v>21</v>
      </c>
      <c r="E1060" s="1" t="s">
        <v>81</v>
      </c>
      <c r="F1060" s="1">
        <v>5903</v>
      </c>
      <c r="G1060" s="1" t="s">
        <v>361</v>
      </c>
      <c r="H1060" s="1" t="s">
        <v>79</v>
      </c>
      <c r="I1060" s="1" t="s">
        <v>3720</v>
      </c>
      <c r="J1060" s="1" t="s">
        <v>4112</v>
      </c>
    </row>
    <row r="1061" spans="1:10" x14ac:dyDescent="0.25">
      <c r="A1061" s="1" t="s">
        <v>4845</v>
      </c>
      <c r="B1061" s="19">
        <v>46182</v>
      </c>
      <c r="C1061" s="1" t="s">
        <v>860</v>
      </c>
      <c r="D1061" s="1" t="s">
        <v>21</v>
      </c>
      <c r="E1061" s="1" t="s">
        <v>81</v>
      </c>
      <c r="F1061" s="1">
        <v>5904</v>
      </c>
      <c r="G1061" s="1" t="s">
        <v>355</v>
      </c>
      <c r="H1061" s="1" t="s">
        <v>76</v>
      </c>
      <c r="I1061" s="1" t="s">
        <v>3720</v>
      </c>
      <c r="J1061" s="1" t="s">
        <v>82</v>
      </c>
    </row>
    <row r="1062" spans="1:10" x14ac:dyDescent="0.25">
      <c r="A1062" s="1" t="s">
        <v>4846</v>
      </c>
      <c r="B1062" s="19">
        <v>46182</v>
      </c>
      <c r="C1062" s="1" t="s">
        <v>860</v>
      </c>
      <c r="D1062" s="1" t="s">
        <v>21</v>
      </c>
      <c r="E1062" s="1" t="s">
        <v>81</v>
      </c>
      <c r="F1062" s="1">
        <v>5904</v>
      </c>
      <c r="G1062" s="1" t="s">
        <v>345</v>
      </c>
      <c r="H1062" s="1" t="s">
        <v>76</v>
      </c>
      <c r="I1062" s="1" t="s">
        <v>3720</v>
      </c>
      <c r="J1062" s="1" t="s">
        <v>78</v>
      </c>
    </row>
    <row r="1063" spans="1:10" x14ac:dyDescent="0.25">
      <c r="A1063" s="1" t="s">
        <v>4847</v>
      </c>
      <c r="B1063" s="19">
        <v>46182</v>
      </c>
      <c r="C1063" s="1" t="s">
        <v>860</v>
      </c>
      <c r="D1063" s="1" t="s">
        <v>21</v>
      </c>
      <c r="E1063" s="1" t="s">
        <v>81</v>
      </c>
      <c r="F1063" s="1">
        <v>5904</v>
      </c>
      <c r="G1063" s="1" t="s">
        <v>361</v>
      </c>
      <c r="H1063" s="1" t="s">
        <v>79</v>
      </c>
      <c r="I1063" s="1" t="s">
        <v>3720</v>
      </c>
      <c r="J1063" s="1" t="s">
        <v>4112</v>
      </c>
    </row>
    <row r="1064" spans="1:10" x14ac:dyDescent="0.25">
      <c r="A1064" s="1" t="s">
        <v>4848</v>
      </c>
      <c r="B1064" s="19">
        <v>46182</v>
      </c>
      <c r="C1064" s="1" t="s">
        <v>861</v>
      </c>
      <c r="D1064" s="1" t="s">
        <v>21</v>
      </c>
      <c r="E1064" s="1" t="s">
        <v>81</v>
      </c>
      <c r="F1064" s="1">
        <v>5905</v>
      </c>
      <c r="G1064" s="1" t="s">
        <v>355</v>
      </c>
      <c r="H1064" s="1" t="s">
        <v>76</v>
      </c>
      <c r="I1064" s="1" t="s">
        <v>3720</v>
      </c>
      <c r="J1064" s="1" t="s">
        <v>82</v>
      </c>
    </row>
    <row r="1065" spans="1:10" x14ac:dyDescent="0.25">
      <c r="A1065" s="1" t="s">
        <v>4849</v>
      </c>
      <c r="B1065" s="19">
        <v>46182</v>
      </c>
      <c r="C1065" s="1" t="s">
        <v>861</v>
      </c>
      <c r="D1065" s="1" t="s">
        <v>21</v>
      </c>
      <c r="E1065" s="1" t="s">
        <v>81</v>
      </c>
      <c r="F1065" s="1">
        <v>5905</v>
      </c>
      <c r="G1065" s="1" t="s">
        <v>345</v>
      </c>
      <c r="H1065" s="1" t="s">
        <v>76</v>
      </c>
      <c r="I1065" s="1" t="s">
        <v>3720</v>
      </c>
      <c r="J1065" s="1" t="s">
        <v>78</v>
      </c>
    </row>
    <row r="1066" spans="1:10" x14ac:dyDescent="0.25">
      <c r="A1066" s="1" t="s">
        <v>4850</v>
      </c>
      <c r="B1066" s="19">
        <v>46182</v>
      </c>
      <c r="C1066" s="1" t="s">
        <v>861</v>
      </c>
      <c r="D1066" s="1" t="s">
        <v>21</v>
      </c>
      <c r="E1066" s="1" t="s">
        <v>81</v>
      </c>
      <c r="F1066" s="1">
        <v>5905</v>
      </c>
      <c r="G1066" s="1" t="s">
        <v>361</v>
      </c>
      <c r="H1066" s="1" t="s">
        <v>79</v>
      </c>
      <c r="I1066" s="1" t="s">
        <v>3720</v>
      </c>
      <c r="J1066" s="1" t="s">
        <v>4112</v>
      </c>
    </row>
    <row r="1067" spans="1:10" x14ac:dyDescent="0.25">
      <c r="A1067" s="1" t="s">
        <v>4851</v>
      </c>
      <c r="B1067" s="19">
        <v>46182</v>
      </c>
      <c r="C1067" s="1" t="s">
        <v>862</v>
      </c>
      <c r="D1067" s="1" t="s">
        <v>21</v>
      </c>
      <c r="E1067" s="1" t="s">
        <v>81</v>
      </c>
      <c r="F1067" s="1">
        <v>5906</v>
      </c>
      <c r="G1067" s="1" t="s">
        <v>355</v>
      </c>
      <c r="H1067" s="1" t="s">
        <v>76</v>
      </c>
      <c r="I1067" s="1" t="s">
        <v>3720</v>
      </c>
      <c r="J1067" s="1" t="s">
        <v>82</v>
      </c>
    </row>
    <row r="1068" spans="1:10" x14ac:dyDescent="0.25">
      <c r="A1068" s="1" t="s">
        <v>4852</v>
      </c>
      <c r="B1068" s="19">
        <v>46182</v>
      </c>
      <c r="C1068" s="1" t="s">
        <v>862</v>
      </c>
      <c r="D1068" s="1" t="s">
        <v>21</v>
      </c>
      <c r="E1068" s="1" t="s">
        <v>81</v>
      </c>
      <c r="F1068" s="1">
        <v>5906</v>
      </c>
      <c r="G1068" s="1" t="s">
        <v>345</v>
      </c>
      <c r="H1068" s="1" t="s">
        <v>76</v>
      </c>
      <c r="I1068" s="1" t="s">
        <v>3720</v>
      </c>
      <c r="J1068" s="1" t="s">
        <v>78</v>
      </c>
    </row>
    <row r="1069" spans="1:10" x14ac:dyDescent="0.25">
      <c r="A1069" s="1" t="s">
        <v>4853</v>
      </c>
      <c r="B1069" s="19">
        <v>46182</v>
      </c>
      <c r="C1069" s="1" t="s">
        <v>862</v>
      </c>
      <c r="D1069" s="1" t="s">
        <v>21</v>
      </c>
      <c r="E1069" s="1" t="s">
        <v>81</v>
      </c>
      <c r="F1069" s="1">
        <v>5906</v>
      </c>
      <c r="G1069" s="1" t="s">
        <v>361</v>
      </c>
      <c r="H1069" s="1" t="s">
        <v>79</v>
      </c>
      <c r="I1069" s="1" t="s">
        <v>3720</v>
      </c>
      <c r="J1069" s="1" t="s">
        <v>4112</v>
      </c>
    </row>
    <row r="1070" spans="1:10" x14ac:dyDescent="0.25">
      <c r="A1070" s="1" t="s">
        <v>4854</v>
      </c>
      <c r="B1070" s="19">
        <v>46182</v>
      </c>
      <c r="C1070" s="1" t="s">
        <v>863</v>
      </c>
      <c r="D1070" s="1" t="s">
        <v>21</v>
      </c>
      <c r="E1070" s="1" t="s">
        <v>81</v>
      </c>
      <c r="F1070" s="1">
        <v>5907</v>
      </c>
      <c r="G1070" s="1" t="s">
        <v>355</v>
      </c>
      <c r="H1070" s="1" t="s">
        <v>76</v>
      </c>
      <c r="I1070" s="1" t="s">
        <v>3720</v>
      </c>
      <c r="J1070" s="1" t="s">
        <v>82</v>
      </c>
    </row>
    <row r="1071" spans="1:10" x14ac:dyDescent="0.25">
      <c r="A1071" s="1" t="s">
        <v>4855</v>
      </c>
      <c r="B1071" s="19">
        <v>46182</v>
      </c>
      <c r="C1071" s="1" t="s">
        <v>863</v>
      </c>
      <c r="D1071" s="1" t="s">
        <v>21</v>
      </c>
      <c r="E1071" s="1" t="s">
        <v>81</v>
      </c>
      <c r="F1071" s="1">
        <v>5907</v>
      </c>
      <c r="G1071" s="1" t="s">
        <v>345</v>
      </c>
      <c r="H1071" s="1" t="s">
        <v>76</v>
      </c>
      <c r="I1071" s="1" t="s">
        <v>3720</v>
      </c>
      <c r="J1071" s="1" t="s">
        <v>78</v>
      </c>
    </row>
    <row r="1072" spans="1:10" x14ac:dyDescent="0.25">
      <c r="A1072" s="1" t="s">
        <v>4856</v>
      </c>
      <c r="B1072" s="19">
        <v>46182</v>
      </c>
      <c r="C1072" s="1" t="s">
        <v>863</v>
      </c>
      <c r="D1072" s="1" t="s">
        <v>21</v>
      </c>
      <c r="E1072" s="1" t="s">
        <v>81</v>
      </c>
      <c r="F1072" s="1">
        <v>5907</v>
      </c>
      <c r="G1072" s="1" t="s">
        <v>361</v>
      </c>
      <c r="H1072" s="1" t="s">
        <v>79</v>
      </c>
      <c r="I1072" s="1" t="s">
        <v>3720</v>
      </c>
      <c r="J1072" s="1" t="s">
        <v>4112</v>
      </c>
    </row>
    <row r="1073" spans="1:10" x14ac:dyDescent="0.25">
      <c r="A1073" s="1" t="s">
        <v>4857</v>
      </c>
      <c r="B1073" s="19">
        <v>46182</v>
      </c>
      <c r="C1073" s="1" t="s">
        <v>864</v>
      </c>
      <c r="D1073" s="1" t="s">
        <v>21</v>
      </c>
      <c r="E1073" s="1" t="s">
        <v>81</v>
      </c>
      <c r="F1073" s="1">
        <v>5908</v>
      </c>
      <c r="G1073" s="1" t="s">
        <v>355</v>
      </c>
      <c r="H1073" s="1" t="s">
        <v>76</v>
      </c>
      <c r="I1073" s="1" t="s">
        <v>3720</v>
      </c>
      <c r="J1073" s="1" t="s">
        <v>82</v>
      </c>
    </row>
    <row r="1074" spans="1:10" x14ac:dyDescent="0.25">
      <c r="A1074" s="1" t="s">
        <v>4858</v>
      </c>
      <c r="B1074" s="19">
        <v>46182</v>
      </c>
      <c r="C1074" s="1" t="s">
        <v>864</v>
      </c>
      <c r="D1074" s="1" t="s">
        <v>21</v>
      </c>
      <c r="E1074" s="1" t="s">
        <v>81</v>
      </c>
      <c r="F1074" s="1">
        <v>5908</v>
      </c>
      <c r="G1074" s="1" t="s">
        <v>345</v>
      </c>
      <c r="H1074" s="1" t="s">
        <v>76</v>
      </c>
      <c r="I1074" s="1" t="s">
        <v>3720</v>
      </c>
      <c r="J1074" s="1" t="s">
        <v>78</v>
      </c>
    </row>
    <row r="1075" spans="1:10" x14ac:dyDescent="0.25">
      <c r="A1075" s="1" t="s">
        <v>4859</v>
      </c>
      <c r="B1075" s="19">
        <v>46182</v>
      </c>
      <c r="C1075" s="1" t="s">
        <v>864</v>
      </c>
      <c r="D1075" s="1" t="s">
        <v>21</v>
      </c>
      <c r="E1075" s="1" t="s">
        <v>81</v>
      </c>
      <c r="F1075" s="1">
        <v>5908</v>
      </c>
      <c r="G1075" s="1" t="s">
        <v>361</v>
      </c>
      <c r="H1075" s="1" t="s">
        <v>79</v>
      </c>
      <c r="I1075" s="1" t="s">
        <v>3720</v>
      </c>
      <c r="J1075" s="1" t="s">
        <v>4112</v>
      </c>
    </row>
    <row r="1076" spans="1:10" x14ac:dyDescent="0.25">
      <c r="A1076" s="1" t="s">
        <v>4860</v>
      </c>
      <c r="B1076" s="19">
        <v>46182</v>
      </c>
      <c r="C1076" s="1" t="s">
        <v>865</v>
      </c>
      <c r="D1076" s="1" t="s">
        <v>21</v>
      </c>
      <c r="E1076" s="1" t="s">
        <v>81</v>
      </c>
      <c r="F1076" s="1">
        <v>5909</v>
      </c>
      <c r="G1076" s="1" t="s">
        <v>355</v>
      </c>
      <c r="H1076" s="1" t="s">
        <v>76</v>
      </c>
      <c r="I1076" s="1" t="s">
        <v>3720</v>
      </c>
      <c r="J1076" s="1" t="s">
        <v>82</v>
      </c>
    </row>
    <row r="1077" spans="1:10" x14ac:dyDescent="0.25">
      <c r="A1077" s="1" t="s">
        <v>4861</v>
      </c>
      <c r="B1077" s="19">
        <v>46182</v>
      </c>
      <c r="C1077" s="1" t="s">
        <v>865</v>
      </c>
      <c r="D1077" s="1" t="s">
        <v>21</v>
      </c>
      <c r="E1077" s="1" t="s">
        <v>81</v>
      </c>
      <c r="F1077" s="1">
        <v>5909</v>
      </c>
      <c r="G1077" s="1" t="s">
        <v>345</v>
      </c>
      <c r="H1077" s="1" t="s">
        <v>76</v>
      </c>
      <c r="I1077" s="1" t="s">
        <v>3720</v>
      </c>
      <c r="J1077" s="1" t="s">
        <v>78</v>
      </c>
    </row>
    <row r="1078" spans="1:10" x14ac:dyDescent="0.25">
      <c r="A1078" s="1" t="s">
        <v>4862</v>
      </c>
      <c r="B1078" s="19">
        <v>46182</v>
      </c>
      <c r="C1078" s="1" t="s">
        <v>865</v>
      </c>
      <c r="D1078" s="1" t="s">
        <v>21</v>
      </c>
      <c r="E1078" s="1" t="s">
        <v>81</v>
      </c>
      <c r="F1078" s="1">
        <v>5909</v>
      </c>
      <c r="G1078" s="1" t="s">
        <v>361</v>
      </c>
      <c r="H1078" s="1" t="s">
        <v>79</v>
      </c>
      <c r="I1078" s="1" t="s">
        <v>3720</v>
      </c>
      <c r="J1078" s="1" t="s">
        <v>4112</v>
      </c>
    </row>
    <row r="1079" spans="1:10" x14ac:dyDescent="0.25">
      <c r="A1079" s="1" t="s">
        <v>4863</v>
      </c>
      <c r="B1079" s="19">
        <v>46182</v>
      </c>
      <c r="C1079" s="1" t="s">
        <v>866</v>
      </c>
      <c r="D1079" s="1" t="s">
        <v>21</v>
      </c>
      <c r="E1079" s="1" t="s">
        <v>81</v>
      </c>
      <c r="F1079" s="1">
        <v>5910</v>
      </c>
      <c r="G1079" s="1" t="s">
        <v>355</v>
      </c>
      <c r="H1079" s="1" t="s">
        <v>76</v>
      </c>
      <c r="I1079" s="1" t="s">
        <v>3720</v>
      </c>
      <c r="J1079" s="1" t="s">
        <v>82</v>
      </c>
    </row>
    <row r="1080" spans="1:10" x14ac:dyDescent="0.25">
      <c r="A1080" s="1" t="s">
        <v>4864</v>
      </c>
      <c r="B1080" s="19">
        <v>46182</v>
      </c>
      <c r="C1080" s="1" t="s">
        <v>866</v>
      </c>
      <c r="D1080" s="1" t="s">
        <v>21</v>
      </c>
      <c r="E1080" s="1" t="s">
        <v>81</v>
      </c>
      <c r="F1080" s="1">
        <v>5910</v>
      </c>
      <c r="G1080" s="1" t="s">
        <v>345</v>
      </c>
      <c r="H1080" s="1" t="s">
        <v>76</v>
      </c>
      <c r="I1080" s="1" t="s">
        <v>3720</v>
      </c>
      <c r="J1080" s="1" t="s">
        <v>78</v>
      </c>
    </row>
    <row r="1081" spans="1:10" x14ac:dyDescent="0.25">
      <c r="A1081" s="1" t="s">
        <v>4865</v>
      </c>
      <c r="B1081" s="19">
        <v>46182</v>
      </c>
      <c r="C1081" s="1" t="s">
        <v>866</v>
      </c>
      <c r="D1081" s="1" t="s">
        <v>21</v>
      </c>
      <c r="E1081" s="1" t="s">
        <v>81</v>
      </c>
      <c r="F1081" s="1">
        <v>5910</v>
      </c>
      <c r="G1081" s="1" t="s">
        <v>361</v>
      </c>
      <c r="H1081" s="1" t="s">
        <v>79</v>
      </c>
      <c r="I1081" s="1" t="s">
        <v>3720</v>
      </c>
      <c r="J1081" s="1" t="s">
        <v>4112</v>
      </c>
    </row>
    <row r="1082" spans="1:10" x14ac:dyDescent="0.25">
      <c r="A1082" s="1" t="s">
        <v>4866</v>
      </c>
      <c r="B1082" s="19">
        <v>46182</v>
      </c>
      <c r="C1082" s="1" t="s">
        <v>867</v>
      </c>
      <c r="D1082" s="1" t="s">
        <v>21</v>
      </c>
      <c r="E1082" s="1" t="s">
        <v>81</v>
      </c>
      <c r="F1082" s="1">
        <v>5911</v>
      </c>
      <c r="G1082" s="1" t="s">
        <v>355</v>
      </c>
      <c r="H1082" s="1" t="s">
        <v>76</v>
      </c>
      <c r="I1082" s="1" t="s">
        <v>3720</v>
      </c>
      <c r="J1082" s="1" t="s">
        <v>82</v>
      </c>
    </row>
    <row r="1083" spans="1:10" x14ac:dyDescent="0.25">
      <c r="A1083" s="1" t="s">
        <v>4867</v>
      </c>
      <c r="B1083" s="19">
        <v>46182</v>
      </c>
      <c r="C1083" s="1" t="s">
        <v>867</v>
      </c>
      <c r="D1083" s="1" t="s">
        <v>21</v>
      </c>
      <c r="E1083" s="1" t="s">
        <v>81</v>
      </c>
      <c r="F1083" s="1">
        <v>5911</v>
      </c>
      <c r="G1083" s="1" t="s">
        <v>345</v>
      </c>
      <c r="H1083" s="1" t="s">
        <v>76</v>
      </c>
      <c r="I1083" s="1" t="s">
        <v>3720</v>
      </c>
      <c r="J1083" s="1" t="s">
        <v>78</v>
      </c>
    </row>
    <row r="1084" spans="1:10" x14ac:dyDescent="0.25">
      <c r="A1084" s="1" t="s">
        <v>4868</v>
      </c>
      <c r="B1084" s="19">
        <v>46182</v>
      </c>
      <c r="C1084" s="1" t="s">
        <v>867</v>
      </c>
      <c r="D1084" s="1" t="s">
        <v>21</v>
      </c>
      <c r="E1084" s="1" t="s">
        <v>81</v>
      </c>
      <c r="F1084" s="1">
        <v>5911</v>
      </c>
      <c r="G1084" s="1" t="s">
        <v>361</v>
      </c>
      <c r="H1084" s="1" t="s">
        <v>79</v>
      </c>
      <c r="I1084" s="1" t="s">
        <v>3720</v>
      </c>
      <c r="J1084" s="1" t="s">
        <v>4112</v>
      </c>
    </row>
    <row r="1085" spans="1:10" x14ac:dyDescent="0.25">
      <c r="A1085" s="1" t="s">
        <v>4869</v>
      </c>
      <c r="B1085" s="19">
        <v>46182</v>
      </c>
      <c r="C1085" s="1" t="s">
        <v>868</v>
      </c>
      <c r="D1085" s="1" t="s">
        <v>21</v>
      </c>
      <c r="E1085" s="1" t="s">
        <v>81</v>
      </c>
      <c r="F1085" s="1">
        <v>5912</v>
      </c>
      <c r="G1085" s="1" t="s">
        <v>355</v>
      </c>
      <c r="H1085" s="1" t="s">
        <v>76</v>
      </c>
      <c r="I1085" s="1" t="s">
        <v>3720</v>
      </c>
      <c r="J1085" s="1" t="s">
        <v>82</v>
      </c>
    </row>
    <row r="1086" spans="1:10" x14ac:dyDescent="0.25">
      <c r="A1086" s="1" t="s">
        <v>4870</v>
      </c>
      <c r="B1086" s="19">
        <v>46182</v>
      </c>
      <c r="C1086" s="1" t="s">
        <v>868</v>
      </c>
      <c r="D1086" s="1" t="s">
        <v>21</v>
      </c>
      <c r="E1086" s="1" t="s">
        <v>81</v>
      </c>
      <c r="F1086" s="1">
        <v>5912</v>
      </c>
      <c r="G1086" s="1" t="s">
        <v>345</v>
      </c>
      <c r="H1086" s="1" t="s">
        <v>76</v>
      </c>
      <c r="I1086" s="1" t="s">
        <v>3720</v>
      </c>
      <c r="J1086" s="1" t="s">
        <v>78</v>
      </c>
    </row>
    <row r="1087" spans="1:10" x14ac:dyDescent="0.25">
      <c r="A1087" s="1" t="s">
        <v>4871</v>
      </c>
      <c r="B1087" s="19">
        <v>46182</v>
      </c>
      <c r="C1087" s="1" t="s">
        <v>868</v>
      </c>
      <c r="D1087" s="1" t="s">
        <v>21</v>
      </c>
      <c r="E1087" s="1" t="s">
        <v>81</v>
      </c>
      <c r="F1087" s="1">
        <v>5912</v>
      </c>
      <c r="G1087" s="1" t="s">
        <v>361</v>
      </c>
      <c r="H1087" s="1" t="s">
        <v>79</v>
      </c>
      <c r="I1087" s="1" t="s">
        <v>3720</v>
      </c>
      <c r="J1087" s="1" t="s">
        <v>4112</v>
      </c>
    </row>
    <row r="1088" spans="1:10" x14ac:dyDescent="0.25">
      <c r="A1088" s="1" t="s">
        <v>4872</v>
      </c>
      <c r="B1088" s="19">
        <v>46182</v>
      </c>
      <c r="C1088" s="1" t="s">
        <v>869</v>
      </c>
      <c r="D1088" s="1" t="s">
        <v>21</v>
      </c>
      <c r="E1088" s="1" t="s">
        <v>81</v>
      </c>
      <c r="F1088" s="1">
        <v>5913</v>
      </c>
      <c r="G1088" s="1" t="s">
        <v>355</v>
      </c>
      <c r="H1088" s="1" t="s">
        <v>76</v>
      </c>
      <c r="I1088" s="1" t="s">
        <v>3720</v>
      </c>
      <c r="J1088" s="1" t="s">
        <v>82</v>
      </c>
    </row>
    <row r="1089" spans="1:10" x14ac:dyDescent="0.25">
      <c r="A1089" s="1" t="s">
        <v>4873</v>
      </c>
      <c r="B1089" s="19">
        <v>46182</v>
      </c>
      <c r="C1089" s="1" t="s">
        <v>869</v>
      </c>
      <c r="D1089" s="1" t="s">
        <v>21</v>
      </c>
      <c r="E1089" s="1" t="s">
        <v>81</v>
      </c>
      <c r="F1089" s="1">
        <v>5913</v>
      </c>
      <c r="G1089" s="1" t="s">
        <v>345</v>
      </c>
      <c r="H1089" s="1" t="s">
        <v>76</v>
      </c>
      <c r="I1089" s="1" t="s">
        <v>3720</v>
      </c>
      <c r="J1089" s="1" t="s">
        <v>78</v>
      </c>
    </row>
    <row r="1090" spans="1:10" x14ac:dyDescent="0.25">
      <c r="A1090" s="1" t="s">
        <v>4874</v>
      </c>
      <c r="B1090" s="19">
        <v>46182</v>
      </c>
      <c r="C1090" s="1" t="s">
        <v>869</v>
      </c>
      <c r="D1090" s="1" t="s">
        <v>21</v>
      </c>
      <c r="E1090" s="1" t="s">
        <v>81</v>
      </c>
      <c r="F1090" s="1">
        <v>5913</v>
      </c>
      <c r="G1090" s="1" t="s">
        <v>361</v>
      </c>
      <c r="H1090" s="1" t="s">
        <v>79</v>
      </c>
      <c r="I1090" s="1" t="s">
        <v>3720</v>
      </c>
      <c r="J1090" s="1" t="s">
        <v>4112</v>
      </c>
    </row>
    <row r="1091" spans="1:10" x14ac:dyDescent="0.25">
      <c r="A1091" s="1" t="s">
        <v>4875</v>
      </c>
      <c r="B1091" s="19">
        <v>46182</v>
      </c>
      <c r="C1091" s="1" t="s">
        <v>870</v>
      </c>
      <c r="D1091" s="1" t="s">
        <v>21</v>
      </c>
      <c r="E1091" s="1" t="s">
        <v>81</v>
      </c>
      <c r="F1091" s="1">
        <v>5914</v>
      </c>
      <c r="G1091" s="1" t="s">
        <v>355</v>
      </c>
      <c r="H1091" s="1" t="s">
        <v>76</v>
      </c>
      <c r="I1091" s="1" t="s">
        <v>3720</v>
      </c>
      <c r="J1091" s="1" t="s">
        <v>82</v>
      </c>
    </row>
    <row r="1092" spans="1:10" x14ac:dyDescent="0.25">
      <c r="A1092" s="1" t="s">
        <v>4876</v>
      </c>
      <c r="B1092" s="19">
        <v>46182</v>
      </c>
      <c r="C1092" s="1" t="s">
        <v>870</v>
      </c>
      <c r="D1092" s="1" t="s">
        <v>21</v>
      </c>
      <c r="E1092" s="1" t="s">
        <v>81</v>
      </c>
      <c r="F1092" s="1">
        <v>5914</v>
      </c>
      <c r="G1092" s="1" t="s">
        <v>345</v>
      </c>
      <c r="H1092" s="1" t="s">
        <v>76</v>
      </c>
      <c r="I1092" s="1" t="s">
        <v>3720</v>
      </c>
      <c r="J1092" s="1" t="s">
        <v>78</v>
      </c>
    </row>
    <row r="1093" spans="1:10" x14ac:dyDescent="0.25">
      <c r="A1093" s="1" t="s">
        <v>4877</v>
      </c>
      <c r="B1093" s="19">
        <v>46182</v>
      </c>
      <c r="C1093" s="1" t="s">
        <v>870</v>
      </c>
      <c r="D1093" s="1" t="s">
        <v>21</v>
      </c>
      <c r="E1093" s="1" t="s">
        <v>81</v>
      </c>
      <c r="F1093" s="1">
        <v>5914</v>
      </c>
      <c r="G1093" s="1" t="s">
        <v>361</v>
      </c>
      <c r="H1093" s="1" t="s">
        <v>79</v>
      </c>
      <c r="I1093" s="1" t="s">
        <v>3720</v>
      </c>
      <c r="J1093" s="1" t="s">
        <v>4112</v>
      </c>
    </row>
    <row r="1094" spans="1:10" x14ac:dyDescent="0.25">
      <c r="A1094" s="1" t="s">
        <v>4878</v>
      </c>
      <c r="B1094" s="19">
        <v>46182</v>
      </c>
      <c r="C1094" s="1" t="s">
        <v>871</v>
      </c>
      <c r="D1094" s="1" t="s">
        <v>21</v>
      </c>
      <c r="E1094" s="1" t="s">
        <v>81</v>
      </c>
      <c r="F1094" s="1">
        <v>5915</v>
      </c>
      <c r="G1094" s="1" t="s">
        <v>355</v>
      </c>
      <c r="H1094" s="1" t="s">
        <v>76</v>
      </c>
      <c r="I1094" s="1" t="s">
        <v>3720</v>
      </c>
      <c r="J1094" s="1" t="s">
        <v>82</v>
      </c>
    </row>
    <row r="1095" spans="1:10" x14ac:dyDescent="0.25">
      <c r="A1095" s="1" t="s">
        <v>4879</v>
      </c>
      <c r="B1095" s="19">
        <v>46182</v>
      </c>
      <c r="C1095" s="1" t="s">
        <v>871</v>
      </c>
      <c r="D1095" s="1" t="s">
        <v>21</v>
      </c>
      <c r="E1095" s="1" t="s">
        <v>81</v>
      </c>
      <c r="F1095" s="1">
        <v>5915</v>
      </c>
      <c r="G1095" s="1" t="s">
        <v>345</v>
      </c>
      <c r="H1095" s="1" t="s">
        <v>76</v>
      </c>
      <c r="I1095" s="1" t="s">
        <v>3720</v>
      </c>
      <c r="J1095" s="1" t="s">
        <v>78</v>
      </c>
    </row>
    <row r="1096" spans="1:10" x14ac:dyDescent="0.25">
      <c r="A1096" s="1" t="s">
        <v>4880</v>
      </c>
      <c r="B1096" s="19">
        <v>46182</v>
      </c>
      <c r="C1096" s="1" t="s">
        <v>871</v>
      </c>
      <c r="D1096" s="1" t="s">
        <v>21</v>
      </c>
      <c r="E1096" s="1" t="s">
        <v>81</v>
      </c>
      <c r="F1096" s="1">
        <v>5915</v>
      </c>
      <c r="G1096" s="1" t="s">
        <v>361</v>
      </c>
      <c r="H1096" s="1" t="s">
        <v>79</v>
      </c>
      <c r="I1096" s="1" t="s">
        <v>3720</v>
      </c>
      <c r="J1096" s="1" t="s">
        <v>4112</v>
      </c>
    </row>
    <row r="1097" spans="1:10" x14ac:dyDescent="0.25">
      <c r="A1097" s="1" t="s">
        <v>4881</v>
      </c>
      <c r="B1097" s="19">
        <v>46182</v>
      </c>
      <c r="C1097" s="1" t="s">
        <v>872</v>
      </c>
      <c r="D1097" s="1" t="s">
        <v>21</v>
      </c>
      <c r="E1097" s="1" t="s">
        <v>81</v>
      </c>
      <c r="F1097" s="1">
        <v>5916</v>
      </c>
      <c r="G1097" s="1" t="s">
        <v>355</v>
      </c>
      <c r="H1097" s="1" t="s">
        <v>76</v>
      </c>
      <c r="I1097" s="1" t="s">
        <v>3720</v>
      </c>
      <c r="J1097" s="1" t="s">
        <v>82</v>
      </c>
    </row>
    <row r="1098" spans="1:10" x14ac:dyDescent="0.25">
      <c r="A1098" s="1" t="s">
        <v>4882</v>
      </c>
      <c r="B1098" s="19">
        <v>46182</v>
      </c>
      <c r="C1098" s="1" t="s">
        <v>872</v>
      </c>
      <c r="D1098" s="1" t="s">
        <v>21</v>
      </c>
      <c r="E1098" s="1" t="s">
        <v>81</v>
      </c>
      <c r="F1098" s="1">
        <v>5916</v>
      </c>
      <c r="G1098" s="1" t="s">
        <v>345</v>
      </c>
      <c r="H1098" s="1" t="s">
        <v>76</v>
      </c>
      <c r="I1098" s="1" t="s">
        <v>3720</v>
      </c>
      <c r="J1098" s="1" t="s">
        <v>78</v>
      </c>
    </row>
    <row r="1099" spans="1:10" x14ac:dyDescent="0.25">
      <c r="A1099" s="1" t="s">
        <v>4883</v>
      </c>
      <c r="B1099" s="19">
        <v>46182</v>
      </c>
      <c r="C1099" s="1" t="s">
        <v>872</v>
      </c>
      <c r="D1099" s="1" t="s">
        <v>21</v>
      </c>
      <c r="E1099" s="1" t="s">
        <v>81</v>
      </c>
      <c r="F1099" s="1">
        <v>5916</v>
      </c>
      <c r="G1099" s="1" t="s">
        <v>361</v>
      </c>
      <c r="H1099" s="1" t="s">
        <v>79</v>
      </c>
      <c r="I1099" s="1" t="s">
        <v>3720</v>
      </c>
      <c r="J1099" s="1" t="s">
        <v>4112</v>
      </c>
    </row>
    <row r="1100" spans="1:10" x14ac:dyDescent="0.25">
      <c r="A1100" s="1" t="s">
        <v>4884</v>
      </c>
      <c r="B1100" s="19">
        <v>46182</v>
      </c>
      <c r="C1100" s="1" t="s">
        <v>873</v>
      </c>
      <c r="D1100" s="1" t="s">
        <v>21</v>
      </c>
      <c r="E1100" s="1" t="s">
        <v>81</v>
      </c>
      <c r="F1100" s="1">
        <v>5917</v>
      </c>
      <c r="G1100" s="1" t="s">
        <v>355</v>
      </c>
      <c r="H1100" s="1" t="s">
        <v>76</v>
      </c>
      <c r="I1100" s="1" t="s">
        <v>3720</v>
      </c>
      <c r="J1100" s="1" t="s">
        <v>82</v>
      </c>
    </row>
    <row r="1101" spans="1:10" x14ac:dyDescent="0.25">
      <c r="A1101" s="1" t="s">
        <v>4885</v>
      </c>
      <c r="B1101" s="19">
        <v>46182</v>
      </c>
      <c r="C1101" s="1" t="s">
        <v>873</v>
      </c>
      <c r="D1101" s="1" t="s">
        <v>21</v>
      </c>
      <c r="E1101" s="1" t="s">
        <v>81</v>
      </c>
      <c r="F1101" s="1">
        <v>5917</v>
      </c>
      <c r="G1101" s="1" t="s">
        <v>345</v>
      </c>
      <c r="H1101" s="1" t="s">
        <v>76</v>
      </c>
      <c r="I1101" s="1" t="s">
        <v>3720</v>
      </c>
      <c r="J1101" s="1" t="s">
        <v>78</v>
      </c>
    </row>
    <row r="1102" spans="1:10" x14ac:dyDescent="0.25">
      <c r="A1102" s="1" t="s">
        <v>4886</v>
      </c>
      <c r="B1102" s="19">
        <v>46182</v>
      </c>
      <c r="C1102" s="1" t="s">
        <v>873</v>
      </c>
      <c r="D1102" s="1" t="s">
        <v>21</v>
      </c>
      <c r="E1102" s="1" t="s">
        <v>81</v>
      </c>
      <c r="F1102" s="1">
        <v>5917</v>
      </c>
      <c r="G1102" s="1" t="s">
        <v>361</v>
      </c>
      <c r="H1102" s="1" t="s">
        <v>79</v>
      </c>
      <c r="I1102" s="1" t="s">
        <v>3720</v>
      </c>
      <c r="J1102" s="1" t="s">
        <v>4112</v>
      </c>
    </row>
    <row r="1103" spans="1:10" x14ac:dyDescent="0.25">
      <c r="A1103" s="1" t="s">
        <v>4887</v>
      </c>
      <c r="B1103" s="19">
        <v>46182</v>
      </c>
      <c r="C1103" s="1" t="s">
        <v>874</v>
      </c>
      <c r="D1103" s="1" t="s">
        <v>21</v>
      </c>
      <c r="E1103" s="1" t="s">
        <v>81</v>
      </c>
      <c r="F1103" s="1">
        <v>5918</v>
      </c>
      <c r="G1103" s="1" t="s">
        <v>355</v>
      </c>
      <c r="H1103" s="1" t="s">
        <v>76</v>
      </c>
      <c r="I1103" s="1" t="s">
        <v>3720</v>
      </c>
      <c r="J1103" s="1" t="s">
        <v>82</v>
      </c>
    </row>
    <row r="1104" spans="1:10" x14ac:dyDescent="0.25">
      <c r="A1104" s="1" t="s">
        <v>4888</v>
      </c>
      <c r="B1104" s="19">
        <v>46182</v>
      </c>
      <c r="C1104" s="1" t="s">
        <v>874</v>
      </c>
      <c r="D1104" s="1" t="s">
        <v>21</v>
      </c>
      <c r="E1104" s="1" t="s">
        <v>81</v>
      </c>
      <c r="F1104" s="1">
        <v>5918</v>
      </c>
      <c r="G1104" s="1" t="s">
        <v>345</v>
      </c>
      <c r="H1104" s="1" t="s">
        <v>76</v>
      </c>
      <c r="I1104" s="1" t="s">
        <v>3720</v>
      </c>
      <c r="J1104" s="1" t="s">
        <v>78</v>
      </c>
    </row>
    <row r="1105" spans="1:10" x14ac:dyDescent="0.25">
      <c r="A1105" s="1" t="s">
        <v>4889</v>
      </c>
      <c r="B1105" s="19">
        <v>46182</v>
      </c>
      <c r="C1105" s="1" t="s">
        <v>874</v>
      </c>
      <c r="D1105" s="1" t="s">
        <v>21</v>
      </c>
      <c r="E1105" s="1" t="s">
        <v>81</v>
      </c>
      <c r="F1105" s="1">
        <v>5918</v>
      </c>
      <c r="G1105" s="1" t="s">
        <v>361</v>
      </c>
      <c r="H1105" s="1" t="s">
        <v>79</v>
      </c>
      <c r="I1105" s="1" t="s">
        <v>3720</v>
      </c>
      <c r="J1105" s="1" t="s">
        <v>4112</v>
      </c>
    </row>
    <row r="1106" spans="1:10" x14ac:dyDescent="0.25">
      <c r="A1106" s="1" t="s">
        <v>4890</v>
      </c>
      <c r="B1106" s="19">
        <v>46182</v>
      </c>
      <c r="C1106" s="1" t="s">
        <v>875</v>
      </c>
      <c r="D1106" s="1" t="s">
        <v>21</v>
      </c>
      <c r="E1106" s="1" t="s">
        <v>81</v>
      </c>
      <c r="F1106" s="1">
        <v>5919</v>
      </c>
      <c r="G1106" s="1" t="s">
        <v>355</v>
      </c>
      <c r="H1106" s="1" t="s">
        <v>76</v>
      </c>
      <c r="I1106" s="1" t="s">
        <v>3720</v>
      </c>
      <c r="J1106" s="1" t="s">
        <v>82</v>
      </c>
    </row>
    <row r="1107" spans="1:10" x14ac:dyDescent="0.25">
      <c r="A1107" s="1" t="s">
        <v>4891</v>
      </c>
      <c r="B1107" s="19">
        <v>46182</v>
      </c>
      <c r="C1107" s="1" t="s">
        <v>875</v>
      </c>
      <c r="D1107" s="1" t="s">
        <v>21</v>
      </c>
      <c r="E1107" s="1" t="s">
        <v>81</v>
      </c>
      <c r="F1107" s="1">
        <v>5919</v>
      </c>
      <c r="G1107" s="1" t="s">
        <v>345</v>
      </c>
      <c r="H1107" s="1" t="s">
        <v>76</v>
      </c>
      <c r="I1107" s="1" t="s">
        <v>3720</v>
      </c>
      <c r="J1107" s="1" t="s">
        <v>78</v>
      </c>
    </row>
    <row r="1108" spans="1:10" x14ac:dyDescent="0.25">
      <c r="A1108" s="1" t="s">
        <v>4892</v>
      </c>
      <c r="B1108" s="19">
        <v>46182</v>
      </c>
      <c r="C1108" s="1" t="s">
        <v>875</v>
      </c>
      <c r="D1108" s="1" t="s">
        <v>21</v>
      </c>
      <c r="E1108" s="1" t="s">
        <v>81</v>
      </c>
      <c r="F1108" s="1">
        <v>5919</v>
      </c>
      <c r="G1108" s="1" t="s">
        <v>361</v>
      </c>
      <c r="H1108" s="1" t="s">
        <v>79</v>
      </c>
      <c r="I1108" s="1" t="s">
        <v>3720</v>
      </c>
      <c r="J1108" s="1" t="s">
        <v>4112</v>
      </c>
    </row>
    <row r="1109" spans="1:10" x14ac:dyDescent="0.25">
      <c r="A1109" s="1" t="s">
        <v>4893</v>
      </c>
      <c r="B1109" s="19">
        <v>46182</v>
      </c>
      <c r="C1109" s="1" t="s">
        <v>876</v>
      </c>
      <c r="D1109" s="1" t="s">
        <v>21</v>
      </c>
      <c r="E1109" s="1" t="s">
        <v>81</v>
      </c>
      <c r="F1109" s="1">
        <v>5920</v>
      </c>
      <c r="G1109" s="1" t="s">
        <v>355</v>
      </c>
      <c r="H1109" s="1" t="s">
        <v>76</v>
      </c>
      <c r="I1109" s="1" t="s">
        <v>3720</v>
      </c>
      <c r="J1109" s="1" t="s">
        <v>82</v>
      </c>
    </row>
    <row r="1110" spans="1:10" x14ac:dyDescent="0.25">
      <c r="A1110" s="1" t="s">
        <v>4894</v>
      </c>
      <c r="B1110" s="19">
        <v>46182</v>
      </c>
      <c r="C1110" s="1" t="s">
        <v>876</v>
      </c>
      <c r="D1110" s="1" t="s">
        <v>21</v>
      </c>
      <c r="E1110" s="1" t="s">
        <v>81</v>
      </c>
      <c r="F1110" s="1">
        <v>5920</v>
      </c>
      <c r="G1110" s="1" t="s">
        <v>345</v>
      </c>
      <c r="H1110" s="1" t="s">
        <v>76</v>
      </c>
      <c r="I1110" s="1" t="s">
        <v>3720</v>
      </c>
      <c r="J1110" s="1" t="s">
        <v>78</v>
      </c>
    </row>
    <row r="1111" spans="1:10" x14ac:dyDescent="0.25">
      <c r="A1111" s="1" t="s">
        <v>4895</v>
      </c>
      <c r="B1111" s="19">
        <v>46182</v>
      </c>
      <c r="C1111" s="1" t="s">
        <v>876</v>
      </c>
      <c r="D1111" s="1" t="s">
        <v>21</v>
      </c>
      <c r="E1111" s="1" t="s">
        <v>81</v>
      </c>
      <c r="F1111" s="1">
        <v>5920</v>
      </c>
      <c r="G1111" s="1" t="s">
        <v>361</v>
      </c>
      <c r="H1111" s="1" t="s">
        <v>79</v>
      </c>
      <c r="I1111" s="1" t="s">
        <v>3720</v>
      </c>
      <c r="J1111" s="1" t="s">
        <v>4112</v>
      </c>
    </row>
    <row r="1112" spans="1:10" x14ac:dyDescent="0.25">
      <c r="A1112" s="1" t="s">
        <v>4896</v>
      </c>
      <c r="B1112" s="19">
        <v>46182</v>
      </c>
      <c r="C1112" s="1" t="s">
        <v>877</v>
      </c>
      <c r="D1112" s="1" t="s">
        <v>21</v>
      </c>
      <c r="E1112" s="1" t="s">
        <v>81</v>
      </c>
      <c r="F1112" s="1">
        <v>5921</v>
      </c>
      <c r="G1112" s="1" t="s">
        <v>355</v>
      </c>
      <c r="H1112" s="1" t="s">
        <v>76</v>
      </c>
      <c r="I1112" s="1" t="s">
        <v>3720</v>
      </c>
      <c r="J1112" s="1" t="s">
        <v>82</v>
      </c>
    </row>
    <row r="1113" spans="1:10" x14ac:dyDescent="0.25">
      <c r="A1113" s="1" t="s">
        <v>4897</v>
      </c>
      <c r="B1113" s="19">
        <v>46182</v>
      </c>
      <c r="C1113" s="1" t="s">
        <v>877</v>
      </c>
      <c r="D1113" s="1" t="s">
        <v>21</v>
      </c>
      <c r="E1113" s="1" t="s">
        <v>81</v>
      </c>
      <c r="F1113" s="1">
        <v>5921</v>
      </c>
      <c r="G1113" s="1" t="s">
        <v>345</v>
      </c>
      <c r="H1113" s="1" t="s">
        <v>76</v>
      </c>
      <c r="I1113" s="1" t="s">
        <v>3720</v>
      </c>
      <c r="J1113" s="1" t="s">
        <v>78</v>
      </c>
    </row>
    <row r="1114" spans="1:10" x14ac:dyDescent="0.25">
      <c r="A1114" s="1" t="s">
        <v>4898</v>
      </c>
      <c r="B1114" s="19">
        <v>46182</v>
      </c>
      <c r="C1114" s="1" t="s">
        <v>877</v>
      </c>
      <c r="D1114" s="1" t="s">
        <v>21</v>
      </c>
      <c r="E1114" s="1" t="s">
        <v>81</v>
      </c>
      <c r="F1114" s="1">
        <v>5921</v>
      </c>
      <c r="G1114" s="1" t="s">
        <v>361</v>
      </c>
      <c r="H1114" s="1" t="s">
        <v>79</v>
      </c>
      <c r="I1114" s="1" t="s">
        <v>3720</v>
      </c>
      <c r="J1114" s="1" t="s">
        <v>4112</v>
      </c>
    </row>
    <row r="1115" spans="1:10" x14ac:dyDescent="0.25">
      <c r="A1115" s="1" t="s">
        <v>4899</v>
      </c>
      <c r="B1115" s="19">
        <v>46182</v>
      </c>
      <c r="C1115" s="1" t="s">
        <v>878</v>
      </c>
      <c r="D1115" s="1" t="s">
        <v>21</v>
      </c>
      <c r="E1115" s="1" t="s">
        <v>81</v>
      </c>
      <c r="F1115" s="1">
        <v>5922</v>
      </c>
      <c r="G1115" s="1" t="s">
        <v>355</v>
      </c>
      <c r="H1115" s="1" t="s">
        <v>76</v>
      </c>
      <c r="I1115" s="1" t="s">
        <v>3720</v>
      </c>
      <c r="J1115" s="1" t="s">
        <v>82</v>
      </c>
    </row>
    <row r="1116" spans="1:10" x14ac:dyDescent="0.25">
      <c r="A1116" s="1" t="s">
        <v>4900</v>
      </c>
      <c r="B1116" s="19">
        <v>46182</v>
      </c>
      <c r="C1116" s="1" t="s">
        <v>878</v>
      </c>
      <c r="D1116" s="1" t="s">
        <v>21</v>
      </c>
      <c r="E1116" s="1" t="s">
        <v>81</v>
      </c>
      <c r="F1116" s="1">
        <v>5922</v>
      </c>
      <c r="G1116" s="1" t="s">
        <v>345</v>
      </c>
      <c r="H1116" s="1" t="s">
        <v>76</v>
      </c>
      <c r="I1116" s="1" t="s">
        <v>3720</v>
      </c>
      <c r="J1116" s="1" t="s">
        <v>78</v>
      </c>
    </row>
    <row r="1117" spans="1:10" x14ac:dyDescent="0.25">
      <c r="A1117" s="1" t="s">
        <v>4901</v>
      </c>
      <c r="B1117" s="19">
        <v>46182</v>
      </c>
      <c r="C1117" s="1" t="s">
        <v>878</v>
      </c>
      <c r="D1117" s="1" t="s">
        <v>21</v>
      </c>
      <c r="E1117" s="1" t="s">
        <v>81</v>
      </c>
      <c r="F1117" s="1">
        <v>5922</v>
      </c>
      <c r="G1117" s="1" t="s">
        <v>361</v>
      </c>
      <c r="H1117" s="1" t="s">
        <v>79</v>
      </c>
      <c r="I1117" s="1" t="s">
        <v>3720</v>
      </c>
      <c r="J1117" s="1" t="s">
        <v>4112</v>
      </c>
    </row>
    <row r="1118" spans="1:10" x14ac:dyDescent="0.25">
      <c r="A1118" s="1" t="s">
        <v>4902</v>
      </c>
      <c r="B1118" s="19">
        <v>46182</v>
      </c>
      <c r="C1118" s="1" t="s">
        <v>879</v>
      </c>
      <c r="D1118" s="1" t="s">
        <v>21</v>
      </c>
      <c r="E1118" s="1" t="s">
        <v>81</v>
      </c>
      <c r="F1118" s="1">
        <v>5923</v>
      </c>
      <c r="G1118" s="1" t="s">
        <v>355</v>
      </c>
      <c r="H1118" s="1" t="s">
        <v>76</v>
      </c>
      <c r="I1118" s="1" t="s">
        <v>3720</v>
      </c>
      <c r="J1118" s="1" t="s">
        <v>82</v>
      </c>
    </row>
    <row r="1119" spans="1:10" x14ac:dyDescent="0.25">
      <c r="A1119" s="1" t="s">
        <v>4903</v>
      </c>
      <c r="B1119" s="19">
        <v>46182</v>
      </c>
      <c r="C1119" s="1" t="s">
        <v>879</v>
      </c>
      <c r="D1119" s="1" t="s">
        <v>21</v>
      </c>
      <c r="E1119" s="1" t="s">
        <v>81</v>
      </c>
      <c r="F1119" s="1">
        <v>5923</v>
      </c>
      <c r="G1119" s="1" t="s">
        <v>345</v>
      </c>
      <c r="H1119" s="1" t="s">
        <v>76</v>
      </c>
      <c r="I1119" s="1" t="s">
        <v>3720</v>
      </c>
      <c r="J1119" s="1" t="s">
        <v>78</v>
      </c>
    </row>
    <row r="1120" spans="1:10" x14ac:dyDescent="0.25">
      <c r="A1120" s="1" t="s">
        <v>4904</v>
      </c>
      <c r="B1120" s="19">
        <v>46182</v>
      </c>
      <c r="C1120" s="1" t="s">
        <v>879</v>
      </c>
      <c r="D1120" s="1" t="s">
        <v>21</v>
      </c>
      <c r="E1120" s="1" t="s">
        <v>81</v>
      </c>
      <c r="F1120" s="1">
        <v>5923</v>
      </c>
      <c r="G1120" s="1" t="s">
        <v>361</v>
      </c>
      <c r="H1120" s="1" t="s">
        <v>79</v>
      </c>
      <c r="I1120" s="1" t="s">
        <v>3720</v>
      </c>
      <c r="J1120" s="1" t="s">
        <v>4112</v>
      </c>
    </row>
    <row r="1121" spans="1:10" x14ac:dyDescent="0.25">
      <c r="A1121" s="1" t="s">
        <v>4905</v>
      </c>
      <c r="B1121" s="19">
        <v>46182</v>
      </c>
      <c r="C1121" s="1" t="s">
        <v>880</v>
      </c>
      <c r="D1121" s="1" t="s">
        <v>21</v>
      </c>
      <c r="E1121" s="1" t="s">
        <v>81</v>
      </c>
      <c r="F1121" s="1">
        <v>5924</v>
      </c>
      <c r="G1121" s="1" t="s">
        <v>355</v>
      </c>
      <c r="H1121" s="1" t="s">
        <v>76</v>
      </c>
      <c r="I1121" s="1" t="s">
        <v>3720</v>
      </c>
      <c r="J1121" s="1" t="s">
        <v>82</v>
      </c>
    </row>
    <row r="1122" spans="1:10" x14ac:dyDescent="0.25">
      <c r="A1122" s="1" t="s">
        <v>4906</v>
      </c>
      <c r="B1122" s="19">
        <v>46182</v>
      </c>
      <c r="C1122" s="1" t="s">
        <v>880</v>
      </c>
      <c r="D1122" s="1" t="s">
        <v>21</v>
      </c>
      <c r="E1122" s="1" t="s">
        <v>81</v>
      </c>
      <c r="F1122" s="1">
        <v>5924</v>
      </c>
      <c r="G1122" s="1" t="s">
        <v>345</v>
      </c>
      <c r="H1122" s="1" t="s">
        <v>76</v>
      </c>
      <c r="I1122" s="1" t="s">
        <v>3720</v>
      </c>
      <c r="J1122" s="1" t="s">
        <v>78</v>
      </c>
    </row>
    <row r="1123" spans="1:10" x14ac:dyDescent="0.25">
      <c r="A1123" s="1" t="s">
        <v>4907</v>
      </c>
      <c r="B1123" s="19">
        <v>46182</v>
      </c>
      <c r="C1123" s="1" t="s">
        <v>880</v>
      </c>
      <c r="D1123" s="1" t="s">
        <v>21</v>
      </c>
      <c r="E1123" s="1" t="s">
        <v>81</v>
      </c>
      <c r="F1123" s="1">
        <v>5924</v>
      </c>
      <c r="G1123" s="1" t="s">
        <v>361</v>
      </c>
      <c r="H1123" s="1" t="s">
        <v>79</v>
      </c>
      <c r="I1123" s="1" t="s">
        <v>3720</v>
      </c>
      <c r="J1123" s="1" t="s">
        <v>4112</v>
      </c>
    </row>
    <row r="1124" spans="1:10" x14ac:dyDescent="0.25">
      <c r="A1124" s="1" t="s">
        <v>4908</v>
      </c>
      <c r="B1124" s="19">
        <v>46182</v>
      </c>
      <c r="C1124" s="1" t="s">
        <v>881</v>
      </c>
      <c r="D1124" s="1" t="s">
        <v>21</v>
      </c>
      <c r="E1124" s="1" t="s">
        <v>81</v>
      </c>
      <c r="F1124" s="1">
        <v>5925</v>
      </c>
      <c r="G1124" s="1" t="s">
        <v>355</v>
      </c>
      <c r="H1124" s="1" t="s">
        <v>76</v>
      </c>
      <c r="I1124" s="1" t="s">
        <v>3720</v>
      </c>
      <c r="J1124" s="1" t="s">
        <v>82</v>
      </c>
    </row>
    <row r="1125" spans="1:10" x14ac:dyDescent="0.25">
      <c r="A1125" s="1" t="s">
        <v>4909</v>
      </c>
      <c r="B1125" s="19">
        <v>46182</v>
      </c>
      <c r="C1125" s="1" t="s">
        <v>881</v>
      </c>
      <c r="D1125" s="1" t="s">
        <v>21</v>
      </c>
      <c r="E1125" s="1" t="s">
        <v>81</v>
      </c>
      <c r="F1125" s="1">
        <v>5925</v>
      </c>
      <c r="G1125" s="1" t="s">
        <v>345</v>
      </c>
      <c r="H1125" s="1" t="s">
        <v>76</v>
      </c>
      <c r="I1125" s="1" t="s">
        <v>3720</v>
      </c>
      <c r="J1125" s="1" t="s">
        <v>78</v>
      </c>
    </row>
    <row r="1126" spans="1:10" x14ac:dyDescent="0.25">
      <c r="A1126" s="1" t="s">
        <v>4910</v>
      </c>
      <c r="B1126" s="19">
        <v>46182</v>
      </c>
      <c r="C1126" s="1" t="s">
        <v>881</v>
      </c>
      <c r="D1126" s="1" t="s">
        <v>21</v>
      </c>
      <c r="E1126" s="1" t="s">
        <v>81</v>
      </c>
      <c r="F1126" s="1">
        <v>5925</v>
      </c>
      <c r="G1126" s="1" t="s">
        <v>361</v>
      </c>
      <c r="H1126" s="1" t="s">
        <v>79</v>
      </c>
      <c r="I1126" s="1" t="s">
        <v>3720</v>
      </c>
      <c r="J1126" s="1" t="s">
        <v>4112</v>
      </c>
    </row>
    <row r="1127" spans="1:10" x14ac:dyDescent="0.25">
      <c r="A1127" s="1" t="s">
        <v>4911</v>
      </c>
      <c r="B1127" s="19">
        <v>46182</v>
      </c>
      <c r="C1127" s="1" t="s">
        <v>882</v>
      </c>
      <c r="D1127" s="1" t="s">
        <v>21</v>
      </c>
      <c r="E1127" s="1" t="s">
        <v>81</v>
      </c>
      <c r="F1127" s="1">
        <v>5926</v>
      </c>
      <c r="G1127" s="1" t="s">
        <v>355</v>
      </c>
      <c r="H1127" s="1" t="s">
        <v>76</v>
      </c>
      <c r="I1127" s="1" t="s">
        <v>3720</v>
      </c>
      <c r="J1127" s="1" t="s">
        <v>82</v>
      </c>
    </row>
    <row r="1128" spans="1:10" x14ac:dyDescent="0.25">
      <c r="A1128" s="1" t="s">
        <v>4912</v>
      </c>
      <c r="B1128" s="19">
        <v>46182</v>
      </c>
      <c r="C1128" s="1" t="s">
        <v>882</v>
      </c>
      <c r="D1128" s="1" t="s">
        <v>21</v>
      </c>
      <c r="E1128" s="1" t="s">
        <v>81</v>
      </c>
      <c r="F1128" s="1">
        <v>5926</v>
      </c>
      <c r="G1128" s="1" t="s">
        <v>345</v>
      </c>
      <c r="H1128" s="1" t="s">
        <v>76</v>
      </c>
      <c r="I1128" s="1" t="s">
        <v>3720</v>
      </c>
      <c r="J1128" s="1" t="s">
        <v>78</v>
      </c>
    </row>
    <row r="1129" spans="1:10" x14ac:dyDescent="0.25">
      <c r="A1129" s="1" t="s">
        <v>4913</v>
      </c>
      <c r="B1129" s="19">
        <v>46182</v>
      </c>
      <c r="C1129" s="1" t="s">
        <v>882</v>
      </c>
      <c r="D1129" s="1" t="s">
        <v>21</v>
      </c>
      <c r="E1129" s="1" t="s">
        <v>81</v>
      </c>
      <c r="F1129" s="1">
        <v>5926</v>
      </c>
      <c r="G1129" s="1" t="s">
        <v>361</v>
      </c>
      <c r="H1129" s="1" t="s">
        <v>79</v>
      </c>
      <c r="I1129" s="1" t="s">
        <v>3720</v>
      </c>
      <c r="J1129" s="1" t="s">
        <v>4112</v>
      </c>
    </row>
    <row r="1130" spans="1:10" x14ac:dyDescent="0.25">
      <c r="A1130" s="1" t="s">
        <v>4914</v>
      </c>
      <c r="B1130" s="19">
        <v>46182</v>
      </c>
      <c r="C1130" s="1" t="s">
        <v>883</v>
      </c>
      <c r="D1130" s="1" t="s">
        <v>21</v>
      </c>
      <c r="E1130" s="1" t="s">
        <v>81</v>
      </c>
      <c r="F1130" s="1">
        <v>5927</v>
      </c>
      <c r="G1130" s="1" t="s">
        <v>355</v>
      </c>
      <c r="H1130" s="1" t="s">
        <v>76</v>
      </c>
      <c r="I1130" s="1" t="s">
        <v>3720</v>
      </c>
      <c r="J1130" s="1" t="s">
        <v>82</v>
      </c>
    </row>
    <row r="1131" spans="1:10" x14ac:dyDescent="0.25">
      <c r="A1131" s="1" t="s">
        <v>4915</v>
      </c>
      <c r="B1131" s="19">
        <v>46182</v>
      </c>
      <c r="C1131" s="1" t="s">
        <v>883</v>
      </c>
      <c r="D1131" s="1" t="s">
        <v>21</v>
      </c>
      <c r="E1131" s="1" t="s">
        <v>81</v>
      </c>
      <c r="F1131" s="1">
        <v>5927</v>
      </c>
      <c r="G1131" s="1" t="s">
        <v>345</v>
      </c>
      <c r="H1131" s="1" t="s">
        <v>76</v>
      </c>
      <c r="I1131" s="1" t="s">
        <v>3720</v>
      </c>
      <c r="J1131" s="1" t="s">
        <v>78</v>
      </c>
    </row>
    <row r="1132" spans="1:10" x14ac:dyDescent="0.25">
      <c r="A1132" s="1" t="s">
        <v>4916</v>
      </c>
      <c r="B1132" s="19">
        <v>46182</v>
      </c>
      <c r="C1132" s="1" t="s">
        <v>883</v>
      </c>
      <c r="D1132" s="1" t="s">
        <v>21</v>
      </c>
      <c r="E1132" s="1" t="s">
        <v>81</v>
      </c>
      <c r="F1132" s="1">
        <v>5927</v>
      </c>
      <c r="G1132" s="1" t="s">
        <v>361</v>
      </c>
      <c r="H1132" s="1" t="s">
        <v>79</v>
      </c>
      <c r="I1132" s="1" t="s">
        <v>3720</v>
      </c>
      <c r="J1132" s="1" t="s">
        <v>4112</v>
      </c>
    </row>
    <row r="1133" spans="1:10" x14ac:dyDescent="0.25">
      <c r="A1133" s="1" t="s">
        <v>4917</v>
      </c>
      <c r="B1133" s="19">
        <v>46182</v>
      </c>
      <c r="C1133" s="1" t="s">
        <v>884</v>
      </c>
      <c r="D1133" s="1" t="s">
        <v>21</v>
      </c>
      <c r="E1133" s="1" t="s">
        <v>81</v>
      </c>
      <c r="F1133" s="1">
        <v>5928</v>
      </c>
      <c r="G1133" s="1" t="s">
        <v>355</v>
      </c>
      <c r="H1133" s="1" t="s">
        <v>76</v>
      </c>
      <c r="I1133" s="1" t="s">
        <v>3720</v>
      </c>
      <c r="J1133" s="1" t="s">
        <v>82</v>
      </c>
    </row>
    <row r="1134" spans="1:10" x14ac:dyDescent="0.25">
      <c r="A1134" s="1" t="s">
        <v>4918</v>
      </c>
      <c r="B1134" s="19">
        <v>46182</v>
      </c>
      <c r="C1134" s="1" t="s">
        <v>884</v>
      </c>
      <c r="D1134" s="1" t="s">
        <v>21</v>
      </c>
      <c r="E1134" s="1" t="s">
        <v>81</v>
      </c>
      <c r="F1134" s="1">
        <v>5928</v>
      </c>
      <c r="G1134" s="1" t="s">
        <v>345</v>
      </c>
      <c r="H1134" s="1" t="s">
        <v>76</v>
      </c>
      <c r="I1134" s="1" t="s">
        <v>3720</v>
      </c>
      <c r="J1134" s="1" t="s">
        <v>78</v>
      </c>
    </row>
    <row r="1135" spans="1:10" x14ac:dyDescent="0.25">
      <c r="A1135" s="1" t="s">
        <v>4919</v>
      </c>
      <c r="B1135" s="19">
        <v>46182</v>
      </c>
      <c r="C1135" s="1" t="s">
        <v>884</v>
      </c>
      <c r="D1135" s="1" t="s">
        <v>21</v>
      </c>
      <c r="E1135" s="1" t="s">
        <v>81</v>
      </c>
      <c r="F1135" s="1">
        <v>5928</v>
      </c>
      <c r="G1135" s="1" t="s">
        <v>361</v>
      </c>
      <c r="H1135" s="1" t="s">
        <v>79</v>
      </c>
      <c r="I1135" s="1" t="s">
        <v>3720</v>
      </c>
      <c r="J1135" s="1" t="s">
        <v>4112</v>
      </c>
    </row>
    <row r="1136" spans="1:10" x14ac:dyDescent="0.25">
      <c r="A1136" s="1" t="s">
        <v>4920</v>
      </c>
      <c r="B1136" s="19">
        <v>46182</v>
      </c>
      <c r="C1136" s="1" t="s">
        <v>885</v>
      </c>
      <c r="D1136" s="1" t="s">
        <v>21</v>
      </c>
      <c r="E1136" s="1" t="s">
        <v>81</v>
      </c>
      <c r="F1136" s="1">
        <v>5929</v>
      </c>
      <c r="G1136" s="1" t="s">
        <v>355</v>
      </c>
      <c r="H1136" s="1" t="s">
        <v>76</v>
      </c>
      <c r="I1136" s="1" t="s">
        <v>3720</v>
      </c>
      <c r="J1136" s="1" t="s">
        <v>82</v>
      </c>
    </row>
    <row r="1137" spans="1:10" x14ac:dyDescent="0.25">
      <c r="A1137" s="1" t="s">
        <v>4921</v>
      </c>
      <c r="B1137" s="19">
        <v>46182</v>
      </c>
      <c r="C1137" s="1" t="s">
        <v>885</v>
      </c>
      <c r="D1137" s="1" t="s">
        <v>21</v>
      </c>
      <c r="E1137" s="1" t="s">
        <v>81</v>
      </c>
      <c r="F1137" s="1">
        <v>5929</v>
      </c>
      <c r="G1137" s="1" t="s">
        <v>345</v>
      </c>
      <c r="H1137" s="1" t="s">
        <v>76</v>
      </c>
      <c r="I1137" s="1" t="s">
        <v>3720</v>
      </c>
      <c r="J1137" s="1" t="s">
        <v>78</v>
      </c>
    </row>
    <row r="1138" spans="1:10" x14ac:dyDescent="0.25">
      <c r="A1138" s="1" t="s">
        <v>4922</v>
      </c>
      <c r="B1138" s="19">
        <v>46182</v>
      </c>
      <c r="C1138" s="1" t="s">
        <v>885</v>
      </c>
      <c r="D1138" s="1" t="s">
        <v>21</v>
      </c>
      <c r="E1138" s="1" t="s">
        <v>81</v>
      </c>
      <c r="F1138" s="1">
        <v>5929</v>
      </c>
      <c r="G1138" s="1" t="s">
        <v>361</v>
      </c>
      <c r="H1138" s="1" t="s">
        <v>79</v>
      </c>
      <c r="I1138" s="1" t="s">
        <v>3720</v>
      </c>
      <c r="J1138" s="1" t="s">
        <v>4112</v>
      </c>
    </row>
    <row r="1139" spans="1:10" x14ac:dyDescent="0.25">
      <c r="A1139" s="1" t="s">
        <v>4923</v>
      </c>
      <c r="B1139" s="19">
        <v>46182</v>
      </c>
      <c r="C1139" s="1" t="s">
        <v>886</v>
      </c>
      <c r="D1139" s="1" t="s">
        <v>21</v>
      </c>
      <c r="E1139" s="1" t="s">
        <v>81</v>
      </c>
      <c r="F1139" s="1">
        <v>5930</v>
      </c>
      <c r="G1139" s="1" t="s">
        <v>355</v>
      </c>
      <c r="H1139" s="1" t="s">
        <v>76</v>
      </c>
      <c r="I1139" s="1" t="s">
        <v>3720</v>
      </c>
      <c r="J1139" s="1" t="s">
        <v>82</v>
      </c>
    </row>
    <row r="1140" spans="1:10" x14ac:dyDescent="0.25">
      <c r="A1140" s="1" t="s">
        <v>4924</v>
      </c>
      <c r="B1140" s="19">
        <v>46182</v>
      </c>
      <c r="C1140" s="1" t="s">
        <v>886</v>
      </c>
      <c r="D1140" s="1" t="s">
        <v>21</v>
      </c>
      <c r="E1140" s="1" t="s">
        <v>81</v>
      </c>
      <c r="F1140" s="1">
        <v>5930</v>
      </c>
      <c r="G1140" s="1" t="s">
        <v>345</v>
      </c>
      <c r="H1140" s="1" t="s">
        <v>76</v>
      </c>
      <c r="I1140" s="1" t="s">
        <v>3720</v>
      </c>
      <c r="J1140" s="1" t="s">
        <v>78</v>
      </c>
    </row>
    <row r="1141" spans="1:10" x14ac:dyDescent="0.25">
      <c r="A1141" s="1" t="s">
        <v>4925</v>
      </c>
      <c r="B1141" s="19">
        <v>46182</v>
      </c>
      <c r="C1141" s="1" t="s">
        <v>886</v>
      </c>
      <c r="D1141" s="1" t="s">
        <v>21</v>
      </c>
      <c r="E1141" s="1" t="s">
        <v>81</v>
      </c>
      <c r="F1141" s="1">
        <v>5930</v>
      </c>
      <c r="G1141" s="1" t="s">
        <v>361</v>
      </c>
      <c r="H1141" s="1" t="s">
        <v>79</v>
      </c>
      <c r="I1141" s="1" t="s">
        <v>3720</v>
      </c>
      <c r="J1141" s="1" t="s">
        <v>4112</v>
      </c>
    </row>
    <row r="1142" spans="1:10" x14ac:dyDescent="0.25">
      <c r="A1142" s="1" t="s">
        <v>4926</v>
      </c>
      <c r="B1142" s="19">
        <v>46182</v>
      </c>
      <c r="C1142" s="1" t="s">
        <v>887</v>
      </c>
      <c r="D1142" s="1" t="s">
        <v>21</v>
      </c>
      <c r="E1142" s="1" t="s">
        <v>81</v>
      </c>
      <c r="F1142" s="1">
        <v>5931</v>
      </c>
      <c r="G1142" s="1" t="s">
        <v>355</v>
      </c>
      <c r="H1142" s="1" t="s">
        <v>76</v>
      </c>
      <c r="I1142" s="1" t="s">
        <v>3720</v>
      </c>
      <c r="J1142" s="1" t="s">
        <v>82</v>
      </c>
    </row>
    <row r="1143" spans="1:10" x14ac:dyDescent="0.25">
      <c r="A1143" s="1" t="s">
        <v>4927</v>
      </c>
      <c r="B1143" s="19">
        <v>46182</v>
      </c>
      <c r="C1143" s="1" t="s">
        <v>887</v>
      </c>
      <c r="D1143" s="1" t="s">
        <v>21</v>
      </c>
      <c r="E1143" s="1" t="s">
        <v>81</v>
      </c>
      <c r="F1143" s="1">
        <v>5931</v>
      </c>
      <c r="G1143" s="1" t="s">
        <v>345</v>
      </c>
      <c r="H1143" s="1" t="s">
        <v>76</v>
      </c>
      <c r="I1143" s="1" t="s">
        <v>3720</v>
      </c>
      <c r="J1143" s="1" t="s">
        <v>78</v>
      </c>
    </row>
    <row r="1144" spans="1:10" x14ac:dyDescent="0.25">
      <c r="A1144" s="1" t="s">
        <v>4928</v>
      </c>
      <c r="B1144" s="19">
        <v>46182</v>
      </c>
      <c r="C1144" s="1" t="s">
        <v>887</v>
      </c>
      <c r="D1144" s="1" t="s">
        <v>21</v>
      </c>
      <c r="E1144" s="1" t="s">
        <v>81</v>
      </c>
      <c r="F1144" s="1">
        <v>5931</v>
      </c>
      <c r="G1144" s="1" t="s">
        <v>361</v>
      </c>
      <c r="H1144" s="1" t="s">
        <v>79</v>
      </c>
      <c r="I1144" s="1" t="s">
        <v>3720</v>
      </c>
      <c r="J1144" s="1" t="s">
        <v>4112</v>
      </c>
    </row>
    <row r="1145" spans="1:10" x14ac:dyDescent="0.25">
      <c r="A1145" s="1" t="s">
        <v>4929</v>
      </c>
      <c r="B1145" s="19">
        <v>46182</v>
      </c>
      <c r="C1145" s="1" t="s">
        <v>888</v>
      </c>
      <c r="D1145" s="1" t="s">
        <v>21</v>
      </c>
      <c r="E1145" s="1" t="s">
        <v>81</v>
      </c>
      <c r="F1145" s="1">
        <v>5932</v>
      </c>
      <c r="G1145" s="1" t="s">
        <v>355</v>
      </c>
      <c r="H1145" s="1" t="s">
        <v>76</v>
      </c>
      <c r="I1145" s="1" t="s">
        <v>3720</v>
      </c>
      <c r="J1145" s="1" t="s">
        <v>82</v>
      </c>
    </row>
    <row r="1146" spans="1:10" x14ac:dyDescent="0.25">
      <c r="A1146" s="1" t="s">
        <v>4930</v>
      </c>
      <c r="B1146" s="19">
        <v>46182</v>
      </c>
      <c r="C1146" s="1" t="s">
        <v>888</v>
      </c>
      <c r="D1146" s="1" t="s">
        <v>21</v>
      </c>
      <c r="E1146" s="1" t="s">
        <v>81</v>
      </c>
      <c r="F1146" s="1">
        <v>5932</v>
      </c>
      <c r="G1146" s="1" t="s">
        <v>345</v>
      </c>
      <c r="H1146" s="1" t="s">
        <v>76</v>
      </c>
      <c r="I1146" s="1" t="s">
        <v>3720</v>
      </c>
      <c r="J1146" s="1" t="s">
        <v>78</v>
      </c>
    </row>
    <row r="1147" spans="1:10" x14ac:dyDescent="0.25">
      <c r="A1147" s="1" t="s">
        <v>4931</v>
      </c>
      <c r="B1147" s="19">
        <v>46182</v>
      </c>
      <c r="C1147" s="1" t="s">
        <v>888</v>
      </c>
      <c r="D1147" s="1" t="s">
        <v>21</v>
      </c>
      <c r="E1147" s="1" t="s">
        <v>81</v>
      </c>
      <c r="F1147" s="1">
        <v>5932</v>
      </c>
      <c r="G1147" s="1" t="s">
        <v>361</v>
      </c>
      <c r="H1147" s="1" t="s">
        <v>79</v>
      </c>
      <c r="I1147" s="1" t="s">
        <v>3720</v>
      </c>
      <c r="J1147" s="1" t="s">
        <v>4112</v>
      </c>
    </row>
    <row r="1148" spans="1:10" x14ac:dyDescent="0.25">
      <c r="A1148" s="1" t="s">
        <v>4932</v>
      </c>
      <c r="B1148" s="19">
        <v>46182</v>
      </c>
      <c r="C1148" s="1" t="s">
        <v>889</v>
      </c>
      <c r="D1148" s="1" t="s">
        <v>21</v>
      </c>
      <c r="E1148" s="1" t="s">
        <v>81</v>
      </c>
      <c r="F1148" s="1">
        <v>5933</v>
      </c>
      <c r="G1148" s="1" t="s">
        <v>355</v>
      </c>
      <c r="H1148" s="1" t="s">
        <v>76</v>
      </c>
      <c r="I1148" s="1" t="s">
        <v>3720</v>
      </c>
      <c r="J1148" s="1" t="s">
        <v>82</v>
      </c>
    </row>
    <row r="1149" spans="1:10" x14ac:dyDescent="0.25">
      <c r="A1149" s="1" t="s">
        <v>4933</v>
      </c>
      <c r="B1149" s="19">
        <v>46182</v>
      </c>
      <c r="C1149" s="1" t="s">
        <v>889</v>
      </c>
      <c r="D1149" s="1" t="s">
        <v>21</v>
      </c>
      <c r="E1149" s="1" t="s">
        <v>81</v>
      </c>
      <c r="F1149" s="1">
        <v>5933</v>
      </c>
      <c r="G1149" s="1" t="s">
        <v>345</v>
      </c>
      <c r="H1149" s="1" t="s">
        <v>76</v>
      </c>
      <c r="I1149" s="1" t="s">
        <v>3720</v>
      </c>
      <c r="J1149" s="1" t="s">
        <v>78</v>
      </c>
    </row>
    <row r="1150" spans="1:10" x14ac:dyDescent="0.25">
      <c r="A1150" s="1" t="s">
        <v>4934</v>
      </c>
      <c r="B1150" s="19">
        <v>46182</v>
      </c>
      <c r="C1150" s="1" t="s">
        <v>889</v>
      </c>
      <c r="D1150" s="1" t="s">
        <v>21</v>
      </c>
      <c r="E1150" s="1" t="s">
        <v>81</v>
      </c>
      <c r="F1150" s="1">
        <v>5933</v>
      </c>
      <c r="G1150" s="1" t="s">
        <v>361</v>
      </c>
      <c r="H1150" s="1" t="s">
        <v>79</v>
      </c>
      <c r="I1150" s="1" t="s">
        <v>3720</v>
      </c>
      <c r="J1150" s="1" t="s">
        <v>4112</v>
      </c>
    </row>
    <row r="1151" spans="1:10" x14ac:dyDescent="0.25">
      <c r="A1151" s="1" t="s">
        <v>4935</v>
      </c>
      <c r="B1151" s="19">
        <v>46182</v>
      </c>
      <c r="C1151" s="1" t="s">
        <v>890</v>
      </c>
      <c r="D1151" s="1" t="s">
        <v>21</v>
      </c>
      <c r="E1151" s="1" t="s">
        <v>81</v>
      </c>
      <c r="F1151" s="1">
        <v>5934</v>
      </c>
      <c r="G1151" s="1" t="s">
        <v>355</v>
      </c>
      <c r="H1151" s="1" t="s">
        <v>76</v>
      </c>
      <c r="I1151" s="1" t="s">
        <v>3720</v>
      </c>
      <c r="J1151" s="1" t="s">
        <v>82</v>
      </c>
    </row>
    <row r="1152" spans="1:10" x14ac:dyDescent="0.25">
      <c r="A1152" s="1" t="s">
        <v>4936</v>
      </c>
      <c r="B1152" s="19">
        <v>46182</v>
      </c>
      <c r="C1152" s="1" t="s">
        <v>890</v>
      </c>
      <c r="D1152" s="1" t="s">
        <v>21</v>
      </c>
      <c r="E1152" s="1" t="s">
        <v>81</v>
      </c>
      <c r="F1152" s="1">
        <v>5934</v>
      </c>
      <c r="G1152" s="1" t="s">
        <v>345</v>
      </c>
      <c r="H1152" s="1" t="s">
        <v>76</v>
      </c>
      <c r="I1152" s="1" t="s">
        <v>3720</v>
      </c>
      <c r="J1152" s="1" t="s">
        <v>78</v>
      </c>
    </row>
    <row r="1153" spans="1:10" x14ac:dyDescent="0.25">
      <c r="A1153" s="1" t="s">
        <v>4937</v>
      </c>
      <c r="B1153" s="19">
        <v>46182</v>
      </c>
      <c r="C1153" s="1" t="s">
        <v>890</v>
      </c>
      <c r="D1153" s="1" t="s">
        <v>21</v>
      </c>
      <c r="E1153" s="1" t="s">
        <v>81</v>
      </c>
      <c r="F1153" s="1">
        <v>5934</v>
      </c>
      <c r="G1153" s="1" t="s">
        <v>361</v>
      </c>
      <c r="H1153" s="1" t="s">
        <v>79</v>
      </c>
      <c r="I1153" s="1" t="s">
        <v>3720</v>
      </c>
      <c r="J1153" s="1" t="s">
        <v>4112</v>
      </c>
    </row>
    <row r="1154" spans="1:10" x14ac:dyDescent="0.25">
      <c r="A1154" s="1" t="s">
        <v>4938</v>
      </c>
      <c r="B1154" s="19">
        <v>46182</v>
      </c>
      <c r="C1154" s="1" t="s">
        <v>891</v>
      </c>
      <c r="D1154" s="1" t="s">
        <v>21</v>
      </c>
      <c r="E1154" s="1" t="s">
        <v>81</v>
      </c>
      <c r="F1154" s="1">
        <v>5935</v>
      </c>
      <c r="G1154" s="1" t="s">
        <v>355</v>
      </c>
      <c r="H1154" s="1" t="s">
        <v>76</v>
      </c>
      <c r="I1154" s="1" t="s">
        <v>3720</v>
      </c>
      <c r="J1154" s="1" t="s">
        <v>82</v>
      </c>
    </row>
    <row r="1155" spans="1:10" x14ac:dyDescent="0.25">
      <c r="A1155" s="1" t="s">
        <v>4939</v>
      </c>
      <c r="B1155" s="19">
        <v>46182</v>
      </c>
      <c r="C1155" s="1" t="s">
        <v>891</v>
      </c>
      <c r="D1155" s="1" t="s">
        <v>21</v>
      </c>
      <c r="E1155" s="1" t="s">
        <v>81</v>
      </c>
      <c r="F1155" s="1">
        <v>5935</v>
      </c>
      <c r="G1155" s="1" t="s">
        <v>345</v>
      </c>
      <c r="H1155" s="1" t="s">
        <v>76</v>
      </c>
      <c r="I1155" s="1" t="s">
        <v>3720</v>
      </c>
      <c r="J1155" s="1" t="s">
        <v>78</v>
      </c>
    </row>
    <row r="1156" spans="1:10" x14ac:dyDescent="0.25">
      <c r="A1156" s="1" t="s">
        <v>4940</v>
      </c>
      <c r="B1156" s="19">
        <v>46182</v>
      </c>
      <c r="C1156" s="1" t="s">
        <v>891</v>
      </c>
      <c r="D1156" s="1" t="s">
        <v>21</v>
      </c>
      <c r="E1156" s="1" t="s">
        <v>81</v>
      </c>
      <c r="F1156" s="1">
        <v>5935</v>
      </c>
      <c r="G1156" s="1" t="s">
        <v>361</v>
      </c>
      <c r="H1156" s="1" t="s">
        <v>79</v>
      </c>
      <c r="I1156" s="1" t="s">
        <v>3720</v>
      </c>
      <c r="J1156" s="1" t="s">
        <v>4112</v>
      </c>
    </row>
    <row r="1157" spans="1:10" x14ac:dyDescent="0.25">
      <c r="A1157" s="1" t="s">
        <v>4941</v>
      </c>
      <c r="B1157" s="19">
        <v>46182</v>
      </c>
      <c r="C1157" s="1" t="s">
        <v>892</v>
      </c>
      <c r="D1157" s="1" t="s">
        <v>21</v>
      </c>
      <c r="E1157" s="1" t="s">
        <v>81</v>
      </c>
      <c r="F1157" s="1">
        <v>5936</v>
      </c>
      <c r="G1157" s="1" t="s">
        <v>355</v>
      </c>
      <c r="H1157" s="1" t="s">
        <v>76</v>
      </c>
      <c r="I1157" s="1" t="s">
        <v>3720</v>
      </c>
      <c r="J1157" s="1" t="s">
        <v>82</v>
      </c>
    </row>
    <row r="1158" spans="1:10" x14ac:dyDescent="0.25">
      <c r="A1158" s="1" t="s">
        <v>4942</v>
      </c>
      <c r="B1158" s="19">
        <v>46182</v>
      </c>
      <c r="C1158" s="1" t="s">
        <v>892</v>
      </c>
      <c r="D1158" s="1" t="s">
        <v>21</v>
      </c>
      <c r="E1158" s="1" t="s">
        <v>81</v>
      </c>
      <c r="F1158" s="1">
        <v>5936</v>
      </c>
      <c r="G1158" s="1" t="s">
        <v>345</v>
      </c>
      <c r="H1158" s="1" t="s">
        <v>76</v>
      </c>
      <c r="I1158" s="1" t="s">
        <v>3720</v>
      </c>
      <c r="J1158" s="1" t="s">
        <v>78</v>
      </c>
    </row>
    <row r="1159" spans="1:10" x14ac:dyDescent="0.25">
      <c r="A1159" s="1" t="s">
        <v>4943</v>
      </c>
      <c r="B1159" s="19">
        <v>46182</v>
      </c>
      <c r="C1159" s="1" t="s">
        <v>892</v>
      </c>
      <c r="D1159" s="1" t="s">
        <v>21</v>
      </c>
      <c r="E1159" s="1" t="s">
        <v>81</v>
      </c>
      <c r="F1159" s="1">
        <v>5936</v>
      </c>
      <c r="G1159" s="1" t="s">
        <v>361</v>
      </c>
      <c r="H1159" s="1" t="s">
        <v>79</v>
      </c>
      <c r="I1159" s="1" t="s">
        <v>3720</v>
      </c>
      <c r="J1159" s="1" t="s">
        <v>4112</v>
      </c>
    </row>
    <row r="1160" spans="1:10" x14ac:dyDescent="0.25">
      <c r="A1160" s="1" t="s">
        <v>4944</v>
      </c>
      <c r="B1160" s="19">
        <v>46182</v>
      </c>
      <c r="C1160" s="1" t="s">
        <v>893</v>
      </c>
      <c r="D1160" s="1" t="s">
        <v>21</v>
      </c>
      <c r="E1160" s="1" t="s">
        <v>81</v>
      </c>
      <c r="F1160" s="1">
        <v>5937</v>
      </c>
      <c r="G1160" s="1" t="s">
        <v>355</v>
      </c>
      <c r="H1160" s="1" t="s">
        <v>76</v>
      </c>
      <c r="I1160" s="1" t="s">
        <v>3720</v>
      </c>
      <c r="J1160" s="1" t="s">
        <v>82</v>
      </c>
    </row>
    <row r="1161" spans="1:10" x14ac:dyDescent="0.25">
      <c r="A1161" s="1" t="s">
        <v>4945</v>
      </c>
      <c r="B1161" s="19">
        <v>46182</v>
      </c>
      <c r="C1161" s="1" t="s">
        <v>893</v>
      </c>
      <c r="D1161" s="1" t="s">
        <v>21</v>
      </c>
      <c r="E1161" s="1" t="s">
        <v>81</v>
      </c>
      <c r="F1161" s="1">
        <v>5937</v>
      </c>
      <c r="G1161" s="1" t="s">
        <v>345</v>
      </c>
      <c r="H1161" s="1" t="s">
        <v>76</v>
      </c>
      <c r="I1161" s="1" t="s">
        <v>3720</v>
      </c>
      <c r="J1161" s="1" t="s">
        <v>78</v>
      </c>
    </row>
    <row r="1162" spans="1:10" x14ac:dyDescent="0.25">
      <c r="A1162" s="1" t="s">
        <v>4946</v>
      </c>
      <c r="B1162" s="19">
        <v>46182</v>
      </c>
      <c r="C1162" s="1" t="s">
        <v>893</v>
      </c>
      <c r="D1162" s="1" t="s">
        <v>21</v>
      </c>
      <c r="E1162" s="1" t="s">
        <v>81</v>
      </c>
      <c r="F1162" s="1">
        <v>5937</v>
      </c>
      <c r="G1162" s="1" t="s">
        <v>361</v>
      </c>
      <c r="H1162" s="1" t="s">
        <v>79</v>
      </c>
      <c r="I1162" s="1" t="s">
        <v>3720</v>
      </c>
      <c r="J1162" s="1" t="s">
        <v>4112</v>
      </c>
    </row>
    <row r="1163" spans="1:10" x14ac:dyDescent="0.25">
      <c r="A1163" s="1" t="s">
        <v>4947</v>
      </c>
      <c r="B1163" s="19">
        <v>46182</v>
      </c>
      <c r="C1163" s="1" t="s">
        <v>894</v>
      </c>
      <c r="D1163" s="1" t="s">
        <v>21</v>
      </c>
      <c r="E1163" s="1" t="s">
        <v>81</v>
      </c>
      <c r="F1163" s="1">
        <v>5938</v>
      </c>
      <c r="G1163" s="1" t="s">
        <v>355</v>
      </c>
      <c r="H1163" s="1" t="s">
        <v>76</v>
      </c>
      <c r="I1163" s="1" t="s">
        <v>3720</v>
      </c>
      <c r="J1163" s="1" t="s">
        <v>82</v>
      </c>
    </row>
    <row r="1164" spans="1:10" x14ac:dyDescent="0.25">
      <c r="A1164" s="1" t="s">
        <v>4948</v>
      </c>
      <c r="B1164" s="19">
        <v>46182</v>
      </c>
      <c r="C1164" s="1" t="s">
        <v>894</v>
      </c>
      <c r="D1164" s="1" t="s">
        <v>21</v>
      </c>
      <c r="E1164" s="1" t="s">
        <v>81</v>
      </c>
      <c r="F1164" s="1">
        <v>5938</v>
      </c>
      <c r="G1164" s="1" t="s">
        <v>345</v>
      </c>
      <c r="H1164" s="1" t="s">
        <v>76</v>
      </c>
      <c r="I1164" s="1" t="s">
        <v>3720</v>
      </c>
      <c r="J1164" s="1" t="s">
        <v>78</v>
      </c>
    </row>
    <row r="1165" spans="1:10" x14ac:dyDescent="0.25">
      <c r="A1165" s="1" t="s">
        <v>4949</v>
      </c>
      <c r="B1165" s="19">
        <v>46182</v>
      </c>
      <c r="C1165" s="1" t="s">
        <v>894</v>
      </c>
      <c r="D1165" s="1" t="s">
        <v>21</v>
      </c>
      <c r="E1165" s="1" t="s">
        <v>81</v>
      </c>
      <c r="F1165" s="1">
        <v>5938</v>
      </c>
      <c r="G1165" s="1" t="s">
        <v>361</v>
      </c>
      <c r="H1165" s="1" t="s">
        <v>79</v>
      </c>
      <c r="I1165" s="1" t="s">
        <v>3720</v>
      </c>
      <c r="J1165" s="1" t="s">
        <v>4112</v>
      </c>
    </row>
    <row r="1166" spans="1:10" x14ac:dyDescent="0.25">
      <c r="A1166" s="1" t="s">
        <v>4950</v>
      </c>
      <c r="B1166" s="19">
        <v>46182</v>
      </c>
      <c r="C1166" s="1" t="s">
        <v>895</v>
      </c>
      <c r="D1166" s="1" t="s">
        <v>21</v>
      </c>
      <c r="E1166" s="1" t="s">
        <v>81</v>
      </c>
      <c r="F1166" s="1">
        <v>5939</v>
      </c>
      <c r="G1166" s="1" t="s">
        <v>355</v>
      </c>
      <c r="H1166" s="1" t="s">
        <v>76</v>
      </c>
      <c r="I1166" s="1" t="s">
        <v>3720</v>
      </c>
      <c r="J1166" s="1" t="s">
        <v>82</v>
      </c>
    </row>
    <row r="1167" spans="1:10" x14ac:dyDescent="0.25">
      <c r="A1167" s="1" t="s">
        <v>4951</v>
      </c>
      <c r="B1167" s="19">
        <v>46182</v>
      </c>
      <c r="C1167" s="1" t="s">
        <v>895</v>
      </c>
      <c r="D1167" s="1" t="s">
        <v>21</v>
      </c>
      <c r="E1167" s="1" t="s">
        <v>81</v>
      </c>
      <c r="F1167" s="1">
        <v>5939</v>
      </c>
      <c r="G1167" s="1" t="s">
        <v>345</v>
      </c>
      <c r="H1167" s="1" t="s">
        <v>76</v>
      </c>
      <c r="I1167" s="1" t="s">
        <v>3720</v>
      </c>
      <c r="J1167" s="1" t="s">
        <v>78</v>
      </c>
    </row>
    <row r="1168" spans="1:10" x14ac:dyDescent="0.25">
      <c r="A1168" s="1" t="s">
        <v>4952</v>
      </c>
      <c r="B1168" s="19">
        <v>46182</v>
      </c>
      <c r="C1168" s="1" t="s">
        <v>895</v>
      </c>
      <c r="D1168" s="1" t="s">
        <v>21</v>
      </c>
      <c r="E1168" s="1" t="s">
        <v>81</v>
      </c>
      <c r="F1168" s="1">
        <v>5939</v>
      </c>
      <c r="G1168" s="1" t="s">
        <v>361</v>
      </c>
      <c r="H1168" s="1" t="s">
        <v>79</v>
      </c>
      <c r="I1168" s="1" t="s">
        <v>3720</v>
      </c>
      <c r="J1168" s="1" t="s">
        <v>4112</v>
      </c>
    </row>
    <row r="1169" spans="1:10" x14ac:dyDescent="0.25">
      <c r="A1169" s="1" t="s">
        <v>4953</v>
      </c>
      <c r="B1169" s="19">
        <v>46182</v>
      </c>
      <c r="C1169" s="1" t="s">
        <v>896</v>
      </c>
      <c r="D1169" s="1" t="s">
        <v>21</v>
      </c>
      <c r="E1169" s="1" t="s">
        <v>81</v>
      </c>
      <c r="F1169" s="1">
        <v>5940</v>
      </c>
      <c r="G1169" s="1" t="s">
        <v>355</v>
      </c>
      <c r="H1169" s="1" t="s">
        <v>76</v>
      </c>
      <c r="I1169" s="1" t="s">
        <v>3720</v>
      </c>
      <c r="J1169" s="1" t="s">
        <v>82</v>
      </c>
    </row>
    <row r="1170" spans="1:10" x14ac:dyDescent="0.25">
      <c r="A1170" s="1" t="s">
        <v>4954</v>
      </c>
      <c r="B1170" s="19">
        <v>46182</v>
      </c>
      <c r="C1170" s="1" t="s">
        <v>896</v>
      </c>
      <c r="D1170" s="1" t="s">
        <v>21</v>
      </c>
      <c r="E1170" s="1" t="s">
        <v>81</v>
      </c>
      <c r="F1170" s="1">
        <v>5940</v>
      </c>
      <c r="G1170" s="1" t="s">
        <v>345</v>
      </c>
      <c r="H1170" s="1" t="s">
        <v>76</v>
      </c>
      <c r="I1170" s="1" t="s">
        <v>3720</v>
      </c>
      <c r="J1170" s="1" t="s">
        <v>78</v>
      </c>
    </row>
    <row r="1171" spans="1:10" x14ac:dyDescent="0.25">
      <c r="A1171" s="1" t="s">
        <v>4955</v>
      </c>
      <c r="B1171" s="19">
        <v>46182</v>
      </c>
      <c r="C1171" s="1" t="s">
        <v>896</v>
      </c>
      <c r="D1171" s="1" t="s">
        <v>21</v>
      </c>
      <c r="E1171" s="1" t="s">
        <v>81</v>
      </c>
      <c r="F1171" s="1">
        <v>5940</v>
      </c>
      <c r="G1171" s="1" t="s">
        <v>361</v>
      </c>
      <c r="H1171" s="1" t="s">
        <v>79</v>
      </c>
      <c r="I1171" s="1" t="s">
        <v>3720</v>
      </c>
      <c r="J1171" s="1" t="s">
        <v>4112</v>
      </c>
    </row>
    <row r="1172" spans="1:10" x14ac:dyDescent="0.25">
      <c r="A1172" s="1" t="s">
        <v>4956</v>
      </c>
      <c r="B1172" s="19">
        <v>46182</v>
      </c>
      <c r="C1172" s="1" t="s">
        <v>897</v>
      </c>
      <c r="D1172" s="1" t="s">
        <v>21</v>
      </c>
      <c r="E1172" s="1" t="s">
        <v>81</v>
      </c>
      <c r="F1172" s="1">
        <v>5941</v>
      </c>
      <c r="G1172" s="1" t="s">
        <v>355</v>
      </c>
      <c r="H1172" s="1" t="s">
        <v>76</v>
      </c>
      <c r="I1172" s="1" t="s">
        <v>3720</v>
      </c>
      <c r="J1172" s="1" t="s">
        <v>82</v>
      </c>
    </row>
    <row r="1173" spans="1:10" x14ac:dyDescent="0.25">
      <c r="A1173" s="1" t="s">
        <v>4957</v>
      </c>
      <c r="B1173" s="19">
        <v>46182</v>
      </c>
      <c r="C1173" s="1" t="s">
        <v>897</v>
      </c>
      <c r="D1173" s="1" t="s">
        <v>21</v>
      </c>
      <c r="E1173" s="1" t="s">
        <v>81</v>
      </c>
      <c r="F1173" s="1">
        <v>5941</v>
      </c>
      <c r="G1173" s="1" t="s">
        <v>345</v>
      </c>
      <c r="H1173" s="1" t="s">
        <v>76</v>
      </c>
      <c r="I1173" s="1" t="s">
        <v>3720</v>
      </c>
      <c r="J1173" s="1" t="s">
        <v>78</v>
      </c>
    </row>
    <row r="1174" spans="1:10" x14ac:dyDescent="0.25">
      <c r="A1174" s="1" t="s">
        <v>4958</v>
      </c>
      <c r="B1174" s="19">
        <v>46182</v>
      </c>
      <c r="C1174" s="1" t="s">
        <v>897</v>
      </c>
      <c r="D1174" s="1" t="s">
        <v>21</v>
      </c>
      <c r="E1174" s="1" t="s">
        <v>81</v>
      </c>
      <c r="F1174" s="1">
        <v>5941</v>
      </c>
      <c r="G1174" s="1" t="s">
        <v>361</v>
      </c>
      <c r="H1174" s="1" t="s">
        <v>79</v>
      </c>
      <c r="I1174" s="1" t="s">
        <v>3720</v>
      </c>
      <c r="J1174" s="1" t="s">
        <v>4112</v>
      </c>
    </row>
    <row r="1175" spans="1:10" x14ac:dyDescent="0.25">
      <c r="A1175" s="1" t="s">
        <v>4959</v>
      </c>
      <c r="B1175" s="19">
        <v>46182</v>
      </c>
      <c r="C1175" s="1" t="s">
        <v>898</v>
      </c>
      <c r="D1175" s="1" t="s">
        <v>21</v>
      </c>
      <c r="E1175" s="1" t="s">
        <v>81</v>
      </c>
      <c r="F1175" s="1">
        <v>5942</v>
      </c>
      <c r="G1175" s="1" t="s">
        <v>355</v>
      </c>
      <c r="H1175" s="1" t="s">
        <v>76</v>
      </c>
      <c r="I1175" s="1" t="s">
        <v>3720</v>
      </c>
      <c r="J1175" s="1" t="s">
        <v>82</v>
      </c>
    </row>
    <row r="1176" spans="1:10" x14ac:dyDescent="0.25">
      <c r="A1176" s="1" t="s">
        <v>4960</v>
      </c>
      <c r="B1176" s="19">
        <v>46182</v>
      </c>
      <c r="C1176" s="1" t="s">
        <v>898</v>
      </c>
      <c r="D1176" s="1" t="s">
        <v>21</v>
      </c>
      <c r="E1176" s="1" t="s">
        <v>81</v>
      </c>
      <c r="F1176" s="1">
        <v>5942</v>
      </c>
      <c r="G1176" s="1" t="s">
        <v>345</v>
      </c>
      <c r="H1176" s="1" t="s">
        <v>76</v>
      </c>
      <c r="I1176" s="1" t="s">
        <v>3720</v>
      </c>
      <c r="J1176" s="1" t="s">
        <v>78</v>
      </c>
    </row>
    <row r="1177" spans="1:10" x14ac:dyDescent="0.25">
      <c r="A1177" s="1" t="s">
        <v>4961</v>
      </c>
      <c r="B1177" s="19">
        <v>46182</v>
      </c>
      <c r="C1177" s="1" t="s">
        <v>898</v>
      </c>
      <c r="D1177" s="1" t="s">
        <v>21</v>
      </c>
      <c r="E1177" s="1" t="s">
        <v>81</v>
      </c>
      <c r="F1177" s="1">
        <v>5942</v>
      </c>
      <c r="G1177" s="1" t="s">
        <v>361</v>
      </c>
      <c r="H1177" s="1" t="s">
        <v>79</v>
      </c>
      <c r="I1177" s="1" t="s">
        <v>3720</v>
      </c>
      <c r="J1177" s="1" t="s">
        <v>4112</v>
      </c>
    </row>
    <row r="1178" spans="1:10" x14ac:dyDescent="0.25">
      <c r="A1178" s="1" t="s">
        <v>4962</v>
      </c>
      <c r="B1178" s="19">
        <v>46182</v>
      </c>
      <c r="C1178" s="1" t="s">
        <v>899</v>
      </c>
      <c r="D1178" s="1" t="s">
        <v>21</v>
      </c>
      <c r="E1178" s="1" t="s">
        <v>81</v>
      </c>
      <c r="F1178" s="1">
        <v>5943</v>
      </c>
      <c r="G1178" s="1" t="s">
        <v>355</v>
      </c>
      <c r="H1178" s="1" t="s">
        <v>76</v>
      </c>
      <c r="I1178" s="1" t="s">
        <v>3720</v>
      </c>
      <c r="J1178" s="1" t="s">
        <v>82</v>
      </c>
    </row>
    <row r="1179" spans="1:10" x14ac:dyDescent="0.25">
      <c r="A1179" s="1" t="s">
        <v>4963</v>
      </c>
      <c r="B1179" s="19">
        <v>46182</v>
      </c>
      <c r="C1179" s="1" t="s">
        <v>899</v>
      </c>
      <c r="D1179" s="1" t="s">
        <v>21</v>
      </c>
      <c r="E1179" s="1" t="s">
        <v>81</v>
      </c>
      <c r="F1179" s="1">
        <v>5943</v>
      </c>
      <c r="G1179" s="1" t="s">
        <v>345</v>
      </c>
      <c r="H1179" s="1" t="s">
        <v>76</v>
      </c>
      <c r="I1179" s="1" t="s">
        <v>3720</v>
      </c>
      <c r="J1179" s="1" t="s">
        <v>78</v>
      </c>
    </row>
    <row r="1180" spans="1:10" x14ac:dyDescent="0.25">
      <c r="A1180" s="1" t="s">
        <v>4964</v>
      </c>
      <c r="B1180" s="19">
        <v>46182</v>
      </c>
      <c r="C1180" s="1" t="s">
        <v>899</v>
      </c>
      <c r="D1180" s="1" t="s">
        <v>21</v>
      </c>
      <c r="E1180" s="1" t="s">
        <v>81</v>
      </c>
      <c r="F1180" s="1">
        <v>5943</v>
      </c>
      <c r="G1180" s="1" t="s">
        <v>361</v>
      </c>
      <c r="H1180" s="1" t="s">
        <v>79</v>
      </c>
      <c r="I1180" s="1" t="s">
        <v>3720</v>
      </c>
      <c r="J1180" s="1" t="s">
        <v>4112</v>
      </c>
    </row>
    <row r="1181" spans="1:10" x14ac:dyDescent="0.25">
      <c r="A1181" s="1" t="s">
        <v>4965</v>
      </c>
      <c r="B1181" s="19">
        <v>46182</v>
      </c>
      <c r="C1181" s="1" t="s">
        <v>900</v>
      </c>
      <c r="D1181" s="1" t="s">
        <v>21</v>
      </c>
      <c r="E1181" s="1" t="s">
        <v>81</v>
      </c>
      <c r="F1181" s="1">
        <v>5944</v>
      </c>
      <c r="G1181" s="1" t="s">
        <v>355</v>
      </c>
      <c r="H1181" s="1" t="s">
        <v>76</v>
      </c>
      <c r="I1181" s="1" t="s">
        <v>3720</v>
      </c>
      <c r="J1181" s="1" t="s">
        <v>82</v>
      </c>
    </row>
    <row r="1182" spans="1:10" x14ac:dyDescent="0.25">
      <c r="A1182" s="1" t="s">
        <v>4966</v>
      </c>
      <c r="B1182" s="19">
        <v>46182</v>
      </c>
      <c r="C1182" s="1" t="s">
        <v>900</v>
      </c>
      <c r="D1182" s="1" t="s">
        <v>21</v>
      </c>
      <c r="E1182" s="1" t="s">
        <v>81</v>
      </c>
      <c r="F1182" s="1">
        <v>5944</v>
      </c>
      <c r="G1182" s="1" t="s">
        <v>345</v>
      </c>
      <c r="H1182" s="1" t="s">
        <v>76</v>
      </c>
      <c r="I1182" s="1" t="s">
        <v>3720</v>
      </c>
      <c r="J1182" s="1" t="s">
        <v>78</v>
      </c>
    </row>
    <row r="1183" spans="1:10" x14ac:dyDescent="0.25">
      <c r="A1183" s="1" t="s">
        <v>4967</v>
      </c>
      <c r="B1183" s="19">
        <v>46182</v>
      </c>
      <c r="C1183" s="1" t="s">
        <v>900</v>
      </c>
      <c r="D1183" s="1" t="s">
        <v>21</v>
      </c>
      <c r="E1183" s="1" t="s">
        <v>81</v>
      </c>
      <c r="F1183" s="1">
        <v>5944</v>
      </c>
      <c r="G1183" s="1" t="s">
        <v>361</v>
      </c>
      <c r="H1183" s="1" t="s">
        <v>79</v>
      </c>
      <c r="I1183" s="1" t="s">
        <v>3720</v>
      </c>
      <c r="J1183" s="1" t="s">
        <v>4112</v>
      </c>
    </row>
    <row r="1184" spans="1:10" x14ac:dyDescent="0.25">
      <c r="A1184" s="1" t="s">
        <v>4968</v>
      </c>
      <c r="B1184" s="19">
        <v>46182</v>
      </c>
      <c r="C1184" s="1" t="s">
        <v>901</v>
      </c>
      <c r="D1184" s="1" t="s">
        <v>21</v>
      </c>
      <c r="E1184" s="1" t="s">
        <v>81</v>
      </c>
      <c r="F1184" s="1">
        <v>5945</v>
      </c>
      <c r="G1184" s="1" t="s">
        <v>355</v>
      </c>
      <c r="H1184" s="1" t="s">
        <v>76</v>
      </c>
      <c r="I1184" s="1" t="s">
        <v>3720</v>
      </c>
      <c r="J1184" s="1" t="s">
        <v>82</v>
      </c>
    </row>
    <row r="1185" spans="1:10" x14ac:dyDescent="0.25">
      <c r="A1185" s="1" t="s">
        <v>4969</v>
      </c>
      <c r="B1185" s="19">
        <v>46182</v>
      </c>
      <c r="C1185" s="1" t="s">
        <v>901</v>
      </c>
      <c r="D1185" s="1" t="s">
        <v>21</v>
      </c>
      <c r="E1185" s="1" t="s">
        <v>81</v>
      </c>
      <c r="F1185" s="1">
        <v>5945</v>
      </c>
      <c r="G1185" s="1" t="s">
        <v>345</v>
      </c>
      <c r="H1185" s="1" t="s">
        <v>76</v>
      </c>
      <c r="I1185" s="1" t="s">
        <v>3720</v>
      </c>
      <c r="J1185" s="1" t="s">
        <v>78</v>
      </c>
    </row>
    <row r="1186" spans="1:10" x14ac:dyDescent="0.25">
      <c r="A1186" s="1" t="s">
        <v>4970</v>
      </c>
      <c r="B1186" s="19">
        <v>46182</v>
      </c>
      <c r="C1186" s="1" t="s">
        <v>901</v>
      </c>
      <c r="D1186" s="1" t="s">
        <v>21</v>
      </c>
      <c r="E1186" s="1" t="s">
        <v>81</v>
      </c>
      <c r="F1186" s="1">
        <v>5945</v>
      </c>
      <c r="G1186" s="1" t="s">
        <v>361</v>
      </c>
      <c r="H1186" s="1" t="s">
        <v>79</v>
      </c>
      <c r="I1186" s="1" t="s">
        <v>3720</v>
      </c>
      <c r="J1186" s="1" t="s">
        <v>4112</v>
      </c>
    </row>
    <row r="1187" spans="1:10" x14ac:dyDescent="0.25">
      <c r="A1187" s="1" t="s">
        <v>4971</v>
      </c>
      <c r="B1187" s="19">
        <v>46182</v>
      </c>
      <c r="C1187" s="1" t="s">
        <v>902</v>
      </c>
      <c r="D1187" s="1" t="s">
        <v>21</v>
      </c>
      <c r="E1187" s="1" t="s">
        <v>81</v>
      </c>
      <c r="F1187" s="1">
        <v>5946</v>
      </c>
      <c r="G1187" s="1" t="s">
        <v>355</v>
      </c>
      <c r="H1187" s="1" t="s">
        <v>76</v>
      </c>
      <c r="I1187" s="1" t="s">
        <v>3720</v>
      </c>
      <c r="J1187" s="1" t="s">
        <v>82</v>
      </c>
    </row>
    <row r="1188" spans="1:10" x14ac:dyDescent="0.25">
      <c r="A1188" s="1" t="s">
        <v>4972</v>
      </c>
      <c r="B1188" s="19">
        <v>46182</v>
      </c>
      <c r="C1188" s="1" t="s">
        <v>902</v>
      </c>
      <c r="D1188" s="1" t="s">
        <v>21</v>
      </c>
      <c r="E1188" s="1" t="s">
        <v>81</v>
      </c>
      <c r="F1188" s="1">
        <v>5946</v>
      </c>
      <c r="G1188" s="1" t="s">
        <v>345</v>
      </c>
      <c r="H1188" s="1" t="s">
        <v>76</v>
      </c>
      <c r="I1188" s="1" t="s">
        <v>3720</v>
      </c>
      <c r="J1188" s="1" t="s">
        <v>78</v>
      </c>
    </row>
    <row r="1189" spans="1:10" x14ac:dyDescent="0.25">
      <c r="A1189" s="1" t="s">
        <v>4973</v>
      </c>
      <c r="B1189" s="19">
        <v>46182</v>
      </c>
      <c r="C1189" s="1" t="s">
        <v>902</v>
      </c>
      <c r="D1189" s="1" t="s">
        <v>21</v>
      </c>
      <c r="E1189" s="1" t="s">
        <v>81</v>
      </c>
      <c r="F1189" s="1">
        <v>5946</v>
      </c>
      <c r="G1189" s="1" t="s">
        <v>361</v>
      </c>
      <c r="H1189" s="1" t="s">
        <v>79</v>
      </c>
      <c r="I1189" s="1" t="s">
        <v>3720</v>
      </c>
      <c r="J1189" s="1" t="s">
        <v>4112</v>
      </c>
    </row>
    <row r="1190" spans="1:10" x14ac:dyDescent="0.25">
      <c r="A1190" s="1" t="s">
        <v>4974</v>
      </c>
      <c r="B1190" s="19">
        <v>46182</v>
      </c>
      <c r="C1190" s="1" t="s">
        <v>903</v>
      </c>
      <c r="D1190" s="1" t="s">
        <v>21</v>
      </c>
      <c r="E1190" s="1" t="s">
        <v>81</v>
      </c>
      <c r="F1190" s="1">
        <v>5947</v>
      </c>
      <c r="G1190" s="1" t="s">
        <v>355</v>
      </c>
      <c r="H1190" s="1" t="s">
        <v>76</v>
      </c>
      <c r="I1190" s="1" t="s">
        <v>3720</v>
      </c>
      <c r="J1190" s="1" t="s">
        <v>82</v>
      </c>
    </row>
    <row r="1191" spans="1:10" x14ac:dyDescent="0.25">
      <c r="A1191" s="1" t="s">
        <v>4975</v>
      </c>
      <c r="B1191" s="19">
        <v>46182</v>
      </c>
      <c r="C1191" s="1" t="s">
        <v>903</v>
      </c>
      <c r="D1191" s="1" t="s">
        <v>21</v>
      </c>
      <c r="E1191" s="1" t="s">
        <v>81</v>
      </c>
      <c r="F1191" s="1">
        <v>5947</v>
      </c>
      <c r="G1191" s="1" t="s">
        <v>345</v>
      </c>
      <c r="H1191" s="1" t="s">
        <v>76</v>
      </c>
      <c r="I1191" s="1" t="s">
        <v>3720</v>
      </c>
      <c r="J1191" s="1" t="s">
        <v>78</v>
      </c>
    </row>
    <row r="1192" spans="1:10" x14ac:dyDescent="0.25">
      <c r="A1192" s="1" t="s">
        <v>4976</v>
      </c>
      <c r="B1192" s="19">
        <v>46182</v>
      </c>
      <c r="C1192" s="1" t="s">
        <v>903</v>
      </c>
      <c r="D1192" s="1" t="s">
        <v>21</v>
      </c>
      <c r="E1192" s="1" t="s">
        <v>81</v>
      </c>
      <c r="F1192" s="1">
        <v>5947</v>
      </c>
      <c r="G1192" s="1" t="s">
        <v>361</v>
      </c>
      <c r="H1192" s="1" t="s">
        <v>79</v>
      </c>
      <c r="I1192" s="1" t="s">
        <v>3720</v>
      </c>
      <c r="J1192" s="1" t="s">
        <v>4112</v>
      </c>
    </row>
    <row r="1193" spans="1:10" x14ac:dyDescent="0.25">
      <c r="A1193" s="1" t="s">
        <v>4977</v>
      </c>
      <c r="B1193" s="19">
        <v>46182</v>
      </c>
      <c r="C1193" s="1" t="s">
        <v>904</v>
      </c>
      <c r="D1193" s="1" t="s">
        <v>21</v>
      </c>
      <c r="E1193" s="1" t="s">
        <v>81</v>
      </c>
      <c r="F1193" s="1">
        <v>5948</v>
      </c>
      <c r="G1193" s="1" t="s">
        <v>355</v>
      </c>
      <c r="H1193" s="1" t="s">
        <v>76</v>
      </c>
      <c r="I1193" s="1" t="s">
        <v>3720</v>
      </c>
      <c r="J1193" s="1" t="s">
        <v>82</v>
      </c>
    </row>
    <row r="1194" spans="1:10" x14ac:dyDescent="0.25">
      <c r="A1194" s="1" t="s">
        <v>4978</v>
      </c>
      <c r="B1194" s="19">
        <v>46182</v>
      </c>
      <c r="C1194" s="1" t="s">
        <v>904</v>
      </c>
      <c r="D1194" s="1" t="s">
        <v>21</v>
      </c>
      <c r="E1194" s="1" t="s">
        <v>81</v>
      </c>
      <c r="F1194" s="1">
        <v>5948</v>
      </c>
      <c r="G1194" s="1" t="s">
        <v>345</v>
      </c>
      <c r="H1194" s="1" t="s">
        <v>76</v>
      </c>
      <c r="I1194" s="1" t="s">
        <v>3720</v>
      </c>
      <c r="J1194" s="1" t="s">
        <v>78</v>
      </c>
    </row>
    <row r="1195" spans="1:10" x14ac:dyDescent="0.25">
      <c r="A1195" s="1" t="s">
        <v>4979</v>
      </c>
      <c r="B1195" s="19">
        <v>46182</v>
      </c>
      <c r="C1195" s="1" t="s">
        <v>904</v>
      </c>
      <c r="D1195" s="1" t="s">
        <v>21</v>
      </c>
      <c r="E1195" s="1" t="s">
        <v>81</v>
      </c>
      <c r="F1195" s="1">
        <v>5948</v>
      </c>
      <c r="G1195" s="1" t="s">
        <v>361</v>
      </c>
      <c r="H1195" s="1" t="s">
        <v>79</v>
      </c>
      <c r="I1195" s="1" t="s">
        <v>3720</v>
      </c>
      <c r="J1195" s="1" t="s">
        <v>4112</v>
      </c>
    </row>
    <row r="1196" spans="1:10" x14ac:dyDescent="0.25">
      <c r="A1196" s="1" t="s">
        <v>4980</v>
      </c>
      <c r="B1196" s="19">
        <v>46182</v>
      </c>
      <c r="C1196" s="1" t="s">
        <v>905</v>
      </c>
      <c r="D1196" s="1" t="s">
        <v>21</v>
      </c>
      <c r="E1196" s="1" t="s">
        <v>81</v>
      </c>
      <c r="F1196" s="1">
        <v>5949</v>
      </c>
      <c r="G1196" s="1" t="s">
        <v>355</v>
      </c>
      <c r="H1196" s="1" t="s">
        <v>76</v>
      </c>
      <c r="I1196" s="1" t="s">
        <v>3720</v>
      </c>
      <c r="J1196" s="1" t="s">
        <v>82</v>
      </c>
    </row>
    <row r="1197" spans="1:10" x14ac:dyDescent="0.25">
      <c r="A1197" s="1" t="s">
        <v>4981</v>
      </c>
      <c r="B1197" s="19">
        <v>46182</v>
      </c>
      <c r="C1197" s="1" t="s">
        <v>905</v>
      </c>
      <c r="D1197" s="1" t="s">
        <v>21</v>
      </c>
      <c r="E1197" s="1" t="s">
        <v>81</v>
      </c>
      <c r="F1197" s="1">
        <v>5949</v>
      </c>
      <c r="G1197" s="1" t="s">
        <v>345</v>
      </c>
      <c r="H1197" s="1" t="s">
        <v>76</v>
      </c>
      <c r="I1197" s="1" t="s">
        <v>3720</v>
      </c>
      <c r="J1197" s="1" t="s">
        <v>78</v>
      </c>
    </row>
    <row r="1198" spans="1:10" x14ac:dyDescent="0.25">
      <c r="A1198" s="1" t="s">
        <v>4982</v>
      </c>
      <c r="B1198" s="19">
        <v>46182</v>
      </c>
      <c r="C1198" s="1" t="s">
        <v>905</v>
      </c>
      <c r="D1198" s="1" t="s">
        <v>21</v>
      </c>
      <c r="E1198" s="1" t="s">
        <v>81</v>
      </c>
      <c r="F1198" s="1">
        <v>5949</v>
      </c>
      <c r="G1198" s="1" t="s">
        <v>361</v>
      </c>
      <c r="H1198" s="1" t="s">
        <v>79</v>
      </c>
      <c r="I1198" s="1" t="s">
        <v>3720</v>
      </c>
      <c r="J1198" s="1" t="s">
        <v>4112</v>
      </c>
    </row>
    <row r="1199" spans="1:10" x14ac:dyDescent="0.25">
      <c r="A1199" s="1" t="s">
        <v>4983</v>
      </c>
      <c r="B1199" s="19">
        <v>46182</v>
      </c>
      <c r="C1199" s="1" t="s">
        <v>906</v>
      </c>
      <c r="D1199" s="1" t="s">
        <v>21</v>
      </c>
      <c r="E1199" s="1" t="s">
        <v>81</v>
      </c>
      <c r="F1199" s="1">
        <v>5950</v>
      </c>
      <c r="G1199" s="1" t="s">
        <v>355</v>
      </c>
      <c r="H1199" s="1" t="s">
        <v>76</v>
      </c>
      <c r="I1199" s="1" t="s">
        <v>3720</v>
      </c>
      <c r="J1199" s="1" t="s">
        <v>82</v>
      </c>
    </row>
    <row r="1200" spans="1:10" x14ac:dyDescent="0.25">
      <c r="A1200" s="1" t="s">
        <v>4984</v>
      </c>
      <c r="B1200" s="19">
        <v>46182</v>
      </c>
      <c r="C1200" s="1" t="s">
        <v>906</v>
      </c>
      <c r="D1200" s="1" t="s">
        <v>21</v>
      </c>
      <c r="E1200" s="1" t="s">
        <v>81</v>
      </c>
      <c r="F1200" s="1">
        <v>5950</v>
      </c>
      <c r="G1200" s="1" t="s">
        <v>345</v>
      </c>
      <c r="H1200" s="1" t="s">
        <v>76</v>
      </c>
      <c r="I1200" s="1" t="s">
        <v>3720</v>
      </c>
      <c r="J1200" s="1" t="s">
        <v>78</v>
      </c>
    </row>
    <row r="1201" spans="1:10" x14ac:dyDescent="0.25">
      <c r="A1201" s="1" t="s">
        <v>4985</v>
      </c>
      <c r="B1201" s="19">
        <v>46182</v>
      </c>
      <c r="C1201" s="1" t="s">
        <v>906</v>
      </c>
      <c r="D1201" s="1" t="s">
        <v>21</v>
      </c>
      <c r="E1201" s="1" t="s">
        <v>81</v>
      </c>
      <c r="F1201" s="1">
        <v>5950</v>
      </c>
      <c r="G1201" s="1" t="s">
        <v>361</v>
      </c>
      <c r="H1201" s="1" t="s">
        <v>79</v>
      </c>
      <c r="I1201" s="1" t="s">
        <v>3720</v>
      </c>
      <c r="J1201" s="1" t="s">
        <v>4112</v>
      </c>
    </row>
    <row r="1202" spans="1:10" x14ac:dyDescent="0.25">
      <c r="A1202" s="1" t="s">
        <v>4986</v>
      </c>
      <c r="B1202" s="19">
        <v>46182</v>
      </c>
      <c r="C1202" s="1" t="s">
        <v>907</v>
      </c>
      <c r="D1202" s="1" t="s">
        <v>21</v>
      </c>
      <c r="E1202" s="1" t="s">
        <v>81</v>
      </c>
      <c r="F1202" s="1">
        <v>5951</v>
      </c>
      <c r="G1202" s="1" t="s">
        <v>355</v>
      </c>
      <c r="H1202" s="1" t="s">
        <v>76</v>
      </c>
      <c r="I1202" s="1" t="s">
        <v>3720</v>
      </c>
      <c r="J1202" s="1" t="s">
        <v>82</v>
      </c>
    </row>
    <row r="1203" spans="1:10" x14ac:dyDescent="0.25">
      <c r="A1203" s="1" t="s">
        <v>4987</v>
      </c>
      <c r="B1203" s="19">
        <v>46182</v>
      </c>
      <c r="C1203" s="1" t="s">
        <v>907</v>
      </c>
      <c r="D1203" s="1" t="s">
        <v>21</v>
      </c>
      <c r="E1203" s="1" t="s">
        <v>81</v>
      </c>
      <c r="F1203" s="1">
        <v>5951</v>
      </c>
      <c r="G1203" s="1" t="s">
        <v>345</v>
      </c>
      <c r="H1203" s="1" t="s">
        <v>76</v>
      </c>
      <c r="I1203" s="1" t="s">
        <v>3720</v>
      </c>
      <c r="J1203" s="1" t="s">
        <v>78</v>
      </c>
    </row>
    <row r="1204" spans="1:10" x14ac:dyDescent="0.25">
      <c r="A1204" s="1" t="s">
        <v>4988</v>
      </c>
      <c r="B1204" s="19">
        <v>46182</v>
      </c>
      <c r="C1204" s="1" t="s">
        <v>907</v>
      </c>
      <c r="D1204" s="1" t="s">
        <v>21</v>
      </c>
      <c r="E1204" s="1" t="s">
        <v>81</v>
      </c>
      <c r="F1204" s="1">
        <v>5951</v>
      </c>
      <c r="G1204" s="1" t="s">
        <v>361</v>
      </c>
      <c r="H1204" s="1" t="s">
        <v>79</v>
      </c>
      <c r="I1204" s="1" t="s">
        <v>3720</v>
      </c>
      <c r="J1204" s="1" t="s">
        <v>4112</v>
      </c>
    </row>
    <row r="1205" spans="1:10" x14ac:dyDescent="0.25">
      <c r="A1205" s="1" t="s">
        <v>4989</v>
      </c>
      <c r="B1205" s="19">
        <v>46182</v>
      </c>
      <c r="C1205" s="1" t="s">
        <v>908</v>
      </c>
      <c r="D1205" s="1" t="s">
        <v>21</v>
      </c>
      <c r="E1205" s="1" t="s">
        <v>81</v>
      </c>
      <c r="F1205" s="1">
        <v>5952</v>
      </c>
      <c r="G1205" s="1" t="s">
        <v>355</v>
      </c>
      <c r="H1205" s="1" t="s">
        <v>76</v>
      </c>
      <c r="I1205" s="1" t="s">
        <v>3720</v>
      </c>
      <c r="J1205" s="1" t="s">
        <v>82</v>
      </c>
    </row>
    <row r="1206" spans="1:10" x14ac:dyDescent="0.25">
      <c r="A1206" s="1" t="s">
        <v>4990</v>
      </c>
      <c r="B1206" s="19">
        <v>46182</v>
      </c>
      <c r="C1206" s="1" t="s">
        <v>908</v>
      </c>
      <c r="D1206" s="1" t="s">
        <v>21</v>
      </c>
      <c r="E1206" s="1" t="s">
        <v>81</v>
      </c>
      <c r="F1206" s="1">
        <v>5952</v>
      </c>
      <c r="G1206" s="1" t="s">
        <v>345</v>
      </c>
      <c r="H1206" s="1" t="s">
        <v>76</v>
      </c>
      <c r="I1206" s="1" t="s">
        <v>3720</v>
      </c>
      <c r="J1206" s="1" t="s">
        <v>78</v>
      </c>
    </row>
    <row r="1207" spans="1:10" x14ac:dyDescent="0.25">
      <c r="A1207" s="1" t="s">
        <v>4991</v>
      </c>
      <c r="B1207" s="19">
        <v>46182</v>
      </c>
      <c r="C1207" s="1" t="s">
        <v>908</v>
      </c>
      <c r="D1207" s="1" t="s">
        <v>21</v>
      </c>
      <c r="E1207" s="1" t="s">
        <v>81</v>
      </c>
      <c r="F1207" s="1">
        <v>5952</v>
      </c>
      <c r="G1207" s="1" t="s">
        <v>361</v>
      </c>
      <c r="H1207" s="1" t="s">
        <v>79</v>
      </c>
      <c r="I1207" s="1" t="s">
        <v>3720</v>
      </c>
      <c r="J1207" s="1" t="s">
        <v>4112</v>
      </c>
    </row>
    <row r="1208" spans="1:10" x14ac:dyDescent="0.25">
      <c r="A1208" s="1" t="s">
        <v>4992</v>
      </c>
      <c r="B1208" s="19">
        <v>46182</v>
      </c>
      <c r="C1208" s="1" t="s">
        <v>909</v>
      </c>
      <c r="D1208" s="1" t="s">
        <v>21</v>
      </c>
      <c r="E1208" s="1" t="s">
        <v>81</v>
      </c>
      <c r="F1208" s="1">
        <v>5953</v>
      </c>
      <c r="G1208" s="1" t="s">
        <v>355</v>
      </c>
      <c r="H1208" s="1" t="s">
        <v>76</v>
      </c>
      <c r="I1208" s="1" t="s">
        <v>3720</v>
      </c>
      <c r="J1208" s="1" t="s">
        <v>82</v>
      </c>
    </row>
    <row r="1209" spans="1:10" x14ac:dyDescent="0.25">
      <c r="A1209" s="1" t="s">
        <v>4993</v>
      </c>
      <c r="B1209" s="19">
        <v>46182</v>
      </c>
      <c r="C1209" s="1" t="s">
        <v>909</v>
      </c>
      <c r="D1209" s="1" t="s">
        <v>21</v>
      </c>
      <c r="E1209" s="1" t="s">
        <v>81</v>
      </c>
      <c r="F1209" s="1">
        <v>5953</v>
      </c>
      <c r="G1209" s="1" t="s">
        <v>345</v>
      </c>
      <c r="H1209" s="1" t="s">
        <v>76</v>
      </c>
      <c r="I1209" s="1" t="s">
        <v>3720</v>
      </c>
      <c r="J1209" s="1" t="s">
        <v>78</v>
      </c>
    </row>
    <row r="1210" spans="1:10" x14ac:dyDescent="0.25">
      <c r="A1210" s="1" t="s">
        <v>4994</v>
      </c>
      <c r="B1210" s="19">
        <v>46182</v>
      </c>
      <c r="C1210" s="1" t="s">
        <v>909</v>
      </c>
      <c r="D1210" s="1" t="s">
        <v>21</v>
      </c>
      <c r="E1210" s="1" t="s">
        <v>81</v>
      </c>
      <c r="F1210" s="1">
        <v>5953</v>
      </c>
      <c r="G1210" s="1" t="s">
        <v>361</v>
      </c>
      <c r="H1210" s="1" t="s">
        <v>79</v>
      </c>
      <c r="I1210" s="1" t="s">
        <v>3720</v>
      </c>
      <c r="J1210" s="1" t="s">
        <v>4112</v>
      </c>
    </row>
    <row r="1211" spans="1:10" x14ac:dyDescent="0.25">
      <c r="A1211" s="1" t="s">
        <v>4995</v>
      </c>
      <c r="B1211" s="19">
        <v>46182</v>
      </c>
      <c r="C1211" s="1" t="s">
        <v>910</v>
      </c>
      <c r="D1211" s="1" t="s">
        <v>21</v>
      </c>
      <c r="E1211" s="1" t="s">
        <v>81</v>
      </c>
      <c r="F1211" s="1">
        <v>5954</v>
      </c>
      <c r="G1211" s="1" t="s">
        <v>355</v>
      </c>
      <c r="H1211" s="1" t="s">
        <v>76</v>
      </c>
      <c r="I1211" s="1" t="s">
        <v>3720</v>
      </c>
      <c r="J1211" s="1" t="s">
        <v>82</v>
      </c>
    </row>
    <row r="1212" spans="1:10" x14ac:dyDescent="0.25">
      <c r="A1212" s="1" t="s">
        <v>4996</v>
      </c>
      <c r="B1212" s="19">
        <v>46182</v>
      </c>
      <c r="C1212" s="1" t="s">
        <v>910</v>
      </c>
      <c r="D1212" s="1" t="s">
        <v>21</v>
      </c>
      <c r="E1212" s="1" t="s">
        <v>81</v>
      </c>
      <c r="F1212" s="1">
        <v>5954</v>
      </c>
      <c r="G1212" s="1" t="s">
        <v>345</v>
      </c>
      <c r="H1212" s="1" t="s">
        <v>76</v>
      </c>
      <c r="I1212" s="1" t="s">
        <v>3720</v>
      </c>
      <c r="J1212" s="1" t="s">
        <v>78</v>
      </c>
    </row>
    <row r="1213" spans="1:10" x14ac:dyDescent="0.25">
      <c r="A1213" s="1" t="s">
        <v>4997</v>
      </c>
      <c r="B1213" s="19">
        <v>46182</v>
      </c>
      <c r="C1213" s="1" t="s">
        <v>910</v>
      </c>
      <c r="D1213" s="1" t="s">
        <v>21</v>
      </c>
      <c r="E1213" s="1" t="s">
        <v>81</v>
      </c>
      <c r="F1213" s="1">
        <v>5954</v>
      </c>
      <c r="G1213" s="1" t="s">
        <v>361</v>
      </c>
      <c r="H1213" s="1" t="s">
        <v>79</v>
      </c>
      <c r="I1213" s="1" t="s">
        <v>3720</v>
      </c>
      <c r="J1213" s="1" t="s">
        <v>4112</v>
      </c>
    </row>
    <row r="1214" spans="1:10" x14ac:dyDescent="0.25">
      <c r="A1214" s="1" t="s">
        <v>4998</v>
      </c>
      <c r="B1214" s="19">
        <v>46182</v>
      </c>
      <c r="C1214" s="1" t="s">
        <v>911</v>
      </c>
      <c r="D1214" s="1" t="s">
        <v>21</v>
      </c>
      <c r="E1214" s="1" t="s">
        <v>81</v>
      </c>
      <c r="F1214" s="1">
        <v>5955</v>
      </c>
      <c r="G1214" s="1" t="s">
        <v>355</v>
      </c>
      <c r="H1214" s="1" t="s">
        <v>76</v>
      </c>
      <c r="I1214" s="1" t="s">
        <v>3720</v>
      </c>
      <c r="J1214" s="1" t="s">
        <v>82</v>
      </c>
    </row>
    <row r="1215" spans="1:10" x14ac:dyDescent="0.25">
      <c r="A1215" s="1" t="s">
        <v>4999</v>
      </c>
      <c r="B1215" s="19">
        <v>46182</v>
      </c>
      <c r="C1215" s="1" t="s">
        <v>911</v>
      </c>
      <c r="D1215" s="1" t="s">
        <v>21</v>
      </c>
      <c r="E1215" s="1" t="s">
        <v>81</v>
      </c>
      <c r="F1215" s="1">
        <v>5955</v>
      </c>
      <c r="G1215" s="1" t="s">
        <v>345</v>
      </c>
      <c r="H1215" s="1" t="s">
        <v>76</v>
      </c>
      <c r="I1215" s="1" t="s">
        <v>3720</v>
      </c>
      <c r="J1215" s="1" t="s">
        <v>78</v>
      </c>
    </row>
    <row r="1216" spans="1:10" x14ac:dyDescent="0.25">
      <c r="A1216" s="1" t="s">
        <v>5000</v>
      </c>
      <c r="B1216" s="19">
        <v>46182</v>
      </c>
      <c r="C1216" s="1" t="s">
        <v>911</v>
      </c>
      <c r="D1216" s="1" t="s">
        <v>21</v>
      </c>
      <c r="E1216" s="1" t="s">
        <v>81</v>
      </c>
      <c r="F1216" s="1">
        <v>5955</v>
      </c>
      <c r="G1216" s="1" t="s">
        <v>361</v>
      </c>
      <c r="H1216" s="1" t="s">
        <v>79</v>
      </c>
      <c r="I1216" s="1" t="s">
        <v>3720</v>
      </c>
      <c r="J1216" s="1" t="s">
        <v>4112</v>
      </c>
    </row>
    <row r="1217" spans="1:10" x14ac:dyDescent="0.25">
      <c r="A1217" s="1" t="s">
        <v>5001</v>
      </c>
      <c r="B1217" s="19">
        <v>46182</v>
      </c>
      <c r="C1217" s="1" t="s">
        <v>912</v>
      </c>
      <c r="D1217" s="1" t="s">
        <v>21</v>
      </c>
      <c r="E1217" s="1" t="s">
        <v>81</v>
      </c>
      <c r="F1217" s="1">
        <v>5956</v>
      </c>
      <c r="G1217" s="1" t="s">
        <v>355</v>
      </c>
      <c r="H1217" s="1" t="s">
        <v>76</v>
      </c>
      <c r="I1217" s="1" t="s">
        <v>3720</v>
      </c>
      <c r="J1217" s="1" t="s">
        <v>82</v>
      </c>
    </row>
    <row r="1218" spans="1:10" x14ac:dyDescent="0.25">
      <c r="A1218" s="1" t="s">
        <v>5002</v>
      </c>
      <c r="B1218" s="19">
        <v>46182</v>
      </c>
      <c r="C1218" s="1" t="s">
        <v>912</v>
      </c>
      <c r="D1218" s="1" t="s">
        <v>21</v>
      </c>
      <c r="E1218" s="1" t="s">
        <v>81</v>
      </c>
      <c r="F1218" s="1">
        <v>5956</v>
      </c>
      <c r="G1218" s="1" t="s">
        <v>345</v>
      </c>
      <c r="H1218" s="1" t="s">
        <v>76</v>
      </c>
      <c r="I1218" s="1" t="s">
        <v>3720</v>
      </c>
      <c r="J1218" s="1" t="s">
        <v>78</v>
      </c>
    </row>
    <row r="1219" spans="1:10" x14ac:dyDescent="0.25">
      <c r="A1219" s="1" t="s">
        <v>5003</v>
      </c>
      <c r="B1219" s="19">
        <v>46182</v>
      </c>
      <c r="C1219" s="1" t="s">
        <v>912</v>
      </c>
      <c r="D1219" s="1" t="s">
        <v>21</v>
      </c>
      <c r="E1219" s="1" t="s">
        <v>81</v>
      </c>
      <c r="F1219" s="1">
        <v>5956</v>
      </c>
      <c r="G1219" s="1" t="s">
        <v>361</v>
      </c>
      <c r="H1219" s="1" t="s">
        <v>79</v>
      </c>
      <c r="I1219" s="1" t="s">
        <v>3720</v>
      </c>
      <c r="J1219" s="1" t="s">
        <v>4112</v>
      </c>
    </row>
    <row r="1220" spans="1:10" x14ac:dyDescent="0.25">
      <c r="A1220" s="1" t="s">
        <v>5004</v>
      </c>
      <c r="B1220" s="19">
        <v>46182</v>
      </c>
      <c r="C1220" s="1" t="s">
        <v>913</v>
      </c>
      <c r="D1220" s="1" t="s">
        <v>21</v>
      </c>
      <c r="E1220" s="1" t="s">
        <v>81</v>
      </c>
      <c r="F1220" s="1">
        <v>5957</v>
      </c>
      <c r="G1220" s="1" t="s">
        <v>355</v>
      </c>
      <c r="H1220" s="1" t="s">
        <v>76</v>
      </c>
      <c r="I1220" s="1" t="s">
        <v>3720</v>
      </c>
      <c r="J1220" s="1" t="s">
        <v>82</v>
      </c>
    </row>
    <row r="1221" spans="1:10" x14ac:dyDescent="0.25">
      <c r="A1221" s="1" t="s">
        <v>5005</v>
      </c>
      <c r="B1221" s="19">
        <v>46182</v>
      </c>
      <c r="C1221" s="1" t="s">
        <v>913</v>
      </c>
      <c r="D1221" s="1" t="s">
        <v>21</v>
      </c>
      <c r="E1221" s="1" t="s">
        <v>81</v>
      </c>
      <c r="F1221" s="1">
        <v>5957</v>
      </c>
      <c r="G1221" s="1" t="s">
        <v>345</v>
      </c>
      <c r="H1221" s="1" t="s">
        <v>76</v>
      </c>
      <c r="I1221" s="1" t="s">
        <v>3720</v>
      </c>
      <c r="J1221" s="1" t="s">
        <v>78</v>
      </c>
    </row>
    <row r="1222" spans="1:10" x14ac:dyDescent="0.25">
      <c r="A1222" s="1" t="s">
        <v>5006</v>
      </c>
      <c r="B1222" s="19">
        <v>46182</v>
      </c>
      <c r="C1222" s="1" t="s">
        <v>913</v>
      </c>
      <c r="D1222" s="1" t="s">
        <v>21</v>
      </c>
      <c r="E1222" s="1" t="s">
        <v>81</v>
      </c>
      <c r="F1222" s="1">
        <v>5957</v>
      </c>
      <c r="G1222" s="1" t="s">
        <v>361</v>
      </c>
      <c r="H1222" s="1" t="s">
        <v>79</v>
      </c>
      <c r="I1222" s="1" t="s">
        <v>3720</v>
      </c>
      <c r="J1222" s="1" t="s">
        <v>4112</v>
      </c>
    </row>
    <row r="1223" spans="1:10" x14ac:dyDescent="0.25">
      <c r="A1223" s="1" t="s">
        <v>5007</v>
      </c>
      <c r="B1223" s="19">
        <v>46182</v>
      </c>
      <c r="C1223" s="1" t="s">
        <v>914</v>
      </c>
      <c r="D1223" s="1" t="s">
        <v>21</v>
      </c>
      <c r="E1223" s="1" t="s">
        <v>81</v>
      </c>
      <c r="F1223" s="1">
        <v>5958</v>
      </c>
      <c r="G1223" s="1" t="s">
        <v>355</v>
      </c>
      <c r="H1223" s="1" t="s">
        <v>76</v>
      </c>
      <c r="I1223" s="1" t="s">
        <v>3720</v>
      </c>
      <c r="J1223" s="1" t="s">
        <v>82</v>
      </c>
    </row>
    <row r="1224" spans="1:10" x14ac:dyDescent="0.25">
      <c r="A1224" s="1" t="s">
        <v>5008</v>
      </c>
      <c r="B1224" s="19">
        <v>46182</v>
      </c>
      <c r="C1224" s="1" t="s">
        <v>914</v>
      </c>
      <c r="D1224" s="1" t="s">
        <v>21</v>
      </c>
      <c r="E1224" s="1" t="s">
        <v>81</v>
      </c>
      <c r="F1224" s="1">
        <v>5958</v>
      </c>
      <c r="G1224" s="1" t="s">
        <v>345</v>
      </c>
      <c r="H1224" s="1" t="s">
        <v>76</v>
      </c>
      <c r="I1224" s="1" t="s">
        <v>3720</v>
      </c>
      <c r="J1224" s="1" t="s">
        <v>78</v>
      </c>
    </row>
    <row r="1225" spans="1:10" x14ac:dyDescent="0.25">
      <c r="A1225" s="1" t="s">
        <v>5009</v>
      </c>
      <c r="B1225" s="19">
        <v>46182</v>
      </c>
      <c r="C1225" s="1" t="s">
        <v>914</v>
      </c>
      <c r="D1225" s="1" t="s">
        <v>21</v>
      </c>
      <c r="E1225" s="1" t="s">
        <v>81</v>
      </c>
      <c r="F1225" s="1">
        <v>5958</v>
      </c>
      <c r="G1225" s="1" t="s">
        <v>361</v>
      </c>
      <c r="H1225" s="1" t="s">
        <v>79</v>
      </c>
      <c r="I1225" s="1" t="s">
        <v>3720</v>
      </c>
      <c r="J1225" s="1" t="s">
        <v>4112</v>
      </c>
    </row>
    <row r="1226" spans="1:10" x14ac:dyDescent="0.25">
      <c r="A1226" s="1" t="s">
        <v>5010</v>
      </c>
      <c r="B1226" s="19">
        <v>46182</v>
      </c>
      <c r="C1226" s="1" t="s">
        <v>915</v>
      </c>
      <c r="D1226" s="1" t="s">
        <v>21</v>
      </c>
      <c r="E1226" s="1" t="s">
        <v>81</v>
      </c>
      <c r="F1226" s="1">
        <v>5959</v>
      </c>
      <c r="G1226" s="1" t="s">
        <v>355</v>
      </c>
      <c r="H1226" s="1" t="s">
        <v>76</v>
      </c>
      <c r="I1226" s="1" t="s">
        <v>3720</v>
      </c>
      <c r="J1226" s="1" t="s">
        <v>82</v>
      </c>
    </row>
    <row r="1227" spans="1:10" x14ac:dyDescent="0.25">
      <c r="A1227" s="1" t="s">
        <v>5011</v>
      </c>
      <c r="B1227" s="19">
        <v>46182</v>
      </c>
      <c r="C1227" s="1" t="s">
        <v>915</v>
      </c>
      <c r="D1227" s="1" t="s">
        <v>21</v>
      </c>
      <c r="E1227" s="1" t="s">
        <v>81</v>
      </c>
      <c r="F1227" s="1">
        <v>5959</v>
      </c>
      <c r="G1227" s="1" t="s">
        <v>345</v>
      </c>
      <c r="H1227" s="1" t="s">
        <v>76</v>
      </c>
      <c r="I1227" s="1" t="s">
        <v>3720</v>
      </c>
      <c r="J1227" s="1" t="s">
        <v>78</v>
      </c>
    </row>
    <row r="1228" spans="1:10" x14ac:dyDescent="0.25">
      <c r="A1228" s="1" t="s">
        <v>5012</v>
      </c>
      <c r="B1228" s="19">
        <v>46182</v>
      </c>
      <c r="C1228" s="1" t="s">
        <v>915</v>
      </c>
      <c r="D1228" s="1" t="s">
        <v>21</v>
      </c>
      <c r="E1228" s="1" t="s">
        <v>81</v>
      </c>
      <c r="F1228" s="1">
        <v>5959</v>
      </c>
      <c r="G1228" s="1" t="s">
        <v>361</v>
      </c>
      <c r="H1228" s="1" t="s">
        <v>79</v>
      </c>
      <c r="I1228" s="1" t="s">
        <v>3720</v>
      </c>
      <c r="J1228" s="1" t="s">
        <v>4112</v>
      </c>
    </row>
    <row r="1229" spans="1:10" x14ac:dyDescent="0.25">
      <c r="A1229" s="1" t="s">
        <v>5013</v>
      </c>
      <c r="B1229" s="19">
        <v>46182</v>
      </c>
      <c r="C1229" s="1" t="s">
        <v>916</v>
      </c>
      <c r="D1229" s="1" t="s">
        <v>21</v>
      </c>
      <c r="E1229" s="1" t="s">
        <v>81</v>
      </c>
      <c r="F1229" s="1">
        <v>5960</v>
      </c>
      <c r="G1229" s="1" t="s">
        <v>355</v>
      </c>
      <c r="H1229" s="1" t="s">
        <v>76</v>
      </c>
      <c r="I1229" s="1" t="s">
        <v>3720</v>
      </c>
      <c r="J1229" s="1" t="s">
        <v>82</v>
      </c>
    </row>
    <row r="1230" spans="1:10" x14ac:dyDescent="0.25">
      <c r="A1230" s="1" t="s">
        <v>5014</v>
      </c>
      <c r="B1230" s="19">
        <v>46182</v>
      </c>
      <c r="C1230" s="1" t="s">
        <v>916</v>
      </c>
      <c r="D1230" s="1" t="s">
        <v>21</v>
      </c>
      <c r="E1230" s="1" t="s">
        <v>81</v>
      </c>
      <c r="F1230" s="1">
        <v>5960</v>
      </c>
      <c r="G1230" s="1" t="s">
        <v>345</v>
      </c>
      <c r="H1230" s="1" t="s">
        <v>76</v>
      </c>
      <c r="I1230" s="1" t="s">
        <v>3720</v>
      </c>
      <c r="J1230" s="1" t="s">
        <v>78</v>
      </c>
    </row>
    <row r="1231" spans="1:10" x14ac:dyDescent="0.25">
      <c r="A1231" s="1" t="s">
        <v>5015</v>
      </c>
      <c r="B1231" s="19">
        <v>46182</v>
      </c>
      <c r="C1231" s="1" t="s">
        <v>916</v>
      </c>
      <c r="D1231" s="1" t="s">
        <v>21</v>
      </c>
      <c r="E1231" s="1" t="s">
        <v>81</v>
      </c>
      <c r="F1231" s="1">
        <v>5960</v>
      </c>
      <c r="G1231" s="1" t="s">
        <v>361</v>
      </c>
      <c r="H1231" s="1" t="s">
        <v>79</v>
      </c>
      <c r="I1231" s="1" t="s">
        <v>3720</v>
      </c>
      <c r="J1231" s="1" t="s">
        <v>4112</v>
      </c>
    </row>
    <row r="1232" spans="1:10" x14ac:dyDescent="0.25">
      <c r="A1232" s="1" t="s">
        <v>5016</v>
      </c>
      <c r="B1232" s="19">
        <v>46182</v>
      </c>
      <c r="C1232" s="1" t="s">
        <v>917</v>
      </c>
      <c r="D1232" s="1" t="s">
        <v>21</v>
      </c>
      <c r="E1232" s="1" t="s">
        <v>81</v>
      </c>
      <c r="F1232" s="1">
        <v>5961</v>
      </c>
      <c r="G1232" s="1" t="s">
        <v>355</v>
      </c>
      <c r="H1232" s="1" t="s">
        <v>76</v>
      </c>
      <c r="I1232" s="1" t="s">
        <v>3720</v>
      </c>
      <c r="J1232" s="1" t="s">
        <v>82</v>
      </c>
    </row>
    <row r="1233" spans="1:10" x14ac:dyDescent="0.25">
      <c r="A1233" s="1" t="s">
        <v>5017</v>
      </c>
      <c r="B1233" s="19">
        <v>46182</v>
      </c>
      <c r="C1233" s="1" t="s">
        <v>917</v>
      </c>
      <c r="D1233" s="1" t="s">
        <v>21</v>
      </c>
      <c r="E1233" s="1" t="s">
        <v>81</v>
      </c>
      <c r="F1233" s="1">
        <v>5961</v>
      </c>
      <c r="G1233" s="1" t="s">
        <v>345</v>
      </c>
      <c r="H1233" s="1" t="s">
        <v>76</v>
      </c>
      <c r="I1233" s="1" t="s">
        <v>3720</v>
      </c>
      <c r="J1233" s="1" t="s">
        <v>78</v>
      </c>
    </row>
    <row r="1234" spans="1:10" x14ac:dyDescent="0.25">
      <c r="A1234" s="1" t="s">
        <v>5018</v>
      </c>
      <c r="B1234" s="19">
        <v>46182</v>
      </c>
      <c r="C1234" s="1" t="s">
        <v>917</v>
      </c>
      <c r="D1234" s="1" t="s">
        <v>21</v>
      </c>
      <c r="E1234" s="1" t="s">
        <v>81</v>
      </c>
      <c r="F1234" s="1">
        <v>5961</v>
      </c>
      <c r="G1234" s="1" t="s">
        <v>361</v>
      </c>
      <c r="H1234" s="1" t="s">
        <v>79</v>
      </c>
      <c r="I1234" s="1" t="s">
        <v>3720</v>
      </c>
      <c r="J1234" s="1" t="s">
        <v>4112</v>
      </c>
    </row>
    <row r="1235" spans="1:10" x14ac:dyDescent="0.25">
      <c r="A1235" s="1" t="s">
        <v>5019</v>
      </c>
      <c r="B1235" s="19">
        <v>46182</v>
      </c>
      <c r="C1235" s="1" t="s">
        <v>918</v>
      </c>
      <c r="D1235" s="1" t="s">
        <v>21</v>
      </c>
      <c r="E1235" s="1" t="s">
        <v>81</v>
      </c>
      <c r="F1235" s="1">
        <v>5962</v>
      </c>
      <c r="G1235" s="1" t="s">
        <v>355</v>
      </c>
      <c r="H1235" s="1" t="s">
        <v>76</v>
      </c>
      <c r="I1235" s="1" t="s">
        <v>3720</v>
      </c>
      <c r="J1235" s="1" t="s">
        <v>82</v>
      </c>
    </row>
    <row r="1236" spans="1:10" x14ac:dyDescent="0.25">
      <c r="A1236" s="1" t="s">
        <v>5020</v>
      </c>
      <c r="B1236" s="19">
        <v>46182</v>
      </c>
      <c r="C1236" s="1" t="s">
        <v>918</v>
      </c>
      <c r="D1236" s="1" t="s">
        <v>21</v>
      </c>
      <c r="E1236" s="1" t="s">
        <v>81</v>
      </c>
      <c r="F1236" s="1">
        <v>5962</v>
      </c>
      <c r="G1236" s="1" t="s">
        <v>345</v>
      </c>
      <c r="H1236" s="1" t="s">
        <v>76</v>
      </c>
      <c r="I1236" s="1" t="s">
        <v>3720</v>
      </c>
      <c r="J1236" s="1" t="s">
        <v>78</v>
      </c>
    </row>
    <row r="1237" spans="1:10" x14ac:dyDescent="0.25">
      <c r="A1237" s="1" t="s">
        <v>5021</v>
      </c>
      <c r="B1237" s="19">
        <v>46182</v>
      </c>
      <c r="C1237" s="1" t="s">
        <v>918</v>
      </c>
      <c r="D1237" s="1" t="s">
        <v>21</v>
      </c>
      <c r="E1237" s="1" t="s">
        <v>81</v>
      </c>
      <c r="F1237" s="1">
        <v>5962</v>
      </c>
      <c r="G1237" s="1" t="s">
        <v>361</v>
      </c>
      <c r="H1237" s="1" t="s">
        <v>79</v>
      </c>
      <c r="I1237" s="1" t="s">
        <v>3720</v>
      </c>
      <c r="J1237" s="1" t="s">
        <v>4112</v>
      </c>
    </row>
    <row r="1238" spans="1:10" x14ac:dyDescent="0.25">
      <c r="A1238" s="1" t="s">
        <v>5022</v>
      </c>
      <c r="B1238" s="19">
        <v>46182</v>
      </c>
      <c r="C1238" s="1" t="s">
        <v>919</v>
      </c>
      <c r="D1238" s="1" t="s">
        <v>21</v>
      </c>
      <c r="E1238" s="1" t="s">
        <v>81</v>
      </c>
      <c r="F1238" s="1">
        <v>5963</v>
      </c>
      <c r="G1238" s="1" t="s">
        <v>355</v>
      </c>
      <c r="H1238" s="1" t="s">
        <v>76</v>
      </c>
      <c r="I1238" s="1" t="s">
        <v>3720</v>
      </c>
      <c r="J1238" s="1" t="s">
        <v>82</v>
      </c>
    </row>
    <row r="1239" spans="1:10" x14ac:dyDescent="0.25">
      <c r="A1239" s="1" t="s">
        <v>5023</v>
      </c>
      <c r="B1239" s="19">
        <v>46182</v>
      </c>
      <c r="C1239" s="1" t="s">
        <v>919</v>
      </c>
      <c r="D1239" s="1" t="s">
        <v>21</v>
      </c>
      <c r="E1239" s="1" t="s">
        <v>81</v>
      </c>
      <c r="F1239" s="1">
        <v>5963</v>
      </c>
      <c r="G1239" s="1" t="s">
        <v>345</v>
      </c>
      <c r="H1239" s="1" t="s">
        <v>76</v>
      </c>
      <c r="I1239" s="1" t="s">
        <v>3720</v>
      </c>
      <c r="J1239" s="1" t="s">
        <v>78</v>
      </c>
    </row>
    <row r="1240" spans="1:10" x14ac:dyDescent="0.25">
      <c r="A1240" s="1" t="s">
        <v>5024</v>
      </c>
      <c r="B1240" s="19">
        <v>46182</v>
      </c>
      <c r="C1240" s="1" t="s">
        <v>919</v>
      </c>
      <c r="D1240" s="1" t="s">
        <v>21</v>
      </c>
      <c r="E1240" s="1" t="s">
        <v>81</v>
      </c>
      <c r="F1240" s="1">
        <v>5963</v>
      </c>
      <c r="G1240" s="1" t="s">
        <v>361</v>
      </c>
      <c r="H1240" s="1" t="s">
        <v>79</v>
      </c>
      <c r="I1240" s="1" t="s">
        <v>3720</v>
      </c>
      <c r="J1240" s="1" t="s">
        <v>4112</v>
      </c>
    </row>
    <row r="1241" spans="1:10" x14ac:dyDescent="0.25">
      <c r="A1241" s="1" t="s">
        <v>5025</v>
      </c>
      <c r="B1241" s="19">
        <v>46182</v>
      </c>
      <c r="C1241" s="1" t="s">
        <v>920</v>
      </c>
      <c r="D1241" s="1" t="s">
        <v>21</v>
      </c>
      <c r="E1241" s="1" t="s">
        <v>81</v>
      </c>
      <c r="F1241" s="1">
        <v>5964</v>
      </c>
      <c r="G1241" s="1" t="s">
        <v>355</v>
      </c>
      <c r="H1241" s="1" t="s">
        <v>76</v>
      </c>
      <c r="I1241" s="1" t="s">
        <v>3720</v>
      </c>
      <c r="J1241" s="1" t="s">
        <v>82</v>
      </c>
    </row>
    <row r="1242" spans="1:10" x14ac:dyDescent="0.25">
      <c r="A1242" s="1" t="s">
        <v>5026</v>
      </c>
      <c r="B1242" s="19">
        <v>46182</v>
      </c>
      <c r="C1242" s="1" t="s">
        <v>920</v>
      </c>
      <c r="D1242" s="1" t="s">
        <v>21</v>
      </c>
      <c r="E1242" s="1" t="s">
        <v>81</v>
      </c>
      <c r="F1242" s="1">
        <v>5964</v>
      </c>
      <c r="G1242" s="1" t="s">
        <v>345</v>
      </c>
      <c r="H1242" s="1" t="s">
        <v>76</v>
      </c>
      <c r="I1242" s="1" t="s">
        <v>3720</v>
      </c>
      <c r="J1242" s="1" t="s">
        <v>78</v>
      </c>
    </row>
    <row r="1243" spans="1:10" x14ac:dyDescent="0.25">
      <c r="A1243" s="1" t="s">
        <v>5027</v>
      </c>
      <c r="B1243" s="19">
        <v>46182</v>
      </c>
      <c r="C1243" s="1" t="s">
        <v>920</v>
      </c>
      <c r="D1243" s="1" t="s">
        <v>21</v>
      </c>
      <c r="E1243" s="1" t="s">
        <v>81</v>
      </c>
      <c r="F1243" s="1">
        <v>5964</v>
      </c>
      <c r="G1243" s="1" t="s">
        <v>361</v>
      </c>
      <c r="H1243" s="1" t="s">
        <v>79</v>
      </c>
      <c r="I1243" s="1" t="s">
        <v>3720</v>
      </c>
      <c r="J1243" s="1" t="s">
        <v>4112</v>
      </c>
    </row>
    <row r="1244" spans="1:10" x14ac:dyDescent="0.25">
      <c r="A1244" s="1" t="s">
        <v>5028</v>
      </c>
      <c r="B1244" s="19">
        <v>46182</v>
      </c>
      <c r="C1244" s="1" t="s">
        <v>921</v>
      </c>
      <c r="D1244" s="1" t="s">
        <v>21</v>
      </c>
      <c r="E1244" s="1" t="s">
        <v>81</v>
      </c>
      <c r="F1244" s="1">
        <v>5965</v>
      </c>
      <c r="G1244" s="1" t="s">
        <v>355</v>
      </c>
      <c r="H1244" s="1" t="s">
        <v>76</v>
      </c>
      <c r="I1244" s="1" t="s">
        <v>3720</v>
      </c>
      <c r="J1244" s="1" t="s">
        <v>82</v>
      </c>
    </row>
    <row r="1245" spans="1:10" x14ac:dyDescent="0.25">
      <c r="A1245" s="1" t="s">
        <v>5029</v>
      </c>
      <c r="B1245" s="19">
        <v>46182</v>
      </c>
      <c r="C1245" s="1" t="s">
        <v>921</v>
      </c>
      <c r="D1245" s="1" t="s">
        <v>21</v>
      </c>
      <c r="E1245" s="1" t="s">
        <v>81</v>
      </c>
      <c r="F1245" s="1">
        <v>5965</v>
      </c>
      <c r="G1245" s="1" t="s">
        <v>345</v>
      </c>
      <c r="H1245" s="1" t="s">
        <v>76</v>
      </c>
      <c r="I1245" s="1" t="s">
        <v>3720</v>
      </c>
      <c r="J1245" s="1" t="s">
        <v>78</v>
      </c>
    </row>
    <row r="1246" spans="1:10" x14ac:dyDescent="0.25">
      <c r="A1246" s="1" t="s">
        <v>5030</v>
      </c>
      <c r="B1246" s="19">
        <v>46182</v>
      </c>
      <c r="C1246" s="1" t="s">
        <v>921</v>
      </c>
      <c r="D1246" s="1" t="s">
        <v>21</v>
      </c>
      <c r="E1246" s="1" t="s">
        <v>81</v>
      </c>
      <c r="F1246" s="1">
        <v>5965</v>
      </c>
      <c r="G1246" s="1" t="s">
        <v>361</v>
      </c>
      <c r="H1246" s="1" t="s">
        <v>79</v>
      </c>
      <c r="I1246" s="1" t="s">
        <v>3720</v>
      </c>
      <c r="J1246" s="1" t="s">
        <v>4112</v>
      </c>
    </row>
    <row r="1247" spans="1:10" x14ac:dyDescent="0.25">
      <c r="A1247" s="1" t="s">
        <v>5031</v>
      </c>
      <c r="B1247" s="19">
        <v>46182</v>
      </c>
      <c r="C1247" s="1" t="s">
        <v>922</v>
      </c>
      <c r="D1247" s="1" t="s">
        <v>21</v>
      </c>
      <c r="E1247" s="1" t="s">
        <v>81</v>
      </c>
      <c r="F1247" s="1">
        <v>5966</v>
      </c>
      <c r="G1247" s="1" t="s">
        <v>355</v>
      </c>
      <c r="H1247" s="1" t="s">
        <v>76</v>
      </c>
      <c r="I1247" s="1" t="s">
        <v>3720</v>
      </c>
      <c r="J1247" s="1" t="s">
        <v>82</v>
      </c>
    </row>
    <row r="1248" spans="1:10" x14ac:dyDescent="0.25">
      <c r="A1248" s="1" t="s">
        <v>5032</v>
      </c>
      <c r="B1248" s="19">
        <v>46182</v>
      </c>
      <c r="C1248" s="1" t="s">
        <v>922</v>
      </c>
      <c r="D1248" s="1" t="s">
        <v>21</v>
      </c>
      <c r="E1248" s="1" t="s">
        <v>81</v>
      </c>
      <c r="F1248" s="1">
        <v>5966</v>
      </c>
      <c r="G1248" s="1" t="s">
        <v>345</v>
      </c>
      <c r="H1248" s="1" t="s">
        <v>76</v>
      </c>
      <c r="I1248" s="1" t="s">
        <v>3720</v>
      </c>
      <c r="J1248" s="1" t="s">
        <v>78</v>
      </c>
    </row>
    <row r="1249" spans="1:10" x14ac:dyDescent="0.25">
      <c r="A1249" s="1" t="s">
        <v>5033</v>
      </c>
      <c r="B1249" s="19">
        <v>46182</v>
      </c>
      <c r="C1249" s="1" t="s">
        <v>922</v>
      </c>
      <c r="D1249" s="1" t="s">
        <v>21</v>
      </c>
      <c r="E1249" s="1" t="s">
        <v>81</v>
      </c>
      <c r="F1249" s="1">
        <v>5966</v>
      </c>
      <c r="G1249" s="1" t="s">
        <v>361</v>
      </c>
      <c r="H1249" s="1" t="s">
        <v>79</v>
      </c>
      <c r="I1249" s="1" t="s">
        <v>3720</v>
      </c>
      <c r="J1249" s="1" t="s">
        <v>4112</v>
      </c>
    </row>
    <row r="1250" spans="1:10" x14ac:dyDescent="0.25">
      <c r="A1250" s="1" t="s">
        <v>5034</v>
      </c>
      <c r="B1250" s="19">
        <v>46182</v>
      </c>
      <c r="C1250" s="1" t="s">
        <v>923</v>
      </c>
      <c r="D1250" s="1" t="s">
        <v>21</v>
      </c>
      <c r="E1250" s="1" t="s">
        <v>81</v>
      </c>
      <c r="F1250" s="1">
        <v>5967</v>
      </c>
      <c r="G1250" s="1" t="s">
        <v>355</v>
      </c>
      <c r="H1250" s="1" t="s">
        <v>76</v>
      </c>
      <c r="I1250" s="1" t="s">
        <v>3720</v>
      </c>
      <c r="J1250" s="1" t="s">
        <v>82</v>
      </c>
    </row>
    <row r="1251" spans="1:10" x14ac:dyDescent="0.25">
      <c r="A1251" s="1" t="s">
        <v>5035</v>
      </c>
      <c r="B1251" s="19">
        <v>46182</v>
      </c>
      <c r="C1251" s="1" t="s">
        <v>923</v>
      </c>
      <c r="D1251" s="1" t="s">
        <v>21</v>
      </c>
      <c r="E1251" s="1" t="s">
        <v>81</v>
      </c>
      <c r="F1251" s="1">
        <v>5967</v>
      </c>
      <c r="G1251" s="1" t="s">
        <v>345</v>
      </c>
      <c r="H1251" s="1" t="s">
        <v>76</v>
      </c>
      <c r="I1251" s="1" t="s">
        <v>3720</v>
      </c>
      <c r="J1251" s="1" t="s">
        <v>78</v>
      </c>
    </row>
    <row r="1252" spans="1:10" x14ac:dyDescent="0.25">
      <c r="A1252" s="1" t="s">
        <v>5036</v>
      </c>
      <c r="B1252" s="19">
        <v>46182</v>
      </c>
      <c r="C1252" s="1" t="s">
        <v>923</v>
      </c>
      <c r="D1252" s="1" t="s">
        <v>21</v>
      </c>
      <c r="E1252" s="1" t="s">
        <v>81</v>
      </c>
      <c r="F1252" s="1">
        <v>5967</v>
      </c>
      <c r="G1252" s="1" t="s">
        <v>361</v>
      </c>
      <c r="H1252" s="1" t="s">
        <v>79</v>
      </c>
      <c r="I1252" s="1" t="s">
        <v>3720</v>
      </c>
      <c r="J1252" s="1" t="s">
        <v>4112</v>
      </c>
    </row>
    <row r="1253" spans="1:10" x14ac:dyDescent="0.25">
      <c r="A1253" s="1" t="s">
        <v>5037</v>
      </c>
      <c r="B1253" s="19">
        <v>46182</v>
      </c>
      <c r="C1253" s="1" t="s">
        <v>924</v>
      </c>
      <c r="D1253" s="1" t="s">
        <v>21</v>
      </c>
      <c r="E1253" s="1" t="s">
        <v>81</v>
      </c>
      <c r="F1253" s="1">
        <v>5968</v>
      </c>
      <c r="G1253" s="1" t="s">
        <v>355</v>
      </c>
      <c r="H1253" s="1" t="s">
        <v>76</v>
      </c>
      <c r="I1253" s="1" t="s">
        <v>3720</v>
      </c>
      <c r="J1253" s="1" t="s">
        <v>82</v>
      </c>
    </row>
    <row r="1254" spans="1:10" x14ac:dyDescent="0.25">
      <c r="A1254" s="1" t="s">
        <v>5038</v>
      </c>
      <c r="B1254" s="19">
        <v>46182</v>
      </c>
      <c r="C1254" s="1" t="s">
        <v>924</v>
      </c>
      <c r="D1254" s="1" t="s">
        <v>21</v>
      </c>
      <c r="E1254" s="1" t="s">
        <v>81</v>
      </c>
      <c r="F1254" s="1">
        <v>5968</v>
      </c>
      <c r="G1254" s="1" t="s">
        <v>345</v>
      </c>
      <c r="H1254" s="1" t="s">
        <v>76</v>
      </c>
      <c r="I1254" s="1" t="s">
        <v>3720</v>
      </c>
      <c r="J1254" s="1" t="s">
        <v>78</v>
      </c>
    </row>
    <row r="1255" spans="1:10" x14ac:dyDescent="0.25">
      <c r="A1255" s="1" t="s">
        <v>5039</v>
      </c>
      <c r="B1255" s="19">
        <v>46182</v>
      </c>
      <c r="C1255" s="1" t="s">
        <v>924</v>
      </c>
      <c r="D1255" s="1" t="s">
        <v>21</v>
      </c>
      <c r="E1255" s="1" t="s">
        <v>81</v>
      </c>
      <c r="F1255" s="1">
        <v>5968</v>
      </c>
      <c r="G1255" s="1" t="s">
        <v>361</v>
      </c>
      <c r="H1255" s="1" t="s">
        <v>79</v>
      </c>
      <c r="I1255" s="1" t="s">
        <v>3720</v>
      </c>
      <c r="J1255" s="1" t="s">
        <v>4112</v>
      </c>
    </row>
    <row r="1256" spans="1:10" x14ac:dyDescent="0.25">
      <c r="A1256" s="1" t="s">
        <v>5040</v>
      </c>
      <c r="B1256" s="19">
        <v>46182</v>
      </c>
      <c r="C1256" s="1" t="s">
        <v>925</v>
      </c>
      <c r="D1256" s="1" t="s">
        <v>21</v>
      </c>
      <c r="E1256" s="1" t="s">
        <v>81</v>
      </c>
      <c r="F1256" s="1">
        <v>5969</v>
      </c>
      <c r="G1256" s="1" t="s">
        <v>355</v>
      </c>
      <c r="H1256" s="1" t="s">
        <v>76</v>
      </c>
      <c r="I1256" s="1" t="s">
        <v>3720</v>
      </c>
      <c r="J1256" s="1" t="s">
        <v>82</v>
      </c>
    </row>
    <row r="1257" spans="1:10" x14ac:dyDescent="0.25">
      <c r="A1257" s="1" t="s">
        <v>5041</v>
      </c>
      <c r="B1257" s="19">
        <v>46182</v>
      </c>
      <c r="C1257" s="1" t="s">
        <v>925</v>
      </c>
      <c r="D1257" s="1" t="s">
        <v>21</v>
      </c>
      <c r="E1257" s="1" t="s">
        <v>81</v>
      </c>
      <c r="F1257" s="1">
        <v>5969</v>
      </c>
      <c r="G1257" s="1" t="s">
        <v>345</v>
      </c>
      <c r="H1257" s="1" t="s">
        <v>76</v>
      </c>
      <c r="I1257" s="1" t="s">
        <v>3720</v>
      </c>
      <c r="J1257" s="1" t="s">
        <v>78</v>
      </c>
    </row>
    <row r="1258" spans="1:10" x14ac:dyDescent="0.25">
      <c r="A1258" s="1" t="s">
        <v>5042</v>
      </c>
      <c r="B1258" s="19">
        <v>46182</v>
      </c>
      <c r="C1258" s="1" t="s">
        <v>925</v>
      </c>
      <c r="D1258" s="1" t="s">
        <v>21</v>
      </c>
      <c r="E1258" s="1" t="s">
        <v>81</v>
      </c>
      <c r="F1258" s="1">
        <v>5969</v>
      </c>
      <c r="G1258" s="1" t="s">
        <v>361</v>
      </c>
      <c r="H1258" s="1" t="s">
        <v>79</v>
      </c>
      <c r="I1258" s="1" t="s">
        <v>3720</v>
      </c>
      <c r="J1258" s="1" t="s">
        <v>4112</v>
      </c>
    </row>
    <row r="1259" spans="1:10" x14ac:dyDescent="0.25">
      <c r="A1259" s="1" t="s">
        <v>5043</v>
      </c>
      <c r="B1259" s="19">
        <v>46182</v>
      </c>
      <c r="C1259" s="1" t="s">
        <v>926</v>
      </c>
      <c r="D1259" s="1" t="s">
        <v>21</v>
      </c>
      <c r="E1259" s="1" t="s">
        <v>81</v>
      </c>
      <c r="F1259" s="1">
        <v>5970</v>
      </c>
      <c r="G1259" s="1" t="s">
        <v>355</v>
      </c>
      <c r="H1259" s="1" t="s">
        <v>76</v>
      </c>
      <c r="I1259" s="1" t="s">
        <v>3720</v>
      </c>
      <c r="J1259" s="1" t="s">
        <v>82</v>
      </c>
    </row>
    <row r="1260" spans="1:10" x14ac:dyDescent="0.25">
      <c r="A1260" s="1" t="s">
        <v>5044</v>
      </c>
      <c r="B1260" s="19">
        <v>46182</v>
      </c>
      <c r="C1260" s="1" t="s">
        <v>926</v>
      </c>
      <c r="D1260" s="1" t="s">
        <v>21</v>
      </c>
      <c r="E1260" s="1" t="s">
        <v>81</v>
      </c>
      <c r="F1260" s="1">
        <v>5970</v>
      </c>
      <c r="G1260" s="1" t="s">
        <v>345</v>
      </c>
      <c r="H1260" s="1" t="s">
        <v>76</v>
      </c>
      <c r="I1260" s="1" t="s">
        <v>3720</v>
      </c>
      <c r="J1260" s="1" t="s">
        <v>78</v>
      </c>
    </row>
    <row r="1261" spans="1:10" x14ac:dyDescent="0.25">
      <c r="A1261" s="1" t="s">
        <v>5045</v>
      </c>
      <c r="B1261" s="19">
        <v>46182</v>
      </c>
      <c r="C1261" s="1" t="s">
        <v>926</v>
      </c>
      <c r="D1261" s="1" t="s">
        <v>21</v>
      </c>
      <c r="E1261" s="1" t="s">
        <v>81</v>
      </c>
      <c r="F1261" s="1">
        <v>5970</v>
      </c>
      <c r="G1261" s="1" t="s">
        <v>361</v>
      </c>
      <c r="H1261" s="1" t="s">
        <v>79</v>
      </c>
      <c r="I1261" s="1" t="s">
        <v>3720</v>
      </c>
      <c r="J1261" s="1" t="s">
        <v>4112</v>
      </c>
    </row>
    <row r="1262" spans="1:10" x14ac:dyDescent="0.25">
      <c r="A1262" s="1" t="s">
        <v>5046</v>
      </c>
      <c r="B1262" s="19">
        <v>46182</v>
      </c>
      <c r="C1262" s="1" t="s">
        <v>927</v>
      </c>
      <c r="D1262" s="1" t="s">
        <v>21</v>
      </c>
      <c r="E1262" s="1" t="s">
        <v>81</v>
      </c>
      <c r="F1262" s="1">
        <v>5971</v>
      </c>
      <c r="G1262" s="1" t="s">
        <v>355</v>
      </c>
      <c r="H1262" s="1" t="s">
        <v>76</v>
      </c>
      <c r="I1262" s="1" t="s">
        <v>3720</v>
      </c>
      <c r="J1262" s="1" t="s">
        <v>82</v>
      </c>
    </row>
    <row r="1263" spans="1:10" x14ac:dyDescent="0.25">
      <c r="A1263" s="1" t="s">
        <v>5047</v>
      </c>
      <c r="B1263" s="19">
        <v>46182</v>
      </c>
      <c r="C1263" s="1" t="s">
        <v>927</v>
      </c>
      <c r="D1263" s="1" t="s">
        <v>21</v>
      </c>
      <c r="E1263" s="1" t="s">
        <v>81</v>
      </c>
      <c r="F1263" s="1">
        <v>5971</v>
      </c>
      <c r="G1263" s="1" t="s">
        <v>345</v>
      </c>
      <c r="H1263" s="1" t="s">
        <v>76</v>
      </c>
      <c r="I1263" s="1" t="s">
        <v>3720</v>
      </c>
      <c r="J1263" s="1" t="s">
        <v>78</v>
      </c>
    </row>
    <row r="1264" spans="1:10" x14ac:dyDescent="0.25">
      <c r="A1264" s="1" t="s">
        <v>5048</v>
      </c>
      <c r="B1264" s="19">
        <v>46182</v>
      </c>
      <c r="C1264" s="1" t="s">
        <v>927</v>
      </c>
      <c r="D1264" s="1" t="s">
        <v>21</v>
      </c>
      <c r="E1264" s="1" t="s">
        <v>81</v>
      </c>
      <c r="F1264" s="1">
        <v>5971</v>
      </c>
      <c r="G1264" s="1" t="s">
        <v>361</v>
      </c>
      <c r="H1264" s="1" t="s">
        <v>79</v>
      </c>
      <c r="I1264" s="1" t="s">
        <v>3720</v>
      </c>
      <c r="J1264" s="1" t="s">
        <v>4112</v>
      </c>
    </row>
    <row r="1265" spans="1:10" x14ac:dyDescent="0.25">
      <c r="A1265" s="1" t="s">
        <v>5049</v>
      </c>
      <c r="B1265" s="19">
        <v>46182</v>
      </c>
      <c r="C1265" s="1" t="s">
        <v>928</v>
      </c>
      <c r="D1265" s="1" t="s">
        <v>21</v>
      </c>
      <c r="E1265" s="1" t="s">
        <v>81</v>
      </c>
      <c r="F1265" s="1">
        <v>5972</v>
      </c>
      <c r="G1265" s="1" t="s">
        <v>355</v>
      </c>
      <c r="H1265" s="1" t="s">
        <v>76</v>
      </c>
      <c r="I1265" s="1" t="s">
        <v>3720</v>
      </c>
      <c r="J1265" s="1" t="s">
        <v>82</v>
      </c>
    </row>
    <row r="1266" spans="1:10" x14ac:dyDescent="0.25">
      <c r="A1266" s="1" t="s">
        <v>5050</v>
      </c>
      <c r="B1266" s="19">
        <v>46182</v>
      </c>
      <c r="C1266" s="1" t="s">
        <v>928</v>
      </c>
      <c r="D1266" s="1" t="s">
        <v>21</v>
      </c>
      <c r="E1266" s="1" t="s">
        <v>81</v>
      </c>
      <c r="F1266" s="1">
        <v>5972</v>
      </c>
      <c r="G1266" s="1" t="s">
        <v>345</v>
      </c>
      <c r="H1266" s="1" t="s">
        <v>76</v>
      </c>
      <c r="I1266" s="1" t="s">
        <v>3720</v>
      </c>
      <c r="J1266" s="1" t="s">
        <v>78</v>
      </c>
    </row>
    <row r="1267" spans="1:10" x14ac:dyDescent="0.25">
      <c r="A1267" s="1" t="s">
        <v>5051</v>
      </c>
      <c r="B1267" s="19">
        <v>46182</v>
      </c>
      <c r="C1267" s="1" t="s">
        <v>928</v>
      </c>
      <c r="D1267" s="1" t="s">
        <v>21</v>
      </c>
      <c r="E1267" s="1" t="s">
        <v>81</v>
      </c>
      <c r="F1267" s="1">
        <v>5972</v>
      </c>
      <c r="G1267" s="1" t="s">
        <v>361</v>
      </c>
      <c r="H1267" s="1" t="s">
        <v>79</v>
      </c>
      <c r="I1267" s="1" t="s">
        <v>3720</v>
      </c>
      <c r="J1267" s="1" t="s">
        <v>4112</v>
      </c>
    </row>
    <row r="1268" spans="1:10" x14ac:dyDescent="0.25">
      <c r="A1268" s="1" t="s">
        <v>5052</v>
      </c>
      <c r="B1268" s="19">
        <v>46182</v>
      </c>
      <c r="C1268" s="1" t="s">
        <v>929</v>
      </c>
      <c r="D1268" s="1" t="s">
        <v>21</v>
      </c>
      <c r="E1268" s="1" t="s">
        <v>81</v>
      </c>
      <c r="F1268" s="1">
        <v>5973</v>
      </c>
      <c r="G1268" s="1" t="s">
        <v>355</v>
      </c>
      <c r="H1268" s="1" t="s">
        <v>76</v>
      </c>
      <c r="I1268" s="1" t="s">
        <v>3720</v>
      </c>
      <c r="J1268" s="1" t="s">
        <v>82</v>
      </c>
    </row>
    <row r="1269" spans="1:10" x14ac:dyDescent="0.25">
      <c r="A1269" s="1" t="s">
        <v>5053</v>
      </c>
      <c r="B1269" s="19">
        <v>46182</v>
      </c>
      <c r="C1269" s="1" t="s">
        <v>929</v>
      </c>
      <c r="D1269" s="1" t="s">
        <v>21</v>
      </c>
      <c r="E1269" s="1" t="s">
        <v>81</v>
      </c>
      <c r="F1269" s="1">
        <v>5973</v>
      </c>
      <c r="G1269" s="1" t="s">
        <v>345</v>
      </c>
      <c r="H1269" s="1" t="s">
        <v>76</v>
      </c>
      <c r="I1269" s="1" t="s">
        <v>3720</v>
      </c>
      <c r="J1269" s="1" t="s">
        <v>78</v>
      </c>
    </row>
    <row r="1270" spans="1:10" x14ac:dyDescent="0.25">
      <c r="A1270" s="1" t="s">
        <v>5054</v>
      </c>
      <c r="B1270" s="19">
        <v>46182</v>
      </c>
      <c r="C1270" s="1" t="s">
        <v>929</v>
      </c>
      <c r="D1270" s="1" t="s">
        <v>21</v>
      </c>
      <c r="E1270" s="1" t="s">
        <v>81</v>
      </c>
      <c r="F1270" s="1">
        <v>5973</v>
      </c>
      <c r="G1270" s="1" t="s">
        <v>361</v>
      </c>
      <c r="H1270" s="1" t="s">
        <v>79</v>
      </c>
      <c r="I1270" s="1" t="s">
        <v>3720</v>
      </c>
      <c r="J1270" s="1" t="s">
        <v>4112</v>
      </c>
    </row>
    <row r="1271" spans="1:10" x14ac:dyDescent="0.25">
      <c r="A1271" s="1" t="s">
        <v>5055</v>
      </c>
      <c r="B1271" s="19">
        <v>46182</v>
      </c>
      <c r="C1271" s="1" t="s">
        <v>930</v>
      </c>
      <c r="D1271" s="1" t="s">
        <v>21</v>
      </c>
      <c r="E1271" s="1" t="s">
        <v>81</v>
      </c>
      <c r="F1271" s="1">
        <v>5974</v>
      </c>
      <c r="G1271" s="1" t="s">
        <v>355</v>
      </c>
      <c r="H1271" s="1" t="s">
        <v>76</v>
      </c>
      <c r="I1271" s="1" t="s">
        <v>3720</v>
      </c>
      <c r="J1271" s="1" t="s">
        <v>82</v>
      </c>
    </row>
    <row r="1272" spans="1:10" x14ac:dyDescent="0.25">
      <c r="A1272" s="1" t="s">
        <v>5056</v>
      </c>
      <c r="B1272" s="19">
        <v>46182</v>
      </c>
      <c r="C1272" s="1" t="s">
        <v>930</v>
      </c>
      <c r="D1272" s="1" t="s">
        <v>21</v>
      </c>
      <c r="E1272" s="1" t="s">
        <v>81</v>
      </c>
      <c r="F1272" s="1">
        <v>5974</v>
      </c>
      <c r="G1272" s="1" t="s">
        <v>345</v>
      </c>
      <c r="H1272" s="1" t="s">
        <v>76</v>
      </c>
      <c r="I1272" s="1" t="s">
        <v>3720</v>
      </c>
      <c r="J1272" s="1" t="s">
        <v>78</v>
      </c>
    </row>
    <row r="1273" spans="1:10" x14ac:dyDescent="0.25">
      <c r="A1273" s="1" t="s">
        <v>5057</v>
      </c>
      <c r="B1273" s="19">
        <v>46182</v>
      </c>
      <c r="C1273" s="1" t="s">
        <v>930</v>
      </c>
      <c r="D1273" s="1" t="s">
        <v>21</v>
      </c>
      <c r="E1273" s="1" t="s">
        <v>81</v>
      </c>
      <c r="F1273" s="1">
        <v>5974</v>
      </c>
      <c r="G1273" s="1" t="s">
        <v>361</v>
      </c>
      <c r="H1273" s="1" t="s">
        <v>79</v>
      </c>
      <c r="I1273" s="1" t="s">
        <v>3720</v>
      </c>
      <c r="J1273" s="1" t="s">
        <v>4112</v>
      </c>
    </row>
    <row r="1274" spans="1:10" x14ac:dyDescent="0.25">
      <c r="A1274" s="1" t="s">
        <v>5058</v>
      </c>
      <c r="B1274" s="19">
        <v>46182</v>
      </c>
      <c r="C1274" s="1" t="s">
        <v>931</v>
      </c>
      <c r="D1274" s="1" t="s">
        <v>21</v>
      </c>
      <c r="E1274" s="1" t="s">
        <v>81</v>
      </c>
      <c r="F1274" s="1">
        <v>5975</v>
      </c>
      <c r="G1274" s="1" t="s">
        <v>355</v>
      </c>
      <c r="H1274" s="1" t="s">
        <v>76</v>
      </c>
      <c r="I1274" s="1" t="s">
        <v>3720</v>
      </c>
      <c r="J1274" s="1" t="s">
        <v>82</v>
      </c>
    </row>
    <row r="1275" spans="1:10" x14ac:dyDescent="0.25">
      <c r="A1275" s="1" t="s">
        <v>5059</v>
      </c>
      <c r="B1275" s="19">
        <v>46182</v>
      </c>
      <c r="C1275" s="1" t="s">
        <v>931</v>
      </c>
      <c r="D1275" s="1" t="s">
        <v>21</v>
      </c>
      <c r="E1275" s="1" t="s">
        <v>81</v>
      </c>
      <c r="F1275" s="1">
        <v>5975</v>
      </c>
      <c r="G1275" s="1" t="s">
        <v>345</v>
      </c>
      <c r="H1275" s="1" t="s">
        <v>76</v>
      </c>
      <c r="I1275" s="1" t="s">
        <v>3720</v>
      </c>
      <c r="J1275" s="1" t="s">
        <v>78</v>
      </c>
    </row>
    <row r="1276" spans="1:10" x14ac:dyDescent="0.25">
      <c r="A1276" s="1" t="s">
        <v>5060</v>
      </c>
      <c r="B1276" s="19">
        <v>46182</v>
      </c>
      <c r="C1276" s="1" t="s">
        <v>931</v>
      </c>
      <c r="D1276" s="1" t="s">
        <v>21</v>
      </c>
      <c r="E1276" s="1" t="s">
        <v>81</v>
      </c>
      <c r="F1276" s="1">
        <v>5975</v>
      </c>
      <c r="G1276" s="1" t="s">
        <v>361</v>
      </c>
      <c r="H1276" s="1" t="s">
        <v>79</v>
      </c>
      <c r="I1276" s="1" t="s">
        <v>3720</v>
      </c>
      <c r="J1276" s="1" t="s">
        <v>4112</v>
      </c>
    </row>
    <row r="1277" spans="1:10" x14ac:dyDescent="0.25">
      <c r="A1277" s="1" t="s">
        <v>5061</v>
      </c>
      <c r="B1277" s="19">
        <v>46182</v>
      </c>
      <c r="C1277" s="1" t="s">
        <v>932</v>
      </c>
      <c r="D1277" s="1" t="s">
        <v>21</v>
      </c>
      <c r="E1277" s="1" t="s">
        <v>81</v>
      </c>
      <c r="F1277" s="1">
        <v>5976</v>
      </c>
      <c r="G1277" s="1" t="s">
        <v>355</v>
      </c>
      <c r="H1277" s="1" t="s">
        <v>76</v>
      </c>
      <c r="I1277" s="1" t="s">
        <v>3720</v>
      </c>
      <c r="J1277" s="1" t="s">
        <v>82</v>
      </c>
    </row>
    <row r="1278" spans="1:10" x14ac:dyDescent="0.25">
      <c r="A1278" s="1" t="s">
        <v>5062</v>
      </c>
      <c r="B1278" s="19">
        <v>46182</v>
      </c>
      <c r="C1278" s="1" t="s">
        <v>932</v>
      </c>
      <c r="D1278" s="1" t="s">
        <v>21</v>
      </c>
      <c r="E1278" s="1" t="s">
        <v>81</v>
      </c>
      <c r="F1278" s="1">
        <v>5976</v>
      </c>
      <c r="G1278" s="1" t="s">
        <v>345</v>
      </c>
      <c r="H1278" s="1" t="s">
        <v>76</v>
      </c>
      <c r="I1278" s="1" t="s">
        <v>3720</v>
      </c>
      <c r="J1278" s="1" t="s">
        <v>78</v>
      </c>
    </row>
    <row r="1279" spans="1:10" x14ac:dyDescent="0.25">
      <c r="A1279" s="1" t="s">
        <v>5063</v>
      </c>
      <c r="B1279" s="19">
        <v>46182</v>
      </c>
      <c r="C1279" s="1" t="s">
        <v>932</v>
      </c>
      <c r="D1279" s="1" t="s">
        <v>21</v>
      </c>
      <c r="E1279" s="1" t="s">
        <v>81</v>
      </c>
      <c r="F1279" s="1">
        <v>5976</v>
      </c>
      <c r="G1279" s="1" t="s">
        <v>361</v>
      </c>
      <c r="H1279" s="1" t="s">
        <v>79</v>
      </c>
      <c r="I1279" s="1" t="s">
        <v>3720</v>
      </c>
      <c r="J1279" s="1" t="s">
        <v>4112</v>
      </c>
    </row>
    <row r="1280" spans="1:10" x14ac:dyDescent="0.25">
      <c r="A1280" s="1" t="s">
        <v>5064</v>
      </c>
      <c r="B1280" s="19">
        <v>46182</v>
      </c>
      <c r="C1280" s="1" t="s">
        <v>933</v>
      </c>
      <c r="D1280" s="1" t="s">
        <v>21</v>
      </c>
      <c r="E1280" s="1" t="s">
        <v>81</v>
      </c>
      <c r="F1280" s="1">
        <v>5977</v>
      </c>
      <c r="G1280" s="1" t="s">
        <v>355</v>
      </c>
      <c r="H1280" s="1" t="s">
        <v>76</v>
      </c>
      <c r="I1280" s="1" t="s">
        <v>3720</v>
      </c>
      <c r="J1280" s="1" t="s">
        <v>82</v>
      </c>
    </row>
    <row r="1281" spans="1:10" x14ac:dyDescent="0.25">
      <c r="A1281" s="1" t="s">
        <v>5065</v>
      </c>
      <c r="B1281" s="19">
        <v>46182</v>
      </c>
      <c r="C1281" s="1" t="s">
        <v>933</v>
      </c>
      <c r="D1281" s="1" t="s">
        <v>21</v>
      </c>
      <c r="E1281" s="1" t="s">
        <v>81</v>
      </c>
      <c r="F1281" s="1">
        <v>5977</v>
      </c>
      <c r="G1281" s="1" t="s">
        <v>345</v>
      </c>
      <c r="H1281" s="1" t="s">
        <v>76</v>
      </c>
      <c r="I1281" s="1" t="s">
        <v>3720</v>
      </c>
      <c r="J1281" s="1" t="s">
        <v>78</v>
      </c>
    </row>
    <row r="1282" spans="1:10" x14ac:dyDescent="0.25">
      <c r="A1282" s="1" t="s">
        <v>5066</v>
      </c>
      <c r="B1282" s="19">
        <v>46182</v>
      </c>
      <c r="C1282" s="1" t="s">
        <v>933</v>
      </c>
      <c r="D1282" s="1" t="s">
        <v>21</v>
      </c>
      <c r="E1282" s="1" t="s">
        <v>81</v>
      </c>
      <c r="F1282" s="1">
        <v>5977</v>
      </c>
      <c r="G1282" s="1" t="s">
        <v>361</v>
      </c>
      <c r="H1282" s="1" t="s">
        <v>79</v>
      </c>
      <c r="I1282" s="1" t="s">
        <v>3720</v>
      </c>
      <c r="J1282" s="1" t="s">
        <v>4112</v>
      </c>
    </row>
    <row r="1283" spans="1:10" x14ac:dyDescent="0.25">
      <c r="A1283" s="1" t="s">
        <v>5067</v>
      </c>
      <c r="B1283" s="19">
        <v>46182</v>
      </c>
      <c r="C1283" s="1" t="s">
        <v>934</v>
      </c>
      <c r="D1283" s="1" t="s">
        <v>21</v>
      </c>
      <c r="E1283" s="1" t="s">
        <v>81</v>
      </c>
      <c r="F1283" s="1">
        <v>5978</v>
      </c>
      <c r="G1283" s="1" t="s">
        <v>355</v>
      </c>
      <c r="H1283" s="1" t="s">
        <v>76</v>
      </c>
      <c r="I1283" s="1" t="s">
        <v>3720</v>
      </c>
      <c r="J1283" s="1" t="s">
        <v>82</v>
      </c>
    </row>
    <row r="1284" spans="1:10" x14ac:dyDescent="0.25">
      <c r="A1284" s="1" t="s">
        <v>5068</v>
      </c>
      <c r="B1284" s="19">
        <v>46182</v>
      </c>
      <c r="C1284" s="1" t="s">
        <v>934</v>
      </c>
      <c r="D1284" s="1" t="s">
        <v>21</v>
      </c>
      <c r="E1284" s="1" t="s">
        <v>81</v>
      </c>
      <c r="F1284" s="1">
        <v>5978</v>
      </c>
      <c r="G1284" s="1" t="s">
        <v>345</v>
      </c>
      <c r="H1284" s="1" t="s">
        <v>76</v>
      </c>
      <c r="I1284" s="1" t="s">
        <v>3720</v>
      </c>
      <c r="J1284" s="1" t="s">
        <v>78</v>
      </c>
    </row>
    <row r="1285" spans="1:10" x14ac:dyDescent="0.25">
      <c r="A1285" s="1" t="s">
        <v>5069</v>
      </c>
      <c r="B1285" s="19">
        <v>46182</v>
      </c>
      <c r="C1285" s="1" t="s">
        <v>934</v>
      </c>
      <c r="D1285" s="1" t="s">
        <v>21</v>
      </c>
      <c r="E1285" s="1" t="s">
        <v>81</v>
      </c>
      <c r="F1285" s="1">
        <v>5978</v>
      </c>
      <c r="G1285" s="1" t="s">
        <v>361</v>
      </c>
      <c r="H1285" s="1" t="s">
        <v>79</v>
      </c>
      <c r="I1285" s="1" t="s">
        <v>3720</v>
      </c>
      <c r="J1285" s="1" t="s">
        <v>4112</v>
      </c>
    </row>
    <row r="1286" spans="1:10" x14ac:dyDescent="0.25">
      <c r="A1286" s="1" t="s">
        <v>5070</v>
      </c>
      <c r="B1286" s="19">
        <v>46182</v>
      </c>
      <c r="C1286" s="1" t="s">
        <v>935</v>
      </c>
      <c r="D1286" s="1" t="s">
        <v>21</v>
      </c>
      <c r="E1286" s="1" t="s">
        <v>81</v>
      </c>
      <c r="F1286" s="1">
        <v>5979</v>
      </c>
      <c r="G1286" s="1" t="s">
        <v>355</v>
      </c>
      <c r="H1286" s="1" t="s">
        <v>76</v>
      </c>
      <c r="I1286" s="1" t="s">
        <v>3720</v>
      </c>
      <c r="J1286" s="1" t="s">
        <v>82</v>
      </c>
    </row>
    <row r="1287" spans="1:10" x14ac:dyDescent="0.25">
      <c r="A1287" s="1" t="s">
        <v>5071</v>
      </c>
      <c r="B1287" s="19">
        <v>46182</v>
      </c>
      <c r="C1287" s="1" t="s">
        <v>935</v>
      </c>
      <c r="D1287" s="1" t="s">
        <v>21</v>
      </c>
      <c r="E1287" s="1" t="s">
        <v>81</v>
      </c>
      <c r="F1287" s="1">
        <v>5979</v>
      </c>
      <c r="G1287" s="1" t="s">
        <v>345</v>
      </c>
      <c r="H1287" s="1" t="s">
        <v>76</v>
      </c>
      <c r="I1287" s="1" t="s">
        <v>3720</v>
      </c>
      <c r="J1287" s="1" t="s">
        <v>78</v>
      </c>
    </row>
    <row r="1288" spans="1:10" x14ac:dyDescent="0.25">
      <c r="A1288" s="1" t="s">
        <v>5072</v>
      </c>
      <c r="B1288" s="19">
        <v>46182</v>
      </c>
      <c r="C1288" s="1" t="s">
        <v>935</v>
      </c>
      <c r="D1288" s="1" t="s">
        <v>21</v>
      </c>
      <c r="E1288" s="1" t="s">
        <v>81</v>
      </c>
      <c r="F1288" s="1">
        <v>5979</v>
      </c>
      <c r="G1288" s="1" t="s">
        <v>361</v>
      </c>
      <c r="H1288" s="1" t="s">
        <v>79</v>
      </c>
      <c r="I1288" s="1" t="s">
        <v>3720</v>
      </c>
      <c r="J1288" s="1" t="s">
        <v>4112</v>
      </c>
    </row>
    <row r="1289" spans="1:10" x14ac:dyDescent="0.25">
      <c r="A1289" s="1" t="s">
        <v>5073</v>
      </c>
      <c r="B1289" s="19">
        <v>46182</v>
      </c>
      <c r="C1289" s="1" t="s">
        <v>936</v>
      </c>
      <c r="D1289" s="1" t="s">
        <v>21</v>
      </c>
      <c r="E1289" s="1" t="s">
        <v>81</v>
      </c>
      <c r="F1289" s="1">
        <v>5980</v>
      </c>
      <c r="G1289" s="1" t="s">
        <v>355</v>
      </c>
      <c r="H1289" s="1" t="s">
        <v>76</v>
      </c>
      <c r="I1289" s="1" t="s">
        <v>3720</v>
      </c>
      <c r="J1289" s="1" t="s">
        <v>82</v>
      </c>
    </row>
    <row r="1290" spans="1:10" x14ac:dyDescent="0.25">
      <c r="A1290" s="1" t="s">
        <v>5074</v>
      </c>
      <c r="B1290" s="19">
        <v>46182</v>
      </c>
      <c r="C1290" s="1" t="s">
        <v>936</v>
      </c>
      <c r="D1290" s="1" t="s">
        <v>21</v>
      </c>
      <c r="E1290" s="1" t="s">
        <v>81</v>
      </c>
      <c r="F1290" s="1">
        <v>5980</v>
      </c>
      <c r="G1290" s="1" t="s">
        <v>345</v>
      </c>
      <c r="H1290" s="1" t="s">
        <v>76</v>
      </c>
      <c r="I1290" s="1" t="s">
        <v>3720</v>
      </c>
      <c r="J1290" s="1" t="s">
        <v>78</v>
      </c>
    </row>
    <row r="1291" spans="1:10" x14ac:dyDescent="0.25">
      <c r="A1291" s="1" t="s">
        <v>5075</v>
      </c>
      <c r="B1291" s="19">
        <v>46182</v>
      </c>
      <c r="C1291" s="1" t="s">
        <v>936</v>
      </c>
      <c r="D1291" s="1" t="s">
        <v>21</v>
      </c>
      <c r="E1291" s="1" t="s">
        <v>81</v>
      </c>
      <c r="F1291" s="1">
        <v>5980</v>
      </c>
      <c r="G1291" s="1" t="s">
        <v>361</v>
      </c>
      <c r="H1291" s="1" t="s">
        <v>79</v>
      </c>
      <c r="I1291" s="1" t="s">
        <v>3720</v>
      </c>
      <c r="J1291" s="1" t="s">
        <v>4112</v>
      </c>
    </row>
    <row r="1292" spans="1:10" x14ac:dyDescent="0.25">
      <c r="A1292" s="1" t="s">
        <v>5076</v>
      </c>
      <c r="B1292" s="19">
        <v>46182</v>
      </c>
      <c r="C1292" s="1" t="s">
        <v>937</v>
      </c>
      <c r="D1292" s="1" t="s">
        <v>21</v>
      </c>
      <c r="E1292" s="1" t="s">
        <v>81</v>
      </c>
      <c r="F1292" s="1">
        <v>5981</v>
      </c>
      <c r="G1292" s="1" t="s">
        <v>355</v>
      </c>
      <c r="H1292" s="1" t="s">
        <v>76</v>
      </c>
      <c r="I1292" s="1" t="s">
        <v>3720</v>
      </c>
      <c r="J1292" s="1" t="s">
        <v>82</v>
      </c>
    </row>
    <row r="1293" spans="1:10" x14ac:dyDescent="0.25">
      <c r="A1293" s="1" t="s">
        <v>5077</v>
      </c>
      <c r="B1293" s="19">
        <v>46182</v>
      </c>
      <c r="C1293" s="1" t="s">
        <v>937</v>
      </c>
      <c r="D1293" s="1" t="s">
        <v>21</v>
      </c>
      <c r="E1293" s="1" t="s">
        <v>81</v>
      </c>
      <c r="F1293" s="1">
        <v>5981</v>
      </c>
      <c r="G1293" s="1" t="s">
        <v>345</v>
      </c>
      <c r="H1293" s="1" t="s">
        <v>76</v>
      </c>
      <c r="I1293" s="1" t="s">
        <v>3720</v>
      </c>
      <c r="J1293" s="1" t="s">
        <v>78</v>
      </c>
    </row>
    <row r="1294" spans="1:10" x14ac:dyDescent="0.25">
      <c r="A1294" s="1" t="s">
        <v>5078</v>
      </c>
      <c r="B1294" s="19">
        <v>46182</v>
      </c>
      <c r="C1294" s="1" t="s">
        <v>937</v>
      </c>
      <c r="D1294" s="1" t="s">
        <v>21</v>
      </c>
      <c r="E1294" s="1" t="s">
        <v>81</v>
      </c>
      <c r="F1294" s="1">
        <v>5981</v>
      </c>
      <c r="G1294" s="1" t="s">
        <v>361</v>
      </c>
      <c r="H1294" s="1" t="s">
        <v>79</v>
      </c>
      <c r="I1294" s="1" t="s">
        <v>3720</v>
      </c>
      <c r="J1294" s="1" t="s">
        <v>4112</v>
      </c>
    </row>
    <row r="1295" spans="1:10" x14ac:dyDescent="0.25">
      <c r="A1295" s="1" t="s">
        <v>5079</v>
      </c>
      <c r="B1295" s="19">
        <v>46182</v>
      </c>
      <c r="C1295" s="1" t="s">
        <v>938</v>
      </c>
      <c r="D1295" s="1" t="s">
        <v>21</v>
      </c>
      <c r="E1295" s="1" t="s">
        <v>81</v>
      </c>
      <c r="F1295" s="1">
        <v>5982</v>
      </c>
      <c r="G1295" s="1" t="s">
        <v>355</v>
      </c>
      <c r="H1295" s="1" t="s">
        <v>76</v>
      </c>
      <c r="I1295" s="1" t="s">
        <v>3720</v>
      </c>
      <c r="J1295" s="1" t="s">
        <v>82</v>
      </c>
    </row>
    <row r="1296" spans="1:10" x14ac:dyDescent="0.25">
      <c r="A1296" s="1" t="s">
        <v>5080</v>
      </c>
      <c r="B1296" s="19">
        <v>46182</v>
      </c>
      <c r="C1296" s="1" t="s">
        <v>938</v>
      </c>
      <c r="D1296" s="1" t="s">
        <v>21</v>
      </c>
      <c r="E1296" s="1" t="s">
        <v>81</v>
      </c>
      <c r="F1296" s="1">
        <v>5982</v>
      </c>
      <c r="G1296" s="1" t="s">
        <v>345</v>
      </c>
      <c r="H1296" s="1" t="s">
        <v>76</v>
      </c>
      <c r="I1296" s="1" t="s">
        <v>3720</v>
      </c>
      <c r="J1296" s="1" t="s">
        <v>78</v>
      </c>
    </row>
    <row r="1297" spans="1:10" x14ac:dyDescent="0.25">
      <c r="A1297" s="1" t="s">
        <v>5081</v>
      </c>
      <c r="B1297" s="19">
        <v>46182</v>
      </c>
      <c r="C1297" s="1" t="s">
        <v>938</v>
      </c>
      <c r="D1297" s="1" t="s">
        <v>21</v>
      </c>
      <c r="E1297" s="1" t="s">
        <v>81</v>
      </c>
      <c r="F1297" s="1">
        <v>5982</v>
      </c>
      <c r="G1297" s="1" t="s">
        <v>361</v>
      </c>
      <c r="H1297" s="1" t="s">
        <v>79</v>
      </c>
      <c r="I1297" s="1" t="s">
        <v>3720</v>
      </c>
      <c r="J1297" s="1" t="s">
        <v>4112</v>
      </c>
    </row>
    <row r="1298" spans="1:10" x14ac:dyDescent="0.25">
      <c r="A1298" s="1" t="s">
        <v>5082</v>
      </c>
      <c r="B1298" s="19">
        <v>46182</v>
      </c>
      <c r="C1298" s="1" t="s">
        <v>939</v>
      </c>
      <c r="D1298" s="1" t="s">
        <v>21</v>
      </c>
      <c r="E1298" s="1" t="s">
        <v>81</v>
      </c>
      <c r="F1298" s="1">
        <v>5983</v>
      </c>
      <c r="G1298" s="1" t="s">
        <v>355</v>
      </c>
      <c r="H1298" s="1" t="s">
        <v>76</v>
      </c>
      <c r="I1298" s="1" t="s">
        <v>3720</v>
      </c>
      <c r="J1298" s="1" t="s">
        <v>82</v>
      </c>
    </row>
    <row r="1299" spans="1:10" x14ac:dyDescent="0.25">
      <c r="A1299" s="1" t="s">
        <v>5083</v>
      </c>
      <c r="B1299" s="19">
        <v>46182</v>
      </c>
      <c r="C1299" s="1" t="s">
        <v>939</v>
      </c>
      <c r="D1299" s="1" t="s">
        <v>21</v>
      </c>
      <c r="E1299" s="1" t="s">
        <v>81</v>
      </c>
      <c r="F1299" s="1">
        <v>5983</v>
      </c>
      <c r="G1299" s="1" t="s">
        <v>345</v>
      </c>
      <c r="H1299" s="1" t="s">
        <v>76</v>
      </c>
      <c r="I1299" s="1" t="s">
        <v>3720</v>
      </c>
      <c r="J1299" s="1" t="s">
        <v>78</v>
      </c>
    </row>
    <row r="1300" spans="1:10" x14ac:dyDescent="0.25">
      <c r="A1300" s="1" t="s">
        <v>5084</v>
      </c>
      <c r="B1300" s="19">
        <v>46182</v>
      </c>
      <c r="C1300" s="1" t="s">
        <v>939</v>
      </c>
      <c r="D1300" s="1" t="s">
        <v>21</v>
      </c>
      <c r="E1300" s="1" t="s">
        <v>81</v>
      </c>
      <c r="F1300" s="1">
        <v>5983</v>
      </c>
      <c r="G1300" s="1" t="s">
        <v>361</v>
      </c>
      <c r="H1300" s="1" t="s">
        <v>79</v>
      </c>
      <c r="I1300" s="1" t="s">
        <v>3720</v>
      </c>
      <c r="J1300" s="1" t="s">
        <v>4112</v>
      </c>
    </row>
    <row r="1301" spans="1:10" x14ac:dyDescent="0.25">
      <c r="A1301" s="1" t="s">
        <v>5085</v>
      </c>
      <c r="B1301" s="19">
        <v>46182</v>
      </c>
      <c r="C1301" s="1" t="s">
        <v>940</v>
      </c>
      <c r="D1301" s="1" t="s">
        <v>21</v>
      </c>
      <c r="E1301" s="1" t="s">
        <v>81</v>
      </c>
      <c r="F1301" s="1">
        <v>5984</v>
      </c>
      <c r="G1301" s="1" t="s">
        <v>355</v>
      </c>
      <c r="H1301" s="1" t="s">
        <v>76</v>
      </c>
      <c r="I1301" s="1" t="s">
        <v>3720</v>
      </c>
      <c r="J1301" s="1" t="s">
        <v>82</v>
      </c>
    </row>
    <row r="1302" spans="1:10" x14ac:dyDescent="0.25">
      <c r="A1302" s="1" t="s">
        <v>5086</v>
      </c>
      <c r="B1302" s="19">
        <v>46182</v>
      </c>
      <c r="C1302" s="1" t="s">
        <v>940</v>
      </c>
      <c r="D1302" s="1" t="s">
        <v>21</v>
      </c>
      <c r="E1302" s="1" t="s">
        <v>81</v>
      </c>
      <c r="F1302" s="1">
        <v>5984</v>
      </c>
      <c r="G1302" s="1" t="s">
        <v>345</v>
      </c>
      <c r="H1302" s="1" t="s">
        <v>76</v>
      </c>
      <c r="I1302" s="1" t="s">
        <v>3720</v>
      </c>
      <c r="J1302" s="1" t="s">
        <v>78</v>
      </c>
    </row>
    <row r="1303" spans="1:10" x14ac:dyDescent="0.25">
      <c r="A1303" s="1" t="s">
        <v>5087</v>
      </c>
      <c r="B1303" s="19">
        <v>46182</v>
      </c>
      <c r="C1303" s="1" t="s">
        <v>940</v>
      </c>
      <c r="D1303" s="1" t="s">
        <v>21</v>
      </c>
      <c r="E1303" s="1" t="s">
        <v>81</v>
      </c>
      <c r="F1303" s="1">
        <v>5984</v>
      </c>
      <c r="G1303" s="1" t="s">
        <v>361</v>
      </c>
      <c r="H1303" s="1" t="s">
        <v>79</v>
      </c>
      <c r="I1303" s="1" t="s">
        <v>3720</v>
      </c>
      <c r="J1303" s="1" t="s">
        <v>4112</v>
      </c>
    </row>
    <row r="1304" spans="1:10" x14ac:dyDescent="0.25">
      <c r="A1304" s="1" t="s">
        <v>5088</v>
      </c>
      <c r="B1304" s="19">
        <v>46182</v>
      </c>
      <c r="C1304" s="1" t="s">
        <v>941</v>
      </c>
      <c r="D1304" s="1" t="s">
        <v>21</v>
      </c>
      <c r="E1304" s="1" t="s">
        <v>81</v>
      </c>
      <c r="F1304" s="1">
        <v>5985</v>
      </c>
      <c r="G1304" s="1" t="s">
        <v>355</v>
      </c>
      <c r="H1304" s="1" t="s">
        <v>76</v>
      </c>
      <c r="I1304" s="1" t="s">
        <v>3720</v>
      </c>
      <c r="J1304" s="1" t="s">
        <v>82</v>
      </c>
    </row>
    <row r="1305" spans="1:10" x14ac:dyDescent="0.25">
      <c r="A1305" s="1" t="s">
        <v>5089</v>
      </c>
      <c r="B1305" s="19">
        <v>46182</v>
      </c>
      <c r="C1305" s="1" t="s">
        <v>941</v>
      </c>
      <c r="D1305" s="1" t="s">
        <v>21</v>
      </c>
      <c r="E1305" s="1" t="s">
        <v>81</v>
      </c>
      <c r="F1305" s="1">
        <v>5985</v>
      </c>
      <c r="G1305" s="1" t="s">
        <v>345</v>
      </c>
      <c r="H1305" s="1" t="s">
        <v>76</v>
      </c>
      <c r="I1305" s="1" t="s">
        <v>3720</v>
      </c>
      <c r="J1305" s="1" t="s">
        <v>78</v>
      </c>
    </row>
    <row r="1306" spans="1:10" x14ac:dyDescent="0.25">
      <c r="A1306" s="1" t="s">
        <v>5090</v>
      </c>
      <c r="B1306" s="19">
        <v>46182</v>
      </c>
      <c r="C1306" s="1" t="s">
        <v>941</v>
      </c>
      <c r="D1306" s="1" t="s">
        <v>21</v>
      </c>
      <c r="E1306" s="1" t="s">
        <v>81</v>
      </c>
      <c r="F1306" s="1">
        <v>5985</v>
      </c>
      <c r="G1306" s="1" t="s">
        <v>361</v>
      </c>
      <c r="H1306" s="1" t="s">
        <v>79</v>
      </c>
      <c r="I1306" s="1" t="s">
        <v>3720</v>
      </c>
      <c r="J1306" s="1" t="s">
        <v>4112</v>
      </c>
    </row>
    <row r="1307" spans="1:10" x14ac:dyDescent="0.25">
      <c r="A1307" s="1" t="s">
        <v>5091</v>
      </c>
      <c r="B1307" s="19">
        <v>46182</v>
      </c>
      <c r="C1307" s="1" t="s">
        <v>942</v>
      </c>
      <c r="D1307" s="1" t="s">
        <v>21</v>
      </c>
      <c r="E1307" s="1" t="s">
        <v>81</v>
      </c>
      <c r="F1307" s="1">
        <v>5986</v>
      </c>
      <c r="G1307" s="1" t="s">
        <v>355</v>
      </c>
      <c r="H1307" s="1" t="s">
        <v>76</v>
      </c>
      <c r="I1307" s="1" t="s">
        <v>3720</v>
      </c>
      <c r="J1307" s="1" t="s">
        <v>82</v>
      </c>
    </row>
    <row r="1308" spans="1:10" x14ac:dyDescent="0.25">
      <c r="A1308" s="1" t="s">
        <v>5092</v>
      </c>
      <c r="B1308" s="19">
        <v>46182</v>
      </c>
      <c r="C1308" s="1" t="s">
        <v>942</v>
      </c>
      <c r="D1308" s="1" t="s">
        <v>21</v>
      </c>
      <c r="E1308" s="1" t="s">
        <v>81</v>
      </c>
      <c r="F1308" s="1">
        <v>5986</v>
      </c>
      <c r="G1308" s="1" t="s">
        <v>345</v>
      </c>
      <c r="H1308" s="1" t="s">
        <v>76</v>
      </c>
      <c r="I1308" s="1" t="s">
        <v>3720</v>
      </c>
      <c r="J1308" s="1" t="s">
        <v>78</v>
      </c>
    </row>
    <row r="1309" spans="1:10" x14ac:dyDescent="0.25">
      <c r="A1309" s="1" t="s">
        <v>5093</v>
      </c>
      <c r="B1309" s="19">
        <v>46182</v>
      </c>
      <c r="C1309" s="1" t="s">
        <v>942</v>
      </c>
      <c r="D1309" s="1" t="s">
        <v>21</v>
      </c>
      <c r="E1309" s="1" t="s">
        <v>81</v>
      </c>
      <c r="F1309" s="1">
        <v>5986</v>
      </c>
      <c r="G1309" s="1" t="s">
        <v>361</v>
      </c>
      <c r="H1309" s="1" t="s">
        <v>79</v>
      </c>
      <c r="I1309" s="1" t="s">
        <v>3720</v>
      </c>
      <c r="J1309" s="1" t="s">
        <v>4112</v>
      </c>
    </row>
    <row r="1310" spans="1:10" x14ac:dyDescent="0.25">
      <c r="A1310" s="1" t="s">
        <v>5094</v>
      </c>
      <c r="B1310" s="19">
        <v>46182</v>
      </c>
      <c r="C1310" s="1" t="s">
        <v>943</v>
      </c>
      <c r="D1310" s="1" t="s">
        <v>21</v>
      </c>
      <c r="E1310" s="1" t="s">
        <v>81</v>
      </c>
      <c r="F1310" s="1">
        <v>5987</v>
      </c>
      <c r="G1310" s="1" t="s">
        <v>355</v>
      </c>
      <c r="H1310" s="1" t="s">
        <v>76</v>
      </c>
      <c r="I1310" s="1" t="s">
        <v>3720</v>
      </c>
      <c r="J1310" s="1" t="s">
        <v>82</v>
      </c>
    </row>
    <row r="1311" spans="1:10" x14ac:dyDescent="0.25">
      <c r="A1311" s="1" t="s">
        <v>5095</v>
      </c>
      <c r="B1311" s="19">
        <v>46182</v>
      </c>
      <c r="C1311" s="1" t="s">
        <v>943</v>
      </c>
      <c r="D1311" s="1" t="s">
        <v>21</v>
      </c>
      <c r="E1311" s="1" t="s">
        <v>81</v>
      </c>
      <c r="F1311" s="1">
        <v>5987</v>
      </c>
      <c r="G1311" s="1" t="s">
        <v>345</v>
      </c>
      <c r="H1311" s="1" t="s">
        <v>76</v>
      </c>
      <c r="I1311" s="1" t="s">
        <v>3720</v>
      </c>
      <c r="J1311" s="1" t="s">
        <v>78</v>
      </c>
    </row>
    <row r="1312" spans="1:10" x14ac:dyDescent="0.25">
      <c r="A1312" s="1" t="s">
        <v>5096</v>
      </c>
      <c r="B1312" s="19">
        <v>46182</v>
      </c>
      <c r="C1312" s="1" t="s">
        <v>943</v>
      </c>
      <c r="D1312" s="1" t="s">
        <v>21</v>
      </c>
      <c r="E1312" s="1" t="s">
        <v>81</v>
      </c>
      <c r="F1312" s="1">
        <v>5987</v>
      </c>
      <c r="G1312" s="1" t="s">
        <v>361</v>
      </c>
      <c r="H1312" s="1" t="s">
        <v>79</v>
      </c>
      <c r="I1312" s="1" t="s">
        <v>3720</v>
      </c>
      <c r="J1312" s="1" t="s">
        <v>4112</v>
      </c>
    </row>
    <row r="1313" spans="1:10" x14ac:dyDescent="0.25">
      <c r="A1313" s="1" t="s">
        <v>5097</v>
      </c>
      <c r="B1313" s="19">
        <v>46182</v>
      </c>
      <c r="C1313" s="1" t="s">
        <v>944</v>
      </c>
      <c r="D1313" s="1" t="s">
        <v>21</v>
      </c>
      <c r="E1313" s="1" t="s">
        <v>81</v>
      </c>
      <c r="F1313" s="1">
        <v>5988</v>
      </c>
      <c r="G1313" s="1" t="s">
        <v>355</v>
      </c>
      <c r="H1313" s="1" t="s">
        <v>76</v>
      </c>
      <c r="I1313" s="1" t="s">
        <v>3720</v>
      </c>
      <c r="J1313" s="1" t="s">
        <v>82</v>
      </c>
    </row>
    <row r="1314" spans="1:10" x14ac:dyDescent="0.25">
      <c r="A1314" s="1" t="s">
        <v>5098</v>
      </c>
      <c r="B1314" s="19">
        <v>46182</v>
      </c>
      <c r="C1314" s="1" t="s">
        <v>944</v>
      </c>
      <c r="D1314" s="1" t="s">
        <v>21</v>
      </c>
      <c r="E1314" s="1" t="s">
        <v>81</v>
      </c>
      <c r="F1314" s="1">
        <v>5988</v>
      </c>
      <c r="G1314" s="1" t="s">
        <v>345</v>
      </c>
      <c r="H1314" s="1" t="s">
        <v>76</v>
      </c>
      <c r="I1314" s="1" t="s">
        <v>3720</v>
      </c>
      <c r="J1314" s="1" t="s">
        <v>78</v>
      </c>
    </row>
    <row r="1315" spans="1:10" x14ac:dyDescent="0.25">
      <c r="A1315" s="1" t="s">
        <v>5099</v>
      </c>
      <c r="B1315" s="19">
        <v>46182</v>
      </c>
      <c r="C1315" s="1" t="s">
        <v>944</v>
      </c>
      <c r="D1315" s="1" t="s">
        <v>21</v>
      </c>
      <c r="E1315" s="1" t="s">
        <v>81</v>
      </c>
      <c r="F1315" s="1">
        <v>5988</v>
      </c>
      <c r="G1315" s="1" t="s">
        <v>361</v>
      </c>
      <c r="H1315" s="1" t="s">
        <v>79</v>
      </c>
      <c r="I1315" s="1" t="s">
        <v>3720</v>
      </c>
      <c r="J1315" s="1" t="s">
        <v>4112</v>
      </c>
    </row>
    <row r="1316" spans="1:10" x14ac:dyDescent="0.25">
      <c r="A1316" s="1" t="s">
        <v>5100</v>
      </c>
      <c r="B1316" s="19">
        <v>46182</v>
      </c>
      <c r="C1316" s="1" t="s">
        <v>945</v>
      </c>
      <c r="D1316" s="1" t="s">
        <v>21</v>
      </c>
      <c r="E1316" s="1" t="s">
        <v>81</v>
      </c>
      <c r="F1316" s="1">
        <v>5989</v>
      </c>
      <c r="G1316" s="1" t="s">
        <v>355</v>
      </c>
      <c r="H1316" s="1" t="s">
        <v>76</v>
      </c>
      <c r="I1316" s="1" t="s">
        <v>3720</v>
      </c>
      <c r="J1316" s="1" t="s">
        <v>82</v>
      </c>
    </row>
    <row r="1317" spans="1:10" x14ac:dyDescent="0.25">
      <c r="A1317" s="1" t="s">
        <v>5101</v>
      </c>
      <c r="B1317" s="19">
        <v>46182</v>
      </c>
      <c r="C1317" s="1" t="s">
        <v>945</v>
      </c>
      <c r="D1317" s="1" t="s">
        <v>21</v>
      </c>
      <c r="E1317" s="1" t="s">
        <v>81</v>
      </c>
      <c r="F1317" s="1">
        <v>5989</v>
      </c>
      <c r="G1317" s="1" t="s">
        <v>345</v>
      </c>
      <c r="H1317" s="1" t="s">
        <v>76</v>
      </c>
      <c r="I1317" s="1" t="s">
        <v>3720</v>
      </c>
      <c r="J1317" s="1" t="s">
        <v>78</v>
      </c>
    </row>
    <row r="1318" spans="1:10" x14ac:dyDescent="0.25">
      <c r="A1318" s="1" t="s">
        <v>5102</v>
      </c>
      <c r="B1318" s="19">
        <v>46182</v>
      </c>
      <c r="C1318" s="1" t="s">
        <v>945</v>
      </c>
      <c r="D1318" s="1" t="s">
        <v>21</v>
      </c>
      <c r="E1318" s="1" t="s">
        <v>81</v>
      </c>
      <c r="F1318" s="1">
        <v>5989</v>
      </c>
      <c r="G1318" s="1" t="s">
        <v>361</v>
      </c>
      <c r="H1318" s="1" t="s">
        <v>79</v>
      </c>
      <c r="I1318" s="1" t="s">
        <v>3720</v>
      </c>
      <c r="J1318" s="1" t="s">
        <v>4112</v>
      </c>
    </row>
    <row r="1319" spans="1:10" x14ac:dyDescent="0.25">
      <c r="A1319" s="1" t="s">
        <v>5103</v>
      </c>
      <c r="B1319" s="19">
        <v>46182</v>
      </c>
      <c r="C1319" s="1" t="s">
        <v>946</v>
      </c>
      <c r="D1319" s="1" t="s">
        <v>21</v>
      </c>
      <c r="E1319" s="1" t="s">
        <v>81</v>
      </c>
      <c r="F1319" s="1">
        <v>5990</v>
      </c>
      <c r="G1319" s="1" t="s">
        <v>355</v>
      </c>
      <c r="H1319" s="1" t="s">
        <v>76</v>
      </c>
      <c r="I1319" s="1" t="s">
        <v>3720</v>
      </c>
      <c r="J1319" s="1" t="s">
        <v>82</v>
      </c>
    </row>
    <row r="1320" spans="1:10" x14ac:dyDescent="0.25">
      <c r="A1320" s="1" t="s">
        <v>5104</v>
      </c>
      <c r="B1320" s="19">
        <v>46182</v>
      </c>
      <c r="C1320" s="1" t="s">
        <v>946</v>
      </c>
      <c r="D1320" s="1" t="s">
        <v>21</v>
      </c>
      <c r="E1320" s="1" t="s">
        <v>81</v>
      </c>
      <c r="F1320" s="1">
        <v>5990</v>
      </c>
      <c r="G1320" s="1" t="s">
        <v>345</v>
      </c>
      <c r="H1320" s="1" t="s">
        <v>76</v>
      </c>
      <c r="I1320" s="1" t="s">
        <v>3720</v>
      </c>
      <c r="J1320" s="1" t="s">
        <v>78</v>
      </c>
    </row>
    <row r="1321" spans="1:10" x14ac:dyDescent="0.25">
      <c r="A1321" s="1" t="s">
        <v>5105</v>
      </c>
      <c r="B1321" s="19">
        <v>46182</v>
      </c>
      <c r="C1321" s="1" t="s">
        <v>946</v>
      </c>
      <c r="D1321" s="1" t="s">
        <v>21</v>
      </c>
      <c r="E1321" s="1" t="s">
        <v>81</v>
      </c>
      <c r="F1321" s="1">
        <v>5990</v>
      </c>
      <c r="G1321" s="1" t="s">
        <v>361</v>
      </c>
      <c r="H1321" s="1" t="s">
        <v>79</v>
      </c>
      <c r="I1321" s="1" t="s">
        <v>3720</v>
      </c>
      <c r="J1321" s="1" t="s">
        <v>4112</v>
      </c>
    </row>
    <row r="1322" spans="1:10" x14ac:dyDescent="0.25">
      <c r="A1322" s="1" t="s">
        <v>5106</v>
      </c>
      <c r="B1322" s="19">
        <v>46182</v>
      </c>
      <c r="C1322" s="1" t="s">
        <v>947</v>
      </c>
      <c r="D1322" s="1" t="s">
        <v>21</v>
      </c>
      <c r="E1322" s="1" t="s">
        <v>81</v>
      </c>
      <c r="F1322" s="1">
        <v>5991</v>
      </c>
      <c r="G1322" s="1" t="s">
        <v>355</v>
      </c>
      <c r="H1322" s="1" t="s">
        <v>76</v>
      </c>
      <c r="I1322" s="1" t="s">
        <v>3720</v>
      </c>
      <c r="J1322" s="1" t="s">
        <v>82</v>
      </c>
    </row>
    <row r="1323" spans="1:10" x14ac:dyDescent="0.25">
      <c r="A1323" s="1" t="s">
        <v>5107</v>
      </c>
      <c r="B1323" s="19">
        <v>46182</v>
      </c>
      <c r="C1323" s="1" t="s">
        <v>947</v>
      </c>
      <c r="D1323" s="1" t="s">
        <v>21</v>
      </c>
      <c r="E1323" s="1" t="s">
        <v>81</v>
      </c>
      <c r="F1323" s="1">
        <v>5991</v>
      </c>
      <c r="G1323" s="1" t="s">
        <v>345</v>
      </c>
      <c r="H1323" s="1" t="s">
        <v>76</v>
      </c>
      <c r="I1323" s="1" t="s">
        <v>3720</v>
      </c>
      <c r="J1323" s="1" t="s">
        <v>78</v>
      </c>
    </row>
    <row r="1324" spans="1:10" x14ac:dyDescent="0.25">
      <c r="A1324" s="1" t="s">
        <v>5108</v>
      </c>
      <c r="B1324" s="19">
        <v>46182</v>
      </c>
      <c r="C1324" s="1" t="s">
        <v>947</v>
      </c>
      <c r="D1324" s="1" t="s">
        <v>21</v>
      </c>
      <c r="E1324" s="1" t="s">
        <v>81</v>
      </c>
      <c r="F1324" s="1">
        <v>5991</v>
      </c>
      <c r="G1324" s="1" t="s">
        <v>361</v>
      </c>
      <c r="H1324" s="1" t="s">
        <v>79</v>
      </c>
      <c r="I1324" s="1" t="s">
        <v>3720</v>
      </c>
      <c r="J1324" s="1" t="s">
        <v>4112</v>
      </c>
    </row>
    <row r="1325" spans="1:10" x14ac:dyDescent="0.25">
      <c r="A1325" s="1" t="s">
        <v>5109</v>
      </c>
      <c r="B1325" s="19">
        <v>46182</v>
      </c>
      <c r="C1325" s="1" t="s">
        <v>948</v>
      </c>
      <c r="D1325" s="1" t="s">
        <v>21</v>
      </c>
      <c r="E1325" s="1" t="s">
        <v>81</v>
      </c>
      <c r="F1325" s="1">
        <v>5992</v>
      </c>
      <c r="G1325" s="1" t="s">
        <v>355</v>
      </c>
      <c r="H1325" s="1" t="s">
        <v>76</v>
      </c>
      <c r="I1325" s="1" t="s">
        <v>3720</v>
      </c>
      <c r="J1325" s="1" t="s">
        <v>82</v>
      </c>
    </row>
    <row r="1326" spans="1:10" x14ac:dyDescent="0.25">
      <c r="A1326" s="1" t="s">
        <v>5110</v>
      </c>
      <c r="B1326" s="19">
        <v>46182</v>
      </c>
      <c r="C1326" s="1" t="s">
        <v>948</v>
      </c>
      <c r="D1326" s="1" t="s">
        <v>21</v>
      </c>
      <c r="E1326" s="1" t="s">
        <v>81</v>
      </c>
      <c r="F1326" s="1">
        <v>5992</v>
      </c>
      <c r="G1326" s="1" t="s">
        <v>345</v>
      </c>
      <c r="H1326" s="1" t="s">
        <v>76</v>
      </c>
      <c r="I1326" s="1" t="s">
        <v>3720</v>
      </c>
      <c r="J1326" s="1" t="s">
        <v>78</v>
      </c>
    </row>
    <row r="1327" spans="1:10" x14ac:dyDescent="0.25">
      <c r="A1327" s="1" t="s">
        <v>5111</v>
      </c>
      <c r="B1327" s="19">
        <v>46182</v>
      </c>
      <c r="C1327" s="1" t="s">
        <v>948</v>
      </c>
      <c r="D1327" s="1" t="s">
        <v>21</v>
      </c>
      <c r="E1327" s="1" t="s">
        <v>81</v>
      </c>
      <c r="F1327" s="1">
        <v>5992</v>
      </c>
      <c r="G1327" s="1" t="s">
        <v>361</v>
      </c>
      <c r="H1327" s="1" t="s">
        <v>79</v>
      </c>
      <c r="I1327" s="1" t="s">
        <v>3720</v>
      </c>
      <c r="J1327" s="1" t="s">
        <v>4112</v>
      </c>
    </row>
    <row r="1328" spans="1:10" x14ac:dyDescent="0.25">
      <c r="A1328" s="1" t="s">
        <v>5112</v>
      </c>
      <c r="B1328" s="19">
        <v>46182</v>
      </c>
      <c r="C1328" s="1" t="s">
        <v>949</v>
      </c>
      <c r="D1328" s="1" t="s">
        <v>21</v>
      </c>
      <c r="E1328" s="1" t="s">
        <v>81</v>
      </c>
      <c r="F1328" s="1">
        <v>5993</v>
      </c>
      <c r="G1328" s="1" t="s">
        <v>355</v>
      </c>
      <c r="H1328" s="1" t="s">
        <v>76</v>
      </c>
      <c r="I1328" s="1" t="s">
        <v>3720</v>
      </c>
      <c r="J1328" s="1" t="s">
        <v>82</v>
      </c>
    </row>
    <row r="1329" spans="1:10" x14ac:dyDescent="0.25">
      <c r="A1329" s="1" t="s">
        <v>5113</v>
      </c>
      <c r="B1329" s="19">
        <v>46182</v>
      </c>
      <c r="C1329" s="1" t="s">
        <v>949</v>
      </c>
      <c r="D1329" s="1" t="s">
        <v>21</v>
      </c>
      <c r="E1329" s="1" t="s">
        <v>81</v>
      </c>
      <c r="F1329" s="1">
        <v>5993</v>
      </c>
      <c r="G1329" s="1" t="s">
        <v>345</v>
      </c>
      <c r="H1329" s="1" t="s">
        <v>76</v>
      </c>
      <c r="I1329" s="1" t="s">
        <v>3720</v>
      </c>
      <c r="J1329" s="1" t="s">
        <v>78</v>
      </c>
    </row>
    <row r="1330" spans="1:10" x14ac:dyDescent="0.25">
      <c r="A1330" s="1" t="s">
        <v>5114</v>
      </c>
      <c r="B1330" s="19">
        <v>46182</v>
      </c>
      <c r="C1330" s="1" t="s">
        <v>949</v>
      </c>
      <c r="D1330" s="1" t="s">
        <v>21</v>
      </c>
      <c r="E1330" s="1" t="s">
        <v>81</v>
      </c>
      <c r="F1330" s="1">
        <v>5993</v>
      </c>
      <c r="G1330" s="1" t="s">
        <v>361</v>
      </c>
      <c r="H1330" s="1" t="s">
        <v>79</v>
      </c>
      <c r="I1330" s="1" t="s">
        <v>3720</v>
      </c>
      <c r="J1330" s="1" t="s">
        <v>4112</v>
      </c>
    </row>
    <row r="1331" spans="1:10" x14ac:dyDescent="0.25">
      <c r="A1331" s="1" t="s">
        <v>5115</v>
      </c>
      <c r="B1331" s="19">
        <v>46182</v>
      </c>
      <c r="C1331" s="1" t="s">
        <v>950</v>
      </c>
      <c r="D1331" s="1" t="s">
        <v>21</v>
      </c>
      <c r="E1331" s="1" t="s">
        <v>81</v>
      </c>
      <c r="F1331" s="1">
        <v>5994</v>
      </c>
      <c r="G1331" s="1" t="s">
        <v>355</v>
      </c>
      <c r="H1331" s="1" t="s">
        <v>76</v>
      </c>
      <c r="I1331" s="1" t="s">
        <v>3720</v>
      </c>
      <c r="J1331" s="1" t="s">
        <v>82</v>
      </c>
    </row>
    <row r="1332" spans="1:10" x14ac:dyDescent="0.25">
      <c r="A1332" s="1" t="s">
        <v>5116</v>
      </c>
      <c r="B1332" s="19">
        <v>46182</v>
      </c>
      <c r="C1332" s="1" t="s">
        <v>950</v>
      </c>
      <c r="D1332" s="1" t="s">
        <v>21</v>
      </c>
      <c r="E1332" s="1" t="s">
        <v>81</v>
      </c>
      <c r="F1332" s="1">
        <v>5994</v>
      </c>
      <c r="G1332" s="1" t="s">
        <v>345</v>
      </c>
      <c r="H1332" s="1" t="s">
        <v>76</v>
      </c>
      <c r="I1332" s="1" t="s">
        <v>3720</v>
      </c>
      <c r="J1332" s="1" t="s">
        <v>78</v>
      </c>
    </row>
    <row r="1333" spans="1:10" x14ac:dyDescent="0.25">
      <c r="A1333" s="1" t="s">
        <v>5117</v>
      </c>
      <c r="B1333" s="19">
        <v>46182</v>
      </c>
      <c r="C1333" s="1" t="s">
        <v>950</v>
      </c>
      <c r="D1333" s="1" t="s">
        <v>21</v>
      </c>
      <c r="E1333" s="1" t="s">
        <v>81</v>
      </c>
      <c r="F1333" s="1">
        <v>5994</v>
      </c>
      <c r="G1333" s="1" t="s">
        <v>361</v>
      </c>
      <c r="H1333" s="1" t="s">
        <v>79</v>
      </c>
      <c r="I1333" s="1" t="s">
        <v>3720</v>
      </c>
      <c r="J1333" s="1" t="s">
        <v>4112</v>
      </c>
    </row>
    <row r="1334" spans="1:10" x14ac:dyDescent="0.25">
      <c r="A1334" s="1" t="s">
        <v>5118</v>
      </c>
      <c r="B1334" s="19">
        <v>46182</v>
      </c>
      <c r="C1334" s="1" t="s">
        <v>951</v>
      </c>
      <c r="D1334" s="1" t="s">
        <v>21</v>
      </c>
      <c r="E1334" s="1" t="s">
        <v>81</v>
      </c>
      <c r="F1334" s="1">
        <v>5995</v>
      </c>
      <c r="G1334" s="1" t="s">
        <v>355</v>
      </c>
      <c r="H1334" s="1" t="s">
        <v>76</v>
      </c>
      <c r="I1334" s="1" t="s">
        <v>3720</v>
      </c>
      <c r="J1334" s="1" t="s">
        <v>82</v>
      </c>
    </row>
    <row r="1335" spans="1:10" x14ac:dyDescent="0.25">
      <c r="A1335" s="1" t="s">
        <v>5119</v>
      </c>
      <c r="B1335" s="19">
        <v>46182</v>
      </c>
      <c r="C1335" s="1" t="s">
        <v>951</v>
      </c>
      <c r="D1335" s="1" t="s">
        <v>21</v>
      </c>
      <c r="E1335" s="1" t="s">
        <v>81</v>
      </c>
      <c r="F1335" s="1">
        <v>5995</v>
      </c>
      <c r="G1335" s="1" t="s">
        <v>345</v>
      </c>
      <c r="H1335" s="1" t="s">
        <v>76</v>
      </c>
      <c r="I1335" s="1" t="s">
        <v>3720</v>
      </c>
      <c r="J1335" s="1" t="s">
        <v>78</v>
      </c>
    </row>
    <row r="1336" spans="1:10" x14ac:dyDescent="0.25">
      <c r="A1336" s="1" t="s">
        <v>5120</v>
      </c>
      <c r="B1336" s="19">
        <v>46182</v>
      </c>
      <c r="C1336" s="1" t="s">
        <v>951</v>
      </c>
      <c r="D1336" s="1" t="s">
        <v>21</v>
      </c>
      <c r="E1336" s="1" t="s">
        <v>81</v>
      </c>
      <c r="F1336" s="1">
        <v>5995</v>
      </c>
      <c r="G1336" s="1" t="s">
        <v>361</v>
      </c>
      <c r="H1336" s="1" t="s">
        <v>79</v>
      </c>
      <c r="I1336" s="1" t="s">
        <v>3720</v>
      </c>
      <c r="J1336" s="1" t="s">
        <v>4112</v>
      </c>
    </row>
    <row r="1337" spans="1:10" x14ac:dyDescent="0.25">
      <c r="A1337" s="1" t="s">
        <v>5121</v>
      </c>
      <c r="B1337" s="19">
        <v>46182</v>
      </c>
      <c r="C1337" s="1" t="s">
        <v>952</v>
      </c>
      <c r="D1337" s="1" t="s">
        <v>21</v>
      </c>
      <c r="E1337" s="1" t="s">
        <v>81</v>
      </c>
      <c r="F1337" s="1">
        <v>5996</v>
      </c>
      <c r="G1337" s="1" t="s">
        <v>355</v>
      </c>
      <c r="H1337" s="1" t="s">
        <v>76</v>
      </c>
      <c r="I1337" s="1" t="s">
        <v>3720</v>
      </c>
      <c r="J1337" s="1" t="s">
        <v>82</v>
      </c>
    </row>
    <row r="1338" spans="1:10" x14ac:dyDescent="0.25">
      <c r="A1338" s="1" t="s">
        <v>5122</v>
      </c>
      <c r="B1338" s="19">
        <v>46182</v>
      </c>
      <c r="C1338" s="1" t="s">
        <v>952</v>
      </c>
      <c r="D1338" s="1" t="s">
        <v>21</v>
      </c>
      <c r="E1338" s="1" t="s">
        <v>81</v>
      </c>
      <c r="F1338" s="1">
        <v>5996</v>
      </c>
      <c r="G1338" s="1" t="s">
        <v>345</v>
      </c>
      <c r="H1338" s="1" t="s">
        <v>76</v>
      </c>
      <c r="I1338" s="1" t="s">
        <v>3720</v>
      </c>
      <c r="J1338" s="1" t="s">
        <v>78</v>
      </c>
    </row>
    <row r="1339" spans="1:10" x14ac:dyDescent="0.25">
      <c r="A1339" s="1" t="s">
        <v>5123</v>
      </c>
      <c r="B1339" s="19">
        <v>46182</v>
      </c>
      <c r="C1339" s="1" t="s">
        <v>952</v>
      </c>
      <c r="D1339" s="1" t="s">
        <v>21</v>
      </c>
      <c r="E1339" s="1" t="s">
        <v>81</v>
      </c>
      <c r="F1339" s="1">
        <v>5996</v>
      </c>
      <c r="G1339" s="1" t="s">
        <v>361</v>
      </c>
      <c r="H1339" s="1" t="s">
        <v>79</v>
      </c>
      <c r="I1339" s="1" t="s">
        <v>3720</v>
      </c>
      <c r="J1339" s="1" t="s">
        <v>4112</v>
      </c>
    </row>
    <row r="1340" spans="1:10" x14ac:dyDescent="0.25">
      <c r="A1340" s="1" t="s">
        <v>5124</v>
      </c>
      <c r="B1340" s="19">
        <v>46182</v>
      </c>
      <c r="C1340" s="1" t="s">
        <v>953</v>
      </c>
      <c r="D1340" s="1" t="s">
        <v>21</v>
      </c>
      <c r="E1340" s="1" t="s">
        <v>81</v>
      </c>
      <c r="F1340" s="1">
        <v>5997</v>
      </c>
      <c r="G1340" s="1" t="s">
        <v>355</v>
      </c>
      <c r="H1340" s="1" t="s">
        <v>76</v>
      </c>
      <c r="I1340" s="1" t="s">
        <v>3720</v>
      </c>
      <c r="J1340" s="1" t="s">
        <v>82</v>
      </c>
    </row>
    <row r="1341" spans="1:10" x14ac:dyDescent="0.25">
      <c r="A1341" s="1" t="s">
        <v>5125</v>
      </c>
      <c r="B1341" s="19">
        <v>46182</v>
      </c>
      <c r="C1341" s="1" t="s">
        <v>953</v>
      </c>
      <c r="D1341" s="1" t="s">
        <v>21</v>
      </c>
      <c r="E1341" s="1" t="s">
        <v>81</v>
      </c>
      <c r="F1341" s="1">
        <v>5997</v>
      </c>
      <c r="G1341" s="1" t="s">
        <v>345</v>
      </c>
      <c r="H1341" s="1" t="s">
        <v>76</v>
      </c>
      <c r="I1341" s="1" t="s">
        <v>3720</v>
      </c>
      <c r="J1341" s="1" t="s">
        <v>78</v>
      </c>
    </row>
    <row r="1342" spans="1:10" x14ac:dyDescent="0.25">
      <c r="A1342" s="1" t="s">
        <v>5126</v>
      </c>
      <c r="B1342" s="19">
        <v>46182</v>
      </c>
      <c r="C1342" s="1" t="s">
        <v>953</v>
      </c>
      <c r="D1342" s="1" t="s">
        <v>21</v>
      </c>
      <c r="E1342" s="1" t="s">
        <v>81</v>
      </c>
      <c r="F1342" s="1">
        <v>5997</v>
      </c>
      <c r="G1342" s="1" t="s">
        <v>361</v>
      </c>
      <c r="H1342" s="1" t="s">
        <v>79</v>
      </c>
      <c r="I1342" s="1" t="s">
        <v>3720</v>
      </c>
      <c r="J1342" s="1" t="s">
        <v>4112</v>
      </c>
    </row>
    <row r="1343" spans="1:10" x14ac:dyDescent="0.25">
      <c r="A1343" s="1" t="s">
        <v>5127</v>
      </c>
      <c r="B1343" s="19">
        <v>46182</v>
      </c>
      <c r="C1343" s="1" t="s">
        <v>954</v>
      </c>
      <c r="D1343" s="1" t="s">
        <v>21</v>
      </c>
      <c r="E1343" s="1" t="s">
        <v>81</v>
      </c>
      <c r="F1343" s="1">
        <v>5998</v>
      </c>
      <c r="G1343" s="1" t="s">
        <v>355</v>
      </c>
      <c r="H1343" s="1" t="s">
        <v>76</v>
      </c>
      <c r="I1343" s="1" t="s">
        <v>3720</v>
      </c>
      <c r="J1343" s="1" t="s">
        <v>82</v>
      </c>
    </row>
    <row r="1344" spans="1:10" x14ac:dyDescent="0.25">
      <c r="A1344" s="1" t="s">
        <v>5128</v>
      </c>
      <c r="B1344" s="19">
        <v>46182</v>
      </c>
      <c r="C1344" s="1" t="s">
        <v>954</v>
      </c>
      <c r="D1344" s="1" t="s">
        <v>21</v>
      </c>
      <c r="E1344" s="1" t="s">
        <v>81</v>
      </c>
      <c r="F1344" s="1">
        <v>5998</v>
      </c>
      <c r="G1344" s="1" t="s">
        <v>345</v>
      </c>
      <c r="H1344" s="1" t="s">
        <v>76</v>
      </c>
      <c r="I1344" s="1" t="s">
        <v>3720</v>
      </c>
      <c r="J1344" s="1" t="s">
        <v>78</v>
      </c>
    </row>
    <row r="1345" spans="1:10" x14ac:dyDescent="0.25">
      <c r="A1345" s="1" t="s">
        <v>5129</v>
      </c>
      <c r="B1345" s="19">
        <v>46182</v>
      </c>
      <c r="C1345" s="1" t="s">
        <v>954</v>
      </c>
      <c r="D1345" s="1" t="s">
        <v>21</v>
      </c>
      <c r="E1345" s="1" t="s">
        <v>81</v>
      </c>
      <c r="F1345" s="1">
        <v>5998</v>
      </c>
      <c r="G1345" s="1" t="s">
        <v>361</v>
      </c>
      <c r="H1345" s="1" t="s">
        <v>79</v>
      </c>
      <c r="I1345" s="1" t="s">
        <v>3720</v>
      </c>
      <c r="J1345" s="1" t="s">
        <v>4112</v>
      </c>
    </row>
    <row r="1346" spans="1:10" x14ac:dyDescent="0.25">
      <c r="A1346" s="1" t="s">
        <v>5130</v>
      </c>
      <c r="B1346" s="19">
        <v>46182</v>
      </c>
      <c r="C1346" s="1" t="s">
        <v>955</v>
      </c>
      <c r="D1346" s="1" t="s">
        <v>21</v>
      </c>
      <c r="E1346" s="1" t="s">
        <v>81</v>
      </c>
      <c r="F1346" s="1">
        <v>5999</v>
      </c>
      <c r="G1346" s="1" t="s">
        <v>355</v>
      </c>
      <c r="H1346" s="1" t="s">
        <v>76</v>
      </c>
      <c r="I1346" s="1" t="s">
        <v>3720</v>
      </c>
      <c r="J1346" s="1" t="s">
        <v>82</v>
      </c>
    </row>
    <row r="1347" spans="1:10" x14ac:dyDescent="0.25">
      <c r="A1347" s="1" t="s">
        <v>5131</v>
      </c>
      <c r="B1347" s="19">
        <v>46182</v>
      </c>
      <c r="C1347" s="1" t="s">
        <v>955</v>
      </c>
      <c r="D1347" s="1" t="s">
        <v>21</v>
      </c>
      <c r="E1347" s="1" t="s">
        <v>81</v>
      </c>
      <c r="F1347" s="1">
        <v>5999</v>
      </c>
      <c r="G1347" s="1" t="s">
        <v>345</v>
      </c>
      <c r="H1347" s="1" t="s">
        <v>76</v>
      </c>
      <c r="I1347" s="1" t="s">
        <v>3720</v>
      </c>
      <c r="J1347" s="1" t="s">
        <v>78</v>
      </c>
    </row>
    <row r="1348" spans="1:10" x14ac:dyDescent="0.25">
      <c r="A1348" s="1" t="s">
        <v>5132</v>
      </c>
      <c r="B1348" s="19">
        <v>46182</v>
      </c>
      <c r="C1348" s="1" t="s">
        <v>955</v>
      </c>
      <c r="D1348" s="1" t="s">
        <v>21</v>
      </c>
      <c r="E1348" s="1" t="s">
        <v>81</v>
      </c>
      <c r="F1348" s="1">
        <v>5999</v>
      </c>
      <c r="G1348" s="1" t="s">
        <v>361</v>
      </c>
      <c r="H1348" s="1" t="s">
        <v>79</v>
      </c>
      <c r="I1348" s="1" t="s">
        <v>3720</v>
      </c>
      <c r="J1348" s="1" t="s">
        <v>4112</v>
      </c>
    </row>
    <row r="1349" spans="1:10" x14ac:dyDescent="0.25">
      <c r="A1349" s="1" t="s">
        <v>5133</v>
      </c>
      <c r="B1349" s="19">
        <v>46182</v>
      </c>
      <c r="C1349" s="1" t="s">
        <v>956</v>
      </c>
      <c r="D1349" s="1" t="s">
        <v>21</v>
      </c>
      <c r="E1349" s="1" t="s">
        <v>81</v>
      </c>
      <c r="F1349" s="1">
        <v>6000</v>
      </c>
      <c r="G1349" s="1" t="s">
        <v>355</v>
      </c>
      <c r="H1349" s="1" t="s">
        <v>76</v>
      </c>
      <c r="I1349" s="1" t="s">
        <v>3720</v>
      </c>
      <c r="J1349" s="1" t="s">
        <v>82</v>
      </c>
    </row>
    <row r="1350" spans="1:10" x14ac:dyDescent="0.25">
      <c r="A1350" s="1" t="s">
        <v>5134</v>
      </c>
      <c r="B1350" s="19">
        <v>46182</v>
      </c>
      <c r="C1350" s="1" t="s">
        <v>956</v>
      </c>
      <c r="D1350" s="1" t="s">
        <v>21</v>
      </c>
      <c r="E1350" s="1" t="s">
        <v>81</v>
      </c>
      <c r="F1350" s="1">
        <v>6000</v>
      </c>
      <c r="G1350" s="1" t="s">
        <v>345</v>
      </c>
      <c r="H1350" s="1" t="s">
        <v>76</v>
      </c>
      <c r="I1350" s="1" t="s">
        <v>3720</v>
      </c>
      <c r="J1350" s="1" t="s">
        <v>78</v>
      </c>
    </row>
    <row r="1351" spans="1:10" x14ac:dyDescent="0.25">
      <c r="A1351" s="1" t="s">
        <v>5135</v>
      </c>
      <c r="B1351" s="19">
        <v>46182</v>
      </c>
      <c r="C1351" s="1" t="s">
        <v>956</v>
      </c>
      <c r="D1351" s="1" t="s">
        <v>21</v>
      </c>
      <c r="E1351" s="1" t="s">
        <v>81</v>
      </c>
      <c r="F1351" s="1">
        <v>6000</v>
      </c>
      <c r="G1351" s="1" t="s">
        <v>361</v>
      </c>
      <c r="H1351" s="1" t="s">
        <v>79</v>
      </c>
      <c r="I1351" s="1" t="s">
        <v>3720</v>
      </c>
      <c r="J1351" s="1" t="s">
        <v>4112</v>
      </c>
    </row>
    <row r="1352" spans="1:10" x14ac:dyDescent="0.25">
      <c r="A1352" s="1" t="s">
        <v>5136</v>
      </c>
      <c r="B1352" s="19">
        <v>46182</v>
      </c>
      <c r="C1352" s="1" t="s">
        <v>957</v>
      </c>
      <c r="D1352" s="1" t="s">
        <v>21</v>
      </c>
      <c r="E1352" s="1" t="s">
        <v>81</v>
      </c>
      <c r="F1352" s="1">
        <v>6001</v>
      </c>
      <c r="G1352" s="1" t="s">
        <v>355</v>
      </c>
      <c r="H1352" s="1" t="s">
        <v>76</v>
      </c>
      <c r="I1352" s="1" t="s">
        <v>3720</v>
      </c>
      <c r="J1352" s="1" t="s">
        <v>82</v>
      </c>
    </row>
    <row r="1353" spans="1:10" x14ac:dyDescent="0.25">
      <c r="A1353" s="1" t="s">
        <v>5137</v>
      </c>
      <c r="B1353" s="19">
        <v>46182</v>
      </c>
      <c r="C1353" s="1" t="s">
        <v>957</v>
      </c>
      <c r="D1353" s="1" t="s">
        <v>21</v>
      </c>
      <c r="E1353" s="1" t="s">
        <v>81</v>
      </c>
      <c r="F1353" s="1">
        <v>6001</v>
      </c>
      <c r="G1353" s="1" t="s">
        <v>345</v>
      </c>
      <c r="H1353" s="1" t="s">
        <v>76</v>
      </c>
      <c r="I1353" s="1" t="s">
        <v>3720</v>
      </c>
      <c r="J1353" s="1" t="s">
        <v>78</v>
      </c>
    </row>
    <row r="1354" spans="1:10" x14ac:dyDescent="0.25">
      <c r="A1354" s="1" t="s">
        <v>5138</v>
      </c>
      <c r="B1354" s="19">
        <v>46182</v>
      </c>
      <c r="C1354" s="1" t="s">
        <v>957</v>
      </c>
      <c r="D1354" s="1" t="s">
        <v>21</v>
      </c>
      <c r="E1354" s="1" t="s">
        <v>81</v>
      </c>
      <c r="F1354" s="1">
        <v>6001</v>
      </c>
      <c r="G1354" s="1" t="s">
        <v>361</v>
      </c>
      <c r="H1354" s="1" t="s">
        <v>79</v>
      </c>
      <c r="I1354" s="1" t="s">
        <v>3720</v>
      </c>
      <c r="J1354" s="1" t="s">
        <v>4112</v>
      </c>
    </row>
    <row r="1355" spans="1:10" x14ac:dyDescent="0.25">
      <c r="A1355" s="1" t="s">
        <v>5139</v>
      </c>
      <c r="B1355" s="19">
        <v>46182</v>
      </c>
      <c r="C1355" s="1" t="s">
        <v>958</v>
      </c>
      <c r="D1355" s="1" t="s">
        <v>21</v>
      </c>
      <c r="E1355" s="1" t="s">
        <v>81</v>
      </c>
      <c r="F1355" s="1">
        <v>6002</v>
      </c>
      <c r="G1355" s="1" t="s">
        <v>355</v>
      </c>
      <c r="H1355" s="1" t="s">
        <v>76</v>
      </c>
      <c r="I1355" s="1" t="s">
        <v>3720</v>
      </c>
      <c r="J1355" s="1" t="s">
        <v>82</v>
      </c>
    </row>
    <row r="1356" spans="1:10" x14ac:dyDescent="0.25">
      <c r="A1356" s="1" t="s">
        <v>5140</v>
      </c>
      <c r="B1356" s="19">
        <v>46182</v>
      </c>
      <c r="C1356" s="1" t="s">
        <v>958</v>
      </c>
      <c r="D1356" s="1" t="s">
        <v>21</v>
      </c>
      <c r="E1356" s="1" t="s">
        <v>81</v>
      </c>
      <c r="F1356" s="1">
        <v>6002</v>
      </c>
      <c r="G1356" s="1" t="s">
        <v>345</v>
      </c>
      <c r="H1356" s="1" t="s">
        <v>76</v>
      </c>
      <c r="I1356" s="1" t="s">
        <v>3720</v>
      </c>
      <c r="J1356" s="1" t="s">
        <v>78</v>
      </c>
    </row>
    <row r="1357" spans="1:10" x14ac:dyDescent="0.25">
      <c r="A1357" s="1" t="s">
        <v>5141</v>
      </c>
      <c r="B1357" s="19">
        <v>46182</v>
      </c>
      <c r="C1357" s="1" t="s">
        <v>958</v>
      </c>
      <c r="D1357" s="1" t="s">
        <v>21</v>
      </c>
      <c r="E1357" s="1" t="s">
        <v>81</v>
      </c>
      <c r="F1357" s="1">
        <v>6002</v>
      </c>
      <c r="G1357" s="1" t="s">
        <v>361</v>
      </c>
      <c r="H1357" s="1" t="s">
        <v>79</v>
      </c>
      <c r="I1357" s="1" t="s">
        <v>3720</v>
      </c>
      <c r="J1357" s="1" t="s">
        <v>4112</v>
      </c>
    </row>
    <row r="1358" spans="1:10" x14ac:dyDescent="0.25">
      <c r="A1358" s="1" t="s">
        <v>5142</v>
      </c>
      <c r="B1358" s="19">
        <v>46182</v>
      </c>
      <c r="C1358" s="1" t="s">
        <v>959</v>
      </c>
      <c r="D1358" s="1" t="s">
        <v>21</v>
      </c>
      <c r="E1358" s="1" t="s">
        <v>81</v>
      </c>
      <c r="F1358" s="1">
        <v>6003</v>
      </c>
      <c r="G1358" s="1" t="s">
        <v>355</v>
      </c>
      <c r="H1358" s="1" t="s">
        <v>76</v>
      </c>
      <c r="I1358" s="1" t="s">
        <v>3720</v>
      </c>
      <c r="J1358" s="1" t="s">
        <v>82</v>
      </c>
    </row>
    <row r="1359" spans="1:10" x14ac:dyDescent="0.25">
      <c r="A1359" s="1" t="s">
        <v>5143</v>
      </c>
      <c r="B1359" s="19">
        <v>46182</v>
      </c>
      <c r="C1359" s="1" t="s">
        <v>959</v>
      </c>
      <c r="D1359" s="1" t="s">
        <v>21</v>
      </c>
      <c r="E1359" s="1" t="s">
        <v>81</v>
      </c>
      <c r="F1359" s="1">
        <v>6003</v>
      </c>
      <c r="G1359" s="1" t="s">
        <v>345</v>
      </c>
      <c r="H1359" s="1" t="s">
        <v>76</v>
      </c>
      <c r="I1359" s="1" t="s">
        <v>3720</v>
      </c>
      <c r="J1359" s="1" t="s">
        <v>78</v>
      </c>
    </row>
    <row r="1360" spans="1:10" x14ac:dyDescent="0.25">
      <c r="A1360" s="1" t="s">
        <v>5144</v>
      </c>
      <c r="B1360" s="19">
        <v>46182</v>
      </c>
      <c r="C1360" s="1" t="s">
        <v>959</v>
      </c>
      <c r="D1360" s="1" t="s">
        <v>21</v>
      </c>
      <c r="E1360" s="1" t="s">
        <v>81</v>
      </c>
      <c r="F1360" s="1">
        <v>6003</v>
      </c>
      <c r="G1360" s="1" t="s">
        <v>361</v>
      </c>
      <c r="H1360" s="1" t="s">
        <v>79</v>
      </c>
      <c r="I1360" s="1" t="s">
        <v>3720</v>
      </c>
      <c r="J1360" s="1" t="s">
        <v>4112</v>
      </c>
    </row>
    <row r="1361" spans="1:10" x14ac:dyDescent="0.25">
      <c r="A1361" s="1" t="s">
        <v>5145</v>
      </c>
      <c r="B1361" s="19">
        <v>46182</v>
      </c>
      <c r="C1361" s="1" t="s">
        <v>960</v>
      </c>
      <c r="D1361" s="1" t="s">
        <v>21</v>
      </c>
      <c r="E1361" s="1" t="s">
        <v>81</v>
      </c>
      <c r="F1361" s="1">
        <v>6004</v>
      </c>
      <c r="G1361" s="1" t="s">
        <v>355</v>
      </c>
      <c r="H1361" s="1" t="s">
        <v>76</v>
      </c>
      <c r="I1361" s="1" t="s">
        <v>3720</v>
      </c>
      <c r="J1361" s="1" t="s">
        <v>82</v>
      </c>
    </row>
    <row r="1362" spans="1:10" x14ac:dyDescent="0.25">
      <c r="A1362" s="1" t="s">
        <v>5146</v>
      </c>
      <c r="B1362" s="19">
        <v>46182</v>
      </c>
      <c r="C1362" s="1" t="s">
        <v>960</v>
      </c>
      <c r="D1362" s="1" t="s">
        <v>21</v>
      </c>
      <c r="E1362" s="1" t="s">
        <v>81</v>
      </c>
      <c r="F1362" s="1">
        <v>6004</v>
      </c>
      <c r="G1362" s="1" t="s">
        <v>345</v>
      </c>
      <c r="H1362" s="1" t="s">
        <v>76</v>
      </c>
      <c r="I1362" s="1" t="s">
        <v>3720</v>
      </c>
      <c r="J1362" s="1" t="s">
        <v>78</v>
      </c>
    </row>
    <row r="1363" spans="1:10" x14ac:dyDescent="0.25">
      <c r="A1363" s="1" t="s">
        <v>5147</v>
      </c>
      <c r="B1363" s="19">
        <v>46182</v>
      </c>
      <c r="C1363" s="1" t="s">
        <v>960</v>
      </c>
      <c r="D1363" s="1" t="s">
        <v>21</v>
      </c>
      <c r="E1363" s="1" t="s">
        <v>81</v>
      </c>
      <c r="F1363" s="1">
        <v>6004</v>
      </c>
      <c r="G1363" s="1" t="s">
        <v>361</v>
      </c>
      <c r="H1363" s="1" t="s">
        <v>79</v>
      </c>
      <c r="I1363" s="1" t="s">
        <v>3720</v>
      </c>
      <c r="J1363" s="1" t="s">
        <v>4112</v>
      </c>
    </row>
    <row r="1364" spans="1:10" x14ac:dyDescent="0.25">
      <c r="A1364" s="1" t="s">
        <v>5148</v>
      </c>
      <c r="B1364" s="19">
        <v>46182</v>
      </c>
      <c r="C1364" s="1" t="s">
        <v>961</v>
      </c>
      <c r="D1364" s="1" t="s">
        <v>21</v>
      </c>
      <c r="E1364" s="1" t="s">
        <v>81</v>
      </c>
      <c r="F1364" s="1">
        <v>6005</v>
      </c>
      <c r="G1364" s="1" t="s">
        <v>355</v>
      </c>
      <c r="H1364" s="1" t="s">
        <v>76</v>
      </c>
      <c r="I1364" s="1" t="s">
        <v>3720</v>
      </c>
      <c r="J1364" s="1" t="s">
        <v>82</v>
      </c>
    </row>
    <row r="1365" spans="1:10" x14ac:dyDescent="0.25">
      <c r="A1365" s="1" t="s">
        <v>5149</v>
      </c>
      <c r="B1365" s="19">
        <v>46182</v>
      </c>
      <c r="C1365" s="1" t="s">
        <v>961</v>
      </c>
      <c r="D1365" s="1" t="s">
        <v>21</v>
      </c>
      <c r="E1365" s="1" t="s">
        <v>81</v>
      </c>
      <c r="F1365" s="1">
        <v>6005</v>
      </c>
      <c r="G1365" s="1" t="s">
        <v>345</v>
      </c>
      <c r="H1365" s="1" t="s">
        <v>76</v>
      </c>
      <c r="I1365" s="1" t="s">
        <v>3720</v>
      </c>
      <c r="J1365" s="1" t="s">
        <v>78</v>
      </c>
    </row>
    <row r="1366" spans="1:10" x14ac:dyDescent="0.25">
      <c r="A1366" s="1" t="s">
        <v>5150</v>
      </c>
      <c r="B1366" s="19">
        <v>46182</v>
      </c>
      <c r="C1366" s="1" t="s">
        <v>961</v>
      </c>
      <c r="D1366" s="1" t="s">
        <v>21</v>
      </c>
      <c r="E1366" s="1" t="s">
        <v>81</v>
      </c>
      <c r="F1366" s="1">
        <v>6005</v>
      </c>
      <c r="G1366" s="1" t="s">
        <v>361</v>
      </c>
      <c r="H1366" s="1" t="s">
        <v>79</v>
      </c>
      <c r="I1366" s="1" t="s">
        <v>3720</v>
      </c>
      <c r="J1366" s="1" t="s">
        <v>4112</v>
      </c>
    </row>
    <row r="1367" spans="1:10" x14ac:dyDescent="0.25">
      <c r="A1367" s="1" t="s">
        <v>5151</v>
      </c>
      <c r="B1367" s="19">
        <v>46182</v>
      </c>
      <c r="C1367" s="1" t="s">
        <v>962</v>
      </c>
      <c r="D1367" s="1" t="s">
        <v>21</v>
      </c>
      <c r="E1367" s="1" t="s">
        <v>81</v>
      </c>
      <c r="F1367" s="1">
        <v>6006</v>
      </c>
      <c r="G1367" s="1" t="s">
        <v>355</v>
      </c>
      <c r="H1367" s="1" t="s">
        <v>76</v>
      </c>
      <c r="I1367" s="1" t="s">
        <v>3720</v>
      </c>
      <c r="J1367" s="1" t="s">
        <v>82</v>
      </c>
    </row>
    <row r="1368" spans="1:10" x14ac:dyDescent="0.25">
      <c r="A1368" s="1" t="s">
        <v>5152</v>
      </c>
      <c r="B1368" s="19">
        <v>46182</v>
      </c>
      <c r="C1368" s="1" t="s">
        <v>962</v>
      </c>
      <c r="D1368" s="1" t="s">
        <v>21</v>
      </c>
      <c r="E1368" s="1" t="s">
        <v>81</v>
      </c>
      <c r="F1368" s="1">
        <v>6006</v>
      </c>
      <c r="G1368" s="1" t="s">
        <v>345</v>
      </c>
      <c r="H1368" s="1" t="s">
        <v>76</v>
      </c>
      <c r="I1368" s="1" t="s">
        <v>3720</v>
      </c>
      <c r="J1368" s="1" t="s">
        <v>78</v>
      </c>
    </row>
    <row r="1369" spans="1:10" x14ac:dyDescent="0.25">
      <c r="A1369" s="1" t="s">
        <v>5153</v>
      </c>
      <c r="B1369" s="19">
        <v>46182</v>
      </c>
      <c r="C1369" s="1" t="s">
        <v>962</v>
      </c>
      <c r="D1369" s="1" t="s">
        <v>21</v>
      </c>
      <c r="E1369" s="1" t="s">
        <v>81</v>
      </c>
      <c r="F1369" s="1">
        <v>6006</v>
      </c>
      <c r="G1369" s="1" t="s">
        <v>361</v>
      </c>
      <c r="H1369" s="1" t="s">
        <v>79</v>
      </c>
      <c r="I1369" s="1" t="s">
        <v>3720</v>
      </c>
      <c r="J1369" s="1" t="s">
        <v>4112</v>
      </c>
    </row>
    <row r="1370" spans="1:10" x14ac:dyDescent="0.25">
      <c r="A1370" s="1" t="s">
        <v>5154</v>
      </c>
      <c r="B1370" s="19">
        <v>46182</v>
      </c>
      <c r="C1370" s="1" t="s">
        <v>963</v>
      </c>
      <c r="D1370" s="1" t="s">
        <v>21</v>
      </c>
      <c r="E1370" s="1" t="s">
        <v>81</v>
      </c>
      <c r="F1370" s="1">
        <v>6007</v>
      </c>
      <c r="G1370" s="1" t="s">
        <v>355</v>
      </c>
      <c r="H1370" s="1" t="s">
        <v>76</v>
      </c>
      <c r="I1370" s="1" t="s">
        <v>3720</v>
      </c>
      <c r="J1370" s="1" t="s">
        <v>82</v>
      </c>
    </row>
    <row r="1371" spans="1:10" x14ac:dyDescent="0.25">
      <c r="A1371" s="1" t="s">
        <v>5155</v>
      </c>
      <c r="B1371" s="19">
        <v>46182</v>
      </c>
      <c r="C1371" s="1" t="s">
        <v>963</v>
      </c>
      <c r="D1371" s="1" t="s">
        <v>21</v>
      </c>
      <c r="E1371" s="1" t="s">
        <v>81</v>
      </c>
      <c r="F1371" s="1">
        <v>6007</v>
      </c>
      <c r="G1371" s="1" t="s">
        <v>345</v>
      </c>
      <c r="H1371" s="1" t="s">
        <v>76</v>
      </c>
      <c r="I1371" s="1" t="s">
        <v>3720</v>
      </c>
      <c r="J1371" s="1" t="s">
        <v>78</v>
      </c>
    </row>
    <row r="1372" spans="1:10" x14ac:dyDescent="0.25">
      <c r="A1372" s="1" t="s">
        <v>5156</v>
      </c>
      <c r="B1372" s="19">
        <v>46182</v>
      </c>
      <c r="C1372" s="1" t="s">
        <v>963</v>
      </c>
      <c r="D1372" s="1" t="s">
        <v>21</v>
      </c>
      <c r="E1372" s="1" t="s">
        <v>81</v>
      </c>
      <c r="F1372" s="1">
        <v>6007</v>
      </c>
      <c r="G1372" s="1" t="s">
        <v>361</v>
      </c>
      <c r="H1372" s="1" t="s">
        <v>79</v>
      </c>
      <c r="I1372" s="1" t="s">
        <v>3720</v>
      </c>
      <c r="J1372" s="1" t="s">
        <v>4112</v>
      </c>
    </row>
    <row r="1373" spans="1:10" x14ac:dyDescent="0.25">
      <c r="A1373" s="1" t="s">
        <v>5157</v>
      </c>
      <c r="B1373" s="19">
        <v>46182</v>
      </c>
      <c r="C1373" s="1" t="s">
        <v>964</v>
      </c>
      <c r="D1373" s="1" t="s">
        <v>21</v>
      </c>
      <c r="E1373" s="1" t="s">
        <v>81</v>
      </c>
      <c r="F1373" s="1">
        <v>6008</v>
      </c>
      <c r="G1373" s="1" t="s">
        <v>355</v>
      </c>
      <c r="H1373" s="1" t="s">
        <v>76</v>
      </c>
      <c r="I1373" s="1" t="s">
        <v>3720</v>
      </c>
      <c r="J1373" s="1" t="s">
        <v>82</v>
      </c>
    </row>
    <row r="1374" spans="1:10" x14ac:dyDescent="0.25">
      <c r="A1374" s="1" t="s">
        <v>5158</v>
      </c>
      <c r="B1374" s="19">
        <v>46182</v>
      </c>
      <c r="C1374" s="1" t="s">
        <v>964</v>
      </c>
      <c r="D1374" s="1" t="s">
        <v>21</v>
      </c>
      <c r="E1374" s="1" t="s">
        <v>81</v>
      </c>
      <c r="F1374" s="1">
        <v>6008</v>
      </c>
      <c r="G1374" s="1" t="s">
        <v>345</v>
      </c>
      <c r="H1374" s="1" t="s">
        <v>76</v>
      </c>
      <c r="I1374" s="1" t="s">
        <v>3720</v>
      </c>
      <c r="J1374" s="1" t="s">
        <v>78</v>
      </c>
    </row>
    <row r="1375" spans="1:10" x14ac:dyDescent="0.25">
      <c r="A1375" s="1" t="s">
        <v>5159</v>
      </c>
      <c r="B1375" s="19">
        <v>46182</v>
      </c>
      <c r="C1375" s="1" t="s">
        <v>964</v>
      </c>
      <c r="D1375" s="1" t="s">
        <v>21</v>
      </c>
      <c r="E1375" s="1" t="s">
        <v>81</v>
      </c>
      <c r="F1375" s="1">
        <v>6008</v>
      </c>
      <c r="G1375" s="1" t="s">
        <v>361</v>
      </c>
      <c r="H1375" s="1" t="s">
        <v>79</v>
      </c>
      <c r="I1375" s="1" t="s">
        <v>3720</v>
      </c>
      <c r="J1375" s="1" t="s">
        <v>4112</v>
      </c>
    </row>
    <row r="1376" spans="1:10" x14ac:dyDescent="0.25">
      <c r="A1376" s="1" t="s">
        <v>5160</v>
      </c>
      <c r="B1376" s="19">
        <v>46182</v>
      </c>
      <c r="C1376" s="1" t="s">
        <v>965</v>
      </c>
      <c r="D1376" s="1" t="s">
        <v>21</v>
      </c>
      <c r="E1376" s="1" t="s">
        <v>81</v>
      </c>
      <c r="F1376" s="1">
        <v>6009</v>
      </c>
      <c r="G1376" s="1" t="s">
        <v>355</v>
      </c>
      <c r="H1376" s="1" t="s">
        <v>76</v>
      </c>
      <c r="I1376" s="1" t="s">
        <v>3720</v>
      </c>
      <c r="J1376" s="1" t="s">
        <v>82</v>
      </c>
    </row>
    <row r="1377" spans="1:10" x14ac:dyDescent="0.25">
      <c r="A1377" s="1" t="s">
        <v>5161</v>
      </c>
      <c r="B1377" s="19">
        <v>46182</v>
      </c>
      <c r="C1377" s="1" t="s">
        <v>965</v>
      </c>
      <c r="D1377" s="1" t="s">
        <v>21</v>
      </c>
      <c r="E1377" s="1" t="s">
        <v>81</v>
      </c>
      <c r="F1377" s="1">
        <v>6009</v>
      </c>
      <c r="G1377" s="1" t="s">
        <v>345</v>
      </c>
      <c r="H1377" s="1" t="s">
        <v>76</v>
      </c>
      <c r="I1377" s="1" t="s">
        <v>3720</v>
      </c>
      <c r="J1377" s="1" t="s">
        <v>78</v>
      </c>
    </row>
    <row r="1378" spans="1:10" x14ac:dyDescent="0.25">
      <c r="A1378" s="1" t="s">
        <v>5162</v>
      </c>
      <c r="B1378" s="19">
        <v>46182</v>
      </c>
      <c r="C1378" s="1" t="s">
        <v>965</v>
      </c>
      <c r="D1378" s="1" t="s">
        <v>21</v>
      </c>
      <c r="E1378" s="1" t="s">
        <v>81</v>
      </c>
      <c r="F1378" s="1">
        <v>6009</v>
      </c>
      <c r="G1378" s="1" t="s">
        <v>361</v>
      </c>
      <c r="H1378" s="1" t="s">
        <v>79</v>
      </c>
      <c r="I1378" s="1" t="s">
        <v>3720</v>
      </c>
      <c r="J1378" s="1" t="s">
        <v>4112</v>
      </c>
    </row>
    <row r="1379" spans="1:10" x14ac:dyDescent="0.25">
      <c r="A1379" s="1" t="s">
        <v>5163</v>
      </c>
      <c r="B1379" s="19">
        <v>46182</v>
      </c>
      <c r="C1379" s="1" t="s">
        <v>966</v>
      </c>
      <c r="D1379" s="1" t="s">
        <v>21</v>
      </c>
      <c r="E1379" s="1" t="s">
        <v>81</v>
      </c>
      <c r="F1379" s="1">
        <v>6010</v>
      </c>
      <c r="G1379" s="1" t="s">
        <v>355</v>
      </c>
      <c r="H1379" s="1" t="s">
        <v>76</v>
      </c>
      <c r="I1379" s="1" t="s">
        <v>3720</v>
      </c>
      <c r="J1379" s="1" t="s">
        <v>82</v>
      </c>
    </row>
    <row r="1380" spans="1:10" x14ac:dyDescent="0.25">
      <c r="A1380" s="1" t="s">
        <v>5164</v>
      </c>
      <c r="B1380" s="19">
        <v>46182</v>
      </c>
      <c r="C1380" s="1" t="s">
        <v>966</v>
      </c>
      <c r="D1380" s="1" t="s">
        <v>21</v>
      </c>
      <c r="E1380" s="1" t="s">
        <v>81</v>
      </c>
      <c r="F1380" s="1">
        <v>6010</v>
      </c>
      <c r="G1380" s="1" t="s">
        <v>345</v>
      </c>
      <c r="H1380" s="1" t="s">
        <v>76</v>
      </c>
      <c r="I1380" s="1" t="s">
        <v>3720</v>
      </c>
      <c r="J1380" s="1" t="s">
        <v>78</v>
      </c>
    </row>
    <row r="1381" spans="1:10" x14ac:dyDescent="0.25">
      <c r="A1381" s="1" t="s">
        <v>5165</v>
      </c>
      <c r="B1381" s="19">
        <v>46182</v>
      </c>
      <c r="C1381" s="1" t="s">
        <v>966</v>
      </c>
      <c r="D1381" s="1" t="s">
        <v>21</v>
      </c>
      <c r="E1381" s="1" t="s">
        <v>81</v>
      </c>
      <c r="F1381" s="1">
        <v>6010</v>
      </c>
      <c r="G1381" s="1" t="s">
        <v>361</v>
      </c>
      <c r="H1381" s="1" t="s">
        <v>79</v>
      </c>
      <c r="I1381" s="1" t="s">
        <v>3720</v>
      </c>
      <c r="J1381" s="1" t="s">
        <v>4112</v>
      </c>
    </row>
    <row r="1382" spans="1:10" x14ac:dyDescent="0.25">
      <c r="A1382" s="1" t="s">
        <v>5166</v>
      </c>
      <c r="B1382" s="19">
        <v>46182</v>
      </c>
      <c r="C1382" s="1" t="s">
        <v>967</v>
      </c>
      <c r="D1382" s="1" t="s">
        <v>21</v>
      </c>
      <c r="E1382" s="1" t="s">
        <v>81</v>
      </c>
      <c r="F1382" s="1">
        <v>6011</v>
      </c>
      <c r="G1382" s="1" t="s">
        <v>355</v>
      </c>
      <c r="H1382" s="1" t="s">
        <v>76</v>
      </c>
      <c r="I1382" s="1" t="s">
        <v>3720</v>
      </c>
      <c r="J1382" s="1" t="s">
        <v>82</v>
      </c>
    </row>
    <row r="1383" spans="1:10" x14ac:dyDescent="0.25">
      <c r="A1383" s="1" t="s">
        <v>5167</v>
      </c>
      <c r="B1383" s="19">
        <v>46182</v>
      </c>
      <c r="C1383" s="1" t="s">
        <v>967</v>
      </c>
      <c r="D1383" s="1" t="s">
        <v>21</v>
      </c>
      <c r="E1383" s="1" t="s">
        <v>81</v>
      </c>
      <c r="F1383" s="1">
        <v>6011</v>
      </c>
      <c r="G1383" s="1" t="s">
        <v>345</v>
      </c>
      <c r="H1383" s="1" t="s">
        <v>76</v>
      </c>
      <c r="I1383" s="1" t="s">
        <v>3720</v>
      </c>
      <c r="J1383" s="1" t="s">
        <v>78</v>
      </c>
    </row>
    <row r="1384" spans="1:10" x14ac:dyDescent="0.25">
      <c r="A1384" s="1" t="s">
        <v>5168</v>
      </c>
      <c r="B1384" s="19">
        <v>46182</v>
      </c>
      <c r="C1384" s="1" t="s">
        <v>967</v>
      </c>
      <c r="D1384" s="1" t="s">
        <v>21</v>
      </c>
      <c r="E1384" s="1" t="s">
        <v>81</v>
      </c>
      <c r="F1384" s="1">
        <v>6011</v>
      </c>
      <c r="G1384" s="1" t="s">
        <v>361</v>
      </c>
      <c r="H1384" s="1" t="s">
        <v>79</v>
      </c>
      <c r="I1384" s="1" t="s">
        <v>3720</v>
      </c>
      <c r="J1384" s="1" t="s">
        <v>4112</v>
      </c>
    </row>
    <row r="1385" spans="1:10" x14ac:dyDescent="0.25">
      <c r="A1385" s="1" t="s">
        <v>5169</v>
      </c>
      <c r="B1385" s="19">
        <v>46182</v>
      </c>
      <c r="C1385" s="1" t="s">
        <v>968</v>
      </c>
      <c r="D1385" s="1" t="s">
        <v>21</v>
      </c>
      <c r="E1385" s="1" t="s">
        <v>81</v>
      </c>
      <c r="F1385" s="1">
        <v>6012</v>
      </c>
      <c r="G1385" s="1" t="s">
        <v>355</v>
      </c>
      <c r="H1385" s="1" t="s">
        <v>76</v>
      </c>
      <c r="I1385" s="1" t="s">
        <v>3720</v>
      </c>
      <c r="J1385" s="1" t="s">
        <v>82</v>
      </c>
    </row>
    <row r="1386" spans="1:10" x14ac:dyDescent="0.25">
      <c r="A1386" s="1" t="s">
        <v>5170</v>
      </c>
      <c r="B1386" s="19">
        <v>46182</v>
      </c>
      <c r="C1386" s="1" t="s">
        <v>968</v>
      </c>
      <c r="D1386" s="1" t="s">
        <v>21</v>
      </c>
      <c r="E1386" s="1" t="s">
        <v>81</v>
      </c>
      <c r="F1386" s="1">
        <v>6012</v>
      </c>
      <c r="G1386" s="1" t="s">
        <v>345</v>
      </c>
      <c r="H1386" s="1" t="s">
        <v>76</v>
      </c>
      <c r="I1386" s="1" t="s">
        <v>3720</v>
      </c>
      <c r="J1386" s="1" t="s">
        <v>78</v>
      </c>
    </row>
    <row r="1387" spans="1:10" x14ac:dyDescent="0.25">
      <c r="A1387" s="1" t="s">
        <v>5171</v>
      </c>
      <c r="B1387" s="19">
        <v>46182</v>
      </c>
      <c r="C1387" s="1" t="s">
        <v>968</v>
      </c>
      <c r="D1387" s="1" t="s">
        <v>21</v>
      </c>
      <c r="E1387" s="1" t="s">
        <v>81</v>
      </c>
      <c r="F1387" s="1">
        <v>6012</v>
      </c>
      <c r="G1387" s="1" t="s">
        <v>361</v>
      </c>
      <c r="H1387" s="1" t="s">
        <v>79</v>
      </c>
      <c r="I1387" s="1" t="s">
        <v>3720</v>
      </c>
      <c r="J1387" s="1" t="s">
        <v>4112</v>
      </c>
    </row>
    <row r="1388" spans="1:10" x14ac:dyDescent="0.25">
      <c r="A1388" s="1" t="s">
        <v>5172</v>
      </c>
      <c r="B1388" s="19">
        <v>46182</v>
      </c>
      <c r="C1388" s="1" t="s">
        <v>969</v>
      </c>
      <c r="D1388" s="1" t="s">
        <v>21</v>
      </c>
      <c r="E1388" s="1" t="s">
        <v>81</v>
      </c>
      <c r="F1388" s="1">
        <v>6013</v>
      </c>
      <c r="G1388" s="1" t="s">
        <v>355</v>
      </c>
      <c r="H1388" s="1" t="s">
        <v>76</v>
      </c>
      <c r="I1388" s="1" t="s">
        <v>3720</v>
      </c>
      <c r="J1388" s="1" t="s">
        <v>82</v>
      </c>
    </row>
    <row r="1389" spans="1:10" x14ac:dyDescent="0.25">
      <c r="A1389" s="1" t="s">
        <v>5173</v>
      </c>
      <c r="B1389" s="19">
        <v>46182</v>
      </c>
      <c r="C1389" s="1" t="s">
        <v>969</v>
      </c>
      <c r="D1389" s="1" t="s">
        <v>21</v>
      </c>
      <c r="E1389" s="1" t="s">
        <v>81</v>
      </c>
      <c r="F1389" s="1">
        <v>6013</v>
      </c>
      <c r="G1389" s="1" t="s">
        <v>345</v>
      </c>
      <c r="H1389" s="1" t="s">
        <v>76</v>
      </c>
      <c r="I1389" s="1" t="s">
        <v>3720</v>
      </c>
      <c r="J1389" s="1" t="s">
        <v>78</v>
      </c>
    </row>
    <row r="1390" spans="1:10" x14ac:dyDescent="0.25">
      <c r="A1390" s="1" t="s">
        <v>5174</v>
      </c>
      <c r="B1390" s="19">
        <v>46182</v>
      </c>
      <c r="C1390" s="1" t="s">
        <v>969</v>
      </c>
      <c r="D1390" s="1" t="s">
        <v>21</v>
      </c>
      <c r="E1390" s="1" t="s">
        <v>81</v>
      </c>
      <c r="F1390" s="1">
        <v>6013</v>
      </c>
      <c r="G1390" s="1" t="s">
        <v>361</v>
      </c>
      <c r="H1390" s="1" t="s">
        <v>79</v>
      </c>
      <c r="I1390" s="1" t="s">
        <v>3720</v>
      </c>
      <c r="J1390" s="1" t="s">
        <v>4112</v>
      </c>
    </row>
    <row r="1391" spans="1:10" x14ac:dyDescent="0.25">
      <c r="A1391" s="1" t="s">
        <v>5175</v>
      </c>
      <c r="B1391" s="19">
        <v>46182</v>
      </c>
      <c r="C1391" s="1" t="s">
        <v>970</v>
      </c>
      <c r="D1391" s="1" t="s">
        <v>21</v>
      </c>
      <c r="E1391" s="1" t="s">
        <v>81</v>
      </c>
      <c r="F1391" s="1">
        <v>6014</v>
      </c>
      <c r="G1391" s="1" t="s">
        <v>355</v>
      </c>
      <c r="H1391" s="1" t="s">
        <v>76</v>
      </c>
      <c r="I1391" s="1" t="s">
        <v>3720</v>
      </c>
      <c r="J1391" s="1" t="s">
        <v>82</v>
      </c>
    </row>
    <row r="1392" spans="1:10" x14ac:dyDescent="0.25">
      <c r="A1392" s="1" t="s">
        <v>5176</v>
      </c>
      <c r="B1392" s="19">
        <v>46182</v>
      </c>
      <c r="C1392" s="1" t="s">
        <v>970</v>
      </c>
      <c r="D1392" s="1" t="s">
        <v>21</v>
      </c>
      <c r="E1392" s="1" t="s">
        <v>81</v>
      </c>
      <c r="F1392" s="1">
        <v>6014</v>
      </c>
      <c r="G1392" s="1" t="s">
        <v>345</v>
      </c>
      <c r="H1392" s="1" t="s">
        <v>76</v>
      </c>
      <c r="I1392" s="1" t="s">
        <v>3720</v>
      </c>
      <c r="J1392" s="1" t="s">
        <v>78</v>
      </c>
    </row>
    <row r="1393" spans="1:10" x14ac:dyDescent="0.25">
      <c r="A1393" s="1" t="s">
        <v>5177</v>
      </c>
      <c r="B1393" s="19">
        <v>46182</v>
      </c>
      <c r="C1393" s="1" t="s">
        <v>970</v>
      </c>
      <c r="D1393" s="1" t="s">
        <v>21</v>
      </c>
      <c r="E1393" s="1" t="s">
        <v>81</v>
      </c>
      <c r="F1393" s="1">
        <v>6014</v>
      </c>
      <c r="G1393" s="1" t="s">
        <v>361</v>
      </c>
      <c r="H1393" s="1" t="s">
        <v>79</v>
      </c>
      <c r="I1393" s="1" t="s">
        <v>3720</v>
      </c>
      <c r="J1393" s="1" t="s">
        <v>4112</v>
      </c>
    </row>
    <row r="1394" spans="1:10" x14ac:dyDescent="0.25">
      <c r="A1394" s="1" t="s">
        <v>5178</v>
      </c>
      <c r="B1394" s="19">
        <v>46182</v>
      </c>
      <c r="C1394" s="1" t="s">
        <v>971</v>
      </c>
      <c r="D1394" s="1" t="s">
        <v>21</v>
      </c>
      <c r="E1394" s="1" t="s">
        <v>81</v>
      </c>
      <c r="F1394" s="1">
        <v>6015</v>
      </c>
      <c r="G1394" s="1" t="s">
        <v>355</v>
      </c>
      <c r="H1394" s="1" t="s">
        <v>76</v>
      </c>
      <c r="I1394" s="1" t="s">
        <v>3720</v>
      </c>
      <c r="J1394" s="1" t="s">
        <v>82</v>
      </c>
    </row>
    <row r="1395" spans="1:10" x14ac:dyDescent="0.25">
      <c r="A1395" s="1" t="s">
        <v>5179</v>
      </c>
      <c r="B1395" s="19">
        <v>46182</v>
      </c>
      <c r="C1395" s="1" t="s">
        <v>971</v>
      </c>
      <c r="D1395" s="1" t="s">
        <v>21</v>
      </c>
      <c r="E1395" s="1" t="s">
        <v>81</v>
      </c>
      <c r="F1395" s="1">
        <v>6015</v>
      </c>
      <c r="G1395" s="1" t="s">
        <v>345</v>
      </c>
      <c r="H1395" s="1" t="s">
        <v>76</v>
      </c>
      <c r="I1395" s="1" t="s">
        <v>3720</v>
      </c>
      <c r="J1395" s="1" t="s">
        <v>78</v>
      </c>
    </row>
    <row r="1396" spans="1:10" x14ac:dyDescent="0.25">
      <c r="A1396" s="1" t="s">
        <v>5180</v>
      </c>
      <c r="B1396" s="19">
        <v>46182</v>
      </c>
      <c r="C1396" s="1" t="s">
        <v>971</v>
      </c>
      <c r="D1396" s="1" t="s">
        <v>21</v>
      </c>
      <c r="E1396" s="1" t="s">
        <v>81</v>
      </c>
      <c r="F1396" s="1">
        <v>6015</v>
      </c>
      <c r="G1396" s="1" t="s">
        <v>361</v>
      </c>
      <c r="H1396" s="1" t="s">
        <v>79</v>
      </c>
      <c r="I1396" s="1" t="s">
        <v>3720</v>
      </c>
      <c r="J1396" s="1" t="s">
        <v>4112</v>
      </c>
    </row>
    <row r="1397" spans="1:10" x14ac:dyDescent="0.25">
      <c r="A1397" s="1" t="s">
        <v>5181</v>
      </c>
      <c r="B1397" s="19">
        <v>46182</v>
      </c>
      <c r="C1397" s="1" t="s">
        <v>972</v>
      </c>
      <c r="D1397" s="1" t="s">
        <v>21</v>
      </c>
      <c r="E1397" s="1" t="s">
        <v>81</v>
      </c>
      <c r="F1397" s="1">
        <v>6016</v>
      </c>
      <c r="G1397" s="1" t="s">
        <v>355</v>
      </c>
      <c r="H1397" s="1" t="s">
        <v>76</v>
      </c>
      <c r="I1397" s="1" t="s">
        <v>3720</v>
      </c>
      <c r="J1397" s="1" t="s">
        <v>82</v>
      </c>
    </row>
    <row r="1398" spans="1:10" x14ac:dyDescent="0.25">
      <c r="A1398" s="1" t="s">
        <v>5182</v>
      </c>
      <c r="B1398" s="19">
        <v>46182</v>
      </c>
      <c r="C1398" s="1" t="s">
        <v>972</v>
      </c>
      <c r="D1398" s="1" t="s">
        <v>21</v>
      </c>
      <c r="E1398" s="1" t="s">
        <v>81</v>
      </c>
      <c r="F1398" s="1">
        <v>6016</v>
      </c>
      <c r="G1398" s="1" t="s">
        <v>345</v>
      </c>
      <c r="H1398" s="1" t="s">
        <v>76</v>
      </c>
      <c r="I1398" s="1" t="s">
        <v>3720</v>
      </c>
      <c r="J1398" s="1" t="s">
        <v>78</v>
      </c>
    </row>
    <row r="1399" spans="1:10" x14ac:dyDescent="0.25">
      <c r="A1399" s="1" t="s">
        <v>5183</v>
      </c>
      <c r="B1399" s="19">
        <v>46182</v>
      </c>
      <c r="C1399" s="1" t="s">
        <v>972</v>
      </c>
      <c r="D1399" s="1" t="s">
        <v>21</v>
      </c>
      <c r="E1399" s="1" t="s">
        <v>81</v>
      </c>
      <c r="F1399" s="1">
        <v>6016</v>
      </c>
      <c r="G1399" s="1" t="s">
        <v>361</v>
      </c>
      <c r="H1399" s="1" t="s">
        <v>79</v>
      </c>
      <c r="I1399" s="1" t="s">
        <v>3720</v>
      </c>
      <c r="J1399" s="1" t="s">
        <v>4112</v>
      </c>
    </row>
    <row r="1400" spans="1:10" x14ac:dyDescent="0.25">
      <c r="A1400" s="1" t="s">
        <v>5184</v>
      </c>
      <c r="B1400" s="19">
        <v>46182</v>
      </c>
      <c r="C1400" s="1" t="s">
        <v>973</v>
      </c>
      <c r="D1400" s="1" t="s">
        <v>21</v>
      </c>
      <c r="E1400" s="1" t="s">
        <v>81</v>
      </c>
      <c r="F1400" s="1">
        <v>6017</v>
      </c>
      <c r="G1400" s="1" t="s">
        <v>355</v>
      </c>
      <c r="H1400" s="1" t="s">
        <v>76</v>
      </c>
      <c r="I1400" s="1" t="s">
        <v>3720</v>
      </c>
      <c r="J1400" s="1" t="s">
        <v>82</v>
      </c>
    </row>
    <row r="1401" spans="1:10" x14ac:dyDescent="0.25">
      <c r="A1401" s="1" t="s">
        <v>5185</v>
      </c>
      <c r="B1401" s="19">
        <v>46182</v>
      </c>
      <c r="C1401" s="1" t="s">
        <v>973</v>
      </c>
      <c r="D1401" s="1" t="s">
        <v>21</v>
      </c>
      <c r="E1401" s="1" t="s">
        <v>81</v>
      </c>
      <c r="F1401" s="1">
        <v>6017</v>
      </c>
      <c r="G1401" s="1" t="s">
        <v>345</v>
      </c>
      <c r="H1401" s="1" t="s">
        <v>76</v>
      </c>
      <c r="I1401" s="1" t="s">
        <v>3720</v>
      </c>
      <c r="J1401" s="1" t="s">
        <v>78</v>
      </c>
    </row>
    <row r="1402" spans="1:10" x14ac:dyDescent="0.25">
      <c r="A1402" s="1" t="s">
        <v>5186</v>
      </c>
      <c r="B1402" s="19">
        <v>46182</v>
      </c>
      <c r="C1402" s="1" t="s">
        <v>973</v>
      </c>
      <c r="D1402" s="1" t="s">
        <v>21</v>
      </c>
      <c r="E1402" s="1" t="s">
        <v>81</v>
      </c>
      <c r="F1402" s="1">
        <v>6017</v>
      </c>
      <c r="G1402" s="1" t="s">
        <v>361</v>
      </c>
      <c r="H1402" s="1" t="s">
        <v>79</v>
      </c>
      <c r="I1402" s="1" t="s">
        <v>3720</v>
      </c>
      <c r="J1402" s="1" t="s">
        <v>4112</v>
      </c>
    </row>
    <row r="1403" spans="1:10" x14ac:dyDescent="0.25">
      <c r="A1403" s="1" t="s">
        <v>5187</v>
      </c>
      <c r="B1403" s="19">
        <v>46182</v>
      </c>
      <c r="C1403" s="1" t="s">
        <v>974</v>
      </c>
      <c r="D1403" s="1" t="s">
        <v>21</v>
      </c>
      <c r="E1403" s="1" t="s">
        <v>81</v>
      </c>
      <c r="F1403" s="1">
        <v>6018</v>
      </c>
      <c r="G1403" s="1" t="s">
        <v>355</v>
      </c>
      <c r="H1403" s="1" t="s">
        <v>76</v>
      </c>
      <c r="I1403" s="1" t="s">
        <v>3720</v>
      </c>
      <c r="J1403" s="1" t="s">
        <v>82</v>
      </c>
    </row>
    <row r="1404" spans="1:10" x14ac:dyDescent="0.25">
      <c r="A1404" s="1" t="s">
        <v>5188</v>
      </c>
      <c r="B1404" s="19">
        <v>46182</v>
      </c>
      <c r="C1404" s="1" t="s">
        <v>974</v>
      </c>
      <c r="D1404" s="1" t="s">
        <v>21</v>
      </c>
      <c r="E1404" s="1" t="s">
        <v>81</v>
      </c>
      <c r="F1404" s="1">
        <v>6018</v>
      </c>
      <c r="G1404" s="1" t="s">
        <v>345</v>
      </c>
      <c r="H1404" s="1" t="s">
        <v>76</v>
      </c>
      <c r="I1404" s="1" t="s">
        <v>3720</v>
      </c>
      <c r="J1404" s="1" t="s">
        <v>78</v>
      </c>
    </row>
    <row r="1405" spans="1:10" x14ac:dyDescent="0.25">
      <c r="A1405" s="1" t="s">
        <v>5189</v>
      </c>
      <c r="B1405" s="19">
        <v>46182</v>
      </c>
      <c r="C1405" s="1" t="s">
        <v>974</v>
      </c>
      <c r="D1405" s="1" t="s">
        <v>21</v>
      </c>
      <c r="E1405" s="1" t="s">
        <v>81</v>
      </c>
      <c r="F1405" s="1">
        <v>6018</v>
      </c>
      <c r="G1405" s="1" t="s">
        <v>361</v>
      </c>
      <c r="H1405" s="1" t="s">
        <v>79</v>
      </c>
      <c r="I1405" s="1" t="s">
        <v>3720</v>
      </c>
      <c r="J1405" s="1" t="s">
        <v>4112</v>
      </c>
    </row>
    <row r="1406" spans="1:10" x14ac:dyDescent="0.25">
      <c r="A1406" s="1" t="s">
        <v>5190</v>
      </c>
      <c r="B1406" s="19">
        <v>46182</v>
      </c>
      <c r="C1406" s="1" t="s">
        <v>975</v>
      </c>
      <c r="D1406" s="1" t="s">
        <v>21</v>
      </c>
      <c r="E1406" s="1" t="s">
        <v>81</v>
      </c>
      <c r="F1406" s="1">
        <v>6019</v>
      </c>
      <c r="G1406" s="1" t="s">
        <v>355</v>
      </c>
      <c r="H1406" s="1" t="s">
        <v>76</v>
      </c>
      <c r="I1406" s="1" t="s">
        <v>3720</v>
      </c>
      <c r="J1406" s="1" t="s">
        <v>82</v>
      </c>
    </row>
    <row r="1407" spans="1:10" x14ac:dyDescent="0.25">
      <c r="A1407" s="1" t="s">
        <v>5191</v>
      </c>
      <c r="B1407" s="19">
        <v>46182</v>
      </c>
      <c r="C1407" s="1" t="s">
        <v>975</v>
      </c>
      <c r="D1407" s="1" t="s">
        <v>21</v>
      </c>
      <c r="E1407" s="1" t="s">
        <v>81</v>
      </c>
      <c r="F1407" s="1">
        <v>6019</v>
      </c>
      <c r="G1407" s="1" t="s">
        <v>345</v>
      </c>
      <c r="H1407" s="1" t="s">
        <v>76</v>
      </c>
      <c r="I1407" s="1" t="s">
        <v>3720</v>
      </c>
      <c r="J1407" s="1" t="s">
        <v>78</v>
      </c>
    </row>
    <row r="1408" spans="1:10" x14ac:dyDescent="0.25">
      <c r="A1408" s="1" t="s">
        <v>5192</v>
      </c>
      <c r="B1408" s="19">
        <v>46182</v>
      </c>
      <c r="C1408" s="1" t="s">
        <v>975</v>
      </c>
      <c r="D1408" s="1" t="s">
        <v>21</v>
      </c>
      <c r="E1408" s="1" t="s">
        <v>81</v>
      </c>
      <c r="F1408" s="1">
        <v>6019</v>
      </c>
      <c r="G1408" s="1" t="s">
        <v>361</v>
      </c>
      <c r="H1408" s="1" t="s">
        <v>79</v>
      </c>
      <c r="I1408" s="1" t="s">
        <v>3720</v>
      </c>
      <c r="J1408" s="1" t="s">
        <v>4112</v>
      </c>
    </row>
    <row r="1409" spans="1:10" x14ac:dyDescent="0.25">
      <c r="A1409" s="1" t="s">
        <v>5193</v>
      </c>
      <c r="B1409" s="19">
        <v>46182</v>
      </c>
      <c r="C1409" s="1" t="s">
        <v>976</v>
      </c>
      <c r="D1409" s="1" t="s">
        <v>21</v>
      </c>
      <c r="E1409" s="1" t="s">
        <v>81</v>
      </c>
      <c r="F1409" s="1">
        <v>6020</v>
      </c>
      <c r="G1409" s="1" t="s">
        <v>355</v>
      </c>
      <c r="H1409" s="1" t="s">
        <v>76</v>
      </c>
      <c r="I1409" s="1" t="s">
        <v>3720</v>
      </c>
      <c r="J1409" s="1" t="s">
        <v>82</v>
      </c>
    </row>
    <row r="1410" spans="1:10" x14ac:dyDescent="0.25">
      <c r="A1410" s="1" t="s">
        <v>5194</v>
      </c>
      <c r="B1410" s="19">
        <v>46182</v>
      </c>
      <c r="C1410" s="1" t="s">
        <v>976</v>
      </c>
      <c r="D1410" s="1" t="s">
        <v>21</v>
      </c>
      <c r="E1410" s="1" t="s">
        <v>81</v>
      </c>
      <c r="F1410" s="1">
        <v>6020</v>
      </c>
      <c r="G1410" s="1" t="s">
        <v>345</v>
      </c>
      <c r="H1410" s="1" t="s">
        <v>76</v>
      </c>
      <c r="I1410" s="1" t="s">
        <v>3720</v>
      </c>
      <c r="J1410" s="1" t="s">
        <v>78</v>
      </c>
    </row>
    <row r="1411" spans="1:10" x14ac:dyDescent="0.25">
      <c r="A1411" s="1" t="s">
        <v>5195</v>
      </c>
      <c r="B1411" s="19">
        <v>46182</v>
      </c>
      <c r="C1411" s="1" t="s">
        <v>976</v>
      </c>
      <c r="D1411" s="1" t="s">
        <v>21</v>
      </c>
      <c r="E1411" s="1" t="s">
        <v>81</v>
      </c>
      <c r="F1411" s="1">
        <v>6020</v>
      </c>
      <c r="G1411" s="1" t="s">
        <v>361</v>
      </c>
      <c r="H1411" s="1" t="s">
        <v>79</v>
      </c>
      <c r="I1411" s="1" t="s">
        <v>3720</v>
      </c>
      <c r="J1411" s="1" t="s">
        <v>4112</v>
      </c>
    </row>
    <row r="1412" spans="1:10" x14ac:dyDescent="0.25">
      <c r="A1412" s="1" t="s">
        <v>5196</v>
      </c>
      <c r="B1412" s="19">
        <v>46182</v>
      </c>
      <c r="C1412" s="1" t="s">
        <v>977</v>
      </c>
      <c r="D1412" s="1" t="s">
        <v>21</v>
      </c>
      <c r="E1412" s="1" t="s">
        <v>81</v>
      </c>
      <c r="F1412" s="1">
        <v>6021</v>
      </c>
      <c r="G1412" s="1" t="s">
        <v>355</v>
      </c>
      <c r="H1412" s="1" t="s">
        <v>76</v>
      </c>
      <c r="I1412" s="1" t="s">
        <v>3720</v>
      </c>
      <c r="J1412" s="1" t="s">
        <v>82</v>
      </c>
    </row>
    <row r="1413" spans="1:10" x14ac:dyDescent="0.25">
      <c r="A1413" s="1" t="s">
        <v>5197</v>
      </c>
      <c r="B1413" s="19">
        <v>46182</v>
      </c>
      <c r="C1413" s="1" t="s">
        <v>977</v>
      </c>
      <c r="D1413" s="1" t="s">
        <v>21</v>
      </c>
      <c r="E1413" s="1" t="s">
        <v>81</v>
      </c>
      <c r="F1413" s="1">
        <v>6021</v>
      </c>
      <c r="G1413" s="1" t="s">
        <v>345</v>
      </c>
      <c r="H1413" s="1" t="s">
        <v>76</v>
      </c>
      <c r="I1413" s="1" t="s">
        <v>3720</v>
      </c>
      <c r="J1413" s="1" t="s">
        <v>78</v>
      </c>
    </row>
    <row r="1414" spans="1:10" x14ac:dyDescent="0.25">
      <c r="A1414" s="1" t="s">
        <v>5198</v>
      </c>
      <c r="B1414" s="19">
        <v>46182</v>
      </c>
      <c r="C1414" s="1" t="s">
        <v>977</v>
      </c>
      <c r="D1414" s="1" t="s">
        <v>21</v>
      </c>
      <c r="E1414" s="1" t="s">
        <v>81</v>
      </c>
      <c r="F1414" s="1">
        <v>6021</v>
      </c>
      <c r="G1414" s="1" t="s">
        <v>361</v>
      </c>
      <c r="H1414" s="1" t="s">
        <v>79</v>
      </c>
      <c r="I1414" s="1" t="s">
        <v>3720</v>
      </c>
      <c r="J1414" s="1" t="s">
        <v>4112</v>
      </c>
    </row>
    <row r="1415" spans="1:10" x14ac:dyDescent="0.25">
      <c r="A1415" s="1" t="s">
        <v>5199</v>
      </c>
      <c r="B1415" s="19">
        <v>46182</v>
      </c>
      <c r="C1415" s="1" t="s">
        <v>978</v>
      </c>
      <c r="D1415" s="1" t="s">
        <v>21</v>
      </c>
      <c r="E1415" s="1" t="s">
        <v>81</v>
      </c>
      <c r="F1415" s="1">
        <v>6022</v>
      </c>
      <c r="G1415" s="1" t="s">
        <v>355</v>
      </c>
      <c r="H1415" s="1" t="s">
        <v>76</v>
      </c>
      <c r="I1415" s="1" t="s">
        <v>3720</v>
      </c>
      <c r="J1415" s="1" t="s">
        <v>82</v>
      </c>
    </row>
    <row r="1416" spans="1:10" x14ac:dyDescent="0.25">
      <c r="A1416" s="1" t="s">
        <v>5200</v>
      </c>
      <c r="B1416" s="19">
        <v>46182</v>
      </c>
      <c r="C1416" s="1" t="s">
        <v>978</v>
      </c>
      <c r="D1416" s="1" t="s">
        <v>21</v>
      </c>
      <c r="E1416" s="1" t="s">
        <v>81</v>
      </c>
      <c r="F1416" s="1">
        <v>6022</v>
      </c>
      <c r="G1416" s="1" t="s">
        <v>345</v>
      </c>
      <c r="H1416" s="1" t="s">
        <v>76</v>
      </c>
      <c r="I1416" s="1" t="s">
        <v>3720</v>
      </c>
      <c r="J1416" s="1" t="s">
        <v>78</v>
      </c>
    </row>
    <row r="1417" spans="1:10" x14ac:dyDescent="0.25">
      <c r="A1417" s="1" t="s">
        <v>5201</v>
      </c>
      <c r="B1417" s="19">
        <v>46182</v>
      </c>
      <c r="C1417" s="1" t="s">
        <v>978</v>
      </c>
      <c r="D1417" s="1" t="s">
        <v>21</v>
      </c>
      <c r="E1417" s="1" t="s">
        <v>81</v>
      </c>
      <c r="F1417" s="1">
        <v>6022</v>
      </c>
      <c r="G1417" s="1" t="s">
        <v>361</v>
      </c>
      <c r="H1417" s="1" t="s">
        <v>79</v>
      </c>
      <c r="I1417" s="1" t="s">
        <v>3720</v>
      </c>
      <c r="J1417" s="1" t="s">
        <v>4112</v>
      </c>
    </row>
    <row r="1418" spans="1:10" x14ac:dyDescent="0.25">
      <c r="A1418" s="1" t="s">
        <v>5202</v>
      </c>
      <c r="B1418" s="19">
        <v>46182</v>
      </c>
      <c r="C1418" s="1" t="s">
        <v>979</v>
      </c>
      <c r="D1418" s="1" t="s">
        <v>21</v>
      </c>
      <c r="E1418" s="1" t="s">
        <v>81</v>
      </c>
      <c r="F1418" s="1">
        <v>6023</v>
      </c>
      <c r="G1418" s="1" t="s">
        <v>355</v>
      </c>
      <c r="H1418" s="1" t="s">
        <v>76</v>
      </c>
      <c r="I1418" s="1" t="s">
        <v>3720</v>
      </c>
      <c r="J1418" s="1" t="s">
        <v>82</v>
      </c>
    </row>
    <row r="1419" spans="1:10" x14ac:dyDescent="0.25">
      <c r="A1419" s="1" t="s">
        <v>5203</v>
      </c>
      <c r="B1419" s="19">
        <v>46182</v>
      </c>
      <c r="C1419" s="1" t="s">
        <v>979</v>
      </c>
      <c r="D1419" s="1" t="s">
        <v>21</v>
      </c>
      <c r="E1419" s="1" t="s">
        <v>81</v>
      </c>
      <c r="F1419" s="1">
        <v>6023</v>
      </c>
      <c r="G1419" s="1" t="s">
        <v>345</v>
      </c>
      <c r="H1419" s="1" t="s">
        <v>76</v>
      </c>
      <c r="I1419" s="1" t="s">
        <v>3720</v>
      </c>
      <c r="J1419" s="1" t="s">
        <v>78</v>
      </c>
    </row>
    <row r="1420" spans="1:10" x14ac:dyDescent="0.25">
      <c r="A1420" s="1" t="s">
        <v>5204</v>
      </c>
      <c r="B1420" s="19">
        <v>46182</v>
      </c>
      <c r="C1420" s="1" t="s">
        <v>979</v>
      </c>
      <c r="D1420" s="1" t="s">
        <v>21</v>
      </c>
      <c r="E1420" s="1" t="s">
        <v>81</v>
      </c>
      <c r="F1420" s="1">
        <v>6023</v>
      </c>
      <c r="G1420" s="1" t="s">
        <v>361</v>
      </c>
      <c r="H1420" s="1" t="s">
        <v>79</v>
      </c>
      <c r="I1420" s="1" t="s">
        <v>3720</v>
      </c>
      <c r="J1420" s="1" t="s">
        <v>4112</v>
      </c>
    </row>
    <row r="1421" spans="1:10" x14ac:dyDescent="0.25">
      <c r="A1421" s="1" t="s">
        <v>5205</v>
      </c>
      <c r="B1421" s="19">
        <v>46182</v>
      </c>
      <c r="C1421" s="1" t="s">
        <v>980</v>
      </c>
      <c r="D1421" s="1" t="s">
        <v>21</v>
      </c>
      <c r="E1421" s="1" t="s">
        <v>81</v>
      </c>
      <c r="F1421" s="1">
        <v>6024</v>
      </c>
      <c r="G1421" s="1" t="s">
        <v>355</v>
      </c>
      <c r="H1421" s="1" t="s">
        <v>76</v>
      </c>
      <c r="I1421" s="1" t="s">
        <v>3720</v>
      </c>
      <c r="J1421" s="1" t="s">
        <v>82</v>
      </c>
    </row>
    <row r="1422" spans="1:10" x14ac:dyDescent="0.25">
      <c r="A1422" s="1" t="s">
        <v>5206</v>
      </c>
      <c r="B1422" s="19">
        <v>46182</v>
      </c>
      <c r="C1422" s="1" t="s">
        <v>980</v>
      </c>
      <c r="D1422" s="1" t="s">
        <v>21</v>
      </c>
      <c r="E1422" s="1" t="s">
        <v>81</v>
      </c>
      <c r="F1422" s="1">
        <v>6024</v>
      </c>
      <c r="G1422" s="1" t="s">
        <v>345</v>
      </c>
      <c r="H1422" s="1" t="s">
        <v>76</v>
      </c>
      <c r="I1422" s="1" t="s">
        <v>3720</v>
      </c>
      <c r="J1422" s="1" t="s">
        <v>78</v>
      </c>
    </row>
    <row r="1423" spans="1:10" x14ac:dyDescent="0.25">
      <c r="A1423" s="1" t="s">
        <v>5207</v>
      </c>
      <c r="B1423" s="19">
        <v>46182</v>
      </c>
      <c r="C1423" s="1" t="s">
        <v>980</v>
      </c>
      <c r="D1423" s="1" t="s">
        <v>21</v>
      </c>
      <c r="E1423" s="1" t="s">
        <v>81</v>
      </c>
      <c r="F1423" s="1">
        <v>6024</v>
      </c>
      <c r="G1423" s="1" t="s">
        <v>361</v>
      </c>
      <c r="H1423" s="1" t="s">
        <v>79</v>
      </c>
      <c r="I1423" s="1" t="s">
        <v>3720</v>
      </c>
      <c r="J1423" s="1" t="s">
        <v>4112</v>
      </c>
    </row>
    <row r="1424" spans="1:10" x14ac:dyDescent="0.25">
      <c r="A1424" s="1" t="s">
        <v>5208</v>
      </c>
      <c r="B1424" s="19">
        <v>46182</v>
      </c>
      <c r="C1424" s="1" t="s">
        <v>981</v>
      </c>
      <c r="D1424" s="1" t="s">
        <v>21</v>
      </c>
      <c r="E1424" s="1" t="s">
        <v>81</v>
      </c>
      <c r="F1424" s="1">
        <v>6025</v>
      </c>
      <c r="G1424" s="1" t="s">
        <v>355</v>
      </c>
      <c r="H1424" s="1" t="s">
        <v>76</v>
      </c>
      <c r="I1424" s="1" t="s">
        <v>3720</v>
      </c>
      <c r="J1424" s="1" t="s">
        <v>82</v>
      </c>
    </row>
    <row r="1425" spans="1:10" x14ac:dyDescent="0.25">
      <c r="A1425" s="1" t="s">
        <v>5209</v>
      </c>
      <c r="B1425" s="19">
        <v>46182</v>
      </c>
      <c r="C1425" s="1" t="s">
        <v>981</v>
      </c>
      <c r="D1425" s="1" t="s">
        <v>21</v>
      </c>
      <c r="E1425" s="1" t="s">
        <v>81</v>
      </c>
      <c r="F1425" s="1">
        <v>6025</v>
      </c>
      <c r="G1425" s="1" t="s">
        <v>345</v>
      </c>
      <c r="H1425" s="1" t="s">
        <v>76</v>
      </c>
      <c r="I1425" s="1" t="s">
        <v>3720</v>
      </c>
      <c r="J1425" s="1" t="s">
        <v>78</v>
      </c>
    </row>
    <row r="1426" spans="1:10" x14ac:dyDescent="0.25">
      <c r="A1426" s="1" t="s">
        <v>5210</v>
      </c>
      <c r="B1426" s="19">
        <v>46182</v>
      </c>
      <c r="C1426" s="1" t="s">
        <v>981</v>
      </c>
      <c r="D1426" s="1" t="s">
        <v>21</v>
      </c>
      <c r="E1426" s="1" t="s">
        <v>81</v>
      </c>
      <c r="F1426" s="1">
        <v>6025</v>
      </c>
      <c r="G1426" s="1" t="s">
        <v>361</v>
      </c>
      <c r="H1426" s="1" t="s">
        <v>79</v>
      </c>
      <c r="I1426" s="1" t="s">
        <v>3720</v>
      </c>
      <c r="J1426" s="1" t="s">
        <v>4112</v>
      </c>
    </row>
    <row r="1427" spans="1:10" x14ac:dyDescent="0.25">
      <c r="A1427" s="1" t="s">
        <v>5211</v>
      </c>
      <c r="B1427" s="19">
        <v>46182</v>
      </c>
      <c r="C1427" s="1" t="s">
        <v>982</v>
      </c>
      <c r="D1427" s="1" t="s">
        <v>21</v>
      </c>
      <c r="E1427" s="1" t="s">
        <v>81</v>
      </c>
      <c r="F1427" s="1">
        <v>6026</v>
      </c>
      <c r="G1427" s="1" t="s">
        <v>355</v>
      </c>
      <c r="H1427" s="1" t="s">
        <v>76</v>
      </c>
      <c r="I1427" s="1" t="s">
        <v>3720</v>
      </c>
      <c r="J1427" s="1" t="s">
        <v>82</v>
      </c>
    </row>
    <row r="1428" spans="1:10" x14ac:dyDescent="0.25">
      <c r="A1428" s="1" t="s">
        <v>5212</v>
      </c>
      <c r="B1428" s="19">
        <v>46182</v>
      </c>
      <c r="C1428" s="1" t="s">
        <v>982</v>
      </c>
      <c r="D1428" s="1" t="s">
        <v>21</v>
      </c>
      <c r="E1428" s="1" t="s">
        <v>81</v>
      </c>
      <c r="F1428" s="1">
        <v>6026</v>
      </c>
      <c r="G1428" s="1" t="s">
        <v>345</v>
      </c>
      <c r="H1428" s="1" t="s">
        <v>76</v>
      </c>
      <c r="I1428" s="1" t="s">
        <v>3720</v>
      </c>
      <c r="J1428" s="1" t="s">
        <v>78</v>
      </c>
    </row>
    <row r="1429" spans="1:10" x14ac:dyDescent="0.25">
      <c r="A1429" s="1" t="s">
        <v>5213</v>
      </c>
      <c r="B1429" s="19">
        <v>46182</v>
      </c>
      <c r="C1429" s="1" t="s">
        <v>982</v>
      </c>
      <c r="D1429" s="1" t="s">
        <v>21</v>
      </c>
      <c r="E1429" s="1" t="s">
        <v>81</v>
      </c>
      <c r="F1429" s="1">
        <v>6026</v>
      </c>
      <c r="G1429" s="1" t="s">
        <v>361</v>
      </c>
      <c r="H1429" s="1" t="s">
        <v>79</v>
      </c>
      <c r="I1429" s="1" t="s">
        <v>3720</v>
      </c>
      <c r="J1429" s="1" t="s">
        <v>4112</v>
      </c>
    </row>
    <row r="1430" spans="1:10" x14ac:dyDescent="0.25">
      <c r="A1430" s="1" t="s">
        <v>5214</v>
      </c>
      <c r="B1430" s="19">
        <v>46182</v>
      </c>
      <c r="C1430" s="1" t="s">
        <v>983</v>
      </c>
      <c r="D1430" s="1" t="s">
        <v>21</v>
      </c>
      <c r="E1430" s="1" t="s">
        <v>81</v>
      </c>
      <c r="F1430" s="1">
        <v>6027</v>
      </c>
      <c r="G1430" s="1" t="s">
        <v>355</v>
      </c>
      <c r="H1430" s="1" t="s">
        <v>76</v>
      </c>
      <c r="I1430" s="1" t="s">
        <v>3720</v>
      </c>
      <c r="J1430" s="1" t="s">
        <v>82</v>
      </c>
    </row>
    <row r="1431" spans="1:10" x14ac:dyDescent="0.25">
      <c r="A1431" s="1" t="s">
        <v>5215</v>
      </c>
      <c r="B1431" s="19">
        <v>46182</v>
      </c>
      <c r="C1431" s="1" t="s">
        <v>983</v>
      </c>
      <c r="D1431" s="1" t="s">
        <v>21</v>
      </c>
      <c r="E1431" s="1" t="s">
        <v>81</v>
      </c>
      <c r="F1431" s="1">
        <v>6027</v>
      </c>
      <c r="G1431" s="1" t="s">
        <v>345</v>
      </c>
      <c r="H1431" s="1" t="s">
        <v>76</v>
      </c>
      <c r="I1431" s="1" t="s">
        <v>3720</v>
      </c>
      <c r="J1431" s="1" t="s">
        <v>78</v>
      </c>
    </row>
    <row r="1432" spans="1:10" x14ac:dyDescent="0.25">
      <c r="A1432" s="1" t="s">
        <v>5216</v>
      </c>
      <c r="B1432" s="19">
        <v>46182</v>
      </c>
      <c r="C1432" s="1" t="s">
        <v>983</v>
      </c>
      <c r="D1432" s="1" t="s">
        <v>21</v>
      </c>
      <c r="E1432" s="1" t="s">
        <v>81</v>
      </c>
      <c r="F1432" s="1">
        <v>6027</v>
      </c>
      <c r="G1432" s="1" t="s">
        <v>361</v>
      </c>
      <c r="H1432" s="1" t="s">
        <v>79</v>
      </c>
      <c r="I1432" s="1" t="s">
        <v>3720</v>
      </c>
      <c r="J1432" s="1" t="s">
        <v>4112</v>
      </c>
    </row>
    <row r="1433" spans="1:10" x14ac:dyDescent="0.25">
      <c r="A1433" s="1" t="s">
        <v>5217</v>
      </c>
      <c r="B1433" s="19">
        <v>46182</v>
      </c>
      <c r="C1433" s="1" t="s">
        <v>984</v>
      </c>
      <c r="D1433" s="1" t="s">
        <v>21</v>
      </c>
      <c r="E1433" s="1" t="s">
        <v>81</v>
      </c>
      <c r="F1433" s="1">
        <v>6028</v>
      </c>
      <c r="G1433" s="1" t="s">
        <v>355</v>
      </c>
      <c r="H1433" s="1" t="s">
        <v>76</v>
      </c>
      <c r="I1433" s="1" t="s">
        <v>3720</v>
      </c>
      <c r="J1433" s="1" t="s">
        <v>82</v>
      </c>
    </row>
    <row r="1434" spans="1:10" x14ac:dyDescent="0.25">
      <c r="A1434" s="1" t="s">
        <v>5218</v>
      </c>
      <c r="B1434" s="19">
        <v>46182</v>
      </c>
      <c r="C1434" s="1" t="s">
        <v>984</v>
      </c>
      <c r="D1434" s="1" t="s">
        <v>21</v>
      </c>
      <c r="E1434" s="1" t="s">
        <v>81</v>
      </c>
      <c r="F1434" s="1">
        <v>6028</v>
      </c>
      <c r="G1434" s="1" t="s">
        <v>345</v>
      </c>
      <c r="H1434" s="1" t="s">
        <v>76</v>
      </c>
      <c r="I1434" s="1" t="s">
        <v>3720</v>
      </c>
      <c r="J1434" s="1" t="s">
        <v>78</v>
      </c>
    </row>
    <row r="1435" spans="1:10" x14ac:dyDescent="0.25">
      <c r="A1435" s="1" t="s">
        <v>5219</v>
      </c>
      <c r="B1435" s="19">
        <v>46182</v>
      </c>
      <c r="C1435" s="1" t="s">
        <v>984</v>
      </c>
      <c r="D1435" s="1" t="s">
        <v>21</v>
      </c>
      <c r="E1435" s="1" t="s">
        <v>81</v>
      </c>
      <c r="F1435" s="1">
        <v>6028</v>
      </c>
      <c r="G1435" s="1" t="s">
        <v>361</v>
      </c>
      <c r="H1435" s="1" t="s">
        <v>79</v>
      </c>
      <c r="I1435" s="1" t="s">
        <v>3720</v>
      </c>
      <c r="J1435" s="1" t="s">
        <v>4112</v>
      </c>
    </row>
    <row r="1436" spans="1:10" x14ac:dyDescent="0.25">
      <c r="A1436" s="1" t="s">
        <v>5220</v>
      </c>
      <c r="B1436" s="19">
        <v>46182</v>
      </c>
      <c r="C1436" s="1" t="s">
        <v>985</v>
      </c>
      <c r="D1436" s="1" t="s">
        <v>21</v>
      </c>
      <c r="E1436" s="1" t="s">
        <v>81</v>
      </c>
      <c r="F1436" s="1">
        <v>6029</v>
      </c>
      <c r="G1436" s="1" t="s">
        <v>355</v>
      </c>
      <c r="H1436" s="1" t="s">
        <v>76</v>
      </c>
      <c r="I1436" s="1" t="s">
        <v>3720</v>
      </c>
      <c r="J1436" s="1" t="s">
        <v>82</v>
      </c>
    </row>
    <row r="1437" spans="1:10" x14ac:dyDescent="0.25">
      <c r="A1437" s="1" t="s">
        <v>5221</v>
      </c>
      <c r="B1437" s="19">
        <v>46182</v>
      </c>
      <c r="C1437" s="1" t="s">
        <v>985</v>
      </c>
      <c r="D1437" s="1" t="s">
        <v>21</v>
      </c>
      <c r="E1437" s="1" t="s">
        <v>81</v>
      </c>
      <c r="F1437" s="1">
        <v>6029</v>
      </c>
      <c r="G1437" s="1" t="s">
        <v>345</v>
      </c>
      <c r="H1437" s="1" t="s">
        <v>76</v>
      </c>
      <c r="I1437" s="1" t="s">
        <v>3720</v>
      </c>
      <c r="J1437" s="1" t="s">
        <v>78</v>
      </c>
    </row>
    <row r="1438" spans="1:10" x14ac:dyDescent="0.25">
      <c r="A1438" s="1" t="s">
        <v>5222</v>
      </c>
      <c r="B1438" s="19">
        <v>46182</v>
      </c>
      <c r="C1438" s="1" t="s">
        <v>985</v>
      </c>
      <c r="D1438" s="1" t="s">
        <v>21</v>
      </c>
      <c r="E1438" s="1" t="s">
        <v>81</v>
      </c>
      <c r="F1438" s="1">
        <v>6029</v>
      </c>
      <c r="G1438" s="1" t="s">
        <v>361</v>
      </c>
      <c r="H1438" s="1" t="s">
        <v>79</v>
      </c>
      <c r="I1438" s="1" t="s">
        <v>3720</v>
      </c>
      <c r="J1438" s="1" t="s">
        <v>4112</v>
      </c>
    </row>
    <row r="1439" spans="1:10" x14ac:dyDescent="0.25">
      <c r="A1439" s="1" t="s">
        <v>5223</v>
      </c>
      <c r="B1439" s="19">
        <v>46182</v>
      </c>
      <c r="C1439" s="1" t="s">
        <v>986</v>
      </c>
      <c r="D1439" s="1" t="s">
        <v>21</v>
      </c>
      <c r="E1439" s="1" t="s">
        <v>81</v>
      </c>
      <c r="F1439" s="1">
        <v>6030</v>
      </c>
      <c r="G1439" s="1" t="s">
        <v>355</v>
      </c>
      <c r="H1439" s="1" t="s">
        <v>76</v>
      </c>
      <c r="I1439" s="1" t="s">
        <v>3720</v>
      </c>
      <c r="J1439" s="1" t="s">
        <v>82</v>
      </c>
    </row>
    <row r="1440" spans="1:10" x14ac:dyDescent="0.25">
      <c r="A1440" s="1" t="s">
        <v>5224</v>
      </c>
      <c r="B1440" s="19">
        <v>46182</v>
      </c>
      <c r="C1440" s="1" t="s">
        <v>986</v>
      </c>
      <c r="D1440" s="1" t="s">
        <v>21</v>
      </c>
      <c r="E1440" s="1" t="s">
        <v>81</v>
      </c>
      <c r="F1440" s="1">
        <v>6030</v>
      </c>
      <c r="G1440" s="1" t="s">
        <v>345</v>
      </c>
      <c r="H1440" s="1" t="s">
        <v>76</v>
      </c>
      <c r="I1440" s="1" t="s">
        <v>3720</v>
      </c>
      <c r="J1440" s="1" t="s">
        <v>78</v>
      </c>
    </row>
    <row r="1441" spans="1:10" x14ac:dyDescent="0.25">
      <c r="A1441" s="1" t="s">
        <v>5225</v>
      </c>
      <c r="B1441" s="19">
        <v>46182</v>
      </c>
      <c r="C1441" s="1" t="s">
        <v>986</v>
      </c>
      <c r="D1441" s="1" t="s">
        <v>21</v>
      </c>
      <c r="E1441" s="1" t="s">
        <v>81</v>
      </c>
      <c r="F1441" s="1">
        <v>6030</v>
      </c>
      <c r="G1441" s="1" t="s">
        <v>361</v>
      </c>
      <c r="H1441" s="1" t="s">
        <v>79</v>
      </c>
      <c r="I1441" s="1" t="s">
        <v>3720</v>
      </c>
      <c r="J1441" s="1" t="s">
        <v>4112</v>
      </c>
    </row>
    <row r="1442" spans="1:10" x14ac:dyDescent="0.25">
      <c r="A1442" s="1" t="s">
        <v>5226</v>
      </c>
      <c r="B1442" s="19">
        <v>46182</v>
      </c>
      <c r="C1442" s="1" t="s">
        <v>987</v>
      </c>
      <c r="D1442" s="1" t="s">
        <v>21</v>
      </c>
      <c r="E1442" s="1" t="s">
        <v>81</v>
      </c>
      <c r="F1442" s="1">
        <v>6031</v>
      </c>
      <c r="G1442" s="1" t="s">
        <v>355</v>
      </c>
      <c r="H1442" s="1" t="s">
        <v>76</v>
      </c>
      <c r="I1442" s="1" t="s">
        <v>3720</v>
      </c>
      <c r="J1442" s="1" t="s">
        <v>82</v>
      </c>
    </row>
    <row r="1443" spans="1:10" x14ac:dyDescent="0.25">
      <c r="A1443" s="1" t="s">
        <v>5227</v>
      </c>
      <c r="B1443" s="19">
        <v>46182</v>
      </c>
      <c r="C1443" s="1" t="s">
        <v>987</v>
      </c>
      <c r="D1443" s="1" t="s">
        <v>21</v>
      </c>
      <c r="E1443" s="1" t="s">
        <v>81</v>
      </c>
      <c r="F1443" s="1">
        <v>6031</v>
      </c>
      <c r="G1443" s="1" t="s">
        <v>345</v>
      </c>
      <c r="H1443" s="1" t="s">
        <v>76</v>
      </c>
      <c r="I1443" s="1" t="s">
        <v>3720</v>
      </c>
      <c r="J1443" s="1" t="s">
        <v>78</v>
      </c>
    </row>
    <row r="1444" spans="1:10" x14ac:dyDescent="0.25">
      <c r="A1444" s="1" t="s">
        <v>5228</v>
      </c>
      <c r="B1444" s="19">
        <v>46182</v>
      </c>
      <c r="C1444" s="1" t="s">
        <v>987</v>
      </c>
      <c r="D1444" s="1" t="s">
        <v>21</v>
      </c>
      <c r="E1444" s="1" t="s">
        <v>81</v>
      </c>
      <c r="F1444" s="1">
        <v>6031</v>
      </c>
      <c r="G1444" s="1" t="s">
        <v>361</v>
      </c>
      <c r="H1444" s="1" t="s">
        <v>79</v>
      </c>
      <c r="I1444" s="1" t="s">
        <v>3720</v>
      </c>
      <c r="J1444" s="1" t="s">
        <v>4112</v>
      </c>
    </row>
    <row r="1445" spans="1:10" x14ac:dyDescent="0.25">
      <c r="A1445" s="1" t="s">
        <v>5229</v>
      </c>
      <c r="B1445" s="19">
        <v>46182</v>
      </c>
      <c r="C1445" s="1" t="s">
        <v>988</v>
      </c>
      <c r="D1445" s="1" t="s">
        <v>21</v>
      </c>
      <c r="E1445" s="1" t="s">
        <v>81</v>
      </c>
      <c r="F1445" s="1">
        <v>6032</v>
      </c>
      <c r="G1445" s="1" t="s">
        <v>355</v>
      </c>
      <c r="H1445" s="1" t="s">
        <v>76</v>
      </c>
      <c r="I1445" s="1" t="s">
        <v>3720</v>
      </c>
      <c r="J1445" s="1" t="s">
        <v>82</v>
      </c>
    </row>
    <row r="1446" spans="1:10" x14ac:dyDescent="0.25">
      <c r="A1446" s="1" t="s">
        <v>5230</v>
      </c>
      <c r="B1446" s="19">
        <v>46182</v>
      </c>
      <c r="C1446" s="1" t="s">
        <v>988</v>
      </c>
      <c r="D1446" s="1" t="s">
        <v>21</v>
      </c>
      <c r="E1446" s="1" t="s">
        <v>81</v>
      </c>
      <c r="F1446" s="1">
        <v>6032</v>
      </c>
      <c r="G1446" s="1" t="s">
        <v>345</v>
      </c>
      <c r="H1446" s="1" t="s">
        <v>76</v>
      </c>
      <c r="I1446" s="1" t="s">
        <v>3720</v>
      </c>
      <c r="J1446" s="1" t="s">
        <v>78</v>
      </c>
    </row>
    <row r="1447" spans="1:10" x14ac:dyDescent="0.25">
      <c r="A1447" s="1" t="s">
        <v>5231</v>
      </c>
      <c r="B1447" s="19">
        <v>46182</v>
      </c>
      <c r="C1447" s="1" t="s">
        <v>988</v>
      </c>
      <c r="D1447" s="1" t="s">
        <v>21</v>
      </c>
      <c r="E1447" s="1" t="s">
        <v>81</v>
      </c>
      <c r="F1447" s="1">
        <v>6032</v>
      </c>
      <c r="G1447" s="1" t="s">
        <v>361</v>
      </c>
      <c r="H1447" s="1" t="s">
        <v>79</v>
      </c>
      <c r="I1447" s="1" t="s">
        <v>3720</v>
      </c>
      <c r="J1447" s="1" t="s">
        <v>4112</v>
      </c>
    </row>
    <row r="1448" spans="1:10" x14ac:dyDescent="0.25">
      <c r="A1448" s="1" t="s">
        <v>5232</v>
      </c>
      <c r="B1448" s="19">
        <v>46182</v>
      </c>
      <c r="C1448" s="1" t="s">
        <v>989</v>
      </c>
      <c r="D1448" s="1" t="s">
        <v>21</v>
      </c>
      <c r="E1448" s="1" t="s">
        <v>81</v>
      </c>
      <c r="F1448" s="1">
        <v>6033</v>
      </c>
      <c r="G1448" s="1" t="s">
        <v>355</v>
      </c>
      <c r="H1448" s="1" t="s">
        <v>76</v>
      </c>
      <c r="I1448" s="1" t="s">
        <v>3720</v>
      </c>
      <c r="J1448" s="1" t="s">
        <v>82</v>
      </c>
    </row>
    <row r="1449" spans="1:10" x14ac:dyDescent="0.25">
      <c r="A1449" s="1" t="s">
        <v>5233</v>
      </c>
      <c r="B1449" s="19">
        <v>46182</v>
      </c>
      <c r="C1449" s="1" t="s">
        <v>989</v>
      </c>
      <c r="D1449" s="1" t="s">
        <v>21</v>
      </c>
      <c r="E1449" s="1" t="s">
        <v>81</v>
      </c>
      <c r="F1449" s="1">
        <v>6033</v>
      </c>
      <c r="G1449" s="1" t="s">
        <v>345</v>
      </c>
      <c r="H1449" s="1" t="s">
        <v>76</v>
      </c>
      <c r="I1449" s="1" t="s">
        <v>3720</v>
      </c>
      <c r="J1449" s="1" t="s">
        <v>78</v>
      </c>
    </row>
    <row r="1450" spans="1:10" x14ac:dyDescent="0.25">
      <c r="A1450" s="1" t="s">
        <v>5234</v>
      </c>
      <c r="B1450" s="19">
        <v>46182</v>
      </c>
      <c r="C1450" s="1" t="s">
        <v>989</v>
      </c>
      <c r="D1450" s="1" t="s">
        <v>21</v>
      </c>
      <c r="E1450" s="1" t="s">
        <v>81</v>
      </c>
      <c r="F1450" s="1">
        <v>6033</v>
      </c>
      <c r="G1450" s="1" t="s">
        <v>361</v>
      </c>
      <c r="H1450" s="1" t="s">
        <v>79</v>
      </c>
      <c r="I1450" s="1" t="s">
        <v>3720</v>
      </c>
      <c r="J1450" s="1" t="s">
        <v>4112</v>
      </c>
    </row>
    <row r="1451" spans="1:10" x14ac:dyDescent="0.25">
      <c r="A1451" s="1" t="s">
        <v>5235</v>
      </c>
      <c r="B1451" s="19">
        <v>46182</v>
      </c>
      <c r="C1451" s="1" t="s">
        <v>990</v>
      </c>
      <c r="D1451" s="1" t="s">
        <v>21</v>
      </c>
      <c r="E1451" s="1" t="s">
        <v>81</v>
      </c>
      <c r="F1451" s="1">
        <v>6034</v>
      </c>
      <c r="G1451" s="1" t="s">
        <v>355</v>
      </c>
      <c r="H1451" s="1" t="s">
        <v>76</v>
      </c>
      <c r="I1451" s="1" t="s">
        <v>3720</v>
      </c>
      <c r="J1451" s="1" t="s">
        <v>82</v>
      </c>
    </row>
    <row r="1452" spans="1:10" x14ac:dyDescent="0.25">
      <c r="A1452" s="1" t="s">
        <v>5236</v>
      </c>
      <c r="B1452" s="19">
        <v>46182</v>
      </c>
      <c r="C1452" s="1" t="s">
        <v>990</v>
      </c>
      <c r="D1452" s="1" t="s">
        <v>21</v>
      </c>
      <c r="E1452" s="1" t="s">
        <v>81</v>
      </c>
      <c r="F1452" s="1">
        <v>6034</v>
      </c>
      <c r="G1452" s="1" t="s">
        <v>345</v>
      </c>
      <c r="H1452" s="1" t="s">
        <v>76</v>
      </c>
      <c r="I1452" s="1" t="s">
        <v>3720</v>
      </c>
      <c r="J1452" s="1" t="s">
        <v>78</v>
      </c>
    </row>
    <row r="1453" spans="1:10" x14ac:dyDescent="0.25">
      <c r="A1453" s="1" t="s">
        <v>5237</v>
      </c>
      <c r="B1453" s="19">
        <v>46182</v>
      </c>
      <c r="C1453" s="1" t="s">
        <v>990</v>
      </c>
      <c r="D1453" s="1" t="s">
        <v>21</v>
      </c>
      <c r="E1453" s="1" t="s">
        <v>81</v>
      </c>
      <c r="F1453" s="1">
        <v>6034</v>
      </c>
      <c r="G1453" s="1" t="s">
        <v>361</v>
      </c>
      <c r="H1453" s="1" t="s">
        <v>79</v>
      </c>
      <c r="I1453" s="1" t="s">
        <v>3720</v>
      </c>
      <c r="J1453" s="1" t="s">
        <v>4112</v>
      </c>
    </row>
    <row r="1454" spans="1:10" x14ac:dyDescent="0.25">
      <c r="A1454" s="1" t="s">
        <v>5238</v>
      </c>
      <c r="B1454" s="19">
        <v>46182</v>
      </c>
      <c r="C1454" s="1" t="s">
        <v>991</v>
      </c>
      <c r="D1454" s="1" t="s">
        <v>21</v>
      </c>
      <c r="E1454" s="1" t="s">
        <v>81</v>
      </c>
      <c r="F1454" s="1">
        <v>6035</v>
      </c>
      <c r="G1454" s="1" t="s">
        <v>355</v>
      </c>
      <c r="H1454" s="1" t="s">
        <v>76</v>
      </c>
      <c r="I1454" s="1" t="s">
        <v>3720</v>
      </c>
      <c r="J1454" s="1" t="s">
        <v>82</v>
      </c>
    </row>
    <row r="1455" spans="1:10" x14ac:dyDescent="0.25">
      <c r="A1455" s="1" t="s">
        <v>5239</v>
      </c>
      <c r="B1455" s="19">
        <v>46182</v>
      </c>
      <c r="C1455" s="1" t="s">
        <v>991</v>
      </c>
      <c r="D1455" s="1" t="s">
        <v>21</v>
      </c>
      <c r="E1455" s="1" t="s">
        <v>81</v>
      </c>
      <c r="F1455" s="1">
        <v>6035</v>
      </c>
      <c r="G1455" s="1" t="s">
        <v>345</v>
      </c>
      <c r="H1455" s="1" t="s">
        <v>76</v>
      </c>
      <c r="I1455" s="1" t="s">
        <v>3720</v>
      </c>
      <c r="J1455" s="1" t="s">
        <v>78</v>
      </c>
    </row>
    <row r="1456" spans="1:10" x14ac:dyDescent="0.25">
      <c r="A1456" s="1" t="s">
        <v>5240</v>
      </c>
      <c r="B1456" s="19">
        <v>46182</v>
      </c>
      <c r="C1456" s="1" t="s">
        <v>991</v>
      </c>
      <c r="D1456" s="1" t="s">
        <v>21</v>
      </c>
      <c r="E1456" s="1" t="s">
        <v>81</v>
      </c>
      <c r="F1456" s="1">
        <v>6035</v>
      </c>
      <c r="G1456" s="1" t="s">
        <v>361</v>
      </c>
      <c r="H1456" s="1" t="s">
        <v>79</v>
      </c>
      <c r="I1456" s="1" t="s">
        <v>3720</v>
      </c>
      <c r="J1456" s="1" t="s">
        <v>4112</v>
      </c>
    </row>
    <row r="1457" spans="1:10" x14ac:dyDescent="0.25">
      <c r="A1457" s="1" t="s">
        <v>5241</v>
      </c>
      <c r="B1457" s="19">
        <v>46182</v>
      </c>
      <c r="C1457" s="1" t="s">
        <v>992</v>
      </c>
      <c r="D1457" s="1" t="s">
        <v>21</v>
      </c>
      <c r="E1457" s="1" t="s">
        <v>81</v>
      </c>
      <c r="F1457" s="1">
        <v>6036</v>
      </c>
      <c r="G1457" s="1" t="s">
        <v>355</v>
      </c>
      <c r="H1457" s="1" t="s">
        <v>76</v>
      </c>
      <c r="I1457" s="1" t="s">
        <v>3720</v>
      </c>
      <c r="J1457" s="1" t="s">
        <v>82</v>
      </c>
    </row>
    <row r="1458" spans="1:10" x14ac:dyDescent="0.25">
      <c r="A1458" s="1" t="s">
        <v>5242</v>
      </c>
      <c r="B1458" s="19">
        <v>46182</v>
      </c>
      <c r="C1458" s="1" t="s">
        <v>992</v>
      </c>
      <c r="D1458" s="1" t="s">
        <v>21</v>
      </c>
      <c r="E1458" s="1" t="s">
        <v>81</v>
      </c>
      <c r="F1458" s="1">
        <v>6036</v>
      </c>
      <c r="G1458" s="1" t="s">
        <v>345</v>
      </c>
      <c r="H1458" s="1" t="s">
        <v>76</v>
      </c>
      <c r="I1458" s="1" t="s">
        <v>3720</v>
      </c>
      <c r="J1458" s="1" t="s">
        <v>78</v>
      </c>
    </row>
    <row r="1459" spans="1:10" x14ac:dyDescent="0.25">
      <c r="A1459" s="1" t="s">
        <v>5243</v>
      </c>
      <c r="B1459" s="19">
        <v>46182</v>
      </c>
      <c r="C1459" s="1" t="s">
        <v>992</v>
      </c>
      <c r="D1459" s="1" t="s">
        <v>21</v>
      </c>
      <c r="E1459" s="1" t="s">
        <v>81</v>
      </c>
      <c r="F1459" s="1">
        <v>6036</v>
      </c>
      <c r="G1459" s="1" t="s">
        <v>361</v>
      </c>
      <c r="H1459" s="1" t="s">
        <v>79</v>
      </c>
      <c r="I1459" s="1" t="s">
        <v>3720</v>
      </c>
      <c r="J1459" s="1" t="s">
        <v>4112</v>
      </c>
    </row>
    <row r="1460" spans="1:10" x14ac:dyDescent="0.25">
      <c r="A1460" s="1" t="s">
        <v>5244</v>
      </c>
      <c r="B1460" s="19">
        <v>46182</v>
      </c>
      <c r="C1460" s="1" t="s">
        <v>993</v>
      </c>
      <c r="D1460" s="1" t="s">
        <v>21</v>
      </c>
      <c r="E1460" s="1" t="s">
        <v>81</v>
      </c>
      <c r="F1460" s="1">
        <v>6037</v>
      </c>
      <c r="G1460" s="1" t="s">
        <v>355</v>
      </c>
      <c r="H1460" s="1" t="s">
        <v>76</v>
      </c>
      <c r="I1460" s="1" t="s">
        <v>3720</v>
      </c>
      <c r="J1460" s="1" t="s">
        <v>82</v>
      </c>
    </row>
    <row r="1461" spans="1:10" x14ac:dyDescent="0.25">
      <c r="A1461" s="1" t="s">
        <v>5245</v>
      </c>
      <c r="B1461" s="19">
        <v>46182</v>
      </c>
      <c r="C1461" s="1" t="s">
        <v>993</v>
      </c>
      <c r="D1461" s="1" t="s">
        <v>21</v>
      </c>
      <c r="E1461" s="1" t="s">
        <v>81</v>
      </c>
      <c r="F1461" s="1">
        <v>6037</v>
      </c>
      <c r="G1461" s="1" t="s">
        <v>345</v>
      </c>
      <c r="H1461" s="1" t="s">
        <v>76</v>
      </c>
      <c r="I1461" s="1" t="s">
        <v>3720</v>
      </c>
      <c r="J1461" s="1" t="s">
        <v>78</v>
      </c>
    </row>
    <row r="1462" spans="1:10" x14ac:dyDescent="0.25">
      <c r="A1462" s="1" t="s">
        <v>5246</v>
      </c>
      <c r="B1462" s="19">
        <v>46182</v>
      </c>
      <c r="C1462" s="1" t="s">
        <v>993</v>
      </c>
      <c r="D1462" s="1" t="s">
        <v>21</v>
      </c>
      <c r="E1462" s="1" t="s">
        <v>81</v>
      </c>
      <c r="F1462" s="1">
        <v>6037</v>
      </c>
      <c r="G1462" s="1" t="s">
        <v>361</v>
      </c>
      <c r="H1462" s="1" t="s">
        <v>79</v>
      </c>
      <c r="I1462" s="1" t="s">
        <v>3720</v>
      </c>
      <c r="J1462" s="1" t="s">
        <v>4112</v>
      </c>
    </row>
    <row r="1463" spans="1:10" x14ac:dyDescent="0.25">
      <c r="A1463" s="1" t="s">
        <v>5247</v>
      </c>
      <c r="B1463" s="19">
        <v>46182</v>
      </c>
      <c r="C1463" s="1" t="s">
        <v>994</v>
      </c>
      <c r="D1463" s="1" t="s">
        <v>21</v>
      </c>
      <c r="E1463" s="1" t="s">
        <v>81</v>
      </c>
      <c r="F1463" s="1">
        <v>6038</v>
      </c>
      <c r="G1463" s="1" t="s">
        <v>355</v>
      </c>
      <c r="H1463" s="1" t="s">
        <v>76</v>
      </c>
      <c r="I1463" s="1" t="s">
        <v>3720</v>
      </c>
      <c r="J1463" s="1" t="s">
        <v>82</v>
      </c>
    </row>
    <row r="1464" spans="1:10" x14ac:dyDescent="0.25">
      <c r="A1464" s="1" t="s">
        <v>5248</v>
      </c>
      <c r="B1464" s="19">
        <v>46182</v>
      </c>
      <c r="C1464" s="1" t="s">
        <v>994</v>
      </c>
      <c r="D1464" s="1" t="s">
        <v>21</v>
      </c>
      <c r="E1464" s="1" t="s">
        <v>81</v>
      </c>
      <c r="F1464" s="1">
        <v>6038</v>
      </c>
      <c r="G1464" s="1" t="s">
        <v>345</v>
      </c>
      <c r="H1464" s="1" t="s">
        <v>76</v>
      </c>
      <c r="I1464" s="1" t="s">
        <v>3720</v>
      </c>
      <c r="J1464" s="1" t="s">
        <v>78</v>
      </c>
    </row>
    <row r="1465" spans="1:10" x14ac:dyDescent="0.25">
      <c r="A1465" s="1" t="s">
        <v>5249</v>
      </c>
      <c r="B1465" s="19">
        <v>46182</v>
      </c>
      <c r="C1465" s="1" t="s">
        <v>994</v>
      </c>
      <c r="D1465" s="1" t="s">
        <v>21</v>
      </c>
      <c r="E1465" s="1" t="s">
        <v>81</v>
      </c>
      <c r="F1465" s="1">
        <v>6038</v>
      </c>
      <c r="G1465" s="1" t="s">
        <v>361</v>
      </c>
      <c r="H1465" s="1" t="s">
        <v>79</v>
      </c>
      <c r="I1465" s="1" t="s">
        <v>3720</v>
      </c>
      <c r="J1465" s="1" t="s">
        <v>4112</v>
      </c>
    </row>
    <row r="1466" spans="1:10" x14ac:dyDescent="0.25">
      <c r="A1466" s="1" t="s">
        <v>5250</v>
      </c>
      <c r="B1466" s="19">
        <v>46182</v>
      </c>
      <c r="C1466" s="1" t="s">
        <v>995</v>
      </c>
      <c r="D1466" s="1" t="s">
        <v>21</v>
      </c>
      <c r="E1466" s="1" t="s">
        <v>81</v>
      </c>
      <c r="F1466" s="1">
        <v>6039</v>
      </c>
      <c r="G1466" s="1" t="s">
        <v>355</v>
      </c>
      <c r="H1466" s="1" t="s">
        <v>76</v>
      </c>
      <c r="I1466" s="1" t="s">
        <v>3720</v>
      </c>
      <c r="J1466" s="1" t="s">
        <v>82</v>
      </c>
    </row>
    <row r="1467" spans="1:10" x14ac:dyDescent="0.25">
      <c r="A1467" s="1" t="s">
        <v>5251</v>
      </c>
      <c r="B1467" s="19">
        <v>46182</v>
      </c>
      <c r="C1467" s="1" t="s">
        <v>995</v>
      </c>
      <c r="D1467" s="1" t="s">
        <v>21</v>
      </c>
      <c r="E1467" s="1" t="s">
        <v>81</v>
      </c>
      <c r="F1467" s="1">
        <v>6039</v>
      </c>
      <c r="G1467" s="1" t="s">
        <v>345</v>
      </c>
      <c r="H1467" s="1" t="s">
        <v>76</v>
      </c>
      <c r="I1467" s="1" t="s">
        <v>3720</v>
      </c>
      <c r="J1467" s="1" t="s">
        <v>78</v>
      </c>
    </row>
    <row r="1468" spans="1:10" x14ac:dyDescent="0.25">
      <c r="A1468" s="1" t="s">
        <v>5252</v>
      </c>
      <c r="B1468" s="19">
        <v>46182</v>
      </c>
      <c r="C1468" s="1" t="s">
        <v>995</v>
      </c>
      <c r="D1468" s="1" t="s">
        <v>21</v>
      </c>
      <c r="E1468" s="1" t="s">
        <v>81</v>
      </c>
      <c r="F1468" s="1">
        <v>6039</v>
      </c>
      <c r="G1468" s="1" t="s">
        <v>361</v>
      </c>
      <c r="H1468" s="1" t="s">
        <v>79</v>
      </c>
      <c r="I1468" s="1" t="s">
        <v>3720</v>
      </c>
      <c r="J1468" s="1" t="s">
        <v>4112</v>
      </c>
    </row>
    <row r="1469" spans="1:10" x14ac:dyDescent="0.25">
      <c r="A1469" s="1" t="s">
        <v>5253</v>
      </c>
      <c r="B1469" s="19">
        <v>46182</v>
      </c>
      <c r="C1469" s="1" t="s">
        <v>996</v>
      </c>
      <c r="D1469" s="1" t="s">
        <v>21</v>
      </c>
      <c r="E1469" s="1" t="s">
        <v>81</v>
      </c>
      <c r="F1469" s="1">
        <v>6040</v>
      </c>
      <c r="G1469" s="1" t="s">
        <v>355</v>
      </c>
      <c r="H1469" s="1" t="s">
        <v>76</v>
      </c>
      <c r="I1469" s="1" t="s">
        <v>3720</v>
      </c>
      <c r="J1469" s="1" t="s">
        <v>82</v>
      </c>
    </row>
    <row r="1470" spans="1:10" x14ac:dyDescent="0.25">
      <c r="A1470" s="1" t="s">
        <v>5254</v>
      </c>
      <c r="B1470" s="19">
        <v>46182</v>
      </c>
      <c r="C1470" s="1" t="s">
        <v>996</v>
      </c>
      <c r="D1470" s="1" t="s">
        <v>21</v>
      </c>
      <c r="E1470" s="1" t="s">
        <v>81</v>
      </c>
      <c r="F1470" s="1">
        <v>6040</v>
      </c>
      <c r="G1470" s="1" t="s">
        <v>345</v>
      </c>
      <c r="H1470" s="1" t="s">
        <v>76</v>
      </c>
      <c r="I1470" s="1" t="s">
        <v>3720</v>
      </c>
      <c r="J1470" s="1" t="s">
        <v>78</v>
      </c>
    </row>
    <row r="1471" spans="1:10" x14ac:dyDescent="0.25">
      <c r="A1471" s="1" t="s">
        <v>5255</v>
      </c>
      <c r="B1471" s="19">
        <v>46182</v>
      </c>
      <c r="C1471" s="1" t="s">
        <v>996</v>
      </c>
      <c r="D1471" s="1" t="s">
        <v>21</v>
      </c>
      <c r="E1471" s="1" t="s">
        <v>81</v>
      </c>
      <c r="F1471" s="1">
        <v>6040</v>
      </c>
      <c r="G1471" s="1" t="s">
        <v>361</v>
      </c>
      <c r="H1471" s="1" t="s">
        <v>79</v>
      </c>
      <c r="I1471" s="1" t="s">
        <v>3720</v>
      </c>
      <c r="J1471" s="1" t="s">
        <v>4112</v>
      </c>
    </row>
    <row r="1472" spans="1:10" x14ac:dyDescent="0.25">
      <c r="A1472" s="1" t="s">
        <v>5256</v>
      </c>
      <c r="B1472" s="19">
        <v>46182</v>
      </c>
      <c r="C1472" s="1" t="s">
        <v>997</v>
      </c>
      <c r="D1472" s="1" t="s">
        <v>21</v>
      </c>
      <c r="E1472" s="1" t="s">
        <v>81</v>
      </c>
      <c r="F1472" s="1">
        <v>6041</v>
      </c>
      <c r="G1472" s="1" t="s">
        <v>355</v>
      </c>
      <c r="H1472" s="1" t="s">
        <v>76</v>
      </c>
      <c r="I1472" s="1" t="s">
        <v>3720</v>
      </c>
      <c r="J1472" s="1" t="s">
        <v>82</v>
      </c>
    </row>
    <row r="1473" spans="1:10" x14ac:dyDescent="0.25">
      <c r="A1473" s="1" t="s">
        <v>5257</v>
      </c>
      <c r="B1473" s="19">
        <v>46182</v>
      </c>
      <c r="C1473" s="1" t="s">
        <v>997</v>
      </c>
      <c r="D1473" s="1" t="s">
        <v>21</v>
      </c>
      <c r="E1473" s="1" t="s">
        <v>81</v>
      </c>
      <c r="F1473" s="1">
        <v>6041</v>
      </c>
      <c r="G1473" s="1" t="s">
        <v>345</v>
      </c>
      <c r="H1473" s="1" t="s">
        <v>76</v>
      </c>
      <c r="I1473" s="1" t="s">
        <v>3720</v>
      </c>
      <c r="J1473" s="1" t="s">
        <v>78</v>
      </c>
    </row>
    <row r="1474" spans="1:10" x14ac:dyDescent="0.25">
      <c r="A1474" s="1" t="s">
        <v>5258</v>
      </c>
      <c r="B1474" s="19">
        <v>46182</v>
      </c>
      <c r="C1474" s="1" t="s">
        <v>997</v>
      </c>
      <c r="D1474" s="1" t="s">
        <v>21</v>
      </c>
      <c r="E1474" s="1" t="s">
        <v>81</v>
      </c>
      <c r="F1474" s="1">
        <v>6041</v>
      </c>
      <c r="G1474" s="1" t="s">
        <v>361</v>
      </c>
      <c r="H1474" s="1" t="s">
        <v>79</v>
      </c>
      <c r="I1474" s="1" t="s">
        <v>3720</v>
      </c>
      <c r="J1474" s="1" t="s">
        <v>4112</v>
      </c>
    </row>
    <row r="1475" spans="1:10" x14ac:dyDescent="0.25">
      <c r="A1475" s="1" t="s">
        <v>5259</v>
      </c>
      <c r="B1475" s="19">
        <v>46182</v>
      </c>
      <c r="C1475" s="1" t="s">
        <v>998</v>
      </c>
      <c r="D1475" s="1" t="s">
        <v>21</v>
      </c>
      <c r="E1475" s="1" t="s">
        <v>81</v>
      </c>
      <c r="F1475" s="1">
        <v>6042</v>
      </c>
      <c r="G1475" s="1" t="s">
        <v>355</v>
      </c>
      <c r="H1475" s="1" t="s">
        <v>76</v>
      </c>
      <c r="I1475" s="1" t="s">
        <v>3720</v>
      </c>
      <c r="J1475" s="1" t="s">
        <v>82</v>
      </c>
    </row>
    <row r="1476" spans="1:10" x14ac:dyDescent="0.25">
      <c r="A1476" s="1" t="s">
        <v>5260</v>
      </c>
      <c r="B1476" s="19">
        <v>46182</v>
      </c>
      <c r="C1476" s="1" t="s">
        <v>998</v>
      </c>
      <c r="D1476" s="1" t="s">
        <v>21</v>
      </c>
      <c r="E1476" s="1" t="s">
        <v>81</v>
      </c>
      <c r="F1476" s="1">
        <v>6042</v>
      </c>
      <c r="G1476" s="1" t="s">
        <v>345</v>
      </c>
      <c r="H1476" s="1" t="s">
        <v>76</v>
      </c>
      <c r="I1476" s="1" t="s">
        <v>3720</v>
      </c>
      <c r="J1476" s="1" t="s">
        <v>78</v>
      </c>
    </row>
    <row r="1477" spans="1:10" x14ac:dyDescent="0.25">
      <c r="A1477" s="1" t="s">
        <v>5261</v>
      </c>
      <c r="B1477" s="19">
        <v>46182</v>
      </c>
      <c r="C1477" s="1" t="s">
        <v>998</v>
      </c>
      <c r="D1477" s="1" t="s">
        <v>21</v>
      </c>
      <c r="E1477" s="1" t="s">
        <v>81</v>
      </c>
      <c r="F1477" s="1">
        <v>6042</v>
      </c>
      <c r="G1477" s="1" t="s">
        <v>361</v>
      </c>
      <c r="H1477" s="1" t="s">
        <v>79</v>
      </c>
      <c r="I1477" s="1" t="s">
        <v>3720</v>
      </c>
      <c r="J1477" s="1" t="s">
        <v>4112</v>
      </c>
    </row>
    <row r="1478" spans="1:10" x14ac:dyDescent="0.25">
      <c r="A1478" s="1" t="s">
        <v>5262</v>
      </c>
      <c r="B1478" s="19">
        <v>46182</v>
      </c>
      <c r="C1478" s="1" t="s">
        <v>999</v>
      </c>
      <c r="D1478" s="1" t="s">
        <v>21</v>
      </c>
      <c r="E1478" s="1" t="s">
        <v>81</v>
      </c>
      <c r="F1478" s="1">
        <v>6043</v>
      </c>
      <c r="G1478" s="1" t="s">
        <v>355</v>
      </c>
      <c r="H1478" s="1" t="s">
        <v>76</v>
      </c>
      <c r="I1478" s="1" t="s">
        <v>3720</v>
      </c>
      <c r="J1478" s="1" t="s">
        <v>82</v>
      </c>
    </row>
    <row r="1479" spans="1:10" x14ac:dyDescent="0.25">
      <c r="A1479" s="1" t="s">
        <v>5263</v>
      </c>
      <c r="B1479" s="19">
        <v>46182</v>
      </c>
      <c r="C1479" s="1" t="s">
        <v>999</v>
      </c>
      <c r="D1479" s="1" t="s">
        <v>21</v>
      </c>
      <c r="E1479" s="1" t="s">
        <v>81</v>
      </c>
      <c r="F1479" s="1">
        <v>6043</v>
      </c>
      <c r="G1479" s="1" t="s">
        <v>345</v>
      </c>
      <c r="H1479" s="1" t="s">
        <v>76</v>
      </c>
      <c r="I1479" s="1" t="s">
        <v>3720</v>
      </c>
      <c r="J1479" s="1" t="s">
        <v>78</v>
      </c>
    </row>
    <row r="1480" spans="1:10" x14ac:dyDescent="0.25">
      <c r="A1480" s="1" t="s">
        <v>5264</v>
      </c>
      <c r="B1480" s="19">
        <v>46182</v>
      </c>
      <c r="C1480" s="1" t="s">
        <v>999</v>
      </c>
      <c r="D1480" s="1" t="s">
        <v>21</v>
      </c>
      <c r="E1480" s="1" t="s">
        <v>81</v>
      </c>
      <c r="F1480" s="1">
        <v>6043</v>
      </c>
      <c r="G1480" s="1" t="s">
        <v>361</v>
      </c>
      <c r="H1480" s="1" t="s">
        <v>79</v>
      </c>
      <c r="I1480" s="1" t="s">
        <v>3720</v>
      </c>
      <c r="J1480" s="1" t="s">
        <v>4112</v>
      </c>
    </row>
    <row r="1481" spans="1:10" x14ac:dyDescent="0.25">
      <c r="A1481" s="1" t="s">
        <v>5265</v>
      </c>
      <c r="B1481" s="19">
        <v>46182</v>
      </c>
      <c r="C1481" s="1" t="s">
        <v>1000</v>
      </c>
      <c r="D1481" s="1" t="s">
        <v>21</v>
      </c>
      <c r="E1481" s="1" t="s">
        <v>81</v>
      </c>
      <c r="F1481" s="1">
        <v>6044</v>
      </c>
      <c r="G1481" s="1" t="s">
        <v>355</v>
      </c>
      <c r="H1481" s="1" t="s">
        <v>76</v>
      </c>
      <c r="I1481" s="1" t="s">
        <v>3720</v>
      </c>
      <c r="J1481" s="1" t="s">
        <v>82</v>
      </c>
    </row>
    <row r="1482" spans="1:10" x14ac:dyDescent="0.25">
      <c r="A1482" s="1" t="s">
        <v>5266</v>
      </c>
      <c r="B1482" s="19">
        <v>46182</v>
      </c>
      <c r="C1482" s="1" t="s">
        <v>1000</v>
      </c>
      <c r="D1482" s="1" t="s">
        <v>21</v>
      </c>
      <c r="E1482" s="1" t="s">
        <v>81</v>
      </c>
      <c r="F1482" s="1">
        <v>6044</v>
      </c>
      <c r="G1482" s="1" t="s">
        <v>345</v>
      </c>
      <c r="H1482" s="1" t="s">
        <v>76</v>
      </c>
      <c r="I1482" s="1" t="s">
        <v>3720</v>
      </c>
      <c r="J1482" s="1" t="s">
        <v>78</v>
      </c>
    </row>
    <row r="1483" spans="1:10" x14ac:dyDescent="0.25">
      <c r="A1483" s="1" t="s">
        <v>5267</v>
      </c>
      <c r="B1483" s="19">
        <v>46182</v>
      </c>
      <c r="C1483" s="1" t="s">
        <v>1000</v>
      </c>
      <c r="D1483" s="1" t="s">
        <v>21</v>
      </c>
      <c r="E1483" s="1" t="s">
        <v>81</v>
      </c>
      <c r="F1483" s="1">
        <v>6044</v>
      </c>
      <c r="G1483" s="1" t="s">
        <v>361</v>
      </c>
      <c r="H1483" s="1" t="s">
        <v>79</v>
      </c>
      <c r="I1483" s="1" t="s">
        <v>3720</v>
      </c>
      <c r="J1483" s="1" t="s">
        <v>4112</v>
      </c>
    </row>
    <row r="1484" spans="1:10" x14ac:dyDescent="0.25">
      <c r="A1484" s="1" t="s">
        <v>5268</v>
      </c>
      <c r="B1484" s="19">
        <v>46182</v>
      </c>
      <c r="C1484" s="1" t="s">
        <v>1001</v>
      </c>
      <c r="D1484" s="1" t="s">
        <v>21</v>
      </c>
      <c r="E1484" s="1" t="s">
        <v>81</v>
      </c>
      <c r="F1484" s="1">
        <v>6045</v>
      </c>
      <c r="G1484" s="1" t="s">
        <v>355</v>
      </c>
      <c r="H1484" s="1" t="s">
        <v>76</v>
      </c>
      <c r="I1484" s="1" t="s">
        <v>3720</v>
      </c>
      <c r="J1484" s="1" t="s">
        <v>82</v>
      </c>
    </row>
    <row r="1485" spans="1:10" x14ac:dyDescent="0.25">
      <c r="A1485" s="1" t="s">
        <v>5269</v>
      </c>
      <c r="B1485" s="19">
        <v>46182</v>
      </c>
      <c r="C1485" s="1" t="s">
        <v>1001</v>
      </c>
      <c r="D1485" s="1" t="s">
        <v>21</v>
      </c>
      <c r="E1485" s="1" t="s">
        <v>81</v>
      </c>
      <c r="F1485" s="1">
        <v>6045</v>
      </c>
      <c r="G1485" s="1" t="s">
        <v>345</v>
      </c>
      <c r="H1485" s="1" t="s">
        <v>76</v>
      </c>
      <c r="I1485" s="1" t="s">
        <v>3720</v>
      </c>
      <c r="J1485" s="1" t="s">
        <v>78</v>
      </c>
    </row>
    <row r="1486" spans="1:10" x14ac:dyDescent="0.25">
      <c r="A1486" s="1" t="s">
        <v>5270</v>
      </c>
      <c r="B1486" s="19">
        <v>46182</v>
      </c>
      <c r="C1486" s="1" t="s">
        <v>1001</v>
      </c>
      <c r="D1486" s="1" t="s">
        <v>21</v>
      </c>
      <c r="E1486" s="1" t="s">
        <v>81</v>
      </c>
      <c r="F1486" s="1">
        <v>6045</v>
      </c>
      <c r="G1486" s="1" t="s">
        <v>361</v>
      </c>
      <c r="H1486" s="1" t="s">
        <v>79</v>
      </c>
      <c r="I1486" s="1" t="s">
        <v>3720</v>
      </c>
      <c r="J1486" s="1" t="s">
        <v>4112</v>
      </c>
    </row>
    <row r="1487" spans="1:10" x14ac:dyDescent="0.25">
      <c r="A1487" s="1" t="s">
        <v>5271</v>
      </c>
      <c r="B1487" s="19">
        <v>46182</v>
      </c>
      <c r="C1487" s="1" t="s">
        <v>1002</v>
      </c>
      <c r="D1487" s="1" t="s">
        <v>21</v>
      </c>
      <c r="E1487" s="1" t="s">
        <v>81</v>
      </c>
      <c r="F1487" s="1">
        <v>6046</v>
      </c>
      <c r="G1487" s="1" t="s">
        <v>355</v>
      </c>
      <c r="H1487" s="1" t="s">
        <v>76</v>
      </c>
      <c r="I1487" s="1" t="s">
        <v>3720</v>
      </c>
      <c r="J1487" s="1" t="s">
        <v>82</v>
      </c>
    </row>
    <row r="1488" spans="1:10" x14ac:dyDescent="0.25">
      <c r="A1488" s="1" t="s">
        <v>5272</v>
      </c>
      <c r="B1488" s="19">
        <v>46182</v>
      </c>
      <c r="C1488" s="1" t="s">
        <v>1002</v>
      </c>
      <c r="D1488" s="1" t="s">
        <v>21</v>
      </c>
      <c r="E1488" s="1" t="s">
        <v>81</v>
      </c>
      <c r="F1488" s="1">
        <v>6046</v>
      </c>
      <c r="G1488" s="1" t="s">
        <v>345</v>
      </c>
      <c r="H1488" s="1" t="s">
        <v>76</v>
      </c>
      <c r="I1488" s="1" t="s">
        <v>3720</v>
      </c>
      <c r="J1488" s="1" t="s">
        <v>78</v>
      </c>
    </row>
    <row r="1489" spans="1:10" x14ac:dyDescent="0.25">
      <c r="A1489" s="1" t="s">
        <v>5273</v>
      </c>
      <c r="B1489" s="19">
        <v>46182</v>
      </c>
      <c r="C1489" s="1" t="s">
        <v>1002</v>
      </c>
      <c r="D1489" s="1" t="s">
        <v>21</v>
      </c>
      <c r="E1489" s="1" t="s">
        <v>81</v>
      </c>
      <c r="F1489" s="1">
        <v>6046</v>
      </c>
      <c r="G1489" s="1" t="s">
        <v>361</v>
      </c>
      <c r="H1489" s="1" t="s">
        <v>79</v>
      </c>
      <c r="I1489" s="1" t="s">
        <v>3720</v>
      </c>
      <c r="J1489" s="1" t="s">
        <v>4112</v>
      </c>
    </row>
    <row r="1490" spans="1:10" x14ac:dyDescent="0.25">
      <c r="A1490" s="1" t="s">
        <v>5274</v>
      </c>
      <c r="B1490" s="19">
        <v>46182</v>
      </c>
      <c r="C1490" s="1" t="s">
        <v>1003</v>
      </c>
      <c r="D1490" s="1" t="s">
        <v>21</v>
      </c>
      <c r="E1490" s="1" t="s">
        <v>81</v>
      </c>
      <c r="F1490" s="1">
        <v>6047</v>
      </c>
      <c r="G1490" s="1" t="s">
        <v>355</v>
      </c>
      <c r="H1490" s="1" t="s">
        <v>76</v>
      </c>
      <c r="I1490" s="1" t="s">
        <v>3720</v>
      </c>
      <c r="J1490" s="1" t="s">
        <v>82</v>
      </c>
    </row>
    <row r="1491" spans="1:10" x14ac:dyDescent="0.25">
      <c r="A1491" s="1" t="s">
        <v>5275</v>
      </c>
      <c r="B1491" s="19">
        <v>46182</v>
      </c>
      <c r="C1491" s="1" t="s">
        <v>1003</v>
      </c>
      <c r="D1491" s="1" t="s">
        <v>21</v>
      </c>
      <c r="E1491" s="1" t="s">
        <v>81</v>
      </c>
      <c r="F1491" s="1">
        <v>6047</v>
      </c>
      <c r="G1491" s="1" t="s">
        <v>345</v>
      </c>
      <c r="H1491" s="1" t="s">
        <v>76</v>
      </c>
      <c r="I1491" s="1" t="s">
        <v>3720</v>
      </c>
      <c r="J1491" s="1" t="s">
        <v>78</v>
      </c>
    </row>
    <row r="1492" spans="1:10" x14ac:dyDescent="0.25">
      <c r="A1492" s="1" t="s">
        <v>5276</v>
      </c>
      <c r="B1492" s="19">
        <v>46182</v>
      </c>
      <c r="C1492" s="1" t="s">
        <v>1003</v>
      </c>
      <c r="D1492" s="1" t="s">
        <v>21</v>
      </c>
      <c r="E1492" s="1" t="s">
        <v>81</v>
      </c>
      <c r="F1492" s="1">
        <v>6047</v>
      </c>
      <c r="G1492" s="1" t="s">
        <v>361</v>
      </c>
      <c r="H1492" s="1" t="s">
        <v>79</v>
      </c>
      <c r="I1492" s="1" t="s">
        <v>3720</v>
      </c>
      <c r="J1492" s="1" t="s">
        <v>4112</v>
      </c>
    </row>
    <row r="1493" spans="1:10" x14ac:dyDescent="0.25">
      <c r="A1493" s="1" t="s">
        <v>5277</v>
      </c>
      <c r="B1493" s="19">
        <v>46182</v>
      </c>
      <c r="C1493" s="1" t="s">
        <v>1004</v>
      </c>
      <c r="D1493" s="1" t="s">
        <v>21</v>
      </c>
      <c r="E1493" s="1" t="s">
        <v>81</v>
      </c>
      <c r="F1493" s="1">
        <v>6048</v>
      </c>
      <c r="G1493" s="1" t="s">
        <v>355</v>
      </c>
      <c r="H1493" s="1" t="s">
        <v>76</v>
      </c>
      <c r="I1493" s="1" t="s">
        <v>3720</v>
      </c>
      <c r="J1493" s="1" t="s">
        <v>82</v>
      </c>
    </row>
    <row r="1494" spans="1:10" x14ac:dyDescent="0.25">
      <c r="A1494" s="1" t="s">
        <v>5278</v>
      </c>
      <c r="B1494" s="19">
        <v>46182</v>
      </c>
      <c r="C1494" s="1" t="s">
        <v>1004</v>
      </c>
      <c r="D1494" s="1" t="s">
        <v>21</v>
      </c>
      <c r="E1494" s="1" t="s">
        <v>81</v>
      </c>
      <c r="F1494" s="1">
        <v>6048</v>
      </c>
      <c r="G1494" s="1" t="s">
        <v>345</v>
      </c>
      <c r="H1494" s="1" t="s">
        <v>76</v>
      </c>
      <c r="I1494" s="1" t="s">
        <v>3720</v>
      </c>
      <c r="J1494" s="1" t="s">
        <v>78</v>
      </c>
    </row>
    <row r="1495" spans="1:10" x14ac:dyDescent="0.25">
      <c r="A1495" s="1" t="s">
        <v>5279</v>
      </c>
      <c r="B1495" s="19">
        <v>46182</v>
      </c>
      <c r="C1495" s="1" t="s">
        <v>1004</v>
      </c>
      <c r="D1495" s="1" t="s">
        <v>21</v>
      </c>
      <c r="E1495" s="1" t="s">
        <v>81</v>
      </c>
      <c r="F1495" s="1">
        <v>6048</v>
      </c>
      <c r="G1495" s="1" t="s">
        <v>361</v>
      </c>
      <c r="H1495" s="1" t="s">
        <v>79</v>
      </c>
      <c r="I1495" s="1" t="s">
        <v>3720</v>
      </c>
      <c r="J1495" s="1" t="s">
        <v>4112</v>
      </c>
    </row>
    <row r="1496" spans="1:10" x14ac:dyDescent="0.25">
      <c r="A1496" s="1" t="s">
        <v>5280</v>
      </c>
      <c r="B1496" s="19">
        <v>46182</v>
      </c>
      <c r="C1496" s="1" t="s">
        <v>1005</v>
      </c>
      <c r="D1496" s="1" t="s">
        <v>21</v>
      </c>
      <c r="E1496" s="1" t="s">
        <v>81</v>
      </c>
      <c r="F1496" s="1">
        <v>6049</v>
      </c>
      <c r="G1496" s="1" t="s">
        <v>355</v>
      </c>
      <c r="H1496" s="1" t="s">
        <v>76</v>
      </c>
      <c r="I1496" s="1" t="s">
        <v>3720</v>
      </c>
      <c r="J1496" s="1" t="s">
        <v>82</v>
      </c>
    </row>
    <row r="1497" spans="1:10" x14ac:dyDescent="0.25">
      <c r="A1497" s="1" t="s">
        <v>5281</v>
      </c>
      <c r="B1497" s="19">
        <v>46182</v>
      </c>
      <c r="C1497" s="1" t="s">
        <v>1005</v>
      </c>
      <c r="D1497" s="1" t="s">
        <v>21</v>
      </c>
      <c r="E1497" s="1" t="s">
        <v>81</v>
      </c>
      <c r="F1497" s="1">
        <v>6049</v>
      </c>
      <c r="G1497" s="1" t="s">
        <v>345</v>
      </c>
      <c r="H1497" s="1" t="s">
        <v>76</v>
      </c>
      <c r="I1497" s="1" t="s">
        <v>3720</v>
      </c>
      <c r="J1497" s="1" t="s">
        <v>78</v>
      </c>
    </row>
    <row r="1498" spans="1:10" x14ac:dyDescent="0.25">
      <c r="A1498" s="1" t="s">
        <v>5282</v>
      </c>
      <c r="B1498" s="19">
        <v>46182</v>
      </c>
      <c r="C1498" s="1" t="s">
        <v>1005</v>
      </c>
      <c r="D1498" s="1" t="s">
        <v>21</v>
      </c>
      <c r="E1498" s="1" t="s">
        <v>81</v>
      </c>
      <c r="F1498" s="1">
        <v>6049</v>
      </c>
      <c r="G1498" s="1" t="s">
        <v>361</v>
      </c>
      <c r="H1498" s="1" t="s">
        <v>79</v>
      </c>
      <c r="I1498" s="1" t="s">
        <v>3720</v>
      </c>
      <c r="J1498" s="1" t="s">
        <v>4112</v>
      </c>
    </row>
    <row r="1499" spans="1:10" x14ac:dyDescent="0.25">
      <c r="A1499" s="1" t="s">
        <v>5283</v>
      </c>
      <c r="B1499" s="19">
        <v>46182</v>
      </c>
      <c r="C1499" s="1" t="s">
        <v>1006</v>
      </c>
      <c r="D1499" s="1" t="s">
        <v>21</v>
      </c>
      <c r="E1499" s="1" t="s">
        <v>81</v>
      </c>
      <c r="F1499" s="1">
        <v>6050</v>
      </c>
      <c r="G1499" s="1" t="s">
        <v>355</v>
      </c>
      <c r="H1499" s="1" t="s">
        <v>76</v>
      </c>
      <c r="I1499" s="1" t="s">
        <v>3720</v>
      </c>
      <c r="J1499" s="1" t="s">
        <v>82</v>
      </c>
    </row>
    <row r="1500" spans="1:10" x14ac:dyDescent="0.25">
      <c r="A1500" s="1" t="s">
        <v>5284</v>
      </c>
      <c r="B1500" s="19">
        <v>46182</v>
      </c>
      <c r="C1500" s="1" t="s">
        <v>1006</v>
      </c>
      <c r="D1500" s="1" t="s">
        <v>21</v>
      </c>
      <c r="E1500" s="1" t="s">
        <v>81</v>
      </c>
      <c r="F1500" s="1">
        <v>6050</v>
      </c>
      <c r="G1500" s="1" t="s">
        <v>345</v>
      </c>
      <c r="H1500" s="1" t="s">
        <v>76</v>
      </c>
      <c r="I1500" s="1" t="s">
        <v>3720</v>
      </c>
      <c r="J1500" s="1" t="s">
        <v>78</v>
      </c>
    </row>
    <row r="1501" spans="1:10" x14ac:dyDescent="0.25">
      <c r="A1501" s="1" t="s">
        <v>5285</v>
      </c>
      <c r="B1501" s="19">
        <v>46182</v>
      </c>
      <c r="C1501" s="1" t="s">
        <v>1006</v>
      </c>
      <c r="D1501" s="1" t="s">
        <v>21</v>
      </c>
      <c r="E1501" s="1" t="s">
        <v>81</v>
      </c>
      <c r="F1501" s="1">
        <v>6050</v>
      </c>
      <c r="G1501" s="1" t="s">
        <v>361</v>
      </c>
      <c r="H1501" s="1" t="s">
        <v>79</v>
      </c>
      <c r="I1501" s="1" t="s">
        <v>3720</v>
      </c>
      <c r="J1501" s="1" t="s">
        <v>4112</v>
      </c>
    </row>
    <row r="1502" spans="1:10" x14ac:dyDescent="0.25">
      <c r="A1502" s="1" t="s">
        <v>5286</v>
      </c>
      <c r="B1502" s="19">
        <v>46182</v>
      </c>
      <c r="C1502" s="1" t="s">
        <v>1007</v>
      </c>
      <c r="D1502" s="1" t="s">
        <v>21</v>
      </c>
      <c r="E1502" s="1" t="s">
        <v>81</v>
      </c>
      <c r="F1502" s="1">
        <v>6051</v>
      </c>
      <c r="G1502" s="1" t="s">
        <v>355</v>
      </c>
      <c r="H1502" s="1" t="s">
        <v>76</v>
      </c>
      <c r="I1502" s="1" t="s">
        <v>3720</v>
      </c>
      <c r="J1502" s="1" t="s">
        <v>82</v>
      </c>
    </row>
    <row r="1503" spans="1:10" x14ac:dyDescent="0.25">
      <c r="A1503" s="1" t="s">
        <v>5287</v>
      </c>
      <c r="B1503" s="19">
        <v>46182</v>
      </c>
      <c r="C1503" s="1" t="s">
        <v>1007</v>
      </c>
      <c r="D1503" s="1" t="s">
        <v>21</v>
      </c>
      <c r="E1503" s="1" t="s">
        <v>81</v>
      </c>
      <c r="F1503" s="1">
        <v>6051</v>
      </c>
      <c r="G1503" s="1" t="s">
        <v>345</v>
      </c>
      <c r="H1503" s="1" t="s">
        <v>76</v>
      </c>
      <c r="I1503" s="1" t="s">
        <v>3720</v>
      </c>
      <c r="J1503" s="1" t="s">
        <v>78</v>
      </c>
    </row>
    <row r="1504" spans="1:10" x14ac:dyDescent="0.25">
      <c r="A1504" s="1" t="s">
        <v>5288</v>
      </c>
      <c r="B1504" s="19">
        <v>46182</v>
      </c>
      <c r="C1504" s="1" t="s">
        <v>1007</v>
      </c>
      <c r="D1504" s="1" t="s">
        <v>21</v>
      </c>
      <c r="E1504" s="1" t="s">
        <v>81</v>
      </c>
      <c r="F1504" s="1">
        <v>6051</v>
      </c>
      <c r="G1504" s="1" t="s">
        <v>361</v>
      </c>
      <c r="H1504" s="1" t="s">
        <v>79</v>
      </c>
      <c r="I1504" s="1" t="s">
        <v>3720</v>
      </c>
      <c r="J1504" s="1" t="s">
        <v>4112</v>
      </c>
    </row>
    <row r="1505" spans="1:10" x14ac:dyDescent="0.25">
      <c r="A1505" t="s">
        <v>5289</v>
      </c>
      <c r="B1505" s="22">
        <v>46183</v>
      </c>
      <c r="C1505" t="s">
        <v>399</v>
      </c>
      <c r="D1505" t="s">
        <v>21</v>
      </c>
      <c r="E1505" t="s">
        <v>81</v>
      </c>
      <c r="F1505">
        <v>5443</v>
      </c>
      <c r="G1505" t="s">
        <v>4061</v>
      </c>
      <c r="H1505" t="s">
        <v>79</v>
      </c>
      <c r="I1505" t="s">
        <v>3720</v>
      </c>
      <c r="J1505" t="s">
        <v>5290</v>
      </c>
    </row>
    <row r="1506" spans="1:10" x14ac:dyDescent="0.25">
      <c r="A1506" t="s">
        <v>5291</v>
      </c>
      <c r="B1506" s="22">
        <v>46183</v>
      </c>
      <c r="C1506" t="s">
        <v>400</v>
      </c>
      <c r="D1506" t="s">
        <v>21</v>
      </c>
      <c r="E1506" t="s">
        <v>81</v>
      </c>
      <c r="F1506">
        <v>5444</v>
      </c>
      <c r="G1506" t="s">
        <v>4061</v>
      </c>
      <c r="H1506" t="s">
        <v>79</v>
      </c>
      <c r="I1506" t="s">
        <v>3720</v>
      </c>
      <c r="J1506" t="s">
        <v>5292</v>
      </c>
    </row>
    <row r="1507" spans="1:10" x14ac:dyDescent="0.25">
      <c r="A1507" t="s">
        <v>5293</v>
      </c>
      <c r="B1507" s="22">
        <v>46183</v>
      </c>
      <c r="C1507" t="s">
        <v>402</v>
      </c>
      <c r="D1507" t="s">
        <v>21</v>
      </c>
      <c r="E1507" t="s">
        <v>81</v>
      </c>
      <c r="F1507">
        <v>5445</v>
      </c>
      <c r="G1507" t="s">
        <v>4061</v>
      </c>
      <c r="H1507" t="s">
        <v>79</v>
      </c>
      <c r="I1507" t="s">
        <v>3720</v>
      </c>
      <c r="J1507" t="s">
        <v>5294</v>
      </c>
    </row>
    <row r="1508" spans="1:10" x14ac:dyDescent="0.25">
      <c r="A1508" t="s">
        <v>5295</v>
      </c>
      <c r="B1508" s="22">
        <v>46183</v>
      </c>
      <c r="C1508" t="s">
        <v>404</v>
      </c>
      <c r="D1508" t="s">
        <v>21</v>
      </c>
      <c r="E1508" t="s">
        <v>81</v>
      </c>
      <c r="F1508">
        <v>5447</v>
      </c>
      <c r="G1508" t="s">
        <v>4061</v>
      </c>
      <c r="H1508" t="s">
        <v>79</v>
      </c>
      <c r="I1508" t="s">
        <v>3720</v>
      </c>
      <c r="J1508" t="s">
        <v>5296</v>
      </c>
    </row>
    <row r="1509" spans="1:10" x14ac:dyDescent="0.25">
      <c r="A1509" t="s">
        <v>5297</v>
      </c>
      <c r="B1509" s="22">
        <v>46183</v>
      </c>
      <c r="C1509" t="s">
        <v>405</v>
      </c>
      <c r="D1509" t="s">
        <v>21</v>
      </c>
      <c r="E1509" t="s">
        <v>81</v>
      </c>
      <c r="F1509">
        <v>5448</v>
      </c>
      <c r="G1509" t="s">
        <v>4061</v>
      </c>
      <c r="H1509" t="s">
        <v>79</v>
      </c>
      <c r="I1509" t="s">
        <v>3720</v>
      </c>
      <c r="J1509" t="s">
        <v>5298</v>
      </c>
    </row>
    <row r="1510" spans="1:10" x14ac:dyDescent="0.25">
      <c r="A1510" t="s">
        <v>5299</v>
      </c>
      <c r="B1510" s="22">
        <v>46183</v>
      </c>
      <c r="C1510" t="s">
        <v>406</v>
      </c>
      <c r="D1510" t="s">
        <v>21</v>
      </c>
      <c r="E1510" t="s">
        <v>81</v>
      </c>
      <c r="F1510">
        <v>5449</v>
      </c>
      <c r="G1510" t="s">
        <v>4061</v>
      </c>
      <c r="H1510" t="s">
        <v>79</v>
      </c>
      <c r="I1510" t="s">
        <v>3720</v>
      </c>
      <c r="J1510" t="s">
        <v>5300</v>
      </c>
    </row>
    <row r="1511" spans="1:10" x14ac:dyDescent="0.25">
      <c r="A1511" t="s">
        <v>5301</v>
      </c>
      <c r="B1511" s="22">
        <v>46183</v>
      </c>
      <c r="C1511" t="s">
        <v>407</v>
      </c>
      <c r="D1511" t="s">
        <v>21</v>
      </c>
      <c r="E1511" t="s">
        <v>81</v>
      </c>
      <c r="F1511">
        <v>5450</v>
      </c>
      <c r="G1511" t="s">
        <v>4061</v>
      </c>
      <c r="H1511" t="s">
        <v>79</v>
      </c>
      <c r="I1511" t="s">
        <v>3720</v>
      </c>
      <c r="J1511" t="s">
        <v>5302</v>
      </c>
    </row>
    <row r="1512" spans="1:10" x14ac:dyDescent="0.25">
      <c r="A1512" t="s">
        <v>5303</v>
      </c>
      <c r="B1512" s="22">
        <v>46183</v>
      </c>
      <c r="C1512" t="s">
        <v>408</v>
      </c>
      <c r="D1512" t="s">
        <v>21</v>
      </c>
      <c r="E1512" t="s">
        <v>81</v>
      </c>
      <c r="F1512">
        <v>5451</v>
      </c>
      <c r="G1512" t="s">
        <v>4061</v>
      </c>
      <c r="H1512" t="s">
        <v>79</v>
      </c>
      <c r="I1512" t="s">
        <v>3720</v>
      </c>
      <c r="J1512" t="s">
        <v>5304</v>
      </c>
    </row>
    <row r="1513" spans="1:10" x14ac:dyDescent="0.25">
      <c r="A1513" t="s">
        <v>5305</v>
      </c>
      <c r="B1513" s="22">
        <v>46183</v>
      </c>
      <c r="C1513" t="s">
        <v>409</v>
      </c>
      <c r="D1513" t="s">
        <v>21</v>
      </c>
      <c r="E1513" t="s">
        <v>81</v>
      </c>
      <c r="F1513">
        <v>5452</v>
      </c>
      <c r="G1513" t="s">
        <v>4061</v>
      </c>
      <c r="H1513" t="s">
        <v>79</v>
      </c>
      <c r="I1513" t="s">
        <v>3720</v>
      </c>
      <c r="J1513" t="s">
        <v>5306</v>
      </c>
    </row>
    <row r="1514" spans="1:10" x14ac:dyDescent="0.25">
      <c r="A1514" t="s">
        <v>5307</v>
      </c>
      <c r="B1514" s="22">
        <v>46183</v>
      </c>
      <c r="C1514" t="s">
        <v>411</v>
      </c>
      <c r="D1514" t="s">
        <v>21</v>
      </c>
      <c r="E1514" t="s">
        <v>81</v>
      </c>
      <c r="F1514">
        <v>5454</v>
      </c>
      <c r="G1514" t="s">
        <v>4061</v>
      </c>
      <c r="H1514" t="s">
        <v>79</v>
      </c>
      <c r="I1514" t="s">
        <v>3720</v>
      </c>
      <c r="J1514" t="s">
        <v>5308</v>
      </c>
    </row>
    <row r="1515" spans="1:10" x14ac:dyDescent="0.25">
      <c r="A1515" t="s">
        <v>5309</v>
      </c>
      <c r="B1515" s="22">
        <v>46183</v>
      </c>
      <c r="C1515" t="s">
        <v>412</v>
      </c>
      <c r="D1515" t="s">
        <v>22</v>
      </c>
      <c r="E1515" t="s">
        <v>81</v>
      </c>
      <c r="F1515">
        <v>5455</v>
      </c>
      <c r="G1515" t="s">
        <v>4061</v>
      </c>
      <c r="H1515" t="s">
        <v>79</v>
      </c>
      <c r="I1515" t="s">
        <v>3720</v>
      </c>
      <c r="J1515" t="s">
        <v>5308</v>
      </c>
    </row>
    <row r="1516" spans="1:10" x14ac:dyDescent="0.25">
      <c r="A1516" t="s">
        <v>5310</v>
      </c>
      <c r="B1516" s="22">
        <v>46183</v>
      </c>
      <c r="C1516" t="s">
        <v>413</v>
      </c>
      <c r="D1516" t="s">
        <v>21</v>
      </c>
      <c r="E1516" t="s">
        <v>81</v>
      </c>
      <c r="F1516">
        <v>5456</v>
      </c>
      <c r="G1516" t="s">
        <v>4061</v>
      </c>
      <c r="H1516" t="s">
        <v>79</v>
      </c>
      <c r="I1516" t="s">
        <v>3720</v>
      </c>
      <c r="J1516" t="s">
        <v>5311</v>
      </c>
    </row>
    <row r="1517" spans="1:10" x14ac:dyDescent="0.25">
      <c r="A1517" t="s">
        <v>5312</v>
      </c>
      <c r="B1517" s="22">
        <v>46183</v>
      </c>
      <c r="C1517" t="s">
        <v>414</v>
      </c>
      <c r="D1517" t="s">
        <v>21</v>
      </c>
      <c r="E1517" t="s">
        <v>81</v>
      </c>
      <c r="F1517">
        <v>5457</v>
      </c>
      <c r="G1517" t="s">
        <v>4061</v>
      </c>
      <c r="H1517" t="s">
        <v>79</v>
      </c>
      <c r="I1517" t="s">
        <v>3720</v>
      </c>
      <c r="J1517" t="s">
        <v>5313</v>
      </c>
    </row>
    <row r="1518" spans="1:10" x14ac:dyDescent="0.25">
      <c r="A1518" t="s">
        <v>5314</v>
      </c>
      <c r="B1518" s="22">
        <v>46183</v>
      </c>
      <c r="C1518" t="s">
        <v>416</v>
      </c>
      <c r="D1518" t="s">
        <v>22</v>
      </c>
      <c r="E1518" t="s">
        <v>81</v>
      </c>
      <c r="F1518">
        <v>5459</v>
      </c>
      <c r="G1518" t="s">
        <v>4061</v>
      </c>
      <c r="H1518" t="s">
        <v>79</v>
      </c>
      <c r="I1518" t="s">
        <v>3720</v>
      </c>
      <c r="J1518" t="s">
        <v>5315</v>
      </c>
    </row>
    <row r="1519" spans="1:10" x14ac:dyDescent="0.25">
      <c r="A1519" t="s">
        <v>5316</v>
      </c>
      <c r="B1519" s="22">
        <v>46183</v>
      </c>
      <c r="C1519" t="s">
        <v>417</v>
      </c>
      <c r="D1519" t="s">
        <v>22</v>
      </c>
      <c r="E1519" t="s">
        <v>81</v>
      </c>
      <c r="F1519">
        <v>5460</v>
      </c>
      <c r="G1519" t="s">
        <v>4061</v>
      </c>
      <c r="H1519" t="s">
        <v>79</v>
      </c>
      <c r="I1519" t="s">
        <v>3720</v>
      </c>
      <c r="J1519" t="s">
        <v>5317</v>
      </c>
    </row>
    <row r="1520" spans="1:10" x14ac:dyDescent="0.25">
      <c r="A1520" t="s">
        <v>5318</v>
      </c>
      <c r="B1520" s="22">
        <v>46183</v>
      </c>
      <c r="C1520" t="s">
        <v>418</v>
      </c>
      <c r="D1520" t="s">
        <v>21</v>
      </c>
      <c r="E1520" t="s">
        <v>81</v>
      </c>
      <c r="F1520">
        <v>5461</v>
      </c>
      <c r="G1520" t="s">
        <v>4061</v>
      </c>
      <c r="H1520" t="s">
        <v>79</v>
      </c>
      <c r="I1520" t="s">
        <v>3720</v>
      </c>
      <c r="J1520" t="s">
        <v>5319</v>
      </c>
    </row>
    <row r="1521" spans="1:10" x14ac:dyDescent="0.25">
      <c r="A1521" t="s">
        <v>5320</v>
      </c>
      <c r="B1521" s="22">
        <v>46183</v>
      </c>
      <c r="C1521" t="s">
        <v>419</v>
      </c>
      <c r="D1521" t="s">
        <v>21</v>
      </c>
      <c r="E1521" t="s">
        <v>81</v>
      </c>
      <c r="F1521">
        <v>5462</v>
      </c>
      <c r="G1521" t="s">
        <v>4061</v>
      </c>
      <c r="H1521" t="s">
        <v>79</v>
      </c>
      <c r="I1521" t="s">
        <v>3720</v>
      </c>
      <c r="J1521" t="s">
        <v>5321</v>
      </c>
    </row>
    <row r="1522" spans="1:10" x14ac:dyDescent="0.25">
      <c r="A1522" t="s">
        <v>5322</v>
      </c>
      <c r="B1522" s="22">
        <v>46183</v>
      </c>
      <c r="C1522" t="s">
        <v>420</v>
      </c>
      <c r="D1522" t="s">
        <v>22</v>
      </c>
      <c r="E1522" t="s">
        <v>81</v>
      </c>
      <c r="F1522">
        <v>5463</v>
      </c>
      <c r="G1522" t="s">
        <v>4061</v>
      </c>
      <c r="H1522" t="s">
        <v>79</v>
      </c>
      <c r="I1522" t="s">
        <v>3720</v>
      </c>
      <c r="J1522" t="s">
        <v>5323</v>
      </c>
    </row>
    <row r="1523" spans="1:10" x14ac:dyDescent="0.25">
      <c r="A1523" t="s">
        <v>5324</v>
      </c>
      <c r="B1523" s="22">
        <v>46183</v>
      </c>
      <c r="C1523" t="s">
        <v>422</v>
      </c>
      <c r="D1523" t="s">
        <v>21</v>
      </c>
      <c r="E1523" t="s">
        <v>81</v>
      </c>
      <c r="F1523">
        <v>5465</v>
      </c>
      <c r="G1523" t="s">
        <v>4061</v>
      </c>
      <c r="H1523" t="s">
        <v>79</v>
      </c>
      <c r="I1523" t="s">
        <v>3720</v>
      </c>
      <c r="J1523" t="s">
        <v>5325</v>
      </c>
    </row>
    <row r="1524" spans="1:10" x14ac:dyDescent="0.25">
      <c r="A1524" t="s">
        <v>5326</v>
      </c>
      <c r="B1524" s="22">
        <v>46183</v>
      </c>
      <c r="C1524" t="s">
        <v>423</v>
      </c>
      <c r="D1524" t="s">
        <v>22</v>
      </c>
      <c r="E1524" t="s">
        <v>81</v>
      </c>
      <c r="F1524">
        <v>5466</v>
      </c>
      <c r="G1524" t="s">
        <v>4061</v>
      </c>
      <c r="H1524" t="s">
        <v>79</v>
      </c>
      <c r="I1524" t="s">
        <v>3720</v>
      </c>
      <c r="J1524" t="s">
        <v>5327</v>
      </c>
    </row>
    <row r="1525" spans="1:10" x14ac:dyDescent="0.25">
      <c r="A1525" t="s">
        <v>5328</v>
      </c>
      <c r="B1525" s="22">
        <v>46183</v>
      </c>
      <c r="C1525" t="s">
        <v>425</v>
      </c>
      <c r="D1525" t="s">
        <v>22</v>
      </c>
      <c r="E1525" t="s">
        <v>81</v>
      </c>
      <c r="F1525">
        <v>5468</v>
      </c>
      <c r="G1525" t="s">
        <v>4061</v>
      </c>
      <c r="H1525" t="s">
        <v>79</v>
      </c>
      <c r="I1525" t="s">
        <v>3720</v>
      </c>
      <c r="J1525" t="s">
        <v>5329</v>
      </c>
    </row>
    <row r="1526" spans="1:10" x14ac:dyDescent="0.25">
      <c r="A1526" t="s">
        <v>5330</v>
      </c>
      <c r="B1526" s="22">
        <v>46183</v>
      </c>
      <c r="C1526" t="s">
        <v>426</v>
      </c>
      <c r="D1526" t="s">
        <v>22</v>
      </c>
      <c r="E1526" t="s">
        <v>81</v>
      </c>
      <c r="F1526">
        <v>5469</v>
      </c>
      <c r="G1526" t="s">
        <v>4061</v>
      </c>
      <c r="H1526" t="s">
        <v>79</v>
      </c>
      <c r="I1526" t="s">
        <v>3720</v>
      </c>
      <c r="J1526" t="s">
        <v>5331</v>
      </c>
    </row>
    <row r="1527" spans="1:10" x14ac:dyDescent="0.25">
      <c r="A1527" t="s">
        <v>5332</v>
      </c>
      <c r="B1527" s="22">
        <v>46183</v>
      </c>
      <c r="C1527" t="s">
        <v>428</v>
      </c>
      <c r="D1527" t="s">
        <v>21</v>
      </c>
      <c r="E1527" t="s">
        <v>81</v>
      </c>
      <c r="F1527">
        <v>5471</v>
      </c>
      <c r="G1527" t="s">
        <v>4061</v>
      </c>
      <c r="H1527" t="s">
        <v>79</v>
      </c>
      <c r="I1527" t="s">
        <v>3720</v>
      </c>
      <c r="J1527" t="s">
        <v>5333</v>
      </c>
    </row>
    <row r="1528" spans="1:10" x14ac:dyDescent="0.25">
      <c r="A1528" t="s">
        <v>5334</v>
      </c>
      <c r="B1528" s="22">
        <v>46183</v>
      </c>
      <c r="C1528" t="s">
        <v>429</v>
      </c>
      <c r="D1528" t="s">
        <v>21</v>
      </c>
      <c r="E1528" t="s">
        <v>81</v>
      </c>
      <c r="F1528">
        <v>5472</v>
      </c>
      <c r="G1528" t="s">
        <v>4061</v>
      </c>
      <c r="H1528" t="s">
        <v>79</v>
      </c>
      <c r="I1528" t="s">
        <v>3720</v>
      </c>
      <c r="J1528" t="s">
        <v>5335</v>
      </c>
    </row>
    <row r="1529" spans="1:10" x14ac:dyDescent="0.25">
      <c r="A1529" t="s">
        <v>5336</v>
      </c>
      <c r="B1529" s="22">
        <v>46183</v>
      </c>
      <c r="C1529" t="s">
        <v>430</v>
      </c>
      <c r="D1529" t="s">
        <v>21</v>
      </c>
      <c r="E1529" t="s">
        <v>81</v>
      </c>
      <c r="F1529">
        <v>5473</v>
      </c>
      <c r="G1529" t="s">
        <v>4061</v>
      </c>
      <c r="H1529" t="s">
        <v>79</v>
      </c>
      <c r="I1529" t="s">
        <v>3720</v>
      </c>
      <c r="J1529" t="s">
        <v>5333</v>
      </c>
    </row>
    <row r="1530" spans="1:10" x14ac:dyDescent="0.25">
      <c r="A1530" t="s">
        <v>5337</v>
      </c>
      <c r="B1530" s="22">
        <v>46183</v>
      </c>
      <c r="C1530" t="s">
        <v>431</v>
      </c>
      <c r="D1530" t="s">
        <v>21</v>
      </c>
      <c r="E1530" t="s">
        <v>81</v>
      </c>
      <c r="F1530">
        <v>5474</v>
      </c>
      <c r="G1530" t="s">
        <v>4061</v>
      </c>
      <c r="H1530" t="s">
        <v>79</v>
      </c>
      <c r="I1530" t="s">
        <v>3720</v>
      </c>
      <c r="J1530" t="s">
        <v>5338</v>
      </c>
    </row>
    <row r="1531" spans="1:10" x14ac:dyDescent="0.25">
      <c r="A1531" t="s">
        <v>5339</v>
      </c>
      <c r="B1531" s="22">
        <v>46183</v>
      </c>
      <c r="C1531" t="s">
        <v>432</v>
      </c>
      <c r="D1531" t="s">
        <v>21</v>
      </c>
      <c r="E1531" t="s">
        <v>81</v>
      </c>
      <c r="F1531">
        <v>5475</v>
      </c>
      <c r="G1531" t="s">
        <v>4061</v>
      </c>
      <c r="H1531" t="s">
        <v>79</v>
      </c>
      <c r="I1531" t="s">
        <v>3720</v>
      </c>
      <c r="J1531" t="s">
        <v>5340</v>
      </c>
    </row>
    <row r="1532" spans="1:10" x14ac:dyDescent="0.25">
      <c r="A1532" t="s">
        <v>5341</v>
      </c>
      <c r="B1532" s="22">
        <v>46183</v>
      </c>
      <c r="C1532" t="s">
        <v>434</v>
      </c>
      <c r="D1532" t="s">
        <v>21</v>
      </c>
      <c r="E1532" t="s">
        <v>81</v>
      </c>
      <c r="F1532">
        <v>5477</v>
      </c>
      <c r="G1532" t="s">
        <v>4061</v>
      </c>
      <c r="H1532" t="s">
        <v>79</v>
      </c>
      <c r="I1532" t="s">
        <v>3720</v>
      </c>
      <c r="J1532" t="s">
        <v>5342</v>
      </c>
    </row>
    <row r="1533" spans="1:10" x14ac:dyDescent="0.25">
      <c r="A1533" t="s">
        <v>5343</v>
      </c>
      <c r="B1533" s="22">
        <v>46183</v>
      </c>
      <c r="C1533" t="s">
        <v>435</v>
      </c>
      <c r="D1533" t="s">
        <v>22</v>
      </c>
      <c r="E1533" t="s">
        <v>81</v>
      </c>
      <c r="F1533">
        <v>5478</v>
      </c>
      <c r="G1533" t="s">
        <v>4061</v>
      </c>
      <c r="H1533" t="s">
        <v>79</v>
      </c>
      <c r="I1533" t="s">
        <v>3720</v>
      </c>
      <c r="J1533" t="s">
        <v>5344</v>
      </c>
    </row>
    <row r="1534" spans="1:10" x14ac:dyDescent="0.25">
      <c r="A1534" t="s">
        <v>5345</v>
      </c>
      <c r="B1534" s="22">
        <v>46183</v>
      </c>
      <c r="C1534" t="s">
        <v>436</v>
      </c>
      <c r="D1534" t="s">
        <v>22</v>
      </c>
      <c r="E1534" t="s">
        <v>81</v>
      </c>
      <c r="F1534">
        <v>5479</v>
      </c>
      <c r="G1534" t="s">
        <v>4061</v>
      </c>
      <c r="H1534" t="s">
        <v>79</v>
      </c>
      <c r="I1534" t="s">
        <v>3720</v>
      </c>
      <c r="J1534" t="s">
        <v>5346</v>
      </c>
    </row>
    <row r="1535" spans="1:10" x14ac:dyDescent="0.25">
      <c r="A1535" t="s">
        <v>5347</v>
      </c>
      <c r="B1535" s="22">
        <v>46183</v>
      </c>
      <c r="C1535" t="s">
        <v>437</v>
      </c>
      <c r="D1535" t="s">
        <v>21</v>
      </c>
      <c r="E1535" t="s">
        <v>81</v>
      </c>
      <c r="F1535">
        <v>5480</v>
      </c>
      <c r="G1535" t="s">
        <v>4061</v>
      </c>
      <c r="H1535" t="s">
        <v>79</v>
      </c>
      <c r="I1535" t="s">
        <v>3720</v>
      </c>
      <c r="J1535" t="s">
        <v>5348</v>
      </c>
    </row>
    <row r="1536" spans="1:10" x14ac:dyDescent="0.25">
      <c r="A1536" t="s">
        <v>5349</v>
      </c>
      <c r="B1536" s="22">
        <v>46183</v>
      </c>
      <c r="C1536" t="s">
        <v>439</v>
      </c>
      <c r="D1536" t="s">
        <v>21</v>
      </c>
      <c r="E1536" t="s">
        <v>81</v>
      </c>
      <c r="F1536">
        <v>5482</v>
      </c>
      <c r="G1536" t="s">
        <v>4061</v>
      </c>
      <c r="H1536" t="s">
        <v>79</v>
      </c>
      <c r="I1536" t="s">
        <v>3720</v>
      </c>
      <c r="J1536" t="s">
        <v>5350</v>
      </c>
    </row>
    <row r="1537" spans="1:10" x14ac:dyDescent="0.25">
      <c r="A1537" t="s">
        <v>5351</v>
      </c>
      <c r="B1537" s="22">
        <v>46183</v>
      </c>
      <c r="C1537" t="s">
        <v>440</v>
      </c>
      <c r="D1537" t="s">
        <v>22</v>
      </c>
      <c r="E1537" t="s">
        <v>81</v>
      </c>
      <c r="F1537">
        <v>5483</v>
      </c>
      <c r="G1537" t="s">
        <v>4061</v>
      </c>
      <c r="H1537" t="s">
        <v>79</v>
      </c>
      <c r="I1537" t="s">
        <v>3720</v>
      </c>
      <c r="J1537" t="s">
        <v>5352</v>
      </c>
    </row>
    <row r="1538" spans="1:10" x14ac:dyDescent="0.25">
      <c r="A1538" t="s">
        <v>5353</v>
      </c>
      <c r="B1538" s="22">
        <v>46183</v>
      </c>
      <c r="C1538" t="s">
        <v>441</v>
      </c>
      <c r="D1538" t="s">
        <v>22</v>
      </c>
      <c r="E1538" t="s">
        <v>81</v>
      </c>
      <c r="F1538">
        <v>5484</v>
      </c>
      <c r="G1538" t="s">
        <v>4061</v>
      </c>
      <c r="H1538" t="s">
        <v>79</v>
      </c>
      <c r="I1538" t="s">
        <v>3720</v>
      </c>
      <c r="J1538" t="s">
        <v>5354</v>
      </c>
    </row>
    <row r="1539" spans="1:10" x14ac:dyDescent="0.25">
      <c r="A1539" t="s">
        <v>5355</v>
      </c>
      <c r="B1539" s="22">
        <v>46183</v>
      </c>
      <c r="C1539" t="s">
        <v>443</v>
      </c>
      <c r="D1539" t="s">
        <v>22</v>
      </c>
      <c r="E1539" t="s">
        <v>81</v>
      </c>
      <c r="F1539">
        <v>5486</v>
      </c>
      <c r="G1539" t="s">
        <v>4061</v>
      </c>
      <c r="H1539" t="s">
        <v>79</v>
      </c>
      <c r="I1539" t="s">
        <v>3720</v>
      </c>
      <c r="J1539" t="s">
        <v>5356</v>
      </c>
    </row>
    <row r="1540" spans="1:10" x14ac:dyDescent="0.25">
      <c r="A1540" t="s">
        <v>5357</v>
      </c>
      <c r="B1540" s="22">
        <v>46183</v>
      </c>
      <c r="C1540" t="s">
        <v>445</v>
      </c>
      <c r="D1540" t="s">
        <v>22</v>
      </c>
      <c r="E1540" t="s">
        <v>81</v>
      </c>
      <c r="F1540">
        <v>5488</v>
      </c>
      <c r="G1540" t="s">
        <v>4061</v>
      </c>
      <c r="H1540" t="s">
        <v>79</v>
      </c>
      <c r="I1540" t="s">
        <v>3720</v>
      </c>
      <c r="J1540" t="s">
        <v>5358</v>
      </c>
    </row>
    <row r="1541" spans="1:10" x14ac:dyDescent="0.25">
      <c r="A1541" t="s">
        <v>5359</v>
      </c>
      <c r="B1541" s="22">
        <v>46183</v>
      </c>
      <c r="C1541" t="s">
        <v>446</v>
      </c>
      <c r="D1541" t="s">
        <v>21</v>
      </c>
      <c r="E1541" t="s">
        <v>81</v>
      </c>
      <c r="F1541">
        <v>5489</v>
      </c>
      <c r="G1541" t="s">
        <v>4061</v>
      </c>
      <c r="H1541" t="s">
        <v>79</v>
      </c>
      <c r="I1541" t="s">
        <v>3720</v>
      </c>
      <c r="J1541" t="s">
        <v>5360</v>
      </c>
    </row>
    <row r="1542" spans="1:10" x14ac:dyDescent="0.25">
      <c r="A1542" t="s">
        <v>5361</v>
      </c>
      <c r="B1542" s="22">
        <v>46183</v>
      </c>
      <c r="C1542" t="s">
        <v>447</v>
      </c>
      <c r="D1542" t="s">
        <v>21</v>
      </c>
      <c r="E1542" t="s">
        <v>81</v>
      </c>
      <c r="F1542">
        <v>5490</v>
      </c>
      <c r="G1542" t="s">
        <v>4061</v>
      </c>
      <c r="H1542" t="s">
        <v>79</v>
      </c>
      <c r="I1542" t="s">
        <v>3720</v>
      </c>
      <c r="J1542" t="s">
        <v>5362</v>
      </c>
    </row>
    <row r="1543" spans="1:10" x14ac:dyDescent="0.25">
      <c r="A1543" t="s">
        <v>5363</v>
      </c>
      <c r="B1543" s="22">
        <v>46183</v>
      </c>
      <c r="C1543" t="s">
        <v>448</v>
      </c>
      <c r="D1543" t="s">
        <v>21</v>
      </c>
      <c r="E1543" t="s">
        <v>81</v>
      </c>
      <c r="F1543">
        <v>5491</v>
      </c>
      <c r="G1543" t="s">
        <v>4061</v>
      </c>
      <c r="H1543" t="s">
        <v>79</v>
      </c>
      <c r="I1543" t="s">
        <v>3720</v>
      </c>
      <c r="J1543" t="s">
        <v>5364</v>
      </c>
    </row>
    <row r="1544" spans="1:10" x14ac:dyDescent="0.25">
      <c r="A1544" t="s">
        <v>5365</v>
      </c>
      <c r="B1544" s="22">
        <v>46183</v>
      </c>
      <c r="C1544" t="s">
        <v>450</v>
      </c>
      <c r="D1544" t="s">
        <v>22</v>
      </c>
      <c r="E1544" t="s">
        <v>81</v>
      </c>
      <c r="F1544">
        <v>5493</v>
      </c>
      <c r="G1544" t="s">
        <v>4061</v>
      </c>
      <c r="H1544" t="s">
        <v>79</v>
      </c>
      <c r="I1544" t="s">
        <v>3720</v>
      </c>
      <c r="J1544" t="s">
        <v>5366</v>
      </c>
    </row>
    <row r="1545" spans="1:10" x14ac:dyDescent="0.25">
      <c r="A1545" t="s">
        <v>5367</v>
      </c>
      <c r="B1545" s="22">
        <v>46183</v>
      </c>
      <c r="C1545" t="s">
        <v>453</v>
      </c>
      <c r="D1545" t="s">
        <v>21</v>
      </c>
      <c r="E1545" t="s">
        <v>81</v>
      </c>
      <c r="F1545">
        <v>5495</v>
      </c>
      <c r="G1545" t="s">
        <v>4061</v>
      </c>
      <c r="H1545" t="s">
        <v>79</v>
      </c>
      <c r="I1545" t="s">
        <v>3720</v>
      </c>
      <c r="J1545" t="s">
        <v>5368</v>
      </c>
    </row>
    <row r="1546" spans="1:10" x14ac:dyDescent="0.25">
      <c r="A1546" t="s">
        <v>5369</v>
      </c>
      <c r="B1546" s="22">
        <v>46183</v>
      </c>
      <c r="C1546" t="s">
        <v>456</v>
      </c>
      <c r="D1546" t="s">
        <v>22</v>
      </c>
      <c r="E1546" t="s">
        <v>81</v>
      </c>
      <c r="F1546">
        <v>5498</v>
      </c>
      <c r="G1546" t="s">
        <v>4061</v>
      </c>
      <c r="H1546" t="s">
        <v>79</v>
      </c>
      <c r="I1546" t="s">
        <v>3720</v>
      </c>
      <c r="J1546" t="s">
        <v>5370</v>
      </c>
    </row>
    <row r="1547" spans="1:10" x14ac:dyDescent="0.25">
      <c r="A1547" t="s">
        <v>5371</v>
      </c>
      <c r="B1547" s="22">
        <v>46183</v>
      </c>
      <c r="C1547" t="s">
        <v>457</v>
      </c>
      <c r="D1547" t="s">
        <v>22</v>
      </c>
      <c r="E1547" t="s">
        <v>81</v>
      </c>
      <c r="F1547">
        <v>5499</v>
      </c>
      <c r="G1547" t="s">
        <v>4061</v>
      </c>
      <c r="H1547" t="s">
        <v>79</v>
      </c>
      <c r="I1547" t="s">
        <v>3720</v>
      </c>
      <c r="J1547" t="s">
        <v>5372</v>
      </c>
    </row>
    <row r="1548" spans="1:10" x14ac:dyDescent="0.25">
      <c r="A1548" t="s">
        <v>5373</v>
      </c>
      <c r="B1548" s="22">
        <v>46183</v>
      </c>
      <c r="C1548" t="s">
        <v>458</v>
      </c>
      <c r="D1548" t="s">
        <v>22</v>
      </c>
      <c r="E1548" t="s">
        <v>81</v>
      </c>
      <c r="F1548">
        <v>5500</v>
      </c>
      <c r="G1548" t="s">
        <v>4061</v>
      </c>
      <c r="H1548" t="s">
        <v>79</v>
      </c>
      <c r="I1548" t="s">
        <v>3720</v>
      </c>
      <c r="J1548" t="s">
        <v>5374</v>
      </c>
    </row>
    <row r="1549" spans="1:10" x14ac:dyDescent="0.25">
      <c r="A1549" t="s">
        <v>5375</v>
      </c>
      <c r="B1549" s="22">
        <v>46183</v>
      </c>
      <c r="C1549" t="s">
        <v>459</v>
      </c>
      <c r="D1549" t="s">
        <v>21</v>
      </c>
      <c r="E1549" t="s">
        <v>81</v>
      </c>
      <c r="F1549">
        <v>5501</v>
      </c>
      <c r="G1549" t="s">
        <v>4061</v>
      </c>
      <c r="H1549" t="s">
        <v>79</v>
      </c>
      <c r="I1549" t="s">
        <v>3720</v>
      </c>
      <c r="J1549" t="s">
        <v>5376</v>
      </c>
    </row>
    <row r="1550" spans="1:10" x14ac:dyDescent="0.25">
      <c r="A1550" t="s">
        <v>5377</v>
      </c>
      <c r="B1550" s="22">
        <v>46183</v>
      </c>
      <c r="C1550" t="s">
        <v>462</v>
      </c>
      <c r="D1550" t="s">
        <v>21</v>
      </c>
      <c r="E1550" t="s">
        <v>81</v>
      </c>
      <c r="F1550">
        <v>5504</v>
      </c>
      <c r="G1550" t="s">
        <v>4061</v>
      </c>
      <c r="H1550" t="s">
        <v>79</v>
      </c>
      <c r="I1550" t="s">
        <v>3720</v>
      </c>
      <c r="J1550" t="s">
        <v>5378</v>
      </c>
    </row>
    <row r="1551" spans="1:10" x14ac:dyDescent="0.25">
      <c r="A1551" t="s">
        <v>5379</v>
      </c>
      <c r="B1551" s="22">
        <v>46183</v>
      </c>
      <c r="C1551" t="s">
        <v>463</v>
      </c>
      <c r="D1551" t="s">
        <v>21</v>
      </c>
      <c r="E1551" t="s">
        <v>81</v>
      </c>
      <c r="F1551">
        <v>5505</v>
      </c>
      <c r="G1551" t="s">
        <v>4061</v>
      </c>
      <c r="H1551" t="s">
        <v>79</v>
      </c>
      <c r="I1551" t="s">
        <v>3720</v>
      </c>
      <c r="J1551" t="s">
        <v>5380</v>
      </c>
    </row>
    <row r="1552" spans="1:10" x14ac:dyDescent="0.25">
      <c r="A1552" t="s">
        <v>5381</v>
      </c>
      <c r="B1552" s="22">
        <v>46183</v>
      </c>
      <c r="C1552" t="s">
        <v>467</v>
      </c>
      <c r="D1552" t="s">
        <v>21</v>
      </c>
      <c r="E1552" t="s">
        <v>81</v>
      </c>
      <c r="F1552">
        <v>5509</v>
      </c>
      <c r="G1552" t="s">
        <v>4061</v>
      </c>
      <c r="H1552" t="s">
        <v>79</v>
      </c>
      <c r="I1552" t="s">
        <v>3720</v>
      </c>
      <c r="J1552" t="s">
        <v>5382</v>
      </c>
    </row>
    <row r="1553" spans="1:10" x14ac:dyDescent="0.25">
      <c r="A1553" t="s">
        <v>5383</v>
      </c>
      <c r="B1553" s="22">
        <v>46183</v>
      </c>
      <c r="C1553" t="s">
        <v>468</v>
      </c>
      <c r="D1553" t="s">
        <v>21</v>
      </c>
      <c r="E1553" t="s">
        <v>81</v>
      </c>
      <c r="F1553">
        <v>5510</v>
      </c>
      <c r="G1553" t="s">
        <v>4061</v>
      </c>
      <c r="H1553" t="s">
        <v>79</v>
      </c>
      <c r="I1553" t="s">
        <v>3720</v>
      </c>
      <c r="J1553" t="s">
        <v>5384</v>
      </c>
    </row>
    <row r="1554" spans="1:10" x14ac:dyDescent="0.25">
      <c r="A1554" t="s">
        <v>5385</v>
      </c>
      <c r="B1554" s="22">
        <v>46183</v>
      </c>
      <c r="C1554" t="s">
        <v>470</v>
      </c>
      <c r="D1554" t="s">
        <v>21</v>
      </c>
      <c r="E1554" t="s">
        <v>81</v>
      </c>
      <c r="F1554">
        <v>5512</v>
      </c>
      <c r="G1554" t="s">
        <v>4061</v>
      </c>
      <c r="H1554" t="s">
        <v>79</v>
      </c>
      <c r="I1554" t="s">
        <v>3720</v>
      </c>
      <c r="J1554" t="s">
        <v>5386</v>
      </c>
    </row>
    <row r="1555" spans="1:10" x14ac:dyDescent="0.25">
      <c r="A1555" t="s">
        <v>5387</v>
      </c>
      <c r="B1555" s="22">
        <v>46183</v>
      </c>
      <c r="C1555" t="s">
        <v>471</v>
      </c>
      <c r="D1555" t="s">
        <v>21</v>
      </c>
      <c r="E1555" t="s">
        <v>81</v>
      </c>
      <c r="F1555">
        <v>5513</v>
      </c>
      <c r="G1555" t="s">
        <v>4061</v>
      </c>
      <c r="H1555" t="s">
        <v>79</v>
      </c>
      <c r="I1555" t="s">
        <v>3720</v>
      </c>
      <c r="J1555" t="s">
        <v>5386</v>
      </c>
    </row>
    <row r="1556" spans="1:10" x14ac:dyDescent="0.25">
      <c r="A1556" t="s">
        <v>5388</v>
      </c>
      <c r="B1556" s="22">
        <v>46183</v>
      </c>
      <c r="C1556" t="s">
        <v>472</v>
      </c>
      <c r="D1556" t="s">
        <v>21</v>
      </c>
      <c r="E1556" t="s">
        <v>81</v>
      </c>
      <c r="F1556">
        <v>5514</v>
      </c>
      <c r="G1556" t="s">
        <v>4061</v>
      </c>
      <c r="H1556" t="s">
        <v>79</v>
      </c>
      <c r="I1556" t="s">
        <v>3720</v>
      </c>
      <c r="J1556" t="s">
        <v>5389</v>
      </c>
    </row>
    <row r="1557" spans="1:10" x14ac:dyDescent="0.25">
      <c r="A1557" t="s">
        <v>5390</v>
      </c>
      <c r="B1557" s="22">
        <v>46183</v>
      </c>
      <c r="C1557" t="s">
        <v>473</v>
      </c>
      <c r="D1557" t="s">
        <v>21</v>
      </c>
      <c r="E1557" t="s">
        <v>81</v>
      </c>
      <c r="F1557">
        <v>5515</v>
      </c>
      <c r="G1557" t="s">
        <v>4061</v>
      </c>
      <c r="H1557" t="s">
        <v>79</v>
      </c>
      <c r="I1557" t="s">
        <v>3720</v>
      </c>
      <c r="J1557" t="s">
        <v>5391</v>
      </c>
    </row>
    <row r="1558" spans="1:10" x14ac:dyDescent="0.25">
      <c r="A1558" t="s">
        <v>5392</v>
      </c>
      <c r="B1558" s="22">
        <v>46183</v>
      </c>
      <c r="C1558" t="s">
        <v>476</v>
      </c>
      <c r="D1558" t="s">
        <v>22</v>
      </c>
      <c r="E1558" t="s">
        <v>81</v>
      </c>
      <c r="F1558">
        <v>5518</v>
      </c>
      <c r="G1558" t="s">
        <v>4061</v>
      </c>
      <c r="H1558" t="s">
        <v>79</v>
      </c>
      <c r="I1558" t="s">
        <v>3720</v>
      </c>
      <c r="J1558" t="s">
        <v>5393</v>
      </c>
    </row>
    <row r="1559" spans="1:10" x14ac:dyDescent="0.25">
      <c r="A1559" t="s">
        <v>5394</v>
      </c>
      <c r="B1559" s="22">
        <v>46183</v>
      </c>
      <c r="C1559" t="s">
        <v>477</v>
      </c>
      <c r="D1559" t="s">
        <v>22</v>
      </c>
      <c r="E1559" t="s">
        <v>81</v>
      </c>
      <c r="F1559">
        <v>5519</v>
      </c>
      <c r="G1559" t="s">
        <v>4061</v>
      </c>
      <c r="H1559" t="s">
        <v>79</v>
      </c>
      <c r="I1559" t="s">
        <v>3720</v>
      </c>
      <c r="J1559" t="s">
        <v>5395</v>
      </c>
    </row>
    <row r="1560" spans="1:10" x14ac:dyDescent="0.25">
      <c r="A1560" t="s">
        <v>5396</v>
      </c>
      <c r="B1560" s="22">
        <v>46183</v>
      </c>
      <c r="C1560" t="s">
        <v>478</v>
      </c>
      <c r="D1560" t="s">
        <v>21</v>
      </c>
      <c r="E1560" t="s">
        <v>81</v>
      </c>
      <c r="F1560">
        <v>5520</v>
      </c>
      <c r="G1560" t="s">
        <v>4061</v>
      </c>
      <c r="H1560" t="s">
        <v>79</v>
      </c>
      <c r="I1560" t="s">
        <v>3720</v>
      </c>
      <c r="J1560" t="s">
        <v>5397</v>
      </c>
    </row>
    <row r="1561" spans="1:10" x14ac:dyDescent="0.25">
      <c r="A1561" t="s">
        <v>5398</v>
      </c>
      <c r="B1561" s="22">
        <v>46183</v>
      </c>
      <c r="C1561" t="s">
        <v>481</v>
      </c>
      <c r="D1561" t="s">
        <v>22</v>
      </c>
      <c r="E1561" t="s">
        <v>81</v>
      </c>
      <c r="F1561">
        <v>5523</v>
      </c>
      <c r="G1561" t="s">
        <v>4061</v>
      </c>
      <c r="H1561" t="s">
        <v>79</v>
      </c>
      <c r="I1561" t="s">
        <v>3720</v>
      </c>
      <c r="J1561" t="s">
        <v>5399</v>
      </c>
    </row>
    <row r="1562" spans="1:10" x14ac:dyDescent="0.25">
      <c r="A1562" t="s">
        <v>5400</v>
      </c>
      <c r="B1562" s="22">
        <v>46183</v>
      </c>
      <c r="C1562" t="s">
        <v>482</v>
      </c>
      <c r="D1562" t="s">
        <v>21</v>
      </c>
      <c r="E1562" t="s">
        <v>81</v>
      </c>
      <c r="F1562">
        <v>5524</v>
      </c>
      <c r="G1562" t="s">
        <v>4061</v>
      </c>
      <c r="H1562" t="s">
        <v>79</v>
      </c>
      <c r="I1562" t="s">
        <v>3720</v>
      </c>
      <c r="J1562" t="s">
        <v>5401</v>
      </c>
    </row>
    <row r="1563" spans="1:10" x14ac:dyDescent="0.25">
      <c r="A1563" t="s">
        <v>5402</v>
      </c>
      <c r="B1563" s="22">
        <v>46183</v>
      </c>
      <c r="C1563" t="s">
        <v>483</v>
      </c>
      <c r="D1563" t="s">
        <v>22</v>
      </c>
      <c r="E1563" t="s">
        <v>81</v>
      </c>
      <c r="F1563">
        <v>5525</v>
      </c>
      <c r="G1563" t="s">
        <v>4061</v>
      </c>
      <c r="H1563" t="s">
        <v>79</v>
      </c>
      <c r="I1563" t="s">
        <v>3720</v>
      </c>
      <c r="J1563" t="s">
        <v>5403</v>
      </c>
    </row>
    <row r="1564" spans="1:10" x14ac:dyDescent="0.25">
      <c r="A1564" t="s">
        <v>5404</v>
      </c>
      <c r="B1564" s="22">
        <v>46183</v>
      </c>
      <c r="C1564" t="s">
        <v>484</v>
      </c>
      <c r="D1564" t="s">
        <v>22</v>
      </c>
      <c r="E1564" t="s">
        <v>81</v>
      </c>
      <c r="F1564">
        <v>5526</v>
      </c>
      <c r="G1564" t="s">
        <v>4061</v>
      </c>
      <c r="H1564" t="s">
        <v>79</v>
      </c>
      <c r="I1564" t="s">
        <v>3720</v>
      </c>
      <c r="J1564" t="s">
        <v>5405</v>
      </c>
    </row>
    <row r="1565" spans="1:10" x14ac:dyDescent="0.25">
      <c r="A1565" t="s">
        <v>5406</v>
      </c>
      <c r="B1565" s="22">
        <v>46183</v>
      </c>
      <c r="C1565" t="s">
        <v>485</v>
      </c>
      <c r="D1565" t="s">
        <v>21</v>
      </c>
      <c r="E1565" t="s">
        <v>81</v>
      </c>
      <c r="F1565">
        <v>5527</v>
      </c>
      <c r="G1565" t="s">
        <v>4061</v>
      </c>
      <c r="H1565" t="s">
        <v>79</v>
      </c>
      <c r="I1565" t="s">
        <v>3720</v>
      </c>
      <c r="J1565" t="s">
        <v>5407</v>
      </c>
    </row>
    <row r="1566" spans="1:10" x14ac:dyDescent="0.25">
      <c r="A1566" t="s">
        <v>5408</v>
      </c>
      <c r="B1566" s="22">
        <v>46183</v>
      </c>
      <c r="C1566" t="s">
        <v>487</v>
      </c>
      <c r="D1566" t="s">
        <v>21</v>
      </c>
      <c r="E1566" t="s">
        <v>81</v>
      </c>
      <c r="F1566">
        <v>5529</v>
      </c>
      <c r="G1566" t="s">
        <v>4061</v>
      </c>
      <c r="H1566" t="s">
        <v>79</v>
      </c>
      <c r="I1566" t="s">
        <v>3720</v>
      </c>
      <c r="J1566" t="s">
        <v>5409</v>
      </c>
    </row>
    <row r="1567" spans="1:10" x14ac:dyDescent="0.25">
      <c r="A1567" t="s">
        <v>5410</v>
      </c>
      <c r="B1567" s="22">
        <v>46183</v>
      </c>
      <c r="C1567" t="s">
        <v>488</v>
      </c>
      <c r="D1567" t="s">
        <v>21</v>
      </c>
      <c r="E1567" t="s">
        <v>81</v>
      </c>
      <c r="F1567">
        <v>5530</v>
      </c>
      <c r="G1567" t="s">
        <v>4061</v>
      </c>
      <c r="H1567" t="s">
        <v>79</v>
      </c>
      <c r="I1567" t="s">
        <v>3720</v>
      </c>
      <c r="J1567" t="s">
        <v>5411</v>
      </c>
    </row>
    <row r="1568" spans="1:10" x14ac:dyDescent="0.25">
      <c r="A1568" t="s">
        <v>5412</v>
      </c>
      <c r="B1568" s="22">
        <v>46183</v>
      </c>
      <c r="C1568" t="s">
        <v>489</v>
      </c>
      <c r="D1568" t="s">
        <v>21</v>
      </c>
      <c r="E1568" t="s">
        <v>81</v>
      </c>
      <c r="F1568">
        <v>5531</v>
      </c>
      <c r="G1568" t="s">
        <v>4061</v>
      </c>
      <c r="H1568" t="s">
        <v>79</v>
      </c>
      <c r="I1568" t="s">
        <v>3720</v>
      </c>
      <c r="J1568" t="s">
        <v>5413</v>
      </c>
    </row>
    <row r="1569" spans="1:10" x14ac:dyDescent="0.25">
      <c r="A1569" t="s">
        <v>5414</v>
      </c>
      <c r="B1569" s="22">
        <v>46183</v>
      </c>
      <c r="C1569" t="s">
        <v>490</v>
      </c>
      <c r="D1569" t="s">
        <v>21</v>
      </c>
      <c r="E1569" t="s">
        <v>81</v>
      </c>
      <c r="F1569">
        <v>5532</v>
      </c>
      <c r="G1569" t="s">
        <v>4061</v>
      </c>
      <c r="H1569" t="s">
        <v>79</v>
      </c>
      <c r="I1569" t="s">
        <v>3720</v>
      </c>
      <c r="J1569" t="s">
        <v>5415</v>
      </c>
    </row>
    <row r="1570" spans="1:10" x14ac:dyDescent="0.25">
      <c r="A1570" t="s">
        <v>5416</v>
      </c>
      <c r="B1570" s="22">
        <v>46183</v>
      </c>
      <c r="C1570" t="s">
        <v>491</v>
      </c>
      <c r="D1570" t="s">
        <v>21</v>
      </c>
      <c r="E1570" t="s">
        <v>81</v>
      </c>
      <c r="F1570">
        <v>5533</v>
      </c>
      <c r="G1570" t="s">
        <v>4061</v>
      </c>
      <c r="H1570" t="s">
        <v>79</v>
      </c>
      <c r="I1570" t="s">
        <v>3720</v>
      </c>
      <c r="J1570" t="s">
        <v>5409</v>
      </c>
    </row>
    <row r="1571" spans="1:10" x14ac:dyDescent="0.25">
      <c r="A1571" t="s">
        <v>5417</v>
      </c>
      <c r="B1571" s="22">
        <v>46183</v>
      </c>
      <c r="C1571" t="s">
        <v>493</v>
      </c>
      <c r="D1571" t="s">
        <v>21</v>
      </c>
      <c r="E1571" t="s">
        <v>81</v>
      </c>
      <c r="F1571">
        <v>5535</v>
      </c>
      <c r="G1571" t="s">
        <v>4061</v>
      </c>
      <c r="H1571" t="s">
        <v>79</v>
      </c>
      <c r="I1571" t="s">
        <v>3720</v>
      </c>
      <c r="J1571" t="s">
        <v>5418</v>
      </c>
    </row>
    <row r="1572" spans="1:10" x14ac:dyDescent="0.25">
      <c r="A1572" t="s">
        <v>5419</v>
      </c>
      <c r="B1572" s="22">
        <v>46183</v>
      </c>
      <c r="C1572" t="s">
        <v>496</v>
      </c>
      <c r="D1572" t="s">
        <v>21</v>
      </c>
      <c r="E1572" t="s">
        <v>81</v>
      </c>
      <c r="F1572">
        <v>5538</v>
      </c>
      <c r="G1572" t="s">
        <v>4061</v>
      </c>
      <c r="H1572" t="s">
        <v>79</v>
      </c>
      <c r="I1572" t="s">
        <v>3720</v>
      </c>
      <c r="J1572" t="s">
        <v>5420</v>
      </c>
    </row>
    <row r="1573" spans="1:10" x14ac:dyDescent="0.25">
      <c r="A1573" t="s">
        <v>5421</v>
      </c>
      <c r="B1573" s="22">
        <v>46183</v>
      </c>
      <c r="C1573" t="s">
        <v>497</v>
      </c>
      <c r="D1573" t="s">
        <v>21</v>
      </c>
      <c r="E1573" t="s">
        <v>81</v>
      </c>
      <c r="F1573">
        <v>5539</v>
      </c>
      <c r="G1573" t="s">
        <v>4061</v>
      </c>
      <c r="H1573" t="s">
        <v>79</v>
      </c>
      <c r="I1573" t="s">
        <v>3720</v>
      </c>
      <c r="J1573" t="s">
        <v>5422</v>
      </c>
    </row>
    <row r="1574" spans="1:10" x14ac:dyDescent="0.25">
      <c r="A1574" t="s">
        <v>5423</v>
      </c>
      <c r="B1574" s="22">
        <v>46183</v>
      </c>
      <c r="C1574" t="s">
        <v>499</v>
      </c>
      <c r="D1574" t="s">
        <v>21</v>
      </c>
      <c r="E1574" t="s">
        <v>81</v>
      </c>
      <c r="F1574">
        <v>5541</v>
      </c>
      <c r="G1574" t="s">
        <v>4061</v>
      </c>
      <c r="H1574" t="s">
        <v>79</v>
      </c>
      <c r="I1574" t="s">
        <v>3720</v>
      </c>
      <c r="J1574" t="s">
        <v>5424</v>
      </c>
    </row>
    <row r="1575" spans="1:10" x14ac:dyDescent="0.25">
      <c r="A1575" t="s">
        <v>5425</v>
      </c>
      <c r="B1575" s="22">
        <v>46183</v>
      </c>
      <c r="C1575" t="s">
        <v>500</v>
      </c>
      <c r="D1575" t="s">
        <v>22</v>
      </c>
      <c r="E1575" t="s">
        <v>81</v>
      </c>
      <c r="F1575">
        <v>5543</v>
      </c>
      <c r="G1575" t="s">
        <v>4061</v>
      </c>
      <c r="H1575" t="s">
        <v>79</v>
      </c>
      <c r="I1575" t="s">
        <v>3720</v>
      </c>
      <c r="J1575" t="s">
        <v>5426</v>
      </c>
    </row>
    <row r="1576" spans="1:10" x14ac:dyDescent="0.25">
      <c r="A1576" t="s">
        <v>5427</v>
      </c>
      <c r="B1576" s="22">
        <v>46183</v>
      </c>
      <c r="C1576" t="s">
        <v>503</v>
      </c>
      <c r="D1576" t="s">
        <v>22</v>
      </c>
      <c r="E1576" t="s">
        <v>81</v>
      </c>
      <c r="F1576">
        <v>5546</v>
      </c>
      <c r="G1576" t="s">
        <v>4061</v>
      </c>
      <c r="H1576" t="s">
        <v>79</v>
      </c>
      <c r="I1576" t="s">
        <v>3720</v>
      </c>
      <c r="J1576" t="s">
        <v>5428</v>
      </c>
    </row>
    <row r="1577" spans="1:10" x14ac:dyDescent="0.25">
      <c r="A1577" t="s">
        <v>5429</v>
      </c>
      <c r="B1577" s="22">
        <v>46183</v>
      </c>
      <c r="C1577" t="s">
        <v>506</v>
      </c>
      <c r="D1577" t="s">
        <v>21</v>
      </c>
      <c r="E1577" t="s">
        <v>81</v>
      </c>
      <c r="F1577">
        <v>5549</v>
      </c>
      <c r="G1577" t="s">
        <v>4061</v>
      </c>
      <c r="H1577" t="s">
        <v>79</v>
      </c>
      <c r="I1577" t="s">
        <v>3720</v>
      </c>
      <c r="J1577" t="s">
        <v>5430</v>
      </c>
    </row>
    <row r="1578" spans="1:10" x14ac:dyDescent="0.25">
      <c r="A1578" t="s">
        <v>5431</v>
      </c>
      <c r="B1578" s="22">
        <v>46183</v>
      </c>
      <c r="C1578" t="s">
        <v>507</v>
      </c>
      <c r="D1578" t="s">
        <v>22</v>
      </c>
      <c r="E1578" t="s">
        <v>81</v>
      </c>
      <c r="F1578">
        <v>5550</v>
      </c>
      <c r="G1578" t="s">
        <v>4061</v>
      </c>
      <c r="H1578" t="s">
        <v>79</v>
      </c>
      <c r="I1578" t="s">
        <v>3720</v>
      </c>
      <c r="J1578" t="s">
        <v>5432</v>
      </c>
    </row>
    <row r="1579" spans="1:10" x14ac:dyDescent="0.25">
      <c r="A1579" t="s">
        <v>5433</v>
      </c>
      <c r="B1579" s="22">
        <v>46183</v>
      </c>
      <c r="C1579" t="s">
        <v>508</v>
      </c>
      <c r="D1579" t="s">
        <v>21</v>
      </c>
      <c r="E1579" t="s">
        <v>81</v>
      </c>
      <c r="F1579">
        <v>5551</v>
      </c>
      <c r="G1579" t="s">
        <v>4061</v>
      </c>
      <c r="H1579" t="s">
        <v>79</v>
      </c>
      <c r="I1579" t="s">
        <v>3720</v>
      </c>
      <c r="J1579" t="s">
        <v>5434</v>
      </c>
    </row>
    <row r="1580" spans="1:10" x14ac:dyDescent="0.25">
      <c r="A1580" t="s">
        <v>5435</v>
      </c>
      <c r="B1580" s="22">
        <v>46183</v>
      </c>
      <c r="C1580" t="s">
        <v>510</v>
      </c>
      <c r="D1580" t="s">
        <v>21</v>
      </c>
      <c r="E1580" t="s">
        <v>81</v>
      </c>
      <c r="F1580">
        <v>5553</v>
      </c>
      <c r="G1580" t="s">
        <v>4061</v>
      </c>
      <c r="H1580" t="s">
        <v>79</v>
      </c>
      <c r="I1580" t="s">
        <v>3720</v>
      </c>
      <c r="J1580" t="s">
        <v>5436</v>
      </c>
    </row>
    <row r="1581" spans="1:10" x14ac:dyDescent="0.25">
      <c r="A1581" t="s">
        <v>5437</v>
      </c>
      <c r="B1581" s="22">
        <v>46183</v>
      </c>
      <c r="C1581" t="s">
        <v>512</v>
      </c>
      <c r="D1581" t="s">
        <v>22</v>
      </c>
      <c r="E1581" t="s">
        <v>81</v>
      </c>
      <c r="F1581">
        <v>5555</v>
      </c>
      <c r="G1581" t="s">
        <v>4061</v>
      </c>
      <c r="H1581" t="s">
        <v>79</v>
      </c>
      <c r="I1581" t="s">
        <v>3720</v>
      </c>
      <c r="J1581" t="s">
        <v>5438</v>
      </c>
    </row>
    <row r="1582" spans="1:10" x14ac:dyDescent="0.25">
      <c r="A1582" t="s">
        <v>5439</v>
      </c>
      <c r="B1582" s="22">
        <v>46183</v>
      </c>
      <c r="C1582" t="s">
        <v>513</v>
      </c>
      <c r="D1582" t="s">
        <v>22</v>
      </c>
      <c r="E1582" t="s">
        <v>81</v>
      </c>
      <c r="F1582">
        <v>5556</v>
      </c>
      <c r="G1582" t="s">
        <v>4061</v>
      </c>
      <c r="H1582" t="s">
        <v>79</v>
      </c>
      <c r="I1582" t="s">
        <v>3720</v>
      </c>
      <c r="J1582" t="s">
        <v>5440</v>
      </c>
    </row>
    <row r="1583" spans="1:10" x14ac:dyDescent="0.25">
      <c r="A1583" t="s">
        <v>5441</v>
      </c>
      <c r="B1583" s="22">
        <v>46183</v>
      </c>
      <c r="C1583" t="s">
        <v>514</v>
      </c>
      <c r="D1583" t="s">
        <v>21</v>
      </c>
      <c r="E1583" t="s">
        <v>81</v>
      </c>
      <c r="F1583">
        <v>5557</v>
      </c>
      <c r="G1583" t="s">
        <v>4061</v>
      </c>
      <c r="H1583" t="s">
        <v>79</v>
      </c>
      <c r="I1583" t="s">
        <v>3720</v>
      </c>
      <c r="J1583" t="s">
        <v>5442</v>
      </c>
    </row>
    <row r="1584" spans="1:10" x14ac:dyDescent="0.25">
      <c r="A1584" t="s">
        <v>5443</v>
      </c>
      <c r="B1584" s="22">
        <v>46183</v>
      </c>
      <c r="C1584" t="s">
        <v>517</v>
      </c>
      <c r="D1584" t="s">
        <v>21</v>
      </c>
      <c r="E1584" t="s">
        <v>81</v>
      </c>
      <c r="F1584">
        <v>5560</v>
      </c>
      <c r="G1584" t="s">
        <v>4061</v>
      </c>
      <c r="H1584" t="s">
        <v>79</v>
      </c>
      <c r="I1584" t="s">
        <v>3720</v>
      </c>
      <c r="J1584" t="s">
        <v>5444</v>
      </c>
    </row>
    <row r="1585" spans="1:10" x14ac:dyDescent="0.25">
      <c r="A1585" t="s">
        <v>5445</v>
      </c>
      <c r="B1585" s="22">
        <v>46183</v>
      </c>
      <c r="C1585" t="s">
        <v>518</v>
      </c>
      <c r="D1585" t="s">
        <v>21</v>
      </c>
      <c r="E1585" t="s">
        <v>81</v>
      </c>
      <c r="F1585">
        <v>5561</v>
      </c>
      <c r="G1585" t="s">
        <v>4061</v>
      </c>
      <c r="H1585" t="s">
        <v>79</v>
      </c>
      <c r="I1585" t="s">
        <v>3720</v>
      </c>
      <c r="J1585" t="s">
        <v>5446</v>
      </c>
    </row>
    <row r="1586" spans="1:10" x14ac:dyDescent="0.25">
      <c r="A1586" t="s">
        <v>5447</v>
      </c>
      <c r="B1586" s="22">
        <v>46183</v>
      </c>
      <c r="C1586" t="s">
        <v>519</v>
      </c>
      <c r="D1586" t="s">
        <v>21</v>
      </c>
      <c r="E1586" t="s">
        <v>81</v>
      </c>
      <c r="F1586">
        <v>5562</v>
      </c>
      <c r="G1586" t="s">
        <v>4061</v>
      </c>
      <c r="H1586" t="s">
        <v>79</v>
      </c>
      <c r="I1586" t="s">
        <v>3720</v>
      </c>
      <c r="J1586" t="s">
        <v>5446</v>
      </c>
    </row>
    <row r="1587" spans="1:10" x14ac:dyDescent="0.25">
      <c r="A1587" t="s">
        <v>5448</v>
      </c>
      <c r="B1587" s="22">
        <v>46183</v>
      </c>
      <c r="C1587" t="s">
        <v>520</v>
      </c>
      <c r="D1587" t="s">
        <v>21</v>
      </c>
      <c r="E1587" t="s">
        <v>81</v>
      </c>
      <c r="F1587">
        <v>5563</v>
      </c>
      <c r="G1587" t="s">
        <v>4061</v>
      </c>
      <c r="H1587" t="s">
        <v>79</v>
      </c>
      <c r="I1587" t="s">
        <v>3720</v>
      </c>
      <c r="J1587" t="s">
        <v>5449</v>
      </c>
    </row>
    <row r="1588" spans="1:10" x14ac:dyDescent="0.25">
      <c r="A1588" t="s">
        <v>5450</v>
      </c>
      <c r="B1588" s="22">
        <v>46183</v>
      </c>
      <c r="C1588" t="s">
        <v>522</v>
      </c>
      <c r="D1588" t="s">
        <v>22</v>
      </c>
      <c r="E1588" t="s">
        <v>81</v>
      </c>
      <c r="F1588">
        <v>5565</v>
      </c>
      <c r="G1588" t="s">
        <v>4061</v>
      </c>
      <c r="H1588" t="s">
        <v>79</v>
      </c>
      <c r="I1588" t="s">
        <v>3720</v>
      </c>
      <c r="J1588" t="s">
        <v>5451</v>
      </c>
    </row>
    <row r="1589" spans="1:10" x14ac:dyDescent="0.25">
      <c r="A1589" t="s">
        <v>5452</v>
      </c>
      <c r="B1589" s="22">
        <v>46183</v>
      </c>
      <c r="C1589" t="s">
        <v>523</v>
      </c>
      <c r="D1589" t="s">
        <v>21</v>
      </c>
      <c r="E1589" t="s">
        <v>81</v>
      </c>
      <c r="F1589">
        <v>5566</v>
      </c>
      <c r="G1589" t="s">
        <v>4061</v>
      </c>
      <c r="H1589" t="s">
        <v>79</v>
      </c>
      <c r="I1589" t="s">
        <v>3720</v>
      </c>
      <c r="J1589" t="s">
        <v>5453</v>
      </c>
    </row>
    <row r="1590" spans="1:10" x14ac:dyDescent="0.25">
      <c r="A1590" t="s">
        <v>5454</v>
      </c>
      <c r="B1590" s="22">
        <v>46183</v>
      </c>
      <c r="C1590" t="s">
        <v>524</v>
      </c>
      <c r="D1590" t="s">
        <v>21</v>
      </c>
      <c r="E1590" t="s">
        <v>81</v>
      </c>
      <c r="F1590">
        <v>5567</v>
      </c>
      <c r="G1590" t="s">
        <v>4061</v>
      </c>
      <c r="H1590" t="s">
        <v>79</v>
      </c>
      <c r="I1590" t="s">
        <v>3720</v>
      </c>
      <c r="J1590" t="s">
        <v>5455</v>
      </c>
    </row>
    <row r="1591" spans="1:10" x14ac:dyDescent="0.25">
      <c r="A1591" t="s">
        <v>5456</v>
      </c>
      <c r="B1591" s="22">
        <v>46183</v>
      </c>
      <c r="C1591" t="s">
        <v>525</v>
      </c>
      <c r="D1591" t="s">
        <v>21</v>
      </c>
      <c r="E1591" t="s">
        <v>81</v>
      </c>
      <c r="F1591">
        <v>5568</v>
      </c>
      <c r="G1591" t="s">
        <v>4061</v>
      </c>
      <c r="H1591" t="s">
        <v>79</v>
      </c>
      <c r="I1591" t="s">
        <v>3720</v>
      </c>
      <c r="J1591" t="s">
        <v>5457</v>
      </c>
    </row>
    <row r="1592" spans="1:10" x14ac:dyDescent="0.25">
      <c r="A1592" t="s">
        <v>5458</v>
      </c>
      <c r="B1592" s="22">
        <v>46183</v>
      </c>
      <c r="C1592" t="s">
        <v>526</v>
      </c>
      <c r="D1592" t="s">
        <v>21</v>
      </c>
      <c r="E1592" t="s">
        <v>81</v>
      </c>
      <c r="F1592">
        <v>5569</v>
      </c>
      <c r="G1592" t="s">
        <v>4061</v>
      </c>
      <c r="H1592" t="s">
        <v>79</v>
      </c>
      <c r="I1592" t="s">
        <v>3720</v>
      </c>
      <c r="J1592" t="s">
        <v>5459</v>
      </c>
    </row>
    <row r="1593" spans="1:10" x14ac:dyDescent="0.25">
      <c r="A1593" t="s">
        <v>5460</v>
      </c>
      <c r="B1593" s="22">
        <v>46183</v>
      </c>
      <c r="C1593" t="s">
        <v>527</v>
      </c>
      <c r="D1593" t="s">
        <v>21</v>
      </c>
      <c r="E1593" t="s">
        <v>81</v>
      </c>
      <c r="F1593">
        <v>5570</v>
      </c>
      <c r="G1593" t="s">
        <v>4061</v>
      </c>
      <c r="H1593" t="s">
        <v>79</v>
      </c>
      <c r="I1593" t="s">
        <v>3720</v>
      </c>
      <c r="J1593" t="s">
        <v>5461</v>
      </c>
    </row>
    <row r="1594" spans="1:10" x14ac:dyDescent="0.25">
      <c r="A1594" t="s">
        <v>5462</v>
      </c>
      <c r="B1594" s="22">
        <v>46183</v>
      </c>
      <c r="C1594" t="s">
        <v>528</v>
      </c>
      <c r="D1594" t="s">
        <v>22</v>
      </c>
      <c r="E1594" t="s">
        <v>81</v>
      </c>
      <c r="F1594">
        <v>5571</v>
      </c>
      <c r="G1594" t="s">
        <v>4061</v>
      </c>
      <c r="H1594" t="s">
        <v>79</v>
      </c>
      <c r="I1594" t="s">
        <v>3720</v>
      </c>
      <c r="J1594" t="s">
        <v>5463</v>
      </c>
    </row>
    <row r="1595" spans="1:10" x14ac:dyDescent="0.25">
      <c r="A1595" t="s">
        <v>5464</v>
      </c>
      <c r="B1595" s="22">
        <v>46183</v>
      </c>
      <c r="C1595" t="s">
        <v>529</v>
      </c>
      <c r="D1595" t="s">
        <v>22</v>
      </c>
      <c r="E1595" t="s">
        <v>81</v>
      </c>
      <c r="F1595">
        <v>5572</v>
      </c>
      <c r="G1595" t="s">
        <v>4061</v>
      </c>
      <c r="H1595" t="s">
        <v>79</v>
      </c>
      <c r="I1595" t="s">
        <v>3720</v>
      </c>
      <c r="J1595" t="s">
        <v>5465</v>
      </c>
    </row>
    <row r="1596" spans="1:10" x14ac:dyDescent="0.25">
      <c r="A1596" t="s">
        <v>5466</v>
      </c>
      <c r="B1596" s="22">
        <v>46183</v>
      </c>
      <c r="C1596" t="s">
        <v>533</v>
      </c>
      <c r="D1596" t="s">
        <v>22</v>
      </c>
      <c r="E1596" t="s">
        <v>81</v>
      </c>
      <c r="F1596">
        <v>5576</v>
      </c>
      <c r="G1596" t="s">
        <v>4061</v>
      </c>
      <c r="H1596" t="s">
        <v>79</v>
      </c>
      <c r="I1596" t="s">
        <v>3720</v>
      </c>
      <c r="J1596" t="s">
        <v>5467</v>
      </c>
    </row>
    <row r="1597" spans="1:10" x14ac:dyDescent="0.25">
      <c r="A1597" t="s">
        <v>5468</v>
      </c>
      <c r="B1597" s="22">
        <v>46183</v>
      </c>
      <c r="C1597" t="s">
        <v>535</v>
      </c>
      <c r="D1597" t="s">
        <v>22</v>
      </c>
      <c r="E1597" t="s">
        <v>81</v>
      </c>
      <c r="F1597">
        <v>5578</v>
      </c>
      <c r="G1597" t="s">
        <v>4061</v>
      </c>
      <c r="H1597" t="s">
        <v>79</v>
      </c>
      <c r="I1597" t="s">
        <v>3720</v>
      </c>
      <c r="J1597" t="s">
        <v>5469</v>
      </c>
    </row>
    <row r="1598" spans="1:10" x14ac:dyDescent="0.25">
      <c r="A1598" t="s">
        <v>5470</v>
      </c>
      <c r="B1598" s="22">
        <v>46183</v>
      </c>
      <c r="C1598" t="s">
        <v>538</v>
      </c>
      <c r="D1598" t="s">
        <v>21</v>
      </c>
      <c r="E1598" t="s">
        <v>81</v>
      </c>
      <c r="F1598">
        <v>5581</v>
      </c>
      <c r="G1598" t="s">
        <v>4061</v>
      </c>
      <c r="H1598" t="s">
        <v>79</v>
      </c>
      <c r="I1598" t="s">
        <v>3720</v>
      </c>
      <c r="J1598" t="s">
        <v>5471</v>
      </c>
    </row>
    <row r="1599" spans="1:10" x14ac:dyDescent="0.25">
      <c r="A1599" t="s">
        <v>5472</v>
      </c>
      <c r="B1599" s="22">
        <v>46183</v>
      </c>
      <c r="C1599" t="s">
        <v>539</v>
      </c>
      <c r="D1599" t="s">
        <v>21</v>
      </c>
      <c r="E1599" t="s">
        <v>81</v>
      </c>
      <c r="F1599">
        <v>5582</v>
      </c>
      <c r="G1599" t="s">
        <v>4061</v>
      </c>
      <c r="H1599" t="s">
        <v>79</v>
      </c>
      <c r="I1599" t="s">
        <v>3720</v>
      </c>
      <c r="J1599" t="s">
        <v>5473</v>
      </c>
    </row>
    <row r="1600" spans="1:10" x14ac:dyDescent="0.25">
      <c r="A1600" t="s">
        <v>5474</v>
      </c>
      <c r="B1600" s="22">
        <v>46183</v>
      </c>
      <c r="C1600" t="s">
        <v>542</v>
      </c>
      <c r="D1600" t="s">
        <v>21</v>
      </c>
      <c r="E1600" t="s">
        <v>81</v>
      </c>
      <c r="F1600">
        <v>5585</v>
      </c>
      <c r="G1600" t="s">
        <v>4061</v>
      </c>
      <c r="H1600" t="s">
        <v>79</v>
      </c>
      <c r="I1600" t="s">
        <v>3720</v>
      </c>
      <c r="J1600" t="s">
        <v>5475</v>
      </c>
    </row>
    <row r="1601" spans="1:10" x14ac:dyDescent="0.25">
      <c r="A1601" t="s">
        <v>5476</v>
      </c>
      <c r="B1601" s="22">
        <v>46183</v>
      </c>
      <c r="C1601" t="s">
        <v>543</v>
      </c>
      <c r="D1601" t="s">
        <v>21</v>
      </c>
      <c r="E1601" t="s">
        <v>81</v>
      </c>
      <c r="F1601">
        <v>5586</v>
      </c>
      <c r="G1601" t="s">
        <v>4061</v>
      </c>
      <c r="H1601" t="s">
        <v>79</v>
      </c>
      <c r="I1601" t="s">
        <v>3720</v>
      </c>
      <c r="J1601" t="s">
        <v>5477</v>
      </c>
    </row>
    <row r="1602" spans="1:10" x14ac:dyDescent="0.25">
      <c r="A1602" t="s">
        <v>5478</v>
      </c>
      <c r="B1602" s="22">
        <v>46183</v>
      </c>
      <c r="C1602" t="s">
        <v>544</v>
      </c>
      <c r="D1602" t="s">
        <v>21</v>
      </c>
      <c r="E1602" t="s">
        <v>81</v>
      </c>
      <c r="F1602">
        <v>5587</v>
      </c>
      <c r="G1602" t="s">
        <v>4061</v>
      </c>
      <c r="H1602" t="s">
        <v>79</v>
      </c>
      <c r="I1602" t="s">
        <v>3720</v>
      </c>
      <c r="J1602" t="s">
        <v>5479</v>
      </c>
    </row>
    <row r="1603" spans="1:10" x14ac:dyDescent="0.25">
      <c r="A1603" t="s">
        <v>5480</v>
      </c>
      <c r="B1603" s="22">
        <v>46183</v>
      </c>
      <c r="C1603" t="s">
        <v>546</v>
      </c>
      <c r="D1603" t="s">
        <v>21</v>
      </c>
      <c r="E1603" t="s">
        <v>81</v>
      </c>
      <c r="F1603">
        <v>5593</v>
      </c>
      <c r="G1603" t="s">
        <v>4061</v>
      </c>
      <c r="H1603" t="s">
        <v>79</v>
      </c>
      <c r="I1603" t="s">
        <v>3720</v>
      </c>
      <c r="J1603" t="s">
        <v>5481</v>
      </c>
    </row>
    <row r="1604" spans="1:10" x14ac:dyDescent="0.25">
      <c r="A1604" t="s">
        <v>5482</v>
      </c>
      <c r="B1604" s="22">
        <v>46183</v>
      </c>
      <c r="C1604" t="s">
        <v>548</v>
      </c>
      <c r="D1604" t="s">
        <v>21</v>
      </c>
      <c r="E1604" t="s">
        <v>81</v>
      </c>
      <c r="F1604">
        <v>5591</v>
      </c>
      <c r="G1604" t="s">
        <v>4061</v>
      </c>
      <c r="H1604" t="s">
        <v>79</v>
      </c>
      <c r="I1604" t="s">
        <v>3720</v>
      </c>
      <c r="J1604" t="s">
        <v>5483</v>
      </c>
    </row>
    <row r="1605" spans="1:10" x14ac:dyDescent="0.25">
      <c r="A1605" t="s">
        <v>5484</v>
      </c>
      <c r="B1605" s="22">
        <v>46183</v>
      </c>
      <c r="C1605" t="s">
        <v>549</v>
      </c>
      <c r="D1605" t="s">
        <v>21</v>
      </c>
      <c r="E1605" t="s">
        <v>81</v>
      </c>
      <c r="F1605">
        <v>5592</v>
      </c>
      <c r="G1605" t="s">
        <v>4061</v>
      </c>
      <c r="H1605" t="s">
        <v>79</v>
      </c>
      <c r="I1605" t="s">
        <v>3720</v>
      </c>
      <c r="J1605" t="s">
        <v>5485</v>
      </c>
    </row>
    <row r="1606" spans="1:10" x14ac:dyDescent="0.25">
      <c r="A1606" t="s">
        <v>5486</v>
      </c>
      <c r="B1606" s="22">
        <v>46183</v>
      </c>
      <c r="C1606" t="s">
        <v>554</v>
      </c>
      <c r="D1606" t="s">
        <v>21</v>
      </c>
      <c r="E1606" t="s">
        <v>81</v>
      </c>
      <c r="F1606">
        <v>5597</v>
      </c>
      <c r="G1606" t="s">
        <v>4061</v>
      </c>
      <c r="H1606" t="s">
        <v>79</v>
      </c>
      <c r="I1606" t="s">
        <v>3720</v>
      </c>
      <c r="J1606" t="s">
        <v>5487</v>
      </c>
    </row>
    <row r="1607" spans="1:10" x14ac:dyDescent="0.25">
      <c r="A1607" t="s">
        <v>5488</v>
      </c>
      <c r="B1607" s="22">
        <v>46183</v>
      </c>
      <c r="C1607" t="s">
        <v>556</v>
      </c>
      <c r="D1607" t="s">
        <v>22</v>
      </c>
      <c r="E1607" t="s">
        <v>81</v>
      </c>
      <c r="F1607">
        <v>5599</v>
      </c>
      <c r="G1607" t="s">
        <v>4061</v>
      </c>
      <c r="H1607" t="s">
        <v>79</v>
      </c>
      <c r="I1607" t="s">
        <v>3720</v>
      </c>
      <c r="J1607" t="s">
        <v>5489</v>
      </c>
    </row>
    <row r="1608" spans="1:10" x14ac:dyDescent="0.25">
      <c r="A1608" t="s">
        <v>5490</v>
      </c>
      <c r="B1608" s="22">
        <v>46183</v>
      </c>
      <c r="C1608" t="s">
        <v>558</v>
      </c>
      <c r="D1608" t="s">
        <v>22</v>
      </c>
      <c r="E1608" t="s">
        <v>81</v>
      </c>
      <c r="F1608">
        <v>5601</v>
      </c>
      <c r="G1608" t="s">
        <v>4061</v>
      </c>
      <c r="H1608" t="s">
        <v>79</v>
      </c>
      <c r="I1608" t="s">
        <v>3720</v>
      </c>
      <c r="J1608" t="s">
        <v>5491</v>
      </c>
    </row>
    <row r="1609" spans="1:10" x14ac:dyDescent="0.25">
      <c r="A1609" t="s">
        <v>5492</v>
      </c>
      <c r="B1609" s="22">
        <v>46183</v>
      </c>
      <c r="C1609" t="s">
        <v>560</v>
      </c>
      <c r="D1609" t="s">
        <v>22</v>
      </c>
      <c r="E1609" t="s">
        <v>81</v>
      </c>
      <c r="F1609">
        <v>5603</v>
      </c>
      <c r="G1609" t="s">
        <v>4061</v>
      </c>
      <c r="H1609" t="s">
        <v>79</v>
      </c>
      <c r="I1609" t="s">
        <v>3720</v>
      </c>
      <c r="J1609" t="s">
        <v>5493</v>
      </c>
    </row>
    <row r="1610" spans="1:10" x14ac:dyDescent="0.25">
      <c r="A1610" t="s">
        <v>5494</v>
      </c>
      <c r="B1610" s="22">
        <v>46183</v>
      </c>
      <c r="C1610" t="s">
        <v>561</v>
      </c>
      <c r="D1610" t="s">
        <v>22</v>
      </c>
      <c r="E1610" t="s">
        <v>81</v>
      </c>
      <c r="F1610">
        <v>5604</v>
      </c>
      <c r="G1610" t="s">
        <v>4061</v>
      </c>
      <c r="H1610" t="s">
        <v>79</v>
      </c>
      <c r="I1610" t="s">
        <v>3720</v>
      </c>
      <c r="J1610" t="s">
        <v>5495</v>
      </c>
    </row>
    <row r="1611" spans="1:10" x14ac:dyDescent="0.25">
      <c r="A1611" t="s">
        <v>5496</v>
      </c>
      <c r="B1611" s="22">
        <v>46183</v>
      </c>
      <c r="C1611" t="s">
        <v>565</v>
      </c>
      <c r="D1611" t="s">
        <v>21</v>
      </c>
      <c r="E1611" t="s">
        <v>81</v>
      </c>
      <c r="F1611">
        <v>5608</v>
      </c>
      <c r="G1611" t="s">
        <v>4061</v>
      </c>
      <c r="H1611" t="s">
        <v>79</v>
      </c>
      <c r="I1611" t="s">
        <v>3720</v>
      </c>
      <c r="J1611" t="s">
        <v>5497</v>
      </c>
    </row>
    <row r="1612" spans="1:10" x14ac:dyDescent="0.25">
      <c r="A1612" t="s">
        <v>5498</v>
      </c>
      <c r="B1612" s="22">
        <v>46183</v>
      </c>
      <c r="C1612" t="s">
        <v>566</v>
      </c>
      <c r="D1612" t="s">
        <v>21</v>
      </c>
      <c r="E1612" t="s">
        <v>81</v>
      </c>
      <c r="F1612">
        <v>5609</v>
      </c>
      <c r="G1612" t="s">
        <v>4061</v>
      </c>
      <c r="H1612" t="s">
        <v>79</v>
      </c>
      <c r="I1612" t="s">
        <v>3720</v>
      </c>
      <c r="J1612" t="s">
        <v>5499</v>
      </c>
    </row>
    <row r="1613" spans="1:10" x14ac:dyDescent="0.25">
      <c r="A1613" t="s">
        <v>5500</v>
      </c>
      <c r="B1613" s="22">
        <v>46183</v>
      </c>
      <c r="C1613" t="s">
        <v>567</v>
      </c>
      <c r="D1613" t="s">
        <v>21</v>
      </c>
      <c r="E1613" t="s">
        <v>81</v>
      </c>
      <c r="F1613">
        <v>5610</v>
      </c>
      <c r="G1613" t="s">
        <v>4061</v>
      </c>
      <c r="H1613" t="s">
        <v>79</v>
      </c>
      <c r="I1613" t="s">
        <v>3720</v>
      </c>
      <c r="J1613" t="s">
        <v>5501</v>
      </c>
    </row>
    <row r="1614" spans="1:10" x14ac:dyDescent="0.25">
      <c r="A1614" t="s">
        <v>5502</v>
      </c>
      <c r="B1614" s="22">
        <v>46183</v>
      </c>
      <c r="C1614" t="s">
        <v>571</v>
      </c>
      <c r="D1614" t="s">
        <v>22</v>
      </c>
      <c r="E1614" t="s">
        <v>81</v>
      </c>
      <c r="F1614">
        <v>5614</v>
      </c>
      <c r="G1614" t="s">
        <v>4061</v>
      </c>
      <c r="H1614" t="s">
        <v>79</v>
      </c>
      <c r="I1614" t="s">
        <v>3720</v>
      </c>
      <c r="J1614" t="s">
        <v>5503</v>
      </c>
    </row>
    <row r="1615" spans="1:10" x14ac:dyDescent="0.25">
      <c r="A1615" t="s">
        <v>5504</v>
      </c>
      <c r="B1615" s="22">
        <v>46183</v>
      </c>
      <c r="C1615" t="s">
        <v>573</v>
      </c>
      <c r="D1615" t="s">
        <v>21</v>
      </c>
      <c r="E1615" t="s">
        <v>81</v>
      </c>
      <c r="F1615">
        <v>5616</v>
      </c>
      <c r="G1615" t="s">
        <v>4061</v>
      </c>
      <c r="H1615" t="s">
        <v>79</v>
      </c>
      <c r="I1615" t="s">
        <v>3720</v>
      </c>
      <c r="J1615" t="s">
        <v>5505</v>
      </c>
    </row>
    <row r="1616" spans="1:10" x14ac:dyDescent="0.25">
      <c r="A1616" t="s">
        <v>5506</v>
      </c>
      <c r="B1616" s="22">
        <v>46183</v>
      </c>
      <c r="C1616" t="s">
        <v>576</v>
      </c>
      <c r="D1616" t="s">
        <v>21</v>
      </c>
      <c r="E1616" t="s">
        <v>81</v>
      </c>
      <c r="F1616">
        <v>5619</v>
      </c>
      <c r="G1616" t="s">
        <v>4061</v>
      </c>
      <c r="H1616" t="s">
        <v>79</v>
      </c>
      <c r="I1616" t="s">
        <v>3720</v>
      </c>
      <c r="J1616" t="s">
        <v>5507</v>
      </c>
    </row>
    <row r="1617" spans="1:10" x14ac:dyDescent="0.25">
      <c r="A1617" t="s">
        <v>5508</v>
      </c>
      <c r="B1617" s="22">
        <v>46183</v>
      </c>
      <c r="C1617" t="s">
        <v>578</v>
      </c>
      <c r="D1617" t="s">
        <v>22</v>
      </c>
      <c r="E1617" t="s">
        <v>81</v>
      </c>
      <c r="F1617">
        <v>5621</v>
      </c>
      <c r="G1617" t="s">
        <v>4061</v>
      </c>
      <c r="H1617" t="s">
        <v>79</v>
      </c>
      <c r="I1617" t="s">
        <v>3720</v>
      </c>
      <c r="J1617" t="s">
        <v>5509</v>
      </c>
    </row>
    <row r="1618" spans="1:10" x14ac:dyDescent="0.25">
      <c r="A1618" t="s">
        <v>5510</v>
      </c>
      <c r="B1618" s="22">
        <v>46183</v>
      </c>
      <c r="C1618" t="s">
        <v>580</v>
      </c>
      <c r="D1618" t="s">
        <v>21</v>
      </c>
      <c r="E1618" t="s">
        <v>81</v>
      </c>
      <c r="F1618">
        <v>5623</v>
      </c>
      <c r="G1618" t="s">
        <v>4061</v>
      </c>
      <c r="H1618" t="s">
        <v>79</v>
      </c>
      <c r="I1618" t="s">
        <v>3720</v>
      </c>
      <c r="J1618" t="s">
        <v>5511</v>
      </c>
    </row>
    <row r="1619" spans="1:10" x14ac:dyDescent="0.25">
      <c r="A1619" t="s">
        <v>5512</v>
      </c>
      <c r="B1619" s="22">
        <v>46183</v>
      </c>
      <c r="C1619" t="s">
        <v>581</v>
      </c>
      <c r="D1619" t="s">
        <v>21</v>
      </c>
      <c r="E1619" t="s">
        <v>81</v>
      </c>
      <c r="F1619">
        <v>5624</v>
      </c>
      <c r="G1619" t="s">
        <v>4061</v>
      </c>
      <c r="H1619" t="s">
        <v>79</v>
      </c>
      <c r="I1619" t="s">
        <v>3720</v>
      </c>
      <c r="J1619" t="s">
        <v>5513</v>
      </c>
    </row>
    <row r="1620" spans="1:10" x14ac:dyDescent="0.25">
      <c r="A1620" t="s">
        <v>5514</v>
      </c>
      <c r="B1620" s="22">
        <v>46183</v>
      </c>
      <c r="C1620" t="s">
        <v>583</v>
      </c>
      <c r="D1620" t="s">
        <v>22</v>
      </c>
      <c r="E1620" t="s">
        <v>81</v>
      </c>
      <c r="F1620">
        <v>5626</v>
      </c>
      <c r="G1620" t="s">
        <v>4061</v>
      </c>
      <c r="H1620" t="s">
        <v>79</v>
      </c>
      <c r="I1620" t="s">
        <v>3720</v>
      </c>
      <c r="J1620" t="s">
        <v>5515</v>
      </c>
    </row>
    <row r="1621" spans="1:10" x14ac:dyDescent="0.25">
      <c r="A1621" t="s">
        <v>5516</v>
      </c>
      <c r="B1621" s="22">
        <v>46183</v>
      </c>
      <c r="C1621" t="s">
        <v>584</v>
      </c>
      <c r="D1621" t="s">
        <v>21</v>
      </c>
      <c r="E1621" t="s">
        <v>81</v>
      </c>
      <c r="F1621">
        <v>5627</v>
      </c>
      <c r="G1621" t="s">
        <v>4061</v>
      </c>
      <c r="H1621" t="s">
        <v>79</v>
      </c>
      <c r="I1621" t="s">
        <v>3720</v>
      </c>
      <c r="J1621" t="s">
        <v>5517</v>
      </c>
    </row>
    <row r="1622" spans="1:10" x14ac:dyDescent="0.25">
      <c r="A1622" t="s">
        <v>5518</v>
      </c>
      <c r="B1622" s="22">
        <v>46183</v>
      </c>
      <c r="C1622" t="s">
        <v>585</v>
      </c>
      <c r="D1622" t="s">
        <v>22</v>
      </c>
      <c r="E1622" t="s">
        <v>81</v>
      </c>
      <c r="F1622">
        <v>5628</v>
      </c>
      <c r="G1622" t="s">
        <v>4061</v>
      </c>
      <c r="H1622" t="s">
        <v>79</v>
      </c>
      <c r="I1622" t="s">
        <v>3720</v>
      </c>
      <c r="J1622" t="s">
        <v>5519</v>
      </c>
    </row>
    <row r="1623" spans="1:10" x14ac:dyDescent="0.25">
      <c r="A1623" t="s">
        <v>5520</v>
      </c>
      <c r="B1623" s="22">
        <v>46183</v>
      </c>
      <c r="C1623" t="s">
        <v>586</v>
      </c>
      <c r="D1623" t="s">
        <v>21</v>
      </c>
      <c r="E1623" t="s">
        <v>81</v>
      </c>
      <c r="F1623">
        <v>5629</v>
      </c>
      <c r="G1623" t="s">
        <v>4061</v>
      </c>
      <c r="H1623" t="s">
        <v>79</v>
      </c>
      <c r="I1623" t="s">
        <v>3720</v>
      </c>
      <c r="J1623" t="s">
        <v>5521</v>
      </c>
    </row>
    <row r="1624" spans="1:10" x14ac:dyDescent="0.25">
      <c r="A1624" t="s">
        <v>5522</v>
      </c>
      <c r="B1624" s="22">
        <v>46183</v>
      </c>
      <c r="C1624" t="s">
        <v>588</v>
      </c>
      <c r="D1624" t="s">
        <v>21</v>
      </c>
      <c r="E1624" t="s">
        <v>81</v>
      </c>
      <c r="F1624">
        <v>5630</v>
      </c>
      <c r="G1624" t="s">
        <v>4061</v>
      </c>
      <c r="H1624" t="s">
        <v>79</v>
      </c>
      <c r="I1624" t="s">
        <v>3720</v>
      </c>
      <c r="J1624" t="s">
        <v>5523</v>
      </c>
    </row>
    <row r="1625" spans="1:10" x14ac:dyDescent="0.25">
      <c r="A1625" t="s">
        <v>5524</v>
      </c>
      <c r="B1625" s="22">
        <v>46183</v>
      </c>
      <c r="C1625" t="s">
        <v>589</v>
      </c>
      <c r="D1625" t="s">
        <v>22</v>
      </c>
      <c r="E1625" t="s">
        <v>81</v>
      </c>
      <c r="F1625">
        <v>5632</v>
      </c>
      <c r="G1625" t="s">
        <v>4061</v>
      </c>
      <c r="H1625" t="s">
        <v>79</v>
      </c>
      <c r="I1625" t="s">
        <v>3720</v>
      </c>
      <c r="J1625" t="s">
        <v>5525</v>
      </c>
    </row>
    <row r="1626" spans="1:10" x14ac:dyDescent="0.25">
      <c r="A1626" t="s">
        <v>5526</v>
      </c>
      <c r="B1626" s="22">
        <v>46183</v>
      </c>
      <c r="C1626" t="s">
        <v>590</v>
      </c>
      <c r="D1626" t="s">
        <v>22</v>
      </c>
      <c r="E1626" t="s">
        <v>81</v>
      </c>
      <c r="F1626">
        <v>5633</v>
      </c>
      <c r="G1626" t="s">
        <v>4061</v>
      </c>
      <c r="H1626" t="s">
        <v>79</v>
      </c>
      <c r="I1626" t="s">
        <v>3720</v>
      </c>
      <c r="J1626" t="s">
        <v>5527</v>
      </c>
    </row>
    <row r="1627" spans="1:10" x14ac:dyDescent="0.25">
      <c r="A1627" t="s">
        <v>5528</v>
      </c>
      <c r="B1627" s="22">
        <v>46183</v>
      </c>
      <c r="C1627" t="s">
        <v>592</v>
      </c>
      <c r="D1627" t="s">
        <v>21</v>
      </c>
      <c r="E1627" t="s">
        <v>81</v>
      </c>
      <c r="F1627">
        <v>5635</v>
      </c>
      <c r="G1627" t="s">
        <v>4061</v>
      </c>
      <c r="H1627" t="s">
        <v>79</v>
      </c>
      <c r="I1627" t="s">
        <v>3720</v>
      </c>
      <c r="J1627" t="s">
        <v>5529</v>
      </c>
    </row>
    <row r="1628" spans="1:10" x14ac:dyDescent="0.25">
      <c r="A1628" t="s">
        <v>5530</v>
      </c>
      <c r="B1628" s="22">
        <v>46183</v>
      </c>
      <c r="C1628" t="s">
        <v>594</v>
      </c>
      <c r="D1628" t="s">
        <v>22</v>
      </c>
      <c r="E1628" t="s">
        <v>81</v>
      </c>
      <c r="F1628">
        <v>5637</v>
      </c>
      <c r="G1628" t="s">
        <v>4061</v>
      </c>
      <c r="H1628" t="s">
        <v>79</v>
      </c>
      <c r="I1628" t="s">
        <v>3720</v>
      </c>
      <c r="J1628" t="s">
        <v>5531</v>
      </c>
    </row>
    <row r="1629" spans="1:10" x14ac:dyDescent="0.25">
      <c r="A1629" t="s">
        <v>5532</v>
      </c>
      <c r="B1629" s="22">
        <v>46183</v>
      </c>
      <c r="C1629" t="s">
        <v>596</v>
      </c>
      <c r="D1629" t="s">
        <v>21</v>
      </c>
      <c r="E1629" t="s">
        <v>81</v>
      </c>
      <c r="F1629">
        <v>5639</v>
      </c>
      <c r="G1629" t="s">
        <v>4061</v>
      </c>
      <c r="H1629" t="s">
        <v>79</v>
      </c>
      <c r="I1629" t="s">
        <v>3720</v>
      </c>
      <c r="J1629" t="s">
        <v>5533</v>
      </c>
    </row>
    <row r="1630" spans="1:10" x14ac:dyDescent="0.25">
      <c r="A1630" t="s">
        <v>5534</v>
      </c>
      <c r="B1630" s="22">
        <v>46183</v>
      </c>
      <c r="C1630" t="s">
        <v>597</v>
      </c>
      <c r="D1630" t="s">
        <v>22</v>
      </c>
      <c r="E1630" t="s">
        <v>81</v>
      </c>
      <c r="F1630">
        <v>5640</v>
      </c>
      <c r="G1630" t="s">
        <v>4061</v>
      </c>
      <c r="H1630" t="s">
        <v>79</v>
      </c>
      <c r="I1630" t="s">
        <v>3720</v>
      </c>
      <c r="J1630" t="s">
        <v>5535</v>
      </c>
    </row>
    <row r="1631" spans="1:10" x14ac:dyDescent="0.25">
      <c r="A1631" t="s">
        <v>5536</v>
      </c>
      <c r="B1631" s="22">
        <v>46183</v>
      </c>
      <c r="C1631" t="s">
        <v>598</v>
      </c>
      <c r="D1631" t="s">
        <v>21</v>
      </c>
      <c r="E1631" t="s">
        <v>81</v>
      </c>
      <c r="F1631">
        <v>5641</v>
      </c>
      <c r="G1631" t="s">
        <v>4061</v>
      </c>
      <c r="H1631" t="s">
        <v>79</v>
      </c>
      <c r="I1631" t="s">
        <v>3720</v>
      </c>
      <c r="J1631" t="s">
        <v>5531</v>
      </c>
    </row>
    <row r="1632" spans="1:10" x14ac:dyDescent="0.25">
      <c r="A1632" t="s">
        <v>5537</v>
      </c>
      <c r="B1632" s="22">
        <v>46183</v>
      </c>
      <c r="C1632" t="s">
        <v>599</v>
      </c>
      <c r="D1632" t="s">
        <v>21</v>
      </c>
      <c r="E1632" t="s">
        <v>81</v>
      </c>
      <c r="F1632">
        <v>5642</v>
      </c>
      <c r="G1632" t="s">
        <v>4061</v>
      </c>
      <c r="H1632" t="s">
        <v>79</v>
      </c>
      <c r="I1632" t="s">
        <v>3720</v>
      </c>
      <c r="J1632" t="s">
        <v>5533</v>
      </c>
    </row>
    <row r="1633" spans="1:10" x14ac:dyDescent="0.25">
      <c r="A1633" t="s">
        <v>5538</v>
      </c>
      <c r="B1633" s="22">
        <v>46183</v>
      </c>
      <c r="C1633" t="s">
        <v>600</v>
      </c>
      <c r="D1633" t="s">
        <v>21</v>
      </c>
      <c r="E1633" t="s">
        <v>81</v>
      </c>
      <c r="F1633">
        <v>5643</v>
      </c>
      <c r="G1633" t="s">
        <v>4061</v>
      </c>
      <c r="H1633" t="s">
        <v>79</v>
      </c>
      <c r="I1633" t="s">
        <v>3720</v>
      </c>
      <c r="J1633" t="s">
        <v>5539</v>
      </c>
    </row>
    <row r="1634" spans="1:10" x14ac:dyDescent="0.25">
      <c r="A1634" t="s">
        <v>5540</v>
      </c>
      <c r="B1634" s="22">
        <v>46183</v>
      </c>
      <c r="C1634" t="s">
        <v>601</v>
      </c>
      <c r="D1634" t="s">
        <v>22</v>
      </c>
      <c r="E1634" t="s">
        <v>81</v>
      </c>
      <c r="F1634">
        <v>5644</v>
      </c>
      <c r="G1634" t="s">
        <v>4061</v>
      </c>
      <c r="H1634" t="s">
        <v>79</v>
      </c>
      <c r="I1634" t="s">
        <v>3720</v>
      </c>
      <c r="J1634" t="s">
        <v>5541</v>
      </c>
    </row>
    <row r="1635" spans="1:10" x14ac:dyDescent="0.25">
      <c r="A1635" t="s">
        <v>5542</v>
      </c>
      <c r="B1635" s="22">
        <v>46183</v>
      </c>
      <c r="C1635" t="s">
        <v>602</v>
      </c>
      <c r="D1635" t="s">
        <v>21</v>
      </c>
      <c r="E1635" t="s">
        <v>81</v>
      </c>
      <c r="F1635">
        <v>5645</v>
      </c>
      <c r="G1635" t="s">
        <v>4061</v>
      </c>
      <c r="H1635" t="s">
        <v>79</v>
      </c>
      <c r="I1635" t="s">
        <v>3720</v>
      </c>
      <c r="J1635" t="s">
        <v>5543</v>
      </c>
    </row>
    <row r="1636" spans="1:10" x14ac:dyDescent="0.25">
      <c r="A1636" t="s">
        <v>5544</v>
      </c>
      <c r="B1636" s="22">
        <v>46183</v>
      </c>
      <c r="C1636" t="s">
        <v>603</v>
      </c>
      <c r="D1636" t="s">
        <v>21</v>
      </c>
      <c r="E1636" t="s">
        <v>81</v>
      </c>
      <c r="F1636">
        <v>5646</v>
      </c>
      <c r="G1636" t="s">
        <v>4061</v>
      </c>
      <c r="H1636" t="s">
        <v>79</v>
      </c>
      <c r="I1636" t="s">
        <v>3720</v>
      </c>
      <c r="J1636" t="s">
        <v>5545</v>
      </c>
    </row>
    <row r="1637" spans="1:10" x14ac:dyDescent="0.25">
      <c r="A1637" t="s">
        <v>5546</v>
      </c>
      <c r="B1637" s="22">
        <v>46183</v>
      </c>
      <c r="C1637" t="s">
        <v>604</v>
      </c>
      <c r="D1637" t="s">
        <v>22</v>
      </c>
      <c r="E1637" t="s">
        <v>81</v>
      </c>
      <c r="F1637">
        <v>5647</v>
      </c>
      <c r="G1637" t="s">
        <v>4061</v>
      </c>
      <c r="H1637" t="s">
        <v>79</v>
      </c>
      <c r="I1637" t="s">
        <v>3720</v>
      </c>
      <c r="J1637" t="s">
        <v>5547</v>
      </c>
    </row>
    <row r="1638" spans="1:10" x14ac:dyDescent="0.25">
      <c r="A1638" t="s">
        <v>5548</v>
      </c>
      <c r="B1638" s="22">
        <v>46183</v>
      </c>
      <c r="C1638" t="s">
        <v>605</v>
      </c>
      <c r="D1638" t="s">
        <v>22</v>
      </c>
      <c r="E1638" t="s">
        <v>81</v>
      </c>
      <c r="F1638">
        <v>5648</v>
      </c>
      <c r="G1638" t="s">
        <v>4061</v>
      </c>
      <c r="H1638" t="s">
        <v>79</v>
      </c>
      <c r="I1638" t="s">
        <v>3720</v>
      </c>
      <c r="J1638" t="s">
        <v>5549</v>
      </c>
    </row>
    <row r="1639" spans="1:10" x14ac:dyDescent="0.25">
      <c r="A1639" t="s">
        <v>5550</v>
      </c>
      <c r="B1639" s="22">
        <v>46183</v>
      </c>
      <c r="C1639" t="s">
        <v>606</v>
      </c>
      <c r="D1639" t="s">
        <v>21</v>
      </c>
      <c r="E1639" t="s">
        <v>81</v>
      </c>
      <c r="F1639">
        <v>5650</v>
      </c>
      <c r="G1639" t="s">
        <v>4061</v>
      </c>
      <c r="H1639" t="s">
        <v>79</v>
      </c>
      <c r="I1639" t="s">
        <v>3720</v>
      </c>
      <c r="J1639" t="s">
        <v>5551</v>
      </c>
    </row>
    <row r="1640" spans="1:10" x14ac:dyDescent="0.25">
      <c r="A1640" t="s">
        <v>5552</v>
      </c>
      <c r="B1640" s="22">
        <v>46183</v>
      </c>
      <c r="C1640" t="s">
        <v>607</v>
      </c>
      <c r="D1640" t="s">
        <v>22</v>
      </c>
      <c r="E1640" t="s">
        <v>81</v>
      </c>
      <c r="F1640">
        <v>5651</v>
      </c>
      <c r="G1640" t="s">
        <v>4061</v>
      </c>
      <c r="H1640" t="s">
        <v>79</v>
      </c>
      <c r="I1640" t="s">
        <v>3720</v>
      </c>
      <c r="J1640" t="s">
        <v>5553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00000"/>
  </sheetPr>
  <dimension ref="A1:H1200"/>
  <sheetViews>
    <sheetView showGridLines="0" workbookViewId="0">
      <pane ySplit="4" topLeftCell="A5" activePane="bottomLeft" state="frozen"/>
      <selection pane="bottomLeft" sqref="A1:H1"/>
    </sheetView>
  </sheetViews>
  <sheetFormatPr defaultRowHeight="15" x14ac:dyDescent="0.25"/>
  <cols>
    <col min="1" max="3" width="12" bestFit="1" customWidth="1"/>
    <col min="4" max="4" width="14" bestFit="1" customWidth="1"/>
    <col min="5" max="8" width="12" bestFit="1" customWidth="1"/>
    <col min="9" max="9" width="9.7109375" bestFit="1" customWidth="1"/>
    <col min="10" max="10" width="15.28515625" bestFit="1" customWidth="1"/>
    <col min="11" max="11" width="49.7109375" bestFit="1" customWidth="1"/>
  </cols>
  <sheetData>
    <row r="1" spans="1:8" ht="32.1" customHeight="1" x14ac:dyDescent="0.25">
      <c r="A1" s="64" t="s">
        <v>393</v>
      </c>
      <c r="B1" s="64"/>
      <c r="C1" s="64"/>
      <c r="D1" s="64"/>
      <c r="E1" s="64"/>
      <c r="F1" s="64"/>
      <c r="G1" s="64"/>
      <c r="H1" s="64"/>
    </row>
    <row r="2" spans="1:8" x14ac:dyDescent="0.25">
      <c r="A2" s="64" t="s">
        <v>5554</v>
      </c>
      <c r="B2" s="64"/>
      <c r="C2" s="64"/>
      <c r="D2" s="64"/>
      <c r="E2" s="64"/>
      <c r="F2" s="64"/>
      <c r="G2" s="64"/>
      <c r="H2" s="64"/>
    </row>
    <row r="4" spans="1:8" ht="33.950000000000003" customHeight="1" x14ac:dyDescent="0.25">
      <c r="A4" s="59" t="s">
        <v>111</v>
      </c>
      <c r="B4" s="59" t="s">
        <v>112</v>
      </c>
      <c r="C4" s="59" t="s">
        <v>108</v>
      </c>
      <c r="D4" s="59" t="s">
        <v>124</v>
      </c>
      <c r="E4" s="59" t="s">
        <v>5555</v>
      </c>
      <c r="F4" s="59" t="s">
        <v>125</v>
      </c>
      <c r="G4" s="59" t="s">
        <v>114</v>
      </c>
      <c r="H4" s="59" t="s">
        <v>117</v>
      </c>
    </row>
    <row r="5" spans="1:8" ht="30" x14ac:dyDescent="0.25">
      <c r="A5" s="57">
        <f>CRM_MAGDY!H5</f>
        <v>5443</v>
      </c>
      <c r="B5" s="57" t="str">
        <f>CRM_MAGDY!I5</f>
        <v>Magda K</v>
      </c>
      <c r="C5" s="57">
        <f>CRM_MAGDY!E5</f>
        <v>0</v>
      </c>
      <c r="D5" s="57">
        <f>CRM_MAGDY!V5</f>
        <v>0</v>
      </c>
      <c r="E5" s="57" t="str">
        <f>IF(CRM_MAGDY!G5="","BRAK TELEFONU",IF(CRM_MAGDY!K5="","BRAK KWOTY",IF(CRM_MAGDY!N5="","BRAK STATUSU",IF(CRM_MAGDY!C5="","BRAK DATY AKCJI",""))))</f>
        <v>BRAK TELEFONU</v>
      </c>
      <c r="F5" s="57" t="str">
        <f>CRM_MAGDY!W5</f>
        <v>BRAKI CRM</v>
      </c>
      <c r="G5" s="57">
        <f>CRM_MAGDY!K5</f>
        <v>28000</v>
      </c>
      <c r="H5" s="57">
        <f>CRM_MAGDY!N5</f>
        <v>0</v>
      </c>
    </row>
    <row r="6" spans="1:8" ht="30" x14ac:dyDescent="0.25">
      <c r="A6" s="57">
        <f>CRM_MAGDY!H6</f>
        <v>5444</v>
      </c>
      <c r="B6" s="57" t="str">
        <f>CRM_MAGDY!I6</f>
        <v>Magda K</v>
      </c>
      <c r="C6" s="57">
        <f>CRM_MAGDY!E6</f>
        <v>0</v>
      </c>
      <c r="D6" s="57">
        <f>CRM_MAGDY!V6</f>
        <v>0.5</v>
      </c>
      <c r="E6" s="57" t="str">
        <f>IF(CRM_MAGDY!G6="","BRAK TELEFONU",IF(CRM_MAGDY!K6="","BRAK KWOTY",IF(CRM_MAGDY!N6="","BRAK STATUSU",IF(CRM_MAGDY!C6="","BRAK DATY AKCJI",""))))</f>
        <v>BRAK TELEFONU</v>
      </c>
      <c r="F6" s="57" t="str">
        <f>CRM_MAGDY!W6</f>
        <v>BRAKI CRM</v>
      </c>
      <c r="G6" s="57">
        <f>CRM_MAGDY!K6</f>
        <v>26622</v>
      </c>
      <c r="H6" s="57" t="str">
        <f>CRM_MAGDY!N6</f>
        <v>WYGRANA</v>
      </c>
    </row>
    <row r="7" spans="1:8" ht="30" x14ac:dyDescent="0.25">
      <c r="A7" s="57">
        <f>CRM_MAGDY!H7</f>
        <v>5445</v>
      </c>
      <c r="B7" s="57" t="str">
        <f>CRM_MAGDY!I7</f>
        <v>Magda K</v>
      </c>
      <c r="C7" s="57">
        <f>CRM_MAGDY!E7</f>
        <v>0</v>
      </c>
      <c r="D7" s="57">
        <f>CRM_MAGDY!V7</f>
        <v>0.25</v>
      </c>
      <c r="E7" s="57" t="str">
        <f>IF(CRM_MAGDY!G7="","BRAK TELEFONU",IF(CRM_MAGDY!K7="","BRAK KWOTY",IF(CRM_MAGDY!N7="","BRAK STATUSU",IF(CRM_MAGDY!C7="","BRAK DATY AKCJI",""))))</f>
        <v>BRAK TELEFONU</v>
      </c>
      <c r="F7" s="57" t="str">
        <f>CRM_MAGDY!W7</f>
        <v>BRAKI CRM</v>
      </c>
      <c r="G7" s="57">
        <f>CRM_MAGDY!K7</f>
        <v>23000</v>
      </c>
      <c r="H7" s="57" t="str">
        <f>CRM_MAGDY!N7</f>
        <v>PRZEGRANA</v>
      </c>
    </row>
    <row r="8" spans="1:8" ht="30" x14ac:dyDescent="0.25">
      <c r="A8" s="57">
        <f>CRM_MAGDY!H8</f>
        <v>5446</v>
      </c>
      <c r="B8" s="57" t="str">
        <f>CRM_MAGDY!I8</f>
        <v>Magda K</v>
      </c>
      <c r="C8" s="57">
        <f>CRM_MAGDY!E8</f>
        <v>0</v>
      </c>
      <c r="D8" s="57">
        <f>CRM_MAGDY!V8</f>
        <v>0.25</v>
      </c>
      <c r="E8" s="57" t="str">
        <f>IF(CRM_MAGDY!G8="","BRAK TELEFONU",IF(CRM_MAGDY!K8="","BRAK KWOTY",IF(CRM_MAGDY!N8="","BRAK STATUSU",IF(CRM_MAGDY!C8="","BRAK DATY AKCJI",""))))</f>
        <v>BRAK TELEFONU</v>
      </c>
      <c r="F8" s="57" t="str">
        <f>CRM_MAGDY!W8</f>
        <v>BRAKI CRM</v>
      </c>
      <c r="G8" s="57">
        <f>CRM_MAGDY!K8</f>
        <v>0</v>
      </c>
      <c r="H8" s="57" t="str">
        <f>CRM_MAGDY!N8</f>
        <v>PRZEGRANA</v>
      </c>
    </row>
    <row r="9" spans="1:8" ht="30" x14ac:dyDescent="0.25">
      <c r="A9" s="57">
        <f>CRM_MAGDY!H9</f>
        <v>5447</v>
      </c>
      <c r="B9" s="57" t="str">
        <f>CRM_MAGDY!I9</f>
        <v>Magda K</v>
      </c>
      <c r="C9" s="57">
        <f>CRM_MAGDY!E9</f>
        <v>0</v>
      </c>
      <c r="D9" s="57">
        <f>CRM_MAGDY!V9</f>
        <v>0.25</v>
      </c>
      <c r="E9" s="57" t="str">
        <f>IF(CRM_MAGDY!G9="","BRAK TELEFONU",IF(CRM_MAGDY!K9="","BRAK KWOTY",IF(CRM_MAGDY!N9="","BRAK STATUSU",IF(CRM_MAGDY!C9="","BRAK DATY AKCJI",""))))</f>
        <v>BRAK TELEFONU</v>
      </c>
      <c r="F9" s="57" t="str">
        <f>CRM_MAGDY!W9</f>
        <v>BRAKI CRM</v>
      </c>
      <c r="G9" s="57">
        <f>CRM_MAGDY!K9</f>
        <v>21000</v>
      </c>
      <c r="H9" s="57" t="str">
        <f>CRM_MAGDY!N9</f>
        <v>PRZEGRANA</v>
      </c>
    </row>
    <row r="10" spans="1:8" ht="30" x14ac:dyDescent="0.25">
      <c r="A10" s="57">
        <f>CRM_MAGDY!H10</f>
        <v>5448</v>
      </c>
      <c r="B10" s="57" t="str">
        <f>CRM_MAGDY!I10</f>
        <v>Magda K</v>
      </c>
      <c r="C10" s="57">
        <f>CRM_MAGDY!E10</f>
        <v>0</v>
      </c>
      <c r="D10" s="57">
        <f>CRM_MAGDY!V10</f>
        <v>0.25</v>
      </c>
      <c r="E10" s="57" t="str">
        <f>IF(CRM_MAGDY!G10="","BRAK TELEFONU",IF(CRM_MAGDY!K10="","BRAK KWOTY",IF(CRM_MAGDY!N10="","BRAK STATUSU",IF(CRM_MAGDY!C10="","BRAK DATY AKCJI",""))))</f>
        <v>BRAK TELEFONU</v>
      </c>
      <c r="F10" s="57" t="str">
        <f>CRM_MAGDY!W10</f>
        <v>BRAKI CRM</v>
      </c>
      <c r="G10" s="57">
        <f>CRM_MAGDY!K10</f>
        <v>23000</v>
      </c>
      <c r="H10" s="57" t="str">
        <f>CRM_MAGDY!N10</f>
        <v>PRZEGRANA</v>
      </c>
    </row>
    <row r="11" spans="1:8" ht="30" x14ac:dyDescent="0.25">
      <c r="A11" s="57">
        <f>CRM_MAGDY!H11</f>
        <v>5449</v>
      </c>
      <c r="B11" s="57" t="str">
        <f>CRM_MAGDY!I11</f>
        <v>Magda K</v>
      </c>
      <c r="C11" s="57">
        <f>CRM_MAGDY!E11</f>
        <v>0</v>
      </c>
      <c r="D11" s="57">
        <f>CRM_MAGDY!V11</f>
        <v>0.25</v>
      </c>
      <c r="E11" s="57" t="str">
        <f>IF(CRM_MAGDY!G11="","BRAK TELEFONU",IF(CRM_MAGDY!K11="","BRAK KWOTY",IF(CRM_MAGDY!N11="","BRAK STATUSU",IF(CRM_MAGDY!C11="","BRAK DATY AKCJI",""))))</f>
        <v>BRAK TELEFONU</v>
      </c>
      <c r="F11" s="57" t="str">
        <f>CRM_MAGDY!W11</f>
        <v>BRAKI CRM</v>
      </c>
      <c r="G11" s="57">
        <f>CRM_MAGDY!K11</f>
        <v>20500</v>
      </c>
      <c r="H11" s="57" t="str">
        <f>CRM_MAGDY!N11</f>
        <v>PRZEGRANA</v>
      </c>
    </row>
    <row r="12" spans="1:8" ht="30" x14ac:dyDescent="0.25">
      <c r="A12" s="57">
        <f>CRM_MAGDY!H12</f>
        <v>5450</v>
      </c>
      <c r="B12" s="57" t="str">
        <f>CRM_MAGDY!I12</f>
        <v>Magda K</v>
      </c>
      <c r="C12" s="57">
        <f>CRM_MAGDY!E12</f>
        <v>0</v>
      </c>
      <c r="D12" s="57">
        <f>CRM_MAGDY!V12</f>
        <v>0.25</v>
      </c>
      <c r="E12" s="57" t="str">
        <f>IF(CRM_MAGDY!G12="","BRAK TELEFONU",IF(CRM_MAGDY!K12="","BRAK KWOTY",IF(CRM_MAGDY!N12="","BRAK STATUSU",IF(CRM_MAGDY!C12="","BRAK DATY AKCJI",""))))</f>
        <v>BRAK TELEFONU</v>
      </c>
      <c r="F12" s="57" t="str">
        <f>CRM_MAGDY!W12</f>
        <v>BRAKI CRM</v>
      </c>
      <c r="G12" s="57">
        <f>CRM_MAGDY!K12</f>
        <v>29000</v>
      </c>
      <c r="H12" s="57" t="str">
        <f>CRM_MAGDY!N12</f>
        <v>PRZEGRANA</v>
      </c>
    </row>
    <row r="13" spans="1:8" ht="30" x14ac:dyDescent="0.25">
      <c r="A13" s="57">
        <f>CRM_MAGDY!H13</f>
        <v>5451</v>
      </c>
      <c r="B13" s="57" t="str">
        <f>CRM_MAGDY!I13</f>
        <v>Magda K</v>
      </c>
      <c r="C13" s="57">
        <f>CRM_MAGDY!E13</f>
        <v>0</v>
      </c>
      <c r="D13" s="57">
        <f>CRM_MAGDY!V13</f>
        <v>0.25</v>
      </c>
      <c r="E13" s="57" t="str">
        <f>IF(CRM_MAGDY!G13="","BRAK TELEFONU",IF(CRM_MAGDY!K13="","BRAK KWOTY",IF(CRM_MAGDY!N13="","BRAK STATUSU",IF(CRM_MAGDY!C13="","BRAK DATY AKCJI",""))))</f>
        <v>BRAK TELEFONU</v>
      </c>
      <c r="F13" s="57" t="str">
        <f>CRM_MAGDY!W13</f>
        <v>BRAKI CRM</v>
      </c>
      <c r="G13" s="57">
        <f>CRM_MAGDY!K13</f>
        <v>21000</v>
      </c>
      <c r="H13" s="57" t="str">
        <f>CRM_MAGDY!N13</f>
        <v>PRZEGRANA</v>
      </c>
    </row>
    <row r="14" spans="1:8" ht="30" x14ac:dyDescent="0.25">
      <c r="A14" s="57">
        <f>CRM_MAGDY!H14</f>
        <v>5452</v>
      </c>
      <c r="B14" s="57" t="str">
        <f>CRM_MAGDY!I14</f>
        <v>Magda K</v>
      </c>
      <c r="C14" s="57">
        <f>CRM_MAGDY!E14</f>
        <v>0</v>
      </c>
      <c r="D14" s="57">
        <f>CRM_MAGDY!V14</f>
        <v>0.25</v>
      </c>
      <c r="E14" s="57" t="str">
        <f>IF(CRM_MAGDY!G14="","BRAK TELEFONU",IF(CRM_MAGDY!K14="","BRAK KWOTY",IF(CRM_MAGDY!N14="","BRAK STATUSU",IF(CRM_MAGDY!C14="","BRAK DATY AKCJI",""))))</f>
        <v>BRAK TELEFONU</v>
      </c>
      <c r="F14" s="57" t="str">
        <f>CRM_MAGDY!W14</f>
        <v>BRAKI CRM</v>
      </c>
      <c r="G14" s="57">
        <f>CRM_MAGDY!K14</f>
        <v>23000</v>
      </c>
      <c r="H14" s="57" t="str">
        <f>CRM_MAGDY!N14</f>
        <v>PRZEGRANA</v>
      </c>
    </row>
    <row r="15" spans="1:8" ht="30" x14ac:dyDescent="0.25">
      <c r="A15" s="57">
        <f>CRM_MAGDY!H15</f>
        <v>5453</v>
      </c>
      <c r="B15" s="57" t="str">
        <f>CRM_MAGDY!I15</f>
        <v>Magda B</v>
      </c>
      <c r="C15" s="57">
        <f>CRM_MAGDY!E15</f>
        <v>0</v>
      </c>
      <c r="D15" s="57">
        <f>CRM_MAGDY!V15</f>
        <v>0</v>
      </c>
      <c r="E15" s="57" t="str">
        <f>IF(CRM_MAGDY!G15="","BRAK TELEFONU",IF(CRM_MAGDY!K15="","BRAK KWOTY",IF(CRM_MAGDY!N15="","BRAK STATUSU",IF(CRM_MAGDY!C15="","BRAK DATY AKCJI",""))))</f>
        <v>BRAK TELEFONU</v>
      </c>
      <c r="F15" s="57" t="str">
        <f>CRM_MAGDY!W15</f>
        <v>BRAKI CRM</v>
      </c>
      <c r="G15" s="57">
        <f>CRM_MAGDY!K15</f>
        <v>0</v>
      </c>
      <c r="H15" s="57">
        <f>CRM_MAGDY!N15</f>
        <v>0</v>
      </c>
    </row>
    <row r="16" spans="1:8" ht="30" x14ac:dyDescent="0.25">
      <c r="A16" s="57">
        <f>CRM_MAGDY!H16</f>
        <v>5454</v>
      </c>
      <c r="B16" s="57" t="str">
        <f>CRM_MAGDY!I16</f>
        <v>Magda K</v>
      </c>
      <c r="C16" s="57">
        <f>CRM_MAGDY!E16</f>
        <v>0</v>
      </c>
      <c r="D16" s="57">
        <f>CRM_MAGDY!V16</f>
        <v>0.25</v>
      </c>
      <c r="E16" s="57" t="str">
        <f>IF(CRM_MAGDY!G16="","BRAK TELEFONU",IF(CRM_MAGDY!K16="","BRAK KWOTY",IF(CRM_MAGDY!N16="","BRAK STATUSU",IF(CRM_MAGDY!C16="","BRAK DATY AKCJI",""))))</f>
        <v>BRAK TELEFONU</v>
      </c>
      <c r="F16" s="57" t="str">
        <f>CRM_MAGDY!W16</f>
        <v>BRAKI CRM</v>
      </c>
      <c r="G16" s="57">
        <f>CRM_MAGDY!K16</f>
        <v>23000</v>
      </c>
      <c r="H16" s="57" t="str">
        <f>CRM_MAGDY!N16</f>
        <v>PRZEGRANA</v>
      </c>
    </row>
    <row r="17" spans="1:8" ht="30" x14ac:dyDescent="0.25">
      <c r="A17" s="57">
        <f>CRM_MAGDY!H17</f>
        <v>5455</v>
      </c>
      <c r="B17" s="57" t="str">
        <f>CRM_MAGDY!I17</f>
        <v>Magda B</v>
      </c>
      <c r="C17" s="57">
        <f>CRM_MAGDY!E17</f>
        <v>0</v>
      </c>
      <c r="D17" s="57">
        <f>CRM_MAGDY!V17</f>
        <v>0</v>
      </c>
      <c r="E17" s="57" t="str">
        <f>IF(CRM_MAGDY!G17="","BRAK TELEFONU",IF(CRM_MAGDY!K17="","BRAK KWOTY",IF(CRM_MAGDY!N17="","BRAK STATUSU",IF(CRM_MAGDY!C17="","BRAK DATY AKCJI",""))))</f>
        <v>BRAK TELEFONU</v>
      </c>
      <c r="F17" s="57" t="str">
        <f>CRM_MAGDY!W17</f>
        <v>BRAKI CRM</v>
      </c>
      <c r="G17" s="57">
        <f>CRM_MAGDY!K17</f>
        <v>23000</v>
      </c>
      <c r="H17" s="57">
        <f>CRM_MAGDY!N17</f>
        <v>0</v>
      </c>
    </row>
    <row r="18" spans="1:8" ht="30" x14ac:dyDescent="0.25">
      <c r="A18" s="57">
        <f>CRM_MAGDY!H18</f>
        <v>5456</v>
      </c>
      <c r="B18" s="57" t="str">
        <f>CRM_MAGDY!I18</f>
        <v>Magda K</v>
      </c>
      <c r="C18" s="57">
        <f>CRM_MAGDY!E18</f>
        <v>0</v>
      </c>
      <c r="D18" s="57">
        <f>CRM_MAGDY!V18</f>
        <v>0.5</v>
      </c>
      <c r="E18" s="57" t="str">
        <f>IF(CRM_MAGDY!G18="","BRAK TELEFONU",IF(CRM_MAGDY!K18="","BRAK KWOTY",IF(CRM_MAGDY!N18="","BRAK STATUSU",IF(CRM_MAGDY!C18="","BRAK DATY AKCJI",""))))</f>
        <v>BRAK TELEFONU</v>
      </c>
      <c r="F18" s="57" t="str">
        <f>CRM_MAGDY!W18</f>
        <v>BRAKI CRM</v>
      </c>
      <c r="G18" s="57">
        <f>CRM_MAGDY!K18</f>
        <v>20196</v>
      </c>
      <c r="H18" s="57" t="str">
        <f>CRM_MAGDY!N18</f>
        <v>WYGRANA</v>
      </c>
    </row>
    <row r="19" spans="1:8" ht="30" x14ac:dyDescent="0.25">
      <c r="A19" s="57">
        <f>CRM_MAGDY!H19</f>
        <v>5457</v>
      </c>
      <c r="B19" s="57" t="str">
        <f>CRM_MAGDY!I19</f>
        <v>Magda K</v>
      </c>
      <c r="C19" s="57">
        <f>CRM_MAGDY!E19</f>
        <v>0</v>
      </c>
      <c r="D19" s="57">
        <f>CRM_MAGDY!V19</f>
        <v>0</v>
      </c>
      <c r="E19" s="57" t="str">
        <f>IF(CRM_MAGDY!G19="","BRAK TELEFONU",IF(CRM_MAGDY!K19="","BRAK KWOTY",IF(CRM_MAGDY!N19="","BRAK STATUSU",IF(CRM_MAGDY!C19="","BRAK DATY AKCJI",""))))</f>
        <v>BRAK TELEFONU</v>
      </c>
      <c r="F19" s="57" t="str">
        <f>CRM_MAGDY!W19</f>
        <v>BRAKI CRM</v>
      </c>
      <c r="G19" s="57">
        <f>CRM_MAGDY!K19</f>
        <v>21000</v>
      </c>
      <c r="H19" s="57">
        <f>CRM_MAGDY!N19</f>
        <v>0</v>
      </c>
    </row>
    <row r="20" spans="1:8" ht="30" x14ac:dyDescent="0.25">
      <c r="A20" s="57">
        <f>CRM_MAGDY!H20</f>
        <v>5458</v>
      </c>
      <c r="B20" s="57" t="str">
        <f>CRM_MAGDY!I20</f>
        <v>Magda B</v>
      </c>
      <c r="C20" s="57">
        <f>CRM_MAGDY!E20</f>
        <v>0</v>
      </c>
      <c r="D20" s="57">
        <f>CRM_MAGDY!V20</f>
        <v>0.5</v>
      </c>
      <c r="E20" s="57" t="str">
        <f>IF(CRM_MAGDY!G20="","BRAK TELEFONU",IF(CRM_MAGDY!K20="","BRAK KWOTY",IF(CRM_MAGDY!N20="","BRAK STATUSU",IF(CRM_MAGDY!C20="","BRAK DATY AKCJI",""))))</f>
        <v>BRAK TELEFONU</v>
      </c>
      <c r="F20" s="57" t="str">
        <f>CRM_MAGDY!W20</f>
        <v>BRAKI CRM</v>
      </c>
      <c r="G20" s="57">
        <f>CRM_MAGDY!K20</f>
        <v>18252</v>
      </c>
      <c r="H20" s="57" t="str">
        <f>CRM_MAGDY!N20</f>
        <v>WYGRANA</v>
      </c>
    </row>
    <row r="21" spans="1:8" ht="30" x14ac:dyDescent="0.25">
      <c r="A21" s="57">
        <f>CRM_MAGDY!H21</f>
        <v>5459</v>
      </c>
      <c r="B21" s="57" t="str">
        <f>CRM_MAGDY!I21</f>
        <v>Magda B</v>
      </c>
      <c r="C21" s="57">
        <f>CRM_MAGDY!E21</f>
        <v>0</v>
      </c>
      <c r="D21" s="57">
        <f>CRM_MAGDY!V21</f>
        <v>0</v>
      </c>
      <c r="E21" s="57" t="str">
        <f>IF(CRM_MAGDY!G21="","BRAK TELEFONU",IF(CRM_MAGDY!K21="","BRAK KWOTY",IF(CRM_MAGDY!N21="","BRAK STATUSU",IF(CRM_MAGDY!C21="","BRAK DATY AKCJI",""))))</f>
        <v>BRAK TELEFONU</v>
      </c>
      <c r="F21" s="57" t="str">
        <f>CRM_MAGDY!W21</f>
        <v>BRAKI CRM</v>
      </c>
      <c r="G21" s="57">
        <f>CRM_MAGDY!K21</f>
        <v>25000</v>
      </c>
      <c r="H21" s="57">
        <f>CRM_MAGDY!N21</f>
        <v>0</v>
      </c>
    </row>
    <row r="22" spans="1:8" ht="30" x14ac:dyDescent="0.25">
      <c r="A22" s="57">
        <f>CRM_MAGDY!H22</f>
        <v>5460</v>
      </c>
      <c r="B22" s="57" t="str">
        <f>CRM_MAGDY!I22</f>
        <v>Magda B</v>
      </c>
      <c r="C22" s="57">
        <f>CRM_MAGDY!E22</f>
        <v>0</v>
      </c>
      <c r="D22" s="57">
        <f>CRM_MAGDY!V22</f>
        <v>0</v>
      </c>
      <c r="E22" s="57" t="str">
        <f>IF(CRM_MAGDY!G22="","BRAK TELEFONU",IF(CRM_MAGDY!K22="","BRAK KWOTY",IF(CRM_MAGDY!N22="","BRAK STATUSU",IF(CRM_MAGDY!C22="","BRAK DATY AKCJI",""))))</f>
        <v>BRAK TELEFONU</v>
      </c>
      <c r="F22" s="57" t="str">
        <f>CRM_MAGDY!W22</f>
        <v>BRAKI CRM</v>
      </c>
      <c r="G22" s="57">
        <f>CRM_MAGDY!K22</f>
        <v>20000</v>
      </c>
      <c r="H22" s="57">
        <f>CRM_MAGDY!N22</f>
        <v>0</v>
      </c>
    </row>
    <row r="23" spans="1:8" ht="30" x14ac:dyDescent="0.25">
      <c r="A23" s="57">
        <f>CRM_MAGDY!H23</f>
        <v>5461</v>
      </c>
      <c r="B23" s="57" t="str">
        <f>CRM_MAGDY!I23</f>
        <v>Magda K</v>
      </c>
      <c r="C23" s="57">
        <f>CRM_MAGDY!E23</f>
        <v>0</v>
      </c>
      <c r="D23" s="57">
        <f>CRM_MAGDY!V23</f>
        <v>0.25</v>
      </c>
      <c r="E23" s="57" t="str">
        <f>IF(CRM_MAGDY!G23="","BRAK TELEFONU",IF(CRM_MAGDY!K23="","BRAK KWOTY",IF(CRM_MAGDY!N23="","BRAK STATUSU",IF(CRM_MAGDY!C23="","BRAK DATY AKCJI",""))))</f>
        <v>BRAK TELEFONU</v>
      </c>
      <c r="F23" s="57" t="str">
        <f>CRM_MAGDY!W23</f>
        <v>BRAKI CRM</v>
      </c>
      <c r="G23" s="57">
        <f>CRM_MAGDY!K23</f>
        <v>23000</v>
      </c>
      <c r="H23" s="57" t="str">
        <f>CRM_MAGDY!N23</f>
        <v>PRZEGRANA</v>
      </c>
    </row>
    <row r="24" spans="1:8" ht="30" x14ac:dyDescent="0.25">
      <c r="A24" s="57">
        <f>CRM_MAGDY!H24</f>
        <v>5462</v>
      </c>
      <c r="B24" s="57" t="str">
        <f>CRM_MAGDY!I24</f>
        <v>Magda K</v>
      </c>
      <c r="C24" s="57">
        <f>CRM_MAGDY!E24</f>
        <v>0</v>
      </c>
      <c r="D24" s="57">
        <f>CRM_MAGDY!V24</f>
        <v>0.25</v>
      </c>
      <c r="E24" s="57" t="str">
        <f>IF(CRM_MAGDY!G24="","BRAK TELEFONU",IF(CRM_MAGDY!K24="","BRAK KWOTY",IF(CRM_MAGDY!N24="","BRAK STATUSU",IF(CRM_MAGDY!C24="","BRAK DATY AKCJI",""))))</f>
        <v>BRAK TELEFONU</v>
      </c>
      <c r="F24" s="57" t="str">
        <f>CRM_MAGDY!W24</f>
        <v>BRAKI CRM</v>
      </c>
      <c r="G24" s="57">
        <f>CRM_MAGDY!K24</f>
        <v>22000</v>
      </c>
      <c r="H24" s="57" t="str">
        <f>CRM_MAGDY!N24</f>
        <v>PRZEGRANA</v>
      </c>
    </row>
    <row r="25" spans="1:8" ht="30" x14ac:dyDescent="0.25">
      <c r="A25" s="57">
        <f>CRM_MAGDY!H25</f>
        <v>5463</v>
      </c>
      <c r="B25" s="57" t="str">
        <f>CRM_MAGDY!I25</f>
        <v>Magda B</v>
      </c>
      <c r="C25" s="57">
        <f>CRM_MAGDY!E25</f>
        <v>0</v>
      </c>
      <c r="D25" s="57">
        <f>CRM_MAGDY!V25</f>
        <v>0</v>
      </c>
      <c r="E25" s="57" t="str">
        <f>IF(CRM_MAGDY!G25="","BRAK TELEFONU",IF(CRM_MAGDY!K25="","BRAK KWOTY",IF(CRM_MAGDY!N25="","BRAK STATUSU",IF(CRM_MAGDY!C25="","BRAK DATY AKCJI",""))))</f>
        <v>BRAK TELEFONU</v>
      </c>
      <c r="F25" s="57" t="str">
        <f>CRM_MAGDY!W25</f>
        <v>BRAKI CRM</v>
      </c>
      <c r="G25" s="57">
        <f>CRM_MAGDY!K25</f>
        <v>25100</v>
      </c>
      <c r="H25" s="57">
        <f>CRM_MAGDY!N25</f>
        <v>0</v>
      </c>
    </row>
    <row r="26" spans="1:8" ht="30" x14ac:dyDescent="0.25">
      <c r="A26" s="57">
        <f>CRM_MAGDY!H26</f>
        <v>5464</v>
      </c>
      <c r="B26" s="57" t="str">
        <f>CRM_MAGDY!I26</f>
        <v>Magda K</v>
      </c>
      <c r="C26" s="57">
        <f>CRM_MAGDY!E26</f>
        <v>0</v>
      </c>
      <c r="D26" s="57">
        <f>CRM_MAGDY!V26</f>
        <v>0.25</v>
      </c>
      <c r="E26" s="57" t="str">
        <f>IF(CRM_MAGDY!G26="","BRAK TELEFONU",IF(CRM_MAGDY!K26="","BRAK KWOTY",IF(CRM_MAGDY!N26="","BRAK STATUSU",IF(CRM_MAGDY!C26="","BRAK DATY AKCJI",""))))</f>
        <v>BRAK TELEFONU</v>
      </c>
      <c r="F26" s="57" t="str">
        <f>CRM_MAGDY!W26</f>
        <v>BRAKI CRM</v>
      </c>
      <c r="G26" s="57">
        <f>CRM_MAGDY!K26</f>
        <v>12500</v>
      </c>
      <c r="H26" s="57" t="str">
        <f>CRM_MAGDY!N26</f>
        <v>PRZEGRANA</v>
      </c>
    </row>
    <row r="27" spans="1:8" ht="30" x14ac:dyDescent="0.25">
      <c r="A27" s="57">
        <f>CRM_MAGDY!H27</f>
        <v>5465</v>
      </c>
      <c r="B27" s="57" t="str">
        <f>CRM_MAGDY!I27</f>
        <v>Magda K</v>
      </c>
      <c r="C27" s="57">
        <f>CRM_MAGDY!E27</f>
        <v>0</v>
      </c>
      <c r="D27" s="57">
        <f>CRM_MAGDY!V27</f>
        <v>0.5</v>
      </c>
      <c r="E27" s="57" t="str">
        <f>IF(CRM_MAGDY!G27="","BRAK TELEFONU",IF(CRM_MAGDY!K27="","BRAK KWOTY",IF(CRM_MAGDY!N27="","BRAK STATUSU",IF(CRM_MAGDY!C27="","BRAK DATY AKCJI",""))))</f>
        <v>BRAK TELEFONU</v>
      </c>
      <c r="F27" s="57" t="str">
        <f>CRM_MAGDY!W27</f>
        <v>BRAKI CRM</v>
      </c>
      <c r="G27" s="57">
        <f>CRM_MAGDY!K27</f>
        <v>25600</v>
      </c>
      <c r="H27" s="57" t="str">
        <f>CRM_MAGDY!N27</f>
        <v>WYGRANA</v>
      </c>
    </row>
    <row r="28" spans="1:8" ht="30" x14ac:dyDescent="0.25">
      <c r="A28" s="57">
        <f>CRM_MAGDY!H28</f>
        <v>5466</v>
      </c>
      <c r="B28" s="57" t="str">
        <f>CRM_MAGDY!I28</f>
        <v>Magda B</v>
      </c>
      <c r="C28" s="57">
        <f>CRM_MAGDY!E28</f>
        <v>0</v>
      </c>
      <c r="D28" s="57">
        <f>CRM_MAGDY!V28</f>
        <v>0</v>
      </c>
      <c r="E28" s="57" t="str">
        <f>IF(CRM_MAGDY!G28="","BRAK TELEFONU",IF(CRM_MAGDY!K28="","BRAK KWOTY",IF(CRM_MAGDY!N28="","BRAK STATUSU",IF(CRM_MAGDY!C28="","BRAK DATY AKCJI",""))))</f>
        <v>BRAK TELEFONU</v>
      </c>
      <c r="F28" s="57" t="str">
        <f>CRM_MAGDY!W28</f>
        <v>BRAKI CRM</v>
      </c>
      <c r="G28" s="57">
        <f>CRM_MAGDY!K28</f>
        <v>50000</v>
      </c>
      <c r="H28" s="57">
        <f>CRM_MAGDY!N28</f>
        <v>0</v>
      </c>
    </row>
    <row r="29" spans="1:8" ht="30" x14ac:dyDescent="0.25">
      <c r="A29" s="57">
        <f>CRM_MAGDY!H29</f>
        <v>5467</v>
      </c>
      <c r="B29" s="57" t="str">
        <f>CRM_MAGDY!I29</f>
        <v>Magda B</v>
      </c>
      <c r="C29" s="57">
        <f>CRM_MAGDY!E29</f>
        <v>0</v>
      </c>
      <c r="D29" s="57">
        <f>CRM_MAGDY!V29</f>
        <v>0</v>
      </c>
      <c r="E29" s="57" t="str">
        <f>IF(CRM_MAGDY!G29="","BRAK TELEFONU",IF(CRM_MAGDY!K29="","BRAK KWOTY",IF(CRM_MAGDY!N29="","BRAK STATUSU",IF(CRM_MAGDY!C29="","BRAK DATY AKCJI",""))))</f>
        <v>BRAK TELEFONU</v>
      </c>
      <c r="F29" s="57" t="str">
        <f>CRM_MAGDY!W29</f>
        <v>BRAKI CRM</v>
      </c>
      <c r="G29" s="57">
        <f>CRM_MAGDY!K29</f>
        <v>12000</v>
      </c>
      <c r="H29" s="57">
        <f>CRM_MAGDY!N29</f>
        <v>0</v>
      </c>
    </row>
    <row r="30" spans="1:8" ht="30" x14ac:dyDescent="0.25">
      <c r="A30" s="57">
        <f>CRM_MAGDY!H30</f>
        <v>5468</v>
      </c>
      <c r="B30" s="57" t="str">
        <f>CRM_MAGDY!I30</f>
        <v>Magda B</v>
      </c>
      <c r="C30" s="57">
        <f>CRM_MAGDY!E30</f>
        <v>0</v>
      </c>
      <c r="D30" s="57">
        <f>CRM_MAGDY!V30</f>
        <v>0</v>
      </c>
      <c r="E30" s="57" t="str">
        <f>IF(CRM_MAGDY!G30="","BRAK TELEFONU",IF(CRM_MAGDY!K30="","BRAK KWOTY",IF(CRM_MAGDY!N30="","BRAK STATUSU",IF(CRM_MAGDY!C30="","BRAK DATY AKCJI",""))))</f>
        <v>BRAK TELEFONU</v>
      </c>
      <c r="F30" s="57" t="str">
        <f>CRM_MAGDY!W30</f>
        <v>BRAKI CRM</v>
      </c>
      <c r="G30" s="57">
        <f>CRM_MAGDY!K30</f>
        <v>20000</v>
      </c>
      <c r="H30" s="57">
        <f>CRM_MAGDY!N30</f>
        <v>0</v>
      </c>
    </row>
    <row r="31" spans="1:8" ht="30" x14ac:dyDescent="0.25">
      <c r="A31" s="57">
        <f>CRM_MAGDY!H31</f>
        <v>5469</v>
      </c>
      <c r="B31" s="57" t="str">
        <f>CRM_MAGDY!I31</f>
        <v>Magda B</v>
      </c>
      <c r="C31" s="57">
        <f>CRM_MAGDY!E31</f>
        <v>0</v>
      </c>
      <c r="D31" s="57">
        <f>CRM_MAGDY!V31</f>
        <v>0</v>
      </c>
      <c r="E31" s="57" t="str">
        <f>IF(CRM_MAGDY!G31="","BRAK TELEFONU",IF(CRM_MAGDY!K31="","BRAK KWOTY",IF(CRM_MAGDY!N31="","BRAK STATUSU",IF(CRM_MAGDY!C31="","BRAK DATY AKCJI",""))))</f>
        <v>BRAK TELEFONU</v>
      </c>
      <c r="F31" s="57" t="str">
        <f>CRM_MAGDY!W31</f>
        <v>BRAKI CRM</v>
      </c>
      <c r="G31" s="57">
        <f>CRM_MAGDY!K31</f>
        <v>25000</v>
      </c>
      <c r="H31" s="57">
        <f>CRM_MAGDY!N31</f>
        <v>0</v>
      </c>
    </row>
    <row r="32" spans="1:8" ht="30" x14ac:dyDescent="0.25">
      <c r="A32" s="57">
        <f>CRM_MAGDY!H32</f>
        <v>5470</v>
      </c>
      <c r="B32" s="57" t="str">
        <f>CRM_MAGDY!I32</f>
        <v>Magda B</v>
      </c>
      <c r="C32" s="57">
        <f>CRM_MAGDY!E32</f>
        <v>0</v>
      </c>
      <c r="D32" s="57">
        <f>CRM_MAGDY!V32</f>
        <v>0.5</v>
      </c>
      <c r="E32" s="57" t="str">
        <f>IF(CRM_MAGDY!G32="","BRAK TELEFONU",IF(CRM_MAGDY!K32="","BRAK KWOTY",IF(CRM_MAGDY!N32="","BRAK STATUSU",IF(CRM_MAGDY!C32="","BRAK DATY AKCJI",""))))</f>
        <v>BRAK TELEFONU</v>
      </c>
      <c r="F32" s="57" t="str">
        <f>CRM_MAGDY!W32</f>
        <v>BRAKI CRM</v>
      </c>
      <c r="G32" s="57">
        <f>CRM_MAGDY!K32</f>
        <v>14000</v>
      </c>
      <c r="H32" s="57" t="str">
        <f>CRM_MAGDY!N32</f>
        <v>WYGRANA</v>
      </c>
    </row>
    <row r="33" spans="1:8" ht="30" x14ac:dyDescent="0.25">
      <c r="A33" s="57">
        <f>CRM_MAGDY!H33</f>
        <v>5471</v>
      </c>
      <c r="B33" s="57" t="str">
        <f>CRM_MAGDY!I33</f>
        <v>Magda K</v>
      </c>
      <c r="C33" s="57">
        <f>CRM_MAGDY!E33</f>
        <v>0</v>
      </c>
      <c r="D33" s="57">
        <f>CRM_MAGDY!V33</f>
        <v>0.25</v>
      </c>
      <c r="E33" s="57" t="str">
        <f>IF(CRM_MAGDY!G33="","BRAK TELEFONU",IF(CRM_MAGDY!K33="","BRAK KWOTY",IF(CRM_MAGDY!N33="","BRAK STATUSU",IF(CRM_MAGDY!C33="","BRAK DATY AKCJI",""))))</f>
        <v>BRAK TELEFONU</v>
      </c>
      <c r="F33" s="57" t="str">
        <f>CRM_MAGDY!W33</f>
        <v>BRAKI CRM</v>
      </c>
      <c r="G33" s="57">
        <f>CRM_MAGDY!K33</f>
        <v>25000</v>
      </c>
      <c r="H33" s="57" t="str">
        <f>CRM_MAGDY!N33</f>
        <v>PRZEGRANA</v>
      </c>
    </row>
    <row r="34" spans="1:8" ht="30" x14ac:dyDescent="0.25">
      <c r="A34" s="57">
        <f>CRM_MAGDY!H34</f>
        <v>5472</v>
      </c>
      <c r="B34" s="57" t="str">
        <f>CRM_MAGDY!I34</f>
        <v>Magda K</v>
      </c>
      <c r="C34" s="57">
        <f>CRM_MAGDY!E34</f>
        <v>0</v>
      </c>
      <c r="D34" s="57">
        <f>CRM_MAGDY!V34</f>
        <v>0.25</v>
      </c>
      <c r="E34" s="57" t="str">
        <f>IF(CRM_MAGDY!G34="","BRAK TELEFONU",IF(CRM_MAGDY!K34="","BRAK KWOTY",IF(CRM_MAGDY!N34="","BRAK STATUSU",IF(CRM_MAGDY!C34="","BRAK DATY AKCJI",""))))</f>
        <v>BRAK TELEFONU</v>
      </c>
      <c r="F34" s="57" t="str">
        <f>CRM_MAGDY!W34</f>
        <v>BRAKI CRM</v>
      </c>
      <c r="G34" s="57">
        <f>CRM_MAGDY!K34</f>
        <v>23000</v>
      </c>
      <c r="H34" s="57" t="str">
        <f>CRM_MAGDY!N34</f>
        <v>PRZEGRANA</v>
      </c>
    </row>
    <row r="35" spans="1:8" ht="30" x14ac:dyDescent="0.25">
      <c r="A35" s="57">
        <f>CRM_MAGDY!H35</f>
        <v>5473</v>
      </c>
      <c r="B35" s="57" t="str">
        <f>CRM_MAGDY!I35</f>
        <v>Magda K</v>
      </c>
      <c r="C35" s="57">
        <f>CRM_MAGDY!E35</f>
        <v>0</v>
      </c>
      <c r="D35" s="57">
        <f>CRM_MAGDY!V35</f>
        <v>0.25</v>
      </c>
      <c r="E35" s="57" t="str">
        <f>IF(CRM_MAGDY!G35="","BRAK TELEFONU",IF(CRM_MAGDY!K35="","BRAK KWOTY",IF(CRM_MAGDY!N35="","BRAK STATUSU",IF(CRM_MAGDY!C35="","BRAK DATY AKCJI",""))))</f>
        <v>BRAK TELEFONU</v>
      </c>
      <c r="F35" s="57" t="str">
        <f>CRM_MAGDY!W35</f>
        <v>BRAKI CRM</v>
      </c>
      <c r="G35" s="57">
        <f>CRM_MAGDY!K35</f>
        <v>25000</v>
      </c>
      <c r="H35" s="57" t="str">
        <f>CRM_MAGDY!N35</f>
        <v>PRZEGRANA</v>
      </c>
    </row>
    <row r="36" spans="1:8" ht="30" x14ac:dyDescent="0.25">
      <c r="A36" s="57">
        <f>CRM_MAGDY!H36</f>
        <v>5474</v>
      </c>
      <c r="B36" s="57" t="str">
        <f>CRM_MAGDY!I36</f>
        <v>Magda K</v>
      </c>
      <c r="C36" s="57">
        <f>CRM_MAGDY!E36</f>
        <v>0</v>
      </c>
      <c r="D36" s="57">
        <f>CRM_MAGDY!V36</f>
        <v>0.25</v>
      </c>
      <c r="E36" s="57" t="str">
        <f>IF(CRM_MAGDY!G36="","BRAK TELEFONU",IF(CRM_MAGDY!K36="","BRAK KWOTY",IF(CRM_MAGDY!N36="","BRAK STATUSU",IF(CRM_MAGDY!C36="","BRAK DATY AKCJI",""))))</f>
        <v>BRAK TELEFONU</v>
      </c>
      <c r="F36" s="57" t="str">
        <f>CRM_MAGDY!W36</f>
        <v>BRAKI CRM</v>
      </c>
      <c r="G36" s="57">
        <f>CRM_MAGDY!K36</f>
        <v>23000</v>
      </c>
      <c r="H36" s="57" t="str">
        <f>CRM_MAGDY!N36</f>
        <v>PRZEGRANA</v>
      </c>
    </row>
    <row r="37" spans="1:8" ht="30" x14ac:dyDescent="0.25">
      <c r="A37" s="57">
        <f>CRM_MAGDY!H37</f>
        <v>5475</v>
      </c>
      <c r="B37" s="57" t="str">
        <f>CRM_MAGDY!I37</f>
        <v>Magda K</v>
      </c>
      <c r="C37" s="57">
        <f>CRM_MAGDY!E37</f>
        <v>0</v>
      </c>
      <c r="D37" s="57">
        <f>CRM_MAGDY!V37</f>
        <v>0.25</v>
      </c>
      <c r="E37" s="57" t="str">
        <f>IF(CRM_MAGDY!G37="","BRAK TELEFONU",IF(CRM_MAGDY!K37="","BRAK KWOTY",IF(CRM_MAGDY!N37="","BRAK STATUSU",IF(CRM_MAGDY!C37="","BRAK DATY AKCJI",""))))</f>
        <v>BRAK TELEFONU</v>
      </c>
      <c r="F37" s="57" t="str">
        <f>CRM_MAGDY!W37</f>
        <v>BRAKI CRM</v>
      </c>
      <c r="G37" s="57">
        <f>CRM_MAGDY!K37</f>
        <v>26000</v>
      </c>
      <c r="H37" s="57" t="str">
        <f>CRM_MAGDY!N37</f>
        <v>PRZEGRANA</v>
      </c>
    </row>
    <row r="38" spans="1:8" ht="30" x14ac:dyDescent="0.25">
      <c r="A38" s="57">
        <f>CRM_MAGDY!H38</f>
        <v>5476</v>
      </c>
      <c r="B38" s="57" t="str">
        <f>CRM_MAGDY!I38</f>
        <v>Magda K</v>
      </c>
      <c r="C38" s="57">
        <f>CRM_MAGDY!E38</f>
        <v>0</v>
      </c>
      <c r="D38" s="57">
        <f>CRM_MAGDY!V38</f>
        <v>0.25</v>
      </c>
      <c r="E38" s="57" t="str">
        <f>IF(CRM_MAGDY!G38="","BRAK TELEFONU",IF(CRM_MAGDY!K38="","BRAK KWOTY",IF(CRM_MAGDY!N38="","BRAK STATUSU",IF(CRM_MAGDY!C38="","BRAK DATY AKCJI",""))))</f>
        <v>BRAK TELEFONU</v>
      </c>
      <c r="F38" s="57" t="str">
        <f>CRM_MAGDY!W38</f>
        <v>BRAKI CRM</v>
      </c>
      <c r="G38" s="57">
        <f>CRM_MAGDY!K38</f>
        <v>19000</v>
      </c>
      <c r="H38" s="57" t="str">
        <f>CRM_MAGDY!N38</f>
        <v>PRZEGRANA</v>
      </c>
    </row>
    <row r="39" spans="1:8" ht="30" x14ac:dyDescent="0.25">
      <c r="A39" s="57">
        <f>CRM_MAGDY!H39</f>
        <v>5477</v>
      </c>
      <c r="B39" s="57" t="str">
        <f>CRM_MAGDY!I39</f>
        <v>Magda K</v>
      </c>
      <c r="C39" s="57">
        <f>CRM_MAGDY!E39</f>
        <v>0</v>
      </c>
      <c r="D39" s="57">
        <f>CRM_MAGDY!V39</f>
        <v>0.25</v>
      </c>
      <c r="E39" s="57" t="str">
        <f>IF(CRM_MAGDY!G39="","BRAK TELEFONU",IF(CRM_MAGDY!K39="","BRAK KWOTY",IF(CRM_MAGDY!N39="","BRAK STATUSU",IF(CRM_MAGDY!C39="","BRAK DATY AKCJI",""))))</f>
        <v>BRAK TELEFONU</v>
      </c>
      <c r="F39" s="57" t="str">
        <f>CRM_MAGDY!W39</f>
        <v>BRAKI CRM</v>
      </c>
      <c r="G39" s="57">
        <f>CRM_MAGDY!K39</f>
        <v>23000</v>
      </c>
      <c r="H39" s="57" t="str">
        <f>CRM_MAGDY!N39</f>
        <v>PRZEGRANA</v>
      </c>
    </row>
    <row r="40" spans="1:8" ht="30" x14ac:dyDescent="0.25">
      <c r="A40" s="57">
        <f>CRM_MAGDY!H40</f>
        <v>5478</v>
      </c>
      <c r="B40" s="57" t="str">
        <f>CRM_MAGDY!I40</f>
        <v>Magda B</v>
      </c>
      <c r="C40" s="57">
        <f>CRM_MAGDY!E40</f>
        <v>0</v>
      </c>
      <c r="D40" s="57">
        <f>CRM_MAGDY!V40</f>
        <v>0</v>
      </c>
      <c r="E40" s="57" t="str">
        <f>IF(CRM_MAGDY!G40="","BRAK TELEFONU",IF(CRM_MAGDY!K40="","BRAK KWOTY",IF(CRM_MAGDY!N40="","BRAK STATUSU",IF(CRM_MAGDY!C40="","BRAK DATY AKCJI",""))))</f>
        <v>BRAK TELEFONU</v>
      </c>
      <c r="F40" s="57" t="str">
        <f>CRM_MAGDY!W40</f>
        <v>BRAKI CRM</v>
      </c>
      <c r="G40" s="57">
        <f>CRM_MAGDY!K40</f>
        <v>30000</v>
      </c>
      <c r="H40" s="57">
        <f>CRM_MAGDY!N40</f>
        <v>0</v>
      </c>
    </row>
    <row r="41" spans="1:8" ht="30" x14ac:dyDescent="0.25">
      <c r="A41" s="57">
        <f>CRM_MAGDY!H41</f>
        <v>5479</v>
      </c>
      <c r="B41" s="57" t="str">
        <f>CRM_MAGDY!I41</f>
        <v>Magda B</v>
      </c>
      <c r="C41" s="57">
        <f>CRM_MAGDY!E41</f>
        <v>0</v>
      </c>
      <c r="D41" s="57">
        <f>CRM_MAGDY!V41</f>
        <v>0</v>
      </c>
      <c r="E41" s="57" t="str">
        <f>IF(CRM_MAGDY!G41="","BRAK TELEFONU",IF(CRM_MAGDY!K41="","BRAK KWOTY",IF(CRM_MAGDY!N41="","BRAK STATUSU",IF(CRM_MAGDY!C41="","BRAK DATY AKCJI",""))))</f>
        <v>BRAK TELEFONU</v>
      </c>
      <c r="F41" s="57" t="str">
        <f>CRM_MAGDY!W41</f>
        <v>BRAKI CRM</v>
      </c>
      <c r="G41" s="57">
        <f>CRM_MAGDY!K41</f>
        <v>25000</v>
      </c>
      <c r="H41" s="57">
        <f>CRM_MAGDY!N41</f>
        <v>0</v>
      </c>
    </row>
    <row r="42" spans="1:8" ht="30" x14ac:dyDescent="0.25">
      <c r="A42" s="57">
        <f>CRM_MAGDY!H42</f>
        <v>5480</v>
      </c>
      <c r="B42" s="57" t="str">
        <f>CRM_MAGDY!I42</f>
        <v>Magda K</v>
      </c>
      <c r="C42" s="57">
        <f>CRM_MAGDY!E42</f>
        <v>0</v>
      </c>
      <c r="D42" s="57">
        <f>CRM_MAGDY!V42</f>
        <v>0</v>
      </c>
      <c r="E42" s="57" t="str">
        <f>IF(CRM_MAGDY!G42="","BRAK TELEFONU",IF(CRM_MAGDY!K42="","BRAK KWOTY",IF(CRM_MAGDY!N42="","BRAK STATUSU",IF(CRM_MAGDY!C42="","BRAK DATY AKCJI",""))))</f>
        <v>BRAK TELEFONU</v>
      </c>
      <c r="F42" s="57" t="str">
        <f>CRM_MAGDY!W42</f>
        <v>BRAKI CRM</v>
      </c>
      <c r="G42" s="57">
        <f>CRM_MAGDY!K42</f>
        <v>20000</v>
      </c>
      <c r="H42" s="57">
        <f>CRM_MAGDY!N42</f>
        <v>0</v>
      </c>
    </row>
    <row r="43" spans="1:8" ht="30" x14ac:dyDescent="0.25">
      <c r="A43" s="57">
        <f>CRM_MAGDY!H43</f>
        <v>5481</v>
      </c>
      <c r="B43" s="57" t="str">
        <f>CRM_MAGDY!I43</f>
        <v>Magda B</v>
      </c>
      <c r="C43" s="57">
        <f>CRM_MAGDY!E43</f>
        <v>0</v>
      </c>
      <c r="D43" s="57">
        <f>CRM_MAGDY!V43</f>
        <v>0</v>
      </c>
      <c r="E43" s="57" t="str">
        <f>IF(CRM_MAGDY!G43="","BRAK TELEFONU",IF(CRM_MAGDY!K43="","BRAK KWOTY",IF(CRM_MAGDY!N43="","BRAK STATUSU",IF(CRM_MAGDY!C43="","BRAK DATY AKCJI",""))))</f>
        <v>BRAK TELEFONU</v>
      </c>
      <c r="F43" s="57" t="str">
        <f>CRM_MAGDY!W43</f>
        <v>BRAKI CRM</v>
      </c>
      <c r="G43" s="57">
        <f>CRM_MAGDY!K43</f>
        <v>0</v>
      </c>
      <c r="H43" s="57">
        <f>CRM_MAGDY!N43</f>
        <v>0</v>
      </c>
    </row>
    <row r="44" spans="1:8" ht="30" x14ac:dyDescent="0.25">
      <c r="A44" s="57">
        <f>CRM_MAGDY!H44</f>
        <v>5482</v>
      </c>
      <c r="B44" s="57" t="str">
        <f>CRM_MAGDY!I44</f>
        <v>Magda K</v>
      </c>
      <c r="C44" s="57">
        <f>CRM_MAGDY!E44</f>
        <v>0</v>
      </c>
      <c r="D44" s="57">
        <f>CRM_MAGDY!V44</f>
        <v>0.5</v>
      </c>
      <c r="E44" s="57" t="str">
        <f>IF(CRM_MAGDY!G44="","BRAK TELEFONU",IF(CRM_MAGDY!K44="","BRAK KWOTY",IF(CRM_MAGDY!N44="","BRAK STATUSU",IF(CRM_MAGDY!C44="","BRAK DATY AKCJI",""))))</f>
        <v>BRAK TELEFONU</v>
      </c>
      <c r="F44" s="57" t="str">
        <f>CRM_MAGDY!W44</f>
        <v>BRAKI CRM</v>
      </c>
      <c r="G44" s="57">
        <f>CRM_MAGDY!K44</f>
        <v>20000</v>
      </c>
      <c r="H44" s="57" t="str">
        <f>CRM_MAGDY!N44</f>
        <v>WYGRANA</v>
      </c>
    </row>
    <row r="45" spans="1:8" ht="30" x14ac:dyDescent="0.25">
      <c r="A45" s="57">
        <f>CRM_MAGDY!H45</f>
        <v>5483</v>
      </c>
      <c r="B45" s="57" t="str">
        <f>CRM_MAGDY!I45</f>
        <v>Magda B</v>
      </c>
      <c r="C45" s="57">
        <f>CRM_MAGDY!E45</f>
        <v>0</v>
      </c>
      <c r="D45" s="57">
        <f>CRM_MAGDY!V45</f>
        <v>0</v>
      </c>
      <c r="E45" s="57" t="str">
        <f>IF(CRM_MAGDY!G45="","BRAK TELEFONU",IF(CRM_MAGDY!K45="","BRAK KWOTY",IF(CRM_MAGDY!N45="","BRAK STATUSU",IF(CRM_MAGDY!C45="","BRAK DATY AKCJI",""))))</f>
        <v>BRAK TELEFONU</v>
      </c>
      <c r="F45" s="57" t="str">
        <f>CRM_MAGDY!W45</f>
        <v>BRAKI CRM</v>
      </c>
      <c r="G45" s="57">
        <f>CRM_MAGDY!K45</f>
        <v>31000</v>
      </c>
      <c r="H45" s="57">
        <f>CRM_MAGDY!N45</f>
        <v>0</v>
      </c>
    </row>
    <row r="46" spans="1:8" ht="30" x14ac:dyDescent="0.25">
      <c r="A46" s="57">
        <f>CRM_MAGDY!H46</f>
        <v>5484</v>
      </c>
      <c r="B46" s="57" t="str">
        <f>CRM_MAGDY!I46</f>
        <v>Magda B</v>
      </c>
      <c r="C46" s="57">
        <f>CRM_MAGDY!E46</f>
        <v>0</v>
      </c>
      <c r="D46" s="57">
        <f>CRM_MAGDY!V46</f>
        <v>0</v>
      </c>
      <c r="E46" s="57" t="str">
        <f>IF(CRM_MAGDY!G46="","BRAK TELEFONU",IF(CRM_MAGDY!K46="","BRAK KWOTY",IF(CRM_MAGDY!N46="","BRAK STATUSU",IF(CRM_MAGDY!C46="","BRAK DATY AKCJI",""))))</f>
        <v>BRAK TELEFONU</v>
      </c>
      <c r="F46" s="57" t="str">
        <f>CRM_MAGDY!W46</f>
        <v>BRAKI CRM</v>
      </c>
      <c r="G46" s="57">
        <f>CRM_MAGDY!K46</f>
        <v>25000</v>
      </c>
      <c r="H46" s="57">
        <f>CRM_MAGDY!N46</f>
        <v>0</v>
      </c>
    </row>
    <row r="47" spans="1:8" ht="30" x14ac:dyDescent="0.25">
      <c r="A47" s="57">
        <f>CRM_MAGDY!H47</f>
        <v>5485</v>
      </c>
      <c r="B47" s="57" t="str">
        <f>CRM_MAGDY!I47</f>
        <v>Magda B</v>
      </c>
      <c r="C47" s="57">
        <f>CRM_MAGDY!E47</f>
        <v>0</v>
      </c>
      <c r="D47" s="57">
        <f>CRM_MAGDY!V47</f>
        <v>0</v>
      </c>
      <c r="E47" s="57" t="str">
        <f>IF(CRM_MAGDY!G47="","BRAK TELEFONU",IF(CRM_MAGDY!K47="","BRAK KWOTY",IF(CRM_MAGDY!N47="","BRAK STATUSU",IF(CRM_MAGDY!C47="","BRAK DATY AKCJI",""))))</f>
        <v>BRAK TELEFONU</v>
      </c>
      <c r="F47" s="57" t="str">
        <f>CRM_MAGDY!W47</f>
        <v>BRAKI CRM</v>
      </c>
      <c r="G47" s="57">
        <f>CRM_MAGDY!K47</f>
        <v>18000</v>
      </c>
      <c r="H47" s="57">
        <f>CRM_MAGDY!N47</f>
        <v>0</v>
      </c>
    </row>
    <row r="48" spans="1:8" ht="30" x14ac:dyDescent="0.25">
      <c r="A48" s="57">
        <f>CRM_MAGDY!H48</f>
        <v>5486</v>
      </c>
      <c r="B48" s="57" t="str">
        <f>CRM_MAGDY!I48</f>
        <v>Magda B</v>
      </c>
      <c r="C48" s="57">
        <f>CRM_MAGDY!E48</f>
        <v>0</v>
      </c>
      <c r="D48" s="57">
        <f>CRM_MAGDY!V48</f>
        <v>0</v>
      </c>
      <c r="E48" s="57" t="str">
        <f>IF(CRM_MAGDY!G48="","BRAK TELEFONU",IF(CRM_MAGDY!K48="","BRAK KWOTY",IF(CRM_MAGDY!N48="","BRAK STATUSU",IF(CRM_MAGDY!C48="","BRAK DATY AKCJI",""))))</f>
        <v>BRAK TELEFONU</v>
      </c>
      <c r="F48" s="57" t="str">
        <f>CRM_MAGDY!W48</f>
        <v>BRAKI CRM</v>
      </c>
      <c r="G48" s="57">
        <f>CRM_MAGDY!K48</f>
        <v>25000</v>
      </c>
      <c r="H48" s="57">
        <f>CRM_MAGDY!N48</f>
        <v>0</v>
      </c>
    </row>
    <row r="49" spans="1:8" ht="30" x14ac:dyDescent="0.25">
      <c r="A49" s="57">
        <f>CRM_MAGDY!H49</f>
        <v>5487</v>
      </c>
      <c r="B49" s="57" t="str">
        <f>CRM_MAGDY!I49</f>
        <v>Magda B</v>
      </c>
      <c r="C49" s="57">
        <f>CRM_MAGDY!E49</f>
        <v>0</v>
      </c>
      <c r="D49" s="57">
        <f>CRM_MAGDY!V49</f>
        <v>0</v>
      </c>
      <c r="E49" s="57" t="str">
        <f>IF(CRM_MAGDY!G49="","BRAK TELEFONU",IF(CRM_MAGDY!K49="","BRAK KWOTY",IF(CRM_MAGDY!N49="","BRAK STATUSU",IF(CRM_MAGDY!C49="","BRAK DATY AKCJI",""))))</f>
        <v>BRAK TELEFONU</v>
      </c>
      <c r="F49" s="57" t="str">
        <f>CRM_MAGDY!W49</f>
        <v>BRAKI CRM</v>
      </c>
      <c r="G49" s="57">
        <f>CRM_MAGDY!K49</f>
        <v>16000</v>
      </c>
      <c r="H49" s="57">
        <f>CRM_MAGDY!N49</f>
        <v>0</v>
      </c>
    </row>
    <row r="50" spans="1:8" ht="30" x14ac:dyDescent="0.25">
      <c r="A50" s="57">
        <f>CRM_MAGDY!H50</f>
        <v>5488</v>
      </c>
      <c r="B50" s="57" t="str">
        <f>CRM_MAGDY!I50</f>
        <v>Magda B</v>
      </c>
      <c r="C50" s="57">
        <f>CRM_MAGDY!E50</f>
        <v>0</v>
      </c>
      <c r="D50" s="57">
        <f>CRM_MAGDY!V50</f>
        <v>0</v>
      </c>
      <c r="E50" s="57" t="str">
        <f>IF(CRM_MAGDY!G50="","BRAK TELEFONU",IF(CRM_MAGDY!K50="","BRAK KWOTY",IF(CRM_MAGDY!N50="","BRAK STATUSU",IF(CRM_MAGDY!C50="","BRAK DATY AKCJI",""))))</f>
        <v>BRAK TELEFONU</v>
      </c>
      <c r="F50" s="57" t="str">
        <f>CRM_MAGDY!W50</f>
        <v>BRAKI CRM</v>
      </c>
      <c r="G50" s="57">
        <f>CRM_MAGDY!K50</f>
        <v>32650</v>
      </c>
      <c r="H50" s="57">
        <f>CRM_MAGDY!N50</f>
        <v>0</v>
      </c>
    </row>
    <row r="51" spans="1:8" ht="30" x14ac:dyDescent="0.25">
      <c r="A51" s="57">
        <f>CRM_MAGDY!H51</f>
        <v>5489</v>
      </c>
      <c r="B51" s="57" t="str">
        <f>CRM_MAGDY!I51</f>
        <v>Magda K</v>
      </c>
      <c r="C51" s="57">
        <f>CRM_MAGDY!E51</f>
        <v>0</v>
      </c>
      <c r="D51" s="57">
        <f>CRM_MAGDY!V51</f>
        <v>0.25</v>
      </c>
      <c r="E51" s="57" t="str">
        <f>IF(CRM_MAGDY!G51="","BRAK TELEFONU",IF(CRM_MAGDY!K51="","BRAK KWOTY",IF(CRM_MAGDY!N51="","BRAK STATUSU",IF(CRM_MAGDY!C51="","BRAK DATY AKCJI",""))))</f>
        <v>BRAK TELEFONU</v>
      </c>
      <c r="F51" s="57" t="str">
        <f>CRM_MAGDY!W51</f>
        <v>BRAKI CRM</v>
      </c>
      <c r="G51" s="57">
        <f>CRM_MAGDY!K51</f>
        <v>25000</v>
      </c>
      <c r="H51" s="57" t="str">
        <f>CRM_MAGDY!N51</f>
        <v>PRZEGRANA</v>
      </c>
    </row>
    <row r="52" spans="1:8" ht="30" x14ac:dyDescent="0.25">
      <c r="A52" s="57">
        <f>CRM_MAGDY!H52</f>
        <v>5490</v>
      </c>
      <c r="B52" s="57" t="str">
        <f>CRM_MAGDY!I52</f>
        <v>Magda K</v>
      </c>
      <c r="C52" s="57">
        <f>CRM_MAGDY!E52</f>
        <v>0</v>
      </c>
      <c r="D52" s="57">
        <f>CRM_MAGDY!V52</f>
        <v>0.25</v>
      </c>
      <c r="E52" s="57" t="str">
        <f>IF(CRM_MAGDY!G52="","BRAK TELEFONU",IF(CRM_MAGDY!K52="","BRAK KWOTY",IF(CRM_MAGDY!N52="","BRAK STATUSU",IF(CRM_MAGDY!C52="","BRAK DATY AKCJI",""))))</f>
        <v>BRAK TELEFONU</v>
      </c>
      <c r="F52" s="57" t="str">
        <f>CRM_MAGDY!W52</f>
        <v>BRAKI CRM</v>
      </c>
      <c r="G52" s="57">
        <f>CRM_MAGDY!K52</f>
        <v>24000</v>
      </c>
      <c r="H52" s="57" t="str">
        <f>CRM_MAGDY!N52</f>
        <v>PRZEGRANA</v>
      </c>
    </row>
    <row r="53" spans="1:8" ht="30" x14ac:dyDescent="0.25">
      <c r="A53" s="57">
        <f>CRM_MAGDY!H53</f>
        <v>5491</v>
      </c>
      <c r="B53" s="57" t="str">
        <f>CRM_MAGDY!I53</f>
        <v>Magda K</v>
      </c>
      <c r="C53" s="57">
        <f>CRM_MAGDY!E53</f>
        <v>0</v>
      </c>
      <c r="D53" s="57">
        <f>CRM_MAGDY!V53</f>
        <v>0.25</v>
      </c>
      <c r="E53" s="57" t="str">
        <f>IF(CRM_MAGDY!G53="","BRAK TELEFONU",IF(CRM_MAGDY!K53="","BRAK KWOTY",IF(CRM_MAGDY!N53="","BRAK STATUSU",IF(CRM_MAGDY!C53="","BRAK DATY AKCJI",""))))</f>
        <v>BRAK TELEFONU</v>
      </c>
      <c r="F53" s="57" t="str">
        <f>CRM_MAGDY!W53</f>
        <v>BRAKI CRM</v>
      </c>
      <c r="G53" s="57">
        <f>CRM_MAGDY!K53</f>
        <v>22000</v>
      </c>
      <c r="H53" s="57" t="str">
        <f>CRM_MAGDY!N53</f>
        <v>PRZEGRANA</v>
      </c>
    </row>
    <row r="54" spans="1:8" ht="30" x14ac:dyDescent="0.25">
      <c r="A54" s="57">
        <f>CRM_MAGDY!H54</f>
        <v>5492</v>
      </c>
      <c r="B54" s="57" t="str">
        <f>CRM_MAGDY!I54</f>
        <v>Magda B</v>
      </c>
      <c r="C54" s="57">
        <f>CRM_MAGDY!E54</f>
        <v>0</v>
      </c>
      <c r="D54" s="57">
        <f>CRM_MAGDY!V54</f>
        <v>0.5</v>
      </c>
      <c r="E54" s="57" t="str">
        <f>IF(CRM_MAGDY!G54="","BRAK TELEFONU",IF(CRM_MAGDY!K54="","BRAK KWOTY",IF(CRM_MAGDY!N54="","BRAK STATUSU",IF(CRM_MAGDY!C54="","BRAK DATY AKCJI",""))))</f>
        <v>BRAK TELEFONU</v>
      </c>
      <c r="F54" s="57" t="str">
        <f>CRM_MAGDY!W54</f>
        <v>BRAKI CRM</v>
      </c>
      <c r="G54" s="57">
        <f>CRM_MAGDY!K54</f>
        <v>0</v>
      </c>
      <c r="H54" s="57" t="str">
        <f>CRM_MAGDY!N54</f>
        <v>WYGRANA</v>
      </c>
    </row>
    <row r="55" spans="1:8" ht="30" x14ac:dyDescent="0.25">
      <c r="A55" s="57">
        <f>CRM_MAGDY!H55</f>
        <v>5493</v>
      </c>
      <c r="B55" s="57" t="str">
        <f>CRM_MAGDY!I55</f>
        <v>Magda B</v>
      </c>
      <c r="C55" s="57">
        <f>CRM_MAGDY!E55</f>
        <v>0</v>
      </c>
      <c r="D55" s="57">
        <f>CRM_MAGDY!V55</f>
        <v>0.5</v>
      </c>
      <c r="E55" s="57" t="str">
        <f>IF(CRM_MAGDY!G55="","BRAK TELEFONU",IF(CRM_MAGDY!K55="","BRAK KWOTY",IF(CRM_MAGDY!N55="","BRAK STATUSU",IF(CRM_MAGDY!C55="","BRAK DATY AKCJI",""))))</f>
        <v>BRAK TELEFONU</v>
      </c>
      <c r="F55" s="57" t="str">
        <f>CRM_MAGDY!W55</f>
        <v>BRAKI CRM</v>
      </c>
      <c r="G55" s="57">
        <f>CRM_MAGDY!K55</f>
        <v>45687.12</v>
      </c>
      <c r="H55" s="57" t="str">
        <f>CRM_MAGDY!N55</f>
        <v>WYGRANA</v>
      </c>
    </row>
    <row r="56" spans="1:8" ht="30" x14ac:dyDescent="0.25">
      <c r="A56" s="57">
        <f>CRM_MAGDY!H56</f>
        <v>5494</v>
      </c>
      <c r="B56" s="57" t="str">
        <f>CRM_MAGDY!I56</f>
        <v>Magda K</v>
      </c>
      <c r="C56" s="57">
        <f>CRM_MAGDY!E56</f>
        <v>0</v>
      </c>
      <c r="D56" s="57">
        <f>CRM_MAGDY!V56</f>
        <v>0</v>
      </c>
      <c r="E56" s="57" t="str">
        <f>IF(CRM_MAGDY!G56="","BRAK TELEFONU",IF(CRM_MAGDY!K56="","BRAK KWOTY",IF(CRM_MAGDY!N56="","BRAK STATUSU",IF(CRM_MAGDY!C56="","BRAK DATY AKCJI",""))))</f>
        <v>BRAK TELEFONU</v>
      </c>
      <c r="F56" s="57" t="str">
        <f>CRM_MAGDY!W56</f>
        <v>BRAKI CRM</v>
      </c>
      <c r="G56" s="57">
        <f>CRM_MAGDY!K56</f>
        <v>15000</v>
      </c>
      <c r="H56" s="57">
        <f>CRM_MAGDY!N56</f>
        <v>0</v>
      </c>
    </row>
    <row r="57" spans="1:8" ht="30" x14ac:dyDescent="0.25">
      <c r="A57" s="57">
        <f>CRM_MAGDY!H57</f>
        <v>5495</v>
      </c>
      <c r="B57" s="57" t="str">
        <f>CRM_MAGDY!I57</f>
        <v>Magda K</v>
      </c>
      <c r="C57" s="57">
        <f>CRM_MAGDY!E57</f>
        <v>0</v>
      </c>
      <c r="D57" s="57">
        <f>CRM_MAGDY!V57</f>
        <v>0</v>
      </c>
      <c r="E57" s="57" t="str">
        <f>IF(CRM_MAGDY!G57="","BRAK TELEFONU",IF(CRM_MAGDY!K57="","BRAK KWOTY",IF(CRM_MAGDY!N57="","BRAK STATUSU",IF(CRM_MAGDY!C57="","BRAK DATY AKCJI",""))))</f>
        <v>BRAK TELEFONU</v>
      </c>
      <c r="F57" s="57" t="str">
        <f>CRM_MAGDY!W57</f>
        <v>BRAKI CRM</v>
      </c>
      <c r="G57" s="57">
        <f>CRM_MAGDY!K57</f>
        <v>23000</v>
      </c>
      <c r="H57" s="57">
        <f>CRM_MAGDY!N57</f>
        <v>0</v>
      </c>
    </row>
    <row r="58" spans="1:8" ht="30" x14ac:dyDescent="0.25">
      <c r="A58" s="57">
        <f>CRM_MAGDY!H58</f>
        <v>5496</v>
      </c>
      <c r="B58" s="57" t="str">
        <f>CRM_MAGDY!I58</f>
        <v>Magda K</v>
      </c>
      <c r="C58" s="57">
        <f>CRM_MAGDY!E58</f>
        <v>0</v>
      </c>
      <c r="D58" s="57">
        <f>CRM_MAGDY!V58</f>
        <v>0.25</v>
      </c>
      <c r="E58" s="57" t="str">
        <f>IF(CRM_MAGDY!G58="","BRAK TELEFONU",IF(CRM_MAGDY!K58="","BRAK KWOTY",IF(CRM_MAGDY!N58="","BRAK STATUSU",IF(CRM_MAGDY!C58="","BRAK DATY AKCJI",""))))</f>
        <v>BRAK TELEFONU</v>
      </c>
      <c r="F58" s="57" t="str">
        <f>CRM_MAGDY!W58</f>
        <v>BRAKI CRM</v>
      </c>
      <c r="G58" s="57">
        <f>CRM_MAGDY!K58</f>
        <v>16000</v>
      </c>
      <c r="H58" s="57" t="str">
        <f>CRM_MAGDY!N58</f>
        <v>PRZEGRANA</v>
      </c>
    </row>
    <row r="59" spans="1:8" ht="30" x14ac:dyDescent="0.25">
      <c r="A59" s="57">
        <f>CRM_MAGDY!H59</f>
        <v>5497</v>
      </c>
      <c r="B59" s="57" t="str">
        <f>CRM_MAGDY!I59</f>
        <v>Magda B</v>
      </c>
      <c r="C59" s="57">
        <f>CRM_MAGDY!E59</f>
        <v>0</v>
      </c>
      <c r="D59" s="57">
        <f>CRM_MAGDY!V59</f>
        <v>0</v>
      </c>
      <c r="E59" s="57" t="str">
        <f>IF(CRM_MAGDY!G59="","BRAK TELEFONU",IF(CRM_MAGDY!K59="","BRAK KWOTY",IF(CRM_MAGDY!N59="","BRAK STATUSU",IF(CRM_MAGDY!C59="","BRAK DATY AKCJI",""))))</f>
        <v>BRAK TELEFONU</v>
      </c>
      <c r="F59" s="57" t="str">
        <f>CRM_MAGDY!W59</f>
        <v>BRAKI CRM</v>
      </c>
      <c r="G59" s="57">
        <f>CRM_MAGDY!K59</f>
        <v>15000</v>
      </c>
      <c r="H59" s="57">
        <f>CRM_MAGDY!N59</f>
        <v>0</v>
      </c>
    </row>
    <row r="60" spans="1:8" ht="30" x14ac:dyDescent="0.25">
      <c r="A60" s="57">
        <f>CRM_MAGDY!H60</f>
        <v>5498</v>
      </c>
      <c r="B60" s="57" t="str">
        <f>CRM_MAGDY!I60</f>
        <v>Magda B</v>
      </c>
      <c r="C60" s="57">
        <f>CRM_MAGDY!E60</f>
        <v>0</v>
      </c>
      <c r="D60" s="57">
        <f>CRM_MAGDY!V60</f>
        <v>0</v>
      </c>
      <c r="E60" s="57" t="str">
        <f>IF(CRM_MAGDY!G60="","BRAK TELEFONU",IF(CRM_MAGDY!K60="","BRAK KWOTY",IF(CRM_MAGDY!N60="","BRAK STATUSU",IF(CRM_MAGDY!C60="","BRAK DATY AKCJI",""))))</f>
        <v>BRAK TELEFONU</v>
      </c>
      <c r="F60" s="57" t="str">
        <f>CRM_MAGDY!W60</f>
        <v>BRAKI CRM</v>
      </c>
      <c r="G60" s="57">
        <f>CRM_MAGDY!K60</f>
        <v>28000</v>
      </c>
      <c r="H60" s="57">
        <f>CRM_MAGDY!N60</f>
        <v>0</v>
      </c>
    </row>
    <row r="61" spans="1:8" ht="30" x14ac:dyDescent="0.25">
      <c r="A61" s="57">
        <f>CRM_MAGDY!H61</f>
        <v>5499</v>
      </c>
      <c r="B61" s="57" t="str">
        <f>CRM_MAGDY!I61</f>
        <v>Magda B</v>
      </c>
      <c r="C61" s="57">
        <f>CRM_MAGDY!E61</f>
        <v>0</v>
      </c>
      <c r="D61" s="57">
        <f>CRM_MAGDY!V61</f>
        <v>0</v>
      </c>
      <c r="E61" s="57" t="str">
        <f>IF(CRM_MAGDY!G61="","BRAK TELEFONU",IF(CRM_MAGDY!K61="","BRAK KWOTY",IF(CRM_MAGDY!N61="","BRAK STATUSU",IF(CRM_MAGDY!C61="","BRAK DATY AKCJI",""))))</f>
        <v>BRAK TELEFONU</v>
      </c>
      <c r="F61" s="57" t="str">
        <f>CRM_MAGDY!W61</f>
        <v>BRAKI CRM</v>
      </c>
      <c r="G61" s="57">
        <f>CRM_MAGDY!K61</f>
        <v>21900</v>
      </c>
      <c r="H61" s="57">
        <f>CRM_MAGDY!N61</f>
        <v>0</v>
      </c>
    </row>
    <row r="62" spans="1:8" ht="30" x14ac:dyDescent="0.25">
      <c r="A62" s="57">
        <f>CRM_MAGDY!H62</f>
        <v>5500</v>
      </c>
      <c r="B62" s="57" t="str">
        <f>CRM_MAGDY!I62</f>
        <v>Magda B</v>
      </c>
      <c r="C62" s="57">
        <f>CRM_MAGDY!E62</f>
        <v>0</v>
      </c>
      <c r="D62" s="57">
        <f>CRM_MAGDY!V62</f>
        <v>0.25</v>
      </c>
      <c r="E62" s="57" t="str">
        <f>IF(CRM_MAGDY!G62="","BRAK TELEFONU",IF(CRM_MAGDY!K62="","BRAK KWOTY",IF(CRM_MAGDY!N62="","BRAK STATUSU",IF(CRM_MAGDY!C62="","BRAK DATY AKCJI",""))))</f>
        <v>BRAK TELEFONU</v>
      </c>
      <c r="F62" s="57" t="str">
        <f>CRM_MAGDY!W62</f>
        <v>BRAKI CRM</v>
      </c>
      <c r="G62" s="57">
        <f>CRM_MAGDY!K62</f>
        <v>25800</v>
      </c>
      <c r="H62" s="57">
        <f>CRM_MAGDY!N62</f>
        <v>0</v>
      </c>
    </row>
    <row r="63" spans="1:8" ht="30" x14ac:dyDescent="0.25">
      <c r="A63" s="57">
        <f>CRM_MAGDY!H63</f>
        <v>5501</v>
      </c>
      <c r="B63" s="57" t="str">
        <f>CRM_MAGDY!I63</f>
        <v>Magda K</v>
      </c>
      <c r="C63" s="57">
        <f>CRM_MAGDY!E63</f>
        <v>0</v>
      </c>
      <c r="D63" s="57">
        <f>CRM_MAGDY!V63</f>
        <v>0.25</v>
      </c>
      <c r="E63" s="57" t="str">
        <f>IF(CRM_MAGDY!G63="","BRAK TELEFONU",IF(CRM_MAGDY!K63="","BRAK KWOTY",IF(CRM_MAGDY!N63="","BRAK STATUSU",IF(CRM_MAGDY!C63="","BRAK DATY AKCJI",""))))</f>
        <v>BRAK TELEFONU</v>
      </c>
      <c r="F63" s="57" t="str">
        <f>CRM_MAGDY!W63</f>
        <v>BRAKI CRM</v>
      </c>
      <c r="G63" s="57">
        <f>CRM_MAGDY!K63</f>
        <v>23000</v>
      </c>
      <c r="H63" s="57" t="str">
        <f>CRM_MAGDY!N63</f>
        <v>PRZEGRANA</v>
      </c>
    </row>
    <row r="64" spans="1:8" ht="30" x14ac:dyDescent="0.25">
      <c r="A64" s="57">
        <f>CRM_MAGDY!H64</f>
        <v>5502</v>
      </c>
      <c r="B64" s="57">
        <f>CRM_MAGDY!I64</f>
        <v>0</v>
      </c>
      <c r="C64" s="57">
        <f>CRM_MAGDY!E64</f>
        <v>0</v>
      </c>
      <c r="D64" s="57">
        <f>CRM_MAGDY!V64</f>
        <v>0</v>
      </c>
      <c r="E64" s="57" t="str">
        <f>IF(CRM_MAGDY!G64="","BRAK TELEFONU",IF(CRM_MAGDY!K64="","BRAK KWOTY",IF(CRM_MAGDY!N64="","BRAK STATUSU",IF(CRM_MAGDY!C64="","BRAK DATY AKCJI",""))))</f>
        <v>BRAK TELEFONU</v>
      </c>
      <c r="F64" s="57" t="str">
        <f>CRM_MAGDY!W64</f>
        <v>BRAKI CRM</v>
      </c>
      <c r="G64" s="57">
        <f>CRM_MAGDY!K64</f>
        <v>0</v>
      </c>
      <c r="H64" s="57">
        <f>CRM_MAGDY!N64</f>
        <v>0</v>
      </c>
    </row>
    <row r="65" spans="1:8" ht="30" x14ac:dyDescent="0.25">
      <c r="A65" s="57">
        <f>CRM_MAGDY!H65</f>
        <v>5503</v>
      </c>
      <c r="B65" s="57" t="str">
        <f>CRM_MAGDY!I65</f>
        <v>Magda K</v>
      </c>
      <c r="C65" s="57">
        <f>CRM_MAGDY!E65</f>
        <v>0</v>
      </c>
      <c r="D65" s="57">
        <f>CRM_MAGDY!V65</f>
        <v>0.25</v>
      </c>
      <c r="E65" s="57" t="str">
        <f>IF(CRM_MAGDY!G65="","BRAK TELEFONU",IF(CRM_MAGDY!K65="","BRAK KWOTY",IF(CRM_MAGDY!N65="","BRAK STATUSU",IF(CRM_MAGDY!C65="","BRAK DATY AKCJI",""))))</f>
        <v>BRAK TELEFONU</v>
      </c>
      <c r="F65" s="57" t="str">
        <f>CRM_MAGDY!W65</f>
        <v>BRAKI CRM</v>
      </c>
      <c r="G65" s="57">
        <f>CRM_MAGDY!K65</f>
        <v>11000</v>
      </c>
      <c r="H65" s="57" t="str">
        <f>CRM_MAGDY!N65</f>
        <v>PRZEGRANA</v>
      </c>
    </row>
    <row r="66" spans="1:8" ht="30" x14ac:dyDescent="0.25">
      <c r="A66" s="57">
        <f>CRM_MAGDY!H66</f>
        <v>5504</v>
      </c>
      <c r="B66" s="57" t="str">
        <f>CRM_MAGDY!I66</f>
        <v>Magda K</v>
      </c>
      <c r="C66" s="57">
        <f>CRM_MAGDY!E66</f>
        <v>0</v>
      </c>
      <c r="D66" s="57">
        <f>CRM_MAGDY!V66</f>
        <v>0.5</v>
      </c>
      <c r="E66" s="57" t="str">
        <f>IF(CRM_MAGDY!G66="","BRAK TELEFONU",IF(CRM_MAGDY!K66="","BRAK KWOTY",IF(CRM_MAGDY!N66="","BRAK STATUSU",IF(CRM_MAGDY!C66="","BRAK DATY AKCJI",""))))</f>
        <v>BRAK TELEFONU</v>
      </c>
      <c r="F66" s="57" t="str">
        <f>CRM_MAGDY!W66</f>
        <v>BRAKI CRM</v>
      </c>
      <c r="G66" s="57">
        <f>CRM_MAGDY!K66</f>
        <v>40000</v>
      </c>
      <c r="H66" s="57" t="str">
        <f>CRM_MAGDY!N66</f>
        <v>WYGRANA</v>
      </c>
    </row>
    <row r="67" spans="1:8" ht="30" x14ac:dyDescent="0.25">
      <c r="A67" s="57">
        <f>CRM_MAGDY!H67</f>
        <v>5505</v>
      </c>
      <c r="B67" s="57" t="str">
        <f>CRM_MAGDY!I67</f>
        <v>Magda K</v>
      </c>
      <c r="C67" s="57">
        <f>CRM_MAGDY!E67</f>
        <v>0</v>
      </c>
      <c r="D67" s="57">
        <f>CRM_MAGDY!V67</f>
        <v>0</v>
      </c>
      <c r="E67" s="57" t="str">
        <f>IF(CRM_MAGDY!G67="","BRAK TELEFONU",IF(CRM_MAGDY!K67="","BRAK KWOTY",IF(CRM_MAGDY!N67="","BRAK STATUSU",IF(CRM_MAGDY!C67="","BRAK DATY AKCJI",""))))</f>
        <v>BRAK TELEFONU</v>
      </c>
      <c r="F67" s="57" t="str">
        <f>CRM_MAGDY!W67</f>
        <v>BRAKI CRM</v>
      </c>
      <c r="G67" s="57">
        <f>CRM_MAGDY!K67</f>
        <v>23000</v>
      </c>
      <c r="H67" s="57">
        <f>CRM_MAGDY!N67</f>
        <v>0</v>
      </c>
    </row>
    <row r="68" spans="1:8" ht="30" x14ac:dyDescent="0.25">
      <c r="A68" s="57">
        <f>CRM_MAGDY!H68</f>
        <v>5506</v>
      </c>
      <c r="B68" s="57" t="str">
        <f>CRM_MAGDY!I68</f>
        <v>Magda B</v>
      </c>
      <c r="C68" s="57">
        <f>CRM_MAGDY!E68</f>
        <v>0</v>
      </c>
      <c r="D68" s="57">
        <f>CRM_MAGDY!V68</f>
        <v>0</v>
      </c>
      <c r="E68" s="57" t="str">
        <f>IF(CRM_MAGDY!G68="","BRAK TELEFONU",IF(CRM_MAGDY!K68="","BRAK KWOTY",IF(CRM_MAGDY!N68="","BRAK STATUSU",IF(CRM_MAGDY!C68="","BRAK DATY AKCJI",""))))</f>
        <v>BRAK TELEFONU</v>
      </c>
      <c r="F68" s="57" t="str">
        <f>CRM_MAGDY!W68</f>
        <v>BRAKI CRM</v>
      </c>
      <c r="G68" s="57">
        <f>CRM_MAGDY!K68</f>
        <v>16000</v>
      </c>
      <c r="H68" s="57">
        <f>CRM_MAGDY!N68</f>
        <v>0</v>
      </c>
    </row>
    <row r="69" spans="1:8" ht="30" x14ac:dyDescent="0.25">
      <c r="A69" s="57">
        <f>CRM_MAGDY!H69</f>
        <v>5507</v>
      </c>
      <c r="B69" s="57" t="str">
        <f>CRM_MAGDY!I69</f>
        <v>Magda K</v>
      </c>
      <c r="C69" s="57">
        <f>CRM_MAGDY!E69</f>
        <v>0</v>
      </c>
      <c r="D69" s="57">
        <f>CRM_MAGDY!V69</f>
        <v>0</v>
      </c>
      <c r="E69" s="57" t="str">
        <f>IF(CRM_MAGDY!G69="","BRAK TELEFONU",IF(CRM_MAGDY!K69="","BRAK KWOTY",IF(CRM_MAGDY!N69="","BRAK STATUSU",IF(CRM_MAGDY!C69="","BRAK DATY AKCJI",""))))</f>
        <v>BRAK TELEFONU</v>
      </c>
      <c r="F69" s="57" t="str">
        <f>CRM_MAGDY!W69</f>
        <v>BRAKI CRM</v>
      </c>
      <c r="G69" s="57">
        <f>CRM_MAGDY!K69</f>
        <v>11000</v>
      </c>
      <c r="H69" s="57">
        <f>CRM_MAGDY!N69</f>
        <v>0</v>
      </c>
    </row>
    <row r="70" spans="1:8" ht="30" x14ac:dyDescent="0.25">
      <c r="A70" s="57">
        <f>CRM_MAGDY!H70</f>
        <v>5508</v>
      </c>
      <c r="B70" s="57" t="str">
        <f>CRM_MAGDY!I70</f>
        <v>Magda K</v>
      </c>
      <c r="C70" s="57">
        <f>CRM_MAGDY!E70</f>
        <v>0</v>
      </c>
      <c r="D70" s="57">
        <f>CRM_MAGDY!V70</f>
        <v>0.5</v>
      </c>
      <c r="E70" s="57" t="str">
        <f>IF(CRM_MAGDY!G70="","BRAK TELEFONU",IF(CRM_MAGDY!K70="","BRAK KWOTY",IF(CRM_MAGDY!N70="","BRAK STATUSU",IF(CRM_MAGDY!C70="","BRAK DATY AKCJI",""))))</f>
        <v>BRAK TELEFONU</v>
      </c>
      <c r="F70" s="57" t="str">
        <f>CRM_MAGDY!W70</f>
        <v>BRAKI CRM</v>
      </c>
      <c r="G70" s="57">
        <f>CRM_MAGDY!K70</f>
        <v>11000</v>
      </c>
      <c r="H70" s="57" t="str">
        <f>CRM_MAGDY!N70</f>
        <v>PRZEGRANA</v>
      </c>
    </row>
    <row r="71" spans="1:8" ht="30" x14ac:dyDescent="0.25">
      <c r="A71" s="57">
        <f>CRM_MAGDY!H71</f>
        <v>5509</v>
      </c>
      <c r="B71" s="57" t="str">
        <f>CRM_MAGDY!I71</f>
        <v>Magda K</v>
      </c>
      <c r="C71" s="57">
        <f>CRM_MAGDY!E71</f>
        <v>0</v>
      </c>
      <c r="D71" s="57">
        <f>CRM_MAGDY!V71</f>
        <v>0</v>
      </c>
      <c r="E71" s="57" t="str">
        <f>IF(CRM_MAGDY!G71="","BRAK TELEFONU",IF(CRM_MAGDY!K71="","BRAK KWOTY",IF(CRM_MAGDY!N71="","BRAK STATUSU",IF(CRM_MAGDY!C71="","BRAK DATY AKCJI",""))))</f>
        <v>BRAK TELEFONU</v>
      </c>
      <c r="F71" s="57" t="str">
        <f>CRM_MAGDY!W71</f>
        <v>BRAKI CRM</v>
      </c>
      <c r="G71" s="57">
        <f>CRM_MAGDY!K71</f>
        <v>24000</v>
      </c>
      <c r="H71" s="57">
        <f>CRM_MAGDY!N71</f>
        <v>0</v>
      </c>
    </row>
    <row r="72" spans="1:8" ht="30" x14ac:dyDescent="0.25">
      <c r="A72" s="57">
        <f>CRM_MAGDY!H72</f>
        <v>5510</v>
      </c>
      <c r="B72" s="57" t="str">
        <f>CRM_MAGDY!I72</f>
        <v>Magda K</v>
      </c>
      <c r="C72" s="57">
        <f>CRM_MAGDY!E72</f>
        <v>0</v>
      </c>
      <c r="D72" s="57">
        <f>CRM_MAGDY!V72</f>
        <v>0.25</v>
      </c>
      <c r="E72" s="57" t="str">
        <f>IF(CRM_MAGDY!G72="","BRAK TELEFONU",IF(CRM_MAGDY!K72="","BRAK KWOTY",IF(CRM_MAGDY!N72="","BRAK STATUSU",IF(CRM_MAGDY!C72="","BRAK DATY AKCJI",""))))</f>
        <v>BRAK TELEFONU</v>
      </c>
      <c r="F72" s="57" t="str">
        <f>CRM_MAGDY!W72</f>
        <v>BRAKI CRM</v>
      </c>
      <c r="G72" s="57">
        <f>CRM_MAGDY!K72</f>
        <v>22000</v>
      </c>
      <c r="H72" s="57" t="str">
        <f>CRM_MAGDY!N72</f>
        <v>PRZEGRANA</v>
      </c>
    </row>
    <row r="73" spans="1:8" ht="30" x14ac:dyDescent="0.25">
      <c r="A73" s="57">
        <f>CRM_MAGDY!H73</f>
        <v>5511</v>
      </c>
      <c r="B73" s="57" t="str">
        <f>CRM_MAGDY!I73</f>
        <v>Magda B</v>
      </c>
      <c r="C73" s="57">
        <f>CRM_MAGDY!E73</f>
        <v>0</v>
      </c>
      <c r="D73" s="57">
        <f>CRM_MAGDY!V73</f>
        <v>0</v>
      </c>
      <c r="E73" s="57" t="str">
        <f>IF(CRM_MAGDY!G73="","BRAK TELEFONU",IF(CRM_MAGDY!K73="","BRAK KWOTY",IF(CRM_MAGDY!N73="","BRAK STATUSU",IF(CRM_MAGDY!C73="","BRAK DATY AKCJI",""))))</f>
        <v>BRAK TELEFONU</v>
      </c>
      <c r="F73" s="57" t="str">
        <f>CRM_MAGDY!W73</f>
        <v>BRAKI CRM</v>
      </c>
      <c r="G73" s="57">
        <f>CRM_MAGDY!K73</f>
        <v>0</v>
      </c>
      <c r="H73" s="57">
        <f>CRM_MAGDY!N73</f>
        <v>0</v>
      </c>
    </row>
    <row r="74" spans="1:8" ht="30" x14ac:dyDescent="0.25">
      <c r="A74" s="57">
        <f>CRM_MAGDY!H74</f>
        <v>5512</v>
      </c>
      <c r="B74" s="57" t="str">
        <f>CRM_MAGDY!I74</f>
        <v>Magda K</v>
      </c>
      <c r="C74" s="57">
        <f>CRM_MAGDY!E74</f>
        <v>0</v>
      </c>
      <c r="D74" s="57">
        <f>CRM_MAGDY!V74</f>
        <v>0</v>
      </c>
      <c r="E74" s="57" t="str">
        <f>IF(CRM_MAGDY!G74="","BRAK TELEFONU",IF(CRM_MAGDY!K74="","BRAK KWOTY",IF(CRM_MAGDY!N74="","BRAK STATUSU",IF(CRM_MAGDY!C74="","BRAK DATY AKCJI",""))))</f>
        <v>BRAK TELEFONU</v>
      </c>
      <c r="F74" s="57" t="str">
        <f>CRM_MAGDY!W74</f>
        <v>BRAKI CRM</v>
      </c>
      <c r="G74" s="57">
        <f>CRM_MAGDY!K74</f>
        <v>23000</v>
      </c>
      <c r="H74" s="57">
        <f>CRM_MAGDY!N74</f>
        <v>0</v>
      </c>
    </row>
    <row r="75" spans="1:8" ht="30" x14ac:dyDescent="0.25">
      <c r="A75" s="57">
        <f>CRM_MAGDY!H75</f>
        <v>5513</v>
      </c>
      <c r="B75" s="57" t="str">
        <f>CRM_MAGDY!I75</f>
        <v>Magda K</v>
      </c>
      <c r="C75" s="57">
        <f>CRM_MAGDY!E75</f>
        <v>0</v>
      </c>
      <c r="D75" s="57">
        <f>CRM_MAGDY!V75</f>
        <v>0</v>
      </c>
      <c r="E75" s="57" t="str">
        <f>IF(CRM_MAGDY!G75="","BRAK TELEFONU",IF(CRM_MAGDY!K75="","BRAK KWOTY",IF(CRM_MAGDY!N75="","BRAK STATUSU",IF(CRM_MAGDY!C75="","BRAK DATY AKCJI",""))))</f>
        <v>BRAK TELEFONU</v>
      </c>
      <c r="F75" s="57" t="str">
        <f>CRM_MAGDY!W75</f>
        <v>BRAKI CRM</v>
      </c>
      <c r="G75" s="57">
        <f>CRM_MAGDY!K75</f>
        <v>23000</v>
      </c>
      <c r="H75" s="57">
        <f>CRM_MAGDY!N75</f>
        <v>0</v>
      </c>
    </row>
    <row r="76" spans="1:8" ht="30" x14ac:dyDescent="0.25">
      <c r="A76" s="57">
        <f>CRM_MAGDY!H76</f>
        <v>5514</v>
      </c>
      <c r="B76" s="57" t="str">
        <f>CRM_MAGDY!I76</f>
        <v>Magda K</v>
      </c>
      <c r="C76" s="57">
        <f>CRM_MAGDY!E76</f>
        <v>0</v>
      </c>
      <c r="D76" s="57">
        <f>CRM_MAGDY!V76</f>
        <v>0</v>
      </c>
      <c r="E76" s="57" t="str">
        <f>IF(CRM_MAGDY!G76="","BRAK TELEFONU",IF(CRM_MAGDY!K76="","BRAK KWOTY",IF(CRM_MAGDY!N76="","BRAK STATUSU",IF(CRM_MAGDY!C76="","BRAK DATY AKCJI",""))))</f>
        <v>BRAK TELEFONU</v>
      </c>
      <c r="F76" s="57" t="str">
        <f>CRM_MAGDY!W76</f>
        <v>BRAKI CRM</v>
      </c>
      <c r="G76" s="57">
        <f>CRM_MAGDY!K76</f>
        <v>21000</v>
      </c>
      <c r="H76" s="57">
        <f>CRM_MAGDY!N76</f>
        <v>0</v>
      </c>
    </row>
    <row r="77" spans="1:8" ht="30" x14ac:dyDescent="0.25">
      <c r="A77" s="57">
        <f>CRM_MAGDY!H77</f>
        <v>5515</v>
      </c>
      <c r="B77" s="57" t="str">
        <f>CRM_MAGDY!I77</f>
        <v>Magda K</v>
      </c>
      <c r="C77" s="57">
        <f>CRM_MAGDY!E77</f>
        <v>0</v>
      </c>
      <c r="D77" s="57">
        <f>CRM_MAGDY!V77</f>
        <v>0.25</v>
      </c>
      <c r="E77" s="57" t="str">
        <f>IF(CRM_MAGDY!G77="","BRAK TELEFONU",IF(CRM_MAGDY!K77="","BRAK KWOTY",IF(CRM_MAGDY!N77="","BRAK STATUSU",IF(CRM_MAGDY!C77="","BRAK DATY AKCJI",""))))</f>
        <v>BRAK TELEFONU</v>
      </c>
      <c r="F77" s="57" t="str">
        <f>CRM_MAGDY!W77</f>
        <v>BRAKI CRM</v>
      </c>
      <c r="G77" s="57">
        <f>CRM_MAGDY!K77</f>
        <v>25000</v>
      </c>
      <c r="H77" s="57" t="str">
        <f>CRM_MAGDY!N77</f>
        <v>PRZEGRANA</v>
      </c>
    </row>
    <row r="78" spans="1:8" ht="30" x14ac:dyDescent="0.25">
      <c r="A78" s="57">
        <f>CRM_MAGDY!H78</f>
        <v>5516</v>
      </c>
      <c r="B78" s="57" t="str">
        <f>CRM_MAGDY!I78</f>
        <v>Magda K</v>
      </c>
      <c r="C78" s="57">
        <f>CRM_MAGDY!E78</f>
        <v>0</v>
      </c>
      <c r="D78" s="57">
        <f>CRM_MAGDY!V78</f>
        <v>0</v>
      </c>
      <c r="E78" s="57" t="str">
        <f>IF(CRM_MAGDY!G78="","BRAK TELEFONU",IF(CRM_MAGDY!K78="","BRAK KWOTY",IF(CRM_MAGDY!N78="","BRAK STATUSU",IF(CRM_MAGDY!C78="","BRAK DATY AKCJI",""))))</f>
        <v>BRAK TELEFONU</v>
      </c>
      <c r="F78" s="57" t="str">
        <f>CRM_MAGDY!W78</f>
        <v>BRAKI CRM</v>
      </c>
      <c r="G78" s="57">
        <f>CRM_MAGDY!K78</f>
        <v>18000</v>
      </c>
      <c r="H78" s="57">
        <f>CRM_MAGDY!N78</f>
        <v>0</v>
      </c>
    </row>
    <row r="79" spans="1:8" ht="30" x14ac:dyDescent="0.25">
      <c r="A79" s="57">
        <f>CRM_MAGDY!H79</f>
        <v>5517</v>
      </c>
      <c r="B79" s="57" t="str">
        <f>CRM_MAGDY!I79</f>
        <v>Magda B</v>
      </c>
      <c r="C79" s="57">
        <f>CRM_MAGDY!E79</f>
        <v>0</v>
      </c>
      <c r="D79" s="57">
        <f>CRM_MAGDY!V79</f>
        <v>0.5</v>
      </c>
      <c r="E79" s="57" t="str">
        <f>IF(CRM_MAGDY!G79="","BRAK TELEFONU",IF(CRM_MAGDY!K79="","BRAK KWOTY",IF(CRM_MAGDY!N79="","BRAK STATUSU",IF(CRM_MAGDY!C79="","BRAK DATY AKCJI",""))))</f>
        <v>BRAK TELEFONU</v>
      </c>
      <c r="F79" s="57" t="str">
        <f>CRM_MAGDY!W79</f>
        <v>BRAKI CRM</v>
      </c>
      <c r="G79" s="57">
        <f>CRM_MAGDY!K79</f>
        <v>0</v>
      </c>
      <c r="H79" s="57" t="str">
        <f>CRM_MAGDY!N79</f>
        <v>WYGRANA</v>
      </c>
    </row>
    <row r="80" spans="1:8" ht="30" x14ac:dyDescent="0.25">
      <c r="A80" s="57">
        <f>CRM_MAGDY!H80</f>
        <v>5518</v>
      </c>
      <c r="B80" s="57" t="str">
        <f>CRM_MAGDY!I80</f>
        <v>Magda B</v>
      </c>
      <c r="C80" s="57">
        <f>CRM_MAGDY!E80</f>
        <v>0</v>
      </c>
      <c r="D80" s="57">
        <f>CRM_MAGDY!V80</f>
        <v>0.5</v>
      </c>
      <c r="E80" s="57" t="str">
        <f>IF(CRM_MAGDY!G80="","BRAK TELEFONU",IF(CRM_MAGDY!K80="","BRAK KWOTY",IF(CRM_MAGDY!N80="","BRAK STATUSU",IF(CRM_MAGDY!C80="","BRAK DATY AKCJI",""))))</f>
        <v>BRAK TELEFONU</v>
      </c>
      <c r="F80" s="57" t="str">
        <f>CRM_MAGDY!W80</f>
        <v>BRAKI CRM</v>
      </c>
      <c r="G80" s="57">
        <f>CRM_MAGDY!K80</f>
        <v>31000</v>
      </c>
      <c r="H80" s="57" t="str">
        <f>CRM_MAGDY!N80</f>
        <v>WYGRANA</v>
      </c>
    </row>
    <row r="81" spans="1:8" ht="30" x14ac:dyDescent="0.25">
      <c r="A81" s="57">
        <f>CRM_MAGDY!H81</f>
        <v>5519</v>
      </c>
      <c r="B81" s="57" t="str">
        <f>CRM_MAGDY!I81</f>
        <v>Magda B</v>
      </c>
      <c r="C81" s="57">
        <f>CRM_MAGDY!E81</f>
        <v>0</v>
      </c>
      <c r="D81" s="57">
        <f>CRM_MAGDY!V81</f>
        <v>0</v>
      </c>
      <c r="E81" s="57" t="str">
        <f>IF(CRM_MAGDY!G81="","BRAK TELEFONU",IF(CRM_MAGDY!K81="","BRAK KWOTY",IF(CRM_MAGDY!N81="","BRAK STATUSU",IF(CRM_MAGDY!C81="","BRAK DATY AKCJI",""))))</f>
        <v>BRAK TELEFONU</v>
      </c>
      <c r="F81" s="57" t="str">
        <f>CRM_MAGDY!W81</f>
        <v>BRAKI CRM</v>
      </c>
      <c r="G81" s="57">
        <f>CRM_MAGDY!K81</f>
        <v>20000</v>
      </c>
      <c r="H81" s="57">
        <f>CRM_MAGDY!N81</f>
        <v>0</v>
      </c>
    </row>
    <row r="82" spans="1:8" ht="30" x14ac:dyDescent="0.25">
      <c r="A82" s="57">
        <f>CRM_MAGDY!H82</f>
        <v>5520</v>
      </c>
      <c r="B82" s="57" t="str">
        <f>CRM_MAGDY!I82</f>
        <v>Magda K</v>
      </c>
      <c r="C82" s="57">
        <f>CRM_MAGDY!E82</f>
        <v>0</v>
      </c>
      <c r="D82" s="57">
        <f>CRM_MAGDY!V82</f>
        <v>0</v>
      </c>
      <c r="E82" s="57" t="str">
        <f>IF(CRM_MAGDY!G82="","BRAK TELEFONU",IF(CRM_MAGDY!K82="","BRAK KWOTY",IF(CRM_MAGDY!N82="","BRAK STATUSU",IF(CRM_MAGDY!C82="","BRAK DATY AKCJI",""))))</f>
        <v>BRAK TELEFONU</v>
      </c>
      <c r="F82" s="57" t="str">
        <f>CRM_MAGDY!W82</f>
        <v>BRAKI CRM</v>
      </c>
      <c r="G82" s="57">
        <f>CRM_MAGDY!K82</f>
        <v>20000</v>
      </c>
      <c r="H82" s="57">
        <f>CRM_MAGDY!N82</f>
        <v>0</v>
      </c>
    </row>
    <row r="83" spans="1:8" ht="30" x14ac:dyDescent="0.25">
      <c r="A83" s="57">
        <f>CRM_MAGDY!H83</f>
        <v>5521</v>
      </c>
      <c r="B83" s="57" t="str">
        <f>CRM_MAGDY!I83</f>
        <v>Magda B</v>
      </c>
      <c r="C83" s="57">
        <f>CRM_MAGDY!E83</f>
        <v>0</v>
      </c>
      <c r="D83" s="57">
        <f>CRM_MAGDY!V83</f>
        <v>0</v>
      </c>
      <c r="E83" s="57" t="str">
        <f>IF(CRM_MAGDY!G83="","BRAK TELEFONU",IF(CRM_MAGDY!K83="","BRAK KWOTY",IF(CRM_MAGDY!N83="","BRAK STATUSU",IF(CRM_MAGDY!C83="","BRAK DATY AKCJI",""))))</f>
        <v>BRAK TELEFONU</v>
      </c>
      <c r="F83" s="57" t="str">
        <f>CRM_MAGDY!W83</f>
        <v>BRAKI CRM</v>
      </c>
      <c r="G83" s="57">
        <f>CRM_MAGDY!K83</f>
        <v>0</v>
      </c>
      <c r="H83" s="57">
        <f>CRM_MAGDY!N83</f>
        <v>0</v>
      </c>
    </row>
    <row r="84" spans="1:8" ht="30" x14ac:dyDescent="0.25">
      <c r="A84" s="57">
        <f>CRM_MAGDY!H84</f>
        <v>5522</v>
      </c>
      <c r="B84" s="57" t="str">
        <f>CRM_MAGDY!I84</f>
        <v>Magda K</v>
      </c>
      <c r="C84" s="57">
        <f>CRM_MAGDY!E84</f>
        <v>0</v>
      </c>
      <c r="D84" s="57">
        <f>CRM_MAGDY!V84</f>
        <v>0</v>
      </c>
      <c r="E84" s="57" t="str">
        <f>IF(CRM_MAGDY!G84="","BRAK TELEFONU",IF(CRM_MAGDY!K84="","BRAK KWOTY",IF(CRM_MAGDY!N84="","BRAK STATUSU",IF(CRM_MAGDY!C84="","BRAK DATY AKCJI",""))))</f>
        <v>BRAK TELEFONU</v>
      </c>
      <c r="F84" s="57" t="str">
        <f>CRM_MAGDY!W84</f>
        <v>BRAKI CRM</v>
      </c>
      <c r="G84" s="57">
        <f>CRM_MAGDY!K84</f>
        <v>19500</v>
      </c>
      <c r="H84" s="57">
        <f>CRM_MAGDY!N84</f>
        <v>0</v>
      </c>
    </row>
    <row r="85" spans="1:8" ht="30" x14ac:dyDescent="0.25">
      <c r="A85" s="57">
        <f>CRM_MAGDY!H85</f>
        <v>5523</v>
      </c>
      <c r="B85" s="57" t="str">
        <f>CRM_MAGDY!I85</f>
        <v>Magda B</v>
      </c>
      <c r="C85" s="57">
        <f>CRM_MAGDY!E85</f>
        <v>0</v>
      </c>
      <c r="D85" s="57">
        <f>CRM_MAGDY!V85</f>
        <v>0.5</v>
      </c>
      <c r="E85" s="57" t="str">
        <f>IF(CRM_MAGDY!G85="","BRAK TELEFONU",IF(CRM_MAGDY!K85="","BRAK KWOTY",IF(CRM_MAGDY!N85="","BRAK STATUSU",IF(CRM_MAGDY!C85="","BRAK DATY AKCJI",""))))</f>
        <v>BRAK TELEFONU</v>
      </c>
      <c r="F85" s="57" t="str">
        <f>CRM_MAGDY!W85</f>
        <v>BRAKI CRM</v>
      </c>
      <c r="G85" s="57">
        <f>CRM_MAGDY!K85</f>
        <v>30024</v>
      </c>
      <c r="H85" s="57" t="str">
        <f>CRM_MAGDY!N85</f>
        <v>WYGRANA</v>
      </c>
    </row>
    <row r="86" spans="1:8" ht="30" x14ac:dyDescent="0.25">
      <c r="A86" s="57">
        <f>CRM_MAGDY!H86</f>
        <v>5524</v>
      </c>
      <c r="B86" s="57" t="str">
        <f>CRM_MAGDY!I86</f>
        <v>Magda K</v>
      </c>
      <c r="C86" s="57">
        <f>CRM_MAGDY!E86</f>
        <v>0</v>
      </c>
      <c r="D86" s="57">
        <f>CRM_MAGDY!V86</f>
        <v>0</v>
      </c>
      <c r="E86" s="57" t="str">
        <f>IF(CRM_MAGDY!G86="","BRAK TELEFONU",IF(CRM_MAGDY!K86="","BRAK KWOTY",IF(CRM_MAGDY!N86="","BRAK STATUSU",IF(CRM_MAGDY!C86="","BRAK DATY AKCJI",""))))</f>
        <v>BRAK TELEFONU</v>
      </c>
      <c r="F86" s="57" t="str">
        <f>CRM_MAGDY!W86</f>
        <v>BRAKI CRM</v>
      </c>
      <c r="G86" s="57">
        <f>CRM_MAGDY!K86</f>
        <v>21000</v>
      </c>
      <c r="H86" s="57">
        <f>CRM_MAGDY!N86</f>
        <v>0</v>
      </c>
    </row>
    <row r="87" spans="1:8" ht="30" x14ac:dyDescent="0.25">
      <c r="A87" s="57">
        <f>CRM_MAGDY!H87</f>
        <v>5525</v>
      </c>
      <c r="B87" s="57" t="str">
        <f>CRM_MAGDY!I87</f>
        <v>Magda B</v>
      </c>
      <c r="C87" s="57">
        <f>CRM_MAGDY!E87</f>
        <v>0</v>
      </c>
      <c r="D87" s="57">
        <f>CRM_MAGDY!V87</f>
        <v>0</v>
      </c>
      <c r="E87" s="57" t="str">
        <f>IF(CRM_MAGDY!G87="","BRAK TELEFONU",IF(CRM_MAGDY!K87="","BRAK KWOTY",IF(CRM_MAGDY!N87="","BRAK STATUSU",IF(CRM_MAGDY!C87="","BRAK DATY AKCJI",""))))</f>
        <v>BRAK TELEFONU</v>
      </c>
      <c r="F87" s="57" t="str">
        <f>CRM_MAGDY!W87</f>
        <v>BRAKI CRM</v>
      </c>
      <c r="G87" s="57">
        <f>CRM_MAGDY!K87</f>
        <v>37098</v>
      </c>
      <c r="H87" s="57">
        <f>CRM_MAGDY!N87</f>
        <v>0</v>
      </c>
    </row>
    <row r="88" spans="1:8" ht="30" x14ac:dyDescent="0.25">
      <c r="A88" s="57">
        <f>CRM_MAGDY!H88</f>
        <v>5526</v>
      </c>
      <c r="B88" s="57" t="str">
        <f>CRM_MAGDY!I88</f>
        <v>Magda B</v>
      </c>
      <c r="C88" s="57">
        <f>CRM_MAGDY!E88</f>
        <v>0</v>
      </c>
      <c r="D88" s="57">
        <f>CRM_MAGDY!V88</f>
        <v>0</v>
      </c>
      <c r="E88" s="57" t="str">
        <f>IF(CRM_MAGDY!G88="","BRAK TELEFONU",IF(CRM_MAGDY!K88="","BRAK KWOTY",IF(CRM_MAGDY!N88="","BRAK STATUSU",IF(CRM_MAGDY!C88="","BRAK DATY AKCJI",""))))</f>
        <v>BRAK TELEFONU</v>
      </c>
      <c r="F88" s="57" t="str">
        <f>CRM_MAGDY!W88</f>
        <v>BRAKI CRM</v>
      </c>
      <c r="G88" s="57">
        <f>CRM_MAGDY!K88</f>
        <v>30000</v>
      </c>
      <c r="H88" s="57">
        <f>CRM_MAGDY!N88</f>
        <v>0</v>
      </c>
    </row>
    <row r="89" spans="1:8" ht="30" x14ac:dyDescent="0.25">
      <c r="A89" s="57">
        <f>CRM_MAGDY!H89</f>
        <v>5527</v>
      </c>
      <c r="B89" s="57" t="str">
        <f>CRM_MAGDY!I89</f>
        <v>Magda K</v>
      </c>
      <c r="C89" s="57">
        <f>CRM_MAGDY!E89</f>
        <v>0</v>
      </c>
      <c r="D89" s="57">
        <f>CRM_MAGDY!V89</f>
        <v>0.25</v>
      </c>
      <c r="E89" s="57" t="str">
        <f>IF(CRM_MAGDY!G89="","BRAK TELEFONU",IF(CRM_MAGDY!K89="","BRAK KWOTY",IF(CRM_MAGDY!N89="","BRAK STATUSU",IF(CRM_MAGDY!C89="","BRAK DATY AKCJI",""))))</f>
        <v>BRAK TELEFONU</v>
      </c>
      <c r="F89" s="57" t="str">
        <f>CRM_MAGDY!W89</f>
        <v>BRAKI CRM</v>
      </c>
      <c r="G89" s="57">
        <f>CRM_MAGDY!K89</f>
        <v>23000</v>
      </c>
      <c r="H89" s="57" t="str">
        <f>CRM_MAGDY!N89</f>
        <v>PRZEGRANA</v>
      </c>
    </row>
    <row r="90" spans="1:8" ht="30" x14ac:dyDescent="0.25">
      <c r="A90" s="57">
        <f>CRM_MAGDY!H90</f>
        <v>5528</v>
      </c>
      <c r="B90" s="57" t="str">
        <f>CRM_MAGDY!I90</f>
        <v>Magda K</v>
      </c>
      <c r="C90" s="57">
        <f>CRM_MAGDY!E90</f>
        <v>0</v>
      </c>
      <c r="D90" s="57">
        <f>CRM_MAGDY!V90</f>
        <v>0</v>
      </c>
      <c r="E90" s="57" t="str">
        <f>IF(CRM_MAGDY!G90="","BRAK TELEFONU",IF(CRM_MAGDY!K90="","BRAK KWOTY",IF(CRM_MAGDY!N90="","BRAK STATUSU",IF(CRM_MAGDY!C90="","BRAK DATY AKCJI",""))))</f>
        <v>BRAK TELEFONU</v>
      </c>
      <c r="F90" s="57" t="str">
        <f>CRM_MAGDY!W90</f>
        <v>BRAKI CRM</v>
      </c>
      <c r="G90" s="57">
        <f>CRM_MAGDY!K90</f>
        <v>15000</v>
      </c>
      <c r="H90" s="57">
        <f>CRM_MAGDY!N90</f>
        <v>0</v>
      </c>
    </row>
    <row r="91" spans="1:8" ht="30" x14ac:dyDescent="0.25">
      <c r="A91" s="57">
        <f>CRM_MAGDY!H91</f>
        <v>5529</v>
      </c>
      <c r="B91" s="57" t="str">
        <f>CRM_MAGDY!I91</f>
        <v>Magda K</v>
      </c>
      <c r="C91" s="57">
        <f>CRM_MAGDY!E91</f>
        <v>0</v>
      </c>
      <c r="D91" s="57">
        <f>CRM_MAGDY!V91</f>
        <v>0</v>
      </c>
      <c r="E91" s="57" t="str">
        <f>IF(CRM_MAGDY!G91="","BRAK TELEFONU",IF(CRM_MAGDY!K91="","BRAK KWOTY",IF(CRM_MAGDY!N91="","BRAK STATUSU",IF(CRM_MAGDY!C91="","BRAK DATY AKCJI",""))))</f>
        <v>BRAK TELEFONU</v>
      </c>
      <c r="F91" s="57" t="str">
        <f>CRM_MAGDY!W91</f>
        <v>BRAKI CRM</v>
      </c>
      <c r="G91" s="57">
        <f>CRM_MAGDY!K91</f>
        <v>23000</v>
      </c>
      <c r="H91" s="57">
        <f>CRM_MAGDY!N91</f>
        <v>0</v>
      </c>
    </row>
    <row r="92" spans="1:8" ht="30" x14ac:dyDescent="0.25">
      <c r="A92" s="57">
        <f>CRM_MAGDY!H92</f>
        <v>5530</v>
      </c>
      <c r="B92" s="57" t="str">
        <f>CRM_MAGDY!I92</f>
        <v>Magda K</v>
      </c>
      <c r="C92" s="57">
        <f>CRM_MAGDY!E92</f>
        <v>0</v>
      </c>
      <c r="D92" s="57">
        <f>CRM_MAGDY!V92</f>
        <v>0</v>
      </c>
      <c r="E92" s="57" t="str">
        <f>IF(CRM_MAGDY!G92="","BRAK TELEFONU",IF(CRM_MAGDY!K92="","BRAK KWOTY",IF(CRM_MAGDY!N92="","BRAK STATUSU",IF(CRM_MAGDY!C92="","BRAK DATY AKCJI",""))))</f>
        <v>BRAK TELEFONU</v>
      </c>
      <c r="F92" s="57" t="str">
        <f>CRM_MAGDY!W92</f>
        <v>BRAKI CRM</v>
      </c>
      <c r="G92" s="57">
        <f>CRM_MAGDY!K92</f>
        <v>24000</v>
      </c>
      <c r="H92" s="57">
        <f>CRM_MAGDY!N92</f>
        <v>0</v>
      </c>
    </row>
    <row r="93" spans="1:8" ht="30" x14ac:dyDescent="0.25">
      <c r="A93" s="57">
        <f>CRM_MAGDY!H93</f>
        <v>5531</v>
      </c>
      <c r="B93" s="57" t="str">
        <f>CRM_MAGDY!I93</f>
        <v>Magda K</v>
      </c>
      <c r="C93" s="57">
        <f>CRM_MAGDY!E93</f>
        <v>0</v>
      </c>
      <c r="D93" s="57">
        <f>CRM_MAGDY!V93</f>
        <v>0</v>
      </c>
      <c r="E93" s="57" t="str">
        <f>IF(CRM_MAGDY!G93="","BRAK TELEFONU",IF(CRM_MAGDY!K93="","BRAK KWOTY",IF(CRM_MAGDY!N93="","BRAK STATUSU",IF(CRM_MAGDY!C93="","BRAK DATY AKCJI",""))))</f>
        <v>BRAK TELEFONU</v>
      </c>
      <c r="F93" s="57" t="str">
        <f>CRM_MAGDY!W93</f>
        <v>BRAKI CRM</v>
      </c>
      <c r="G93" s="57">
        <f>CRM_MAGDY!K93</f>
        <v>20000</v>
      </c>
      <c r="H93" s="57">
        <f>CRM_MAGDY!N93</f>
        <v>0</v>
      </c>
    </row>
    <row r="94" spans="1:8" ht="30" x14ac:dyDescent="0.25">
      <c r="A94" s="57">
        <f>CRM_MAGDY!H94</f>
        <v>5532</v>
      </c>
      <c r="B94" s="57" t="str">
        <f>CRM_MAGDY!I94</f>
        <v>Magda K</v>
      </c>
      <c r="C94" s="57">
        <f>CRM_MAGDY!E94</f>
        <v>0</v>
      </c>
      <c r="D94" s="57">
        <f>CRM_MAGDY!V94</f>
        <v>0</v>
      </c>
      <c r="E94" s="57" t="str">
        <f>IF(CRM_MAGDY!G94="","BRAK TELEFONU",IF(CRM_MAGDY!K94="","BRAK KWOTY",IF(CRM_MAGDY!N94="","BRAK STATUSU",IF(CRM_MAGDY!C94="","BRAK DATY AKCJI",""))))</f>
        <v>BRAK TELEFONU</v>
      </c>
      <c r="F94" s="57" t="str">
        <f>CRM_MAGDY!W94</f>
        <v>BRAKI CRM</v>
      </c>
      <c r="G94" s="57">
        <f>CRM_MAGDY!K94</f>
        <v>32000</v>
      </c>
      <c r="H94" s="57">
        <f>CRM_MAGDY!N94</f>
        <v>0</v>
      </c>
    </row>
    <row r="95" spans="1:8" ht="30" x14ac:dyDescent="0.25">
      <c r="A95" s="57">
        <f>CRM_MAGDY!H95</f>
        <v>5533</v>
      </c>
      <c r="B95" s="57" t="str">
        <f>CRM_MAGDY!I95</f>
        <v>Magda K</v>
      </c>
      <c r="C95" s="57">
        <f>CRM_MAGDY!E95</f>
        <v>0</v>
      </c>
      <c r="D95" s="57">
        <f>CRM_MAGDY!V95</f>
        <v>0.5</v>
      </c>
      <c r="E95" s="57" t="str">
        <f>IF(CRM_MAGDY!G95="","BRAK TELEFONU",IF(CRM_MAGDY!K95="","BRAK KWOTY",IF(CRM_MAGDY!N95="","BRAK STATUSU",IF(CRM_MAGDY!C95="","BRAK DATY AKCJI",""))))</f>
        <v>BRAK TELEFONU</v>
      </c>
      <c r="F95" s="57" t="str">
        <f>CRM_MAGDY!W95</f>
        <v>BRAKI CRM</v>
      </c>
      <c r="G95" s="57">
        <f>CRM_MAGDY!K95</f>
        <v>23000</v>
      </c>
      <c r="H95" s="57" t="str">
        <f>CRM_MAGDY!N95</f>
        <v>WYGRANA</v>
      </c>
    </row>
    <row r="96" spans="1:8" ht="30" x14ac:dyDescent="0.25">
      <c r="A96" s="57">
        <f>CRM_MAGDY!H96</f>
        <v>5534</v>
      </c>
      <c r="B96" s="57" t="str">
        <f>CRM_MAGDY!I96</f>
        <v>Magda B</v>
      </c>
      <c r="C96" s="57">
        <f>CRM_MAGDY!E96</f>
        <v>0</v>
      </c>
      <c r="D96" s="57">
        <f>CRM_MAGDY!V96</f>
        <v>0</v>
      </c>
      <c r="E96" s="57" t="str">
        <f>IF(CRM_MAGDY!G96="","BRAK TELEFONU",IF(CRM_MAGDY!K96="","BRAK KWOTY",IF(CRM_MAGDY!N96="","BRAK STATUSU",IF(CRM_MAGDY!C96="","BRAK DATY AKCJI",""))))</f>
        <v>BRAK TELEFONU</v>
      </c>
      <c r="F96" s="57" t="str">
        <f>CRM_MAGDY!W96</f>
        <v>BRAKI CRM</v>
      </c>
      <c r="G96" s="57">
        <f>CRM_MAGDY!K96</f>
        <v>0</v>
      </c>
      <c r="H96" s="57">
        <f>CRM_MAGDY!N96</f>
        <v>0</v>
      </c>
    </row>
    <row r="97" spans="1:8" ht="30" x14ac:dyDescent="0.25">
      <c r="A97" s="57">
        <f>CRM_MAGDY!H97</f>
        <v>5535</v>
      </c>
      <c r="B97" s="57" t="str">
        <f>CRM_MAGDY!I97</f>
        <v>Magda K</v>
      </c>
      <c r="C97" s="57">
        <f>CRM_MAGDY!E97</f>
        <v>0</v>
      </c>
      <c r="D97" s="57">
        <f>CRM_MAGDY!V97</f>
        <v>0</v>
      </c>
      <c r="E97" s="57" t="str">
        <f>IF(CRM_MAGDY!G97="","BRAK TELEFONU",IF(CRM_MAGDY!K97="","BRAK KWOTY",IF(CRM_MAGDY!N97="","BRAK STATUSU",IF(CRM_MAGDY!C97="","BRAK DATY AKCJI",""))))</f>
        <v>BRAK TELEFONU</v>
      </c>
      <c r="F97" s="57" t="str">
        <f>CRM_MAGDY!W97</f>
        <v>BRAKI CRM</v>
      </c>
      <c r="G97" s="57">
        <f>CRM_MAGDY!K97</f>
        <v>90000</v>
      </c>
      <c r="H97" s="57">
        <f>CRM_MAGDY!N97</f>
        <v>0</v>
      </c>
    </row>
    <row r="98" spans="1:8" ht="30" x14ac:dyDescent="0.25">
      <c r="A98" s="57">
        <f>CRM_MAGDY!H98</f>
        <v>5536</v>
      </c>
      <c r="B98" s="57" t="str">
        <f>CRM_MAGDY!I98</f>
        <v>Magda K</v>
      </c>
      <c r="C98" s="57">
        <f>CRM_MAGDY!E98</f>
        <v>0</v>
      </c>
      <c r="D98" s="57">
        <f>CRM_MAGDY!V98</f>
        <v>0</v>
      </c>
      <c r="E98" s="57" t="str">
        <f>IF(CRM_MAGDY!G98="","BRAK TELEFONU",IF(CRM_MAGDY!K98="","BRAK KWOTY",IF(CRM_MAGDY!N98="","BRAK STATUSU",IF(CRM_MAGDY!C98="","BRAK DATY AKCJI",""))))</f>
        <v>BRAK TELEFONU</v>
      </c>
      <c r="F98" s="57" t="str">
        <f>CRM_MAGDY!W98</f>
        <v>BRAKI CRM</v>
      </c>
      <c r="G98" s="57">
        <f>CRM_MAGDY!K98</f>
        <v>0</v>
      </c>
      <c r="H98" s="57">
        <f>CRM_MAGDY!N98</f>
        <v>0</v>
      </c>
    </row>
    <row r="99" spans="1:8" ht="30" x14ac:dyDescent="0.25">
      <c r="A99" s="57">
        <f>CRM_MAGDY!H99</f>
        <v>5537</v>
      </c>
      <c r="B99" s="57" t="str">
        <f>CRM_MAGDY!I99</f>
        <v>Magda K</v>
      </c>
      <c r="C99" s="57">
        <f>CRM_MAGDY!E99</f>
        <v>0</v>
      </c>
      <c r="D99" s="57">
        <f>CRM_MAGDY!V99</f>
        <v>0</v>
      </c>
      <c r="E99" s="57" t="str">
        <f>IF(CRM_MAGDY!G99="","BRAK TELEFONU",IF(CRM_MAGDY!K99="","BRAK KWOTY",IF(CRM_MAGDY!N99="","BRAK STATUSU",IF(CRM_MAGDY!C99="","BRAK DATY AKCJI",""))))</f>
        <v>BRAK TELEFONU</v>
      </c>
      <c r="F99" s="57" t="str">
        <f>CRM_MAGDY!W99</f>
        <v>BRAKI CRM</v>
      </c>
      <c r="G99" s="57">
        <f>CRM_MAGDY!K99</f>
        <v>0</v>
      </c>
      <c r="H99" s="57">
        <f>CRM_MAGDY!N99</f>
        <v>0</v>
      </c>
    </row>
    <row r="100" spans="1:8" ht="30" x14ac:dyDescent="0.25">
      <c r="A100" s="57">
        <f>CRM_MAGDY!H100</f>
        <v>5538</v>
      </c>
      <c r="B100" s="57" t="str">
        <f>CRM_MAGDY!I100</f>
        <v>Magda K</v>
      </c>
      <c r="C100" s="57">
        <f>CRM_MAGDY!E100</f>
        <v>0</v>
      </c>
      <c r="D100" s="57">
        <f>CRM_MAGDY!V100</f>
        <v>0</v>
      </c>
      <c r="E100" s="57" t="str">
        <f>IF(CRM_MAGDY!G100="","BRAK TELEFONU",IF(CRM_MAGDY!K100="","BRAK KWOTY",IF(CRM_MAGDY!N100="","BRAK STATUSU",IF(CRM_MAGDY!C100="","BRAK DATY AKCJI",""))))</f>
        <v>BRAK TELEFONU</v>
      </c>
      <c r="F100" s="57" t="str">
        <f>CRM_MAGDY!W100</f>
        <v>BRAKI CRM</v>
      </c>
      <c r="G100" s="57">
        <f>CRM_MAGDY!K100</f>
        <v>30000</v>
      </c>
      <c r="H100" s="57">
        <f>CRM_MAGDY!N100</f>
        <v>0</v>
      </c>
    </row>
    <row r="101" spans="1:8" ht="30" x14ac:dyDescent="0.25">
      <c r="A101" s="57">
        <f>CRM_MAGDY!H101</f>
        <v>5539</v>
      </c>
      <c r="B101" s="57" t="str">
        <f>CRM_MAGDY!I101</f>
        <v>Magda K</v>
      </c>
      <c r="C101" s="57">
        <f>CRM_MAGDY!E101</f>
        <v>0</v>
      </c>
      <c r="D101" s="57">
        <f>CRM_MAGDY!V101</f>
        <v>0</v>
      </c>
      <c r="E101" s="57" t="str">
        <f>IF(CRM_MAGDY!G101="","BRAK TELEFONU",IF(CRM_MAGDY!K101="","BRAK KWOTY",IF(CRM_MAGDY!N101="","BRAK STATUSU",IF(CRM_MAGDY!C101="","BRAK DATY AKCJI",""))))</f>
        <v>BRAK TELEFONU</v>
      </c>
      <c r="F101" s="57" t="str">
        <f>CRM_MAGDY!W101</f>
        <v>BRAKI CRM</v>
      </c>
      <c r="G101" s="57">
        <f>CRM_MAGDY!K101</f>
        <v>41000</v>
      </c>
      <c r="H101" s="57">
        <f>CRM_MAGDY!N101</f>
        <v>0</v>
      </c>
    </row>
    <row r="102" spans="1:8" ht="30" x14ac:dyDescent="0.25">
      <c r="A102" s="57">
        <f>CRM_MAGDY!H102</f>
        <v>5540</v>
      </c>
      <c r="B102" s="57" t="str">
        <f>CRM_MAGDY!I102</f>
        <v>Magda K</v>
      </c>
      <c r="C102" s="57">
        <f>CRM_MAGDY!E102</f>
        <v>0</v>
      </c>
      <c r="D102" s="57">
        <f>CRM_MAGDY!V102</f>
        <v>0</v>
      </c>
      <c r="E102" s="57" t="str">
        <f>IF(CRM_MAGDY!G102="","BRAK TELEFONU",IF(CRM_MAGDY!K102="","BRAK KWOTY",IF(CRM_MAGDY!N102="","BRAK STATUSU",IF(CRM_MAGDY!C102="","BRAK DATY AKCJI",""))))</f>
        <v>BRAK TELEFONU</v>
      </c>
      <c r="F102" s="57" t="str">
        <f>CRM_MAGDY!W102</f>
        <v>BRAKI CRM</v>
      </c>
      <c r="G102" s="57">
        <f>CRM_MAGDY!K102</f>
        <v>17000</v>
      </c>
      <c r="H102" s="57">
        <f>CRM_MAGDY!N102</f>
        <v>0</v>
      </c>
    </row>
    <row r="103" spans="1:8" ht="30" x14ac:dyDescent="0.25">
      <c r="A103" s="57">
        <f>CRM_MAGDY!H103</f>
        <v>5541</v>
      </c>
      <c r="B103" s="57" t="str">
        <f>CRM_MAGDY!I103</f>
        <v>Magda K</v>
      </c>
      <c r="C103" s="57">
        <f>CRM_MAGDY!E103</f>
        <v>0</v>
      </c>
      <c r="D103" s="57">
        <f>CRM_MAGDY!V103</f>
        <v>0</v>
      </c>
      <c r="E103" s="57" t="str">
        <f>IF(CRM_MAGDY!G103="","BRAK TELEFONU",IF(CRM_MAGDY!K103="","BRAK KWOTY",IF(CRM_MAGDY!N103="","BRAK STATUSU",IF(CRM_MAGDY!C103="","BRAK DATY AKCJI",""))))</f>
        <v>BRAK TELEFONU</v>
      </c>
      <c r="F103" s="57" t="str">
        <f>CRM_MAGDY!W103</f>
        <v>BRAKI CRM</v>
      </c>
      <c r="G103" s="57">
        <f>CRM_MAGDY!K103</f>
        <v>25000</v>
      </c>
      <c r="H103" s="57">
        <f>CRM_MAGDY!N103</f>
        <v>0</v>
      </c>
    </row>
    <row r="104" spans="1:8" ht="30" x14ac:dyDescent="0.25">
      <c r="A104" s="57">
        <f>CRM_MAGDY!H104</f>
        <v>5543</v>
      </c>
      <c r="B104" s="57" t="str">
        <f>CRM_MAGDY!I104</f>
        <v>Magda B</v>
      </c>
      <c r="C104" s="57">
        <f>CRM_MAGDY!E104</f>
        <v>0</v>
      </c>
      <c r="D104" s="57">
        <f>CRM_MAGDY!V104</f>
        <v>0</v>
      </c>
      <c r="E104" s="57" t="str">
        <f>IF(CRM_MAGDY!G104="","BRAK TELEFONU",IF(CRM_MAGDY!K104="","BRAK KWOTY",IF(CRM_MAGDY!N104="","BRAK STATUSU",IF(CRM_MAGDY!C104="","BRAK DATY AKCJI",""))))</f>
        <v>BRAK TELEFONU</v>
      </c>
      <c r="F104" s="57" t="str">
        <f>CRM_MAGDY!W104</f>
        <v>BRAKI CRM</v>
      </c>
      <c r="G104" s="57">
        <f>CRM_MAGDY!K104</f>
        <v>22000</v>
      </c>
      <c r="H104" s="57">
        <f>CRM_MAGDY!N104</f>
        <v>0</v>
      </c>
    </row>
    <row r="105" spans="1:8" ht="30" x14ac:dyDescent="0.25">
      <c r="A105" s="57">
        <f>CRM_MAGDY!H105</f>
        <v>5544</v>
      </c>
      <c r="B105" s="57" t="str">
        <f>CRM_MAGDY!I105</f>
        <v>Magda B</v>
      </c>
      <c r="C105" s="57">
        <f>CRM_MAGDY!E105</f>
        <v>0</v>
      </c>
      <c r="D105" s="57">
        <f>CRM_MAGDY!V105</f>
        <v>0</v>
      </c>
      <c r="E105" s="57" t="str">
        <f>IF(CRM_MAGDY!G105="","BRAK TELEFONU",IF(CRM_MAGDY!K105="","BRAK KWOTY",IF(CRM_MAGDY!N105="","BRAK STATUSU",IF(CRM_MAGDY!C105="","BRAK DATY AKCJI",""))))</f>
        <v>BRAK TELEFONU</v>
      </c>
      <c r="F105" s="57" t="str">
        <f>CRM_MAGDY!W105</f>
        <v>BRAKI CRM</v>
      </c>
      <c r="G105" s="57">
        <f>CRM_MAGDY!K105</f>
        <v>0</v>
      </c>
      <c r="H105" s="57">
        <f>CRM_MAGDY!N105</f>
        <v>0</v>
      </c>
    </row>
    <row r="106" spans="1:8" ht="30" x14ac:dyDescent="0.25">
      <c r="A106" s="57">
        <f>CRM_MAGDY!H106</f>
        <v>5545</v>
      </c>
      <c r="B106" s="57" t="str">
        <f>CRM_MAGDY!I106</f>
        <v>Magda K</v>
      </c>
      <c r="C106" s="57">
        <f>CRM_MAGDY!E106</f>
        <v>0</v>
      </c>
      <c r="D106" s="57">
        <f>CRM_MAGDY!V106</f>
        <v>0</v>
      </c>
      <c r="E106" s="57" t="str">
        <f>IF(CRM_MAGDY!G106="","BRAK TELEFONU",IF(CRM_MAGDY!K106="","BRAK KWOTY",IF(CRM_MAGDY!N106="","BRAK STATUSU",IF(CRM_MAGDY!C106="","BRAK DATY AKCJI",""))))</f>
        <v>BRAK TELEFONU</v>
      </c>
      <c r="F106" s="57" t="str">
        <f>CRM_MAGDY!W106</f>
        <v>BRAKI CRM</v>
      </c>
      <c r="G106" s="57">
        <f>CRM_MAGDY!K106</f>
        <v>0</v>
      </c>
      <c r="H106" s="57">
        <f>CRM_MAGDY!N106</f>
        <v>0</v>
      </c>
    </row>
    <row r="107" spans="1:8" ht="30" x14ac:dyDescent="0.25">
      <c r="A107" s="57">
        <f>CRM_MAGDY!H107</f>
        <v>5546</v>
      </c>
      <c r="B107" s="57" t="str">
        <f>CRM_MAGDY!I107</f>
        <v>Magda B</v>
      </c>
      <c r="C107" s="57">
        <f>CRM_MAGDY!E107</f>
        <v>0</v>
      </c>
      <c r="D107" s="57">
        <f>CRM_MAGDY!V107</f>
        <v>0.5</v>
      </c>
      <c r="E107" s="57" t="str">
        <f>IF(CRM_MAGDY!G107="","BRAK TELEFONU",IF(CRM_MAGDY!K107="","BRAK KWOTY",IF(CRM_MAGDY!N107="","BRAK STATUSU",IF(CRM_MAGDY!C107="","BRAK DATY AKCJI",""))))</f>
        <v>BRAK TELEFONU</v>
      </c>
      <c r="F107" s="57" t="str">
        <f>CRM_MAGDY!W107</f>
        <v>BRAKI CRM</v>
      </c>
      <c r="G107" s="57">
        <f>CRM_MAGDY!K107</f>
        <v>23000</v>
      </c>
      <c r="H107" s="57" t="str">
        <f>CRM_MAGDY!N107</f>
        <v>WYGRANA</v>
      </c>
    </row>
    <row r="108" spans="1:8" ht="30" x14ac:dyDescent="0.25">
      <c r="A108" s="57">
        <f>CRM_MAGDY!H108</f>
        <v>5547</v>
      </c>
      <c r="B108" s="57" t="str">
        <f>CRM_MAGDY!I108</f>
        <v>Magda K</v>
      </c>
      <c r="C108" s="57">
        <f>CRM_MAGDY!E108</f>
        <v>0</v>
      </c>
      <c r="D108" s="57">
        <f>CRM_MAGDY!V108</f>
        <v>0</v>
      </c>
      <c r="E108" s="57" t="str">
        <f>IF(CRM_MAGDY!G108="","BRAK TELEFONU",IF(CRM_MAGDY!K108="","BRAK KWOTY",IF(CRM_MAGDY!N108="","BRAK STATUSU",IF(CRM_MAGDY!C108="","BRAK DATY AKCJI",""))))</f>
        <v>BRAK TELEFONU</v>
      </c>
      <c r="F108" s="57" t="str">
        <f>CRM_MAGDY!W108</f>
        <v>BRAKI CRM</v>
      </c>
      <c r="G108" s="57">
        <f>CRM_MAGDY!K108</f>
        <v>0</v>
      </c>
      <c r="H108" s="57">
        <f>CRM_MAGDY!N108</f>
        <v>0</v>
      </c>
    </row>
    <row r="109" spans="1:8" ht="30" x14ac:dyDescent="0.25">
      <c r="A109" s="57">
        <f>CRM_MAGDY!H109</f>
        <v>5548</v>
      </c>
      <c r="B109" s="57" t="str">
        <f>CRM_MAGDY!I109</f>
        <v>Magda K</v>
      </c>
      <c r="C109" s="57">
        <f>CRM_MAGDY!E109</f>
        <v>0</v>
      </c>
      <c r="D109" s="57">
        <f>CRM_MAGDY!V109</f>
        <v>0</v>
      </c>
      <c r="E109" s="57" t="str">
        <f>IF(CRM_MAGDY!G109="","BRAK TELEFONU",IF(CRM_MAGDY!K109="","BRAK KWOTY",IF(CRM_MAGDY!N109="","BRAK STATUSU",IF(CRM_MAGDY!C109="","BRAK DATY AKCJI",""))))</f>
        <v>BRAK TELEFONU</v>
      </c>
      <c r="F109" s="57" t="str">
        <f>CRM_MAGDY!W109</f>
        <v>BRAKI CRM</v>
      </c>
      <c r="G109" s="57">
        <f>CRM_MAGDY!K109</f>
        <v>0</v>
      </c>
      <c r="H109" s="57">
        <f>CRM_MAGDY!N109</f>
        <v>0</v>
      </c>
    </row>
    <row r="110" spans="1:8" ht="30" x14ac:dyDescent="0.25">
      <c r="A110" s="57">
        <f>CRM_MAGDY!H110</f>
        <v>5549</v>
      </c>
      <c r="B110" s="57" t="str">
        <f>CRM_MAGDY!I110</f>
        <v>Magda K</v>
      </c>
      <c r="C110" s="57">
        <f>CRM_MAGDY!E110</f>
        <v>0</v>
      </c>
      <c r="D110" s="57">
        <f>CRM_MAGDY!V110</f>
        <v>0</v>
      </c>
      <c r="E110" s="57" t="str">
        <f>IF(CRM_MAGDY!G110="","BRAK TELEFONU",IF(CRM_MAGDY!K110="","BRAK KWOTY",IF(CRM_MAGDY!N110="","BRAK STATUSU",IF(CRM_MAGDY!C110="","BRAK DATY AKCJI",""))))</f>
        <v>BRAK TELEFONU</v>
      </c>
      <c r="F110" s="57" t="str">
        <f>CRM_MAGDY!W110</f>
        <v>BRAKI CRM</v>
      </c>
      <c r="G110" s="57">
        <f>CRM_MAGDY!K110</f>
        <v>31000</v>
      </c>
      <c r="H110" s="57">
        <f>CRM_MAGDY!N110</f>
        <v>0</v>
      </c>
    </row>
    <row r="111" spans="1:8" ht="30" x14ac:dyDescent="0.25">
      <c r="A111" s="57">
        <f>CRM_MAGDY!H111</f>
        <v>5550</v>
      </c>
      <c r="B111" s="57" t="str">
        <f>CRM_MAGDY!I111</f>
        <v>Magda B</v>
      </c>
      <c r="C111" s="57">
        <f>CRM_MAGDY!E111</f>
        <v>0</v>
      </c>
      <c r="D111" s="57">
        <f>CRM_MAGDY!V111</f>
        <v>0</v>
      </c>
      <c r="E111" s="57" t="str">
        <f>IF(CRM_MAGDY!G111="","BRAK TELEFONU",IF(CRM_MAGDY!K111="","BRAK KWOTY",IF(CRM_MAGDY!N111="","BRAK STATUSU",IF(CRM_MAGDY!C111="","BRAK DATY AKCJI",""))))</f>
        <v>BRAK TELEFONU</v>
      </c>
      <c r="F111" s="57" t="str">
        <f>CRM_MAGDY!W111</f>
        <v>BRAKI CRM</v>
      </c>
      <c r="G111" s="57">
        <f>CRM_MAGDY!K111</f>
        <v>25000</v>
      </c>
      <c r="H111" s="57">
        <f>CRM_MAGDY!N111</f>
        <v>0</v>
      </c>
    </row>
    <row r="112" spans="1:8" ht="30" x14ac:dyDescent="0.25">
      <c r="A112" s="57">
        <f>CRM_MAGDY!H112</f>
        <v>5551</v>
      </c>
      <c r="B112" s="57" t="str">
        <f>CRM_MAGDY!I112</f>
        <v>Magda K</v>
      </c>
      <c r="C112" s="57">
        <f>CRM_MAGDY!E112</f>
        <v>0</v>
      </c>
      <c r="D112" s="57">
        <f>CRM_MAGDY!V112</f>
        <v>0</v>
      </c>
      <c r="E112" s="57" t="str">
        <f>IF(CRM_MAGDY!G112="","BRAK TELEFONU",IF(CRM_MAGDY!K112="","BRAK KWOTY",IF(CRM_MAGDY!N112="","BRAK STATUSU",IF(CRM_MAGDY!C112="","BRAK DATY AKCJI",""))))</f>
        <v>BRAK TELEFONU</v>
      </c>
      <c r="F112" s="57" t="str">
        <f>CRM_MAGDY!W112</f>
        <v>BRAKI CRM</v>
      </c>
      <c r="G112" s="57">
        <f>CRM_MAGDY!K112</f>
        <v>32000</v>
      </c>
      <c r="H112" s="57">
        <f>CRM_MAGDY!N112</f>
        <v>0</v>
      </c>
    </row>
    <row r="113" spans="1:8" ht="30" x14ac:dyDescent="0.25">
      <c r="A113" s="57">
        <f>CRM_MAGDY!H113</f>
        <v>5552</v>
      </c>
      <c r="B113" s="57" t="str">
        <f>CRM_MAGDY!I113</f>
        <v>Magda K</v>
      </c>
      <c r="C113" s="57">
        <f>CRM_MAGDY!E113</f>
        <v>0</v>
      </c>
      <c r="D113" s="57">
        <f>CRM_MAGDY!V113</f>
        <v>0</v>
      </c>
      <c r="E113" s="57" t="str">
        <f>IF(CRM_MAGDY!G113="","BRAK TELEFONU",IF(CRM_MAGDY!K113="","BRAK KWOTY",IF(CRM_MAGDY!N113="","BRAK STATUSU",IF(CRM_MAGDY!C113="","BRAK DATY AKCJI",""))))</f>
        <v>BRAK TELEFONU</v>
      </c>
      <c r="F113" s="57" t="str">
        <f>CRM_MAGDY!W113</f>
        <v>BRAKI CRM</v>
      </c>
      <c r="G113" s="57">
        <f>CRM_MAGDY!K113</f>
        <v>16000</v>
      </c>
      <c r="H113" s="57">
        <f>CRM_MAGDY!N113</f>
        <v>0</v>
      </c>
    </row>
    <row r="114" spans="1:8" ht="30" x14ac:dyDescent="0.25">
      <c r="A114" s="57">
        <f>CRM_MAGDY!H114</f>
        <v>5553</v>
      </c>
      <c r="B114" s="57" t="str">
        <f>CRM_MAGDY!I114</f>
        <v>Magda K</v>
      </c>
      <c r="C114" s="57">
        <f>CRM_MAGDY!E114</f>
        <v>0</v>
      </c>
      <c r="D114" s="57">
        <f>CRM_MAGDY!V114</f>
        <v>0</v>
      </c>
      <c r="E114" s="57" t="str">
        <f>IF(CRM_MAGDY!G114="","BRAK TELEFONU",IF(CRM_MAGDY!K114="","BRAK KWOTY",IF(CRM_MAGDY!N114="","BRAK STATUSU",IF(CRM_MAGDY!C114="","BRAK DATY AKCJI",""))))</f>
        <v>BRAK TELEFONU</v>
      </c>
      <c r="F114" s="57" t="str">
        <f>CRM_MAGDY!W114</f>
        <v>BRAKI CRM</v>
      </c>
      <c r="G114" s="57">
        <f>CRM_MAGDY!K114</f>
        <v>23000</v>
      </c>
      <c r="H114" s="57">
        <f>CRM_MAGDY!N114</f>
        <v>0</v>
      </c>
    </row>
    <row r="115" spans="1:8" ht="30" x14ac:dyDescent="0.25">
      <c r="A115" s="57">
        <f>CRM_MAGDY!H115</f>
        <v>5554</v>
      </c>
      <c r="B115" s="57" t="str">
        <f>CRM_MAGDY!I115</f>
        <v>Magda K</v>
      </c>
      <c r="C115" s="57">
        <f>CRM_MAGDY!E115</f>
        <v>0</v>
      </c>
      <c r="D115" s="57">
        <f>CRM_MAGDY!V115</f>
        <v>0</v>
      </c>
      <c r="E115" s="57" t="str">
        <f>IF(CRM_MAGDY!G115="","BRAK TELEFONU",IF(CRM_MAGDY!K115="","BRAK KWOTY",IF(CRM_MAGDY!N115="","BRAK STATUSU",IF(CRM_MAGDY!C115="","BRAK DATY AKCJI",""))))</f>
        <v>BRAK TELEFONU</v>
      </c>
      <c r="F115" s="57" t="str">
        <f>CRM_MAGDY!W115</f>
        <v>BRAKI CRM</v>
      </c>
      <c r="G115" s="57">
        <f>CRM_MAGDY!K115</f>
        <v>0</v>
      </c>
      <c r="H115" s="57">
        <f>CRM_MAGDY!N115</f>
        <v>0</v>
      </c>
    </row>
    <row r="116" spans="1:8" ht="30" x14ac:dyDescent="0.25">
      <c r="A116" s="57">
        <f>CRM_MAGDY!H116</f>
        <v>5555</v>
      </c>
      <c r="B116" s="57" t="str">
        <f>CRM_MAGDY!I116</f>
        <v>Magda B</v>
      </c>
      <c r="C116" s="57">
        <f>CRM_MAGDY!E116</f>
        <v>0</v>
      </c>
      <c r="D116" s="57">
        <f>CRM_MAGDY!V116</f>
        <v>0</v>
      </c>
      <c r="E116" s="57" t="str">
        <f>IF(CRM_MAGDY!G116="","BRAK TELEFONU",IF(CRM_MAGDY!K116="","BRAK KWOTY",IF(CRM_MAGDY!N116="","BRAK STATUSU",IF(CRM_MAGDY!C116="","BRAK DATY AKCJI",""))))</f>
        <v>BRAK TELEFONU</v>
      </c>
      <c r="F116" s="57" t="str">
        <f>CRM_MAGDY!W116</f>
        <v>BRAKI CRM</v>
      </c>
      <c r="G116" s="57">
        <f>CRM_MAGDY!K116</f>
        <v>25000</v>
      </c>
      <c r="H116" s="57">
        <f>CRM_MAGDY!N116</f>
        <v>0</v>
      </c>
    </row>
    <row r="117" spans="1:8" ht="30" x14ac:dyDescent="0.25">
      <c r="A117" s="57">
        <f>CRM_MAGDY!H117</f>
        <v>5556</v>
      </c>
      <c r="B117" s="57" t="str">
        <f>CRM_MAGDY!I117</f>
        <v>Magda B</v>
      </c>
      <c r="C117" s="57">
        <f>CRM_MAGDY!E117</f>
        <v>0</v>
      </c>
      <c r="D117" s="57">
        <f>CRM_MAGDY!V117</f>
        <v>0</v>
      </c>
      <c r="E117" s="57" t="str">
        <f>IF(CRM_MAGDY!G117="","BRAK TELEFONU",IF(CRM_MAGDY!K117="","BRAK KWOTY",IF(CRM_MAGDY!N117="","BRAK STATUSU",IF(CRM_MAGDY!C117="","BRAK DATY AKCJI",""))))</f>
        <v>BRAK TELEFONU</v>
      </c>
      <c r="F117" s="57" t="str">
        <f>CRM_MAGDY!W117</f>
        <v>BRAKI CRM</v>
      </c>
      <c r="G117" s="57">
        <f>CRM_MAGDY!K117</f>
        <v>25000</v>
      </c>
      <c r="H117" s="57">
        <f>CRM_MAGDY!N117</f>
        <v>0</v>
      </c>
    </row>
    <row r="118" spans="1:8" ht="30" x14ac:dyDescent="0.25">
      <c r="A118" s="57">
        <f>CRM_MAGDY!H118</f>
        <v>5557</v>
      </c>
      <c r="B118" s="57" t="str">
        <f>CRM_MAGDY!I118</f>
        <v>Magda K</v>
      </c>
      <c r="C118" s="57">
        <f>CRM_MAGDY!E118</f>
        <v>0</v>
      </c>
      <c r="D118" s="57">
        <f>CRM_MAGDY!V118</f>
        <v>0</v>
      </c>
      <c r="E118" s="57" t="str">
        <f>IF(CRM_MAGDY!G118="","BRAK TELEFONU",IF(CRM_MAGDY!K118="","BRAK KWOTY",IF(CRM_MAGDY!N118="","BRAK STATUSU",IF(CRM_MAGDY!C118="","BRAK DATY AKCJI",""))))</f>
        <v>BRAK TELEFONU</v>
      </c>
      <c r="F118" s="57" t="str">
        <f>CRM_MAGDY!W118</f>
        <v>BRAKI CRM</v>
      </c>
      <c r="G118" s="57">
        <f>CRM_MAGDY!K118</f>
        <v>51200</v>
      </c>
      <c r="H118" s="57">
        <f>CRM_MAGDY!N118</f>
        <v>0</v>
      </c>
    </row>
    <row r="119" spans="1:8" ht="30" x14ac:dyDescent="0.25">
      <c r="A119" s="57">
        <f>CRM_MAGDY!H119</f>
        <v>5558</v>
      </c>
      <c r="B119" s="57" t="str">
        <f>CRM_MAGDY!I119</f>
        <v>Magda K</v>
      </c>
      <c r="C119" s="57">
        <f>CRM_MAGDY!E119</f>
        <v>0</v>
      </c>
      <c r="D119" s="57">
        <f>CRM_MAGDY!V119</f>
        <v>0</v>
      </c>
      <c r="E119" s="57" t="str">
        <f>IF(CRM_MAGDY!G119="","BRAK TELEFONU",IF(CRM_MAGDY!K119="","BRAK KWOTY",IF(CRM_MAGDY!N119="","BRAK STATUSU",IF(CRM_MAGDY!C119="","BRAK DATY AKCJI",""))))</f>
        <v>BRAK TELEFONU</v>
      </c>
      <c r="F119" s="57" t="str">
        <f>CRM_MAGDY!W119</f>
        <v>BRAKI CRM</v>
      </c>
      <c r="G119" s="57">
        <f>CRM_MAGDY!K119</f>
        <v>15000</v>
      </c>
      <c r="H119" s="57">
        <f>CRM_MAGDY!N119</f>
        <v>0</v>
      </c>
    </row>
    <row r="120" spans="1:8" ht="30" x14ac:dyDescent="0.25">
      <c r="A120" s="57">
        <f>CRM_MAGDY!H120</f>
        <v>5559</v>
      </c>
      <c r="B120" s="57" t="str">
        <f>CRM_MAGDY!I120</f>
        <v>Magda K</v>
      </c>
      <c r="C120" s="57">
        <f>CRM_MAGDY!E120</f>
        <v>0</v>
      </c>
      <c r="D120" s="57">
        <f>CRM_MAGDY!V120</f>
        <v>0</v>
      </c>
      <c r="E120" s="57" t="str">
        <f>IF(CRM_MAGDY!G120="","BRAK TELEFONU",IF(CRM_MAGDY!K120="","BRAK KWOTY",IF(CRM_MAGDY!N120="","BRAK STATUSU",IF(CRM_MAGDY!C120="","BRAK DATY AKCJI",""))))</f>
        <v>BRAK TELEFONU</v>
      </c>
      <c r="F120" s="57" t="str">
        <f>CRM_MAGDY!W120</f>
        <v>BRAKI CRM</v>
      </c>
      <c r="G120" s="57">
        <f>CRM_MAGDY!K120</f>
        <v>18000</v>
      </c>
      <c r="H120" s="57">
        <f>CRM_MAGDY!N120</f>
        <v>0</v>
      </c>
    </row>
    <row r="121" spans="1:8" ht="30" x14ac:dyDescent="0.25">
      <c r="A121" s="57">
        <f>CRM_MAGDY!H121</f>
        <v>5560</v>
      </c>
      <c r="B121" s="57" t="str">
        <f>CRM_MAGDY!I121</f>
        <v>Magda K</v>
      </c>
      <c r="C121" s="57">
        <f>CRM_MAGDY!E121</f>
        <v>0</v>
      </c>
      <c r="D121" s="57">
        <f>CRM_MAGDY!V121</f>
        <v>0</v>
      </c>
      <c r="E121" s="57" t="str">
        <f>IF(CRM_MAGDY!G121="","BRAK TELEFONU",IF(CRM_MAGDY!K121="","BRAK KWOTY",IF(CRM_MAGDY!N121="","BRAK STATUSU",IF(CRM_MAGDY!C121="","BRAK DATY AKCJI",""))))</f>
        <v>BRAK TELEFONU</v>
      </c>
      <c r="F121" s="57" t="str">
        <f>CRM_MAGDY!W121</f>
        <v>BRAKI CRM</v>
      </c>
      <c r="G121" s="57">
        <f>CRM_MAGDY!K121</f>
        <v>20000</v>
      </c>
      <c r="H121" s="57">
        <f>CRM_MAGDY!N121</f>
        <v>0</v>
      </c>
    </row>
    <row r="122" spans="1:8" ht="30" x14ac:dyDescent="0.25">
      <c r="A122" s="57">
        <f>CRM_MAGDY!H122</f>
        <v>5561</v>
      </c>
      <c r="B122" s="57" t="str">
        <f>CRM_MAGDY!I122</f>
        <v>Magda K</v>
      </c>
      <c r="C122" s="57">
        <f>CRM_MAGDY!E122</f>
        <v>0</v>
      </c>
      <c r="D122" s="57">
        <f>CRM_MAGDY!V122</f>
        <v>0</v>
      </c>
      <c r="E122" s="57" t="str">
        <f>IF(CRM_MAGDY!G122="","BRAK TELEFONU",IF(CRM_MAGDY!K122="","BRAK KWOTY",IF(CRM_MAGDY!N122="","BRAK STATUSU",IF(CRM_MAGDY!C122="","BRAK DATY AKCJI",""))))</f>
        <v>BRAK TELEFONU</v>
      </c>
      <c r="F122" s="57" t="str">
        <f>CRM_MAGDY!W122</f>
        <v>BRAKI CRM</v>
      </c>
      <c r="G122" s="57">
        <f>CRM_MAGDY!K122</f>
        <v>23000</v>
      </c>
      <c r="H122" s="57">
        <f>CRM_MAGDY!N122</f>
        <v>0</v>
      </c>
    </row>
    <row r="123" spans="1:8" ht="30" x14ac:dyDescent="0.25">
      <c r="A123" s="57">
        <f>CRM_MAGDY!H123</f>
        <v>5562</v>
      </c>
      <c r="B123" s="57" t="str">
        <f>CRM_MAGDY!I123</f>
        <v>Magda K</v>
      </c>
      <c r="C123" s="57">
        <f>CRM_MAGDY!E123</f>
        <v>0</v>
      </c>
      <c r="D123" s="57">
        <f>CRM_MAGDY!V123</f>
        <v>0.5</v>
      </c>
      <c r="E123" s="57" t="str">
        <f>IF(CRM_MAGDY!G123="","BRAK TELEFONU",IF(CRM_MAGDY!K123="","BRAK KWOTY",IF(CRM_MAGDY!N123="","BRAK STATUSU",IF(CRM_MAGDY!C123="","BRAK DATY AKCJI",""))))</f>
        <v>BRAK TELEFONU</v>
      </c>
      <c r="F123" s="57" t="str">
        <f>CRM_MAGDY!W123</f>
        <v>BRAKI CRM</v>
      </c>
      <c r="G123" s="57">
        <f>CRM_MAGDY!K123</f>
        <v>23000</v>
      </c>
      <c r="H123" s="57" t="str">
        <f>CRM_MAGDY!N123</f>
        <v>WYGRANA</v>
      </c>
    </row>
    <row r="124" spans="1:8" ht="30" x14ac:dyDescent="0.25">
      <c r="A124" s="57">
        <f>CRM_MAGDY!H124</f>
        <v>5563</v>
      </c>
      <c r="B124" s="57" t="str">
        <f>CRM_MAGDY!I124</f>
        <v>Magda K</v>
      </c>
      <c r="C124" s="57">
        <f>CRM_MAGDY!E124</f>
        <v>0</v>
      </c>
      <c r="D124" s="57">
        <f>CRM_MAGDY!V124</f>
        <v>0</v>
      </c>
      <c r="E124" s="57" t="str">
        <f>IF(CRM_MAGDY!G124="","BRAK TELEFONU",IF(CRM_MAGDY!K124="","BRAK KWOTY",IF(CRM_MAGDY!N124="","BRAK STATUSU",IF(CRM_MAGDY!C124="","BRAK DATY AKCJI",""))))</f>
        <v>BRAK TELEFONU</v>
      </c>
      <c r="F124" s="57" t="str">
        <f>CRM_MAGDY!W124</f>
        <v>BRAKI CRM</v>
      </c>
      <c r="G124" s="57">
        <f>CRM_MAGDY!K124</f>
        <v>25000</v>
      </c>
      <c r="H124" s="57">
        <f>CRM_MAGDY!N124</f>
        <v>0</v>
      </c>
    </row>
    <row r="125" spans="1:8" ht="30" x14ac:dyDescent="0.25">
      <c r="A125" s="57">
        <f>CRM_MAGDY!H125</f>
        <v>5564</v>
      </c>
      <c r="B125" s="57" t="str">
        <f>CRM_MAGDY!I125</f>
        <v>Magda B</v>
      </c>
      <c r="C125" s="57">
        <f>CRM_MAGDY!E125</f>
        <v>0</v>
      </c>
      <c r="D125" s="57">
        <f>CRM_MAGDY!V125</f>
        <v>0</v>
      </c>
      <c r="E125" s="57" t="str">
        <f>IF(CRM_MAGDY!G125="","BRAK TELEFONU",IF(CRM_MAGDY!K125="","BRAK KWOTY",IF(CRM_MAGDY!N125="","BRAK STATUSU",IF(CRM_MAGDY!C125="","BRAK DATY AKCJI",""))))</f>
        <v>BRAK TELEFONU</v>
      </c>
      <c r="F125" s="57" t="str">
        <f>CRM_MAGDY!W125</f>
        <v>BRAKI CRM</v>
      </c>
      <c r="G125" s="57">
        <f>CRM_MAGDY!K125</f>
        <v>0</v>
      </c>
      <c r="H125" s="57">
        <f>CRM_MAGDY!N125</f>
        <v>0</v>
      </c>
    </row>
    <row r="126" spans="1:8" ht="30" x14ac:dyDescent="0.25">
      <c r="A126" s="57">
        <f>CRM_MAGDY!H126</f>
        <v>5565</v>
      </c>
      <c r="B126" s="57" t="str">
        <f>CRM_MAGDY!I126</f>
        <v>Magda B</v>
      </c>
      <c r="C126" s="57">
        <f>CRM_MAGDY!E126</f>
        <v>0</v>
      </c>
      <c r="D126" s="57">
        <f>CRM_MAGDY!V126</f>
        <v>0</v>
      </c>
      <c r="E126" s="57" t="str">
        <f>IF(CRM_MAGDY!G126="","BRAK TELEFONU",IF(CRM_MAGDY!K126="","BRAK KWOTY",IF(CRM_MAGDY!N126="","BRAK STATUSU",IF(CRM_MAGDY!C126="","BRAK DATY AKCJI",""))))</f>
        <v>BRAK TELEFONU</v>
      </c>
      <c r="F126" s="57" t="str">
        <f>CRM_MAGDY!W126</f>
        <v>BRAKI CRM</v>
      </c>
      <c r="G126" s="57">
        <f>CRM_MAGDY!K126</f>
        <v>25000</v>
      </c>
      <c r="H126" s="57">
        <f>CRM_MAGDY!N126</f>
        <v>0</v>
      </c>
    </row>
    <row r="127" spans="1:8" ht="30" x14ac:dyDescent="0.25">
      <c r="A127" s="57">
        <f>CRM_MAGDY!H127</f>
        <v>5566</v>
      </c>
      <c r="B127" s="57" t="str">
        <f>CRM_MAGDY!I127</f>
        <v>Magda K</v>
      </c>
      <c r="C127" s="57">
        <f>CRM_MAGDY!E127</f>
        <v>0</v>
      </c>
      <c r="D127" s="57">
        <f>CRM_MAGDY!V127</f>
        <v>0</v>
      </c>
      <c r="E127" s="57" t="str">
        <f>IF(CRM_MAGDY!G127="","BRAK TELEFONU",IF(CRM_MAGDY!K127="","BRAK KWOTY",IF(CRM_MAGDY!N127="","BRAK STATUSU",IF(CRM_MAGDY!C127="","BRAK DATY AKCJI",""))))</f>
        <v>BRAK TELEFONU</v>
      </c>
      <c r="F127" s="57" t="str">
        <f>CRM_MAGDY!W127</f>
        <v>BRAKI CRM</v>
      </c>
      <c r="G127" s="57">
        <f>CRM_MAGDY!K127</f>
        <v>32000</v>
      </c>
      <c r="H127" s="57">
        <f>CRM_MAGDY!N127</f>
        <v>0</v>
      </c>
    </row>
    <row r="128" spans="1:8" ht="30" x14ac:dyDescent="0.25">
      <c r="A128" s="57">
        <f>CRM_MAGDY!H128</f>
        <v>5567</v>
      </c>
      <c r="B128" s="57" t="str">
        <f>CRM_MAGDY!I128</f>
        <v>Magda K</v>
      </c>
      <c r="C128" s="57">
        <f>CRM_MAGDY!E128</f>
        <v>0</v>
      </c>
      <c r="D128" s="57">
        <f>CRM_MAGDY!V128</f>
        <v>0</v>
      </c>
      <c r="E128" s="57" t="str">
        <f>IF(CRM_MAGDY!G128="","BRAK TELEFONU",IF(CRM_MAGDY!K128="","BRAK KWOTY",IF(CRM_MAGDY!N128="","BRAK STATUSU",IF(CRM_MAGDY!C128="","BRAK DATY AKCJI",""))))</f>
        <v>BRAK TELEFONU</v>
      </c>
      <c r="F128" s="57" t="str">
        <f>CRM_MAGDY!W128</f>
        <v>BRAKI CRM</v>
      </c>
      <c r="G128" s="57">
        <f>CRM_MAGDY!K128</f>
        <v>20000</v>
      </c>
      <c r="H128" s="57">
        <f>CRM_MAGDY!N128</f>
        <v>0</v>
      </c>
    </row>
    <row r="129" spans="1:8" ht="30" x14ac:dyDescent="0.25">
      <c r="A129" s="57">
        <f>CRM_MAGDY!H129</f>
        <v>5568</v>
      </c>
      <c r="B129" s="57" t="str">
        <f>CRM_MAGDY!I129</f>
        <v>Magda K</v>
      </c>
      <c r="C129" s="57">
        <f>CRM_MAGDY!E129</f>
        <v>0</v>
      </c>
      <c r="D129" s="57">
        <f>CRM_MAGDY!V129</f>
        <v>0</v>
      </c>
      <c r="E129" s="57" t="str">
        <f>IF(CRM_MAGDY!G129="","BRAK TELEFONU",IF(CRM_MAGDY!K129="","BRAK KWOTY",IF(CRM_MAGDY!N129="","BRAK STATUSU",IF(CRM_MAGDY!C129="","BRAK DATY AKCJI",""))))</f>
        <v>BRAK TELEFONU</v>
      </c>
      <c r="F129" s="57" t="str">
        <f>CRM_MAGDY!W129</f>
        <v>BRAKI CRM</v>
      </c>
      <c r="G129" s="57">
        <f>CRM_MAGDY!K129</f>
        <v>22000</v>
      </c>
      <c r="H129" s="57">
        <f>CRM_MAGDY!N129</f>
        <v>0</v>
      </c>
    </row>
    <row r="130" spans="1:8" ht="30" x14ac:dyDescent="0.25">
      <c r="A130" s="57">
        <f>CRM_MAGDY!H130</f>
        <v>5569</v>
      </c>
      <c r="B130" s="57" t="str">
        <f>CRM_MAGDY!I130</f>
        <v>Magda K</v>
      </c>
      <c r="C130" s="57">
        <f>CRM_MAGDY!E130</f>
        <v>0</v>
      </c>
      <c r="D130" s="57">
        <f>CRM_MAGDY!V130</f>
        <v>0</v>
      </c>
      <c r="E130" s="57" t="str">
        <f>IF(CRM_MAGDY!G130="","BRAK TELEFONU",IF(CRM_MAGDY!K130="","BRAK KWOTY",IF(CRM_MAGDY!N130="","BRAK STATUSU",IF(CRM_MAGDY!C130="","BRAK DATY AKCJI",""))))</f>
        <v>BRAK TELEFONU</v>
      </c>
      <c r="F130" s="57" t="str">
        <f>CRM_MAGDY!W130</f>
        <v>BRAKI CRM</v>
      </c>
      <c r="G130" s="57">
        <f>CRM_MAGDY!K130</f>
        <v>25000</v>
      </c>
      <c r="H130" s="57">
        <f>CRM_MAGDY!N130</f>
        <v>0</v>
      </c>
    </row>
    <row r="131" spans="1:8" ht="30" x14ac:dyDescent="0.25">
      <c r="A131" s="57">
        <f>CRM_MAGDY!H131</f>
        <v>5570</v>
      </c>
      <c r="B131" s="57" t="str">
        <f>CRM_MAGDY!I131</f>
        <v>Magda K</v>
      </c>
      <c r="C131" s="57">
        <f>CRM_MAGDY!E131</f>
        <v>0</v>
      </c>
      <c r="D131" s="57">
        <f>CRM_MAGDY!V131</f>
        <v>0.5</v>
      </c>
      <c r="E131" s="57" t="str">
        <f>IF(CRM_MAGDY!G131="","BRAK TELEFONU",IF(CRM_MAGDY!K131="","BRAK KWOTY",IF(CRM_MAGDY!N131="","BRAK STATUSU",IF(CRM_MAGDY!C131="","BRAK DATY AKCJI",""))))</f>
        <v>BRAK TELEFONU</v>
      </c>
      <c r="F131" s="57" t="str">
        <f>CRM_MAGDY!W131</f>
        <v>BRAKI CRM</v>
      </c>
      <c r="G131" s="57">
        <f>CRM_MAGDY!K131</f>
        <v>59000</v>
      </c>
      <c r="H131" s="57" t="str">
        <f>CRM_MAGDY!N131</f>
        <v>WYGRANA</v>
      </c>
    </row>
    <row r="132" spans="1:8" ht="30" x14ac:dyDescent="0.25">
      <c r="A132" s="57">
        <f>CRM_MAGDY!H132</f>
        <v>5571</v>
      </c>
      <c r="B132" s="57" t="str">
        <f>CRM_MAGDY!I132</f>
        <v>Magda B</v>
      </c>
      <c r="C132" s="57">
        <f>CRM_MAGDY!E132</f>
        <v>0</v>
      </c>
      <c r="D132" s="57">
        <f>CRM_MAGDY!V132</f>
        <v>0</v>
      </c>
      <c r="E132" s="57" t="str">
        <f>IF(CRM_MAGDY!G132="","BRAK TELEFONU",IF(CRM_MAGDY!K132="","BRAK KWOTY",IF(CRM_MAGDY!N132="","BRAK STATUSU",IF(CRM_MAGDY!C132="","BRAK DATY AKCJI",""))))</f>
        <v>BRAK TELEFONU</v>
      </c>
      <c r="F132" s="57" t="str">
        <f>CRM_MAGDY!W132</f>
        <v>BRAKI CRM</v>
      </c>
      <c r="G132" s="57">
        <f>CRM_MAGDY!K132</f>
        <v>28000</v>
      </c>
      <c r="H132" s="57">
        <f>CRM_MAGDY!N132</f>
        <v>0</v>
      </c>
    </row>
    <row r="133" spans="1:8" ht="30" x14ac:dyDescent="0.25">
      <c r="A133" s="57">
        <f>CRM_MAGDY!H133</f>
        <v>5572</v>
      </c>
      <c r="B133" s="57" t="str">
        <f>CRM_MAGDY!I133</f>
        <v>Magda B</v>
      </c>
      <c r="C133" s="57">
        <f>CRM_MAGDY!E133</f>
        <v>0</v>
      </c>
      <c r="D133" s="57">
        <f>CRM_MAGDY!V133</f>
        <v>0</v>
      </c>
      <c r="E133" s="57" t="str">
        <f>IF(CRM_MAGDY!G133="","BRAK TELEFONU",IF(CRM_MAGDY!K133="","BRAK KWOTY",IF(CRM_MAGDY!N133="","BRAK STATUSU",IF(CRM_MAGDY!C133="","BRAK DATY AKCJI",""))))</f>
        <v>BRAK TELEFONU</v>
      </c>
      <c r="F133" s="57" t="str">
        <f>CRM_MAGDY!W133</f>
        <v>BRAKI CRM</v>
      </c>
      <c r="G133" s="57">
        <f>CRM_MAGDY!K133</f>
        <v>60000</v>
      </c>
      <c r="H133" s="57">
        <f>CRM_MAGDY!N133</f>
        <v>0</v>
      </c>
    </row>
    <row r="134" spans="1:8" ht="30" x14ac:dyDescent="0.25">
      <c r="A134" s="57">
        <f>CRM_MAGDY!H134</f>
        <v>5573</v>
      </c>
      <c r="B134" s="57" t="str">
        <f>CRM_MAGDY!I134</f>
        <v>Magda K</v>
      </c>
      <c r="C134" s="57">
        <f>CRM_MAGDY!E134</f>
        <v>0</v>
      </c>
      <c r="D134" s="57">
        <f>CRM_MAGDY!V134</f>
        <v>0</v>
      </c>
      <c r="E134" s="57" t="str">
        <f>IF(CRM_MAGDY!G134="","BRAK TELEFONU",IF(CRM_MAGDY!K134="","BRAK KWOTY",IF(CRM_MAGDY!N134="","BRAK STATUSU",IF(CRM_MAGDY!C134="","BRAK DATY AKCJI",""))))</f>
        <v>BRAK TELEFONU</v>
      </c>
      <c r="F134" s="57" t="str">
        <f>CRM_MAGDY!W134</f>
        <v>BRAKI CRM</v>
      </c>
      <c r="G134" s="57">
        <f>CRM_MAGDY!K134</f>
        <v>0</v>
      </c>
      <c r="H134" s="57">
        <f>CRM_MAGDY!N134</f>
        <v>0</v>
      </c>
    </row>
    <row r="135" spans="1:8" ht="30" x14ac:dyDescent="0.25">
      <c r="A135" s="57">
        <f>CRM_MAGDY!H135</f>
        <v>5574</v>
      </c>
      <c r="B135" s="57" t="str">
        <f>CRM_MAGDY!I135</f>
        <v>Magda B</v>
      </c>
      <c r="C135" s="57">
        <f>CRM_MAGDY!E135</f>
        <v>0</v>
      </c>
      <c r="D135" s="57">
        <f>CRM_MAGDY!V135</f>
        <v>0</v>
      </c>
      <c r="E135" s="57" t="str">
        <f>IF(CRM_MAGDY!G135="","BRAK TELEFONU",IF(CRM_MAGDY!K135="","BRAK KWOTY",IF(CRM_MAGDY!N135="","BRAK STATUSU",IF(CRM_MAGDY!C135="","BRAK DATY AKCJI",""))))</f>
        <v>BRAK TELEFONU</v>
      </c>
      <c r="F135" s="57" t="str">
        <f>CRM_MAGDY!W135</f>
        <v>BRAKI CRM</v>
      </c>
      <c r="G135" s="57">
        <f>CRM_MAGDY!K135</f>
        <v>0</v>
      </c>
      <c r="H135" s="57">
        <f>CRM_MAGDY!N135</f>
        <v>0</v>
      </c>
    </row>
    <row r="136" spans="1:8" ht="30" x14ac:dyDescent="0.25">
      <c r="A136" s="57">
        <f>CRM_MAGDY!H136</f>
        <v>5575</v>
      </c>
      <c r="B136" s="57" t="str">
        <f>CRM_MAGDY!I136</f>
        <v>Magda B</v>
      </c>
      <c r="C136" s="57">
        <f>CRM_MAGDY!E136</f>
        <v>0</v>
      </c>
      <c r="D136" s="57">
        <f>CRM_MAGDY!V136</f>
        <v>0</v>
      </c>
      <c r="E136" s="57" t="str">
        <f>IF(CRM_MAGDY!G136="","BRAK TELEFONU",IF(CRM_MAGDY!K136="","BRAK KWOTY",IF(CRM_MAGDY!N136="","BRAK STATUSU",IF(CRM_MAGDY!C136="","BRAK DATY AKCJI",""))))</f>
        <v>BRAK TELEFONU</v>
      </c>
      <c r="F136" s="57" t="str">
        <f>CRM_MAGDY!W136</f>
        <v>BRAKI CRM</v>
      </c>
      <c r="G136" s="57">
        <f>CRM_MAGDY!K136</f>
        <v>13000</v>
      </c>
      <c r="H136" s="57">
        <f>CRM_MAGDY!N136</f>
        <v>0</v>
      </c>
    </row>
    <row r="137" spans="1:8" ht="30" x14ac:dyDescent="0.25">
      <c r="A137" s="57">
        <f>CRM_MAGDY!H137</f>
        <v>5576</v>
      </c>
      <c r="B137" s="57" t="str">
        <f>CRM_MAGDY!I137</f>
        <v>Magda B</v>
      </c>
      <c r="C137" s="57">
        <f>CRM_MAGDY!E137</f>
        <v>0</v>
      </c>
      <c r="D137" s="57">
        <f>CRM_MAGDY!V137</f>
        <v>0.5</v>
      </c>
      <c r="E137" s="57" t="str">
        <f>IF(CRM_MAGDY!G137="","BRAK TELEFONU",IF(CRM_MAGDY!K137="","BRAK KWOTY",IF(CRM_MAGDY!N137="","BRAK STATUSU",IF(CRM_MAGDY!C137="","BRAK DATY AKCJI",""))))</f>
        <v>BRAK TELEFONU</v>
      </c>
      <c r="F137" s="57" t="str">
        <f>CRM_MAGDY!W137</f>
        <v>BRAKI CRM</v>
      </c>
      <c r="G137" s="57">
        <f>CRM_MAGDY!K137</f>
        <v>23760</v>
      </c>
      <c r="H137" s="57" t="str">
        <f>CRM_MAGDY!N137</f>
        <v>WYGRANA</v>
      </c>
    </row>
    <row r="138" spans="1:8" ht="30" x14ac:dyDescent="0.25">
      <c r="A138" s="57">
        <f>CRM_MAGDY!H138</f>
        <v>5577</v>
      </c>
      <c r="B138" s="57" t="str">
        <f>CRM_MAGDY!I138</f>
        <v>Magda B</v>
      </c>
      <c r="C138" s="57">
        <f>CRM_MAGDY!E138</f>
        <v>0</v>
      </c>
      <c r="D138" s="57">
        <f>CRM_MAGDY!V138</f>
        <v>0</v>
      </c>
      <c r="E138" s="57" t="str">
        <f>IF(CRM_MAGDY!G138="","BRAK TELEFONU",IF(CRM_MAGDY!K138="","BRAK KWOTY",IF(CRM_MAGDY!N138="","BRAK STATUSU",IF(CRM_MAGDY!C138="","BRAK DATY AKCJI",""))))</f>
        <v>BRAK TELEFONU</v>
      </c>
      <c r="F138" s="57" t="str">
        <f>CRM_MAGDY!W138</f>
        <v>BRAKI CRM</v>
      </c>
      <c r="G138" s="57">
        <f>CRM_MAGDY!K138</f>
        <v>16000</v>
      </c>
      <c r="H138" s="57">
        <f>CRM_MAGDY!N138</f>
        <v>0</v>
      </c>
    </row>
    <row r="139" spans="1:8" ht="30" x14ac:dyDescent="0.25">
      <c r="A139" s="57">
        <f>CRM_MAGDY!H139</f>
        <v>5578</v>
      </c>
      <c r="B139" s="57" t="str">
        <f>CRM_MAGDY!I139</f>
        <v>Magda B</v>
      </c>
      <c r="C139" s="57">
        <f>CRM_MAGDY!E139</f>
        <v>0</v>
      </c>
      <c r="D139" s="57">
        <f>CRM_MAGDY!V139</f>
        <v>0</v>
      </c>
      <c r="E139" s="57" t="str">
        <f>IF(CRM_MAGDY!G139="","BRAK TELEFONU",IF(CRM_MAGDY!K139="","BRAK KWOTY",IF(CRM_MAGDY!N139="","BRAK STATUSU",IF(CRM_MAGDY!C139="","BRAK DATY AKCJI",""))))</f>
        <v>BRAK TELEFONU</v>
      </c>
      <c r="F139" s="57" t="str">
        <f>CRM_MAGDY!W139</f>
        <v>BRAKI CRM</v>
      </c>
      <c r="G139" s="57">
        <f>CRM_MAGDY!K139</f>
        <v>25000</v>
      </c>
      <c r="H139" s="57">
        <f>CRM_MAGDY!N139</f>
        <v>0</v>
      </c>
    </row>
    <row r="140" spans="1:8" ht="30" x14ac:dyDescent="0.25">
      <c r="A140" s="57">
        <f>CRM_MAGDY!H140</f>
        <v>5580</v>
      </c>
      <c r="B140" s="57" t="str">
        <f>CRM_MAGDY!I140</f>
        <v>Magda K</v>
      </c>
      <c r="C140" s="57">
        <f>CRM_MAGDY!E140</f>
        <v>0</v>
      </c>
      <c r="D140" s="57">
        <f>CRM_MAGDY!V140</f>
        <v>0</v>
      </c>
      <c r="E140" s="57" t="str">
        <f>IF(CRM_MAGDY!G140="","BRAK TELEFONU",IF(CRM_MAGDY!K140="","BRAK KWOTY",IF(CRM_MAGDY!N140="","BRAK STATUSU",IF(CRM_MAGDY!C140="","BRAK DATY AKCJI",""))))</f>
        <v>BRAK TELEFONU</v>
      </c>
      <c r="F140" s="57" t="str">
        <f>CRM_MAGDY!W140</f>
        <v>BRAKI CRM</v>
      </c>
      <c r="G140" s="57">
        <f>CRM_MAGDY!K140</f>
        <v>12500</v>
      </c>
      <c r="H140" s="57">
        <f>CRM_MAGDY!N140</f>
        <v>0</v>
      </c>
    </row>
    <row r="141" spans="1:8" ht="30" x14ac:dyDescent="0.25">
      <c r="A141" s="57">
        <f>CRM_MAGDY!H141</f>
        <v>5581</v>
      </c>
      <c r="B141" s="57" t="str">
        <f>CRM_MAGDY!I141</f>
        <v>Magda K</v>
      </c>
      <c r="C141" s="57">
        <f>CRM_MAGDY!E141</f>
        <v>0</v>
      </c>
      <c r="D141" s="57">
        <f>CRM_MAGDY!V141</f>
        <v>0</v>
      </c>
      <c r="E141" s="57" t="str">
        <f>IF(CRM_MAGDY!G141="","BRAK TELEFONU",IF(CRM_MAGDY!K141="","BRAK KWOTY",IF(CRM_MAGDY!N141="","BRAK STATUSU",IF(CRM_MAGDY!C141="","BRAK DATY AKCJI",""))))</f>
        <v>BRAK TELEFONU</v>
      </c>
      <c r="F141" s="57" t="str">
        <f>CRM_MAGDY!W141</f>
        <v>BRAKI CRM</v>
      </c>
      <c r="G141" s="57">
        <f>CRM_MAGDY!K141</f>
        <v>60000</v>
      </c>
      <c r="H141" s="57">
        <f>CRM_MAGDY!N141</f>
        <v>0</v>
      </c>
    </row>
    <row r="142" spans="1:8" ht="30" x14ac:dyDescent="0.25">
      <c r="A142" s="57">
        <f>CRM_MAGDY!H142</f>
        <v>5582</v>
      </c>
      <c r="B142" s="57" t="str">
        <f>CRM_MAGDY!I142</f>
        <v>Magda K</v>
      </c>
      <c r="C142" s="57">
        <f>CRM_MAGDY!E142</f>
        <v>0</v>
      </c>
      <c r="D142" s="57">
        <f>CRM_MAGDY!V142</f>
        <v>0.5</v>
      </c>
      <c r="E142" s="57" t="str">
        <f>IF(CRM_MAGDY!G142="","BRAK TELEFONU",IF(CRM_MAGDY!K142="","BRAK KWOTY",IF(CRM_MAGDY!N142="","BRAK STATUSU",IF(CRM_MAGDY!C142="","BRAK DATY AKCJI",""))))</f>
        <v>BRAK TELEFONU</v>
      </c>
      <c r="F142" s="57" t="str">
        <f>CRM_MAGDY!W142</f>
        <v>BRAKI CRM</v>
      </c>
      <c r="G142" s="57">
        <f>CRM_MAGDY!K142</f>
        <v>30000</v>
      </c>
      <c r="H142" s="57" t="str">
        <f>CRM_MAGDY!N142</f>
        <v>WYGRANA</v>
      </c>
    </row>
    <row r="143" spans="1:8" ht="30" x14ac:dyDescent="0.25">
      <c r="A143" s="57">
        <f>CRM_MAGDY!H143</f>
        <v>5583</v>
      </c>
      <c r="B143" s="57" t="str">
        <f>CRM_MAGDY!I143</f>
        <v>Magda K</v>
      </c>
      <c r="C143" s="57">
        <f>CRM_MAGDY!E143</f>
        <v>0</v>
      </c>
      <c r="D143" s="57">
        <f>CRM_MAGDY!V143</f>
        <v>0</v>
      </c>
      <c r="E143" s="57" t="str">
        <f>IF(CRM_MAGDY!G143="","BRAK TELEFONU",IF(CRM_MAGDY!K143="","BRAK KWOTY",IF(CRM_MAGDY!N143="","BRAK STATUSU",IF(CRM_MAGDY!C143="","BRAK DATY AKCJI",""))))</f>
        <v>BRAK TELEFONU</v>
      </c>
      <c r="F143" s="57" t="str">
        <f>CRM_MAGDY!W143</f>
        <v>BRAKI CRM</v>
      </c>
      <c r="G143" s="57">
        <f>CRM_MAGDY!K143</f>
        <v>0</v>
      </c>
      <c r="H143" s="57">
        <f>CRM_MAGDY!N143</f>
        <v>0</v>
      </c>
    </row>
    <row r="144" spans="1:8" ht="30" x14ac:dyDescent="0.25">
      <c r="A144" s="57">
        <f>CRM_MAGDY!H144</f>
        <v>5584</v>
      </c>
      <c r="B144" s="57" t="str">
        <f>CRM_MAGDY!I144</f>
        <v>Magda B</v>
      </c>
      <c r="C144" s="57">
        <f>CRM_MAGDY!E144</f>
        <v>0</v>
      </c>
      <c r="D144" s="57">
        <f>CRM_MAGDY!V144</f>
        <v>0.5</v>
      </c>
      <c r="E144" s="57" t="str">
        <f>IF(CRM_MAGDY!G144="","BRAK TELEFONU",IF(CRM_MAGDY!K144="","BRAK KWOTY",IF(CRM_MAGDY!N144="","BRAK STATUSU",IF(CRM_MAGDY!C144="","BRAK DATY AKCJI",""))))</f>
        <v>BRAK TELEFONU</v>
      </c>
      <c r="F144" s="57" t="str">
        <f>CRM_MAGDY!W144</f>
        <v>BRAKI CRM</v>
      </c>
      <c r="G144" s="57">
        <f>CRM_MAGDY!K144</f>
        <v>0</v>
      </c>
      <c r="H144" s="57" t="str">
        <f>CRM_MAGDY!N144</f>
        <v>WYGRANA</v>
      </c>
    </row>
    <row r="145" spans="1:8" ht="30" x14ac:dyDescent="0.25">
      <c r="A145" s="57">
        <f>CRM_MAGDY!H145</f>
        <v>5585</v>
      </c>
      <c r="B145" s="57" t="str">
        <f>CRM_MAGDY!I145</f>
        <v>Magda K</v>
      </c>
      <c r="C145" s="57">
        <f>CRM_MAGDY!E145</f>
        <v>0</v>
      </c>
      <c r="D145" s="57">
        <f>CRM_MAGDY!V145</f>
        <v>0</v>
      </c>
      <c r="E145" s="57" t="str">
        <f>IF(CRM_MAGDY!G145="","BRAK TELEFONU",IF(CRM_MAGDY!K145="","BRAK KWOTY",IF(CRM_MAGDY!N145="","BRAK STATUSU",IF(CRM_MAGDY!C145="","BRAK DATY AKCJI",""))))</f>
        <v>BRAK TELEFONU</v>
      </c>
      <c r="F145" s="57" t="str">
        <f>CRM_MAGDY!W145</f>
        <v>BRAKI CRM</v>
      </c>
      <c r="G145" s="57">
        <f>CRM_MAGDY!K145</f>
        <v>23000</v>
      </c>
      <c r="H145" s="57">
        <f>CRM_MAGDY!N145</f>
        <v>0</v>
      </c>
    </row>
    <row r="146" spans="1:8" ht="30" x14ac:dyDescent="0.25">
      <c r="A146" s="57">
        <f>CRM_MAGDY!H146</f>
        <v>5586</v>
      </c>
      <c r="B146" s="57" t="str">
        <f>CRM_MAGDY!I146</f>
        <v>Magda K</v>
      </c>
      <c r="C146" s="57">
        <f>CRM_MAGDY!E146</f>
        <v>0</v>
      </c>
      <c r="D146" s="57">
        <f>CRM_MAGDY!V146</f>
        <v>0</v>
      </c>
      <c r="E146" s="57" t="str">
        <f>IF(CRM_MAGDY!G146="","BRAK TELEFONU",IF(CRM_MAGDY!K146="","BRAK KWOTY",IF(CRM_MAGDY!N146="","BRAK STATUSU",IF(CRM_MAGDY!C146="","BRAK DATY AKCJI",""))))</f>
        <v>BRAK TELEFONU</v>
      </c>
      <c r="F146" s="57" t="str">
        <f>CRM_MAGDY!W146</f>
        <v>BRAKI CRM</v>
      </c>
      <c r="G146" s="57">
        <f>CRM_MAGDY!K146</f>
        <v>33000</v>
      </c>
      <c r="H146" s="57">
        <f>CRM_MAGDY!N146</f>
        <v>0</v>
      </c>
    </row>
    <row r="147" spans="1:8" ht="30" x14ac:dyDescent="0.25">
      <c r="A147" s="57">
        <f>CRM_MAGDY!H147</f>
        <v>5587</v>
      </c>
      <c r="B147" s="57" t="str">
        <f>CRM_MAGDY!I147</f>
        <v>Magda K</v>
      </c>
      <c r="C147" s="57">
        <f>CRM_MAGDY!E147</f>
        <v>0</v>
      </c>
      <c r="D147" s="57">
        <f>CRM_MAGDY!V147</f>
        <v>0</v>
      </c>
      <c r="E147" s="57" t="str">
        <f>IF(CRM_MAGDY!G147="","BRAK TELEFONU",IF(CRM_MAGDY!K147="","BRAK KWOTY",IF(CRM_MAGDY!N147="","BRAK STATUSU",IF(CRM_MAGDY!C147="","BRAK DATY AKCJI",""))))</f>
        <v>BRAK TELEFONU</v>
      </c>
      <c r="F147" s="57" t="str">
        <f>CRM_MAGDY!W147</f>
        <v>BRAKI CRM</v>
      </c>
      <c r="G147" s="57">
        <f>CRM_MAGDY!K147</f>
        <v>23000</v>
      </c>
      <c r="H147" s="57">
        <f>CRM_MAGDY!N147</f>
        <v>0</v>
      </c>
    </row>
    <row r="148" spans="1:8" ht="30" x14ac:dyDescent="0.25">
      <c r="A148" s="57">
        <f>CRM_MAGDY!H148</f>
        <v>5588</v>
      </c>
      <c r="B148" s="57" t="str">
        <f>CRM_MAGDY!I148</f>
        <v>Magda K</v>
      </c>
      <c r="C148" s="57">
        <f>CRM_MAGDY!E148</f>
        <v>0</v>
      </c>
      <c r="D148" s="57">
        <f>CRM_MAGDY!V148</f>
        <v>0</v>
      </c>
      <c r="E148" s="57" t="str">
        <f>IF(CRM_MAGDY!G148="","BRAK TELEFONU",IF(CRM_MAGDY!K148="","BRAK KWOTY",IF(CRM_MAGDY!N148="","BRAK STATUSU",IF(CRM_MAGDY!C148="","BRAK DATY AKCJI",""))))</f>
        <v>BRAK TELEFONU</v>
      </c>
      <c r="F148" s="57" t="str">
        <f>CRM_MAGDY!W148</f>
        <v>BRAKI CRM</v>
      </c>
      <c r="G148" s="57">
        <f>CRM_MAGDY!K148</f>
        <v>0</v>
      </c>
      <c r="H148" s="57">
        <f>CRM_MAGDY!N148</f>
        <v>0</v>
      </c>
    </row>
    <row r="149" spans="1:8" ht="30" x14ac:dyDescent="0.25">
      <c r="A149" s="57">
        <f>CRM_MAGDY!H149</f>
        <v>5593</v>
      </c>
      <c r="B149" s="57" t="str">
        <f>CRM_MAGDY!I149</f>
        <v>Magda K</v>
      </c>
      <c r="C149" s="57">
        <f>CRM_MAGDY!E149</f>
        <v>0</v>
      </c>
      <c r="D149" s="57">
        <f>CRM_MAGDY!V149</f>
        <v>0</v>
      </c>
      <c r="E149" s="57" t="str">
        <f>IF(CRM_MAGDY!G149="","BRAK TELEFONU",IF(CRM_MAGDY!K149="","BRAK KWOTY",IF(CRM_MAGDY!N149="","BRAK STATUSU",IF(CRM_MAGDY!C149="","BRAK DATY AKCJI",""))))</f>
        <v>BRAK TELEFONU</v>
      </c>
      <c r="F149" s="57" t="str">
        <f>CRM_MAGDY!W149</f>
        <v>BRAKI CRM</v>
      </c>
      <c r="G149" s="57">
        <f>CRM_MAGDY!K149</f>
        <v>27000</v>
      </c>
      <c r="H149" s="57">
        <f>CRM_MAGDY!N149</f>
        <v>0</v>
      </c>
    </row>
    <row r="150" spans="1:8" ht="30" x14ac:dyDescent="0.25">
      <c r="A150" s="57">
        <f>CRM_MAGDY!H150</f>
        <v>5590</v>
      </c>
      <c r="B150" s="57" t="str">
        <f>CRM_MAGDY!I150</f>
        <v>Magda K</v>
      </c>
      <c r="C150" s="57">
        <f>CRM_MAGDY!E150</f>
        <v>0</v>
      </c>
      <c r="D150" s="57">
        <f>CRM_MAGDY!V150</f>
        <v>0</v>
      </c>
      <c r="E150" s="57" t="str">
        <f>IF(CRM_MAGDY!G150="","BRAK TELEFONU",IF(CRM_MAGDY!K150="","BRAK KWOTY",IF(CRM_MAGDY!N150="","BRAK STATUSU",IF(CRM_MAGDY!C150="","BRAK DATY AKCJI",""))))</f>
        <v>BRAK TELEFONU</v>
      </c>
      <c r="F150" s="57" t="str">
        <f>CRM_MAGDY!W150</f>
        <v>BRAKI CRM</v>
      </c>
      <c r="G150" s="57">
        <f>CRM_MAGDY!K150</f>
        <v>16000</v>
      </c>
      <c r="H150" s="57">
        <f>CRM_MAGDY!N150</f>
        <v>0</v>
      </c>
    </row>
    <row r="151" spans="1:8" ht="30" x14ac:dyDescent="0.25">
      <c r="A151" s="57">
        <f>CRM_MAGDY!H151</f>
        <v>5591</v>
      </c>
      <c r="B151" s="57" t="str">
        <f>CRM_MAGDY!I151</f>
        <v>Magda K</v>
      </c>
      <c r="C151" s="57">
        <f>CRM_MAGDY!E151</f>
        <v>0</v>
      </c>
      <c r="D151" s="57">
        <f>CRM_MAGDY!V151</f>
        <v>0</v>
      </c>
      <c r="E151" s="57" t="str">
        <f>IF(CRM_MAGDY!G151="","BRAK TELEFONU",IF(CRM_MAGDY!K151="","BRAK KWOTY",IF(CRM_MAGDY!N151="","BRAK STATUSU",IF(CRM_MAGDY!C151="","BRAK DATY AKCJI",""))))</f>
        <v>BRAK TELEFONU</v>
      </c>
      <c r="F151" s="57" t="str">
        <f>CRM_MAGDY!W151</f>
        <v>BRAKI CRM</v>
      </c>
      <c r="G151" s="57">
        <f>CRM_MAGDY!K151</f>
        <v>32000</v>
      </c>
      <c r="H151" s="57">
        <f>CRM_MAGDY!N151</f>
        <v>0</v>
      </c>
    </row>
    <row r="152" spans="1:8" ht="30" x14ac:dyDescent="0.25">
      <c r="A152" s="57">
        <f>CRM_MAGDY!H152</f>
        <v>5592</v>
      </c>
      <c r="B152" s="57" t="str">
        <f>CRM_MAGDY!I152</f>
        <v>Magda K</v>
      </c>
      <c r="C152" s="57">
        <f>CRM_MAGDY!E152</f>
        <v>0</v>
      </c>
      <c r="D152" s="57">
        <f>CRM_MAGDY!V152</f>
        <v>0</v>
      </c>
      <c r="E152" s="57" t="str">
        <f>IF(CRM_MAGDY!G152="","BRAK TELEFONU",IF(CRM_MAGDY!K152="","BRAK KWOTY",IF(CRM_MAGDY!N152="","BRAK STATUSU",IF(CRM_MAGDY!C152="","BRAK DATY AKCJI",""))))</f>
        <v>BRAK TELEFONU</v>
      </c>
      <c r="F152" s="57" t="str">
        <f>CRM_MAGDY!W152</f>
        <v>BRAKI CRM</v>
      </c>
      <c r="G152" s="57">
        <f>CRM_MAGDY!K152</f>
        <v>21000</v>
      </c>
      <c r="H152" s="57">
        <f>CRM_MAGDY!N152</f>
        <v>0</v>
      </c>
    </row>
    <row r="153" spans="1:8" ht="30" x14ac:dyDescent="0.25">
      <c r="A153" s="57">
        <f>CRM_MAGDY!H153</f>
        <v>5593</v>
      </c>
      <c r="B153" s="57" t="str">
        <f>CRM_MAGDY!I153</f>
        <v>Magda K</v>
      </c>
      <c r="C153" s="57">
        <f>CRM_MAGDY!E153</f>
        <v>0</v>
      </c>
      <c r="D153" s="57">
        <f>CRM_MAGDY!V153</f>
        <v>0</v>
      </c>
      <c r="E153" s="57" t="str">
        <f>IF(CRM_MAGDY!G153="","BRAK TELEFONU",IF(CRM_MAGDY!K153="","BRAK KWOTY",IF(CRM_MAGDY!N153="","BRAK STATUSU",IF(CRM_MAGDY!C153="","BRAK DATY AKCJI",""))))</f>
        <v>BRAK TELEFONU</v>
      </c>
      <c r="F153" s="57" t="str">
        <f>CRM_MAGDY!W153</f>
        <v>BRAKI CRM</v>
      </c>
      <c r="G153" s="57">
        <f>CRM_MAGDY!K153</f>
        <v>27000</v>
      </c>
      <c r="H153" s="57">
        <f>CRM_MAGDY!N153</f>
        <v>0</v>
      </c>
    </row>
    <row r="154" spans="1:8" ht="30" x14ac:dyDescent="0.25">
      <c r="A154" s="57">
        <f>CRM_MAGDY!H154</f>
        <v>5594</v>
      </c>
      <c r="B154" s="57" t="str">
        <f>CRM_MAGDY!I154</f>
        <v>Magda K</v>
      </c>
      <c r="C154" s="57">
        <f>CRM_MAGDY!E154</f>
        <v>0</v>
      </c>
      <c r="D154" s="57">
        <f>CRM_MAGDY!V154</f>
        <v>0</v>
      </c>
      <c r="E154" s="57" t="str">
        <f>IF(CRM_MAGDY!G154="","BRAK TELEFONU",IF(CRM_MAGDY!K154="","BRAK KWOTY",IF(CRM_MAGDY!N154="","BRAK STATUSU",IF(CRM_MAGDY!C154="","BRAK DATY AKCJI",""))))</f>
        <v>BRAK TELEFONU</v>
      </c>
      <c r="F154" s="57" t="str">
        <f>CRM_MAGDY!W154</f>
        <v>BRAKI CRM</v>
      </c>
      <c r="G154" s="57">
        <f>CRM_MAGDY!K154</f>
        <v>0</v>
      </c>
      <c r="H154" s="57">
        <f>CRM_MAGDY!N154</f>
        <v>0</v>
      </c>
    </row>
    <row r="155" spans="1:8" ht="30" x14ac:dyDescent="0.25">
      <c r="A155" s="57">
        <f>CRM_MAGDY!H155</f>
        <v>5595</v>
      </c>
      <c r="B155" s="57" t="str">
        <f>CRM_MAGDY!I155</f>
        <v>Magda B</v>
      </c>
      <c r="C155" s="57">
        <f>CRM_MAGDY!E155</f>
        <v>0</v>
      </c>
      <c r="D155" s="57">
        <f>CRM_MAGDY!V155</f>
        <v>0</v>
      </c>
      <c r="E155" s="57" t="str">
        <f>IF(CRM_MAGDY!G155="","BRAK TELEFONU",IF(CRM_MAGDY!K155="","BRAK KWOTY",IF(CRM_MAGDY!N155="","BRAK STATUSU",IF(CRM_MAGDY!C155="","BRAK DATY AKCJI",""))))</f>
        <v>BRAK TELEFONU</v>
      </c>
      <c r="F155" s="57" t="str">
        <f>CRM_MAGDY!W155</f>
        <v>BRAKI CRM</v>
      </c>
      <c r="G155" s="57">
        <f>CRM_MAGDY!K155</f>
        <v>17300</v>
      </c>
      <c r="H155" s="57">
        <f>CRM_MAGDY!N155</f>
        <v>0</v>
      </c>
    </row>
    <row r="156" spans="1:8" ht="30" x14ac:dyDescent="0.25">
      <c r="A156" s="57">
        <f>CRM_MAGDY!H156</f>
        <v>5596</v>
      </c>
      <c r="B156" s="57" t="str">
        <f>CRM_MAGDY!I156</f>
        <v>Magda B</v>
      </c>
      <c r="C156" s="57">
        <f>CRM_MAGDY!E156</f>
        <v>0</v>
      </c>
      <c r="D156" s="57">
        <f>CRM_MAGDY!V156</f>
        <v>0</v>
      </c>
      <c r="E156" s="57" t="str">
        <f>IF(CRM_MAGDY!G156="","BRAK TELEFONU",IF(CRM_MAGDY!K156="","BRAK KWOTY",IF(CRM_MAGDY!N156="","BRAK STATUSU",IF(CRM_MAGDY!C156="","BRAK DATY AKCJI",""))))</f>
        <v>BRAK TELEFONU</v>
      </c>
      <c r="F156" s="57" t="str">
        <f>CRM_MAGDY!W156</f>
        <v>BRAKI CRM</v>
      </c>
      <c r="G156" s="57">
        <f>CRM_MAGDY!K156</f>
        <v>0</v>
      </c>
      <c r="H156" s="57">
        <f>CRM_MAGDY!N156</f>
        <v>0</v>
      </c>
    </row>
    <row r="157" spans="1:8" ht="30" x14ac:dyDescent="0.25">
      <c r="A157" s="57">
        <f>CRM_MAGDY!H157</f>
        <v>5597</v>
      </c>
      <c r="B157" s="57" t="str">
        <f>CRM_MAGDY!I157</f>
        <v>Magda K</v>
      </c>
      <c r="C157" s="57">
        <f>CRM_MAGDY!E157</f>
        <v>0</v>
      </c>
      <c r="D157" s="57">
        <f>CRM_MAGDY!V157</f>
        <v>0</v>
      </c>
      <c r="E157" s="57" t="str">
        <f>IF(CRM_MAGDY!G157="","BRAK TELEFONU",IF(CRM_MAGDY!K157="","BRAK KWOTY",IF(CRM_MAGDY!N157="","BRAK STATUSU",IF(CRM_MAGDY!C157="","BRAK DATY AKCJI",""))))</f>
        <v>BRAK TELEFONU</v>
      </c>
      <c r="F157" s="57" t="str">
        <f>CRM_MAGDY!W157</f>
        <v>BRAKI CRM</v>
      </c>
      <c r="G157" s="57">
        <f>CRM_MAGDY!K157</f>
        <v>20000</v>
      </c>
      <c r="H157" s="57">
        <f>CRM_MAGDY!N157</f>
        <v>0</v>
      </c>
    </row>
    <row r="158" spans="1:8" ht="30" x14ac:dyDescent="0.25">
      <c r="A158" s="57">
        <f>CRM_MAGDY!H158</f>
        <v>5598</v>
      </c>
      <c r="B158" s="57" t="str">
        <f>CRM_MAGDY!I158</f>
        <v>Magda K</v>
      </c>
      <c r="C158" s="57">
        <f>CRM_MAGDY!E158</f>
        <v>0</v>
      </c>
      <c r="D158" s="57">
        <f>CRM_MAGDY!V158</f>
        <v>0</v>
      </c>
      <c r="E158" s="57" t="str">
        <f>IF(CRM_MAGDY!G158="","BRAK TELEFONU",IF(CRM_MAGDY!K158="","BRAK KWOTY",IF(CRM_MAGDY!N158="","BRAK STATUSU",IF(CRM_MAGDY!C158="","BRAK DATY AKCJI",""))))</f>
        <v>BRAK TELEFONU</v>
      </c>
      <c r="F158" s="57" t="str">
        <f>CRM_MAGDY!W158</f>
        <v>BRAKI CRM</v>
      </c>
      <c r="G158" s="57">
        <f>CRM_MAGDY!K158</f>
        <v>17000</v>
      </c>
      <c r="H158" s="57">
        <f>CRM_MAGDY!N158</f>
        <v>0</v>
      </c>
    </row>
    <row r="159" spans="1:8" ht="30" x14ac:dyDescent="0.25">
      <c r="A159" s="57">
        <f>CRM_MAGDY!H159</f>
        <v>5599</v>
      </c>
      <c r="B159" s="57" t="str">
        <f>CRM_MAGDY!I159</f>
        <v>Magda B</v>
      </c>
      <c r="C159" s="57">
        <f>CRM_MAGDY!E159</f>
        <v>0</v>
      </c>
      <c r="D159" s="57">
        <f>CRM_MAGDY!V159</f>
        <v>0</v>
      </c>
      <c r="E159" s="57" t="str">
        <f>IF(CRM_MAGDY!G159="","BRAK TELEFONU",IF(CRM_MAGDY!K159="","BRAK KWOTY",IF(CRM_MAGDY!N159="","BRAK STATUSU",IF(CRM_MAGDY!C159="","BRAK DATY AKCJI",""))))</f>
        <v>BRAK TELEFONU</v>
      </c>
      <c r="F159" s="57" t="str">
        <f>CRM_MAGDY!W159</f>
        <v>BRAKI CRM</v>
      </c>
      <c r="G159" s="57">
        <f>CRM_MAGDY!K159</f>
        <v>25000</v>
      </c>
      <c r="H159" s="57">
        <f>CRM_MAGDY!N159</f>
        <v>0</v>
      </c>
    </row>
    <row r="160" spans="1:8" ht="30" x14ac:dyDescent="0.25">
      <c r="A160" s="57">
        <f>CRM_MAGDY!H160</f>
        <v>5600</v>
      </c>
      <c r="B160" s="57" t="str">
        <f>CRM_MAGDY!I160</f>
        <v>Magda K</v>
      </c>
      <c r="C160" s="57">
        <f>CRM_MAGDY!E160</f>
        <v>0</v>
      </c>
      <c r="D160" s="57">
        <f>CRM_MAGDY!V160</f>
        <v>0</v>
      </c>
      <c r="E160" s="57" t="str">
        <f>IF(CRM_MAGDY!G160="","BRAK TELEFONU",IF(CRM_MAGDY!K160="","BRAK KWOTY",IF(CRM_MAGDY!N160="","BRAK STATUSU",IF(CRM_MAGDY!C160="","BRAK DATY AKCJI",""))))</f>
        <v>BRAK TELEFONU</v>
      </c>
      <c r="F160" s="57" t="str">
        <f>CRM_MAGDY!W160</f>
        <v>BRAKI CRM</v>
      </c>
      <c r="G160" s="57">
        <f>CRM_MAGDY!K160</f>
        <v>0</v>
      </c>
      <c r="H160" s="57">
        <f>CRM_MAGDY!N160</f>
        <v>0</v>
      </c>
    </row>
    <row r="161" spans="1:8" ht="30" x14ac:dyDescent="0.25">
      <c r="A161" s="57">
        <f>CRM_MAGDY!H161</f>
        <v>5601</v>
      </c>
      <c r="B161" s="57" t="str">
        <f>CRM_MAGDY!I161</f>
        <v>Magda B</v>
      </c>
      <c r="C161" s="57">
        <f>CRM_MAGDY!E161</f>
        <v>0</v>
      </c>
      <c r="D161" s="57">
        <f>CRM_MAGDY!V161</f>
        <v>0</v>
      </c>
      <c r="E161" s="57" t="str">
        <f>IF(CRM_MAGDY!G161="","BRAK TELEFONU",IF(CRM_MAGDY!K161="","BRAK KWOTY",IF(CRM_MAGDY!N161="","BRAK STATUSU",IF(CRM_MAGDY!C161="","BRAK DATY AKCJI",""))))</f>
        <v>BRAK TELEFONU</v>
      </c>
      <c r="F161" s="57" t="str">
        <f>CRM_MAGDY!W161</f>
        <v>BRAKI CRM</v>
      </c>
      <c r="G161" s="57">
        <f>CRM_MAGDY!K161</f>
        <v>30000</v>
      </c>
      <c r="H161" s="57">
        <f>CRM_MAGDY!N161</f>
        <v>0</v>
      </c>
    </row>
    <row r="162" spans="1:8" ht="30" x14ac:dyDescent="0.25">
      <c r="A162" s="57">
        <f>CRM_MAGDY!H162</f>
        <v>5602</v>
      </c>
      <c r="B162" s="57" t="str">
        <f>CRM_MAGDY!I162</f>
        <v>Magda K</v>
      </c>
      <c r="C162" s="57">
        <f>CRM_MAGDY!E162</f>
        <v>0</v>
      </c>
      <c r="D162" s="57">
        <f>CRM_MAGDY!V162</f>
        <v>0</v>
      </c>
      <c r="E162" s="57" t="str">
        <f>IF(CRM_MAGDY!G162="","BRAK TELEFONU",IF(CRM_MAGDY!K162="","BRAK KWOTY",IF(CRM_MAGDY!N162="","BRAK STATUSU",IF(CRM_MAGDY!C162="","BRAK DATY AKCJI",""))))</f>
        <v>BRAK TELEFONU</v>
      </c>
      <c r="F162" s="57" t="str">
        <f>CRM_MAGDY!W162</f>
        <v>BRAKI CRM</v>
      </c>
      <c r="G162" s="57">
        <f>CRM_MAGDY!K162</f>
        <v>0</v>
      </c>
      <c r="H162" s="57">
        <f>CRM_MAGDY!N162</f>
        <v>0</v>
      </c>
    </row>
    <row r="163" spans="1:8" ht="30" x14ac:dyDescent="0.25">
      <c r="A163" s="57">
        <f>CRM_MAGDY!H163</f>
        <v>5603</v>
      </c>
      <c r="B163" s="57" t="str">
        <f>CRM_MAGDY!I163</f>
        <v>Magda B</v>
      </c>
      <c r="C163" s="57">
        <f>CRM_MAGDY!E163</f>
        <v>0</v>
      </c>
      <c r="D163" s="57">
        <f>CRM_MAGDY!V163</f>
        <v>0</v>
      </c>
      <c r="E163" s="57" t="str">
        <f>IF(CRM_MAGDY!G163="","BRAK TELEFONU",IF(CRM_MAGDY!K163="","BRAK KWOTY",IF(CRM_MAGDY!N163="","BRAK STATUSU",IF(CRM_MAGDY!C163="","BRAK DATY AKCJI",""))))</f>
        <v>BRAK TELEFONU</v>
      </c>
      <c r="F163" s="57" t="str">
        <f>CRM_MAGDY!W163</f>
        <v>BRAKI CRM</v>
      </c>
      <c r="G163" s="57">
        <f>CRM_MAGDY!K163</f>
        <v>25000</v>
      </c>
      <c r="H163" s="57">
        <f>CRM_MAGDY!N163</f>
        <v>0</v>
      </c>
    </row>
    <row r="164" spans="1:8" ht="30" x14ac:dyDescent="0.25">
      <c r="A164" s="57">
        <f>CRM_MAGDY!H164</f>
        <v>5604</v>
      </c>
      <c r="B164" s="57" t="str">
        <f>CRM_MAGDY!I164</f>
        <v>Magda B</v>
      </c>
      <c r="C164" s="57">
        <f>CRM_MAGDY!E164</f>
        <v>0</v>
      </c>
      <c r="D164" s="57">
        <f>CRM_MAGDY!V164</f>
        <v>0</v>
      </c>
      <c r="E164" s="57" t="str">
        <f>IF(CRM_MAGDY!G164="","BRAK TELEFONU",IF(CRM_MAGDY!K164="","BRAK KWOTY",IF(CRM_MAGDY!N164="","BRAK STATUSU",IF(CRM_MAGDY!C164="","BRAK DATY AKCJI",""))))</f>
        <v>BRAK TELEFONU</v>
      </c>
      <c r="F164" s="57" t="str">
        <f>CRM_MAGDY!W164</f>
        <v>BRAKI CRM</v>
      </c>
      <c r="G164" s="57">
        <f>CRM_MAGDY!K164</f>
        <v>21400</v>
      </c>
      <c r="H164" s="57">
        <f>CRM_MAGDY!N164</f>
        <v>0</v>
      </c>
    </row>
    <row r="165" spans="1:8" ht="30" x14ac:dyDescent="0.25">
      <c r="A165" s="57">
        <f>CRM_MAGDY!H165</f>
        <v>5605</v>
      </c>
      <c r="B165" s="57" t="str">
        <f>CRM_MAGDY!I165</f>
        <v>Magda B</v>
      </c>
      <c r="C165" s="57">
        <f>CRM_MAGDY!E165</f>
        <v>0</v>
      </c>
      <c r="D165" s="57">
        <f>CRM_MAGDY!V165</f>
        <v>0.5</v>
      </c>
      <c r="E165" s="57" t="str">
        <f>IF(CRM_MAGDY!G165="","BRAK TELEFONU",IF(CRM_MAGDY!K165="","BRAK KWOTY",IF(CRM_MAGDY!N165="","BRAK STATUSU",IF(CRM_MAGDY!C165="","BRAK DATY AKCJI",""))))</f>
        <v>BRAK TELEFONU</v>
      </c>
      <c r="F165" s="57" t="str">
        <f>CRM_MAGDY!W165</f>
        <v>BRAKI CRM</v>
      </c>
      <c r="G165" s="57">
        <f>CRM_MAGDY!K165</f>
        <v>17000</v>
      </c>
      <c r="H165" s="57" t="str">
        <f>CRM_MAGDY!N165</f>
        <v>WYGRANA</v>
      </c>
    </row>
    <row r="166" spans="1:8" ht="30" x14ac:dyDescent="0.25">
      <c r="A166" s="57">
        <f>CRM_MAGDY!H166</f>
        <v>5606</v>
      </c>
      <c r="B166" s="57" t="str">
        <f>CRM_MAGDY!I166</f>
        <v>Magda K</v>
      </c>
      <c r="C166" s="57">
        <f>CRM_MAGDY!E166</f>
        <v>0</v>
      </c>
      <c r="D166" s="57">
        <f>CRM_MAGDY!V166</f>
        <v>0</v>
      </c>
      <c r="E166" s="57" t="str">
        <f>IF(CRM_MAGDY!G166="","BRAK TELEFONU",IF(CRM_MAGDY!K166="","BRAK KWOTY",IF(CRM_MAGDY!N166="","BRAK STATUSU",IF(CRM_MAGDY!C166="","BRAK DATY AKCJI",""))))</f>
        <v>BRAK TELEFONU</v>
      </c>
      <c r="F166" s="57" t="str">
        <f>CRM_MAGDY!W166</f>
        <v>BRAKI CRM</v>
      </c>
      <c r="G166" s="57">
        <f>CRM_MAGDY!K166</f>
        <v>0</v>
      </c>
      <c r="H166" s="57">
        <f>CRM_MAGDY!N166</f>
        <v>0</v>
      </c>
    </row>
    <row r="167" spans="1:8" ht="30" x14ac:dyDescent="0.25">
      <c r="A167" s="57">
        <f>CRM_MAGDY!H167</f>
        <v>5607</v>
      </c>
      <c r="B167" s="57" t="str">
        <f>CRM_MAGDY!I167</f>
        <v>Magda K</v>
      </c>
      <c r="C167" s="57">
        <f>CRM_MAGDY!E167</f>
        <v>0</v>
      </c>
      <c r="D167" s="57">
        <f>CRM_MAGDY!V167</f>
        <v>0</v>
      </c>
      <c r="E167" s="57" t="str">
        <f>IF(CRM_MAGDY!G167="","BRAK TELEFONU",IF(CRM_MAGDY!K167="","BRAK KWOTY",IF(CRM_MAGDY!N167="","BRAK STATUSU",IF(CRM_MAGDY!C167="","BRAK DATY AKCJI",""))))</f>
        <v>BRAK TELEFONU</v>
      </c>
      <c r="F167" s="57" t="str">
        <f>CRM_MAGDY!W167</f>
        <v>BRAKI CRM</v>
      </c>
      <c r="G167" s="57">
        <f>CRM_MAGDY!K167</f>
        <v>19000</v>
      </c>
      <c r="H167" s="57">
        <f>CRM_MAGDY!N167</f>
        <v>0</v>
      </c>
    </row>
    <row r="168" spans="1:8" ht="30" x14ac:dyDescent="0.25">
      <c r="A168" s="57">
        <f>CRM_MAGDY!H168</f>
        <v>5608</v>
      </c>
      <c r="B168" s="57" t="str">
        <f>CRM_MAGDY!I168</f>
        <v>Magda K</v>
      </c>
      <c r="C168" s="57">
        <f>CRM_MAGDY!E168</f>
        <v>0</v>
      </c>
      <c r="D168" s="57">
        <f>CRM_MAGDY!V168</f>
        <v>0</v>
      </c>
      <c r="E168" s="57" t="str">
        <f>IF(CRM_MAGDY!G168="","BRAK TELEFONU",IF(CRM_MAGDY!K168="","BRAK KWOTY",IF(CRM_MAGDY!N168="","BRAK STATUSU",IF(CRM_MAGDY!C168="","BRAK DATY AKCJI",""))))</f>
        <v>BRAK TELEFONU</v>
      </c>
      <c r="F168" s="57" t="str">
        <f>CRM_MAGDY!W168</f>
        <v>BRAKI CRM</v>
      </c>
      <c r="G168" s="57">
        <f>CRM_MAGDY!K168</f>
        <v>28000</v>
      </c>
      <c r="H168" s="57">
        <f>CRM_MAGDY!N168</f>
        <v>0</v>
      </c>
    </row>
    <row r="169" spans="1:8" ht="30" x14ac:dyDescent="0.25">
      <c r="A169" s="57">
        <f>CRM_MAGDY!H169</f>
        <v>5609</v>
      </c>
      <c r="B169" s="57" t="str">
        <f>CRM_MAGDY!I169</f>
        <v>Magda K</v>
      </c>
      <c r="C169" s="57">
        <f>CRM_MAGDY!E169</f>
        <v>0</v>
      </c>
      <c r="D169" s="57">
        <f>CRM_MAGDY!V169</f>
        <v>0</v>
      </c>
      <c r="E169" s="57" t="str">
        <f>IF(CRM_MAGDY!G169="","BRAK TELEFONU",IF(CRM_MAGDY!K169="","BRAK KWOTY",IF(CRM_MAGDY!N169="","BRAK STATUSU",IF(CRM_MAGDY!C169="","BRAK DATY AKCJI",""))))</f>
        <v>BRAK TELEFONU</v>
      </c>
      <c r="F169" s="57" t="str">
        <f>CRM_MAGDY!W169</f>
        <v>BRAKI CRM</v>
      </c>
      <c r="G169" s="57">
        <f>CRM_MAGDY!K169</f>
        <v>32000</v>
      </c>
      <c r="H169" s="57">
        <f>CRM_MAGDY!N169</f>
        <v>0</v>
      </c>
    </row>
    <row r="170" spans="1:8" ht="30" x14ac:dyDescent="0.25">
      <c r="A170" s="57">
        <f>CRM_MAGDY!H170</f>
        <v>5610</v>
      </c>
      <c r="B170" s="57" t="str">
        <f>CRM_MAGDY!I170</f>
        <v>Magda K</v>
      </c>
      <c r="C170" s="57">
        <f>CRM_MAGDY!E170</f>
        <v>0</v>
      </c>
      <c r="D170" s="57">
        <f>CRM_MAGDY!V170</f>
        <v>0</v>
      </c>
      <c r="E170" s="57" t="str">
        <f>IF(CRM_MAGDY!G170="","BRAK TELEFONU",IF(CRM_MAGDY!K170="","BRAK KWOTY",IF(CRM_MAGDY!N170="","BRAK STATUSU",IF(CRM_MAGDY!C170="","BRAK DATY AKCJI",""))))</f>
        <v>BRAK TELEFONU</v>
      </c>
      <c r="F170" s="57" t="str">
        <f>CRM_MAGDY!W170</f>
        <v>BRAKI CRM</v>
      </c>
      <c r="G170" s="57">
        <f>CRM_MAGDY!K170</f>
        <v>27000</v>
      </c>
      <c r="H170" s="57">
        <f>CRM_MAGDY!N170</f>
        <v>0</v>
      </c>
    </row>
    <row r="171" spans="1:8" ht="30" x14ac:dyDescent="0.25">
      <c r="A171" s="57">
        <f>CRM_MAGDY!H171</f>
        <v>5611</v>
      </c>
      <c r="B171" s="57" t="str">
        <f>CRM_MAGDY!I171</f>
        <v>Magda B</v>
      </c>
      <c r="C171" s="57">
        <f>CRM_MAGDY!E171</f>
        <v>0</v>
      </c>
      <c r="D171" s="57">
        <f>CRM_MAGDY!V171</f>
        <v>0.25</v>
      </c>
      <c r="E171" s="57" t="str">
        <f>IF(CRM_MAGDY!G171="","BRAK TELEFONU",IF(CRM_MAGDY!K171="","BRAK KWOTY",IF(CRM_MAGDY!N171="","BRAK STATUSU",IF(CRM_MAGDY!C171="","BRAK DATY AKCJI",""))))</f>
        <v>BRAK TELEFONU</v>
      </c>
      <c r="F171" s="57" t="str">
        <f>CRM_MAGDY!W171</f>
        <v>BRAKI CRM</v>
      </c>
      <c r="G171" s="57">
        <f>CRM_MAGDY!K171</f>
        <v>25000</v>
      </c>
      <c r="H171" s="57">
        <f>CRM_MAGDY!N171</f>
        <v>0</v>
      </c>
    </row>
    <row r="172" spans="1:8" ht="30" x14ac:dyDescent="0.25">
      <c r="A172" s="57">
        <f>CRM_MAGDY!H172</f>
        <v>5612</v>
      </c>
      <c r="B172" s="57" t="str">
        <f>CRM_MAGDY!I172</f>
        <v>Magda B</v>
      </c>
      <c r="C172" s="57">
        <f>CRM_MAGDY!E172</f>
        <v>0</v>
      </c>
      <c r="D172" s="57">
        <f>CRM_MAGDY!V172</f>
        <v>0</v>
      </c>
      <c r="E172" s="57" t="str">
        <f>IF(CRM_MAGDY!G172="","BRAK TELEFONU",IF(CRM_MAGDY!K172="","BRAK KWOTY",IF(CRM_MAGDY!N172="","BRAK STATUSU",IF(CRM_MAGDY!C172="","BRAK DATY AKCJI",""))))</f>
        <v>BRAK TELEFONU</v>
      </c>
      <c r="F172" s="57" t="str">
        <f>CRM_MAGDY!W172</f>
        <v>BRAKI CRM</v>
      </c>
      <c r="G172" s="57">
        <f>CRM_MAGDY!K172</f>
        <v>15000</v>
      </c>
      <c r="H172" s="57">
        <f>CRM_MAGDY!N172</f>
        <v>0</v>
      </c>
    </row>
    <row r="173" spans="1:8" ht="30" x14ac:dyDescent="0.25">
      <c r="A173" s="57">
        <f>CRM_MAGDY!H173</f>
        <v>5613</v>
      </c>
      <c r="B173" s="57" t="str">
        <f>CRM_MAGDY!I173</f>
        <v>Magda K</v>
      </c>
      <c r="C173" s="57">
        <f>CRM_MAGDY!E173</f>
        <v>0</v>
      </c>
      <c r="D173" s="57">
        <f>CRM_MAGDY!V173</f>
        <v>0.5</v>
      </c>
      <c r="E173" s="57" t="str">
        <f>IF(CRM_MAGDY!G173="","BRAK TELEFONU",IF(CRM_MAGDY!K173="","BRAK KWOTY",IF(CRM_MAGDY!N173="","BRAK STATUSU",IF(CRM_MAGDY!C173="","BRAK DATY AKCJI",""))))</f>
        <v>BRAK TELEFONU</v>
      </c>
      <c r="F173" s="57" t="str">
        <f>CRM_MAGDY!W173</f>
        <v>BRAKI CRM</v>
      </c>
      <c r="G173" s="57">
        <f>CRM_MAGDY!K173</f>
        <v>0</v>
      </c>
      <c r="H173" s="57" t="str">
        <f>CRM_MAGDY!N173</f>
        <v>WYGRANA</v>
      </c>
    </row>
    <row r="174" spans="1:8" ht="30" x14ac:dyDescent="0.25">
      <c r="A174" s="57">
        <f>CRM_MAGDY!H174</f>
        <v>5614</v>
      </c>
      <c r="B174" s="57" t="str">
        <f>CRM_MAGDY!I174</f>
        <v>Magda B</v>
      </c>
      <c r="C174" s="57">
        <f>CRM_MAGDY!E174</f>
        <v>0</v>
      </c>
      <c r="D174" s="57">
        <f>CRM_MAGDY!V174</f>
        <v>0.25</v>
      </c>
      <c r="E174" s="57" t="str">
        <f>IF(CRM_MAGDY!G174="","BRAK TELEFONU",IF(CRM_MAGDY!K174="","BRAK KWOTY",IF(CRM_MAGDY!N174="","BRAK STATUSU",IF(CRM_MAGDY!C174="","BRAK DATY AKCJI",""))))</f>
        <v>BRAK TELEFONU</v>
      </c>
      <c r="F174" s="57" t="str">
        <f>CRM_MAGDY!W174</f>
        <v>BRAKI CRM</v>
      </c>
      <c r="G174" s="57">
        <f>CRM_MAGDY!K174</f>
        <v>105000</v>
      </c>
      <c r="H174" s="57">
        <f>CRM_MAGDY!N174</f>
        <v>0</v>
      </c>
    </row>
    <row r="175" spans="1:8" ht="30" x14ac:dyDescent="0.25">
      <c r="A175" s="57">
        <f>CRM_MAGDY!H175</f>
        <v>5615</v>
      </c>
      <c r="B175" s="57" t="str">
        <f>CRM_MAGDY!I175</f>
        <v>Magda B</v>
      </c>
      <c r="C175" s="57">
        <f>CRM_MAGDY!E175</f>
        <v>0</v>
      </c>
      <c r="D175" s="57">
        <f>CRM_MAGDY!V175</f>
        <v>0</v>
      </c>
      <c r="E175" s="57" t="str">
        <f>IF(CRM_MAGDY!G175="","BRAK TELEFONU",IF(CRM_MAGDY!K175="","BRAK KWOTY",IF(CRM_MAGDY!N175="","BRAK STATUSU",IF(CRM_MAGDY!C175="","BRAK DATY AKCJI",""))))</f>
        <v>BRAK TELEFONU</v>
      </c>
      <c r="F175" s="57" t="str">
        <f>CRM_MAGDY!W175</f>
        <v>BRAKI CRM</v>
      </c>
      <c r="G175" s="57">
        <f>CRM_MAGDY!K175</f>
        <v>0</v>
      </c>
      <c r="H175" s="57">
        <f>CRM_MAGDY!N175</f>
        <v>0</v>
      </c>
    </row>
    <row r="176" spans="1:8" ht="30" x14ac:dyDescent="0.25">
      <c r="A176" s="57">
        <f>CRM_MAGDY!H176</f>
        <v>5616</v>
      </c>
      <c r="B176" s="57" t="str">
        <f>CRM_MAGDY!I176</f>
        <v>Magda K</v>
      </c>
      <c r="C176" s="57">
        <f>CRM_MAGDY!E176</f>
        <v>0</v>
      </c>
      <c r="D176" s="57">
        <f>CRM_MAGDY!V176</f>
        <v>0</v>
      </c>
      <c r="E176" s="57" t="str">
        <f>IF(CRM_MAGDY!G176="","BRAK TELEFONU",IF(CRM_MAGDY!K176="","BRAK KWOTY",IF(CRM_MAGDY!N176="","BRAK STATUSU",IF(CRM_MAGDY!C176="","BRAK DATY AKCJI",""))))</f>
        <v>BRAK TELEFONU</v>
      </c>
      <c r="F176" s="57" t="str">
        <f>CRM_MAGDY!W176</f>
        <v>BRAKI CRM</v>
      </c>
      <c r="G176" s="57">
        <f>CRM_MAGDY!K176</f>
        <v>20000</v>
      </c>
      <c r="H176" s="57">
        <f>CRM_MAGDY!N176</f>
        <v>0</v>
      </c>
    </row>
    <row r="177" spans="1:8" ht="30" x14ac:dyDescent="0.25">
      <c r="A177" s="57">
        <f>CRM_MAGDY!H177</f>
        <v>5617</v>
      </c>
      <c r="B177" s="57" t="str">
        <f>CRM_MAGDY!I177</f>
        <v>Magda K</v>
      </c>
      <c r="C177" s="57">
        <f>CRM_MAGDY!E177</f>
        <v>0</v>
      </c>
      <c r="D177" s="57">
        <f>CRM_MAGDY!V177</f>
        <v>0</v>
      </c>
      <c r="E177" s="57" t="str">
        <f>IF(CRM_MAGDY!G177="","BRAK TELEFONU",IF(CRM_MAGDY!K177="","BRAK KWOTY",IF(CRM_MAGDY!N177="","BRAK STATUSU",IF(CRM_MAGDY!C177="","BRAK DATY AKCJI",""))))</f>
        <v>BRAK TELEFONU</v>
      </c>
      <c r="F177" s="57" t="str">
        <f>CRM_MAGDY!W177</f>
        <v>BRAKI CRM</v>
      </c>
      <c r="G177" s="57">
        <f>CRM_MAGDY!K177</f>
        <v>17000</v>
      </c>
      <c r="H177" s="57">
        <f>CRM_MAGDY!N177</f>
        <v>0</v>
      </c>
    </row>
    <row r="178" spans="1:8" ht="30" x14ac:dyDescent="0.25">
      <c r="A178" s="57">
        <f>CRM_MAGDY!H178</f>
        <v>5618</v>
      </c>
      <c r="B178" s="57" t="str">
        <f>CRM_MAGDY!I178</f>
        <v>Magda K</v>
      </c>
      <c r="C178" s="57">
        <f>CRM_MAGDY!E178</f>
        <v>0</v>
      </c>
      <c r="D178" s="57">
        <f>CRM_MAGDY!V178</f>
        <v>0</v>
      </c>
      <c r="E178" s="57" t="str">
        <f>IF(CRM_MAGDY!G178="","BRAK TELEFONU",IF(CRM_MAGDY!K178="","BRAK KWOTY",IF(CRM_MAGDY!N178="","BRAK STATUSU",IF(CRM_MAGDY!C178="","BRAK DATY AKCJI",""))))</f>
        <v>BRAK TELEFONU</v>
      </c>
      <c r="F178" s="57" t="str">
        <f>CRM_MAGDY!W178</f>
        <v>BRAKI CRM</v>
      </c>
      <c r="G178" s="57">
        <f>CRM_MAGDY!K178</f>
        <v>0</v>
      </c>
      <c r="H178" s="57">
        <f>CRM_MAGDY!N178</f>
        <v>0</v>
      </c>
    </row>
    <row r="179" spans="1:8" ht="30" x14ac:dyDescent="0.25">
      <c r="A179" s="57">
        <f>CRM_MAGDY!H179</f>
        <v>5619</v>
      </c>
      <c r="B179" s="57" t="str">
        <f>CRM_MAGDY!I179</f>
        <v>Magda K</v>
      </c>
      <c r="C179" s="57">
        <f>CRM_MAGDY!E179</f>
        <v>0</v>
      </c>
      <c r="D179" s="57">
        <f>CRM_MAGDY!V179</f>
        <v>0</v>
      </c>
      <c r="E179" s="57" t="str">
        <f>IF(CRM_MAGDY!G179="","BRAK TELEFONU",IF(CRM_MAGDY!K179="","BRAK KWOTY",IF(CRM_MAGDY!N179="","BRAK STATUSU",IF(CRM_MAGDY!C179="","BRAK DATY AKCJI",""))))</f>
        <v>BRAK TELEFONU</v>
      </c>
      <c r="F179" s="57" t="str">
        <f>CRM_MAGDY!W179</f>
        <v>BRAKI CRM</v>
      </c>
      <c r="G179" s="57">
        <f>CRM_MAGDY!K179</f>
        <v>25000</v>
      </c>
      <c r="H179" s="57">
        <f>CRM_MAGDY!N179</f>
        <v>0</v>
      </c>
    </row>
    <row r="180" spans="1:8" ht="30" x14ac:dyDescent="0.25">
      <c r="A180" s="57">
        <f>CRM_MAGDY!H180</f>
        <v>5620</v>
      </c>
      <c r="B180" s="57" t="str">
        <f>CRM_MAGDY!I180</f>
        <v>Magda B</v>
      </c>
      <c r="C180" s="57">
        <f>CRM_MAGDY!E180</f>
        <v>0</v>
      </c>
      <c r="D180" s="57">
        <f>CRM_MAGDY!V180</f>
        <v>0.5</v>
      </c>
      <c r="E180" s="57" t="str">
        <f>IF(CRM_MAGDY!G180="","BRAK TELEFONU",IF(CRM_MAGDY!K180="","BRAK KWOTY",IF(CRM_MAGDY!N180="","BRAK STATUSU",IF(CRM_MAGDY!C180="","BRAK DATY AKCJI",""))))</f>
        <v>BRAK TELEFONU</v>
      </c>
      <c r="F180" s="57" t="str">
        <f>CRM_MAGDY!W180</f>
        <v>BRAKI CRM</v>
      </c>
      <c r="G180" s="57">
        <f>CRM_MAGDY!K180</f>
        <v>18684</v>
      </c>
      <c r="H180" s="57" t="str">
        <f>CRM_MAGDY!N180</f>
        <v>WYGRANA</v>
      </c>
    </row>
    <row r="181" spans="1:8" ht="30" x14ac:dyDescent="0.25">
      <c r="A181" s="57">
        <f>CRM_MAGDY!H181</f>
        <v>5621</v>
      </c>
      <c r="B181" s="57" t="str">
        <f>CRM_MAGDY!I181</f>
        <v>Magda B</v>
      </c>
      <c r="C181" s="57">
        <f>CRM_MAGDY!E181</f>
        <v>0</v>
      </c>
      <c r="D181" s="57">
        <f>CRM_MAGDY!V181</f>
        <v>0.25</v>
      </c>
      <c r="E181" s="57" t="str">
        <f>IF(CRM_MAGDY!G181="","BRAK TELEFONU",IF(CRM_MAGDY!K181="","BRAK KWOTY",IF(CRM_MAGDY!N181="","BRAK STATUSU",IF(CRM_MAGDY!C181="","BRAK DATY AKCJI",""))))</f>
        <v>BRAK TELEFONU</v>
      </c>
      <c r="F181" s="57" t="str">
        <f>CRM_MAGDY!W181</f>
        <v>BRAKI CRM</v>
      </c>
      <c r="G181" s="57">
        <f>CRM_MAGDY!K181</f>
        <v>23000</v>
      </c>
      <c r="H181" s="57">
        <f>CRM_MAGDY!N181</f>
        <v>0</v>
      </c>
    </row>
    <row r="182" spans="1:8" ht="30" x14ac:dyDescent="0.25">
      <c r="A182" s="57">
        <f>CRM_MAGDY!H182</f>
        <v>5622</v>
      </c>
      <c r="B182" s="57" t="str">
        <f>CRM_MAGDY!I182</f>
        <v>Magda K</v>
      </c>
      <c r="C182" s="57">
        <f>CRM_MAGDY!E182</f>
        <v>0</v>
      </c>
      <c r="D182" s="57">
        <f>CRM_MAGDY!V182</f>
        <v>0</v>
      </c>
      <c r="E182" s="57" t="str">
        <f>IF(CRM_MAGDY!G182="","BRAK TELEFONU",IF(CRM_MAGDY!K182="","BRAK KWOTY",IF(CRM_MAGDY!N182="","BRAK STATUSU",IF(CRM_MAGDY!C182="","BRAK DATY AKCJI",""))))</f>
        <v>BRAK TELEFONU</v>
      </c>
      <c r="F182" s="57" t="str">
        <f>CRM_MAGDY!W182</f>
        <v>BRAKI CRM</v>
      </c>
      <c r="G182" s="57">
        <f>CRM_MAGDY!K182</f>
        <v>11000</v>
      </c>
      <c r="H182" s="57">
        <f>CRM_MAGDY!N182</f>
        <v>0</v>
      </c>
    </row>
    <row r="183" spans="1:8" ht="30" x14ac:dyDescent="0.25">
      <c r="A183" s="57">
        <f>CRM_MAGDY!H183</f>
        <v>5623</v>
      </c>
      <c r="B183" s="57" t="str">
        <f>CRM_MAGDY!I183</f>
        <v>Magda K</v>
      </c>
      <c r="C183" s="57">
        <f>CRM_MAGDY!E183</f>
        <v>0</v>
      </c>
      <c r="D183" s="57">
        <f>CRM_MAGDY!V183</f>
        <v>0</v>
      </c>
      <c r="E183" s="57" t="str">
        <f>IF(CRM_MAGDY!G183="","BRAK TELEFONU",IF(CRM_MAGDY!K183="","BRAK KWOTY",IF(CRM_MAGDY!N183="","BRAK STATUSU",IF(CRM_MAGDY!C183="","BRAK DATY AKCJI",""))))</f>
        <v>BRAK TELEFONU</v>
      </c>
      <c r="F183" s="57" t="str">
        <f>CRM_MAGDY!W183</f>
        <v>BRAKI CRM</v>
      </c>
      <c r="G183" s="57">
        <f>CRM_MAGDY!K183</f>
        <v>30000</v>
      </c>
      <c r="H183" s="57">
        <f>CRM_MAGDY!N183</f>
        <v>0</v>
      </c>
    </row>
    <row r="184" spans="1:8" ht="30" x14ac:dyDescent="0.25">
      <c r="A184" s="57">
        <f>CRM_MAGDY!H184</f>
        <v>5624</v>
      </c>
      <c r="B184" s="57" t="str">
        <f>CRM_MAGDY!I184</f>
        <v>Magda K</v>
      </c>
      <c r="C184" s="57">
        <f>CRM_MAGDY!E184</f>
        <v>0</v>
      </c>
      <c r="D184" s="57">
        <f>CRM_MAGDY!V184</f>
        <v>0.25</v>
      </c>
      <c r="E184" s="57" t="str">
        <f>IF(CRM_MAGDY!G184="","BRAK TELEFONU",IF(CRM_MAGDY!K184="","BRAK KWOTY",IF(CRM_MAGDY!N184="","BRAK STATUSU",IF(CRM_MAGDY!C184="","BRAK DATY AKCJI",""))))</f>
        <v>BRAK TELEFONU</v>
      </c>
      <c r="F184" s="57" t="str">
        <f>CRM_MAGDY!W184</f>
        <v>BRAKI CRM</v>
      </c>
      <c r="G184" s="57">
        <f>CRM_MAGDY!K184</f>
        <v>30000</v>
      </c>
      <c r="H184" s="57">
        <f>CRM_MAGDY!N184</f>
        <v>0</v>
      </c>
    </row>
    <row r="185" spans="1:8" ht="30" x14ac:dyDescent="0.25">
      <c r="A185" s="57">
        <f>CRM_MAGDY!H185</f>
        <v>5625</v>
      </c>
      <c r="B185" s="57" t="str">
        <f>CRM_MAGDY!I185</f>
        <v>Magda B</v>
      </c>
      <c r="C185" s="57">
        <f>CRM_MAGDY!E185</f>
        <v>0</v>
      </c>
      <c r="D185" s="57">
        <f>CRM_MAGDY!V185</f>
        <v>0.25</v>
      </c>
      <c r="E185" s="57" t="str">
        <f>IF(CRM_MAGDY!G185="","BRAK TELEFONU",IF(CRM_MAGDY!K185="","BRAK KWOTY",IF(CRM_MAGDY!N185="","BRAK STATUSU",IF(CRM_MAGDY!C185="","BRAK DATY AKCJI",""))))</f>
        <v>BRAK TELEFONU</v>
      </c>
      <c r="F185" s="57" t="str">
        <f>CRM_MAGDY!W185</f>
        <v>BRAKI CRM</v>
      </c>
      <c r="G185" s="57">
        <f>CRM_MAGDY!K185</f>
        <v>0</v>
      </c>
      <c r="H185" s="57">
        <f>CRM_MAGDY!N185</f>
        <v>0</v>
      </c>
    </row>
    <row r="186" spans="1:8" ht="30" x14ac:dyDescent="0.25">
      <c r="A186" s="57">
        <f>CRM_MAGDY!H186</f>
        <v>5626</v>
      </c>
      <c r="B186" s="57" t="str">
        <f>CRM_MAGDY!I186</f>
        <v>Magda B</v>
      </c>
      <c r="C186" s="57">
        <f>CRM_MAGDY!E186</f>
        <v>0</v>
      </c>
      <c r="D186" s="57">
        <f>CRM_MAGDY!V186</f>
        <v>0</v>
      </c>
      <c r="E186" s="57" t="str">
        <f>IF(CRM_MAGDY!G186="","BRAK TELEFONU",IF(CRM_MAGDY!K186="","BRAK KWOTY",IF(CRM_MAGDY!N186="","BRAK STATUSU",IF(CRM_MAGDY!C186="","BRAK DATY AKCJI",""))))</f>
        <v>BRAK TELEFONU</v>
      </c>
      <c r="F186" s="57" t="str">
        <f>CRM_MAGDY!W186</f>
        <v>BRAKI CRM</v>
      </c>
      <c r="G186" s="57">
        <f>CRM_MAGDY!K186</f>
        <v>21600</v>
      </c>
      <c r="H186" s="57">
        <f>CRM_MAGDY!N186</f>
        <v>0</v>
      </c>
    </row>
    <row r="187" spans="1:8" ht="30" x14ac:dyDescent="0.25">
      <c r="A187" s="57">
        <f>CRM_MAGDY!H187</f>
        <v>5627</v>
      </c>
      <c r="B187" s="57" t="str">
        <f>CRM_MAGDY!I187</f>
        <v>Magda K</v>
      </c>
      <c r="C187" s="57">
        <f>CRM_MAGDY!E187</f>
        <v>0</v>
      </c>
      <c r="D187" s="57">
        <f>CRM_MAGDY!V187</f>
        <v>0</v>
      </c>
      <c r="E187" s="57" t="str">
        <f>IF(CRM_MAGDY!G187="","BRAK TELEFONU",IF(CRM_MAGDY!K187="","BRAK KWOTY",IF(CRM_MAGDY!N187="","BRAK STATUSU",IF(CRM_MAGDY!C187="","BRAK DATY AKCJI",""))))</f>
        <v>BRAK TELEFONU</v>
      </c>
      <c r="F187" s="57" t="str">
        <f>CRM_MAGDY!W187</f>
        <v>BRAKI CRM</v>
      </c>
      <c r="G187" s="57">
        <f>CRM_MAGDY!K187</f>
        <v>24000</v>
      </c>
      <c r="H187" s="57">
        <f>CRM_MAGDY!N187</f>
        <v>0</v>
      </c>
    </row>
    <row r="188" spans="1:8" ht="30" x14ac:dyDescent="0.25">
      <c r="A188" s="57">
        <f>CRM_MAGDY!H188</f>
        <v>5628</v>
      </c>
      <c r="B188" s="57" t="str">
        <f>CRM_MAGDY!I188</f>
        <v>Magda B</v>
      </c>
      <c r="C188" s="57">
        <f>CRM_MAGDY!E188</f>
        <v>0</v>
      </c>
      <c r="D188" s="57">
        <f>CRM_MAGDY!V188</f>
        <v>0.25</v>
      </c>
      <c r="E188" s="57" t="str">
        <f>IF(CRM_MAGDY!G188="","BRAK TELEFONU",IF(CRM_MAGDY!K188="","BRAK KWOTY",IF(CRM_MAGDY!N188="","BRAK STATUSU",IF(CRM_MAGDY!C188="","BRAK DATY AKCJI",""))))</f>
        <v>BRAK TELEFONU</v>
      </c>
      <c r="F188" s="57" t="str">
        <f>CRM_MAGDY!W188</f>
        <v>BRAKI CRM</v>
      </c>
      <c r="G188" s="57">
        <f>CRM_MAGDY!K188</f>
        <v>35000</v>
      </c>
      <c r="H188" s="57">
        <f>CRM_MAGDY!N188</f>
        <v>0</v>
      </c>
    </row>
    <row r="189" spans="1:8" ht="30" x14ac:dyDescent="0.25">
      <c r="A189" s="57">
        <f>CRM_MAGDY!H189</f>
        <v>5629</v>
      </c>
      <c r="B189" s="57" t="str">
        <f>CRM_MAGDY!I189</f>
        <v>Magda K</v>
      </c>
      <c r="C189" s="57">
        <f>CRM_MAGDY!E189</f>
        <v>0</v>
      </c>
      <c r="D189" s="57">
        <f>CRM_MAGDY!V189</f>
        <v>0</v>
      </c>
      <c r="E189" s="57" t="str">
        <f>IF(CRM_MAGDY!G189="","BRAK TELEFONU",IF(CRM_MAGDY!K189="","BRAK KWOTY",IF(CRM_MAGDY!N189="","BRAK STATUSU",IF(CRM_MAGDY!C189="","BRAK DATY AKCJI",""))))</f>
        <v>BRAK TELEFONU</v>
      </c>
      <c r="F189" s="57" t="str">
        <f>CRM_MAGDY!W189</f>
        <v>BRAKI CRM</v>
      </c>
      <c r="G189" s="57">
        <f>CRM_MAGDY!K189</f>
        <v>21000</v>
      </c>
      <c r="H189" s="57">
        <f>CRM_MAGDY!N189</f>
        <v>0</v>
      </c>
    </row>
    <row r="190" spans="1:8" ht="30" x14ac:dyDescent="0.25">
      <c r="A190" s="57">
        <f>CRM_MAGDY!H190</f>
        <v>5630</v>
      </c>
      <c r="B190" s="57" t="str">
        <f>CRM_MAGDY!I190</f>
        <v>Magda B</v>
      </c>
      <c r="C190" s="57">
        <f>CRM_MAGDY!E190</f>
        <v>0</v>
      </c>
      <c r="D190" s="57">
        <f>CRM_MAGDY!V190</f>
        <v>0</v>
      </c>
      <c r="E190" s="57" t="str">
        <f>IF(CRM_MAGDY!G190="","BRAK TELEFONU",IF(CRM_MAGDY!K190="","BRAK KWOTY",IF(CRM_MAGDY!N190="","BRAK STATUSU",IF(CRM_MAGDY!C190="","BRAK DATY AKCJI",""))))</f>
        <v>BRAK TELEFONU</v>
      </c>
      <c r="F190" s="57" t="str">
        <f>CRM_MAGDY!W190</f>
        <v>BRAKI CRM</v>
      </c>
      <c r="G190" s="57">
        <f>CRM_MAGDY!K190</f>
        <v>0</v>
      </c>
      <c r="H190" s="57">
        <f>CRM_MAGDY!N190</f>
        <v>0</v>
      </c>
    </row>
    <row r="191" spans="1:8" ht="30" x14ac:dyDescent="0.25">
      <c r="A191" s="57">
        <f>CRM_MAGDY!H191</f>
        <v>5630</v>
      </c>
      <c r="B191" s="57" t="str">
        <f>CRM_MAGDY!I191</f>
        <v>Magda K</v>
      </c>
      <c r="C191" s="57">
        <f>CRM_MAGDY!E191</f>
        <v>0</v>
      </c>
      <c r="D191" s="57">
        <f>CRM_MAGDY!V191</f>
        <v>0.5</v>
      </c>
      <c r="E191" s="57" t="str">
        <f>IF(CRM_MAGDY!G191="","BRAK TELEFONU",IF(CRM_MAGDY!K191="","BRAK KWOTY",IF(CRM_MAGDY!N191="","BRAK STATUSU",IF(CRM_MAGDY!C191="","BRAK DATY AKCJI",""))))</f>
        <v>BRAK TELEFONU</v>
      </c>
      <c r="F191" s="57" t="str">
        <f>CRM_MAGDY!W191</f>
        <v>BRAKI CRM</v>
      </c>
      <c r="G191" s="57">
        <f>CRM_MAGDY!K191</f>
        <v>23000</v>
      </c>
      <c r="H191" s="57" t="str">
        <f>CRM_MAGDY!N191</f>
        <v>WYGRANA</v>
      </c>
    </row>
    <row r="192" spans="1:8" ht="30" x14ac:dyDescent="0.25">
      <c r="A192" s="57">
        <f>CRM_MAGDY!H192</f>
        <v>5632</v>
      </c>
      <c r="B192" s="57" t="str">
        <f>CRM_MAGDY!I192</f>
        <v>Magda B</v>
      </c>
      <c r="C192" s="57">
        <f>CRM_MAGDY!E192</f>
        <v>0</v>
      </c>
      <c r="D192" s="57">
        <f>CRM_MAGDY!V192</f>
        <v>0.25</v>
      </c>
      <c r="E192" s="57" t="str">
        <f>IF(CRM_MAGDY!G192="","BRAK TELEFONU",IF(CRM_MAGDY!K192="","BRAK KWOTY",IF(CRM_MAGDY!N192="","BRAK STATUSU",IF(CRM_MAGDY!C192="","BRAK DATY AKCJI",""))))</f>
        <v>BRAK TELEFONU</v>
      </c>
      <c r="F192" s="57" t="str">
        <f>CRM_MAGDY!W192</f>
        <v>BRAKI CRM</v>
      </c>
      <c r="G192" s="57">
        <f>CRM_MAGDY!K192</f>
        <v>30000</v>
      </c>
      <c r="H192" s="57">
        <f>CRM_MAGDY!N192</f>
        <v>0</v>
      </c>
    </row>
    <row r="193" spans="1:8" ht="30" x14ac:dyDescent="0.25">
      <c r="A193" s="57">
        <f>CRM_MAGDY!H193</f>
        <v>5633</v>
      </c>
      <c r="B193" s="57" t="str">
        <f>CRM_MAGDY!I193</f>
        <v>Magda B</v>
      </c>
      <c r="C193" s="57">
        <f>CRM_MAGDY!E193</f>
        <v>0</v>
      </c>
      <c r="D193" s="57">
        <f>CRM_MAGDY!V193</f>
        <v>0.25</v>
      </c>
      <c r="E193" s="57" t="str">
        <f>IF(CRM_MAGDY!G193="","BRAK TELEFONU",IF(CRM_MAGDY!K193="","BRAK KWOTY",IF(CRM_MAGDY!N193="","BRAK STATUSU",IF(CRM_MAGDY!C193="","BRAK DATY AKCJI",""))))</f>
        <v>BRAK TELEFONU</v>
      </c>
      <c r="F193" s="57" t="str">
        <f>CRM_MAGDY!W193</f>
        <v>BRAKI CRM</v>
      </c>
      <c r="G193" s="57">
        <f>CRM_MAGDY!K193</f>
        <v>25000</v>
      </c>
      <c r="H193" s="57">
        <f>CRM_MAGDY!N193</f>
        <v>0</v>
      </c>
    </row>
    <row r="194" spans="1:8" ht="30" x14ac:dyDescent="0.25">
      <c r="A194" s="57">
        <f>CRM_MAGDY!H194</f>
        <v>5634</v>
      </c>
      <c r="B194" s="57" t="str">
        <f>CRM_MAGDY!I194</f>
        <v>Magda B</v>
      </c>
      <c r="C194" s="57">
        <f>CRM_MAGDY!E194</f>
        <v>0</v>
      </c>
      <c r="D194" s="57">
        <f>CRM_MAGDY!V194</f>
        <v>0.25</v>
      </c>
      <c r="E194" s="57" t="str">
        <f>IF(CRM_MAGDY!G194="","BRAK TELEFONU",IF(CRM_MAGDY!K194="","BRAK KWOTY",IF(CRM_MAGDY!N194="","BRAK STATUSU",IF(CRM_MAGDY!C194="","BRAK DATY AKCJI",""))))</f>
        <v>BRAK TELEFONU</v>
      </c>
      <c r="F194" s="57" t="str">
        <f>CRM_MAGDY!W194</f>
        <v>BRAKI CRM</v>
      </c>
      <c r="G194" s="57">
        <f>CRM_MAGDY!K194</f>
        <v>17000</v>
      </c>
      <c r="H194" s="57">
        <f>CRM_MAGDY!N194</f>
        <v>0</v>
      </c>
    </row>
    <row r="195" spans="1:8" ht="30" x14ac:dyDescent="0.25">
      <c r="A195" s="57">
        <f>CRM_MAGDY!H195</f>
        <v>5635</v>
      </c>
      <c r="B195" s="57" t="str">
        <f>CRM_MAGDY!I195</f>
        <v>Magda K</v>
      </c>
      <c r="C195" s="57">
        <f>CRM_MAGDY!E195</f>
        <v>0</v>
      </c>
      <c r="D195" s="57">
        <f>CRM_MAGDY!V195</f>
        <v>0</v>
      </c>
      <c r="E195" s="57" t="str">
        <f>IF(CRM_MAGDY!G195="","BRAK TELEFONU",IF(CRM_MAGDY!K195="","BRAK KWOTY",IF(CRM_MAGDY!N195="","BRAK STATUSU",IF(CRM_MAGDY!C195="","BRAK DATY AKCJI",""))))</f>
        <v>BRAK TELEFONU</v>
      </c>
      <c r="F195" s="57" t="str">
        <f>CRM_MAGDY!W195</f>
        <v>BRAKI CRM</v>
      </c>
      <c r="G195" s="57">
        <f>CRM_MAGDY!K195</f>
        <v>25000</v>
      </c>
      <c r="H195" s="57">
        <f>CRM_MAGDY!N195</f>
        <v>0</v>
      </c>
    </row>
    <row r="196" spans="1:8" ht="30" x14ac:dyDescent="0.25">
      <c r="A196" s="57">
        <f>CRM_MAGDY!H196</f>
        <v>5636</v>
      </c>
      <c r="B196" s="57" t="str">
        <f>CRM_MAGDY!I196</f>
        <v>Magda K</v>
      </c>
      <c r="C196" s="57">
        <f>CRM_MAGDY!E196</f>
        <v>0</v>
      </c>
      <c r="D196" s="57">
        <f>CRM_MAGDY!V196</f>
        <v>0</v>
      </c>
      <c r="E196" s="57" t="str">
        <f>IF(CRM_MAGDY!G196="","BRAK TELEFONU",IF(CRM_MAGDY!K196="","BRAK KWOTY",IF(CRM_MAGDY!N196="","BRAK STATUSU",IF(CRM_MAGDY!C196="","BRAK DATY AKCJI",""))))</f>
        <v>BRAK TELEFONU</v>
      </c>
      <c r="F196" s="57" t="str">
        <f>CRM_MAGDY!W196</f>
        <v>BRAKI CRM</v>
      </c>
      <c r="G196" s="57">
        <f>CRM_MAGDY!K196</f>
        <v>17000</v>
      </c>
      <c r="H196" s="57">
        <f>CRM_MAGDY!N196</f>
        <v>0</v>
      </c>
    </row>
    <row r="197" spans="1:8" ht="30" x14ac:dyDescent="0.25">
      <c r="A197" s="57">
        <f>CRM_MAGDY!H197</f>
        <v>5637</v>
      </c>
      <c r="B197" s="57" t="str">
        <f>CRM_MAGDY!I197</f>
        <v>Magda B</v>
      </c>
      <c r="C197" s="57">
        <f>CRM_MAGDY!E197</f>
        <v>0</v>
      </c>
      <c r="D197" s="57">
        <f>CRM_MAGDY!V197</f>
        <v>0.25</v>
      </c>
      <c r="E197" s="57" t="str">
        <f>IF(CRM_MAGDY!G197="","BRAK TELEFONU",IF(CRM_MAGDY!K197="","BRAK KWOTY",IF(CRM_MAGDY!N197="","BRAK STATUSU",IF(CRM_MAGDY!C197="","BRAK DATY AKCJI",""))))</f>
        <v>BRAK TELEFONU</v>
      </c>
      <c r="F197" s="57" t="str">
        <f>CRM_MAGDY!W197</f>
        <v>BRAKI CRM</v>
      </c>
      <c r="G197" s="57">
        <f>CRM_MAGDY!K197</f>
        <v>20000</v>
      </c>
      <c r="H197" s="57">
        <f>CRM_MAGDY!N197</f>
        <v>0</v>
      </c>
    </row>
    <row r="198" spans="1:8" ht="30" x14ac:dyDescent="0.25">
      <c r="A198" s="57">
        <f>CRM_MAGDY!H198</f>
        <v>5638</v>
      </c>
      <c r="B198" s="57" t="str">
        <f>CRM_MAGDY!I198</f>
        <v>Magda B</v>
      </c>
      <c r="C198" s="57">
        <f>CRM_MAGDY!E198</f>
        <v>0</v>
      </c>
      <c r="D198" s="57">
        <f>CRM_MAGDY!V198</f>
        <v>0.25</v>
      </c>
      <c r="E198" s="57" t="str">
        <f>IF(CRM_MAGDY!G198="","BRAK TELEFONU",IF(CRM_MAGDY!K198="","BRAK KWOTY",IF(CRM_MAGDY!N198="","BRAK STATUSU",IF(CRM_MAGDY!C198="","BRAK DATY AKCJI",""))))</f>
        <v>BRAK TELEFONU</v>
      </c>
      <c r="F198" s="57" t="str">
        <f>CRM_MAGDY!W198</f>
        <v>BRAKI CRM</v>
      </c>
      <c r="G198" s="57">
        <f>CRM_MAGDY!K198</f>
        <v>19000</v>
      </c>
      <c r="H198" s="57">
        <f>CRM_MAGDY!N198</f>
        <v>0</v>
      </c>
    </row>
    <row r="199" spans="1:8" ht="30" x14ac:dyDescent="0.25">
      <c r="A199" s="57">
        <f>CRM_MAGDY!H199</f>
        <v>5639</v>
      </c>
      <c r="B199" s="57" t="str">
        <f>CRM_MAGDY!I199</f>
        <v>Magda K</v>
      </c>
      <c r="C199" s="57">
        <f>CRM_MAGDY!E199</f>
        <v>0</v>
      </c>
      <c r="D199" s="57">
        <f>CRM_MAGDY!V199</f>
        <v>0.25</v>
      </c>
      <c r="E199" s="57" t="str">
        <f>IF(CRM_MAGDY!G199="","BRAK TELEFONU",IF(CRM_MAGDY!K199="","BRAK KWOTY",IF(CRM_MAGDY!N199="","BRAK STATUSU",IF(CRM_MAGDY!C199="","BRAK DATY AKCJI",""))))</f>
        <v>BRAK TELEFONU</v>
      </c>
      <c r="F199" s="57" t="str">
        <f>CRM_MAGDY!W199</f>
        <v>BRAKI CRM</v>
      </c>
      <c r="G199" s="57">
        <f>CRM_MAGDY!K199</f>
        <v>25000</v>
      </c>
      <c r="H199" s="57" t="str">
        <f>CRM_MAGDY!N199</f>
        <v>PRZEGRANA</v>
      </c>
    </row>
    <row r="200" spans="1:8" ht="30" x14ac:dyDescent="0.25">
      <c r="A200" s="57">
        <f>CRM_MAGDY!H200</f>
        <v>5640</v>
      </c>
      <c r="B200" s="57" t="str">
        <f>CRM_MAGDY!I200</f>
        <v>Magda B</v>
      </c>
      <c r="C200" s="57">
        <f>CRM_MAGDY!E200</f>
        <v>0</v>
      </c>
      <c r="D200" s="57">
        <f>CRM_MAGDY!V200</f>
        <v>0.25</v>
      </c>
      <c r="E200" s="57" t="str">
        <f>IF(CRM_MAGDY!G200="","BRAK TELEFONU",IF(CRM_MAGDY!K200="","BRAK KWOTY",IF(CRM_MAGDY!N200="","BRAK STATUSU",IF(CRM_MAGDY!C200="","BRAK DATY AKCJI",""))))</f>
        <v>BRAK TELEFONU</v>
      </c>
      <c r="F200" s="57" t="str">
        <f>CRM_MAGDY!W200</f>
        <v>BRAKI CRM</v>
      </c>
      <c r="G200" s="57">
        <f>CRM_MAGDY!K200</f>
        <v>29000</v>
      </c>
      <c r="H200" s="57">
        <f>CRM_MAGDY!N200</f>
        <v>0</v>
      </c>
    </row>
    <row r="201" spans="1:8" ht="30" x14ac:dyDescent="0.25">
      <c r="A201" s="57">
        <f>CRM_MAGDY!H201</f>
        <v>5641</v>
      </c>
      <c r="B201" s="57" t="str">
        <f>CRM_MAGDY!I201</f>
        <v>Magda K</v>
      </c>
      <c r="C201" s="57">
        <f>CRM_MAGDY!E201</f>
        <v>0</v>
      </c>
      <c r="D201" s="57">
        <f>CRM_MAGDY!V201</f>
        <v>0</v>
      </c>
      <c r="E201" s="57" t="str">
        <f>IF(CRM_MAGDY!G201="","BRAK TELEFONU",IF(CRM_MAGDY!K201="","BRAK KWOTY",IF(CRM_MAGDY!N201="","BRAK STATUSU",IF(CRM_MAGDY!C201="","BRAK DATY AKCJI",""))))</f>
        <v>BRAK TELEFONU</v>
      </c>
      <c r="F201" s="57" t="str">
        <f>CRM_MAGDY!W201</f>
        <v>BRAKI CRM</v>
      </c>
      <c r="G201" s="57">
        <f>CRM_MAGDY!K201</f>
        <v>20000</v>
      </c>
      <c r="H201" s="57">
        <f>CRM_MAGDY!N201</f>
        <v>0</v>
      </c>
    </row>
    <row r="202" spans="1:8" ht="30" x14ac:dyDescent="0.25">
      <c r="A202" s="57">
        <f>CRM_MAGDY!H202</f>
        <v>5642</v>
      </c>
      <c r="B202" s="57" t="str">
        <f>CRM_MAGDY!I202</f>
        <v>Magda K</v>
      </c>
      <c r="C202" s="57">
        <f>CRM_MAGDY!E202</f>
        <v>0</v>
      </c>
      <c r="D202" s="57">
        <f>CRM_MAGDY!V202</f>
        <v>0</v>
      </c>
      <c r="E202" s="57" t="str">
        <f>IF(CRM_MAGDY!G202="","BRAK TELEFONU",IF(CRM_MAGDY!K202="","BRAK KWOTY",IF(CRM_MAGDY!N202="","BRAK STATUSU",IF(CRM_MAGDY!C202="","BRAK DATY AKCJI",""))))</f>
        <v>BRAK TELEFONU</v>
      </c>
      <c r="F202" s="57" t="str">
        <f>CRM_MAGDY!W202</f>
        <v>BRAKI CRM</v>
      </c>
      <c r="G202" s="57">
        <f>CRM_MAGDY!K202</f>
        <v>25000</v>
      </c>
      <c r="H202" s="57">
        <f>CRM_MAGDY!N202</f>
        <v>0</v>
      </c>
    </row>
    <row r="203" spans="1:8" ht="30" x14ac:dyDescent="0.25">
      <c r="A203" s="57">
        <f>CRM_MAGDY!H203</f>
        <v>5643</v>
      </c>
      <c r="B203" s="57" t="str">
        <f>CRM_MAGDY!I203</f>
        <v>Magda K</v>
      </c>
      <c r="C203" s="57">
        <f>CRM_MAGDY!E203</f>
        <v>0</v>
      </c>
      <c r="D203" s="57">
        <f>CRM_MAGDY!V203</f>
        <v>0</v>
      </c>
      <c r="E203" s="57" t="str">
        <f>IF(CRM_MAGDY!G203="","BRAK TELEFONU",IF(CRM_MAGDY!K203="","BRAK KWOTY",IF(CRM_MAGDY!N203="","BRAK STATUSU",IF(CRM_MAGDY!C203="","BRAK DATY AKCJI",""))))</f>
        <v>BRAK TELEFONU</v>
      </c>
      <c r="F203" s="57" t="str">
        <f>CRM_MAGDY!W203</f>
        <v>BRAKI CRM</v>
      </c>
      <c r="G203" s="57">
        <f>CRM_MAGDY!K203</f>
        <v>22000</v>
      </c>
      <c r="H203" s="57">
        <f>CRM_MAGDY!N203</f>
        <v>0</v>
      </c>
    </row>
    <row r="204" spans="1:8" ht="30" x14ac:dyDescent="0.25">
      <c r="A204" s="57">
        <f>CRM_MAGDY!H204</f>
        <v>5644</v>
      </c>
      <c r="B204" s="57" t="str">
        <f>CRM_MAGDY!I204</f>
        <v>Magda B</v>
      </c>
      <c r="C204" s="57">
        <f>CRM_MAGDY!E204</f>
        <v>0</v>
      </c>
      <c r="D204" s="57">
        <f>CRM_MAGDY!V204</f>
        <v>0</v>
      </c>
      <c r="E204" s="57" t="str">
        <f>IF(CRM_MAGDY!G204="","BRAK TELEFONU",IF(CRM_MAGDY!K204="","BRAK KWOTY",IF(CRM_MAGDY!N204="","BRAK STATUSU",IF(CRM_MAGDY!C204="","BRAK DATY AKCJI",""))))</f>
        <v>BRAK TELEFONU</v>
      </c>
      <c r="F204" s="57" t="str">
        <f>CRM_MAGDY!W204</f>
        <v>BRAKI CRM</v>
      </c>
      <c r="G204" s="57">
        <f>CRM_MAGDY!K204</f>
        <v>56000</v>
      </c>
      <c r="H204" s="57">
        <f>CRM_MAGDY!N204</f>
        <v>0</v>
      </c>
    </row>
    <row r="205" spans="1:8" ht="30" x14ac:dyDescent="0.25">
      <c r="A205" s="57">
        <f>CRM_MAGDY!H205</f>
        <v>5645</v>
      </c>
      <c r="B205" s="57" t="str">
        <f>CRM_MAGDY!I205</f>
        <v>Magda K</v>
      </c>
      <c r="C205" s="57">
        <f>CRM_MAGDY!E205</f>
        <v>0</v>
      </c>
      <c r="D205" s="57">
        <f>CRM_MAGDY!V205</f>
        <v>0</v>
      </c>
      <c r="E205" s="57" t="str">
        <f>IF(CRM_MAGDY!G205="","BRAK TELEFONU",IF(CRM_MAGDY!K205="","BRAK KWOTY",IF(CRM_MAGDY!N205="","BRAK STATUSU",IF(CRM_MAGDY!C205="","BRAK DATY AKCJI",""))))</f>
        <v>BRAK TELEFONU</v>
      </c>
      <c r="F205" s="57" t="str">
        <f>CRM_MAGDY!W205</f>
        <v>BRAKI CRM</v>
      </c>
      <c r="G205" s="57">
        <f>CRM_MAGDY!K205</f>
        <v>24000</v>
      </c>
      <c r="H205" s="57">
        <f>CRM_MAGDY!N205</f>
        <v>0</v>
      </c>
    </row>
    <row r="206" spans="1:8" ht="30" x14ac:dyDescent="0.25">
      <c r="A206" s="57">
        <f>CRM_MAGDY!H206</f>
        <v>5646</v>
      </c>
      <c r="B206" s="57" t="str">
        <f>CRM_MAGDY!I206</f>
        <v>Magda K</v>
      </c>
      <c r="C206" s="57">
        <f>CRM_MAGDY!E206</f>
        <v>0</v>
      </c>
      <c r="D206" s="57">
        <f>CRM_MAGDY!V206</f>
        <v>0</v>
      </c>
      <c r="E206" s="57" t="str">
        <f>IF(CRM_MAGDY!G206="","BRAK TELEFONU",IF(CRM_MAGDY!K206="","BRAK KWOTY",IF(CRM_MAGDY!N206="","BRAK STATUSU",IF(CRM_MAGDY!C206="","BRAK DATY AKCJI",""))))</f>
        <v>BRAK TELEFONU</v>
      </c>
      <c r="F206" s="57" t="str">
        <f>CRM_MAGDY!W206</f>
        <v>BRAKI CRM</v>
      </c>
      <c r="G206" s="57">
        <f>CRM_MAGDY!K206</f>
        <v>48000</v>
      </c>
      <c r="H206" s="57">
        <f>CRM_MAGDY!N206</f>
        <v>0</v>
      </c>
    </row>
    <row r="207" spans="1:8" ht="30" x14ac:dyDescent="0.25">
      <c r="A207" s="57">
        <f>CRM_MAGDY!H207</f>
        <v>5647</v>
      </c>
      <c r="B207" s="57" t="str">
        <f>CRM_MAGDY!I207</f>
        <v>Magda B</v>
      </c>
      <c r="C207" s="57">
        <f>CRM_MAGDY!E207</f>
        <v>0</v>
      </c>
      <c r="D207" s="57">
        <f>CRM_MAGDY!V207</f>
        <v>0.25</v>
      </c>
      <c r="E207" s="57" t="str">
        <f>IF(CRM_MAGDY!G207="","BRAK TELEFONU",IF(CRM_MAGDY!K207="","BRAK KWOTY",IF(CRM_MAGDY!N207="","BRAK STATUSU",IF(CRM_MAGDY!C207="","BRAK DATY AKCJI",""))))</f>
        <v>BRAK TELEFONU</v>
      </c>
      <c r="F207" s="57" t="str">
        <f>CRM_MAGDY!W207</f>
        <v>BRAKI CRM</v>
      </c>
      <c r="G207" s="57">
        <f>CRM_MAGDY!K207</f>
        <v>40000</v>
      </c>
      <c r="H207" s="57">
        <f>CRM_MAGDY!N207</f>
        <v>0</v>
      </c>
    </row>
    <row r="208" spans="1:8" ht="30" x14ac:dyDescent="0.25">
      <c r="A208" s="57">
        <f>CRM_MAGDY!H208</f>
        <v>5648</v>
      </c>
      <c r="B208" s="57" t="str">
        <f>CRM_MAGDY!I208</f>
        <v>Magda B</v>
      </c>
      <c r="C208" s="57">
        <f>CRM_MAGDY!E208</f>
        <v>0</v>
      </c>
      <c r="D208" s="57">
        <f>CRM_MAGDY!V208</f>
        <v>0.25</v>
      </c>
      <c r="E208" s="57" t="str">
        <f>IF(CRM_MAGDY!G208="","BRAK TELEFONU",IF(CRM_MAGDY!K208="","BRAK KWOTY",IF(CRM_MAGDY!N208="","BRAK STATUSU",IF(CRM_MAGDY!C208="","BRAK DATY AKCJI",""))))</f>
        <v>BRAK TELEFONU</v>
      </c>
      <c r="F208" s="57" t="str">
        <f>CRM_MAGDY!W208</f>
        <v>BRAKI CRM</v>
      </c>
      <c r="G208" s="57">
        <f>CRM_MAGDY!K208</f>
        <v>22000</v>
      </c>
      <c r="H208" s="57">
        <f>CRM_MAGDY!N208</f>
        <v>0</v>
      </c>
    </row>
    <row r="209" spans="1:8" ht="30" x14ac:dyDescent="0.25">
      <c r="A209" s="57">
        <f>CRM_MAGDY!H209</f>
        <v>5650</v>
      </c>
      <c r="B209" s="57" t="str">
        <f>CRM_MAGDY!I209</f>
        <v>Magda K</v>
      </c>
      <c r="C209" s="57">
        <f>CRM_MAGDY!E209</f>
        <v>0</v>
      </c>
      <c r="D209" s="57">
        <f>CRM_MAGDY!V209</f>
        <v>0</v>
      </c>
      <c r="E209" s="57" t="str">
        <f>IF(CRM_MAGDY!G209="","BRAK TELEFONU",IF(CRM_MAGDY!K209="","BRAK KWOTY",IF(CRM_MAGDY!N209="","BRAK STATUSU",IF(CRM_MAGDY!C209="","BRAK DATY AKCJI",""))))</f>
        <v>BRAK TELEFONU</v>
      </c>
      <c r="F209" s="57" t="str">
        <f>CRM_MAGDY!W209</f>
        <v>BRAKI CRM</v>
      </c>
      <c r="G209" s="57">
        <f>CRM_MAGDY!K209</f>
        <v>23000</v>
      </c>
      <c r="H209" s="57">
        <f>CRM_MAGDY!N209</f>
        <v>0</v>
      </c>
    </row>
    <row r="210" spans="1:8" ht="30" x14ac:dyDescent="0.25">
      <c r="A210" s="57">
        <f>CRM_MAGDY!H210</f>
        <v>5651</v>
      </c>
      <c r="B210" s="57" t="str">
        <f>CRM_MAGDY!I210</f>
        <v>Magda B</v>
      </c>
      <c r="C210" s="57">
        <f>CRM_MAGDY!E210</f>
        <v>0</v>
      </c>
      <c r="D210" s="57">
        <f>CRM_MAGDY!V210</f>
        <v>0.25</v>
      </c>
      <c r="E210" s="57" t="str">
        <f>IF(CRM_MAGDY!G210="","BRAK TELEFONU",IF(CRM_MAGDY!K210="","BRAK KWOTY",IF(CRM_MAGDY!N210="","BRAK STATUSU",IF(CRM_MAGDY!C210="","BRAK DATY AKCJI",""))))</f>
        <v>BRAK TELEFONU</v>
      </c>
      <c r="F210" s="57" t="str">
        <f>CRM_MAGDY!W210</f>
        <v>BRAKI CRM</v>
      </c>
      <c r="G210" s="57">
        <f>CRM_MAGDY!K210</f>
        <v>49000</v>
      </c>
      <c r="H210" s="57">
        <f>CRM_MAGDY!N210</f>
        <v>0</v>
      </c>
    </row>
    <row r="211" spans="1:8" ht="30" x14ac:dyDescent="0.25">
      <c r="A211" s="57">
        <f>CRM_MAGDY!H211</f>
        <v>5652</v>
      </c>
      <c r="B211" s="57" t="str">
        <f>CRM_MAGDY!I211</f>
        <v>Magda B</v>
      </c>
      <c r="C211" s="57">
        <f>CRM_MAGDY!E211</f>
        <v>0</v>
      </c>
      <c r="D211" s="57">
        <f>CRM_MAGDY!V211</f>
        <v>0.25</v>
      </c>
      <c r="E211" s="57" t="str">
        <f>IF(CRM_MAGDY!G211="","BRAK TELEFONU",IF(CRM_MAGDY!K211="","BRAK KWOTY",IF(CRM_MAGDY!N211="","BRAK STATUSU",IF(CRM_MAGDY!C211="","BRAK DATY AKCJI",""))))</f>
        <v>BRAK TELEFONU</v>
      </c>
      <c r="F211" s="57" t="str">
        <f>CRM_MAGDY!W211</f>
        <v>BRAKI CRM</v>
      </c>
      <c r="G211" s="57">
        <f>CRM_MAGDY!K211</f>
        <v>31000</v>
      </c>
      <c r="H211" s="57">
        <f>CRM_MAGDY!N211</f>
        <v>0</v>
      </c>
    </row>
    <row r="212" spans="1:8" ht="30" x14ac:dyDescent="0.25">
      <c r="A212" s="57">
        <f>CRM_MAGDY!H212</f>
        <v>5653</v>
      </c>
      <c r="B212" s="57" t="str">
        <f>CRM_MAGDY!I212</f>
        <v>Magda K</v>
      </c>
      <c r="C212" s="57">
        <f>CRM_MAGDY!E212</f>
        <v>0</v>
      </c>
      <c r="D212" s="57">
        <f>CRM_MAGDY!V212</f>
        <v>0.25</v>
      </c>
      <c r="E212" s="57" t="str">
        <f>IF(CRM_MAGDY!G212="","BRAK TELEFONU",IF(CRM_MAGDY!K212="","BRAK KWOTY",IF(CRM_MAGDY!N212="","BRAK STATUSU",IF(CRM_MAGDY!C212="","BRAK DATY AKCJI",""))))</f>
        <v>BRAK TELEFONU</v>
      </c>
      <c r="F212" s="57" t="str">
        <f>CRM_MAGDY!W212</f>
        <v>BRAKI CRM</v>
      </c>
      <c r="G212" s="57">
        <f>CRM_MAGDY!K212</f>
        <v>23000</v>
      </c>
      <c r="H212" s="57" t="str">
        <f>CRM_MAGDY!N212</f>
        <v>PRZEGRANA</v>
      </c>
    </row>
    <row r="213" spans="1:8" ht="30" x14ac:dyDescent="0.25">
      <c r="A213" s="57">
        <f>CRM_MAGDY!H213</f>
        <v>5654</v>
      </c>
      <c r="B213" s="57" t="str">
        <f>CRM_MAGDY!I213</f>
        <v>Magda B</v>
      </c>
      <c r="C213" s="57">
        <f>CRM_MAGDY!E213</f>
        <v>0</v>
      </c>
      <c r="D213" s="57">
        <f>CRM_MAGDY!V213</f>
        <v>0.25</v>
      </c>
      <c r="E213" s="57" t="str">
        <f>IF(CRM_MAGDY!G213="","BRAK TELEFONU",IF(CRM_MAGDY!K213="","BRAK KWOTY",IF(CRM_MAGDY!N213="","BRAK STATUSU",IF(CRM_MAGDY!C213="","BRAK DATY AKCJI",""))))</f>
        <v>BRAK TELEFONU</v>
      </c>
      <c r="F213" s="57" t="str">
        <f>CRM_MAGDY!W213</f>
        <v>BRAKI CRM</v>
      </c>
      <c r="G213" s="57">
        <f>CRM_MAGDY!K213</f>
        <v>80000</v>
      </c>
      <c r="H213" s="57">
        <f>CRM_MAGDY!N213</f>
        <v>0</v>
      </c>
    </row>
    <row r="214" spans="1:8" ht="30" x14ac:dyDescent="0.25">
      <c r="A214" s="57">
        <f>CRM_MAGDY!H214</f>
        <v>5655</v>
      </c>
      <c r="B214" s="57" t="str">
        <f>CRM_MAGDY!I214</f>
        <v>Magda K</v>
      </c>
      <c r="C214" s="57">
        <f>CRM_MAGDY!E214</f>
        <v>0</v>
      </c>
      <c r="D214" s="57">
        <f>CRM_MAGDY!V214</f>
        <v>0</v>
      </c>
      <c r="E214" s="57" t="str">
        <f>IF(CRM_MAGDY!G214="","BRAK TELEFONU",IF(CRM_MAGDY!K214="","BRAK KWOTY",IF(CRM_MAGDY!N214="","BRAK STATUSU",IF(CRM_MAGDY!C214="","BRAK DATY AKCJI",""))))</f>
        <v>BRAK TELEFONU</v>
      </c>
      <c r="F214" s="57" t="str">
        <f>CRM_MAGDY!W214</f>
        <v>BRAKI CRM</v>
      </c>
      <c r="G214" s="57">
        <f>CRM_MAGDY!K214</f>
        <v>21000</v>
      </c>
      <c r="H214" s="57">
        <f>CRM_MAGDY!N214</f>
        <v>0</v>
      </c>
    </row>
    <row r="215" spans="1:8" ht="30" x14ac:dyDescent="0.25">
      <c r="A215" s="57">
        <f>CRM_MAGDY!H215</f>
        <v>5656</v>
      </c>
      <c r="B215" s="57" t="str">
        <f>CRM_MAGDY!I215</f>
        <v>Magda B</v>
      </c>
      <c r="C215" s="57">
        <f>CRM_MAGDY!E215</f>
        <v>0</v>
      </c>
      <c r="D215" s="57">
        <f>CRM_MAGDY!V215</f>
        <v>0.25</v>
      </c>
      <c r="E215" s="57" t="str">
        <f>IF(CRM_MAGDY!G215="","BRAK TELEFONU",IF(CRM_MAGDY!K215="","BRAK KWOTY",IF(CRM_MAGDY!N215="","BRAK STATUSU",IF(CRM_MAGDY!C215="","BRAK DATY AKCJI",""))))</f>
        <v>BRAK TELEFONU</v>
      </c>
      <c r="F215" s="57" t="str">
        <f>CRM_MAGDY!W215</f>
        <v>BRAKI CRM</v>
      </c>
      <c r="G215" s="57">
        <f>CRM_MAGDY!K215</f>
        <v>22000</v>
      </c>
      <c r="H215" s="57">
        <f>CRM_MAGDY!N215</f>
        <v>0</v>
      </c>
    </row>
    <row r="216" spans="1:8" ht="30" x14ac:dyDescent="0.25">
      <c r="A216" s="57">
        <f>CRM_MAGDY!H216</f>
        <v>5657</v>
      </c>
      <c r="B216" s="57" t="str">
        <f>CRM_MAGDY!I216</f>
        <v>Magda B</v>
      </c>
      <c r="C216" s="57">
        <f>CRM_MAGDY!E216</f>
        <v>0</v>
      </c>
      <c r="D216" s="57">
        <f>CRM_MAGDY!V216</f>
        <v>0.25</v>
      </c>
      <c r="E216" s="57" t="str">
        <f>IF(CRM_MAGDY!G216="","BRAK TELEFONU",IF(CRM_MAGDY!K216="","BRAK KWOTY",IF(CRM_MAGDY!N216="","BRAK STATUSU",IF(CRM_MAGDY!C216="","BRAK DATY AKCJI",""))))</f>
        <v>BRAK TELEFONU</v>
      </c>
      <c r="F216" s="57" t="str">
        <f>CRM_MAGDY!W216</f>
        <v>BRAKI CRM</v>
      </c>
      <c r="G216" s="57">
        <f>CRM_MAGDY!K216</f>
        <v>20000</v>
      </c>
      <c r="H216" s="57">
        <f>CRM_MAGDY!N216</f>
        <v>0</v>
      </c>
    </row>
    <row r="217" spans="1:8" ht="30" x14ac:dyDescent="0.25">
      <c r="A217" s="57">
        <f>CRM_MAGDY!H217</f>
        <v>5658</v>
      </c>
      <c r="B217" s="57" t="str">
        <f>CRM_MAGDY!I217</f>
        <v>Magda B</v>
      </c>
      <c r="C217" s="57">
        <f>CRM_MAGDY!E217</f>
        <v>0</v>
      </c>
      <c r="D217" s="57">
        <f>CRM_MAGDY!V217</f>
        <v>0</v>
      </c>
      <c r="E217" s="57" t="str">
        <f>IF(CRM_MAGDY!G217="","BRAK TELEFONU",IF(CRM_MAGDY!K217="","BRAK KWOTY",IF(CRM_MAGDY!N217="","BRAK STATUSU",IF(CRM_MAGDY!C217="","BRAK DATY AKCJI",""))))</f>
        <v>BRAK TELEFONU</v>
      </c>
      <c r="F217" s="57" t="str">
        <f>CRM_MAGDY!W217</f>
        <v>BRAKI CRM</v>
      </c>
      <c r="G217" s="57">
        <f>CRM_MAGDY!K217</f>
        <v>22000</v>
      </c>
      <c r="H217" s="57">
        <f>CRM_MAGDY!N217</f>
        <v>0</v>
      </c>
    </row>
    <row r="218" spans="1:8" ht="30" x14ac:dyDescent="0.25">
      <c r="A218" s="57">
        <f>CRM_MAGDY!H218</f>
        <v>5659</v>
      </c>
      <c r="B218" s="57">
        <f>CRM_MAGDY!I218</f>
        <v>0</v>
      </c>
      <c r="C218" s="57">
        <f>CRM_MAGDY!E218</f>
        <v>0</v>
      </c>
      <c r="D218" s="57">
        <f>CRM_MAGDY!V218</f>
        <v>0</v>
      </c>
      <c r="E218" s="57" t="str">
        <f>IF(CRM_MAGDY!G218="","BRAK TELEFONU",IF(CRM_MAGDY!K218="","BRAK KWOTY",IF(CRM_MAGDY!N218="","BRAK STATUSU",IF(CRM_MAGDY!C218="","BRAK DATY AKCJI",""))))</f>
        <v>BRAK TELEFONU</v>
      </c>
      <c r="F218" s="57" t="str">
        <f>CRM_MAGDY!W218</f>
        <v>BRAKI CRM</v>
      </c>
      <c r="G218" s="57">
        <f>CRM_MAGDY!K218</f>
        <v>0</v>
      </c>
      <c r="H218" s="57">
        <f>CRM_MAGDY!N218</f>
        <v>0</v>
      </c>
    </row>
    <row r="219" spans="1:8" ht="30" x14ac:dyDescent="0.25">
      <c r="A219" s="57">
        <f>CRM_MAGDY!H219</f>
        <v>5660</v>
      </c>
      <c r="B219" s="57">
        <f>CRM_MAGDY!I219</f>
        <v>0</v>
      </c>
      <c r="C219" s="57">
        <f>CRM_MAGDY!E219</f>
        <v>0</v>
      </c>
      <c r="D219" s="57">
        <f>CRM_MAGDY!V219</f>
        <v>0</v>
      </c>
      <c r="E219" s="57" t="str">
        <f>IF(CRM_MAGDY!G219="","BRAK TELEFONU",IF(CRM_MAGDY!K219="","BRAK KWOTY",IF(CRM_MAGDY!N219="","BRAK STATUSU",IF(CRM_MAGDY!C219="","BRAK DATY AKCJI",""))))</f>
        <v>BRAK TELEFONU</v>
      </c>
      <c r="F219" s="57" t="str">
        <f>CRM_MAGDY!W219</f>
        <v>BRAKI CRM</v>
      </c>
      <c r="G219" s="57">
        <f>CRM_MAGDY!K219</f>
        <v>0</v>
      </c>
      <c r="H219" s="57">
        <f>CRM_MAGDY!N219</f>
        <v>0</v>
      </c>
    </row>
    <row r="220" spans="1:8" ht="30" x14ac:dyDescent="0.25">
      <c r="A220" s="57">
        <f>CRM_MAGDY!H220</f>
        <v>5661</v>
      </c>
      <c r="B220" s="57">
        <f>CRM_MAGDY!I220</f>
        <v>0</v>
      </c>
      <c r="C220" s="57">
        <f>CRM_MAGDY!E220</f>
        <v>0</v>
      </c>
      <c r="D220" s="57">
        <f>CRM_MAGDY!V220</f>
        <v>0</v>
      </c>
      <c r="E220" s="57" t="str">
        <f>IF(CRM_MAGDY!G220="","BRAK TELEFONU",IF(CRM_MAGDY!K220="","BRAK KWOTY",IF(CRM_MAGDY!N220="","BRAK STATUSU",IF(CRM_MAGDY!C220="","BRAK DATY AKCJI",""))))</f>
        <v>BRAK TELEFONU</v>
      </c>
      <c r="F220" s="57" t="str">
        <f>CRM_MAGDY!W220</f>
        <v>BRAKI CRM</v>
      </c>
      <c r="G220" s="57">
        <f>CRM_MAGDY!K220</f>
        <v>0</v>
      </c>
      <c r="H220" s="57">
        <f>CRM_MAGDY!N220</f>
        <v>0</v>
      </c>
    </row>
    <row r="221" spans="1:8" ht="30" x14ac:dyDescent="0.25">
      <c r="A221" s="57">
        <f>CRM_MAGDY!H221</f>
        <v>5662</v>
      </c>
      <c r="B221" s="57">
        <f>CRM_MAGDY!I221</f>
        <v>0</v>
      </c>
      <c r="C221" s="57">
        <f>CRM_MAGDY!E221</f>
        <v>0</v>
      </c>
      <c r="D221" s="57">
        <f>CRM_MAGDY!V221</f>
        <v>0</v>
      </c>
      <c r="E221" s="57" t="str">
        <f>IF(CRM_MAGDY!G221="","BRAK TELEFONU",IF(CRM_MAGDY!K221="","BRAK KWOTY",IF(CRM_MAGDY!N221="","BRAK STATUSU",IF(CRM_MAGDY!C221="","BRAK DATY AKCJI",""))))</f>
        <v>BRAK TELEFONU</v>
      </c>
      <c r="F221" s="57" t="str">
        <f>CRM_MAGDY!W221</f>
        <v>BRAKI CRM</v>
      </c>
      <c r="G221" s="57">
        <f>CRM_MAGDY!K221</f>
        <v>0</v>
      </c>
      <c r="H221" s="57">
        <f>CRM_MAGDY!N221</f>
        <v>0</v>
      </c>
    </row>
    <row r="222" spans="1:8" ht="30" x14ac:dyDescent="0.25">
      <c r="A222" s="57">
        <f>CRM_MAGDY!H222</f>
        <v>5663</v>
      </c>
      <c r="B222" s="57">
        <f>CRM_MAGDY!I222</f>
        <v>0</v>
      </c>
      <c r="C222" s="57">
        <f>CRM_MAGDY!E222</f>
        <v>0</v>
      </c>
      <c r="D222" s="57">
        <f>CRM_MAGDY!V222</f>
        <v>0</v>
      </c>
      <c r="E222" s="57" t="str">
        <f>IF(CRM_MAGDY!G222="","BRAK TELEFONU",IF(CRM_MAGDY!K222="","BRAK KWOTY",IF(CRM_MAGDY!N222="","BRAK STATUSU",IF(CRM_MAGDY!C222="","BRAK DATY AKCJI",""))))</f>
        <v>BRAK TELEFONU</v>
      </c>
      <c r="F222" s="57" t="str">
        <f>CRM_MAGDY!W222</f>
        <v>BRAKI CRM</v>
      </c>
      <c r="G222" s="57">
        <f>CRM_MAGDY!K222</f>
        <v>0</v>
      </c>
      <c r="H222" s="57">
        <f>CRM_MAGDY!N222</f>
        <v>0</v>
      </c>
    </row>
    <row r="223" spans="1:8" ht="30" x14ac:dyDescent="0.25">
      <c r="A223" s="57">
        <f>CRM_MAGDY!H223</f>
        <v>5664</v>
      </c>
      <c r="B223" s="57">
        <f>CRM_MAGDY!I223</f>
        <v>0</v>
      </c>
      <c r="C223" s="57">
        <f>CRM_MAGDY!E223</f>
        <v>0</v>
      </c>
      <c r="D223" s="57">
        <f>CRM_MAGDY!V223</f>
        <v>0</v>
      </c>
      <c r="E223" s="57" t="str">
        <f>IF(CRM_MAGDY!G223="","BRAK TELEFONU",IF(CRM_MAGDY!K223="","BRAK KWOTY",IF(CRM_MAGDY!N223="","BRAK STATUSU",IF(CRM_MAGDY!C223="","BRAK DATY AKCJI",""))))</f>
        <v>BRAK TELEFONU</v>
      </c>
      <c r="F223" s="57" t="str">
        <f>CRM_MAGDY!W223</f>
        <v>BRAKI CRM</v>
      </c>
      <c r="G223" s="57">
        <f>CRM_MAGDY!K223</f>
        <v>0</v>
      </c>
      <c r="H223" s="57">
        <f>CRM_MAGDY!N223</f>
        <v>0</v>
      </c>
    </row>
    <row r="224" spans="1:8" ht="30" x14ac:dyDescent="0.25">
      <c r="A224" s="57">
        <f>CRM_MAGDY!H224</f>
        <v>5665</v>
      </c>
      <c r="B224" s="57">
        <f>CRM_MAGDY!I224</f>
        <v>0</v>
      </c>
      <c r="C224" s="57">
        <f>CRM_MAGDY!E224</f>
        <v>0</v>
      </c>
      <c r="D224" s="57">
        <f>CRM_MAGDY!V224</f>
        <v>0</v>
      </c>
      <c r="E224" s="57" t="str">
        <f>IF(CRM_MAGDY!G224="","BRAK TELEFONU",IF(CRM_MAGDY!K224="","BRAK KWOTY",IF(CRM_MAGDY!N224="","BRAK STATUSU",IF(CRM_MAGDY!C224="","BRAK DATY AKCJI",""))))</f>
        <v>BRAK TELEFONU</v>
      </c>
      <c r="F224" s="57" t="str">
        <f>CRM_MAGDY!W224</f>
        <v>BRAKI CRM</v>
      </c>
      <c r="G224" s="57">
        <f>CRM_MAGDY!K224</f>
        <v>0</v>
      </c>
      <c r="H224" s="57">
        <f>CRM_MAGDY!N224</f>
        <v>0</v>
      </c>
    </row>
    <row r="225" spans="1:8" ht="30" x14ac:dyDescent="0.25">
      <c r="A225" s="57">
        <f>CRM_MAGDY!H225</f>
        <v>5666</v>
      </c>
      <c r="B225" s="57">
        <f>CRM_MAGDY!I225</f>
        <v>0</v>
      </c>
      <c r="C225" s="57">
        <f>CRM_MAGDY!E225</f>
        <v>0</v>
      </c>
      <c r="D225" s="57">
        <f>CRM_MAGDY!V225</f>
        <v>0</v>
      </c>
      <c r="E225" s="57" t="str">
        <f>IF(CRM_MAGDY!G225="","BRAK TELEFONU",IF(CRM_MAGDY!K225="","BRAK KWOTY",IF(CRM_MAGDY!N225="","BRAK STATUSU",IF(CRM_MAGDY!C225="","BRAK DATY AKCJI",""))))</f>
        <v>BRAK TELEFONU</v>
      </c>
      <c r="F225" s="57" t="str">
        <f>CRM_MAGDY!W225</f>
        <v>BRAKI CRM</v>
      </c>
      <c r="G225" s="57">
        <f>CRM_MAGDY!K225</f>
        <v>0</v>
      </c>
      <c r="H225" s="57">
        <f>CRM_MAGDY!N225</f>
        <v>0</v>
      </c>
    </row>
    <row r="226" spans="1:8" ht="30" x14ac:dyDescent="0.25">
      <c r="A226" s="57">
        <f>CRM_MAGDY!H226</f>
        <v>5667</v>
      </c>
      <c r="B226" s="57">
        <f>CRM_MAGDY!I226</f>
        <v>0</v>
      </c>
      <c r="C226" s="57">
        <f>CRM_MAGDY!E226</f>
        <v>0</v>
      </c>
      <c r="D226" s="57">
        <f>CRM_MAGDY!V226</f>
        <v>0</v>
      </c>
      <c r="E226" s="57" t="str">
        <f>IF(CRM_MAGDY!G226="","BRAK TELEFONU",IF(CRM_MAGDY!K226="","BRAK KWOTY",IF(CRM_MAGDY!N226="","BRAK STATUSU",IF(CRM_MAGDY!C226="","BRAK DATY AKCJI",""))))</f>
        <v>BRAK TELEFONU</v>
      </c>
      <c r="F226" s="57" t="str">
        <f>CRM_MAGDY!W226</f>
        <v>BRAKI CRM</v>
      </c>
      <c r="G226" s="57">
        <f>CRM_MAGDY!K226</f>
        <v>0</v>
      </c>
      <c r="H226" s="57">
        <f>CRM_MAGDY!N226</f>
        <v>0</v>
      </c>
    </row>
    <row r="227" spans="1:8" ht="30" x14ac:dyDescent="0.25">
      <c r="A227" s="57">
        <f>CRM_MAGDY!H227</f>
        <v>5668</v>
      </c>
      <c r="B227" s="57">
        <f>CRM_MAGDY!I227</f>
        <v>0</v>
      </c>
      <c r="C227" s="57">
        <f>CRM_MAGDY!E227</f>
        <v>0</v>
      </c>
      <c r="D227" s="57">
        <f>CRM_MAGDY!V227</f>
        <v>0</v>
      </c>
      <c r="E227" s="57" t="str">
        <f>IF(CRM_MAGDY!G227="","BRAK TELEFONU",IF(CRM_MAGDY!K227="","BRAK KWOTY",IF(CRM_MAGDY!N227="","BRAK STATUSU",IF(CRM_MAGDY!C227="","BRAK DATY AKCJI",""))))</f>
        <v>BRAK TELEFONU</v>
      </c>
      <c r="F227" s="57" t="str">
        <f>CRM_MAGDY!W227</f>
        <v>BRAKI CRM</v>
      </c>
      <c r="G227" s="57">
        <f>CRM_MAGDY!K227</f>
        <v>0</v>
      </c>
      <c r="H227" s="57">
        <f>CRM_MAGDY!N227</f>
        <v>0</v>
      </c>
    </row>
    <row r="228" spans="1:8" ht="30" x14ac:dyDescent="0.25">
      <c r="A228" s="57">
        <f>CRM_MAGDY!H228</f>
        <v>5669</v>
      </c>
      <c r="B228" s="57">
        <f>CRM_MAGDY!I228</f>
        <v>0</v>
      </c>
      <c r="C228" s="57">
        <f>CRM_MAGDY!E228</f>
        <v>0</v>
      </c>
      <c r="D228" s="57">
        <f>CRM_MAGDY!V228</f>
        <v>0</v>
      </c>
      <c r="E228" s="57" t="str">
        <f>IF(CRM_MAGDY!G228="","BRAK TELEFONU",IF(CRM_MAGDY!K228="","BRAK KWOTY",IF(CRM_MAGDY!N228="","BRAK STATUSU",IF(CRM_MAGDY!C228="","BRAK DATY AKCJI",""))))</f>
        <v>BRAK TELEFONU</v>
      </c>
      <c r="F228" s="57" t="str">
        <f>CRM_MAGDY!W228</f>
        <v>BRAKI CRM</v>
      </c>
      <c r="G228" s="57">
        <f>CRM_MAGDY!K228</f>
        <v>0</v>
      </c>
      <c r="H228" s="57">
        <f>CRM_MAGDY!N228</f>
        <v>0</v>
      </c>
    </row>
    <row r="229" spans="1:8" ht="30" x14ac:dyDescent="0.25">
      <c r="A229" s="57">
        <f>CRM_MAGDY!H229</f>
        <v>5670</v>
      </c>
      <c r="B229" s="57">
        <f>CRM_MAGDY!I229</f>
        <v>0</v>
      </c>
      <c r="C229" s="57">
        <f>CRM_MAGDY!E229</f>
        <v>0</v>
      </c>
      <c r="D229" s="57">
        <f>CRM_MAGDY!V229</f>
        <v>0</v>
      </c>
      <c r="E229" s="57" t="str">
        <f>IF(CRM_MAGDY!G229="","BRAK TELEFONU",IF(CRM_MAGDY!K229="","BRAK KWOTY",IF(CRM_MAGDY!N229="","BRAK STATUSU",IF(CRM_MAGDY!C229="","BRAK DATY AKCJI",""))))</f>
        <v>BRAK TELEFONU</v>
      </c>
      <c r="F229" s="57" t="str">
        <f>CRM_MAGDY!W229</f>
        <v>BRAKI CRM</v>
      </c>
      <c r="G229" s="57">
        <f>CRM_MAGDY!K229</f>
        <v>0</v>
      </c>
      <c r="H229" s="57">
        <f>CRM_MAGDY!N229</f>
        <v>0</v>
      </c>
    </row>
    <row r="230" spans="1:8" ht="30" x14ac:dyDescent="0.25">
      <c r="A230" s="57">
        <f>CRM_MAGDY!H230</f>
        <v>5671</v>
      </c>
      <c r="B230" s="57">
        <f>CRM_MAGDY!I230</f>
        <v>0</v>
      </c>
      <c r="C230" s="57">
        <f>CRM_MAGDY!E230</f>
        <v>0</v>
      </c>
      <c r="D230" s="57">
        <f>CRM_MAGDY!V230</f>
        <v>0</v>
      </c>
      <c r="E230" s="57" t="str">
        <f>IF(CRM_MAGDY!G230="","BRAK TELEFONU",IF(CRM_MAGDY!K230="","BRAK KWOTY",IF(CRM_MAGDY!N230="","BRAK STATUSU",IF(CRM_MAGDY!C230="","BRAK DATY AKCJI",""))))</f>
        <v>BRAK TELEFONU</v>
      </c>
      <c r="F230" s="57" t="str">
        <f>CRM_MAGDY!W230</f>
        <v>BRAKI CRM</v>
      </c>
      <c r="G230" s="57">
        <f>CRM_MAGDY!K230</f>
        <v>0</v>
      </c>
      <c r="H230" s="57">
        <f>CRM_MAGDY!N230</f>
        <v>0</v>
      </c>
    </row>
    <row r="231" spans="1:8" ht="30" x14ac:dyDescent="0.25">
      <c r="A231" s="57">
        <f>CRM_MAGDY!H231</f>
        <v>5672</v>
      </c>
      <c r="B231" s="57">
        <f>CRM_MAGDY!I231</f>
        <v>0</v>
      </c>
      <c r="C231" s="57">
        <f>CRM_MAGDY!E231</f>
        <v>0</v>
      </c>
      <c r="D231" s="57">
        <f>CRM_MAGDY!V231</f>
        <v>0</v>
      </c>
      <c r="E231" s="57" t="str">
        <f>IF(CRM_MAGDY!G231="","BRAK TELEFONU",IF(CRM_MAGDY!K231="","BRAK KWOTY",IF(CRM_MAGDY!N231="","BRAK STATUSU",IF(CRM_MAGDY!C231="","BRAK DATY AKCJI",""))))</f>
        <v>BRAK TELEFONU</v>
      </c>
      <c r="F231" s="57" t="str">
        <f>CRM_MAGDY!W231</f>
        <v>BRAKI CRM</v>
      </c>
      <c r="G231" s="57">
        <f>CRM_MAGDY!K231</f>
        <v>0</v>
      </c>
      <c r="H231" s="57">
        <f>CRM_MAGDY!N231</f>
        <v>0</v>
      </c>
    </row>
    <row r="232" spans="1:8" ht="30" x14ac:dyDescent="0.25">
      <c r="A232" s="57">
        <f>CRM_MAGDY!H232</f>
        <v>5673</v>
      </c>
      <c r="B232" s="57">
        <f>CRM_MAGDY!I232</f>
        <v>0</v>
      </c>
      <c r="C232" s="57">
        <f>CRM_MAGDY!E232</f>
        <v>0</v>
      </c>
      <c r="D232" s="57">
        <f>CRM_MAGDY!V232</f>
        <v>0</v>
      </c>
      <c r="E232" s="57" t="str">
        <f>IF(CRM_MAGDY!G232="","BRAK TELEFONU",IF(CRM_MAGDY!K232="","BRAK KWOTY",IF(CRM_MAGDY!N232="","BRAK STATUSU",IF(CRM_MAGDY!C232="","BRAK DATY AKCJI",""))))</f>
        <v>BRAK TELEFONU</v>
      </c>
      <c r="F232" s="57" t="str">
        <f>CRM_MAGDY!W232</f>
        <v>BRAKI CRM</v>
      </c>
      <c r="G232" s="57">
        <f>CRM_MAGDY!K232</f>
        <v>0</v>
      </c>
      <c r="H232" s="57">
        <f>CRM_MAGDY!N232</f>
        <v>0</v>
      </c>
    </row>
    <row r="233" spans="1:8" ht="30" x14ac:dyDescent="0.25">
      <c r="A233" s="57">
        <f>CRM_MAGDY!H233</f>
        <v>5674</v>
      </c>
      <c r="B233" s="57">
        <f>CRM_MAGDY!I233</f>
        <v>0</v>
      </c>
      <c r="C233" s="57">
        <f>CRM_MAGDY!E233</f>
        <v>0</v>
      </c>
      <c r="D233" s="57">
        <f>CRM_MAGDY!V233</f>
        <v>0</v>
      </c>
      <c r="E233" s="57" t="str">
        <f>IF(CRM_MAGDY!G233="","BRAK TELEFONU",IF(CRM_MAGDY!K233="","BRAK KWOTY",IF(CRM_MAGDY!N233="","BRAK STATUSU",IF(CRM_MAGDY!C233="","BRAK DATY AKCJI",""))))</f>
        <v>BRAK TELEFONU</v>
      </c>
      <c r="F233" s="57" t="str">
        <f>CRM_MAGDY!W233</f>
        <v>BRAKI CRM</v>
      </c>
      <c r="G233" s="57">
        <f>CRM_MAGDY!K233</f>
        <v>0</v>
      </c>
      <c r="H233" s="57">
        <f>CRM_MAGDY!N233</f>
        <v>0</v>
      </c>
    </row>
    <row r="234" spans="1:8" ht="30" x14ac:dyDescent="0.25">
      <c r="A234" s="57">
        <f>CRM_MAGDY!H234</f>
        <v>5675</v>
      </c>
      <c r="B234" s="57">
        <f>CRM_MAGDY!I234</f>
        <v>0</v>
      </c>
      <c r="C234" s="57">
        <f>CRM_MAGDY!E234</f>
        <v>0</v>
      </c>
      <c r="D234" s="57">
        <f>CRM_MAGDY!V234</f>
        <v>0</v>
      </c>
      <c r="E234" s="57" t="str">
        <f>IF(CRM_MAGDY!G234="","BRAK TELEFONU",IF(CRM_MAGDY!K234="","BRAK KWOTY",IF(CRM_MAGDY!N234="","BRAK STATUSU",IF(CRM_MAGDY!C234="","BRAK DATY AKCJI",""))))</f>
        <v>BRAK TELEFONU</v>
      </c>
      <c r="F234" s="57" t="str">
        <f>CRM_MAGDY!W234</f>
        <v>BRAKI CRM</v>
      </c>
      <c r="G234" s="57">
        <f>CRM_MAGDY!K234</f>
        <v>0</v>
      </c>
      <c r="H234" s="57">
        <f>CRM_MAGDY!N234</f>
        <v>0</v>
      </c>
    </row>
    <row r="235" spans="1:8" ht="30" x14ac:dyDescent="0.25">
      <c r="A235" s="57">
        <f>CRM_MAGDY!H235</f>
        <v>5676</v>
      </c>
      <c r="B235" s="57">
        <f>CRM_MAGDY!I235</f>
        <v>0</v>
      </c>
      <c r="C235" s="57">
        <f>CRM_MAGDY!E235</f>
        <v>0</v>
      </c>
      <c r="D235" s="57">
        <f>CRM_MAGDY!V235</f>
        <v>0</v>
      </c>
      <c r="E235" s="57" t="str">
        <f>IF(CRM_MAGDY!G235="","BRAK TELEFONU",IF(CRM_MAGDY!K235="","BRAK KWOTY",IF(CRM_MAGDY!N235="","BRAK STATUSU",IF(CRM_MAGDY!C235="","BRAK DATY AKCJI",""))))</f>
        <v>BRAK TELEFONU</v>
      </c>
      <c r="F235" s="57" t="str">
        <f>CRM_MAGDY!W235</f>
        <v>BRAKI CRM</v>
      </c>
      <c r="G235" s="57">
        <f>CRM_MAGDY!K235</f>
        <v>0</v>
      </c>
      <c r="H235" s="57">
        <f>CRM_MAGDY!N235</f>
        <v>0</v>
      </c>
    </row>
    <row r="236" spans="1:8" ht="30" x14ac:dyDescent="0.25">
      <c r="A236" s="57">
        <f>CRM_MAGDY!H236</f>
        <v>5677</v>
      </c>
      <c r="B236" s="57">
        <f>CRM_MAGDY!I236</f>
        <v>0</v>
      </c>
      <c r="C236" s="57">
        <f>CRM_MAGDY!E236</f>
        <v>0</v>
      </c>
      <c r="D236" s="57">
        <f>CRM_MAGDY!V236</f>
        <v>0</v>
      </c>
      <c r="E236" s="57" t="str">
        <f>IF(CRM_MAGDY!G236="","BRAK TELEFONU",IF(CRM_MAGDY!K236="","BRAK KWOTY",IF(CRM_MAGDY!N236="","BRAK STATUSU",IF(CRM_MAGDY!C236="","BRAK DATY AKCJI",""))))</f>
        <v>BRAK TELEFONU</v>
      </c>
      <c r="F236" s="57" t="str">
        <f>CRM_MAGDY!W236</f>
        <v>BRAKI CRM</v>
      </c>
      <c r="G236" s="57">
        <f>CRM_MAGDY!K236</f>
        <v>0</v>
      </c>
      <c r="H236" s="57">
        <f>CRM_MAGDY!N236</f>
        <v>0</v>
      </c>
    </row>
    <row r="237" spans="1:8" ht="30" x14ac:dyDescent="0.25">
      <c r="A237" s="57">
        <f>CRM_MAGDY!H237</f>
        <v>5678</v>
      </c>
      <c r="B237" s="57">
        <f>CRM_MAGDY!I237</f>
        <v>0</v>
      </c>
      <c r="C237" s="57">
        <f>CRM_MAGDY!E237</f>
        <v>0</v>
      </c>
      <c r="D237" s="57">
        <f>CRM_MAGDY!V237</f>
        <v>0</v>
      </c>
      <c r="E237" s="57" t="str">
        <f>IF(CRM_MAGDY!G237="","BRAK TELEFONU",IF(CRM_MAGDY!K237="","BRAK KWOTY",IF(CRM_MAGDY!N237="","BRAK STATUSU",IF(CRM_MAGDY!C237="","BRAK DATY AKCJI",""))))</f>
        <v>BRAK TELEFONU</v>
      </c>
      <c r="F237" s="57" t="str">
        <f>CRM_MAGDY!W237</f>
        <v>BRAKI CRM</v>
      </c>
      <c r="G237" s="57">
        <f>CRM_MAGDY!K237</f>
        <v>0</v>
      </c>
      <c r="H237" s="57">
        <f>CRM_MAGDY!N237</f>
        <v>0</v>
      </c>
    </row>
    <row r="238" spans="1:8" ht="30" x14ac:dyDescent="0.25">
      <c r="A238" s="57">
        <f>CRM_MAGDY!H238</f>
        <v>5679</v>
      </c>
      <c r="B238" s="57">
        <f>CRM_MAGDY!I238</f>
        <v>0</v>
      </c>
      <c r="C238" s="57">
        <f>CRM_MAGDY!E238</f>
        <v>0</v>
      </c>
      <c r="D238" s="57">
        <f>CRM_MAGDY!V238</f>
        <v>0</v>
      </c>
      <c r="E238" s="57" t="str">
        <f>IF(CRM_MAGDY!G238="","BRAK TELEFONU",IF(CRM_MAGDY!K238="","BRAK KWOTY",IF(CRM_MAGDY!N238="","BRAK STATUSU",IF(CRM_MAGDY!C238="","BRAK DATY AKCJI",""))))</f>
        <v>BRAK TELEFONU</v>
      </c>
      <c r="F238" s="57" t="str">
        <f>CRM_MAGDY!W238</f>
        <v>BRAKI CRM</v>
      </c>
      <c r="G238" s="57">
        <f>CRM_MAGDY!K238</f>
        <v>0</v>
      </c>
      <c r="H238" s="57">
        <f>CRM_MAGDY!N238</f>
        <v>0</v>
      </c>
    </row>
    <row r="239" spans="1:8" ht="30" x14ac:dyDescent="0.25">
      <c r="A239" s="57">
        <f>CRM_MAGDY!H239</f>
        <v>5680</v>
      </c>
      <c r="B239" s="57">
        <f>CRM_MAGDY!I239</f>
        <v>0</v>
      </c>
      <c r="C239" s="57">
        <f>CRM_MAGDY!E239</f>
        <v>0</v>
      </c>
      <c r="D239" s="57">
        <f>CRM_MAGDY!V239</f>
        <v>0</v>
      </c>
      <c r="E239" s="57" t="str">
        <f>IF(CRM_MAGDY!G239="","BRAK TELEFONU",IF(CRM_MAGDY!K239="","BRAK KWOTY",IF(CRM_MAGDY!N239="","BRAK STATUSU",IF(CRM_MAGDY!C239="","BRAK DATY AKCJI",""))))</f>
        <v>BRAK TELEFONU</v>
      </c>
      <c r="F239" s="57" t="str">
        <f>CRM_MAGDY!W239</f>
        <v>BRAKI CRM</v>
      </c>
      <c r="G239" s="57">
        <f>CRM_MAGDY!K239</f>
        <v>0</v>
      </c>
      <c r="H239" s="57">
        <f>CRM_MAGDY!N239</f>
        <v>0</v>
      </c>
    </row>
    <row r="240" spans="1:8" ht="30" x14ac:dyDescent="0.25">
      <c r="A240" s="57">
        <f>CRM_MAGDY!H240</f>
        <v>5681</v>
      </c>
      <c r="B240" s="57">
        <f>CRM_MAGDY!I240</f>
        <v>0</v>
      </c>
      <c r="C240" s="57">
        <f>CRM_MAGDY!E240</f>
        <v>0</v>
      </c>
      <c r="D240" s="57">
        <f>CRM_MAGDY!V240</f>
        <v>0</v>
      </c>
      <c r="E240" s="57" t="str">
        <f>IF(CRM_MAGDY!G240="","BRAK TELEFONU",IF(CRM_MAGDY!K240="","BRAK KWOTY",IF(CRM_MAGDY!N240="","BRAK STATUSU",IF(CRM_MAGDY!C240="","BRAK DATY AKCJI",""))))</f>
        <v>BRAK TELEFONU</v>
      </c>
      <c r="F240" s="57" t="str">
        <f>CRM_MAGDY!W240</f>
        <v>BRAKI CRM</v>
      </c>
      <c r="G240" s="57">
        <f>CRM_MAGDY!K240</f>
        <v>0</v>
      </c>
      <c r="H240" s="57">
        <f>CRM_MAGDY!N240</f>
        <v>0</v>
      </c>
    </row>
    <row r="241" spans="1:8" ht="30" x14ac:dyDescent="0.25">
      <c r="A241" s="57">
        <f>CRM_MAGDY!H241</f>
        <v>5682</v>
      </c>
      <c r="B241" s="57">
        <f>CRM_MAGDY!I241</f>
        <v>0</v>
      </c>
      <c r="C241" s="57">
        <f>CRM_MAGDY!E241</f>
        <v>0</v>
      </c>
      <c r="D241" s="57">
        <f>CRM_MAGDY!V241</f>
        <v>0</v>
      </c>
      <c r="E241" s="57" t="str">
        <f>IF(CRM_MAGDY!G241="","BRAK TELEFONU",IF(CRM_MAGDY!K241="","BRAK KWOTY",IF(CRM_MAGDY!N241="","BRAK STATUSU",IF(CRM_MAGDY!C241="","BRAK DATY AKCJI",""))))</f>
        <v>BRAK TELEFONU</v>
      </c>
      <c r="F241" s="57" t="str">
        <f>CRM_MAGDY!W241</f>
        <v>BRAKI CRM</v>
      </c>
      <c r="G241" s="57">
        <f>CRM_MAGDY!K241</f>
        <v>0</v>
      </c>
      <c r="H241" s="57">
        <f>CRM_MAGDY!N241</f>
        <v>0</v>
      </c>
    </row>
    <row r="242" spans="1:8" ht="30" x14ac:dyDescent="0.25">
      <c r="A242" s="57">
        <f>CRM_MAGDY!H242</f>
        <v>5683</v>
      </c>
      <c r="B242" s="57">
        <f>CRM_MAGDY!I242</f>
        <v>0</v>
      </c>
      <c r="C242" s="57">
        <f>CRM_MAGDY!E242</f>
        <v>0</v>
      </c>
      <c r="D242" s="57">
        <f>CRM_MAGDY!V242</f>
        <v>0</v>
      </c>
      <c r="E242" s="57" t="str">
        <f>IF(CRM_MAGDY!G242="","BRAK TELEFONU",IF(CRM_MAGDY!K242="","BRAK KWOTY",IF(CRM_MAGDY!N242="","BRAK STATUSU",IF(CRM_MAGDY!C242="","BRAK DATY AKCJI",""))))</f>
        <v>BRAK TELEFONU</v>
      </c>
      <c r="F242" s="57" t="str">
        <f>CRM_MAGDY!W242</f>
        <v>BRAKI CRM</v>
      </c>
      <c r="G242" s="57">
        <f>CRM_MAGDY!K242</f>
        <v>0</v>
      </c>
      <c r="H242" s="57">
        <f>CRM_MAGDY!N242</f>
        <v>0</v>
      </c>
    </row>
    <row r="243" spans="1:8" ht="30" x14ac:dyDescent="0.25">
      <c r="A243" s="57">
        <f>CRM_MAGDY!H243</f>
        <v>5684</v>
      </c>
      <c r="B243" s="57">
        <f>CRM_MAGDY!I243</f>
        <v>0</v>
      </c>
      <c r="C243" s="57">
        <f>CRM_MAGDY!E243</f>
        <v>0</v>
      </c>
      <c r="D243" s="57">
        <f>CRM_MAGDY!V243</f>
        <v>0</v>
      </c>
      <c r="E243" s="57" t="str">
        <f>IF(CRM_MAGDY!G243="","BRAK TELEFONU",IF(CRM_MAGDY!K243="","BRAK KWOTY",IF(CRM_MAGDY!N243="","BRAK STATUSU",IF(CRM_MAGDY!C243="","BRAK DATY AKCJI",""))))</f>
        <v>BRAK TELEFONU</v>
      </c>
      <c r="F243" s="57" t="str">
        <f>CRM_MAGDY!W243</f>
        <v>BRAKI CRM</v>
      </c>
      <c r="G243" s="57">
        <f>CRM_MAGDY!K243</f>
        <v>0</v>
      </c>
      <c r="H243" s="57">
        <f>CRM_MAGDY!N243</f>
        <v>0</v>
      </c>
    </row>
    <row r="244" spans="1:8" ht="30" x14ac:dyDescent="0.25">
      <c r="A244" s="57">
        <f>CRM_MAGDY!H244</f>
        <v>5685</v>
      </c>
      <c r="B244" s="57">
        <f>CRM_MAGDY!I244</f>
        <v>0</v>
      </c>
      <c r="C244" s="57">
        <f>CRM_MAGDY!E244</f>
        <v>0</v>
      </c>
      <c r="D244" s="57">
        <f>CRM_MAGDY!V244</f>
        <v>0</v>
      </c>
      <c r="E244" s="57" t="str">
        <f>IF(CRM_MAGDY!G244="","BRAK TELEFONU",IF(CRM_MAGDY!K244="","BRAK KWOTY",IF(CRM_MAGDY!N244="","BRAK STATUSU",IF(CRM_MAGDY!C244="","BRAK DATY AKCJI",""))))</f>
        <v>BRAK TELEFONU</v>
      </c>
      <c r="F244" s="57" t="str">
        <f>CRM_MAGDY!W244</f>
        <v>BRAKI CRM</v>
      </c>
      <c r="G244" s="57">
        <f>CRM_MAGDY!K244</f>
        <v>0</v>
      </c>
      <c r="H244" s="57">
        <f>CRM_MAGDY!N244</f>
        <v>0</v>
      </c>
    </row>
    <row r="245" spans="1:8" ht="30" x14ac:dyDescent="0.25">
      <c r="A245" s="57">
        <f>CRM_MAGDY!H245</f>
        <v>5686</v>
      </c>
      <c r="B245" s="57">
        <f>CRM_MAGDY!I245</f>
        <v>0</v>
      </c>
      <c r="C245" s="57">
        <f>CRM_MAGDY!E245</f>
        <v>0</v>
      </c>
      <c r="D245" s="57">
        <f>CRM_MAGDY!V245</f>
        <v>0</v>
      </c>
      <c r="E245" s="57" t="str">
        <f>IF(CRM_MAGDY!G245="","BRAK TELEFONU",IF(CRM_MAGDY!K245="","BRAK KWOTY",IF(CRM_MAGDY!N245="","BRAK STATUSU",IF(CRM_MAGDY!C245="","BRAK DATY AKCJI",""))))</f>
        <v>BRAK TELEFONU</v>
      </c>
      <c r="F245" s="57" t="str">
        <f>CRM_MAGDY!W245</f>
        <v>BRAKI CRM</v>
      </c>
      <c r="G245" s="57">
        <f>CRM_MAGDY!K245</f>
        <v>0</v>
      </c>
      <c r="H245" s="57">
        <f>CRM_MAGDY!N245</f>
        <v>0</v>
      </c>
    </row>
    <row r="246" spans="1:8" ht="30" x14ac:dyDescent="0.25">
      <c r="A246" s="57">
        <f>CRM_MAGDY!H246</f>
        <v>5687</v>
      </c>
      <c r="B246" s="57">
        <f>CRM_MAGDY!I246</f>
        <v>0</v>
      </c>
      <c r="C246" s="57">
        <f>CRM_MAGDY!E246</f>
        <v>0</v>
      </c>
      <c r="D246" s="57">
        <f>CRM_MAGDY!V246</f>
        <v>0</v>
      </c>
      <c r="E246" s="57" t="str">
        <f>IF(CRM_MAGDY!G246="","BRAK TELEFONU",IF(CRM_MAGDY!K246="","BRAK KWOTY",IF(CRM_MAGDY!N246="","BRAK STATUSU",IF(CRM_MAGDY!C246="","BRAK DATY AKCJI",""))))</f>
        <v>BRAK TELEFONU</v>
      </c>
      <c r="F246" s="57" t="str">
        <f>CRM_MAGDY!W246</f>
        <v>BRAKI CRM</v>
      </c>
      <c r="G246" s="57">
        <f>CRM_MAGDY!K246</f>
        <v>0</v>
      </c>
      <c r="H246" s="57">
        <f>CRM_MAGDY!N246</f>
        <v>0</v>
      </c>
    </row>
    <row r="247" spans="1:8" ht="30" x14ac:dyDescent="0.25">
      <c r="A247" s="57">
        <f>CRM_MAGDY!H247</f>
        <v>5688</v>
      </c>
      <c r="B247" s="57">
        <f>CRM_MAGDY!I247</f>
        <v>0</v>
      </c>
      <c r="C247" s="57">
        <f>CRM_MAGDY!E247</f>
        <v>0</v>
      </c>
      <c r="D247" s="57">
        <f>CRM_MAGDY!V247</f>
        <v>0</v>
      </c>
      <c r="E247" s="57" t="str">
        <f>IF(CRM_MAGDY!G247="","BRAK TELEFONU",IF(CRM_MAGDY!K247="","BRAK KWOTY",IF(CRM_MAGDY!N247="","BRAK STATUSU",IF(CRM_MAGDY!C247="","BRAK DATY AKCJI",""))))</f>
        <v>BRAK TELEFONU</v>
      </c>
      <c r="F247" s="57" t="str">
        <f>CRM_MAGDY!W247</f>
        <v>BRAKI CRM</v>
      </c>
      <c r="G247" s="57">
        <f>CRM_MAGDY!K247</f>
        <v>0</v>
      </c>
      <c r="H247" s="57">
        <f>CRM_MAGDY!N247</f>
        <v>0</v>
      </c>
    </row>
    <row r="248" spans="1:8" ht="30" x14ac:dyDescent="0.25">
      <c r="A248" s="57">
        <f>CRM_MAGDY!H248</f>
        <v>5689</v>
      </c>
      <c r="B248" s="57">
        <f>CRM_MAGDY!I248</f>
        <v>0</v>
      </c>
      <c r="C248" s="57">
        <f>CRM_MAGDY!E248</f>
        <v>0</v>
      </c>
      <c r="D248" s="57">
        <f>CRM_MAGDY!V248</f>
        <v>0</v>
      </c>
      <c r="E248" s="57" t="str">
        <f>IF(CRM_MAGDY!G248="","BRAK TELEFONU",IF(CRM_MAGDY!K248="","BRAK KWOTY",IF(CRM_MAGDY!N248="","BRAK STATUSU",IF(CRM_MAGDY!C248="","BRAK DATY AKCJI",""))))</f>
        <v>BRAK TELEFONU</v>
      </c>
      <c r="F248" s="57" t="str">
        <f>CRM_MAGDY!W248</f>
        <v>BRAKI CRM</v>
      </c>
      <c r="G248" s="57">
        <f>CRM_MAGDY!K248</f>
        <v>0</v>
      </c>
      <c r="H248" s="57">
        <f>CRM_MAGDY!N248</f>
        <v>0</v>
      </c>
    </row>
    <row r="249" spans="1:8" ht="30" x14ac:dyDescent="0.25">
      <c r="A249" s="57">
        <f>CRM_MAGDY!H249</f>
        <v>5690</v>
      </c>
      <c r="B249" s="57">
        <f>CRM_MAGDY!I249</f>
        <v>0</v>
      </c>
      <c r="C249" s="57">
        <f>CRM_MAGDY!E249</f>
        <v>0</v>
      </c>
      <c r="D249" s="57">
        <f>CRM_MAGDY!V249</f>
        <v>0</v>
      </c>
      <c r="E249" s="57" t="str">
        <f>IF(CRM_MAGDY!G249="","BRAK TELEFONU",IF(CRM_MAGDY!K249="","BRAK KWOTY",IF(CRM_MAGDY!N249="","BRAK STATUSU",IF(CRM_MAGDY!C249="","BRAK DATY AKCJI",""))))</f>
        <v>BRAK TELEFONU</v>
      </c>
      <c r="F249" s="57" t="str">
        <f>CRM_MAGDY!W249</f>
        <v>BRAKI CRM</v>
      </c>
      <c r="G249" s="57">
        <f>CRM_MAGDY!K249</f>
        <v>0</v>
      </c>
      <c r="H249" s="57">
        <f>CRM_MAGDY!N249</f>
        <v>0</v>
      </c>
    </row>
    <row r="250" spans="1:8" ht="30" x14ac:dyDescent="0.25">
      <c r="A250" s="57">
        <f>CRM_MAGDY!H250</f>
        <v>5691</v>
      </c>
      <c r="B250" s="57">
        <f>CRM_MAGDY!I250</f>
        <v>0</v>
      </c>
      <c r="C250" s="57">
        <f>CRM_MAGDY!E250</f>
        <v>0</v>
      </c>
      <c r="D250" s="57">
        <f>CRM_MAGDY!V250</f>
        <v>0</v>
      </c>
      <c r="E250" s="57" t="str">
        <f>IF(CRM_MAGDY!G250="","BRAK TELEFONU",IF(CRM_MAGDY!K250="","BRAK KWOTY",IF(CRM_MAGDY!N250="","BRAK STATUSU",IF(CRM_MAGDY!C250="","BRAK DATY AKCJI",""))))</f>
        <v>BRAK TELEFONU</v>
      </c>
      <c r="F250" s="57" t="str">
        <f>CRM_MAGDY!W250</f>
        <v>BRAKI CRM</v>
      </c>
      <c r="G250" s="57">
        <f>CRM_MAGDY!K250</f>
        <v>0</v>
      </c>
      <c r="H250" s="57">
        <f>CRM_MAGDY!N250</f>
        <v>0</v>
      </c>
    </row>
    <row r="251" spans="1:8" ht="30" x14ac:dyDescent="0.25">
      <c r="A251" s="57">
        <f>CRM_MAGDY!H251</f>
        <v>5692</v>
      </c>
      <c r="B251" s="57">
        <f>CRM_MAGDY!I251</f>
        <v>0</v>
      </c>
      <c r="C251" s="57">
        <f>CRM_MAGDY!E251</f>
        <v>0</v>
      </c>
      <c r="D251" s="57">
        <f>CRM_MAGDY!V251</f>
        <v>0</v>
      </c>
      <c r="E251" s="57" t="str">
        <f>IF(CRM_MAGDY!G251="","BRAK TELEFONU",IF(CRM_MAGDY!K251="","BRAK KWOTY",IF(CRM_MAGDY!N251="","BRAK STATUSU",IF(CRM_MAGDY!C251="","BRAK DATY AKCJI",""))))</f>
        <v>BRAK TELEFONU</v>
      </c>
      <c r="F251" s="57" t="str">
        <f>CRM_MAGDY!W251</f>
        <v>BRAKI CRM</v>
      </c>
      <c r="G251" s="57">
        <f>CRM_MAGDY!K251</f>
        <v>0</v>
      </c>
      <c r="H251" s="57">
        <f>CRM_MAGDY!N251</f>
        <v>0</v>
      </c>
    </row>
    <row r="252" spans="1:8" ht="30" x14ac:dyDescent="0.25">
      <c r="A252" s="57">
        <f>CRM_MAGDY!H252</f>
        <v>5693</v>
      </c>
      <c r="B252" s="57">
        <f>CRM_MAGDY!I252</f>
        <v>0</v>
      </c>
      <c r="C252" s="57">
        <f>CRM_MAGDY!E252</f>
        <v>0</v>
      </c>
      <c r="D252" s="57">
        <f>CRM_MAGDY!V252</f>
        <v>0</v>
      </c>
      <c r="E252" s="57" t="str">
        <f>IF(CRM_MAGDY!G252="","BRAK TELEFONU",IF(CRM_MAGDY!K252="","BRAK KWOTY",IF(CRM_MAGDY!N252="","BRAK STATUSU",IF(CRM_MAGDY!C252="","BRAK DATY AKCJI",""))))</f>
        <v>BRAK TELEFONU</v>
      </c>
      <c r="F252" s="57" t="str">
        <f>CRM_MAGDY!W252</f>
        <v>BRAKI CRM</v>
      </c>
      <c r="G252" s="57">
        <f>CRM_MAGDY!K252</f>
        <v>0</v>
      </c>
      <c r="H252" s="57">
        <f>CRM_MAGDY!N252</f>
        <v>0</v>
      </c>
    </row>
    <row r="253" spans="1:8" ht="30" x14ac:dyDescent="0.25">
      <c r="A253" s="57">
        <f>CRM_MAGDY!H253</f>
        <v>5694</v>
      </c>
      <c r="B253" s="57">
        <f>CRM_MAGDY!I253</f>
        <v>0</v>
      </c>
      <c r="C253" s="57">
        <f>CRM_MAGDY!E253</f>
        <v>0</v>
      </c>
      <c r="D253" s="57">
        <f>CRM_MAGDY!V253</f>
        <v>0</v>
      </c>
      <c r="E253" s="57" t="str">
        <f>IF(CRM_MAGDY!G253="","BRAK TELEFONU",IF(CRM_MAGDY!K253="","BRAK KWOTY",IF(CRM_MAGDY!N253="","BRAK STATUSU",IF(CRM_MAGDY!C253="","BRAK DATY AKCJI",""))))</f>
        <v>BRAK TELEFONU</v>
      </c>
      <c r="F253" s="57" t="str">
        <f>CRM_MAGDY!W253</f>
        <v>BRAKI CRM</v>
      </c>
      <c r="G253" s="57">
        <f>CRM_MAGDY!K253</f>
        <v>0</v>
      </c>
      <c r="H253" s="57">
        <f>CRM_MAGDY!N253</f>
        <v>0</v>
      </c>
    </row>
    <row r="254" spans="1:8" ht="30" x14ac:dyDescent="0.25">
      <c r="A254" s="57">
        <f>CRM_MAGDY!H254</f>
        <v>5695</v>
      </c>
      <c r="B254" s="57">
        <f>CRM_MAGDY!I254</f>
        <v>0</v>
      </c>
      <c r="C254" s="57">
        <f>CRM_MAGDY!E254</f>
        <v>0</v>
      </c>
      <c r="D254" s="57">
        <f>CRM_MAGDY!V254</f>
        <v>0</v>
      </c>
      <c r="E254" s="57" t="str">
        <f>IF(CRM_MAGDY!G254="","BRAK TELEFONU",IF(CRM_MAGDY!K254="","BRAK KWOTY",IF(CRM_MAGDY!N254="","BRAK STATUSU",IF(CRM_MAGDY!C254="","BRAK DATY AKCJI",""))))</f>
        <v>BRAK TELEFONU</v>
      </c>
      <c r="F254" s="57" t="str">
        <f>CRM_MAGDY!W254</f>
        <v>BRAKI CRM</v>
      </c>
      <c r="G254" s="57">
        <f>CRM_MAGDY!K254</f>
        <v>0</v>
      </c>
      <c r="H254" s="57">
        <f>CRM_MAGDY!N254</f>
        <v>0</v>
      </c>
    </row>
    <row r="255" spans="1:8" ht="30" x14ac:dyDescent="0.25">
      <c r="A255" s="57">
        <f>CRM_MAGDY!H255</f>
        <v>5696</v>
      </c>
      <c r="B255" s="57">
        <f>CRM_MAGDY!I255</f>
        <v>0</v>
      </c>
      <c r="C255" s="57">
        <f>CRM_MAGDY!E255</f>
        <v>0</v>
      </c>
      <c r="D255" s="57">
        <f>CRM_MAGDY!V255</f>
        <v>0</v>
      </c>
      <c r="E255" s="57" t="str">
        <f>IF(CRM_MAGDY!G255="","BRAK TELEFONU",IF(CRM_MAGDY!K255="","BRAK KWOTY",IF(CRM_MAGDY!N255="","BRAK STATUSU",IF(CRM_MAGDY!C255="","BRAK DATY AKCJI",""))))</f>
        <v>BRAK TELEFONU</v>
      </c>
      <c r="F255" s="57" t="str">
        <f>CRM_MAGDY!W255</f>
        <v>BRAKI CRM</v>
      </c>
      <c r="G255" s="57">
        <f>CRM_MAGDY!K255</f>
        <v>0</v>
      </c>
      <c r="H255" s="57">
        <f>CRM_MAGDY!N255</f>
        <v>0</v>
      </c>
    </row>
    <row r="256" spans="1:8" ht="30" x14ac:dyDescent="0.25">
      <c r="A256" s="57">
        <f>CRM_MAGDY!H256</f>
        <v>5697</v>
      </c>
      <c r="B256" s="57">
        <f>CRM_MAGDY!I256</f>
        <v>0</v>
      </c>
      <c r="C256" s="57">
        <f>CRM_MAGDY!E256</f>
        <v>0</v>
      </c>
      <c r="D256" s="57">
        <f>CRM_MAGDY!V256</f>
        <v>0</v>
      </c>
      <c r="E256" s="57" t="str">
        <f>IF(CRM_MAGDY!G256="","BRAK TELEFONU",IF(CRM_MAGDY!K256="","BRAK KWOTY",IF(CRM_MAGDY!N256="","BRAK STATUSU",IF(CRM_MAGDY!C256="","BRAK DATY AKCJI",""))))</f>
        <v>BRAK TELEFONU</v>
      </c>
      <c r="F256" s="57" t="str">
        <f>CRM_MAGDY!W256</f>
        <v>BRAKI CRM</v>
      </c>
      <c r="G256" s="57">
        <f>CRM_MAGDY!K256</f>
        <v>0</v>
      </c>
      <c r="H256" s="57">
        <f>CRM_MAGDY!N256</f>
        <v>0</v>
      </c>
    </row>
    <row r="257" spans="1:8" ht="30" x14ac:dyDescent="0.25">
      <c r="A257" s="57">
        <f>CRM_MAGDY!H257</f>
        <v>5698</v>
      </c>
      <c r="B257" s="57">
        <f>CRM_MAGDY!I257</f>
        <v>0</v>
      </c>
      <c r="C257" s="57">
        <f>CRM_MAGDY!E257</f>
        <v>0</v>
      </c>
      <c r="D257" s="57">
        <f>CRM_MAGDY!V257</f>
        <v>0</v>
      </c>
      <c r="E257" s="57" t="str">
        <f>IF(CRM_MAGDY!G257="","BRAK TELEFONU",IF(CRM_MAGDY!K257="","BRAK KWOTY",IF(CRM_MAGDY!N257="","BRAK STATUSU",IF(CRM_MAGDY!C257="","BRAK DATY AKCJI",""))))</f>
        <v>BRAK TELEFONU</v>
      </c>
      <c r="F257" s="57" t="str">
        <f>CRM_MAGDY!W257</f>
        <v>BRAKI CRM</v>
      </c>
      <c r="G257" s="57">
        <f>CRM_MAGDY!K257</f>
        <v>0</v>
      </c>
      <c r="H257" s="57">
        <f>CRM_MAGDY!N257</f>
        <v>0</v>
      </c>
    </row>
    <row r="258" spans="1:8" ht="30" x14ac:dyDescent="0.25">
      <c r="A258" s="57">
        <f>CRM_MAGDY!H258</f>
        <v>5699</v>
      </c>
      <c r="B258" s="57">
        <f>CRM_MAGDY!I258</f>
        <v>0</v>
      </c>
      <c r="C258" s="57">
        <f>CRM_MAGDY!E258</f>
        <v>0</v>
      </c>
      <c r="D258" s="57">
        <f>CRM_MAGDY!V258</f>
        <v>0</v>
      </c>
      <c r="E258" s="57" t="str">
        <f>IF(CRM_MAGDY!G258="","BRAK TELEFONU",IF(CRM_MAGDY!K258="","BRAK KWOTY",IF(CRM_MAGDY!N258="","BRAK STATUSU",IF(CRM_MAGDY!C258="","BRAK DATY AKCJI",""))))</f>
        <v>BRAK TELEFONU</v>
      </c>
      <c r="F258" s="57" t="str">
        <f>CRM_MAGDY!W258</f>
        <v>BRAKI CRM</v>
      </c>
      <c r="G258" s="57">
        <f>CRM_MAGDY!K258</f>
        <v>0</v>
      </c>
      <c r="H258" s="57">
        <f>CRM_MAGDY!N258</f>
        <v>0</v>
      </c>
    </row>
    <row r="259" spans="1:8" ht="30" x14ac:dyDescent="0.25">
      <c r="A259" s="57">
        <f>CRM_MAGDY!H259</f>
        <v>5700</v>
      </c>
      <c r="B259" s="57">
        <f>CRM_MAGDY!I259</f>
        <v>0</v>
      </c>
      <c r="C259" s="57">
        <f>CRM_MAGDY!E259</f>
        <v>0</v>
      </c>
      <c r="D259" s="57">
        <f>CRM_MAGDY!V259</f>
        <v>0</v>
      </c>
      <c r="E259" s="57" t="str">
        <f>IF(CRM_MAGDY!G259="","BRAK TELEFONU",IF(CRM_MAGDY!K259="","BRAK KWOTY",IF(CRM_MAGDY!N259="","BRAK STATUSU",IF(CRM_MAGDY!C259="","BRAK DATY AKCJI",""))))</f>
        <v>BRAK TELEFONU</v>
      </c>
      <c r="F259" s="57" t="str">
        <f>CRM_MAGDY!W259</f>
        <v>BRAKI CRM</v>
      </c>
      <c r="G259" s="57">
        <f>CRM_MAGDY!K259</f>
        <v>0</v>
      </c>
      <c r="H259" s="57">
        <f>CRM_MAGDY!N259</f>
        <v>0</v>
      </c>
    </row>
    <row r="260" spans="1:8" ht="30" x14ac:dyDescent="0.25">
      <c r="A260" s="57">
        <f>CRM_MAGDY!H260</f>
        <v>5701</v>
      </c>
      <c r="B260" s="57">
        <f>CRM_MAGDY!I260</f>
        <v>0</v>
      </c>
      <c r="C260" s="57">
        <f>CRM_MAGDY!E260</f>
        <v>0</v>
      </c>
      <c r="D260" s="57">
        <f>CRM_MAGDY!V260</f>
        <v>0</v>
      </c>
      <c r="E260" s="57" t="str">
        <f>IF(CRM_MAGDY!G260="","BRAK TELEFONU",IF(CRM_MAGDY!K260="","BRAK KWOTY",IF(CRM_MAGDY!N260="","BRAK STATUSU",IF(CRM_MAGDY!C260="","BRAK DATY AKCJI",""))))</f>
        <v>BRAK TELEFONU</v>
      </c>
      <c r="F260" s="57" t="str">
        <f>CRM_MAGDY!W260</f>
        <v>BRAKI CRM</v>
      </c>
      <c r="G260" s="57">
        <f>CRM_MAGDY!K260</f>
        <v>0</v>
      </c>
      <c r="H260" s="57">
        <f>CRM_MAGDY!N260</f>
        <v>0</v>
      </c>
    </row>
    <row r="261" spans="1:8" ht="30" x14ac:dyDescent="0.25">
      <c r="A261" s="57">
        <f>CRM_MAGDY!H261</f>
        <v>5702</v>
      </c>
      <c r="B261" s="57">
        <f>CRM_MAGDY!I261</f>
        <v>0</v>
      </c>
      <c r="C261" s="57">
        <f>CRM_MAGDY!E261</f>
        <v>0</v>
      </c>
      <c r="D261" s="57">
        <f>CRM_MAGDY!V261</f>
        <v>0</v>
      </c>
      <c r="E261" s="57" t="str">
        <f>IF(CRM_MAGDY!G261="","BRAK TELEFONU",IF(CRM_MAGDY!K261="","BRAK KWOTY",IF(CRM_MAGDY!N261="","BRAK STATUSU",IF(CRM_MAGDY!C261="","BRAK DATY AKCJI",""))))</f>
        <v>BRAK TELEFONU</v>
      </c>
      <c r="F261" s="57" t="str">
        <f>CRM_MAGDY!W261</f>
        <v>BRAKI CRM</v>
      </c>
      <c r="G261" s="57">
        <f>CRM_MAGDY!K261</f>
        <v>0</v>
      </c>
      <c r="H261" s="57">
        <f>CRM_MAGDY!N261</f>
        <v>0</v>
      </c>
    </row>
    <row r="262" spans="1:8" ht="30" x14ac:dyDescent="0.25">
      <c r="A262" s="57">
        <f>CRM_MAGDY!H262</f>
        <v>5703</v>
      </c>
      <c r="B262" s="57">
        <f>CRM_MAGDY!I262</f>
        <v>0</v>
      </c>
      <c r="C262" s="57">
        <f>CRM_MAGDY!E262</f>
        <v>0</v>
      </c>
      <c r="D262" s="57">
        <f>CRM_MAGDY!V262</f>
        <v>0</v>
      </c>
      <c r="E262" s="57" t="str">
        <f>IF(CRM_MAGDY!G262="","BRAK TELEFONU",IF(CRM_MAGDY!K262="","BRAK KWOTY",IF(CRM_MAGDY!N262="","BRAK STATUSU",IF(CRM_MAGDY!C262="","BRAK DATY AKCJI",""))))</f>
        <v>BRAK TELEFONU</v>
      </c>
      <c r="F262" s="57" t="str">
        <f>CRM_MAGDY!W262</f>
        <v>BRAKI CRM</v>
      </c>
      <c r="G262" s="57">
        <f>CRM_MAGDY!K262</f>
        <v>0</v>
      </c>
      <c r="H262" s="57">
        <f>CRM_MAGDY!N262</f>
        <v>0</v>
      </c>
    </row>
    <row r="263" spans="1:8" ht="30" x14ac:dyDescent="0.25">
      <c r="A263" s="57">
        <f>CRM_MAGDY!H263</f>
        <v>5704</v>
      </c>
      <c r="B263" s="57">
        <f>CRM_MAGDY!I263</f>
        <v>0</v>
      </c>
      <c r="C263" s="57">
        <f>CRM_MAGDY!E263</f>
        <v>0</v>
      </c>
      <c r="D263" s="57">
        <f>CRM_MAGDY!V263</f>
        <v>0</v>
      </c>
      <c r="E263" s="57" t="str">
        <f>IF(CRM_MAGDY!G263="","BRAK TELEFONU",IF(CRM_MAGDY!K263="","BRAK KWOTY",IF(CRM_MAGDY!N263="","BRAK STATUSU",IF(CRM_MAGDY!C263="","BRAK DATY AKCJI",""))))</f>
        <v>BRAK TELEFONU</v>
      </c>
      <c r="F263" s="57" t="str">
        <f>CRM_MAGDY!W263</f>
        <v>BRAKI CRM</v>
      </c>
      <c r="G263" s="57">
        <f>CRM_MAGDY!K263</f>
        <v>0</v>
      </c>
      <c r="H263" s="57">
        <f>CRM_MAGDY!N263</f>
        <v>0</v>
      </c>
    </row>
    <row r="264" spans="1:8" ht="30" x14ac:dyDescent="0.25">
      <c r="A264" s="57">
        <f>CRM_MAGDY!H264</f>
        <v>5705</v>
      </c>
      <c r="B264" s="57">
        <f>CRM_MAGDY!I264</f>
        <v>0</v>
      </c>
      <c r="C264" s="57">
        <f>CRM_MAGDY!E264</f>
        <v>0</v>
      </c>
      <c r="D264" s="57">
        <f>CRM_MAGDY!V264</f>
        <v>0</v>
      </c>
      <c r="E264" s="57" t="str">
        <f>IF(CRM_MAGDY!G264="","BRAK TELEFONU",IF(CRM_MAGDY!K264="","BRAK KWOTY",IF(CRM_MAGDY!N264="","BRAK STATUSU",IF(CRM_MAGDY!C264="","BRAK DATY AKCJI",""))))</f>
        <v>BRAK TELEFONU</v>
      </c>
      <c r="F264" s="57" t="str">
        <f>CRM_MAGDY!W264</f>
        <v>BRAKI CRM</v>
      </c>
      <c r="G264" s="57">
        <f>CRM_MAGDY!K264</f>
        <v>0</v>
      </c>
      <c r="H264" s="57">
        <f>CRM_MAGDY!N264</f>
        <v>0</v>
      </c>
    </row>
    <row r="265" spans="1:8" ht="30" x14ac:dyDescent="0.25">
      <c r="A265" s="57">
        <f>CRM_MAGDY!H265</f>
        <v>5706</v>
      </c>
      <c r="B265" s="57">
        <f>CRM_MAGDY!I265</f>
        <v>0</v>
      </c>
      <c r="C265" s="57">
        <f>CRM_MAGDY!E265</f>
        <v>0</v>
      </c>
      <c r="D265" s="57">
        <f>CRM_MAGDY!V265</f>
        <v>0</v>
      </c>
      <c r="E265" s="57" t="str">
        <f>IF(CRM_MAGDY!G265="","BRAK TELEFONU",IF(CRM_MAGDY!K265="","BRAK KWOTY",IF(CRM_MAGDY!N265="","BRAK STATUSU",IF(CRM_MAGDY!C265="","BRAK DATY AKCJI",""))))</f>
        <v>BRAK TELEFONU</v>
      </c>
      <c r="F265" s="57" t="str">
        <f>CRM_MAGDY!W265</f>
        <v>BRAKI CRM</v>
      </c>
      <c r="G265" s="57">
        <f>CRM_MAGDY!K265</f>
        <v>0</v>
      </c>
      <c r="H265" s="57">
        <f>CRM_MAGDY!N265</f>
        <v>0</v>
      </c>
    </row>
    <row r="266" spans="1:8" ht="30" x14ac:dyDescent="0.25">
      <c r="A266" s="57">
        <f>CRM_MAGDY!H266</f>
        <v>5707</v>
      </c>
      <c r="B266" s="57">
        <f>CRM_MAGDY!I266</f>
        <v>0</v>
      </c>
      <c r="C266" s="57">
        <f>CRM_MAGDY!E266</f>
        <v>0</v>
      </c>
      <c r="D266" s="57">
        <f>CRM_MAGDY!V266</f>
        <v>0</v>
      </c>
      <c r="E266" s="57" t="str">
        <f>IF(CRM_MAGDY!G266="","BRAK TELEFONU",IF(CRM_MAGDY!K266="","BRAK KWOTY",IF(CRM_MAGDY!N266="","BRAK STATUSU",IF(CRM_MAGDY!C266="","BRAK DATY AKCJI",""))))</f>
        <v>BRAK TELEFONU</v>
      </c>
      <c r="F266" s="57" t="str">
        <f>CRM_MAGDY!W266</f>
        <v>BRAKI CRM</v>
      </c>
      <c r="G266" s="57">
        <f>CRM_MAGDY!K266</f>
        <v>0</v>
      </c>
      <c r="H266" s="57">
        <f>CRM_MAGDY!N266</f>
        <v>0</v>
      </c>
    </row>
    <row r="267" spans="1:8" ht="30" x14ac:dyDescent="0.25">
      <c r="A267" s="57">
        <f>CRM_MAGDY!H267</f>
        <v>5708</v>
      </c>
      <c r="B267" s="57">
        <f>CRM_MAGDY!I267</f>
        <v>0</v>
      </c>
      <c r="C267" s="57">
        <f>CRM_MAGDY!E267</f>
        <v>0</v>
      </c>
      <c r="D267" s="57">
        <f>CRM_MAGDY!V267</f>
        <v>0</v>
      </c>
      <c r="E267" s="57" t="str">
        <f>IF(CRM_MAGDY!G267="","BRAK TELEFONU",IF(CRM_MAGDY!K267="","BRAK KWOTY",IF(CRM_MAGDY!N267="","BRAK STATUSU",IF(CRM_MAGDY!C267="","BRAK DATY AKCJI",""))))</f>
        <v>BRAK TELEFONU</v>
      </c>
      <c r="F267" s="57" t="str">
        <f>CRM_MAGDY!W267</f>
        <v>BRAKI CRM</v>
      </c>
      <c r="G267" s="57">
        <f>CRM_MAGDY!K267</f>
        <v>0</v>
      </c>
      <c r="H267" s="57">
        <f>CRM_MAGDY!N267</f>
        <v>0</v>
      </c>
    </row>
    <row r="268" spans="1:8" ht="30" x14ac:dyDescent="0.25">
      <c r="A268" s="57">
        <f>CRM_MAGDY!H268</f>
        <v>5709</v>
      </c>
      <c r="B268" s="57">
        <f>CRM_MAGDY!I268</f>
        <v>0</v>
      </c>
      <c r="C268" s="57">
        <f>CRM_MAGDY!E268</f>
        <v>0</v>
      </c>
      <c r="D268" s="57">
        <f>CRM_MAGDY!V268</f>
        <v>0</v>
      </c>
      <c r="E268" s="57" t="str">
        <f>IF(CRM_MAGDY!G268="","BRAK TELEFONU",IF(CRM_MAGDY!K268="","BRAK KWOTY",IF(CRM_MAGDY!N268="","BRAK STATUSU",IF(CRM_MAGDY!C268="","BRAK DATY AKCJI",""))))</f>
        <v>BRAK TELEFONU</v>
      </c>
      <c r="F268" s="57" t="str">
        <f>CRM_MAGDY!W268</f>
        <v>BRAKI CRM</v>
      </c>
      <c r="G268" s="57">
        <f>CRM_MAGDY!K268</f>
        <v>0</v>
      </c>
      <c r="H268" s="57">
        <f>CRM_MAGDY!N268</f>
        <v>0</v>
      </c>
    </row>
    <row r="269" spans="1:8" ht="30" x14ac:dyDescent="0.25">
      <c r="A269" s="57">
        <f>CRM_MAGDY!H269</f>
        <v>5710</v>
      </c>
      <c r="B269" s="57">
        <f>CRM_MAGDY!I269</f>
        <v>0</v>
      </c>
      <c r="C269" s="57">
        <f>CRM_MAGDY!E269</f>
        <v>0</v>
      </c>
      <c r="D269" s="57">
        <f>CRM_MAGDY!V269</f>
        <v>0</v>
      </c>
      <c r="E269" s="57" t="str">
        <f>IF(CRM_MAGDY!G269="","BRAK TELEFONU",IF(CRM_MAGDY!K269="","BRAK KWOTY",IF(CRM_MAGDY!N269="","BRAK STATUSU",IF(CRM_MAGDY!C269="","BRAK DATY AKCJI",""))))</f>
        <v>BRAK TELEFONU</v>
      </c>
      <c r="F269" s="57" t="str">
        <f>CRM_MAGDY!W269</f>
        <v>BRAKI CRM</v>
      </c>
      <c r="G269" s="57">
        <f>CRM_MAGDY!K269</f>
        <v>0</v>
      </c>
      <c r="H269" s="57">
        <f>CRM_MAGDY!N269</f>
        <v>0</v>
      </c>
    </row>
    <row r="270" spans="1:8" ht="30" x14ac:dyDescent="0.25">
      <c r="A270" s="57">
        <f>CRM_MAGDY!H270</f>
        <v>5711</v>
      </c>
      <c r="B270" s="57">
        <f>CRM_MAGDY!I270</f>
        <v>0</v>
      </c>
      <c r="C270" s="57">
        <f>CRM_MAGDY!E270</f>
        <v>0</v>
      </c>
      <c r="D270" s="57">
        <f>CRM_MAGDY!V270</f>
        <v>0</v>
      </c>
      <c r="E270" s="57" t="str">
        <f>IF(CRM_MAGDY!G270="","BRAK TELEFONU",IF(CRM_MAGDY!K270="","BRAK KWOTY",IF(CRM_MAGDY!N270="","BRAK STATUSU",IF(CRM_MAGDY!C270="","BRAK DATY AKCJI",""))))</f>
        <v>BRAK TELEFONU</v>
      </c>
      <c r="F270" s="57" t="str">
        <f>CRM_MAGDY!W270</f>
        <v>BRAKI CRM</v>
      </c>
      <c r="G270" s="57">
        <f>CRM_MAGDY!K270</f>
        <v>0</v>
      </c>
      <c r="H270" s="57">
        <f>CRM_MAGDY!N270</f>
        <v>0</v>
      </c>
    </row>
    <row r="271" spans="1:8" ht="30" x14ac:dyDescent="0.25">
      <c r="A271" s="57">
        <f>CRM_MAGDY!H271</f>
        <v>5712</v>
      </c>
      <c r="B271" s="57">
        <f>CRM_MAGDY!I271</f>
        <v>0</v>
      </c>
      <c r="C271" s="57">
        <f>CRM_MAGDY!E271</f>
        <v>0</v>
      </c>
      <c r="D271" s="57">
        <f>CRM_MAGDY!V271</f>
        <v>0</v>
      </c>
      <c r="E271" s="57" t="str">
        <f>IF(CRM_MAGDY!G271="","BRAK TELEFONU",IF(CRM_MAGDY!K271="","BRAK KWOTY",IF(CRM_MAGDY!N271="","BRAK STATUSU",IF(CRM_MAGDY!C271="","BRAK DATY AKCJI",""))))</f>
        <v>BRAK TELEFONU</v>
      </c>
      <c r="F271" s="57" t="str">
        <f>CRM_MAGDY!W271</f>
        <v>BRAKI CRM</v>
      </c>
      <c r="G271" s="57">
        <f>CRM_MAGDY!K271</f>
        <v>0</v>
      </c>
      <c r="H271" s="57">
        <f>CRM_MAGDY!N271</f>
        <v>0</v>
      </c>
    </row>
    <row r="272" spans="1:8" ht="30" x14ac:dyDescent="0.25">
      <c r="A272" s="57">
        <f>CRM_MAGDY!H272</f>
        <v>5713</v>
      </c>
      <c r="B272" s="57">
        <f>CRM_MAGDY!I272</f>
        <v>0</v>
      </c>
      <c r="C272" s="57">
        <f>CRM_MAGDY!E272</f>
        <v>0</v>
      </c>
      <c r="D272" s="57">
        <f>CRM_MAGDY!V272</f>
        <v>0</v>
      </c>
      <c r="E272" s="57" t="str">
        <f>IF(CRM_MAGDY!G272="","BRAK TELEFONU",IF(CRM_MAGDY!K272="","BRAK KWOTY",IF(CRM_MAGDY!N272="","BRAK STATUSU",IF(CRM_MAGDY!C272="","BRAK DATY AKCJI",""))))</f>
        <v>BRAK TELEFONU</v>
      </c>
      <c r="F272" s="57" t="str">
        <f>CRM_MAGDY!W272</f>
        <v>BRAKI CRM</v>
      </c>
      <c r="G272" s="57">
        <f>CRM_MAGDY!K272</f>
        <v>0</v>
      </c>
      <c r="H272" s="57">
        <f>CRM_MAGDY!N272</f>
        <v>0</v>
      </c>
    </row>
    <row r="273" spans="1:8" ht="30" x14ac:dyDescent="0.25">
      <c r="A273" s="57">
        <f>CRM_MAGDY!H273</f>
        <v>5714</v>
      </c>
      <c r="B273" s="57">
        <f>CRM_MAGDY!I273</f>
        <v>0</v>
      </c>
      <c r="C273" s="57">
        <f>CRM_MAGDY!E273</f>
        <v>0</v>
      </c>
      <c r="D273" s="57">
        <f>CRM_MAGDY!V273</f>
        <v>0</v>
      </c>
      <c r="E273" s="57" t="str">
        <f>IF(CRM_MAGDY!G273="","BRAK TELEFONU",IF(CRM_MAGDY!K273="","BRAK KWOTY",IF(CRM_MAGDY!N273="","BRAK STATUSU",IF(CRM_MAGDY!C273="","BRAK DATY AKCJI",""))))</f>
        <v>BRAK TELEFONU</v>
      </c>
      <c r="F273" s="57" t="str">
        <f>CRM_MAGDY!W273</f>
        <v>BRAKI CRM</v>
      </c>
      <c r="G273" s="57">
        <f>CRM_MAGDY!K273</f>
        <v>0</v>
      </c>
      <c r="H273" s="57">
        <f>CRM_MAGDY!N273</f>
        <v>0</v>
      </c>
    </row>
    <row r="274" spans="1:8" ht="30" x14ac:dyDescent="0.25">
      <c r="A274" s="57">
        <f>CRM_MAGDY!H274</f>
        <v>5715</v>
      </c>
      <c r="B274" s="57">
        <f>CRM_MAGDY!I274</f>
        <v>0</v>
      </c>
      <c r="C274" s="57">
        <f>CRM_MAGDY!E274</f>
        <v>0</v>
      </c>
      <c r="D274" s="57">
        <f>CRM_MAGDY!V274</f>
        <v>0</v>
      </c>
      <c r="E274" s="57" t="str">
        <f>IF(CRM_MAGDY!G274="","BRAK TELEFONU",IF(CRM_MAGDY!K274="","BRAK KWOTY",IF(CRM_MAGDY!N274="","BRAK STATUSU",IF(CRM_MAGDY!C274="","BRAK DATY AKCJI",""))))</f>
        <v>BRAK TELEFONU</v>
      </c>
      <c r="F274" s="57" t="str">
        <f>CRM_MAGDY!W274</f>
        <v>BRAKI CRM</v>
      </c>
      <c r="G274" s="57">
        <f>CRM_MAGDY!K274</f>
        <v>0</v>
      </c>
      <c r="H274" s="57">
        <f>CRM_MAGDY!N274</f>
        <v>0</v>
      </c>
    </row>
    <row r="275" spans="1:8" ht="30" x14ac:dyDescent="0.25">
      <c r="A275" s="57">
        <f>CRM_MAGDY!H275</f>
        <v>5716</v>
      </c>
      <c r="B275" s="57">
        <f>CRM_MAGDY!I275</f>
        <v>0</v>
      </c>
      <c r="C275" s="57">
        <f>CRM_MAGDY!E275</f>
        <v>0</v>
      </c>
      <c r="D275" s="57">
        <f>CRM_MAGDY!V275</f>
        <v>0</v>
      </c>
      <c r="E275" s="57" t="str">
        <f>IF(CRM_MAGDY!G275="","BRAK TELEFONU",IF(CRM_MAGDY!K275="","BRAK KWOTY",IF(CRM_MAGDY!N275="","BRAK STATUSU",IF(CRM_MAGDY!C275="","BRAK DATY AKCJI",""))))</f>
        <v>BRAK TELEFONU</v>
      </c>
      <c r="F275" s="57" t="str">
        <f>CRM_MAGDY!W275</f>
        <v>BRAKI CRM</v>
      </c>
      <c r="G275" s="57">
        <f>CRM_MAGDY!K275</f>
        <v>0</v>
      </c>
      <c r="H275" s="57">
        <f>CRM_MAGDY!N275</f>
        <v>0</v>
      </c>
    </row>
    <row r="276" spans="1:8" ht="30" x14ac:dyDescent="0.25">
      <c r="A276" s="57">
        <f>CRM_MAGDY!H276</f>
        <v>5717</v>
      </c>
      <c r="B276" s="57">
        <f>CRM_MAGDY!I276</f>
        <v>0</v>
      </c>
      <c r="C276" s="57">
        <f>CRM_MAGDY!E276</f>
        <v>0</v>
      </c>
      <c r="D276" s="57">
        <f>CRM_MAGDY!V276</f>
        <v>0</v>
      </c>
      <c r="E276" s="57" t="str">
        <f>IF(CRM_MAGDY!G276="","BRAK TELEFONU",IF(CRM_MAGDY!K276="","BRAK KWOTY",IF(CRM_MAGDY!N276="","BRAK STATUSU",IF(CRM_MAGDY!C276="","BRAK DATY AKCJI",""))))</f>
        <v>BRAK TELEFONU</v>
      </c>
      <c r="F276" s="57" t="str">
        <f>CRM_MAGDY!W276</f>
        <v>BRAKI CRM</v>
      </c>
      <c r="G276" s="57">
        <f>CRM_MAGDY!K276</f>
        <v>0</v>
      </c>
      <c r="H276" s="57">
        <f>CRM_MAGDY!N276</f>
        <v>0</v>
      </c>
    </row>
    <row r="277" spans="1:8" ht="30" x14ac:dyDescent="0.25">
      <c r="A277" s="57">
        <f>CRM_MAGDY!H277</f>
        <v>5718</v>
      </c>
      <c r="B277" s="57">
        <f>CRM_MAGDY!I277</f>
        <v>0</v>
      </c>
      <c r="C277" s="57">
        <f>CRM_MAGDY!E277</f>
        <v>0</v>
      </c>
      <c r="D277" s="57">
        <f>CRM_MAGDY!V277</f>
        <v>0</v>
      </c>
      <c r="E277" s="57" t="str">
        <f>IF(CRM_MAGDY!G277="","BRAK TELEFONU",IF(CRM_MAGDY!K277="","BRAK KWOTY",IF(CRM_MAGDY!N277="","BRAK STATUSU",IF(CRM_MAGDY!C277="","BRAK DATY AKCJI",""))))</f>
        <v>BRAK TELEFONU</v>
      </c>
      <c r="F277" s="57" t="str">
        <f>CRM_MAGDY!W277</f>
        <v>BRAKI CRM</v>
      </c>
      <c r="G277" s="57">
        <f>CRM_MAGDY!K277</f>
        <v>0</v>
      </c>
      <c r="H277" s="57">
        <f>CRM_MAGDY!N277</f>
        <v>0</v>
      </c>
    </row>
    <row r="278" spans="1:8" ht="30" x14ac:dyDescent="0.25">
      <c r="A278" s="57">
        <f>CRM_MAGDY!H278</f>
        <v>5719</v>
      </c>
      <c r="B278" s="57">
        <f>CRM_MAGDY!I278</f>
        <v>0</v>
      </c>
      <c r="C278" s="57">
        <f>CRM_MAGDY!E278</f>
        <v>0</v>
      </c>
      <c r="D278" s="57">
        <f>CRM_MAGDY!V278</f>
        <v>0</v>
      </c>
      <c r="E278" s="57" t="str">
        <f>IF(CRM_MAGDY!G278="","BRAK TELEFONU",IF(CRM_MAGDY!K278="","BRAK KWOTY",IF(CRM_MAGDY!N278="","BRAK STATUSU",IF(CRM_MAGDY!C278="","BRAK DATY AKCJI",""))))</f>
        <v>BRAK TELEFONU</v>
      </c>
      <c r="F278" s="57" t="str">
        <f>CRM_MAGDY!W278</f>
        <v>BRAKI CRM</v>
      </c>
      <c r="G278" s="57">
        <f>CRM_MAGDY!K278</f>
        <v>0</v>
      </c>
      <c r="H278" s="57">
        <f>CRM_MAGDY!N278</f>
        <v>0</v>
      </c>
    </row>
    <row r="279" spans="1:8" ht="30" x14ac:dyDescent="0.25">
      <c r="A279" s="57">
        <f>CRM_MAGDY!H279</f>
        <v>5720</v>
      </c>
      <c r="B279" s="57">
        <f>CRM_MAGDY!I279</f>
        <v>0</v>
      </c>
      <c r="C279" s="57">
        <f>CRM_MAGDY!E279</f>
        <v>0</v>
      </c>
      <c r="D279" s="57">
        <f>CRM_MAGDY!V279</f>
        <v>0</v>
      </c>
      <c r="E279" s="57" t="str">
        <f>IF(CRM_MAGDY!G279="","BRAK TELEFONU",IF(CRM_MAGDY!K279="","BRAK KWOTY",IF(CRM_MAGDY!N279="","BRAK STATUSU",IF(CRM_MAGDY!C279="","BRAK DATY AKCJI",""))))</f>
        <v>BRAK TELEFONU</v>
      </c>
      <c r="F279" s="57" t="str">
        <f>CRM_MAGDY!W279</f>
        <v>BRAKI CRM</v>
      </c>
      <c r="G279" s="57">
        <f>CRM_MAGDY!K279</f>
        <v>0</v>
      </c>
      <c r="H279" s="57">
        <f>CRM_MAGDY!N279</f>
        <v>0</v>
      </c>
    </row>
    <row r="280" spans="1:8" ht="30" x14ac:dyDescent="0.25">
      <c r="A280" s="57">
        <f>CRM_MAGDY!H280</f>
        <v>5721</v>
      </c>
      <c r="B280" s="57">
        <f>CRM_MAGDY!I280</f>
        <v>0</v>
      </c>
      <c r="C280" s="57">
        <f>CRM_MAGDY!E280</f>
        <v>0</v>
      </c>
      <c r="D280" s="57">
        <f>CRM_MAGDY!V280</f>
        <v>0</v>
      </c>
      <c r="E280" s="57" t="str">
        <f>IF(CRM_MAGDY!G280="","BRAK TELEFONU",IF(CRM_MAGDY!K280="","BRAK KWOTY",IF(CRM_MAGDY!N280="","BRAK STATUSU",IF(CRM_MAGDY!C280="","BRAK DATY AKCJI",""))))</f>
        <v>BRAK TELEFONU</v>
      </c>
      <c r="F280" s="57" t="str">
        <f>CRM_MAGDY!W280</f>
        <v>BRAKI CRM</v>
      </c>
      <c r="G280" s="57">
        <f>CRM_MAGDY!K280</f>
        <v>0</v>
      </c>
      <c r="H280" s="57">
        <f>CRM_MAGDY!N280</f>
        <v>0</v>
      </c>
    </row>
    <row r="281" spans="1:8" ht="30" x14ac:dyDescent="0.25">
      <c r="A281" s="57">
        <f>CRM_MAGDY!H281</f>
        <v>5722</v>
      </c>
      <c r="B281" s="57">
        <f>CRM_MAGDY!I281</f>
        <v>0</v>
      </c>
      <c r="C281" s="57">
        <f>CRM_MAGDY!E281</f>
        <v>0</v>
      </c>
      <c r="D281" s="57">
        <f>CRM_MAGDY!V281</f>
        <v>0</v>
      </c>
      <c r="E281" s="57" t="str">
        <f>IF(CRM_MAGDY!G281="","BRAK TELEFONU",IF(CRM_MAGDY!K281="","BRAK KWOTY",IF(CRM_MAGDY!N281="","BRAK STATUSU",IF(CRM_MAGDY!C281="","BRAK DATY AKCJI",""))))</f>
        <v>BRAK TELEFONU</v>
      </c>
      <c r="F281" s="57" t="str">
        <f>CRM_MAGDY!W281</f>
        <v>BRAKI CRM</v>
      </c>
      <c r="G281" s="57">
        <f>CRM_MAGDY!K281</f>
        <v>0</v>
      </c>
      <c r="H281" s="57">
        <f>CRM_MAGDY!N281</f>
        <v>0</v>
      </c>
    </row>
    <row r="282" spans="1:8" ht="30" x14ac:dyDescent="0.25">
      <c r="A282" s="57">
        <f>CRM_MAGDY!H282</f>
        <v>5723</v>
      </c>
      <c r="B282" s="57">
        <f>CRM_MAGDY!I282</f>
        <v>0</v>
      </c>
      <c r="C282" s="57">
        <f>CRM_MAGDY!E282</f>
        <v>0</v>
      </c>
      <c r="D282" s="57">
        <f>CRM_MAGDY!V282</f>
        <v>0</v>
      </c>
      <c r="E282" s="57" t="str">
        <f>IF(CRM_MAGDY!G282="","BRAK TELEFONU",IF(CRM_MAGDY!K282="","BRAK KWOTY",IF(CRM_MAGDY!N282="","BRAK STATUSU",IF(CRM_MAGDY!C282="","BRAK DATY AKCJI",""))))</f>
        <v>BRAK TELEFONU</v>
      </c>
      <c r="F282" s="57" t="str">
        <f>CRM_MAGDY!W282</f>
        <v>BRAKI CRM</v>
      </c>
      <c r="G282" s="57">
        <f>CRM_MAGDY!K282</f>
        <v>0</v>
      </c>
      <c r="H282" s="57">
        <f>CRM_MAGDY!N282</f>
        <v>0</v>
      </c>
    </row>
    <row r="283" spans="1:8" ht="30" x14ac:dyDescent="0.25">
      <c r="A283" s="57">
        <f>CRM_MAGDY!H283</f>
        <v>5724</v>
      </c>
      <c r="B283" s="57">
        <f>CRM_MAGDY!I283</f>
        <v>0</v>
      </c>
      <c r="C283" s="57">
        <f>CRM_MAGDY!E283</f>
        <v>0</v>
      </c>
      <c r="D283" s="57">
        <f>CRM_MAGDY!V283</f>
        <v>0</v>
      </c>
      <c r="E283" s="57" t="str">
        <f>IF(CRM_MAGDY!G283="","BRAK TELEFONU",IF(CRM_MAGDY!K283="","BRAK KWOTY",IF(CRM_MAGDY!N283="","BRAK STATUSU",IF(CRM_MAGDY!C283="","BRAK DATY AKCJI",""))))</f>
        <v>BRAK TELEFONU</v>
      </c>
      <c r="F283" s="57" t="str">
        <f>CRM_MAGDY!W283</f>
        <v>BRAKI CRM</v>
      </c>
      <c r="G283" s="57">
        <f>CRM_MAGDY!K283</f>
        <v>0</v>
      </c>
      <c r="H283" s="57">
        <f>CRM_MAGDY!N283</f>
        <v>0</v>
      </c>
    </row>
    <row r="284" spans="1:8" ht="30" x14ac:dyDescent="0.25">
      <c r="A284" s="57">
        <f>CRM_MAGDY!H284</f>
        <v>5725</v>
      </c>
      <c r="B284" s="57">
        <f>CRM_MAGDY!I284</f>
        <v>0</v>
      </c>
      <c r="C284" s="57">
        <f>CRM_MAGDY!E284</f>
        <v>0</v>
      </c>
      <c r="D284" s="57">
        <f>CRM_MAGDY!V284</f>
        <v>0</v>
      </c>
      <c r="E284" s="57" t="str">
        <f>IF(CRM_MAGDY!G284="","BRAK TELEFONU",IF(CRM_MAGDY!K284="","BRAK KWOTY",IF(CRM_MAGDY!N284="","BRAK STATUSU",IF(CRM_MAGDY!C284="","BRAK DATY AKCJI",""))))</f>
        <v>BRAK TELEFONU</v>
      </c>
      <c r="F284" s="57" t="str">
        <f>CRM_MAGDY!W284</f>
        <v>BRAKI CRM</v>
      </c>
      <c r="G284" s="57">
        <f>CRM_MAGDY!K284</f>
        <v>0</v>
      </c>
      <c r="H284" s="57">
        <f>CRM_MAGDY!N284</f>
        <v>0</v>
      </c>
    </row>
    <row r="285" spans="1:8" ht="30" x14ac:dyDescent="0.25">
      <c r="A285" s="57">
        <f>CRM_MAGDY!H285</f>
        <v>5726</v>
      </c>
      <c r="B285" s="57">
        <f>CRM_MAGDY!I285</f>
        <v>0</v>
      </c>
      <c r="C285" s="57">
        <f>CRM_MAGDY!E285</f>
        <v>0</v>
      </c>
      <c r="D285" s="57">
        <f>CRM_MAGDY!V285</f>
        <v>0</v>
      </c>
      <c r="E285" s="57" t="str">
        <f>IF(CRM_MAGDY!G285="","BRAK TELEFONU",IF(CRM_MAGDY!K285="","BRAK KWOTY",IF(CRM_MAGDY!N285="","BRAK STATUSU",IF(CRM_MAGDY!C285="","BRAK DATY AKCJI",""))))</f>
        <v>BRAK TELEFONU</v>
      </c>
      <c r="F285" s="57" t="str">
        <f>CRM_MAGDY!W285</f>
        <v>BRAKI CRM</v>
      </c>
      <c r="G285" s="57">
        <f>CRM_MAGDY!K285</f>
        <v>0</v>
      </c>
      <c r="H285" s="57">
        <f>CRM_MAGDY!N285</f>
        <v>0</v>
      </c>
    </row>
    <row r="286" spans="1:8" ht="30" x14ac:dyDescent="0.25">
      <c r="A286" s="57">
        <f>CRM_MAGDY!H286</f>
        <v>5727</v>
      </c>
      <c r="B286" s="57">
        <f>CRM_MAGDY!I286</f>
        <v>0</v>
      </c>
      <c r="C286" s="57">
        <f>CRM_MAGDY!E286</f>
        <v>0</v>
      </c>
      <c r="D286" s="57">
        <f>CRM_MAGDY!V286</f>
        <v>0</v>
      </c>
      <c r="E286" s="57" t="str">
        <f>IF(CRM_MAGDY!G286="","BRAK TELEFONU",IF(CRM_MAGDY!K286="","BRAK KWOTY",IF(CRM_MAGDY!N286="","BRAK STATUSU",IF(CRM_MAGDY!C286="","BRAK DATY AKCJI",""))))</f>
        <v>BRAK TELEFONU</v>
      </c>
      <c r="F286" s="57" t="str">
        <f>CRM_MAGDY!W286</f>
        <v>BRAKI CRM</v>
      </c>
      <c r="G286" s="57">
        <f>CRM_MAGDY!K286</f>
        <v>0</v>
      </c>
      <c r="H286" s="57">
        <f>CRM_MAGDY!N286</f>
        <v>0</v>
      </c>
    </row>
    <row r="287" spans="1:8" ht="30" x14ac:dyDescent="0.25">
      <c r="A287" s="57">
        <f>CRM_MAGDY!H287</f>
        <v>5728</v>
      </c>
      <c r="B287" s="57">
        <f>CRM_MAGDY!I287</f>
        <v>0</v>
      </c>
      <c r="C287" s="57">
        <f>CRM_MAGDY!E287</f>
        <v>0</v>
      </c>
      <c r="D287" s="57">
        <f>CRM_MAGDY!V287</f>
        <v>0</v>
      </c>
      <c r="E287" s="57" t="str">
        <f>IF(CRM_MAGDY!G287="","BRAK TELEFONU",IF(CRM_MAGDY!K287="","BRAK KWOTY",IF(CRM_MAGDY!N287="","BRAK STATUSU",IF(CRM_MAGDY!C287="","BRAK DATY AKCJI",""))))</f>
        <v>BRAK TELEFONU</v>
      </c>
      <c r="F287" s="57" t="str">
        <f>CRM_MAGDY!W287</f>
        <v>BRAKI CRM</v>
      </c>
      <c r="G287" s="57">
        <f>CRM_MAGDY!K287</f>
        <v>0</v>
      </c>
      <c r="H287" s="57">
        <f>CRM_MAGDY!N287</f>
        <v>0</v>
      </c>
    </row>
    <row r="288" spans="1:8" ht="30" x14ac:dyDescent="0.25">
      <c r="A288" s="57">
        <f>CRM_MAGDY!H288</f>
        <v>5729</v>
      </c>
      <c r="B288" s="57">
        <f>CRM_MAGDY!I288</f>
        <v>0</v>
      </c>
      <c r="C288" s="57">
        <f>CRM_MAGDY!E288</f>
        <v>0</v>
      </c>
      <c r="D288" s="57">
        <f>CRM_MAGDY!V288</f>
        <v>0</v>
      </c>
      <c r="E288" s="57" t="str">
        <f>IF(CRM_MAGDY!G288="","BRAK TELEFONU",IF(CRM_MAGDY!K288="","BRAK KWOTY",IF(CRM_MAGDY!N288="","BRAK STATUSU",IF(CRM_MAGDY!C288="","BRAK DATY AKCJI",""))))</f>
        <v>BRAK TELEFONU</v>
      </c>
      <c r="F288" s="57" t="str">
        <f>CRM_MAGDY!W288</f>
        <v>BRAKI CRM</v>
      </c>
      <c r="G288" s="57">
        <f>CRM_MAGDY!K288</f>
        <v>0</v>
      </c>
      <c r="H288" s="57">
        <f>CRM_MAGDY!N288</f>
        <v>0</v>
      </c>
    </row>
    <row r="289" spans="1:8" ht="30" x14ac:dyDescent="0.25">
      <c r="A289" s="57">
        <f>CRM_MAGDY!H289</f>
        <v>5730</v>
      </c>
      <c r="B289" s="57">
        <f>CRM_MAGDY!I289</f>
        <v>0</v>
      </c>
      <c r="C289" s="57">
        <f>CRM_MAGDY!E289</f>
        <v>0</v>
      </c>
      <c r="D289" s="57">
        <f>CRM_MAGDY!V289</f>
        <v>0</v>
      </c>
      <c r="E289" s="57" t="str">
        <f>IF(CRM_MAGDY!G289="","BRAK TELEFONU",IF(CRM_MAGDY!K289="","BRAK KWOTY",IF(CRM_MAGDY!N289="","BRAK STATUSU",IF(CRM_MAGDY!C289="","BRAK DATY AKCJI",""))))</f>
        <v>BRAK TELEFONU</v>
      </c>
      <c r="F289" s="57" t="str">
        <f>CRM_MAGDY!W289</f>
        <v>BRAKI CRM</v>
      </c>
      <c r="G289" s="57">
        <f>CRM_MAGDY!K289</f>
        <v>0</v>
      </c>
      <c r="H289" s="57">
        <f>CRM_MAGDY!N289</f>
        <v>0</v>
      </c>
    </row>
    <row r="290" spans="1:8" ht="30" x14ac:dyDescent="0.25">
      <c r="A290" s="57">
        <f>CRM_MAGDY!H290</f>
        <v>5731</v>
      </c>
      <c r="B290" s="57">
        <f>CRM_MAGDY!I290</f>
        <v>0</v>
      </c>
      <c r="C290" s="57">
        <f>CRM_MAGDY!E290</f>
        <v>0</v>
      </c>
      <c r="D290" s="57">
        <f>CRM_MAGDY!V290</f>
        <v>0</v>
      </c>
      <c r="E290" s="57" t="str">
        <f>IF(CRM_MAGDY!G290="","BRAK TELEFONU",IF(CRM_MAGDY!K290="","BRAK KWOTY",IF(CRM_MAGDY!N290="","BRAK STATUSU",IF(CRM_MAGDY!C290="","BRAK DATY AKCJI",""))))</f>
        <v>BRAK TELEFONU</v>
      </c>
      <c r="F290" s="57" t="str">
        <f>CRM_MAGDY!W290</f>
        <v>BRAKI CRM</v>
      </c>
      <c r="G290" s="57">
        <f>CRM_MAGDY!K290</f>
        <v>0</v>
      </c>
      <c r="H290" s="57">
        <f>CRM_MAGDY!N290</f>
        <v>0</v>
      </c>
    </row>
    <row r="291" spans="1:8" ht="30" x14ac:dyDescent="0.25">
      <c r="A291" s="57">
        <f>CRM_MAGDY!H291</f>
        <v>5732</v>
      </c>
      <c r="B291" s="57">
        <f>CRM_MAGDY!I291</f>
        <v>0</v>
      </c>
      <c r="C291" s="57">
        <f>CRM_MAGDY!E291</f>
        <v>0</v>
      </c>
      <c r="D291" s="57">
        <f>CRM_MAGDY!V291</f>
        <v>0</v>
      </c>
      <c r="E291" s="57" t="str">
        <f>IF(CRM_MAGDY!G291="","BRAK TELEFONU",IF(CRM_MAGDY!K291="","BRAK KWOTY",IF(CRM_MAGDY!N291="","BRAK STATUSU",IF(CRM_MAGDY!C291="","BRAK DATY AKCJI",""))))</f>
        <v>BRAK TELEFONU</v>
      </c>
      <c r="F291" s="57" t="str">
        <f>CRM_MAGDY!W291</f>
        <v>BRAKI CRM</v>
      </c>
      <c r="G291" s="57">
        <f>CRM_MAGDY!K291</f>
        <v>0</v>
      </c>
      <c r="H291" s="57">
        <f>CRM_MAGDY!N291</f>
        <v>0</v>
      </c>
    </row>
    <row r="292" spans="1:8" ht="30" x14ac:dyDescent="0.25">
      <c r="A292" s="57">
        <f>CRM_MAGDY!H292</f>
        <v>5733</v>
      </c>
      <c r="B292" s="57">
        <f>CRM_MAGDY!I292</f>
        <v>0</v>
      </c>
      <c r="C292" s="57">
        <f>CRM_MAGDY!E292</f>
        <v>0</v>
      </c>
      <c r="D292" s="57">
        <f>CRM_MAGDY!V292</f>
        <v>0</v>
      </c>
      <c r="E292" s="57" t="str">
        <f>IF(CRM_MAGDY!G292="","BRAK TELEFONU",IF(CRM_MAGDY!K292="","BRAK KWOTY",IF(CRM_MAGDY!N292="","BRAK STATUSU",IF(CRM_MAGDY!C292="","BRAK DATY AKCJI",""))))</f>
        <v>BRAK TELEFONU</v>
      </c>
      <c r="F292" s="57" t="str">
        <f>CRM_MAGDY!W292</f>
        <v>BRAKI CRM</v>
      </c>
      <c r="G292" s="57">
        <f>CRM_MAGDY!K292</f>
        <v>0</v>
      </c>
      <c r="H292" s="57">
        <f>CRM_MAGDY!N292</f>
        <v>0</v>
      </c>
    </row>
    <row r="293" spans="1:8" ht="30" x14ac:dyDescent="0.25">
      <c r="A293" s="57">
        <f>CRM_MAGDY!H293</f>
        <v>5734</v>
      </c>
      <c r="B293" s="57">
        <f>CRM_MAGDY!I293</f>
        <v>0</v>
      </c>
      <c r="C293" s="57">
        <f>CRM_MAGDY!E293</f>
        <v>0</v>
      </c>
      <c r="D293" s="57">
        <f>CRM_MAGDY!V293</f>
        <v>0</v>
      </c>
      <c r="E293" s="57" t="str">
        <f>IF(CRM_MAGDY!G293="","BRAK TELEFONU",IF(CRM_MAGDY!K293="","BRAK KWOTY",IF(CRM_MAGDY!N293="","BRAK STATUSU",IF(CRM_MAGDY!C293="","BRAK DATY AKCJI",""))))</f>
        <v>BRAK TELEFONU</v>
      </c>
      <c r="F293" s="57" t="str">
        <f>CRM_MAGDY!W293</f>
        <v>BRAKI CRM</v>
      </c>
      <c r="G293" s="57">
        <f>CRM_MAGDY!K293</f>
        <v>0</v>
      </c>
      <c r="H293" s="57">
        <f>CRM_MAGDY!N293</f>
        <v>0</v>
      </c>
    </row>
    <row r="294" spans="1:8" ht="30" x14ac:dyDescent="0.25">
      <c r="A294" s="57">
        <f>CRM_MAGDY!H294</f>
        <v>5735</v>
      </c>
      <c r="B294" s="57">
        <f>CRM_MAGDY!I294</f>
        <v>0</v>
      </c>
      <c r="C294" s="57">
        <f>CRM_MAGDY!E294</f>
        <v>0</v>
      </c>
      <c r="D294" s="57">
        <f>CRM_MAGDY!V294</f>
        <v>0</v>
      </c>
      <c r="E294" s="57" t="str">
        <f>IF(CRM_MAGDY!G294="","BRAK TELEFONU",IF(CRM_MAGDY!K294="","BRAK KWOTY",IF(CRM_MAGDY!N294="","BRAK STATUSU",IF(CRM_MAGDY!C294="","BRAK DATY AKCJI",""))))</f>
        <v>BRAK TELEFONU</v>
      </c>
      <c r="F294" s="57" t="str">
        <f>CRM_MAGDY!W294</f>
        <v>BRAKI CRM</v>
      </c>
      <c r="G294" s="57">
        <f>CRM_MAGDY!K294</f>
        <v>0</v>
      </c>
      <c r="H294" s="57">
        <f>CRM_MAGDY!N294</f>
        <v>0</v>
      </c>
    </row>
    <row r="295" spans="1:8" ht="30" x14ac:dyDescent="0.25">
      <c r="A295" s="57">
        <f>CRM_MAGDY!H295</f>
        <v>5736</v>
      </c>
      <c r="B295" s="57">
        <f>CRM_MAGDY!I295</f>
        <v>0</v>
      </c>
      <c r="C295" s="57">
        <f>CRM_MAGDY!E295</f>
        <v>0</v>
      </c>
      <c r="D295" s="57">
        <f>CRM_MAGDY!V295</f>
        <v>0</v>
      </c>
      <c r="E295" s="57" t="str">
        <f>IF(CRM_MAGDY!G295="","BRAK TELEFONU",IF(CRM_MAGDY!K295="","BRAK KWOTY",IF(CRM_MAGDY!N295="","BRAK STATUSU",IF(CRM_MAGDY!C295="","BRAK DATY AKCJI",""))))</f>
        <v>BRAK TELEFONU</v>
      </c>
      <c r="F295" s="57" t="str">
        <f>CRM_MAGDY!W295</f>
        <v>BRAKI CRM</v>
      </c>
      <c r="G295" s="57">
        <f>CRM_MAGDY!K295</f>
        <v>0</v>
      </c>
      <c r="H295" s="57">
        <f>CRM_MAGDY!N295</f>
        <v>0</v>
      </c>
    </row>
    <row r="296" spans="1:8" ht="30" x14ac:dyDescent="0.25">
      <c r="A296" s="57">
        <f>CRM_MAGDY!H296</f>
        <v>5737</v>
      </c>
      <c r="B296" s="57">
        <f>CRM_MAGDY!I296</f>
        <v>0</v>
      </c>
      <c r="C296" s="57">
        <f>CRM_MAGDY!E296</f>
        <v>0</v>
      </c>
      <c r="D296" s="57">
        <f>CRM_MAGDY!V296</f>
        <v>0</v>
      </c>
      <c r="E296" s="57" t="str">
        <f>IF(CRM_MAGDY!G296="","BRAK TELEFONU",IF(CRM_MAGDY!K296="","BRAK KWOTY",IF(CRM_MAGDY!N296="","BRAK STATUSU",IF(CRM_MAGDY!C296="","BRAK DATY AKCJI",""))))</f>
        <v>BRAK TELEFONU</v>
      </c>
      <c r="F296" s="57" t="str">
        <f>CRM_MAGDY!W296</f>
        <v>BRAKI CRM</v>
      </c>
      <c r="G296" s="57">
        <f>CRM_MAGDY!K296</f>
        <v>0</v>
      </c>
      <c r="H296" s="57">
        <f>CRM_MAGDY!N296</f>
        <v>0</v>
      </c>
    </row>
    <row r="297" spans="1:8" ht="30" x14ac:dyDescent="0.25">
      <c r="A297" s="57">
        <f>CRM_MAGDY!H297</f>
        <v>5738</v>
      </c>
      <c r="B297" s="57">
        <f>CRM_MAGDY!I297</f>
        <v>0</v>
      </c>
      <c r="C297" s="57">
        <f>CRM_MAGDY!E297</f>
        <v>0</v>
      </c>
      <c r="D297" s="57">
        <f>CRM_MAGDY!V297</f>
        <v>0</v>
      </c>
      <c r="E297" s="57" t="str">
        <f>IF(CRM_MAGDY!G297="","BRAK TELEFONU",IF(CRM_MAGDY!K297="","BRAK KWOTY",IF(CRM_MAGDY!N297="","BRAK STATUSU",IF(CRM_MAGDY!C297="","BRAK DATY AKCJI",""))))</f>
        <v>BRAK TELEFONU</v>
      </c>
      <c r="F297" s="57" t="str">
        <f>CRM_MAGDY!W297</f>
        <v>BRAKI CRM</v>
      </c>
      <c r="G297" s="57">
        <f>CRM_MAGDY!K297</f>
        <v>0</v>
      </c>
      <c r="H297" s="57">
        <f>CRM_MAGDY!N297</f>
        <v>0</v>
      </c>
    </row>
    <row r="298" spans="1:8" ht="30" x14ac:dyDescent="0.25">
      <c r="A298" s="57">
        <f>CRM_MAGDY!H298</f>
        <v>5739</v>
      </c>
      <c r="B298" s="57">
        <f>CRM_MAGDY!I298</f>
        <v>0</v>
      </c>
      <c r="C298" s="57">
        <f>CRM_MAGDY!E298</f>
        <v>0</v>
      </c>
      <c r="D298" s="57">
        <f>CRM_MAGDY!V298</f>
        <v>0</v>
      </c>
      <c r="E298" s="57" t="str">
        <f>IF(CRM_MAGDY!G298="","BRAK TELEFONU",IF(CRM_MAGDY!K298="","BRAK KWOTY",IF(CRM_MAGDY!N298="","BRAK STATUSU",IF(CRM_MAGDY!C298="","BRAK DATY AKCJI",""))))</f>
        <v>BRAK TELEFONU</v>
      </c>
      <c r="F298" s="57" t="str">
        <f>CRM_MAGDY!W298</f>
        <v>BRAKI CRM</v>
      </c>
      <c r="G298" s="57">
        <f>CRM_MAGDY!K298</f>
        <v>0</v>
      </c>
      <c r="H298" s="57">
        <f>CRM_MAGDY!N298</f>
        <v>0</v>
      </c>
    </row>
    <row r="299" spans="1:8" ht="30" x14ac:dyDescent="0.25">
      <c r="A299" s="57">
        <f>CRM_MAGDY!H299</f>
        <v>5740</v>
      </c>
      <c r="B299" s="57">
        <f>CRM_MAGDY!I299</f>
        <v>0</v>
      </c>
      <c r="C299" s="57">
        <f>CRM_MAGDY!E299</f>
        <v>0</v>
      </c>
      <c r="D299" s="57">
        <f>CRM_MAGDY!V299</f>
        <v>0</v>
      </c>
      <c r="E299" s="57" t="str">
        <f>IF(CRM_MAGDY!G299="","BRAK TELEFONU",IF(CRM_MAGDY!K299="","BRAK KWOTY",IF(CRM_MAGDY!N299="","BRAK STATUSU",IF(CRM_MAGDY!C299="","BRAK DATY AKCJI",""))))</f>
        <v>BRAK TELEFONU</v>
      </c>
      <c r="F299" s="57" t="str">
        <f>CRM_MAGDY!W299</f>
        <v>BRAKI CRM</v>
      </c>
      <c r="G299" s="57">
        <f>CRM_MAGDY!K299</f>
        <v>0</v>
      </c>
      <c r="H299" s="57">
        <f>CRM_MAGDY!N299</f>
        <v>0</v>
      </c>
    </row>
    <row r="300" spans="1:8" ht="30" x14ac:dyDescent="0.25">
      <c r="A300" s="57">
        <f>CRM_MAGDY!H300</f>
        <v>5741</v>
      </c>
      <c r="B300" s="57">
        <f>CRM_MAGDY!I300</f>
        <v>0</v>
      </c>
      <c r="C300" s="57">
        <f>CRM_MAGDY!E300</f>
        <v>0</v>
      </c>
      <c r="D300" s="57">
        <f>CRM_MAGDY!V300</f>
        <v>0</v>
      </c>
      <c r="E300" s="57" t="str">
        <f>IF(CRM_MAGDY!G300="","BRAK TELEFONU",IF(CRM_MAGDY!K300="","BRAK KWOTY",IF(CRM_MAGDY!N300="","BRAK STATUSU",IF(CRM_MAGDY!C300="","BRAK DATY AKCJI",""))))</f>
        <v>BRAK TELEFONU</v>
      </c>
      <c r="F300" s="57" t="str">
        <f>CRM_MAGDY!W300</f>
        <v>BRAKI CRM</v>
      </c>
      <c r="G300" s="57">
        <f>CRM_MAGDY!K300</f>
        <v>0</v>
      </c>
      <c r="H300" s="57">
        <f>CRM_MAGDY!N300</f>
        <v>0</v>
      </c>
    </row>
    <row r="301" spans="1:8" ht="30" x14ac:dyDescent="0.25">
      <c r="A301" s="57">
        <f>CRM_MAGDY!H301</f>
        <v>5742</v>
      </c>
      <c r="B301" s="57">
        <f>CRM_MAGDY!I301</f>
        <v>0</v>
      </c>
      <c r="C301" s="57">
        <f>CRM_MAGDY!E301</f>
        <v>0</v>
      </c>
      <c r="D301" s="57">
        <f>CRM_MAGDY!V301</f>
        <v>0</v>
      </c>
      <c r="E301" s="57" t="str">
        <f>IF(CRM_MAGDY!G301="","BRAK TELEFONU",IF(CRM_MAGDY!K301="","BRAK KWOTY",IF(CRM_MAGDY!N301="","BRAK STATUSU",IF(CRM_MAGDY!C301="","BRAK DATY AKCJI",""))))</f>
        <v>BRAK TELEFONU</v>
      </c>
      <c r="F301" s="57" t="str">
        <f>CRM_MAGDY!W301</f>
        <v>BRAKI CRM</v>
      </c>
      <c r="G301" s="57">
        <f>CRM_MAGDY!K301</f>
        <v>0</v>
      </c>
      <c r="H301" s="57">
        <f>CRM_MAGDY!N301</f>
        <v>0</v>
      </c>
    </row>
    <row r="302" spans="1:8" ht="30" x14ac:dyDescent="0.25">
      <c r="A302" s="57">
        <f>CRM_MAGDY!H302</f>
        <v>5743</v>
      </c>
      <c r="B302" s="57">
        <f>CRM_MAGDY!I302</f>
        <v>0</v>
      </c>
      <c r="C302" s="57">
        <f>CRM_MAGDY!E302</f>
        <v>0</v>
      </c>
      <c r="D302" s="57">
        <f>CRM_MAGDY!V302</f>
        <v>0</v>
      </c>
      <c r="E302" s="57" t="str">
        <f>IF(CRM_MAGDY!G302="","BRAK TELEFONU",IF(CRM_MAGDY!K302="","BRAK KWOTY",IF(CRM_MAGDY!N302="","BRAK STATUSU",IF(CRM_MAGDY!C302="","BRAK DATY AKCJI",""))))</f>
        <v>BRAK TELEFONU</v>
      </c>
      <c r="F302" s="57" t="str">
        <f>CRM_MAGDY!W302</f>
        <v>BRAKI CRM</v>
      </c>
      <c r="G302" s="57">
        <f>CRM_MAGDY!K302</f>
        <v>0</v>
      </c>
      <c r="H302" s="57">
        <f>CRM_MAGDY!N302</f>
        <v>0</v>
      </c>
    </row>
    <row r="303" spans="1:8" ht="30" x14ac:dyDescent="0.25">
      <c r="A303" s="57">
        <f>CRM_MAGDY!H303</f>
        <v>5744</v>
      </c>
      <c r="B303" s="57">
        <f>CRM_MAGDY!I303</f>
        <v>0</v>
      </c>
      <c r="C303" s="57">
        <f>CRM_MAGDY!E303</f>
        <v>0</v>
      </c>
      <c r="D303" s="57">
        <f>CRM_MAGDY!V303</f>
        <v>0</v>
      </c>
      <c r="E303" s="57" t="str">
        <f>IF(CRM_MAGDY!G303="","BRAK TELEFONU",IF(CRM_MAGDY!K303="","BRAK KWOTY",IF(CRM_MAGDY!N303="","BRAK STATUSU",IF(CRM_MAGDY!C303="","BRAK DATY AKCJI",""))))</f>
        <v>BRAK TELEFONU</v>
      </c>
      <c r="F303" s="57" t="str">
        <f>CRM_MAGDY!W303</f>
        <v>BRAKI CRM</v>
      </c>
      <c r="G303" s="57">
        <f>CRM_MAGDY!K303</f>
        <v>0</v>
      </c>
      <c r="H303" s="57">
        <f>CRM_MAGDY!N303</f>
        <v>0</v>
      </c>
    </row>
    <row r="304" spans="1:8" ht="30" x14ac:dyDescent="0.25">
      <c r="A304" s="57">
        <f>CRM_MAGDY!H304</f>
        <v>5745</v>
      </c>
      <c r="B304" s="57">
        <f>CRM_MAGDY!I304</f>
        <v>0</v>
      </c>
      <c r="C304" s="57">
        <f>CRM_MAGDY!E304</f>
        <v>0</v>
      </c>
      <c r="D304" s="57">
        <f>CRM_MAGDY!V304</f>
        <v>0</v>
      </c>
      <c r="E304" s="57" t="str">
        <f>IF(CRM_MAGDY!G304="","BRAK TELEFONU",IF(CRM_MAGDY!K304="","BRAK KWOTY",IF(CRM_MAGDY!N304="","BRAK STATUSU",IF(CRM_MAGDY!C304="","BRAK DATY AKCJI",""))))</f>
        <v>BRAK TELEFONU</v>
      </c>
      <c r="F304" s="57" t="str">
        <f>CRM_MAGDY!W304</f>
        <v>BRAKI CRM</v>
      </c>
      <c r="G304" s="57">
        <f>CRM_MAGDY!K304</f>
        <v>0</v>
      </c>
      <c r="H304" s="57">
        <f>CRM_MAGDY!N304</f>
        <v>0</v>
      </c>
    </row>
    <row r="305" spans="1:8" ht="30" x14ac:dyDescent="0.25">
      <c r="A305" s="57">
        <f>CRM_MAGDY!H305</f>
        <v>5746</v>
      </c>
      <c r="B305" s="57">
        <f>CRM_MAGDY!I305</f>
        <v>0</v>
      </c>
      <c r="C305" s="57">
        <f>CRM_MAGDY!E305</f>
        <v>0</v>
      </c>
      <c r="D305" s="57">
        <f>CRM_MAGDY!V305</f>
        <v>0</v>
      </c>
      <c r="E305" s="57" t="str">
        <f>IF(CRM_MAGDY!G305="","BRAK TELEFONU",IF(CRM_MAGDY!K305="","BRAK KWOTY",IF(CRM_MAGDY!N305="","BRAK STATUSU",IF(CRM_MAGDY!C305="","BRAK DATY AKCJI",""))))</f>
        <v>BRAK TELEFONU</v>
      </c>
      <c r="F305" s="57" t="str">
        <f>CRM_MAGDY!W305</f>
        <v>BRAKI CRM</v>
      </c>
      <c r="G305" s="57">
        <f>CRM_MAGDY!K305</f>
        <v>0</v>
      </c>
      <c r="H305" s="57">
        <f>CRM_MAGDY!N305</f>
        <v>0</v>
      </c>
    </row>
    <row r="306" spans="1:8" ht="30" x14ac:dyDescent="0.25">
      <c r="A306" s="57">
        <f>CRM_MAGDY!H306</f>
        <v>5747</v>
      </c>
      <c r="B306" s="57">
        <f>CRM_MAGDY!I306</f>
        <v>0</v>
      </c>
      <c r="C306" s="57">
        <f>CRM_MAGDY!E306</f>
        <v>0</v>
      </c>
      <c r="D306" s="57">
        <f>CRM_MAGDY!V306</f>
        <v>0</v>
      </c>
      <c r="E306" s="57" t="str">
        <f>IF(CRM_MAGDY!G306="","BRAK TELEFONU",IF(CRM_MAGDY!K306="","BRAK KWOTY",IF(CRM_MAGDY!N306="","BRAK STATUSU",IF(CRM_MAGDY!C306="","BRAK DATY AKCJI",""))))</f>
        <v>BRAK TELEFONU</v>
      </c>
      <c r="F306" s="57" t="str">
        <f>CRM_MAGDY!W306</f>
        <v>BRAKI CRM</v>
      </c>
      <c r="G306" s="57">
        <f>CRM_MAGDY!K306</f>
        <v>0</v>
      </c>
      <c r="H306" s="57">
        <f>CRM_MAGDY!N306</f>
        <v>0</v>
      </c>
    </row>
    <row r="307" spans="1:8" ht="30" x14ac:dyDescent="0.25">
      <c r="A307" s="57">
        <f>CRM_MAGDY!H307</f>
        <v>5748</v>
      </c>
      <c r="B307" s="57">
        <f>CRM_MAGDY!I307</f>
        <v>0</v>
      </c>
      <c r="C307" s="57">
        <f>CRM_MAGDY!E307</f>
        <v>0</v>
      </c>
      <c r="D307" s="57">
        <f>CRM_MAGDY!V307</f>
        <v>0</v>
      </c>
      <c r="E307" s="57" t="str">
        <f>IF(CRM_MAGDY!G307="","BRAK TELEFONU",IF(CRM_MAGDY!K307="","BRAK KWOTY",IF(CRM_MAGDY!N307="","BRAK STATUSU",IF(CRM_MAGDY!C307="","BRAK DATY AKCJI",""))))</f>
        <v>BRAK TELEFONU</v>
      </c>
      <c r="F307" s="57" t="str">
        <f>CRM_MAGDY!W307</f>
        <v>BRAKI CRM</v>
      </c>
      <c r="G307" s="57">
        <f>CRM_MAGDY!K307</f>
        <v>0</v>
      </c>
      <c r="H307" s="57">
        <f>CRM_MAGDY!N307</f>
        <v>0</v>
      </c>
    </row>
    <row r="308" spans="1:8" ht="30" x14ac:dyDescent="0.25">
      <c r="A308" s="57">
        <f>CRM_MAGDY!H308</f>
        <v>5749</v>
      </c>
      <c r="B308" s="57">
        <f>CRM_MAGDY!I308</f>
        <v>0</v>
      </c>
      <c r="C308" s="57">
        <f>CRM_MAGDY!E308</f>
        <v>0</v>
      </c>
      <c r="D308" s="57">
        <f>CRM_MAGDY!V308</f>
        <v>0</v>
      </c>
      <c r="E308" s="57" t="str">
        <f>IF(CRM_MAGDY!G308="","BRAK TELEFONU",IF(CRM_MAGDY!K308="","BRAK KWOTY",IF(CRM_MAGDY!N308="","BRAK STATUSU",IF(CRM_MAGDY!C308="","BRAK DATY AKCJI",""))))</f>
        <v>BRAK TELEFONU</v>
      </c>
      <c r="F308" s="57" t="str">
        <f>CRM_MAGDY!W308</f>
        <v>BRAKI CRM</v>
      </c>
      <c r="G308" s="57">
        <f>CRM_MAGDY!K308</f>
        <v>0</v>
      </c>
      <c r="H308" s="57">
        <f>CRM_MAGDY!N308</f>
        <v>0</v>
      </c>
    </row>
    <row r="309" spans="1:8" ht="30" x14ac:dyDescent="0.25">
      <c r="A309" s="57">
        <f>CRM_MAGDY!H309</f>
        <v>5750</v>
      </c>
      <c r="B309" s="57">
        <f>CRM_MAGDY!I309</f>
        <v>0</v>
      </c>
      <c r="C309" s="57">
        <f>CRM_MAGDY!E309</f>
        <v>0</v>
      </c>
      <c r="D309" s="57">
        <f>CRM_MAGDY!V309</f>
        <v>0</v>
      </c>
      <c r="E309" s="57" t="str">
        <f>IF(CRM_MAGDY!G309="","BRAK TELEFONU",IF(CRM_MAGDY!K309="","BRAK KWOTY",IF(CRM_MAGDY!N309="","BRAK STATUSU",IF(CRM_MAGDY!C309="","BRAK DATY AKCJI",""))))</f>
        <v>BRAK TELEFONU</v>
      </c>
      <c r="F309" s="57" t="str">
        <f>CRM_MAGDY!W309</f>
        <v>BRAKI CRM</v>
      </c>
      <c r="G309" s="57">
        <f>CRM_MAGDY!K309</f>
        <v>0</v>
      </c>
      <c r="H309" s="57">
        <f>CRM_MAGDY!N309</f>
        <v>0</v>
      </c>
    </row>
    <row r="310" spans="1:8" ht="30" x14ac:dyDescent="0.25">
      <c r="A310" s="57">
        <f>CRM_MAGDY!H310</f>
        <v>5751</v>
      </c>
      <c r="B310" s="57">
        <f>CRM_MAGDY!I310</f>
        <v>0</v>
      </c>
      <c r="C310" s="57">
        <f>CRM_MAGDY!E310</f>
        <v>0</v>
      </c>
      <c r="D310" s="57">
        <f>CRM_MAGDY!V310</f>
        <v>0</v>
      </c>
      <c r="E310" s="57" t="str">
        <f>IF(CRM_MAGDY!G310="","BRAK TELEFONU",IF(CRM_MAGDY!K310="","BRAK KWOTY",IF(CRM_MAGDY!N310="","BRAK STATUSU",IF(CRM_MAGDY!C310="","BRAK DATY AKCJI",""))))</f>
        <v>BRAK TELEFONU</v>
      </c>
      <c r="F310" s="57" t="str">
        <f>CRM_MAGDY!W310</f>
        <v>BRAKI CRM</v>
      </c>
      <c r="G310" s="57">
        <f>CRM_MAGDY!K310</f>
        <v>0</v>
      </c>
      <c r="H310" s="57">
        <f>CRM_MAGDY!N310</f>
        <v>0</v>
      </c>
    </row>
    <row r="311" spans="1:8" ht="30" x14ac:dyDescent="0.25">
      <c r="A311" s="57">
        <f>CRM_MAGDY!H311</f>
        <v>5752</v>
      </c>
      <c r="B311" s="57">
        <f>CRM_MAGDY!I311</f>
        <v>0</v>
      </c>
      <c r="C311" s="57">
        <f>CRM_MAGDY!E311</f>
        <v>0</v>
      </c>
      <c r="D311" s="57">
        <f>CRM_MAGDY!V311</f>
        <v>0</v>
      </c>
      <c r="E311" s="57" t="str">
        <f>IF(CRM_MAGDY!G311="","BRAK TELEFONU",IF(CRM_MAGDY!K311="","BRAK KWOTY",IF(CRM_MAGDY!N311="","BRAK STATUSU",IF(CRM_MAGDY!C311="","BRAK DATY AKCJI",""))))</f>
        <v>BRAK TELEFONU</v>
      </c>
      <c r="F311" s="57" t="str">
        <f>CRM_MAGDY!W311</f>
        <v>BRAKI CRM</v>
      </c>
      <c r="G311" s="57">
        <f>CRM_MAGDY!K311</f>
        <v>0</v>
      </c>
      <c r="H311" s="57">
        <f>CRM_MAGDY!N311</f>
        <v>0</v>
      </c>
    </row>
    <row r="312" spans="1:8" ht="30" x14ac:dyDescent="0.25">
      <c r="A312" s="57">
        <f>CRM_MAGDY!H312</f>
        <v>5753</v>
      </c>
      <c r="B312" s="57">
        <f>CRM_MAGDY!I312</f>
        <v>0</v>
      </c>
      <c r="C312" s="57">
        <f>CRM_MAGDY!E312</f>
        <v>0</v>
      </c>
      <c r="D312" s="57">
        <f>CRM_MAGDY!V312</f>
        <v>0</v>
      </c>
      <c r="E312" s="57" t="str">
        <f>IF(CRM_MAGDY!G312="","BRAK TELEFONU",IF(CRM_MAGDY!K312="","BRAK KWOTY",IF(CRM_MAGDY!N312="","BRAK STATUSU",IF(CRM_MAGDY!C312="","BRAK DATY AKCJI",""))))</f>
        <v>BRAK TELEFONU</v>
      </c>
      <c r="F312" s="57" t="str">
        <f>CRM_MAGDY!W312</f>
        <v>BRAKI CRM</v>
      </c>
      <c r="G312" s="57">
        <f>CRM_MAGDY!K312</f>
        <v>0</v>
      </c>
      <c r="H312" s="57">
        <f>CRM_MAGDY!N312</f>
        <v>0</v>
      </c>
    </row>
    <row r="313" spans="1:8" ht="30" x14ac:dyDescent="0.25">
      <c r="A313" s="57">
        <f>CRM_MAGDY!H313</f>
        <v>5754</v>
      </c>
      <c r="B313" s="57">
        <f>CRM_MAGDY!I313</f>
        <v>0</v>
      </c>
      <c r="C313" s="57">
        <f>CRM_MAGDY!E313</f>
        <v>0</v>
      </c>
      <c r="D313" s="57">
        <f>CRM_MAGDY!V313</f>
        <v>0</v>
      </c>
      <c r="E313" s="57" t="str">
        <f>IF(CRM_MAGDY!G313="","BRAK TELEFONU",IF(CRM_MAGDY!K313="","BRAK KWOTY",IF(CRM_MAGDY!N313="","BRAK STATUSU",IF(CRM_MAGDY!C313="","BRAK DATY AKCJI",""))))</f>
        <v>BRAK TELEFONU</v>
      </c>
      <c r="F313" s="57" t="str">
        <f>CRM_MAGDY!W313</f>
        <v>BRAKI CRM</v>
      </c>
      <c r="G313" s="57">
        <f>CRM_MAGDY!K313</f>
        <v>0</v>
      </c>
      <c r="H313" s="57">
        <f>CRM_MAGDY!N313</f>
        <v>0</v>
      </c>
    </row>
    <row r="314" spans="1:8" ht="30" x14ac:dyDescent="0.25">
      <c r="A314" s="57">
        <f>CRM_MAGDY!H314</f>
        <v>5755</v>
      </c>
      <c r="B314" s="57">
        <f>CRM_MAGDY!I314</f>
        <v>0</v>
      </c>
      <c r="C314" s="57">
        <f>CRM_MAGDY!E314</f>
        <v>0</v>
      </c>
      <c r="D314" s="57">
        <f>CRM_MAGDY!V314</f>
        <v>0</v>
      </c>
      <c r="E314" s="57" t="str">
        <f>IF(CRM_MAGDY!G314="","BRAK TELEFONU",IF(CRM_MAGDY!K314="","BRAK KWOTY",IF(CRM_MAGDY!N314="","BRAK STATUSU",IF(CRM_MAGDY!C314="","BRAK DATY AKCJI",""))))</f>
        <v>BRAK TELEFONU</v>
      </c>
      <c r="F314" s="57" t="str">
        <f>CRM_MAGDY!W314</f>
        <v>BRAKI CRM</v>
      </c>
      <c r="G314" s="57">
        <f>CRM_MAGDY!K314</f>
        <v>0</v>
      </c>
      <c r="H314" s="57">
        <f>CRM_MAGDY!N314</f>
        <v>0</v>
      </c>
    </row>
    <row r="315" spans="1:8" ht="30" x14ac:dyDescent="0.25">
      <c r="A315" s="57">
        <f>CRM_MAGDY!H315</f>
        <v>5756</v>
      </c>
      <c r="B315" s="57">
        <f>CRM_MAGDY!I315</f>
        <v>0</v>
      </c>
      <c r="C315" s="57">
        <f>CRM_MAGDY!E315</f>
        <v>0</v>
      </c>
      <c r="D315" s="57">
        <f>CRM_MAGDY!V315</f>
        <v>0</v>
      </c>
      <c r="E315" s="57" t="str">
        <f>IF(CRM_MAGDY!G315="","BRAK TELEFONU",IF(CRM_MAGDY!K315="","BRAK KWOTY",IF(CRM_MAGDY!N315="","BRAK STATUSU",IF(CRM_MAGDY!C315="","BRAK DATY AKCJI",""))))</f>
        <v>BRAK TELEFONU</v>
      </c>
      <c r="F315" s="57" t="str">
        <f>CRM_MAGDY!W315</f>
        <v>BRAKI CRM</v>
      </c>
      <c r="G315" s="57">
        <f>CRM_MAGDY!K315</f>
        <v>0</v>
      </c>
      <c r="H315" s="57">
        <f>CRM_MAGDY!N315</f>
        <v>0</v>
      </c>
    </row>
    <row r="316" spans="1:8" ht="30" x14ac:dyDescent="0.25">
      <c r="A316" s="57">
        <f>CRM_MAGDY!H316</f>
        <v>5757</v>
      </c>
      <c r="B316" s="57">
        <f>CRM_MAGDY!I316</f>
        <v>0</v>
      </c>
      <c r="C316" s="57">
        <f>CRM_MAGDY!E316</f>
        <v>0</v>
      </c>
      <c r="D316" s="57">
        <f>CRM_MAGDY!V316</f>
        <v>0</v>
      </c>
      <c r="E316" s="57" t="str">
        <f>IF(CRM_MAGDY!G316="","BRAK TELEFONU",IF(CRM_MAGDY!K316="","BRAK KWOTY",IF(CRM_MAGDY!N316="","BRAK STATUSU",IF(CRM_MAGDY!C316="","BRAK DATY AKCJI",""))))</f>
        <v>BRAK TELEFONU</v>
      </c>
      <c r="F316" s="57" t="str">
        <f>CRM_MAGDY!W316</f>
        <v>BRAKI CRM</v>
      </c>
      <c r="G316" s="57">
        <f>CRM_MAGDY!K316</f>
        <v>0</v>
      </c>
      <c r="H316" s="57">
        <f>CRM_MAGDY!N316</f>
        <v>0</v>
      </c>
    </row>
    <row r="317" spans="1:8" ht="30" x14ac:dyDescent="0.25">
      <c r="A317" s="57">
        <f>CRM_MAGDY!H317</f>
        <v>5758</v>
      </c>
      <c r="B317" s="57">
        <f>CRM_MAGDY!I317</f>
        <v>0</v>
      </c>
      <c r="C317" s="57">
        <f>CRM_MAGDY!E317</f>
        <v>0</v>
      </c>
      <c r="D317" s="57">
        <f>CRM_MAGDY!V317</f>
        <v>0</v>
      </c>
      <c r="E317" s="57" t="str">
        <f>IF(CRM_MAGDY!G317="","BRAK TELEFONU",IF(CRM_MAGDY!K317="","BRAK KWOTY",IF(CRM_MAGDY!N317="","BRAK STATUSU",IF(CRM_MAGDY!C317="","BRAK DATY AKCJI",""))))</f>
        <v>BRAK TELEFONU</v>
      </c>
      <c r="F317" s="57" t="str">
        <f>CRM_MAGDY!W317</f>
        <v>BRAKI CRM</v>
      </c>
      <c r="G317" s="57">
        <f>CRM_MAGDY!K317</f>
        <v>0</v>
      </c>
      <c r="H317" s="57">
        <f>CRM_MAGDY!N317</f>
        <v>0</v>
      </c>
    </row>
    <row r="318" spans="1:8" ht="30" x14ac:dyDescent="0.25">
      <c r="A318" s="57">
        <f>CRM_MAGDY!H318</f>
        <v>5759</v>
      </c>
      <c r="B318" s="57">
        <f>CRM_MAGDY!I318</f>
        <v>0</v>
      </c>
      <c r="C318" s="57">
        <f>CRM_MAGDY!E318</f>
        <v>0</v>
      </c>
      <c r="D318" s="57">
        <f>CRM_MAGDY!V318</f>
        <v>0</v>
      </c>
      <c r="E318" s="57" t="str">
        <f>IF(CRM_MAGDY!G318="","BRAK TELEFONU",IF(CRM_MAGDY!K318="","BRAK KWOTY",IF(CRM_MAGDY!N318="","BRAK STATUSU",IF(CRM_MAGDY!C318="","BRAK DATY AKCJI",""))))</f>
        <v>BRAK TELEFONU</v>
      </c>
      <c r="F318" s="57" t="str">
        <f>CRM_MAGDY!W318</f>
        <v>BRAKI CRM</v>
      </c>
      <c r="G318" s="57">
        <f>CRM_MAGDY!K318</f>
        <v>0</v>
      </c>
      <c r="H318" s="57">
        <f>CRM_MAGDY!N318</f>
        <v>0</v>
      </c>
    </row>
    <row r="319" spans="1:8" ht="30" x14ac:dyDescent="0.25">
      <c r="A319" s="57">
        <f>CRM_MAGDY!H319</f>
        <v>5760</v>
      </c>
      <c r="B319" s="57">
        <f>CRM_MAGDY!I319</f>
        <v>0</v>
      </c>
      <c r="C319" s="57">
        <f>CRM_MAGDY!E319</f>
        <v>0</v>
      </c>
      <c r="D319" s="57">
        <f>CRM_MAGDY!V319</f>
        <v>0</v>
      </c>
      <c r="E319" s="57" t="str">
        <f>IF(CRM_MAGDY!G319="","BRAK TELEFONU",IF(CRM_MAGDY!K319="","BRAK KWOTY",IF(CRM_MAGDY!N319="","BRAK STATUSU",IF(CRM_MAGDY!C319="","BRAK DATY AKCJI",""))))</f>
        <v>BRAK TELEFONU</v>
      </c>
      <c r="F319" s="57" t="str">
        <f>CRM_MAGDY!W319</f>
        <v>BRAKI CRM</v>
      </c>
      <c r="G319" s="57">
        <f>CRM_MAGDY!K319</f>
        <v>0</v>
      </c>
      <c r="H319" s="57">
        <f>CRM_MAGDY!N319</f>
        <v>0</v>
      </c>
    </row>
    <row r="320" spans="1:8" ht="30" x14ac:dyDescent="0.25">
      <c r="A320" s="57">
        <f>CRM_MAGDY!H320</f>
        <v>5761</v>
      </c>
      <c r="B320" s="57">
        <f>CRM_MAGDY!I320</f>
        <v>0</v>
      </c>
      <c r="C320" s="57">
        <f>CRM_MAGDY!E320</f>
        <v>0</v>
      </c>
      <c r="D320" s="57">
        <f>CRM_MAGDY!V320</f>
        <v>0</v>
      </c>
      <c r="E320" s="57" t="str">
        <f>IF(CRM_MAGDY!G320="","BRAK TELEFONU",IF(CRM_MAGDY!K320="","BRAK KWOTY",IF(CRM_MAGDY!N320="","BRAK STATUSU",IF(CRM_MAGDY!C320="","BRAK DATY AKCJI",""))))</f>
        <v>BRAK TELEFONU</v>
      </c>
      <c r="F320" s="57" t="str">
        <f>CRM_MAGDY!W320</f>
        <v>BRAKI CRM</v>
      </c>
      <c r="G320" s="57">
        <f>CRM_MAGDY!K320</f>
        <v>0</v>
      </c>
      <c r="H320" s="57">
        <f>CRM_MAGDY!N320</f>
        <v>0</v>
      </c>
    </row>
    <row r="321" spans="1:8" ht="30" x14ac:dyDescent="0.25">
      <c r="A321" s="57">
        <f>CRM_MAGDY!H321</f>
        <v>5762</v>
      </c>
      <c r="B321" s="57">
        <f>CRM_MAGDY!I321</f>
        <v>0</v>
      </c>
      <c r="C321" s="57">
        <f>CRM_MAGDY!E321</f>
        <v>0</v>
      </c>
      <c r="D321" s="57">
        <f>CRM_MAGDY!V321</f>
        <v>0</v>
      </c>
      <c r="E321" s="57" t="str">
        <f>IF(CRM_MAGDY!G321="","BRAK TELEFONU",IF(CRM_MAGDY!K321="","BRAK KWOTY",IF(CRM_MAGDY!N321="","BRAK STATUSU",IF(CRM_MAGDY!C321="","BRAK DATY AKCJI",""))))</f>
        <v>BRAK TELEFONU</v>
      </c>
      <c r="F321" s="57" t="str">
        <f>CRM_MAGDY!W321</f>
        <v>BRAKI CRM</v>
      </c>
      <c r="G321" s="57">
        <f>CRM_MAGDY!K321</f>
        <v>0</v>
      </c>
      <c r="H321" s="57">
        <f>CRM_MAGDY!N321</f>
        <v>0</v>
      </c>
    </row>
    <row r="322" spans="1:8" ht="30" x14ac:dyDescent="0.25">
      <c r="A322" s="57">
        <f>CRM_MAGDY!H322</f>
        <v>5763</v>
      </c>
      <c r="B322" s="57">
        <f>CRM_MAGDY!I322</f>
        <v>0</v>
      </c>
      <c r="C322" s="57">
        <f>CRM_MAGDY!E322</f>
        <v>0</v>
      </c>
      <c r="D322" s="57">
        <f>CRM_MAGDY!V322</f>
        <v>0</v>
      </c>
      <c r="E322" s="57" t="str">
        <f>IF(CRM_MAGDY!G322="","BRAK TELEFONU",IF(CRM_MAGDY!K322="","BRAK KWOTY",IF(CRM_MAGDY!N322="","BRAK STATUSU",IF(CRM_MAGDY!C322="","BRAK DATY AKCJI",""))))</f>
        <v>BRAK TELEFONU</v>
      </c>
      <c r="F322" s="57" t="str">
        <f>CRM_MAGDY!W322</f>
        <v>BRAKI CRM</v>
      </c>
      <c r="G322" s="57">
        <f>CRM_MAGDY!K322</f>
        <v>0</v>
      </c>
      <c r="H322" s="57">
        <f>CRM_MAGDY!N322</f>
        <v>0</v>
      </c>
    </row>
    <row r="323" spans="1:8" ht="30" x14ac:dyDescent="0.25">
      <c r="A323" s="57">
        <f>CRM_MAGDY!H323</f>
        <v>5764</v>
      </c>
      <c r="B323" s="57">
        <f>CRM_MAGDY!I323</f>
        <v>0</v>
      </c>
      <c r="C323" s="57">
        <f>CRM_MAGDY!E323</f>
        <v>0</v>
      </c>
      <c r="D323" s="57">
        <f>CRM_MAGDY!V323</f>
        <v>0</v>
      </c>
      <c r="E323" s="57" t="str">
        <f>IF(CRM_MAGDY!G323="","BRAK TELEFONU",IF(CRM_MAGDY!K323="","BRAK KWOTY",IF(CRM_MAGDY!N323="","BRAK STATUSU",IF(CRM_MAGDY!C323="","BRAK DATY AKCJI",""))))</f>
        <v>BRAK TELEFONU</v>
      </c>
      <c r="F323" s="57" t="str">
        <f>CRM_MAGDY!W323</f>
        <v>BRAKI CRM</v>
      </c>
      <c r="G323" s="57">
        <f>CRM_MAGDY!K323</f>
        <v>0</v>
      </c>
      <c r="H323" s="57">
        <f>CRM_MAGDY!N323</f>
        <v>0</v>
      </c>
    </row>
    <row r="324" spans="1:8" ht="30" x14ac:dyDescent="0.25">
      <c r="A324" s="57">
        <f>CRM_MAGDY!H324</f>
        <v>5765</v>
      </c>
      <c r="B324" s="57">
        <f>CRM_MAGDY!I324</f>
        <v>0</v>
      </c>
      <c r="C324" s="57">
        <f>CRM_MAGDY!E324</f>
        <v>0</v>
      </c>
      <c r="D324" s="57">
        <f>CRM_MAGDY!V324</f>
        <v>0</v>
      </c>
      <c r="E324" s="57" t="str">
        <f>IF(CRM_MAGDY!G324="","BRAK TELEFONU",IF(CRM_MAGDY!K324="","BRAK KWOTY",IF(CRM_MAGDY!N324="","BRAK STATUSU",IF(CRM_MAGDY!C324="","BRAK DATY AKCJI",""))))</f>
        <v>BRAK TELEFONU</v>
      </c>
      <c r="F324" s="57" t="str">
        <f>CRM_MAGDY!W324</f>
        <v>BRAKI CRM</v>
      </c>
      <c r="G324" s="57">
        <f>CRM_MAGDY!K324</f>
        <v>0</v>
      </c>
      <c r="H324" s="57">
        <f>CRM_MAGDY!N324</f>
        <v>0</v>
      </c>
    </row>
    <row r="325" spans="1:8" ht="30" x14ac:dyDescent="0.25">
      <c r="A325" s="57">
        <f>CRM_MAGDY!H325</f>
        <v>5766</v>
      </c>
      <c r="B325" s="57">
        <f>CRM_MAGDY!I325</f>
        <v>0</v>
      </c>
      <c r="C325" s="57">
        <f>CRM_MAGDY!E325</f>
        <v>0</v>
      </c>
      <c r="D325" s="57">
        <f>CRM_MAGDY!V325</f>
        <v>0</v>
      </c>
      <c r="E325" s="57" t="str">
        <f>IF(CRM_MAGDY!G325="","BRAK TELEFONU",IF(CRM_MAGDY!K325="","BRAK KWOTY",IF(CRM_MAGDY!N325="","BRAK STATUSU",IF(CRM_MAGDY!C325="","BRAK DATY AKCJI",""))))</f>
        <v>BRAK TELEFONU</v>
      </c>
      <c r="F325" s="57" t="str">
        <f>CRM_MAGDY!W325</f>
        <v>BRAKI CRM</v>
      </c>
      <c r="G325" s="57">
        <f>CRM_MAGDY!K325</f>
        <v>0</v>
      </c>
      <c r="H325" s="57">
        <f>CRM_MAGDY!N325</f>
        <v>0</v>
      </c>
    </row>
    <row r="326" spans="1:8" ht="30" x14ac:dyDescent="0.25">
      <c r="A326" s="57">
        <f>CRM_MAGDY!H326</f>
        <v>5767</v>
      </c>
      <c r="B326" s="57">
        <f>CRM_MAGDY!I326</f>
        <v>0</v>
      </c>
      <c r="C326" s="57">
        <f>CRM_MAGDY!E326</f>
        <v>0</v>
      </c>
      <c r="D326" s="57">
        <f>CRM_MAGDY!V326</f>
        <v>0</v>
      </c>
      <c r="E326" s="57" t="str">
        <f>IF(CRM_MAGDY!G326="","BRAK TELEFONU",IF(CRM_MAGDY!K326="","BRAK KWOTY",IF(CRM_MAGDY!N326="","BRAK STATUSU",IF(CRM_MAGDY!C326="","BRAK DATY AKCJI",""))))</f>
        <v>BRAK TELEFONU</v>
      </c>
      <c r="F326" s="57" t="str">
        <f>CRM_MAGDY!W326</f>
        <v>BRAKI CRM</v>
      </c>
      <c r="G326" s="57">
        <f>CRM_MAGDY!K326</f>
        <v>0</v>
      </c>
      <c r="H326" s="57">
        <f>CRM_MAGDY!N326</f>
        <v>0</v>
      </c>
    </row>
    <row r="327" spans="1:8" ht="30" x14ac:dyDescent="0.25">
      <c r="A327" s="57">
        <f>CRM_MAGDY!H327</f>
        <v>5768</v>
      </c>
      <c r="B327" s="57">
        <f>CRM_MAGDY!I327</f>
        <v>0</v>
      </c>
      <c r="C327" s="57">
        <f>CRM_MAGDY!E327</f>
        <v>0</v>
      </c>
      <c r="D327" s="57">
        <f>CRM_MAGDY!V327</f>
        <v>0</v>
      </c>
      <c r="E327" s="57" t="str">
        <f>IF(CRM_MAGDY!G327="","BRAK TELEFONU",IF(CRM_MAGDY!K327="","BRAK KWOTY",IF(CRM_MAGDY!N327="","BRAK STATUSU",IF(CRM_MAGDY!C327="","BRAK DATY AKCJI",""))))</f>
        <v>BRAK TELEFONU</v>
      </c>
      <c r="F327" s="57" t="str">
        <f>CRM_MAGDY!W327</f>
        <v>BRAKI CRM</v>
      </c>
      <c r="G327" s="57">
        <f>CRM_MAGDY!K327</f>
        <v>0</v>
      </c>
      <c r="H327" s="57">
        <f>CRM_MAGDY!N327</f>
        <v>0</v>
      </c>
    </row>
    <row r="328" spans="1:8" ht="30" x14ac:dyDescent="0.25">
      <c r="A328" s="57">
        <f>CRM_MAGDY!H328</f>
        <v>5769</v>
      </c>
      <c r="B328" s="57">
        <f>CRM_MAGDY!I328</f>
        <v>0</v>
      </c>
      <c r="C328" s="57">
        <f>CRM_MAGDY!E328</f>
        <v>0</v>
      </c>
      <c r="D328" s="57">
        <f>CRM_MAGDY!V328</f>
        <v>0</v>
      </c>
      <c r="E328" s="57" t="str">
        <f>IF(CRM_MAGDY!G328="","BRAK TELEFONU",IF(CRM_MAGDY!K328="","BRAK KWOTY",IF(CRM_MAGDY!N328="","BRAK STATUSU",IF(CRM_MAGDY!C328="","BRAK DATY AKCJI",""))))</f>
        <v>BRAK TELEFONU</v>
      </c>
      <c r="F328" s="57" t="str">
        <f>CRM_MAGDY!W328</f>
        <v>BRAKI CRM</v>
      </c>
      <c r="G328" s="57">
        <f>CRM_MAGDY!K328</f>
        <v>0</v>
      </c>
      <c r="H328" s="57">
        <f>CRM_MAGDY!N328</f>
        <v>0</v>
      </c>
    </row>
    <row r="329" spans="1:8" ht="30" x14ac:dyDescent="0.25">
      <c r="A329" s="57">
        <f>CRM_MAGDY!H329</f>
        <v>5770</v>
      </c>
      <c r="B329" s="57">
        <f>CRM_MAGDY!I329</f>
        <v>0</v>
      </c>
      <c r="C329" s="57">
        <f>CRM_MAGDY!E329</f>
        <v>0</v>
      </c>
      <c r="D329" s="57">
        <f>CRM_MAGDY!V329</f>
        <v>0</v>
      </c>
      <c r="E329" s="57" t="str">
        <f>IF(CRM_MAGDY!G329="","BRAK TELEFONU",IF(CRM_MAGDY!K329="","BRAK KWOTY",IF(CRM_MAGDY!N329="","BRAK STATUSU",IF(CRM_MAGDY!C329="","BRAK DATY AKCJI",""))))</f>
        <v>BRAK TELEFONU</v>
      </c>
      <c r="F329" s="57" t="str">
        <f>CRM_MAGDY!W329</f>
        <v>BRAKI CRM</v>
      </c>
      <c r="G329" s="57">
        <f>CRM_MAGDY!K329</f>
        <v>0</v>
      </c>
      <c r="H329" s="57">
        <f>CRM_MAGDY!N329</f>
        <v>0</v>
      </c>
    </row>
    <row r="330" spans="1:8" ht="30" x14ac:dyDescent="0.25">
      <c r="A330" s="57">
        <f>CRM_MAGDY!H330</f>
        <v>5771</v>
      </c>
      <c r="B330" s="57">
        <f>CRM_MAGDY!I330</f>
        <v>0</v>
      </c>
      <c r="C330" s="57">
        <f>CRM_MAGDY!E330</f>
        <v>0</v>
      </c>
      <c r="D330" s="57">
        <f>CRM_MAGDY!V330</f>
        <v>0</v>
      </c>
      <c r="E330" s="57" t="str">
        <f>IF(CRM_MAGDY!G330="","BRAK TELEFONU",IF(CRM_MAGDY!K330="","BRAK KWOTY",IF(CRM_MAGDY!N330="","BRAK STATUSU",IF(CRM_MAGDY!C330="","BRAK DATY AKCJI",""))))</f>
        <v>BRAK TELEFONU</v>
      </c>
      <c r="F330" s="57" t="str">
        <f>CRM_MAGDY!W330</f>
        <v>BRAKI CRM</v>
      </c>
      <c r="G330" s="57">
        <f>CRM_MAGDY!K330</f>
        <v>0</v>
      </c>
      <c r="H330" s="57">
        <f>CRM_MAGDY!N330</f>
        <v>0</v>
      </c>
    </row>
    <row r="331" spans="1:8" ht="30" x14ac:dyDescent="0.25">
      <c r="A331" s="57">
        <f>CRM_MAGDY!H331</f>
        <v>5772</v>
      </c>
      <c r="B331" s="57">
        <f>CRM_MAGDY!I331</f>
        <v>0</v>
      </c>
      <c r="C331" s="57">
        <f>CRM_MAGDY!E331</f>
        <v>0</v>
      </c>
      <c r="D331" s="57">
        <f>CRM_MAGDY!V331</f>
        <v>0</v>
      </c>
      <c r="E331" s="57" t="str">
        <f>IF(CRM_MAGDY!G331="","BRAK TELEFONU",IF(CRM_MAGDY!K331="","BRAK KWOTY",IF(CRM_MAGDY!N331="","BRAK STATUSU",IF(CRM_MAGDY!C331="","BRAK DATY AKCJI",""))))</f>
        <v>BRAK TELEFONU</v>
      </c>
      <c r="F331" s="57" t="str">
        <f>CRM_MAGDY!W331</f>
        <v>BRAKI CRM</v>
      </c>
      <c r="G331" s="57">
        <f>CRM_MAGDY!K331</f>
        <v>0</v>
      </c>
      <c r="H331" s="57">
        <f>CRM_MAGDY!N331</f>
        <v>0</v>
      </c>
    </row>
    <row r="332" spans="1:8" ht="30" x14ac:dyDescent="0.25">
      <c r="A332" s="57">
        <f>CRM_MAGDY!H332</f>
        <v>5773</v>
      </c>
      <c r="B332" s="57">
        <f>CRM_MAGDY!I332</f>
        <v>0</v>
      </c>
      <c r="C332" s="57">
        <f>CRM_MAGDY!E332</f>
        <v>0</v>
      </c>
      <c r="D332" s="57">
        <f>CRM_MAGDY!V332</f>
        <v>0</v>
      </c>
      <c r="E332" s="57" t="str">
        <f>IF(CRM_MAGDY!G332="","BRAK TELEFONU",IF(CRM_MAGDY!K332="","BRAK KWOTY",IF(CRM_MAGDY!N332="","BRAK STATUSU",IF(CRM_MAGDY!C332="","BRAK DATY AKCJI",""))))</f>
        <v>BRAK TELEFONU</v>
      </c>
      <c r="F332" s="57" t="str">
        <f>CRM_MAGDY!W332</f>
        <v>BRAKI CRM</v>
      </c>
      <c r="G332" s="57">
        <f>CRM_MAGDY!K332</f>
        <v>0</v>
      </c>
      <c r="H332" s="57">
        <f>CRM_MAGDY!N332</f>
        <v>0</v>
      </c>
    </row>
    <row r="333" spans="1:8" ht="30" x14ac:dyDescent="0.25">
      <c r="A333" s="57">
        <f>CRM_MAGDY!H333</f>
        <v>5774</v>
      </c>
      <c r="B333" s="57">
        <f>CRM_MAGDY!I333</f>
        <v>0</v>
      </c>
      <c r="C333" s="57">
        <f>CRM_MAGDY!E333</f>
        <v>0</v>
      </c>
      <c r="D333" s="57">
        <f>CRM_MAGDY!V333</f>
        <v>0</v>
      </c>
      <c r="E333" s="57" t="str">
        <f>IF(CRM_MAGDY!G333="","BRAK TELEFONU",IF(CRM_MAGDY!K333="","BRAK KWOTY",IF(CRM_MAGDY!N333="","BRAK STATUSU",IF(CRM_MAGDY!C333="","BRAK DATY AKCJI",""))))</f>
        <v>BRAK TELEFONU</v>
      </c>
      <c r="F333" s="57" t="str">
        <f>CRM_MAGDY!W333</f>
        <v>BRAKI CRM</v>
      </c>
      <c r="G333" s="57">
        <f>CRM_MAGDY!K333</f>
        <v>0</v>
      </c>
      <c r="H333" s="57">
        <f>CRM_MAGDY!N333</f>
        <v>0</v>
      </c>
    </row>
    <row r="334" spans="1:8" ht="30" x14ac:dyDescent="0.25">
      <c r="A334" s="57">
        <f>CRM_MAGDY!H334</f>
        <v>5775</v>
      </c>
      <c r="B334" s="57">
        <f>CRM_MAGDY!I334</f>
        <v>0</v>
      </c>
      <c r="C334" s="57">
        <f>CRM_MAGDY!E334</f>
        <v>0</v>
      </c>
      <c r="D334" s="57">
        <f>CRM_MAGDY!V334</f>
        <v>0</v>
      </c>
      <c r="E334" s="57" t="str">
        <f>IF(CRM_MAGDY!G334="","BRAK TELEFONU",IF(CRM_MAGDY!K334="","BRAK KWOTY",IF(CRM_MAGDY!N334="","BRAK STATUSU",IF(CRM_MAGDY!C334="","BRAK DATY AKCJI",""))))</f>
        <v>BRAK TELEFONU</v>
      </c>
      <c r="F334" s="57" t="str">
        <f>CRM_MAGDY!W334</f>
        <v>BRAKI CRM</v>
      </c>
      <c r="G334" s="57">
        <f>CRM_MAGDY!K334</f>
        <v>0</v>
      </c>
      <c r="H334" s="57">
        <f>CRM_MAGDY!N334</f>
        <v>0</v>
      </c>
    </row>
    <row r="335" spans="1:8" ht="30" x14ac:dyDescent="0.25">
      <c r="A335" s="57">
        <f>CRM_MAGDY!H335</f>
        <v>5776</v>
      </c>
      <c r="B335" s="57">
        <f>CRM_MAGDY!I335</f>
        <v>0</v>
      </c>
      <c r="C335" s="57">
        <f>CRM_MAGDY!E335</f>
        <v>0</v>
      </c>
      <c r="D335" s="57">
        <f>CRM_MAGDY!V335</f>
        <v>0</v>
      </c>
      <c r="E335" s="57" t="str">
        <f>IF(CRM_MAGDY!G335="","BRAK TELEFONU",IF(CRM_MAGDY!K335="","BRAK KWOTY",IF(CRM_MAGDY!N335="","BRAK STATUSU",IF(CRM_MAGDY!C335="","BRAK DATY AKCJI",""))))</f>
        <v>BRAK TELEFONU</v>
      </c>
      <c r="F335" s="57" t="str">
        <f>CRM_MAGDY!W335</f>
        <v>BRAKI CRM</v>
      </c>
      <c r="G335" s="57">
        <f>CRM_MAGDY!K335</f>
        <v>0</v>
      </c>
      <c r="H335" s="57">
        <f>CRM_MAGDY!N335</f>
        <v>0</v>
      </c>
    </row>
    <row r="336" spans="1:8" ht="30" x14ac:dyDescent="0.25">
      <c r="A336" s="57">
        <f>CRM_MAGDY!H336</f>
        <v>5777</v>
      </c>
      <c r="B336" s="57">
        <f>CRM_MAGDY!I336</f>
        <v>0</v>
      </c>
      <c r="C336" s="57">
        <f>CRM_MAGDY!E336</f>
        <v>0</v>
      </c>
      <c r="D336" s="57">
        <f>CRM_MAGDY!V336</f>
        <v>0</v>
      </c>
      <c r="E336" s="57" t="str">
        <f>IF(CRM_MAGDY!G336="","BRAK TELEFONU",IF(CRM_MAGDY!K336="","BRAK KWOTY",IF(CRM_MAGDY!N336="","BRAK STATUSU",IF(CRM_MAGDY!C336="","BRAK DATY AKCJI",""))))</f>
        <v>BRAK TELEFONU</v>
      </c>
      <c r="F336" s="57" t="str">
        <f>CRM_MAGDY!W336</f>
        <v>BRAKI CRM</v>
      </c>
      <c r="G336" s="57">
        <f>CRM_MAGDY!K336</f>
        <v>0</v>
      </c>
      <c r="H336" s="57">
        <f>CRM_MAGDY!N336</f>
        <v>0</v>
      </c>
    </row>
    <row r="337" spans="1:8" ht="30" x14ac:dyDescent="0.25">
      <c r="A337" s="57">
        <f>CRM_MAGDY!H337</f>
        <v>5778</v>
      </c>
      <c r="B337" s="57">
        <f>CRM_MAGDY!I337</f>
        <v>0</v>
      </c>
      <c r="C337" s="57">
        <f>CRM_MAGDY!E337</f>
        <v>0</v>
      </c>
      <c r="D337" s="57">
        <f>CRM_MAGDY!V337</f>
        <v>0</v>
      </c>
      <c r="E337" s="57" t="str">
        <f>IF(CRM_MAGDY!G337="","BRAK TELEFONU",IF(CRM_MAGDY!K337="","BRAK KWOTY",IF(CRM_MAGDY!N337="","BRAK STATUSU",IF(CRM_MAGDY!C337="","BRAK DATY AKCJI",""))))</f>
        <v>BRAK TELEFONU</v>
      </c>
      <c r="F337" s="57" t="str">
        <f>CRM_MAGDY!W337</f>
        <v>BRAKI CRM</v>
      </c>
      <c r="G337" s="57">
        <f>CRM_MAGDY!K337</f>
        <v>0</v>
      </c>
      <c r="H337" s="57">
        <f>CRM_MAGDY!N337</f>
        <v>0</v>
      </c>
    </row>
    <row r="338" spans="1:8" ht="30" x14ac:dyDescent="0.25">
      <c r="A338" s="57">
        <f>CRM_MAGDY!H338</f>
        <v>5779</v>
      </c>
      <c r="B338" s="57">
        <f>CRM_MAGDY!I338</f>
        <v>0</v>
      </c>
      <c r="C338" s="57">
        <f>CRM_MAGDY!E338</f>
        <v>0</v>
      </c>
      <c r="D338" s="57">
        <f>CRM_MAGDY!V338</f>
        <v>0</v>
      </c>
      <c r="E338" s="57" t="str">
        <f>IF(CRM_MAGDY!G338="","BRAK TELEFONU",IF(CRM_MAGDY!K338="","BRAK KWOTY",IF(CRM_MAGDY!N338="","BRAK STATUSU",IF(CRM_MAGDY!C338="","BRAK DATY AKCJI",""))))</f>
        <v>BRAK TELEFONU</v>
      </c>
      <c r="F338" s="57" t="str">
        <f>CRM_MAGDY!W338</f>
        <v>BRAKI CRM</v>
      </c>
      <c r="G338" s="57">
        <f>CRM_MAGDY!K338</f>
        <v>0</v>
      </c>
      <c r="H338" s="57">
        <f>CRM_MAGDY!N338</f>
        <v>0</v>
      </c>
    </row>
    <row r="339" spans="1:8" ht="30" x14ac:dyDescent="0.25">
      <c r="A339" s="57">
        <f>CRM_MAGDY!H339</f>
        <v>5780</v>
      </c>
      <c r="B339" s="57">
        <f>CRM_MAGDY!I339</f>
        <v>0</v>
      </c>
      <c r="C339" s="57">
        <f>CRM_MAGDY!E339</f>
        <v>0</v>
      </c>
      <c r="D339" s="57">
        <f>CRM_MAGDY!V339</f>
        <v>0</v>
      </c>
      <c r="E339" s="57" t="str">
        <f>IF(CRM_MAGDY!G339="","BRAK TELEFONU",IF(CRM_MAGDY!K339="","BRAK KWOTY",IF(CRM_MAGDY!N339="","BRAK STATUSU",IF(CRM_MAGDY!C339="","BRAK DATY AKCJI",""))))</f>
        <v>BRAK TELEFONU</v>
      </c>
      <c r="F339" s="57" t="str">
        <f>CRM_MAGDY!W339</f>
        <v>BRAKI CRM</v>
      </c>
      <c r="G339" s="57">
        <f>CRM_MAGDY!K339</f>
        <v>0</v>
      </c>
      <c r="H339" s="57">
        <f>CRM_MAGDY!N339</f>
        <v>0</v>
      </c>
    </row>
    <row r="340" spans="1:8" ht="30" x14ac:dyDescent="0.25">
      <c r="A340" s="57">
        <f>CRM_MAGDY!H340</f>
        <v>5781</v>
      </c>
      <c r="B340" s="57">
        <f>CRM_MAGDY!I340</f>
        <v>0</v>
      </c>
      <c r="C340" s="57">
        <f>CRM_MAGDY!E340</f>
        <v>0</v>
      </c>
      <c r="D340" s="57">
        <f>CRM_MAGDY!V340</f>
        <v>0</v>
      </c>
      <c r="E340" s="57" t="str">
        <f>IF(CRM_MAGDY!G340="","BRAK TELEFONU",IF(CRM_MAGDY!K340="","BRAK KWOTY",IF(CRM_MAGDY!N340="","BRAK STATUSU",IF(CRM_MAGDY!C340="","BRAK DATY AKCJI",""))))</f>
        <v>BRAK TELEFONU</v>
      </c>
      <c r="F340" s="57" t="str">
        <f>CRM_MAGDY!W340</f>
        <v>BRAKI CRM</v>
      </c>
      <c r="G340" s="57">
        <f>CRM_MAGDY!K340</f>
        <v>0</v>
      </c>
      <c r="H340" s="57">
        <f>CRM_MAGDY!N340</f>
        <v>0</v>
      </c>
    </row>
    <row r="341" spans="1:8" ht="30" x14ac:dyDescent="0.25">
      <c r="A341" s="57">
        <f>CRM_MAGDY!H341</f>
        <v>5782</v>
      </c>
      <c r="B341" s="57">
        <f>CRM_MAGDY!I341</f>
        <v>0</v>
      </c>
      <c r="C341" s="57">
        <f>CRM_MAGDY!E341</f>
        <v>0</v>
      </c>
      <c r="D341" s="57">
        <f>CRM_MAGDY!V341</f>
        <v>0</v>
      </c>
      <c r="E341" s="57" t="str">
        <f>IF(CRM_MAGDY!G341="","BRAK TELEFONU",IF(CRM_MAGDY!K341="","BRAK KWOTY",IF(CRM_MAGDY!N341="","BRAK STATUSU",IF(CRM_MAGDY!C341="","BRAK DATY AKCJI",""))))</f>
        <v>BRAK TELEFONU</v>
      </c>
      <c r="F341" s="57" t="str">
        <f>CRM_MAGDY!W341</f>
        <v>BRAKI CRM</v>
      </c>
      <c r="G341" s="57">
        <f>CRM_MAGDY!K341</f>
        <v>0</v>
      </c>
      <c r="H341" s="57">
        <f>CRM_MAGDY!N341</f>
        <v>0</v>
      </c>
    </row>
    <row r="342" spans="1:8" ht="30" x14ac:dyDescent="0.25">
      <c r="A342" s="57">
        <f>CRM_MAGDY!H342</f>
        <v>5783</v>
      </c>
      <c r="B342" s="57">
        <f>CRM_MAGDY!I342</f>
        <v>0</v>
      </c>
      <c r="C342" s="57">
        <f>CRM_MAGDY!E342</f>
        <v>0</v>
      </c>
      <c r="D342" s="57">
        <f>CRM_MAGDY!V342</f>
        <v>0</v>
      </c>
      <c r="E342" s="57" t="str">
        <f>IF(CRM_MAGDY!G342="","BRAK TELEFONU",IF(CRM_MAGDY!K342="","BRAK KWOTY",IF(CRM_MAGDY!N342="","BRAK STATUSU",IF(CRM_MAGDY!C342="","BRAK DATY AKCJI",""))))</f>
        <v>BRAK TELEFONU</v>
      </c>
      <c r="F342" s="57" t="str">
        <f>CRM_MAGDY!W342</f>
        <v>BRAKI CRM</v>
      </c>
      <c r="G342" s="57">
        <f>CRM_MAGDY!K342</f>
        <v>0</v>
      </c>
      <c r="H342" s="57">
        <f>CRM_MAGDY!N342</f>
        <v>0</v>
      </c>
    </row>
    <row r="343" spans="1:8" ht="30" x14ac:dyDescent="0.25">
      <c r="A343" s="57">
        <f>CRM_MAGDY!H343</f>
        <v>5784</v>
      </c>
      <c r="B343" s="57">
        <f>CRM_MAGDY!I343</f>
        <v>0</v>
      </c>
      <c r="C343" s="57">
        <f>CRM_MAGDY!E343</f>
        <v>0</v>
      </c>
      <c r="D343" s="57">
        <f>CRM_MAGDY!V343</f>
        <v>0</v>
      </c>
      <c r="E343" s="57" t="str">
        <f>IF(CRM_MAGDY!G343="","BRAK TELEFONU",IF(CRM_MAGDY!K343="","BRAK KWOTY",IF(CRM_MAGDY!N343="","BRAK STATUSU",IF(CRM_MAGDY!C343="","BRAK DATY AKCJI",""))))</f>
        <v>BRAK TELEFONU</v>
      </c>
      <c r="F343" s="57" t="str">
        <f>CRM_MAGDY!W343</f>
        <v>BRAKI CRM</v>
      </c>
      <c r="G343" s="57">
        <f>CRM_MAGDY!K343</f>
        <v>0</v>
      </c>
      <c r="H343" s="57">
        <f>CRM_MAGDY!N343</f>
        <v>0</v>
      </c>
    </row>
    <row r="344" spans="1:8" ht="30" x14ac:dyDescent="0.25">
      <c r="A344" s="57">
        <f>CRM_MAGDY!H344</f>
        <v>5785</v>
      </c>
      <c r="B344" s="57">
        <f>CRM_MAGDY!I344</f>
        <v>0</v>
      </c>
      <c r="C344" s="57">
        <f>CRM_MAGDY!E344</f>
        <v>0</v>
      </c>
      <c r="D344" s="57">
        <f>CRM_MAGDY!V344</f>
        <v>0</v>
      </c>
      <c r="E344" s="57" t="str">
        <f>IF(CRM_MAGDY!G344="","BRAK TELEFONU",IF(CRM_MAGDY!K344="","BRAK KWOTY",IF(CRM_MAGDY!N344="","BRAK STATUSU",IF(CRM_MAGDY!C344="","BRAK DATY AKCJI",""))))</f>
        <v>BRAK TELEFONU</v>
      </c>
      <c r="F344" s="57" t="str">
        <f>CRM_MAGDY!W344</f>
        <v>BRAKI CRM</v>
      </c>
      <c r="G344" s="57">
        <f>CRM_MAGDY!K344</f>
        <v>0</v>
      </c>
      <c r="H344" s="57">
        <f>CRM_MAGDY!N344</f>
        <v>0</v>
      </c>
    </row>
    <row r="345" spans="1:8" ht="30" x14ac:dyDescent="0.25">
      <c r="A345" s="57">
        <f>CRM_MAGDY!H345</f>
        <v>5786</v>
      </c>
      <c r="B345" s="57">
        <f>CRM_MAGDY!I345</f>
        <v>0</v>
      </c>
      <c r="C345" s="57">
        <f>CRM_MAGDY!E345</f>
        <v>0</v>
      </c>
      <c r="D345" s="57">
        <f>CRM_MAGDY!V345</f>
        <v>0</v>
      </c>
      <c r="E345" s="57" t="str">
        <f>IF(CRM_MAGDY!G345="","BRAK TELEFONU",IF(CRM_MAGDY!K345="","BRAK KWOTY",IF(CRM_MAGDY!N345="","BRAK STATUSU",IF(CRM_MAGDY!C345="","BRAK DATY AKCJI",""))))</f>
        <v>BRAK TELEFONU</v>
      </c>
      <c r="F345" s="57" t="str">
        <f>CRM_MAGDY!W345</f>
        <v>BRAKI CRM</v>
      </c>
      <c r="G345" s="57">
        <f>CRM_MAGDY!K345</f>
        <v>0</v>
      </c>
      <c r="H345" s="57">
        <f>CRM_MAGDY!N345</f>
        <v>0</v>
      </c>
    </row>
    <row r="346" spans="1:8" ht="30" x14ac:dyDescent="0.25">
      <c r="A346" s="57">
        <f>CRM_MAGDY!H346</f>
        <v>5787</v>
      </c>
      <c r="B346" s="57">
        <f>CRM_MAGDY!I346</f>
        <v>0</v>
      </c>
      <c r="C346" s="57">
        <f>CRM_MAGDY!E346</f>
        <v>0</v>
      </c>
      <c r="D346" s="57">
        <f>CRM_MAGDY!V346</f>
        <v>0</v>
      </c>
      <c r="E346" s="57" t="str">
        <f>IF(CRM_MAGDY!G346="","BRAK TELEFONU",IF(CRM_MAGDY!K346="","BRAK KWOTY",IF(CRM_MAGDY!N346="","BRAK STATUSU",IF(CRM_MAGDY!C346="","BRAK DATY AKCJI",""))))</f>
        <v>BRAK TELEFONU</v>
      </c>
      <c r="F346" s="57" t="str">
        <f>CRM_MAGDY!W346</f>
        <v>BRAKI CRM</v>
      </c>
      <c r="G346" s="57">
        <f>CRM_MAGDY!K346</f>
        <v>0</v>
      </c>
      <c r="H346" s="57">
        <f>CRM_MAGDY!N346</f>
        <v>0</v>
      </c>
    </row>
    <row r="347" spans="1:8" ht="30" x14ac:dyDescent="0.25">
      <c r="A347" s="57">
        <f>CRM_MAGDY!H347</f>
        <v>5788</v>
      </c>
      <c r="B347" s="57">
        <f>CRM_MAGDY!I347</f>
        <v>0</v>
      </c>
      <c r="C347" s="57">
        <f>CRM_MAGDY!E347</f>
        <v>0</v>
      </c>
      <c r="D347" s="57">
        <f>CRM_MAGDY!V347</f>
        <v>0</v>
      </c>
      <c r="E347" s="57" t="str">
        <f>IF(CRM_MAGDY!G347="","BRAK TELEFONU",IF(CRM_MAGDY!K347="","BRAK KWOTY",IF(CRM_MAGDY!N347="","BRAK STATUSU",IF(CRM_MAGDY!C347="","BRAK DATY AKCJI",""))))</f>
        <v>BRAK TELEFONU</v>
      </c>
      <c r="F347" s="57" t="str">
        <f>CRM_MAGDY!W347</f>
        <v>BRAKI CRM</v>
      </c>
      <c r="G347" s="57">
        <f>CRM_MAGDY!K347</f>
        <v>0</v>
      </c>
      <c r="H347" s="57">
        <f>CRM_MAGDY!N347</f>
        <v>0</v>
      </c>
    </row>
    <row r="348" spans="1:8" ht="30" x14ac:dyDescent="0.25">
      <c r="A348" s="57">
        <f>CRM_MAGDY!H348</f>
        <v>5789</v>
      </c>
      <c r="B348" s="57">
        <f>CRM_MAGDY!I348</f>
        <v>0</v>
      </c>
      <c r="C348" s="57">
        <f>CRM_MAGDY!E348</f>
        <v>0</v>
      </c>
      <c r="D348" s="57">
        <f>CRM_MAGDY!V348</f>
        <v>0</v>
      </c>
      <c r="E348" s="57" t="str">
        <f>IF(CRM_MAGDY!G348="","BRAK TELEFONU",IF(CRM_MAGDY!K348="","BRAK KWOTY",IF(CRM_MAGDY!N348="","BRAK STATUSU",IF(CRM_MAGDY!C348="","BRAK DATY AKCJI",""))))</f>
        <v>BRAK TELEFONU</v>
      </c>
      <c r="F348" s="57" t="str">
        <f>CRM_MAGDY!W348</f>
        <v>BRAKI CRM</v>
      </c>
      <c r="G348" s="57">
        <f>CRM_MAGDY!K348</f>
        <v>0</v>
      </c>
      <c r="H348" s="57">
        <f>CRM_MAGDY!N348</f>
        <v>0</v>
      </c>
    </row>
    <row r="349" spans="1:8" ht="30" x14ac:dyDescent="0.25">
      <c r="A349" s="57">
        <f>CRM_MAGDY!H349</f>
        <v>5790</v>
      </c>
      <c r="B349" s="57">
        <f>CRM_MAGDY!I349</f>
        <v>0</v>
      </c>
      <c r="C349" s="57">
        <f>CRM_MAGDY!E349</f>
        <v>0</v>
      </c>
      <c r="D349" s="57">
        <f>CRM_MAGDY!V349</f>
        <v>0</v>
      </c>
      <c r="E349" s="57" t="str">
        <f>IF(CRM_MAGDY!G349="","BRAK TELEFONU",IF(CRM_MAGDY!K349="","BRAK KWOTY",IF(CRM_MAGDY!N349="","BRAK STATUSU",IF(CRM_MAGDY!C349="","BRAK DATY AKCJI",""))))</f>
        <v>BRAK TELEFONU</v>
      </c>
      <c r="F349" s="57" t="str">
        <f>CRM_MAGDY!W349</f>
        <v>BRAKI CRM</v>
      </c>
      <c r="G349" s="57">
        <f>CRM_MAGDY!K349</f>
        <v>0</v>
      </c>
      <c r="H349" s="57">
        <f>CRM_MAGDY!N349</f>
        <v>0</v>
      </c>
    </row>
    <row r="350" spans="1:8" ht="30" x14ac:dyDescent="0.25">
      <c r="A350" s="57">
        <f>CRM_MAGDY!H350</f>
        <v>5791</v>
      </c>
      <c r="B350" s="57">
        <f>CRM_MAGDY!I350</f>
        <v>0</v>
      </c>
      <c r="C350" s="57">
        <f>CRM_MAGDY!E350</f>
        <v>0</v>
      </c>
      <c r="D350" s="57">
        <f>CRM_MAGDY!V350</f>
        <v>0</v>
      </c>
      <c r="E350" s="57" t="str">
        <f>IF(CRM_MAGDY!G350="","BRAK TELEFONU",IF(CRM_MAGDY!K350="","BRAK KWOTY",IF(CRM_MAGDY!N350="","BRAK STATUSU",IF(CRM_MAGDY!C350="","BRAK DATY AKCJI",""))))</f>
        <v>BRAK TELEFONU</v>
      </c>
      <c r="F350" s="57" t="str">
        <f>CRM_MAGDY!W350</f>
        <v>BRAKI CRM</v>
      </c>
      <c r="G350" s="57">
        <f>CRM_MAGDY!K350</f>
        <v>0</v>
      </c>
      <c r="H350" s="57">
        <f>CRM_MAGDY!N350</f>
        <v>0</v>
      </c>
    </row>
    <row r="351" spans="1:8" ht="30" x14ac:dyDescent="0.25">
      <c r="A351" s="57">
        <f>CRM_MAGDY!H351</f>
        <v>5792</v>
      </c>
      <c r="B351" s="57">
        <f>CRM_MAGDY!I351</f>
        <v>0</v>
      </c>
      <c r="C351" s="57">
        <f>CRM_MAGDY!E351</f>
        <v>0</v>
      </c>
      <c r="D351" s="57">
        <f>CRM_MAGDY!V351</f>
        <v>0</v>
      </c>
      <c r="E351" s="57" t="str">
        <f>IF(CRM_MAGDY!G351="","BRAK TELEFONU",IF(CRM_MAGDY!K351="","BRAK KWOTY",IF(CRM_MAGDY!N351="","BRAK STATUSU",IF(CRM_MAGDY!C351="","BRAK DATY AKCJI",""))))</f>
        <v>BRAK TELEFONU</v>
      </c>
      <c r="F351" s="57" t="str">
        <f>CRM_MAGDY!W351</f>
        <v>BRAKI CRM</v>
      </c>
      <c r="G351" s="57">
        <f>CRM_MAGDY!K351</f>
        <v>0</v>
      </c>
      <c r="H351" s="57">
        <f>CRM_MAGDY!N351</f>
        <v>0</v>
      </c>
    </row>
    <row r="352" spans="1:8" ht="30" x14ac:dyDescent="0.25">
      <c r="A352" s="57">
        <f>CRM_MAGDY!H352</f>
        <v>5793</v>
      </c>
      <c r="B352" s="57">
        <f>CRM_MAGDY!I352</f>
        <v>0</v>
      </c>
      <c r="C352" s="57">
        <f>CRM_MAGDY!E352</f>
        <v>0</v>
      </c>
      <c r="D352" s="57">
        <f>CRM_MAGDY!V352</f>
        <v>0</v>
      </c>
      <c r="E352" s="57" t="str">
        <f>IF(CRM_MAGDY!G352="","BRAK TELEFONU",IF(CRM_MAGDY!K352="","BRAK KWOTY",IF(CRM_MAGDY!N352="","BRAK STATUSU",IF(CRM_MAGDY!C352="","BRAK DATY AKCJI",""))))</f>
        <v>BRAK TELEFONU</v>
      </c>
      <c r="F352" s="57" t="str">
        <f>CRM_MAGDY!W352</f>
        <v>BRAKI CRM</v>
      </c>
      <c r="G352" s="57">
        <f>CRM_MAGDY!K352</f>
        <v>0</v>
      </c>
      <c r="H352" s="57">
        <f>CRM_MAGDY!N352</f>
        <v>0</v>
      </c>
    </row>
    <row r="353" spans="1:8" ht="30" x14ac:dyDescent="0.25">
      <c r="A353" s="57">
        <f>CRM_MAGDY!H353</f>
        <v>5794</v>
      </c>
      <c r="B353" s="57">
        <f>CRM_MAGDY!I353</f>
        <v>0</v>
      </c>
      <c r="C353" s="57">
        <f>CRM_MAGDY!E353</f>
        <v>0</v>
      </c>
      <c r="D353" s="57">
        <f>CRM_MAGDY!V353</f>
        <v>0</v>
      </c>
      <c r="E353" s="57" t="str">
        <f>IF(CRM_MAGDY!G353="","BRAK TELEFONU",IF(CRM_MAGDY!K353="","BRAK KWOTY",IF(CRM_MAGDY!N353="","BRAK STATUSU",IF(CRM_MAGDY!C353="","BRAK DATY AKCJI",""))))</f>
        <v>BRAK TELEFONU</v>
      </c>
      <c r="F353" s="57" t="str">
        <f>CRM_MAGDY!W353</f>
        <v>BRAKI CRM</v>
      </c>
      <c r="G353" s="57">
        <f>CRM_MAGDY!K353</f>
        <v>0</v>
      </c>
      <c r="H353" s="57">
        <f>CRM_MAGDY!N353</f>
        <v>0</v>
      </c>
    </row>
    <row r="354" spans="1:8" ht="30" x14ac:dyDescent="0.25">
      <c r="A354" s="57">
        <f>CRM_MAGDY!H354</f>
        <v>5795</v>
      </c>
      <c r="B354" s="57">
        <f>CRM_MAGDY!I354</f>
        <v>0</v>
      </c>
      <c r="C354" s="57">
        <f>CRM_MAGDY!E354</f>
        <v>0</v>
      </c>
      <c r="D354" s="57">
        <f>CRM_MAGDY!V354</f>
        <v>0</v>
      </c>
      <c r="E354" s="57" t="str">
        <f>IF(CRM_MAGDY!G354="","BRAK TELEFONU",IF(CRM_MAGDY!K354="","BRAK KWOTY",IF(CRM_MAGDY!N354="","BRAK STATUSU",IF(CRM_MAGDY!C354="","BRAK DATY AKCJI",""))))</f>
        <v>BRAK TELEFONU</v>
      </c>
      <c r="F354" s="57" t="str">
        <f>CRM_MAGDY!W354</f>
        <v>BRAKI CRM</v>
      </c>
      <c r="G354" s="57">
        <f>CRM_MAGDY!K354</f>
        <v>0</v>
      </c>
      <c r="H354" s="57">
        <f>CRM_MAGDY!N354</f>
        <v>0</v>
      </c>
    </row>
    <row r="355" spans="1:8" ht="30" x14ac:dyDescent="0.25">
      <c r="A355" s="57">
        <f>CRM_MAGDY!H355</f>
        <v>5796</v>
      </c>
      <c r="B355" s="57">
        <f>CRM_MAGDY!I355</f>
        <v>0</v>
      </c>
      <c r="C355" s="57">
        <f>CRM_MAGDY!E355</f>
        <v>0</v>
      </c>
      <c r="D355" s="57">
        <f>CRM_MAGDY!V355</f>
        <v>0</v>
      </c>
      <c r="E355" s="57" t="str">
        <f>IF(CRM_MAGDY!G355="","BRAK TELEFONU",IF(CRM_MAGDY!K355="","BRAK KWOTY",IF(CRM_MAGDY!N355="","BRAK STATUSU",IF(CRM_MAGDY!C355="","BRAK DATY AKCJI",""))))</f>
        <v>BRAK TELEFONU</v>
      </c>
      <c r="F355" s="57" t="str">
        <f>CRM_MAGDY!W355</f>
        <v>BRAKI CRM</v>
      </c>
      <c r="G355" s="57">
        <f>CRM_MAGDY!K355</f>
        <v>0</v>
      </c>
      <c r="H355" s="57">
        <f>CRM_MAGDY!N355</f>
        <v>0</v>
      </c>
    </row>
    <row r="356" spans="1:8" ht="30" x14ac:dyDescent="0.25">
      <c r="A356" s="57">
        <f>CRM_MAGDY!H356</f>
        <v>5797</v>
      </c>
      <c r="B356" s="57">
        <f>CRM_MAGDY!I356</f>
        <v>0</v>
      </c>
      <c r="C356" s="57">
        <f>CRM_MAGDY!E356</f>
        <v>0</v>
      </c>
      <c r="D356" s="57">
        <f>CRM_MAGDY!V356</f>
        <v>0</v>
      </c>
      <c r="E356" s="57" t="str">
        <f>IF(CRM_MAGDY!G356="","BRAK TELEFONU",IF(CRM_MAGDY!K356="","BRAK KWOTY",IF(CRM_MAGDY!N356="","BRAK STATUSU",IF(CRM_MAGDY!C356="","BRAK DATY AKCJI",""))))</f>
        <v>BRAK TELEFONU</v>
      </c>
      <c r="F356" s="57" t="str">
        <f>CRM_MAGDY!W356</f>
        <v>BRAKI CRM</v>
      </c>
      <c r="G356" s="57">
        <f>CRM_MAGDY!K356</f>
        <v>0</v>
      </c>
      <c r="H356" s="57">
        <f>CRM_MAGDY!N356</f>
        <v>0</v>
      </c>
    </row>
    <row r="357" spans="1:8" ht="30" x14ac:dyDescent="0.25">
      <c r="A357" s="57">
        <f>CRM_MAGDY!H357</f>
        <v>5798</v>
      </c>
      <c r="B357" s="57">
        <f>CRM_MAGDY!I357</f>
        <v>0</v>
      </c>
      <c r="C357" s="57">
        <f>CRM_MAGDY!E357</f>
        <v>0</v>
      </c>
      <c r="D357" s="57">
        <f>CRM_MAGDY!V357</f>
        <v>0</v>
      </c>
      <c r="E357" s="57" t="str">
        <f>IF(CRM_MAGDY!G357="","BRAK TELEFONU",IF(CRM_MAGDY!K357="","BRAK KWOTY",IF(CRM_MAGDY!N357="","BRAK STATUSU",IF(CRM_MAGDY!C357="","BRAK DATY AKCJI",""))))</f>
        <v>BRAK TELEFONU</v>
      </c>
      <c r="F357" s="57" t="str">
        <f>CRM_MAGDY!W357</f>
        <v>BRAKI CRM</v>
      </c>
      <c r="G357" s="57">
        <f>CRM_MAGDY!K357</f>
        <v>0</v>
      </c>
      <c r="H357" s="57">
        <f>CRM_MAGDY!N357</f>
        <v>0</v>
      </c>
    </row>
    <row r="358" spans="1:8" ht="30" x14ac:dyDescent="0.25">
      <c r="A358" s="57">
        <f>CRM_MAGDY!H358</f>
        <v>5799</v>
      </c>
      <c r="B358" s="57">
        <f>CRM_MAGDY!I358</f>
        <v>0</v>
      </c>
      <c r="C358" s="57">
        <f>CRM_MAGDY!E358</f>
        <v>0</v>
      </c>
      <c r="D358" s="57">
        <f>CRM_MAGDY!V358</f>
        <v>0</v>
      </c>
      <c r="E358" s="57" t="str">
        <f>IF(CRM_MAGDY!G358="","BRAK TELEFONU",IF(CRM_MAGDY!K358="","BRAK KWOTY",IF(CRM_MAGDY!N358="","BRAK STATUSU",IF(CRM_MAGDY!C358="","BRAK DATY AKCJI",""))))</f>
        <v>BRAK TELEFONU</v>
      </c>
      <c r="F358" s="57" t="str">
        <f>CRM_MAGDY!W358</f>
        <v>BRAKI CRM</v>
      </c>
      <c r="G358" s="57">
        <f>CRM_MAGDY!K358</f>
        <v>0</v>
      </c>
      <c r="H358" s="57">
        <f>CRM_MAGDY!N358</f>
        <v>0</v>
      </c>
    </row>
    <row r="359" spans="1:8" ht="30" x14ac:dyDescent="0.25">
      <c r="A359" s="57">
        <f>CRM_MAGDY!H359</f>
        <v>5800</v>
      </c>
      <c r="B359" s="57">
        <f>CRM_MAGDY!I359</f>
        <v>0</v>
      </c>
      <c r="C359" s="57">
        <f>CRM_MAGDY!E359</f>
        <v>0</v>
      </c>
      <c r="D359" s="57">
        <f>CRM_MAGDY!V359</f>
        <v>0</v>
      </c>
      <c r="E359" s="57" t="str">
        <f>IF(CRM_MAGDY!G359="","BRAK TELEFONU",IF(CRM_MAGDY!K359="","BRAK KWOTY",IF(CRM_MAGDY!N359="","BRAK STATUSU",IF(CRM_MAGDY!C359="","BRAK DATY AKCJI",""))))</f>
        <v>BRAK TELEFONU</v>
      </c>
      <c r="F359" s="57" t="str">
        <f>CRM_MAGDY!W359</f>
        <v>BRAKI CRM</v>
      </c>
      <c r="G359" s="57">
        <f>CRM_MAGDY!K359</f>
        <v>0</v>
      </c>
      <c r="H359" s="57">
        <f>CRM_MAGDY!N359</f>
        <v>0</v>
      </c>
    </row>
    <row r="360" spans="1:8" ht="30" x14ac:dyDescent="0.25">
      <c r="A360" s="57">
        <f>CRM_MAGDY!H360</f>
        <v>5801</v>
      </c>
      <c r="B360" s="57">
        <f>CRM_MAGDY!I360</f>
        <v>0</v>
      </c>
      <c r="C360" s="57">
        <f>CRM_MAGDY!E360</f>
        <v>0</v>
      </c>
      <c r="D360" s="57">
        <f>CRM_MAGDY!V360</f>
        <v>0</v>
      </c>
      <c r="E360" s="57" t="str">
        <f>IF(CRM_MAGDY!G360="","BRAK TELEFONU",IF(CRM_MAGDY!K360="","BRAK KWOTY",IF(CRM_MAGDY!N360="","BRAK STATUSU",IF(CRM_MAGDY!C360="","BRAK DATY AKCJI",""))))</f>
        <v>BRAK TELEFONU</v>
      </c>
      <c r="F360" s="57" t="str">
        <f>CRM_MAGDY!W360</f>
        <v>BRAKI CRM</v>
      </c>
      <c r="G360" s="57">
        <f>CRM_MAGDY!K360</f>
        <v>0</v>
      </c>
      <c r="H360" s="57">
        <f>CRM_MAGDY!N360</f>
        <v>0</v>
      </c>
    </row>
    <row r="361" spans="1:8" ht="30" x14ac:dyDescent="0.25">
      <c r="A361" s="57">
        <f>CRM_MAGDY!H361</f>
        <v>5802</v>
      </c>
      <c r="B361" s="57">
        <f>CRM_MAGDY!I361</f>
        <v>0</v>
      </c>
      <c r="C361" s="57">
        <f>CRM_MAGDY!E361</f>
        <v>0</v>
      </c>
      <c r="D361" s="57">
        <f>CRM_MAGDY!V361</f>
        <v>0</v>
      </c>
      <c r="E361" s="57" t="str">
        <f>IF(CRM_MAGDY!G361="","BRAK TELEFONU",IF(CRM_MAGDY!K361="","BRAK KWOTY",IF(CRM_MAGDY!N361="","BRAK STATUSU",IF(CRM_MAGDY!C361="","BRAK DATY AKCJI",""))))</f>
        <v>BRAK TELEFONU</v>
      </c>
      <c r="F361" s="57" t="str">
        <f>CRM_MAGDY!W361</f>
        <v>BRAKI CRM</v>
      </c>
      <c r="G361" s="57">
        <f>CRM_MAGDY!K361</f>
        <v>0</v>
      </c>
      <c r="H361" s="57">
        <f>CRM_MAGDY!N361</f>
        <v>0</v>
      </c>
    </row>
    <row r="362" spans="1:8" ht="30" x14ac:dyDescent="0.25">
      <c r="A362" s="57">
        <f>CRM_MAGDY!H362</f>
        <v>5803</v>
      </c>
      <c r="B362" s="57">
        <f>CRM_MAGDY!I362</f>
        <v>0</v>
      </c>
      <c r="C362" s="57">
        <f>CRM_MAGDY!E362</f>
        <v>0</v>
      </c>
      <c r="D362" s="57">
        <f>CRM_MAGDY!V362</f>
        <v>0</v>
      </c>
      <c r="E362" s="57" t="str">
        <f>IF(CRM_MAGDY!G362="","BRAK TELEFONU",IF(CRM_MAGDY!K362="","BRAK KWOTY",IF(CRM_MAGDY!N362="","BRAK STATUSU",IF(CRM_MAGDY!C362="","BRAK DATY AKCJI",""))))</f>
        <v>BRAK TELEFONU</v>
      </c>
      <c r="F362" s="57" t="str">
        <f>CRM_MAGDY!W362</f>
        <v>BRAKI CRM</v>
      </c>
      <c r="G362" s="57">
        <f>CRM_MAGDY!K362</f>
        <v>0</v>
      </c>
      <c r="H362" s="57">
        <f>CRM_MAGDY!N362</f>
        <v>0</v>
      </c>
    </row>
    <row r="363" spans="1:8" ht="30" x14ac:dyDescent="0.25">
      <c r="A363" s="57">
        <f>CRM_MAGDY!H363</f>
        <v>5804</v>
      </c>
      <c r="B363" s="57">
        <f>CRM_MAGDY!I363</f>
        <v>0</v>
      </c>
      <c r="C363" s="57">
        <f>CRM_MAGDY!E363</f>
        <v>0</v>
      </c>
      <c r="D363" s="57">
        <f>CRM_MAGDY!V363</f>
        <v>0</v>
      </c>
      <c r="E363" s="57" t="str">
        <f>IF(CRM_MAGDY!G363="","BRAK TELEFONU",IF(CRM_MAGDY!K363="","BRAK KWOTY",IF(CRM_MAGDY!N363="","BRAK STATUSU",IF(CRM_MAGDY!C363="","BRAK DATY AKCJI",""))))</f>
        <v>BRAK TELEFONU</v>
      </c>
      <c r="F363" s="57" t="str">
        <f>CRM_MAGDY!W363</f>
        <v>BRAKI CRM</v>
      </c>
      <c r="G363" s="57">
        <f>CRM_MAGDY!K363</f>
        <v>0</v>
      </c>
      <c r="H363" s="57">
        <f>CRM_MAGDY!N363</f>
        <v>0</v>
      </c>
    </row>
    <row r="364" spans="1:8" ht="30" x14ac:dyDescent="0.25">
      <c r="A364" s="57">
        <f>CRM_MAGDY!H364</f>
        <v>5805</v>
      </c>
      <c r="B364" s="57">
        <f>CRM_MAGDY!I364</f>
        <v>0</v>
      </c>
      <c r="C364" s="57">
        <f>CRM_MAGDY!E364</f>
        <v>0</v>
      </c>
      <c r="D364" s="57">
        <f>CRM_MAGDY!V364</f>
        <v>0</v>
      </c>
      <c r="E364" s="57" t="str">
        <f>IF(CRM_MAGDY!G364="","BRAK TELEFONU",IF(CRM_MAGDY!K364="","BRAK KWOTY",IF(CRM_MAGDY!N364="","BRAK STATUSU",IF(CRM_MAGDY!C364="","BRAK DATY AKCJI",""))))</f>
        <v>BRAK TELEFONU</v>
      </c>
      <c r="F364" s="57" t="str">
        <f>CRM_MAGDY!W364</f>
        <v>BRAKI CRM</v>
      </c>
      <c r="G364" s="57">
        <f>CRM_MAGDY!K364</f>
        <v>0</v>
      </c>
      <c r="H364" s="57">
        <f>CRM_MAGDY!N364</f>
        <v>0</v>
      </c>
    </row>
    <row r="365" spans="1:8" ht="30" x14ac:dyDescent="0.25">
      <c r="A365" s="57">
        <f>CRM_MAGDY!H365</f>
        <v>5806</v>
      </c>
      <c r="B365" s="57">
        <f>CRM_MAGDY!I365</f>
        <v>0</v>
      </c>
      <c r="C365" s="57">
        <f>CRM_MAGDY!E365</f>
        <v>0</v>
      </c>
      <c r="D365" s="57">
        <f>CRM_MAGDY!V365</f>
        <v>0</v>
      </c>
      <c r="E365" s="57" t="str">
        <f>IF(CRM_MAGDY!G365="","BRAK TELEFONU",IF(CRM_MAGDY!K365="","BRAK KWOTY",IF(CRM_MAGDY!N365="","BRAK STATUSU",IF(CRM_MAGDY!C365="","BRAK DATY AKCJI",""))))</f>
        <v>BRAK TELEFONU</v>
      </c>
      <c r="F365" s="57" t="str">
        <f>CRM_MAGDY!W365</f>
        <v>BRAKI CRM</v>
      </c>
      <c r="G365" s="57">
        <f>CRM_MAGDY!K365</f>
        <v>0</v>
      </c>
      <c r="H365" s="57">
        <f>CRM_MAGDY!N365</f>
        <v>0</v>
      </c>
    </row>
    <row r="366" spans="1:8" ht="30" x14ac:dyDescent="0.25">
      <c r="A366" s="57">
        <f>CRM_MAGDY!H366</f>
        <v>5807</v>
      </c>
      <c r="B366" s="57">
        <f>CRM_MAGDY!I366</f>
        <v>0</v>
      </c>
      <c r="C366" s="57">
        <f>CRM_MAGDY!E366</f>
        <v>0</v>
      </c>
      <c r="D366" s="57">
        <f>CRM_MAGDY!V366</f>
        <v>0</v>
      </c>
      <c r="E366" s="57" t="str">
        <f>IF(CRM_MAGDY!G366="","BRAK TELEFONU",IF(CRM_MAGDY!K366="","BRAK KWOTY",IF(CRM_MAGDY!N366="","BRAK STATUSU",IF(CRM_MAGDY!C366="","BRAK DATY AKCJI",""))))</f>
        <v>BRAK TELEFONU</v>
      </c>
      <c r="F366" s="57" t="str">
        <f>CRM_MAGDY!W366</f>
        <v>BRAKI CRM</v>
      </c>
      <c r="G366" s="57">
        <f>CRM_MAGDY!K366</f>
        <v>0</v>
      </c>
      <c r="H366" s="57">
        <f>CRM_MAGDY!N366</f>
        <v>0</v>
      </c>
    </row>
    <row r="367" spans="1:8" ht="30" x14ac:dyDescent="0.25">
      <c r="A367" s="57">
        <f>CRM_MAGDY!H367</f>
        <v>5808</v>
      </c>
      <c r="B367" s="57">
        <f>CRM_MAGDY!I367</f>
        <v>0</v>
      </c>
      <c r="C367" s="57">
        <f>CRM_MAGDY!E367</f>
        <v>0</v>
      </c>
      <c r="D367" s="57">
        <f>CRM_MAGDY!V367</f>
        <v>0</v>
      </c>
      <c r="E367" s="57" t="str">
        <f>IF(CRM_MAGDY!G367="","BRAK TELEFONU",IF(CRM_MAGDY!K367="","BRAK KWOTY",IF(CRM_MAGDY!N367="","BRAK STATUSU",IF(CRM_MAGDY!C367="","BRAK DATY AKCJI",""))))</f>
        <v>BRAK TELEFONU</v>
      </c>
      <c r="F367" s="57" t="str">
        <f>CRM_MAGDY!W367</f>
        <v>BRAKI CRM</v>
      </c>
      <c r="G367" s="57">
        <f>CRM_MAGDY!K367</f>
        <v>0</v>
      </c>
      <c r="H367" s="57">
        <f>CRM_MAGDY!N367</f>
        <v>0</v>
      </c>
    </row>
    <row r="368" spans="1:8" ht="30" x14ac:dyDescent="0.25">
      <c r="A368" s="57">
        <f>CRM_MAGDY!H368</f>
        <v>5809</v>
      </c>
      <c r="B368" s="57">
        <f>CRM_MAGDY!I368</f>
        <v>0</v>
      </c>
      <c r="C368" s="57">
        <f>CRM_MAGDY!E368</f>
        <v>0</v>
      </c>
      <c r="D368" s="57">
        <f>CRM_MAGDY!V368</f>
        <v>0</v>
      </c>
      <c r="E368" s="57" t="str">
        <f>IF(CRM_MAGDY!G368="","BRAK TELEFONU",IF(CRM_MAGDY!K368="","BRAK KWOTY",IF(CRM_MAGDY!N368="","BRAK STATUSU",IF(CRM_MAGDY!C368="","BRAK DATY AKCJI",""))))</f>
        <v>BRAK TELEFONU</v>
      </c>
      <c r="F368" s="57" t="str">
        <f>CRM_MAGDY!W368</f>
        <v>BRAKI CRM</v>
      </c>
      <c r="G368" s="57">
        <f>CRM_MAGDY!K368</f>
        <v>0</v>
      </c>
      <c r="H368" s="57">
        <f>CRM_MAGDY!N368</f>
        <v>0</v>
      </c>
    </row>
    <row r="369" spans="1:8" ht="30" x14ac:dyDescent="0.25">
      <c r="A369" s="57">
        <f>CRM_MAGDY!H369</f>
        <v>5810</v>
      </c>
      <c r="B369" s="57">
        <f>CRM_MAGDY!I369</f>
        <v>0</v>
      </c>
      <c r="C369" s="57">
        <f>CRM_MAGDY!E369</f>
        <v>0</v>
      </c>
      <c r="D369" s="57">
        <f>CRM_MAGDY!V369</f>
        <v>0</v>
      </c>
      <c r="E369" s="57" t="str">
        <f>IF(CRM_MAGDY!G369="","BRAK TELEFONU",IF(CRM_MAGDY!K369="","BRAK KWOTY",IF(CRM_MAGDY!N369="","BRAK STATUSU",IF(CRM_MAGDY!C369="","BRAK DATY AKCJI",""))))</f>
        <v>BRAK TELEFONU</v>
      </c>
      <c r="F369" s="57" t="str">
        <f>CRM_MAGDY!W369</f>
        <v>BRAKI CRM</v>
      </c>
      <c r="G369" s="57">
        <f>CRM_MAGDY!K369</f>
        <v>0</v>
      </c>
      <c r="H369" s="57">
        <f>CRM_MAGDY!N369</f>
        <v>0</v>
      </c>
    </row>
    <row r="370" spans="1:8" ht="30" x14ac:dyDescent="0.25">
      <c r="A370" s="57">
        <f>CRM_MAGDY!H370</f>
        <v>5811</v>
      </c>
      <c r="B370" s="57">
        <f>CRM_MAGDY!I370</f>
        <v>0</v>
      </c>
      <c r="C370" s="57">
        <f>CRM_MAGDY!E370</f>
        <v>0</v>
      </c>
      <c r="D370" s="57">
        <f>CRM_MAGDY!V370</f>
        <v>0</v>
      </c>
      <c r="E370" s="57" t="str">
        <f>IF(CRM_MAGDY!G370="","BRAK TELEFONU",IF(CRM_MAGDY!K370="","BRAK KWOTY",IF(CRM_MAGDY!N370="","BRAK STATUSU",IF(CRM_MAGDY!C370="","BRAK DATY AKCJI",""))))</f>
        <v>BRAK TELEFONU</v>
      </c>
      <c r="F370" s="57" t="str">
        <f>CRM_MAGDY!W370</f>
        <v>BRAKI CRM</v>
      </c>
      <c r="G370" s="57">
        <f>CRM_MAGDY!K370</f>
        <v>0</v>
      </c>
      <c r="H370" s="57">
        <f>CRM_MAGDY!N370</f>
        <v>0</v>
      </c>
    </row>
    <row r="371" spans="1:8" ht="30" x14ac:dyDescent="0.25">
      <c r="A371" s="57">
        <f>CRM_MAGDY!H371</f>
        <v>5812</v>
      </c>
      <c r="B371" s="57">
        <f>CRM_MAGDY!I371</f>
        <v>0</v>
      </c>
      <c r="C371" s="57">
        <f>CRM_MAGDY!E371</f>
        <v>0</v>
      </c>
      <c r="D371" s="57">
        <f>CRM_MAGDY!V371</f>
        <v>0</v>
      </c>
      <c r="E371" s="57" t="str">
        <f>IF(CRM_MAGDY!G371="","BRAK TELEFONU",IF(CRM_MAGDY!K371="","BRAK KWOTY",IF(CRM_MAGDY!N371="","BRAK STATUSU",IF(CRM_MAGDY!C371="","BRAK DATY AKCJI",""))))</f>
        <v>BRAK TELEFONU</v>
      </c>
      <c r="F371" s="57" t="str">
        <f>CRM_MAGDY!W371</f>
        <v>BRAKI CRM</v>
      </c>
      <c r="G371" s="57">
        <f>CRM_MAGDY!K371</f>
        <v>0</v>
      </c>
      <c r="H371" s="57">
        <f>CRM_MAGDY!N371</f>
        <v>0</v>
      </c>
    </row>
    <row r="372" spans="1:8" ht="30" x14ac:dyDescent="0.25">
      <c r="A372" s="57">
        <f>CRM_MAGDY!H372</f>
        <v>5813</v>
      </c>
      <c r="B372" s="57">
        <f>CRM_MAGDY!I372</f>
        <v>0</v>
      </c>
      <c r="C372" s="57">
        <f>CRM_MAGDY!E372</f>
        <v>0</v>
      </c>
      <c r="D372" s="57">
        <f>CRM_MAGDY!V372</f>
        <v>0</v>
      </c>
      <c r="E372" s="57" t="str">
        <f>IF(CRM_MAGDY!G372="","BRAK TELEFONU",IF(CRM_MAGDY!K372="","BRAK KWOTY",IF(CRM_MAGDY!N372="","BRAK STATUSU",IF(CRM_MAGDY!C372="","BRAK DATY AKCJI",""))))</f>
        <v>BRAK TELEFONU</v>
      </c>
      <c r="F372" s="57" t="str">
        <f>CRM_MAGDY!W372</f>
        <v>BRAKI CRM</v>
      </c>
      <c r="G372" s="57">
        <f>CRM_MAGDY!K372</f>
        <v>0</v>
      </c>
      <c r="H372" s="57">
        <f>CRM_MAGDY!N372</f>
        <v>0</v>
      </c>
    </row>
    <row r="373" spans="1:8" ht="30" x14ac:dyDescent="0.25">
      <c r="A373" s="57">
        <f>CRM_MAGDY!H373</f>
        <v>5814</v>
      </c>
      <c r="B373" s="57">
        <f>CRM_MAGDY!I373</f>
        <v>0</v>
      </c>
      <c r="C373" s="57">
        <f>CRM_MAGDY!E373</f>
        <v>0</v>
      </c>
      <c r="D373" s="57">
        <f>CRM_MAGDY!V373</f>
        <v>0</v>
      </c>
      <c r="E373" s="57" t="str">
        <f>IF(CRM_MAGDY!G373="","BRAK TELEFONU",IF(CRM_MAGDY!K373="","BRAK KWOTY",IF(CRM_MAGDY!N373="","BRAK STATUSU",IF(CRM_MAGDY!C373="","BRAK DATY AKCJI",""))))</f>
        <v>BRAK TELEFONU</v>
      </c>
      <c r="F373" s="57" t="str">
        <f>CRM_MAGDY!W373</f>
        <v>BRAKI CRM</v>
      </c>
      <c r="G373" s="57">
        <f>CRM_MAGDY!K373</f>
        <v>0</v>
      </c>
      <c r="H373" s="57">
        <f>CRM_MAGDY!N373</f>
        <v>0</v>
      </c>
    </row>
    <row r="374" spans="1:8" ht="30" x14ac:dyDescent="0.25">
      <c r="A374" s="57">
        <f>CRM_MAGDY!H374</f>
        <v>5815</v>
      </c>
      <c r="B374" s="57">
        <f>CRM_MAGDY!I374</f>
        <v>0</v>
      </c>
      <c r="C374" s="57">
        <f>CRM_MAGDY!E374</f>
        <v>0</v>
      </c>
      <c r="D374" s="57">
        <f>CRM_MAGDY!V374</f>
        <v>0</v>
      </c>
      <c r="E374" s="57" t="str">
        <f>IF(CRM_MAGDY!G374="","BRAK TELEFONU",IF(CRM_MAGDY!K374="","BRAK KWOTY",IF(CRM_MAGDY!N374="","BRAK STATUSU",IF(CRM_MAGDY!C374="","BRAK DATY AKCJI",""))))</f>
        <v>BRAK TELEFONU</v>
      </c>
      <c r="F374" s="57" t="str">
        <f>CRM_MAGDY!W374</f>
        <v>BRAKI CRM</v>
      </c>
      <c r="G374" s="57">
        <f>CRM_MAGDY!K374</f>
        <v>0</v>
      </c>
      <c r="H374" s="57">
        <f>CRM_MAGDY!N374</f>
        <v>0</v>
      </c>
    </row>
    <row r="375" spans="1:8" ht="30" x14ac:dyDescent="0.25">
      <c r="A375" s="57">
        <f>CRM_MAGDY!H375</f>
        <v>5816</v>
      </c>
      <c r="B375" s="57">
        <f>CRM_MAGDY!I375</f>
        <v>0</v>
      </c>
      <c r="C375" s="57">
        <f>CRM_MAGDY!E375</f>
        <v>0</v>
      </c>
      <c r="D375" s="57">
        <f>CRM_MAGDY!V375</f>
        <v>0</v>
      </c>
      <c r="E375" s="57" t="str">
        <f>IF(CRM_MAGDY!G375="","BRAK TELEFONU",IF(CRM_MAGDY!K375="","BRAK KWOTY",IF(CRM_MAGDY!N375="","BRAK STATUSU",IF(CRM_MAGDY!C375="","BRAK DATY AKCJI",""))))</f>
        <v>BRAK TELEFONU</v>
      </c>
      <c r="F375" s="57" t="str">
        <f>CRM_MAGDY!W375</f>
        <v>BRAKI CRM</v>
      </c>
      <c r="G375" s="57">
        <f>CRM_MAGDY!K375</f>
        <v>0</v>
      </c>
      <c r="H375" s="57">
        <f>CRM_MAGDY!N375</f>
        <v>0</v>
      </c>
    </row>
    <row r="376" spans="1:8" ht="30" x14ac:dyDescent="0.25">
      <c r="A376" s="57">
        <f>CRM_MAGDY!H376</f>
        <v>5817</v>
      </c>
      <c r="B376" s="57">
        <f>CRM_MAGDY!I376</f>
        <v>0</v>
      </c>
      <c r="C376" s="57">
        <f>CRM_MAGDY!E376</f>
        <v>0</v>
      </c>
      <c r="D376" s="57">
        <f>CRM_MAGDY!V376</f>
        <v>0</v>
      </c>
      <c r="E376" s="57" t="str">
        <f>IF(CRM_MAGDY!G376="","BRAK TELEFONU",IF(CRM_MAGDY!K376="","BRAK KWOTY",IF(CRM_MAGDY!N376="","BRAK STATUSU",IF(CRM_MAGDY!C376="","BRAK DATY AKCJI",""))))</f>
        <v>BRAK TELEFONU</v>
      </c>
      <c r="F376" s="57" t="str">
        <f>CRM_MAGDY!W376</f>
        <v>BRAKI CRM</v>
      </c>
      <c r="G376" s="57">
        <f>CRM_MAGDY!K376</f>
        <v>0</v>
      </c>
      <c r="H376" s="57">
        <f>CRM_MAGDY!N376</f>
        <v>0</v>
      </c>
    </row>
    <row r="377" spans="1:8" ht="30" x14ac:dyDescent="0.25">
      <c r="A377" s="57">
        <f>CRM_MAGDY!H377</f>
        <v>5818</v>
      </c>
      <c r="B377" s="57">
        <f>CRM_MAGDY!I377</f>
        <v>0</v>
      </c>
      <c r="C377" s="57">
        <f>CRM_MAGDY!E377</f>
        <v>0</v>
      </c>
      <c r="D377" s="57">
        <f>CRM_MAGDY!V377</f>
        <v>0</v>
      </c>
      <c r="E377" s="57" t="str">
        <f>IF(CRM_MAGDY!G377="","BRAK TELEFONU",IF(CRM_MAGDY!K377="","BRAK KWOTY",IF(CRM_MAGDY!N377="","BRAK STATUSU",IF(CRM_MAGDY!C377="","BRAK DATY AKCJI",""))))</f>
        <v>BRAK TELEFONU</v>
      </c>
      <c r="F377" s="57" t="str">
        <f>CRM_MAGDY!W377</f>
        <v>BRAKI CRM</v>
      </c>
      <c r="G377" s="57">
        <f>CRM_MAGDY!K377</f>
        <v>0</v>
      </c>
      <c r="H377" s="57">
        <f>CRM_MAGDY!N377</f>
        <v>0</v>
      </c>
    </row>
    <row r="378" spans="1:8" ht="30" x14ac:dyDescent="0.25">
      <c r="A378" s="57">
        <f>CRM_MAGDY!H378</f>
        <v>5819</v>
      </c>
      <c r="B378" s="57">
        <f>CRM_MAGDY!I378</f>
        <v>0</v>
      </c>
      <c r="C378" s="57">
        <f>CRM_MAGDY!E378</f>
        <v>0</v>
      </c>
      <c r="D378" s="57">
        <f>CRM_MAGDY!V378</f>
        <v>0</v>
      </c>
      <c r="E378" s="57" t="str">
        <f>IF(CRM_MAGDY!G378="","BRAK TELEFONU",IF(CRM_MAGDY!K378="","BRAK KWOTY",IF(CRM_MAGDY!N378="","BRAK STATUSU",IF(CRM_MAGDY!C378="","BRAK DATY AKCJI",""))))</f>
        <v>BRAK TELEFONU</v>
      </c>
      <c r="F378" s="57" t="str">
        <f>CRM_MAGDY!W378</f>
        <v>BRAKI CRM</v>
      </c>
      <c r="G378" s="57">
        <f>CRM_MAGDY!K378</f>
        <v>0</v>
      </c>
      <c r="H378" s="57">
        <f>CRM_MAGDY!N378</f>
        <v>0</v>
      </c>
    </row>
    <row r="379" spans="1:8" ht="30" x14ac:dyDescent="0.25">
      <c r="A379" s="57">
        <f>CRM_MAGDY!H379</f>
        <v>5820</v>
      </c>
      <c r="B379" s="57">
        <f>CRM_MAGDY!I379</f>
        <v>0</v>
      </c>
      <c r="C379" s="57">
        <f>CRM_MAGDY!E379</f>
        <v>0</v>
      </c>
      <c r="D379" s="57">
        <f>CRM_MAGDY!V379</f>
        <v>0</v>
      </c>
      <c r="E379" s="57" t="str">
        <f>IF(CRM_MAGDY!G379="","BRAK TELEFONU",IF(CRM_MAGDY!K379="","BRAK KWOTY",IF(CRM_MAGDY!N379="","BRAK STATUSU",IF(CRM_MAGDY!C379="","BRAK DATY AKCJI",""))))</f>
        <v>BRAK TELEFONU</v>
      </c>
      <c r="F379" s="57" t="str">
        <f>CRM_MAGDY!W379</f>
        <v>BRAKI CRM</v>
      </c>
      <c r="G379" s="57">
        <f>CRM_MAGDY!K379</f>
        <v>0</v>
      </c>
      <c r="H379" s="57">
        <f>CRM_MAGDY!N379</f>
        <v>0</v>
      </c>
    </row>
    <row r="380" spans="1:8" ht="30" x14ac:dyDescent="0.25">
      <c r="A380" s="57">
        <f>CRM_MAGDY!H380</f>
        <v>5821</v>
      </c>
      <c r="B380" s="57">
        <f>CRM_MAGDY!I380</f>
        <v>0</v>
      </c>
      <c r="C380" s="57">
        <f>CRM_MAGDY!E380</f>
        <v>0</v>
      </c>
      <c r="D380" s="57">
        <f>CRM_MAGDY!V380</f>
        <v>0</v>
      </c>
      <c r="E380" s="57" t="str">
        <f>IF(CRM_MAGDY!G380="","BRAK TELEFONU",IF(CRM_MAGDY!K380="","BRAK KWOTY",IF(CRM_MAGDY!N380="","BRAK STATUSU",IF(CRM_MAGDY!C380="","BRAK DATY AKCJI",""))))</f>
        <v>BRAK TELEFONU</v>
      </c>
      <c r="F380" s="57" t="str">
        <f>CRM_MAGDY!W380</f>
        <v>BRAKI CRM</v>
      </c>
      <c r="G380" s="57">
        <f>CRM_MAGDY!K380</f>
        <v>0</v>
      </c>
      <c r="H380" s="57">
        <f>CRM_MAGDY!N380</f>
        <v>0</v>
      </c>
    </row>
    <row r="381" spans="1:8" ht="30" x14ac:dyDescent="0.25">
      <c r="A381" s="57">
        <f>CRM_MAGDY!H381</f>
        <v>5822</v>
      </c>
      <c r="B381" s="57">
        <f>CRM_MAGDY!I381</f>
        <v>0</v>
      </c>
      <c r="C381" s="57">
        <f>CRM_MAGDY!E381</f>
        <v>0</v>
      </c>
      <c r="D381" s="57">
        <f>CRM_MAGDY!V381</f>
        <v>0</v>
      </c>
      <c r="E381" s="57" t="str">
        <f>IF(CRM_MAGDY!G381="","BRAK TELEFONU",IF(CRM_MAGDY!K381="","BRAK KWOTY",IF(CRM_MAGDY!N381="","BRAK STATUSU",IF(CRM_MAGDY!C381="","BRAK DATY AKCJI",""))))</f>
        <v>BRAK TELEFONU</v>
      </c>
      <c r="F381" s="57" t="str">
        <f>CRM_MAGDY!W381</f>
        <v>BRAKI CRM</v>
      </c>
      <c r="G381" s="57">
        <f>CRM_MAGDY!K381</f>
        <v>0</v>
      </c>
      <c r="H381" s="57">
        <f>CRM_MAGDY!N381</f>
        <v>0</v>
      </c>
    </row>
    <row r="382" spans="1:8" ht="30" x14ac:dyDescent="0.25">
      <c r="A382" s="57">
        <f>CRM_MAGDY!H382</f>
        <v>5823</v>
      </c>
      <c r="B382" s="57">
        <f>CRM_MAGDY!I382</f>
        <v>0</v>
      </c>
      <c r="C382" s="57">
        <f>CRM_MAGDY!E382</f>
        <v>0</v>
      </c>
      <c r="D382" s="57">
        <f>CRM_MAGDY!V382</f>
        <v>0</v>
      </c>
      <c r="E382" s="57" t="str">
        <f>IF(CRM_MAGDY!G382="","BRAK TELEFONU",IF(CRM_MAGDY!K382="","BRAK KWOTY",IF(CRM_MAGDY!N382="","BRAK STATUSU",IF(CRM_MAGDY!C382="","BRAK DATY AKCJI",""))))</f>
        <v>BRAK TELEFONU</v>
      </c>
      <c r="F382" s="57" t="str">
        <f>CRM_MAGDY!W382</f>
        <v>BRAKI CRM</v>
      </c>
      <c r="G382" s="57">
        <f>CRM_MAGDY!K382</f>
        <v>0</v>
      </c>
      <c r="H382" s="57">
        <f>CRM_MAGDY!N382</f>
        <v>0</v>
      </c>
    </row>
    <row r="383" spans="1:8" ht="30" x14ac:dyDescent="0.25">
      <c r="A383" s="57">
        <f>CRM_MAGDY!H383</f>
        <v>5824</v>
      </c>
      <c r="B383" s="57">
        <f>CRM_MAGDY!I383</f>
        <v>0</v>
      </c>
      <c r="C383" s="57">
        <f>CRM_MAGDY!E383</f>
        <v>0</v>
      </c>
      <c r="D383" s="57">
        <f>CRM_MAGDY!V383</f>
        <v>0</v>
      </c>
      <c r="E383" s="57" t="str">
        <f>IF(CRM_MAGDY!G383="","BRAK TELEFONU",IF(CRM_MAGDY!K383="","BRAK KWOTY",IF(CRM_MAGDY!N383="","BRAK STATUSU",IF(CRM_MAGDY!C383="","BRAK DATY AKCJI",""))))</f>
        <v>BRAK TELEFONU</v>
      </c>
      <c r="F383" s="57" t="str">
        <f>CRM_MAGDY!W383</f>
        <v>BRAKI CRM</v>
      </c>
      <c r="G383" s="57">
        <f>CRM_MAGDY!K383</f>
        <v>0</v>
      </c>
      <c r="H383" s="57">
        <f>CRM_MAGDY!N383</f>
        <v>0</v>
      </c>
    </row>
    <row r="384" spans="1:8" ht="30" x14ac:dyDescent="0.25">
      <c r="A384" s="57">
        <f>CRM_MAGDY!H384</f>
        <v>5825</v>
      </c>
      <c r="B384" s="57">
        <f>CRM_MAGDY!I384</f>
        <v>0</v>
      </c>
      <c r="C384" s="57">
        <f>CRM_MAGDY!E384</f>
        <v>0</v>
      </c>
      <c r="D384" s="57">
        <f>CRM_MAGDY!V384</f>
        <v>0</v>
      </c>
      <c r="E384" s="57" t="str">
        <f>IF(CRM_MAGDY!G384="","BRAK TELEFONU",IF(CRM_MAGDY!K384="","BRAK KWOTY",IF(CRM_MAGDY!N384="","BRAK STATUSU",IF(CRM_MAGDY!C384="","BRAK DATY AKCJI",""))))</f>
        <v>BRAK TELEFONU</v>
      </c>
      <c r="F384" s="57" t="str">
        <f>CRM_MAGDY!W384</f>
        <v>BRAKI CRM</v>
      </c>
      <c r="G384" s="57">
        <f>CRM_MAGDY!K384</f>
        <v>0</v>
      </c>
      <c r="H384" s="57">
        <f>CRM_MAGDY!N384</f>
        <v>0</v>
      </c>
    </row>
    <row r="385" spans="1:8" ht="30" x14ac:dyDescent="0.25">
      <c r="A385" s="57">
        <f>CRM_MAGDY!H385</f>
        <v>5826</v>
      </c>
      <c r="B385" s="57">
        <f>CRM_MAGDY!I385</f>
        <v>0</v>
      </c>
      <c r="C385" s="57">
        <f>CRM_MAGDY!E385</f>
        <v>0</v>
      </c>
      <c r="D385" s="57">
        <f>CRM_MAGDY!V385</f>
        <v>0</v>
      </c>
      <c r="E385" s="57" t="str">
        <f>IF(CRM_MAGDY!G385="","BRAK TELEFONU",IF(CRM_MAGDY!K385="","BRAK KWOTY",IF(CRM_MAGDY!N385="","BRAK STATUSU",IF(CRM_MAGDY!C385="","BRAK DATY AKCJI",""))))</f>
        <v>BRAK TELEFONU</v>
      </c>
      <c r="F385" s="57" t="str">
        <f>CRM_MAGDY!W385</f>
        <v>BRAKI CRM</v>
      </c>
      <c r="G385" s="57">
        <f>CRM_MAGDY!K385</f>
        <v>0</v>
      </c>
      <c r="H385" s="57">
        <f>CRM_MAGDY!N385</f>
        <v>0</v>
      </c>
    </row>
    <row r="386" spans="1:8" ht="30" x14ac:dyDescent="0.25">
      <c r="A386" s="57">
        <f>CRM_MAGDY!H386</f>
        <v>5827</v>
      </c>
      <c r="B386" s="57">
        <f>CRM_MAGDY!I386</f>
        <v>0</v>
      </c>
      <c r="C386" s="57">
        <f>CRM_MAGDY!E386</f>
        <v>0</v>
      </c>
      <c r="D386" s="57">
        <f>CRM_MAGDY!V386</f>
        <v>0</v>
      </c>
      <c r="E386" s="57" t="str">
        <f>IF(CRM_MAGDY!G386="","BRAK TELEFONU",IF(CRM_MAGDY!K386="","BRAK KWOTY",IF(CRM_MAGDY!N386="","BRAK STATUSU",IF(CRM_MAGDY!C386="","BRAK DATY AKCJI",""))))</f>
        <v>BRAK TELEFONU</v>
      </c>
      <c r="F386" s="57" t="str">
        <f>CRM_MAGDY!W386</f>
        <v>BRAKI CRM</v>
      </c>
      <c r="G386" s="57">
        <f>CRM_MAGDY!K386</f>
        <v>0</v>
      </c>
      <c r="H386" s="57">
        <f>CRM_MAGDY!N386</f>
        <v>0</v>
      </c>
    </row>
    <row r="387" spans="1:8" ht="30" x14ac:dyDescent="0.25">
      <c r="A387" s="57">
        <f>CRM_MAGDY!H387</f>
        <v>5828</v>
      </c>
      <c r="B387" s="57">
        <f>CRM_MAGDY!I387</f>
        <v>0</v>
      </c>
      <c r="C387" s="57">
        <f>CRM_MAGDY!E387</f>
        <v>0</v>
      </c>
      <c r="D387" s="57">
        <f>CRM_MAGDY!V387</f>
        <v>0</v>
      </c>
      <c r="E387" s="57" t="str">
        <f>IF(CRM_MAGDY!G387="","BRAK TELEFONU",IF(CRM_MAGDY!K387="","BRAK KWOTY",IF(CRM_MAGDY!N387="","BRAK STATUSU",IF(CRM_MAGDY!C387="","BRAK DATY AKCJI",""))))</f>
        <v>BRAK TELEFONU</v>
      </c>
      <c r="F387" s="57" t="str">
        <f>CRM_MAGDY!W387</f>
        <v>BRAKI CRM</v>
      </c>
      <c r="G387" s="57">
        <f>CRM_MAGDY!K387</f>
        <v>0</v>
      </c>
      <c r="H387" s="57">
        <f>CRM_MAGDY!N387</f>
        <v>0</v>
      </c>
    </row>
    <row r="388" spans="1:8" ht="30" x14ac:dyDescent="0.25">
      <c r="A388" s="57">
        <f>CRM_MAGDY!H388</f>
        <v>5829</v>
      </c>
      <c r="B388" s="57">
        <f>CRM_MAGDY!I388</f>
        <v>0</v>
      </c>
      <c r="C388" s="57">
        <f>CRM_MAGDY!E388</f>
        <v>0</v>
      </c>
      <c r="D388" s="57">
        <f>CRM_MAGDY!V388</f>
        <v>0</v>
      </c>
      <c r="E388" s="57" t="str">
        <f>IF(CRM_MAGDY!G388="","BRAK TELEFONU",IF(CRM_MAGDY!K388="","BRAK KWOTY",IF(CRM_MAGDY!N388="","BRAK STATUSU",IF(CRM_MAGDY!C388="","BRAK DATY AKCJI",""))))</f>
        <v>BRAK TELEFONU</v>
      </c>
      <c r="F388" s="57" t="str">
        <f>CRM_MAGDY!W388</f>
        <v>BRAKI CRM</v>
      </c>
      <c r="G388" s="57">
        <f>CRM_MAGDY!K388</f>
        <v>0</v>
      </c>
      <c r="H388" s="57">
        <f>CRM_MAGDY!N388</f>
        <v>0</v>
      </c>
    </row>
    <row r="389" spans="1:8" ht="30" x14ac:dyDescent="0.25">
      <c r="A389" s="57">
        <f>CRM_MAGDY!H389</f>
        <v>5830</v>
      </c>
      <c r="B389" s="57">
        <f>CRM_MAGDY!I389</f>
        <v>0</v>
      </c>
      <c r="C389" s="57">
        <f>CRM_MAGDY!E389</f>
        <v>0</v>
      </c>
      <c r="D389" s="57">
        <f>CRM_MAGDY!V389</f>
        <v>0</v>
      </c>
      <c r="E389" s="57" t="str">
        <f>IF(CRM_MAGDY!G389="","BRAK TELEFONU",IF(CRM_MAGDY!K389="","BRAK KWOTY",IF(CRM_MAGDY!N389="","BRAK STATUSU",IF(CRM_MAGDY!C389="","BRAK DATY AKCJI",""))))</f>
        <v>BRAK TELEFONU</v>
      </c>
      <c r="F389" s="57" t="str">
        <f>CRM_MAGDY!W389</f>
        <v>BRAKI CRM</v>
      </c>
      <c r="G389" s="57">
        <f>CRM_MAGDY!K389</f>
        <v>0</v>
      </c>
      <c r="H389" s="57">
        <f>CRM_MAGDY!N389</f>
        <v>0</v>
      </c>
    </row>
    <row r="390" spans="1:8" ht="30" x14ac:dyDescent="0.25">
      <c r="A390" s="57">
        <f>CRM_MAGDY!H390</f>
        <v>5831</v>
      </c>
      <c r="B390" s="57">
        <f>CRM_MAGDY!I390</f>
        <v>0</v>
      </c>
      <c r="C390" s="57">
        <f>CRM_MAGDY!E390</f>
        <v>0</v>
      </c>
      <c r="D390" s="57">
        <f>CRM_MAGDY!V390</f>
        <v>0</v>
      </c>
      <c r="E390" s="57" t="str">
        <f>IF(CRM_MAGDY!G390="","BRAK TELEFONU",IF(CRM_MAGDY!K390="","BRAK KWOTY",IF(CRM_MAGDY!N390="","BRAK STATUSU",IF(CRM_MAGDY!C390="","BRAK DATY AKCJI",""))))</f>
        <v>BRAK TELEFONU</v>
      </c>
      <c r="F390" s="57" t="str">
        <f>CRM_MAGDY!W390</f>
        <v>BRAKI CRM</v>
      </c>
      <c r="G390" s="57">
        <f>CRM_MAGDY!K390</f>
        <v>0</v>
      </c>
      <c r="H390" s="57">
        <f>CRM_MAGDY!N390</f>
        <v>0</v>
      </c>
    </row>
    <row r="391" spans="1:8" ht="30" x14ac:dyDescent="0.25">
      <c r="A391" s="57">
        <f>CRM_MAGDY!H391</f>
        <v>5832</v>
      </c>
      <c r="B391" s="57">
        <f>CRM_MAGDY!I391</f>
        <v>0</v>
      </c>
      <c r="C391" s="57">
        <f>CRM_MAGDY!E391</f>
        <v>0</v>
      </c>
      <c r="D391" s="57">
        <f>CRM_MAGDY!V391</f>
        <v>0</v>
      </c>
      <c r="E391" s="57" t="str">
        <f>IF(CRM_MAGDY!G391="","BRAK TELEFONU",IF(CRM_MAGDY!K391="","BRAK KWOTY",IF(CRM_MAGDY!N391="","BRAK STATUSU",IF(CRM_MAGDY!C391="","BRAK DATY AKCJI",""))))</f>
        <v>BRAK TELEFONU</v>
      </c>
      <c r="F391" s="57" t="str">
        <f>CRM_MAGDY!W391</f>
        <v>BRAKI CRM</v>
      </c>
      <c r="G391" s="57">
        <f>CRM_MAGDY!K391</f>
        <v>0</v>
      </c>
      <c r="H391" s="57">
        <f>CRM_MAGDY!N391</f>
        <v>0</v>
      </c>
    </row>
    <row r="392" spans="1:8" ht="30" x14ac:dyDescent="0.25">
      <c r="A392" s="57">
        <f>CRM_MAGDY!H392</f>
        <v>5833</v>
      </c>
      <c r="B392" s="57">
        <f>CRM_MAGDY!I392</f>
        <v>0</v>
      </c>
      <c r="C392" s="57">
        <f>CRM_MAGDY!E392</f>
        <v>0</v>
      </c>
      <c r="D392" s="57">
        <f>CRM_MAGDY!V392</f>
        <v>0</v>
      </c>
      <c r="E392" s="57" t="str">
        <f>IF(CRM_MAGDY!G392="","BRAK TELEFONU",IF(CRM_MAGDY!K392="","BRAK KWOTY",IF(CRM_MAGDY!N392="","BRAK STATUSU",IF(CRM_MAGDY!C392="","BRAK DATY AKCJI",""))))</f>
        <v>BRAK TELEFONU</v>
      </c>
      <c r="F392" s="57" t="str">
        <f>CRM_MAGDY!W392</f>
        <v>BRAKI CRM</v>
      </c>
      <c r="G392" s="57">
        <f>CRM_MAGDY!K392</f>
        <v>0</v>
      </c>
      <c r="H392" s="57">
        <f>CRM_MAGDY!N392</f>
        <v>0</v>
      </c>
    </row>
    <row r="393" spans="1:8" ht="30" x14ac:dyDescent="0.25">
      <c r="A393" s="57">
        <f>CRM_MAGDY!H393</f>
        <v>5834</v>
      </c>
      <c r="B393" s="57">
        <f>CRM_MAGDY!I393</f>
        <v>0</v>
      </c>
      <c r="C393" s="57">
        <f>CRM_MAGDY!E393</f>
        <v>0</v>
      </c>
      <c r="D393" s="57">
        <f>CRM_MAGDY!V393</f>
        <v>0</v>
      </c>
      <c r="E393" s="57" t="str">
        <f>IF(CRM_MAGDY!G393="","BRAK TELEFONU",IF(CRM_MAGDY!K393="","BRAK KWOTY",IF(CRM_MAGDY!N393="","BRAK STATUSU",IF(CRM_MAGDY!C393="","BRAK DATY AKCJI",""))))</f>
        <v>BRAK TELEFONU</v>
      </c>
      <c r="F393" s="57" t="str">
        <f>CRM_MAGDY!W393</f>
        <v>BRAKI CRM</v>
      </c>
      <c r="G393" s="57">
        <f>CRM_MAGDY!K393</f>
        <v>0</v>
      </c>
      <c r="H393" s="57">
        <f>CRM_MAGDY!N393</f>
        <v>0</v>
      </c>
    </row>
    <row r="394" spans="1:8" ht="30" x14ac:dyDescent="0.25">
      <c r="A394" s="57">
        <f>CRM_MAGDY!H394</f>
        <v>5835</v>
      </c>
      <c r="B394" s="57">
        <f>CRM_MAGDY!I394</f>
        <v>0</v>
      </c>
      <c r="C394" s="57">
        <f>CRM_MAGDY!E394</f>
        <v>0</v>
      </c>
      <c r="D394" s="57">
        <f>CRM_MAGDY!V394</f>
        <v>0</v>
      </c>
      <c r="E394" s="57" t="str">
        <f>IF(CRM_MAGDY!G394="","BRAK TELEFONU",IF(CRM_MAGDY!K394="","BRAK KWOTY",IF(CRM_MAGDY!N394="","BRAK STATUSU",IF(CRM_MAGDY!C394="","BRAK DATY AKCJI",""))))</f>
        <v>BRAK TELEFONU</v>
      </c>
      <c r="F394" s="57" t="str">
        <f>CRM_MAGDY!W394</f>
        <v>BRAKI CRM</v>
      </c>
      <c r="G394" s="57">
        <f>CRM_MAGDY!K394</f>
        <v>0</v>
      </c>
      <c r="H394" s="57">
        <f>CRM_MAGDY!N394</f>
        <v>0</v>
      </c>
    </row>
    <row r="395" spans="1:8" ht="30" x14ac:dyDescent="0.25">
      <c r="A395" s="57">
        <f>CRM_MAGDY!H395</f>
        <v>5836</v>
      </c>
      <c r="B395" s="57">
        <f>CRM_MAGDY!I395</f>
        <v>0</v>
      </c>
      <c r="C395" s="57">
        <f>CRM_MAGDY!E395</f>
        <v>0</v>
      </c>
      <c r="D395" s="57">
        <f>CRM_MAGDY!V395</f>
        <v>0</v>
      </c>
      <c r="E395" s="57" t="str">
        <f>IF(CRM_MAGDY!G395="","BRAK TELEFONU",IF(CRM_MAGDY!K395="","BRAK KWOTY",IF(CRM_MAGDY!N395="","BRAK STATUSU",IF(CRM_MAGDY!C395="","BRAK DATY AKCJI",""))))</f>
        <v>BRAK TELEFONU</v>
      </c>
      <c r="F395" s="57" t="str">
        <f>CRM_MAGDY!W395</f>
        <v>BRAKI CRM</v>
      </c>
      <c r="G395" s="57">
        <f>CRM_MAGDY!K395</f>
        <v>0</v>
      </c>
      <c r="H395" s="57">
        <f>CRM_MAGDY!N395</f>
        <v>0</v>
      </c>
    </row>
    <row r="396" spans="1:8" ht="30" x14ac:dyDescent="0.25">
      <c r="A396" s="57">
        <f>CRM_MAGDY!H396</f>
        <v>5837</v>
      </c>
      <c r="B396" s="57">
        <f>CRM_MAGDY!I396</f>
        <v>0</v>
      </c>
      <c r="C396" s="57">
        <f>CRM_MAGDY!E396</f>
        <v>0</v>
      </c>
      <c r="D396" s="57">
        <f>CRM_MAGDY!V396</f>
        <v>0</v>
      </c>
      <c r="E396" s="57" t="str">
        <f>IF(CRM_MAGDY!G396="","BRAK TELEFONU",IF(CRM_MAGDY!K396="","BRAK KWOTY",IF(CRM_MAGDY!N396="","BRAK STATUSU",IF(CRM_MAGDY!C396="","BRAK DATY AKCJI",""))))</f>
        <v>BRAK TELEFONU</v>
      </c>
      <c r="F396" s="57" t="str">
        <f>CRM_MAGDY!W396</f>
        <v>BRAKI CRM</v>
      </c>
      <c r="G396" s="57">
        <f>CRM_MAGDY!K396</f>
        <v>0</v>
      </c>
      <c r="H396" s="57">
        <f>CRM_MAGDY!N396</f>
        <v>0</v>
      </c>
    </row>
    <row r="397" spans="1:8" ht="30" x14ac:dyDescent="0.25">
      <c r="A397" s="57">
        <f>CRM_MAGDY!H397</f>
        <v>5838</v>
      </c>
      <c r="B397" s="57">
        <f>CRM_MAGDY!I397</f>
        <v>0</v>
      </c>
      <c r="C397" s="57">
        <f>CRM_MAGDY!E397</f>
        <v>0</v>
      </c>
      <c r="D397" s="57">
        <f>CRM_MAGDY!V397</f>
        <v>0</v>
      </c>
      <c r="E397" s="57" t="str">
        <f>IF(CRM_MAGDY!G397="","BRAK TELEFONU",IF(CRM_MAGDY!K397="","BRAK KWOTY",IF(CRM_MAGDY!N397="","BRAK STATUSU",IF(CRM_MAGDY!C397="","BRAK DATY AKCJI",""))))</f>
        <v>BRAK TELEFONU</v>
      </c>
      <c r="F397" s="57" t="str">
        <f>CRM_MAGDY!W397</f>
        <v>BRAKI CRM</v>
      </c>
      <c r="G397" s="57">
        <f>CRM_MAGDY!K397</f>
        <v>0</v>
      </c>
      <c r="H397" s="57">
        <f>CRM_MAGDY!N397</f>
        <v>0</v>
      </c>
    </row>
    <row r="398" spans="1:8" ht="30" x14ac:dyDescent="0.25">
      <c r="A398" s="57">
        <f>CRM_MAGDY!H398</f>
        <v>5839</v>
      </c>
      <c r="B398" s="57">
        <f>CRM_MAGDY!I398</f>
        <v>0</v>
      </c>
      <c r="C398" s="57">
        <f>CRM_MAGDY!E398</f>
        <v>0</v>
      </c>
      <c r="D398" s="57">
        <f>CRM_MAGDY!V398</f>
        <v>0</v>
      </c>
      <c r="E398" s="57" t="str">
        <f>IF(CRM_MAGDY!G398="","BRAK TELEFONU",IF(CRM_MAGDY!K398="","BRAK KWOTY",IF(CRM_MAGDY!N398="","BRAK STATUSU",IF(CRM_MAGDY!C398="","BRAK DATY AKCJI",""))))</f>
        <v>BRAK TELEFONU</v>
      </c>
      <c r="F398" s="57" t="str">
        <f>CRM_MAGDY!W398</f>
        <v>BRAKI CRM</v>
      </c>
      <c r="G398" s="57">
        <f>CRM_MAGDY!K398</f>
        <v>0</v>
      </c>
      <c r="H398" s="57">
        <f>CRM_MAGDY!N398</f>
        <v>0</v>
      </c>
    </row>
    <row r="399" spans="1:8" ht="30" x14ac:dyDescent="0.25">
      <c r="A399" s="57">
        <f>CRM_MAGDY!H399</f>
        <v>5840</v>
      </c>
      <c r="B399" s="57">
        <f>CRM_MAGDY!I399</f>
        <v>0</v>
      </c>
      <c r="C399" s="57">
        <f>CRM_MAGDY!E399</f>
        <v>0</v>
      </c>
      <c r="D399" s="57">
        <f>CRM_MAGDY!V399</f>
        <v>0</v>
      </c>
      <c r="E399" s="57" t="str">
        <f>IF(CRM_MAGDY!G399="","BRAK TELEFONU",IF(CRM_MAGDY!K399="","BRAK KWOTY",IF(CRM_MAGDY!N399="","BRAK STATUSU",IF(CRM_MAGDY!C399="","BRAK DATY AKCJI",""))))</f>
        <v>BRAK TELEFONU</v>
      </c>
      <c r="F399" s="57" t="str">
        <f>CRM_MAGDY!W399</f>
        <v>BRAKI CRM</v>
      </c>
      <c r="G399" s="57">
        <f>CRM_MAGDY!K399</f>
        <v>0</v>
      </c>
      <c r="H399" s="57">
        <f>CRM_MAGDY!N399</f>
        <v>0</v>
      </c>
    </row>
    <row r="400" spans="1:8" ht="30" x14ac:dyDescent="0.25">
      <c r="A400" s="57">
        <f>CRM_MAGDY!H400</f>
        <v>5841</v>
      </c>
      <c r="B400" s="57">
        <f>CRM_MAGDY!I400</f>
        <v>0</v>
      </c>
      <c r="C400" s="57">
        <f>CRM_MAGDY!E400</f>
        <v>0</v>
      </c>
      <c r="D400" s="57">
        <f>CRM_MAGDY!V400</f>
        <v>0</v>
      </c>
      <c r="E400" s="57" t="str">
        <f>IF(CRM_MAGDY!G400="","BRAK TELEFONU",IF(CRM_MAGDY!K400="","BRAK KWOTY",IF(CRM_MAGDY!N400="","BRAK STATUSU",IF(CRM_MAGDY!C400="","BRAK DATY AKCJI",""))))</f>
        <v>BRAK TELEFONU</v>
      </c>
      <c r="F400" s="57" t="str">
        <f>CRM_MAGDY!W400</f>
        <v>BRAKI CRM</v>
      </c>
      <c r="G400" s="57">
        <f>CRM_MAGDY!K400</f>
        <v>0</v>
      </c>
      <c r="H400" s="57">
        <f>CRM_MAGDY!N400</f>
        <v>0</v>
      </c>
    </row>
    <row r="401" spans="1:8" ht="30" x14ac:dyDescent="0.25">
      <c r="A401" s="57">
        <f>CRM_MAGDY!H401</f>
        <v>5842</v>
      </c>
      <c r="B401" s="57">
        <f>CRM_MAGDY!I401</f>
        <v>0</v>
      </c>
      <c r="C401" s="57">
        <f>CRM_MAGDY!E401</f>
        <v>0</v>
      </c>
      <c r="D401" s="57">
        <f>CRM_MAGDY!V401</f>
        <v>0</v>
      </c>
      <c r="E401" s="57" t="str">
        <f>IF(CRM_MAGDY!G401="","BRAK TELEFONU",IF(CRM_MAGDY!K401="","BRAK KWOTY",IF(CRM_MAGDY!N401="","BRAK STATUSU",IF(CRM_MAGDY!C401="","BRAK DATY AKCJI",""))))</f>
        <v>BRAK TELEFONU</v>
      </c>
      <c r="F401" s="57" t="str">
        <f>CRM_MAGDY!W401</f>
        <v>BRAKI CRM</v>
      </c>
      <c r="G401" s="57">
        <f>CRM_MAGDY!K401</f>
        <v>0</v>
      </c>
      <c r="H401" s="57">
        <f>CRM_MAGDY!N401</f>
        <v>0</v>
      </c>
    </row>
    <row r="402" spans="1:8" ht="30" x14ac:dyDescent="0.25">
      <c r="A402" s="57">
        <f>CRM_MAGDY!H402</f>
        <v>5843</v>
      </c>
      <c r="B402" s="57">
        <f>CRM_MAGDY!I402</f>
        <v>0</v>
      </c>
      <c r="C402" s="57">
        <f>CRM_MAGDY!E402</f>
        <v>0</v>
      </c>
      <c r="D402" s="57">
        <f>CRM_MAGDY!V402</f>
        <v>0</v>
      </c>
      <c r="E402" s="57" t="str">
        <f>IF(CRM_MAGDY!G402="","BRAK TELEFONU",IF(CRM_MAGDY!K402="","BRAK KWOTY",IF(CRM_MAGDY!N402="","BRAK STATUSU",IF(CRM_MAGDY!C402="","BRAK DATY AKCJI",""))))</f>
        <v>BRAK TELEFONU</v>
      </c>
      <c r="F402" s="57" t="str">
        <f>CRM_MAGDY!W402</f>
        <v>BRAKI CRM</v>
      </c>
      <c r="G402" s="57">
        <f>CRM_MAGDY!K402</f>
        <v>0</v>
      </c>
      <c r="H402" s="57">
        <f>CRM_MAGDY!N402</f>
        <v>0</v>
      </c>
    </row>
    <row r="403" spans="1:8" ht="30" x14ac:dyDescent="0.25">
      <c r="A403" s="57">
        <f>CRM_MAGDY!H403</f>
        <v>5844</v>
      </c>
      <c r="B403" s="57">
        <f>CRM_MAGDY!I403</f>
        <v>0</v>
      </c>
      <c r="C403" s="57">
        <f>CRM_MAGDY!E403</f>
        <v>0</v>
      </c>
      <c r="D403" s="57">
        <f>CRM_MAGDY!V403</f>
        <v>0</v>
      </c>
      <c r="E403" s="57" t="str">
        <f>IF(CRM_MAGDY!G403="","BRAK TELEFONU",IF(CRM_MAGDY!K403="","BRAK KWOTY",IF(CRM_MAGDY!N403="","BRAK STATUSU",IF(CRM_MAGDY!C403="","BRAK DATY AKCJI",""))))</f>
        <v>BRAK TELEFONU</v>
      </c>
      <c r="F403" s="57" t="str">
        <f>CRM_MAGDY!W403</f>
        <v>BRAKI CRM</v>
      </c>
      <c r="G403" s="57">
        <f>CRM_MAGDY!K403</f>
        <v>0</v>
      </c>
      <c r="H403" s="57">
        <f>CRM_MAGDY!N403</f>
        <v>0</v>
      </c>
    </row>
    <row r="404" spans="1:8" ht="30" x14ac:dyDescent="0.25">
      <c r="A404" s="57">
        <f>CRM_MAGDY!H404</f>
        <v>5845</v>
      </c>
      <c r="B404" s="57">
        <f>CRM_MAGDY!I404</f>
        <v>0</v>
      </c>
      <c r="C404" s="57">
        <f>CRM_MAGDY!E404</f>
        <v>0</v>
      </c>
      <c r="D404" s="57">
        <f>CRM_MAGDY!V404</f>
        <v>0</v>
      </c>
      <c r="E404" s="57" t="str">
        <f>IF(CRM_MAGDY!G404="","BRAK TELEFONU",IF(CRM_MAGDY!K404="","BRAK KWOTY",IF(CRM_MAGDY!N404="","BRAK STATUSU",IF(CRM_MAGDY!C404="","BRAK DATY AKCJI",""))))</f>
        <v>BRAK TELEFONU</v>
      </c>
      <c r="F404" s="57" t="str">
        <f>CRM_MAGDY!W404</f>
        <v>BRAKI CRM</v>
      </c>
      <c r="G404" s="57">
        <f>CRM_MAGDY!K404</f>
        <v>0</v>
      </c>
      <c r="H404" s="57">
        <f>CRM_MAGDY!N404</f>
        <v>0</v>
      </c>
    </row>
    <row r="405" spans="1:8" ht="30" x14ac:dyDescent="0.25">
      <c r="A405" s="57">
        <f>CRM_MAGDY!H405</f>
        <v>5846</v>
      </c>
      <c r="B405" s="57">
        <f>CRM_MAGDY!I405</f>
        <v>0</v>
      </c>
      <c r="C405" s="57">
        <f>CRM_MAGDY!E405</f>
        <v>0</v>
      </c>
      <c r="D405" s="57">
        <f>CRM_MAGDY!V405</f>
        <v>0</v>
      </c>
      <c r="E405" s="57" t="str">
        <f>IF(CRM_MAGDY!G405="","BRAK TELEFONU",IF(CRM_MAGDY!K405="","BRAK KWOTY",IF(CRM_MAGDY!N405="","BRAK STATUSU",IF(CRM_MAGDY!C405="","BRAK DATY AKCJI",""))))</f>
        <v>BRAK TELEFONU</v>
      </c>
      <c r="F405" s="57" t="str">
        <f>CRM_MAGDY!W405</f>
        <v>BRAKI CRM</v>
      </c>
      <c r="G405" s="57">
        <f>CRM_MAGDY!K405</f>
        <v>0</v>
      </c>
      <c r="H405" s="57">
        <f>CRM_MAGDY!N405</f>
        <v>0</v>
      </c>
    </row>
    <row r="406" spans="1:8" ht="30" x14ac:dyDescent="0.25">
      <c r="A406" s="57">
        <f>CRM_MAGDY!H406</f>
        <v>5847</v>
      </c>
      <c r="B406" s="57">
        <f>CRM_MAGDY!I406</f>
        <v>0</v>
      </c>
      <c r="C406" s="57">
        <f>CRM_MAGDY!E406</f>
        <v>0</v>
      </c>
      <c r="D406" s="57">
        <f>CRM_MAGDY!V406</f>
        <v>0</v>
      </c>
      <c r="E406" s="57" t="str">
        <f>IF(CRM_MAGDY!G406="","BRAK TELEFONU",IF(CRM_MAGDY!K406="","BRAK KWOTY",IF(CRM_MAGDY!N406="","BRAK STATUSU",IF(CRM_MAGDY!C406="","BRAK DATY AKCJI",""))))</f>
        <v>BRAK TELEFONU</v>
      </c>
      <c r="F406" s="57" t="str">
        <f>CRM_MAGDY!W406</f>
        <v>BRAKI CRM</v>
      </c>
      <c r="G406" s="57">
        <f>CRM_MAGDY!K406</f>
        <v>0</v>
      </c>
      <c r="H406" s="57">
        <f>CRM_MAGDY!N406</f>
        <v>0</v>
      </c>
    </row>
    <row r="407" spans="1:8" ht="30" x14ac:dyDescent="0.25">
      <c r="A407" s="57">
        <f>CRM_MAGDY!H407</f>
        <v>5848</v>
      </c>
      <c r="B407" s="57">
        <f>CRM_MAGDY!I407</f>
        <v>0</v>
      </c>
      <c r="C407" s="57">
        <f>CRM_MAGDY!E407</f>
        <v>0</v>
      </c>
      <c r="D407" s="57">
        <f>CRM_MAGDY!V407</f>
        <v>0</v>
      </c>
      <c r="E407" s="57" t="str">
        <f>IF(CRM_MAGDY!G407="","BRAK TELEFONU",IF(CRM_MAGDY!K407="","BRAK KWOTY",IF(CRM_MAGDY!N407="","BRAK STATUSU",IF(CRM_MAGDY!C407="","BRAK DATY AKCJI",""))))</f>
        <v>BRAK TELEFONU</v>
      </c>
      <c r="F407" s="57" t="str">
        <f>CRM_MAGDY!W407</f>
        <v>BRAKI CRM</v>
      </c>
      <c r="G407" s="57">
        <f>CRM_MAGDY!K407</f>
        <v>0</v>
      </c>
      <c r="H407" s="57">
        <f>CRM_MAGDY!N407</f>
        <v>0</v>
      </c>
    </row>
    <row r="408" spans="1:8" ht="30" x14ac:dyDescent="0.25">
      <c r="A408" s="57">
        <f>CRM_MAGDY!H408</f>
        <v>5849</v>
      </c>
      <c r="B408" s="57">
        <f>CRM_MAGDY!I408</f>
        <v>0</v>
      </c>
      <c r="C408" s="57">
        <f>CRM_MAGDY!E408</f>
        <v>0</v>
      </c>
      <c r="D408" s="57">
        <f>CRM_MAGDY!V408</f>
        <v>0</v>
      </c>
      <c r="E408" s="57" t="str">
        <f>IF(CRM_MAGDY!G408="","BRAK TELEFONU",IF(CRM_MAGDY!K408="","BRAK KWOTY",IF(CRM_MAGDY!N408="","BRAK STATUSU",IF(CRM_MAGDY!C408="","BRAK DATY AKCJI",""))))</f>
        <v>BRAK TELEFONU</v>
      </c>
      <c r="F408" s="57" t="str">
        <f>CRM_MAGDY!W408</f>
        <v>BRAKI CRM</v>
      </c>
      <c r="G408" s="57">
        <f>CRM_MAGDY!K408</f>
        <v>0</v>
      </c>
      <c r="H408" s="57">
        <f>CRM_MAGDY!N408</f>
        <v>0</v>
      </c>
    </row>
    <row r="409" spans="1:8" ht="30" x14ac:dyDescent="0.25">
      <c r="A409" s="57">
        <f>CRM_MAGDY!H409</f>
        <v>5850</v>
      </c>
      <c r="B409" s="57">
        <f>CRM_MAGDY!I409</f>
        <v>0</v>
      </c>
      <c r="C409" s="57">
        <f>CRM_MAGDY!E409</f>
        <v>0</v>
      </c>
      <c r="D409" s="57">
        <f>CRM_MAGDY!V409</f>
        <v>0</v>
      </c>
      <c r="E409" s="57" t="str">
        <f>IF(CRM_MAGDY!G409="","BRAK TELEFONU",IF(CRM_MAGDY!K409="","BRAK KWOTY",IF(CRM_MAGDY!N409="","BRAK STATUSU",IF(CRM_MAGDY!C409="","BRAK DATY AKCJI",""))))</f>
        <v>BRAK TELEFONU</v>
      </c>
      <c r="F409" s="57" t="str">
        <f>CRM_MAGDY!W409</f>
        <v>BRAKI CRM</v>
      </c>
      <c r="G409" s="57">
        <f>CRM_MAGDY!K409</f>
        <v>0</v>
      </c>
      <c r="H409" s="57">
        <f>CRM_MAGDY!N409</f>
        <v>0</v>
      </c>
    </row>
    <row r="410" spans="1:8" ht="30" x14ac:dyDescent="0.25">
      <c r="A410" s="57">
        <f>CRM_MAGDY!H410</f>
        <v>5851</v>
      </c>
      <c r="B410" s="57">
        <f>CRM_MAGDY!I410</f>
        <v>0</v>
      </c>
      <c r="C410" s="57">
        <f>CRM_MAGDY!E410</f>
        <v>0</v>
      </c>
      <c r="D410" s="57">
        <f>CRM_MAGDY!V410</f>
        <v>0</v>
      </c>
      <c r="E410" s="57" t="str">
        <f>IF(CRM_MAGDY!G410="","BRAK TELEFONU",IF(CRM_MAGDY!K410="","BRAK KWOTY",IF(CRM_MAGDY!N410="","BRAK STATUSU",IF(CRM_MAGDY!C410="","BRAK DATY AKCJI",""))))</f>
        <v>BRAK TELEFONU</v>
      </c>
      <c r="F410" s="57" t="str">
        <f>CRM_MAGDY!W410</f>
        <v>BRAKI CRM</v>
      </c>
      <c r="G410" s="57">
        <f>CRM_MAGDY!K410</f>
        <v>0</v>
      </c>
      <c r="H410" s="57">
        <f>CRM_MAGDY!N410</f>
        <v>0</v>
      </c>
    </row>
    <row r="411" spans="1:8" ht="30" x14ac:dyDescent="0.25">
      <c r="A411" s="57">
        <f>CRM_MAGDY!H411</f>
        <v>5852</v>
      </c>
      <c r="B411" s="57">
        <f>CRM_MAGDY!I411</f>
        <v>0</v>
      </c>
      <c r="C411" s="57">
        <f>CRM_MAGDY!E411</f>
        <v>0</v>
      </c>
      <c r="D411" s="57">
        <f>CRM_MAGDY!V411</f>
        <v>0</v>
      </c>
      <c r="E411" s="57" t="str">
        <f>IF(CRM_MAGDY!G411="","BRAK TELEFONU",IF(CRM_MAGDY!K411="","BRAK KWOTY",IF(CRM_MAGDY!N411="","BRAK STATUSU",IF(CRM_MAGDY!C411="","BRAK DATY AKCJI",""))))</f>
        <v>BRAK TELEFONU</v>
      </c>
      <c r="F411" s="57" t="str">
        <f>CRM_MAGDY!W411</f>
        <v>BRAKI CRM</v>
      </c>
      <c r="G411" s="57">
        <f>CRM_MAGDY!K411</f>
        <v>0</v>
      </c>
      <c r="H411" s="57">
        <f>CRM_MAGDY!N411</f>
        <v>0</v>
      </c>
    </row>
    <row r="412" spans="1:8" ht="30" x14ac:dyDescent="0.25">
      <c r="A412" s="57">
        <f>CRM_MAGDY!H412</f>
        <v>5853</v>
      </c>
      <c r="B412" s="57">
        <f>CRM_MAGDY!I412</f>
        <v>0</v>
      </c>
      <c r="C412" s="57">
        <f>CRM_MAGDY!E412</f>
        <v>0</v>
      </c>
      <c r="D412" s="57">
        <f>CRM_MAGDY!V412</f>
        <v>0</v>
      </c>
      <c r="E412" s="57" t="str">
        <f>IF(CRM_MAGDY!G412="","BRAK TELEFONU",IF(CRM_MAGDY!K412="","BRAK KWOTY",IF(CRM_MAGDY!N412="","BRAK STATUSU",IF(CRM_MAGDY!C412="","BRAK DATY AKCJI",""))))</f>
        <v>BRAK TELEFONU</v>
      </c>
      <c r="F412" s="57" t="str">
        <f>CRM_MAGDY!W412</f>
        <v>BRAKI CRM</v>
      </c>
      <c r="G412" s="57">
        <f>CRM_MAGDY!K412</f>
        <v>0</v>
      </c>
      <c r="H412" s="57">
        <f>CRM_MAGDY!N412</f>
        <v>0</v>
      </c>
    </row>
    <row r="413" spans="1:8" ht="30" x14ac:dyDescent="0.25">
      <c r="A413" s="57">
        <f>CRM_MAGDY!H413</f>
        <v>5854</v>
      </c>
      <c r="B413" s="57">
        <f>CRM_MAGDY!I413</f>
        <v>0</v>
      </c>
      <c r="C413" s="57">
        <f>CRM_MAGDY!E413</f>
        <v>0</v>
      </c>
      <c r="D413" s="57">
        <f>CRM_MAGDY!V413</f>
        <v>0</v>
      </c>
      <c r="E413" s="57" t="str">
        <f>IF(CRM_MAGDY!G413="","BRAK TELEFONU",IF(CRM_MAGDY!K413="","BRAK KWOTY",IF(CRM_MAGDY!N413="","BRAK STATUSU",IF(CRM_MAGDY!C413="","BRAK DATY AKCJI",""))))</f>
        <v>BRAK TELEFONU</v>
      </c>
      <c r="F413" s="57" t="str">
        <f>CRM_MAGDY!W413</f>
        <v>BRAKI CRM</v>
      </c>
      <c r="G413" s="57">
        <f>CRM_MAGDY!K413</f>
        <v>0</v>
      </c>
      <c r="H413" s="57">
        <f>CRM_MAGDY!N413</f>
        <v>0</v>
      </c>
    </row>
    <row r="414" spans="1:8" ht="30" x14ac:dyDescent="0.25">
      <c r="A414" s="57">
        <f>CRM_MAGDY!H414</f>
        <v>5855</v>
      </c>
      <c r="B414" s="57">
        <f>CRM_MAGDY!I414</f>
        <v>0</v>
      </c>
      <c r="C414" s="57">
        <f>CRM_MAGDY!E414</f>
        <v>0</v>
      </c>
      <c r="D414" s="57">
        <f>CRM_MAGDY!V414</f>
        <v>0</v>
      </c>
      <c r="E414" s="57" t="str">
        <f>IF(CRM_MAGDY!G414="","BRAK TELEFONU",IF(CRM_MAGDY!K414="","BRAK KWOTY",IF(CRM_MAGDY!N414="","BRAK STATUSU",IF(CRM_MAGDY!C414="","BRAK DATY AKCJI",""))))</f>
        <v>BRAK TELEFONU</v>
      </c>
      <c r="F414" s="57" t="str">
        <f>CRM_MAGDY!W414</f>
        <v>BRAKI CRM</v>
      </c>
      <c r="G414" s="57">
        <f>CRM_MAGDY!K414</f>
        <v>0</v>
      </c>
      <c r="H414" s="57">
        <f>CRM_MAGDY!N414</f>
        <v>0</v>
      </c>
    </row>
    <row r="415" spans="1:8" ht="30" x14ac:dyDescent="0.25">
      <c r="A415" s="57">
        <f>CRM_MAGDY!H415</f>
        <v>5856</v>
      </c>
      <c r="B415" s="57">
        <f>CRM_MAGDY!I415</f>
        <v>0</v>
      </c>
      <c r="C415" s="57">
        <f>CRM_MAGDY!E415</f>
        <v>0</v>
      </c>
      <c r="D415" s="57">
        <f>CRM_MAGDY!V415</f>
        <v>0</v>
      </c>
      <c r="E415" s="57" t="str">
        <f>IF(CRM_MAGDY!G415="","BRAK TELEFONU",IF(CRM_MAGDY!K415="","BRAK KWOTY",IF(CRM_MAGDY!N415="","BRAK STATUSU",IF(CRM_MAGDY!C415="","BRAK DATY AKCJI",""))))</f>
        <v>BRAK TELEFONU</v>
      </c>
      <c r="F415" s="57" t="str">
        <f>CRM_MAGDY!W415</f>
        <v>BRAKI CRM</v>
      </c>
      <c r="G415" s="57">
        <f>CRM_MAGDY!K415</f>
        <v>0</v>
      </c>
      <c r="H415" s="57">
        <f>CRM_MAGDY!N415</f>
        <v>0</v>
      </c>
    </row>
    <row r="416" spans="1:8" ht="30" x14ac:dyDescent="0.25">
      <c r="A416" s="57">
        <f>CRM_MAGDY!H416</f>
        <v>5857</v>
      </c>
      <c r="B416" s="57">
        <f>CRM_MAGDY!I416</f>
        <v>0</v>
      </c>
      <c r="C416" s="57">
        <f>CRM_MAGDY!E416</f>
        <v>0</v>
      </c>
      <c r="D416" s="57">
        <f>CRM_MAGDY!V416</f>
        <v>0</v>
      </c>
      <c r="E416" s="57" t="str">
        <f>IF(CRM_MAGDY!G416="","BRAK TELEFONU",IF(CRM_MAGDY!K416="","BRAK KWOTY",IF(CRM_MAGDY!N416="","BRAK STATUSU",IF(CRM_MAGDY!C416="","BRAK DATY AKCJI",""))))</f>
        <v>BRAK TELEFONU</v>
      </c>
      <c r="F416" s="57" t="str">
        <f>CRM_MAGDY!W416</f>
        <v>BRAKI CRM</v>
      </c>
      <c r="G416" s="57">
        <f>CRM_MAGDY!K416</f>
        <v>0</v>
      </c>
      <c r="H416" s="57">
        <f>CRM_MAGDY!N416</f>
        <v>0</v>
      </c>
    </row>
    <row r="417" spans="1:8" ht="30" x14ac:dyDescent="0.25">
      <c r="A417" s="57">
        <f>CRM_MAGDY!H417</f>
        <v>5858</v>
      </c>
      <c r="B417" s="57">
        <f>CRM_MAGDY!I417</f>
        <v>0</v>
      </c>
      <c r="C417" s="57">
        <f>CRM_MAGDY!E417</f>
        <v>0</v>
      </c>
      <c r="D417" s="57">
        <f>CRM_MAGDY!V417</f>
        <v>0</v>
      </c>
      <c r="E417" s="57" t="str">
        <f>IF(CRM_MAGDY!G417="","BRAK TELEFONU",IF(CRM_MAGDY!K417="","BRAK KWOTY",IF(CRM_MAGDY!N417="","BRAK STATUSU",IF(CRM_MAGDY!C417="","BRAK DATY AKCJI",""))))</f>
        <v>BRAK TELEFONU</v>
      </c>
      <c r="F417" s="57" t="str">
        <f>CRM_MAGDY!W417</f>
        <v>BRAKI CRM</v>
      </c>
      <c r="G417" s="57">
        <f>CRM_MAGDY!K417</f>
        <v>0</v>
      </c>
      <c r="H417" s="57">
        <f>CRM_MAGDY!N417</f>
        <v>0</v>
      </c>
    </row>
    <row r="418" spans="1:8" ht="30" x14ac:dyDescent="0.25">
      <c r="A418" s="57">
        <f>CRM_MAGDY!H418</f>
        <v>5859</v>
      </c>
      <c r="B418" s="57">
        <f>CRM_MAGDY!I418</f>
        <v>0</v>
      </c>
      <c r="C418" s="57">
        <f>CRM_MAGDY!E418</f>
        <v>0</v>
      </c>
      <c r="D418" s="57">
        <f>CRM_MAGDY!V418</f>
        <v>0</v>
      </c>
      <c r="E418" s="57" t="str">
        <f>IF(CRM_MAGDY!G418="","BRAK TELEFONU",IF(CRM_MAGDY!K418="","BRAK KWOTY",IF(CRM_MAGDY!N418="","BRAK STATUSU",IF(CRM_MAGDY!C418="","BRAK DATY AKCJI",""))))</f>
        <v>BRAK TELEFONU</v>
      </c>
      <c r="F418" s="57" t="str">
        <f>CRM_MAGDY!W418</f>
        <v>BRAKI CRM</v>
      </c>
      <c r="G418" s="57">
        <f>CRM_MAGDY!K418</f>
        <v>0</v>
      </c>
      <c r="H418" s="57">
        <f>CRM_MAGDY!N418</f>
        <v>0</v>
      </c>
    </row>
    <row r="419" spans="1:8" ht="30" x14ac:dyDescent="0.25">
      <c r="A419" s="57">
        <f>CRM_MAGDY!H419</f>
        <v>5860</v>
      </c>
      <c r="B419" s="57">
        <f>CRM_MAGDY!I419</f>
        <v>0</v>
      </c>
      <c r="C419" s="57">
        <f>CRM_MAGDY!E419</f>
        <v>0</v>
      </c>
      <c r="D419" s="57">
        <f>CRM_MAGDY!V419</f>
        <v>0</v>
      </c>
      <c r="E419" s="57" t="str">
        <f>IF(CRM_MAGDY!G419="","BRAK TELEFONU",IF(CRM_MAGDY!K419="","BRAK KWOTY",IF(CRM_MAGDY!N419="","BRAK STATUSU",IF(CRM_MAGDY!C419="","BRAK DATY AKCJI",""))))</f>
        <v>BRAK TELEFONU</v>
      </c>
      <c r="F419" s="57" t="str">
        <f>CRM_MAGDY!W419</f>
        <v>BRAKI CRM</v>
      </c>
      <c r="G419" s="57">
        <f>CRM_MAGDY!K419</f>
        <v>0</v>
      </c>
      <c r="H419" s="57">
        <f>CRM_MAGDY!N419</f>
        <v>0</v>
      </c>
    </row>
    <row r="420" spans="1:8" ht="30" x14ac:dyDescent="0.25">
      <c r="A420" s="57">
        <f>CRM_MAGDY!H420</f>
        <v>5861</v>
      </c>
      <c r="B420" s="57">
        <f>CRM_MAGDY!I420</f>
        <v>0</v>
      </c>
      <c r="C420" s="57">
        <f>CRM_MAGDY!E420</f>
        <v>0</v>
      </c>
      <c r="D420" s="57">
        <f>CRM_MAGDY!V420</f>
        <v>0</v>
      </c>
      <c r="E420" s="57" t="str">
        <f>IF(CRM_MAGDY!G420="","BRAK TELEFONU",IF(CRM_MAGDY!K420="","BRAK KWOTY",IF(CRM_MAGDY!N420="","BRAK STATUSU",IF(CRM_MAGDY!C420="","BRAK DATY AKCJI",""))))</f>
        <v>BRAK TELEFONU</v>
      </c>
      <c r="F420" s="57" t="str">
        <f>CRM_MAGDY!W420</f>
        <v>BRAKI CRM</v>
      </c>
      <c r="G420" s="57">
        <f>CRM_MAGDY!K420</f>
        <v>0</v>
      </c>
      <c r="H420" s="57">
        <f>CRM_MAGDY!N420</f>
        <v>0</v>
      </c>
    </row>
    <row r="421" spans="1:8" ht="30" x14ac:dyDescent="0.25">
      <c r="A421" s="57">
        <f>CRM_MAGDY!H421</f>
        <v>5862</v>
      </c>
      <c r="B421" s="57">
        <f>CRM_MAGDY!I421</f>
        <v>0</v>
      </c>
      <c r="C421" s="57">
        <f>CRM_MAGDY!E421</f>
        <v>0</v>
      </c>
      <c r="D421" s="57">
        <f>CRM_MAGDY!V421</f>
        <v>0</v>
      </c>
      <c r="E421" s="57" t="str">
        <f>IF(CRM_MAGDY!G421="","BRAK TELEFONU",IF(CRM_MAGDY!K421="","BRAK KWOTY",IF(CRM_MAGDY!N421="","BRAK STATUSU",IF(CRM_MAGDY!C421="","BRAK DATY AKCJI",""))))</f>
        <v>BRAK TELEFONU</v>
      </c>
      <c r="F421" s="57" t="str">
        <f>CRM_MAGDY!W421</f>
        <v>BRAKI CRM</v>
      </c>
      <c r="G421" s="57">
        <f>CRM_MAGDY!K421</f>
        <v>0</v>
      </c>
      <c r="H421" s="57">
        <f>CRM_MAGDY!N421</f>
        <v>0</v>
      </c>
    </row>
    <row r="422" spans="1:8" ht="30" x14ac:dyDescent="0.25">
      <c r="A422" s="57">
        <f>CRM_MAGDY!H422</f>
        <v>5863</v>
      </c>
      <c r="B422" s="57">
        <f>CRM_MAGDY!I422</f>
        <v>0</v>
      </c>
      <c r="C422" s="57">
        <f>CRM_MAGDY!E422</f>
        <v>0</v>
      </c>
      <c r="D422" s="57">
        <f>CRM_MAGDY!V422</f>
        <v>0</v>
      </c>
      <c r="E422" s="57" t="str">
        <f>IF(CRM_MAGDY!G422="","BRAK TELEFONU",IF(CRM_MAGDY!K422="","BRAK KWOTY",IF(CRM_MAGDY!N422="","BRAK STATUSU",IF(CRM_MAGDY!C422="","BRAK DATY AKCJI",""))))</f>
        <v>BRAK TELEFONU</v>
      </c>
      <c r="F422" s="57" t="str">
        <f>CRM_MAGDY!W422</f>
        <v>BRAKI CRM</v>
      </c>
      <c r="G422" s="57">
        <f>CRM_MAGDY!K422</f>
        <v>0</v>
      </c>
      <c r="H422" s="57">
        <f>CRM_MAGDY!N422</f>
        <v>0</v>
      </c>
    </row>
    <row r="423" spans="1:8" ht="30" x14ac:dyDescent="0.25">
      <c r="A423" s="57">
        <f>CRM_MAGDY!H423</f>
        <v>5864</v>
      </c>
      <c r="B423" s="57">
        <f>CRM_MAGDY!I423</f>
        <v>0</v>
      </c>
      <c r="C423" s="57">
        <f>CRM_MAGDY!E423</f>
        <v>0</v>
      </c>
      <c r="D423" s="57">
        <f>CRM_MAGDY!V423</f>
        <v>0</v>
      </c>
      <c r="E423" s="57" t="str">
        <f>IF(CRM_MAGDY!G423="","BRAK TELEFONU",IF(CRM_MAGDY!K423="","BRAK KWOTY",IF(CRM_MAGDY!N423="","BRAK STATUSU",IF(CRM_MAGDY!C423="","BRAK DATY AKCJI",""))))</f>
        <v>BRAK TELEFONU</v>
      </c>
      <c r="F423" s="57" t="str">
        <f>CRM_MAGDY!W423</f>
        <v>BRAKI CRM</v>
      </c>
      <c r="G423" s="57">
        <f>CRM_MAGDY!K423</f>
        <v>0</v>
      </c>
      <c r="H423" s="57">
        <f>CRM_MAGDY!N423</f>
        <v>0</v>
      </c>
    </row>
    <row r="424" spans="1:8" ht="30" x14ac:dyDescent="0.25">
      <c r="A424" s="57">
        <f>CRM_MAGDY!H424</f>
        <v>5865</v>
      </c>
      <c r="B424" s="57">
        <f>CRM_MAGDY!I424</f>
        <v>0</v>
      </c>
      <c r="C424" s="57">
        <f>CRM_MAGDY!E424</f>
        <v>0</v>
      </c>
      <c r="D424" s="57">
        <f>CRM_MAGDY!V424</f>
        <v>0</v>
      </c>
      <c r="E424" s="57" t="str">
        <f>IF(CRM_MAGDY!G424="","BRAK TELEFONU",IF(CRM_MAGDY!K424="","BRAK KWOTY",IF(CRM_MAGDY!N424="","BRAK STATUSU",IF(CRM_MAGDY!C424="","BRAK DATY AKCJI",""))))</f>
        <v>BRAK TELEFONU</v>
      </c>
      <c r="F424" s="57" t="str">
        <f>CRM_MAGDY!W424</f>
        <v>BRAKI CRM</v>
      </c>
      <c r="G424" s="57">
        <f>CRM_MAGDY!K424</f>
        <v>0</v>
      </c>
      <c r="H424" s="57">
        <f>CRM_MAGDY!N424</f>
        <v>0</v>
      </c>
    </row>
    <row r="425" spans="1:8" ht="30" x14ac:dyDescent="0.25">
      <c r="A425" s="57">
        <f>CRM_MAGDY!H425</f>
        <v>5866</v>
      </c>
      <c r="B425" s="57">
        <f>CRM_MAGDY!I425</f>
        <v>0</v>
      </c>
      <c r="C425" s="57">
        <f>CRM_MAGDY!E425</f>
        <v>0</v>
      </c>
      <c r="D425" s="57">
        <f>CRM_MAGDY!V425</f>
        <v>0</v>
      </c>
      <c r="E425" s="57" t="str">
        <f>IF(CRM_MAGDY!G425="","BRAK TELEFONU",IF(CRM_MAGDY!K425="","BRAK KWOTY",IF(CRM_MAGDY!N425="","BRAK STATUSU",IF(CRM_MAGDY!C425="","BRAK DATY AKCJI",""))))</f>
        <v>BRAK TELEFONU</v>
      </c>
      <c r="F425" s="57" t="str">
        <f>CRM_MAGDY!W425</f>
        <v>BRAKI CRM</v>
      </c>
      <c r="G425" s="57">
        <f>CRM_MAGDY!K425</f>
        <v>0</v>
      </c>
      <c r="H425" s="57">
        <f>CRM_MAGDY!N425</f>
        <v>0</v>
      </c>
    </row>
    <row r="426" spans="1:8" ht="30" x14ac:dyDescent="0.25">
      <c r="A426" s="57">
        <f>CRM_MAGDY!H426</f>
        <v>5867</v>
      </c>
      <c r="B426" s="57">
        <f>CRM_MAGDY!I426</f>
        <v>0</v>
      </c>
      <c r="C426" s="57">
        <f>CRM_MAGDY!E426</f>
        <v>0</v>
      </c>
      <c r="D426" s="57">
        <f>CRM_MAGDY!V426</f>
        <v>0</v>
      </c>
      <c r="E426" s="57" t="str">
        <f>IF(CRM_MAGDY!G426="","BRAK TELEFONU",IF(CRM_MAGDY!K426="","BRAK KWOTY",IF(CRM_MAGDY!N426="","BRAK STATUSU",IF(CRM_MAGDY!C426="","BRAK DATY AKCJI",""))))</f>
        <v>BRAK TELEFONU</v>
      </c>
      <c r="F426" s="57" t="str">
        <f>CRM_MAGDY!W426</f>
        <v>BRAKI CRM</v>
      </c>
      <c r="G426" s="57">
        <f>CRM_MAGDY!K426</f>
        <v>0</v>
      </c>
      <c r="H426" s="57">
        <f>CRM_MAGDY!N426</f>
        <v>0</v>
      </c>
    </row>
    <row r="427" spans="1:8" ht="30" x14ac:dyDescent="0.25">
      <c r="A427" s="57">
        <f>CRM_MAGDY!H427</f>
        <v>5868</v>
      </c>
      <c r="B427" s="57">
        <f>CRM_MAGDY!I427</f>
        <v>0</v>
      </c>
      <c r="C427" s="57">
        <f>CRM_MAGDY!E427</f>
        <v>0</v>
      </c>
      <c r="D427" s="57">
        <f>CRM_MAGDY!V427</f>
        <v>0</v>
      </c>
      <c r="E427" s="57" t="str">
        <f>IF(CRM_MAGDY!G427="","BRAK TELEFONU",IF(CRM_MAGDY!K427="","BRAK KWOTY",IF(CRM_MAGDY!N427="","BRAK STATUSU",IF(CRM_MAGDY!C427="","BRAK DATY AKCJI",""))))</f>
        <v>BRAK TELEFONU</v>
      </c>
      <c r="F427" s="57" t="str">
        <f>CRM_MAGDY!W427</f>
        <v>BRAKI CRM</v>
      </c>
      <c r="G427" s="57">
        <f>CRM_MAGDY!K427</f>
        <v>0</v>
      </c>
      <c r="H427" s="57">
        <f>CRM_MAGDY!N427</f>
        <v>0</v>
      </c>
    </row>
    <row r="428" spans="1:8" ht="30" x14ac:dyDescent="0.25">
      <c r="A428" s="57">
        <f>CRM_MAGDY!H428</f>
        <v>5869</v>
      </c>
      <c r="B428" s="57">
        <f>CRM_MAGDY!I428</f>
        <v>0</v>
      </c>
      <c r="C428" s="57">
        <f>CRM_MAGDY!E428</f>
        <v>0</v>
      </c>
      <c r="D428" s="57">
        <f>CRM_MAGDY!V428</f>
        <v>0</v>
      </c>
      <c r="E428" s="57" t="str">
        <f>IF(CRM_MAGDY!G428="","BRAK TELEFONU",IF(CRM_MAGDY!K428="","BRAK KWOTY",IF(CRM_MAGDY!N428="","BRAK STATUSU",IF(CRM_MAGDY!C428="","BRAK DATY AKCJI",""))))</f>
        <v>BRAK TELEFONU</v>
      </c>
      <c r="F428" s="57" t="str">
        <f>CRM_MAGDY!W428</f>
        <v>BRAKI CRM</v>
      </c>
      <c r="G428" s="57">
        <f>CRM_MAGDY!K428</f>
        <v>0</v>
      </c>
      <c r="H428" s="57">
        <f>CRM_MAGDY!N428</f>
        <v>0</v>
      </c>
    </row>
    <row r="429" spans="1:8" ht="30" x14ac:dyDescent="0.25">
      <c r="A429" s="57">
        <f>CRM_MAGDY!H429</f>
        <v>5870</v>
      </c>
      <c r="B429" s="57">
        <f>CRM_MAGDY!I429</f>
        <v>0</v>
      </c>
      <c r="C429" s="57">
        <f>CRM_MAGDY!E429</f>
        <v>0</v>
      </c>
      <c r="D429" s="57">
        <f>CRM_MAGDY!V429</f>
        <v>0</v>
      </c>
      <c r="E429" s="57" t="str">
        <f>IF(CRM_MAGDY!G429="","BRAK TELEFONU",IF(CRM_MAGDY!K429="","BRAK KWOTY",IF(CRM_MAGDY!N429="","BRAK STATUSU",IF(CRM_MAGDY!C429="","BRAK DATY AKCJI",""))))</f>
        <v>BRAK TELEFONU</v>
      </c>
      <c r="F429" s="57" t="str">
        <f>CRM_MAGDY!W429</f>
        <v>BRAKI CRM</v>
      </c>
      <c r="G429" s="57">
        <f>CRM_MAGDY!K429</f>
        <v>0</v>
      </c>
      <c r="H429" s="57">
        <f>CRM_MAGDY!N429</f>
        <v>0</v>
      </c>
    </row>
    <row r="430" spans="1:8" ht="30" x14ac:dyDescent="0.25">
      <c r="A430" s="57">
        <f>CRM_MAGDY!H430</f>
        <v>5871</v>
      </c>
      <c r="B430" s="57">
        <f>CRM_MAGDY!I430</f>
        <v>0</v>
      </c>
      <c r="C430" s="57">
        <f>CRM_MAGDY!E430</f>
        <v>0</v>
      </c>
      <c r="D430" s="57">
        <f>CRM_MAGDY!V430</f>
        <v>0</v>
      </c>
      <c r="E430" s="57" t="str">
        <f>IF(CRM_MAGDY!G430="","BRAK TELEFONU",IF(CRM_MAGDY!K430="","BRAK KWOTY",IF(CRM_MAGDY!N430="","BRAK STATUSU",IF(CRM_MAGDY!C430="","BRAK DATY AKCJI",""))))</f>
        <v>BRAK TELEFONU</v>
      </c>
      <c r="F430" s="57" t="str">
        <f>CRM_MAGDY!W430</f>
        <v>BRAKI CRM</v>
      </c>
      <c r="G430" s="57">
        <f>CRM_MAGDY!K430</f>
        <v>0</v>
      </c>
      <c r="H430" s="57">
        <f>CRM_MAGDY!N430</f>
        <v>0</v>
      </c>
    </row>
    <row r="431" spans="1:8" ht="30" x14ac:dyDescent="0.25">
      <c r="A431" s="57">
        <f>CRM_MAGDY!H431</f>
        <v>5872</v>
      </c>
      <c r="B431" s="57">
        <f>CRM_MAGDY!I431</f>
        <v>0</v>
      </c>
      <c r="C431" s="57">
        <f>CRM_MAGDY!E431</f>
        <v>0</v>
      </c>
      <c r="D431" s="57">
        <f>CRM_MAGDY!V431</f>
        <v>0</v>
      </c>
      <c r="E431" s="57" t="str">
        <f>IF(CRM_MAGDY!G431="","BRAK TELEFONU",IF(CRM_MAGDY!K431="","BRAK KWOTY",IF(CRM_MAGDY!N431="","BRAK STATUSU",IF(CRM_MAGDY!C431="","BRAK DATY AKCJI",""))))</f>
        <v>BRAK TELEFONU</v>
      </c>
      <c r="F431" s="57" t="str">
        <f>CRM_MAGDY!W431</f>
        <v>BRAKI CRM</v>
      </c>
      <c r="G431" s="57">
        <f>CRM_MAGDY!K431</f>
        <v>0</v>
      </c>
      <c r="H431" s="57">
        <f>CRM_MAGDY!N431</f>
        <v>0</v>
      </c>
    </row>
    <row r="432" spans="1:8" ht="30" x14ac:dyDescent="0.25">
      <c r="A432" s="57">
        <f>CRM_MAGDY!H432</f>
        <v>5873</v>
      </c>
      <c r="B432" s="57">
        <f>CRM_MAGDY!I432</f>
        <v>0</v>
      </c>
      <c r="C432" s="57">
        <f>CRM_MAGDY!E432</f>
        <v>0</v>
      </c>
      <c r="D432" s="57">
        <f>CRM_MAGDY!V432</f>
        <v>0</v>
      </c>
      <c r="E432" s="57" t="str">
        <f>IF(CRM_MAGDY!G432="","BRAK TELEFONU",IF(CRM_MAGDY!K432="","BRAK KWOTY",IF(CRM_MAGDY!N432="","BRAK STATUSU",IF(CRM_MAGDY!C432="","BRAK DATY AKCJI",""))))</f>
        <v>BRAK TELEFONU</v>
      </c>
      <c r="F432" s="57" t="str">
        <f>CRM_MAGDY!W432</f>
        <v>BRAKI CRM</v>
      </c>
      <c r="G432" s="57">
        <f>CRM_MAGDY!K432</f>
        <v>0</v>
      </c>
      <c r="H432" s="57">
        <f>CRM_MAGDY!N432</f>
        <v>0</v>
      </c>
    </row>
    <row r="433" spans="1:8" ht="30" x14ac:dyDescent="0.25">
      <c r="A433" s="57">
        <f>CRM_MAGDY!H433</f>
        <v>5874</v>
      </c>
      <c r="B433" s="57">
        <f>CRM_MAGDY!I433</f>
        <v>0</v>
      </c>
      <c r="C433" s="57">
        <f>CRM_MAGDY!E433</f>
        <v>0</v>
      </c>
      <c r="D433" s="57">
        <f>CRM_MAGDY!V433</f>
        <v>0</v>
      </c>
      <c r="E433" s="57" t="str">
        <f>IF(CRM_MAGDY!G433="","BRAK TELEFONU",IF(CRM_MAGDY!K433="","BRAK KWOTY",IF(CRM_MAGDY!N433="","BRAK STATUSU",IF(CRM_MAGDY!C433="","BRAK DATY AKCJI",""))))</f>
        <v>BRAK TELEFONU</v>
      </c>
      <c r="F433" s="57" t="str">
        <f>CRM_MAGDY!W433</f>
        <v>BRAKI CRM</v>
      </c>
      <c r="G433" s="57">
        <f>CRM_MAGDY!K433</f>
        <v>0</v>
      </c>
      <c r="H433" s="57">
        <f>CRM_MAGDY!N433</f>
        <v>0</v>
      </c>
    </row>
    <row r="434" spans="1:8" ht="30" x14ac:dyDescent="0.25">
      <c r="A434" s="57">
        <f>CRM_MAGDY!H434</f>
        <v>5875</v>
      </c>
      <c r="B434" s="57">
        <f>CRM_MAGDY!I434</f>
        <v>0</v>
      </c>
      <c r="C434" s="57">
        <f>CRM_MAGDY!E434</f>
        <v>0</v>
      </c>
      <c r="D434" s="57">
        <f>CRM_MAGDY!V434</f>
        <v>0</v>
      </c>
      <c r="E434" s="57" t="str">
        <f>IF(CRM_MAGDY!G434="","BRAK TELEFONU",IF(CRM_MAGDY!K434="","BRAK KWOTY",IF(CRM_MAGDY!N434="","BRAK STATUSU",IF(CRM_MAGDY!C434="","BRAK DATY AKCJI",""))))</f>
        <v>BRAK TELEFONU</v>
      </c>
      <c r="F434" s="57" t="str">
        <f>CRM_MAGDY!W434</f>
        <v>BRAKI CRM</v>
      </c>
      <c r="G434" s="57">
        <f>CRM_MAGDY!K434</f>
        <v>0</v>
      </c>
      <c r="H434" s="57">
        <f>CRM_MAGDY!N434</f>
        <v>0</v>
      </c>
    </row>
    <row r="435" spans="1:8" ht="30" x14ac:dyDescent="0.25">
      <c r="A435" s="57">
        <f>CRM_MAGDY!H435</f>
        <v>5876</v>
      </c>
      <c r="B435" s="57">
        <f>CRM_MAGDY!I435</f>
        <v>0</v>
      </c>
      <c r="C435" s="57">
        <f>CRM_MAGDY!E435</f>
        <v>0</v>
      </c>
      <c r="D435" s="57">
        <f>CRM_MAGDY!V435</f>
        <v>0</v>
      </c>
      <c r="E435" s="57" t="str">
        <f>IF(CRM_MAGDY!G435="","BRAK TELEFONU",IF(CRM_MAGDY!K435="","BRAK KWOTY",IF(CRM_MAGDY!N435="","BRAK STATUSU",IF(CRM_MAGDY!C435="","BRAK DATY AKCJI",""))))</f>
        <v>BRAK TELEFONU</v>
      </c>
      <c r="F435" s="57" t="str">
        <f>CRM_MAGDY!W435</f>
        <v>BRAKI CRM</v>
      </c>
      <c r="G435" s="57">
        <f>CRM_MAGDY!K435</f>
        <v>0</v>
      </c>
      <c r="H435" s="57">
        <f>CRM_MAGDY!N435</f>
        <v>0</v>
      </c>
    </row>
    <row r="436" spans="1:8" ht="30" x14ac:dyDescent="0.25">
      <c r="A436" s="57">
        <f>CRM_MAGDY!H436</f>
        <v>5877</v>
      </c>
      <c r="B436" s="57">
        <f>CRM_MAGDY!I436</f>
        <v>0</v>
      </c>
      <c r="C436" s="57">
        <f>CRM_MAGDY!E436</f>
        <v>0</v>
      </c>
      <c r="D436" s="57">
        <f>CRM_MAGDY!V436</f>
        <v>0</v>
      </c>
      <c r="E436" s="57" t="str">
        <f>IF(CRM_MAGDY!G436="","BRAK TELEFONU",IF(CRM_MAGDY!K436="","BRAK KWOTY",IF(CRM_MAGDY!N436="","BRAK STATUSU",IF(CRM_MAGDY!C436="","BRAK DATY AKCJI",""))))</f>
        <v>BRAK TELEFONU</v>
      </c>
      <c r="F436" s="57" t="str">
        <f>CRM_MAGDY!W436</f>
        <v>BRAKI CRM</v>
      </c>
      <c r="G436" s="57">
        <f>CRM_MAGDY!K436</f>
        <v>0</v>
      </c>
      <c r="H436" s="57">
        <f>CRM_MAGDY!N436</f>
        <v>0</v>
      </c>
    </row>
    <row r="437" spans="1:8" ht="30" x14ac:dyDescent="0.25">
      <c r="A437" s="57">
        <f>CRM_MAGDY!H437</f>
        <v>5878</v>
      </c>
      <c r="B437" s="57">
        <f>CRM_MAGDY!I437</f>
        <v>0</v>
      </c>
      <c r="C437" s="57">
        <f>CRM_MAGDY!E437</f>
        <v>0</v>
      </c>
      <c r="D437" s="57">
        <f>CRM_MAGDY!V437</f>
        <v>0</v>
      </c>
      <c r="E437" s="57" t="str">
        <f>IF(CRM_MAGDY!G437="","BRAK TELEFONU",IF(CRM_MAGDY!K437="","BRAK KWOTY",IF(CRM_MAGDY!N437="","BRAK STATUSU",IF(CRM_MAGDY!C437="","BRAK DATY AKCJI",""))))</f>
        <v>BRAK TELEFONU</v>
      </c>
      <c r="F437" s="57" t="str">
        <f>CRM_MAGDY!W437</f>
        <v>BRAKI CRM</v>
      </c>
      <c r="G437" s="57">
        <f>CRM_MAGDY!K437</f>
        <v>0</v>
      </c>
      <c r="H437" s="57">
        <f>CRM_MAGDY!N437</f>
        <v>0</v>
      </c>
    </row>
    <row r="438" spans="1:8" ht="30" x14ac:dyDescent="0.25">
      <c r="A438" s="57">
        <f>CRM_MAGDY!H438</f>
        <v>5879</v>
      </c>
      <c r="B438" s="57">
        <f>CRM_MAGDY!I438</f>
        <v>0</v>
      </c>
      <c r="C438" s="57">
        <f>CRM_MAGDY!E438</f>
        <v>0</v>
      </c>
      <c r="D438" s="57">
        <f>CRM_MAGDY!V438</f>
        <v>0</v>
      </c>
      <c r="E438" s="57" t="str">
        <f>IF(CRM_MAGDY!G438="","BRAK TELEFONU",IF(CRM_MAGDY!K438="","BRAK KWOTY",IF(CRM_MAGDY!N438="","BRAK STATUSU",IF(CRM_MAGDY!C438="","BRAK DATY AKCJI",""))))</f>
        <v>BRAK TELEFONU</v>
      </c>
      <c r="F438" s="57" t="str">
        <f>CRM_MAGDY!W438</f>
        <v>BRAKI CRM</v>
      </c>
      <c r="G438" s="57">
        <f>CRM_MAGDY!K438</f>
        <v>0</v>
      </c>
      <c r="H438" s="57">
        <f>CRM_MAGDY!N438</f>
        <v>0</v>
      </c>
    </row>
    <row r="439" spans="1:8" ht="30" x14ac:dyDescent="0.25">
      <c r="A439" s="57">
        <f>CRM_MAGDY!H439</f>
        <v>5880</v>
      </c>
      <c r="B439" s="57">
        <f>CRM_MAGDY!I439</f>
        <v>0</v>
      </c>
      <c r="C439" s="57">
        <f>CRM_MAGDY!E439</f>
        <v>0</v>
      </c>
      <c r="D439" s="57">
        <f>CRM_MAGDY!V439</f>
        <v>0</v>
      </c>
      <c r="E439" s="57" t="str">
        <f>IF(CRM_MAGDY!G439="","BRAK TELEFONU",IF(CRM_MAGDY!K439="","BRAK KWOTY",IF(CRM_MAGDY!N439="","BRAK STATUSU",IF(CRM_MAGDY!C439="","BRAK DATY AKCJI",""))))</f>
        <v>BRAK TELEFONU</v>
      </c>
      <c r="F439" s="57" t="str">
        <f>CRM_MAGDY!W439</f>
        <v>BRAKI CRM</v>
      </c>
      <c r="G439" s="57">
        <f>CRM_MAGDY!K439</f>
        <v>0</v>
      </c>
      <c r="H439" s="57">
        <f>CRM_MAGDY!N439</f>
        <v>0</v>
      </c>
    </row>
    <row r="440" spans="1:8" ht="30" x14ac:dyDescent="0.25">
      <c r="A440" s="57">
        <f>CRM_MAGDY!H440</f>
        <v>5881</v>
      </c>
      <c r="B440" s="57">
        <f>CRM_MAGDY!I440</f>
        <v>0</v>
      </c>
      <c r="C440" s="57">
        <f>CRM_MAGDY!E440</f>
        <v>0</v>
      </c>
      <c r="D440" s="57">
        <f>CRM_MAGDY!V440</f>
        <v>0</v>
      </c>
      <c r="E440" s="57" t="str">
        <f>IF(CRM_MAGDY!G440="","BRAK TELEFONU",IF(CRM_MAGDY!K440="","BRAK KWOTY",IF(CRM_MAGDY!N440="","BRAK STATUSU",IF(CRM_MAGDY!C440="","BRAK DATY AKCJI",""))))</f>
        <v>BRAK TELEFONU</v>
      </c>
      <c r="F440" s="57" t="str">
        <f>CRM_MAGDY!W440</f>
        <v>BRAKI CRM</v>
      </c>
      <c r="G440" s="57">
        <f>CRM_MAGDY!K440</f>
        <v>0</v>
      </c>
      <c r="H440" s="57">
        <f>CRM_MAGDY!N440</f>
        <v>0</v>
      </c>
    </row>
    <row r="441" spans="1:8" ht="30" x14ac:dyDescent="0.25">
      <c r="A441" s="57">
        <f>CRM_MAGDY!H441</f>
        <v>5882</v>
      </c>
      <c r="B441" s="57">
        <f>CRM_MAGDY!I441</f>
        <v>0</v>
      </c>
      <c r="C441" s="57">
        <f>CRM_MAGDY!E441</f>
        <v>0</v>
      </c>
      <c r="D441" s="57">
        <f>CRM_MAGDY!V441</f>
        <v>0</v>
      </c>
      <c r="E441" s="57" t="str">
        <f>IF(CRM_MAGDY!G441="","BRAK TELEFONU",IF(CRM_MAGDY!K441="","BRAK KWOTY",IF(CRM_MAGDY!N441="","BRAK STATUSU",IF(CRM_MAGDY!C441="","BRAK DATY AKCJI",""))))</f>
        <v>BRAK TELEFONU</v>
      </c>
      <c r="F441" s="57" t="str">
        <f>CRM_MAGDY!W441</f>
        <v>BRAKI CRM</v>
      </c>
      <c r="G441" s="57">
        <f>CRM_MAGDY!K441</f>
        <v>0</v>
      </c>
      <c r="H441" s="57">
        <f>CRM_MAGDY!N441</f>
        <v>0</v>
      </c>
    </row>
    <row r="442" spans="1:8" ht="30" x14ac:dyDescent="0.25">
      <c r="A442" s="57">
        <f>CRM_MAGDY!H442</f>
        <v>5883</v>
      </c>
      <c r="B442" s="57">
        <f>CRM_MAGDY!I442</f>
        <v>0</v>
      </c>
      <c r="C442" s="57">
        <f>CRM_MAGDY!E442</f>
        <v>0</v>
      </c>
      <c r="D442" s="57">
        <f>CRM_MAGDY!V442</f>
        <v>0</v>
      </c>
      <c r="E442" s="57" t="str">
        <f>IF(CRM_MAGDY!G442="","BRAK TELEFONU",IF(CRM_MAGDY!K442="","BRAK KWOTY",IF(CRM_MAGDY!N442="","BRAK STATUSU",IF(CRM_MAGDY!C442="","BRAK DATY AKCJI",""))))</f>
        <v>BRAK TELEFONU</v>
      </c>
      <c r="F442" s="57" t="str">
        <f>CRM_MAGDY!W442</f>
        <v>BRAKI CRM</v>
      </c>
      <c r="G442" s="57">
        <f>CRM_MAGDY!K442</f>
        <v>0</v>
      </c>
      <c r="H442" s="57">
        <f>CRM_MAGDY!N442</f>
        <v>0</v>
      </c>
    </row>
    <row r="443" spans="1:8" ht="30" x14ac:dyDescent="0.25">
      <c r="A443" s="57">
        <f>CRM_MAGDY!H443</f>
        <v>5884</v>
      </c>
      <c r="B443" s="57">
        <f>CRM_MAGDY!I443</f>
        <v>0</v>
      </c>
      <c r="C443" s="57">
        <f>CRM_MAGDY!E443</f>
        <v>0</v>
      </c>
      <c r="D443" s="57">
        <f>CRM_MAGDY!V443</f>
        <v>0</v>
      </c>
      <c r="E443" s="57" t="str">
        <f>IF(CRM_MAGDY!G443="","BRAK TELEFONU",IF(CRM_MAGDY!K443="","BRAK KWOTY",IF(CRM_MAGDY!N443="","BRAK STATUSU",IF(CRM_MAGDY!C443="","BRAK DATY AKCJI",""))))</f>
        <v>BRAK TELEFONU</v>
      </c>
      <c r="F443" s="57" t="str">
        <f>CRM_MAGDY!W443</f>
        <v>BRAKI CRM</v>
      </c>
      <c r="G443" s="57">
        <f>CRM_MAGDY!K443</f>
        <v>0</v>
      </c>
      <c r="H443" s="57">
        <f>CRM_MAGDY!N443</f>
        <v>0</v>
      </c>
    </row>
    <row r="444" spans="1:8" ht="30" x14ac:dyDescent="0.25">
      <c r="A444" s="57">
        <f>CRM_MAGDY!H444</f>
        <v>5885</v>
      </c>
      <c r="B444" s="57">
        <f>CRM_MAGDY!I444</f>
        <v>0</v>
      </c>
      <c r="C444" s="57">
        <f>CRM_MAGDY!E444</f>
        <v>0</v>
      </c>
      <c r="D444" s="57">
        <f>CRM_MAGDY!V444</f>
        <v>0</v>
      </c>
      <c r="E444" s="57" t="str">
        <f>IF(CRM_MAGDY!G444="","BRAK TELEFONU",IF(CRM_MAGDY!K444="","BRAK KWOTY",IF(CRM_MAGDY!N444="","BRAK STATUSU",IF(CRM_MAGDY!C444="","BRAK DATY AKCJI",""))))</f>
        <v>BRAK TELEFONU</v>
      </c>
      <c r="F444" s="57" t="str">
        <f>CRM_MAGDY!W444</f>
        <v>BRAKI CRM</v>
      </c>
      <c r="G444" s="57">
        <f>CRM_MAGDY!K444</f>
        <v>0</v>
      </c>
      <c r="H444" s="57">
        <f>CRM_MAGDY!N444</f>
        <v>0</v>
      </c>
    </row>
    <row r="445" spans="1:8" ht="30" x14ac:dyDescent="0.25">
      <c r="A445" s="57">
        <f>CRM_MAGDY!H445</f>
        <v>5886</v>
      </c>
      <c r="B445" s="57">
        <f>CRM_MAGDY!I445</f>
        <v>0</v>
      </c>
      <c r="C445" s="57">
        <f>CRM_MAGDY!E445</f>
        <v>0</v>
      </c>
      <c r="D445" s="57">
        <f>CRM_MAGDY!V445</f>
        <v>0</v>
      </c>
      <c r="E445" s="57" t="str">
        <f>IF(CRM_MAGDY!G445="","BRAK TELEFONU",IF(CRM_MAGDY!K445="","BRAK KWOTY",IF(CRM_MAGDY!N445="","BRAK STATUSU",IF(CRM_MAGDY!C445="","BRAK DATY AKCJI",""))))</f>
        <v>BRAK TELEFONU</v>
      </c>
      <c r="F445" s="57" t="str">
        <f>CRM_MAGDY!W445</f>
        <v>BRAKI CRM</v>
      </c>
      <c r="G445" s="57">
        <f>CRM_MAGDY!K445</f>
        <v>0</v>
      </c>
      <c r="H445" s="57">
        <f>CRM_MAGDY!N445</f>
        <v>0</v>
      </c>
    </row>
    <row r="446" spans="1:8" ht="30" x14ac:dyDescent="0.25">
      <c r="A446" s="57">
        <f>CRM_MAGDY!H446</f>
        <v>5887</v>
      </c>
      <c r="B446" s="57">
        <f>CRM_MAGDY!I446</f>
        <v>0</v>
      </c>
      <c r="C446" s="57">
        <f>CRM_MAGDY!E446</f>
        <v>0</v>
      </c>
      <c r="D446" s="57">
        <f>CRM_MAGDY!V446</f>
        <v>0</v>
      </c>
      <c r="E446" s="57" t="str">
        <f>IF(CRM_MAGDY!G446="","BRAK TELEFONU",IF(CRM_MAGDY!K446="","BRAK KWOTY",IF(CRM_MAGDY!N446="","BRAK STATUSU",IF(CRM_MAGDY!C446="","BRAK DATY AKCJI",""))))</f>
        <v>BRAK TELEFONU</v>
      </c>
      <c r="F446" s="57" t="str">
        <f>CRM_MAGDY!W446</f>
        <v>BRAKI CRM</v>
      </c>
      <c r="G446" s="57">
        <f>CRM_MAGDY!K446</f>
        <v>0</v>
      </c>
      <c r="H446" s="57">
        <f>CRM_MAGDY!N446</f>
        <v>0</v>
      </c>
    </row>
    <row r="447" spans="1:8" ht="30" x14ac:dyDescent="0.25">
      <c r="A447" s="57">
        <f>CRM_MAGDY!H447</f>
        <v>5888</v>
      </c>
      <c r="B447" s="57">
        <f>CRM_MAGDY!I447</f>
        <v>0</v>
      </c>
      <c r="C447" s="57">
        <f>CRM_MAGDY!E447</f>
        <v>0</v>
      </c>
      <c r="D447" s="57">
        <f>CRM_MAGDY!V447</f>
        <v>0</v>
      </c>
      <c r="E447" s="57" t="str">
        <f>IF(CRM_MAGDY!G447="","BRAK TELEFONU",IF(CRM_MAGDY!K447="","BRAK KWOTY",IF(CRM_MAGDY!N447="","BRAK STATUSU",IF(CRM_MAGDY!C447="","BRAK DATY AKCJI",""))))</f>
        <v>BRAK TELEFONU</v>
      </c>
      <c r="F447" s="57" t="str">
        <f>CRM_MAGDY!W447</f>
        <v>BRAKI CRM</v>
      </c>
      <c r="G447" s="57">
        <f>CRM_MAGDY!K447</f>
        <v>0</v>
      </c>
      <c r="H447" s="57">
        <f>CRM_MAGDY!N447</f>
        <v>0</v>
      </c>
    </row>
    <row r="448" spans="1:8" ht="30" x14ac:dyDescent="0.25">
      <c r="A448" s="57">
        <f>CRM_MAGDY!H448</f>
        <v>5889</v>
      </c>
      <c r="B448" s="57">
        <f>CRM_MAGDY!I448</f>
        <v>0</v>
      </c>
      <c r="C448" s="57">
        <f>CRM_MAGDY!E448</f>
        <v>0</v>
      </c>
      <c r="D448" s="57">
        <f>CRM_MAGDY!V448</f>
        <v>0</v>
      </c>
      <c r="E448" s="57" t="str">
        <f>IF(CRM_MAGDY!G448="","BRAK TELEFONU",IF(CRM_MAGDY!K448="","BRAK KWOTY",IF(CRM_MAGDY!N448="","BRAK STATUSU",IF(CRM_MAGDY!C448="","BRAK DATY AKCJI",""))))</f>
        <v>BRAK TELEFONU</v>
      </c>
      <c r="F448" s="57" t="str">
        <f>CRM_MAGDY!W448</f>
        <v>BRAKI CRM</v>
      </c>
      <c r="G448" s="57">
        <f>CRM_MAGDY!K448</f>
        <v>0</v>
      </c>
      <c r="H448" s="57">
        <f>CRM_MAGDY!N448</f>
        <v>0</v>
      </c>
    </row>
    <row r="449" spans="1:8" ht="30" x14ac:dyDescent="0.25">
      <c r="A449" s="57">
        <f>CRM_MAGDY!H449</f>
        <v>5890</v>
      </c>
      <c r="B449" s="57">
        <f>CRM_MAGDY!I449</f>
        <v>0</v>
      </c>
      <c r="C449" s="57">
        <f>CRM_MAGDY!E449</f>
        <v>0</v>
      </c>
      <c r="D449" s="57">
        <f>CRM_MAGDY!V449</f>
        <v>0</v>
      </c>
      <c r="E449" s="57" t="str">
        <f>IF(CRM_MAGDY!G449="","BRAK TELEFONU",IF(CRM_MAGDY!K449="","BRAK KWOTY",IF(CRM_MAGDY!N449="","BRAK STATUSU",IF(CRM_MAGDY!C449="","BRAK DATY AKCJI",""))))</f>
        <v>BRAK TELEFONU</v>
      </c>
      <c r="F449" s="57" t="str">
        <f>CRM_MAGDY!W449</f>
        <v>BRAKI CRM</v>
      </c>
      <c r="G449" s="57">
        <f>CRM_MAGDY!K449</f>
        <v>0</v>
      </c>
      <c r="H449" s="57">
        <f>CRM_MAGDY!N449</f>
        <v>0</v>
      </c>
    </row>
    <row r="450" spans="1:8" ht="30" x14ac:dyDescent="0.25">
      <c r="A450" s="57">
        <f>CRM_MAGDY!H450</f>
        <v>5891</v>
      </c>
      <c r="B450" s="57">
        <f>CRM_MAGDY!I450</f>
        <v>0</v>
      </c>
      <c r="C450" s="57">
        <f>CRM_MAGDY!E450</f>
        <v>0</v>
      </c>
      <c r="D450" s="57">
        <f>CRM_MAGDY!V450</f>
        <v>0</v>
      </c>
      <c r="E450" s="57" t="str">
        <f>IF(CRM_MAGDY!G450="","BRAK TELEFONU",IF(CRM_MAGDY!K450="","BRAK KWOTY",IF(CRM_MAGDY!N450="","BRAK STATUSU",IF(CRM_MAGDY!C450="","BRAK DATY AKCJI",""))))</f>
        <v>BRAK TELEFONU</v>
      </c>
      <c r="F450" s="57" t="str">
        <f>CRM_MAGDY!W450</f>
        <v>BRAKI CRM</v>
      </c>
      <c r="G450" s="57">
        <f>CRM_MAGDY!K450</f>
        <v>0</v>
      </c>
      <c r="H450" s="57">
        <f>CRM_MAGDY!N450</f>
        <v>0</v>
      </c>
    </row>
    <row r="451" spans="1:8" ht="30" x14ac:dyDescent="0.25">
      <c r="A451" s="57">
        <f>CRM_MAGDY!H451</f>
        <v>5892</v>
      </c>
      <c r="B451" s="57">
        <f>CRM_MAGDY!I451</f>
        <v>0</v>
      </c>
      <c r="C451" s="57">
        <f>CRM_MAGDY!E451</f>
        <v>0</v>
      </c>
      <c r="D451" s="57">
        <f>CRM_MAGDY!V451</f>
        <v>0</v>
      </c>
      <c r="E451" s="57" t="str">
        <f>IF(CRM_MAGDY!G451="","BRAK TELEFONU",IF(CRM_MAGDY!K451="","BRAK KWOTY",IF(CRM_MAGDY!N451="","BRAK STATUSU",IF(CRM_MAGDY!C451="","BRAK DATY AKCJI",""))))</f>
        <v>BRAK TELEFONU</v>
      </c>
      <c r="F451" s="57" t="str">
        <f>CRM_MAGDY!W451</f>
        <v>BRAKI CRM</v>
      </c>
      <c r="G451" s="57">
        <f>CRM_MAGDY!K451</f>
        <v>0</v>
      </c>
      <c r="H451" s="57">
        <f>CRM_MAGDY!N451</f>
        <v>0</v>
      </c>
    </row>
    <row r="452" spans="1:8" ht="30" x14ac:dyDescent="0.25">
      <c r="A452" s="57">
        <f>CRM_MAGDY!H452</f>
        <v>5893</v>
      </c>
      <c r="B452" s="57">
        <f>CRM_MAGDY!I452</f>
        <v>0</v>
      </c>
      <c r="C452" s="57">
        <f>CRM_MAGDY!E452</f>
        <v>0</v>
      </c>
      <c r="D452" s="57">
        <f>CRM_MAGDY!V452</f>
        <v>0</v>
      </c>
      <c r="E452" s="57" t="str">
        <f>IF(CRM_MAGDY!G452="","BRAK TELEFONU",IF(CRM_MAGDY!K452="","BRAK KWOTY",IF(CRM_MAGDY!N452="","BRAK STATUSU",IF(CRM_MAGDY!C452="","BRAK DATY AKCJI",""))))</f>
        <v>BRAK TELEFONU</v>
      </c>
      <c r="F452" s="57" t="str">
        <f>CRM_MAGDY!W452</f>
        <v>BRAKI CRM</v>
      </c>
      <c r="G452" s="57">
        <f>CRM_MAGDY!K452</f>
        <v>0</v>
      </c>
      <c r="H452" s="57">
        <f>CRM_MAGDY!N452</f>
        <v>0</v>
      </c>
    </row>
    <row r="453" spans="1:8" ht="30" x14ac:dyDescent="0.25">
      <c r="A453" s="57">
        <f>CRM_MAGDY!H453</f>
        <v>5894</v>
      </c>
      <c r="B453" s="57">
        <f>CRM_MAGDY!I453</f>
        <v>0</v>
      </c>
      <c r="C453" s="57">
        <f>CRM_MAGDY!E453</f>
        <v>0</v>
      </c>
      <c r="D453" s="57">
        <f>CRM_MAGDY!V453</f>
        <v>0</v>
      </c>
      <c r="E453" s="57" t="str">
        <f>IF(CRM_MAGDY!G453="","BRAK TELEFONU",IF(CRM_MAGDY!K453="","BRAK KWOTY",IF(CRM_MAGDY!N453="","BRAK STATUSU",IF(CRM_MAGDY!C453="","BRAK DATY AKCJI",""))))</f>
        <v>BRAK TELEFONU</v>
      </c>
      <c r="F453" s="57" t="str">
        <f>CRM_MAGDY!W453</f>
        <v>BRAKI CRM</v>
      </c>
      <c r="G453" s="57">
        <f>CRM_MAGDY!K453</f>
        <v>0</v>
      </c>
      <c r="H453" s="57">
        <f>CRM_MAGDY!N453</f>
        <v>0</v>
      </c>
    </row>
    <row r="454" spans="1:8" ht="30" x14ac:dyDescent="0.25">
      <c r="A454" s="57">
        <f>CRM_MAGDY!H454</f>
        <v>5895</v>
      </c>
      <c r="B454" s="57">
        <f>CRM_MAGDY!I454</f>
        <v>0</v>
      </c>
      <c r="C454" s="57">
        <f>CRM_MAGDY!E454</f>
        <v>0</v>
      </c>
      <c r="D454" s="57">
        <f>CRM_MAGDY!V454</f>
        <v>0</v>
      </c>
      <c r="E454" s="57" t="str">
        <f>IF(CRM_MAGDY!G454="","BRAK TELEFONU",IF(CRM_MAGDY!K454="","BRAK KWOTY",IF(CRM_MAGDY!N454="","BRAK STATUSU",IF(CRM_MAGDY!C454="","BRAK DATY AKCJI",""))))</f>
        <v>BRAK TELEFONU</v>
      </c>
      <c r="F454" s="57" t="str">
        <f>CRM_MAGDY!W454</f>
        <v>BRAKI CRM</v>
      </c>
      <c r="G454" s="57">
        <f>CRM_MAGDY!K454</f>
        <v>0</v>
      </c>
      <c r="H454" s="57">
        <f>CRM_MAGDY!N454</f>
        <v>0</v>
      </c>
    </row>
    <row r="455" spans="1:8" ht="30" x14ac:dyDescent="0.25">
      <c r="A455" s="57">
        <f>CRM_MAGDY!H455</f>
        <v>5896</v>
      </c>
      <c r="B455" s="57">
        <f>CRM_MAGDY!I455</f>
        <v>0</v>
      </c>
      <c r="C455" s="57">
        <f>CRM_MAGDY!E455</f>
        <v>0</v>
      </c>
      <c r="D455" s="57">
        <f>CRM_MAGDY!V455</f>
        <v>0</v>
      </c>
      <c r="E455" s="57" t="str">
        <f>IF(CRM_MAGDY!G455="","BRAK TELEFONU",IF(CRM_MAGDY!K455="","BRAK KWOTY",IF(CRM_MAGDY!N455="","BRAK STATUSU",IF(CRM_MAGDY!C455="","BRAK DATY AKCJI",""))))</f>
        <v>BRAK TELEFONU</v>
      </c>
      <c r="F455" s="57" t="str">
        <f>CRM_MAGDY!W455</f>
        <v>BRAKI CRM</v>
      </c>
      <c r="G455" s="57">
        <f>CRM_MAGDY!K455</f>
        <v>0</v>
      </c>
      <c r="H455" s="57">
        <f>CRM_MAGDY!N455</f>
        <v>0</v>
      </c>
    </row>
    <row r="456" spans="1:8" ht="30" x14ac:dyDescent="0.25">
      <c r="A456" s="57">
        <f>CRM_MAGDY!H456</f>
        <v>5897</v>
      </c>
      <c r="B456" s="57">
        <f>CRM_MAGDY!I456</f>
        <v>0</v>
      </c>
      <c r="C456" s="57">
        <f>CRM_MAGDY!E456</f>
        <v>0</v>
      </c>
      <c r="D456" s="57">
        <f>CRM_MAGDY!V456</f>
        <v>0</v>
      </c>
      <c r="E456" s="57" t="str">
        <f>IF(CRM_MAGDY!G456="","BRAK TELEFONU",IF(CRM_MAGDY!K456="","BRAK KWOTY",IF(CRM_MAGDY!N456="","BRAK STATUSU",IF(CRM_MAGDY!C456="","BRAK DATY AKCJI",""))))</f>
        <v>BRAK TELEFONU</v>
      </c>
      <c r="F456" s="57" t="str">
        <f>CRM_MAGDY!W456</f>
        <v>BRAKI CRM</v>
      </c>
      <c r="G456" s="57">
        <f>CRM_MAGDY!K456</f>
        <v>0</v>
      </c>
      <c r="H456" s="57">
        <f>CRM_MAGDY!N456</f>
        <v>0</v>
      </c>
    </row>
    <row r="457" spans="1:8" ht="30" x14ac:dyDescent="0.25">
      <c r="A457" s="57">
        <f>CRM_MAGDY!H457</f>
        <v>5898</v>
      </c>
      <c r="B457" s="57">
        <f>CRM_MAGDY!I457</f>
        <v>0</v>
      </c>
      <c r="C457" s="57">
        <f>CRM_MAGDY!E457</f>
        <v>0</v>
      </c>
      <c r="D457" s="57">
        <f>CRM_MAGDY!V457</f>
        <v>0</v>
      </c>
      <c r="E457" s="57" t="str">
        <f>IF(CRM_MAGDY!G457="","BRAK TELEFONU",IF(CRM_MAGDY!K457="","BRAK KWOTY",IF(CRM_MAGDY!N457="","BRAK STATUSU",IF(CRM_MAGDY!C457="","BRAK DATY AKCJI",""))))</f>
        <v>BRAK TELEFONU</v>
      </c>
      <c r="F457" s="57" t="str">
        <f>CRM_MAGDY!W457</f>
        <v>BRAKI CRM</v>
      </c>
      <c r="G457" s="57">
        <f>CRM_MAGDY!K457</f>
        <v>0</v>
      </c>
      <c r="H457" s="57">
        <f>CRM_MAGDY!N457</f>
        <v>0</v>
      </c>
    </row>
    <row r="458" spans="1:8" ht="30" x14ac:dyDescent="0.25">
      <c r="A458" s="57">
        <f>CRM_MAGDY!H458</f>
        <v>5899</v>
      </c>
      <c r="B458" s="57">
        <f>CRM_MAGDY!I458</f>
        <v>0</v>
      </c>
      <c r="C458" s="57">
        <f>CRM_MAGDY!E458</f>
        <v>0</v>
      </c>
      <c r="D458" s="57">
        <f>CRM_MAGDY!V458</f>
        <v>0</v>
      </c>
      <c r="E458" s="57" t="str">
        <f>IF(CRM_MAGDY!G458="","BRAK TELEFONU",IF(CRM_MAGDY!K458="","BRAK KWOTY",IF(CRM_MAGDY!N458="","BRAK STATUSU",IF(CRM_MAGDY!C458="","BRAK DATY AKCJI",""))))</f>
        <v>BRAK TELEFONU</v>
      </c>
      <c r="F458" s="57" t="str">
        <f>CRM_MAGDY!W458</f>
        <v>BRAKI CRM</v>
      </c>
      <c r="G458" s="57">
        <f>CRM_MAGDY!K458</f>
        <v>0</v>
      </c>
      <c r="H458" s="57">
        <f>CRM_MAGDY!N458</f>
        <v>0</v>
      </c>
    </row>
    <row r="459" spans="1:8" ht="30" x14ac:dyDescent="0.25">
      <c r="A459" s="57">
        <f>CRM_MAGDY!H459</f>
        <v>5900</v>
      </c>
      <c r="B459" s="57">
        <f>CRM_MAGDY!I459</f>
        <v>0</v>
      </c>
      <c r="C459" s="57">
        <f>CRM_MAGDY!E459</f>
        <v>0</v>
      </c>
      <c r="D459" s="57">
        <f>CRM_MAGDY!V459</f>
        <v>0</v>
      </c>
      <c r="E459" s="57" t="str">
        <f>IF(CRM_MAGDY!G459="","BRAK TELEFONU",IF(CRM_MAGDY!K459="","BRAK KWOTY",IF(CRM_MAGDY!N459="","BRAK STATUSU",IF(CRM_MAGDY!C459="","BRAK DATY AKCJI",""))))</f>
        <v>BRAK TELEFONU</v>
      </c>
      <c r="F459" s="57" t="str">
        <f>CRM_MAGDY!W459</f>
        <v>BRAKI CRM</v>
      </c>
      <c r="G459" s="57">
        <f>CRM_MAGDY!K459</f>
        <v>0</v>
      </c>
      <c r="H459" s="57">
        <f>CRM_MAGDY!N459</f>
        <v>0</v>
      </c>
    </row>
    <row r="460" spans="1:8" ht="30" x14ac:dyDescent="0.25">
      <c r="A460" s="57">
        <f>CRM_MAGDY!H460</f>
        <v>5901</v>
      </c>
      <c r="B460" s="57">
        <f>CRM_MAGDY!I460</f>
        <v>0</v>
      </c>
      <c r="C460" s="57">
        <f>CRM_MAGDY!E460</f>
        <v>0</v>
      </c>
      <c r="D460" s="57">
        <f>CRM_MAGDY!V460</f>
        <v>0</v>
      </c>
      <c r="E460" s="57" t="str">
        <f>IF(CRM_MAGDY!G460="","BRAK TELEFONU",IF(CRM_MAGDY!K460="","BRAK KWOTY",IF(CRM_MAGDY!N460="","BRAK STATUSU",IF(CRM_MAGDY!C460="","BRAK DATY AKCJI",""))))</f>
        <v>BRAK TELEFONU</v>
      </c>
      <c r="F460" s="57" t="str">
        <f>CRM_MAGDY!W460</f>
        <v>BRAKI CRM</v>
      </c>
      <c r="G460" s="57">
        <f>CRM_MAGDY!K460</f>
        <v>0</v>
      </c>
      <c r="H460" s="57">
        <f>CRM_MAGDY!N460</f>
        <v>0</v>
      </c>
    </row>
    <row r="461" spans="1:8" ht="30" x14ac:dyDescent="0.25">
      <c r="A461" s="57">
        <f>CRM_MAGDY!H461</f>
        <v>5902</v>
      </c>
      <c r="B461" s="57">
        <f>CRM_MAGDY!I461</f>
        <v>0</v>
      </c>
      <c r="C461" s="57">
        <f>CRM_MAGDY!E461</f>
        <v>0</v>
      </c>
      <c r="D461" s="57">
        <f>CRM_MAGDY!V461</f>
        <v>0</v>
      </c>
      <c r="E461" s="57" t="str">
        <f>IF(CRM_MAGDY!G461="","BRAK TELEFONU",IF(CRM_MAGDY!K461="","BRAK KWOTY",IF(CRM_MAGDY!N461="","BRAK STATUSU",IF(CRM_MAGDY!C461="","BRAK DATY AKCJI",""))))</f>
        <v>BRAK TELEFONU</v>
      </c>
      <c r="F461" s="57" t="str">
        <f>CRM_MAGDY!W461</f>
        <v>BRAKI CRM</v>
      </c>
      <c r="G461" s="57">
        <f>CRM_MAGDY!K461</f>
        <v>0</v>
      </c>
      <c r="H461" s="57">
        <f>CRM_MAGDY!N461</f>
        <v>0</v>
      </c>
    </row>
    <row r="462" spans="1:8" ht="30" x14ac:dyDescent="0.25">
      <c r="A462" s="57">
        <f>CRM_MAGDY!H462</f>
        <v>5903</v>
      </c>
      <c r="B462" s="57">
        <f>CRM_MAGDY!I462</f>
        <v>0</v>
      </c>
      <c r="C462" s="57">
        <f>CRM_MAGDY!E462</f>
        <v>0</v>
      </c>
      <c r="D462" s="57">
        <f>CRM_MAGDY!V462</f>
        <v>0</v>
      </c>
      <c r="E462" s="57" t="str">
        <f>IF(CRM_MAGDY!G462="","BRAK TELEFONU",IF(CRM_MAGDY!K462="","BRAK KWOTY",IF(CRM_MAGDY!N462="","BRAK STATUSU",IF(CRM_MAGDY!C462="","BRAK DATY AKCJI",""))))</f>
        <v>BRAK TELEFONU</v>
      </c>
      <c r="F462" s="57" t="str">
        <f>CRM_MAGDY!W462</f>
        <v>BRAKI CRM</v>
      </c>
      <c r="G462" s="57">
        <f>CRM_MAGDY!K462</f>
        <v>0</v>
      </c>
      <c r="H462" s="57">
        <f>CRM_MAGDY!N462</f>
        <v>0</v>
      </c>
    </row>
    <row r="463" spans="1:8" ht="30" x14ac:dyDescent="0.25">
      <c r="A463" s="57">
        <f>CRM_MAGDY!H463</f>
        <v>5904</v>
      </c>
      <c r="B463" s="57">
        <f>CRM_MAGDY!I463</f>
        <v>0</v>
      </c>
      <c r="C463" s="57">
        <f>CRM_MAGDY!E463</f>
        <v>0</v>
      </c>
      <c r="D463" s="57">
        <f>CRM_MAGDY!V463</f>
        <v>0</v>
      </c>
      <c r="E463" s="57" t="str">
        <f>IF(CRM_MAGDY!G463="","BRAK TELEFONU",IF(CRM_MAGDY!K463="","BRAK KWOTY",IF(CRM_MAGDY!N463="","BRAK STATUSU",IF(CRM_MAGDY!C463="","BRAK DATY AKCJI",""))))</f>
        <v>BRAK TELEFONU</v>
      </c>
      <c r="F463" s="57" t="str">
        <f>CRM_MAGDY!W463</f>
        <v>BRAKI CRM</v>
      </c>
      <c r="G463" s="57">
        <f>CRM_MAGDY!K463</f>
        <v>0</v>
      </c>
      <c r="H463" s="57">
        <f>CRM_MAGDY!N463</f>
        <v>0</v>
      </c>
    </row>
    <row r="464" spans="1:8" ht="30" x14ac:dyDescent="0.25">
      <c r="A464" s="57">
        <f>CRM_MAGDY!H464</f>
        <v>5905</v>
      </c>
      <c r="B464" s="57">
        <f>CRM_MAGDY!I464</f>
        <v>0</v>
      </c>
      <c r="C464" s="57">
        <f>CRM_MAGDY!E464</f>
        <v>0</v>
      </c>
      <c r="D464" s="57">
        <f>CRM_MAGDY!V464</f>
        <v>0</v>
      </c>
      <c r="E464" s="57" t="str">
        <f>IF(CRM_MAGDY!G464="","BRAK TELEFONU",IF(CRM_MAGDY!K464="","BRAK KWOTY",IF(CRM_MAGDY!N464="","BRAK STATUSU",IF(CRM_MAGDY!C464="","BRAK DATY AKCJI",""))))</f>
        <v>BRAK TELEFONU</v>
      </c>
      <c r="F464" s="57" t="str">
        <f>CRM_MAGDY!W464</f>
        <v>BRAKI CRM</v>
      </c>
      <c r="G464" s="57">
        <f>CRM_MAGDY!K464</f>
        <v>0</v>
      </c>
      <c r="H464" s="57">
        <f>CRM_MAGDY!N464</f>
        <v>0</v>
      </c>
    </row>
    <row r="465" spans="1:8" ht="30" x14ac:dyDescent="0.25">
      <c r="A465" s="57">
        <f>CRM_MAGDY!H465</f>
        <v>5906</v>
      </c>
      <c r="B465" s="57">
        <f>CRM_MAGDY!I465</f>
        <v>0</v>
      </c>
      <c r="C465" s="57">
        <f>CRM_MAGDY!E465</f>
        <v>0</v>
      </c>
      <c r="D465" s="57">
        <f>CRM_MAGDY!V465</f>
        <v>0</v>
      </c>
      <c r="E465" s="57" t="str">
        <f>IF(CRM_MAGDY!G465="","BRAK TELEFONU",IF(CRM_MAGDY!K465="","BRAK KWOTY",IF(CRM_MAGDY!N465="","BRAK STATUSU",IF(CRM_MAGDY!C465="","BRAK DATY AKCJI",""))))</f>
        <v>BRAK TELEFONU</v>
      </c>
      <c r="F465" s="57" t="str">
        <f>CRM_MAGDY!W465</f>
        <v>BRAKI CRM</v>
      </c>
      <c r="G465" s="57">
        <f>CRM_MAGDY!K465</f>
        <v>0</v>
      </c>
      <c r="H465" s="57">
        <f>CRM_MAGDY!N465</f>
        <v>0</v>
      </c>
    </row>
    <row r="466" spans="1:8" ht="30" x14ac:dyDescent="0.25">
      <c r="A466" s="57">
        <f>CRM_MAGDY!H466</f>
        <v>5907</v>
      </c>
      <c r="B466" s="57">
        <f>CRM_MAGDY!I466</f>
        <v>0</v>
      </c>
      <c r="C466" s="57">
        <f>CRM_MAGDY!E466</f>
        <v>0</v>
      </c>
      <c r="D466" s="57">
        <f>CRM_MAGDY!V466</f>
        <v>0</v>
      </c>
      <c r="E466" s="57" t="str">
        <f>IF(CRM_MAGDY!G466="","BRAK TELEFONU",IF(CRM_MAGDY!K466="","BRAK KWOTY",IF(CRM_MAGDY!N466="","BRAK STATUSU",IF(CRM_MAGDY!C466="","BRAK DATY AKCJI",""))))</f>
        <v>BRAK TELEFONU</v>
      </c>
      <c r="F466" s="57" t="str">
        <f>CRM_MAGDY!W466</f>
        <v>BRAKI CRM</v>
      </c>
      <c r="G466" s="57">
        <f>CRM_MAGDY!K466</f>
        <v>0</v>
      </c>
      <c r="H466" s="57">
        <f>CRM_MAGDY!N466</f>
        <v>0</v>
      </c>
    </row>
    <row r="467" spans="1:8" ht="30" x14ac:dyDescent="0.25">
      <c r="A467" s="57">
        <f>CRM_MAGDY!H467</f>
        <v>5908</v>
      </c>
      <c r="B467" s="57">
        <f>CRM_MAGDY!I467</f>
        <v>0</v>
      </c>
      <c r="C467" s="57">
        <f>CRM_MAGDY!E467</f>
        <v>0</v>
      </c>
      <c r="D467" s="57">
        <f>CRM_MAGDY!V467</f>
        <v>0</v>
      </c>
      <c r="E467" s="57" t="str">
        <f>IF(CRM_MAGDY!G467="","BRAK TELEFONU",IF(CRM_MAGDY!K467="","BRAK KWOTY",IF(CRM_MAGDY!N467="","BRAK STATUSU",IF(CRM_MAGDY!C467="","BRAK DATY AKCJI",""))))</f>
        <v>BRAK TELEFONU</v>
      </c>
      <c r="F467" s="57" t="str">
        <f>CRM_MAGDY!W467</f>
        <v>BRAKI CRM</v>
      </c>
      <c r="G467" s="57">
        <f>CRM_MAGDY!K467</f>
        <v>0</v>
      </c>
      <c r="H467" s="57">
        <f>CRM_MAGDY!N467</f>
        <v>0</v>
      </c>
    </row>
    <row r="468" spans="1:8" ht="30" x14ac:dyDescent="0.25">
      <c r="A468" s="57">
        <f>CRM_MAGDY!H468</f>
        <v>5909</v>
      </c>
      <c r="B468" s="57">
        <f>CRM_MAGDY!I468</f>
        <v>0</v>
      </c>
      <c r="C468" s="57">
        <f>CRM_MAGDY!E468</f>
        <v>0</v>
      </c>
      <c r="D468" s="57">
        <f>CRM_MAGDY!V468</f>
        <v>0</v>
      </c>
      <c r="E468" s="57" t="str">
        <f>IF(CRM_MAGDY!G468="","BRAK TELEFONU",IF(CRM_MAGDY!K468="","BRAK KWOTY",IF(CRM_MAGDY!N468="","BRAK STATUSU",IF(CRM_MAGDY!C468="","BRAK DATY AKCJI",""))))</f>
        <v>BRAK TELEFONU</v>
      </c>
      <c r="F468" s="57" t="str">
        <f>CRM_MAGDY!W468</f>
        <v>BRAKI CRM</v>
      </c>
      <c r="G468" s="57">
        <f>CRM_MAGDY!K468</f>
        <v>0</v>
      </c>
      <c r="H468" s="57">
        <f>CRM_MAGDY!N468</f>
        <v>0</v>
      </c>
    </row>
    <row r="469" spans="1:8" ht="30" x14ac:dyDescent="0.25">
      <c r="A469" s="57">
        <f>CRM_MAGDY!H469</f>
        <v>5910</v>
      </c>
      <c r="B469" s="57">
        <f>CRM_MAGDY!I469</f>
        <v>0</v>
      </c>
      <c r="C469" s="57">
        <f>CRM_MAGDY!E469</f>
        <v>0</v>
      </c>
      <c r="D469" s="57">
        <f>CRM_MAGDY!V469</f>
        <v>0</v>
      </c>
      <c r="E469" s="57" t="str">
        <f>IF(CRM_MAGDY!G469="","BRAK TELEFONU",IF(CRM_MAGDY!K469="","BRAK KWOTY",IF(CRM_MAGDY!N469="","BRAK STATUSU",IF(CRM_MAGDY!C469="","BRAK DATY AKCJI",""))))</f>
        <v>BRAK TELEFONU</v>
      </c>
      <c r="F469" s="57" t="str">
        <f>CRM_MAGDY!W469</f>
        <v>BRAKI CRM</v>
      </c>
      <c r="G469" s="57">
        <f>CRM_MAGDY!K469</f>
        <v>0</v>
      </c>
      <c r="H469" s="57">
        <f>CRM_MAGDY!N469</f>
        <v>0</v>
      </c>
    </row>
    <row r="470" spans="1:8" ht="30" x14ac:dyDescent="0.25">
      <c r="A470" s="57">
        <f>CRM_MAGDY!H470</f>
        <v>5911</v>
      </c>
      <c r="B470" s="57">
        <f>CRM_MAGDY!I470</f>
        <v>0</v>
      </c>
      <c r="C470" s="57">
        <f>CRM_MAGDY!E470</f>
        <v>0</v>
      </c>
      <c r="D470" s="57">
        <f>CRM_MAGDY!V470</f>
        <v>0</v>
      </c>
      <c r="E470" s="57" t="str">
        <f>IF(CRM_MAGDY!G470="","BRAK TELEFONU",IF(CRM_MAGDY!K470="","BRAK KWOTY",IF(CRM_MAGDY!N470="","BRAK STATUSU",IF(CRM_MAGDY!C470="","BRAK DATY AKCJI",""))))</f>
        <v>BRAK TELEFONU</v>
      </c>
      <c r="F470" s="57" t="str">
        <f>CRM_MAGDY!W470</f>
        <v>BRAKI CRM</v>
      </c>
      <c r="G470" s="57">
        <f>CRM_MAGDY!K470</f>
        <v>0</v>
      </c>
      <c r="H470" s="57">
        <f>CRM_MAGDY!N470</f>
        <v>0</v>
      </c>
    </row>
    <row r="471" spans="1:8" ht="30" x14ac:dyDescent="0.25">
      <c r="A471" s="57">
        <f>CRM_MAGDY!H471</f>
        <v>5912</v>
      </c>
      <c r="B471" s="57">
        <f>CRM_MAGDY!I471</f>
        <v>0</v>
      </c>
      <c r="C471" s="57">
        <f>CRM_MAGDY!E471</f>
        <v>0</v>
      </c>
      <c r="D471" s="57">
        <f>CRM_MAGDY!V471</f>
        <v>0</v>
      </c>
      <c r="E471" s="57" t="str">
        <f>IF(CRM_MAGDY!G471="","BRAK TELEFONU",IF(CRM_MAGDY!K471="","BRAK KWOTY",IF(CRM_MAGDY!N471="","BRAK STATUSU",IF(CRM_MAGDY!C471="","BRAK DATY AKCJI",""))))</f>
        <v>BRAK TELEFONU</v>
      </c>
      <c r="F471" s="57" t="str">
        <f>CRM_MAGDY!W471</f>
        <v>BRAKI CRM</v>
      </c>
      <c r="G471" s="57">
        <f>CRM_MAGDY!K471</f>
        <v>0</v>
      </c>
      <c r="H471" s="57">
        <f>CRM_MAGDY!N471</f>
        <v>0</v>
      </c>
    </row>
    <row r="472" spans="1:8" ht="30" x14ac:dyDescent="0.25">
      <c r="A472" s="57">
        <f>CRM_MAGDY!H472</f>
        <v>5913</v>
      </c>
      <c r="B472" s="57">
        <f>CRM_MAGDY!I472</f>
        <v>0</v>
      </c>
      <c r="C472" s="57">
        <f>CRM_MAGDY!E472</f>
        <v>0</v>
      </c>
      <c r="D472" s="57">
        <f>CRM_MAGDY!V472</f>
        <v>0</v>
      </c>
      <c r="E472" s="57" t="str">
        <f>IF(CRM_MAGDY!G472="","BRAK TELEFONU",IF(CRM_MAGDY!K472="","BRAK KWOTY",IF(CRM_MAGDY!N472="","BRAK STATUSU",IF(CRM_MAGDY!C472="","BRAK DATY AKCJI",""))))</f>
        <v>BRAK TELEFONU</v>
      </c>
      <c r="F472" s="57" t="str">
        <f>CRM_MAGDY!W472</f>
        <v>BRAKI CRM</v>
      </c>
      <c r="G472" s="57">
        <f>CRM_MAGDY!K472</f>
        <v>0</v>
      </c>
      <c r="H472" s="57">
        <f>CRM_MAGDY!N472</f>
        <v>0</v>
      </c>
    </row>
    <row r="473" spans="1:8" ht="30" x14ac:dyDescent="0.25">
      <c r="A473" s="57">
        <f>CRM_MAGDY!H473</f>
        <v>5914</v>
      </c>
      <c r="B473" s="57">
        <f>CRM_MAGDY!I473</f>
        <v>0</v>
      </c>
      <c r="C473" s="57">
        <f>CRM_MAGDY!E473</f>
        <v>0</v>
      </c>
      <c r="D473" s="57">
        <f>CRM_MAGDY!V473</f>
        <v>0</v>
      </c>
      <c r="E473" s="57" t="str">
        <f>IF(CRM_MAGDY!G473="","BRAK TELEFONU",IF(CRM_MAGDY!K473="","BRAK KWOTY",IF(CRM_MAGDY!N473="","BRAK STATUSU",IF(CRM_MAGDY!C473="","BRAK DATY AKCJI",""))))</f>
        <v>BRAK TELEFONU</v>
      </c>
      <c r="F473" s="57" t="str">
        <f>CRM_MAGDY!W473</f>
        <v>BRAKI CRM</v>
      </c>
      <c r="G473" s="57">
        <f>CRM_MAGDY!K473</f>
        <v>0</v>
      </c>
      <c r="H473" s="57">
        <f>CRM_MAGDY!N473</f>
        <v>0</v>
      </c>
    </row>
    <row r="474" spans="1:8" ht="30" x14ac:dyDescent="0.25">
      <c r="A474" s="57">
        <f>CRM_MAGDY!H474</f>
        <v>5915</v>
      </c>
      <c r="B474" s="57">
        <f>CRM_MAGDY!I474</f>
        <v>0</v>
      </c>
      <c r="C474" s="57">
        <f>CRM_MAGDY!E474</f>
        <v>0</v>
      </c>
      <c r="D474" s="57">
        <f>CRM_MAGDY!V474</f>
        <v>0</v>
      </c>
      <c r="E474" s="57" t="str">
        <f>IF(CRM_MAGDY!G474="","BRAK TELEFONU",IF(CRM_MAGDY!K474="","BRAK KWOTY",IF(CRM_MAGDY!N474="","BRAK STATUSU",IF(CRM_MAGDY!C474="","BRAK DATY AKCJI",""))))</f>
        <v>BRAK TELEFONU</v>
      </c>
      <c r="F474" s="57" t="str">
        <f>CRM_MAGDY!W474</f>
        <v>BRAKI CRM</v>
      </c>
      <c r="G474" s="57">
        <f>CRM_MAGDY!K474</f>
        <v>0</v>
      </c>
      <c r="H474" s="57">
        <f>CRM_MAGDY!N474</f>
        <v>0</v>
      </c>
    </row>
    <row r="475" spans="1:8" ht="30" x14ac:dyDescent="0.25">
      <c r="A475" s="57">
        <f>CRM_MAGDY!H475</f>
        <v>5916</v>
      </c>
      <c r="B475" s="57">
        <f>CRM_MAGDY!I475</f>
        <v>0</v>
      </c>
      <c r="C475" s="57">
        <f>CRM_MAGDY!E475</f>
        <v>0</v>
      </c>
      <c r="D475" s="57">
        <f>CRM_MAGDY!V475</f>
        <v>0</v>
      </c>
      <c r="E475" s="57" t="str">
        <f>IF(CRM_MAGDY!G475="","BRAK TELEFONU",IF(CRM_MAGDY!K475="","BRAK KWOTY",IF(CRM_MAGDY!N475="","BRAK STATUSU",IF(CRM_MAGDY!C475="","BRAK DATY AKCJI",""))))</f>
        <v>BRAK TELEFONU</v>
      </c>
      <c r="F475" s="57" t="str">
        <f>CRM_MAGDY!W475</f>
        <v>BRAKI CRM</v>
      </c>
      <c r="G475" s="57">
        <f>CRM_MAGDY!K475</f>
        <v>0</v>
      </c>
      <c r="H475" s="57">
        <f>CRM_MAGDY!N475</f>
        <v>0</v>
      </c>
    </row>
    <row r="476" spans="1:8" ht="30" x14ac:dyDescent="0.25">
      <c r="A476" s="57">
        <f>CRM_MAGDY!H476</f>
        <v>5917</v>
      </c>
      <c r="B476" s="57">
        <f>CRM_MAGDY!I476</f>
        <v>0</v>
      </c>
      <c r="C476" s="57">
        <f>CRM_MAGDY!E476</f>
        <v>0</v>
      </c>
      <c r="D476" s="57">
        <f>CRM_MAGDY!V476</f>
        <v>0</v>
      </c>
      <c r="E476" s="57" t="str">
        <f>IF(CRM_MAGDY!G476="","BRAK TELEFONU",IF(CRM_MAGDY!K476="","BRAK KWOTY",IF(CRM_MAGDY!N476="","BRAK STATUSU",IF(CRM_MAGDY!C476="","BRAK DATY AKCJI",""))))</f>
        <v>BRAK TELEFONU</v>
      </c>
      <c r="F476" s="57" t="str">
        <f>CRM_MAGDY!W476</f>
        <v>BRAKI CRM</v>
      </c>
      <c r="G476" s="57">
        <f>CRM_MAGDY!K476</f>
        <v>0</v>
      </c>
      <c r="H476" s="57">
        <f>CRM_MAGDY!N476</f>
        <v>0</v>
      </c>
    </row>
    <row r="477" spans="1:8" ht="30" x14ac:dyDescent="0.25">
      <c r="A477" s="57">
        <f>CRM_MAGDY!H477</f>
        <v>5918</v>
      </c>
      <c r="B477" s="57">
        <f>CRM_MAGDY!I477</f>
        <v>0</v>
      </c>
      <c r="C477" s="57">
        <f>CRM_MAGDY!E477</f>
        <v>0</v>
      </c>
      <c r="D477" s="57">
        <f>CRM_MAGDY!V477</f>
        <v>0</v>
      </c>
      <c r="E477" s="57" t="str">
        <f>IF(CRM_MAGDY!G477="","BRAK TELEFONU",IF(CRM_MAGDY!K477="","BRAK KWOTY",IF(CRM_MAGDY!N477="","BRAK STATUSU",IF(CRM_MAGDY!C477="","BRAK DATY AKCJI",""))))</f>
        <v>BRAK TELEFONU</v>
      </c>
      <c r="F477" s="57" t="str">
        <f>CRM_MAGDY!W477</f>
        <v>BRAKI CRM</v>
      </c>
      <c r="G477" s="57">
        <f>CRM_MAGDY!K477</f>
        <v>0</v>
      </c>
      <c r="H477" s="57">
        <f>CRM_MAGDY!N477</f>
        <v>0</v>
      </c>
    </row>
    <row r="478" spans="1:8" ht="30" x14ac:dyDescent="0.25">
      <c r="A478" s="57">
        <f>CRM_MAGDY!H478</f>
        <v>5919</v>
      </c>
      <c r="B478" s="57">
        <f>CRM_MAGDY!I478</f>
        <v>0</v>
      </c>
      <c r="C478" s="57">
        <f>CRM_MAGDY!E478</f>
        <v>0</v>
      </c>
      <c r="D478" s="57">
        <f>CRM_MAGDY!V478</f>
        <v>0</v>
      </c>
      <c r="E478" s="57" t="str">
        <f>IF(CRM_MAGDY!G478="","BRAK TELEFONU",IF(CRM_MAGDY!K478="","BRAK KWOTY",IF(CRM_MAGDY!N478="","BRAK STATUSU",IF(CRM_MAGDY!C478="","BRAK DATY AKCJI",""))))</f>
        <v>BRAK TELEFONU</v>
      </c>
      <c r="F478" s="57" t="str">
        <f>CRM_MAGDY!W478</f>
        <v>BRAKI CRM</v>
      </c>
      <c r="G478" s="57">
        <f>CRM_MAGDY!K478</f>
        <v>0</v>
      </c>
      <c r="H478" s="57">
        <f>CRM_MAGDY!N478</f>
        <v>0</v>
      </c>
    </row>
    <row r="479" spans="1:8" ht="30" x14ac:dyDescent="0.25">
      <c r="A479" s="57">
        <f>CRM_MAGDY!H479</f>
        <v>5920</v>
      </c>
      <c r="B479" s="57">
        <f>CRM_MAGDY!I479</f>
        <v>0</v>
      </c>
      <c r="C479" s="57">
        <f>CRM_MAGDY!E479</f>
        <v>0</v>
      </c>
      <c r="D479" s="57">
        <f>CRM_MAGDY!V479</f>
        <v>0</v>
      </c>
      <c r="E479" s="57" t="str">
        <f>IF(CRM_MAGDY!G479="","BRAK TELEFONU",IF(CRM_MAGDY!K479="","BRAK KWOTY",IF(CRM_MAGDY!N479="","BRAK STATUSU",IF(CRM_MAGDY!C479="","BRAK DATY AKCJI",""))))</f>
        <v>BRAK TELEFONU</v>
      </c>
      <c r="F479" s="57" t="str">
        <f>CRM_MAGDY!W479</f>
        <v>BRAKI CRM</v>
      </c>
      <c r="G479" s="57">
        <f>CRM_MAGDY!K479</f>
        <v>0</v>
      </c>
      <c r="H479" s="57">
        <f>CRM_MAGDY!N479</f>
        <v>0</v>
      </c>
    </row>
    <row r="480" spans="1:8" ht="30" x14ac:dyDescent="0.25">
      <c r="A480" s="57">
        <f>CRM_MAGDY!H480</f>
        <v>5921</v>
      </c>
      <c r="B480" s="57">
        <f>CRM_MAGDY!I480</f>
        <v>0</v>
      </c>
      <c r="C480" s="57">
        <f>CRM_MAGDY!E480</f>
        <v>0</v>
      </c>
      <c r="D480" s="57">
        <f>CRM_MAGDY!V480</f>
        <v>0</v>
      </c>
      <c r="E480" s="57" t="str">
        <f>IF(CRM_MAGDY!G480="","BRAK TELEFONU",IF(CRM_MAGDY!K480="","BRAK KWOTY",IF(CRM_MAGDY!N480="","BRAK STATUSU",IF(CRM_MAGDY!C480="","BRAK DATY AKCJI",""))))</f>
        <v>BRAK TELEFONU</v>
      </c>
      <c r="F480" s="57" t="str">
        <f>CRM_MAGDY!W480</f>
        <v>BRAKI CRM</v>
      </c>
      <c r="G480" s="57">
        <f>CRM_MAGDY!K480</f>
        <v>0</v>
      </c>
      <c r="H480" s="57">
        <f>CRM_MAGDY!N480</f>
        <v>0</v>
      </c>
    </row>
    <row r="481" spans="1:8" ht="30" x14ac:dyDescent="0.25">
      <c r="A481" s="57">
        <f>CRM_MAGDY!H481</f>
        <v>5922</v>
      </c>
      <c r="B481" s="57">
        <f>CRM_MAGDY!I481</f>
        <v>0</v>
      </c>
      <c r="C481" s="57">
        <f>CRM_MAGDY!E481</f>
        <v>0</v>
      </c>
      <c r="D481" s="57">
        <f>CRM_MAGDY!V481</f>
        <v>0</v>
      </c>
      <c r="E481" s="57" t="str">
        <f>IF(CRM_MAGDY!G481="","BRAK TELEFONU",IF(CRM_MAGDY!K481="","BRAK KWOTY",IF(CRM_MAGDY!N481="","BRAK STATUSU",IF(CRM_MAGDY!C481="","BRAK DATY AKCJI",""))))</f>
        <v>BRAK TELEFONU</v>
      </c>
      <c r="F481" s="57" t="str">
        <f>CRM_MAGDY!W481</f>
        <v>BRAKI CRM</v>
      </c>
      <c r="G481" s="57">
        <f>CRM_MAGDY!K481</f>
        <v>0</v>
      </c>
      <c r="H481" s="57">
        <f>CRM_MAGDY!N481</f>
        <v>0</v>
      </c>
    </row>
    <row r="482" spans="1:8" ht="30" x14ac:dyDescent="0.25">
      <c r="A482" s="57">
        <f>CRM_MAGDY!H482</f>
        <v>5923</v>
      </c>
      <c r="B482" s="57">
        <f>CRM_MAGDY!I482</f>
        <v>0</v>
      </c>
      <c r="C482" s="57">
        <f>CRM_MAGDY!E482</f>
        <v>0</v>
      </c>
      <c r="D482" s="57">
        <f>CRM_MAGDY!V482</f>
        <v>0</v>
      </c>
      <c r="E482" s="57" t="str">
        <f>IF(CRM_MAGDY!G482="","BRAK TELEFONU",IF(CRM_MAGDY!K482="","BRAK KWOTY",IF(CRM_MAGDY!N482="","BRAK STATUSU",IF(CRM_MAGDY!C482="","BRAK DATY AKCJI",""))))</f>
        <v>BRAK TELEFONU</v>
      </c>
      <c r="F482" s="57" t="str">
        <f>CRM_MAGDY!W482</f>
        <v>BRAKI CRM</v>
      </c>
      <c r="G482" s="57">
        <f>CRM_MAGDY!K482</f>
        <v>0</v>
      </c>
      <c r="H482" s="57">
        <f>CRM_MAGDY!N482</f>
        <v>0</v>
      </c>
    </row>
    <row r="483" spans="1:8" ht="30" x14ac:dyDescent="0.25">
      <c r="A483" s="57">
        <f>CRM_MAGDY!H483</f>
        <v>5924</v>
      </c>
      <c r="B483" s="57">
        <f>CRM_MAGDY!I483</f>
        <v>0</v>
      </c>
      <c r="C483" s="57">
        <f>CRM_MAGDY!E483</f>
        <v>0</v>
      </c>
      <c r="D483" s="57">
        <f>CRM_MAGDY!V483</f>
        <v>0</v>
      </c>
      <c r="E483" s="57" t="str">
        <f>IF(CRM_MAGDY!G483="","BRAK TELEFONU",IF(CRM_MAGDY!K483="","BRAK KWOTY",IF(CRM_MAGDY!N483="","BRAK STATUSU",IF(CRM_MAGDY!C483="","BRAK DATY AKCJI",""))))</f>
        <v>BRAK TELEFONU</v>
      </c>
      <c r="F483" s="57" t="str">
        <f>CRM_MAGDY!W483</f>
        <v>BRAKI CRM</v>
      </c>
      <c r="G483" s="57">
        <f>CRM_MAGDY!K483</f>
        <v>0</v>
      </c>
      <c r="H483" s="57">
        <f>CRM_MAGDY!N483</f>
        <v>0</v>
      </c>
    </row>
    <row r="484" spans="1:8" ht="30" x14ac:dyDescent="0.25">
      <c r="A484" s="57">
        <f>CRM_MAGDY!H484</f>
        <v>5925</v>
      </c>
      <c r="B484" s="57">
        <f>CRM_MAGDY!I484</f>
        <v>0</v>
      </c>
      <c r="C484" s="57">
        <f>CRM_MAGDY!E484</f>
        <v>0</v>
      </c>
      <c r="D484" s="57">
        <f>CRM_MAGDY!V484</f>
        <v>0</v>
      </c>
      <c r="E484" s="57" t="str">
        <f>IF(CRM_MAGDY!G484="","BRAK TELEFONU",IF(CRM_MAGDY!K484="","BRAK KWOTY",IF(CRM_MAGDY!N484="","BRAK STATUSU",IF(CRM_MAGDY!C484="","BRAK DATY AKCJI",""))))</f>
        <v>BRAK TELEFONU</v>
      </c>
      <c r="F484" s="57" t="str">
        <f>CRM_MAGDY!W484</f>
        <v>BRAKI CRM</v>
      </c>
      <c r="G484" s="57">
        <f>CRM_MAGDY!K484</f>
        <v>0</v>
      </c>
      <c r="H484" s="57">
        <f>CRM_MAGDY!N484</f>
        <v>0</v>
      </c>
    </row>
    <row r="485" spans="1:8" ht="30" x14ac:dyDescent="0.25">
      <c r="A485" s="57">
        <f>CRM_MAGDY!H485</f>
        <v>5926</v>
      </c>
      <c r="B485" s="57">
        <f>CRM_MAGDY!I485</f>
        <v>0</v>
      </c>
      <c r="C485" s="57">
        <f>CRM_MAGDY!E485</f>
        <v>0</v>
      </c>
      <c r="D485" s="57">
        <f>CRM_MAGDY!V485</f>
        <v>0</v>
      </c>
      <c r="E485" s="57" t="str">
        <f>IF(CRM_MAGDY!G485="","BRAK TELEFONU",IF(CRM_MAGDY!K485="","BRAK KWOTY",IF(CRM_MAGDY!N485="","BRAK STATUSU",IF(CRM_MAGDY!C485="","BRAK DATY AKCJI",""))))</f>
        <v>BRAK TELEFONU</v>
      </c>
      <c r="F485" s="57" t="str">
        <f>CRM_MAGDY!W485</f>
        <v>BRAKI CRM</v>
      </c>
      <c r="G485" s="57">
        <f>CRM_MAGDY!K485</f>
        <v>0</v>
      </c>
      <c r="H485" s="57">
        <f>CRM_MAGDY!N485</f>
        <v>0</v>
      </c>
    </row>
    <row r="486" spans="1:8" ht="30" x14ac:dyDescent="0.25">
      <c r="A486" s="57">
        <f>CRM_MAGDY!H486</f>
        <v>5927</v>
      </c>
      <c r="B486" s="57">
        <f>CRM_MAGDY!I486</f>
        <v>0</v>
      </c>
      <c r="C486" s="57">
        <f>CRM_MAGDY!E486</f>
        <v>0</v>
      </c>
      <c r="D486" s="57">
        <f>CRM_MAGDY!V486</f>
        <v>0</v>
      </c>
      <c r="E486" s="57" t="str">
        <f>IF(CRM_MAGDY!G486="","BRAK TELEFONU",IF(CRM_MAGDY!K486="","BRAK KWOTY",IF(CRM_MAGDY!N486="","BRAK STATUSU",IF(CRM_MAGDY!C486="","BRAK DATY AKCJI",""))))</f>
        <v>BRAK TELEFONU</v>
      </c>
      <c r="F486" s="57" t="str">
        <f>CRM_MAGDY!W486</f>
        <v>BRAKI CRM</v>
      </c>
      <c r="G486" s="57">
        <f>CRM_MAGDY!K486</f>
        <v>0</v>
      </c>
      <c r="H486" s="57">
        <f>CRM_MAGDY!N486</f>
        <v>0</v>
      </c>
    </row>
    <row r="487" spans="1:8" ht="30" x14ac:dyDescent="0.25">
      <c r="A487" s="57">
        <f>CRM_MAGDY!H487</f>
        <v>5928</v>
      </c>
      <c r="B487" s="57">
        <f>CRM_MAGDY!I487</f>
        <v>0</v>
      </c>
      <c r="C487" s="57">
        <f>CRM_MAGDY!E487</f>
        <v>0</v>
      </c>
      <c r="D487" s="57">
        <f>CRM_MAGDY!V487</f>
        <v>0</v>
      </c>
      <c r="E487" s="57" t="str">
        <f>IF(CRM_MAGDY!G487="","BRAK TELEFONU",IF(CRM_MAGDY!K487="","BRAK KWOTY",IF(CRM_MAGDY!N487="","BRAK STATUSU",IF(CRM_MAGDY!C487="","BRAK DATY AKCJI",""))))</f>
        <v>BRAK TELEFONU</v>
      </c>
      <c r="F487" s="57" t="str">
        <f>CRM_MAGDY!W487</f>
        <v>BRAKI CRM</v>
      </c>
      <c r="G487" s="57">
        <f>CRM_MAGDY!K487</f>
        <v>0</v>
      </c>
      <c r="H487" s="57">
        <f>CRM_MAGDY!N487</f>
        <v>0</v>
      </c>
    </row>
    <row r="488" spans="1:8" ht="30" x14ac:dyDescent="0.25">
      <c r="A488" s="57">
        <f>CRM_MAGDY!H488</f>
        <v>5929</v>
      </c>
      <c r="B488" s="57">
        <f>CRM_MAGDY!I488</f>
        <v>0</v>
      </c>
      <c r="C488" s="57">
        <f>CRM_MAGDY!E488</f>
        <v>0</v>
      </c>
      <c r="D488" s="57">
        <f>CRM_MAGDY!V488</f>
        <v>0</v>
      </c>
      <c r="E488" s="57" t="str">
        <f>IF(CRM_MAGDY!G488="","BRAK TELEFONU",IF(CRM_MAGDY!K488="","BRAK KWOTY",IF(CRM_MAGDY!N488="","BRAK STATUSU",IF(CRM_MAGDY!C488="","BRAK DATY AKCJI",""))))</f>
        <v>BRAK TELEFONU</v>
      </c>
      <c r="F488" s="57" t="str">
        <f>CRM_MAGDY!W488</f>
        <v>BRAKI CRM</v>
      </c>
      <c r="G488" s="57">
        <f>CRM_MAGDY!K488</f>
        <v>0</v>
      </c>
      <c r="H488" s="57">
        <f>CRM_MAGDY!N488</f>
        <v>0</v>
      </c>
    </row>
    <row r="489" spans="1:8" ht="30" x14ac:dyDescent="0.25">
      <c r="A489" s="57">
        <f>CRM_MAGDY!H489</f>
        <v>5930</v>
      </c>
      <c r="B489" s="57">
        <f>CRM_MAGDY!I489</f>
        <v>0</v>
      </c>
      <c r="C489" s="57">
        <f>CRM_MAGDY!E489</f>
        <v>0</v>
      </c>
      <c r="D489" s="57">
        <f>CRM_MAGDY!V489</f>
        <v>0</v>
      </c>
      <c r="E489" s="57" t="str">
        <f>IF(CRM_MAGDY!G489="","BRAK TELEFONU",IF(CRM_MAGDY!K489="","BRAK KWOTY",IF(CRM_MAGDY!N489="","BRAK STATUSU",IF(CRM_MAGDY!C489="","BRAK DATY AKCJI",""))))</f>
        <v>BRAK TELEFONU</v>
      </c>
      <c r="F489" s="57" t="str">
        <f>CRM_MAGDY!W489</f>
        <v>BRAKI CRM</v>
      </c>
      <c r="G489" s="57">
        <f>CRM_MAGDY!K489</f>
        <v>0</v>
      </c>
      <c r="H489" s="57">
        <f>CRM_MAGDY!N489</f>
        <v>0</v>
      </c>
    </row>
    <row r="490" spans="1:8" ht="30" x14ac:dyDescent="0.25">
      <c r="A490" s="57">
        <f>CRM_MAGDY!H490</f>
        <v>5931</v>
      </c>
      <c r="B490" s="57">
        <f>CRM_MAGDY!I490</f>
        <v>0</v>
      </c>
      <c r="C490" s="57">
        <f>CRM_MAGDY!E490</f>
        <v>0</v>
      </c>
      <c r="D490" s="57">
        <f>CRM_MAGDY!V490</f>
        <v>0</v>
      </c>
      <c r="E490" s="57" t="str">
        <f>IF(CRM_MAGDY!G490="","BRAK TELEFONU",IF(CRM_MAGDY!K490="","BRAK KWOTY",IF(CRM_MAGDY!N490="","BRAK STATUSU",IF(CRM_MAGDY!C490="","BRAK DATY AKCJI",""))))</f>
        <v>BRAK TELEFONU</v>
      </c>
      <c r="F490" s="57" t="str">
        <f>CRM_MAGDY!W490</f>
        <v>BRAKI CRM</v>
      </c>
      <c r="G490" s="57">
        <f>CRM_MAGDY!K490</f>
        <v>0</v>
      </c>
      <c r="H490" s="57">
        <f>CRM_MAGDY!N490</f>
        <v>0</v>
      </c>
    </row>
    <row r="491" spans="1:8" ht="30" x14ac:dyDescent="0.25">
      <c r="A491" s="57">
        <f>CRM_MAGDY!H491</f>
        <v>5932</v>
      </c>
      <c r="B491" s="57">
        <f>CRM_MAGDY!I491</f>
        <v>0</v>
      </c>
      <c r="C491" s="57">
        <f>CRM_MAGDY!E491</f>
        <v>0</v>
      </c>
      <c r="D491" s="57">
        <f>CRM_MAGDY!V491</f>
        <v>0</v>
      </c>
      <c r="E491" s="57" t="str">
        <f>IF(CRM_MAGDY!G491="","BRAK TELEFONU",IF(CRM_MAGDY!K491="","BRAK KWOTY",IF(CRM_MAGDY!N491="","BRAK STATUSU",IF(CRM_MAGDY!C491="","BRAK DATY AKCJI",""))))</f>
        <v>BRAK TELEFONU</v>
      </c>
      <c r="F491" s="57" t="str">
        <f>CRM_MAGDY!W491</f>
        <v>BRAKI CRM</v>
      </c>
      <c r="G491" s="57">
        <f>CRM_MAGDY!K491</f>
        <v>0</v>
      </c>
      <c r="H491" s="57">
        <f>CRM_MAGDY!N491</f>
        <v>0</v>
      </c>
    </row>
    <row r="492" spans="1:8" ht="30" x14ac:dyDescent="0.25">
      <c r="A492" s="57">
        <f>CRM_MAGDY!H492</f>
        <v>5933</v>
      </c>
      <c r="B492" s="57">
        <f>CRM_MAGDY!I492</f>
        <v>0</v>
      </c>
      <c r="C492" s="57">
        <f>CRM_MAGDY!E492</f>
        <v>0</v>
      </c>
      <c r="D492" s="57">
        <f>CRM_MAGDY!V492</f>
        <v>0</v>
      </c>
      <c r="E492" s="57" t="str">
        <f>IF(CRM_MAGDY!G492="","BRAK TELEFONU",IF(CRM_MAGDY!K492="","BRAK KWOTY",IF(CRM_MAGDY!N492="","BRAK STATUSU",IF(CRM_MAGDY!C492="","BRAK DATY AKCJI",""))))</f>
        <v>BRAK TELEFONU</v>
      </c>
      <c r="F492" s="57" t="str">
        <f>CRM_MAGDY!W492</f>
        <v>BRAKI CRM</v>
      </c>
      <c r="G492" s="57">
        <f>CRM_MAGDY!K492</f>
        <v>0</v>
      </c>
      <c r="H492" s="57">
        <f>CRM_MAGDY!N492</f>
        <v>0</v>
      </c>
    </row>
    <row r="493" spans="1:8" ht="30" x14ac:dyDescent="0.25">
      <c r="A493" s="57">
        <f>CRM_MAGDY!H493</f>
        <v>5934</v>
      </c>
      <c r="B493" s="57">
        <f>CRM_MAGDY!I493</f>
        <v>0</v>
      </c>
      <c r="C493" s="57">
        <f>CRM_MAGDY!E493</f>
        <v>0</v>
      </c>
      <c r="D493" s="57">
        <f>CRM_MAGDY!V493</f>
        <v>0</v>
      </c>
      <c r="E493" s="57" t="str">
        <f>IF(CRM_MAGDY!G493="","BRAK TELEFONU",IF(CRM_MAGDY!K493="","BRAK KWOTY",IF(CRM_MAGDY!N493="","BRAK STATUSU",IF(CRM_MAGDY!C493="","BRAK DATY AKCJI",""))))</f>
        <v>BRAK TELEFONU</v>
      </c>
      <c r="F493" s="57" t="str">
        <f>CRM_MAGDY!W493</f>
        <v>BRAKI CRM</v>
      </c>
      <c r="G493" s="57">
        <f>CRM_MAGDY!K493</f>
        <v>0</v>
      </c>
      <c r="H493" s="57">
        <f>CRM_MAGDY!N493</f>
        <v>0</v>
      </c>
    </row>
    <row r="494" spans="1:8" ht="30" x14ac:dyDescent="0.25">
      <c r="A494" s="57">
        <f>CRM_MAGDY!H494</f>
        <v>5935</v>
      </c>
      <c r="B494" s="57">
        <f>CRM_MAGDY!I494</f>
        <v>0</v>
      </c>
      <c r="C494" s="57">
        <f>CRM_MAGDY!E494</f>
        <v>0</v>
      </c>
      <c r="D494" s="57">
        <f>CRM_MAGDY!V494</f>
        <v>0</v>
      </c>
      <c r="E494" s="57" t="str">
        <f>IF(CRM_MAGDY!G494="","BRAK TELEFONU",IF(CRM_MAGDY!K494="","BRAK KWOTY",IF(CRM_MAGDY!N494="","BRAK STATUSU",IF(CRM_MAGDY!C494="","BRAK DATY AKCJI",""))))</f>
        <v>BRAK TELEFONU</v>
      </c>
      <c r="F494" s="57" t="str">
        <f>CRM_MAGDY!W494</f>
        <v>BRAKI CRM</v>
      </c>
      <c r="G494" s="57">
        <f>CRM_MAGDY!K494</f>
        <v>0</v>
      </c>
      <c r="H494" s="57">
        <f>CRM_MAGDY!N494</f>
        <v>0</v>
      </c>
    </row>
    <row r="495" spans="1:8" ht="30" x14ac:dyDescent="0.25">
      <c r="A495" s="57">
        <f>CRM_MAGDY!H495</f>
        <v>5936</v>
      </c>
      <c r="B495" s="57">
        <f>CRM_MAGDY!I495</f>
        <v>0</v>
      </c>
      <c r="C495" s="57">
        <f>CRM_MAGDY!E495</f>
        <v>0</v>
      </c>
      <c r="D495" s="57">
        <f>CRM_MAGDY!V495</f>
        <v>0</v>
      </c>
      <c r="E495" s="57" t="str">
        <f>IF(CRM_MAGDY!G495="","BRAK TELEFONU",IF(CRM_MAGDY!K495="","BRAK KWOTY",IF(CRM_MAGDY!N495="","BRAK STATUSU",IF(CRM_MAGDY!C495="","BRAK DATY AKCJI",""))))</f>
        <v>BRAK TELEFONU</v>
      </c>
      <c r="F495" s="57" t="str">
        <f>CRM_MAGDY!W495</f>
        <v>BRAKI CRM</v>
      </c>
      <c r="G495" s="57">
        <f>CRM_MAGDY!K495</f>
        <v>0</v>
      </c>
      <c r="H495" s="57">
        <f>CRM_MAGDY!N495</f>
        <v>0</v>
      </c>
    </row>
    <row r="496" spans="1:8" ht="30" x14ac:dyDescent="0.25">
      <c r="A496" s="57">
        <f>CRM_MAGDY!H496</f>
        <v>5937</v>
      </c>
      <c r="B496" s="57">
        <f>CRM_MAGDY!I496</f>
        <v>0</v>
      </c>
      <c r="C496" s="57">
        <f>CRM_MAGDY!E496</f>
        <v>0</v>
      </c>
      <c r="D496" s="57">
        <f>CRM_MAGDY!V496</f>
        <v>0</v>
      </c>
      <c r="E496" s="57" t="str">
        <f>IF(CRM_MAGDY!G496="","BRAK TELEFONU",IF(CRM_MAGDY!K496="","BRAK KWOTY",IF(CRM_MAGDY!N496="","BRAK STATUSU",IF(CRM_MAGDY!C496="","BRAK DATY AKCJI",""))))</f>
        <v>BRAK TELEFONU</v>
      </c>
      <c r="F496" s="57" t="str">
        <f>CRM_MAGDY!W496</f>
        <v>BRAKI CRM</v>
      </c>
      <c r="G496" s="57">
        <f>CRM_MAGDY!K496</f>
        <v>0</v>
      </c>
      <c r="H496" s="57">
        <f>CRM_MAGDY!N496</f>
        <v>0</v>
      </c>
    </row>
    <row r="497" spans="1:8" ht="30" x14ac:dyDescent="0.25">
      <c r="A497" s="57">
        <f>CRM_MAGDY!H497</f>
        <v>5938</v>
      </c>
      <c r="B497" s="57">
        <f>CRM_MAGDY!I497</f>
        <v>0</v>
      </c>
      <c r="C497" s="57">
        <f>CRM_MAGDY!E497</f>
        <v>0</v>
      </c>
      <c r="D497" s="57">
        <f>CRM_MAGDY!V497</f>
        <v>0</v>
      </c>
      <c r="E497" s="57" t="str">
        <f>IF(CRM_MAGDY!G497="","BRAK TELEFONU",IF(CRM_MAGDY!K497="","BRAK KWOTY",IF(CRM_MAGDY!N497="","BRAK STATUSU",IF(CRM_MAGDY!C497="","BRAK DATY AKCJI",""))))</f>
        <v>BRAK TELEFONU</v>
      </c>
      <c r="F497" s="57" t="str">
        <f>CRM_MAGDY!W497</f>
        <v>BRAKI CRM</v>
      </c>
      <c r="G497" s="57">
        <f>CRM_MAGDY!K497</f>
        <v>0</v>
      </c>
      <c r="H497" s="57">
        <f>CRM_MAGDY!N497</f>
        <v>0</v>
      </c>
    </row>
    <row r="498" spans="1:8" ht="30" x14ac:dyDescent="0.25">
      <c r="A498" s="57">
        <f>CRM_MAGDY!H498</f>
        <v>5939</v>
      </c>
      <c r="B498" s="57">
        <f>CRM_MAGDY!I498</f>
        <v>0</v>
      </c>
      <c r="C498" s="57">
        <f>CRM_MAGDY!E498</f>
        <v>0</v>
      </c>
      <c r="D498" s="57">
        <f>CRM_MAGDY!V498</f>
        <v>0</v>
      </c>
      <c r="E498" s="57" t="str">
        <f>IF(CRM_MAGDY!G498="","BRAK TELEFONU",IF(CRM_MAGDY!K498="","BRAK KWOTY",IF(CRM_MAGDY!N498="","BRAK STATUSU",IF(CRM_MAGDY!C498="","BRAK DATY AKCJI",""))))</f>
        <v>BRAK TELEFONU</v>
      </c>
      <c r="F498" s="57" t="str">
        <f>CRM_MAGDY!W498</f>
        <v>BRAKI CRM</v>
      </c>
      <c r="G498" s="57">
        <f>CRM_MAGDY!K498</f>
        <v>0</v>
      </c>
      <c r="H498" s="57">
        <f>CRM_MAGDY!N498</f>
        <v>0</v>
      </c>
    </row>
    <row r="499" spans="1:8" ht="30" x14ac:dyDescent="0.25">
      <c r="A499" s="57">
        <f>CRM_MAGDY!H499</f>
        <v>5940</v>
      </c>
      <c r="B499" s="57">
        <f>CRM_MAGDY!I499</f>
        <v>0</v>
      </c>
      <c r="C499" s="57">
        <f>CRM_MAGDY!E499</f>
        <v>0</v>
      </c>
      <c r="D499" s="57">
        <f>CRM_MAGDY!V499</f>
        <v>0</v>
      </c>
      <c r="E499" s="57" t="str">
        <f>IF(CRM_MAGDY!G499="","BRAK TELEFONU",IF(CRM_MAGDY!K499="","BRAK KWOTY",IF(CRM_MAGDY!N499="","BRAK STATUSU",IF(CRM_MAGDY!C499="","BRAK DATY AKCJI",""))))</f>
        <v>BRAK TELEFONU</v>
      </c>
      <c r="F499" s="57" t="str">
        <f>CRM_MAGDY!W499</f>
        <v>BRAKI CRM</v>
      </c>
      <c r="G499" s="57">
        <f>CRM_MAGDY!K499</f>
        <v>0</v>
      </c>
      <c r="H499" s="57">
        <f>CRM_MAGDY!N499</f>
        <v>0</v>
      </c>
    </row>
    <row r="500" spans="1:8" ht="30" x14ac:dyDescent="0.25">
      <c r="A500" s="57">
        <f>CRM_MAGDY!H500</f>
        <v>5941</v>
      </c>
      <c r="B500" s="57">
        <f>CRM_MAGDY!I500</f>
        <v>0</v>
      </c>
      <c r="C500" s="57">
        <f>CRM_MAGDY!E500</f>
        <v>0</v>
      </c>
      <c r="D500" s="57">
        <f>CRM_MAGDY!V500</f>
        <v>0</v>
      </c>
      <c r="E500" s="57" t="str">
        <f>IF(CRM_MAGDY!G500="","BRAK TELEFONU",IF(CRM_MAGDY!K500="","BRAK KWOTY",IF(CRM_MAGDY!N500="","BRAK STATUSU",IF(CRM_MAGDY!C500="","BRAK DATY AKCJI",""))))</f>
        <v>BRAK TELEFONU</v>
      </c>
      <c r="F500" s="57" t="str">
        <f>CRM_MAGDY!W500</f>
        <v>BRAKI CRM</v>
      </c>
      <c r="G500" s="57">
        <f>CRM_MAGDY!K500</f>
        <v>0</v>
      </c>
      <c r="H500" s="57">
        <f>CRM_MAGDY!N500</f>
        <v>0</v>
      </c>
    </row>
    <row r="501" spans="1:8" ht="30" x14ac:dyDescent="0.25">
      <c r="A501" s="57">
        <f>CRM_MAGDY!H501</f>
        <v>5942</v>
      </c>
      <c r="B501" s="57">
        <f>CRM_MAGDY!I501</f>
        <v>0</v>
      </c>
      <c r="C501" s="57">
        <f>CRM_MAGDY!E501</f>
        <v>0</v>
      </c>
      <c r="D501" s="57">
        <f>CRM_MAGDY!V501</f>
        <v>0</v>
      </c>
      <c r="E501" s="57" t="str">
        <f>IF(CRM_MAGDY!G501="","BRAK TELEFONU",IF(CRM_MAGDY!K501="","BRAK KWOTY",IF(CRM_MAGDY!N501="","BRAK STATUSU",IF(CRM_MAGDY!C501="","BRAK DATY AKCJI",""))))</f>
        <v>BRAK TELEFONU</v>
      </c>
      <c r="F501" s="57" t="str">
        <f>CRM_MAGDY!W501</f>
        <v>BRAKI CRM</v>
      </c>
      <c r="G501" s="57">
        <f>CRM_MAGDY!K501</f>
        <v>0</v>
      </c>
      <c r="H501" s="57">
        <f>CRM_MAGDY!N501</f>
        <v>0</v>
      </c>
    </row>
    <row r="502" spans="1:8" ht="30" x14ac:dyDescent="0.25">
      <c r="A502" s="57">
        <f>CRM_MAGDY!H502</f>
        <v>5943</v>
      </c>
      <c r="B502" s="57">
        <f>CRM_MAGDY!I502</f>
        <v>0</v>
      </c>
      <c r="C502" s="57">
        <f>CRM_MAGDY!E502</f>
        <v>0</v>
      </c>
      <c r="D502" s="57">
        <f>CRM_MAGDY!V502</f>
        <v>0</v>
      </c>
      <c r="E502" s="57" t="str">
        <f>IF(CRM_MAGDY!G502="","BRAK TELEFONU",IF(CRM_MAGDY!K502="","BRAK KWOTY",IF(CRM_MAGDY!N502="","BRAK STATUSU",IF(CRM_MAGDY!C502="","BRAK DATY AKCJI",""))))</f>
        <v>BRAK TELEFONU</v>
      </c>
      <c r="F502" s="57" t="str">
        <f>CRM_MAGDY!W502</f>
        <v>BRAKI CRM</v>
      </c>
      <c r="G502" s="57">
        <f>CRM_MAGDY!K502</f>
        <v>0</v>
      </c>
      <c r="H502" s="57">
        <f>CRM_MAGDY!N502</f>
        <v>0</v>
      </c>
    </row>
    <row r="503" spans="1:8" ht="30" x14ac:dyDescent="0.25">
      <c r="A503" s="57">
        <f>CRM_MAGDY!H503</f>
        <v>5944</v>
      </c>
      <c r="B503" s="57">
        <f>CRM_MAGDY!I503</f>
        <v>0</v>
      </c>
      <c r="C503" s="57">
        <f>CRM_MAGDY!E503</f>
        <v>0</v>
      </c>
      <c r="D503" s="57">
        <f>CRM_MAGDY!V503</f>
        <v>0</v>
      </c>
      <c r="E503" s="57" t="str">
        <f>IF(CRM_MAGDY!G503="","BRAK TELEFONU",IF(CRM_MAGDY!K503="","BRAK KWOTY",IF(CRM_MAGDY!N503="","BRAK STATUSU",IF(CRM_MAGDY!C503="","BRAK DATY AKCJI",""))))</f>
        <v>BRAK TELEFONU</v>
      </c>
      <c r="F503" s="57" t="str">
        <f>CRM_MAGDY!W503</f>
        <v>BRAKI CRM</v>
      </c>
      <c r="G503" s="57">
        <f>CRM_MAGDY!K503</f>
        <v>0</v>
      </c>
      <c r="H503" s="57">
        <f>CRM_MAGDY!N503</f>
        <v>0</v>
      </c>
    </row>
    <row r="504" spans="1:8" ht="30" x14ac:dyDescent="0.25">
      <c r="A504" s="57">
        <f>CRM_MAGDY!H504</f>
        <v>5945</v>
      </c>
      <c r="B504" s="57">
        <f>CRM_MAGDY!I504</f>
        <v>0</v>
      </c>
      <c r="C504" s="57">
        <f>CRM_MAGDY!E504</f>
        <v>0</v>
      </c>
      <c r="D504" s="57">
        <f>CRM_MAGDY!V504</f>
        <v>0</v>
      </c>
      <c r="E504" s="57" t="str">
        <f>IF(CRM_MAGDY!G504="","BRAK TELEFONU",IF(CRM_MAGDY!K504="","BRAK KWOTY",IF(CRM_MAGDY!N504="","BRAK STATUSU",IF(CRM_MAGDY!C504="","BRAK DATY AKCJI",""))))</f>
        <v>BRAK TELEFONU</v>
      </c>
      <c r="F504" s="57" t="str">
        <f>CRM_MAGDY!W504</f>
        <v>BRAKI CRM</v>
      </c>
      <c r="G504" s="57">
        <f>CRM_MAGDY!K504</f>
        <v>0</v>
      </c>
      <c r="H504" s="57">
        <f>CRM_MAGDY!N504</f>
        <v>0</v>
      </c>
    </row>
    <row r="505" spans="1:8" ht="30" x14ac:dyDescent="0.25">
      <c r="A505" s="57">
        <f>CRM_MAGDY!H505</f>
        <v>5946</v>
      </c>
      <c r="B505" s="57">
        <f>CRM_MAGDY!I505</f>
        <v>0</v>
      </c>
      <c r="C505" s="57">
        <f>CRM_MAGDY!E505</f>
        <v>0</v>
      </c>
      <c r="D505" s="57">
        <f>CRM_MAGDY!V505</f>
        <v>0</v>
      </c>
      <c r="E505" s="57" t="str">
        <f>IF(CRM_MAGDY!G505="","BRAK TELEFONU",IF(CRM_MAGDY!K505="","BRAK KWOTY",IF(CRM_MAGDY!N505="","BRAK STATUSU",IF(CRM_MAGDY!C505="","BRAK DATY AKCJI",""))))</f>
        <v>BRAK TELEFONU</v>
      </c>
      <c r="F505" s="57" t="str">
        <f>CRM_MAGDY!W505</f>
        <v>BRAKI CRM</v>
      </c>
      <c r="G505" s="57">
        <f>CRM_MAGDY!K505</f>
        <v>0</v>
      </c>
      <c r="H505" s="57">
        <f>CRM_MAGDY!N505</f>
        <v>0</v>
      </c>
    </row>
    <row r="506" spans="1:8" ht="30" x14ac:dyDescent="0.25">
      <c r="A506" s="57">
        <f>CRM_MAGDY!H506</f>
        <v>5947</v>
      </c>
      <c r="B506" s="57">
        <f>CRM_MAGDY!I506</f>
        <v>0</v>
      </c>
      <c r="C506" s="57">
        <f>CRM_MAGDY!E506</f>
        <v>0</v>
      </c>
      <c r="D506" s="57">
        <f>CRM_MAGDY!V506</f>
        <v>0</v>
      </c>
      <c r="E506" s="57" t="str">
        <f>IF(CRM_MAGDY!G506="","BRAK TELEFONU",IF(CRM_MAGDY!K506="","BRAK KWOTY",IF(CRM_MAGDY!N506="","BRAK STATUSU",IF(CRM_MAGDY!C506="","BRAK DATY AKCJI",""))))</f>
        <v>BRAK TELEFONU</v>
      </c>
      <c r="F506" s="57" t="str">
        <f>CRM_MAGDY!W506</f>
        <v>BRAKI CRM</v>
      </c>
      <c r="G506" s="57">
        <f>CRM_MAGDY!K506</f>
        <v>0</v>
      </c>
      <c r="H506" s="57">
        <f>CRM_MAGDY!N506</f>
        <v>0</v>
      </c>
    </row>
    <row r="507" spans="1:8" ht="30" x14ac:dyDescent="0.25">
      <c r="A507" s="57">
        <f>CRM_MAGDY!H507</f>
        <v>5948</v>
      </c>
      <c r="B507" s="57">
        <f>CRM_MAGDY!I507</f>
        <v>0</v>
      </c>
      <c r="C507" s="57">
        <f>CRM_MAGDY!E507</f>
        <v>0</v>
      </c>
      <c r="D507" s="57">
        <f>CRM_MAGDY!V507</f>
        <v>0</v>
      </c>
      <c r="E507" s="57" t="str">
        <f>IF(CRM_MAGDY!G507="","BRAK TELEFONU",IF(CRM_MAGDY!K507="","BRAK KWOTY",IF(CRM_MAGDY!N507="","BRAK STATUSU",IF(CRM_MAGDY!C507="","BRAK DATY AKCJI",""))))</f>
        <v>BRAK TELEFONU</v>
      </c>
      <c r="F507" s="57" t="str">
        <f>CRM_MAGDY!W507</f>
        <v>BRAKI CRM</v>
      </c>
      <c r="G507" s="57">
        <f>CRM_MAGDY!K507</f>
        <v>0</v>
      </c>
      <c r="H507" s="57">
        <f>CRM_MAGDY!N507</f>
        <v>0</v>
      </c>
    </row>
    <row r="508" spans="1:8" ht="30" x14ac:dyDescent="0.25">
      <c r="A508" s="57">
        <f>CRM_MAGDY!H508</f>
        <v>5949</v>
      </c>
      <c r="B508" s="57">
        <f>CRM_MAGDY!I508</f>
        <v>0</v>
      </c>
      <c r="C508" s="57">
        <f>CRM_MAGDY!E508</f>
        <v>0</v>
      </c>
      <c r="D508" s="57">
        <f>CRM_MAGDY!V508</f>
        <v>0</v>
      </c>
      <c r="E508" s="57" t="str">
        <f>IF(CRM_MAGDY!G508="","BRAK TELEFONU",IF(CRM_MAGDY!K508="","BRAK KWOTY",IF(CRM_MAGDY!N508="","BRAK STATUSU",IF(CRM_MAGDY!C508="","BRAK DATY AKCJI",""))))</f>
        <v>BRAK TELEFONU</v>
      </c>
      <c r="F508" s="57" t="str">
        <f>CRM_MAGDY!W508</f>
        <v>BRAKI CRM</v>
      </c>
      <c r="G508" s="57">
        <f>CRM_MAGDY!K508</f>
        <v>0</v>
      </c>
      <c r="H508" s="57">
        <f>CRM_MAGDY!N508</f>
        <v>0</v>
      </c>
    </row>
    <row r="509" spans="1:8" ht="30" x14ac:dyDescent="0.25">
      <c r="A509" s="57">
        <f>CRM_MAGDY!H509</f>
        <v>5950</v>
      </c>
      <c r="B509" s="57">
        <f>CRM_MAGDY!I509</f>
        <v>0</v>
      </c>
      <c r="C509" s="57">
        <f>CRM_MAGDY!E509</f>
        <v>0</v>
      </c>
      <c r="D509" s="57">
        <f>CRM_MAGDY!V509</f>
        <v>0</v>
      </c>
      <c r="E509" s="57" t="str">
        <f>IF(CRM_MAGDY!G509="","BRAK TELEFONU",IF(CRM_MAGDY!K509="","BRAK KWOTY",IF(CRM_MAGDY!N509="","BRAK STATUSU",IF(CRM_MAGDY!C509="","BRAK DATY AKCJI",""))))</f>
        <v>BRAK TELEFONU</v>
      </c>
      <c r="F509" s="57" t="str">
        <f>CRM_MAGDY!W509</f>
        <v>BRAKI CRM</v>
      </c>
      <c r="G509" s="57">
        <f>CRM_MAGDY!K509</f>
        <v>0</v>
      </c>
      <c r="H509" s="57">
        <f>CRM_MAGDY!N509</f>
        <v>0</v>
      </c>
    </row>
    <row r="510" spans="1:8" ht="30" x14ac:dyDescent="0.25">
      <c r="A510" s="57">
        <f>CRM_MAGDY!H510</f>
        <v>5951</v>
      </c>
      <c r="B510" s="57">
        <f>CRM_MAGDY!I510</f>
        <v>0</v>
      </c>
      <c r="C510" s="57">
        <f>CRM_MAGDY!E510</f>
        <v>0</v>
      </c>
      <c r="D510" s="57">
        <f>CRM_MAGDY!V510</f>
        <v>0</v>
      </c>
      <c r="E510" s="57" t="str">
        <f>IF(CRM_MAGDY!G510="","BRAK TELEFONU",IF(CRM_MAGDY!K510="","BRAK KWOTY",IF(CRM_MAGDY!N510="","BRAK STATUSU",IF(CRM_MAGDY!C510="","BRAK DATY AKCJI",""))))</f>
        <v>BRAK TELEFONU</v>
      </c>
      <c r="F510" s="57" t="str">
        <f>CRM_MAGDY!W510</f>
        <v>BRAKI CRM</v>
      </c>
      <c r="G510" s="57">
        <f>CRM_MAGDY!K510</f>
        <v>0</v>
      </c>
      <c r="H510" s="57">
        <f>CRM_MAGDY!N510</f>
        <v>0</v>
      </c>
    </row>
    <row r="511" spans="1:8" ht="30" x14ac:dyDescent="0.25">
      <c r="A511" s="57">
        <f>CRM_MAGDY!H511</f>
        <v>5952</v>
      </c>
      <c r="B511" s="57">
        <f>CRM_MAGDY!I511</f>
        <v>0</v>
      </c>
      <c r="C511" s="57">
        <f>CRM_MAGDY!E511</f>
        <v>0</v>
      </c>
      <c r="D511" s="57">
        <f>CRM_MAGDY!V511</f>
        <v>0</v>
      </c>
      <c r="E511" s="57" t="str">
        <f>IF(CRM_MAGDY!G511="","BRAK TELEFONU",IF(CRM_MAGDY!K511="","BRAK KWOTY",IF(CRM_MAGDY!N511="","BRAK STATUSU",IF(CRM_MAGDY!C511="","BRAK DATY AKCJI",""))))</f>
        <v>BRAK TELEFONU</v>
      </c>
      <c r="F511" s="57" t="str">
        <f>CRM_MAGDY!W511</f>
        <v>BRAKI CRM</v>
      </c>
      <c r="G511" s="57">
        <f>CRM_MAGDY!K511</f>
        <v>0</v>
      </c>
      <c r="H511" s="57">
        <f>CRM_MAGDY!N511</f>
        <v>0</v>
      </c>
    </row>
    <row r="512" spans="1:8" ht="30" x14ac:dyDescent="0.25">
      <c r="A512" s="57">
        <f>CRM_MAGDY!H512</f>
        <v>5953</v>
      </c>
      <c r="B512" s="57">
        <f>CRM_MAGDY!I512</f>
        <v>0</v>
      </c>
      <c r="C512" s="57">
        <f>CRM_MAGDY!E512</f>
        <v>0</v>
      </c>
      <c r="D512" s="57">
        <f>CRM_MAGDY!V512</f>
        <v>0</v>
      </c>
      <c r="E512" s="57" t="str">
        <f>IF(CRM_MAGDY!G512="","BRAK TELEFONU",IF(CRM_MAGDY!K512="","BRAK KWOTY",IF(CRM_MAGDY!N512="","BRAK STATUSU",IF(CRM_MAGDY!C512="","BRAK DATY AKCJI",""))))</f>
        <v>BRAK TELEFONU</v>
      </c>
      <c r="F512" s="57" t="str">
        <f>CRM_MAGDY!W512</f>
        <v>BRAKI CRM</v>
      </c>
      <c r="G512" s="57">
        <f>CRM_MAGDY!K512</f>
        <v>0</v>
      </c>
      <c r="H512" s="57">
        <f>CRM_MAGDY!N512</f>
        <v>0</v>
      </c>
    </row>
    <row r="513" spans="1:8" ht="30" x14ac:dyDescent="0.25">
      <c r="A513" s="57">
        <f>CRM_MAGDY!H513</f>
        <v>5954</v>
      </c>
      <c r="B513" s="57">
        <f>CRM_MAGDY!I513</f>
        <v>0</v>
      </c>
      <c r="C513" s="57">
        <f>CRM_MAGDY!E513</f>
        <v>0</v>
      </c>
      <c r="D513" s="57">
        <f>CRM_MAGDY!V513</f>
        <v>0</v>
      </c>
      <c r="E513" s="57" t="str">
        <f>IF(CRM_MAGDY!G513="","BRAK TELEFONU",IF(CRM_MAGDY!K513="","BRAK KWOTY",IF(CRM_MAGDY!N513="","BRAK STATUSU",IF(CRM_MAGDY!C513="","BRAK DATY AKCJI",""))))</f>
        <v>BRAK TELEFONU</v>
      </c>
      <c r="F513" s="57" t="str">
        <f>CRM_MAGDY!W513</f>
        <v>BRAKI CRM</v>
      </c>
      <c r="G513" s="57">
        <f>CRM_MAGDY!K513</f>
        <v>0</v>
      </c>
      <c r="H513" s="57">
        <f>CRM_MAGDY!N513</f>
        <v>0</v>
      </c>
    </row>
    <row r="514" spans="1:8" ht="30" x14ac:dyDescent="0.25">
      <c r="A514" s="57">
        <f>CRM_MAGDY!H514</f>
        <v>5955</v>
      </c>
      <c r="B514" s="57">
        <f>CRM_MAGDY!I514</f>
        <v>0</v>
      </c>
      <c r="C514" s="57">
        <f>CRM_MAGDY!E514</f>
        <v>0</v>
      </c>
      <c r="D514" s="57">
        <f>CRM_MAGDY!V514</f>
        <v>0</v>
      </c>
      <c r="E514" s="57" t="str">
        <f>IF(CRM_MAGDY!G514="","BRAK TELEFONU",IF(CRM_MAGDY!K514="","BRAK KWOTY",IF(CRM_MAGDY!N514="","BRAK STATUSU",IF(CRM_MAGDY!C514="","BRAK DATY AKCJI",""))))</f>
        <v>BRAK TELEFONU</v>
      </c>
      <c r="F514" s="57" t="str">
        <f>CRM_MAGDY!W514</f>
        <v>BRAKI CRM</v>
      </c>
      <c r="G514" s="57">
        <f>CRM_MAGDY!K514</f>
        <v>0</v>
      </c>
      <c r="H514" s="57">
        <f>CRM_MAGDY!N514</f>
        <v>0</v>
      </c>
    </row>
    <row r="515" spans="1:8" ht="30" x14ac:dyDescent="0.25">
      <c r="A515" s="57">
        <f>CRM_MAGDY!H515</f>
        <v>5956</v>
      </c>
      <c r="B515" s="57">
        <f>CRM_MAGDY!I515</f>
        <v>0</v>
      </c>
      <c r="C515" s="57">
        <f>CRM_MAGDY!E515</f>
        <v>0</v>
      </c>
      <c r="D515" s="57">
        <f>CRM_MAGDY!V515</f>
        <v>0</v>
      </c>
      <c r="E515" s="57" t="str">
        <f>IF(CRM_MAGDY!G515="","BRAK TELEFONU",IF(CRM_MAGDY!K515="","BRAK KWOTY",IF(CRM_MAGDY!N515="","BRAK STATUSU",IF(CRM_MAGDY!C515="","BRAK DATY AKCJI",""))))</f>
        <v>BRAK TELEFONU</v>
      </c>
      <c r="F515" s="57" t="str">
        <f>CRM_MAGDY!W515</f>
        <v>BRAKI CRM</v>
      </c>
      <c r="G515" s="57">
        <f>CRM_MAGDY!K515</f>
        <v>0</v>
      </c>
      <c r="H515" s="57">
        <f>CRM_MAGDY!N515</f>
        <v>0</v>
      </c>
    </row>
    <row r="516" spans="1:8" ht="30" x14ac:dyDescent="0.25">
      <c r="A516" s="57">
        <f>CRM_MAGDY!H516</f>
        <v>5957</v>
      </c>
      <c r="B516" s="57">
        <f>CRM_MAGDY!I516</f>
        <v>0</v>
      </c>
      <c r="C516" s="57">
        <f>CRM_MAGDY!E516</f>
        <v>0</v>
      </c>
      <c r="D516" s="57">
        <f>CRM_MAGDY!V516</f>
        <v>0</v>
      </c>
      <c r="E516" s="57" t="str">
        <f>IF(CRM_MAGDY!G516="","BRAK TELEFONU",IF(CRM_MAGDY!K516="","BRAK KWOTY",IF(CRM_MAGDY!N516="","BRAK STATUSU",IF(CRM_MAGDY!C516="","BRAK DATY AKCJI",""))))</f>
        <v>BRAK TELEFONU</v>
      </c>
      <c r="F516" s="57" t="str">
        <f>CRM_MAGDY!W516</f>
        <v>BRAKI CRM</v>
      </c>
      <c r="G516" s="57">
        <f>CRM_MAGDY!K516</f>
        <v>0</v>
      </c>
      <c r="H516" s="57">
        <f>CRM_MAGDY!N516</f>
        <v>0</v>
      </c>
    </row>
    <row r="517" spans="1:8" ht="30" x14ac:dyDescent="0.25">
      <c r="A517" s="57">
        <f>CRM_MAGDY!H517</f>
        <v>5958</v>
      </c>
      <c r="B517" s="57">
        <f>CRM_MAGDY!I517</f>
        <v>0</v>
      </c>
      <c r="C517" s="57">
        <f>CRM_MAGDY!E517</f>
        <v>0</v>
      </c>
      <c r="D517" s="57">
        <f>CRM_MAGDY!V517</f>
        <v>0</v>
      </c>
      <c r="E517" s="57" t="str">
        <f>IF(CRM_MAGDY!G517="","BRAK TELEFONU",IF(CRM_MAGDY!K517="","BRAK KWOTY",IF(CRM_MAGDY!N517="","BRAK STATUSU",IF(CRM_MAGDY!C517="","BRAK DATY AKCJI",""))))</f>
        <v>BRAK TELEFONU</v>
      </c>
      <c r="F517" s="57" t="str">
        <f>CRM_MAGDY!W517</f>
        <v>BRAKI CRM</v>
      </c>
      <c r="G517" s="57">
        <f>CRM_MAGDY!K517</f>
        <v>0</v>
      </c>
      <c r="H517" s="57">
        <f>CRM_MAGDY!N517</f>
        <v>0</v>
      </c>
    </row>
    <row r="518" spans="1:8" ht="30" x14ac:dyDescent="0.25">
      <c r="A518" s="57">
        <f>CRM_MAGDY!H518</f>
        <v>5959</v>
      </c>
      <c r="B518" s="57">
        <f>CRM_MAGDY!I518</f>
        <v>0</v>
      </c>
      <c r="C518" s="57">
        <f>CRM_MAGDY!E518</f>
        <v>0</v>
      </c>
      <c r="D518" s="57">
        <f>CRM_MAGDY!V518</f>
        <v>0</v>
      </c>
      <c r="E518" s="57" t="str">
        <f>IF(CRM_MAGDY!G518="","BRAK TELEFONU",IF(CRM_MAGDY!K518="","BRAK KWOTY",IF(CRM_MAGDY!N518="","BRAK STATUSU",IF(CRM_MAGDY!C518="","BRAK DATY AKCJI",""))))</f>
        <v>BRAK TELEFONU</v>
      </c>
      <c r="F518" s="57" t="str">
        <f>CRM_MAGDY!W518</f>
        <v>BRAKI CRM</v>
      </c>
      <c r="G518" s="57">
        <f>CRM_MAGDY!K518</f>
        <v>0</v>
      </c>
      <c r="H518" s="57">
        <f>CRM_MAGDY!N518</f>
        <v>0</v>
      </c>
    </row>
    <row r="519" spans="1:8" ht="30" x14ac:dyDescent="0.25">
      <c r="A519" s="57">
        <f>CRM_MAGDY!H519</f>
        <v>5960</v>
      </c>
      <c r="B519" s="57">
        <f>CRM_MAGDY!I519</f>
        <v>0</v>
      </c>
      <c r="C519" s="57">
        <f>CRM_MAGDY!E519</f>
        <v>0</v>
      </c>
      <c r="D519" s="57">
        <f>CRM_MAGDY!V519</f>
        <v>0</v>
      </c>
      <c r="E519" s="57" t="str">
        <f>IF(CRM_MAGDY!G519="","BRAK TELEFONU",IF(CRM_MAGDY!K519="","BRAK KWOTY",IF(CRM_MAGDY!N519="","BRAK STATUSU",IF(CRM_MAGDY!C519="","BRAK DATY AKCJI",""))))</f>
        <v>BRAK TELEFONU</v>
      </c>
      <c r="F519" s="57" t="str">
        <f>CRM_MAGDY!W519</f>
        <v>BRAKI CRM</v>
      </c>
      <c r="G519" s="57">
        <f>CRM_MAGDY!K519</f>
        <v>0</v>
      </c>
      <c r="H519" s="57">
        <f>CRM_MAGDY!N519</f>
        <v>0</v>
      </c>
    </row>
    <row r="520" spans="1:8" ht="30" x14ac:dyDescent="0.25">
      <c r="A520" s="57">
        <f>CRM_MAGDY!H520</f>
        <v>5961</v>
      </c>
      <c r="B520" s="57">
        <f>CRM_MAGDY!I520</f>
        <v>0</v>
      </c>
      <c r="C520" s="57">
        <f>CRM_MAGDY!E520</f>
        <v>0</v>
      </c>
      <c r="D520" s="57">
        <f>CRM_MAGDY!V520</f>
        <v>0</v>
      </c>
      <c r="E520" s="57" t="str">
        <f>IF(CRM_MAGDY!G520="","BRAK TELEFONU",IF(CRM_MAGDY!K520="","BRAK KWOTY",IF(CRM_MAGDY!N520="","BRAK STATUSU",IF(CRM_MAGDY!C520="","BRAK DATY AKCJI",""))))</f>
        <v>BRAK TELEFONU</v>
      </c>
      <c r="F520" s="57" t="str">
        <f>CRM_MAGDY!W520</f>
        <v>BRAKI CRM</v>
      </c>
      <c r="G520" s="57">
        <f>CRM_MAGDY!K520</f>
        <v>0</v>
      </c>
      <c r="H520" s="57">
        <f>CRM_MAGDY!N520</f>
        <v>0</v>
      </c>
    </row>
    <row r="521" spans="1:8" ht="30" x14ac:dyDescent="0.25">
      <c r="A521" s="57">
        <f>CRM_MAGDY!H521</f>
        <v>5962</v>
      </c>
      <c r="B521" s="57">
        <f>CRM_MAGDY!I521</f>
        <v>0</v>
      </c>
      <c r="C521" s="57">
        <f>CRM_MAGDY!E521</f>
        <v>0</v>
      </c>
      <c r="D521" s="57">
        <f>CRM_MAGDY!V521</f>
        <v>0</v>
      </c>
      <c r="E521" s="57" t="str">
        <f>IF(CRM_MAGDY!G521="","BRAK TELEFONU",IF(CRM_MAGDY!K521="","BRAK KWOTY",IF(CRM_MAGDY!N521="","BRAK STATUSU",IF(CRM_MAGDY!C521="","BRAK DATY AKCJI",""))))</f>
        <v>BRAK TELEFONU</v>
      </c>
      <c r="F521" s="57" t="str">
        <f>CRM_MAGDY!W521</f>
        <v>BRAKI CRM</v>
      </c>
      <c r="G521" s="57">
        <f>CRM_MAGDY!K521</f>
        <v>0</v>
      </c>
      <c r="H521" s="57">
        <f>CRM_MAGDY!N521</f>
        <v>0</v>
      </c>
    </row>
    <row r="522" spans="1:8" ht="30" x14ac:dyDescent="0.25">
      <c r="A522" s="57">
        <f>CRM_MAGDY!H522</f>
        <v>5963</v>
      </c>
      <c r="B522" s="57">
        <f>CRM_MAGDY!I522</f>
        <v>0</v>
      </c>
      <c r="C522" s="57">
        <f>CRM_MAGDY!E522</f>
        <v>0</v>
      </c>
      <c r="D522" s="57">
        <f>CRM_MAGDY!V522</f>
        <v>0</v>
      </c>
      <c r="E522" s="57" t="str">
        <f>IF(CRM_MAGDY!G522="","BRAK TELEFONU",IF(CRM_MAGDY!K522="","BRAK KWOTY",IF(CRM_MAGDY!N522="","BRAK STATUSU",IF(CRM_MAGDY!C522="","BRAK DATY AKCJI",""))))</f>
        <v>BRAK TELEFONU</v>
      </c>
      <c r="F522" s="57" t="str">
        <f>CRM_MAGDY!W522</f>
        <v>BRAKI CRM</v>
      </c>
      <c r="G522" s="57">
        <f>CRM_MAGDY!K522</f>
        <v>0</v>
      </c>
      <c r="H522" s="57">
        <f>CRM_MAGDY!N522</f>
        <v>0</v>
      </c>
    </row>
    <row r="523" spans="1:8" ht="30" x14ac:dyDescent="0.25">
      <c r="A523" s="57">
        <f>CRM_MAGDY!H523</f>
        <v>5964</v>
      </c>
      <c r="B523" s="57">
        <f>CRM_MAGDY!I523</f>
        <v>0</v>
      </c>
      <c r="C523" s="57">
        <f>CRM_MAGDY!E523</f>
        <v>0</v>
      </c>
      <c r="D523" s="57">
        <f>CRM_MAGDY!V523</f>
        <v>0</v>
      </c>
      <c r="E523" s="57" t="str">
        <f>IF(CRM_MAGDY!G523="","BRAK TELEFONU",IF(CRM_MAGDY!K523="","BRAK KWOTY",IF(CRM_MAGDY!N523="","BRAK STATUSU",IF(CRM_MAGDY!C523="","BRAK DATY AKCJI",""))))</f>
        <v>BRAK TELEFONU</v>
      </c>
      <c r="F523" s="57" t="str">
        <f>CRM_MAGDY!W523</f>
        <v>BRAKI CRM</v>
      </c>
      <c r="G523" s="57">
        <f>CRM_MAGDY!K523</f>
        <v>0</v>
      </c>
      <c r="H523" s="57">
        <f>CRM_MAGDY!N523</f>
        <v>0</v>
      </c>
    </row>
    <row r="524" spans="1:8" ht="30" x14ac:dyDescent="0.25">
      <c r="A524" s="57">
        <f>CRM_MAGDY!H524</f>
        <v>5965</v>
      </c>
      <c r="B524" s="57">
        <f>CRM_MAGDY!I524</f>
        <v>0</v>
      </c>
      <c r="C524" s="57">
        <f>CRM_MAGDY!E524</f>
        <v>0</v>
      </c>
      <c r="D524" s="57">
        <f>CRM_MAGDY!V524</f>
        <v>0</v>
      </c>
      <c r="E524" s="57" t="str">
        <f>IF(CRM_MAGDY!G524="","BRAK TELEFONU",IF(CRM_MAGDY!K524="","BRAK KWOTY",IF(CRM_MAGDY!N524="","BRAK STATUSU",IF(CRM_MAGDY!C524="","BRAK DATY AKCJI",""))))</f>
        <v>BRAK TELEFONU</v>
      </c>
      <c r="F524" s="57" t="str">
        <f>CRM_MAGDY!W524</f>
        <v>BRAKI CRM</v>
      </c>
      <c r="G524" s="57">
        <f>CRM_MAGDY!K524</f>
        <v>0</v>
      </c>
      <c r="H524" s="57">
        <f>CRM_MAGDY!N524</f>
        <v>0</v>
      </c>
    </row>
    <row r="525" spans="1:8" ht="30" x14ac:dyDescent="0.25">
      <c r="A525" s="57">
        <f>CRM_MAGDY!H525</f>
        <v>5966</v>
      </c>
      <c r="B525" s="57">
        <f>CRM_MAGDY!I525</f>
        <v>0</v>
      </c>
      <c r="C525" s="57">
        <f>CRM_MAGDY!E525</f>
        <v>0</v>
      </c>
      <c r="D525" s="57">
        <f>CRM_MAGDY!V525</f>
        <v>0</v>
      </c>
      <c r="E525" s="57" t="str">
        <f>IF(CRM_MAGDY!G525="","BRAK TELEFONU",IF(CRM_MAGDY!K525="","BRAK KWOTY",IF(CRM_MAGDY!N525="","BRAK STATUSU",IF(CRM_MAGDY!C525="","BRAK DATY AKCJI",""))))</f>
        <v>BRAK TELEFONU</v>
      </c>
      <c r="F525" s="57" t="str">
        <f>CRM_MAGDY!W525</f>
        <v>BRAKI CRM</v>
      </c>
      <c r="G525" s="57">
        <f>CRM_MAGDY!K525</f>
        <v>0</v>
      </c>
      <c r="H525" s="57">
        <f>CRM_MAGDY!N525</f>
        <v>0</v>
      </c>
    </row>
    <row r="526" spans="1:8" ht="30" x14ac:dyDescent="0.25">
      <c r="A526" s="57">
        <f>CRM_MAGDY!H526</f>
        <v>5967</v>
      </c>
      <c r="B526" s="57">
        <f>CRM_MAGDY!I526</f>
        <v>0</v>
      </c>
      <c r="C526" s="57">
        <f>CRM_MAGDY!E526</f>
        <v>0</v>
      </c>
      <c r="D526" s="57">
        <f>CRM_MAGDY!V526</f>
        <v>0</v>
      </c>
      <c r="E526" s="57" t="str">
        <f>IF(CRM_MAGDY!G526="","BRAK TELEFONU",IF(CRM_MAGDY!K526="","BRAK KWOTY",IF(CRM_MAGDY!N526="","BRAK STATUSU",IF(CRM_MAGDY!C526="","BRAK DATY AKCJI",""))))</f>
        <v>BRAK TELEFONU</v>
      </c>
      <c r="F526" s="57" t="str">
        <f>CRM_MAGDY!W526</f>
        <v>BRAKI CRM</v>
      </c>
      <c r="G526" s="57">
        <f>CRM_MAGDY!K526</f>
        <v>0</v>
      </c>
      <c r="H526" s="57">
        <f>CRM_MAGDY!N526</f>
        <v>0</v>
      </c>
    </row>
    <row r="527" spans="1:8" ht="30" x14ac:dyDescent="0.25">
      <c r="A527" s="57">
        <f>CRM_MAGDY!H527</f>
        <v>5968</v>
      </c>
      <c r="B527" s="57">
        <f>CRM_MAGDY!I527</f>
        <v>0</v>
      </c>
      <c r="C527" s="57">
        <f>CRM_MAGDY!E527</f>
        <v>0</v>
      </c>
      <c r="D527" s="57">
        <f>CRM_MAGDY!V527</f>
        <v>0</v>
      </c>
      <c r="E527" s="57" t="str">
        <f>IF(CRM_MAGDY!G527="","BRAK TELEFONU",IF(CRM_MAGDY!K527="","BRAK KWOTY",IF(CRM_MAGDY!N527="","BRAK STATUSU",IF(CRM_MAGDY!C527="","BRAK DATY AKCJI",""))))</f>
        <v>BRAK TELEFONU</v>
      </c>
      <c r="F527" s="57" t="str">
        <f>CRM_MAGDY!W527</f>
        <v>BRAKI CRM</v>
      </c>
      <c r="G527" s="57">
        <f>CRM_MAGDY!K527</f>
        <v>0</v>
      </c>
      <c r="H527" s="57">
        <f>CRM_MAGDY!N527</f>
        <v>0</v>
      </c>
    </row>
    <row r="528" spans="1:8" ht="30" x14ac:dyDescent="0.25">
      <c r="A528" s="57">
        <f>CRM_MAGDY!H528</f>
        <v>5969</v>
      </c>
      <c r="B528" s="57">
        <f>CRM_MAGDY!I528</f>
        <v>0</v>
      </c>
      <c r="C528" s="57">
        <f>CRM_MAGDY!E528</f>
        <v>0</v>
      </c>
      <c r="D528" s="57">
        <f>CRM_MAGDY!V528</f>
        <v>0</v>
      </c>
      <c r="E528" s="57" t="str">
        <f>IF(CRM_MAGDY!G528="","BRAK TELEFONU",IF(CRM_MAGDY!K528="","BRAK KWOTY",IF(CRM_MAGDY!N528="","BRAK STATUSU",IF(CRM_MAGDY!C528="","BRAK DATY AKCJI",""))))</f>
        <v>BRAK TELEFONU</v>
      </c>
      <c r="F528" s="57" t="str">
        <f>CRM_MAGDY!W528</f>
        <v>BRAKI CRM</v>
      </c>
      <c r="G528" s="57">
        <f>CRM_MAGDY!K528</f>
        <v>0</v>
      </c>
      <c r="H528" s="57">
        <f>CRM_MAGDY!N528</f>
        <v>0</v>
      </c>
    </row>
    <row r="529" spans="1:8" ht="30" x14ac:dyDescent="0.25">
      <c r="A529" s="57">
        <f>CRM_MAGDY!H529</f>
        <v>5970</v>
      </c>
      <c r="B529" s="57">
        <f>CRM_MAGDY!I529</f>
        <v>0</v>
      </c>
      <c r="C529" s="57">
        <f>CRM_MAGDY!E529</f>
        <v>0</v>
      </c>
      <c r="D529" s="57">
        <f>CRM_MAGDY!V529</f>
        <v>0</v>
      </c>
      <c r="E529" s="57" t="str">
        <f>IF(CRM_MAGDY!G529="","BRAK TELEFONU",IF(CRM_MAGDY!K529="","BRAK KWOTY",IF(CRM_MAGDY!N529="","BRAK STATUSU",IF(CRM_MAGDY!C529="","BRAK DATY AKCJI",""))))</f>
        <v>BRAK TELEFONU</v>
      </c>
      <c r="F529" s="57" t="str">
        <f>CRM_MAGDY!W529</f>
        <v>BRAKI CRM</v>
      </c>
      <c r="G529" s="57">
        <f>CRM_MAGDY!K529</f>
        <v>0</v>
      </c>
      <c r="H529" s="57">
        <f>CRM_MAGDY!N529</f>
        <v>0</v>
      </c>
    </row>
    <row r="530" spans="1:8" ht="30" x14ac:dyDescent="0.25">
      <c r="A530" s="57">
        <f>CRM_MAGDY!H530</f>
        <v>5971</v>
      </c>
      <c r="B530" s="57">
        <f>CRM_MAGDY!I530</f>
        <v>0</v>
      </c>
      <c r="C530" s="57">
        <f>CRM_MAGDY!E530</f>
        <v>0</v>
      </c>
      <c r="D530" s="57">
        <f>CRM_MAGDY!V530</f>
        <v>0</v>
      </c>
      <c r="E530" s="57" t="str">
        <f>IF(CRM_MAGDY!G530="","BRAK TELEFONU",IF(CRM_MAGDY!K530="","BRAK KWOTY",IF(CRM_MAGDY!N530="","BRAK STATUSU",IF(CRM_MAGDY!C530="","BRAK DATY AKCJI",""))))</f>
        <v>BRAK TELEFONU</v>
      </c>
      <c r="F530" s="57" t="str">
        <f>CRM_MAGDY!W530</f>
        <v>BRAKI CRM</v>
      </c>
      <c r="G530" s="57">
        <f>CRM_MAGDY!K530</f>
        <v>0</v>
      </c>
      <c r="H530" s="57">
        <f>CRM_MAGDY!N530</f>
        <v>0</v>
      </c>
    </row>
    <row r="531" spans="1:8" ht="30" x14ac:dyDescent="0.25">
      <c r="A531" s="57">
        <f>CRM_MAGDY!H531</f>
        <v>5972</v>
      </c>
      <c r="B531" s="57">
        <f>CRM_MAGDY!I531</f>
        <v>0</v>
      </c>
      <c r="C531" s="57">
        <f>CRM_MAGDY!E531</f>
        <v>0</v>
      </c>
      <c r="D531" s="57">
        <f>CRM_MAGDY!V531</f>
        <v>0</v>
      </c>
      <c r="E531" s="57" t="str">
        <f>IF(CRM_MAGDY!G531="","BRAK TELEFONU",IF(CRM_MAGDY!K531="","BRAK KWOTY",IF(CRM_MAGDY!N531="","BRAK STATUSU",IF(CRM_MAGDY!C531="","BRAK DATY AKCJI",""))))</f>
        <v>BRAK TELEFONU</v>
      </c>
      <c r="F531" s="57" t="str">
        <f>CRM_MAGDY!W531</f>
        <v>BRAKI CRM</v>
      </c>
      <c r="G531" s="57">
        <f>CRM_MAGDY!K531</f>
        <v>0</v>
      </c>
      <c r="H531" s="57">
        <f>CRM_MAGDY!N531</f>
        <v>0</v>
      </c>
    </row>
    <row r="532" spans="1:8" ht="30" x14ac:dyDescent="0.25">
      <c r="A532" s="57">
        <f>CRM_MAGDY!H532</f>
        <v>5973</v>
      </c>
      <c r="B532" s="57">
        <f>CRM_MAGDY!I532</f>
        <v>0</v>
      </c>
      <c r="C532" s="57">
        <f>CRM_MAGDY!E532</f>
        <v>0</v>
      </c>
      <c r="D532" s="57">
        <f>CRM_MAGDY!V532</f>
        <v>0</v>
      </c>
      <c r="E532" s="57" t="str">
        <f>IF(CRM_MAGDY!G532="","BRAK TELEFONU",IF(CRM_MAGDY!K532="","BRAK KWOTY",IF(CRM_MAGDY!N532="","BRAK STATUSU",IF(CRM_MAGDY!C532="","BRAK DATY AKCJI",""))))</f>
        <v>BRAK TELEFONU</v>
      </c>
      <c r="F532" s="57" t="str">
        <f>CRM_MAGDY!W532</f>
        <v>BRAKI CRM</v>
      </c>
      <c r="G532" s="57">
        <f>CRM_MAGDY!K532</f>
        <v>0</v>
      </c>
      <c r="H532" s="57">
        <f>CRM_MAGDY!N532</f>
        <v>0</v>
      </c>
    </row>
    <row r="533" spans="1:8" ht="30" x14ac:dyDescent="0.25">
      <c r="A533" s="57">
        <f>CRM_MAGDY!H533</f>
        <v>5974</v>
      </c>
      <c r="B533" s="57">
        <f>CRM_MAGDY!I533</f>
        <v>0</v>
      </c>
      <c r="C533" s="57">
        <f>CRM_MAGDY!E533</f>
        <v>0</v>
      </c>
      <c r="D533" s="57">
        <f>CRM_MAGDY!V533</f>
        <v>0</v>
      </c>
      <c r="E533" s="57" t="str">
        <f>IF(CRM_MAGDY!G533="","BRAK TELEFONU",IF(CRM_MAGDY!K533="","BRAK KWOTY",IF(CRM_MAGDY!N533="","BRAK STATUSU",IF(CRM_MAGDY!C533="","BRAK DATY AKCJI",""))))</f>
        <v>BRAK TELEFONU</v>
      </c>
      <c r="F533" s="57" t="str">
        <f>CRM_MAGDY!W533</f>
        <v>BRAKI CRM</v>
      </c>
      <c r="G533" s="57">
        <f>CRM_MAGDY!K533</f>
        <v>0</v>
      </c>
      <c r="H533" s="57">
        <f>CRM_MAGDY!N533</f>
        <v>0</v>
      </c>
    </row>
    <row r="534" spans="1:8" ht="30" x14ac:dyDescent="0.25">
      <c r="A534" s="57">
        <f>CRM_MAGDY!H534</f>
        <v>5975</v>
      </c>
      <c r="B534" s="57">
        <f>CRM_MAGDY!I534</f>
        <v>0</v>
      </c>
      <c r="C534" s="57">
        <f>CRM_MAGDY!E534</f>
        <v>0</v>
      </c>
      <c r="D534" s="57">
        <f>CRM_MAGDY!V534</f>
        <v>0</v>
      </c>
      <c r="E534" s="57" t="str">
        <f>IF(CRM_MAGDY!G534="","BRAK TELEFONU",IF(CRM_MAGDY!K534="","BRAK KWOTY",IF(CRM_MAGDY!N534="","BRAK STATUSU",IF(CRM_MAGDY!C534="","BRAK DATY AKCJI",""))))</f>
        <v>BRAK TELEFONU</v>
      </c>
      <c r="F534" s="57" t="str">
        <f>CRM_MAGDY!W534</f>
        <v>BRAKI CRM</v>
      </c>
      <c r="G534" s="57">
        <f>CRM_MAGDY!K534</f>
        <v>0</v>
      </c>
      <c r="H534" s="57">
        <f>CRM_MAGDY!N534</f>
        <v>0</v>
      </c>
    </row>
    <row r="535" spans="1:8" ht="30" x14ac:dyDescent="0.25">
      <c r="A535" s="57">
        <f>CRM_MAGDY!H535</f>
        <v>5976</v>
      </c>
      <c r="B535" s="57">
        <f>CRM_MAGDY!I535</f>
        <v>0</v>
      </c>
      <c r="C535" s="57">
        <f>CRM_MAGDY!E535</f>
        <v>0</v>
      </c>
      <c r="D535" s="57">
        <f>CRM_MAGDY!V535</f>
        <v>0</v>
      </c>
      <c r="E535" s="57" t="str">
        <f>IF(CRM_MAGDY!G535="","BRAK TELEFONU",IF(CRM_MAGDY!K535="","BRAK KWOTY",IF(CRM_MAGDY!N535="","BRAK STATUSU",IF(CRM_MAGDY!C535="","BRAK DATY AKCJI",""))))</f>
        <v>BRAK TELEFONU</v>
      </c>
      <c r="F535" s="57" t="str">
        <f>CRM_MAGDY!W535</f>
        <v>BRAKI CRM</v>
      </c>
      <c r="G535" s="57">
        <f>CRM_MAGDY!K535</f>
        <v>0</v>
      </c>
      <c r="H535" s="57">
        <f>CRM_MAGDY!N535</f>
        <v>0</v>
      </c>
    </row>
    <row r="536" spans="1:8" ht="30" x14ac:dyDescent="0.25">
      <c r="A536" s="57">
        <f>CRM_MAGDY!H536</f>
        <v>5977</v>
      </c>
      <c r="B536" s="57">
        <f>CRM_MAGDY!I536</f>
        <v>0</v>
      </c>
      <c r="C536" s="57">
        <f>CRM_MAGDY!E536</f>
        <v>0</v>
      </c>
      <c r="D536" s="57">
        <f>CRM_MAGDY!V536</f>
        <v>0</v>
      </c>
      <c r="E536" s="57" t="str">
        <f>IF(CRM_MAGDY!G536="","BRAK TELEFONU",IF(CRM_MAGDY!K536="","BRAK KWOTY",IF(CRM_MAGDY!N536="","BRAK STATUSU",IF(CRM_MAGDY!C536="","BRAK DATY AKCJI",""))))</f>
        <v>BRAK TELEFONU</v>
      </c>
      <c r="F536" s="57" t="str">
        <f>CRM_MAGDY!W536</f>
        <v>BRAKI CRM</v>
      </c>
      <c r="G536" s="57">
        <f>CRM_MAGDY!K536</f>
        <v>0</v>
      </c>
      <c r="H536" s="57">
        <f>CRM_MAGDY!N536</f>
        <v>0</v>
      </c>
    </row>
    <row r="537" spans="1:8" ht="30" x14ac:dyDescent="0.25">
      <c r="A537" s="57">
        <f>CRM_MAGDY!H537</f>
        <v>5978</v>
      </c>
      <c r="B537" s="57">
        <f>CRM_MAGDY!I537</f>
        <v>0</v>
      </c>
      <c r="C537" s="57">
        <f>CRM_MAGDY!E537</f>
        <v>0</v>
      </c>
      <c r="D537" s="57">
        <f>CRM_MAGDY!V537</f>
        <v>0</v>
      </c>
      <c r="E537" s="57" t="str">
        <f>IF(CRM_MAGDY!G537="","BRAK TELEFONU",IF(CRM_MAGDY!K537="","BRAK KWOTY",IF(CRM_MAGDY!N537="","BRAK STATUSU",IF(CRM_MAGDY!C537="","BRAK DATY AKCJI",""))))</f>
        <v>BRAK TELEFONU</v>
      </c>
      <c r="F537" s="57" t="str">
        <f>CRM_MAGDY!W537</f>
        <v>BRAKI CRM</v>
      </c>
      <c r="G537" s="57">
        <f>CRM_MAGDY!K537</f>
        <v>0</v>
      </c>
      <c r="H537" s="57">
        <f>CRM_MAGDY!N537</f>
        <v>0</v>
      </c>
    </row>
    <row r="538" spans="1:8" ht="30" x14ac:dyDescent="0.25">
      <c r="A538" s="57">
        <f>CRM_MAGDY!H538</f>
        <v>5979</v>
      </c>
      <c r="B538" s="57">
        <f>CRM_MAGDY!I538</f>
        <v>0</v>
      </c>
      <c r="C538" s="57">
        <f>CRM_MAGDY!E538</f>
        <v>0</v>
      </c>
      <c r="D538" s="57">
        <f>CRM_MAGDY!V538</f>
        <v>0</v>
      </c>
      <c r="E538" s="57" t="str">
        <f>IF(CRM_MAGDY!G538="","BRAK TELEFONU",IF(CRM_MAGDY!K538="","BRAK KWOTY",IF(CRM_MAGDY!N538="","BRAK STATUSU",IF(CRM_MAGDY!C538="","BRAK DATY AKCJI",""))))</f>
        <v>BRAK TELEFONU</v>
      </c>
      <c r="F538" s="57" t="str">
        <f>CRM_MAGDY!W538</f>
        <v>BRAKI CRM</v>
      </c>
      <c r="G538" s="57">
        <f>CRM_MAGDY!K538</f>
        <v>0</v>
      </c>
      <c r="H538" s="57">
        <f>CRM_MAGDY!N538</f>
        <v>0</v>
      </c>
    </row>
    <row r="539" spans="1:8" ht="30" x14ac:dyDescent="0.25">
      <c r="A539" s="57">
        <f>CRM_MAGDY!H539</f>
        <v>5980</v>
      </c>
      <c r="B539" s="57">
        <f>CRM_MAGDY!I539</f>
        <v>0</v>
      </c>
      <c r="C539" s="57">
        <f>CRM_MAGDY!E539</f>
        <v>0</v>
      </c>
      <c r="D539" s="57">
        <f>CRM_MAGDY!V539</f>
        <v>0</v>
      </c>
      <c r="E539" s="57" t="str">
        <f>IF(CRM_MAGDY!G539="","BRAK TELEFONU",IF(CRM_MAGDY!K539="","BRAK KWOTY",IF(CRM_MAGDY!N539="","BRAK STATUSU",IF(CRM_MAGDY!C539="","BRAK DATY AKCJI",""))))</f>
        <v>BRAK TELEFONU</v>
      </c>
      <c r="F539" s="57" t="str">
        <f>CRM_MAGDY!W539</f>
        <v>BRAKI CRM</v>
      </c>
      <c r="G539" s="57">
        <f>CRM_MAGDY!K539</f>
        <v>0</v>
      </c>
      <c r="H539" s="57">
        <f>CRM_MAGDY!N539</f>
        <v>0</v>
      </c>
    </row>
    <row r="540" spans="1:8" ht="30" x14ac:dyDescent="0.25">
      <c r="A540" s="57">
        <f>CRM_MAGDY!H540</f>
        <v>5981</v>
      </c>
      <c r="B540" s="57">
        <f>CRM_MAGDY!I540</f>
        <v>0</v>
      </c>
      <c r="C540" s="57">
        <f>CRM_MAGDY!E540</f>
        <v>0</v>
      </c>
      <c r="D540" s="57">
        <f>CRM_MAGDY!V540</f>
        <v>0</v>
      </c>
      <c r="E540" s="57" t="str">
        <f>IF(CRM_MAGDY!G540="","BRAK TELEFONU",IF(CRM_MAGDY!K540="","BRAK KWOTY",IF(CRM_MAGDY!N540="","BRAK STATUSU",IF(CRM_MAGDY!C540="","BRAK DATY AKCJI",""))))</f>
        <v>BRAK TELEFONU</v>
      </c>
      <c r="F540" s="57" t="str">
        <f>CRM_MAGDY!W540</f>
        <v>BRAKI CRM</v>
      </c>
      <c r="G540" s="57">
        <f>CRM_MAGDY!K540</f>
        <v>0</v>
      </c>
      <c r="H540" s="57">
        <f>CRM_MAGDY!N540</f>
        <v>0</v>
      </c>
    </row>
    <row r="541" spans="1:8" ht="30" x14ac:dyDescent="0.25">
      <c r="A541" s="57">
        <f>CRM_MAGDY!H541</f>
        <v>5982</v>
      </c>
      <c r="B541" s="57">
        <f>CRM_MAGDY!I541</f>
        <v>0</v>
      </c>
      <c r="C541" s="57">
        <f>CRM_MAGDY!E541</f>
        <v>0</v>
      </c>
      <c r="D541" s="57">
        <f>CRM_MAGDY!V541</f>
        <v>0</v>
      </c>
      <c r="E541" s="57" t="str">
        <f>IF(CRM_MAGDY!G541="","BRAK TELEFONU",IF(CRM_MAGDY!K541="","BRAK KWOTY",IF(CRM_MAGDY!N541="","BRAK STATUSU",IF(CRM_MAGDY!C541="","BRAK DATY AKCJI",""))))</f>
        <v>BRAK TELEFONU</v>
      </c>
      <c r="F541" s="57" t="str">
        <f>CRM_MAGDY!W541</f>
        <v>BRAKI CRM</v>
      </c>
      <c r="G541" s="57">
        <f>CRM_MAGDY!K541</f>
        <v>0</v>
      </c>
      <c r="H541" s="57">
        <f>CRM_MAGDY!N541</f>
        <v>0</v>
      </c>
    </row>
    <row r="542" spans="1:8" ht="30" x14ac:dyDescent="0.25">
      <c r="A542" s="57">
        <f>CRM_MAGDY!H542</f>
        <v>5983</v>
      </c>
      <c r="B542" s="57">
        <f>CRM_MAGDY!I542</f>
        <v>0</v>
      </c>
      <c r="C542" s="57">
        <f>CRM_MAGDY!E542</f>
        <v>0</v>
      </c>
      <c r="D542" s="57">
        <f>CRM_MAGDY!V542</f>
        <v>0</v>
      </c>
      <c r="E542" s="57" t="str">
        <f>IF(CRM_MAGDY!G542="","BRAK TELEFONU",IF(CRM_MAGDY!K542="","BRAK KWOTY",IF(CRM_MAGDY!N542="","BRAK STATUSU",IF(CRM_MAGDY!C542="","BRAK DATY AKCJI",""))))</f>
        <v>BRAK TELEFONU</v>
      </c>
      <c r="F542" s="57" t="str">
        <f>CRM_MAGDY!W542</f>
        <v>BRAKI CRM</v>
      </c>
      <c r="G542" s="57">
        <f>CRM_MAGDY!K542</f>
        <v>0</v>
      </c>
      <c r="H542" s="57">
        <f>CRM_MAGDY!N542</f>
        <v>0</v>
      </c>
    </row>
    <row r="543" spans="1:8" ht="30" x14ac:dyDescent="0.25">
      <c r="A543" s="57">
        <f>CRM_MAGDY!H543</f>
        <v>5984</v>
      </c>
      <c r="B543" s="57">
        <f>CRM_MAGDY!I543</f>
        <v>0</v>
      </c>
      <c r="C543" s="57">
        <f>CRM_MAGDY!E543</f>
        <v>0</v>
      </c>
      <c r="D543" s="57">
        <f>CRM_MAGDY!V543</f>
        <v>0</v>
      </c>
      <c r="E543" s="57" t="str">
        <f>IF(CRM_MAGDY!G543="","BRAK TELEFONU",IF(CRM_MAGDY!K543="","BRAK KWOTY",IF(CRM_MAGDY!N543="","BRAK STATUSU",IF(CRM_MAGDY!C543="","BRAK DATY AKCJI",""))))</f>
        <v>BRAK TELEFONU</v>
      </c>
      <c r="F543" s="57" t="str">
        <f>CRM_MAGDY!W543</f>
        <v>BRAKI CRM</v>
      </c>
      <c r="G543" s="57">
        <f>CRM_MAGDY!K543</f>
        <v>0</v>
      </c>
      <c r="H543" s="57">
        <f>CRM_MAGDY!N543</f>
        <v>0</v>
      </c>
    </row>
    <row r="544" spans="1:8" ht="30" x14ac:dyDescent="0.25">
      <c r="A544" s="57">
        <f>CRM_MAGDY!H544</f>
        <v>5985</v>
      </c>
      <c r="B544" s="57">
        <f>CRM_MAGDY!I544</f>
        <v>0</v>
      </c>
      <c r="C544" s="57">
        <f>CRM_MAGDY!E544</f>
        <v>0</v>
      </c>
      <c r="D544" s="57">
        <f>CRM_MAGDY!V544</f>
        <v>0</v>
      </c>
      <c r="E544" s="57" t="str">
        <f>IF(CRM_MAGDY!G544="","BRAK TELEFONU",IF(CRM_MAGDY!K544="","BRAK KWOTY",IF(CRM_MAGDY!N544="","BRAK STATUSU",IF(CRM_MAGDY!C544="","BRAK DATY AKCJI",""))))</f>
        <v>BRAK TELEFONU</v>
      </c>
      <c r="F544" s="57" t="str">
        <f>CRM_MAGDY!W544</f>
        <v>BRAKI CRM</v>
      </c>
      <c r="G544" s="57">
        <f>CRM_MAGDY!K544</f>
        <v>0</v>
      </c>
      <c r="H544" s="57">
        <f>CRM_MAGDY!N544</f>
        <v>0</v>
      </c>
    </row>
    <row r="545" spans="1:8" ht="30" x14ac:dyDescent="0.25">
      <c r="A545" s="57">
        <f>CRM_MAGDY!H545</f>
        <v>5986</v>
      </c>
      <c r="B545" s="57">
        <f>CRM_MAGDY!I545</f>
        <v>0</v>
      </c>
      <c r="C545" s="57">
        <f>CRM_MAGDY!E545</f>
        <v>0</v>
      </c>
      <c r="D545" s="57">
        <f>CRM_MAGDY!V545</f>
        <v>0</v>
      </c>
      <c r="E545" s="57" t="str">
        <f>IF(CRM_MAGDY!G545="","BRAK TELEFONU",IF(CRM_MAGDY!K545="","BRAK KWOTY",IF(CRM_MAGDY!N545="","BRAK STATUSU",IF(CRM_MAGDY!C545="","BRAK DATY AKCJI",""))))</f>
        <v>BRAK TELEFONU</v>
      </c>
      <c r="F545" s="57" t="str">
        <f>CRM_MAGDY!W545</f>
        <v>BRAKI CRM</v>
      </c>
      <c r="G545" s="57">
        <f>CRM_MAGDY!K545</f>
        <v>0</v>
      </c>
      <c r="H545" s="57">
        <f>CRM_MAGDY!N545</f>
        <v>0</v>
      </c>
    </row>
    <row r="546" spans="1:8" ht="30" x14ac:dyDescent="0.25">
      <c r="A546" s="57">
        <f>CRM_MAGDY!H546</f>
        <v>5987</v>
      </c>
      <c r="B546" s="57">
        <f>CRM_MAGDY!I546</f>
        <v>0</v>
      </c>
      <c r="C546" s="57">
        <f>CRM_MAGDY!E546</f>
        <v>0</v>
      </c>
      <c r="D546" s="57">
        <f>CRM_MAGDY!V546</f>
        <v>0</v>
      </c>
      <c r="E546" s="57" t="str">
        <f>IF(CRM_MAGDY!G546="","BRAK TELEFONU",IF(CRM_MAGDY!K546="","BRAK KWOTY",IF(CRM_MAGDY!N546="","BRAK STATUSU",IF(CRM_MAGDY!C546="","BRAK DATY AKCJI",""))))</f>
        <v>BRAK TELEFONU</v>
      </c>
      <c r="F546" s="57" t="str">
        <f>CRM_MAGDY!W546</f>
        <v>BRAKI CRM</v>
      </c>
      <c r="G546" s="57">
        <f>CRM_MAGDY!K546</f>
        <v>0</v>
      </c>
      <c r="H546" s="57">
        <f>CRM_MAGDY!N546</f>
        <v>0</v>
      </c>
    </row>
    <row r="547" spans="1:8" ht="30" x14ac:dyDescent="0.25">
      <c r="A547" s="57">
        <f>CRM_MAGDY!H547</f>
        <v>5988</v>
      </c>
      <c r="B547" s="57">
        <f>CRM_MAGDY!I547</f>
        <v>0</v>
      </c>
      <c r="C547" s="57">
        <f>CRM_MAGDY!E547</f>
        <v>0</v>
      </c>
      <c r="D547" s="57">
        <f>CRM_MAGDY!V547</f>
        <v>0</v>
      </c>
      <c r="E547" s="57" t="str">
        <f>IF(CRM_MAGDY!G547="","BRAK TELEFONU",IF(CRM_MAGDY!K547="","BRAK KWOTY",IF(CRM_MAGDY!N547="","BRAK STATUSU",IF(CRM_MAGDY!C547="","BRAK DATY AKCJI",""))))</f>
        <v>BRAK TELEFONU</v>
      </c>
      <c r="F547" s="57" t="str">
        <f>CRM_MAGDY!W547</f>
        <v>BRAKI CRM</v>
      </c>
      <c r="G547" s="57">
        <f>CRM_MAGDY!K547</f>
        <v>0</v>
      </c>
      <c r="H547" s="57">
        <f>CRM_MAGDY!N547</f>
        <v>0</v>
      </c>
    </row>
    <row r="548" spans="1:8" ht="30" x14ac:dyDescent="0.25">
      <c r="A548" s="57">
        <f>CRM_MAGDY!H548</f>
        <v>5989</v>
      </c>
      <c r="B548" s="57">
        <f>CRM_MAGDY!I548</f>
        <v>0</v>
      </c>
      <c r="C548" s="57">
        <f>CRM_MAGDY!E548</f>
        <v>0</v>
      </c>
      <c r="D548" s="57">
        <f>CRM_MAGDY!V548</f>
        <v>0</v>
      </c>
      <c r="E548" s="57" t="str">
        <f>IF(CRM_MAGDY!G548="","BRAK TELEFONU",IF(CRM_MAGDY!K548="","BRAK KWOTY",IF(CRM_MAGDY!N548="","BRAK STATUSU",IF(CRM_MAGDY!C548="","BRAK DATY AKCJI",""))))</f>
        <v>BRAK TELEFONU</v>
      </c>
      <c r="F548" s="57" t="str">
        <f>CRM_MAGDY!W548</f>
        <v>BRAKI CRM</v>
      </c>
      <c r="G548" s="57">
        <f>CRM_MAGDY!K548</f>
        <v>0</v>
      </c>
      <c r="H548" s="57">
        <f>CRM_MAGDY!N548</f>
        <v>0</v>
      </c>
    </row>
    <row r="549" spans="1:8" ht="30" x14ac:dyDescent="0.25">
      <c r="A549" s="57">
        <f>CRM_MAGDY!H549</f>
        <v>5990</v>
      </c>
      <c r="B549" s="57">
        <f>CRM_MAGDY!I549</f>
        <v>0</v>
      </c>
      <c r="C549" s="57">
        <f>CRM_MAGDY!E549</f>
        <v>0</v>
      </c>
      <c r="D549" s="57">
        <f>CRM_MAGDY!V549</f>
        <v>0</v>
      </c>
      <c r="E549" s="57" t="str">
        <f>IF(CRM_MAGDY!G549="","BRAK TELEFONU",IF(CRM_MAGDY!K549="","BRAK KWOTY",IF(CRM_MAGDY!N549="","BRAK STATUSU",IF(CRM_MAGDY!C549="","BRAK DATY AKCJI",""))))</f>
        <v>BRAK TELEFONU</v>
      </c>
      <c r="F549" s="57" t="str">
        <f>CRM_MAGDY!W549</f>
        <v>BRAKI CRM</v>
      </c>
      <c r="G549" s="57">
        <f>CRM_MAGDY!K549</f>
        <v>0</v>
      </c>
      <c r="H549" s="57">
        <f>CRM_MAGDY!N549</f>
        <v>0</v>
      </c>
    </row>
    <row r="550" spans="1:8" ht="30" x14ac:dyDescent="0.25">
      <c r="A550" s="57">
        <f>CRM_MAGDY!H550</f>
        <v>5991</v>
      </c>
      <c r="B550" s="57">
        <f>CRM_MAGDY!I550</f>
        <v>0</v>
      </c>
      <c r="C550" s="57">
        <f>CRM_MAGDY!E550</f>
        <v>0</v>
      </c>
      <c r="D550" s="57">
        <f>CRM_MAGDY!V550</f>
        <v>0</v>
      </c>
      <c r="E550" s="57" t="str">
        <f>IF(CRM_MAGDY!G550="","BRAK TELEFONU",IF(CRM_MAGDY!K550="","BRAK KWOTY",IF(CRM_MAGDY!N550="","BRAK STATUSU",IF(CRM_MAGDY!C550="","BRAK DATY AKCJI",""))))</f>
        <v>BRAK TELEFONU</v>
      </c>
      <c r="F550" s="57" t="str">
        <f>CRM_MAGDY!W550</f>
        <v>BRAKI CRM</v>
      </c>
      <c r="G550" s="57">
        <f>CRM_MAGDY!K550</f>
        <v>0</v>
      </c>
      <c r="H550" s="57">
        <f>CRM_MAGDY!N550</f>
        <v>0</v>
      </c>
    </row>
    <row r="551" spans="1:8" ht="30" x14ac:dyDescent="0.25">
      <c r="A551" s="57">
        <f>CRM_MAGDY!H551</f>
        <v>5992</v>
      </c>
      <c r="B551" s="57">
        <f>CRM_MAGDY!I551</f>
        <v>0</v>
      </c>
      <c r="C551" s="57">
        <f>CRM_MAGDY!E551</f>
        <v>0</v>
      </c>
      <c r="D551" s="57">
        <f>CRM_MAGDY!V551</f>
        <v>0</v>
      </c>
      <c r="E551" s="57" t="str">
        <f>IF(CRM_MAGDY!G551="","BRAK TELEFONU",IF(CRM_MAGDY!K551="","BRAK KWOTY",IF(CRM_MAGDY!N551="","BRAK STATUSU",IF(CRM_MAGDY!C551="","BRAK DATY AKCJI",""))))</f>
        <v>BRAK TELEFONU</v>
      </c>
      <c r="F551" s="57" t="str">
        <f>CRM_MAGDY!W551</f>
        <v>BRAKI CRM</v>
      </c>
      <c r="G551" s="57">
        <f>CRM_MAGDY!K551</f>
        <v>0</v>
      </c>
      <c r="H551" s="57">
        <f>CRM_MAGDY!N551</f>
        <v>0</v>
      </c>
    </row>
    <row r="552" spans="1:8" ht="30" x14ac:dyDescent="0.25">
      <c r="A552" s="57">
        <f>CRM_MAGDY!H552</f>
        <v>5993</v>
      </c>
      <c r="B552" s="57">
        <f>CRM_MAGDY!I552</f>
        <v>0</v>
      </c>
      <c r="C552" s="57">
        <f>CRM_MAGDY!E552</f>
        <v>0</v>
      </c>
      <c r="D552" s="57">
        <f>CRM_MAGDY!V552</f>
        <v>0</v>
      </c>
      <c r="E552" s="57" t="str">
        <f>IF(CRM_MAGDY!G552="","BRAK TELEFONU",IF(CRM_MAGDY!K552="","BRAK KWOTY",IF(CRM_MAGDY!N552="","BRAK STATUSU",IF(CRM_MAGDY!C552="","BRAK DATY AKCJI",""))))</f>
        <v>BRAK TELEFONU</v>
      </c>
      <c r="F552" s="57" t="str">
        <f>CRM_MAGDY!W552</f>
        <v>BRAKI CRM</v>
      </c>
      <c r="G552" s="57">
        <f>CRM_MAGDY!K552</f>
        <v>0</v>
      </c>
      <c r="H552" s="57">
        <f>CRM_MAGDY!N552</f>
        <v>0</v>
      </c>
    </row>
    <row r="553" spans="1:8" ht="30" x14ac:dyDescent="0.25">
      <c r="A553" s="57">
        <f>CRM_MAGDY!H553</f>
        <v>5994</v>
      </c>
      <c r="B553" s="57">
        <f>CRM_MAGDY!I553</f>
        <v>0</v>
      </c>
      <c r="C553" s="57">
        <f>CRM_MAGDY!E553</f>
        <v>0</v>
      </c>
      <c r="D553" s="57">
        <f>CRM_MAGDY!V553</f>
        <v>0</v>
      </c>
      <c r="E553" s="57" t="str">
        <f>IF(CRM_MAGDY!G553="","BRAK TELEFONU",IF(CRM_MAGDY!K553="","BRAK KWOTY",IF(CRM_MAGDY!N553="","BRAK STATUSU",IF(CRM_MAGDY!C553="","BRAK DATY AKCJI",""))))</f>
        <v>BRAK TELEFONU</v>
      </c>
      <c r="F553" s="57" t="str">
        <f>CRM_MAGDY!W553</f>
        <v>BRAKI CRM</v>
      </c>
      <c r="G553" s="57">
        <f>CRM_MAGDY!K553</f>
        <v>0</v>
      </c>
      <c r="H553" s="57">
        <f>CRM_MAGDY!N553</f>
        <v>0</v>
      </c>
    </row>
    <row r="554" spans="1:8" ht="30" x14ac:dyDescent="0.25">
      <c r="A554" s="57">
        <f>CRM_MAGDY!H554</f>
        <v>5995</v>
      </c>
      <c r="B554" s="57">
        <f>CRM_MAGDY!I554</f>
        <v>0</v>
      </c>
      <c r="C554" s="57">
        <f>CRM_MAGDY!E554</f>
        <v>0</v>
      </c>
      <c r="D554" s="57">
        <f>CRM_MAGDY!V554</f>
        <v>0</v>
      </c>
      <c r="E554" s="57" t="str">
        <f>IF(CRM_MAGDY!G554="","BRAK TELEFONU",IF(CRM_MAGDY!K554="","BRAK KWOTY",IF(CRM_MAGDY!N554="","BRAK STATUSU",IF(CRM_MAGDY!C554="","BRAK DATY AKCJI",""))))</f>
        <v>BRAK TELEFONU</v>
      </c>
      <c r="F554" s="57" t="str">
        <f>CRM_MAGDY!W554</f>
        <v>BRAKI CRM</v>
      </c>
      <c r="G554" s="57">
        <f>CRM_MAGDY!K554</f>
        <v>0</v>
      </c>
      <c r="H554" s="57">
        <f>CRM_MAGDY!N554</f>
        <v>0</v>
      </c>
    </row>
    <row r="555" spans="1:8" ht="30" x14ac:dyDescent="0.25">
      <c r="A555" s="57">
        <f>CRM_MAGDY!H555</f>
        <v>5996</v>
      </c>
      <c r="B555" s="57">
        <f>CRM_MAGDY!I555</f>
        <v>0</v>
      </c>
      <c r="C555" s="57">
        <f>CRM_MAGDY!E555</f>
        <v>0</v>
      </c>
      <c r="D555" s="57">
        <f>CRM_MAGDY!V555</f>
        <v>0</v>
      </c>
      <c r="E555" s="57" t="str">
        <f>IF(CRM_MAGDY!G555="","BRAK TELEFONU",IF(CRM_MAGDY!K555="","BRAK KWOTY",IF(CRM_MAGDY!N555="","BRAK STATUSU",IF(CRM_MAGDY!C555="","BRAK DATY AKCJI",""))))</f>
        <v>BRAK TELEFONU</v>
      </c>
      <c r="F555" s="57" t="str">
        <f>CRM_MAGDY!W555</f>
        <v>BRAKI CRM</v>
      </c>
      <c r="G555" s="57">
        <f>CRM_MAGDY!K555</f>
        <v>0</v>
      </c>
      <c r="H555" s="57">
        <f>CRM_MAGDY!N555</f>
        <v>0</v>
      </c>
    </row>
    <row r="556" spans="1:8" ht="30" x14ac:dyDescent="0.25">
      <c r="A556" s="57">
        <f>CRM_MAGDY!H556</f>
        <v>5997</v>
      </c>
      <c r="B556" s="57">
        <f>CRM_MAGDY!I556</f>
        <v>0</v>
      </c>
      <c r="C556" s="57">
        <f>CRM_MAGDY!E556</f>
        <v>0</v>
      </c>
      <c r="D556" s="57">
        <f>CRM_MAGDY!V556</f>
        <v>0</v>
      </c>
      <c r="E556" s="57" t="str">
        <f>IF(CRM_MAGDY!G556="","BRAK TELEFONU",IF(CRM_MAGDY!K556="","BRAK KWOTY",IF(CRM_MAGDY!N556="","BRAK STATUSU",IF(CRM_MAGDY!C556="","BRAK DATY AKCJI",""))))</f>
        <v>BRAK TELEFONU</v>
      </c>
      <c r="F556" s="57" t="str">
        <f>CRM_MAGDY!W556</f>
        <v>BRAKI CRM</v>
      </c>
      <c r="G556" s="57">
        <f>CRM_MAGDY!K556</f>
        <v>0</v>
      </c>
      <c r="H556" s="57">
        <f>CRM_MAGDY!N556</f>
        <v>0</v>
      </c>
    </row>
    <row r="557" spans="1:8" ht="30" x14ac:dyDescent="0.25">
      <c r="A557" s="57">
        <f>CRM_MAGDY!H557</f>
        <v>5998</v>
      </c>
      <c r="B557" s="57">
        <f>CRM_MAGDY!I557</f>
        <v>0</v>
      </c>
      <c r="C557" s="57">
        <f>CRM_MAGDY!E557</f>
        <v>0</v>
      </c>
      <c r="D557" s="57">
        <f>CRM_MAGDY!V557</f>
        <v>0</v>
      </c>
      <c r="E557" s="57" t="str">
        <f>IF(CRM_MAGDY!G557="","BRAK TELEFONU",IF(CRM_MAGDY!K557="","BRAK KWOTY",IF(CRM_MAGDY!N557="","BRAK STATUSU",IF(CRM_MAGDY!C557="","BRAK DATY AKCJI",""))))</f>
        <v>BRAK TELEFONU</v>
      </c>
      <c r="F557" s="57" t="str">
        <f>CRM_MAGDY!W557</f>
        <v>BRAKI CRM</v>
      </c>
      <c r="G557" s="57">
        <f>CRM_MAGDY!K557</f>
        <v>0</v>
      </c>
      <c r="H557" s="57">
        <f>CRM_MAGDY!N557</f>
        <v>0</v>
      </c>
    </row>
    <row r="558" spans="1:8" ht="30" x14ac:dyDescent="0.25">
      <c r="A558" s="57">
        <f>CRM_MAGDY!H558</f>
        <v>5999</v>
      </c>
      <c r="B558" s="57">
        <f>CRM_MAGDY!I558</f>
        <v>0</v>
      </c>
      <c r="C558" s="57">
        <f>CRM_MAGDY!E558</f>
        <v>0</v>
      </c>
      <c r="D558" s="57">
        <f>CRM_MAGDY!V558</f>
        <v>0</v>
      </c>
      <c r="E558" s="57" t="str">
        <f>IF(CRM_MAGDY!G558="","BRAK TELEFONU",IF(CRM_MAGDY!K558="","BRAK KWOTY",IF(CRM_MAGDY!N558="","BRAK STATUSU",IF(CRM_MAGDY!C558="","BRAK DATY AKCJI",""))))</f>
        <v>BRAK TELEFONU</v>
      </c>
      <c r="F558" s="57" t="str">
        <f>CRM_MAGDY!W558</f>
        <v>BRAKI CRM</v>
      </c>
      <c r="G558" s="57">
        <f>CRM_MAGDY!K558</f>
        <v>0</v>
      </c>
      <c r="H558" s="57">
        <f>CRM_MAGDY!N558</f>
        <v>0</v>
      </c>
    </row>
    <row r="559" spans="1:8" ht="30" x14ac:dyDescent="0.25">
      <c r="A559" s="57">
        <f>CRM_MAGDY!H559</f>
        <v>6000</v>
      </c>
      <c r="B559" s="57">
        <f>CRM_MAGDY!I559</f>
        <v>0</v>
      </c>
      <c r="C559" s="57">
        <f>CRM_MAGDY!E559</f>
        <v>0</v>
      </c>
      <c r="D559" s="57">
        <f>CRM_MAGDY!V559</f>
        <v>0</v>
      </c>
      <c r="E559" s="57" t="str">
        <f>IF(CRM_MAGDY!G559="","BRAK TELEFONU",IF(CRM_MAGDY!K559="","BRAK KWOTY",IF(CRM_MAGDY!N559="","BRAK STATUSU",IF(CRM_MAGDY!C559="","BRAK DATY AKCJI",""))))</f>
        <v>BRAK TELEFONU</v>
      </c>
      <c r="F559" s="57" t="str">
        <f>CRM_MAGDY!W559</f>
        <v>BRAKI CRM</v>
      </c>
      <c r="G559" s="57">
        <f>CRM_MAGDY!K559</f>
        <v>0</v>
      </c>
      <c r="H559" s="57">
        <f>CRM_MAGDY!N559</f>
        <v>0</v>
      </c>
    </row>
    <row r="560" spans="1:8" ht="30" x14ac:dyDescent="0.25">
      <c r="A560" s="57">
        <f>CRM_MAGDY!H560</f>
        <v>6001</v>
      </c>
      <c r="B560" s="57">
        <f>CRM_MAGDY!I560</f>
        <v>0</v>
      </c>
      <c r="C560" s="57">
        <f>CRM_MAGDY!E560</f>
        <v>0</v>
      </c>
      <c r="D560" s="57">
        <f>CRM_MAGDY!V560</f>
        <v>0</v>
      </c>
      <c r="E560" s="57" t="str">
        <f>IF(CRM_MAGDY!G560="","BRAK TELEFONU",IF(CRM_MAGDY!K560="","BRAK KWOTY",IF(CRM_MAGDY!N560="","BRAK STATUSU",IF(CRM_MAGDY!C560="","BRAK DATY AKCJI",""))))</f>
        <v>BRAK TELEFONU</v>
      </c>
      <c r="F560" s="57" t="str">
        <f>CRM_MAGDY!W560</f>
        <v>BRAKI CRM</v>
      </c>
      <c r="G560" s="57">
        <f>CRM_MAGDY!K560</f>
        <v>0</v>
      </c>
      <c r="H560" s="57">
        <f>CRM_MAGDY!N560</f>
        <v>0</v>
      </c>
    </row>
    <row r="561" spans="1:8" ht="30" x14ac:dyDescent="0.25">
      <c r="A561" s="57">
        <f>CRM_MAGDY!H561</f>
        <v>6002</v>
      </c>
      <c r="B561" s="57">
        <f>CRM_MAGDY!I561</f>
        <v>0</v>
      </c>
      <c r="C561" s="57">
        <f>CRM_MAGDY!E561</f>
        <v>0</v>
      </c>
      <c r="D561" s="57">
        <f>CRM_MAGDY!V561</f>
        <v>0</v>
      </c>
      <c r="E561" s="57" t="str">
        <f>IF(CRM_MAGDY!G561="","BRAK TELEFONU",IF(CRM_MAGDY!K561="","BRAK KWOTY",IF(CRM_MAGDY!N561="","BRAK STATUSU",IF(CRM_MAGDY!C561="","BRAK DATY AKCJI",""))))</f>
        <v>BRAK TELEFONU</v>
      </c>
      <c r="F561" s="57" t="str">
        <f>CRM_MAGDY!W561</f>
        <v>BRAKI CRM</v>
      </c>
      <c r="G561" s="57">
        <f>CRM_MAGDY!K561</f>
        <v>0</v>
      </c>
      <c r="H561" s="57">
        <f>CRM_MAGDY!N561</f>
        <v>0</v>
      </c>
    </row>
    <row r="562" spans="1:8" ht="30" x14ac:dyDescent="0.25">
      <c r="A562" s="57">
        <f>CRM_MAGDY!H562</f>
        <v>6003</v>
      </c>
      <c r="B562" s="57">
        <f>CRM_MAGDY!I562</f>
        <v>0</v>
      </c>
      <c r="C562" s="57">
        <f>CRM_MAGDY!E562</f>
        <v>0</v>
      </c>
      <c r="D562" s="57">
        <f>CRM_MAGDY!V562</f>
        <v>0</v>
      </c>
      <c r="E562" s="57" t="str">
        <f>IF(CRM_MAGDY!G562="","BRAK TELEFONU",IF(CRM_MAGDY!K562="","BRAK KWOTY",IF(CRM_MAGDY!N562="","BRAK STATUSU",IF(CRM_MAGDY!C562="","BRAK DATY AKCJI",""))))</f>
        <v>BRAK TELEFONU</v>
      </c>
      <c r="F562" s="57" t="str">
        <f>CRM_MAGDY!W562</f>
        <v>BRAKI CRM</v>
      </c>
      <c r="G562" s="57">
        <f>CRM_MAGDY!K562</f>
        <v>0</v>
      </c>
      <c r="H562" s="57">
        <f>CRM_MAGDY!N562</f>
        <v>0</v>
      </c>
    </row>
    <row r="563" spans="1:8" ht="30" x14ac:dyDescent="0.25">
      <c r="A563" s="57">
        <f>CRM_MAGDY!H563</f>
        <v>6004</v>
      </c>
      <c r="B563" s="57">
        <f>CRM_MAGDY!I563</f>
        <v>0</v>
      </c>
      <c r="C563" s="57">
        <f>CRM_MAGDY!E563</f>
        <v>0</v>
      </c>
      <c r="D563" s="57">
        <f>CRM_MAGDY!V563</f>
        <v>0</v>
      </c>
      <c r="E563" s="57" t="str">
        <f>IF(CRM_MAGDY!G563="","BRAK TELEFONU",IF(CRM_MAGDY!K563="","BRAK KWOTY",IF(CRM_MAGDY!N563="","BRAK STATUSU",IF(CRM_MAGDY!C563="","BRAK DATY AKCJI",""))))</f>
        <v>BRAK TELEFONU</v>
      </c>
      <c r="F563" s="57" t="str">
        <f>CRM_MAGDY!W563</f>
        <v>BRAKI CRM</v>
      </c>
      <c r="G563" s="57">
        <f>CRM_MAGDY!K563</f>
        <v>0</v>
      </c>
      <c r="H563" s="57">
        <f>CRM_MAGDY!N563</f>
        <v>0</v>
      </c>
    </row>
    <row r="564" spans="1:8" ht="30" x14ac:dyDescent="0.25">
      <c r="A564" s="57">
        <f>CRM_MAGDY!H564</f>
        <v>6005</v>
      </c>
      <c r="B564" s="57">
        <f>CRM_MAGDY!I564</f>
        <v>0</v>
      </c>
      <c r="C564" s="57">
        <f>CRM_MAGDY!E564</f>
        <v>0</v>
      </c>
      <c r="D564" s="57">
        <f>CRM_MAGDY!V564</f>
        <v>0</v>
      </c>
      <c r="E564" s="57" t="str">
        <f>IF(CRM_MAGDY!G564="","BRAK TELEFONU",IF(CRM_MAGDY!K564="","BRAK KWOTY",IF(CRM_MAGDY!N564="","BRAK STATUSU",IF(CRM_MAGDY!C564="","BRAK DATY AKCJI",""))))</f>
        <v>BRAK TELEFONU</v>
      </c>
      <c r="F564" s="57" t="str">
        <f>CRM_MAGDY!W564</f>
        <v>BRAKI CRM</v>
      </c>
      <c r="G564" s="57">
        <f>CRM_MAGDY!K564</f>
        <v>0</v>
      </c>
      <c r="H564" s="57">
        <f>CRM_MAGDY!N564</f>
        <v>0</v>
      </c>
    </row>
    <row r="565" spans="1:8" ht="30" x14ac:dyDescent="0.25">
      <c r="A565" s="57">
        <f>CRM_MAGDY!H565</f>
        <v>6006</v>
      </c>
      <c r="B565" s="57">
        <f>CRM_MAGDY!I565</f>
        <v>0</v>
      </c>
      <c r="C565" s="57">
        <f>CRM_MAGDY!E565</f>
        <v>0</v>
      </c>
      <c r="D565" s="57">
        <f>CRM_MAGDY!V565</f>
        <v>0</v>
      </c>
      <c r="E565" s="57" t="str">
        <f>IF(CRM_MAGDY!G565="","BRAK TELEFONU",IF(CRM_MAGDY!K565="","BRAK KWOTY",IF(CRM_MAGDY!N565="","BRAK STATUSU",IF(CRM_MAGDY!C565="","BRAK DATY AKCJI",""))))</f>
        <v>BRAK TELEFONU</v>
      </c>
      <c r="F565" s="57" t="str">
        <f>CRM_MAGDY!W565</f>
        <v>BRAKI CRM</v>
      </c>
      <c r="G565" s="57">
        <f>CRM_MAGDY!K565</f>
        <v>0</v>
      </c>
      <c r="H565" s="57">
        <f>CRM_MAGDY!N565</f>
        <v>0</v>
      </c>
    </row>
    <row r="566" spans="1:8" ht="30" x14ac:dyDescent="0.25">
      <c r="A566" s="57">
        <f>CRM_MAGDY!H566</f>
        <v>6007</v>
      </c>
      <c r="B566" s="57">
        <f>CRM_MAGDY!I566</f>
        <v>0</v>
      </c>
      <c r="C566" s="57">
        <f>CRM_MAGDY!E566</f>
        <v>0</v>
      </c>
      <c r="D566" s="57">
        <f>CRM_MAGDY!V566</f>
        <v>0</v>
      </c>
      <c r="E566" s="57" t="str">
        <f>IF(CRM_MAGDY!G566="","BRAK TELEFONU",IF(CRM_MAGDY!K566="","BRAK KWOTY",IF(CRM_MAGDY!N566="","BRAK STATUSU",IF(CRM_MAGDY!C566="","BRAK DATY AKCJI",""))))</f>
        <v>BRAK TELEFONU</v>
      </c>
      <c r="F566" s="57" t="str">
        <f>CRM_MAGDY!W566</f>
        <v>BRAKI CRM</v>
      </c>
      <c r="G566" s="57">
        <f>CRM_MAGDY!K566</f>
        <v>0</v>
      </c>
      <c r="H566" s="57">
        <f>CRM_MAGDY!N566</f>
        <v>0</v>
      </c>
    </row>
    <row r="567" spans="1:8" ht="30" x14ac:dyDescent="0.25">
      <c r="A567" s="57">
        <f>CRM_MAGDY!H567</f>
        <v>6008</v>
      </c>
      <c r="B567" s="57">
        <f>CRM_MAGDY!I567</f>
        <v>0</v>
      </c>
      <c r="C567" s="57">
        <f>CRM_MAGDY!E567</f>
        <v>0</v>
      </c>
      <c r="D567" s="57">
        <f>CRM_MAGDY!V567</f>
        <v>0</v>
      </c>
      <c r="E567" s="57" t="str">
        <f>IF(CRM_MAGDY!G567="","BRAK TELEFONU",IF(CRM_MAGDY!K567="","BRAK KWOTY",IF(CRM_MAGDY!N567="","BRAK STATUSU",IF(CRM_MAGDY!C567="","BRAK DATY AKCJI",""))))</f>
        <v>BRAK TELEFONU</v>
      </c>
      <c r="F567" s="57" t="str">
        <f>CRM_MAGDY!W567</f>
        <v>BRAKI CRM</v>
      </c>
      <c r="G567" s="57">
        <f>CRM_MAGDY!K567</f>
        <v>0</v>
      </c>
      <c r="H567" s="57">
        <f>CRM_MAGDY!N567</f>
        <v>0</v>
      </c>
    </row>
    <row r="568" spans="1:8" ht="30" x14ac:dyDescent="0.25">
      <c r="A568" s="57">
        <f>CRM_MAGDY!H568</f>
        <v>6009</v>
      </c>
      <c r="B568" s="57">
        <f>CRM_MAGDY!I568</f>
        <v>0</v>
      </c>
      <c r="C568" s="57">
        <f>CRM_MAGDY!E568</f>
        <v>0</v>
      </c>
      <c r="D568" s="57">
        <f>CRM_MAGDY!V568</f>
        <v>0</v>
      </c>
      <c r="E568" s="57" t="str">
        <f>IF(CRM_MAGDY!G568="","BRAK TELEFONU",IF(CRM_MAGDY!K568="","BRAK KWOTY",IF(CRM_MAGDY!N568="","BRAK STATUSU",IF(CRM_MAGDY!C568="","BRAK DATY AKCJI",""))))</f>
        <v>BRAK TELEFONU</v>
      </c>
      <c r="F568" s="57" t="str">
        <f>CRM_MAGDY!W568</f>
        <v>BRAKI CRM</v>
      </c>
      <c r="G568" s="57">
        <f>CRM_MAGDY!K568</f>
        <v>0</v>
      </c>
      <c r="H568" s="57">
        <f>CRM_MAGDY!N568</f>
        <v>0</v>
      </c>
    </row>
    <row r="569" spans="1:8" ht="30" x14ac:dyDescent="0.25">
      <c r="A569" s="57">
        <f>CRM_MAGDY!H569</f>
        <v>6010</v>
      </c>
      <c r="B569" s="57">
        <f>CRM_MAGDY!I569</f>
        <v>0</v>
      </c>
      <c r="C569" s="57">
        <f>CRM_MAGDY!E569</f>
        <v>0</v>
      </c>
      <c r="D569" s="57">
        <f>CRM_MAGDY!V569</f>
        <v>0</v>
      </c>
      <c r="E569" s="57" t="str">
        <f>IF(CRM_MAGDY!G569="","BRAK TELEFONU",IF(CRM_MAGDY!K569="","BRAK KWOTY",IF(CRM_MAGDY!N569="","BRAK STATUSU",IF(CRM_MAGDY!C569="","BRAK DATY AKCJI",""))))</f>
        <v>BRAK TELEFONU</v>
      </c>
      <c r="F569" s="57" t="str">
        <f>CRM_MAGDY!W569</f>
        <v>BRAKI CRM</v>
      </c>
      <c r="G569" s="57">
        <f>CRM_MAGDY!K569</f>
        <v>0</v>
      </c>
      <c r="H569" s="57">
        <f>CRM_MAGDY!N569</f>
        <v>0</v>
      </c>
    </row>
    <row r="570" spans="1:8" ht="30" x14ac:dyDescent="0.25">
      <c r="A570" s="57">
        <f>CRM_MAGDY!H570</f>
        <v>6011</v>
      </c>
      <c r="B570" s="57">
        <f>CRM_MAGDY!I570</f>
        <v>0</v>
      </c>
      <c r="C570" s="57">
        <f>CRM_MAGDY!E570</f>
        <v>0</v>
      </c>
      <c r="D570" s="57">
        <f>CRM_MAGDY!V570</f>
        <v>0</v>
      </c>
      <c r="E570" s="57" t="str">
        <f>IF(CRM_MAGDY!G570="","BRAK TELEFONU",IF(CRM_MAGDY!K570="","BRAK KWOTY",IF(CRM_MAGDY!N570="","BRAK STATUSU",IF(CRM_MAGDY!C570="","BRAK DATY AKCJI",""))))</f>
        <v>BRAK TELEFONU</v>
      </c>
      <c r="F570" s="57" t="str">
        <f>CRM_MAGDY!W570</f>
        <v>BRAKI CRM</v>
      </c>
      <c r="G570" s="57">
        <f>CRM_MAGDY!K570</f>
        <v>0</v>
      </c>
      <c r="H570" s="57">
        <f>CRM_MAGDY!N570</f>
        <v>0</v>
      </c>
    </row>
    <row r="571" spans="1:8" ht="30" x14ac:dyDescent="0.25">
      <c r="A571" s="57">
        <f>CRM_MAGDY!H571</f>
        <v>6012</v>
      </c>
      <c r="B571" s="57">
        <f>CRM_MAGDY!I571</f>
        <v>0</v>
      </c>
      <c r="C571" s="57">
        <f>CRM_MAGDY!E571</f>
        <v>0</v>
      </c>
      <c r="D571" s="57">
        <f>CRM_MAGDY!V571</f>
        <v>0</v>
      </c>
      <c r="E571" s="57" t="str">
        <f>IF(CRM_MAGDY!G571="","BRAK TELEFONU",IF(CRM_MAGDY!K571="","BRAK KWOTY",IF(CRM_MAGDY!N571="","BRAK STATUSU",IF(CRM_MAGDY!C571="","BRAK DATY AKCJI",""))))</f>
        <v>BRAK TELEFONU</v>
      </c>
      <c r="F571" s="57" t="str">
        <f>CRM_MAGDY!W571</f>
        <v>BRAKI CRM</v>
      </c>
      <c r="G571" s="57">
        <f>CRM_MAGDY!K571</f>
        <v>0</v>
      </c>
      <c r="H571" s="57">
        <f>CRM_MAGDY!N571</f>
        <v>0</v>
      </c>
    </row>
    <row r="572" spans="1:8" ht="30" x14ac:dyDescent="0.25">
      <c r="A572" s="57">
        <f>CRM_MAGDY!H572</f>
        <v>6013</v>
      </c>
      <c r="B572" s="57">
        <f>CRM_MAGDY!I572</f>
        <v>0</v>
      </c>
      <c r="C572" s="57">
        <f>CRM_MAGDY!E572</f>
        <v>0</v>
      </c>
      <c r="D572" s="57">
        <f>CRM_MAGDY!V572</f>
        <v>0</v>
      </c>
      <c r="E572" s="57" t="str">
        <f>IF(CRM_MAGDY!G572="","BRAK TELEFONU",IF(CRM_MAGDY!K572="","BRAK KWOTY",IF(CRM_MAGDY!N572="","BRAK STATUSU",IF(CRM_MAGDY!C572="","BRAK DATY AKCJI",""))))</f>
        <v>BRAK TELEFONU</v>
      </c>
      <c r="F572" s="57" t="str">
        <f>CRM_MAGDY!W572</f>
        <v>BRAKI CRM</v>
      </c>
      <c r="G572" s="57">
        <f>CRM_MAGDY!K572</f>
        <v>0</v>
      </c>
      <c r="H572" s="57">
        <f>CRM_MAGDY!N572</f>
        <v>0</v>
      </c>
    </row>
    <row r="573" spans="1:8" ht="30" x14ac:dyDescent="0.25">
      <c r="A573" s="57">
        <f>CRM_MAGDY!H573</f>
        <v>6014</v>
      </c>
      <c r="B573" s="57">
        <f>CRM_MAGDY!I573</f>
        <v>0</v>
      </c>
      <c r="C573" s="57">
        <f>CRM_MAGDY!E573</f>
        <v>0</v>
      </c>
      <c r="D573" s="57">
        <f>CRM_MAGDY!V573</f>
        <v>0</v>
      </c>
      <c r="E573" s="57" t="str">
        <f>IF(CRM_MAGDY!G573="","BRAK TELEFONU",IF(CRM_MAGDY!K573="","BRAK KWOTY",IF(CRM_MAGDY!N573="","BRAK STATUSU",IF(CRM_MAGDY!C573="","BRAK DATY AKCJI",""))))</f>
        <v>BRAK TELEFONU</v>
      </c>
      <c r="F573" s="57" t="str">
        <f>CRM_MAGDY!W573</f>
        <v>BRAKI CRM</v>
      </c>
      <c r="G573" s="57">
        <f>CRM_MAGDY!K573</f>
        <v>0</v>
      </c>
      <c r="H573" s="57">
        <f>CRM_MAGDY!N573</f>
        <v>0</v>
      </c>
    </row>
    <row r="574" spans="1:8" ht="30" x14ac:dyDescent="0.25">
      <c r="A574" s="57">
        <f>CRM_MAGDY!H574</f>
        <v>6015</v>
      </c>
      <c r="B574" s="57">
        <f>CRM_MAGDY!I574</f>
        <v>0</v>
      </c>
      <c r="C574" s="57">
        <f>CRM_MAGDY!E574</f>
        <v>0</v>
      </c>
      <c r="D574" s="57">
        <f>CRM_MAGDY!V574</f>
        <v>0</v>
      </c>
      <c r="E574" s="57" t="str">
        <f>IF(CRM_MAGDY!G574="","BRAK TELEFONU",IF(CRM_MAGDY!K574="","BRAK KWOTY",IF(CRM_MAGDY!N574="","BRAK STATUSU",IF(CRM_MAGDY!C574="","BRAK DATY AKCJI",""))))</f>
        <v>BRAK TELEFONU</v>
      </c>
      <c r="F574" s="57" t="str">
        <f>CRM_MAGDY!W574</f>
        <v>BRAKI CRM</v>
      </c>
      <c r="G574" s="57">
        <f>CRM_MAGDY!K574</f>
        <v>0</v>
      </c>
      <c r="H574" s="57">
        <f>CRM_MAGDY!N574</f>
        <v>0</v>
      </c>
    </row>
    <row r="575" spans="1:8" ht="30" x14ac:dyDescent="0.25">
      <c r="A575" s="57">
        <f>CRM_MAGDY!H575</f>
        <v>6016</v>
      </c>
      <c r="B575" s="57">
        <f>CRM_MAGDY!I575</f>
        <v>0</v>
      </c>
      <c r="C575" s="57">
        <f>CRM_MAGDY!E575</f>
        <v>0</v>
      </c>
      <c r="D575" s="57">
        <f>CRM_MAGDY!V575</f>
        <v>0</v>
      </c>
      <c r="E575" s="57" t="str">
        <f>IF(CRM_MAGDY!G575="","BRAK TELEFONU",IF(CRM_MAGDY!K575="","BRAK KWOTY",IF(CRM_MAGDY!N575="","BRAK STATUSU",IF(CRM_MAGDY!C575="","BRAK DATY AKCJI",""))))</f>
        <v>BRAK TELEFONU</v>
      </c>
      <c r="F575" s="57" t="str">
        <f>CRM_MAGDY!W575</f>
        <v>BRAKI CRM</v>
      </c>
      <c r="G575" s="57">
        <f>CRM_MAGDY!K575</f>
        <v>0</v>
      </c>
      <c r="H575" s="57">
        <f>CRM_MAGDY!N575</f>
        <v>0</v>
      </c>
    </row>
    <row r="576" spans="1:8" ht="30" x14ac:dyDescent="0.25">
      <c r="A576" s="57">
        <f>CRM_MAGDY!H576</f>
        <v>6017</v>
      </c>
      <c r="B576" s="57">
        <f>CRM_MAGDY!I576</f>
        <v>0</v>
      </c>
      <c r="C576" s="57">
        <f>CRM_MAGDY!E576</f>
        <v>0</v>
      </c>
      <c r="D576" s="57">
        <f>CRM_MAGDY!V576</f>
        <v>0</v>
      </c>
      <c r="E576" s="57" t="str">
        <f>IF(CRM_MAGDY!G576="","BRAK TELEFONU",IF(CRM_MAGDY!K576="","BRAK KWOTY",IF(CRM_MAGDY!N576="","BRAK STATUSU",IF(CRM_MAGDY!C576="","BRAK DATY AKCJI",""))))</f>
        <v>BRAK TELEFONU</v>
      </c>
      <c r="F576" s="57" t="str">
        <f>CRM_MAGDY!W576</f>
        <v>BRAKI CRM</v>
      </c>
      <c r="G576" s="57">
        <f>CRM_MAGDY!K576</f>
        <v>0</v>
      </c>
      <c r="H576" s="57">
        <f>CRM_MAGDY!N576</f>
        <v>0</v>
      </c>
    </row>
    <row r="577" spans="1:8" ht="30" x14ac:dyDescent="0.25">
      <c r="A577" s="57">
        <f>CRM_MAGDY!H577</f>
        <v>6018</v>
      </c>
      <c r="B577" s="57">
        <f>CRM_MAGDY!I577</f>
        <v>0</v>
      </c>
      <c r="C577" s="57">
        <f>CRM_MAGDY!E577</f>
        <v>0</v>
      </c>
      <c r="D577" s="57">
        <f>CRM_MAGDY!V577</f>
        <v>0</v>
      </c>
      <c r="E577" s="57" t="str">
        <f>IF(CRM_MAGDY!G577="","BRAK TELEFONU",IF(CRM_MAGDY!K577="","BRAK KWOTY",IF(CRM_MAGDY!N577="","BRAK STATUSU",IF(CRM_MAGDY!C577="","BRAK DATY AKCJI",""))))</f>
        <v>BRAK TELEFONU</v>
      </c>
      <c r="F577" s="57" t="str">
        <f>CRM_MAGDY!W577</f>
        <v>BRAKI CRM</v>
      </c>
      <c r="G577" s="57">
        <f>CRM_MAGDY!K577</f>
        <v>0</v>
      </c>
      <c r="H577" s="57">
        <f>CRM_MAGDY!N577</f>
        <v>0</v>
      </c>
    </row>
    <row r="578" spans="1:8" ht="30" x14ac:dyDescent="0.25">
      <c r="A578" s="57">
        <f>CRM_MAGDY!H578</f>
        <v>6019</v>
      </c>
      <c r="B578" s="57">
        <f>CRM_MAGDY!I578</f>
        <v>0</v>
      </c>
      <c r="C578" s="57">
        <f>CRM_MAGDY!E578</f>
        <v>0</v>
      </c>
      <c r="D578" s="57">
        <f>CRM_MAGDY!V578</f>
        <v>0</v>
      </c>
      <c r="E578" s="57" t="str">
        <f>IF(CRM_MAGDY!G578="","BRAK TELEFONU",IF(CRM_MAGDY!K578="","BRAK KWOTY",IF(CRM_MAGDY!N578="","BRAK STATUSU",IF(CRM_MAGDY!C578="","BRAK DATY AKCJI",""))))</f>
        <v>BRAK TELEFONU</v>
      </c>
      <c r="F578" s="57" t="str">
        <f>CRM_MAGDY!W578</f>
        <v>BRAKI CRM</v>
      </c>
      <c r="G578" s="57">
        <f>CRM_MAGDY!K578</f>
        <v>0</v>
      </c>
      <c r="H578" s="57">
        <f>CRM_MAGDY!N578</f>
        <v>0</v>
      </c>
    </row>
    <row r="579" spans="1:8" ht="30" x14ac:dyDescent="0.25">
      <c r="A579" s="57">
        <f>CRM_MAGDY!H579</f>
        <v>6020</v>
      </c>
      <c r="B579" s="57">
        <f>CRM_MAGDY!I579</f>
        <v>0</v>
      </c>
      <c r="C579" s="57">
        <f>CRM_MAGDY!E579</f>
        <v>0</v>
      </c>
      <c r="D579" s="57">
        <f>CRM_MAGDY!V579</f>
        <v>0</v>
      </c>
      <c r="E579" s="57" t="str">
        <f>IF(CRM_MAGDY!G579="","BRAK TELEFONU",IF(CRM_MAGDY!K579="","BRAK KWOTY",IF(CRM_MAGDY!N579="","BRAK STATUSU",IF(CRM_MAGDY!C579="","BRAK DATY AKCJI",""))))</f>
        <v>BRAK TELEFONU</v>
      </c>
      <c r="F579" s="57" t="str">
        <f>CRM_MAGDY!W579</f>
        <v>BRAKI CRM</v>
      </c>
      <c r="G579" s="57">
        <f>CRM_MAGDY!K579</f>
        <v>0</v>
      </c>
      <c r="H579" s="57">
        <f>CRM_MAGDY!N579</f>
        <v>0</v>
      </c>
    </row>
    <row r="580" spans="1:8" ht="30" x14ac:dyDescent="0.25">
      <c r="A580" s="57">
        <f>CRM_MAGDY!H580</f>
        <v>6021</v>
      </c>
      <c r="B580" s="57">
        <f>CRM_MAGDY!I580</f>
        <v>0</v>
      </c>
      <c r="C580" s="57">
        <f>CRM_MAGDY!E580</f>
        <v>0</v>
      </c>
      <c r="D580" s="57">
        <f>CRM_MAGDY!V580</f>
        <v>0</v>
      </c>
      <c r="E580" s="57" t="str">
        <f>IF(CRM_MAGDY!G580="","BRAK TELEFONU",IF(CRM_MAGDY!K580="","BRAK KWOTY",IF(CRM_MAGDY!N580="","BRAK STATUSU",IF(CRM_MAGDY!C580="","BRAK DATY AKCJI",""))))</f>
        <v>BRAK TELEFONU</v>
      </c>
      <c r="F580" s="57" t="str">
        <f>CRM_MAGDY!W580</f>
        <v>BRAKI CRM</v>
      </c>
      <c r="G580" s="57">
        <f>CRM_MAGDY!K580</f>
        <v>0</v>
      </c>
      <c r="H580" s="57">
        <f>CRM_MAGDY!N580</f>
        <v>0</v>
      </c>
    </row>
    <row r="581" spans="1:8" ht="30" x14ac:dyDescent="0.25">
      <c r="A581" s="57">
        <f>CRM_MAGDY!H581</f>
        <v>6022</v>
      </c>
      <c r="B581" s="57">
        <f>CRM_MAGDY!I581</f>
        <v>0</v>
      </c>
      <c r="C581" s="57">
        <f>CRM_MAGDY!E581</f>
        <v>0</v>
      </c>
      <c r="D581" s="57">
        <f>CRM_MAGDY!V581</f>
        <v>0</v>
      </c>
      <c r="E581" s="57" t="str">
        <f>IF(CRM_MAGDY!G581="","BRAK TELEFONU",IF(CRM_MAGDY!K581="","BRAK KWOTY",IF(CRM_MAGDY!N581="","BRAK STATUSU",IF(CRM_MAGDY!C581="","BRAK DATY AKCJI",""))))</f>
        <v>BRAK TELEFONU</v>
      </c>
      <c r="F581" s="57" t="str">
        <f>CRM_MAGDY!W581</f>
        <v>BRAKI CRM</v>
      </c>
      <c r="G581" s="57">
        <f>CRM_MAGDY!K581</f>
        <v>0</v>
      </c>
      <c r="H581" s="57">
        <f>CRM_MAGDY!N581</f>
        <v>0</v>
      </c>
    </row>
    <row r="582" spans="1:8" ht="30" x14ac:dyDescent="0.25">
      <c r="A582" s="57">
        <f>CRM_MAGDY!H582</f>
        <v>6023</v>
      </c>
      <c r="B582" s="57">
        <f>CRM_MAGDY!I582</f>
        <v>0</v>
      </c>
      <c r="C582" s="57">
        <f>CRM_MAGDY!E582</f>
        <v>0</v>
      </c>
      <c r="D582" s="57">
        <f>CRM_MAGDY!V582</f>
        <v>0</v>
      </c>
      <c r="E582" s="57" t="str">
        <f>IF(CRM_MAGDY!G582="","BRAK TELEFONU",IF(CRM_MAGDY!K582="","BRAK KWOTY",IF(CRM_MAGDY!N582="","BRAK STATUSU",IF(CRM_MAGDY!C582="","BRAK DATY AKCJI",""))))</f>
        <v>BRAK TELEFONU</v>
      </c>
      <c r="F582" s="57" t="str">
        <f>CRM_MAGDY!W582</f>
        <v>BRAKI CRM</v>
      </c>
      <c r="G582" s="57">
        <f>CRM_MAGDY!K582</f>
        <v>0</v>
      </c>
      <c r="H582" s="57">
        <f>CRM_MAGDY!N582</f>
        <v>0</v>
      </c>
    </row>
    <row r="583" spans="1:8" ht="30" x14ac:dyDescent="0.25">
      <c r="A583" s="57">
        <f>CRM_MAGDY!H583</f>
        <v>6024</v>
      </c>
      <c r="B583" s="57">
        <f>CRM_MAGDY!I583</f>
        <v>0</v>
      </c>
      <c r="C583" s="57">
        <f>CRM_MAGDY!E583</f>
        <v>0</v>
      </c>
      <c r="D583" s="57">
        <f>CRM_MAGDY!V583</f>
        <v>0</v>
      </c>
      <c r="E583" s="57" t="str">
        <f>IF(CRM_MAGDY!G583="","BRAK TELEFONU",IF(CRM_MAGDY!K583="","BRAK KWOTY",IF(CRM_MAGDY!N583="","BRAK STATUSU",IF(CRM_MAGDY!C583="","BRAK DATY AKCJI",""))))</f>
        <v>BRAK TELEFONU</v>
      </c>
      <c r="F583" s="57" t="str">
        <f>CRM_MAGDY!W583</f>
        <v>BRAKI CRM</v>
      </c>
      <c r="G583" s="57">
        <f>CRM_MAGDY!K583</f>
        <v>0</v>
      </c>
      <c r="H583" s="57">
        <f>CRM_MAGDY!N583</f>
        <v>0</v>
      </c>
    </row>
    <row r="584" spans="1:8" ht="30" x14ac:dyDescent="0.25">
      <c r="A584" s="57">
        <f>CRM_MAGDY!H584</f>
        <v>6025</v>
      </c>
      <c r="B584" s="57">
        <f>CRM_MAGDY!I584</f>
        <v>0</v>
      </c>
      <c r="C584" s="57">
        <f>CRM_MAGDY!E584</f>
        <v>0</v>
      </c>
      <c r="D584" s="57">
        <f>CRM_MAGDY!V584</f>
        <v>0</v>
      </c>
      <c r="E584" s="57" t="str">
        <f>IF(CRM_MAGDY!G584="","BRAK TELEFONU",IF(CRM_MAGDY!K584="","BRAK KWOTY",IF(CRM_MAGDY!N584="","BRAK STATUSU",IF(CRM_MAGDY!C584="","BRAK DATY AKCJI",""))))</f>
        <v>BRAK TELEFONU</v>
      </c>
      <c r="F584" s="57" t="str">
        <f>CRM_MAGDY!W584</f>
        <v>BRAKI CRM</v>
      </c>
      <c r="G584" s="57">
        <f>CRM_MAGDY!K584</f>
        <v>0</v>
      </c>
      <c r="H584" s="57">
        <f>CRM_MAGDY!N584</f>
        <v>0</v>
      </c>
    </row>
    <row r="585" spans="1:8" ht="30" x14ac:dyDescent="0.25">
      <c r="A585" s="57">
        <f>CRM_MAGDY!H585</f>
        <v>6026</v>
      </c>
      <c r="B585" s="57">
        <f>CRM_MAGDY!I585</f>
        <v>0</v>
      </c>
      <c r="C585" s="57">
        <f>CRM_MAGDY!E585</f>
        <v>0</v>
      </c>
      <c r="D585" s="57">
        <f>CRM_MAGDY!V585</f>
        <v>0</v>
      </c>
      <c r="E585" s="57" t="str">
        <f>IF(CRM_MAGDY!G585="","BRAK TELEFONU",IF(CRM_MAGDY!K585="","BRAK KWOTY",IF(CRM_MAGDY!N585="","BRAK STATUSU",IF(CRM_MAGDY!C585="","BRAK DATY AKCJI",""))))</f>
        <v>BRAK TELEFONU</v>
      </c>
      <c r="F585" s="57" t="str">
        <f>CRM_MAGDY!W585</f>
        <v>BRAKI CRM</v>
      </c>
      <c r="G585" s="57">
        <f>CRM_MAGDY!K585</f>
        <v>0</v>
      </c>
      <c r="H585" s="57">
        <f>CRM_MAGDY!N585</f>
        <v>0</v>
      </c>
    </row>
    <row r="586" spans="1:8" ht="30" x14ac:dyDescent="0.25">
      <c r="A586" s="57">
        <f>CRM_MAGDY!H586</f>
        <v>6027</v>
      </c>
      <c r="B586" s="57">
        <f>CRM_MAGDY!I586</f>
        <v>0</v>
      </c>
      <c r="C586" s="57">
        <f>CRM_MAGDY!E586</f>
        <v>0</v>
      </c>
      <c r="D586" s="57">
        <f>CRM_MAGDY!V586</f>
        <v>0</v>
      </c>
      <c r="E586" s="57" t="str">
        <f>IF(CRM_MAGDY!G586="","BRAK TELEFONU",IF(CRM_MAGDY!K586="","BRAK KWOTY",IF(CRM_MAGDY!N586="","BRAK STATUSU",IF(CRM_MAGDY!C586="","BRAK DATY AKCJI",""))))</f>
        <v>BRAK TELEFONU</v>
      </c>
      <c r="F586" s="57" t="str">
        <f>CRM_MAGDY!W586</f>
        <v>BRAKI CRM</v>
      </c>
      <c r="G586" s="57">
        <f>CRM_MAGDY!K586</f>
        <v>0</v>
      </c>
      <c r="H586" s="57">
        <f>CRM_MAGDY!N586</f>
        <v>0</v>
      </c>
    </row>
    <row r="587" spans="1:8" ht="30" x14ac:dyDescent="0.25">
      <c r="A587" s="57">
        <f>CRM_MAGDY!H587</f>
        <v>6028</v>
      </c>
      <c r="B587" s="57">
        <f>CRM_MAGDY!I587</f>
        <v>0</v>
      </c>
      <c r="C587" s="57">
        <f>CRM_MAGDY!E587</f>
        <v>0</v>
      </c>
      <c r="D587" s="57">
        <f>CRM_MAGDY!V587</f>
        <v>0</v>
      </c>
      <c r="E587" s="57" t="str">
        <f>IF(CRM_MAGDY!G587="","BRAK TELEFONU",IF(CRM_MAGDY!K587="","BRAK KWOTY",IF(CRM_MAGDY!N587="","BRAK STATUSU",IF(CRM_MAGDY!C587="","BRAK DATY AKCJI",""))))</f>
        <v>BRAK TELEFONU</v>
      </c>
      <c r="F587" s="57" t="str">
        <f>CRM_MAGDY!W587</f>
        <v>BRAKI CRM</v>
      </c>
      <c r="G587" s="57">
        <f>CRM_MAGDY!K587</f>
        <v>0</v>
      </c>
      <c r="H587" s="57">
        <f>CRM_MAGDY!N587</f>
        <v>0</v>
      </c>
    </row>
    <row r="588" spans="1:8" ht="30" x14ac:dyDescent="0.25">
      <c r="A588" s="57">
        <f>CRM_MAGDY!H588</f>
        <v>6029</v>
      </c>
      <c r="B588" s="57">
        <f>CRM_MAGDY!I588</f>
        <v>0</v>
      </c>
      <c r="C588" s="57">
        <f>CRM_MAGDY!E588</f>
        <v>0</v>
      </c>
      <c r="D588" s="57">
        <f>CRM_MAGDY!V588</f>
        <v>0</v>
      </c>
      <c r="E588" s="57" t="str">
        <f>IF(CRM_MAGDY!G588="","BRAK TELEFONU",IF(CRM_MAGDY!K588="","BRAK KWOTY",IF(CRM_MAGDY!N588="","BRAK STATUSU",IF(CRM_MAGDY!C588="","BRAK DATY AKCJI",""))))</f>
        <v>BRAK TELEFONU</v>
      </c>
      <c r="F588" s="57" t="str">
        <f>CRM_MAGDY!W588</f>
        <v>BRAKI CRM</v>
      </c>
      <c r="G588" s="57">
        <f>CRM_MAGDY!K588</f>
        <v>0</v>
      </c>
      <c r="H588" s="57">
        <f>CRM_MAGDY!N588</f>
        <v>0</v>
      </c>
    </row>
    <row r="589" spans="1:8" ht="30" x14ac:dyDescent="0.25">
      <c r="A589" s="57">
        <f>CRM_MAGDY!H589</f>
        <v>6030</v>
      </c>
      <c r="B589" s="57">
        <f>CRM_MAGDY!I589</f>
        <v>0</v>
      </c>
      <c r="C589" s="57">
        <f>CRM_MAGDY!E589</f>
        <v>0</v>
      </c>
      <c r="D589" s="57">
        <f>CRM_MAGDY!V589</f>
        <v>0</v>
      </c>
      <c r="E589" s="57" t="str">
        <f>IF(CRM_MAGDY!G589="","BRAK TELEFONU",IF(CRM_MAGDY!K589="","BRAK KWOTY",IF(CRM_MAGDY!N589="","BRAK STATUSU",IF(CRM_MAGDY!C589="","BRAK DATY AKCJI",""))))</f>
        <v>BRAK TELEFONU</v>
      </c>
      <c r="F589" s="57" t="str">
        <f>CRM_MAGDY!W589</f>
        <v>BRAKI CRM</v>
      </c>
      <c r="G589" s="57">
        <f>CRM_MAGDY!K589</f>
        <v>0</v>
      </c>
      <c r="H589" s="57">
        <f>CRM_MAGDY!N589</f>
        <v>0</v>
      </c>
    </row>
    <row r="590" spans="1:8" ht="30" x14ac:dyDescent="0.25">
      <c r="A590" s="57">
        <f>CRM_MAGDY!H590</f>
        <v>6031</v>
      </c>
      <c r="B590" s="57">
        <f>CRM_MAGDY!I590</f>
        <v>0</v>
      </c>
      <c r="C590" s="57">
        <f>CRM_MAGDY!E590</f>
        <v>0</v>
      </c>
      <c r="D590" s="57">
        <f>CRM_MAGDY!V590</f>
        <v>0</v>
      </c>
      <c r="E590" s="57" t="str">
        <f>IF(CRM_MAGDY!G590="","BRAK TELEFONU",IF(CRM_MAGDY!K590="","BRAK KWOTY",IF(CRM_MAGDY!N590="","BRAK STATUSU",IF(CRM_MAGDY!C590="","BRAK DATY AKCJI",""))))</f>
        <v>BRAK TELEFONU</v>
      </c>
      <c r="F590" s="57" t="str">
        <f>CRM_MAGDY!W590</f>
        <v>BRAKI CRM</v>
      </c>
      <c r="G590" s="57">
        <f>CRM_MAGDY!K590</f>
        <v>0</v>
      </c>
      <c r="H590" s="57">
        <f>CRM_MAGDY!N590</f>
        <v>0</v>
      </c>
    </row>
    <row r="591" spans="1:8" ht="30" x14ac:dyDescent="0.25">
      <c r="A591" s="57">
        <f>CRM_MAGDY!H591</f>
        <v>6032</v>
      </c>
      <c r="B591" s="57">
        <f>CRM_MAGDY!I591</f>
        <v>0</v>
      </c>
      <c r="C591" s="57">
        <f>CRM_MAGDY!E591</f>
        <v>0</v>
      </c>
      <c r="D591" s="57">
        <f>CRM_MAGDY!V591</f>
        <v>0</v>
      </c>
      <c r="E591" s="57" t="str">
        <f>IF(CRM_MAGDY!G591="","BRAK TELEFONU",IF(CRM_MAGDY!K591="","BRAK KWOTY",IF(CRM_MAGDY!N591="","BRAK STATUSU",IF(CRM_MAGDY!C591="","BRAK DATY AKCJI",""))))</f>
        <v>BRAK TELEFONU</v>
      </c>
      <c r="F591" s="57" t="str">
        <f>CRM_MAGDY!W591</f>
        <v>BRAKI CRM</v>
      </c>
      <c r="G591" s="57">
        <f>CRM_MAGDY!K591</f>
        <v>0</v>
      </c>
      <c r="H591" s="57">
        <f>CRM_MAGDY!N591</f>
        <v>0</v>
      </c>
    </row>
    <row r="592" spans="1:8" ht="30" x14ac:dyDescent="0.25">
      <c r="A592" s="57">
        <f>CRM_MAGDY!H592</f>
        <v>6033</v>
      </c>
      <c r="B592" s="57">
        <f>CRM_MAGDY!I592</f>
        <v>0</v>
      </c>
      <c r="C592" s="57">
        <f>CRM_MAGDY!E592</f>
        <v>0</v>
      </c>
      <c r="D592" s="57">
        <f>CRM_MAGDY!V592</f>
        <v>0</v>
      </c>
      <c r="E592" s="57" t="str">
        <f>IF(CRM_MAGDY!G592="","BRAK TELEFONU",IF(CRM_MAGDY!K592="","BRAK KWOTY",IF(CRM_MAGDY!N592="","BRAK STATUSU",IF(CRM_MAGDY!C592="","BRAK DATY AKCJI",""))))</f>
        <v>BRAK TELEFONU</v>
      </c>
      <c r="F592" s="57" t="str">
        <f>CRM_MAGDY!W592</f>
        <v>BRAKI CRM</v>
      </c>
      <c r="G592" s="57">
        <f>CRM_MAGDY!K592</f>
        <v>0</v>
      </c>
      <c r="H592" s="57">
        <f>CRM_MAGDY!N592</f>
        <v>0</v>
      </c>
    </row>
    <row r="593" spans="1:8" ht="30" x14ac:dyDescent="0.25">
      <c r="A593" s="57">
        <f>CRM_MAGDY!H593</f>
        <v>6034</v>
      </c>
      <c r="B593" s="57">
        <f>CRM_MAGDY!I593</f>
        <v>0</v>
      </c>
      <c r="C593" s="57">
        <f>CRM_MAGDY!E593</f>
        <v>0</v>
      </c>
      <c r="D593" s="57">
        <f>CRM_MAGDY!V593</f>
        <v>0</v>
      </c>
      <c r="E593" s="57" t="str">
        <f>IF(CRM_MAGDY!G593="","BRAK TELEFONU",IF(CRM_MAGDY!K593="","BRAK KWOTY",IF(CRM_MAGDY!N593="","BRAK STATUSU",IF(CRM_MAGDY!C593="","BRAK DATY AKCJI",""))))</f>
        <v>BRAK TELEFONU</v>
      </c>
      <c r="F593" s="57" t="str">
        <f>CRM_MAGDY!W593</f>
        <v>BRAKI CRM</v>
      </c>
      <c r="G593" s="57">
        <f>CRM_MAGDY!K593</f>
        <v>0</v>
      </c>
      <c r="H593" s="57">
        <f>CRM_MAGDY!N593</f>
        <v>0</v>
      </c>
    </row>
    <row r="594" spans="1:8" ht="30" x14ac:dyDescent="0.25">
      <c r="A594" s="57">
        <f>CRM_MAGDY!H594</f>
        <v>6035</v>
      </c>
      <c r="B594" s="57">
        <f>CRM_MAGDY!I594</f>
        <v>0</v>
      </c>
      <c r="C594" s="57">
        <f>CRM_MAGDY!E594</f>
        <v>0</v>
      </c>
      <c r="D594" s="57">
        <f>CRM_MAGDY!V594</f>
        <v>0</v>
      </c>
      <c r="E594" s="57" t="str">
        <f>IF(CRM_MAGDY!G594="","BRAK TELEFONU",IF(CRM_MAGDY!K594="","BRAK KWOTY",IF(CRM_MAGDY!N594="","BRAK STATUSU",IF(CRM_MAGDY!C594="","BRAK DATY AKCJI",""))))</f>
        <v>BRAK TELEFONU</v>
      </c>
      <c r="F594" s="57" t="str">
        <f>CRM_MAGDY!W594</f>
        <v>BRAKI CRM</v>
      </c>
      <c r="G594" s="57">
        <f>CRM_MAGDY!K594</f>
        <v>0</v>
      </c>
      <c r="H594" s="57">
        <f>CRM_MAGDY!N594</f>
        <v>0</v>
      </c>
    </row>
    <row r="595" spans="1:8" ht="30" x14ac:dyDescent="0.25">
      <c r="A595" s="57">
        <f>CRM_MAGDY!H595</f>
        <v>6036</v>
      </c>
      <c r="B595" s="57">
        <f>CRM_MAGDY!I595</f>
        <v>0</v>
      </c>
      <c r="C595" s="57">
        <f>CRM_MAGDY!E595</f>
        <v>0</v>
      </c>
      <c r="D595" s="57">
        <f>CRM_MAGDY!V595</f>
        <v>0</v>
      </c>
      <c r="E595" s="57" t="str">
        <f>IF(CRM_MAGDY!G595="","BRAK TELEFONU",IF(CRM_MAGDY!K595="","BRAK KWOTY",IF(CRM_MAGDY!N595="","BRAK STATUSU",IF(CRM_MAGDY!C595="","BRAK DATY AKCJI",""))))</f>
        <v>BRAK TELEFONU</v>
      </c>
      <c r="F595" s="57" t="str">
        <f>CRM_MAGDY!W595</f>
        <v>BRAKI CRM</v>
      </c>
      <c r="G595" s="57">
        <f>CRM_MAGDY!K595</f>
        <v>0</v>
      </c>
      <c r="H595" s="57">
        <f>CRM_MAGDY!N595</f>
        <v>0</v>
      </c>
    </row>
    <row r="596" spans="1:8" ht="30" x14ac:dyDescent="0.25">
      <c r="A596" s="57">
        <f>CRM_MAGDY!H596</f>
        <v>6037</v>
      </c>
      <c r="B596" s="57">
        <f>CRM_MAGDY!I596</f>
        <v>0</v>
      </c>
      <c r="C596" s="57">
        <f>CRM_MAGDY!E596</f>
        <v>0</v>
      </c>
      <c r="D596" s="57">
        <f>CRM_MAGDY!V596</f>
        <v>0</v>
      </c>
      <c r="E596" s="57" t="str">
        <f>IF(CRM_MAGDY!G596="","BRAK TELEFONU",IF(CRM_MAGDY!K596="","BRAK KWOTY",IF(CRM_MAGDY!N596="","BRAK STATUSU",IF(CRM_MAGDY!C596="","BRAK DATY AKCJI",""))))</f>
        <v>BRAK TELEFONU</v>
      </c>
      <c r="F596" s="57" t="str">
        <f>CRM_MAGDY!W596</f>
        <v>BRAKI CRM</v>
      </c>
      <c r="G596" s="57">
        <f>CRM_MAGDY!K596</f>
        <v>0</v>
      </c>
      <c r="H596" s="57">
        <f>CRM_MAGDY!N596</f>
        <v>0</v>
      </c>
    </row>
    <row r="597" spans="1:8" ht="30" x14ac:dyDescent="0.25">
      <c r="A597" s="57">
        <f>CRM_MAGDY!H597</f>
        <v>6038</v>
      </c>
      <c r="B597" s="57">
        <f>CRM_MAGDY!I597</f>
        <v>0</v>
      </c>
      <c r="C597" s="57">
        <f>CRM_MAGDY!E597</f>
        <v>0</v>
      </c>
      <c r="D597" s="57">
        <f>CRM_MAGDY!V597</f>
        <v>0</v>
      </c>
      <c r="E597" s="57" t="str">
        <f>IF(CRM_MAGDY!G597="","BRAK TELEFONU",IF(CRM_MAGDY!K597="","BRAK KWOTY",IF(CRM_MAGDY!N597="","BRAK STATUSU",IF(CRM_MAGDY!C597="","BRAK DATY AKCJI",""))))</f>
        <v>BRAK TELEFONU</v>
      </c>
      <c r="F597" s="57" t="str">
        <f>CRM_MAGDY!W597</f>
        <v>BRAKI CRM</v>
      </c>
      <c r="G597" s="57">
        <f>CRM_MAGDY!K597</f>
        <v>0</v>
      </c>
      <c r="H597" s="57">
        <f>CRM_MAGDY!N597</f>
        <v>0</v>
      </c>
    </row>
    <row r="598" spans="1:8" ht="30" x14ac:dyDescent="0.25">
      <c r="A598" s="57">
        <f>CRM_MAGDY!H598</f>
        <v>6039</v>
      </c>
      <c r="B598" s="57">
        <f>CRM_MAGDY!I598</f>
        <v>0</v>
      </c>
      <c r="C598" s="57">
        <f>CRM_MAGDY!E598</f>
        <v>0</v>
      </c>
      <c r="D598" s="57">
        <f>CRM_MAGDY!V598</f>
        <v>0</v>
      </c>
      <c r="E598" s="57" t="str">
        <f>IF(CRM_MAGDY!G598="","BRAK TELEFONU",IF(CRM_MAGDY!K598="","BRAK KWOTY",IF(CRM_MAGDY!N598="","BRAK STATUSU",IF(CRM_MAGDY!C598="","BRAK DATY AKCJI",""))))</f>
        <v>BRAK TELEFONU</v>
      </c>
      <c r="F598" s="57" t="str">
        <f>CRM_MAGDY!W598</f>
        <v>BRAKI CRM</v>
      </c>
      <c r="G598" s="57">
        <f>CRM_MAGDY!K598</f>
        <v>0</v>
      </c>
      <c r="H598" s="57">
        <f>CRM_MAGDY!N598</f>
        <v>0</v>
      </c>
    </row>
    <row r="599" spans="1:8" ht="30" x14ac:dyDescent="0.25">
      <c r="A599" s="57">
        <f>CRM_MAGDY!H599</f>
        <v>6040</v>
      </c>
      <c r="B599" s="57">
        <f>CRM_MAGDY!I599</f>
        <v>0</v>
      </c>
      <c r="C599" s="57">
        <f>CRM_MAGDY!E599</f>
        <v>0</v>
      </c>
      <c r="D599" s="57">
        <f>CRM_MAGDY!V599</f>
        <v>0</v>
      </c>
      <c r="E599" s="57" t="str">
        <f>IF(CRM_MAGDY!G599="","BRAK TELEFONU",IF(CRM_MAGDY!K599="","BRAK KWOTY",IF(CRM_MAGDY!N599="","BRAK STATUSU",IF(CRM_MAGDY!C599="","BRAK DATY AKCJI",""))))</f>
        <v>BRAK TELEFONU</v>
      </c>
      <c r="F599" s="57" t="str">
        <f>CRM_MAGDY!W599</f>
        <v>BRAKI CRM</v>
      </c>
      <c r="G599" s="57">
        <f>CRM_MAGDY!K599</f>
        <v>0</v>
      </c>
      <c r="H599" s="57">
        <f>CRM_MAGDY!N599</f>
        <v>0</v>
      </c>
    </row>
    <row r="600" spans="1:8" ht="30" x14ac:dyDescent="0.25">
      <c r="A600" s="57">
        <f>CRM_MAGDY!H600</f>
        <v>6041</v>
      </c>
      <c r="B600" s="57">
        <f>CRM_MAGDY!I600</f>
        <v>0</v>
      </c>
      <c r="C600" s="57">
        <f>CRM_MAGDY!E600</f>
        <v>0</v>
      </c>
      <c r="D600" s="57">
        <f>CRM_MAGDY!V600</f>
        <v>0</v>
      </c>
      <c r="E600" s="57" t="str">
        <f>IF(CRM_MAGDY!G600="","BRAK TELEFONU",IF(CRM_MAGDY!K600="","BRAK KWOTY",IF(CRM_MAGDY!N600="","BRAK STATUSU",IF(CRM_MAGDY!C600="","BRAK DATY AKCJI",""))))</f>
        <v>BRAK TELEFONU</v>
      </c>
      <c r="F600" s="57" t="str">
        <f>CRM_MAGDY!W600</f>
        <v>BRAKI CRM</v>
      </c>
      <c r="G600" s="57">
        <f>CRM_MAGDY!K600</f>
        <v>0</v>
      </c>
      <c r="H600" s="57">
        <f>CRM_MAGDY!N600</f>
        <v>0</v>
      </c>
    </row>
    <row r="601" spans="1:8" ht="30" x14ac:dyDescent="0.25">
      <c r="A601" s="57">
        <f>CRM_MAGDY!H601</f>
        <v>6042</v>
      </c>
      <c r="B601" s="57">
        <f>CRM_MAGDY!I601</f>
        <v>0</v>
      </c>
      <c r="C601" s="57">
        <f>CRM_MAGDY!E601</f>
        <v>0</v>
      </c>
      <c r="D601" s="57">
        <f>CRM_MAGDY!V601</f>
        <v>0</v>
      </c>
      <c r="E601" s="57" t="str">
        <f>IF(CRM_MAGDY!G601="","BRAK TELEFONU",IF(CRM_MAGDY!K601="","BRAK KWOTY",IF(CRM_MAGDY!N601="","BRAK STATUSU",IF(CRM_MAGDY!C601="","BRAK DATY AKCJI",""))))</f>
        <v>BRAK TELEFONU</v>
      </c>
      <c r="F601" s="57" t="str">
        <f>CRM_MAGDY!W601</f>
        <v>BRAKI CRM</v>
      </c>
      <c r="G601" s="57">
        <f>CRM_MAGDY!K601</f>
        <v>0</v>
      </c>
      <c r="H601" s="57">
        <f>CRM_MAGDY!N601</f>
        <v>0</v>
      </c>
    </row>
    <row r="602" spans="1:8" ht="30" x14ac:dyDescent="0.25">
      <c r="A602" s="57">
        <f>CRM_MAGDY!H602</f>
        <v>6043</v>
      </c>
      <c r="B602" s="57">
        <f>CRM_MAGDY!I602</f>
        <v>0</v>
      </c>
      <c r="C602" s="57">
        <f>CRM_MAGDY!E602</f>
        <v>0</v>
      </c>
      <c r="D602" s="57">
        <f>CRM_MAGDY!V602</f>
        <v>0</v>
      </c>
      <c r="E602" s="57" t="str">
        <f>IF(CRM_MAGDY!G602="","BRAK TELEFONU",IF(CRM_MAGDY!K602="","BRAK KWOTY",IF(CRM_MAGDY!N602="","BRAK STATUSU",IF(CRM_MAGDY!C602="","BRAK DATY AKCJI",""))))</f>
        <v>BRAK TELEFONU</v>
      </c>
      <c r="F602" s="57" t="str">
        <f>CRM_MAGDY!W602</f>
        <v>BRAKI CRM</v>
      </c>
      <c r="G602" s="57">
        <f>CRM_MAGDY!K602</f>
        <v>0</v>
      </c>
      <c r="H602" s="57">
        <f>CRM_MAGDY!N602</f>
        <v>0</v>
      </c>
    </row>
    <row r="603" spans="1:8" ht="30" x14ac:dyDescent="0.25">
      <c r="A603" s="57">
        <f>CRM_MAGDY!H603</f>
        <v>6044</v>
      </c>
      <c r="B603" s="57">
        <f>CRM_MAGDY!I603</f>
        <v>0</v>
      </c>
      <c r="C603" s="57">
        <f>CRM_MAGDY!E603</f>
        <v>0</v>
      </c>
      <c r="D603" s="57">
        <f>CRM_MAGDY!V603</f>
        <v>0</v>
      </c>
      <c r="E603" s="57" t="str">
        <f>IF(CRM_MAGDY!G603="","BRAK TELEFONU",IF(CRM_MAGDY!K603="","BRAK KWOTY",IF(CRM_MAGDY!N603="","BRAK STATUSU",IF(CRM_MAGDY!C603="","BRAK DATY AKCJI",""))))</f>
        <v>BRAK TELEFONU</v>
      </c>
      <c r="F603" s="57" t="str">
        <f>CRM_MAGDY!W603</f>
        <v>BRAKI CRM</v>
      </c>
      <c r="G603" s="57">
        <f>CRM_MAGDY!K603</f>
        <v>0</v>
      </c>
      <c r="H603" s="57">
        <f>CRM_MAGDY!N603</f>
        <v>0</v>
      </c>
    </row>
    <row r="604" spans="1:8" ht="30" x14ac:dyDescent="0.25">
      <c r="A604" s="57">
        <f>CRM_MAGDY!H604</f>
        <v>6045</v>
      </c>
      <c r="B604" s="57">
        <f>CRM_MAGDY!I604</f>
        <v>0</v>
      </c>
      <c r="C604" s="57">
        <f>CRM_MAGDY!E604</f>
        <v>0</v>
      </c>
      <c r="D604" s="57">
        <f>CRM_MAGDY!V604</f>
        <v>0</v>
      </c>
      <c r="E604" s="57" t="str">
        <f>IF(CRM_MAGDY!G604="","BRAK TELEFONU",IF(CRM_MAGDY!K604="","BRAK KWOTY",IF(CRM_MAGDY!N604="","BRAK STATUSU",IF(CRM_MAGDY!C604="","BRAK DATY AKCJI",""))))</f>
        <v>BRAK TELEFONU</v>
      </c>
      <c r="F604" s="57" t="str">
        <f>CRM_MAGDY!W604</f>
        <v>BRAKI CRM</v>
      </c>
      <c r="G604" s="57">
        <f>CRM_MAGDY!K604</f>
        <v>0</v>
      </c>
      <c r="H604" s="57">
        <f>CRM_MAGDY!N604</f>
        <v>0</v>
      </c>
    </row>
    <row r="605" spans="1:8" ht="30" x14ac:dyDescent="0.25">
      <c r="A605" s="57">
        <f>CRM_MAGDY!H605</f>
        <v>6046</v>
      </c>
      <c r="B605" s="57">
        <f>CRM_MAGDY!I605</f>
        <v>0</v>
      </c>
      <c r="C605" s="57">
        <f>CRM_MAGDY!E605</f>
        <v>0</v>
      </c>
      <c r="D605" s="57">
        <f>CRM_MAGDY!V605</f>
        <v>0</v>
      </c>
      <c r="E605" s="57" t="str">
        <f>IF(CRM_MAGDY!G605="","BRAK TELEFONU",IF(CRM_MAGDY!K605="","BRAK KWOTY",IF(CRM_MAGDY!N605="","BRAK STATUSU",IF(CRM_MAGDY!C605="","BRAK DATY AKCJI",""))))</f>
        <v>BRAK TELEFONU</v>
      </c>
      <c r="F605" s="57" t="str">
        <f>CRM_MAGDY!W605</f>
        <v>BRAKI CRM</v>
      </c>
      <c r="G605" s="57">
        <f>CRM_MAGDY!K605</f>
        <v>0</v>
      </c>
      <c r="H605" s="57">
        <f>CRM_MAGDY!N605</f>
        <v>0</v>
      </c>
    </row>
    <row r="606" spans="1:8" ht="30" x14ac:dyDescent="0.25">
      <c r="A606" s="57">
        <f>CRM_MAGDY!H606</f>
        <v>6047</v>
      </c>
      <c r="B606" s="57">
        <f>CRM_MAGDY!I606</f>
        <v>0</v>
      </c>
      <c r="C606" s="57">
        <f>CRM_MAGDY!E606</f>
        <v>0</v>
      </c>
      <c r="D606" s="57">
        <f>CRM_MAGDY!V606</f>
        <v>0</v>
      </c>
      <c r="E606" s="57" t="str">
        <f>IF(CRM_MAGDY!G606="","BRAK TELEFONU",IF(CRM_MAGDY!K606="","BRAK KWOTY",IF(CRM_MAGDY!N606="","BRAK STATUSU",IF(CRM_MAGDY!C606="","BRAK DATY AKCJI",""))))</f>
        <v>BRAK TELEFONU</v>
      </c>
      <c r="F606" s="57" t="str">
        <f>CRM_MAGDY!W606</f>
        <v>BRAKI CRM</v>
      </c>
      <c r="G606" s="57">
        <f>CRM_MAGDY!K606</f>
        <v>0</v>
      </c>
      <c r="H606" s="57">
        <f>CRM_MAGDY!N606</f>
        <v>0</v>
      </c>
    </row>
    <row r="607" spans="1:8" ht="30" x14ac:dyDescent="0.25">
      <c r="A607" s="57">
        <f>CRM_MAGDY!H607</f>
        <v>6048</v>
      </c>
      <c r="B607" s="57">
        <f>CRM_MAGDY!I607</f>
        <v>0</v>
      </c>
      <c r="C607" s="57">
        <f>CRM_MAGDY!E607</f>
        <v>0</v>
      </c>
      <c r="D607" s="57">
        <f>CRM_MAGDY!V607</f>
        <v>0</v>
      </c>
      <c r="E607" s="57" t="str">
        <f>IF(CRM_MAGDY!G607="","BRAK TELEFONU",IF(CRM_MAGDY!K607="","BRAK KWOTY",IF(CRM_MAGDY!N607="","BRAK STATUSU",IF(CRM_MAGDY!C607="","BRAK DATY AKCJI",""))))</f>
        <v>BRAK TELEFONU</v>
      </c>
      <c r="F607" s="57" t="str">
        <f>CRM_MAGDY!W607</f>
        <v>BRAKI CRM</v>
      </c>
      <c r="G607" s="57">
        <f>CRM_MAGDY!K607</f>
        <v>0</v>
      </c>
      <c r="H607" s="57">
        <f>CRM_MAGDY!N607</f>
        <v>0</v>
      </c>
    </row>
    <row r="608" spans="1:8" ht="30" x14ac:dyDescent="0.25">
      <c r="A608" s="57">
        <f>CRM_MAGDY!H608</f>
        <v>6049</v>
      </c>
      <c r="B608" s="57">
        <f>CRM_MAGDY!I608</f>
        <v>0</v>
      </c>
      <c r="C608" s="57">
        <f>CRM_MAGDY!E608</f>
        <v>0</v>
      </c>
      <c r="D608" s="57">
        <f>CRM_MAGDY!V608</f>
        <v>0</v>
      </c>
      <c r="E608" s="57" t="str">
        <f>IF(CRM_MAGDY!G608="","BRAK TELEFONU",IF(CRM_MAGDY!K608="","BRAK KWOTY",IF(CRM_MAGDY!N608="","BRAK STATUSU",IF(CRM_MAGDY!C608="","BRAK DATY AKCJI",""))))</f>
        <v>BRAK TELEFONU</v>
      </c>
      <c r="F608" s="57" t="str">
        <f>CRM_MAGDY!W608</f>
        <v>BRAKI CRM</v>
      </c>
      <c r="G608" s="57">
        <f>CRM_MAGDY!K608</f>
        <v>0</v>
      </c>
      <c r="H608" s="57">
        <f>CRM_MAGDY!N608</f>
        <v>0</v>
      </c>
    </row>
    <row r="609" spans="1:8" ht="30" x14ac:dyDescent="0.25">
      <c r="A609" s="57">
        <f>CRM_MAGDY!H609</f>
        <v>6050</v>
      </c>
      <c r="B609" s="57">
        <f>CRM_MAGDY!I609</f>
        <v>0</v>
      </c>
      <c r="C609" s="57">
        <f>CRM_MAGDY!E609</f>
        <v>0</v>
      </c>
      <c r="D609" s="57">
        <f>CRM_MAGDY!V609</f>
        <v>0</v>
      </c>
      <c r="E609" s="57" t="str">
        <f>IF(CRM_MAGDY!G609="","BRAK TELEFONU",IF(CRM_MAGDY!K609="","BRAK KWOTY",IF(CRM_MAGDY!N609="","BRAK STATUSU",IF(CRM_MAGDY!C609="","BRAK DATY AKCJI",""))))</f>
        <v>BRAK TELEFONU</v>
      </c>
      <c r="F609" s="57" t="str">
        <f>CRM_MAGDY!W609</f>
        <v>BRAKI CRM</v>
      </c>
      <c r="G609" s="57">
        <f>CRM_MAGDY!K609</f>
        <v>0</v>
      </c>
      <c r="H609" s="57">
        <f>CRM_MAGDY!N609</f>
        <v>0</v>
      </c>
    </row>
    <row r="610" spans="1:8" ht="30" x14ac:dyDescent="0.25">
      <c r="A610" s="57">
        <f>CRM_MAGDY!H610</f>
        <v>6051</v>
      </c>
      <c r="B610" s="57">
        <f>CRM_MAGDY!I610</f>
        <v>0</v>
      </c>
      <c r="C610" s="57">
        <f>CRM_MAGDY!E610</f>
        <v>0</v>
      </c>
      <c r="D610" s="57">
        <f>CRM_MAGDY!V610</f>
        <v>0</v>
      </c>
      <c r="E610" s="57" t="str">
        <f>IF(CRM_MAGDY!G610="","BRAK TELEFONU",IF(CRM_MAGDY!K610="","BRAK KWOTY",IF(CRM_MAGDY!N610="","BRAK STATUSU",IF(CRM_MAGDY!C610="","BRAK DATY AKCJI",""))))</f>
        <v>BRAK TELEFONU</v>
      </c>
      <c r="F610" s="57" t="str">
        <f>CRM_MAGDY!W610</f>
        <v>BRAKI CRM</v>
      </c>
      <c r="G610" s="57">
        <f>CRM_MAGDY!K610</f>
        <v>0</v>
      </c>
      <c r="H610" s="57">
        <f>CRM_MAGDY!N610</f>
        <v>0</v>
      </c>
    </row>
    <row r="611" spans="1:8" ht="30" x14ac:dyDescent="0.25">
      <c r="A611" s="57">
        <f>CRM_MAGDY!H611</f>
        <v>6052</v>
      </c>
      <c r="B611" s="57">
        <f>CRM_MAGDY!I611</f>
        <v>0</v>
      </c>
      <c r="C611" s="57">
        <f>CRM_MAGDY!E611</f>
        <v>0</v>
      </c>
      <c r="D611" s="57">
        <f>CRM_MAGDY!V611</f>
        <v>0</v>
      </c>
      <c r="E611" s="57" t="str">
        <f>IF(CRM_MAGDY!G611="","BRAK TELEFONU",IF(CRM_MAGDY!K611="","BRAK KWOTY",IF(CRM_MAGDY!N611="","BRAK STATUSU",IF(CRM_MAGDY!C611="","BRAK DATY AKCJI",""))))</f>
        <v>BRAK TELEFONU</v>
      </c>
      <c r="F611" s="57" t="str">
        <f>CRM_MAGDY!W611</f>
        <v>BRAKI CRM</v>
      </c>
      <c r="G611" s="57">
        <f>CRM_MAGDY!K611</f>
        <v>0</v>
      </c>
      <c r="H611" s="57">
        <f>CRM_MAGDY!N611</f>
        <v>0</v>
      </c>
    </row>
    <row r="612" spans="1:8" ht="30" x14ac:dyDescent="0.25">
      <c r="A612" s="57">
        <f>CRM_MAGDY!H612</f>
        <v>6053</v>
      </c>
      <c r="B612" s="57">
        <f>CRM_MAGDY!I612</f>
        <v>0</v>
      </c>
      <c r="C612" s="57">
        <f>CRM_MAGDY!E612</f>
        <v>0</v>
      </c>
      <c r="D612" s="57">
        <f>CRM_MAGDY!V612</f>
        <v>0</v>
      </c>
      <c r="E612" s="57" t="str">
        <f>IF(CRM_MAGDY!G612="","BRAK TELEFONU",IF(CRM_MAGDY!K612="","BRAK KWOTY",IF(CRM_MAGDY!N612="","BRAK STATUSU",IF(CRM_MAGDY!C612="","BRAK DATY AKCJI",""))))</f>
        <v>BRAK TELEFONU</v>
      </c>
      <c r="F612" s="57" t="str">
        <f>CRM_MAGDY!W612</f>
        <v>BRAKI CRM</v>
      </c>
      <c r="G612" s="57">
        <f>CRM_MAGDY!K612</f>
        <v>0</v>
      </c>
      <c r="H612" s="57">
        <f>CRM_MAGDY!N612</f>
        <v>0</v>
      </c>
    </row>
    <row r="613" spans="1:8" ht="30" x14ac:dyDescent="0.25">
      <c r="A613" s="57">
        <f>CRM_MAGDY!H613</f>
        <v>6054</v>
      </c>
      <c r="B613" s="57">
        <f>CRM_MAGDY!I613</f>
        <v>0</v>
      </c>
      <c r="C613" s="57">
        <f>CRM_MAGDY!E613</f>
        <v>0</v>
      </c>
      <c r="D613" s="57">
        <f>CRM_MAGDY!V613</f>
        <v>0</v>
      </c>
      <c r="E613" s="57" t="str">
        <f>IF(CRM_MAGDY!G613="","BRAK TELEFONU",IF(CRM_MAGDY!K613="","BRAK KWOTY",IF(CRM_MAGDY!N613="","BRAK STATUSU",IF(CRM_MAGDY!C613="","BRAK DATY AKCJI",""))))</f>
        <v>BRAK TELEFONU</v>
      </c>
      <c r="F613" s="57" t="str">
        <f>CRM_MAGDY!W613</f>
        <v>BRAKI CRM</v>
      </c>
      <c r="G613" s="57">
        <f>CRM_MAGDY!K613</f>
        <v>0</v>
      </c>
      <c r="H613" s="57">
        <f>CRM_MAGDY!N613</f>
        <v>0</v>
      </c>
    </row>
    <row r="614" spans="1:8" ht="30" x14ac:dyDescent="0.25">
      <c r="A614" s="57">
        <f>CRM_MAGDY!H614</f>
        <v>6055</v>
      </c>
      <c r="B614" s="57">
        <f>CRM_MAGDY!I614</f>
        <v>0</v>
      </c>
      <c r="C614" s="57">
        <f>CRM_MAGDY!E614</f>
        <v>0</v>
      </c>
      <c r="D614" s="57">
        <f>CRM_MAGDY!V614</f>
        <v>0</v>
      </c>
      <c r="E614" s="57" t="str">
        <f>IF(CRM_MAGDY!G614="","BRAK TELEFONU",IF(CRM_MAGDY!K614="","BRAK KWOTY",IF(CRM_MAGDY!N614="","BRAK STATUSU",IF(CRM_MAGDY!C614="","BRAK DATY AKCJI",""))))</f>
        <v>BRAK TELEFONU</v>
      </c>
      <c r="F614" s="57" t="str">
        <f>CRM_MAGDY!W614</f>
        <v>BRAKI CRM</v>
      </c>
      <c r="G614" s="57">
        <f>CRM_MAGDY!K614</f>
        <v>0</v>
      </c>
      <c r="H614" s="57">
        <f>CRM_MAGDY!N614</f>
        <v>0</v>
      </c>
    </row>
    <row r="615" spans="1:8" ht="30" x14ac:dyDescent="0.25">
      <c r="A615" s="57">
        <f>CRM_MAGDY!H615</f>
        <v>6056</v>
      </c>
      <c r="B615" s="57">
        <f>CRM_MAGDY!I615</f>
        <v>0</v>
      </c>
      <c r="C615" s="57">
        <f>CRM_MAGDY!E615</f>
        <v>0</v>
      </c>
      <c r="D615" s="57">
        <f>CRM_MAGDY!V615</f>
        <v>0</v>
      </c>
      <c r="E615" s="57" t="str">
        <f>IF(CRM_MAGDY!G615="","BRAK TELEFONU",IF(CRM_MAGDY!K615="","BRAK KWOTY",IF(CRM_MAGDY!N615="","BRAK STATUSU",IF(CRM_MAGDY!C615="","BRAK DATY AKCJI",""))))</f>
        <v>BRAK TELEFONU</v>
      </c>
      <c r="F615" s="57" t="str">
        <f>CRM_MAGDY!W615</f>
        <v>BRAKI CRM</v>
      </c>
      <c r="G615" s="57">
        <f>CRM_MAGDY!K615</f>
        <v>0</v>
      </c>
      <c r="H615" s="57">
        <f>CRM_MAGDY!N615</f>
        <v>0</v>
      </c>
    </row>
    <row r="616" spans="1:8" ht="30" x14ac:dyDescent="0.25">
      <c r="A616" s="57">
        <f>CRM_MAGDY!H616</f>
        <v>6057</v>
      </c>
      <c r="B616" s="57">
        <f>CRM_MAGDY!I616</f>
        <v>0</v>
      </c>
      <c r="C616" s="57">
        <f>CRM_MAGDY!E616</f>
        <v>0</v>
      </c>
      <c r="D616" s="57">
        <f>CRM_MAGDY!V616</f>
        <v>0</v>
      </c>
      <c r="E616" s="57" t="str">
        <f>IF(CRM_MAGDY!G616="","BRAK TELEFONU",IF(CRM_MAGDY!K616="","BRAK KWOTY",IF(CRM_MAGDY!N616="","BRAK STATUSU",IF(CRM_MAGDY!C616="","BRAK DATY AKCJI",""))))</f>
        <v>BRAK TELEFONU</v>
      </c>
      <c r="F616" s="57" t="str">
        <f>CRM_MAGDY!W616</f>
        <v>BRAKI CRM</v>
      </c>
      <c r="G616" s="57">
        <f>CRM_MAGDY!K616</f>
        <v>0</v>
      </c>
      <c r="H616" s="57">
        <f>CRM_MAGDY!N616</f>
        <v>0</v>
      </c>
    </row>
    <row r="617" spans="1:8" ht="30" x14ac:dyDescent="0.25">
      <c r="A617" s="57">
        <f>CRM_MAGDY!H617</f>
        <v>6058</v>
      </c>
      <c r="B617" s="57">
        <f>CRM_MAGDY!I617</f>
        <v>0</v>
      </c>
      <c r="C617" s="57">
        <f>CRM_MAGDY!E617</f>
        <v>0</v>
      </c>
      <c r="D617" s="57">
        <f>CRM_MAGDY!V617</f>
        <v>0</v>
      </c>
      <c r="E617" s="57" t="str">
        <f>IF(CRM_MAGDY!G617="","BRAK TELEFONU",IF(CRM_MAGDY!K617="","BRAK KWOTY",IF(CRM_MAGDY!N617="","BRAK STATUSU",IF(CRM_MAGDY!C617="","BRAK DATY AKCJI",""))))</f>
        <v>BRAK TELEFONU</v>
      </c>
      <c r="F617" s="57" t="str">
        <f>CRM_MAGDY!W617</f>
        <v>BRAKI CRM</v>
      </c>
      <c r="G617" s="57">
        <f>CRM_MAGDY!K617</f>
        <v>0</v>
      </c>
      <c r="H617" s="57">
        <f>CRM_MAGDY!N617</f>
        <v>0</v>
      </c>
    </row>
    <row r="618" spans="1:8" ht="30" x14ac:dyDescent="0.25">
      <c r="A618" s="57">
        <f>CRM_MAGDY!H618</f>
        <v>6059</v>
      </c>
      <c r="B618" s="57">
        <f>CRM_MAGDY!I618</f>
        <v>0</v>
      </c>
      <c r="C618" s="57">
        <f>CRM_MAGDY!E618</f>
        <v>0</v>
      </c>
      <c r="D618" s="57">
        <f>CRM_MAGDY!V618</f>
        <v>0</v>
      </c>
      <c r="E618" s="57" t="str">
        <f>IF(CRM_MAGDY!G618="","BRAK TELEFONU",IF(CRM_MAGDY!K618="","BRAK KWOTY",IF(CRM_MAGDY!N618="","BRAK STATUSU",IF(CRM_MAGDY!C618="","BRAK DATY AKCJI",""))))</f>
        <v>BRAK TELEFONU</v>
      </c>
      <c r="F618" s="57" t="str">
        <f>CRM_MAGDY!W618</f>
        <v>BRAKI CRM</v>
      </c>
      <c r="G618" s="57">
        <f>CRM_MAGDY!K618</f>
        <v>0</v>
      </c>
      <c r="H618" s="57">
        <f>CRM_MAGDY!N618</f>
        <v>0</v>
      </c>
    </row>
    <row r="619" spans="1:8" ht="30" x14ac:dyDescent="0.25">
      <c r="A619" s="57">
        <f>CRM_MAGDY!H619</f>
        <v>6060</v>
      </c>
      <c r="B619" s="57">
        <f>CRM_MAGDY!I619</f>
        <v>0</v>
      </c>
      <c r="C619" s="57">
        <f>CRM_MAGDY!E619</f>
        <v>0</v>
      </c>
      <c r="D619" s="57">
        <f>CRM_MAGDY!V619</f>
        <v>0</v>
      </c>
      <c r="E619" s="57" t="str">
        <f>IF(CRM_MAGDY!G619="","BRAK TELEFONU",IF(CRM_MAGDY!K619="","BRAK KWOTY",IF(CRM_MAGDY!N619="","BRAK STATUSU",IF(CRM_MAGDY!C619="","BRAK DATY AKCJI",""))))</f>
        <v>BRAK TELEFONU</v>
      </c>
      <c r="F619" s="57" t="str">
        <f>CRM_MAGDY!W619</f>
        <v>BRAKI CRM</v>
      </c>
      <c r="G619" s="57">
        <f>CRM_MAGDY!K619</f>
        <v>0</v>
      </c>
      <c r="H619" s="57">
        <f>CRM_MAGDY!N619</f>
        <v>0</v>
      </c>
    </row>
    <row r="620" spans="1:8" ht="30" x14ac:dyDescent="0.25">
      <c r="A620" s="57">
        <f>CRM_MAGDY!H620</f>
        <v>6061</v>
      </c>
      <c r="B620" s="57">
        <f>CRM_MAGDY!I620</f>
        <v>0</v>
      </c>
      <c r="C620" s="57">
        <f>CRM_MAGDY!E620</f>
        <v>0</v>
      </c>
      <c r="D620" s="57">
        <f>CRM_MAGDY!V620</f>
        <v>0</v>
      </c>
      <c r="E620" s="57" t="str">
        <f>IF(CRM_MAGDY!G620="","BRAK TELEFONU",IF(CRM_MAGDY!K620="","BRAK KWOTY",IF(CRM_MAGDY!N620="","BRAK STATUSU",IF(CRM_MAGDY!C620="","BRAK DATY AKCJI",""))))</f>
        <v>BRAK TELEFONU</v>
      </c>
      <c r="F620" s="57" t="str">
        <f>CRM_MAGDY!W620</f>
        <v>BRAKI CRM</v>
      </c>
      <c r="G620" s="57">
        <f>CRM_MAGDY!K620</f>
        <v>0</v>
      </c>
      <c r="H620" s="57">
        <f>CRM_MAGDY!N620</f>
        <v>0</v>
      </c>
    </row>
    <row r="621" spans="1:8" ht="30" x14ac:dyDescent="0.25">
      <c r="A621" s="57">
        <f>CRM_MAGDY!H621</f>
        <v>6062</v>
      </c>
      <c r="B621" s="57">
        <f>CRM_MAGDY!I621</f>
        <v>0</v>
      </c>
      <c r="C621" s="57">
        <f>CRM_MAGDY!E621</f>
        <v>0</v>
      </c>
      <c r="D621" s="57">
        <f>CRM_MAGDY!V621</f>
        <v>0</v>
      </c>
      <c r="E621" s="57" t="str">
        <f>IF(CRM_MAGDY!G621="","BRAK TELEFONU",IF(CRM_MAGDY!K621="","BRAK KWOTY",IF(CRM_MAGDY!N621="","BRAK STATUSU",IF(CRM_MAGDY!C621="","BRAK DATY AKCJI",""))))</f>
        <v>BRAK TELEFONU</v>
      </c>
      <c r="F621" s="57" t="str">
        <f>CRM_MAGDY!W621</f>
        <v>BRAKI CRM</v>
      </c>
      <c r="G621" s="57">
        <f>CRM_MAGDY!K621</f>
        <v>0</v>
      </c>
      <c r="H621" s="57">
        <f>CRM_MAGDY!N621</f>
        <v>0</v>
      </c>
    </row>
    <row r="622" spans="1:8" ht="30" x14ac:dyDescent="0.25">
      <c r="A622" s="57">
        <f>CRM_MAGDY!H622</f>
        <v>6063</v>
      </c>
      <c r="B622" s="57">
        <f>CRM_MAGDY!I622</f>
        <v>0</v>
      </c>
      <c r="C622" s="57">
        <f>CRM_MAGDY!E622</f>
        <v>0</v>
      </c>
      <c r="D622" s="57">
        <f>CRM_MAGDY!V622</f>
        <v>0</v>
      </c>
      <c r="E622" s="57" t="str">
        <f>IF(CRM_MAGDY!G622="","BRAK TELEFONU",IF(CRM_MAGDY!K622="","BRAK KWOTY",IF(CRM_MAGDY!N622="","BRAK STATUSU",IF(CRM_MAGDY!C622="","BRAK DATY AKCJI",""))))</f>
        <v>BRAK TELEFONU</v>
      </c>
      <c r="F622" s="57" t="str">
        <f>CRM_MAGDY!W622</f>
        <v>BRAKI CRM</v>
      </c>
      <c r="G622" s="57">
        <f>CRM_MAGDY!K622</f>
        <v>0</v>
      </c>
      <c r="H622" s="57">
        <f>CRM_MAGDY!N622</f>
        <v>0</v>
      </c>
    </row>
    <row r="623" spans="1:8" ht="30" x14ac:dyDescent="0.25">
      <c r="A623" s="57">
        <f>CRM_MAGDY!H623</f>
        <v>6064</v>
      </c>
      <c r="B623" s="57">
        <f>CRM_MAGDY!I623</f>
        <v>0</v>
      </c>
      <c r="C623" s="57">
        <f>CRM_MAGDY!E623</f>
        <v>0</v>
      </c>
      <c r="D623" s="57">
        <f>CRM_MAGDY!V623</f>
        <v>0</v>
      </c>
      <c r="E623" s="57" t="str">
        <f>IF(CRM_MAGDY!G623="","BRAK TELEFONU",IF(CRM_MAGDY!K623="","BRAK KWOTY",IF(CRM_MAGDY!N623="","BRAK STATUSU",IF(CRM_MAGDY!C623="","BRAK DATY AKCJI",""))))</f>
        <v>BRAK TELEFONU</v>
      </c>
      <c r="F623" s="57" t="str">
        <f>CRM_MAGDY!W623</f>
        <v>BRAKI CRM</v>
      </c>
      <c r="G623" s="57">
        <f>CRM_MAGDY!K623</f>
        <v>0</v>
      </c>
      <c r="H623" s="57">
        <f>CRM_MAGDY!N623</f>
        <v>0</v>
      </c>
    </row>
    <row r="624" spans="1:8" ht="30" x14ac:dyDescent="0.25">
      <c r="A624" s="57">
        <f>CRM_MAGDY!H624</f>
        <v>6065</v>
      </c>
      <c r="B624" s="57">
        <f>CRM_MAGDY!I624</f>
        <v>0</v>
      </c>
      <c r="C624" s="57">
        <f>CRM_MAGDY!E624</f>
        <v>0</v>
      </c>
      <c r="D624" s="57">
        <f>CRM_MAGDY!V624</f>
        <v>0</v>
      </c>
      <c r="E624" s="57" t="str">
        <f>IF(CRM_MAGDY!G624="","BRAK TELEFONU",IF(CRM_MAGDY!K624="","BRAK KWOTY",IF(CRM_MAGDY!N624="","BRAK STATUSU",IF(CRM_MAGDY!C624="","BRAK DATY AKCJI",""))))</f>
        <v>BRAK TELEFONU</v>
      </c>
      <c r="F624" s="57" t="str">
        <f>CRM_MAGDY!W624</f>
        <v>BRAKI CRM</v>
      </c>
      <c r="G624" s="57">
        <f>CRM_MAGDY!K624</f>
        <v>0</v>
      </c>
      <c r="H624" s="57">
        <f>CRM_MAGDY!N624</f>
        <v>0</v>
      </c>
    </row>
    <row r="625" spans="1:8" ht="30" x14ac:dyDescent="0.25">
      <c r="A625" s="57">
        <f>CRM_MAGDY!H625</f>
        <v>6066</v>
      </c>
      <c r="B625" s="57">
        <f>CRM_MAGDY!I625</f>
        <v>0</v>
      </c>
      <c r="C625" s="57">
        <f>CRM_MAGDY!E625</f>
        <v>0</v>
      </c>
      <c r="D625" s="57">
        <f>CRM_MAGDY!V625</f>
        <v>0</v>
      </c>
      <c r="E625" s="57" t="str">
        <f>IF(CRM_MAGDY!G625="","BRAK TELEFONU",IF(CRM_MAGDY!K625="","BRAK KWOTY",IF(CRM_MAGDY!N625="","BRAK STATUSU",IF(CRM_MAGDY!C625="","BRAK DATY AKCJI",""))))</f>
        <v>BRAK TELEFONU</v>
      </c>
      <c r="F625" s="57" t="str">
        <f>CRM_MAGDY!W625</f>
        <v>BRAKI CRM</v>
      </c>
      <c r="G625" s="57">
        <f>CRM_MAGDY!K625</f>
        <v>0</v>
      </c>
      <c r="H625" s="57">
        <f>CRM_MAGDY!N625</f>
        <v>0</v>
      </c>
    </row>
    <row r="626" spans="1:8" ht="30" x14ac:dyDescent="0.25">
      <c r="A626" s="57">
        <f>CRM_MAGDY!H626</f>
        <v>6067</v>
      </c>
      <c r="B626" s="57">
        <f>CRM_MAGDY!I626</f>
        <v>0</v>
      </c>
      <c r="C626" s="57">
        <f>CRM_MAGDY!E626</f>
        <v>0</v>
      </c>
      <c r="D626" s="57">
        <f>CRM_MAGDY!V626</f>
        <v>0</v>
      </c>
      <c r="E626" s="57" t="str">
        <f>IF(CRM_MAGDY!G626="","BRAK TELEFONU",IF(CRM_MAGDY!K626="","BRAK KWOTY",IF(CRM_MAGDY!N626="","BRAK STATUSU",IF(CRM_MAGDY!C626="","BRAK DATY AKCJI",""))))</f>
        <v>BRAK TELEFONU</v>
      </c>
      <c r="F626" s="57" t="str">
        <f>CRM_MAGDY!W626</f>
        <v>BRAKI CRM</v>
      </c>
      <c r="G626" s="57">
        <f>CRM_MAGDY!K626</f>
        <v>0</v>
      </c>
      <c r="H626" s="57">
        <f>CRM_MAGDY!N626</f>
        <v>0</v>
      </c>
    </row>
    <row r="627" spans="1:8" ht="30" x14ac:dyDescent="0.25">
      <c r="A627" s="57">
        <f>CRM_MAGDY!H627</f>
        <v>6068</v>
      </c>
      <c r="B627" s="57">
        <f>CRM_MAGDY!I627</f>
        <v>0</v>
      </c>
      <c r="C627" s="57">
        <f>CRM_MAGDY!E627</f>
        <v>0</v>
      </c>
      <c r="D627" s="57">
        <f>CRM_MAGDY!V627</f>
        <v>0</v>
      </c>
      <c r="E627" s="57" t="str">
        <f>IF(CRM_MAGDY!G627="","BRAK TELEFONU",IF(CRM_MAGDY!K627="","BRAK KWOTY",IF(CRM_MAGDY!N627="","BRAK STATUSU",IF(CRM_MAGDY!C627="","BRAK DATY AKCJI",""))))</f>
        <v>BRAK TELEFONU</v>
      </c>
      <c r="F627" s="57" t="str">
        <f>CRM_MAGDY!W627</f>
        <v>BRAKI CRM</v>
      </c>
      <c r="G627" s="57">
        <f>CRM_MAGDY!K627</f>
        <v>0</v>
      </c>
      <c r="H627" s="57">
        <f>CRM_MAGDY!N627</f>
        <v>0</v>
      </c>
    </row>
    <row r="628" spans="1:8" ht="30" x14ac:dyDescent="0.25">
      <c r="A628" s="57">
        <f>CRM_MAGDY!H628</f>
        <v>6069</v>
      </c>
      <c r="B628" s="57">
        <f>CRM_MAGDY!I628</f>
        <v>0</v>
      </c>
      <c r="C628" s="57">
        <f>CRM_MAGDY!E628</f>
        <v>0</v>
      </c>
      <c r="D628" s="57">
        <f>CRM_MAGDY!V628</f>
        <v>0</v>
      </c>
      <c r="E628" s="57" t="str">
        <f>IF(CRM_MAGDY!G628="","BRAK TELEFONU",IF(CRM_MAGDY!K628="","BRAK KWOTY",IF(CRM_MAGDY!N628="","BRAK STATUSU",IF(CRM_MAGDY!C628="","BRAK DATY AKCJI",""))))</f>
        <v>BRAK TELEFONU</v>
      </c>
      <c r="F628" s="57" t="str">
        <f>CRM_MAGDY!W628</f>
        <v>BRAKI CRM</v>
      </c>
      <c r="G628" s="57">
        <f>CRM_MAGDY!K628</f>
        <v>0</v>
      </c>
      <c r="H628" s="57">
        <f>CRM_MAGDY!N628</f>
        <v>0</v>
      </c>
    </row>
    <row r="629" spans="1:8" ht="30" x14ac:dyDescent="0.25">
      <c r="A629" s="57">
        <f>CRM_MAGDY!H629</f>
        <v>6070</v>
      </c>
      <c r="B629" s="57">
        <f>CRM_MAGDY!I629</f>
        <v>0</v>
      </c>
      <c r="C629" s="57">
        <f>CRM_MAGDY!E629</f>
        <v>0</v>
      </c>
      <c r="D629" s="57">
        <f>CRM_MAGDY!V629</f>
        <v>0</v>
      </c>
      <c r="E629" s="57" t="str">
        <f>IF(CRM_MAGDY!G629="","BRAK TELEFONU",IF(CRM_MAGDY!K629="","BRAK KWOTY",IF(CRM_MAGDY!N629="","BRAK STATUSU",IF(CRM_MAGDY!C629="","BRAK DATY AKCJI",""))))</f>
        <v>BRAK TELEFONU</v>
      </c>
      <c r="F629" s="57" t="str">
        <f>CRM_MAGDY!W629</f>
        <v>BRAKI CRM</v>
      </c>
      <c r="G629" s="57">
        <f>CRM_MAGDY!K629</f>
        <v>0</v>
      </c>
      <c r="H629" s="57">
        <f>CRM_MAGDY!N629</f>
        <v>0</v>
      </c>
    </row>
    <row r="630" spans="1:8" ht="30" x14ac:dyDescent="0.25">
      <c r="A630" s="57">
        <f>CRM_MAGDY!H630</f>
        <v>6071</v>
      </c>
      <c r="B630" s="57">
        <f>CRM_MAGDY!I630</f>
        <v>0</v>
      </c>
      <c r="C630" s="57">
        <f>CRM_MAGDY!E630</f>
        <v>0</v>
      </c>
      <c r="D630" s="57">
        <f>CRM_MAGDY!V630</f>
        <v>0</v>
      </c>
      <c r="E630" s="57" t="str">
        <f>IF(CRM_MAGDY!G630="","BRAK TELEFONU",IF(CRM_MAGDY!K630="","BRAK KWOTY",IF(CRM_MAGDY!N630="","BRAK STATUSU",IF(CRM_MAGDY!C630="","BRAK DATY AKCJI",""))))</f>
        <v>BRAK TELEFONU</v>
      </c>
      <c r="F630" s="57" t="str">
        <f>CRM_MAGDY!W630</f>
        <v>BRAKI CRM</v>
      </c>
      <c r="G630" s="57">
        <f>CRM_MAGDY!K630</f>
        <v>0</v>
      </c>
      <c r="H630" s="57">
        <f>CRM_MAGDY!N630</f>
        <v>0</v>
      </c>
    </row>
    <row r="631" spans="1:8" ht="30" x14ac:dyDescent="0.25">
      <c r="A631" s="57">
        <f>CRM_MAGDY!H631</f>
        <v>6072</v>
      </c>
      <c r="B631" s="57">
        <f>CRM_MAGDY!I631</f>
        <v>0</v>
      </c>
      <c r="C631" s="57">
        <f>CRM_MAGDY!E631</f>
        <v>0</v>
      </c>
      <c r="D631" s="57">
        <f>CRM_MAGDY!V631</f>
        <v>0</v>
      </c>
      <c r="E631" s="57" t="str">
        <f>IF(CRM_MAGDY!G631="","BRAK TELEFONU",IF(CRM_MAGDY!K631="","BRAK KWOTY",IF(CRM_MAGDY!N631="","BRAK STATUSU",IF(CRM_MAGDY!C631="","BRAK DATY AKCJI",""))))</f>
        <v>BRAK TELEFONU</v>
      </c>
      <c r="F631" s="57" t="str">
        <f>CRM_MAGDY!W631</f>
        <v>BRAKI CRM</v>
      </c>
      <c r="G631" s="57">
        <f>CRM_MAGDY!K631</f>
        <v>0</v>
      </c>
      <c r="H631" s="57">
        <f>CRM_MAGDY!N631</f>
        <v>0</v>
      </c>
    </row>
    <row r="632" spans="1:8" ht="30" x14ac:dyDescent="0.25">
      <c r="A632" s="57">
        <f>CRM_MAGDY!H632</f>
        <v>6073</v>
      </c>
      <c r="B632" s="57">
        <f>CRM_MAGDY!I632</f>
        <v>0</v>
      </c>
      <c r="C632" s="57">
        <f>CRM_MAGDY!E632</f>
        <v>0</v>
      </c>
      <c r="D632" s="57">
        <f>CRM_MAGDY!V632</f>
        <v>0</v>
      </c>
      <c r="E632" s="57" t="str">
        <f>IF(CRM_MAGDY!G632="","BRAK TELEFONU",IF(CRM_MAGDY!K632="","BRAK KWOTY",IF(CRM_MAGDY!N632="","BRAK STATUSU",IF(CRM_MAGDY!C632="","BRAK DATY AKCJI",""))))</f>
        <v>BRAK TELEFONU</v>
      </c>
      <c r="F632" s="57" t="str">
        <f>CRM_MAGDY!W632</f>
        <v>BRAKI CRM</v>
      </c>
      <c r="G632" s="57">
        <f>CRM_MAGDY!K632</f>
        <v>0</v>
      </c>
      <c r="H632" s="57">
        <f>CRM_MAGDY!N632</f>
        <v>0</v>
      </c>
    </row>
    <row r="633" spans="1:8" ht="30" x14ac:dyDescent="0.25">
      <c r="A633" s="57">
        <f>CRM_MAGDY!H633</f>
        <v>6074</v>
      </c>
      <c r="B633" s="57">
        <f>CRM_MAGDY!I633</f>
        <v>0</v>
      </c>
      <c r="C633" s="57">
        <f>CRM_MAGDY!E633</f>
        <v>0</v>
      </c>
      <c r="D633" s="57">
        <f>CRM_MAGDY!V633</f>
        <v>0</v>
      </c>
      <c r="E633" s="57" t="str">
        <f>IF(CRM_MAGDY!G633="","BRAK TELEFONU",IF(CRM_MAGDY!K633="","BRAK KWOTY",IF(CRM_MAGDY!N633="","BRAK STATUSU",IF(CRM_MAGDY!C633="","BRAK DATY AKCJI",""))))</f>
        <v>BRAK TELEFONU</v>
      </c>
      <c r="F633" s="57" t="str">
        <f>CRM_MAGDY!W633</f>
        <v>BRAKI CRM</v>
      </c>
      <c r="G633" s="57">
        <f>CRM_MAGDY!K633</f>
        <v>0</v>
      </c>
      <c r="H633" s="57">
        <f>CRM_MAGDY!N633</f>
        <v>0</v>
      </c>
    </row>
    <row r="634" spans="1:8" ht="30" x14ac:dyDescent="0.25">
      <c r="A634" s="57">
        <f>CRM_MAGDY!H634</f>
        <v>6075</v>
      </c>
      <c r="B634" s="57">
        <f>CRM_MAGDY!I634</f>
        <v>0</v>
      </c>
      <c r="C634" s="57">
        <f>CRM_MAGDY!E634</f>
        <v>0</v>
      </c>
      <c r="D634" s="57">
        <f>CRM_MAGDY!V634</f>
        <v>0</v>
      </c>
      <c r="E634" s="57" t="str">
        <f>IF(CRM_MAGDY!G634="","BRAK TELEFONU",IF(CRM_MAGDY!K634="","BRAK KWOTY",IF(CRM_MAGDY!N634="","BRAK STATUSU",IF(CRM_MAGDY!C634="","BRAK DATY AKCJI",""))))</f>
        <v>BRAK TELEFONU</v>
      </c>
      <c r="F634" s="57" t="str">
        <f>CRM_MAGDY!W634</f>
        <v>BRAKI CRM</v>
      </c>
      <c r="G634" s="57">
        <f>CRM_MAGDY!K634</f>
        <v>0</v>
      </c>
      <c r="H634" s="57">
        <f>CRM_MAGDY!N634</f>
        <v>0</v>
      </c>
    </row>
    <row r="635" spans="1:8" ht="30" x14ac:dyDescent="0.25">
      <c r="A635" s="57">
        <f>CRM_MAGDY!H635</f>
        <v>6076</v>
      </c>
      <c r="B635" s="57">
        <f>CRM_MAGDY!I635</f>
        <v>0</v>
      </c>
      <c r="C635" s="57">
        <f>CRM_MAGDY!E635</f>
        <v>0</v>
      </c>
      <c r="D635" s="57">
        <f>CRM_MAGDY!V635</f>
        <v>0</v>
      </c>
      <c r="E635" s="57" t="str">
        <f>IF(CRM_MAGDY!G635="","BRAK TELEFONU",IF(CRM_MAGDY!K635="","BRAK KWOTY",IF(CRM_MAGDY!N635="","BRAK STATUSU",IF(CRM_MAGDY!C635="","BRAK DATY AKCJI",""))))</f>
        <v>BRAK TELEFONU</v>
      </c>
      <c r="F635" s="57" t="str">
        <f>CRM_MAGDY!W635</f>
        <v>BRAKI CRM</v>
      </c>
      <c r="G635" s="57">
        <f>CRM_MAGDY!K635</f>
        <v>0</v>
      </c>
      <c r="H635" s="57">
        <f>CRM_MAGDY!N635</f>
        <v>0</v>
      </c>
    </row>
    <row r="636" spans="1:8" ht="30" x14ac:dyDescent="0.25">
      <c r="A636" s="57">
        <f>CRM_MAGDY!H636</f>
        <v>6077</v>
      </c>
      <c r="B636" s="57">
        <f>CRM_MAGDY!I636</f>
        <v>0</v>
      </c>
      <c r="C636" s="57">
        <f>CRM_MAGDY!E636</f>
        <v>0</v>
      </c>
      <c r="D636" s="57">
        <f>CRM_MAGDY!V636</f>
        <v>0</v>
      </c>
      <c r="E636" s="57" t="str">
        <f>IF(CRM_MAGDY!G636="","BRAK TELEFONU",IF(CRM_MAGDY!K636="","BRAK KWOTY",IF(CRM_MAGDY!N636="","BRAK STATUSU",IF(CRM_MAGDY!C636="","BRAK DATY AKCJI",""))))</f>
        <v>BRAK TELEFONU</v>
      </c>
      <c r="F636" s="57" t="str">
        <f>CRM_MAGDY!W636</f>
        <v>BRAKI CRM</v>
      </c>
      <c r="G636" s="57">
        <f>CRM_MAGDY!K636</f>
        <v>0</v>
      </c>
      <c r="H636" s="57">
        <f>CRM_MAGDY!N636</f>
        <v>0</v>
      </c>
    </row>
    <row r="637" spans="1:8" ht="30" x14ac:dyDescent="0.25">
      <c r="A637" s="57">
        <f>CRM_MAGDY!H637</f>
        <v>6078</v>
      </c>
      <c r="B637" s="57">
        <f>CRM_MAGDY!I637</f>
        <v>0</v>
      </c>
      <c r="C637" s="57">
        <f>CRM_MAGDY!E637</f>
        <v>0</v>
      </c>
      <c r="D637" s="57">
        <f>CRM_MAGDY!V637</f>
        <v>0</v>
      </c>
      <c r="E637" s="57" t="str">
        <f>IF(CRM_MAGDY!G637="","BRAK TELEFONU",IF(CRM_MAGDY!K637="","BRAK KWOTY",IF(CRM_MAGDY!N637="","BRAK STATUSU",IF(CRM_MAGDY!C637="","BRAK DATY AKCJI",""))))</f>
        <v>BRAK TELEFONU</v>
      </c>
      <c r="F637" s="57" t="str">
        <f>CRM_MAGDY!W637</f>
        <v>BRAKI CRM</v>
      </c>
      <c r="G637" s="57">
        <f>CRM_MAGDY!K637</f>
        <v>0</v>
      </c>
      <c r="H637" s="57">
        <f>CRM_MAGDY!N637</f>
        <v>0</v>
      </c>
    </row>
    <row r="638" spans="1:8" ht="30" x14ac:dyDescent="0.25">
      <c r="A638" s="57">
        <f>CRM_MAGDY!H638</f>
        <v>6079</v>
      </c>
      <c r="B638" s="57">
        <f>CRM_MAGDY!I638</f>
        <v>0</v>
      </c>
      <c r="C638" s="57">
        <f>CRM_MAGDY!E638</f>
        <v>0</v>
      </c>
      <c r="D638" s="57">
        <f>CRM_MAGDY!V638</f>
        <v>0</v>
      </c>
      <c r="E638" s="57" t="str">
        <f>IF(CRM_MAGDY!G638="","BRAK TELEFONU",IF(CRM_MAGDY!K638="","BRAK KWOTY",IF(CRM_MAGDY!N638="","BRAK STATUSU",IF(CRM_MAGDY!C638="","BRAK DATY AKCJI",""))))</f>
        <v>BRAK TELEFONU</v>
      </c>
      <c r="F638" s="57" t="str">
        <f>CRM_MAGDY!W638</f>
        <v>BRAKI CRM</v>
      </c>
      <c r="G638" s="57">
        <f>CRM_MAGDY!K638</f>
        <v>0</v>
      </c>
      <c r="H638" s="57">
        <f>CRM_MAGDY!N638</f>
        <v>0</v>
      </c>
    </row>
    <row r="639" spans="1:8" ht="30" x14ac:dyDescent="0.25">
      <c r="A639" s="57">
        <f>CRM_MAGDY!H639</f>
        <v>6080</v>
      </c>
      <c r="B639" s="57">
        <f>CRM_MAGDY!I639</f>
        <v>0</v>
      </c>
      <c r="C639" s="57">
        <f>CRM_MAGDY!E639</f>
        <v>0</v>
      </c>
      <c r="D639" s="57">
        <f>CRM_MAGDY!V639</f>
        <v>0</v>
      </c>
      <c r="E639" s="57" t="str">
        <f>IF(CRM_MAGDY!G639="","BRAK TELEFONU",IF(CRM_MAGDY!K639="","BRAK KWOTY",IF(CRM_MAGDY!N639="","BRAK STATUSU",IF(CRM_MAGDY!C639="","BRAK DATY AKCJI",""))))</f>
        <v>BRAK TELEFONU</v>
      </c>
      <c r="F639" s="57" t="str">
        <f>CRM_MAGDY!W639</f>
        <v>BRAKI CRM</v>
      </c>
      <c r="G639" s="57">
        <f>CRM_MAGDY!K639</f>
        <v>0</v>
      </c>
      <c r="H639" s="57">
        <f>CRM_MAGDY!N639</f>
        <v>0</v>
      </c>
    </row>
    <row r="640" spans="1:8" ht="30" x14ac:dyDescent="0.25">
      <c r="A640" s="57">
        <f>CRM_MAGDY!H640</f>
        <v>6081</v>
      </c>
      <c r="B640" s="57">
        <f>CRM_MAGDY!I640</f>
        <v>0</v>
      </c>
      <c r="C640" s="57">
        <f>CRM_MAGDY!E640</f>
        <v>0</v>
      </c>
      <c r="D640" s="57">
        <f>CRM_MAGDY!V640</f>
        <v>0</v>
      </c>
      <c r="E640" s="57" t="str">
        <f>IF(CRM_MAGDY!G640="","BRAK TELEFONU",IF(CRM_MAGDY!K640="","BRAK KWOTY",IF(CRM_MAGDY!N640="","BRAK STATUSU",IF(CRM_MAGDY!C640="","BRAK DATY AKCJI",""))))</f>
        <v>BRAK TELEFONU</v>
      </c>
      <c r="F640" s="57" t="str">
        <f>CRM_MAGDY!W640</f>
        <v>BRAKI CRM</v>
      </c>
      <c r="G640" s="57">
        <f>CRM_MAGDY!K640</f>
        <v>0</v>
      </c>
      <c r="H640" s="57">
        <f>CRM_MAGDY!N640</f>
        <v>0</v>
      </c>
    </row>
    <row r="641" spans="1:8" ht="30" x14ac:dyDescent="0.25">
      <c r="A641" s="57">
        <f>CRM_MAGDY!H641</f>
        <v>6082</v>
      </c>
      <c r="B641" s="57">
        <f>CRM_MAGDY!I641</f>
        <v>0</v>
      </c>
      <c r="C641" s="57">
        <f>CRM_MAGDY!E641</f>
        <v>0</v>
      </c>
      <c r="D641" s="57">
        <f>CRM_MAGDY!V641</f>
        <v>0</v>
      </c>
      <c r="E641" s="57" t="str">
        <f>IF(CRM_MAGDY!G641="","BRAK TELEFONU",IF(CRM_MAGDY!K641="","BRAK KWOTY",IF(CRM_MAGDY!N641="","BRAK STATUSU",IF(CRM_MAGDY!C641="","BRAK DATY AKCJI",""))))</f>
        <v>BRAK TELEFONU</v>
      </c>
      <c r="F641" s="57" t="str">
        <f>CRM_MAGDY!W641</f>
        <v>BRAKI CRM</v>
      </c>
      <c r="G641" s="57">
        <f>CRM_MAGDY!K641</f>
        <v>0</v>
      </c>
      <c r="H641" s="57">
        <f>CRM_MAGDY!N641</f>
        <v>0</v>
      </c>
    </row>
    <row r="642" spans="1:8" ht="30" x14ac:dyDescent="0.25">
      <c r="A642" s="57">
        <f>CRM_MAGDY!H642</f>
        <v>6083</v>
      </c>
      <c r="B642" s="57">
        <f>CRM_MAGDY!I642</f>
        <v>0</v>
      </c>
      <c r="C642" s="57">
        <f>CRM_MAGDY!E642</f>
        <v>0</v>
      </c>
      <c r="D642" s="57">
        <f>CRM_MAGDY!V642</f>
        <v>0</v>
      </c>
      <c r="E642" s="57" t="str">
        <f>IF(CRM_MAGDY!G642="","BRAK TELEFONU",IF(CRM_MAGDY!K642="","BRAK KWOTY",IF(CRM_MAGDY!N642="","BRAK STATUSU",IF(CRM_MAGDY!C642="","BRAK DATY AKCJI",""))))</f>
        <v>BRAK TELEFONU</v>
      </c>
      <c r="F642" s="57" t="str">
        <f>CRM_MAGDY!W642</f>
        <v>BRAKI CRM</v>
      </c>
      <c r="G642" s="57">
        <f>CRM_MAGDY!K642</f>
        <v>0</v>
      </c>
      <c r="H642" s="57">
        <f>CRM_MAGDY!N642</f>
        <v>0</v>
      </c>
    </row>
    <row r="643" spans="1:8" ht="30" x14ac:dyDescent="0.25">
      <c r="A643" s="57">
        <f>CRM_MAGDY!H643</f>
        <v>6084</v>
      </c>
      <c r="B643" s="57">
        <f>CRM_MAGDY!I643</f>
        <v>0</v>
      </c>
      <c r="C643" s="57">
        <f>CRM_MAGDY!E643</f>
        <v>0</v>
      </c>
      <c r="D643" s="57">
        <f>CRM_MAGDY!V643</f>
        <v>0</v>
      </c>
      <c r="E643" s="57" t="str">
        <f>IF(CRM_MAGDY!G643="","BRAK TELEFONU",IF(CRM_MAGDY!K643="","BRAK KWOTY",IF(CRM_MAGDY!N643="","BRAK STATUSU",IF(CRM_MAGDY!C643="","BRAK DATY AKCJI",""))))</f>
        <v>BRAK TELEFONU</v>
      </c>
      <c r="F643" s="57" t="str">
        <f>CRM_MAGDY!W643</f>
        <v>BRAKI CRM</v>
      </c>
      <c r="G643" s="57">
        <f>CRM_MAGDY!K643</f>
        <v>0</v>
      </c>
      <c r="H643" s="57">
        <f>CRM_MAGDY!N643</f>
        <v>0</v>
      </c>
    </row>
    <row r="644" spans="1:8" ht="30" x14ac:dyDescent="0.25">
      <c r="A644" s="57">
        <f>CRM_MAGDY!H644</f>
        <v>6085</v>
      </c>
      <c r="B644" s="57">
        <f>CRM_MAGDY!I644</f>
        <v>0</v>
      </c>
      <c r="C644" s="57">
        <f>CRM_MAGDY!E644</f>
        <v>0</v>
      </c>
      <c r="D644" s="57">
        <f>CRM_MAGDY!V644</f>
        <v>0</v>
      </c>
      <c r="E644" s="57" t="str">
        <f>IF(CRM_MAGDY!G644="","BRAK TELEFONU",IF(CRM_MAGDY!K644="","BRAK KWOTY",IF(CRM_MAGDY!N644="","BRAK STATUSU",IF(CRM_MAGDY!C644="","BRAK DATY AKCJI",""))))</f>
        <v>BRAK TELEFONU</v>
      </c>
      <c r="F644" s="57" t="str">
        <f>CRM_MAGDY!W644</f>
        <v>BRAKI CRM</v>
      </c>
      <c r="G644" s="57">
        <f>CRM_MAGDY!K644</f>
        <v>0</v>
      </c>
      <c r="H644" s="57">
        <f>CRM_MAGDY!N644</f>
        <v>0</v>
      </c>
    </row>
    <row r="645" spans="1:8" ht="30" x14ac:dyDescent="0.25">
      <c r="A645" s="57">
        <f>CRM_MAGDY!H645</f>
        <v>6086</v>
      </c>
      <c r="B645" s="57">
        <f>CRM_MAGDY!I645</f>
        <v>0</v>
      </c>
      <c r="C645" s="57">
        <f>CRM_MAGDY!E645</f>
        <v>0</v>
      </c>
      <c r="D645" s="57">
        <f>CRM_MAGDY!V645</f>
        <v>0</v>
      </c>
      <c r="E645" s="57" t="str">
        <f>IF(CRM_MAGDY!G645="","BRAK TELEFONU",IF(CRM_MAGDY!K645="","BRAK KWOTY",IF(CRM_MAGDY!N645="","BRAK STATUSU",IF(CRM_MAGDY!C645="","BRAK DATY AKCJI",""))))</f>
        <v>BRAK TELEFONU</v>
      </c>
      <c r="F645" s="57" t="str">
        <f>CRM_MAGDY!W645</f>
        <v>BRAKI CRM</v>
      </c>
      <c r="G645" s="57">
        <f>CRM_MAGDY!K645</f>
        <v>0</v>
      </c>
      <c r="H645" s="57">
        <f>CRM_MAGDY!N645</f>
        <v>0</v>
      </c>
    </row>
    <row r="646" spans="1:8" ht="30" x14ac:dyDescent="0.25">
      <c r="A646" s="57">
        <f>CRM_MAGDY!H646</f>
        <v>6087</v>
      </c>
      <c r="B646" s="57">
        <f>CRM_MAGDY!I646</f>
        <v>0</v>
      </c>
      <c r="C646" s="57">
        <f>CRM_MAGDY!E646</f>
        <v>0</v>
      </c>
      <c r="D646" s="57">
        <f>CRM_MAGDY!V646</f>
        <v>0</v>
      </c>
      <c r="E646" s="57" t="str">
        <f>IF(CRM_MAGDY!G646="","BRAK TELEFONU",IF(CRM_MAGDY!K646="","BRAK KWOTY",IF(CRM_MAGDY!N646="","BRAK STATUSU",IF(CRM_MAGDY!C646="","BRAK DATY AKCJI",""))))</f>
        <v>BRAK TELEFONU</v>
      </c>
      <c r="F646" s="57" t="str">
        <f>CRM_MAGDY!W646</f>
        <v>BRAKI CRM</v>
      </c>
      <c r="G646" s="57">
        <f>CRM_MAGDY!K646</f>
        <v>0</v>
      </c>
      <c r="H646" s="57">
        <f>CRM_MAGDY!N646</f>
        <v>0</v>
      </c>
    </row>
    <row r="647" spans="1:8" ht="30" x14ac:dyDescent="0.25">
      <c r="A647" s="57">
        <f>CRM_MAGDY!H647</f>
        <v>6088</v>
      </c>
      <c r="B647" s="57">
        <f>CRM_MAGDY!I647</f>
        <v>0</v>
      </c>
      <c r="C647" s="57">
        <f>CRM_MAGDY!E647</f>
        <v>0</v>
      </c>
      <c r="D647" s="57">
        <f>CRM_MAGDY!V647</f>
        <v>0</v>
      </c>
      <c r="E647" s="57" t="str">
        <f>IF(CRM_MAGDY!G647="","BRAK TELEFONU",IF(CRM_MAGDY!K647="","BRAK KWOTY",IF(CRM_MAGDY!N647="","BRAK STATUSU",IF(CRM_MAGDY!C647="","BRAK DATY AKCJI",""))))</f>
        <v>BRAK TELEFONU</v>
      </c>
      <c r="F647" s="57" t="str">
        <f>CRM_MAGDY!W647</f>
        <v>BRAKI CRM</v>
      </c>
      <c r="G647" s="57">
        <f>CRM_MAGDY!K647</f>
        <v>0</v>
      </c>
      <c r="H647" s="57">
        <f>CRM_MAGDY!N647</f>
        <v>0</v>
      </c>
    </row>
    <row r="648" spans="1:8" ht="30" x14ac:dyDescent="0.25">
      <c r="A648" s="57">
        <f>CRM_MAGDY!H648</f>
        <v>6084</v>
      </c>
      <c r="B648" s="57">
        <f>CRM_MAGDY!I648</f>
        <v>0</v>
      </c>
      <c r="C648" s="57">
        <f>CRM_MAGDY!E648</f>
        <v>0</v>
      </c>
      <c r="D648" s="57">
        <f>CRM_MAGDY!V648</f>
        <v>0</v>
      </c>
      <c r="E648" s="57" t="str">
        <f>IF(CRM_MAGDY!G648="","BRAK TELEFONU",IF(CRM_MAGDY!K648="","BRAK KWOTY",IF(CRM_MAGDY!N648="","BRAK STATUSU",IF(CRM_MAGDY!C648="","BRAK DATY AKCJI",""))))</f>
        <v>BRAK TELEFONU</v>
      </c>
      <c r="F648" s="57" t="str">
        <f>CRM_MAGDY!W648</f>
        <v>BRAKI CRM</v>
      </c>
      <c r="G648" s="57">
        <f>CRM_MAGDY!K648</f>
        <v>0</v>
      </c>
      <c r="H648" s="57">
        <f>CRM_MAGDY!N648</f>
        <v>0</v>
      </c>
    </row>
    <row r="649" spans="1:8" ht="30" x14ac:dyDescent="0.25">
      <c r="A649" s="57">
        <f>CRM_MAGDY!H649</f>
        <v>6085</v>
      </c>
      <c r="B649" s="57">
        <f>CRM_MAGDY!I649</f>
        <v>0</v>
      </c>
      <c r="C649" s="57">
        <f>CRM_MAGDY!E649</f>
        <v>0</v>
      </c>
      <c r="D649" s="57">
        <f>CRM_MAGDY!V649</f>
        <v>0</v>
      </c>
      <c r="E649" s="57" t="str">
        <f>IF(CRM_MAGDY!G649="","BRAK TELEFONU",IF(CRM_MAGDY!K649="","BRAK KWOTY",IF(CRM_MAGDY!N649="","BRAK STATUSU",IF(CRM_MAGDY!C649="","BRAK DATY AKCJI",""))))</f>
        <v>BRAK TELEFONU</v>
      </c>
      <c r="F649" s="57" t="str">
        <f>CRM_MAGDY!W649</f>
        <v>BRAKI CRM</v>
      </c>
      <c r="G649" s="57">
        <f>CRM_MAGDY!K649</f>
        <v>0</v>
      </c>
      <c r="H649" s="57">
        <f>CRM_MAGDY!N649</f>
        <v>0</v>
      </c>
    </row>
    <row r="650" spans="1:8" ht="30" x14ac:dyDescent="0.25">
      <c r="A650" s="57">
        <f>CRM_MAGDY!H650</f>
        <v>6086</v>
      </c>
      <c r="B650" s="57">
        <f>CRM_MAGDY!I650</f>
        <v>0</v>
      </c>
      <c r="C650" s="57">
        <f>CRM_MAGDY!E650</f>
        <v>0</v>
      </c>
      <c r="D650" s="57">
        <f>CRM_MAGDY!V650</f>
        <v>0</v>
      </c>
      <c r="E650" s="57" t="str">
        <f>IF(CRM_MAGDY!G650="","BRAK TELEFONU",IF(CRM_MAGDY!K650="","BRAK KWOTY",IF(CRM_MAGDY!N650="","BRAK STATUSU",IF(CRM_MAGDY!C650="","BRAK DATY AKCJI",""))))</f>
        <v>BRAK TELEFONU</v>
      </c>
      <c r="F650" s="57" t="str">
        <f>CRM_MAGDY!W650</f>
        <v>BRAKI CRM</v>
      </c>
      <c r="G650" s="57">
        <f>CRM_MAGDY!K650</f>
        <v>0</v>
      </c>
      <c r="H650" s="57">
        <f>CRM_MAGDY!N650</f>
        <v>0</v>
      </c>
    </row>
    <row r="651" spans="1:8" ht="30" x14ac:dyDescent="0.25">
      <c r="A651" s="57">
        <f>CRM_MAGDY!H651</f>
        <v>6087</v>
      </c>
      <c r="B651" s="57">
        <f>CRM_MAGDY!I651</f>
        <v>0</v>
      </c>
      <c r="C651" s="57">
        <f>CRM_MAGDY!E651</f>
        <v>0</v>
      </c>
      <c r="D651" s="57">
        <f>CRM_MAGDY!V651</f>
        <v>0</v>
      </c>
      <c r="E651" s="57" t="str">
        <f>IF(CRM_MAGDY!G651="","BRAK TELEFONU",IF(CRM_MAGDY!K651="","BRAK KWOTY",IF(CRM_MAGDY!N651="","BRAK STATUSU",IF(CRM_MAGDY!C651="","BRAK DATY AKCJI",""))))</f>
        <v>BRAK TELEFONU</v>
      </c>
      <c r="F651" s="57" t="str">
        <f>CRM_MAGDY!W651</f>
        <v>BRAKI CRM</v>
      </c>
      <c r="G651" s="57">
        <f>CRM_MAGDY!K651</f>
        <v>0</v>
      </c>
      <c r="H651" s="57">
        <f>CRM_MAGDY!N651</f>
        <v>0</v>
      </c>
    </row>
    <row r="652" spans="1:8" ht="30" x14ac:dyDescent="0.25">
      <c r="A652" s="57">
        <f>CRM_MAGDY!H652</f>
        <v>6088</v>
      </c>
      <c r="B652" s="57">
        <f>CRM_MAGDY!I652</f>
        <v>0</v>
      </c>
      <c r="C652" s="57">
        <f>CRM_MAGDY!E652</f>
        <v>0</v>
      </c>
      <c r="D652" s="57">
        <f>CRM_MAGDY!V652</f>
        <v>0</v>
      </c>
      <c r="E652" s="57" t="str">
        <f>IF(CRM_MAGDY!G652="","BRAK TELEFONU",IF(CRM_MAGDY!K652="","BRAK KWOTY",IF(CRM_MAGDY!N652="","BRAK STATUSU",IF(CRM_MAGDY!C652="","BRAK DATY AKCJI",""))))</f>
        <v>BRAK TELEFONU</v>
      </c>
      <c r="F652" s="57" t="str">
        <f>CRM_MAGDY!W652</f>
        <v>BRAKI CRM</v>
      </c>
      <c r="G652" s="57">
        <f>CRM_MAGDY!K652</f>
        <v>0</v>
      </c>
      <c r="H652" s="57">
        <f>CRM_MAGDY!N652</f>
        <v>0</v>
      </c>
    </row>
    <row r="653" spans="1:8" ht="30" x14ac:dyDescent="0.25">
      <c r="A653" s="57">
        <f>CRM_MAGDY!H653</f>
        <v>6089</v>
      </c>
      <c r="B653" s="57">
        <f>CRM_MAGDY!I653</f>
        <v>0</v>
      </c>
      <c r="C653" s="57">
        <f>CRM_MAGDY!E653</f>
        <v>0</v>
      </c>
      <c r="D653" s="57">
        <f>CRM_MAGDY!V653</f>
        <v>0</v>
      </c>
      <c r="E653" s="57" t="str">
        <f>IF(CRM_MAGDY!G653="","BRAK TELEFONU",IF(CRM_MAGDY!K653="","BRAK KWOTY",IF(CRM_MAGDY!N653="","BRAK STATUSU",IF(CRM_MAGDY!C653="","BRAK DATY AKCJI",""))))</f>
        <v>BRAK TELEFONU</v>
      </c>
      <c r="F653" s="57" t="str">
        <f>CRM_MAGDY!W653</f>
        <v>BRAKI CRM</v>
      </c>
      <c r="G653" s="57">
        <f>CRM_MAGDY!K653</f>
        <v>0</v>
      </c>
      <c r="H653" s="57">
        <f>CRM_MAGDY!N653</f>
        <v>0</v>
      </c>
    </row>
    <row r="654" spans="1:8" ht="30" x14ac:dyDescent="0.25">
      <c r="A654" s="57">
        <f>CRM_MAGDY!H654</f>
        <v>6090</v>
      </c>
      <c r="B654" s="57">
        <f>CRM_MAGDY!I654</f>
        <v>0</v>
      </c>
      <c r="C654" s="57">
        <f>CRM_MAGDY!E654</f>
        <v>0</v>
      </c>
      <c r="D654" s="57">
        <f>CRM_MAGDY!V654</f>
        <v>0</v>
      </c>
      <c r="E654" s="57" t="str">
        <f>IF(CRM_MAGDY!G654="","BRAK TELEFONU",IF(CRM_MAGDY!K654="","BRAK KWOTY",IF(CRM_MAGDY!N654="","BRAK STATUSU",IF(CRM_MAGDY!C654="","BRAK DATY AKCJI",""))))</f>
        <v>BRAK TELEFONU</v>
      </c>
      <c r="F654" s="57" t="str">
        <f>CRM_MAGDY!W654</f>
        <v>BRAKI CRM</v>
      </c>
      <c r="G654" s="57">
        <f>CRM_MAGDY!K654</f>
        <v>0</v>
      </c>
      <c r="H654" s="57">
        <f>CRM_MAGDY!N654</f>
        <v>0</v>
      </c>
    </row>
    <row r="655" spans="1:8" ht="30" x14ac:dyDescent="0.25">
      <c r="A655" s="57">
        <f>CRM_MAGDY!H655</f>
        <v>6091</v>
      </c>
      <c r="B655" s="57">
        <f>CRM_MAGDY!I655</f>
        <v>0</v>
      </c>
      <c r="C655" s="57">
        <f>CRM_MAGDY!E655</f>
        <v>0</v>
      </c>
      <c r="D655" s="57">
        <f>CRM_MAGDY!V655</f>
        <v>0</v>
      </c>
      <c r="E655" s="57" t="str">
        <f>IF(CRM_MAGDY!G655="","BRAK TELEFONU",IF(CRM_MAGDY!K655="","BRAK KWOTY",IF(CRM_MAGDY!N655="","BRAK STATUSU",IF(CRM_MAGDY!C655="","BRAK DATY AKCJI",""))))</f>
        <v>BRAK TELEFONU</v>
      </c>
      <c r="F655" s="57" t="str">
        <f>CRM_MAGDY!W655</f>
        <v>BRAKI CRM</v>
      </c>
      <c r="G655" s="57">
        <f>CRM_MAGDY!K655</f>
        <v>0</v>
      </c>
      <c r="H655" s="57">
        <f>CRM_MAGDY!N655</f>
        <v>0</v>
      </c>
    </row>
    <row r="656" spans="1:8" ht="30" x14ac:dyDescent="0.25">
      <c r="A656" s="57">
        <f>CRM_MAGDY!H656</f>
        <v>6092</v>
      </c>
      <c r="B656" s="57">
        <f>CRM_MAGDY!I656</f>
        <v>0</v>
      </c>
      <c r="C656" s="57">
        <f>CRM_MAGDY!E656</f>
        <v>0</v>
      </c>
      <c r="D656" s="57">
        <f>CRM_MAGDY!V656</f>
        <v>0</v>
      </c>
      <c r="E656" s="57" t="str">
        <f>IF(CRM_MAGDY!G656="","BRAK TELEFONU",IF(CRM_MAGDY!K656="","BRAK KWOTY",IF(CRM_MAGDY!N656="","BRAK STATUSU",IF(CRM_MAGDY!C656="","BRAK DATY AKCJI",""))))</f>
        <v>BRAK TELEFONU</v>
      </c>
      <c r="F656" s="57" t="str">
        <f>CRM_MAGDY!W656</f>
        <v>BRAKI CRM</v>
      </c>
      <c r="G656" s="57">
        <f>CRM_MAGDY!K656</f>
        <v>0</v>
      </c>
      <c r="H656" s="57">
        <f>CRM_MAGDY!N656</f>
        <v>0</v>
      </c>
    </row>
    <row r="657" spans="1:8" ht="30" x14ac:dyDescent="0.25">
      <c r="A657" s="57">
        <f>CRM_MAGDY!H657</f>
        <v>6093</v>
      </c>
      <c r="B657" s="57">
        <f>CRM_MAGDY!I657</f>
        <v>0</v>
      </c>
      <c r="C657" s="57">
        <f>CRM_MAGDY!E657</f>
        <v>0</v>
      </c>
      <c r="D657" s="57">
        <f>CRM_MAGDY!V657</f>
        <v>0</v>
      </c>
      <c r="E657" s="57" t="str">
        <f>IF(CRM_MAGDY!G657="","BRAK TELEFONU",IF(CRM_MAGDY!K657="","BRAK KWOTY",IF(CRM_MAGDY!N657="","BRAK STATUSU",IF(CRM_MAGDY!C657="","BRAK DATY AKCJI",""))))</f>
        <v>BRAK TELEFONU</v>
      </c>
      <c r="F657" s="57" t="str">
        <f>CRM_MAGDY!W657</f>
        <v>BRAKI CRM</v>
      </c>
      <c r="G657" s="57">
        <f>CRM_MAGDY!K657</f>
        <v>0</v>
      </c>
      <c r="H657" s="57">
        <f>CRM_MAGDY!N657</f>
        <v>0</v>
      </c>
    </row>
    <row r="658" spans="1:8" ht="30" x14ac:dyDescent="0.25">
      <c r="A658" s="57">
        <f>CRM_MAGDY!H658</f>
        <v>6094</v>
      </c>
      <c r="B658" s="57">
        <f>CRM_MAGDY!I658</f>
        <v>0</v>
      </c>
      <c r="C658" s="57">
        <f>CRM_MAGDY!E658</f>
        <v>0</v>
      </c>
      <c r="D658" s="57">
        <f>CRM_MAGDY!V658</f>
        <v>0</v>
      </c>
      <c r="E658" s="57" t="str">
        <f>IF(CRM_MAGDY!G658="","BRAK TELEFONU",IF(CRM_MAGDY!K658="","BRAK KWOTY",IF(CRM_MAGDY!N658="","BRAK STATUSU",IF(CRM_MAGDY!C658="","BRAK DATY AKCJI",""))))</f>
        <v>BRAK TELEFONU</v>
      </c>
      <c r="F658" s="57" t="str">
        <f>CRM_MAGDY!W658</f>
        <v>BRAKI CRM</v>
      </c>
      <c r="G658" s="57">
        <f>CRM_MAGDY!K658</f>
        <v>0</v>
      </c>
      <c r="H658" s="57">
        <f>CRM_MAGDY!N658</f>
        <v>0</v>
      </c>
    </row>
    <row r="659" spans="1:8" ht="30" x14ac:dyDescent="0.25">
      <c r="A659" s="57">
        <f>CRM_MAGDY!H659</f>
        <v>6095</v>
      </c>
      <c r="B659" s="57">
        <f>CRM_MAGDY!I659</f>
        <v>0</v>
      </c>
      <c r="C659" s="57">
        <f>CRM_MAGDY!E659</f>
        <v>0</v>
      </c>
      <c r="D659" s="57">
        <f>CRM_MAGDY!V659</f>
        <v>0</v>
      </c>
      <c r="E659" s="57" t="str">
        <f>IF(CRM_MAGDY!G659="","BRAK TELEFONU",IF(CRM_MAGDY!K659="","BRAK KWOTY",IF(CRM_MAGDY!N659="","BRAK STATUSU",IF(CRM_MAGDY!C659="","BRAK DATY AKCJI",""))))</f>
        <v>BRAK TELEFONU</v>
      </c>
      <c r="F659" s="57" t="str">
        <f>CRM_MAGDY!W659</f>
        <v>BRAKI CRM</v>
      </c>
      <c r="G659" s="57">
        <f>CRM_MAGDY!K659</f>
        <v>0</v>
      </c>
      <c r="H659" s="57">
        <f>CRM_MAGDY!N659</f>
        <v>0</v>
      </c>
    </row>
    <row r="660" spans="1:8" ht="30" x14ac:dyDescent="0.25">
      <c r="A660" s="57">
        <f>CRM_MAGDY!H660</f>
        <v>6096</v>
      </c>
      <c r="B660" s="57">
        <f>CRM_MAGDY!I660</f>
        <v>0</v>
      </c>
      <c r="C660" s="57">
        <f>CRM_MAGDY!E660</f>
        <v>0</v>
      </c>
      <c r="D660" s="57">
        <f>CRM_MAGDY!V660</f>
        <v>0</v>
      </c>
      <c r="E660" s="57" t="str">
        <f>IF(CRM_MAGDY!G660="","BRAK TELEFONU",IF(CRM_MAGDY!K660="","BRAK KWOTY",IF(CRM_MAGDY!N660="","BRAK STATUSU",IF(CRM_MAGDY!C660="","BRAK DATY AKCJI",""))))</f>
        <v>BRAK TELEFONU</v>
      </c>
      <c r="F660" s="57" t="str">
        <f>CRM_MAGDY!W660</f>
        <v>BRAKI CRM</v>
      </c>
      <c r="G660" s="57">
        <f>CRM_MAGDY!K660</f>
        <v>0</v>
      </c>
      <c r="H660" s="57">
        <f>CRM_MAGDY!N660</f>
        <v>0</v>
      </c>
    </row>
    <row r="661" spans="1:8" ht="30" x14ac:dyDescent="0.25">
      <c r="A661" s="57">
        <f>CRM_MAGDY!H661</f>
        <v>6097</v>
      </c>
      <c r="B661" s="57">
        <f>CRM_MAGDY!I661</f>
        <v>0</v>
      </c>
      <c r="C661" s="57">
        <f>CRM_MAGDY!E661</f>
        <v>0</v>
      </c>
      <c r="D661" s="57">
        <f>CRM_MAGDY!V661</f>
        <v>0</v>
      </c>
      <c r="E661" s="57" t="str">
        <f>IF(CRM_MAGDY!G661="","BRAK TELEFONU",IF(CRM_MAGDY!K661="","BRAK KWOTY",IF(CRM_MAGDY!N661="","BRAK STATUSU",IF(CRM_MAGDY!C661="","BRAK DATY AKCJI",""))))</f>
        <v>BRAK TELEFONU</v>
      </c>
      <c r="F661" s="57" t="str">
        <f>CRM_MAGDY!W661</f>
        <v>BRAKI CRM</v>
      </c>
      <c r="G661" s="57">
        <f>CRM_MAGDY!K661</f>
        <v>0</v>
      </c>
      <c r="H661" s="57">
        <f>CRM_MAGDY!N661</f>
        <v>0</v>
      </c>
    </row>
    <row r="662" spans="1:8" ht="30" x14ac:dyDescent="0.25">
      <c r="A662" s="57">
        <f>CRM_MAGDY!H662</f>
        <v>6098</v>
      </c>
      <c r="B662" s="57">
        <f>CRM_MAGDY!I662</f>
        <v>0</v>
      </c>
      <c r="C662" s="57">
        <f>CRM_MAGDY!E662</f>
        <v>0</v>
      </c>
      <c r="D662" s="57">
        <f>CRM_MAGDY!V662</f>
        <v>0</v>
      </c>
      <c r="E662" s="57" t="str">
        <f>IF(CRM_MAGDY!G662="","BRAK TELEFONU",IF(CRM_MAGDY!K662="","BRAK KWOTY",IF(CRM_MAGDY!N662="","BRAK STATUSU",IF(CRM_MAGDY!C662="","BRAK DATY AKCJI",""))))</f>
        <v>BRAK TELEFONU</v>
      </c>
      <c r="F662" s="57" t="str">
        <f>CRM_MAGDY!W662</f>
        <v>BRAKI CRM</v>
      </c>
      <c r="G662" s="57">
        <f>CRM_MAGDY!K662</f>
        <v>0</v>
      </c>
      <c r="H662" s="57">
        <f>CRM_MAGDY!N662</f>
        <v>0</v>
      </c>
    </row>
    <row r="663" spans="1:8" ht="30" x14ac:dyDescent="0.25">
      <c r="A663" s="57">
        <f>CRM_MAGDY!H663</f>
        <v>6099</v>
      </c>
      <c r="B663" s="57">
        <f>CRM_MAGDY!I663</f>
        <v>0</v>
      </c>
      <c r="C663" s="57">
        <f>CRM_MAGDY!E663</f>
        <v>0</v>
      </c>
      <c r="D663" s="57">
        <f>CRM_MAGDY!V663</f>
        <v>0</v>
      </c>
      <c r="E663" s="57" t="str">
        <f>IF(CRM_MAGDY!G663="","BRAK TELEFONU",IF(CRM_MAGDY!K663="","BRAK KWOTY",IF(CRM_MAGDY!N663="","BRAK STATUSU",IF(CRM_MAGDY!C663="","BRAK DATY AKCJI",""))))</f>
        <v>BRAK TELEFONU</v>
      </c>
      <c r="F663" s="57" t="str">
        <f>CRM_MAGDY!W663</f>
        <v>BRAKI CRM</v>
      </c>
      <c r="G663" s="57">
        <f>CRM_MAGDY!K663</f>
        <v>0</v>
      </c>
      <c r="H663" s="57">
        <f>CRM_MAGDY!N663</f>
        <v>0</v>
      </c>
    </row>
    <row r="664" spans="1:8" ht="30" x14ac:dyDescent="0.25">
      <c r="A664" s="57">
        <f>CRM_MAGDY!H664</f>
        <v>6100</v>
      </c>
      <c r="B664" s="57">
        <f>CRM_MAGDY!I664</f>
        <v>0</v>
      </c>
      <c r="C664" s="57">
        <f>CRM_MAGDY!E664</f>
        <v>0</v>
      </c>
      <c r="D664" s="57">
        <f>CRM_MAGDY!V664</f>
        <v>0</v>
      </c>
      <c r="E664" s="57" t="str">
        <f>IF(CRM_MAGDY!G664="","BRAK TELEFONU",IF(CRM_MAGDY!K664="","BRAK KWOTY",IF(CRM_MAGDY!N664="","BRAK STATUSU",IF(CRM_MAGDY!C664="","BRAK DATY AKCJI",""))))</f>
        <v>BRAK TELEFONU</v>
      </c>
      <c r="F664" s="57" t="str">
        <f>CRM_MAGDY!W664</f>
        <v>BRAKI CRM</v>
      </c>
      <c r="G664" s="57">
        <f>CRM_MAGDY!K664</f>
        <v>0</v>
      </c>
      <c r="H664" s="57">
        <f>CRM_MAGDY!N664</f>
        <v>0</v>
      </c>
    </row>
    <row r="665" spans="1:8" ht="30" x14ac:dyDescent="0.25">
      <c r="A665" s="57">
        <f>CRM_MAGDY!H665</f>
        <v>6101</v>
      </c>
      <c r="B665" s="57">
        <f>CRM_MAGDY!I665</f>
        <v>0</v>
      </c>
      <c r="C665" s="57">
        <f>CRM_MAGDY!E665</f>
        <v>0</v>
      </c>
      <c r="D665" s="57">
        <f>CRM_MAGDY!V665</f>
        <v>0</v>
      </c>
      <c r="E665" s="57" t="str">
        <f>IF(CRM_MAGDY!G665="","BRAK TELEFONU",IF(CRM_MAGDY!K665="","BRAK KWOTY",IF(CRM_MAGDY!N665="","BRAK STATUSU",IF(CRM_MAGDY!C665="","BRAK DATY AKCJI",""))))</f>
        <v>BRAK TELEFONU</v>
      </c>
      <c r="F665" s="57" t="str">
        <f>CRM_MAGDY!W665</f>
        <v>BRAKI CRM</v>
      </c>
      <c r="G665" s="57">
        <f>CRM_MAGDY!K665</f>
        <v>0</v>
      </c>
      <c r="H665" s="57">
        <f>CRM_MAGDY!N665</f>
        <v>0</v>
      </c>
    </row>
    <row r="666" spans="1:8" ht="30" x14ac:dyDescent="0.25">
      <c r="A666" s="57">
        <f>CRM_MAGDY!H666</f>
        <v>6102</v>
      </c>
      <c r="B666" s="57">
        <f>CRM_MAGDY!I666</f>
        <v>0</v>
      </c>
      <c r="C666" s="57">
        <f>CRM_MAGDY!E666</f>
        <v>0</v>
      </c>
      <c r="D666" s="57">
        <f>CRM_MAGDY!V666</f>
        <v>0</v>
      </c>
      <c r="E666" s="57" t="str">
        <f>IF(CRM_MAGDY!G666="","BRAK TELEFONU",IF(CRM_MAGDY!K666="","BRAK KWOTY",IF(CRM_MAGDY!N666="","BRAK STATUSU",IF(CRM_MAGDY!C666="","BRAK DATY AKCJI",""))))</f>
        <v>BRAK TELEFONU</v>
      </c>
      <c r="F666" s="57" t="str">
        <f>CRM_MAGDY!W666</f>
        <v>BRAKI CRM</v>
      </c>
      <c r="G666" s="57">
        <f>CRM_MAGDY!K666</f>
        <v>0</v>
      </c>
      <c r="H666" s="57">
        <f>CRM_MAGDY!N666</f>
        <v>0</v>
      </c>
    </row>
    <row r="667" spans="1:8" ht="30" x14ac:dyDescent="0.25">
      <c r="A667" s="57">
        <f>CRM_MAGDY!H667</f>
        <v>6103</v>
      </c>
      <c r="B667" s="57">
        <f>CRM_MAGDY!I667</f>
        <v>0</v>
      </c>
      <c r="C667" s="57">
        <f>CRM_MAGDY!E667</f>
        <v>0</v>
      </c>
      <c r="D667" s="57">
        <f>CRM_MAGDY!V667</f>
        <v>0</v>
      </c>
      <c r="E667" s="57" t="str">
        <f>IF(CRM_MAGDY!G667="","BRAK TELEFONU",IF(CRM_MAGDY!K667="","BRAK KWOTY",IF(CRM_MAGDY!N667="","BRAK STATUSU",IF(CRM_MAGDY!C667="","BRAK DATY AKCJI",""))))</f>
        <v>BRAK TELEFONU</v>
      </c>
      <c r="F667" s="57" t="str">
        <f>CRM_MAGDY!W667</f>
        <v>BRAKI CRM</v>
      </c>
      <c r="G667" s="57">
        <f>CRM_MAGDY!K667</f>
        <v>0</v>
      </c>
      <c r="H667" s="57">
        <f>CRM_MAGDY!N667</f>
        <v>0</v>
      </c>
    </row>
    <row r="668" spans="1:8" ht="30" x14ac:dyDescent="0.25">
      <c r="A668" s="57">
        <f>CRM_MAGDY!H668</f>
        <v>6104</v>
      </c>
      <c r="B668" s="57">
        <f>CRM_MAGDY!I668</f>
        <v>0</v>
      </c>
      <c r="C668" s="57">
        <f>CRM_MAGDY!E668</f>
        <v>0</v>
      </c>
      <c r="D668" s="57">
        <f>CRM_MAGDY!V668</f>
        <v>0</v>
      </c>
      <c r="E668" s="57" t="str">
        <f>IF(CRM_MAGDY!G668="","BRAK TELEFONU",IF(CRM_MAGDY!K668="","BRAK KWOTY",IF(CRM_MAGDY!N668="","BRAK STATUSU",IF(CRM_MAGDY!C668="","BRAK DATY AKCJI",""))))</f>
        <v>BRAK TELEFONU</v>
      </c>
      <c r="F668" s="57" t="str">
        <f>CRM_MAGDY!W668</f>
        <v>BRAKI CRM</v>
      </c>
      <c r="G668" s="57">
        <f>CRM_MAGDY!K668</f>
        <v>0</v>
      </c>
      <c r="H668" s="57">
        <f>CRM_MAGDY!N668</f>
        <v>0</v>
      </c>
    </row>
    <row r="669" spans="1:8" ht="30" x14ac:dyDescent="0.25">
      <c r="A669" s="57">
        <f>CRM_MAGDY!H669</f>
        <v>6105</v>
      </c>
      <c r="B669" s="57">
        <f>CRM_MAGDY!I669</f>
        <v>0</v>
      </c>
      <c r="C669" s="57">
        <f>CRM_MAGDY!E669</f>
        <v>0</v>
      </c>
      <c r="D669" s="57">
        <f>CRM_MAGDY!V669</f>
        <v>0</v>
      </c>
      <c r="E669" s="57" t="str">
        <f>IF(CRM_MAGDY!G669="","BRAK TELEFONU",IF(CRM_MAGDY!K669="","BRAK KWOTY",IF(CRM_MAGDY!N669="","BRAK STATUSU",IF(CRM_MAGDY!C669="","BRAK DATY AKCJI",""))))</f>
        <v>BRAK TELEFONU</v>
      </c>
      <c r="F669" s="57" t="str">
        <f>CRM_MAGDY!W669</f>
        <v>BRAKI CRM</v>
      </c>
      <c r="G669" s="57">
        <f>CRM_MAGDY!K669</f>
        <v>0</v>
      </c>
      <c r="H669" s="57">
        <f>CRM_MAGDY!N669</f>
        <v>0</v>
      </c>
    </row>
    <row r="670" spans="1:8" ht="30" x14ac:dyDescent="0.25">
      <c r="A670" s="57">
        <f>CRM_MAGDY!H670</f>
        <v>6106</v>
      </c>
      <c r="B670" s="57">
        <f>CRM_MAGDY!I670</f>
        <v>0</v>
      </c>
      <c r="C670" s="57">
        <f>CRM_MAGDY!E670</f>
        <v>0</v>
      </c>
      <c r="D670" s="57">
        <f>CRM_MAGDY!V670</f>
        <v>0</v>
      </c>
      <c r="E670" s="57" t="str">
        <f>IF(CRM_MAGDY!G670="","BRAK TELEFONU",IF(CRM_MAGDY!K670="","BRAK KWOTY",IF(CRM_MAGDY!N670="","BRAK STATUSU",IF(CRM_MAGDY!C670="","BRAK DATY AKCJI",""))))</f>
        <v>BRAK TELEFONU</v>
      </c>
      <c r="F670" s="57" t="str">
        <f>CRM_MAGDY!W670</f>
        <v>BRAKI CRM</v>
      </c>
      <c r="G670" s="57">
        <f>CRM_MAGDY!K670</f>
        <v>0</v>
      </c>
      <c r="H670" s="57">
        <f>CRM_MAGDY!N670</f>
        <v>0</v>
      </c>
    </row>
    <row r="671" spans="1:8" ht="30" x14ac:dyDescent="0.25">
      <c r="A671" s="57">
        <f>CRM_MAGDY!H671</f>
        <v>6107</v>
      </c>
      <c r="B671" s="57">
        <f>CRM_MAGDY!I671</f>
        <v>0</v>
      </c>
      <c r="C671" s="57">
        <f>CRM_MAGDY!E671</f>
        <v>0</v>
      </c>
      <c r="D671" s="57">
        <f>CRM_MAGDY!V671</f>
        <v>0</v>
      </c>
      <c r="E671" s="57" t="str">
        <f>IF(CRM_MAGDY!G671="","BRAK TELEFONU",IF(CRM_MAGDY!K671="","BRAK KWOTY",IF(CRM_MAGDY!N671="","BRAK STATUSU",IF(CRM_MAGDY!C671="","BRAK DATY AKCJI",""))))</f>
        <v>BRAK TELEFONU</v>
      </c>
      <c r="F671" s="57" t="str">
        <f>CRM_MAGDY!W671</f>
        <v>BRAKI CRM</v>
      </c>
      <c r="G671" s="57">
        <f>CRM_MAGDY!K671</f>
        <v>0</v>
      </c>
      <c r="H671" s="57">
        <f>CRM_MAGDY!N671</f>
        <v>0</v>
      </c>
    </row>
    <row r="672" spans="1:8" ht="30" x14ac:dyDescent="0.25">
      <c r="A672" s="57">
        <f>CRM_MAGDY!H672</f>
        <v>6108</v>
      </c>
      <c r="B672" s="57">
        <f>CRM_MAGDY!I672</f>
        <v>0</v>
      </c>
      <c r="C672" s="57">
        <f>CRM_MAGDY!E672</f>
        <v>0</v>
      </c>
      <c r="D672" s="57">
        <f>CRM_MAGDY!V672</f>
        <v>0</v>
      </c>
      <c r="E672" s="57" t="str">
        <f>IF(CRM_MAGDY!G672="","BRAK TELEFONU",IF(CRM_MAGDY!K672="","BRAK KWOTY",IF(CRM_MAGDY!N672="","BRAK STATUSU",IF(CRM_MAGDY!C672="","BRAK DATY AKCJI",""))))</f>
        <v>BRAK TELEFONU</v>
      </c>
      <c r="F672" s="57" t="str">
        <f>CRM_MAGDY!W672</f>
        <v>BRAKI CRM</v>
      </c>
      <c r="G672" s="57">
        <f>CRM_MAGDY!K672</f>
        <v>0</v>
      </c>
      <c r="H672" s="57">
        <f>CRM_MAGDY!N672</f>
        <v>0</v>
      </c>
    </row>
    <row r="673" spans="1:8" ht="30" x14ac:dyDescent="0.25">
      <c r="A673" s="57">
        <f>CRM_MAGDY!H673</f>
        <v>6109</v>
      </c>
      <c r="B673" s="57">
        <f>CRM_MAGDY!I673</f>
        <v>0</v>
      </c>
      <c r="C673" s="57">
        <f>CRM_MAGDY!E673</f>
        <v>0</v>
      </c>
      <c r="D673" s="57">
        <f>CRM_MAGDY!V673</f>
        <v>0</v>
      </c>
      <c r="E673" s="57" t="str">
        <f>IF(CRM_MAGDY!G673="","BRAK TELEFONU",IF(CRM_MAGDY!K673="","BRAK KWOTY",IF(CRM_MAGDY!N673="","BRAK STATUSU",IF(CRM_MAGDY!C673="","BRAK DATY AKCJI",""))))</f>
        <v>BRAK TELEFONU</v>
      </c>
      <c r="F673" s="57" t="str">
        <f>CRM_MAGDY!W673</f>
        <v>BRAKI CRM</v>
      </c>
      <c r="G673" s="57">
        <f>CRM_MAGDY!K673</f>
        <v>0</v>
      </c>
      <c r="H673" s="57">
        <f>CRM_MAGDY!N673</f>
        <v>0</v>
      </c>
    </row>
    <row r="674" spans="1:8" ht="30" x14ac:dyDescent="0.25">
      <c r="A674" s="57">
        <f>CRM_MAGDY!H674</f>
        <v>6110</v>
      </c>
      <c r="B674" s="57">
        <f>CRM_MAGDY!I674</f>
        <v>0</v>
      </c>
      <c r="C674" s="57">
        <f>CRM_MAGDY!E674</f>
        <v>0</v>
      </c>
      <c r="D674" s="57">
        <f>CRM_MAGDY!V674</f>
        <v>0</v>
      </c>
      <c r="E674" s="57" t="str">
        <f>IF(CRM_MAGDY!G674="","BRAK TELEFONU",IF(CRM_MAGDY!K674="","BRAK KWOTY",IF(CRM_MAGDY!N674="","BRAK STATUSU",IF(CRM_MAGDY!C674="","BRAK DATY AKCJI",""))))</f>
        <v>BRAK TELEFONU</v>
      </c>
      <c r="F674" s="57" t="str">
        <f>CRM_MAGDY!W674</f>
        <v>BRAKI CRM</v>
      </c>
      <c r="G674" s="57">
        <f>CRM_MAGDY!K674</f>
        <v>0</v>
      </c>
      <c r="H674" s="57">
        <f>CRM_MAGDY!N674</f>
        <v>0</v>
      </c>
    </row>
    <row r="675" spans="1:8" ht="30" x14ac:dyDescent="0.25">
      <c r="A675" s="57">
        <f>CRM_MAGDY!H675</f>
        <v>6111</v>
      </c>
      <c r="B675" s="57">
        <f>CRM_MAGDY!I675</f>
        <v>0</v>
      </c>
      <c r="C675" s="57">
        <f>CRM_MAGDY!E675</f>
        <v>0</v>
      </c>
      <c r="D675" s="57">
        <f>CRM_MAGDY!V675</f>
        <v>0</v>
      </c>
      <c r="E675" s="57" t="str">
        <f>IF(CRM_MAGDY!G675="","BRAK TELEFONU",IF(CRM_MAGDY!K675="","BRAK KWOTY",IF(CRM_MAGDY!N675="","BRAK STATUSU",IF(CRM_MAGDY!C675="","BRAK DATY AKCJI",""))))</f>
        <v>BRAK TELEFONU</v>
      </c>
      <c r="F675" s="57" t="str">
        <f>CRM_MAGDY!W675</f>
        <v>BRAKI CRM</v>
      </c>
      <c r="G675" s="57">
        <f>CRM_MAGDY!K675</f>
        <v>0</v>
      </c>
      <c r="H675" s="57">
        <f>CRM_MAGDY!N675</f>
        <v>0</v>
      </c>
    </row>
    <row r="676" spans="1:8" ht="30" x14ac:dyDescent="0.25">
      <c r="A676" s="57">
        <f>CRM_MAGDY!H676</f>
        <v>6112</v>
      </c>
      <c r="B676" s="57">
        <f>CRM_MAGDY!I676</f>
        <v>0</v>
      </c>
      <c r="C676" s="57">
        <f>CRM_MAGDY!E676</f>
        <v>0</v>
      </c>
      <c r="D676" s="57">
        <f>CRM_MAGDY!V676</f>
        <v>0</v>
      </c>
      <c r="E676" s="57" t="str">
        <f>IF(CRM_MAGDY!G676="","BRAK TELEFONU",IF(CRM_MAGDY!K676="","BRAK KWOTY",IF(CRM_MAGDY!N676="","BRAK STATUSU",IF(CRM_MAGDY!C676="","BRAK DATY AKCJI",""))))</f>
        <v>BRAK TELEFONU</v>
      </c>
      <c r="F676" s="57" t="str">
        <f>CRM_MAGDY!W676</f>
        <v>BRAKI CRM</v>
      </c>
      <c r="G676" s="57">
        <f>CRM_MAGDY!K676</f>
        <v>0</v>
      </c>
      <c r="H676" s="57">
        <f>CRM_MAGDY!N676</f>
        <v>0</v>
      </c>
    </row>
    <row r="677" spans="1:8" ht="30" x14ac:dyDescent="0.25">
      <c r="A677" s="57">
        <f>CRM_MAGDY!H677</f>
        <v>6113</v>
      </c>
      <c r="B677" s="57">
        <f>CRM_MAGDY!I677</f>
        <v>0</v>
      </c>
      <c r="C677" s="57">
        <f>CRM_MAGDY!E677</f>
        <v>0</v>
      </c>
      <c r="D677" s="57">
        <f>CRM_MAGDY!V677</f>
        <v>0</v>
      </c>
      <c r="E677" s="57" t="str">
        <f>IF(CRM_MAGDY!G677="","BRAK TELEFONU",IF(CRM_MAGDY!K677="","BRAK KWOTY",IF(CRM_MAGDY!N677="","BRAK STATUSU",IF(CRM_MAGDY!C677="","BRAK DATY AKCJI",""))))</f>
        <v>BRAK TELEFONU</v>
      </c>
      <c r="F677" s="57" t="str">
        <f>CRM_MAGDY!W677</f>
        <v>BRAKI CRM</v>
      </c>
      <c r="G677" s="57">
        <f>CRM_MAGDY!K677</f>
        <v>0</v>
      </c>
      <c r="H677" s="57">
        <f>CRM_MAGDY!N677</f>
        <v>0</v>
      </c>
    </row>
    <row r="678" spans="1:8" ht="30" x14ac:dyDescent="0.25">
      <c r="A678" s="57">
        <f>CRM_MAGDY!H678</f>
        <v>6114</v>
      </c>
      <c r="B678" s="57">
        <f>CRM_MAGDY!I678</f>
        <v>0</v>
      </c>
      <c r="C678" s="57">
        <f>CRM_MAGDY!E678</f>
        <v>0</v>
      </c>
      <c r="D678" s="57">
        <f>CRM_MAGDY!V678</f>
        <v>0</v>
      </c>
      <c r="E678" s="57" t="str">
        <f>IF(CRM_MAGDY!G678="","BRAK TELEFONU",IF(CRM_MAGDY!K678="","BRAK KWOTY",IF(CRM_MAGDY!N678="","BRAK STATUSU",IF(CRM_MAGDY!C678="","BRAK DATY AKCJI",""))))</f>
        <v>BRAK TELEFONU</v>
      </c>
      <c r="F678" s="57" t="str">
        <f>CRM_MAGDY!W678</f>
        <v>BRAKI CRM</v>
      </c>
      <c r="G678" s="57">
        <f>CRM_MAGDY!K678</f>
        <v>0</v>
      </c>
      <c r="H678" s="57">
        <f>CRM_MAGDY!N678</f>
        <v>0</v>
      </c>
    </row>
    <row r="679" spans="1:8" ht="30" x14ac:dyDescent="0.25">
      <c r="A679" s="57">
        <f>CRM_MAGDY!H679</f>
        <v>6115</v>
      </c>
      <c r="B679" s="57">
        <f>CRM_MAGDY!I679</f>
        <v>0</v>
      </c>
      <c r="C679" s="57">
        <f>CRM_MAGDY!E679</f>
        <v>0</v>
      </c>
      <c r="D679" s="57">
        <f>CRM_MAGDY!V679</f>
        <v>0</v>
      </c>
      <c r="E679" s="57" t="str">
        <f>IF(CRM_MAGDY!G679="","BRAK TELEFONU",IF(CRM_MAGDY!K679="","BRAK KWOTY",IF(CRM_MAGDY!N679="","BRAK STATUSU",IF(CRM_MAGDY!C679="","BRAK DATY AKCJI",""))))</f>
        <v>BRAK TELEFONU</v>
      </c>
      <c r="F679" s="57" t="str">
        <f>CRM_MAGDY!W679</f>
        <v>BRAKI CRM</v>
      </c>
      <c r="G679" s="57">
        <f>CRM_MAGDY!K679</f>
        <v>0</v>
      </c>
      <c r="H679" s="57">
        <f>CRM_MAGDY!N679</f>
        <v>0</v>
      </c>
    </row>
    <row r="680" spans="1:8" ht="30" x14ac:dyDescent="0.25">
      <c r="A680" s="57">
        <f>CRM_MAGDY!H680</f>
        <v>6116</v>
      </c>
      <c r="B680" s="57">
        <f>CRM_MAGDY!I680</f>
        <v>0</v>
      </c>
      <c r="C680" s="57">
        <f>CRM_MAGDY!E680</f>
        <v>0</v>
      </c>
      <c r="D680" s="57">
        <f>CRM_MAGDY!V680</f>
        <v>0</v>
      </c>
      <c r="E680" s="57" t="str">
        <f>IF(CRM_MAGDY!G680="","BRAK TELEFONU",IF(CRM_MAGDY!K680="","BRAK KWOTY",IF(CRM_MAGDY!N680="","BRAK STATUSU",IF(CRM_MAGDY!C680="","BRAK DATY AKCJI",""))))</f>
        <v>BRAK TELEFONU</v>
      </c>
      <c r="F680" s="57" t="str">
        <f>CRM_MAGDY!W680</f>
        <v>BRAKI CRM</v>
      </c>
      <c r="G680" s="57">
        <f>CRM_MAGDY!K680</f>
        <v>0</v>
      </c>
      <c r="H680" s="57">
        <f>CRM_MAGDY!N680</f>
        <v>0</v>
      </c>
    </row>
    <row r="681" spans="1:8" ht="30" x14ac:dyDescent="0.25">
      <c r="A681" s="57">
        <f>CRM_MAGDY!H681</f>
        <v>6117</v>
      </c>
      <c r="B681" s="57">
        <f>CRM_MAGDY!I681</f>
        <v>0</v>
      </c>
      <c r="C681" s="57">
        <f>CRM_MAGDY!E681</f>
        <v>0</v>
      </c>
      <c r="D681" s="57">
        <f>CRM_MAGDY!V681</f>
        <v>0</v>
      </c>
      <c r="E681" s="57" t="str">
        <f>IF(CRM_MAGDY!G681="","BRAK TELEFONU",IF(CRM_MAGDY!K681="","BRAK KWOTY",IF(CRM_MAGDY!N681="","BRAK STATUSU",IF(CRM_MAGDY!C681="","BRAK DATY AKCJI",""))))</f>
        <v>BRAK TELEFONU</v>
      </c>
      <c r="F681" s="57" t="str">
        <f>CRM_MAGDY!W681</f>
        <v>BRAKI CRM</v>
      </c>
      <c r="G681" s="57">
        <f>CRM_MAGDY!K681</f>
        <v>0</v>
      </c>
      <c r="H681" s="57">
        <f>CRM_MAGDY!N681</f>
        <v>0</v>
      </c>
    </row>
    <row r="682" spans="1:8" ht="30" x14ac:dyDescent="0.25">
      <c r="A682" s="57">
        <f>CRM_MAGDY!H682</f>
        <v>6118</v>
      </c>
      <c r="B682" s="57">
        <f>CRM_MAGDY!I682</f>
        <v>0</v>
      </c>
      <c r="C682" s="57">
        <f>CRM_MAGDY!E682</f>
        <v>0</v>
      </c>
      <c r="D682" s="57">
        <f>CRM_MAGDY!V682</f>
        <v>0</v>
      </c>
      <c r="E682" s="57" t="str">
        <f>IF(CRM_MAGDY!G682="","BRAK TELEFONU",IF(CRM_MAGDY!K682="","BRAK KWOTY",IF(CRM_MAGDY!N682="","BRAK STATUSU",IF(CRM_MAGDY!C682="","BRAK DATY AKCJI",""))))</f>
        <v>BRAK TELEFONU</v>
      </c>
      <c r="F682" s="57" t="str">
        <f>CRM_MAGDY!W682</f>
        <v>BRAKI CRM</v>
      </c>
      <c r="G682" s="57">
        <f>CRM_MAGDY!K682</f>
        <v>0</v>
      </c>
      <c r="H682" s="57">
        <f>CRM_MAGDY!N682</f>
        <v>0</v>
      </c>
    </row>
    <row r="683" spans="1:8" ht="30" x14ac:dyDescent="0.25">
      <c r="A683" s="57">
        <f>CRM_MAGDY!H683</f>
        <v>6119</v>
      </c>
      <c r="B683" s="57">
        <f>CRM_MAGDY!I683</f>
        <v>0</v>
      </c>
      <c r="C683" s="57">
        <f>CRM_MAGDY!E683</f>
        <v>0</v>
      </c>
      <c r="D683" s="57">
        <f>CRM_MAGDY!V683</f>
        <v>0</v>
      </c>
      <c r="E683" s="57" t="str">
        <f>IF(CRM_MAGDY!G683="","BRAK TELEFONU",IF(CRM_MAGDY!K683="","BRAK KWOTY",IF(CRM_MAGDY!N683="","BRAK STATUSU",IF(CRM_MAGDY!C683="","BRAK DATY AKCJI",""))))</f>
        <v>BRAK TELEFONU</v>
      </c>
      <c r="F683" s="57" t="str">
        <f>CRM_MAGDY!W683</f>
        <v>BRAKI CRM</v>
      </c>
      <c r="G683" s="57">
        <f>CRM_MAGDY!K683</f>
        <v>0</v>
      </c>
      <c r="H683" s="57">
        <f>CRM_MAGDY!N683</f>
        <v>0</v>
      </c>
    </row>
    <row r="684" spans="1:8" ht="30" x14ac:dyDescent="0.25">
      <c r="A684" s="57">
        <f>CRM_MAGDY!H684</f>
        <v>6120</v>
      </c>
      <c r="B684" s="57">
        <f>CRM_MAGDY!I684</f>
        <v>0</v>
      </c>
      <c r="C684" s="57">
        <f>CRM_MAGDY!E684</f>
        <v>0</v>
      </c>
      <c r="D684" s="57">
        <f>CRM_MAGDY!V684</f>
        <v>0</v>
      </c>
      <c r="E684" s="57" t="str">
        <f>IF(CRM_MAGDY!G684="","BRAK TELEFONU",IF(CRM_MAGDY!K684="","BRAK KWOTY",IF(CRM_MAGDY!N684="","BRAK STATUSU",IF(CRM_MAGDY!C684="","BRAK DATY AKCJI",""))))</f>
        <v>BRAK TELEFONU</v>
      </c>
      <c r="F684" s="57" t="str">
        <f>CRM_MAGDY!W684</f>
        <v>BRAKI CRM</v>
      </c>
      <c r="G684" s="57">
        <f>CRM_MAGDY!K684</f>
        <v>0</v>
      </c>
      <c r="H684" s="57">
        <f>CRM_MAGDY!N684</f>
        <v>0</v>
      </c>
    </row>
    <row r="685" spans="1:8" ht="30" x14ac:dyDescent="0.25">
      <c r="A685" s="57">
        <f>CRM_MAGDY!H685</f>
        <v>6121</v>
      </c>
      <c r="B685" s="57">
        <f>CRM_MAGDY!I685</f>
        <v>0</v>
      </c>
      <c r="C685" s="57">
        <f>CRM_MAGDY!E685</f>
        <v>0</v>
      </c>
      <c r="D685" s="57">
        <f>CRM_MAGDY!V685</f>
        <v>0</v>
      </c>
      <c r="E685" s="57" t="str">
        <f>IF(CRM_MAGDY!G685="","BRAK TELEFONU",IF(CRM_MAGDY!K685="","BRAK KWOTY",IF(CRM_MAGDY!N685="","BRAK STATUSU",IF(CRM_MAGDY!C685="","BRAK DATY AKCJI",""))))</f>
        <v>BRAK TELEFONU</v>
      </c>
      <c r="F685" s="57" t="str">
        <f>CRM_MAGDY!W685</f>
        <v>BRAKI CRM</v>
      </c>
      <c r="G685" s="57">
        <f>CRM_MAGDY!K685</f>
        <v>0</v>
      </c>
      <c r="H685" s="57">
        <f>CRM_MAGDY!N685</f>
        <v>0</v>
      </c>
    </row>
    <row r="686" spans="1:8" ht="30" x14ac:dyDescent="0.25">
      <c r="A686" s="57">
        <f>CRM_MAGDY!H686</f>
        <v>6122</v>
      </c>
      <c r="B686" s="57">
        <f>CRM_MAGDY!I686</f>
        <v>0</v>
      </c>
      <c r="C686" s="57">
        <f>CRM_MAGDY!E686</f>
        <v>0</v>
      </c>
      <c r="D686" s="57">
        <f>CRM_MAGDY!V686</f>
        <v>0</v>
      </c>
      <c r="E686" s="57" t="str">
        <f>IF(CRM_MAGDY!G686="","BRAK TELEFONU",IF(CRM_MAGDY!K686="","BRAK KWOTY",IF(CRM_MAGDY!N686="","BRAK STATUSU",IF(CRM_MAGDY!C686="","BRAK DATY AKCJI",""))))</f>
        <v>BRAK TELEFONU</v>
      </c>
      <c r="F686" s="57" t="str">
        <f>CRM_MAGDY!W686</f>
        <v>BRAKI CRM</v>
      </c>
      <c r="G686" s="57">
        <f>CRM_MAGDY!K686</f>
        <v>0</v>
      </c>
      <c r="H686" s="57">
        <f>CRM_MAGDY!N686</f>
        <v>0</v>
      </c>
    </row>
    <row r="687" spans="1:8" ht="30" x14ac:dyDescent="0.25">
      <c r="A687" s="57">
        <f>CRM_MAGDY!H687</f>
        <v>6123</v>
      </c>
      <c r="B687" s="57">
        <f>CRM_MAGDY!I687</f>
        <v>0</v>
      </c>
      <c r="C687" s="57">
        <f>CRM_MAGDY!E687</f>
        <v>0</v>
      </c>
      <c r="D687" s="57">
        <f>CRM_MAGDY!V687</f>
        <v>0</v>
      </c>
      <c r="E687" s="57" t="str">
        <f>IF(CRM_MAGDY!G687="","BRAK TELEFONU",IF(CRM_MAGDY!K687="","BRAK KWOTY",IF(CRM_MAGDY!N687="","BRAK STATUSU",IF(CRM_MAGDY!C687="","BRAK DATY AKCJI",""))))</f>
        <v>BRAK TELEFONU</v>
      </c>
      <c r="F687" s="57" t="str">
        <f>CRM_MAGDY!W687</f>
        <v>BRAKI CRM</v>
      </c>
      <c r="G687" s="57">
        <f>CRM_MAGDY!K687</f>
        <v>0</v>
      </c>
      <c r="H687" s="57">
        <f>CRM_MAGDY!N687</f>
        <v>0</v>
      </c>
    </row>
    <row r="688" spans="1:8" ht="30" x14ac:dyDescent="0.25">
      <c r="A688" s="57">
        <f>CRM_MAGDY!H688</f>
        <v>6124</v>
      </c>
      <c r="B688" s="57">
        <f>CRM_MAGDY!I688</f>
        <v>0</v>
      </c>
      <c r="C688" s="57">
        <f>CRM_MAGDY!E688</f>
        <v>0</v>
      </c>
      <c r="D688" s="57">
        <f>CRM_MAGDY!V688</f>
        <v>0</v>
      </c>
      <c r="E688" s="57" t="str">
        <f>IF(CRM_MAGDY!G688="","BRAK TELEFONU",IF(CRM_MAGDY!K688="","BRAK KWOTY",IF(CRM_MAGDY!N688="","BRAK STATUSU",IF(CRM_MAGDY!C688="","BRAK DATY AKCJI",""))))</f>
        <v>BRAK TELEFONU</v>
      </c>
      <c r="F688" s="57" t="str">
        <f>CRM_MAGDY!W688</f>
        <v>BRAKI CRM</v>
      </c>
      <c r="G688" s="57">
        <f>CRM_MAGDY!K688</f>
        <v>0</v>
      </c>
      <c r="H688" s="57">
        <f>CRM_MAGDY!N688</f>
        <v>0</v>
      </c>
    </row>
    <row r="689" spans="1:8" ht="30" x14ac:dyDescent="0.25">
      <c r="A689" s="57">
        <f>CRM_MAGDY!H689</f>
        <v>6125</v>
      </c>
      <c r="B689" s="57">
        <f>CRM_MAGDY!I689</f>
        <v>0</v>
      </c>
      <c r="C689" s="57">
        <f>CRM_MAGDY!E689</f>
        <v>0</v>
      </c>
      <c r="D689" s="57">
        <f>CRM_MAGDY!V689</f>
        <v>0</v>
      </c>
      <c r="E689" s="57" t="str">
        <f>IF(CRM_MAGDY!G689="","BRAK TELEFONU",IF(CRM_MAGDY!K689="","BRAK KWOTY",IF(CRM_MAGDY!N689="","BRAK STATUSU",IF(CRM_MAGDY!C689="","BRAK DATY AKCJI",""))))</f>
        <v>BRAK TELEFONU</v>
      </c>
      <c r="F689" s="57" t="str">
        <f>CRM_MAGDY!W689</f>
        <v>BRAKI CRM</v>
      </c>
      <c r="G689" s="57">
        <f>CRM_MAGDY!K689</f>
        <v>0</v>
      </c>
      <c r="H689" s="57">
        <f>CRM_MAGDY!N689</f>
        <v>0</v>
      </c>
    </row>
    <row r="690" spans="1:8" ht="30" x14ac:dyDescent="0.25">
      <c r="A690" s="57">
        <f>CRM_MAGDY!H690</f>
        <v>6126</v>
      </c>
      <c r="B690" s="57">
        <f>CRM_MAGDY!I690</f>
        <v>0</v>
      </c>
      <c r="C690" s="57">
        <f>CRM_MAGDY!E690</f>
        <v>0</v>
      </c>
      <c r="D690" s="57">
        <f>CRM_MAGDY!V690</f>
        <v>0</v>
      </c>
      <c r="E690" s="57" t="str">
        <f>IF(CRM_MAGDY!G690="","BRAK TELEFONU",IF(CRM_MAGDY!K690="","BRAK KWOTY",IF(CRM_MAGDY!N690="","BRAK STATUSU",IF(CRM_MAGDY!C690="","BRAK DATY AKCJI",""))))</f>
        <v>BRAK TELEFONU</v>
      </c>
      <c r="F690" s="57" t="str">
        <f>CRM_MAGDY!W690</f>
        <v>BRAKI CRM</v>
      </c>
      <c r="G690" s="57">
        <f>CRM_MAGDY!K690</f>
        <v>0</v>
      </c>
      <c r="H690" s="57">
        <f>CRM_MAGDY!N690</f>
        <v>0</v>
      </c>
    </row>
    <row r="691" spans="1:8" ht="30" x14ac:dyDescent="0.25">
      <c r="A691" s="57">
        <f>CRM_MAGDY!H691</f>
        <v>6127</v>
      </c>
      <c r="B691" s="57">
        <f>CRM_MAGDY!I691</f>
        <v>0</v>
      </c>
      <c r="C691" s="57">
        <f>CRM_MAGDY!E691</f>
        <v>0</v>
      </c>
      <c r="D691" s="57">
        <f>CRM_MAGDY!V691</f>
        <v>0</v>
      </c>
      <c r="E691" s="57" t="str">
        <f>IF(CRM_MAGDY!G691="","BRAK TELEFONU",IF(CRM_MAGDY!K691="","BRAK KWOTY",IF(CRM_MAGDY!N691="","BRAK STATUSU",IF(CRM_MAGDY!C691="","BRAK DATY AKCJI",""))))</f>
        <v>BRAK TELEFONU</v>
      </c>
      <c r="F691" s="57" t="str">
        <f>CRM_MAGDY!W691</f>
        <v>BRAKI CRM</v>
      </c>
      <c r="G691" s="57">
        <f>CRM_MAGDY!K691</f>
        <v>0</v>
      </c>
      <c r="H691" s="57">
        <f>CRM_MAGDY!N691</f>
        <v>0</v>
      </c>
    </row>
    <row r="692" spans="1:8" ht="30" x14ac:dyDescent="0.25">
      <c r="A692" s="57">
        <f>CRM_MAGDY!H692</f>
        <v>6128</v>
      </c>
      <c r="B692" s="57">
        <f>CRM_MAGDY!I692</f>
        <v>0</v>
      </c>
      <c r="C692" s="57">
        <f>CRM_MAGDY!E692</f>
        <v>0</v>
      </c>
      <c r="D692" s="57">
        <f>CRM_MAGDY!V692</f>
        <v>0</v>
      </c>
      <c r="E692" s="57" t="str">
        <f>IF(CRM_MAGDY!G692="","BRAK TELEFONU",IF(CRM_MAGDY!K692="","BRAK KWOTY",IF(CRM_MAGDY!N692="","BRAK STATUSU",IF(CRM_MAGDY!C692="","BRAK DATY AKCJI",""))))</f>
        <v>BRAK TELEFONU</v>
      </c>
      <c r="F692" s="57" t="str">
        <f>CRM_MAGDY!W692</f>
        <v>BRAKI CRM</v>
      </c>
      <c r="G692" s="57">
        <f>CRM_MAGDY!K692</f>
        <v>0</v>
      </c>
      <c r="H692" s="57">
        <f>CRM_MAGDY!N692</f>
        <v>0</v>
      </c>
    </row>
    <row r="693" spans="1:8" ht="30" x14ac:dyDescent="0.25">
      <c r="A693" s="57">
        <f>CRM_MAGDY!H693</f>
        <v>6129</v>
      </c>
      <c r="B693" s="57">
        <f>CRM_MAGDY!I693</f>
        <v>0</v>
      </c>
      <c r="C693" s="57">
        <f>CRM_MAGDY!E693</f>
        <v>0</v>
      </c>
      <c r="D693" s="57">
        <f>CRM_MAGDY!V693</f>
        <v>0</v>
      </c>
      <c r="E693" s="57" t="str">
        <f>IF(CRM_MAGDY!G693="","BRAK TELEFONU",IF(CRM_MAGDY!K693="","BRAK KWOTY",IF(CRM_MAGDY!N693="","BRAK STATUSU",IF(CRM_MAGDY!C693="","BRAK DATY AKCJI",""))))</f>
        <v>BRAK TELEFONU</v>
      </c>
      <c r="F693" s="57" t="str">
        <f>CRM_MAGDY!W693</f>
        <v>BRAKI CRM</v>
      </c>
      <c r="G693" s="57">
        <f>CRM_MAGDY!K693</f>
        <v>0</v>
      </c>
      <c r="H693" s="57">
        <f>CRM_MAGDY!N693</f>
        <v>0</v>
      </c>
    </row>
    <row r="694" spans="1:8" ht="30" x14ac:dyDescent="0.25">
      <c r="A694" s="57">
        <f>CRM_MAGDY!H694</f>
        <v>6130</v>
      </c>
      <c r="B694" s="57">
        <f>CRM_MAGDY!I694</f>
        <v>0</v>
      </c>
      <c r="C694" s="57">
        <f>CRM_MAGDY!E694</f>
        <v>0</v>
      </c>
      <c r="D694" s="57">
        <f>CRM_MAGDY!V694</f>
        <v>0</v>
      </c>
      <c r="E694" s="57" t="str">
        <f>IF(CRM_MAGDY!G694="","BRAK TELEFONU",IF(CRM_MAGDY!K694="","BRAK KWOTY",IF(CRM_MAGDY!N694="","BRAK STATUSU",IF(CRM_MAGDY!C694="","BRAK DATY AKCJI",""))))</f>
        <v>BRAK TELEFONU</v>
      </c>
      <c r="F694" s="57" t="str">
        <f>CRM_MAGDY!W694</f>
        <v>BRAKI CRM</v>
      </c>
      <c r="G694" s="57">
        <f>CRM_MAGDY!K694</f>
        <v>0</v>
      </c>
      <c r="H694" s="57">
        <f>CRM_MAGDY!N694</f>
        <v>0</v>
      </c>
    </row>
    <row r="695" spans="1:8" ht="30" x14ac:dyDescent="0.25">
      <c r="A695" s="57">
        <f>CRM_MAGDY!H695</f>
        <v>6131</v>
      </c>
      <c r="B695" s="57">
        <f>CRM_MAGDY!I695</f>
        <v>0</v>
      </c>
      <c r="C695" s="57">
        <f>CRM_MAGDY!E695</f>
        <v>0</v>
      </c>
      <c r="D695" s="57">
        <f>CRM_MAGDY!V695</f>
        <v>0</v>
      </c>
      <c r="E695" s="57" t="str">
        <f>IF(CRM_MAGDY!G695="","BRAK TELEFONU",IF(CRM_MAGDY!K695="","BRAK KWOTY",IF(CRM_MAGDY!N695="","BRAK STATUSU",IF(CRM_MAGDY!C695="","BRAK DATY AKCJI",""))))</f>
        <v>BRAK TELEFONU</v>
      </c>
      <c r="F695" s="57" t="str">
        <f>CRM_MAGDY!W695</f>
        <v>BRAKI CRM</v>
      </c>
      <c r="G695" s="57">
        <f>CRM_MAGDY!K695</f>
        <v>0</v>
      </c>
      <c r="H695" s="57">
        <f>CRM_MAGDY!N695</f>
        <v>0</v>
      </c>
    </row>
    <row r="696" spans="1:8" ht="30" x14ac:dyDescent="0.25">
      <c r="A696" s="57">
        <f>CRM_MAGDY!H696</f>
        <v>6132</v>
      </c>
      <c r="B696" s="57">
        <f>CRM_MAGDY!I696</f>
        <v>0</v>
      </c>
      <c r="C696" s="57">
        <f>CRM_MAGDY!E696</f>
        <v>0</v>
      </c>
      <c r="D696" s="57">
        <f>CRM_MAGDY!V696</f>
        <v>0</v>
      </c>
      <c r="E696" s="57" t="str">
        <f>IF(CRM_MAGDY!G696="","BRAK TELEFONU",IF(CRM_MAGDY!K696="","BRAK KWOTY",IF(CRM_MAGDY!N696="","BRAK STATUSU",IF(CRM_MAGDY!C696="","BRAK DATY AKCJI",""))))</f>
        <v>BRAK TELEFONU</v>
      </c>
      <c r="F696" s="57" t="str">
        <f>CRM_MAGDY!W696</f>
        <v>BRAKI CRM</v>
      </c>
      <c r="G696" s="57">
        <f>CRM_MAGDY!K696</f>
        <v>0</v>
      </c>
      <c r="H696" s="57">
        <f>CRM_MAGDY!N696</f>
        <v>0</v>
      </c>
    </row>
    <row r="697" spans="1:8" ht="30" x14ac:dyDescent="0.25">
      <c r="A697" s="57">
        <f>CRM_MAGDY!H697</f>
        <v>6133</v>
      </c>
      <c r="B697" s="57">
        <f>CRM_MAGDY!I697</f>
        <v>0</v>
      </c>
      <c r="C697" s="57">
        <f>CRM_MAGDY!E697</f>
        <v>0</v>
      </c>
      <c r="D697" s="57">
        <f>CRM_MAGDY!V697</f>
        <v>0</v>
      </c>
      <c r="E697" s="57" t="str">
        <f>IF(CRM_MAGDY!G697="","BRAK TELEFONU",IF(CRM_MAGDY!K697="","BRAK KWOTY",IF(CRM_MAGDY!N697="","BRAK STATUSU",IF(CRM_MAGDY!C697="","BRAK DATY AKCJI",""))))</f>
        <v>BRAK TELEFONU</v>
      </c>
      <c r="F697" s="57" t="str">
        <f>CRM_MAGDY!W697</f>
        <v>BRAKI CRM</v>
      </c>
      <c r="G697" s="57">
        <f>CRM_MAGDY!K697</f>
        <v>0</v>
      </c>
      <c r="H697" s="57">
        <f>CRM_MAGDY!N697</f>
        <v>0</v>
      </c>
    </row>
    <row r="698" spans="1:8" ht="30" x14ac:dyDescent="0.25">
      <c r="A698" s="57">
        <f>CRM_MAGDY!H698</f>
        <v>6134</v>
      </c>
      <c r="B698" s="57">
        <f>CRM_MAGDY!I698</f>
        <v>0</v>
      </c>
      <c r="C698" s="57">
        <f>CRM_MAGDY!E698</f>
        <v>0</v>
      </c>
      <c r="D698" s="57">
        <f>CRM_MAGDY!V698</f>
        <v>0</v>
      </c>
      <c r="E698" s="57" t="str">
        <f>IF(CRM_MAGDY!G698="","BRAK TELEFONU",IF(CRM_MAGDY!K698="","BRAK KWOTY",IF(CRM_MAGDY!N698="","BRAK STATUSU",IF(CRM_MAGDY!C698="","BRAK DATY AKCJI",""))))</f>
        <v>BRAK TELEFONU</v>
      </c>
      <c r="F698" s="57" t="str">
        <f>CRM_MAGDY!W698</f>
        <v>BRAKI CRM</v>
      </c>
      <c r="G698" s="57">
        <f>CRM_MAGDY!K698</f>
        <v>0</v>
      </c>
      <c r="H698" s="57">
        <f>CRM_MAGDY!N698</f>
        <v>0</v>
      </c>
    </row>
    <row r="699" spans="1:8" ht="30" x14ac:dyDescent="0.25">
      <c r="A699" s="57">
        <f>CRM_MAGDY!H699</f>
        <v>6135</v>
      </c>
      <c r="B699" s="57">
        <f>CRM_MAGDY!I699</f>
        <v>0</v>
      </c>
      <c r="C699" s="57">
        <f>CRM_MAGDY!E699</f>
        <v>0</v>
      </c>
      <c r="D699" s="57">
        <f>CRM_MAGDY!V699</f>
        <v>0</v>
      </c>
      <c r="E699" s="57" t="str">
        <f>IF(CRM_MAGDY!G699="","BRAK TELEFONU",IF(CRM_MAGDY!K699="","BRAK KWOTY",IF(CRM_MAGDY!N699="","BRAK STATUSU",IF(CRM_MAGDY!C699="","BRAK DATY AKCJI",""))))</f>
        <v>BRAK TELEFONU</v>
      </c>
      <c r="F699" s="57" t="str">
        <f>CRM_MAGDY!W699</f>
        <v>BRAKI CRM</v>
      </c>
      <c r="G699" s="57">
        <f>CRM_MAGDY!K699</f>
        <v>0</v>
      </c>
      <c r="H699" s="57">
        <f>CRM_MAGDY!N699</f>
        <v>0</v>
      </c>
    </row>
    <row r="700" spans="1:8" ht="30" x14ac:dyDescent="0.25">
      <c r="A700" s="57">
        <f>CRM_MAGDY!H700</f>
        <v>6136</v>
      </c>
      <c r="B700" s="57">
        <f>CRM_MAGDY!I700</f>
        <v>0</v>
      </c>
      <c r="C700" s="57">
        <f>CRM_MAGDY!E700</f>
        <v>0</v>
      </c>
      <c r="D700" s="57">
        <f>CRM_MAGDY!V700</f>
        <v>0</v>
      </c>
      <c r="E700" s="57" t="str">
        <f>IF(CRM_MAGDY!G700="","BRAK TELEFONU",IF(CRM_MAGDY!K700="","BRAK KWOTY",IF(CRM_MAGDY!N700="","BRAK STATUSU",IF(CRM_MAGDY!C700="","BRAK DATY AKCJI",""))))</f>
        <v>BRAK TELEFONU</v>
      </c>
      <c r="F700" s="57" t="str">
        <f>CRM_MAGDY!W700</f>
        <v>BRAKI CRM</v>
      </c>
      <c r="G700" s="57">
        <f>CRM_MAGDY!K700</f>
        <v>0</v>
      </c>
      <c r="H700" s="57">
        <f>CRM_MAGDY!N700</f>
        <v>0</v>
      </c>
    </row>
    <row r="701" spans="1:8" ht="30" x14ac:dyDescent="0.25">
      <c r="A701" s="57">
        <f>CRM_MAGDY!H701</f>
        <v>6137</v>
      </c>
      <c r="B701" s="57">
        <f>CRM_MAGDY!I701</f>
        <v>0</v>
      </c>
      <c r="C701" s="57">
        <f>CRM_MAGDY!E701</f>
        <v>0</v>
      </c>
      <c r="D701" s="57">
        <f>CRM_MAGDY!V701</f>
        <v>0</v>
      </c>
      <c r="E701" s="57" t="str">
        <f>IF(CRM_MAGDY!G701="","BRAK TELEFONU",IF(CRM_MAGDY!K701="","BRAK KWOTY",IF(CRM_MAGDY!N701="","BRAK STATUSU",IF(CRM_MAGDY!C701="","BRAK DATY AKCJI",""))))</f>
        <v>BRAK TELEFONU</v>
      </c>
      <c r="F701" s="57" t="str">
        <f>CRM_MAGDY!W701</f>
        <v>BRAKI CRM</v>
      </c>
      <c r="G701" s="57">
        <f>CRM_MAGDY!K701</f>
        <v>0</v>
      </c>
      <c r="H701" s="57">
        <f>CRM_MAGDY!N701</f>
        <v>0</v>
      </c>
    </row>
    <row r="702" spans="1:8" ht="30" x14ac:dyDescent="0.25">
      <c r="A702" s="57">
        <f>CRM_MAGDY!H702</f>
        <v>6138</v>
      </c>
      <c r="B702" s="57">
        <f>CRM_MAGDY!I702</f>
        <v>0</v>
      </c>
      <c r="C702" s="57">
        <f>CRM_MAGDY!E702</f>
        <v>0</v>
      </c>
      <c r="D702" s="57">
        <f>CRM_MAGDY!V702</f>
        <v>0</v>
      </c>
      <c r="E702" s="57" t="str">
        <f>IF(CRM_MAGDY!G702="","BRAK TELEFONU",IF(CRM_MAGDY!K702="","BRAK KWOTY",IF(CRM_MAGDY!N702="","BRAK STATUSU",IF(CRM_MAGDY!C702="","BRAK DATY AKCJI",""))))</f>
        <v>BRAK TELEFONU</v>
      </c>
      <c r="F702" s="57" t="str">
        <f>CRM_MAGDY!W702</f>
        <v>BRAKI CRM</v>
      </c>
      <c r="G702" s="57">
        <f>CRM_MAGDY!K702</f>
        <v>0</v>
      </c>
      <c r="H702" s="57">
        <f>CRM_MAGDY!N702</f>
        <v>0</v>
      </c>
    </row>
    <row r="703" spans="1:8" ht="30" x14ac:dyDescent="0.25">
      <c r="A703" s="57">
        <f>CRM_MAGDY!H703</f>
        <v>6139</v>
      </c>
      <c r="B703" s="57">
        <f>CRM_MAGDY!I703</f>
        <v>0</v>
      </c>
      <c r="C703" s="57">
        <f>CRM_MAGDY!E703</f>
        <v>0</v>
      </c>
      <c r="D703" s="57">
        <f>CRM_MAGDY!V703</f>
        <v>0</v>
      </c>
      <c r="E703" s="57" t="str">
        <f>IF(CRM_MAGDY!G703="","BRAK TELEFONU",IF(CRM_MAGDY!K703="","BRAK KWOTY",IF(CRM_MAGDY!N703="","BRAK STATUSU",IF(CRM_MAGDY!C703="","BRAK DATY AKCJI",""))))</f>
        <v>BRAK TELEFONU</v>
      </c>
      <c r="F703" s="57" t="str">
        <f>CRM_MAGDY!W703</f>
        <v>BRAKI CRM</v>
      </c>
      <c r="G703" s="57">
        <f>CRM_MAGDY!K703</f>
        <v>0</v>
      </c>
      <c r="H703" s="57">
        <f>CRM_MAGDY!N703</f>
        <v>0</v>
      </c>
    </row>
    <row r="704" spans="1:8" ht="30" x14ac:dyDescent="0.25">
      <c r="A704" s="57">
        <f>CRM_MAGDY!H704</f>
        <v>6140</v>
      </c>
      <c r="B704" s="57">
        <f>CRM_MAGDY!I704</f>
        <v>0</v>
      </c>
      <c r="C704" s="57">
        <f>CRM_MAGDY!E704</f>
        <v>0</v>
      </c>
      <c r="D704" s="57">
        <f>CRM_MAGDY!V704</f>
        <v>0</v>
      </c>
      <c r="E704" s="57" t="str">
        <f>IF(CRM_MAGDY!G704="","BRAK TELEFONU",IF(CRM_MAGDY!K704="","BRAK KWOTY",IF(CRM_MAGDY!N704="","BRAK STATUSU",IF(CRM_MAGDY!C704="","BRAK DATY AKCJI",""))))</f>
        <v>BRAK TELEFONU</v>
      </c>
      <c r="F704" s="57" t="str">
        <f>CRM_MAGDY!W704</f>
        <v>BRAKI CRM</v>
      </c>
      <c r="G704" s="57">
        <f>CRM_MAGDY!K704</f>
        <v>0</v>
      </c>
      <c r="H704" s="57">
        <f>CRM_MAGDY!N704</f>
        <v>0</v>
      </c>
    </row>
    <row r="705" spans="1:8" ht="30" x14ac:dyDescent="0.25">
      <c r="A705" s="57">
        <f>CRM_MAGDY!H705</f>
        <v>6141</v>
      </c>
      <c r="B705" s="57">
        <f>CRM_MAGDY!I705</f>
        <v>0</v>
      </c>
      <c r="C705" s="57">
        <f>CRM_MAGDY!E705</f>
        <v>0</v>
      </c>
      <c r="D705" s="57">
        <f>CRM_MAGDY!V705</f>
        <v>0</v>
      </c>
      <c r="E705" s="57" t="str">
        <f>IF(CRM_MAGDY!G705="","BRAK TELEFONU",IF(CRM_MAGDY!K705="","BRAK KWOTY",IF(CRM_MAGDY!N705="","BRAK STATUSU",IF(CRM_MAGDY!C705="","BRAK DATY AKCJI",""))))</f>
        <v>BRAK TELEFONU</v>
      </c>
      <c r="F705" s="57" t="str">
        <f>CRM_MAGDY!W705</f>
        <v>BRAKI CRM</v>
      </c>
      <c r="G705" s="57">
        <f>CRM_MAGDY!K705</f>
        <v>0</v>
      </c>
      <c r="H705" s="57">
        <f>CRM_MAGDY!N705</f>
        <v>0</v>
      </c>
    </row>
    <row r="706" spans="1:8" ht="30" x14ac:dyDescent="0.25">
      <c r="A706" s="57">
        <f>CRM_MAGDY!H706</f>
        <v>6142</v>
      </c>
      <c r="B706" s="57">
        <f>CRM_MAGDY!I706</f>
        <v>0</v>
      </c>
      <c r="C706" s="57">
        <f>CRM_MAGDY!E706</f>
        <v>0</v>
      </c>
      <c r="D706" s="57">
        <f>CRM_MAGDY!V706</f>
        <v>0</v>
      </c>
      <c r="E706" s="57" t="str">
        <f>IF(CRM_MAGDY!G706="","BRAK TELEFONU",IF(CRM_MAGDY!K706="","BRAK KWOTY",IF(CRM_MAGDY!N706="","BRAK STATUSU",IF(CRM_MAGDY!C706="","BRAK DATY AKCJI",""))))</f>
        <v>BRAK TELEFONU</v>
      </c>
      <c r="F706" s="57" t="str">
        <f>CRM_MAGDY!W706</f>
        <v>BRAKI CRM</v>
      </c>
      <c r="G706" s="57">
        <f>CRM_MAGDY!K706</f>
        <v>0</v>
      </c>
      <c r="H706" s="57">
        <f>CRM_MAGDY!N706</f>
        <v>0</v>
      </c>
    </row>
    <row r="707" spans="1:8" ht="30" x14ac:dyDescent="0.25">
      <c r="A707" s="57">
        <f>CRM_MAGDY!H707</f>
        <v>6143</v>
      </c>
      <c r="B707" s="57">
        <f>CRM_MAGDY!I707</f>
        <v>0</v>
      </c>
      <c r="C707" s="57">
        <f>CRM_MAGDY!E707</f>
        <v>0</v>
      </c>
      <c r="D707" s="57">
        <f>CRM_MAGDY!V707</f>
        <v>0</v>
      </c>
      <c r="E707" s="57" t="str">
        <f>IF(CRM_MAGDY!G707="","BRAK TELEFONU",IF(CRM_MAGDY!K707="","BRAK KWOTY",IF(CRM_MAGDY!N707="","BRAK STATUSU",IF(CRM_MAGDY!C707="","BRAK DATY AKCJI",""))))</f>
        <v>BRAK TELEFONU</v>
      </c>
      <c r="F707" s="57" t="str">
        <f>CRM_MAGDY!W707</f>
        <v>BRAKI CRM</v>
      </c>
      <c r="G707" s="57">
        <f>CRM_MAGDY!K707</f>
        <v>0</v>
      </c>
      <c r="H707" s="57">
        <f>CRM_MAGDY!N707</f>
        <v>0</v>
      </c>
    </row>
    <row r="708" spans="1:8" ht="30" x14ac:dyDescent="0.25">
      <c r="A708" s="57">
        <f>CRM_MAGDY!H708</f>
        <v>6144</v>
      </c>
      <c r="B708" s="57">
        <f>CRM_MAGDY!I708</f>
        <v>0</v>
      </c>
      <c r="C708" s="57">
        <f>CRM_MAGDY!E708</f>
        <v>0</v>
      </c>
      <c r="D708" s="57">
        <f>CRM_MAGDY!V708</f>
        <v>0</v>
      </c>
      <c r="E708" s="57" t="str">
        <f>IF(CRM_MAGDY!G708="","BRAK TELEFONU",IF(CRM_MAGDY!K708="","BRAK KWOTY",IF(CRM_MAGDY!N708="","BRAK STATUSU",IF(CRM_MAGDY!C708="","BRAK DATY AKCJI",""))))</f>
        <v>BRAK TELEFONU</v>
      </c>
      <c r="F708" s="57" t="str">
        <f>CRM_MAGDY!W708</f>
        <v>BRAKI CRM</v>
      </c>
      <c r="G708" s="57">
        <f>CRM_MAGDY!K708</f>
        <v>0</v>
      </c>
      <c r="H708" s="57">
        <f>CRM_MAGDY!N708</f>
        <v>0</v>
      </c>
    </row>
    <row r="709" spans="1:8" ht="30" x14ac:dyDescent="0.25">
      <c r="A709" s="57">
        <f>CRM_MAGDY!H709</f>
        <v>6145</v>
      </c>
      <c r="B709" s="57">
        <f>CRM_MAGDY!I709</f>
        <v>0</v>
      </c>
      <c r="C709" s="57">
        <f>CRM_MAGDY!E709</f>
        <v>0</v>
      </c>
      <c r="D709" s="57">
        <f>CRM_MAGDY!V709</f>
        <v>0</v>
      </c>
      <c r="E709" s="57" t="str">
        <f>IF(CRM_MAGDY!G709="","BRAK TELEFONU",IF(CRM_MAGDY!K709="","BRAK KWOTY",IF(CRM_MAGDY!N709="","BRAK STATUSU",IF(CRM_MAGDY!C709="","BRAK DATY AKCJI",""))))</f>
        <v>BRAK TELEFONU</v>
      </c>
      <c r="F709" s="57" t="str">
        <f>CRM_MAGDY!W709</f>
        <v>BRAKI CRM</v>
      </c>
      <c r="G709" s="57">
        <f>CRM_MAGDY!K709</f>
        <v>0</v>
      </c>
      <c r="H709" s="57">
        <f>CRM_MAGDY!N709</f>
        <v>0</v>
      </c>
    </row>
    <row r="710" spans="1:8" ht="30" x14ac:dyDescent="0.25">
      <c r="A710" s="57">
        <f>CRM_MAGDY!H710</f>
        <v>6146</v>
      </c>
      <c r="B710" s="57">
        <f>CRM_MAGDY!I710</f>
        <v>0</v>
      </c>
      <c r="C710" s="57">
        <f>CRM_MAGDY!E710</f>
        <v>0</v>
      </c>
      <c r="D710" s="57">
        <f>CRM_MAGDY!V710</f>
        <v>0</v>
      </c>
      <c r="E710" s="57" t="str">
        <f>IF(CRM_MAGDY!G710="","BRAK TELEFONU",IF(CRM_MAGDY!K710="","BRAK KWOTY",IF(CRM_MAGDY!N710="","BRAK STATUSU",IF(CRM_MAGDY!C710="","BRAK DATY AKCJI",""))))</f>
        <v>BRAK TELEFONU</v>
      </c>
      <c r="F710" s="57" t="str">
        <f>CRM_MAGDY!W710</f>
        <v>BRAKI CRM</v>
      </c>
      <c r="G710" s="57">
        <f>CRM_MAGDY!K710</f>
        <v>0</v>
      </c>
      <c r="H710" s="57">
        <f>CRM_MAGDY!N710</f>
        <v>0</v>
      </c>
    </row>
    <row r="711" spans="1:8" ht="30" x14ac:dyDescent="0.25">
      <c r="A711" s="57">
        <f>CRM_MAGDY!H711</f>
        <v>6147</v>
      </c>
      <c r="B711" s="57">
        <f>CRM_MAGDY!I711</f>
        <v>0</v>
      </c>
      <c r="C711" s="57">
        <f>CRM_MAGDY!E711</f>
        <v>0</v>
      </c>
      <c r="D711" s="57">
        <f>CRM_MAGDY!V711</f>
        <v>0</v>
      </c>
      <c r="E711" s="57" t="str">
        <f>IF(CRM_MAGDY!G711="","BRAK TELEFONU",IF(CRM_MAGDY!K711="","BRAK KWOTY",IF(CRM_MAGDY!N711="","BRAK STATUSU",IF(CRM_MAGDY!C711="","BRAK DATY AKCJI",""))))</f>
        <v>BRAK TELEFONU</v>
      </c>
      <c r="F711" s="57" t="str">
        <f>CRM_MAGDY!W711</f>
        <v>BRAKI CRM</v>
      </c>
      <c r="G711" s="57">
        <f>CRM_MAGDY!K711</f>
        <v>0</v>
      </c>
      <c r="H711" s="57">
        <f>CRM_MAGDY!N711</f>
        <v>0</v>
      </c>
    </row>
    <row r="712" spans="1:8" ht="30" x14ac:dyDescent="0.25">
      <c r="A712" s="57">
        <f>CRM_MAGDY!H712</f>
        <v>6148</v>
      </c>
      <c r="B712" s="57">
        <f>CRM_MAGDY!I712</f>
        <v>0</v>
      </c>
      <c r="C712" s="57">
        <f>CRM_MAGDY!E712</f>
        <v>0</v>
      </c>
      <c r="D712" s="57">
        <f>CRM_MAGDY!V712</f>
        <v>0</v>
      </c>
      <c r="E712" s="57" t="str">
        <f>IF(CRM_MAGDY!G712="","BRAK TELEFONU",IF(CRM_MAGDY!K712="","BRAK KWOTY",IF(CRM_MAGDY!N712="","BRAK STATUSU",IF(CRM_MAGDY!C712="","BRAK DATY AKCJI",""))))</f>
        <v>BRAK TELEFONU</v>
      </c>
      <c r="F712" s="57" t="str">
        <f>CRM_MAGDY!W712</f>
        <v>BRAKI CRM</v>
      </c>
      <c r="G712" s="57">
        <f>CRM_MAGDY!K712</f>
        <v>0</v>
      </c>
      <c r="H712" s="57">
        <f>CRM_MAGDY!N712</f>
        <v>0</v>
      </c>
    </row>
    <row r="713" spans="1:8" ht="30" x14ac:dyDescent="0.25">
      <c r="A713" s="57">
        <f>CRM_MAGDY!H713</f>
        <v>6149</v>
      </c>
      <c r="B713" s="57">
        <f>CRM_MAGDY!I713</f>
        <v>0</v>
      </c>
      <c r="C713" s="57">
        <f>CRM_MAGDY!E713</f>
        <v>0</v>
      </c>
      <c r="D713" s="57">
        <f>CRM_MAGDY!V713</f>
        <v>0</v>
      </c>
      <c r="E713" s="57" t="str">
        <f>IF(CRM_MAGDY!G713="","BRAK TELEFONU",IF(CRM_MAGDY!K713="","BRAK KWOTY",IF(CRM_MAGDY!N713="","BRAK STATUSU",IF(CRM_MAGDY!C713="","BRAK DATY AKCJI",""))))</f>
        <v>BRAK TELEFONU</v>
      </c>
      <c r="F713" s="57" t="str">
        <f>CRM_MAGDY!W713</f>
        <v>BRAKI CRM</v>
      </c>
      <c r="G713" s="57">
        <f>CRM_MAGDY!K713</f>
        <v>0</v>
      </c>
      <c r="H713" s="57">
        <f>CRM_MAGDY!N713</f>
        <v>0</v>
      </c>
    </row>
    <row r="714" spans="1:8" ht="30" x14ac:dyDescent="0.25">
      <c r="A714" s="57">
        <f>CRM_MAGDY!H714</f>
        <v>6150</v>
      </c>
      <c r="B714" s="57">
        <f>CRM_MAGDY!I714</f>
        <v>0</v>
      </c>
      <c r="C714" s="57">
        <f>CRM_MAGDY!E714</f>
        <v>0</v>
      </c>
      <c r="D714" s="57">
        <f>CRM_MAGDY!V714</f>
        <v>0</v>
      </c>
      <c r="E714" s="57" t="str">
        <f>IF(CRM_MAGDY!G714="","BRAK TELEFONU",IF(CRM_MAGDY!K714="","BRAK KWOTY",IF(CRM_MAGDY!N714="","BRAK STATUSU",IF(CRM_MAGDY!C714="","BRAK DATY AKCJI",""))))</f>
        <v>BRAK TELEFONU</v>
      </c>
      <c r="F714" s="57" t="str">
        <f>CRM_MAGDY!W714</f>
        <v>BRAKI CRM</v>
      </c>
      <c r="G714" s="57">
        <f>CRM_MAGDY!K714</f>
        <v>0</v>
      </c>
      <c r="H714" s="57">
        <f>CRM_MAGDY!N714</f>
        <v>0</v>
      </c>
    </row>
    <row r="715" spans="1:8" ht="30" x14ac:dyDescent="0.25">
      <c r="A715" s="57">
        <f>CRM_MAGDY!H715</f>
        <v>6151</v>
      </c>
      <c r="B715" s="57">
        <f>CRM_MAGDY!I715</f>
        <v>0</v>
      </c>
      <c r="C715" s="57">
        <f>CRM_MAGDY!E715</f>
        <v>0</v>
      </c>
      <c r="D715" s="57">
        <f>CRM_MAGDY!V715</f>
        <v>0</v>
      </c>
      <c r="E715" s="57" t="str">
        <f>IF(CRM_MAGDY!G715="","BRAK TELEFONU",IF(CRM_MAGDY!K715="","BRAK KWOTY",IF(CRM_MAGDY!N715="","BRAK STATUSU",IF(CRM_MAGDY!C715="","BRAK DATY AKCJI",""))))</f>
        <v>BRAK TELEFONU</v>
      </c>
      <c r="F715" s="57" t="str">
        <f>CRM_MAGDY!W715</f>
        <v>BRAKI CRM</v>
      </c>
      <c r="G715" s="57">
        <f>CRM_MAGDY!K715</f>
        <v>0</v>
      </c>
      <c r="H715" s="57">
        <f>CRM_MAGDY!N715</f>
        <v>0</v>
      </c>
    </row>
    <row r="716" spans="1:8" ht="30" x14ac:dyDescent="0.25">
      <c r="A716" s="57">
        <f>CRM_MAGDY!H716</f>
        <v>6152</v>
      </c>
      <c r="B716" s="57">
        <f>CRM_MAGDY!I716</f>
        <v>0</v>
      </c>
      <c r="C716" s="57">
        <f>CRM_MAGDY!E716</f>
        <v>0</v>
      </c>
      <c r="D716" s="57">
        <f>CRM_MAGDY!V716</f>
        <v>0</v>
      </c>
      <c r="E716" s="57" t="str">
        <f>IF(CRM_MAGDY!G716="","BRAK TELEFONU",IF(CRM_MAGDY!K716="","BRAK KWOTY",IF(CRM_MAGDY!N716="","BRAK STATUSU",IF(CRM_MAGDY!C716="","BRAK DATY AKCJI",""))))</f>
        <v>BRAK TELEFONU</v>
      </c>
      <c r="F716" s="57" t="str">
        <f>CRM_MAGDY!W716</f>
        <v>BRAKI CRM</v>
      </c>
      <c r="G716" s="57">
        <f>CRM_MAGDY!K716</f>
        <v>0</v>
      </c>
      <c r="H716" s="57">
        <f>CRM_MAGDY!N716</f>
        <v>0</v>
      </c>
    </row>
    <row r="717" spans="1:8" ht="30" x14ac:dyDescent="0.25">
      <c r="A717" s="57">
        <f>CRM_MAGDY!H717</f>
        <v>6153</v>
      </c>
      <c r="B717" s="57">
        <f>CRM_MAGDY!I717</f>
        <v>0</v>
      </c>
      <c r="C717" s="57">
        <f>CRM_MAGDY!E717</f>
        <v>0</v>
      </c>
      <c r="D717" s="57">
        <f>CRM_MAGDY!V717</f>
        <v>0</v>
      </c>
      <c r="E717" s="57" t="str">
        <f>IF(CRM_MAGDY!G717="","BRAK TELEFONU",IF(CRM_MAGDY!K717="","BRAK KWOTY",IF(CRM_MAGDY!N717="","BRAK STATUSU",IF(CRM_MAGDY!C717="","BRAK DATY AKCJI",""))))</f>
        <v>BRAK TELEFONU</v>
      </c>
      <c r="F717" s="57" t="str">
        <f>CRM_MAGDY!W717</f>
        <v>BRAKI CRM</v>
      </c>
      <c r="G717" s="57">
        <f>CRM_MAGDY!K717</f>
        <v>0</v>
      </c>
      <c r="H717" s="57">
        <f>CRM_MAGDY!N717</f>
        <v>0</v>
      </c>
    </row>
    <row r="718" spans="1:8" ht="30" x14ac:dyDescent="0.25">
      <c r="A718" s="57">
        <f>CRM_MAGDY!H718</f>
        <v>6154</v>
      </c>
      <c r="B718" s="57">
        <f>CRM_MAGDY!I718</f>
        <v>0</v>
      </c>
      <c r="C718" s="57">
        <f>CRM_MAGDY!E718</f>
        <v>0</v>
      </c>
      <c r="D718" s="57">
        <f>CRM_MAGDY!V718</f>
        <v>0</v>
      </c>
      <c r="E718" s="57" t="str">
        <f>IF(CRM_MAGDY!G718="","BRAK TELEFONU",IF(CRM_MAGDY!K718="","BRAK KWOTY",IF(CRM_MAGDY!N718="","BRAK STATUSU",IF(CRM_MAGDY!C718="","BRAK DATY AKCJI",""))))</f>
        <v>BRAK TELEFONU</v>
      </c>
      <c r="F718" s="57" t="str">
        <f>CRM_MAGDY!W718</f>
        <v>BRAKI CRM</v>
      </c>
      <c r="G718" s="57">
        <f>CRM_MAGDY!K718</f>
        <v>0</v>
      </c>
      <c r="H718" s="57">
        <f>CRM_MAGDY!N718</f>
        <v>0</v>
      </c>
    </row>
    <row r="719" spans="1:8" ht="30" x14ac:dyDescent="0.25">
      <c r="A719" s="57">
        <f>CRM_MAGDY!H719</f>
        <v>6155</v>
      </c>
      <c r="B719" s="57">
        <f>CRM_MAGDY!I719</f>
        <v>0</v>
      </c>
      <c r="C719" s="57">
        <f>CRM_MAGDY!E719</f>
        <v>0</v>
      </c>
      <c r="D719" s="57">
        <f>CRM_MAGDY!V719</f>
        <v>0</v>
      </c>
      <c r="E719" s="57" t="str">
        <f>IF(CRM_MAGDY!G719="","BRAK TELEFONU",IF(CRM_MAGDY!K719="","BRAK KWOTY",IF(CRM_MAGDY!N719="","BRAK STATUSU",IF(CRM_MAGDY!C719="","BRAK DATY AKCJI",""))))</f>
        <v>BRAK TELEFONU</v>
      </c>
      <c r="F719" s="57" t="str">
        <f>CRM_MAGDY!W719</f>
        <v>BRAKI CRM</v>
      </c>
      <c r="G719" s="57">
        <f>CRM_MAGDY!K719</f>
        <v>0</v>
      </c>
      <c r="H719" s="57">
        <f>CRM_MAGDY!N719</f>
        <v>0</v>
      </c>
    </row>
    <row r="720" spans="1:8" ht="30" x14ac:dyDescent="0.25">
      <c r="A720" s="57">
        <f>CRM_MAGDY!H720</f>
        <v>6156</v>
      </c>
      <c r="B720" s="57">
        <f>CRM_MAGDY!I720</f>
        <v>0</v>
      </c>
      <c r="C720" s="57">
        <f>CRM_MAGDY!E720</f>
        <v>0</v>
      </c>
      <c r="D720" s="57">
        <f>CRM_MAGDY!V720</f>
        <v>0</v>
      </c>
      <c r="E720" s="57" t="str">
        <f>IF(CRM_MAGDY!G720="","BRAK TELEFONU",IF(CRM_MAGDY!K720="","BRAK KWOTY",IF(CRM_MAGDY!N720="","BRAK STATUSU",IF(CRM_MAGDY!C720="","BRAK DATY AKCJI",""))))</f>
        <v>BRAK TELEFONU</v>
      </c>
      <c r="F720" s="57" t="str">
        <f>CRM_MAGDY!W720</f>
        <v>BRAKI CRM</v>
      </c>
      <c r="G720" s="57">
        <f>CRM_MAGDY!K720</f>
        <v>0</v>
      </c>
      <c r="H720" s="57">
        <f>CRM_MAGDY!N720</f>
        <v>0</v>
      </c>
    </row>
    <row r="721" spans="1:8" ht="30" x14ac:dyDescent="0.25">
      <c r="A721" s="57">
        <f>CRM_MAGDY!H721</f>
        <v>6157</v>
      </c>
      <c r="B721" s="57">
        <f>CRM_MAGDY!I721</f>
        <v>0</v>
      </c>
      <c r="C721" s="57">
        <f>CRM_MAGDY!E721</f>
        <v>0</v>
      </c>
      <c r="D721" s="57">
        <f>CRM_MAGDY!V721</f>
        <v>0</v>
      </c>
      <c r="E721" s="57" t="str">
        <f>IF(CRM_MAGDY!G721="","BRAK TELEFONU",IF(CRM_MAGDY!K721="","BRAK KWOTY",IF(CRM_MAGDY!N721="","BRAK STATUSU",IF(CRM_MAGDY!C721="","BRAK DATY AKCJI",""))))</f>
        <v>BRAK TELEFONU</v>
      </c>
      <c r="F721" s="57" t="str">
        <f>CRM_MAGDY!W721</f>
        <v>BRAKI CRM</v>
      </c>
      <c r="G721" s="57">
        <f>CRM_MAGDY!K721</f>
        <v>0</v>
      </c>
      <c r="H721" s="57">
        <f>CRM_MAGDY!N721</f>
        <v>0</v>
      </c>
    </row>
    <row r="722" spans="1:8" ht="30" x14ac:dyDescent="0.25">
      <c r="A722" s="57">
        <f>CRM_MAGDY!H722</f>
        <v>6158</v>
      </c>
      <c r="B722" s="57">
        <f>CRM_MAGDY!I722</f>
        <v>0</v>
      </c>
      <c r="C722" s="57">
        <f>CRM_MAGDY!E722</f>
        <v>0</v>
      </c>
      <c r="D722" s="57">
        <f>CRM_MAGDY!V722</f>
        <v>0</v>
      </c>
      <c r="E722" s="57" t="str">
        <f>IF(CRM_MAGDY!G722="","BRAK TELEFONU",IF(CRM_MAGDY!K722="","BRAK KWOTY",IF(CRM_MAGDY!N722="","BRAK STATUSU",IF(CRM_MAGDY!C722="","BRAK DATY AKCJI",""))))</f>
        <v>BRAK TELEFONU</v>
      </c>
      <c r="F722" s="57" t="str">
        <f>CRM_MAGDY!W722</f>
        <v>BRAKI CRM</v>
      </c>
      <c r="G722" s="57">
        <f>CRM_MAGDY!K722</f>
        <v>0</v>
      </c>
      <c r="H722" s="57">
        <f>CRM_MAGDY!N722</f>
        <v>0</v>
      </c>
    </row>
    <row r="723" spans="1:8" ht="30" x14ac:dyDescent="0.25">
      <c r="A723" s="57">
        <f>CRM_MAGDY!H723</f>
        <v>6159</v>
      </c>
      <c r="B723" s="57">
        <f>CRM_MAGDY!I723</f>
        <v>0</v>
      </c>
      <c r="C723" s="57">
        <f>CRM_MAGDY!E723</f>
        <v>0</v>
      </c>
      <c r="D723" s="57">
        <f>CRM_MAGDY!V723</f>
        <v>0</v>
      </c>
      <c r="E723" s="57" t="str">
        <f>IF(CRM_MAGDY!G723="","BRAK TELEFONU",IF(CRM_MAGDY!K723="","BRAK KWOTY",IF(CRM_MAGDY!N723="","BRAK STATUSU",IF(CRM_MAGDY!C723="","BRAK DATY AKCJI",""))))</f>
        <v>BRAK TELEFONU</v>
      </c>
      <c r="F723" s="57" t="str">
        <f>CRM_MAGDY!W723</f>
        <v>BRAKI CRM</v>
      </c>
      <c r="G723" s="57">
        <f>CRM_MAGDY!K723</f>
        <v>0</v>
      </c>
      <c r="H723" s="57">
        <f>CRM_MAGDY!N723</f>
        <v>0</v>
      </c>
    </row>
    <row r="724" spans="1:8" ht="30" x14ac:dyDescent="0.25">
      <c r="A724" s="57">
        <f>CRM_MAGDY!H724</f>
        <v>6160</v>
      </c>
      <c r="B724" s="57">
        <f>CRM_MAGDY!I724</f>
        <v>0</v>
      </c>
      <c r="C724" s="57">
        <f>CRM_MAGDY!E724</f>
        <v>0</v>
      </c>
      <c r="D724" s="57">
        <f>CRM_MAGDY!V724</f>
        <v>0</v>
      </c>
      <c r="E724" s="57" t="str">
        <f>IF(CRM_MAGDY!G724="","BRAK TELEFONU",IF(CRM_MAGDY!K724="","BRAK KWOTY",IF(CRM_MAGDY!N724="","BRAK STATUSU",IF(CRM_MAGDY!C724="","BRAK DATY AKCJI",""))))</f>
        <v>BRAK TELEFONU</v>
      </c>
      <c r="F724" s="57" t="str">
        <f>CRM_MAGDY!W724</f>
        <v>BRAKI CRM</v>
      </c>
      <c r="G724" s="57">
        <f>CRM_MAGDY!K724</f>
        <v>0</v>
      </c>
      <c r="H724" s="57">
        <f>CRM_MAGDY!N724</f>
        <v>0</v>
      </c>
    </row>
    <row r="725" spans="1:8" ht="30" x14ac:dyDescent="0.25">
      <c r="A725" s="57">
        <f>CRM_MAGDY!H725</f>
        <v>6161</v>
      </c>
      <c r="B725" s="57">
        <f>CRM_MAGDY!I725</f>
        <v>0</v>
      </c>
      <c r="C725" s="57">
        <f>CRM_MAGDY!E725</f>
        <v>0</v>
      </c>
      <c r="D725" s="57">
        <f>CRM_MAGDY!V725</f>
        <v>0</v>
      </c>
      <c r="E725" s="57" t="str">
        <f>IF(CRM_MAGDY!G725="","BRAK TELEFONU",IF(CRM_MAGDY!K725="","BRAK KWOTY",IF(CRM_MAGDY!N725="","BRAK STATUSU",IF(CRM_MAGDY!C725="","BRAK DATY AKCJI",""))))</f>
        <v>BRAK TELEFONU</v>
      </c>
      <c r="F725" s="57" t="str">
        <f>CRM_MAGDY!W725</f>
        <v>BRAKI CRM</v>
      </c>
      <c r="G725" s="57">
        <f>CRM_MAGDY!K725</f>
        <v>0</v>
      </c>
      <c r="H725" s="57">
        <f>CRM_MAGDY!N725</f>
        <v>0</v>
      </c>
    </row>
    <row r="726" spans="1:8" ht="30" x14ac:dyDescent="0.25">
      <c r="A726" s="57">
        <f>CRM_MAGDY!H726</f>
        <v>6162</v>
      </c>
      <c r="B726" s="57">
        <f>CRM_MAGDY!I726</f>
        <v>0</v>
      </c>
      <c r="C726" s="57">
        <f>CRM_MAGDY!E726</f>
        <v>0</v>
      </c>
      <c r="D726" s="57">
        <f>CRM_MAGDY!V726</f>
        <v>0</v>
      </c>
      <c r="E726" s="57" t="str">
        <f>IF(CRM_MAGDY!G726="","BRAK TELEFONU",IF(CRM_MAGDY!K726="","BRAK KWOTY",IF(CRM_MAGDY!N726="","BRAK STATUSU",IF(CRM_MAGDY!C726="","BRAK DATY AKCJI",""))))</f>
        <v>BRAK TELEFONU</v>
      </c>
      <c r="F726" s="57" t="str">
        <f>CRM_MAGDY!W726</f>
        <v>BRAKI CRM</v>
      </c>
      <c r="G726" s="57">
        <f>CRM_MAGDY!K726</f>
        <v>0</v>
      </c>
      <c r="H726" s="57">
        <f>CRM_MAGDY!N726</f>
        <v>0</v>
      </c>
    </row>
    <row r="727" spans="1:8" ht="30" x14ac:dyDescent="0.25">
      <c r="A727" s="57">
        <f>CRM_MAGDY!H727</f>
        <v>6163</v>
      </c>
      <c r="B727" s="57">
        <f>CRM_MAGDY!I727</f>
        <v>0</v>
      </c>
      <c r="C727" s="57">
        <f>CRM_MAGDY!E727</f>
        <v>0</v>
      </c>
      <c r="D727" s="57">
        <f>CRM_MAGDY!V727</f>
        <v>0</v>
      </c>
      <c r="E727" s="57" t="str">
        <f>IF(CRM_MAGDY!G727="","BRAK TELEFONU",IF(CRM_MAGDY!K727="","BRAK KWOTY",IF(CRM_MAGDY!N727="","BRAK STATUSU",IF(CRM_MAGDY!C727="","BRAK DATY AKCJI",""))))</f>
        <v>BRAK TELEFONU</v>
      </c>
      <c r="F727" s="57" t="str">
        <f>CRM_MAGDY!W727</f>
        <v>BRAKI CRM</v>
      </c>
      <c r="G727" s="57">
        <f>CRM_MAGDY!K727</f>
        <v>0</v>
      </c>
      <c r="H727" s="57">
        <f>CRM_MAGDY!N727</f>
        <v>0</v>
      </c>
    </row>
    <row r="728" spans="1:8" ht="30" x14ac:dyDescent="0.25">
      <c r="A728" s="57">
        <f>CRM_MAGDY!H728</f>
        <v>6164</v>
      </c>
      <c r="B728" s="57">
        <f>CRM_MAGDY!I728</f>
        <v>0</v>
      </c>
      <c r="C728" s="57">
        <f>CRM_MAGDY!E728</f>
        <v>0</v>
      </c>
      <c r="D728" s="57">
        <f>CRM_MAGDY!V728</f>
        <v>0</v>
      </c>
      <c r="E728" s="57" t="str">
        <f>IF(CRM_MAGDY!G728="","BRAK TELEFONU",IF(CRM_MAGDY!K728="","BRAK KWOTY",IF(CRM_MAGDY!N728="","BRAK STATUSU",IF(CRM_MAGDY!C728="","BRAK DATY AKCJI",""))))</f>
        <v>BRAK TELEFONU</v>
      </c>
      <c r="F728" s="57" t="str">
        <f>CRM_MAGDY!W728</f>
        <v>BRAKI CRM</v>
      </c>
      <c r="G728" s="57">
        <f>CRM_MAGDY!K728</f>
        <v>0</v>
      </c>
      <c r="H728" s="57">
        <f>CRM_MAGDY!N728</f>
        <v>0</v>
      </c>
    </row>
    <row r="729" spans="1:8" ht="30" x14ac:dyDescent="0.25">
      <c r="A729" s="57">
        <f>CRM_MAGDY!H729</f>
        <v>6165</v>
      </c>
      <c r="B729" s="57">
        <f>CRM_MAGDY!I729</f>
        <v>0</v>
      </c>
      <c r="C729" s="57">
        <f>CRM_MAGDY!E729</f>
        <v>0</v>
      </c>
      <c r="D729" s="57">
        <f>CRM_MAGDY!V729</f>
        <v>0</v>
      </c>
      <c r="E729" s="57" t="str">
        <f>IF(CRM_MAGDY!G729="","BRAK TELEFONU",IF(CRM_MAGDY!K729="","BRAK KWOTY",IF(CRM_MAGDY!N729="","BRAK STATUSU",IF(CRM_MAGDY!C729="","BRAK DATY AKCJI",""))))</f>
        <v>BRAK TELEFONU</v>
      </c>
      <c r="F729" s="57" t="str">
        <f>CRM_MAGDY!W729</f>
        <v>BRAKI CRM</v>
      </c>
      <c r="G729" s="57">
        <f>CRM_MAGDY!K729</f>
        <v>0</v>
      </c>
      <c r="H729" s="57">
        <f>CRM_MAGDY!N729</f>
        <v>0</v>
      </c>
    </row>
    <row r="730" spans="1:8" ht="30" x14ac:dyDescent="0.25">
      <c r="A730" s="57">
        <f>CRM_MAGDY!H730</f>
        <v>6166</v>
      </c>
      <c r="B730" s="57">
        <f>CRM_MAGDY!I730</f>
        <v>0</v>
      </c>
      <c r="C730" s="57">
        <f>CRM_MAGDY!E730</f>
        <v>0</v>
      </c>
      <c r="D730" s="57">
        <f>CRM_MAGDY!V730</f>
        <v>0</v>
      </c>
      <c r="E730" s="57" t="str">
        <f>IF(CRM_MAGDY!G730="","BRAK TELEFONU",IF(CRM_MAGDY!K730="","BRAK KWOTY",IF(CRM_MAGDY!N730="","BRAK STATUSU",IF(CRM_MAGDY!C730="","BRAK DATY AKCJI",""))))</f>
        <v>BRAK TELEFONU</v>
      </c>
      <c r="F730" s="57" t="str">
        <f>CRM_MAGDY!W730</f>
        <v>BRAKI CRM</v>
      </c>
      <c r="G730" s="57">
        <f>CRM_MAGDY!K730</f>
        <v>0</v>
      </c>
      <c r="H730" s="57">
        <f>CRM_MAGDY!N730</f>
        <v>0</v>
      </c>
    </row>
    <row r="731" spans="1:8" ht="30" x14ac:dyDescent="0.25">
      <c r="A731" s="57">
        <f>CRM_MAGDY!H731</f>
        <v>6167</v>
      </c>
      <c r="B731" s="57">
        <f>CRM_MAGDY!I731</f>
        <v>0</v>
      </c>
      <c r="C731" s="57">
        <f>CRM_MAGDY!E731</f>
        <v>0</v>
      </c>
      <c r="D731" s="57">
        <f>CRM_MAGDY!V731</f>
        <v>0</v>
      </c>
      <c r="E731" s="57" t="str">
        <f>IF(CRM_MAGDY!G731="","BRAK TELEFONU",IF(CRM_MAGDY!K731="","BRAK KWOTY",IF(CRM_MAGDY!N731="","BRAK STATUSU",IF(CRM_MAGDY!C731="","BRAK DATY AKCJI",""))))</f>
        <v>BRAK TELEFONU</v>
      </c>
      <c r="F731" s="57" t="str">
        <f>CRM_MAGDY!W731</f>
        <v>BRAKI CRM</v>
      </c>
      <c r="G731" s="57">
        <f>CRM_MAGDY!K731</f>
        <v>0</v>
      </c>
      <c r="H731" s="57">
        <f>CRM_MAGDY!N731</f>
        <v>0</v>
      </c>
    </row>
    <row r="732" spans="1:8" ht="30" x14ac:dyDescent="0.25">
      <c r="A732" s="57">
        <f>CRM_MAGDY!H732</f>
        <v>6168</v>
      </c>
      <c r="B732" s="57">
        <f>CRM_MAGDY!I732</f>
        <v>0</v>
      </c>
      <c r="C732" s="57">
        <f>CRM_MAGDY!E732</f>
        <v>0</v>
      </c>
      <c r="D732" s="57">
        <f>CRM_MAGDY!V732</f>
        <v>0</v>
      </c>
      <c r="E732" s="57" t="str">
        <f>IF(CRM_MAGDY!G732="","BRAK TELEFONU",IF(CRM_MAGDY!K732="","BRAK KWOTY",IF(CRM_MAGDY!N732="","BRAK STATUSU",IF(CRM_MAGDY!C732="","BRAK DATY AKCJI",""))))</f>
        <v>BRAK TELEFONU</v>
      </c>
      <c r="F732" s="57" t="str">
        <f>CRM_MAGDY!W732</f>
        <v>BRAKI CRM</v>
      </c>
      <c r="G732" s="57">
        <f>CRM_MAGDY!K732</f>
        <v>0</v>
      </c>
      <c r="H732" s="57">
        <f>CRM_MAGDY!N732</f>
        <v>0</v>
      </c>
    </row>
    <row r="733" spans="1:8" ht="30" x14ac:dyDescent="0.25">
      <c r="A733" s="57">
        <f>CRM_MAGDY!H733</f>
        <v>6169</v>
      </c>
      <c r="B733" s="57">
        <f>CRM_MAGDY!I733</f>
        <v>0</v>
      </c>
      <c r="C733" s="57">
        <f>CRM_MAGDY!E733</f>
        <v>0</v>
      </c>
      <c r="D733" s="57">
        <f>CRM_MAGDY!V733</f>
        <v>0</v>
      </c>
      <c r="E733" s="57" t="str">
        <f>IF(CRM_MAGDY!G733="","BRAK TELEFONU",IF(CRM_MAGDY!K733="","BRAK KWOTY",IF(CRM_MAGDY!N733="","BRAK STATUSU",IF(CRM_MAGDY!C733="","BRAK DATY AKCJI",""))))</f>
        <v>BRAK TELEFONU</v>
      </c>
      <c r="F733" s="57" t="str">
        <f>CRM_MAGDY!W733</f>
        <v>BRAKI CRM</v>
      </c>
      <c r="G733" s="57">
        <f>CRM_MAGDY!K733</f>
        <v>0</v>
      </c>
      <c r="H733" s="57">
        <f>CRM_MAGDY!N733</f>
        <v>0</v>
      </c>
    </row>
    <row r="734" spans="1:8" ht="30" x14ac:dyDescent="0.25">
      <c r="A734" s="57">
        <f>CRM_MAGDY!H734</f>
        <v>6170</v>
      </c>
      <c r="B734" s="57">
        <f>CRM_MAGDY!I734</f>
        <v>0</v>
      </c>
      <c r="C734" s="57">
        <f>CRM_MAGDY!E734</f>
        <v>0</v>
      </c>
      <c r="D734" s="57">
        <f>CRM_MAGDY!V734</f>
        <v>0</v>
      </c>
      <c r="E734" s="57" t="str">
        <f>IF(CRM_MAGDY!G734="","BRAK TELEFONU",IF(CRM_MAGDY!K734="","BRAK KWOTY",IF(CRM_MAGDY!N734="","BRAK STATUSU",IF(CRM_MAGDY!C734="","BRAK DATY AKCJI",""))))</f>
        <v>BRAK TELEFONU</v>
      </c>
      <c r="F734" s="57" t="str">
        <f>CRM_MAGDY!W734</f>
        <v>BRAKI CRM</v>
      </c>
      <c r="G734" s="57">
        <f>CRM_MAGDY!K734</f>
        <v>0</v>
      </c>
      <c r="H734" s="57">
        <f>CRM_MAGDY!N734</f>
        <v>0</v>
      </c>
    </row>
    <row r="735" spans="1:8" ht="30" x14ac:dyDescent="0.25">
      <c r="A735" s="57">
        <f>CRM_MAGDY!H735</f>
        <v>6171</v>
      </c>
      <c r="B735" s="57">
        <f>CRM_MAGDY!I735</f>
        <v>0</v>
      </c>
      <c r="C735" s="57">
        <f>CRM_MAGDY!E735</f>
        <v>0</v>
      </c>
      <c r="D735" s="57">
        <f>CRM_MAGDY!V735</f>
        <v>0</v>
      </c>
      <c r="E735" s="57" t="str">
        <f>IF(CRM_MAGDY!G735="","BRAK TELEFONU",IF(CRM_MAGDY!K735="","BRAK KWOTY",IF(CRM_MAGDY!N735="","BRAK STATUSU",IF(CRM_MAGDY!C735="","BRAK DATY AKCJI",""))))</f>
        <v>BRAK TELEFONU</v>
      </c>
      <c r="F735" s="57" t="str">
        <f>CRM_MAGDY!W735</f>
        <v>BRAKI CRM</v>
      </c>
      <c r="G735" s="57">
        <f>CRM_MAGDY!K735</f>
        <v>0</v>
      </c>
      <c r="H735" s="57">
        <f>CRM_MAGDY!N735</f>
        <v>0</v>
      </c>
    </row>
    <row r="736" spans="1:8" ht="30" x14ac:dyDescent="0.25">
      <c r="A736" s="57">
        <f>CRM_MAGDY!H736</f>
        <v>6172</v>
      </c>
      <c r="B736" s="57">
        <f>CRM_MAGDY!I736</f>
        <v>0</v>
      </c>
      <c r="C736" s="57">
        <f>CRM_MAGDY!E736</f>
        <v>0</v>
      </c>
      <c r="D736" s="57">
        <f>CRM_MAGDY!V736</f>
        <v>0</v>
      </c>
      <c r="E736" s="57" t="str">
        <f>IF(CRM_MAGDY!G736="","BRAK TELEFONU",IF(CRM_MAGDY!K736="","BRAK KWOTY",IF(CRM_MAGDY!N736="","BRAK STATUSU",IF(CRM_MAGDY!C736="","BRAK DATY AKCJI",""))))</f>
        <v>BRAK TELEFONU</v>
      </c>
      <c r="F736" s="57" t="str">
        <f>CRM_MAGDY!W736</f>
        <v>BRAKI CRM</v>
      </c>
      <c r="G736" s="57">
        <f>CRM_MAGDY!K736</f>
        <v>0</v>
      </c>
      <c r="H736" s="57">
        <f>CRM_MAGDY!N736</f>
        <v>0</v>
      </c>
    </row>
    <row r="737" spans="1:8" ht="30" x14ac:dyDescent="0.25">
      <c r="A737" s="57">
        <f>CRM_MAGDY!H737</f>
        <v>6173</v>
      </c>
      <c r="B737" s="57">
        <f>CRM_MAGDY!I737</f>
        <v>0</v>
      </c>
      <c r="C737" s="57">
        <f>CRM_MAGDY!E737</f>
        <v>0</v>
      </c>
      <c r="D737" s="57">
        <f>CRM_MAGDY!V737</f>
        <v>0</v>
      </c>
      <c r="E737" s="57" t="str">
        <f>IF(CRM_MAGDY!G737="","BRAK TELEFONU",IF(CRM_MAGDY!K737="","BRAK KWOTY",IF(CRM_MAGDY!N737="","BRAK STATUSU",IF(CRM_MAGDY!C737="","BRAK DATY AKCJI",""))))</f>
        <v>BRAK TELEFONU</v>
      </c>
      <c r="F737" s="57" t="str">
        <f>CRM_MAGDY!W737</f>
        <v>BRAKI CRM</v>
      </c>
      <c r="G737" s="57">
        <f>CRM_MAGDY!K737</f>
        <v>0</v>
      </c>
      <c r="H737" s="57">
        <f>CRM_MAGDY!N737</f>
        <v>0</v>
      </c>
    </row>
    <row r="738" spans="1:8" ht="30" x14ac:dyDescent="0.25">
      <c r="A738" s="57">
        <f>CRM_MAGDY!H738</f>
        <v>6174</v>
      </c>
      <c r="B738" s="57">
        <f>CRM_MAGDY!I738</f>
        <v>0</v>
      </c>
      <c r="C738" s="57">
        <f>CRM_MAGDY!E738</f>
        <v>0</v>
      </c>
      <c r="D738" s="57">
        <f>CRM_MAGDY!V738</f>
        <v>0</v>
      </c>
      <c r="E738" s="57" t="str">
        <f>IF(CRM_MAGDY!G738="","BRAK TELEFONU",IF(CRM_MAGDY!K738="","BRAK KWOTY",IF(CRM_MAGDY!N738="","BRAK STATUSU",IF(CRM_MAGDY!C738="","BRAK DATY AKCJI",""))))</f>
        <v>BRAK TELEFONU</v>
      </c>
      <c r="F738" s="57" t="str">
        <f>CRM_MAGDY!W738</f>
        <v>BRAKI CRM</v>
      </c>
      <c r="G738" s="57">
        <f>CRM_MAGDY!K738</f>
        <v>0</v>
      </c>
      <c r="H738" s="57">
        <f>CRM_MAGDY!N738</f>
        <v>0</v>
      </c>
    </row>
    <row r="739" spans="1:8" ht="30" x14ac:dyDescent="0.25">
      <c r="A739" s="57">
        <f>CRM_MAGDY!H739</f>
        <v>6175</v>
      </c>
      <c r="B739" s="57">
        <f>CRM_MAGDY!I739</f>
        <v>0</v>
      </c>
      <c r="C739" s="57">
        <f>CRM_MAGDY!E739</f>
        <v>0</v>
      </c>
      <c r="D739" s="57">
        <f>CRM_MAGDY!V739</f>
        <v>0</v>
      </c>
      <c r="E739" s="57" t="str">
        <f>IF(CRM_MAGDY!G739="","BRAK TELEFONU",IF(CRM_MAGDY!K739="","BRAK KWOTY",IF(CRM_MAGDY!N739="","BRAK STATUSU",IF(CRM_MAGDY!C739="","BRAK DATY AKCJI",""))))</f>
        <v>BRAK TELEFONU</v>
      </c>
      <c r="F739" s="57" t="str">
        <f>CRM_MAGDY!W739</f>
        <v>BRAKI CRM</v>
      </c>
      <c r="G739" s="57">
        <f>CRM_MAGDY!K739</f>
        <v>0</v>
      </c>
      <c r="H739" s="57">
        <f>CRM_MAGDY!N739</f>
        <v>0</v>
      </c>
    </row>
    <row r="740" spans="1:8" ht="30" x14ac:dyDescent="0.25">
      <c r="A740" s="57">
        <f>CRM_MAGDY!H740</f>
        <v>6176</v>
      </c>
      <c r="B740" s="57">
        <f>CRM_MAGDY!I740</f>
        <v>0</v>
      </c>
      <c r="C740" s="57">
        <f>CRM_MAGDY!E740</f>
        <v>0</v>
      </c>
      <c r="D740" s="57">
        <f>CRM_MAGDY!V740</f>
        <v>0</v>
      </c>
      <c r="E740" s="57" t="str">
        <f>IF(CRM_MAGDY!G740="","BRAK TELEFONU",IF(CRM_MAGDY!K740="","BRAK KWOTY",IF(CRM_MAGDY!N740="","BRAK STATUSU",IF(CRM_MAGDY!C740="","BRAK DATY AKCJI",""))))</f>
        <v>BRAK TELEFONU</v>
      </c>
      <c r="F740" s="57" t="str">
        <f>CRM_MAGDY!W740</f>
        <v>BRAKI CRM</v>
      </c>
      <c r="G740" s="57">
        <f>CRM_MAGDY!K740</f>
        <v>0</v>
      </c>
      <c r="H740" s="57">
        <f>CRM_MAGDY!N740</f>
        <v>0</v>
      </c>
    </row>
    <row r="741" spans="1:8" ht="30" x14ac:dyDescent="0.25">
      <c r="A741" s="57">
        <f>CRM_MAGDY!H741</f>
        <v>6177</v>
      </c>
      <c r="B741" s="57">
        <f>CRM_MAGDY!I741</f>
        <v>0</v>
      </c>
      <c r="C741" s="57">
        <f>CRM_MAGDY!E741</f>
        <v>0</v>
      </c>
      <c r="D741" s="57">
        <f>CRM_MAGDY!V741</f>
        <v>0</v>
      </c>
      <c r="E741" s="57" t="str">
        <f>IF(CRM_MAGDY!G741="","BRAK TELEFONU",IF(CRM_MAGDY!K741="","BRAK KWOTY",IF(CRM_MAGDY!N741="","BRAK STATUSU",IF(CRM_MAGDY!C741="","BRAK DATY AKCJI",""))))</f>
        <v>BRAK TELEFONU</v>
      </c>
      <c r="F741" s="57" t="str">
        <f>CRM_MAGDY!W741</f>
        <v>BRAKI CRM</v>
      </c>
      <c r="G741" s="57">
        <f>CRM_MAGDY!K741</f>
        <v>0</v>
      </c>
      <c r="H741" s="57">
        <f>CRM_MAGDY!N741</f>
        <v>0</v>
      </c>
    </row>
    <row r="742" spans="1:8" ht="30" x14ac:dyDescent="0.25">
      <c r="A742" s="57">
        <f>CRM_MAGDY!H742</f>
        <v>6178</v>
      </c>
      <c r="B742" s="57">
        <f>CRM_MAGDY!I742</f>
        <v>0</v>
      </c>
      <c r="C742" s="57">
        <f>CRM_MAGDY!E742</f>
        <v>0</v>
      </c>
      <c r="D742" s="57">
        <f>CRM_MAGDY!V742</f>
        <v>0</v>
      </c>
      <c r="E742" s="57" t="str">
        <f>IF(CRM_MAGDY!G742="","BRAK TELEFONU",IF(CRM_MAGDY!K742="","BRAK KWOTY",IF(CRM_MAGDY!N742="","BRAK STATUSU",IF(CRM_MAGDY!C742="","BRAK DATY AKCJI",""))))</f>
        <v>BRAK TELEFONU</v>
      </c>
      <c r="F742" s="57" t="str">
        <f>CRM_MAGDY!W742</f>
        <v>BRAKI CRM</v>
      </c>
      <c r="G742" s="57">
        <f>CRM_MAGDY!K742</f>
        <v>0</v>
      </c>
      <c r="H742" s="57">
        <f>CRM_MAGDY!N742</f>
        <v>0</v>
      </c>
    </row>
    <row r="743" spans="1:8" ht="30" x14ac:dyDescent="0.25">
      <c r="A743" s="57">
        <f>CRM_MAGDY!H743</f>
        <v>6179</v>
      </c>
      <c r="B743" s="57">
        <f>CRM_MAGDY!I743</f>
        <v>0</v>
      </c>
      <c r="C743" s="57">
        <f>CRM_MAGDY!E743</f>
        <v>0</v>
      </c>
      <c r="D743" s="57">
        <f>CRM_MAGDY!V743</f>
        <v>0</v>
      </c>
      <c r="E743" s="57" t="str">
        <f>IF(CRM_MAGDY!G743="","BRAK TELEFONU",IF(CRM_MAGDY!K743="","BRAK KWOTY",IF(CRM_MAGDY!N743="","BRAK STATUSU",IF(CRM_MAGDY!C743="","BRAK DATY AKCJI",""))))</f>
        <v>BRAK TELEFONU</v>
      </c>
      <c r="F743" s="57" t="str">
        <f>CRM_MAGDY!W743</f>
        <v>BRAKI CRM</v>
      </c>
      <c r="G743" s="57">
        <f>CRM_MAGDY!K743</f>
        <v>0</v>
      </c>
      <c r="H743" s="57">
        <f>CRM_MAGDY!N743</f>
        <v>0</v>
      </c>
    </row>
    <row r="744" spans="1:8" ht="30" x14ac:dyDescent="0.25">
      <c r="A744" s="57">
        <f>CRM_MAGDY!H744</f>
        <v>6180</v>
      </c>
      <c r="B744" s="57">
        <f>CRM_MAGDY!I744</f>
        <v>0</v>
      </c>
      <c r="C744" s="57">
        <f>CRM_MAGDY!E744</f>
        <v>0</v>
      </c>
      <c r="D744" s="57">
        <f>CRM_MAGDY!V744</f>
        <v>0</v>
      </c>
      <c r="E744" s="57" t="str">
        <f>IF(CRM_MAGDY!G744="","BRAK TELEFONU",IF(CRM_MAGDY!K744="","BRAK KWOTY",IF(CRM_MAGDY!N744="","BRAK STATUSU",IF(CRM_MAGDY!C744="","BRAK DATY AKCJI",""))))</f>
        <v>BRAK TELEFONU</v>
      </c>
      <c r="F744" s="57" t="str">
        <f>CRM_MAGDY!W744</f>
        <v>BRAKI CRM</v>
      </c>
      <c r="G744" s="57">
        <f>CRM_MAGDY!K744</f>
        <v>0</v>
      </c>
      <c r="H744" s="57">
        <f>CRM_MAGDY!N744</f>
        <v>0</v>
      </c>
    </row>
    <row r="745" spans="1:8" ht="30" x14ac:dyDescent="0.25">
      <c r="A745" s="57">
        <f>CRM_MAGDY!H745</f>
        <v>6181</v>
      </c>
      <c r="B745" s="57">
        <f>CRM_MAGDY!I745</f>
        <v>0</v>
      </c>
      <c r="C745" s="57">
        <f>CRM_MAGDY!E745</f>
        <v>0</v>
      </c>
      <c r="D745" s="57">
        <f>CRM_MAGDY!V745</f>
        <v>0</v>
      </c>
      <c r="E745" s="57" t="str">
        <f>IF(CRM_MAGDY!G745="","BRAK TELEFONU",IF(CRM_MAGDY!K745="","BRAK KWOTY",IF(CRM_MAGDY!N745="","BRAK STATUSU",IF(CRM_MAGDY!C745="","BRAK DATY AKCJI",""))))</f>
        <v>BRAK TELEFONU</v>
      </c>
      <c r="F745" s="57" t="str">
        <f>CRM_MAGDY!W745</f>
        <v>BRAKI CRM</v>
      </c>
      <c r="G745" s="57">
        <f>CRM_MAGDY!K745</f>
        <v>0</v>
      </c>
      <c r="H745" s="57">
        <f>CRM_MAGDY!N745</f>
        <v>0</v>
      </c>
    </row>
    <row r="746" spans="1:8" ht="30" x14ac:dyDescent="0.25">
      <c r="A746" s="57">
        <f>CRM_MAGDY!H746</f>
        <v>6182</v>
      </c>
      <c r="B746" s="57">
        <f>CRM_MAGDY!I746</f>
        <v>0</v>
      </c>
      <c r="C746" s="57">
        <f>CRM_MAGDY!E746</f>
        <v>0</v>
      </c>
      <c r="D746" s="57">
        <f>CRM_MAGDY!V746</f>
        <v>0</v>
      </c>
      <c r="E746" s="57" t="str">
        <f>IF(CRM_MAGDY!G746="","BRAK TELEFONU",IF(CRM_MAGDY!K746="","BRAK KWOTY",IF(CRM_MAGDY!N746="","BRAK STATUSU",IF(CRM_MAGDY!C746="","BRAK DATY AKCJI",""))))</f>
        <v>BRAK TELEFONU</v>
      </c>
      <c r="F746" s="57" t="str">
        <f>CRM_MAGDY!W746</f>
        <v>BRAKI CRM</v>
      </c>
      <c r="G746" s="57">
        <f>CRM_MAGDY!K746</f>
        <v>0</v>
      </c>
      <c r="H746" s="57">
        <f>CRM_MAGDY!N746</f>
        <v>0</v>
      </c>
    </row>
    <row r="747" spans="1:8" ht="30" x14ac:dyDescent="0.25">
      <c r="A747" s="57">
        <f>CRM_MAGDY!H747</f>
        <v>6183</v>
      </c>
      <c r="B747" s="57">
        <f>CRM_MAGDY!I747</f>
        <v>0</v>
      </c>
      <c r="C747" s="57">
        <f>CRM_MAGDY!E747</f>
        <v>0</v>
      </c>
      <c r="D747" s="57">
        <f>CRM_MAGDY!V747</f>
        <v>0</v>
      </c>
      <c r="E747" s="57" t="str">
        <f>IF(CRM_MAGDY!G747="","BRAK TELEFONU",IF(CRM_MAGDY!K747="","BRAK KWOTY",IF(CRM_MAGDY!N747="","BRAK STATUSU",IF(CRM_MAGDY!C747="","BRAK DATY AKCJI",""))))</f>
        <v>BRAK TELEFONU</v>
      </c>
      <c r="F747" s="57" t="str">
        <f>CRM_MAGDY!W747</f>
        <v>BRAKI CRM</v>
      </c>
      <c r="G747" s="57">
        <f>CRM_MAGDY!K747</f>
        <v>0</v>
      </c>
      <c r="H747" s="57">
        <f>CRM_MAGDY!N747</f>
        <v>0</v>
      </c>
    </row>
    <row r="748" spans="1:8" ht="30" x14ac:dyDescent="0.25">
      <c r="A748" s="57">
        <f>CRM_MAGDY!H748</f>
        <v>6184</v>
      </c>
      <c r="B748" s="57">
        <f>CRM_MAGDY!I748</f>
        <v>0</v>
      </c>
      <c r="C748" s="57">
        <f>CRM_MAGDY!E748</f>
        <v>0</v>
      </c>
      <c r="D748" s="57">
        <f>CRM_MAGDY!V748</f>
        <v>0</v>
      </c>
      <c r="E748" s="57" t="str">
        <f>IF(CRM_MAGDY!G748="","BRAK TELEFONU",IF(CRM_MAGDY!K748="","BRAK KWOTY",IF(CRM_MAGDY!N748="","BRAK STATUSU",IF(CRM_MAGDY!C748="","BRAK DATY AKCJI",""))))</f>
        <v>BRAK TELEFONU</v>
      </c>
      <c r="F748" s="57" t="str">
        <f>CRM_MAGDY!W748</f>
        <v>BRAKI CRM</v>
      </c>
      <c r="G748" s="57">
        <f>CRM_MAGDY!K748</f>
        <v>0</v>
      </c>
      <c r="H748" s="57">
        <f>CRM_MAGDY!N748</f>
        <v>0</v>
      </c>
    </row>
    <row r="749" spans="1:8" ht="30" x14ac:dyDescent="0.25">
      <c r="A749" s="57">
        <f>CRM_MAGDY!H749</f>
        <v>6185</v>
      </c>
      <c r="B749" s="57">
        <f>CRM_MAGDY!I749</f>
        <v>0</v>
      </c>
      <c r="C749" s="57">
        <f>CRM_MAGDY!E749</f>
        <v>0</v>
      </c>
      <c r="D749" s="57">
        <f>CRM_MAGDY!V749</f>
        <v>0</v>
      </c>
      <c r="E749" s="57" t="str">
        <f>IF(CRM_MAGDY!G749="","BRAK TELEFONU",IF(CRM_MAGDY!K749="","BRAK KWOTY",IF(CRM_MAGDY!N749="","BRAK STATUSU",IF(CRM_MAGDY!C749="","BRAK DATY AKCJI",""))))</f>
        <v>BRAK TELEFONU</v>
      </c>
      <c r="F749" s="57" t="str">
        <f>CRM_MAGDY!W749</f>
        <v>BRAKI CRM</v>
      </c>
      <c r="G749" s="57">
        <f>CRM_MAGDY!K749</f>
        <v>0</v>
      </c>
      <c r="H749" s="57">
        <f>CRM_MAGDY!N749</f>
        <v>0</v>
      </c>
    </row>
    <row r="750" spans="1:8" ht="30" x14ac:dyDescent="0.25">
      <c r="A750" s="57">
        <f>CRM_MAGDY!H750</f>
        <v>6186</v>
      </c>
      <c r="B750" s="57">
        <f>CRM_MAGDY!I750</f>
        <v>0</v>
      </c>
      <c r="C750" s="57">
        <f>CRM_MAGDY!E750</f>
        <v>0</v>
      </c>
      <c r="D750" s="57">
        <f>CRM_MAGDY!V750</f>
        <v>0</v>
      </c>
      <c r="E750" s="57" t="str">
        <f>IF(CRM_MAGDY!G750="","BRAK TELEFONU",IF(CRM_MAGDY!K750="","BRAK KWOTY",IF(CRM_MAGDY!N750="","BRAK STATUSU",IF(CRM_MAGDY!C750="","BRAK DATY AKCJI",""))))</f>
        <v>BRAK TELEFONU</v>
      </c>
      <c r="F750" s="57" t="str">
        <f>CRM_MAGDY!W750</f>
        <v>BRAKI CRM</v>
      </c>
      <c r="G750" s="57">
        <f>CRM_MAGDY!K750</f>
        <v>0</v>
      </c>
      <c r="H750" s="57">
        <f>CRM_MAGDY!N750</f>
        <v>0</v>
      </c>
    </row>
    <row r="751" spans="1:8" ht="30" x14ac:dyDescent="0.25">
      <c r="A751" s="57">
        <f>CRM_MAGDY!H751</f>
        <v>6187</v>
      </c>
      <c r="B751" s="57">
        <f>CRM_MAGDY!I751</f>
        <v>0</v>
      </c>
      <c r="C751" s="57">
        <f>CRM_MAGDY!E751</f>
        <v>0</v>
      </c>
      <c r="D751" s="57">
        <f>CRM_MAGDY!V751</f>
        <v>0</v>
      </c>
      <c r="E751" s="57" t="str">
        <f>IF(CRM_MAGDY!G751="","BRAK TELEFONU",IF(CRM_MAGDY!K751="","BRAK KWOTY",IF(CRM_MAGDY!N751="","BRAK STATUSU",IF(CRM_MAGDY!C751="","BRAK DATY AKCJI",""))))</f>
        <v>BRAK TELEFONU</v>
      </c>
      <c r="F751" s="57" t="str">
        <f>CRM_MAGDY!W751</f>
        <v>BRAKI CRM</v>
      </c>
      <c r="G751" s="57">
        <f>CRM_MAGDY!K751</f>
        <v>0</v>
      </c>
      <c r="H751" s="57">
        <f>CRM_MAGDY!N751</f>
        <v>0</v>
      </c>
    </row>
    <row r="752" spans="1:8" ht="30" x14ac:dyDescent="0.25">
      <c r="A752" s="57">
        <f>CRM_MAGDY!H752</f>
        <v>6188</v>
      </c>
      <c r="B752" s="57">
        <f>CRM_MAGDY!I752</f>
        <v>0</v>
      </c>
      <c r="C752" s="57">
        <f>CRM_MAGDY!E752</f>
        <v>0</v>
      </c>
      <c r="D752" s="57">
        <f>CRM_MAGDY!V752</f>
        <v>0</v>
      </c>
      <c r="E752" s="57" t="str">
        <f>IF(CRM_MAGDY!G752="","BRAK TELEFONU",IF(CRM_MAGDY!K752="","BRAK KWOTY",IF(CRM_MAGDY!N752="","BRAK STATUSU",IF(CRM_MAGDY!C752="","BRAK DATY AKCJI",""))))</f>
        <v>BRAK TELEFONU</v>
      </c>
      <c r="F752" s="57" t="str">
        <f>CRM_MAGDY!W752</f>
        <v>BRAKI CRM</v>
      </c>
      <c r="G752" s="57">
        <f>CRM_MAGDY!K752</f>
        <v>0</v>
      </c>
      <c r="H752" s="57">
        <f>CRM_MAGDY!N752</f>
        <v>0</v>
      </c>
    </row>
    <row r="753" spans="1:8" ht="30" x14ac:dyDescent="0.25">
      <c r="A753" s="57">
        <f>CRM_MAGDY!H753</f>
        <v>6189</v>
      </c>
      <c r="B753" s="57">
        <f>CRM_MAGDY!I753</f>
        <v>0</v>
      </c>
      <c r="C753" s="57">
        <f>CRM_MAGDY!E753</f>
        <v>0</v>
      </c>
      <c r="D753" s="57">
        <f>CRM_MAGDY!V753</f>
        <v>0</v>
      </c>
      <c r="E753" s="57" t="str">
        <f>IF(CRM_MAGDY!G753="","BRAK TELEFONU",IF(CRM_MAGDY!K753="","BRAK KWOTY",IF(CRM_MAGDY!N753="","BRAK STATUSU",IF(CRM_MAGDY!C753="","BRAK DATY AKCJI",""))))</f>
        <v>BRAK TELEFONU</v>
      </c>
      <c r="F753" s="57" t="str">
        <f>CRM_MAGDY!W753</f>
        <v>BRAKI CRM</v>
      </c>
      <c r="G753" s="57">
        <f>CRM_MAGDY!K753</f>
        <v>0</v>
      </c>
      <c r="H753" s="57">
        <f>CRM_MAGDY!N753</f>
        <v>0</v>
      </c>
    </row>
    <row r="754" spans="1:8" ht="30" x14ac:dyDescent="0.25">
      <c r="A754" s="57">
        <f>CRM_MAGDY!H754</f>
        <v>6190</v>
      </c>
      <c r="B754" s="57">
        <f>CRM_MAGDY!I754</f>
        <v>0</v>
      </c>
      <c r="C754" s="57">
        <f>CRM_MAGDY!E754</f>
        <v>0</v>
      </c>
      <c r="D754" s="57">
        <f>CRM_MAGDY!V754</f>
        <v>0</v>
      </c>
      <c r="E754" s="57" t="str">
        <f>IF(CRM_MAGDY!G754="","BRAK TELEFONU",IF(CRM_MAGDY!K754="","BRAK KWOTY",IF(CRM_MAGDY!N754="","BRAK STATUSU",IF(CRM_MAGDY!C754="","BRAK DATY AKCJI",""))))</f>
        <v>BRAK TELEFONU</v>
      </c>
      <c r="F754" s="57" t="str">
        <f>CRM_MAGDY!W754</f>
        <v>BRAKI CRM</v>
      </c>
      <c r="G754" s="57">
        <f>CRM_MAGDY!K754</f>
        <v>0</v>
      </c>
      <c r="H754" s="57">
        <f>CRM_MAGDY!N754</f>
        <v>0</v>
      </c>
    </row>
    <row r="755" spans="1:8" ht="30" x14ac:dyDescent="0.25">
      <c r="A755" s="57">
        <f>CRM_MAGDY!H755</f>
        <v>6191</v>
      </c>
      <c r="B755" s="57">
        <f>CRM_MAGDY!I755</f>
        <v>0</v>
      </c>
      <c r="C755" s="57">
        <f>CRM_MAGDY!E755</f>
        <v>0</v>
      </c>
      <c r="D755" s="57">
        <f>CRM_MAGDY!V755</f>
        <v>0</v>
      </c>
      <c r="E755" s="57" t="str">
        <f>IF(CRM_MAGDY!G755="","BRAK TELEFONU",IF(CRM_MAGDY!K755="","BRAK KWOTY",IF(CRM_MAGDY!N755="","BRAK STATUSU",IF(CRM_MAGDY!C755="","BRAK DATY AKCJI",""))))</f>
        <v>BRAK TELEFONU</v>
      </c>
      <c r="F755" s="57" t="str">
        <f>CRM_MAGDY!W755</f>
        <v>BRAKI CRM</v>
      </c>
      <c r="G755" s="57">
        <f>CRM_MAGDY!K755</f>
        <v>0</v>
      </c>
      <c r="H755" s="57">
        <f>CRM_MAGDY!N755</f>
        <v>0</v>
      </c>
    </row>
    <row r="756" spans="1:8" ht="30" x14ac:dyDescent="0.25">
      <c r="A756" s="57">
        <f>CRM_MAGDY!H756</f>
        <v>6192</v>
      </c>
      <c r="B756" s="57">
        <f>CRM_MAGDY!I756</f>
        <v>0</v>
      </c>
      <c r="C756" s="57">
        <f>CRM_MAGDY!E756</f>
        <v>0</v>
      </c>
      <c r="D756" s="57">
        <f>CRM_MAGDY!V756</f>
        <v>0</v>
      </c>
      <c r="E756" s="57" t="str">
        <f>IF(CRM_MAGDY!G756="","BRAK TELEFONU",IF(CRM_MAGDY!K756="","BRAK KWOTY",IF(CRM_MAGDY!N756="","BRAK STATUSU",IF(CRM_MAGDY!C756="","BRAK DATY AKCJI",""))))</f>
        <v>BRAK TELEFONU</v>
      </c>
      <c r="F756" s="57" t="str">
        <f>CRM_MAGDY!W756</f>
        <v>BRAKI CRM</v>
      </c>
      <c r="G756" s="57">
        <f>CRM_MAGDY!K756</f>
        <v>0</v>
      </c>
      <c r="H756" s="57">
        <f>CRM_MAGDY!N756</f>
        <v>0</v>
      </c>
    </row>
    <row r="757" spans="1:8" ht="30" x14ac:dyDescent="0.25">
      <c r="A757" s="57">
        <f>CRM_MAGDY!H757</f>
        <v>6193</v>
      </c>
      <c r="B757" s="57">
        <f>CRM_MAGDY!I757</f>
        <v>0</v>
      </c>
      <c r="C757" s="57">
        <f>CRM_MAGDY!E757</f>
        <v>0</v>
      </c>
      <c r="D757" s="57">
        <f>CRM_MAGDY!V757</f>
        <v>0</v>
      </c>
      <c r="E757" s="57" t="str">
        <f>IF(CRM_MAGDY!G757="","BRAK TELEFONU",IF(CRM_MAGDY!K757="","BRAK KWOTY",IF(CRM_MAGDY!N757="","BRAK STATUSU",IF(CRM_MAGDY!C757="","BRAK DATY AKCJI",""))))</f>
        <v>BRAK TELEFONU</v>
      </c>
      <c r="F757" s="57" t="str">
        <f>CRM_MAGDY!W757</f>
        <v>BRAKI CRM</v>
      </c>
      <c r="G757" s="57">
        <f>CRM_MAGDY!K757</f>
        <v>0</v>
      </c>
      <c r="H757" s="57">
        <f>CRM_MAGDY!N757</f>
        <v>0</v>
      </c>
    </row>
    <row r="758" spans="1:8" ht="30" x14ac:dyDescent="0.25">
      <c r="A758" s="57">
        <f>CRM_MAGDY!H758</f>
        <v>6194</v>
      </c>
      <c r="B758" s="57">
        <f>CRM_MAGDY!I758</f>
        <v>0</v>
      </c>
      <c r="C758" s="57">
        <f>CRM_MAGDY!E758</f>
        <v>0</v>
      </c>
      <c r="D758" s="57">
        <f>CRM_MAGDY!V758</f>
        <v>0</v>
      </c>
      <c r="E758" s="57" t="str">
        <f>IF(CRM_MAGDY!G758="","BRAK TELEFONU",IF(CRM_MAGDY!K758="","BRAK KWOTY",IF(CRM_MAGDY!N758="","BRAK STATUSU",IF(CRM_MAGDY!C758="","BRAK DATY AKCJI",""))))</f>
        <v>BRAK TELEFONU</v>
      </c>
      <c r="F758" s="57" t="str">
        <f>CRM_MAGDY!W758</f>
        <v>BRAKI CRM</v>
      </c>
      <c r="G758" s="57">
        <f>CRM_MAGDY!K758</f>
        <v>0</v>
      </c>
      <c r="H758" s="57">
        <f>CRM_MAGDY!N758</f>
        <v>0</v>
      </c>
    </row>
    <row r="759" spans="1:8" ht="30" x14ac:dyDescent="0.25">
      <c r="A759" s="57">
        <f>CRM_MAGDY!H759</f>
        <v>6195</v>
      </c>
      <c r="B759" s="57">
        <f>CRM_MAGDY!I759</f>
        <v>0</v>
      </c>
      <c r="C759" s="57">
        <f>CRM_MAGDY!E759</f>
        <v>0</v>
      </c>
      <c r="D759" s="57">
        <f>CRM_MAGDY!V759</f>
        <v>0</v>
      </c>
      <c r="E759" s="57" t="str">
        <f>IF(CRM_MAGDY!G759="","BRAK TELEFONU",IF(CRM_MAGDY!K759="","BRAK KWOTY",IF(CRM_MAGDY!N759="","BRAK STATUSU",IF(CRM_MAGDY!C759="","BRAK DATY AKCJI",""))))</f>
        <v>BRAK TELEFONU</v>
      </c>
      <c r="F759" s="57" t="str">
        <f>CRM_MAGDY!W759</f>
        <v>BRAKI CRM</v>
      </c>
      <c r="G759" s="57">
        <f>CRM_MAGDY!K759</f>
        <v>0</v>
      </c>
      <c r="H759" s="57">
        <f>CRM_MAGDY!N759</f>
        <v>0</v>
      </c>
    </row>
    <row r="760" spans="1:8" ht="30" x14ac:dyDescent="0.25">
      <c r="A760" s="57">
        <f>CRM_MAGDY!H760</f>
        <v>6196</v>
      </c>
      <c r="B760" s="57">
        <f>CRM_MAGDY!I760</f>
        <v>0</v>
      </c>
      <c r="C760" s="57">
        <f>CRM_MAGDY!E760</f>
        <v>0</v>
      </c>
      <c r="D760" s="57">
        <f>CRM_MAGDY!V760</f>
        <v>0</v>
      </c>
      <c r="E760" s="57" t="str">
        <f>IF(CRM_MAGDY!G760="","BRAK TELEFONU",IF(CRM_MAGDY!K760="","BRAK KWOTY",IF(CRM_MAGDY!N760="","BRAK STATUSU",IF(CRM_MAGDY!C760="","BRAK DATY AKCJI",""))))</f>
        <v>BRAK TELEFONU</v>
      </c>
      <c r="F760" s="57" t="str">
        <f>CRM_MAGDY!W760</f>
        <v>BRAKI CRM</v>
      </c>
      <c r="G760" s="57">
        <f>CRM_MAGDY!K760</f>
        <v>0</v>
      </c>
      <c r="H760" s="57">
        <f>CRM_MAGDY!N760</f>
        <v>0</v>
      </c>
    </row>
    <row r="761" spans="1:8" ht="30" x14ac:dyDescent="0.25">
      <c r="A761" s="57">
        <f>CRM_MAGDY!H761</f>
        <v>6197</v>
      </c>
      <c r="B761" s="57">
        <f>CRM_MAGDY!I761</f>
        <v>0</v>
      </c>
      <c r="C761" s="57">
        <f>CRM_MAGDY!E761</f>
        <v>0</v>
      </c>
      <c r="D761" s="57">
        <f>CRM_MAGDY!V761</f>
        <v>0</v>
      </c>
      <c r="E761" s="57" t="str">
        <f>IF(CRM_MAGDY!G761="","BRAK TELEFONU",IF(CRM_MAGDY!K761="","BRAK KWOTY",IF(CRM_MAGDY!N761="","BRAK STATUSU",IF(CRM_MAGDY!C761="","BRAK DATY AKCJI",""))))</f>
        <v>BRAK TELEFONU</v>
      </c>
      <c r="F761" s="57" t="str">
        <f>CRM_MAGDY!W761</f>
        <v>BRAKI CRM</v>
      </c>
      <c r="G761" s="57">
        <f>CRM_MAGDY!K761</f>
        <v>0</v>
      </c>
      <c r="H761" s="57">
        <f>CRM_MAGDY!N761</f>
        <v>0</v>
      </c>
    </row>
    <row r="762" spans="1:8" ht="30" x14ac:dyDescent="0.25">
      <c r="A762" s="57">
        <f>CRM_MAGDY!H762</f>
        <v>6198</v>
      </c>
      <c r="B762" s="57">
        <f>CRM_MAGDY!I762</f>
        <v>0</v>
      </c>
      <c r="C762" s="57">
        <f>CRM_MAGDY!E762</f>
        <v>0</v>
      </c>
      <c r="D762" s="57">
        <f>CRM_MAGDY!V762</f>
        <v>0</v>
      </c>
      <c r="E762" s="57" t="str">
        <f>IF(CRM_MAGDY!G762="","BRAK TELEFONU",IF(CRM_MAGDY!K762="","BRAK KWOTY",IF(CRM_MAGDY!N762="","BRAK STATUSU",IF(CRM_MAGDY!C762="","BRAK DATY AKCJI",""))))</f>
        <v>BRAK TELEFONU</v>
      </c>
      <c r="F762" s="57" t="str">
        <f>CRM_MAGDY!W762</f>
        <v>BRAKI CRM</v>
      </c>
      <c r="G762" s="57">
        <f>CRM_MAGDY!K762</f>
        <v>0</v>
      </c>
      <c r="H762" s="57">
        <f>CRM_MAGDY!N762</f>
        <v>0</v>
      </c>
    </row>
    <row r="763" spans="1:8" ht="30" x14ac:dyDescent="0.25">
      <c r="A763" s="57">
        <f>CRM_MAGDY!H763</f>
        <v>6199</v>
      </c>
      <c r="B763" s="57">
        <f>CRM_MAGDY!I763</f>
        <v>0</v>
      </c>
      <c r="C763" s="57">
        <f>CRM_MAGDY!E763</f>
        <v>0</v>
      </c>
      <c r="D763" s="57">
        <f>CRM_MAGDY!V763</f>
        <v>0</v>
      </c>
      <c r="E763" s="57" t="str">
        <f>IF(CRM_MAGDY!G763="","BRAK TELEFONU",IF(CRM_MAGDY!K763="","BRAK KWOTY",IF(CRM_MAGDY!N763="","BRAK STATUSU",IF(CRM_MAGDY!C763="","BRAK DATY AKCJI",""))))</f>
        <v>BRAK TELEFONU</v>
      </c>
      <c r="F763" s="57" t="str">
        <f>CRM_MAGDY!W763</f>
        <v>BRAKI CRM</v>
      </c>
      <c r="G763" s="57">
        <f>CRM_MAGDY!K763</f>
        <v>0</v>
      </c>
      <c r="H763" s="57">
        <f>CRM_MAGDY!N763</f>
        <v>0</v>
      </c>
    </row>
    <row r="764" spans="1:8" ht="30" x14ac:dyDescent="0.25">
      <c r="A764" s="57">
        <f>CRM_MAGDY!H764</f>
        <v>6200</v>
      </c>
      <c r="B764" s="57">
        <f>CRM_MAGDY!I764</f>
        <v>0</v>
      </c>
      <c r="C764" s="57">
        <f>CRM_MAGDY!E764</f>
        <v>0</v>
      </c>
      <c r="D764" s="57">
        <f>CRM_MAGDY!V764</f>
        <v>0</v>
      </c>
      <c r="E764" s="57" t="str">
        <f>IF(CRM_MAGDY!G764="","BRAK TELEFONU",IF(CRM_MAGDY!K764="","BRAK KWOTY",IF(CRM_MAGDY!N764="","BRAK STATUSU",IF(CRM_MAGDY!C764="","BRAK DATY AKCJI",""))))</f>
        <v>BRAK TELEFONU</v>
      </c>
      <c r="F764" s="57" t="str">
        <f>CRM_MAGDY!W764</f>
        <v>BRAKI CRM</v>
      </c>
      <c r="G764" s="57">
        <f>CRM_MAGDY!K764</f>
        <v>0</v>
      </c>
      <c r="H764" s="57">
        <f>CRM_MAGDY!N764</f>
        <v>0</v>
      </c>
    </row>
    <row r="765" spans="1:8" ht="30" x14ac:dyDescent="0.25">
      <c r="A765" s="57">
        <f>CRM_MAGDY!H765</f>
        <v>6201</v>
      </c>
      <c r="B765" s="57">
        <f>CRM_MAGDY!I765</f>
        <v>0</v>
      </c>
      <c r="C765" s="57">
        <f>CRM_MAGDY!E765</f>
        <v>0</v>
      </c>
      <c r="D765" s="57">
        <f>CRM_MAGDY!V765</f>
        <v>0</v>
      </c>
      <c r="E765" s="57" t="str">
        <f>IF(CRM_MAGDY!G765="","BRAK TELEFONU",IF(CRM_MAGDY!K765="","BRAK KWOTY",IF(CRM_MAGDY!N765="","BRAK STATUSU",IF(CRM_MAGDY!C765="","BRAK DATY AKCJI",""))))</f>
        <v>BRAK TELEFONU</v>
      </c>
      <c r="F765" s="57" t="str">
        <f>CRM_MAGDY!W765</f>
        <v>BRAKI CRM</v>
      </c>
      <c r="G765" s="57">
        <f>CRM_MAGDY!K765</f>
        <v>0</v>
      </c>
      <c r="H765" s="57">
        <f>CRM_MAGDY!N765</f>
        <v>0</v>
      </c>
    </row>
    <row r="766" spans="1:8" ht="30" x14ac:dyDescent="0.25">
      <c r="A766" s="57">
        <f>CRM_MAGDY!H766</f>
        <v>6202</v>
      </c>
      <c r="B766" s="57">
        <f>CRM_MAGDY!I766</f>
        <v>0</v>
      </c>
      <c r="C766" s="57">
        <f>CRM_MAGDY!E766</f>
        <v>0</v>
      </c>
      <c r="D766" s="57">
        <f>CRM_MAGDY!V766</f>
        <v>0</v>
      </c>
      <c r="E766" s="57" t="str">
        <f>IF(CRM_MAGDY!G766="","BRAK TELEFONU",IF(CRM_MAGDY!K766="","BRAK KWOTY",IF(CRM_MAGDY!N766="","BRAK STATUSU",IF(CRM_MAGDY!C766="","BRAK DATY AKCJI",""))))</f>
        <v>BRAK TELEFONU</v>
      </c>
      <c r="F766" s="57" t="str">
        <f>CRM_MAGDY!W766</f>
        <v>BRAKI CRM</v>
      </c>
      <c r="G766" s="57">
        <f>CRM_MAGDY!K766</f>
        <v>0</v>
      </c>
      <c r="H766" s="57">
        <f>CRM_MAGDY!N766</f>
        <v>0</v>
      </c>
    </row>
    <row r="767" spans="1:8" ht="30" x14ac:dyDescent="0.25">
      <c r="A767" s="57">
        <f>CRM_MAGDY!H767</f>
        <v>6203</v>
      </c>
      <c r="B767" s="57">
        <f>CRM_MAGDY!I767</f>
        <v>0</v>
      </c>
      <c r="C767" s="57">
        <f>CRM_MAGDY!E767</f>
        <v>0</v>
      </c>
      <c r="D767" s="57">
        <f>CRM_MAGDY!V767</f>
        <v>0</v>
      </c>
      <c r="E767" s="57" t="str">
        <f>IF(CRM_MAGDY!G767="","BRAK TELEFONU",IF(CRM_MAGDY!K767="","BRAK KWOTY",IF(CRM_MAGDY!N767="","BRAK STATUSU",IF(CRM_MAGDY!C767="","BRAK DATY AKCJI",""))))</f>
        <v>BRAK TELEFONU</v>
      </c>
      <c r="F767" s="57" t="str">
        <f>CRM_MAGDY!W767</f>
        <v>BRAKI CRM</v>
      </c>
      <c r="G767" s="57">
        <f>CRM_MAGDY!K767</f>
        <v>0</v>
      </c>
      <c r="H767" s="57">
        <f>CRM_MAGDY!N767</f>
        <v>0</v>
      </c>
    </row>
    <row r="768" spans="1:8" ht="30" x14ac:dyDescent="0.25">
      <c r="A768" s="57">
        <f>CRM_MAGDY!H768</f>
        <v>6204</v>
      </c>
      <c r="B768" s="57">
        <f>CRM_MAGDY!I768</f>
        <v>0</v>
      </c>
      <c r="C768" s="57">
        <f>CRM_MAGDY!E768</f>
        <v>0</v>
      </c>
      <c r="D768" s="57">
        <f>CRM_MAGDY!V768</f>
        <v>0</v>
      </c>
      <c r="E768" s="57" t="str">
        <f>IF(CRM_MAGDY!G768="","BRAK TELEFONU",IF(CRM_MAGDY!K768="","BRAK KWOTY",IF(CRM_MAGDY!N768="","BRAK STATUSU",IF(CRM_MAGDY!C768="","BRAK DATY AKCJI",""))))</f>
        <v>BRAK TELEFONU</v>
      </c>
      <c r="F768" s="57" t="str">
        <f>CRM_MAGDY!W768</f>
        <v>BRAKI CRM</v>
      </c>
      <c r="G768" s="57">
        <f>CRM_MAGDY!K768</f>
        <v>0</v>
      </c>
      <c r="H768" s="57">
        <f>CRM_MAGDY!N768</f>
        <v>0</v>
      </c>
    </row>
    <row r="769" spans="1:8" ht="30" x14ac:dyDescent="0.25">
      <c r="A769" s="57">
        <f>CRM_MAGDY!H769</f>
        <v>6205</v>
      </c>
      <c r="B769" s="57">
        <f>CRM_MAGDY!I769</f>
        <v>0</v>
      </c>
      <c r="C769" s="57">
        <f>CRM_MAGDY!E769</f>
        <v>0</v>
      </c>
      <c r="D769" s="57">
        <f>CRM_MAGDY!V769</f>
        <v>0</v>
      </c>
      <c r="E769" s="57" t="str">
        <f>IF(CRM_MAGDY!G769="","BRAK TELEFONU",IF(CRM_MAGDY!K769="","BRAK KWOTY",IF(CRM_MAGDY!N769="","BRAK STATUSU",IF(CRM_MAGDY!C769="","BRAK DATY AKCJI",""))))</f>
        <v>BRAK TELEFONU</v>
      </c>
      <c r="F769" s="57" t="str">
        <f>CRM_MAGDY!W769</f>
        <v>BRAKI CRM</v>
      </c>
      <c r="G769" s="57">
        <f>CRM_MAGDY!K769</f>
        <v>0</v>
      </c>
      <c r="H769" s="57">
        <f>CRM_MAGDY!N769</f>
        <v>0</v>
      </c>
    </row>
    <row r="770" spans="1:8" ht="30" x14ac:dyDescent="0.25">
      <c r="A770" s="57">
        <f>CRM_MAGDY!H770</f>
        <v>6206</v>
      </c>
      <c r="B770" s="57">
        <f>CRM_MAGDY!I770</f>
        <v>0</v>
      </c>
      <c r="C770" s="57">
        <f>CRM_MAGDY!E770</f>
        <v>0</v>
      </c>
      <c r="D770" s="57">
        <f>CRM_MAGDY!V770</f>
        <v>0</v>
      </c>
      <c r="E770" s="57" t="str">
        <f>IF(CRM_MAGDY!G770="","BRAK TELEFONU",IF(CRM_MAGDY!K770="","BRAK KWOTY",IF(CRM_MAGDY!N770="","BRAK STATUSU",IF(CRM_MAGDY!C770="","BRAK DATY AKCJI",""))))</f>
        <v>BRAK TELEFONU</v>
      </c>
      <c r="F770" s="57" t="str">
        <f>CRM_MAGDY!W770</f>
        <v>BRAKI CRM</v>
      </c>
      <c r="G770" s="57">
        <f>CRM_MAGDY!K770</f>
        <v>0</v>
      </c>
      <c r="H770" s="57">
        <f>CRM_MAGDY!N770</f>
        <v>0</v>
      </c>
    </row>
    <row r="771" spans="1:8" ht="30" x14ac:dyDescent="0.25">
      <c r="A771" s="57">
        <f>CRM_MAGDY!H771</f>
        <v>6207</v>
      </c>
      <c r="B771" s="57">
        <f>CRM_MAGDY!I771</f>
        <v>0</v>
      </c>
      <c r="C771" s="57">
        <f>CRM_MAGDY!E771</f>
        <v>0</v>
      </c>
      <c r="D771" s="57">
        <f>CRM_MAGDY!V771</f>
        <v>0</v>
      </c>
      <c r="E771" s="57" t="str">
        <f>IF(CRM_MAGDY!G771="","BRAK TELEFONU",IF(CRM_MAGDY!K771="","BRAK KWOTY",IF(CRM_MAGDY!N771="","BRAK STATUSU",IF(CRM_MAGDY!C771="","BRAK DATY AKCJI",""))))</f>
        <v>BRAK TELEFONU</v>
      </c>
      <c r="F771" s="57" t="str">
        <f>CRM_MAGDY!W771</f>
        <v>BRAKI CRM</v>
      </c>
      <c r="G771" s="57">
        <f>CRM_MAGDY!K771</f>
        <v>0</v>
      </c>
      <c r="H771" s="57">
        <f>CRM_MAGDY!N771</f>
        <v>0</v>
      </c>
    </row>
    <row r="772" spans="1:8" ht="30" x14ac:dyDescent="0.25">
      <c r="A772" s="57">
        <f>CRM_MAGDY!H772</f>
        <v>6208</v>
      </c>
      <c r="B772" s="57">
        <f>CRM_MAGDY!I772</f>
        <v>0</v>
      </c>
      <c r="C772" s="57">
        <f>CRM_MAGDY!E772</f>
        <v>0</v>
      </c>
      <c r="D772" s="57">
        <f>CRM_MAGDY!V772</f>
        <v>0</v>
      </c>
      <c r="E772" s="57" t="str">
        <f>IF(CRM_MAGDY!G772="","BRAK TELEFONU",IF(CRM_MAGDY!K772="","BRAK KWOTY",IF(CRM_MAGDY!N772="","BRAK STATUSU",IF(CRM_MAGDY!C772="","BRAK DATY AKCJI",""))))</f>
        <v>BRAK TELEFONU</v>
      </c>
      <c r="F772" s="57" t="str">
        <f>CRM_MAGDY!W772</f>
        <v>BRAKI CRM</v>
      </c>
      <c r="G772" s="57">
        <f>CRM_MAGDY!K772</f>
        <v>0</v>
      </c>
      <c r="H772" s="57">
        <f>CRM_MAGDY!N772</f>
        <v>0</v>
      </c>
    </row>
    <row r="773" spans="1:8" ht="30" x14ac:dyDescent="0.25">
      <c r="A773" s="57">
        <f>CRM_MAGDY!H773</f>
        <v>6209</v>
      </c>
      <c r="B773" s="57">
        <f>CRM_MAGDY!I773</f>
        <v>0</v>
      </c>
      <c r="C773" s="57">
        <f>CRM_MAGDY!E773</f>
        <v>0</v>
      </c>
      <c r="D773" s="57">
        <f>CRM_MAGDY!V773</f>
        <v>0</v>
      </c>
      <c r="E773" s="57" t="str">
        <f>IF(CRM_MAGDY!G773="","BRAK TELEFONU",IF(CRM_MAGDY!K773="","BRAK KWOTY",IF(CRM_MAGDY!N773="","BRAK STATUSU",IF(CRM_MAGDY!C773="","BRAK DATY AKCJI",""))))</f>
        <v>BRAK TELEFONU</v>
      </c>
      <c r="F773" s="57" t="str">
        <f>CRM_MAGDY!W773</f>
        <v>BRAKI CRM</v>
      </c>
      <c r="G773" s="57">
        <f>CRM_MAGDY!K773</f>
        <v>0</v>
      </c>
      <c r="H773" s="57">
        <f>CRM_MAGDY!N773</f>
        <v>0</v>
      </c>
    </row>
    <row r="774" spans="1:8" ht="30" x14ac:dyDescent="0.25">
      <c r="A774" s="57">
        <f>CRM_MAGDY!H774</f>
        <v>6210</v>
      </c>
      <c r="B774" s="57">
        <f>CRM_MAGDY!I774</f>
        <v>0</v>
      </c>
      <c r="C774" s="57">
        <f>CRM_MAGDY!E774</f>
        <v>0</v>
      </c>
      <c r="D774" s="57">
        <f>CRM_MAGDY!V774</f>
        <v>0</v>
      </c>
      <c r="E774" s="57" t="str">
        <f>IF(CRM_MAGDY!G774="","BRAK TELEFONU",IF(CRM_MAGDY!K774="","BRAK KWOTY",IF(CRM_MAGDY!N774="","BRAK STATUSU",IF(CRM_MAGDY!C774="","BRAK DATY AKCJI",""))))</f>
        <v>BRAK TELEFONU</v>
      </c>
      <c r="F774" s="57" t="str">
        <f>CRM_MAGDY!W774</f>
        <v>BRAKI CRM</v>
      </c>
      <c r="G774" s="57">
        <f>CRM_MAGDY!K774</f>
        <v>0</v>
      </c>
      <c r="H774" s="57">
        <f>CRM_MAGDY!N774</f>
        <v>0</v>
      </c>
    </row>
    <row r="775" spans="1:8" ht="30" x14ac:dyDescent="0.25">
      <c r="A775" s="57">
        <f>CRM_MAGDY!H775</f>
        <v>6211</v>
      </c>
      <c r="B775" s="57">
        <f>CRM_MAGDY!I775</f>
        <v>0</v>
      </c>
      <c r="C775" s="57">
        <f>CRM_MAGDY!E775</f>
        <v>0</v>
      </c>
      <c r="D775" s="57">
        <f>CRM_MAGDY!V775</f>
        <v>0</v>
      </c>
      <c r="E775" s="57" t="str">
        <f>IF(CRM_MAGDY!G775="","BRAK TELEFONU",IF(CRM_MAGDY!K775="","BRAK KWOTY",IF(CRM_MAGDY!N775="","BRAK STATUSU",IF(CRM_MAGDY!C775="","BRAK DATY AKCJI",""))))</f>
        <v>BRAK TELEFONU</v>
      </c>
      <c r="F775" s="57" t="str">
        <f>CRM_MAGDY!W775</f>
        <v>BRAKI CRM</v>
      </c>
      <c r="G775" s="57">
        <f>CRM_MAGDY!K775</f>
        <v>0</v>
      </c>
      <c r="H775" s="57">
        <f>CRM_MAGDY!N775</f>
        <v>0</v>
      </c>
    </row>
    <row r="776" spans="1:8" ht="30" x14ac:dyDescent="0.25">
      <c r="A776" s="57">
        <f>CRM_MAGDY!H776</f>
        <v>6212</v>
      </c>
      <c r="B776" s="57">
        <f>CRM_MAGDY!I776</f>
        <v>0</v>
      </c>
      <c r="C776" s="57">
        <f>CRM_MAGDY!E776</f>
        <v>0</v>
      </c>
      <c r="D776" s="57">
        <f>CRM_MAGDY!V776</f>
        <v>0</v>
      </c>
      <c r="E776" s="57" t="str">
        <f>IF(CRM_MAGDY!G776="","BRAK TELEFONU",IF(CRM_MAGDY!K776="","BRAK KWOTY",IF(CRM_MAGDY!N776="","BRAK STATUSU",IF(CRM_MAGDY!C776="","BRAK DATY AKCJI",""))))</f>
        <v>BRAK TELEFONU</v>
      </c>
      <c r="F776" s="57" t="str">
        <f>CRM_MAGDY!W776</f>
        <v>BRAKI CRM</v>
      </c>
      <c r="G776" s="57">
        <f>CRM_MAGDY!K776</f>
        <v>0</v>
      </c>
      <c r="H776" s="57">
        <f>CRM_MAGDY!N776</f>
        <v>0</v>
      </c>
    </row>
    <row r="777" spans="1:8" ht="30" x14ac:dyDescent="0.25">
      <c r="A777" s="57">
        <f>CRM_MAGDY!H777</f>
        <v>6213</v>
      </c>
      <c r="B777" s="57">
        <f>CRM_MAGDY!I777</f>
        <v>0</v>
      </c>
      <c r="C777" s="57">
        <f>CRM_MAGDY!E777</f>
        <v>0</v>
      </c>
      <c r="D777" s="57">
        <f>CRM_MAGDY!V777</f>
        <v>0</v>
      </c>
      <c r="E777" s="57" t="str">
        <f>IF(CRM_MAGDY!G777="","BRAK TELEFONU",IF(CRM_MAGDY!K777="","BRAK KWOTY",IF(CRM_MAGDY!N777="","BRAK STATUSU",IF(CRM_MAGDY!C777="","BRAK DATY AKCJI",""))))</f>
        <v>BRAK TELEFONU</v>
      </c>
      <c r="F777" s="57" t="str">
        <f>CRM_MAGDY!W777</f>
        <v>BRAKI CRM</v>
      </c>
      <c r="G777" s="57">
        <f>CRM_MAGDY!K777</f>
        <v>0</v>
      </c>
      <c r="H777" s="57">
        <f>CRM_MAGDY!N777</f>
        <v>0</v>
      </c>
    </row>
    <row r="778" spans="1:8" ht="30" x14ac:dyDescent="0.25">
      <c r="A778" s="57">
        <f>CRM_MAGDY!H778</f>
        <v>6214</v>
      </c>
      <c r="B778" s="57">
        <f>CRM_MAGDY!I778</f>
        <v>0</v>
      </c>
      <c r="C778" s="57">
        <f>CRM_MAGDY!E778</f>
        <v>0</v>
      </c>
      <c r="D778" s="57">
        <f>CRM_MAGDY!V778</f>
        <v>0</v>
      </c>
      <c r="E778" s="57" t="str">
        <f>IF(CRM_MAGDY!G778="","BRAK TELEFONU",IF(CRM_MAGDY!K778="","BRAK KWOTY",IF(CRM_MAGDY!N778="","BRAK STATUSU",IF(CRM_MAGDY!C778="","BRAK DATY AKCJI",""))))</f>
        <v>BRAK TELEFONU</v>
      </c>
      <c r="F778" s="57" t="str">
        <f>CRM_MAGDY!W778</f>
        <v>BRAKI CRM</v>
      </c>
      <c r="G778" s="57">
        <f>CRM_MAGDY!K778</f>
        <v>0</v>
      </c>
      <c r="H778" s="57">
        <f>CRM_MAGDY!N778</f>
        <v>0</v>
      </c>
    </row>
    <row r="779" spans="1:8" ht="30" x14ac:dyDescent="0.25">
      <c r="A779" s="57">
        <f>CRM_MAGDY!H779</f>
        <v>6215</v>
      </c>
      <c r="B779" s="57">
        <f>CRM_MAGDY!I779</f>
        <v>0</v>
      </c>
      <c r="C779" s="57">
        <f>CRM_MAGDY!E779</f>
        <v>0</v>
      </c>
      <c r="D779" s="57">
        <f>CRM_MAGDY!V779</f>
        <v>0</v>
      </c>
      <c r="E779" s="57" t="str">
        <f>IF(CRM_MAGDY!G779="","BRAK TELEFONU",IF(CRM_MAGDY!K779="","BRAK KWOTY",IF(CRM_MAGDY!N779="","BRAK STATUSU",IF(CRM_MAGDY!C779="","BRAK DATY AKCJI",""))))</f>
        <v>BRAK TELEFONU</v>
      </c>
      <c r="F779" s="57" t="str">
        <f>CRM_MAGDY!W779</f>
        <v>BRAKI CRM</v>
      </c>
      <c r="G779" s="57">
        <f>CRM_MAGDY!K779</f>
        <v>0</v>
      </c>
      <c r="H779" s="57">
        <f>CRM_MAGDY!N779</f>
        <v>0</v>
      </c>
    </row>
    <row r="780" spans="1:8" ht="30" x14ac:dyDescent="0.25">
      <c r="A780" s="57">
        <f>CRM_MAGDY!H780</f>
        <v>6216</v>
      </c>
      <c r="B780" s="57">
        <f>CRM_MAGDY!I780</f>
        <v>0</v>
      </c>
      <c r="C780" s="57">
        <f>CRM_MAGDY!E780</f>
        <v>0</v>
      </c>
      <c r="D780" s="57">
        <f>CRM_MAGDY!V780</f>
        <v>0</v>
      </c>
      <c r="E780" s="57" t="str">
        <f>IF(CRM_MAGDY!G780="","BRAK TELEFONU",IF(CRM_MAGDY!K780="","BRAK KWOTY",IF(CRM_MAGDY!N780="","BRAK STATUSU",IF(CRM_MAGDY!C780="","BRAK DATY AKCJI",""))))</f>
        <v>BRAK TELEFONU</v>
      </c>
      <c r="F780" s="57" t="str">
        <f>CRM_MAGDY!W780</f>
        <v>BRAKI CRM</v>
      </c>
      <c r="G780" s="57">
        <f>CRM_MAGDY!K780</f>
        <v>0</v>
      </c>
      <c r="H780" s="57">
        <f>CRM_MAGDY!N780</f>
        <v>0</v>
      </c>
    </row>
    <row r="781" spans="1:8" ht="30" x14ac:dyDescent="0.25">
      <c r="A781" s="57">
        <f>CRM_MAGDY!H781</f>
        <v>6217</v>
      </c>
      <c r="B781" s="57">
        <f>CRM_MAGDY!I781</f>
        <v>0</v>
      </c>
      <c r="C781" s="57">
        <f>CRM_MAGDY!E781</f>
        <v>0</v>
      </c>
      <c r="D781" s="57">
        <f>CRM_MAGDY!V781</f>
        <v>0</v>
      </c>
      <c r="E781" s="57" t="str">
        <f>IF(CRM_MAGDY!G781="","BRAK TELEFONU",IF(CRM_MAGDY!K781="","BRAK KWOTY",IF(CRM_MAGDY!N781="","BRAK STATUSU",IF(CRM_MAGDY!C781="","BRAK DATY AKCJI",""))))</f>
        <v>BRAK TELEFONU</v>
      </c>
      <c r="F781" s="57" t="str">
        <f>CRM_MAGDY!W781</f>
        <v>BRAKI CRM</v>
      </c>
      <c r="G781" s="57">
        <f>CRM_MAGDY!K781</f>
        <v>0</v>
      </c>
      <c r="H781" s="57">
        <f>CRM_MAGDY!N781</f>
        <v>0</v>
      </c>
    </row>
    <row r="782" spans="1:8" ht="30" x14ac:dyDescent="0.25">
      <c r="A782" s="57">
        <f>CRM_MAGDY!H782</f>
        <v>6218</v>
      </c>
      <c r="B782" s="57">
        <f>CRM_MAGDY!I782</f>
        <v>0</v>
      </c>
      <c r="C782" s="57">
        <f>CRM_MAGDY!E782</f>
        <v>0</v>
      </c>
      <c r="D782" s="57">
        <f>CRM_MAGDY!V782</f>
        <v>0</v>
      </c>
      <c r="E782" s="57" t="str">
        <f>IF(CRM_MAGDY!G782="","BRAK TELEFONU",IF(CRM_MAGDY!K782="","BRAK KWOTY",IF(CRM_MAGDY!N782="","BRAK STATUSU",IF(CRM_MAGDY!C782="","BRAK DATY AKCJI",""))))</f>
        <v>BRAK TELEFONU</v>
      </c>
      <c r="F782" s="57" t="str">
        <f>CRM_MAGDY!W782</f>
        <v>BRAKI CRM</v>
      </c>
      <c r="G782" s="57">
        <f>CRM_MAGDY!K782</f>
        <v>0</v>
      </c>
      <c r="H782" s="57">
        <f>CRM_MAGDY!N782</f>
        <v>0</v>
      </c>
    </row>
    <row r="783" spans="1:8" ht="30" x14ac:dyDescent="0.25">
      <c r="A783" s="57">
        <f>CRM_MAGDY!H783</f>
        <v>6219</v>
      </c>
      <c r="B783" s="57">
        <f>CRM_MAGDY!I783</f>
        <v>0</v>
      </c>
      <c r="C783" s="57">
        <f>CRM_MAGDY!E783</f>
        <v>0</v>
      </c>
      <c r="D783" s="57">
        <f>CRM_MAGDY!V783</f>
        <v>0</v>
      </c>
      <c r="E783" s="57" t="str">
        <f>IF(CRM_MAGDY!G783="","BRAK TELEFONU",IF(CRM_MAGDY!K783="","BRAK KWOTY",IF(CRM_MAGDY!N783="","BRAK STATUSU",IF(CRM_MAGDY!C783="","BRAK DATY AKCJI",""))))</f>
        <v>BRAK TELEFONU</v>
      </c>
      <c r="F783" s="57" t="str">
        <f>CRM_MAGDY!W783</f>
        <v>BRAKI CRM</v>
      </c>
      <c r="G783" s="57">
        <f>CRM_MAGDY!K783</f>
        <v>0</v>
      </c>
      <c r="H783" s="57">
        <f>CRM_MAGDY!N783</f>
        <v>0</v>
      </c>
    </row>
    <row r="784" spans="1:8" ht="30" x14ac:dyDescent="0.25">
      <c r="A784" s="57">
        <f>CRM_MAGDY!H784</f>
        <v>6220</v>
      </c>
      <c r="B784" s="57">
        <f>CRM_MAGDY!I784</f>
        <v>0</v>
      </c>
      <c r="C784" s="57">
        <f>CRM_MAGDY!E784</f>
        <v>0</v>
      </c>
      <c r="D784" s="57">
        <f>CRM_MAGDY!V784</f>
        <v>0</v>
      </c>
      <c r="E784" s="57" t="str">
        <f>IF(CRM_MAGDY!G784="","BRAK TELEFONU",IF(CRM_MAGDY!K784="","BRAK KWOTY",IF(CRM_MAGDY!N784="","BRAK STATUSU",IF(CRM_MAGDY!C784="","BRAK DATY AKCJI",""))))</f>
        <v>BRAK TELEFONU</v>
      </c>
      <c r="F784" s="57" t="str">
        <f>CRM_MAGDY!W784</f>
        <v>BRAKI CRM</v>
      </c>
      <c r="G784" s="57">
        <f>CRM_MAGDY!K784</f>
        <v>0</v>
      </c>
      <c r="H784" s="57">
        <f>CRM_MAGDY!N784</f>
        <v>0</v>
      </c>
    </row>
    <row r="785" spans="1:8" ht="30" x14ac:dyDescent="0.25">
      <c r="A785" s="57">
        <f>CRM_MAGDY!H785</f>
        <v>6221</v>
      </c>
      <c r="B785" s="57">
        <f>CRM_MAGDY!I785</f>
        <v>0</v>
      </c>
      <c r="C785" s="57">
        <f>CRM_MAGDY!E785</f>
        <v>0</v>
      </c>
      <c r="D785" s="57">
        <f>CRM_MAGDY!V785</f>
        <v>0</v>
      </c>
      <c r="E785" s="57" t="str">
        <f>IF(CRM_MAGDY!G785="","BRAK TELEFONU",IF(CRM_MAGDY!K785="","BRAK KWOTY",IF(CRM_MAGDY!N785="","BRAK STATUSU",IF(CRM_MAGDY!C785="","BRAK DATY AKCJI",""))))</f>
        <v>BRAK TELEFONU</v>
      </c>
      <c r="F785" s="57" t="str">
        <f>CRM_MAGDY!W785</f>
        <v>BRAKI CRM</v>
      </c>
      <c r="G785" s="57">
        <f>CRM_MAGDY!K785</f>
        <v>0</v>
      </c>
      <c r="H785" s="57">
        <f>CRM_MAGDY!N785</f>
        <v>0</v>
      </c>
    </row>
    <row r="786" spans="1:8" ht="30" x14ac:dyDescent="0.25">
      <c r="A786" s="57">
        <f>CRM_MAGDY!H786</f>
        <v>6222</v>
      </c>
      <c r="B786" s="57">
        <f>CRM_MAGDY!I786</f>
        <v>0</v>
      </c>
      <c r="C786" s="57">
        <f>CRM_MAGDY!E786</f>
        <v>0</v>
      </c>
      <c r="D786" s="57">
        <f>CRM_MAGDY!V786</f>
        <v>0</v>
      </c>
      <c r="E786" s="57" t="str">
        <f>IF(CRM_MAGDY!G786="","BRAK TELEFONU",IF(CRM_MAGDY!K786="","BRAK KWOTY",IF(CRM_MAGDY!N786="","BRAK STATUSU",IF(CRM_MAGDY!C786="","BRAK DATY AKCJI",""))))</f>
        <v>BRAK TELEFONU</v>
      </c>
      <c r="F786" s="57" t="str">
        <f>CRM_MAGDY!W786</f>
        <v>BRAKI CRM</v>
      </c>
      <c r="G786" s="57">
        <f>CRM_MAGDY!K786</f>
        <v>0</v>
      </c>
      <c r="H786" s="57">
        <f>CRM_MAGDY!N786</f>
        <v>0</v>
      </c>
    </row>
    <row r="787" spans="1:8" ht="30" x14ac:dyDescent="0.25">
      <c r="A787" s="57">
        <f>CRM_MAGDY!H787</f>
        <v>6223</v>
      </c>
      <c r="B787" s="57">
        <f>CRM_MAGDY!I787</f>
        <v>0</v>
      </c>
      <c r="C787" s="57">
        <f>CRM_MAGDY!E787</f>
        <v>0</v>
      </c>
      <c r="D787" s="57">
        <f>CRM_MAGDY!V787</f>
        <v>0</v>
      </c>
      <c r="E787" s="57" t="str">
        <f>IF(CRM_MAGDY!G787="","BRAK TELEFONU",IF(CRM_MAGDY!K787="","BRAK KWOTY",IF(CRM_MAGDY!N787="","BRAK STATUSU",IF(CRM_MAGDY!C787="","BRAK DATY AKCJI",""))))</f>
        <v>BRAK TELEFONU</v>
      </c>
      <c r="F787" s="57" t="str">
        <f>CRM_MAGDY!W787</f>
        <v>BRAKI CRM</v>
      </c>
      <c r="G787" s="57">
        <f>CRM_MAGDY!K787</f>
        <v>0</v>
      </c>
      <c r="H787" s="57">
        <f>CRM_MAGDY!N787</f>
        <v>0</v>
      </c>
    </row>
    <row r="788" spans="1:8" ht="30" x14ac:dyDescent="0.25">
      <c r="A788" s="57">
        <f>CRM_MAGDY!H788</f>
        <v>6224</v>
      </c>
      <c r="B788" s="57">
        <f>CRM_MAGDY!I788</f>
        <v>0</v>
      </c>
      <c r="C788" s="57">
        <f>CRM_MAGDY!E788</f>
        <v>0</v>
      </c>
      <c r="D788" s="57">
        <f>CRM_MAGDY!V788</f>
        <v>0</v>
      </c>
      <c r="E788" s="57" t="str">
        <f>IF(CRM_MAGDY!G788="","BRAK TELEFONU",IF(CRM_MAGDY!K788="","BRAK KWOTY",IF(CRM_MAGDY!N788="","BRAK STATUSU",IF(CRM_MAGDY!C788="","BRAK DATY AKCJI",""))))</f>
        <v>BRAK TELEFONU</v>
      </c>
      <c r="F788" s="57" t="str">
        <f>CRM_MAGDY!W788</f>
        <v>BRAKI CRM</v>
      </c>
      <c r="G788" s="57">
        <f>CRM_MAGDY!K788</f>
        <v>0</v>
      </c>
      <c r="H788" s="57">
        <f>CRM_MAGDY!N788</f>
        <v>0</v>
      </c>
    </row>
    <row r="789" spans="1:8" ht="30" x14ac:dyDescent="0.25">
      <c r="A789" s="57">
        <f>CRM_MAGDY!H789</f>
        <v>6225</v>
      </c>
      <c r="B789" s="57">
        <f>CRM_MAGDY!I789</f>
        <v>0</v>
      </c>
      <c r="C789" s="57">
        <f>CRM_MAGDY!E789</f>
        <v>0</v>
      </c>
      <c r="D789" s="57">
        <f>CRM_MAGDY!V789</f>
        <v>0</v>
      </c>
      <c r="E789" s="57" t="str">
        <f>IF(CRM_MAGDY!G789="","BRAK TELEFONU",IF(CRM_MAGDY!K789="","BRAK KWOTY",IF(CRM_MAGDY!N789="","BRAK STATUSU",IF(CRM_MAGDY!C789="","BRAK DATY AKCJI",""))))</f>
        <v>BRAK TELEFONU</v>
      </c>
      <c r="F789" s="57" t="str">
        <f>CRM_MAGDY!W789</f>
        <v>BRAKI CRM</v>
      </c>
      <c r="G789" s="57">
        <f>CRM_MAGDY!K789</f>
        <v>0</v>
      </c>
      <c r="H789" s="57">
        <f>CRM_MAGDY!N789</f>
        <v>0</v>
      </c>
    </row>
    <row r="790" spans="1:8" ht="30" x14ac:dyDescent="0.25">
      <c r="A790" s="57">
        <f>CRM_MAGDY!H790</f>
        <v>6226</v>
      </c>
      <c r="B790" s="57">
        <f>CRM_MAGDY!I790</f>
        <v>0</v>
      </c>
      <c r="C790" s="57">
        <f>CRM_MAGDY!E790</f>
        <v>0</v>
      </c>
      <c r="D790" s="57">
        <f>CRM_MAGDY!V790</f>
        <v>0</v>
      </c>
      <c r="E790" s="57" t="str">
        <f>IF(CRM_MAGDY!G790="","BRAK TELEFONU",IF(CRM_MAGDY!K790="","BRAK KWOTY",IF(CRM_MAGDY!N790="","BRAK STATUSU",IF(CRM_MAGDY!C790="","BRAK DATY AKCJI",""))))</f>
        <v>BRAK TELEFONU</v>
      </c>
      <c r="F790" s="57" t="str">
        <f>CRM_MAGDY!W790</f>
        <v>BRAKI CRM</v>
      </c>
      <c r="G790" s="57">
        <f>CRM_MAGDY!K790</f>
        <v>0</v>
      </c>
      <c r="H790" s="57">
        <f>CRM_MAGDY!N790</f>
        <v>0</v>
      </c>
    </row>
    <row r="791" spans="1:8" ht="30" x14ac:dyDescent="0.25">
      <c r="A791" s="57">
        <f>CRM_MAGDY!H791</f>
        <v>6227</v>
      </c>
      <c r="B791" s="57">
        <f>CRM_MAGDY!I791</f>
        <v>0</v>
      </c>
      <c r="C791" s="57">
        <f>CRM_MAGDY!E791</f>
        <v>0</v>
      </c>
      <c r="D791" s="57">
        <f>CRM_MAGDY!V791</f>
        <v>0</v>
      </c>
      <c r="E791" s="57" t="str">
        <f>IF(CRM_MAGDY!G791="","BRAK TELEFONU",IF(CRM_MAGDY!K791="","BRAK KWOTY",IF(CRM_MAGDY!N791="","BRAK STATUSU",IF(CRM_MAGDY!C791="","BRAK DATY AKCJI",""))))</f>
        <v>BRAK TELEFONU</v>
      </c>
      <c r="F791" s="57" t="str">
        <f>CRM_MAGDY!W791</f>
        <v>BRAKI CRM</v>
      </c>
      <c r="G791" s="57">
        <f>CRM_MAGDY!K791</f>
        <v>0</v>
      </c>
      <c r="H791" s="57">
        <f>CRM_MAGDY!N791</f>
        <v>0</v>
      </c>
    </row>
    <row r="792" spans="1:8" ht="30" x14ac:dyDescent="0.25">
      <c r="A792" s="57">
        <f>CRM_MAGDY!H792</f>
        <v>6228</v>
      </c>
      <c r="B792" s="57">
        <f>CRM_MAGDY!I792</f>
        <v>0</v>
      </c>
      <c r="C792" s="57">
        <f>CRM_MAGDY!E792</f>
        <v>0</v>
      </c>
      <c r="D792" s="57">
        <f>CRM_MAGDY!V792</f>
        <v>0</v>
      </c>
      <c r="E792" s="57" t="str">
        <f>IF(CRM_MAGDY!G792="","BRAK TELEFONU",IF(CRM_MAGDY!K792="","BRAK KWOTY",IF(CRM_MAGDY!N792="","BRAK STATUSU",IF(CRM_MAGDY!C792="","BRAK DATY AKCJI",""))))</f>
        <v>BRAK TELEFONU</v>
      </c>
      <c r="F792" s="57" t="str">
        <f>CRM_MAGDY!W792</f>
        <v>BRAKI CRM</v>
      </c>
      <c r="G792" s="57">
        <f>CRM_MAGDY!K792</f>
        <v>0</v>
      </c>
      <c r="H792" s="57">
        <f>CRM_MAGDY!N792</f>
        <v>0</v>
      </c>
    </row>
    <row r="793" spans="1:8" ht="30" x14ac:dyDescent="0.25">
      <c r="A793" s="57">
        <f>CRM_MAGDY!H793</f>
        <v>6229</v>
      </c>
      <c r="B793" s="57">
        <f>CRM_MAGDY!I793</f>
        <v>0</v>
      </c>
      <c r="C793" s="57">
        <f>CRM_MAGDY!E793</f>
        <v>0</v>
      </c>
      <c r="D793" s="57">
        <f>CRM_MAGDY!V793</f>
        <v>0</v>
      </c>
      <c r="E793" s="57" t="str">
        <f>IF(CRM_MAGDY!G793="","BRAK TELEFONU",IF(CRM_MAGDY!K793="","BRAK KWOTY",IF(CRM_MAGDY!N793="","BRAK STATUSU",IF(CRM_MAGDY!C793="","BRAK DATY AKCJI",""))))</f>
        <v>BRAK TELEFONU</v>
      </c>
      <c r="F793" s="57" t="str">
        <f>CRM_MAGDY!W793</f>
        <v>BRAKI CRM</v>
      </c>
      <c r="G793" s="57">
        <f>CRM_MAGDY!K793</f>
        <v>0</v>
      </c>
      <c r="H793" s="57">
        <f>CRM_MAGDY!N793</f>
        <v>0</v>
      </c>
    </row>
    <row r="794" spans="1:8" ht="30" x14ac:dyDescent="0.25">
      <c r="A794" s="57">
        <f>CRM_MAGDY!H794</f>
        <v>6230</v>
      </c>
      <c r="B794" s="57">
        <f>CRM_MAGDY!I794</f>
        <v>0</v>
      </c>
      <c r="C794" s="57">
        <f>CRM_MAGDY!E794</f>
        <v>0</v>
      </c>
      <c r="D794" s="57">
        <f>CRM_MAGDY!V794</f>
        <v>0</v>
      </c>
      <c r="E794" s="57" t="str">
        <f>IF(CRM_MAGDY!G794="","BRAK TELEFONU",IF(CRM_MAGDY!K794="","BRAK KWOTY",IF(CRM_MAGDY!N794="","BRAK STATUSU",IF(CRM_MAGDY!C794="","BRAK DATY AKCJI",""))))</f>
        <v>BRAK TELEFONU</v>
      </c>
      <c r="F794" s="57" t="str">
        <f>CRM_MAGDY!W794</f>
        <v>BRAKI CRM</v>
      </c>
      <c r="G794" s="57">
        <f>CRM_MAGDY!K794</f>
        <v>0</v>
      </c>
      <c r="H794" s="57">
        <f>CRM_MAGDY!N794</f>
        <v>0</v>
      </c>
    </row>
    <row r="795" spans="1:8" ht="30" x14ac:dyDescent="0.25">
      <c r="A795" s="57">
        <f>CRM_MAGDY!H795</f>
        <v>6231</v>
      </c>
      <c r="B795" s="57">
        <f>CRM_MAGDY!I795</f>
        <v>0</v>
      </c>
      <c r="C795" s="57">
        <f>CRM_MAGDY!E795</f>
        <v>0</v>
      </c>
      <c r="D795" s="57">
        <f>CRM_MAGDY!V795</f>
        <v>0</v>
      </c>
      <c r="E795" s="57" t="str">
        <f>IF(CRM_MAGDY!G795="","BRAK TELEFONU",IF(CRM_MAGDY!K795="","BRAK KWOTY",IF(CRM_MAGDY!N795="","BRAK STATUSU",IF(CRM_MAGDY!C795="","BRAK DATY AKCJI",""))))</f>
        <v>BRAK TELEFONU</v>
      </c>
      <c r="F795" s="57" t="str">
        <f>CRM_MAGDY!W795</f>
        <v>BRAKI CRM</v>
      </c>
      <c r="G795" s="57">
        <f>CRM_MAGDY!K795</f>
        <v>0</v>
      </c>
      <c r="H795" s="57">
        <f>CRM_MAGDY!N795</f>
        <v>0</v>
      </c>
    </row>
    <row r="796" spans="1:8" ht="30" x14ac:dyDescent="0.25">
      <c r="A796" s="57">
        <f>CRM_MAGDY!H796</f>
        <v>6232</v>
      </c>
      <c r="B796" s="57">
        <f>CRM_MAGDY!I796</f>
        <v>0</v>
      </c>
      <c r="C796" s="57">
        <f>CRM_MAGDY!E796</f>
        <v>0</v>
      </c>
      <c r="D796" s="57">
        <f>CRM_MAGDY!V796</f>
        <v>0</v>
      </c>
      <c r="E796" s="57" t="str">
        <f>IF(CRM_MAGDY!G796="","BRAK TELEFONU",IF(CRM_MAGDY!K796="","BRAK KWOTY",IF(CRM_MAGDY!N796="","BRAK STATUSU",IF(CRM_MAGDY!C796="","BRAK DATY AKCJI",""))))</f>
        <v>BRAK TELEFONU</v>
      </c>
      <c r="F796" s="57" t="str">
        <f>CRM_MAGDY!W796</f>
        <v>BRAKI CRM</v>
      </c>
      <c r="G796" s="57">
        <f>CRM_MAGDY!K796</f>
        <v>0</v>
      </c>
      <c r="H796" s="57">
        <f>CRM_MAGDY!N796</f>
        <v>0</v>
      </c>
    </row>
    <row r="797" spans="1:8" ht="30" x14ac:dyDescent="0.25">
      <c r="A797" s="57">
        <f>CRM_MAGDY!H797</f>
        <v>6233</v>
      </c>
      <c r="B797" s="57">
        <f>CRM_MAGDY!I797</f>
        <v>0</v>
      </c>
      <c r="C797" s="57">
        <f>CRM_MAGDY!E797</f>
        <v>0</v>
      </c>
      <c r="D797" s="57">
        <f>CRM_MAGDY!V797</f>
        <v>0</v>
      </c>
      <c r="E797" s="57" t="str">
        <f>IF(CRM_MAGDY!G797="","BRAK TELEFONU",IF(CRM_MAGDY!K797="","BRAK KWOTY",IF(CRM_MAGDY!N797="","BRAK STATUSU",IF(CRM_MAGDY!C797="","BRAK DATY AKCJI",""))))</f>
        <v>BRAK TELEFONU</v>
      </c>
      <c r="F797" s="57" t="str">
        <f>CRM_MAGDY!W797</f>
        <v>BRAKI CRM</v>
      </c>
      <c r="G797" s="57">
        <f>CRM_MAGDY!K797</f>
        <v>0</v>
      </c>
      <c r="H797" s="57">
        <f>CRM_MAGDY!N797</f>
        <v>0</v>
      </c>
    </row>
    <row r="798" spans="1:8" ht="30" x14ac:dyDescent="0.25">
      <c r="A798" s="57">
        <f>CRM_MAGDY!H798</f>
        <v>6234</v>
      </c>
      <c r="B798" s="57">
        <f>CRM_MAGDY!I798</f>
        <v>0</v>
      </c>
      <c r="C798" s="57">
        <f>CRM_MAGDY!E798</f>
        <v>0</v>
      </c>
      <c r="D798" s="57">
        <f>CRM_MAGDY!V798</f>
        <v>0</v>
      </c>
      <c r="E798" s="57" t="str">
        <f>IF(CRM_MAGDY!G798="","BRAK TELEFONU",IF(CRM_MAGDY!K798="","BRAK KWOTY",IF(CRM_MAGDY!N798="","BRAK STATUSU",IF(CRM_MAGDY!C798="","BRAK DATY AKCJI",""))))</f>
        <v>BRAK TELEFONU</v>
      </c>
      <c r="F798" s="57" t="str">
        <f>CRM_MAGDY!W798</f>
        <v>BRAKI CRM</v>
      </c>
      <c r="G798" s="57">
        <f>CRM_MAGDY!K798</f>
        <v>0</v>
      </c>
      <c r="H798" s="57">
        <f>CRM_MAGDY!N798</f>
        <v>0</v>
      </c>
    </row>
    <row r="799" spans="1:8" ht="30" x14ac:dyDescent="0.25">
      <c r="A799" s="57">
        <f>CRM_MAGDY!H799</f>
        <v>6235</v>
      </c>
      <c r="B799" s="57">
        <f>CRM_MAGDY!I799</f>
        <v>0</v>
      </c>
      <c r="C799" s="57">
        <f>CRM_MAGDY!E799</f>
        <v>0</v>
      </c>
      <c r="D799" s="57">
        <f>CRM_MAGDY!V799</f>
        <v>0</v>
      </c>
      <c r="E799" s="57" t="str">
        <f>IF(CRM_MAGDY!G799="","BRAK TELEFONU",IF(CRM_MAGDY!K799="","BRAK KWOTY",IF(CRM_MAGDY!N799="","BRAK STATUSU",IF(CRM_MAGDY!C799="","BRAK DATY AKCJI",""))))</f>
        <v>BRAK TELEFONU</v>
      </c>
      <c r="F799" s="57" t="str">
        <f>CRM_MAGDY!W799</f>
        <v>BRAKI CRM</v>
      </c>
      <c r="G799" s="57">
        <f>CRM_MAGDY!K799</f>
        <v>0</v>
      </c>
      <c r="H799" s="57">
        <f>CRM_MAGDY!N799</f>
        <v>0</v>
      </c>
    </row>
    <row r="800" spans="1:8" ht="30" x14ac:dyDescent="0.25">
      <c r="A800" s="57">
        <f>CRM_MAGDY!H800</f>
        <v>6236</v>
      </c>
      <c r="B800" s="57">
        <f>CRM_MAGDY!I800</f>
        <v>0</v>
      </c>
      <c r="C800" s="57">
        <f>CRM_MAGDY!E800</f>
        <v>0</v>
      </c>
      <c r="D800" s="57">
        <f>CRM_MAGDY!V800</f>
        <v>0</v>
      </c>
      <c r="E800" s="57" t="str">
        <f>IF(CRM_MAGDY!G800="","BRAK TELEFONU",IF(CRM_MAGDY!K800="","BRAK KWOTY",IF(CRM_MAGDY!N800="","BRAK STATUSU",IF(CRM_MAGDY!C800="","BRAK DATY AKCJI",""))))</f>
        <v>BRAK TELEFONU</v>
      </c>
      <c r="F800" s="57" t="str">
        <f>CRM_MAGDY!W800</f>
        <v>BRAKI CRM</v>
      </c>
      <c r="G800" s="57">
        <f>CRM_MAGDY!K800</f>
        <v>0</v>
      </c>
      <c r="H800" s="57">
        <f>CRM_MAGDY!N800</f>
        <v>0</v>
      </c>
    </row>
    <row r="801" spans="1:8" ht="30" x14ac:dyDescent="0.25">
      <c r="A801" s="57">
        <f>CRM_MAGDY!H801</f>
        <v>6237</v>
      </c>
      <c r="B801" s="57">
        <f>CRM_MAGDY!I801</f>
        <v>0</v>
      </c>
      <c r="C801" s="57">
        <f>CRM_MAGDY!E801</f>
        <v>0</v>
      </c>
      <c r="D801" s="57">
        <f>CRM_MAGDY!V801</f>
        <v>0</v>
      </c>
      <c r="E801" s="57" t="str">
        <f>IF(CRM_MAGDY!G801="","BRAK TELEFONU",IF(CRM_MAGDY!K801="","BRAK KWOTY",IF(CRM_MAGDY!N801="","BRAK STATUSU",IF(CRM_MAGDY!C801="","BRAK DATY AKCJI",""))))</f>
        <v>BRAK TELEFONU</v>
      </c>
      <c r="F801" s="57" t="str">
        <f>CRM_MAGDY!W801</f>
        <v>BRAKI CRM</v>
      </c>
      <c r="G801" s="57">
        <f>CRM_MAGDY!K801</f>
        <v>0</v>
      </c>
      <c r="H801" s="57">
        <f>CRM_MAGDY!N801</f>
        <v>0</v>
      </c>
    </row>
    <row r="802" spans="1:8" ht="30" x14ac:dyDescent="0.25">
      <c r="A802" s="57">
        <f>CRM_MAGDY!H802</f>
        <v>6238</v>
      </c>
      <c r="B802" s="57">
        <f>CRM_MAGDY!I802</f>
        <v>0</v>
      </c>
      <c r="C802" s="57">
        <f>CRM_MAGDY!E802</f>
        <v>0</v>
      </c>
      <c r="D802" s="57">
        <f>CRM_MAGDY!V802</f>
        <v>0</v>
      </c>
      <c r="E802" s="57" t="str">
        <f>IF(CRM_MAGDY!G802="","BRAK TELEFONU",IF(CRM_MAGDY!K802="","BRAK KWOTY",IF(CRM_MAGDY!N802="","BRAK STATUSU",IF(CRM_MAGDY!C802="","BRAK DATY AKCJI",""))))</f>
        <v>BRAK TELEFONU</v>
      </c>
      <c r="F802" s="57" t="str">
        <f>CRM_MAGDY!W802</f>
        <v>BRAKI CRM</v>
      </c>
      <c r="G802" s="57">
        <f>CRM_MAGDY!K802</f>
        <v>0</v>
      </c>
      <c r="H802" s="57">
        <f>CRM_MAGDY!N802</f>
        <v>0</v>
      </c>
    </row>
    <row r="803" spans="1:8" ht="30" x14ac:dyDescent="0.25">
      <c r="A803" s="57">
        <f>CRM_MAGDY!H803</f>
        <v>6239</v>
      </c>
      <c r="B803" s="57">
        <f>CRM_MAGDY!I803</f>
        <v>0</v>
      </c>
      <c r="C803" s="57">
        <f>CRM_MAGDY!E803</f>
        <v>0</v>
      </c>
      <c r="D803" s="57">
        <f>CRM_MAGDY!V803</f>
        <v>0</v>
      </c>
      <c r="E803" s="57" t="str">
        <f>IF(CRM_MAGDY!G803="","BRAK TELEFONU",IF(CRM_MAGDY!K803="","BRAK KWOTY",IF(CRM_MAGDY!N803="","BRAK STATUSU",IF(CRM_MAGDY!C803="","BRAK DATY AKCJI",""))))</f>
        <v>BRAK TELEFONU</v>
      </c>
      <c r="F803" s="57" t="str">
        <f>CRM_MAGDY!W803</f>
        <v>BRAKI CRM</v>
      </c>
      <c r="G803" s="57">
        <f>CRM_MAGDY!K803</f>
        <v>0</v>
      </c>
      <c r="H803" s="57">
        <f>CRM_MAGDY!N803</f>
        <v>0</v>
      </c>
    </row>
    <row r="804" spans="1:8" ht="30" x14ac:dyDescent="0.25">
      <c r="A804" s="57">
        <f>CRM_MAGDY!H804</f>
        <v>6240</v>
      </c>
      <c r="B804" s="57">
        <f>CRM_MAGDY!I804</f>
        <v>0</v>
      </c>
      <c r="C804" s="57">
        <f>CRM_MAGDY!E804</f>
        <v>0</v>
      </c>
      <c r="D804" s="57">
        <f>CRM_MAGDY!V804</f>
        <v>0</v>
      </c>
      <c r="E804" s="57" t="str">
        <f>IF(CRM_MAGDY!G804="","BRAK TELEFONU",IF(CRM_MAGDY!K804="","BRAK KWOTY",IF(CRM_MAGDY!N804="","BRAK STATUSU",IF(CRM_MAGDY!C804="","BRAK DATY AKCJI",""))))</f>
        <v>BRAK TELEFONU</v>
      </c>
      <c r="F804" s="57" t="str">
        <f>CRM_MAGDY!W804</f>
        <v>BRAKI CRM</v>
      </c>
      <c r="G804" s="57">
        <f>CRM_MAGDY!K804</f>
        <v>0</v>
      </c>
      <c r="H804" s="57">
        <f>CRM_MAGDY!N804</f>
        <v>0</v>
      </c>
    </row>
    <row r="805" spans="1:8" ht="30" x14ac:dyDescent="0.25">
      <c r="A805" s="57">
        <f>CRM_MAGDY!H805</f>
        <v>6241</v>
      </c>
      <c r="B805" s="57">
        <f>CRM_MAGDY!I805</f>
        <v>0</v>
      </c>
      <c r="C805" s="57">
        <f>CRM_MAGDY!E805</f>
        <v>0</v>
      </c>
      <c r="D805" s="57">
        <f>CRM_MAGDY!V805</f>
        <v>0</v>
      </c>
      <c r="E805" s="57" t="str">
        <f>IF(CRM_MAGDY!G805="","BRAK TELEFONU",IF(CRM_MAGDY!K805="","BRAK KWOTY",IF(CRM_MAGDY!N805="","BRAK STATUSU",IF(CRM_MAGDY!C805="","BRAK DATY AKCJI",""))))</f>
        <v>BRAK TELEFONU</v>
      </c>
      <c r="F805" s="57" t="str">
        <f>CRM_MAGDY!W805</f>
        <v>BRAKI CRM</v>
      </c>
      <c r="G805" s="57">
        <f>CRM_MAGDY!K805</f>
        <v>0</v>
      </c>
      <c r="H805" s="57">
        <f>CRM_MAGDY!N805</f>
        <v>0</v>
      </c>
    </row>
    <row r="806" spans="1:8" ht="30" x14ac:dyDescent="0.25">
      <c r="A806" s="57">
        <f>CRM_MAGDY!H806</f>
        <v>6242</v>
      </c>
      <c r="B806" s="57">
        <f>CRM_MAGDY!I806</f>
        <v>0</v>
      </c>
      <c r="C806" s="57">
        <f>CRM_MAGDY!E806</f>
        <v>0</v>
      </c>
      <c r="D806" s="57">
        <f>CRM_MAGDY!V806</f>
        <v>0</v>
      </c>
      <c r="E806" s="57" t="str">
        <f>IF(CRM_MAGDY!G806="","BRAK TELEFONU",IF(CRM_MAGDY!K806="","BRAK KWOTY",IF(CRM_MAGDY!N806="","BRAK STATUSU",IF(CRM_MAGDY!C806="","BRAK DATY AKCJI",""))))</f>
        <v>BRAK TELEFONU</v>
      </c>
      <c r="F806" s="57" t="str">
        <f>CRM_MAGDY!W806</f>
        <v>BRAKI CRM</v>
      </c>
      <c r="G806" s="57">
        <f>CRM_MAGDY!K806</f>
        <v>0</v>
      </c>
      <c r="H806" s="57">
        <f>CRM_MAGDY!N806</f>
        <v>0</v>
      </c>
    </row>
    <row r="807" spans="1:8" ht="30" x14ac:dyDescent="0.25">
      <c r="A807" s="57">
        <f>CRM_MAGDY!H807</f>
        <v>6243</v>
      </c>
      <c r="B807" s="57">
        <f>CRM_MAGDY!I807</f>
        <v>0</v>
      </c>
      <c r="C807" s="57">
        <f>CRM_MAGDY!E807</f>
        <v>0</v>
      </c>
      <c r="D807" s="57">
        <f>CRM_MAGDY!V807</f>
        <v>0</v>
      </c>
      <c r="E807" s="57" t="str">
        <f>IF(CRM_MAGDY!G807="","BRAK TELEFONU",IF(CRM_MAGDY!K807="","BRAK KWOTY",IF(CRM_MAGDY!N807="","BRAK STATUSU",IF(CRM_MAGDY!C807="","BRAK DATY AKCJI",""))))</f>
        <v>BRAK TELEFONU</v>
      </c>
      <c r="F807" s="57" t="str">
        <f>CRM_MAGDY!W807</f>
        <v>BRAKI CRM</v>
      </c>
      <c r="G807" s="57">
        <f>CRM_MAGDY!K807</f>
        <v>0</v>
      </c>
      <c r="H807" s="57">
        <f>CRM_MAGDY!N807</f>
        <v>0</v>
      </c>
    </row>
    <row r="808" spans="1:8" ht="30" x14ac:dyDescent="0.25">
      <c r="A808" s="57">
        <f>CRM_MAGDY!H808</f>
        <v>6244</v>
      </c>
      <c r="B808" s="57">
        <f>CRM_MAGDY!I808</f>
        <v>0</v>
      </c>
      <c r="C808" s="57">
        <f>CRM_MAGDY!E808</f>
        <v>0</v>
      </c>
      <c r="D808" s="57">
        <f>CRM_MAGDY!V808</f>
        <v>0</v>
      </c>
      <c r="E808" s="57" t="str">
        <f>IF(CRM_MAGDY!G808="","BRAK TELEFONU",IF(CRM_MAGDY!K808="","BRAK KWOTY",IF(CRM_MAGDY!N808="","BRAK STATUSU",IF(CRM_MAGDY!C808="","BRAK DATY AKCJI",""))))</f>
        <v>BRAK TELEFONU</v>
      </c>
      <c r="F808" s="57" t="str">
        <f>CRM_MAGDY!W808</f>
        <v>BRAKI CRM</v>
      </c>
      <c r="G808" s="57">
        <f>CRM_MAGDY!K808</f>
        <v>0</v>
      </c>
      <c r="H808" s="57">
        <f>CRM_MAGDY!N808</f>
        <v>0</v>
      </c>
    </row>
    <row r="809" spans="1:8" ht="30" x14ac:dyDescent="0.25">
      <c r="A809" s="57">
        <f>CRM_MAGDY!H809</f>
        <v>6245</v>
      </c>
      <c r="B809" s="57">
        <f>CRM_MAGDY!I809</f>
        <v>0</v>
      </c>
      <c r="C809" s="57">
        <f>CRM_MAGDY!E809</f>
        <v>0</v>
      </c>
      <c r="D809" s="57">
        <f>CRM_MAGDY!V809</f>
        <v>0</v>
      </c>
      <c r="E809" s="57" t="str">
        <f>IF(CRM_MAGDY!G809="","BRAK TELEFONU",IF(CRM_MAGDY!K809="","BRAK KWOTY",IF(CRM_MAGDY!N809="","BRAK STATUSU",IF(CRM_MAGDY!C809="","BRAK DATY AKCJI",""))))</f>
        <v>BRAK TELEFONU</v>
      </c>
      <c r="F809" s="57" t="str">
        <f>CRM_MAGDY!W809</f>
        <v>BRAKI CRM</v>
      </c>
      <c r="G809" s="57">
        <f>CRM_MAGDY!K809</f>
        <v>0</v>
      </c>
      <c r="H809" s="57">
        <f>CRM_MAGDY!N809</f>
        <v>0</v>
      </c>
    </row>
    <row r="810" spans="1:8" ht="30" x14ac:dyDescent="0.25">
      <c r="A810" s="57">
        <f>CRM_MAGDY!H810</f>
        <v>6246</v>
      </c>
      <c r="B810" s="57">
        <f>CRM_MAGDY!I810</f>
        <v>0</v>
      </c>
      <c r="C810" s="57">
        <f>CRM_MAGDY!E810</f>
        <v>0</v>
      </c>
      <c r="D810" s="57">
        <f>CRM_MAGDY!V810</f>
        <v>0</v>
      </c>
      <c r="E810" s="57" t="str">
        <f>IF(CRM_MAGDY!G810="","BRAK TELEFONU",IF(CRM_MAGDY!K810="","BRAK KWOTY",IF(CRM_MAGDY!N810="","BRAK STATUSU",IF(CRM_MAGDY!C810="","BRAK DATY AKCJI",""))))</f>
        <v>BRAK TELEFONU</v>
      </c>
      <c r="F810" s="57" t="str">
        <f>CRM_MAGDY!W810</f>
        <v>BRAKI CRM</v>
      </c>
      <c r="G810" s="57">
        <f>CRM_MAGDY!K810</f>
        <v>0</v>
      </c>
      <c r="H810" s="57">
        <f>CRM_MAGDY!N810</f>
        <v>0</v>
      </c>
    </row>
    <row r="811" spans="1:8" ht="30" x14ac:dyDescent="0.25">
      <c r="A811" s="57">
        <f>CRM_MAGDY!H811</f>
        <v>6247</v>
      </c>
      <c r="B811" s="57">
        <f>CRM_MAGDY!I811</f>
        <v>0</v>
      </c>
      <c r="C811" s="57">
        <f>CRM_MAGDY!E811</f>
        <v>0</v>
      </c>
      <c r="D811" s="57">
        <f>CRM_MAGDY!V811</f>
        <v>0</v>
      </c>
      <c r="E811" s="57" t="str">
        <f>IF(CRM_MAGDY!G811="","BRAK TELEFONU",IF(CRM_MAGDY!K811="","BRAK KWOTY",IF(CRM_MAGDY!N811="","BRAK STATUSU",IF(CRM_MAGDY!C811="","BRAK DATY AKCJI",""))))</f>
        <v>BRAK TELEFONU</v>
      </c>
      <c r="F811" s="57" t="str">
        <f>CRM_MAGDY!W811</f>
        <v>BRAKI CRM</v>
      </c>
      <c r="G811" s="57">
        <f>CRM_MAGDY!K811</f>
        <v>0</v>
      </c>
      <c r="H811" s="57">
        <f>CRM_MAGDY!N811</f>
        <v>0</v>
      </c>
    </row>
    <row r="812" spans="1:8" ht="30" x14ac:dyDescent="0.25">
      <c r="A812" s="57">
        <f>CRM_MAGDY!H812</f>
        <v>6248</v>
      </c>
      <c r="B812" s="57">
        <f>CRM_MAGDY!I812</f>
        <v>0</v>
      </c>
      <c r="C812" s="57">
        <f>CRM_MAGDY!E812</f>
        <v>0</v>
      </c>
      <c r="D812" s="57">
        <f>CRM_MAGDY!V812</f>
        <v>0</v>
      </c>
      <c r="E812" s="57" t="str">
        <f>IF(CRM_MAGDY!G812="","BRAK TELEFONU",IF(CRM_MAGDY!K812="","BRAK KWOTY",IF(CRM_MAGDY!N812="","BRAK STATUSU",IF(CRM_MAGDY!C812="","BRAK DATY AKCJI",""))))</f>
        <v>BRAK TELEFONU</v>
      </c>
      <c r="F812" s="57" t="str">
        <f>CRM_MAGDY!W812</f>
        <v>BRAKI CRM</v>
      </c>
      <c r="G812" s="57">
        <f>CRM_MAGDY!K812</f>
        <v>0</v>
      </c>
      <c r="H812" s="57">
        <f>CRM_MAGDY!N812</f>
        <v>0</v>
      </c>
    </row>
    <row r="813" spans="1:8" ht="30" x14ac:dyDescent="0.25">
      <c r="A813" s="57">
        <f>CRM_MAGDY!H813</f>
        <v>6249</v>
      </c>
      <c r="B813" s="57">
        <f>CRM_MAGDY!I813</f>
        <v>0</v>
      </c>
      <c r="C813" s="57">
        <f>CRM_MAGDY!E813</f>
        <v>0</v>
      </c>
      <c r="D813" s="57">
        <f>CRM_MAGDY!V813</f>
        <v>0</v>
      </c>
      <c r="E813" s="57" t="str">
        <f>IF(CRM_MAGDY!G813="","BRAK TELEFONU",IF(CRM_MAGDY!K813="","BRAK KWOTY",IF(CRM_MAGDY!N813="","BRAK STATUSU",IF(CRM_MAGDY!C813="","BRAK DATY AKCJI",""))))</f>
        <v>BRAK TELEFONU</v>
      </c>
      <c r="F813" s="57" t="str">
        <f>CRM_MAGDY!W813</f>
        <v>BRAKI CRM</v>
      </c>
      <c r="G813" s="57">
        <f>CRM_MAGDY!K813</f>
        <v>0</v>
      </c>
      <c r="H813" s="57">
        <f>CRM_MAGDY!N813</f>
        <v>0</v>
      </c>
    </row>
    <row r="814" spans="1:8" ht="30" x14ac:dyDescent="0.25">
      <c r="A814" s="57">
        <f>CRM_MAGDY!H814</f>
        <v>6250</v>
      </c>
      <c r="B814" s="57">
        <f>CRM_MAGDY!I814</f>
        <v>0</v>
      </c>
      <c r="C814" s="57">
        <f>CRM_MAGDY!E814</f>
        <v>0</v>
      </c>
      <c r="D814" s="57">
        <f>CRM_MAGDY!V814</f>
        <v>0</v>
      </c>
      <c r="E814" s="57" t="str">
        <f>IF(CRM_MAGDY!G814="","BRAK TELEFONU",IF(CRM_MAGDY!K814="","BRAK KWOTY",IF(CRM_MAGDY!N814="","BRAK STATUSU",IF(CRM_MAGDY!C814="","BRAK DATY AKCJI",""))))</f>
        <v>BRAK TELEFONU</v>
      </c>
      <c r="F814" s="57" t="str">
        <f>CRM_MAGDY!W814</f>
        <v>BRAKI CRM</v>
      </c>
      <c r="G814" s="57">
        <f>CRM_MAGDY!K814</f>
        <v>0</v>
      </c>
      <c r="H814" s="57">
        <f>CRM_MAGDY!N814</f>
        <v>0</v>
      </c>
    </row>
    <row r="815" spans="1:8" ht="30" x14ac:dyDescent="0.25">
      <c r="A815" s="57">
        <f>CRM_MAGDY!H815</f>
        <v>6251</v>
      </c>
      <c r="B815" s="57">
        <f>CRM_MAGDY!I815</f>
        <v>0</v>
      </c>
      <c r="C815" s="57">
        <f>CRM_MAGDY!E815</f>
        <v>0</v>
      </c>
      <c r="D815" s="57">
        <f>CRM_MAGDY!V815</f>
        <v>0</v>
      </c>
      <c r="E815" s="57" t="str">
        <f>IF(CRM_MAGDY!G815="","BRAK TELEFONU",IF(CRM_MAGDY!K815="","BRAK KWOTY",IF(CRM_MAGDY!N815="","BRAK STATUSU",IF(CRM_MAGDY!C815="","BRAK DATY AKCJI",""))))</f>
        <v>BRAK TELEFONU</v>
      </c>
      <c r="F815" s="57" t="str">
        <f>CRM_MAGDY!W815</f>
        <v>BRAKI CRM</v>
      </c>
      <c r="G815" s="57">
        <f>CRM_MAGDY!K815</f>
        <v>0</v>
      </c>
      <c r="H815" s="57">
        <f>CRM_MAGDY!N815</f>
        <v>0</v>
      </c>
    </row>
    <row r="816" spans="1:8" ht="30" x14ac:dyDescent="0.25">
      <c r="A816" s="57">
        <f>CRM_MAGDY!H816</f>
        <v>6252</v>
      </c>
      <c r="B816" s="57">
        <f>CRM_MAGDY!I816</f>
        <v>0</v>
      </c>
      <c r="C816" s="57">
        <f>CRM_MAGDY!E816</f>
        <v>0</v>
      </c>
      <c r="D816" s="57">
        <f>CRM_MAGDY!V816</f>
        <v>0</v>
      </c>
      <c r="E816" s="57" t="str">
        <f>IF(CRM_MAGDY!G816="","BRAK TELEFONU",IF(CRM_MAGDY!K816="","BRAK KWOTY",IF(CRM_MAGDY!N816="","BRAK STATUSU",IF(CRM_MAGDY!C816="","BRAK DATY AKCJI",""))))</f>
        <v>BRAK TELEFONU</v>
      </c>
      <c r="F816" s="57" t="str">
        <f>CRM_MAGDY!W816</f>
        <v>BRAKI CRM</v>
      </c>
      <c r="G816" s="57">
        <f>CRM_MAGDY!K816</f>
        <v>0</v>
      </c>
      <c r="H816" s="57">
        <f>CRM_MAGDY!N816</f>
        <v>0</v>
      </c>
    </row>
    <row r="817" spans="1:8" ht="30" x14ac:dyDescent="0.25">
      <c r="A817" s="57">
        <f>CRM_MAGDY!H817</f>
        <v>6253</v>
      </c>
      <c r="B817" s="57">
        <f>CRM_MAGDY!I817</f>
        <v>0</v>
      </c>
      <c r="C817" s="57">
        <f>CRM_MAGDY!E817</f>
        <v>0</v>
      </c>
      <c r="D817" s="57">
        <f>CRM_MAGDY!V817</f>
        <v>0</v>
      </c>
      <c r="E817" s="57" t="str">
        <f>IF(CRM_MAGDY!G817="","BRAK TELEFONU",IF(CRM_MAGDY!K817="","BRAK KWOTY",IF(CRM_MAGDY!N817="","BRAK STATUSU",IF(CRM_MAGDY!C817="","BRAK DATY AKCJI",""))))</f>
        <v>BRAK TELEFONU</v>
      </c>
      <c r="F817" s="57" t="str">
        <f>CRM_MAGDY!W817</f>
        <v>BRAKI CRM</v>
      </c>
      <c r="G817" s="57">
        <f>CRM_MAGDY!K817</f>
        <v>0</v>
      </c>
      <c r="H817" s="57">
        <f>CRM_MAGDY!N817</f>
        <v>0</v>
      </c>
    </row>
    <row r="818" spans="1:8" ht="30" x14ac:dyDescent="0.25">
      <c r="A818" s="57">
        <f>CRM_MAGDY!H818</f>
        <v>6254</v>
      </c>
      <c r="B818" s="57">
        <f>CRM_MAGDY!I818</f>
        <v>0</v>
      </c>
      <c r="C818" s="57">
        <f>CRM_MAGDY!E818</f>
        <v>0</v>
      </c>
      <c r="D818" s="57">
        <f>CRM_MAGDY!V818</f>
        <v>0</v>
      </c>
      <c r="E818" s="57" t="str">
        <f>IF(CRM_MAGDY!G818="","BRAK TELEFONU",IF(CRM_MAGDY!K818="","BRAK KWOTY",IF(CRM_MAGDY!N818="","BRAK STATUSU",IF(CRM_MAGDY!C818="","BRAK DATY AKCJI",""))))</f>
        <v>BRAK TELEFONU</v>
      </c>
      <c r="F818" s="57" t="str">
        <f>CRM_MAGDY!W818</f>
        <v>BRAKI CRM</v>
      </c>
      <c r="G818" s="57">
        <f>CRM_MAGDY!K818</f>
        <v>0</v>
      </c>
      <c r="H818" s="57">
        <f>CRM_MAGDY!N818</f>
        <v>0</v>
      </c>
    </row>
    <row r="819" spans="1:8" ht="30" x14ac:dyDescent="0.25">
      <c r="A819" s="57">
        <f>CRM_MAGDY!H819</f>
        <v>6255</v>
      </c>
      <c r="B819" s="57">
        <f>CRM_MAGDY!I819</f>
        <v>0</v>
      </c>
      <c r="C819" s="57">
        <f>CRM_MAGDY!E819</f>
        <v>0</v>
      </c>
      <c r="D819" s="57">
        <f>CRM_MAGDY!V819</f>
        <v>0</v>
      </c>
      <c r="E819" s="57" t="str">
        <f>IF(CRM_MAGDY!G819="","BRAK TELEFONU",IF(CRM_MAGDY!K819="","BRAK KWOTY",IF(CRM_MAGDY!N819="","BRAK STATUSU",IF(CRM_MAGDY!C819="","BRAK DATY AKCJI",""))))</f>
        <v>BRAK TELEFONU</v>
      </c>
      <c r="F819" s="57" t="str">
        <f>CRM_MAGDY!W819</f>
        <v>BRAKI CRM</v>
      </c>
      <c r="G819" s="57">
        <f>CRM_MAGDY!K819</f>
        <v>0</v>
      </c>
      <c r="H819" s="57">
        <f>CRM_MAGDY!N819</f>
        <v>0</v>
      </c>
    </row>
    <row r="820" spans="1:8" ht="30" x14ac:dyDescent="0.25">
      <c r="A820" s="57">
        <f>CRM_MAGDY!H820</f>
        <v>6256</v>
      </c>
      <c r="B820" s="57">
        <f>CRM_MAGDY!I820</f>
        <v>0</v>
      </c>
      <c r="C820" s="57">
        <f>CRM_MAGDY!E820</f>
        <v>0</v>
      </c>
      <c r="D820" s="57">
        <f>CRM_MAGDY!V820</f>
        <v>0</v>
      </c>
      <c r="E820" s="57" t="str">
        <f>IF(CRM_MAGDY!G820="","BRAK TELEFONU",IF(CRM_MAGDY!K820="","BRAK KWOTY",IF(CRM_MAGDY!N820="","BRAK STATUSU",IF(CRM_MAGDY!C820="","BRAK DATY AKCJI",""))))</f>
        <v>BRAK TELEFONU</v>
      </c>
      <c r="F820" s="57" t="str">
        <f>CRM_MAGDY!W820</f>
        <v>BRAKI CRM</v>
      </c>
      <c r="G820" s="57">
        <f>CRM_MAGDY!K820</f>
        <v>0</v>
      </c>
      <c r="H820" s="57">
        <f>CRM_MAGDY!N820</f>
        <v>0</v>
      </c>
    </row>
    <row r="821" spans="1:8" ht="30" x14ac:dyDescent="0.25">
      <c r="A821" s="57">
        <f>CRM_MAGDY!H821</f>
        <v>6257</v>
      </c>
      <c r="B821" s="57">
        <f>CRM_MAGDY!I821</f>
        <v>0</v>
      </c>
      <c r="C821" s="57">
        <f>CRM_MAGDY!E821</f>
        <v>0</v>
      </c>
      <c r="D821" s="57">
        <f>CRM_MAGDY!V821</f>
        <v>0</v>
      </c>
      <c r="E821" s="57" t="str">
        <f>IF(CRM_MAGDY!G821="","BRAK TELEFONU",IF(CRM_MAGDY!K821="","BRAK KWOTY",IF(CRM_MAGDY!N821="","BRAK STATUSU",IF(CRM_MAGDY!C821="","BRAK DATY AKCJI",""))))</f>
        <v>BRAK TELEFONU</v>
      </c>
      <c r="F821" s="57" t="str">
        <f>CRM_MAGDY!W821</f>
        <v>BRAKI CRM</v>
      </c>
      <c r="G821" s="57">
        <f>CRM_MAGDY!K821</f>
        <v>0</v>
      </c>
      <c r="H821" s="57">
        <f>CRM_MAGDY!N821</f>
        <v>0</v>
      </c>
    </row>
    <row r="822" spans="1:8" ht="30" x14ac:dyDescent="0.25">
      <c r="A822" s="57">
        <f>CRM_MAGDY!H822</f>
        <v>6258</v>
      </c>
      <c r="B822" s="57">
        <f>CRM_MAGDY!I822</f>
        <v>0</v>
      </c>
      <c r="C822" s="57">
        <f>CRM_MAGDY!E822</f>
        <v>0</v>
      </c>
      <c r="D822" s="57">
        <f>CRM_MAGDY!V822</f>
        <v>0</v>
      </c>
      <c r="E822" s="57" t="str">
        <f>IF(CRM_MAGDY!G822="","BRAK TELEFONU",IF(CRM_MAGDY!K822="","BRAK KWOTY",IF(CRM_MAGDY!N822="","BRAK STATUSU",IF(CRM_MAGDY!C822="","BRAK DATY AKCJI",""))))</f>
        <v>BRAK TELEFONU</v>
      </c>
      <c r="F822" s="57" t="str">
        <f>CRM_MAGDY!W822</f>
        <v>BRAKI CRM</v>
      </c>
      <c r="G822" s="57">
        <f>CRM_MAGDY!K822</f>
        <v>0</v>
      </c>
      <c r="H822" s="57">
        <f>CRM_MAGDY!N822</f>
        <v>0</v>
      </c>
    </row>
    <row r="823" spans="1:8" ht="30" x14ac:dyDescent="0.25">
      <c r="A823" s="57">
        <f>CRM_MAGDY!H823</f>
        <v>6259</v>
      </c>
      <c r="B823" s="57">
        <f>CRM_MAGDY!I823</f>
        <v>0</v>
      </c>
      <c r="C823" s="57">
        <f>CRM_MAGDY!E823</f>
        <v>0</v>
      </c>
      <c r="D823" s="57">
        <f>CRM_MAGDY!V823</f>
        <v>0</v>
      </c>
      <c r="E823" s="57" t="str">
        <f>IF(CRM_MAGDY!G823="","BRAK TELEFONU",IF(CRM_MAGDY!K823="","BRAK KWOTY",IF(CRM_MAGDY!N823="","BRAK STATUSU",IF(CRM_MAGDY!C823="","BRAK DATY AKCJI",""))))</f>
        <v>BRAK TELEFONU</v>
      </c>
      <c r="F823" s="57" t="str">
        <f>CRM_MAGDY!W823</f>
        <v>BRAKI CRM</v>
      </c>
      <c r="G823" s="57">
        <f>CRM_MAGDY!K823</f>
        <v>0</v>
      </c>
      <c r="H823" s="57">
        <f>CRM_MAGDY!N823</f>
        <v>0</v>
      </c>
    </row>
    <row r="824" spans="1:8" ht="30" x14ac:dyDescent="0.25">
      <c r="A824" s="57">
        <f>CRM_MAGDY!H824</f>
        <v>6260</v>
      </c>
      <c r="B824" s="57">
        <f>CRM_MAGDY!I824</f>
        <v>0</v>
      </c>
      <c r="C824" s="57">
        <f>CRM_MAGDY!E824</f>
        <v>0</v>
      </c>
      <c r="D824" s="57">
        <f>CRM_MAGDY!V824</f>
        <v>0</v>
      </c>
      <c r="E824" s="57" t="str">
        <f>IF(CRM_MAGDY!G824="","BRAK TELEFONU",IF(CRM_MAGDY!K824="","BRAK KWOTY",IF(CRM_MAGDY!N824="","BRAK STATUSU",IF(CRM_MAGDY!C824="","BRAK DATY AKCJI",""))))</f>
        <v>BRAK TELEFONU</v>
      </c>
      <c r="F824" s="57" t="str">
        <f>CRM_MAGDY!W824</f>
        <v>BRAKI CRM</v>
      </c>
      <c r="G824" s="57">
        <f>CRM_MAGDY!K824</f>
        <v>0</v>
      </c>
      <c r="H824" s="57">
        <f>CRM_MAGDY!N824</f>
        <v>0</v>
      </c>
    </row>
    <row r="825" spans="1:8" ht="30" x14ac:dyDescent="0.25">
      <c r="A825" s="57">
        <f>CRM_MAGDY!H825</f>
        <v>6261</v>
      </c>
      <c r="B825" s="57">
        <f>CRM_MAGDY!I825</f>
        <v>0</v>
      </c>
      <c r="C825" s="57">
        <f>CRM_MAGDY!E825</f>
        <v>0</v>
      </c>
      <c r="D825" s="57">
        <f>CRM_MAGDY!V825</f>
        <v>0</v>
      </c>
      <c r="E825" s="57" t="str">
        <f>IF(CRM_MAGDY!G825="","BRAK TELEFONU",IF(CRM_MAGDY!K825="","BRAK KWOTY",IF(CRM_MAGDY!N825="","BRAK STATUSU",IF(CRM_MAGDY!C825="","BRAK DATY AKCJI",""))))</f>
        <v>BRAK TELEFONU</v>
      </c>
      <c r="F825" s="57" t="str">
        <f>CRM_MAGDY!W825</f>
        <v>BRAKI CRM</v>
      </c>
      <c r="G825" s="57">
        <f>CRM_MAGDY!K825</f>
        <v>0</v>
      </c>
      <c r="H825" s="57">
        <f>CRM_MAGDY!N825</f>
        <v>0</v>
      </c>
    </row>
    <row r="826" spans="1:8" ht="30" x14ac:dyDescent="0.25">
      <c r="A826" s="57">
        <f>CRM_MAGDY!H826</f>
        <v>6262</v>
      </c>
      <c r="B826" s="57">
        <f>CRM_MAGDY!I826</f>
        <v>0</v>
      </c>
      <c r="C826" s="57">
        <f>CRM_MAGDY!E826</f>
        <v>0</v>
      </c>
      <c r="D826" s="57">
        <f>CRM_MAGDY!V826</f>
        <v>0</v>
      </c>
      <c r="E826" s="57" t="str">
        <f>IF(CRM_MAGDY!G826="","BRAK TELEFONU",IF(CRM_MAGDY!K826="","BRAK KWOTY",IF(CRM_MAGDY!N826="","BRAK STATUSU",IF(CRM_MAGDY!C826="","BRAK DATY AKCJI",""))))</f>
        <v>BRAK TELEFONU</v>
      </c>
      <c r="F826" s="57" t="str">
        <f>CRM_MAGDY!W826</f>
        <v>BRAKI CRM</v>
      </c>
      <c r="G826" s="57">
        <f>CRM_MAGDY!K826</f>
        <v>0</v>
      </c>
      <c r="H826" s="57">
        <f>CRM_MAGDY!N826</f>
        <v>0</v>
      </c>
    </row>
    <row r="827" spans="1:8" ht="30" x14ac:dyDescent="0.25">
      <c r="A827" s="57">
        <f>CRM_MAGDY!H827</f>
        <v>6263</v>
      </c>
      <c r="B827" s="57">
        <f>CRM_MAGDY!I827</f>
        <v>0</v>
      </c>
      <c r="C827" s="57">
        <f>CRM_MAGDY!E827</f>
        <v>0</v>
      </c>
      <c r="D827" s="57">
        <f>CRM_MAGDY!V827</f>
        <v>0</v>
      </c>
      <c r="E827" s="57" t="str">
        <f>IF(CRM_MAGDY!G827="","BRAK TELEFONU",IF(CRM_MAGDY!K827="","BRAK KWOTY",IF(CRM_MAGDY!N827="","BRAK STATUSU",IF(CRM_MAGDY!C827="","BRAK DATY AKCJI",""))))</f>
        <v>BRAK TELEFONU</v>
      </c>
      <c r="F827" s="57" t="str">
        <f>CRM_MAGDY!W827</f>
        <v>BRAKI CRM</v>
      </c>
      <c r="G827" s="57">
        <f>CRM_MAGDY!K827</f>
        <v>0</v>
      </c>
      <c r="H827" s="57">
        <f>CRM_MAGDY!N827</f>
        <v>0</v>
      </c>
    </row>
    <row r="828" spans="1:8" ht="30" x14ac:dyDescent="0.25">
      <c r="A828" s="57">
        <f>CRM_MAGDY!H828</f>
        <v>6264</v>
      </c>
      <c r="B828" s="57">
        <f>CRM_MAGDY!I828</f>
        <v>0</v>
      </c>
      <c r="C828" s="57">
        <f>CRM_MAGDY!E828</f>
        <v>0</v>
      </c>
      <c r="D828" s="57">
        <f>CRM_MAGDY!V828</f>
        <v>0</v>
      </c>
      <c r="E828" s="57" t="str">
        <f>IF(CRM_MAGDY!G828="","BRAK TELEFONU",IF(CRM_MAGDY!K828="","BRAK KWOTY",IF(CRM_MAGDY!N828="","BRAK STATUSU",IF(CRM_MAGDY!C828="","BRAK DATY AKCJI",""))))</f>
        <v>BRAK TELEFONU</v>
      </c>
      <c r="F828" s="57" t="str">
        <f>CRM_MAGDY!W828</f>
        <v>BRAKI CRM</v>
      </c>
      <c r="G828" s="57">
        <f>CRM_MAGDY!K828</f>
        <v>0</v>
      </c>
      <c r="H828" s="57">
        <f>CRM_MAGDY!N828</f>
        <v>0</v>
      </c>
    </row>
    <row r="829" spans="1:8" ht="30" x14ac:dyDescent="0.25">
      <c r="A829" s="57">
        <f>CRM_MAGDY!H829</f>
        <v>6265</v>
      </c>
      <c r="B829" s="57">
        <f>CRM_MAGDY!I829</f>
        <v>0</v>
      </c>
      <c r="C829" s="57">
        <f>CRM_MAGDY!E829</f>
        <v>0</v>
      </c>
      <c r="D829" s="57">
        <f>CRM_MAGDY!V829</f>
        <v>0</v>
      </c>
      <c r="E829" s="57" t="str">
        <f>IF(CRM_MAGDY!G829="","BRAK TELEFONU",IF(CRM_MAGDY!K829="","BRAK KWOTY",IF(CRM_MAGDY!N829="","BRAK STATUSU",IF(CRM_MAGDY!C829="","BRAK DATY AKCJI",""))))</f>
        <v>BRAK TELEFONU</v>
      </c>
      <c r="F829" s="57" t="str">
        <f>CRM_MAGDY!W829</f>
        <v>BRAKI CRM</v>
      </c>
      <c r="G829" s="57">
        <f>CRM_MAGDY!K829</f>
        <v>0</v>
      </c>
      <c r="H829" s="57">
        <f>CRM_MAGDY!N829</f>
        <v>0</v>
      </c>
    </row>
    <row r="830" spans="1:8" ht="30" x14ac:dyDescent="0.25">
      <c r="A830" s="57">
        <f>CRM_MAGDY!H830</f>
        <v>6266</v>
      </c>
      <c r="B830" s="57">
        <f>CRM_MAGDY!I830</f>
        <v>0</v>
      </c>
      <c r="C830" s="57">
        <f>CRM_MAGDY!E830</f>
        <v>0</v>
      </c>
      <c r="D830" s="57">
        <f>CRM_MAGDY!V830</f>
        <v>0</v>
      </c>
      <c r="E830" s="57" t="str">
        <f>IF(CRM_MAGDY!G830="","BRAK TELEFONU",IF(CRM_MAGDY!K830="","BRAK KWOTY",IF(CRM_MAGDY!N830="","BRAK STATUSU",IF(CRM_MAGDY!C830="","BRAK DATY AKCJI",""))))</f>
        <v>BRAK TELEFONU</v>
      </c>
      <c r="F830" s="57" t="str">
        <f>CRM_MAGDY!W830</f>
        <v>BRAKI CRM</v>
      </c>
      <c r="G830" s="57">
        <f>CRM_MAGDY!K830</f>
        <v>0</v>
      </c>
      <c r="H830" s="57">
        <f>CRM_MAGDY!N830</f>
        <v>0</v>
      </c>
    </row>
    <row r="831" spans="1:8" ht="30" x14ac:dyDescent="0.25">
      <c r="A831" s="57">
        <f>CRM_MAGDY!H831</f>
        <v>6267</v>
      </c>
      <c r="B831" s="57">
        <f>CRM_MAGDY!I831</f>
        <v>0</v>
      </c>
      <c r="C831" s="57">
        <f>CRM_MAGDY!E831</f>
        <v>0</v>
      </c>
      <c r="D831" s="57">
        <f>CRM_MAGDY!V831</f>
        <v>0</v>
      </c>
      <c r="E831" s="57" t="str">
        <f>IF(CRM_MAGDY!G831="","BRAK TELEFONU",IF(CRM_MAGDY!K831="","BRAK KWOTY",IF(CRM_MAGDY!N831="","BRAK STATUSU",IF(CRM_MAGDY!C831="","BRAK DATY AKCJI",""))))</f>
        <v>BRAK TELEFONU</v>
      </c>
      <c r="F831" s="57" t="str">
        <f>CRM_MAGDY!W831</f>
        <v>BRAKI CRM</v>
      </c>
      <c r="G831" s="57">
        <f>CRM_MAGDY!K831</f>
        <v>0</v>
      </c>
      <c r="H831" s="57">
        <f>CRM_MAGDY!N831</f>
        <v>0</v>
      </c>
    </row>
    <row r="832" spans="1:8" ht="30" x14ac:dyDescent="0.25">
      <c r="A832" s="57">
        <f>CRM_MAGDY!H832</f>
        <v>6268</v>
      </c>
      <c r="B832" s="57">
        <f>CRM_MAGDY!I832</f>
        <v>0</v>
      </c>
      <c r="C832" s="57">
        <f>CRM_MAGDY!E832</f>
        <v>0</v>
      </c>
      <c r="D832" s="57">
        <f>CRM_MAGDY!V832</f>
        <v>0</v>
      </c>
      <c r="E832" s="57" t="str">
        <f>IF(CRM_MAGDY!G832="","BRAK TELEFONU",IF(CRM_MAGDY!K832="","BRAK KWOTY",IF(CRM_MAGDY!N832="","BRAK STATUSU",IF(CRM_MAGDY!C832="","BRAK DATY AKCJI",""))))</f>
        <v>BRAK TELEFONU</v>
      </c>
      <c r="F832" s="57" t="str">
        <f>CRM_MAGDY!W832</f>
        <v>BRAKI CRM</v>
      </c>
      <c r="G832" s="57">
        <f>CRM_MAGDY!K832</f>
        <v>0</v>
      </c>
      <c r="H832" s="57">
        <f>CRM_MAGDY!N832</f>
        <v>0</v>
      </c>
    </row>
    <row r="833" spans="1:8" ht="30" x14ac:dyDescent="0.25">
      <c r="A833" s="57">
        <f>CRM_MAGDY!H833</f>
        <v>6269</v>
      </c>
      <c r="B833" s="57">
        <f>CRM_MAGDY!I833</f>
        <v>0</v>
      </c>
      <c r="C833" s="57">
        <f>CRM_MAGDY!E833</f>
        <v>0</v>
      </c>
      <c r="D833" s="57">
        <f>CRM_MAGDY!V833</f>
        <v>0</v>
      </c>
      <c r="E833" s="57" t="str">
        <f>IF(CRM_MAGDY!G833="","BRAK TELEFONU",IF(CRM_MAGDY!K833="","BRAK KWOTY",IF(CRM_MAGDY!N833="","BRAK STATUSU",IF(CRM_MAGDY!C833="","BRAK DATY AKCJI",""))))</f>
        <v>BRAK TELEFONU</v>
      </c>
      <c r="F833" s="57" t="str">
        <f>CRM_MAGDY!W833</f>
        <v>BRAKI CRM</v>
      </c>
      <c r="G833" s="57">
        <f>CRM_MAGDY!K833</f>
        <v>0</v>
      </c>
      <c r="H833" s="57">
        <f>CRM_MAGDY!N833</f>
        <v>0</v>
      </c>
    </row>
    <row r="834" spans="1:8" ht="30" x14ac:dyDescent="0.25">
      <c r="A834" s="57">
        <f>CRM_MAGDY!H834</f>
        <v>6270</v>
      </c>
      <c r="B834" s="57">
        <f>CRM_MAGDY!I834</f>
        <v>0</v>
      </c>
      <c r="C834" s="57">
        <f>CRM_MAGDY!E834</f>
        <v>0</v>
      </c>
      <c r="D834" s="57">
        <f>CRM_MAGDY!V834</f>
        <v>0</v>
      </c>
      <c r="E834" s="57" t="str">
        <f>IF(CRM_MAGDY!G834="","BRAK TELEFONU",IF(CRM_MAGDY!K834="","BRAK KWOTY",IF(CRM_MAGDY!N834="","BRAK STATUSU",IF(CRM_MAGDY!C834="","BRAK DATY AKCJI",""))))</f>
        <v>BRAK TELEFONU</v>
      </c>
      <c r="F834" s="57" t="str">
        <f>CRM_MAGDY!W834</f>
        <v>BRAKI CRM</v>
      </c>
      <c r="G834" s="57">
        <f>CRM_MAGDY!K834</f>
        <v>0</v>
      </c>
      <c r="H834" s="57">
        <f>CRM_MAGDY!N834</f>
        <v>0</v>
      </c>
    </row>
    <row r="835" spans="1:8" ht="30" x14ac:dyDescent="0.25">
      <c r="A835" s="57">
        <f>CRM_MAGDY!H835</f>
        <v>6271</v>
      </c>
      <c r="B835" s="57">
        <f>CRM_MAGDY!I835</f>
        <v>0</v>
      </c>
      <c r="C835" s="57">
        <f>CRM_MAGDY!E835</f>
        <v>0</v>
      </c>
      <c r="D835" s="57">
        <f>CRM_MAGDY!V835</f>
        <v>0</v>
      </c>
      <c r="E835" s="57" t="str">
        <f>IF(CRM_MAGDY!G835="","BRAK TELEFONU",IF(CRM_MAGDY!K835="","BRAK KWOTY",IF(CRM_MAGDY!N835="","BRAK STATUSU",IF(CRM_MAGDY!C835="","BRAK DATY AKCJI",""))))</f>
        <v>BRAK TELEFONU</v>
      </c>
      <c r="F835" s="57" t="str">
        <f>CRM_MAGDY!W835</f>
        <v>BRAKI CRM</v>
      </c>
      <c r="G835" s="57">
        <f>CRM_MAGDY!K835</f>
        <v>0</v>
      </c>
      <c r="H835" s="57">
        <f>CRM_MAGDY!N835</f>
        <v>0</v>
      </c>
    </row>
    <row r="836" spans="1:8" ht="30" x14ac:dyDescent="0.25">
      <c r="A836" s="57">
        <f>CRM_MAGDY!H836</f>
        <v>6272</v>
      </c>
      <c r="B836" s="57">
        <f>CRM_MAGDY!I836</f>
        <v>0</v>
      </c>
      <c r="C836" s="57">
        <f>CRM_MAGDY!E836</f>
        <v>0</v>
      </c>
      <c r="D836" s="57">
        <f>CRM_MAGDY!V836</f>
        <v>0</v>
      </c>
      <c r="E836" s="57" t="str">
        <f>IF(CRM_MAGDY!G836="","BRAK TELEFONU",IF(CRM_MAGDY!K836="","BRAK KWOTY",IF(CRM_MAGDY!N836="","BRAK STATUSU",IF(CRM_MAGDY!C836="","BRAK DATY AKCJI",""))))</f>
        <v>BRAK TELEFONU</v>
      </c>
      <c r="F836" s="57" t="str">
        <f>CRM_MAGDY!W836</f>
        <v>BRAKI CRM</v>
      </c>
      <c r="G836" s="57">
        <f>CRM_MAGDY!K836</f>
        <v>0</v>
      </c>
      <c r="H836" s="57">
        <f>CRM_MAGDY!N836</f>
        <v>0</v>
      </c>
    </row>
    <row r="837" spans="1:8" ht="30" x14ac:dyDescent="0.25">
      <c r="A837" s="57">
        <f>CRM_MAGDY!H837</f>
        <v>6273</v>
      </c>
      <c r="B837" s="57">
        <f>CRM_MAGDY!I837</f>
        <v>0</v>
      </c>
      <c r="C837" s="57">
        <f>CRM_MAGDY!E837</f>
        <v>0</v>
      </c>
      <c r="D837" s="57">
        <f>CRM_MAGDY!V837</f>
        <v>0</v>
      </c>
      <c r="E837" s="57" t="str">
        <f>IF(CRM_MAGDY!G837="","BRAK TELEFONU",IF(CRM_MAGDY!K837="","BRAK KWOTY",IF(CRM_MAGDY!N837="","BRAK STATUSU",IF(CRM_MAGDY!C837="","BRAK DATY AKCJI",""))))</f>
        <v>BRAK TELEFONU</v>
      </c>
      <c r="F837" s="57" t="str">
        <f>CRM_MAGDY!W837</f>
        <v>BRAKI CRM</v>
      </c>
      <c r="G837" s="57">
        <f>CRM_MAGDY!K837</f>
        <v>0</v>
      </c>
      <c r="H837" s="57">
        <f>CRM_MAGDY!N837</f>
        <v>0</v>
      </c>
    </row>
    <row r="838" spans="1:8" ht="30" x14ac:dyDescent="0.25">
      <c r="A838" s="57">
        <f>CRM_MAGDY!H838</f>
        <v>6274</v>
      </c>
      <c r="B838" s="57">
        <f>CRM_MAGDY!I838</f>
        <v>0</v>
      </c>
      <c r="C838" s="57">
        <f>CRM_MAGDY!E838</f>
        <v>0</v>
      </c>
      <c r="D838" s="57">
        <f>CRM_MAGDY!V838</f>
        <v>0</v>
      </c>
      <c r="E838" s="57" t="str">
        <f>IF(CRM_MAGDY!G838="","BRAK TELEFONU",IF(CRM_MAGDY!K838="","BRAK KWOTY",IF(CRM_MAGDY!N838="","BRAK STATUSU",IF(CRM_MAGDY!C838="","BRAK DATY AKCJI",""))))</f>
        <v>BRAK TELEFONU</v>
      </c>
      <c r="F838" s="57" t="str">
        <f>CRM_MAGDY!W838</f>
        <v>BRAKI CRM</v>
      </c>
      <c r="G838" s="57">
        <f>CRM_MAGDY!K838</f>
        <v>0</v>
      </c>
      <c r="H838" s="57">
        <f>CRM_MAGDY!N838</f>
        <v>0</v>
      </c>
    </row>
    <row r="839" spans="1:8" ht="30" x14ac:dyDescent="0.25">
      <c r="A839" s="57">
        <f>CRM_MAGDY!H839</f>
        <v>6275</v>
      </c>
      <c r="B839" s="57">
        <f>CRM_MAGDY!I839</f>
        <v>0</v>
      </c>
      <c r="C839" s="57">
        <f>CRM_MAGDY!E839</f>
        <v>0</v>
      </c>
      <c r="D839" s="57">
        <f>CRM_MAGDY!V839</f>
        <v>0</v>
      </c>
      <c r="E839" s="57" t="str">
        <f>IF(CRM_MAGDY!G839="","BRAK TELEFONU",IF(CRM_MAGDY!K839="","BRAK KWOTY",IF(CRM_MAGDY!N839="","BRAK STATUSU",IF(CRM_MAGDY!C839="","BRAK DATY AKCJI",""))))</f>
        <v>BRAK TELEFONU</v>
      </c>
      <c r="F839" s="57" t="str">
        <f>CRM_MAGDY!W839</f>
        <v>BRAKI CRM</v>
      </c>
      <c r="G839" s="57">
        <f>CRM_MAGDY!K839</f>
        <v>0</v>
      </c>
      <c r="H839" s="57">
        <f>CRM_MAGDY!N839</f>
        <v>0</v>
      </c>
    </row>
    <row r="840" spans="1:8" ht="30" x14ac:dyDescent="0.25">
      <c r="A840" s="57">
        <f>CRM_MAGDY!H840</f>
        <v>6276</v>
      </c>
      <c r="B840" s="57">
        <f>CRM_MAGDY!I840</f>
        <v>0</v>
      </c>
      <c r="C840" s="57">
        <f>CRM_MAGDY!E840</f>
        <v>0</v>
      </c>
      <c r="D840" s="57">
        <f>CRM_MAGDY!V840</f>
        <v>0</v>
      </c>
      <c r="E840" s="57" t="str">
        <f>IF(CRM_MAGDY!G840="","BRAK TELEFONU",IF(CRM_MAGDY!K840="","BRAK KWOTY",IF(CRM_MAGDY!N840="","BRAK STATUSU",IF(CRM_MAGDY!C840="","BRAK DATY AKCJI",""))))</f>
        <v>BRAK TELEFONU</v>
      </c>
      <c r="F840" s="57" t="str">
        <f>CRM_MAGDY!W840</f>
        <v>BRAKI CRM</v>
      </c>
      <c r="G840" s="57">
        <f>CRM_MAGDY!K840</f>
        <v>0</v>
      </c>
      <c r="H840" s="57">
        <f>CRM_MAGDY!N840</f>
        <v>0</v>
      </c>
    </row>
    <row r="841" spans="1:8" ht="30" x14ac:dyDescent="0.25">
      <c r="A841" s="57">
        <f>CRM_MAGDY!H841</f>
        <v>6277</v>
      </c>
      <c r="B841" s="57">
        <f>CRM_MAGDY!I841</f>
        <v>0</v>
      </c>
      <c r="C841" s="57">
        <f>CRM_MAGDY!E841</f>
        <v>0</v>
      </c>
      <c r="D841" s="57">
        <f>CRM_MAGDY!V841</f>
        <v>0</v>
      </c>
      <c r="E841" s="57" t="str">
        <f>IF(CRM_MAGDY!G841="","BRAK TELEFONU",IF(CRM_MAGDY!K841="","BRAK KWOTY",IF(CRM_MAGDY!N841="","BRAK STATUSU",IF(CRM_MAGDY!C841="","BRAK DATY AKCJI",""))))</f>
        <v>BRAK TELEFONU</v>
      </c>
      <c r="F841" s="57" t="str">
        <f>CRM_MAGDY!W841</f>
        <v>BRAKI CRM</v>
      </c>
      <c r="G841" s="57">
        <f>CRM_MAGDY!K841</f>
        <v>0</v>
      </c>
      <c r="H841" s="57">
        <f>CRM_MAGDY!N841</f>
        <v>0</v>
      </c>
    </row>
    <row r="842" spans="1:8" ht="30" x14ac:dyDescent="0.25">
      <c r="A842" s="57">
        <f>CRM_MAGDY!H842</f>
        <v>6278</v>
      </c>
      <c r="B842" s="57">
        <f>CRM_MAGDY!I842</f>
        <v>0</v>
      </c>
      <c r="C842" s="57">
        <f>CRM_MAGDY!E842</f>
        <v>0</v>
      </c>
      <c r="D842" s="57">
        <f>CRM_MAGDY!V842</f>
        <v>0</v>
      </c>
      <c r="E842" s="57" t="str">
        <f>IF(CRM_MAGDY!G842="","BRAK TELEFONU",IF(CRM_MAGDY!K842="","BRAK KWOTY",IF(CRM_MAGDY!N842="","BRAK STATUSU",IF(CRM_MAGDY!C842="","BRAK DATY AKCJI",""))))</f>
        <v>BRAK TELEFONU</v>
      </c>
      <c r="F842" s="57" t="str">
        <f>CRM_MAGDY!W842</f>
        <v>BRAKI CRM</v>
      </c>
      <c r="G842" s="57">
        <f>CRM_MAGDY!K842</f>
        <v>0</v>
      </c>
      <c r="H842" s="57">
        <f>CRM_MAGDY!N842</f>
        <v>0</v>
      </c>
    </row>
    <row r="843" spans="1:8" ht="30" x14ac:dyDescent="0.25">
      <c r="A843" s="57">
        <f>CRM_MAGDY!H843</f>
        <v>6279</v>
      </c>
      <c r="B843" s="57">
        <f>CRM_MAGDY!I843</f>
        <v>0</v>
      </c>
      <c r="C843" s="57">
        <f>CRM_MAGDY!E843</f>
        <v>0</v>
      </c>
      <c r="D843" s="57">
        <f>CRM_MAGDY!V843</f>
        <v>0</v>
      </c>
      <c r="E843" s="57" t="str">
        <f>IF(CRM_MAGDY!G843="","BRAK TELEFONU",IF(CRM_MAGDY!K843="","BRAK KWOTY",IF(CRM_MAGDY!N843="","BRAK STATUSU",IF(CRM_MAGDY!C843="","BRAK DATY AKCJI",""))))</f>
        <v>BRAK TELEFONU</v>
      </c>
      <c r="F843" s="57" t="str">
        <f>CRM_MAGDY!W843</f>
        <v>BRAKI CRM</v>
      </c>
      <c r="G843" s="57">
        <f>CRM_MAGDY!K843</f>
        <v>0</v>
      </c>
      <c r="H843" s="57">
        <f>CRM_MAGDY!N843</f>
        <v>0</v>
      </c>
    </row>
    <row r="844" spans="1:8" ht="30" x14ac:dyDescent="0.25">
      <c r="A844" s="57">
        <f>CRM_MAGDY!H844</f>
        <v>6280</v>
      </c>
      <c r="B844" s="57">
        <f>CRM_MAGDY!I844</f>
        <v>0</v>
      </c>
      <c r="C844" s="57">
        <f>CRM_MAGDY!E844</f>
        <v>0</v>
      </c>
      <c r="D844" s="57">
        <f>CRM_MAGDY!V844</f>
        <v>0</v>
      </c>
      <c r="E844" s="57" t="str">
        <f>IF(CRM_MAGDY!G844="","BRAK TELEFONU",IF(CRM_MAGDY!K844="","BRAK KWOTY",IF(CRM_MAGDY!N844="","BRAK STATUSU",IF(CRM_MAGDY!C844="","BRAK DATY AKCJI",""))))</f>
        <v>BRAK TELEFONU</v>
      </c>
      <c r="F844" s="57" t="str">
        <f>CRM_MAGDY!W844</f>
        <v>BRAKI CRM</v>
      </c>
      <c r="G844" s="57">
        <f>CRM_MAGDY!K844</f>
        <v>0</v>
      </c>
      <c r="H844" s="57">
        <f>CRM_MAGDY!N844</f>
        <v>0</v>
      </c>
    </row>
    <row r="845" spans="1:8" ht="30" x14ac:dyDescent="0.25">
      <c r="A845" s="57">
        <f>CRM_MAGDY!H845</f>
        <v>6281</v>
      </c>
      <c r="B845" s="57">
        <f>CRM_MAGDY!I845</f>
        <v>0</v>
      </c>
      <c r="C845" s="57">
        <f>CRM_MAGDY!E845</f>
        <v>0</v>
      </c>
      <c r="D845" s="57">
        <f>CRM_MAGDY!V845</f>
        <v>0</v>
      </c>
      <c r="E845" s="57" t="str">
        <f>IF(CRM_MAGDY!G845="","BRAK TELEFONU",IF(CRM_MAGDY!K845="","BRAK KWOTY",IF(CRM_MAGDY!N845="","BRAK STATUSU",IF(CRM_MAGDY!C845="","BRAK DATY AKCJI",""))))</f>
        <v>BRAK TELEFONU</v>
      </c>
      <c r="F845" s="57" t="str">
        <f>CRM_MAGDY!W845</f>
        <v>BRAKI CRM</v>
      </c>
      <c r="G845" s="57">
        <f>CRM_MAGDY!K845</f>
        <v>0</v>
      </c>
      <c r="H845" s="57">
        <f>CRM_MAGDY!N845</f>
        <v>0</v>
      </c>
    </row>
    <row r="846" spans="1:8" ht="30" x14ac:dyDescent="0.25">
      <c r="A846" s="57">
        <f>CRM_MAGDY!H846</f>
        <v>6282</v>
      </c>
      <c r="B846" s="57">
        <f>CRM_MAGDY!I846</f>
        <v>0</v>
      </c>
      <c r="C846" s="57">
        <f>CRM_MAGDY!E846</f>
        <v>0</v>
      </c>
      <c r="D846" s="57">
        <f>CRM_MAGDY!V846</f>
        <v>0</v>
      </c>
      <c r="E846" s="57" t="str">
        <f>IF(CRM_MAGDY!G846="","BRAK TELEFONU",IF(CRM_MAGDY!K846="","BRAK KWOTY",IF(CRM_MAGDY!N846="","BRAK STATUSU",IF(CRM_MAGDY!C846="","BRAK DATY AKCJI",""))))</f>
        <v>BRAK TELEFONU</v>
      </c>
      <c r="F846" s="57" t="str">
        <f>CRM_MAGDY!W846</f>
        <v>BRAKI CRM</v>
      </c>
      <c r="G846" s="57">
        <f>CRM_MAGDY!K846</f>
        <v>0</v>
      </c>
      <c r="H846" s="57">
        <f>CRM_MAGDY!N846</f>
        <v>0</v>
      </c>
    </row>
    <row r="847" spans="1:8" ht="30" x14ac:dyDescent="0.25">
      <c r="A847" s="57">
        <f>CRM_MAGDY!H847</f>
        <v>6283</v>
      </c>
      <c r="B847" s="57">
        <f>CRM_MAGDY!I847</f>
        <v>0</v>
      </c>
      <c r="C847" s="57">
        <f>CRM_MAGDY!E847</f>
        <v>0</v>
      </c>
      <c r="D847" s="57">
        <f>CRM_MAGDY!V847</f>
        <v>0</v>
      </c>
      <c r="E847" s="57" t="str">
        <f>IF(CRM_MAGDY!G847="","BRAK TELEFONU",IF(CRM_MAGDY!K847="","BRAK KWOTY",IF(CRM_MAGDY!N847="","BRAK STATUSU",IF(CRM_MAGDY!C847="","BRAK DATY AKCJI",""))))</f>
        <v>BRAK TELEFONU</v>
      </c>
      <c r="F847" s="57" t="str">
        <f>CRM_MAGDY!W847</f>
        <v>BRAKI CRM</v>
      </c>
      <c r="G847" s="57">
        <f>CRM_MAGDY!K847</f>
        <v>0</v>
      </c>
      <c r="H847" s="57">
        <f>CRM_MAGDY!N847</f>
        <v>0</v>
      </c>
    </row>
    <row r="848" spans="1:8" ht="30" x14ac:dyDescent="0.25">
      <c r="A848" s="57">
        <f>CRM_MAGDY!H848</f>
        <v>6284</v>
      </c>
      <c r="B848" s="57">
        <f>CRM_MAGDY!I848</f>
        <v>0</v>
      </c>
      <c r="C848" s="57">
        <f>CRM_MAGDY!E848</f>
        <v>0</v>
      </c>
      <c r="D848" s="57">
        <f>CRM_MAGDY!V848</f>
        <v>0</v>
      </c>
      <c r="E848" s="57" t="str">
        <f>IF(CRM_MAGDY!G848="","BRAK TELEFONU",IF(CRM_MAGDY!K848="","BRAK KWOTY",IF(CRM_MAGDY!N848="","BRAK STATUSU",IF(CRM_MAGDY!C848="","BRAK DATY AKCJI",""))))</f>
        <v>BRAK TELEFONU</v>
      </c>
      <c r="F848" s="57" t="str">
        <f>CRM_MAGDY!W848</f>
        <v>BRAKI CRM</v>
      </c>
      <c r="G848" s="57">
        <f>CRM_MAGDY!K848</f>
        <v>0</v>
      </c>
      <c r="H848" s="57">
        <f>CRM_MAGDY!N848</f>
        <v>0</v>
      </c>
    </row>
    <row r="849" spans="1:8" ht="30" x14ac:dyDescent="0.25">
      <c r="A849" s="57">
        <f>CRM_MAGDY!H849</f>
        <v>6285</v>
      </c>
      <c r="B849" s="57">
        <f>CRM_MAGDY!I849</f>
        <v>0</v>
      </c>
      <c r="C849" s="57">
        <f>CRM_MAGDY!E849</f>
        <v>0</v>
      </c>
      <c r="D849" s="57">
        <f>CRM_MAGDY!V849</f>
        <v>0</v>
      </c>
      <c r="E849" s="57" t="str">
        <f>IF(CRM_MAGDY!G849="","BRAK TELEFONU",IF(CRM_MAGDY!K849="","BRAK KWOTY",IF(CRM_MAGDY!N849="","BRAK STATUSU",IF(CRM_MAGDY!C849="","BRAK DATY AKCJI",""))))</f>
        <v>BRAK TELEFONU</v>
      </c>
      <c r="F849" s="57" t="str">
        <f>CRM_MAGDY!W849</f>
        <v>BRAKI CRM</v>
      </c>
      <c r="G849" s="57">
        <f>CRM_MAGDY!K849</f>
        <v>0</v>
      </c>
      <c r="H849" s="57">
        <f>CRM_MAGDY!N849</f>
        <v>0</v>
      </c>
    </row>
    <row r="850" spans="1:8" ht="30" x14ac:dyDescent="0.25">
      <c r="A850" s="57">
        <f>CRM_MAGDY!H850</f>
        <v>6286</v>
      </c>
      <c r="B850" s="57">
        <f>CRM_MAGDY!I850</f>
        <v>0</v>
      </c>
      <c r="C850" s="57">
        <f>CRM_MAGDY!E850</f>
        <v>0</v>
      </c>
      <c r="D850" s="57">
        <f>CRM_MAGDY!V850</f>
        <v>0</v>
      </c>
      <c r="E850" s="57" t="str">
        <f>IF(CRM_MAGDY!G850="","BRAK TELEFONU",IF(CRM_MAGDY!K850="","BRAK KWOTY",IF(CRM_MAGDY!N850="","BRAK STATUSU",IF(CRM_MAGDY!C850="","BRAK DATY AKCJI",""))))</f>
        <v>BRAK TELEFONU</v>
      </c>
      <c r="F850" s="57" t="str">
        <f>CRM_MAGDY!W850</f>
        <v>BRAKI CRM</v>
      </c>
      <c r="G850" s="57">
        <f>CRM_MAGDY!K850</f>
        <v>0</v>
      </c>
      <c r="H850" s="57">
        <f>CRM_MAGDY!N850</f>
        <v>0</v>
      </c>
    </row>
    <row r="851" spans="1:8" ht="30" x14ac:dyDescent="0.25">
      <c r="A851" s="57">
        <f>CRM_MAGDY!H851</f>
        <v>6287</v>
      </c>
      <c r="B851" s="57">
        <f>CRM_MAGDY!I851</f>
        <v>0</v>
      </c>
      <c r="C851" s="57">
        <f>CRM_MAGDY!E851</f>
        <v>0</v>
      </c>
      <c r="D851" s="57">
        <f>CRM_MAGDY!V851</f>
        <v>0</v>
      </c>
      <c r="E851" s="57" t="str">
        <f>IF(CRM_MAGDY!G851="","BRAK TELEFONU",IF(CRM_MAGDY!K851="","BRAK KWOTY",IF(CRM_MAGDY!N851="","BRAK STATUSU",IF(CRM_MAGDY!C851="","BRAK DATY AKCJI",""))))</f>
        <v>BRAK TELEFONU</v>
      </c>
      <c r="F851" s="57" t="str">
        <f>CRM_MAGDY!W851</f>
        <v>BRAKI CRM</v>
      </c>
      <c r="G851" s="57">
        <f>CRM_MAGDY!K851</f>
        <v>0</v>
      </c>
      <c r="H851" s="57">
        <f>CRM_MAGDY!N851</f>
        <v>0</v>
      </c>
    </row>
    <row r="852" spans="1:8" ht="30" x14ac:dyDescent="0.25">
      <c r="A852" s="57">
        <f>CRM_MAGDY!H852</f>
        <v>6288</v>
      </c>
      <c r="B852" s="57">
        <f>CRM_MAGDY!I852</f>
        <v>0</v>
      </c>
      <c r="C852" s="57">
        <f>CRM_MAGDY!E852</f>
        <v>0</v>
      </c>
      <c r="D852" s="57">
        <f>CRM_MAGDY!V852</f>
        <v>0</v>
      </c>
      <c r="E852" s="57" t="str">
        <f>IF(CRM_MAGDY!G852="","BRAK TELEFONU",IF(CRM_MAGDY!K852="","BRAK KWOTY",IF(CRM_MAGDY!N852="","BRAK STATUSU",IF(CRM_MAGDY!C852="","BRAK DATY AKCJI",""))))</f>
        <v>BRAK TELEFONU</v>
      </c>
      <c r="F852" s="57" t="str">
        <f>CRM_MAGDY!W852</f>
        <v>BRAKI CRM</v>
      </c>
      <c r="G852" s="57">
        <f>CRM_MAGDY!K852</f>
        <v>0</v>
      </c>
      <c r="H852" s="57">
        <f>CRM_MAGDY!N852</f>
        <v>0</v>
      </c>
    </row>
    <row r="853" spans="1:8" ht="30" x14ac:dyDescent="0.25">
      <c r="A853" s="57">
        <f>CRM_MAGDY!H853</f>
        <v>6289</v>
      </c>
      <c r="B853" s="57">
        <f>CRM_MAGDY!I853</f>
        <v>0</v>
      </c>
      <c r="C853" s="57">
        <f>CRM_MAGDY!E853</f>
        <v>0</v>
      </c>
      <c r="D853" s="57">
        <f>CRM_MAGDY!V853</f>
        <v>0</v>
      </c>
      <c r="E853" s="57" t="str">
        <f>IF(CRM_MAGDY!G853="","BRAK TELEFONU",IF(CRM_MAGDY!K853="","BRAK KWOTY",IF(CRM_MAGDY!N853="","BRAK STATUSU",IF(CRM_MAGDY!C853="","BRAK DATY AKCJI",""))))</f>
        <v>BRAK TELEFONU</v>
      </c>
      <c r="F853" s="57" t="str">
        <f>CRM_MAGDY!W853</f>
        <v>BRAKI CRM</v>
      </c>
      <c r="G853" s="57">
        <f>CRM_MAGDY!K853</f>
        <v>0</v>
      </c>
      <c r="H853" s="57">
        <f>CRM_MAGDY!N853</f>
        <v>0</v>
      </c>
    </row>
    <row r="854" spans="1:8" ht="30" x14ac:dyDescent="0.25">
      <c r="A854" s="57">
        <f>CRM_MAGDY!H854</f>
        <v>6290</v>
      </c>
      <c r="B854" s="57">
        <f>CRM_MAGDY!I854</f>
        <v>0</v>
      </c>
      <c r="C854" s="57">
        <f>CRM_MAGDY!E854</f>
        <v>0</v>
      </c>
      <c r="D854" s="57">
        <f>CRM_MAGDY!V854</f>
        <v>0</v>
      </c>
      <c r="E854" s="57" t="str">
        <f>IF(CRM_MAGDY!G854="","BRAK TELEFONU",IF(CRM_MAGDY!K854="","BRAK KWOTY",IF(CRM_MAGDY!N854="","BRAK STATUSU",IF(CRM_MAGDY!C854="","BRAK DATY AKCJI",""))))</f>
        <v>BRAK TELEFONU</v>
      </c>
      <c r="F854" s="57" t="str">
        <f>CRM_MAGDY!W854</f>
        <v>BRAKI CRM</v>
      </c>
      <c r="G854" s="57">
        <f>CRM_MAGDY!K854</f>
        <v>0</v>
      </c>
      <c r="H854" s="57">
        <f>CRM_MAGDY!N854</f>
        <v>0</v>
      </c>
    </row>
    <row r="855" spans="1:8" ht="30" x14ac:dyDescent="0.25">
      <c r="A855" s="57">
        <f>CRM_MAGDY!H855</f>
        <v>6291</v>
      </c>
      <c r="B855" s="57">
        <f>CRM_MAGDY!I855</f>
        <v>0</v>
      </c>
      <c r="C855" s="57">
        <f>CRM_MAGDY!E855</f>
        <v>0</v>
      </c>
      <c r="D855" s="57">
        <f>CRM_MAGDY!V855</f>
        <v>0</v>
      </c>
      <c r="E855" s="57" t="str">
        <f>IF(CRM_MAGDY!G855="","BRAK TELEFONU",IF(CRM_MAGDY!K855="","BRAK KWOTY",IF(CRM_MAGDY!N855="","BRAK STATUSU",IF(CRM_MAGDY!C855="","BRAK DATY AKCJI",""))))</f>
        <v>BRAK TELEFONU</v>
      </c>
      <c r="F855" s="57" t="str">
        <f>CRM_MAGDY!W855</f>
        <v>BRAKI CRM</v>
      </c>
      <c r="G855" s="57">
        <f>CRM_MAGDY!K855</f>
        <v>0</v>
      </c>
      <c r="H855" s="57">
        <f>CRM_MAGDY!N855</f>
        <v>0</v>
      </c>
    </row>
    <row r="856" spans="1:8" ht="30" x14ac:dyDescent="0.25">
      <c r="A856" s="57">
        <f>CRM_MAGDY!H856</f>
        <v>6292</v>
      </c>
      <c r="B856" s="57">
        <f>CRM_MAGDY!I856</f>
        <v>0</v>
      </c>
      <c r="C856" s="57">
        <f>CRM_MAGDY!E856</f>
        <v>0</v>
      </c>
      <c r="D856" s="57">
        <f>CRM_MAGDY!V856</f>
        <v>0</v>
      </c>
      <c r="E856" s="57" t="str">
        <f>IF(CRM_MAGDY!G856="","BRAK TELEFONU",IF(CRM_MAGDY!K856="","BRAK KWOTY",IF(CRM_MAGDY!N856="","BRAK STATUSU",IF(CRM_MAGDY!C856="","BRAK DATY AKCJI",""))))</f>
        <v>BRAK TELEFONU</v>
      </c>
      <c r="F856" s="57" t="str">
        <f>CRM_MAGDY!W856</f>
        <v>BRAKI CRM</v>
      </c>
      <c r="G856" s="57">
        <f>CRM_MAGDY!K856</f>
        <v>0</v>
      </c>
      <c r="H856" s="57">
        <f>CRM_MAGDY!N856</f>
        <v>0</v>
      </c>
    </row>
    <row r="857" spans="1:8" ht="30" x14ac:dyDescent="0.25">
      <c r="A857" s="57">
        <f>CRM_MAGDY!H857</f>
        <v>6293</v>
      </c>
      <c r="B857" s="57">
        <f>CRM_MAGDY!I857</f>
        <v>0</v>
      </c>
      <c r="C857" s="57">
        <f>CRM_MAGDY!E857</f>
        <v>0</v>
      </c>
      <c r="D857" s="57">
        <f>CRM_MAGDY!V857</f>
        <v>0</v>
      </c>
      <c r="E857" s="57" t="str">
        <f>IF(CRM_MAGDY!G857="","BRAK TELEFONU",IF(CRM_MAGDY!K857="","BRAK KWOTY",IF(CRM_MAGDY!N857="","BRAK STATUSU",IF(CRM_MAGDY!C857="","BRAK DATY AKCJI",""))))</f>
        <v>BRAK TELEFONU</v>
      </c>
      <c r="F857" s="57" t="str">
        <f>CRM_MAGDY!W857</f>
        <v>BRAKI CRM</v>
      </c>
      <c r="G857" s="57">
        <f>CRM_MAGDY!K857</f>
        <v>0</v>
      </c>
      <c r="H857" s="57">
        <f>CRM_MAGDY!N857</f>
        <v>0</v>
      </c>
    </row>
    <row r="858" spans="1:8" ht="30" x14ac:dyDescent="0.25">
      <c r="A858" s="57">
        <f>CRM_MAGDY!H858</f>
        <v>6294</v>
      </c>
      <c r="B858" s="57">
        <f>CRM_MAGDY!I858</f>
        <v>0</v>
      </c>
      <c r="C858" s="57">
        <f>CRM_MAGDY!E858</f>
        <v>0</v>
      </c>
      <c r="D858" s="57">
        <f>CRM_MAGDY!V858</f>
        <v>0</v>
      </c>
      <c r="E858" s="57" t="str">
        <f>IF(CRM_MAGDY!G858="","BRAK TELEFONU",IF(CRM_MAGDY!K858="","BRAK KWOTY",IF(CRM_MAGDY!N858="","BRAK STATUSU",IF(CRM_MAGDY!C858="","BRAK DATY AKCJI",""))))</f>
        <v>BRAK TELEFONU</v>
      </c>
      <c r="F858" s="57" t="str">
        <f>CRM_MAGDY!W858</f>
        <v>BRAKI CRM</v>
      </c>
      <c r="G858" s="57">
        <f>CRM_MAGDY!K858</f>
        <v>0</v>
      </c>
      <c r="H858" s="57">
        <f>CRM_MAGDY!N858</f>
        <v>0</v>
      </c>
    </row>
    <row r="859" spans="1:8" ht="30" x14ac:dyDescent="0.25">
      <c r="A859" s="57">
        <f>CRM_MAGDY!H859</f>
        <v>6295</v>
      </c>
      <c r="B859" s="57">
        <f>CRM_MAGDY!I859</f>
        <v>0</v>
      </c>
      <c r="C859" s="57">
        <f>CRM_MAGDY!E859</f>
        <v>0</v>
      </c>
      <c r="D859" s="57">
        <f>CRM_MAGDY!V859</f>
        <v>0</v>
      </c>
      <c r="E859" s="57" t="str">
        <f>IF(CRM_MAGDY!G859="","BRAK TELEFONU",IF(CRM_MAGDY!K859="","BRAK KWOTY",IF(CRM_MAGDY!N859="","BRAK STATUSU",IF(CRM_MAGDY!C859="","BRAK DATY AKCJI",""))))</f>
        <v>BRAK TELEFONU</v>
      </c>
      <c r="F859" s="57" t="str">
        <f>CRM_MAGDY!W859</f>
        <v>BRAKI CRM</v>
      </c>
      <c r="G859" s="57">
        <f>CRM_MAGDY!K859</f>
        <v>0</v>
      </c>
      <c r="H859" s="57">
        <f>CRM_MAGDY!N859</f>
        <v>0</v>
      </c>
    </row>
    <row r="860" spans="1:8" ht="30" x14ac:dyDescent="0.25">
      <c r="A860" s="57">
        <f>CRM_MAGDY!H860</f>
        <v>6296</v>
      </c>
      <c r="B860" s="57">
        <f>CRM_MAGDY!I860</f>
        <v>0</v>
      </c>
      <c r="C860" s="57">
        <f>CRM_MAGDY!E860</f>
        <v>0</v>
      </c>
      <c r="D860" s="57">
        <f>CRM_MAGDY!V860</f>
        <v>0</v>
      </c>
      <c r="E860" s="57" t="str">
        <f>IF(CRM_MAGDY!G860="","BRAK TELEFONU",IF(CRM_MAGDY!K860="","BRAK KWOTY",IF(CRM_MAGDY!N860="","BRAK STATUSU",IF(CRM_MAGDY!C860="","BRAK DATY AKCJI",""))))</f>
        <v>BRAK TELEFONU</v>
      </c>
      <c r="F860" s="57" t="str">
        <f>CRM_MAGDY!W860</f>
        <v>BRAKI CRM</v>
      </c>
      <c r="G860" s="57">
        <f>CRM_MAGDY!K860</f>
        <v>0</v>
      </c>
      <c r="H860" s="57">
        <f>CRM_MAGDY!N860</f>
        <v>0</v>
      </c>
    </row>
    <row r="861" spans="1:8" ht="30" x14ac:dyDescent="0.25">
      <c r="A861" s="57">
        <f>CRM_MAGDY!H861</f>
        <v>6297</v>
      </c>
      <c r="B861" s="57">
        <f>CRM_MAGDY!I861</f>
        <v>0</v>
      </c>
      <c r="C861" s="57">
        <f>CRM_MAGDY!E861</f>
        <v>0</v>
      </c>
      <c r="D861" s="57">
        <f>CRM_MAGDY!V861</f>
        <v>0</v>
      </c>
      <c r="E861" s="57" t="str">
        <f>IF(CRM_MAGDY!G861="","BRAK TELEFONU",IF(CRM_MAGDY!K861="","BRAK KWOTY",IF(CRM_MAGDY!N861="","BRAK STATUSU",IF(CRM_MAGDY!C861="","BRAK DATY AKCJI",""))))</f>
        <v>BRAK TELEFONU</v>
      </c>
      <c r="F861" s="57" t="str">
        <f>CRM_MAGDY!W861</f>
        <v>BRAKI CRM</v>
      </c>
      <c r="G861" s="57">
        <f>CRM_MAGDY!K861</f>
        <v>0</v>
      </c>
      <c r="H861" s="57">
        <f>CRM_MAGDY!N861</f>
        <v>0</v>
      </c>
    </row>
    <row r="862" spans="1:8" ht="30" x14ac:dyDescent="0.25">
      <c r="A862" s="57">
        <f>CRM_MAGDY!H862</f>
        <v>6298</v>
      </c>
      <c r="B862" s="57">
        <f>CRM_MAGDY!I862</f>
        <v>0</v>
      </c>
      <c r="C862" s="57">
        <f>CRM_MAGDY!E862</f>
        <v>0</v>
      </c>
      <c r="D862" s="57">
        <f>CRM_MAGDY!V862</f>
        <v>0</v>
      </c>
      <c r="E862" s="57" t="str">
        <f>IF(CRM_MAGDY!G862="","BRAK TELEFONU",IF(CRM_MAGDY!K862="","BRAK KWOTY",IF(CRM_MAGDY!N862="","BRAK STATUSU",IF(CRM_MAGDY!C862="","BRAK DATY AKCJI",""))))</f>
        <v>BRAK TELEFONU</v>
      </c>
      <c r="F862" s="57" t="str">
        <f>CRM_MAGDY!W862</f>
        <v>BRAKI CRM</v>
      </c>
      <c r="G862" s="57">
        <f>CRM_MAGDY!K862</f>
        <v>0</v>
      </c>
      <c r="H862" s="57">
        <f>CRM_MAGDY!N862</f>
        <v>0</v>
      </c>
    </row>
    <row r="863" spans="1:8" ht="30" x14ac:dyDescent="0.25">
      <c r="A863" s="57">
        <f>CRM_MAGDY!H863</f>
        <v>6299</v>
      </c>
      <c r="B863" s="57">
        <f>CRM_MAGDY!I863</f>
        <v>0</v>
      </c>
      <c r="C863" s="57">
        <f>CRM_MAGDY!E863</f>
        <v>0</v>
      </c>
      <c r="D863" s="57">
        <f>CRM_MAGDY!V863</f>
        <v>0</v>
      </c>
      <c r="E863" s="57" t="str">
        <f>IF(CRM_MAGDY!G863="","BRAK TELEFONU",IF(CRM_MAGDY!K863="","BRAK KWOTY",IF(CRM_MAGDY!N863="","BRAK STATUSU",IF(CRM_MAGDY!C863="","BRAK DATY AKCJI",""))))</f>
        <v>BRAK TELEFONU</v>
      </c>
      <c r="F863" s="57" t="str">
        <f>CRM_MAGDY!W863</f>
        <v>BRAKI CRM</v>
      </c>
      <c r="G863" s="57">
        <f>CRM_MAGDY!K863</f>
        <v>0</v>
      </c>
      <c r="H863" s="57">
        <f>CRM_MAGDY!N863</f>
        <v>0</v>
      </c>
    </row>
    <row r="864" spans="1:8" ht="30" x14ac:dyDescent="0.25">
      <c r="A864" s="57">
        <f>CRM_MAGDY!H864</f>
        <v>6300</v>
      </c>
      <c r="B864" s="57">
        <f>CRM_MAGDY!I864</f>
        <v>0</v>
      </c>
      <c r="C864" s="57">
        <f>CRM_MAGDY!E864</f>
        <v>0</v>
      </c>
      <c r="D864" s="57">
        <f>CRM_MAGDY!V864</f>
        <v>0</v>
      </c>
      <c r="E864" s="57" t="str">
        <f>IF(CRM_MAGDY!G864="","BRAK TELEFONU",IF(CRM_MAGDY!K864="","BRAK KWOTY",IF(CRM_MAGDY!N864="","BRAK STATUSU",IF(CRM_MAGDY!C864="","BRAK DATY AKCJI",""))))</f>
        <v>BRAK TELEFONU</v>
      </c>
      <c r="F864" s="57" t="str">
        <f>CRM_MAGDY!W864</f>
        <v>BRAKI CRM</v>
      </c>
      <c r="G864" s="57">
        <f>CRM_MAGDY!K864</f>
        <v>0</v>
      </c>
      <c r="H864" s="57">
        <f>CRM_MAGDY!N864</f>
        <v>0</v>
      </c>
    </row>
    <row r="865" spans="1:8" ht="30" x14ac:dyDescent="0.25">
      <c r="A865" s="57">
        <f>CRM_MAGDY!H865</f>
        <v>6301</v>
      </c>
      <c r="B865" s="57">
        <f>CRM_MAGDY!I865</f>
        <v>0</v>
      </c>
      <c r="C865" s="57">
        <f>CRM_MAGDY!E865</f>
        <v>0</v>
      </c>
      <c r="D865" s="57">
        <f>CRM_MAGDY!V865</f>
        <v>0</v>
      </c>
      <c r="E865" s="57" t="str">
        <f>IF(CRM_MAGDY!G865="","BRAK TELEFONU",IF(CRM_MAGDY!K865="","BRAK KWOTY",IF(CRM_MAGDY!N865="","BRAK STATUSU",IF(CRM_MAGDY!C865="","BRAK DATY AKCJI",""))))</f>
        <v>BRAK TELEFONU</v>
      </c>
      <c r="F865" s="57" t="str">
        <f>CRM_MAGDY!W865</f>
        <v>BRAKI CRM</v>
      </c>
      <c r="G865" s="57">
        <f>CRM_MAGDY!K865</f>
        <v>0</v>
      </c>
      <c r="H865" s="57">
        <f>CRM_MAGDY!N865</f>
        <v>0</v>
      </c>
    </row>
    <row r="866" spans="1:8" ht="30" x14ac:dyDescent="0.25">
      <c r="A866" s="57">
        <f>CRM_MAGDY!H866</f>
        <v>6302</v>
      </c>
      <c r="B866" s="57">
        <f>CRM_MAGDY!I866</f>
        <v>0</v>
      </c>
      <c r="C866" s="57">
        <f>CRM_MAGDY!E866</f>
        <v>0</v>
      </c>
      <c r="D866" s="57">
        <f>CRM_MAGDY!V866</f>
        <v>0</v>
      </c>
      <c r="E866" s="57" t="str">
        <f>IF(CRM_MAGDY!G866="","BRAK TELEFONU",IF(CRM_MAGDY!K866="","BRAK KWOTY",IF(CRM_MAGDY!N866="","BRAK STATUSU",IF(CRM_MAGDY!C866="","BRAK DATY AKCJI",""))))</f>
        <v>BRAK TELEFONU</v>
      </c>
      <c r="F866" s="57" t="str">
        <f>CRM_MAGDY!W866</f>
        <v>BRAKI CRM</v>
      </c>
      <c r="G866" s="57">
        <f>CRM_MAGDY!K866</f>
        <v>0</v>
      </c>
      <c r="H866" s="57">
        <f>CRM_MAGDY!N866</f>
        <v>0</v>
      </c>
    </row>
    <row r="867" spans="1:8" ht="30" x14ac:dyDescent="0.25">
      <c r="A867" s="57">
        <f>CRM_MAGDY!H867</f>
        <v>6303</v>
      </c>
      <c r="B867" s="57">
        <f>CRM_MAGDY!I867</f>
        <v>0</v>
      </c>
      <c r="C867" s="57">
        <f>CRM_MAGDY!E867</f>
        <v>0</v>
      </c>
      <c r="D867" s="57">
        <f>CRM_MAGDY!V867</f>
        <v>0</v>
      </c>
      <c r="E867" s="57" t="str">
        <f>IF(CRM_MAGDY!G867="","BRAK TELEFONU",IF(CRM_MAGDY!K867="","BRAK KWOTY",IF(CRM_MAGDY!N867="","BRAK STATUSU",IF(CRM_MAGDY!C867="","BRAK DATY AKCJI",""))))</f>
        <v>BRAK TELEFONU</v>
      </c>
      <c r="F867" s="57" t="str">
        <f>CRM_MAGDY!W867</f>
        <v>BRAKI CRM</v>
      </c>
      <c r="G867" s="57">
        <f>CRM_MAGDY!K867</f>
        <v>0</v>
      </c>
      <c r="H867" s="57">
        <f>CRM_MAGDY!N867</f>
        <v>0</v>
      </c>
    </row>
    <row r="868" spans="1:8" ht="30" x14ac:dyDescent="0.25">
      <c r="A868" s="57">
        <f>CRM_MAGDY!H868</f>
        <v>6304</v>
      </c>
      <c r="B868" s="57">
        <f>CRM_MAGDY!I868</f>
        <v>0</v>
      </c>
      <c r="C868" s="57">
        <f>CRM_MAGDY!E868</f>
        <v>0</v>
      </c>
      <c r="D868" s="57">
        <f>CRM_MAGDY!V868</f>
        <v>0</v>
      </c>
      <c r="E868" s="57" t="str">
        <f>IF(CRM_MAGDY!G868="","BRAK TELEFONU",IF(CRM_MAGDY!K868="","BRAK KWOTY",IF(CRM_MAGDY!N868="","BRAK STATUSU",IF(CRM_MAGDY!C868="","BRAK DATY AKCJI",""))))</f>
        <v>BRAK TELEFONU</v>
      </c>
      <c r="F868" s="57" t="str">
        <f>CRM_MAGDY!W868</f>
        <v>BRAKI CRM</v>
      </c>
      <c r="G868" s="57">
        <f>CRM_MAGDY!K868</f>
        <v>0</v>
      </c>
      <c r="H868" s="57">
        <f>CRM_MAGDY!N868</f>
        <v>0</v>
      </c>
    </row>
    <row r="869" spans="1:8" ht="30" x14ac:dyDescent="0.25">
      <c r="A869" s="57">
        <f>CRM_MAGDY!H869</f>
        <v>6305</v>
      </c>
      <c r="B869" s="57">
        <f>CRM_MAGDY!I869</f>
        <v>0</v>
      </c>
      <c r="C869" s="57">
        <f>CRM_MAGDY!E869</f>
        <v>0</v>
      </c>
      <c r="D869" s="57">
        <f>CRM_MAGDY!V869</f>
        <v>0</v>
      </c>
      <c r="E869" s="57" t="str">
        <f>IF(CRM_MAGDY!G869="","BRAK TELEFONU",IF(CRM_MAGDY!K869="","BRAK KWOTY",IF(CRM_MAGDY!N869="","BRAK STATUSU",IF(CRM_MAGDY!C869="","BRAK DATY AKCJI",""))))</f>
        <v>BRAK TELEFONU</v>
      </c>
      <c r="F869" s="57" t="str">
        <f>CRM_MAGDY!W869</f>
        <v>BRAKI CRM</v>
      </c>
      <c r="G869" s="57">
        <f>CRM_MAGDY!K869</f>
        <v>0</v>
      </c>
      <c r="H869" s="57">
        <f>CRM_MAGDY!N869</f>
        <v>0</v>
      </c>
    </row>
    <row r="870" spans="1:8" ht="30" x14ac:dyDescent="0.25">
      <c r="A870" s="57">
        <f>CRM_MAGDY!H870</f>
        <v>6306</v>
      </c>
      <c r="B870" s="57">
        <f>CRM_MAGDY!I870</f>
        <v>0</v>
      </c>
      <c r="C870" s="57">
        <f>CRM_MAGDY!E870</f>
        <v>0</v>
      </c>
      <c r="D870" s="57">
        <f>CRM_MAGDY!V870</f>
        <v>0</v>
      </c>
      <c r="E870" s="57" t="str">
        <f>IF(CRM_MAGDY!G870="","BRAK TELEFONU",IF(CRM_MAGDY!K870="","BRAK KWOTY",IF(CRM_MAGDY!N870="","BRAK STATUSU",IF(CRM_MAGDY!C870="","BRAK DATY AKCJI",""))))</f>
        <v>BRAK TELEFONU</v>
      </c>
      <c r="F870" s="57" t="str">
        <f>CRM_MAGDY!W870</f>
        <v>BRAKI CRM</v>
      </c>
      <c r="G870" s="57">
        <f>CRM_MAGDY!K870</f>
        <v>0</v>
      </c>
      <c r="H870" s="57">
        <f>CRM_MAGDY!N870</f>
        <v>0</v>
      </c>
    </row>
    <row r="871" spans="1:8" ht="30" x14ac:dyDescent="0.25">
      <c r="A871" s="57">
        <f>CRM_MAGDY!H871</f>
        <v>6307</v>
      </c>
      <c r="B871" s="57">
        <f>CRM_MAGDY!I871</f>
        <v>0</v>
      </c>
      <c r="C871" s="57">
        <f>CRM_MAGDY!E871</f>
        <v>0</v>
      </c>
      <c r="D871" s="57">
        <f>CRM_MAGDY!V871</f>
        <v>0</v>
      </c>
      <c r="E871" s="57" t="str">
        <f>IF(CRM_MAGDY!G871="","BRAK TELEFONU",IF(CRM_MAGDY!K871="","BRAK KWOTY",IF(CRM_MAGDY!N871="","BRAK STATUSU",IF(CRM_MAGDY!C871="","BRAK DATY AKCJI",""))))</f>
        <v>BRAK TELEFONU</v>
      </c>
      <c r="F871" s="57" t="str">
        <f>CRM_MAGDY!W871</f>
        <v>BRAKI CRM</v>
      </c>
      <c r="G871" s="57">
        <f>CRM_MAGDY!K871</f>
        <v>0</v>
      </c>
      <c r="H871" s="57">
        <f>CRM_MAGDY!N871</f>
        <v>0</v>
      </c>
    </row>
    <row r="872" spans="1:8" ht="30" x14ac:dyDescent="0.25">
      <c r="A872" s="57">
        <f>CRM_MAGDY!H872</f>
        <v>6308</v>
      </c>
      <c r="B872" s="57">
        <f>CRM_MAGDY!I872</f>
        <v>0</v>
      </c>
      <c r="C872" s="57">
        <f>CRM_MAGDY!E872</f>
        <v>0</v>
      </c>
      <c r="D872" s="57">
        <f>CRM_MAGDY!V872</f>
        <v>0</v>
      </c>
      <c r="E872" s="57" t="str">
        <f>IF(CRM_MAGDY!G872="","BRAK TELEFONU",IF(CRM_MAGDY!K872="","BRAK KWOTY",IF(CRM_MAGDY!N872="","BRAK STATUSU",IF(CRM_MAGDY!C872="","BRAK DATY AKCJI",""))))</f>
        <v>BRAK TELEFONU</v>
      </c>
      <c r="F872" s="57" t="str">
        <f>CRM_MAGDY!W872</f>
        <v>BRAKI CRM</v>
      </c>
      <c r="G872" s="57">
        <f>CRM_MAGDY!K872</f>
        <v>0</v>
      </c>
      <c r="H872" s="57">
        <f>CRM_MAGDY!N872</f>
        <v>0</v>
      </c>
    </row>
    <row r="873" spans="1:8" ht="30" x14ac:dyDescent="0.25">
      <c r="A873" s="57">
        <f>CRM_MAGDY!H873</f>
        <v>6309</v>
      </c>
      <c r="B873" s="57">
        <f>CRM_MAGDY!I873</f>
        <v>0</v>
      </c>
      <c r="C873" s="57">
        <f>CRM_MAGDY!E873</f>
        <v>0</v>
      </c>
      <c r="D873" s="57">
        <f>CRM_MAGDY!V873</f>
        <v>0</v>
      </c>
      <c r="E873" s="57" t="str">
        <f>IF(CRM_MAGDY!G873="","BRAK TELEFONU",IF(CRM_MAGDY!K873="","BRAK KWOTY",IF(CRM_MAGDY!N873="","BRAK STATUSU",IF(CRM_MAGDY!C873="","BRAK DATY AKCJI",""))))</f>
        <v>BRAK TELEFONU</v>
      </c>
      <c r="F873" s="57" t="str">
        <f>CRM_MAGDY!W873</f>
        <v>BRAKI CRM</v>
      </c>
      <c r="G873" s="57">
        <f>CRM_MAGDY!K873</f>
        <v>0</v>
      </c>
      <c r="H873" s="57">
        <f>CRM_MAGDY!N873</f>
        <v>0</v>
      </c>
    </row>
    <row r="874" spans="1:8" ht="30" x14ac:dyDescent="0.25">
      <c r="A874" s="57">
        <f>CRM_MAGDY!H874</f>
        <v>6310</v>
      </c>
      <c r="B874" s="57">
        <f>CRM_MAGDY!I874</f>
        <v>0</v>
      </c>
      <c r="C874" s="57">
        <f>CRM_MAGDY!E874</f>
        <v>0</v>
      </c>
      <c r="D874" s="57">
        <f>CRM_MAGDY!V874</f>
        <v>0</v>
      </c>
      <c r="E874" s="57" t="str">
        <f>IF(CRM_MAGDY!G874="","BRAK TELEFONU",IF(CRM_MAGDY!K874="","BRAK KWOTY",IF(CRM_MAGDY!N874="","BRAK STATUSU",IF(CRM_MAGDY!C874="","BRAK DATY AKCJI",""))))</f>
        <v>BRAK TELEFONU</v>
      </c>
      <c r="F874" s="57" t="str">
        <f>CRM_MAGDY!W874</f>
        <v>BRAKI CRM</v>
      </c>
      <c r="G874" s="57">
        <f>CRM_MAGDY!K874</f>
        <v>0</v>
      </c>
      <c r="H874" s="57">
        <f>CRM_MAGDY!N874</f>
        <v>0</v>
      </c>
    </row>
    <row r="875" spans="1:8" ht="30" x14ac:dyDescent="0.25">
      <c r="A875" s="57">
        <f>CRM_MAGDY!H875</f>
        <v>6311</v>
      </c>
      <c r="B875" s="57">
        <f>CRM_MAGDY!I875</f>
        <v>0</v>
      </c>
      <c r="C875" s="57">
        <f>CRM_MAGDY!E875</f>
        <v>0</v>
      </c>
      <c r="D875" s="57">
        <f>CRM_MAGDY!V875</f>
        <v>0</v>
      </c>
      <c r="E875" s="57" t="str">
        <f>IF(CRM_MAGDY!G875="","BRAK TELEFONU",IF(CRM_MAGDY!K875="","BRAK KWOTY",IF(CRM_MAGDY!N875="","BRAK STATUSU",IF(CRM_MAGDY!C875="","BRAK DATY AKCJI",""))))</f>
        <v>BRAK TELEFONU</v>
      </c>
      <c r="F875" s="57" t="str">
        <f>CRM_MAGDY!W875</f>
        <v>BRAKI CRM</v>
      </c>
      <c r="G875" s="57">
        <f>CRM_MAGDY!K875</f>
        <v>0</v>
      </c>
      <c r="H875" s="57">
        <f>CRM_MAGDY!N875</f>
        <v>0</v>
      </c>
    </row>
    <row r="876" spans="1:8" ht="30" x14ac:dyDescent="0.25">
      <c r="A876" s="57">
        <f>CRM_MAGDY!H876</f>
        <v>6312</v>
      </c>
      <c r="B876" s="57">
        <f>CRM_MAGDY!I876</f>
        <v>0</v>
      </c>
      <c r="C876" s="57">
        <f>CRM_MAGDY!E876</f>
        <v>0</v>
      </c>
      <c r="D876" s="57">
        <f>CRM_MAGDY!V876</f>
        <v>0</v>
      </c>
      <c r="E876" s="57" t="str">
        <f>IF(CRM_MAGDY!G876="","BRAK TELEFONU",IF(CRM_MAGDY!K876="","BRAK KWOTY",IF(CRM_MAGDY!N876="","BRAK STATUSU",IF(CRM_MAGDY!C876="","BRAK DATY AKCJI",""))))</f>
        <v>BRAK TELEFONU</v>
      </c>
      <c r="F876" s="57" t="str">
        <f>CRM_MAGDY!W876</f>
        <v>BRAKI CRM</v>
      </c>
      <c r="G876" s="57">
        <f>CRM_MAGDY!K876</f>
        <v>0</v>
      </c>
      <c r="H876" s="57">
        <f>CRM_MAGDY!N876</f>
        <v>0</v>
      </c>
    </row>
    <row r="877" spans="1:8" ht="30" x14ac:dyDescent="0.25">
      <c r="A877" s="57">
        <f>CRM_MAGDY!H877</f>
        <v>6313</v>
      </c>
      <c r="B877" s="57">
        <f>CRM_MAGDY!I877</f>
        <v>0</v>
      </c>
      <c r="C877" s="57">
        <f>CRM_MAGDY!E877</f>
        <v>0</v>
      </c>
      <c r="D877" s="57">
        <f>CRM_MAGDY!V877</f>
        <v>0</v>
      </c>
      <c r="E877" s="57" t="str">
        <f>IF(CRM_MAGDY!G877="","BRAK TELEFONU",IF(CRM_MAGDY!K877="","BRAK KWOTY",IF(CRM_MAGDY!N877="","BRAK STATUSU",IF(CRM_MAGDY!C877="","BRAK DATY AKCJI",""))))</f>
        <v>BRAK TELEFONU</v>
      </c>
      <c r="F877" s="57" t="str">
        <f>CRM_MAGDY!W877</f>
        <v>BRAKI CRM</v>
      </c>
      <c r="G877" s="57">
        <f>CRM_MAGDY!K877</f>
        <v>0</v>
      </c>
      <c r="H877" s="57">
        <f>CRM_MAGDY!N877</f>
        <v>0</v>
      </c>
    </row>
    <row r="878" spans="1:8" ht="30" x14ac:dyDescent="0.25">
      <c r="A878" s="57">
        <f>CRM_MAGDY!H878</f>
        <v>6314</v>
      </c>
      <c r="B878" s="57">
        <f>CRM_MAGDY!I878</f>
        <v>0</v>
      </c>
      <c r="C878" s="57">
        <f>CRM_MAGDY!E878</f>
        <v>0</v>
      </c>
      <c r="D878" s="57">
        <f>CRM_MAGDY!V878</f>
        <v>0</v>
      </c>
      <c r="E878" s="57" t="str">
        <f>IF(CRM_MAGDY!G878="","BRAK TELEFONU",IF(CRM_MAGDY!K878="","BRAK KWOTY",IF(CRM_MAGDY!N878="","BRAK STATUSU",IF(CRM_MAGDY!C878="","BRAK DATY AKCJI",""))))</f>
        <v>BRAK TELEFONU</v>
      </c>
      <c r="F878" s="57" t="str">
        <f>CRM_MAGDY!W878</f>
        <v>BRAKI CRM</v>
      </c>
      <c r="G878" s="57">
        <f>CRM_MAGDY!K878</f>
        <v>0</v>
      </c>
      <c r="H878" s="57">
        <f>CRM_MAGDY!N878</f>
        <v>0</v>
      </c>
    </row>
    <row r="879" spans="1:8" ht="30" x14ac:dyDescent="0.25">
      <c r="A879" s="57">
        <f>CRM_MAGDY!H879</f>
        <v>6315</v>
      </c>
      <c r="B879" s="57">
        <f>CRM_MAGDY!I879</f>
        <v>0</v>
      </c>
      <c r="C879" s="57">
        <f>CRM_MAGDY!E879</f>
        <v>0</v>
      </c>
      <c r="D879" s="57">
        <f>CRM_MAGDY!V879</f>
        <v>0</v>
      </c>
      <c r="E879" s="57" t="str">
        <f>IF(CRM_MAGDY!G879="","BRAK TELEFONU",IF(CRM_MAGDY!K879="","BRAK KWOTY",IF(CRM_MAGDY!N879="","BRAK STATUSU",IF(CRM_MAGDY!C879="","BRAK DATY AKCJI",""))))</f>
        <v>BRAK TELEFONU</v>
      </c>
      <c r="F879" s="57" t="str">
        <f>CRM_MAGDY!W879</f>
        <v>BRAKI CRM</v>
      </c>
      <c r="G879" s="57">
        <f>CRM_MAGDY!K879</f>
        <v>0</v>
      </c>
      <c r="H879" s="57">
        <f>CRM_MAGDY!N879</f>
        <v>0</v>
      </c>
    </row>
    <row r="880" spans="1:8" ht="30" x14ac:dyDescent="0.25">
      <c r="A880" s="57">
        <f>CRM_MAGDY!H880</f>
        <v>6316</v>
      </c>
      <c r="B880" s="57">
        <f>CRM_MAGDY!I880</f>
        <v>0</v>
      </c>
      <c r="C880" s="57">
        <f>CRM_MAGDY!E880</f>
        <v>0</v>
      </c>
      <c r="D880" s="57">
        <f>CRM_MAGDY!V880</f>
        <v>0</v>
      </c>
      <c r="E880" s="57" t="str">
        <f>IF(CRM_MAGDY!G880="","BRAK TELEFONU",IF(CRM_MAGDY!K880="","BRAK KWOTY",IF(CRM_MAGDY!N880="","BRAK STATUSU",IF(CRM_MAGDY!C880="","BRAK DATY AKCJI",""))))</f>
        <v>BRAK TELEFONU</v>
      </c>
      <c r="F880" s="57" t="str">
        <f>CRM_MAGDY!W880</f>
        <v>BRAKI CRM</v>
      </c>
      <c r="G880" s="57">
        <f>CRM_MAGDY!K880</f>
        <v>0</v>
      </c>
      <c r="H880" s="57">
        <f>CRM_MAGDY!N880</f>
        <v>0</v>
      </c>
    </row>
    <row r="881" spans="1:8" ht="30" x14ac:dyDescent="0.25">
      <c r="A881" s="57">
        <f>CRM_MAGDY!H881</f>
        <v>6317</v>
      </c>
      <c r="B881" s="57">
        <f>CRM_MAGDY!I881</f>
        <v>0</v>
      </c>
      <c r="C881" s="57">
        <f>CRM_MAGDY!E881</f>
        <v>0</v>
      </c>
      <c r="D881" s="57">
        <f>CRM_MAGDY!V881</f>
        <v>0</v>
      </c>
      <c r="E881" s="57" t="str">
        <f>IF(CRM_MAGDY!G881="","BRAK TELEFONU",IF(CRM_MAGDY!K881="","BRAK KWOTY",IF(CRM_MAGDY!N881="","BRAK STATUSU",IF(CRM_MAGDY!C881="","BRAK DATY AKCJI",""))))</f>
        <v>BRAK TELEFONU</v>
      </c>
      <c r="F881" s="57" t="str">
        <f>CRM_MAGDY!W881</f>
        <v>BRAKI CRM</v>
      </c>
      <c r="G881" s="57">
        <f>CRM_MAGDY!K881</f>
        <v>0</v>
      </c>
      <c r="H881" s="57">
        <f>CRM_MAGDY!N881</f>
        <v>0</v>
      </c>
    </row>
    <row r="882" spans="1:8" ht="30" x14ac:dyDescent="0.25">
      <c r="A882" s="57">
        <f>CRM_MAGDY!H882</f>
        <v>6318</v>
      </c>
      <c r="B882" s="57">
        <f>CRM_MAGDY!I882</f>
        <v>0</v>
      </c>
      <c r="C882" s="57">
        <f>CRM_MAGDY!E882</f>
        <v>0</v>
      </c>
      <c r="D882" s="57">
        <f>CRM_MAGDY!V882</f>
        <v>0</v>
      </c>
      <c r="E882" s="57" t="str">
        <f>IF(CRM_MAGDY!G882="","BRAK TELEFONU",IF(CRM_MAGDY!K882="","BRAK KWOTY",IF(CRM_MAGDY!N882="","BRAK STATUSU",IF(CRM_MAGDY!C882="","BRAK DATY AKCJI",""))))</f>
        <v>BRAK TELEFONU</v>
      </c>
      <c r="F882" s="57" t="str">
        <f>CRM_MAGDY!W882</f>
        <v>BRAKI CRM</v>
      </c>
      <c r="G882" s="57">
        <f>CRM_MAGDY!K882</f>
        <v>0</v>
      </c>
      <c r="H882" s="57">
        <f>CRM_MAGDY!N882</f>
        <v>0</v>
      </c>
    </row>
    <row r="883" spans="1:8" ht="30" x14ac:dyDescent="0.25">
      <c r="A883" s="57">
        <f>CRM_MAGDY!H883</f>
        <v>6319</v>
      </c>
      <c r="B883" s="57">
        <f>CRM_MAGDY!I883</f>
        <v>0</v>
      </c>
      <c r="C883" s="57">
        <f>CRM_MAGDY!E883</f>
        <v>0</v>
      </c>
      <c r="D883" s="57">
        <f>CRM_MAGDY!V883</f>
        <v>0</v>
      </c>
      <c r="E883" s="57" t="str">
        <f>IF(CRM_MAGDY!G883="","BRAK TELEFONU",IF(CRM_MAGDY!K883="","BRAK KWOTY",IF(CRM_MAGDY!N883="","BRAK STATUSU",IF(CRM_MAGDY!C883="","BRAK DATY AKCJI",""))))</f>
        <v>BRAK TELEFONU</v>
      </c>
      <c r="F883" s="57" t="str">
        <f>CRM_MAGDY!W883</f>
        <v>BRAKI CRM</v>
      </c>
      <c r="G883" s="57">
        <f>CRM_MAGDY!K883</f>
        <v>0</v>
      </c>
      <c r="H883" s="57">
        <f>CRM_MAGDY!N883</f>
        <v>0</v>
      </c>
    </row>
    <row r="884" spans="1:8" ht="30" x14ac:dyDescent="0.25">
      <c r="A884" s="57">
        <f>CRM_MAGDY!H884</f>
        <v>6320</v>
      </c>
      <c r="B884" s="57">
        <f>CRM_MAGDY!I884</f>
        <v>0</v>
      </c>
      <c r="C884" s="57">
        <f>CRM_MAGDY!E884</f>
        <v>0</v>
      </c>
      <c r="D884" s="57">
        <f>CRM_MAGDY!V884</f>
        <v>0</v>
      </c>
      <c r="E884" s="57" t="str">
        <f>IF(CRM_MAGDY!G884="","BRAK TELEFONU",IF(CRM_MAGDY!K884="","BRAK KWOTY",IF(CRM_MAGDY!N884="","BRAK STATUSU",IF(CRM_MAGDY!C884="","BRAK DATY AKCJI",""))))</f>
        <v>BRAK TELEFONU</v>
      </c>
      <c r="F884" s="57" t="str">
        <f>CRM_MAGDY!W884</f>
        <v>BRAKI CRM</v>
      </c>
      <c r="G884" s="57">
        <f>CRM_MAGDY!K884</f>
        <v>0</v>
      </c>
      <c r="H884" s="57">
        <f>CRM_MAGDY!N884</f>
        <v>0</v>
      </c>
    </row>
    <row r="885" spans="1:8" ht="30" x14ac:dyDescent="0.25">
      <c r="A885" s="57">
        <f>CRM_MAGDY!H885</f>
        <v>6321</v>
      </c>
      <c r="B885" s="57">
        <f>CRM_MAGDY!I885</f>
        <v>0</v>
      </c>
      <c r="C885" s="57">
        <f>CRM_MAGDY!E885</f>
        <v>0</v>
      </c>
      <c r="D885" s="57">
        <f>CRM_MAGDY!V885</f>
        <v>0</v>
      </c>
      <c r="E885" s="57" t="str">
        <f>IF(CRM_MAGDY!G885="","BRAK TELEFONU",IF(CRM_MAGDY!K885="","BRAK KWOTY",IF(CRM_MAGDY!N885="","BRAK STATUSU",IF(CRM_MAGDY!C885="","BRAK DATY AKCJI",""))))</f>
        <v>BRAK TELEFONU</v>
      </c>
      <c r="F885" s="57" t="str">
        <f>CRM_MAGDY!W885</f>
        <v>BRAKI CRM</v>
      </c>
      <c r="G885" s="57">
        <f>CRM_MAGDY!K885</f>
        <v>0</v>
      </c>
      <c r="H885" s="57">
        <f>CRM_MAGDY!N885</f>
        <v>0</v>
      </c>
    </row>
    <row r="886" spans="1:8" ht="30" x14ac:dyDescent="0.25">
      <c r="A886" s="57">
        <f>CRM_MAGDY!H886</f>
        <v>6322</v>
      </c>
      <c r="B886" s="57">
        <f>CRM_MAGDY!I886</f>
        <v>0</v>
      </c>
      <c r="C886" s="57">
        <f>CRM_MAGDY!E886</f>
        <v>0</v>
      </c>
      <c r="D886" s="57">
        <f>CRM_MAGDY!V886</f>
        <v>0</v>
      </c>
      <c r="E886" s="57" t="str">
        <f>IF(CRM_MAGDY!G886="","BRAK TELEFONU",IF(CRM_MAGDY!K886="","BRAK KWOTY",IF(CRM_MAGDY!N886="","BRAK STATUSU",IF(CRM_MAGDY!C886="","BRAK DATY AKCJI",""))))</f>
        <v>BRAK TELEFONU</v>
      </c>
      <c r="F886" s="57" t="str">
        <f>CRM_MAGDY!W886</f>
        <v>BRAKI CRM</v>
      </c>
      <c r="G886" s="57">
        <f>CRM_MAGDY!K886</f>
        <v>0</v>
      </c>
      <c r="H886" s="57">
        <f>CRM_MAGDY!N886</f>
        <v>0</v>
      </c>
    </row>
    <row r="887" spans="1:8" ht="30" x14ac:dyDescent="0.25">
      <c r="A887" s="57">
        <f>CRM_MAGDY!H887</f>
        <v>6323</v>
      </c>
      <c r="B887" s="57">
        <f>CRM_MAGDY!I887</f>
        <v>0</v>
      </c>
      <c r="C887" s="57">
        <f>CRM_MAGDY!E887</f>
        <v>0</v>
      </c>
      <c r="D887" s="57">
        <f>CRM_MAGDY!V887</f>
        <v>0</v>
      </c>
      <c r="E887" s="57" t="str">
        <f>IF(CRM_MAGDY!G887="","BRAK TELEFONU",IF(CRM_MAGDY!K887="","BRAK KWOTY",IF(CRM_MAGDY!N887="","BRAK STATUSU",IF(CRM_MAGDY!C887="","BRAK DATY AKCJI",""))))</f>
        <v>BRAK TELEFONU</v>
      </c>
      <c r="F887" s="57" t="str">
        <f>CRM_MAGDY!W887</f>
        <v>BRAKI CRM</v>
      </c>
      <c r="G887" s="57">
        <f>CRM_MAGDY!K887</f>
        <v>0</v>
      </c>
      <c r="H887" s="57">
        <f>CRM_MAGDY!N887</f>
        <v>0</v>
      </c>
    </row>
    <row r="888" spans="1:8" ht="30" x14ac:dyDescent="0.25">
      <c r="A888" s="57">
        <f>CRM_MAGDY!H888</f>
        <v>6324</v>
      </c>
      <c r="B888" s="57">
        <f>CRM_MAGDY!I888</f>
        <v>0</v>
      </c>
      <c r="C888" s="57">
        <f>CRM_MAGDY!E888</f>
        <v>0</v>
      </c>
      <c r="D888" s="57">
        <f>CRM_MAGDY!V888</f>
        <v>0</v>
      </c>
      <c r="E888" s="57" t="str">
        <f>IF(CRM_MAGDY!G888="","BRAK TELEFONU",IF(CRM_MAGDY!K888="","BRAK KWOTY",IF(CRM_MAGDY!N888="","BRAK STATUSU",IF(CRM_MAGDY!C888="","BRAK DATY AKCJI",""))))</f>
        <v>BRAK TELEFONU</v>
      </c>
      <c r="F888" s="57" t="str">
        <f>CRM_MAGDY!W888</f>
        <v>BRAKI CRM</v>
      </c>
      <c r="G888" s="57">
        <f>CRM_MAGDY!K888</f>
        <v>0</v>
      </c>
      <c r="H888" s="57">
        <f>CRM_MAGDY!N888</f>
        <v>0</v>
      </c>
    </row>
    <row r="889" spans="1:8" ht="30" x14ac:dyDescent="0.25">
      <c r="A889" s="57">
        <f>CRM_MAGDY!H889</f>
        <v>6325</v>
      </c>
      <c r="B889" s="57">
        <f>CRM_MAGDY!I889</f>
        <v>0</v>
      </c>
      <c r="C889" s="57">
        <f>CRM_MAGDY!E889</f>
        <v>0</v>
      </c>
      <c r="D889" s="57">
        <f>CRM_MAGDY!V889</f>
        <v>0</v>
      </c>
      <c r="E889" s="57" t="str">
        <f>IF(CRM_MAGDY!G889="","BRAK TELEFONU",IF(CRM_MAGDY!K889="","BRAK KWOTY",IF(CRM_MAGDY!N889="","BRAK STATUSU",IF(CRM_MAGDY!C889="","BRAK DATY AKCJI",""))))</f>
        <v>BRAK TELEFONU</v>
      </c>
      <c r="F889" s="57" t="str">
        <f>CRM_MAGDY!W889</f>
        <v>BRAKI CRM</v>
      </c>
      <c r="G889" s="57">
        <f>CRM_MAGDY!K889</f>
        <v>0</v>
      </c>
      <c r="H889" s="57">
        <f>CRM_MAGDY!N889</f>
        <v>0</v>
      </c>
    </row>
    <row r="890" spans="1:8" ht="30" x14ac:dyDescent="0.25">
      <c r="A890" s="57">
        <f>CRM_MAGDY!H890</f>
        <v>6326</v>
      </c>
      <c r="B890" s="57">
        <f>CRM_MAGDY!I890</f>
        <v>0</v>
      </c>
      <c r="C890" s="57">
        <f>CRM_MAGDY!E890</f>
        <v>0</v>
      </c>
      <c r="D890" s="57">
        <f>CRM_MAGDY!V890</f>
        <v>0</v>
      </c>
      <c r="E890" s="57" t="str">
        <f>IF(CRM_MAGDY!G890="","BRAK TELEFONU",IF(CRM_MAGDY!K890="","BRAK KWOTY",IF(CRM_MAGDY!N890="","BRAK STATUSU",IF(CRM_MAGDY!C890="","BRAK DATY AKCJI",""))))</f>
        <v>BRAK TELEFONU</v>
      </c>
      <c r="F890" s="57" t="str">
        <f>CRM_MAGDY!W890</f>
        <v>BRAKI CRM</v>
      </c>
      <c r="G890" s="57">
        <f>CRM_MAGDY!K890</f>
        <v>0</v>
      </c>
      <c r="H890" s="57">
        <f>CRM_MAGDY!N890</f>
        <v>0</v>
      </c>
    </row>
    <row r="891" spans="1:8" ht="30" x14ac:dyDescent="0.25">
      <c r="A891" s="57">
        <f>CRM_MAGDY!H891</f>
        <v>6327</v>
      </c>
      <c r="B891" s="57">
        <f>CRM_MAGDY!I891</f>
        <v>0</v>
      </c>
      <c r="C891" s="57">
        <f>CRM_MAGDY!E891</f>
        <v>0</v>
      </c>
      <c r="D891" s="57">
        <f>CRM_MAGDY!V891</f>
        <v>0</v>
      </c>
      <c r="E891" s="57" t="str">
        <f>IF(CRM_MAGDY!G891="","BRAK TELEFONU",IF(CRM_MAGDY!K891="","BRAK KWOTY",IF(CRM_MAGDY!N891="","BRAK STATUSU",IF(CRM_MAGDY!C891="","BRAK DATY AKCJI",""))))</f>
        <v>BRAK TELEFONU</v>
      </c>
      <c r="F891" s="57" t="str">
        <f>CRM_MAGDY!W891</f>
        <v>BRAKI CRM</v>
      </c>
      <c r="G891" s="57">
        <f>CRM_MAGDY!K891</f>
        <v>0</v>
      </c>
      <c r="H891" s="57">
        <f>CRM_MAGDY!N891</f>
        <v>0</v>
      </c>
    </row>
    <row r="892" spans="1:8" ht="30" x14ac:dyDescent="0.25">
      <c r="A892" s="57">
        <f>CRM_MAGDY!H892</f>
        <v>6328</v>
      </c>
      <c r="B892" s="57">
        <f>CRM_MAGDY!I892</f>
        <v>0</v>
      </c>
      <c r="C892" s="57">
        <f>CRM_MAGDY!E892</f>
        <v>0</v>
      </c>
      <c r="D892" s="57">
        <f>CRM_MAGDY!V892</f>
        <v>0</v>
      </c>
      <c r="E892" s="57" t="str">
        <f>IF(CRM_MAGDY!G892="","BRAK TELEFONU",IF(CRM_MAGDY!K892="","BRAK KWOTY",IF(CRM_MAGDY!N892="","BRAK STATUSU",IF(CRM_MAGDY!C892="","BRAK DATY AKCJI",""))))</f>
        <v>BRAK TELEFONU</v>
      </c>
      <c r="F892" s="57" t="str">
        <f>CRM_MAGDY!W892</f>
        <v>BRAKI CRM</v>
      </c>
      <c r="G892" s="57">
        <f>CRM_MAGDY!K892</f>
        <v>0</v>
      </c>
      <c r="H892" s="57">
        <f>CRM_MAGDY!N892</f>
        <v>0</v>
      </c>
    </row>
    <row r="893" spans="1:8" ht="30" x14ac:dyDescent="0.25">
      <c r="A893" s="57">
        <f>CRM_MAGDY!H893</f>
        <v>6329</v>
      </c>
      <c r="B893" s="57">
        <f>CRM_MAGDY!I893</f>
        <v>0</v>
      </c>
      <c r="C893" s="57">
        <f>CRM_MAGDY!E893</f>
        <v>0</v>
      </c>
      <c r="D893" s="57">
        <f>CRM_MAGDY!V893</f>
        <v>0</v>
      </c>
      <c r="E893" s="57" t="str">
        <f>IF(CRM_MAGDY!G893="","BRAK TELEFONU",IF(CRM_MAGDY!K893="","BRAK KWOTY",IF(CRM_MAGDY!N893="","BRAK STATUSU",IF(CRM_MAGDY!C893="","BRAK DATY AKCJI",""))))</f>
        <v>BRAK TELEFONU</v>
      </c>
      <c r="F893" s="57" t="str">
        <f>CRM_MAGDY!W893</f>
        <v>BRAKI CRM</v>
      </c>
      <c r="G893" s="57">
        <f>CRM_MAGDY!K893</f>
        <v>0</v>
      </c>
      <c r="H893" s="57">
        <f>CRM_MAGDY!N893</f>
        <v>0</v>
      </c>
    </row>
    <row r="894" spans="1:8" ht="30" x14ac:dyDescent="0.25">
      <c r="A894" s="57">
        <f>CRM_MAGDY!H894</f>
        <v>6330</v>
      </c>
      <c r="B894" s="57">
        <f>CRM_MAGDY!I894</f>
        <v>0</v>
      </c>
      <c r="C894" s="57">
        <f>CRM_MAGDY!E894</f>
        <v>0</v>
      </c>
      <c r="D894" s="57">
        <f>CRM_MAGDY!V894</f>
        <v>0</v>
      </c>
      <c r="E894" s="57" t="str">
        <f>IF(CRM_MAGDY!G894="","BRAK TELEFONU",IF(CRM_MAGDY!K894="","BRAK KWOTY",IF(CRM_MAGDY!N894="","BRAK STATUSU",IF(CRM_MAGDY!C894="","BRAK DATY AKCJI",""))))</f>
        <v>BRAK TELEFONU</v>
      </c>
      <c r="F894" s="57" t="str">
        <f>CRM_MAGDY!W894</f>
        <v>BRAKI CRM</v>
      </c>
      <c r="G894" s="57">
        <f>CRM_MAGDY!K894</f>
        <v>0</v>
      </c>
      <c r="H894" s="57">
        <f>CRM_MAGDY!N894</f>
        <v>0</v>
      </c>
    </row>
    <row r="895" spans="1:8" ht="30" x14ac:dyDescent="0.25">
      <c r="A895" s="57">
        <f>CRM_MAGDY!H895</f>
        <v>6331</v>
      </c>
      <c r="B895" s="57">
        <f>CRM_MAGDY!I895</f>
        <v>0</v>
      </c>
      <c r="C895" s="57">
        <f>CRM_MAGDY!E895</f>
        <v>0</v>
      </c>
      <c r="D895" s="57">
        <f>CRM_MAGDY!V895</f>
        <v>0</v>
      </c>
      <c r="E895" s="57" t="str">
        <f>IF(CRM_MAGDY!G895="","BRAK TELEFONU",IF(CRM_MAGDY!K895="","BRAK KWOTY",IF(CRM_MAGDY!N895="","BRAK STATUSU",IF(CRM_MAGDY!C895="","BRAK DATY AKCJI",""))))</f>
        <v>BRAK TELEFONU</v>
      </c>
      <c r="F895" s="57" t="str">
        <f>CRM_MAGDY!W895</f>
        <v>BRAKI CRM</v>
      </c>
      <c r="G895" s="57">
        <f>CRM_MAGDY!K895</f>
        <v>0</v>
      </c>
      <c r="H895" s="57">
        <f>CRM_MAGDY!N895</f>
        <v>0</v>
      </c>
    </row>
    <row r="896" spans="1:8" ht="30" x14ac:dyDescent="0.25">
      <c r="A896" s="57">
        <f>CRM_MAGDY!H896</f>
        <v>6332</v>
      </c>
      <c r="B896" s="57">
        <f>CRM_MAGDY!I896</f>
        <v>0</v>
      </c>
      <c r="C896" s="57">
        <f>CRM_MAGDY!E896</f>
        <v>0</v>
      </c>
      <c r="D896" s="57">
        <f>CRM_MAGDY!V896</f>
        <v>0</v>
      </c>
      <c r="E896" s="57" t="str">
        <f>IF(CRM_MAGDY!G896="","BRAK TELEFONU",IF(CRM_MAGDY!K896="","BRAK KWOTY",IF(CRM_MAGDY!N896="","BRAK STATUSU",IF(CRM_MAGDY!C896="","BRAK DATY AKCJI",""))))</f>
        <v>BRAK TELEFONU</v>
      </c>
      <c r="F896" s="57" t="str">
        <f>CRM_MAGDY!W896</f>
        <v>BRAKI CRM</v>
      </c>
      <c r="G896" s="57">
        <f>CRM_MAGDY!K896</f>
        <v>0</v>
      </c>
      <c r="H896" s="57">
        <f>CRM_MAGDY!N896</f>
        <v>0</v>
      </c>
    </row>
    <row r="897" spans="1:8" ht="30" x14ac:dyDescent="0.25">
      <c r="A897" s="57">
        <f>CRM_MAGDY!H897</f>
        <v>6333</v>
      </c>
      <c r="B897" s="57">
        <f>CRM_MAGDY!I897</f>
        <v>0</v>
      </c>
      <c r="C897" s="57">
        <f>CRM_MAGDY!E897</f>
        <v>0</v>
      </c>
      <c r="D897" s="57">
        <f>CRM_MAGDY!V897</f>
        <v>0</v>
      </c>
      <c r="E897" s="57" t="str">
        <f>IF(CRM_MAGDY!G897="","BRAK TELEFONU",IF(CRM_MAGDY!K897="","BRAK KWOTY",IF(CRM_MAGDY!N897="","BRAK STATUSU",IF(CRM_MAGDY!C897="","BRAK DATY AKCJI",""))))</f>
        <v>BRAK TELEFONU</v>
      </c>
      <c r="F897" s="57" t="str">
        <f>CRM_MAGDY!W897</f>
        <v>BRAKI CRM</v>
      </c>
      <c r="G897" s="57">
        <f>CRM_MAGDY!K897</f>
        <v>0</v>
      </c>
      <c r="H897" s="57">
        <f>CRM_MAGDY!N897</f>
        <v>0</v>
      </c>
    </row>
    <row r="898" spans="1:8" ht="30" x14ac:dyDescent="0.25">
      <c r="A898" s="57">
        <f>CRM_MAGDY!H898</f>
        <v>6334</v>
      </c>
      <c r="B898" s="57">
        <f>CRM_MAGDY!I898</f>
        <v>0</v>
      </c>
      <c r="C898" s="57">
        <f>CRM_MAGDY!E898</f>
        <v>0</v>
      </c>
      <c r="D898" s="57">
        <f>CRM_MAGDY!V898</f>
        <v>0</v>
      </c>
      <c r="E898" s="57" t="str">
        <f>IF(CRM_MAGDY!G898="","BRAK TELEFONU",IF(CRM_MAGDY!K898="","BRAK KWOTY",IF(CRM_MAGDY!N898="","BRAK STATUSU",IF(CRM_MAGDY!C898="","BRAK DATY AKCJI",""))))</f>
        <v>BRAK TELEFONU</v>
      </c>
      <c r="F898" s="57" t="str">
        <f>CRM_MAGDY!W898</f>
        <v>BRAKI CRM</v>
      </c>
      <c r="G898" s="57">
        <f>CRM_MAGDY!K898</f>
        <v>0</v>
      </c>
      <c r="H898" s="57">
        <f>CRM_MAGDY!N898</f>
        <v>0</v>
      </c>
    </row>
    <row r="899" spans="1:8" ht="30" x14ac:dyDescent="0.25">
      <c r="A899" s="57">
        <f>CRM_MAGDY!H899</f>
        <v>6335</v>
      </c>
      <c r="B899" s="57">
        <f>CRM_MAGDY!I899</f>
        <v>0</v>
      </c>
      <c r="C899" s="57">
        <f>CRM_MAGDY!E899</f>
        <v>0</v>
      </c>
      <c r="D899" s="57">
        <f>CRM_MAGDY!V899</f>
        <v>0</v>
      </c>
      <c r="E899" s="57" t="str">
        <f>IF(CRM_MAGDY!G899="","BRAK TELEFONU",IF(CRM_MAGDY!K899="","BRAK KWOTY",IF(CRM_MAGDY!N899="","BRAK STATUSU",IF(CRM_MAGDY!C899="","BRAK DATY AKCJI",""))))</f>
        <v>BRAK TELEFONU</v>
      </c>
      <c r="F899" s="57" t="str">
        <f>CRM_MAGDY!W899</f>
        <v>BRAKI CRM</v>
      </c>
      <c r="G899" s="57">
        <f>CRM_MAGDY!K899</f>
        <v>0</v>
      </c>
      <c r="H899" s="57">
        <f>CRM_MAGDY!N899</f>
        <v>0</v>
      </c>
    </row>
    <row r="900" spans="1:8" ht="30" x14ac:dyDescent="0.25">
      <c r="A900" s="57">
        <f>CRM_MAGDY!H900</f>
        <v>6336</v>
      </c>
      <c r="B900" s="57">
        <f>CRM_MAGDY!I900</f>
        <v>0</v>
      </c>
      <c r="C900" s="57">
        <f>CRM_MAGDY!E900</f>
        <v>0</v>
      </c>
      <c r="D900" s="57">
        <f>CRM_MAGDY!V900</f>
        <v>0</v>
      </c>
      <c r="E900" s="57" t="str">
        <f>IF(CRM_MAGDY!G900="","BRAK TELEFONU",IF(CRM_MAGDY!K900="","BRAK KWOTY",IF(CRM_MAGDY!N900="","BRAK STATUSU",IF(CRM_MAGDY!C900="","BRAK DATY AKCJI",""))))</f>
        <v>BRAK TELEFONU</v>
      </c>
      <c r="F900" s="57" t="str">
        <f>CRM_MAGDY!W900</f>
        <v>BRAKI CRM</v>
      </c>
      <c r="G900" s="57">
        <f>CRM_MAGDY!K900</f>
        <v>0</v>
      </c>
      <c r="H900" s="57">
        <f>CRM_MAGDY!N900</f>
        <v>0</v>
      </c>
    </row>
    <row r="901" spans="1:8" ht="30" x14ac:dyDescent="0.25">
      <c r="A901" s="57">
        <f>CRM_MAGDY!H901</f>
        <v>6337</v>
      </c>
      <c r="B901" s="57">
        <f>CRM_MAGDY!I901</f>
        <v>0</v>
      </c>
      <c r="C901" s="57">
        <f>CRM_MAGDY!E901</f>
        <v>0</v>
      </c>
      <c r="D901" s="57">
        <f>CRM_MAGDY!V901</f>
        <v>0</v>
      </c>
      <c r="E901" s="57" t="str">
        <f>IF(CRM_MAGDY!G901="","BRAK TELEFONU",IF(CRM_MAGDY!K901="","BRAK KWOTY",IF(CRM_MAGDY!N901="","BRAK STATUSU",IF(CRM_MAGDY!C901="","BRAK DATY AKCJI",""))))</f>
        <v>BRAK TELEFONU</v>
      </c>
      <c r="F901" s="57" t="str">
        <f>CRM_MAGDY!W901</f>
        <v>BRAKI CRM</v>
      </c>
      <c r="G901" s="57">
        <f>CRM_MAGDY!K901</f>
        <v>0</v>
      </c>
      <c r="H901" s="57">
        <f>CRM_MAGDY!N901</f>
        <v>0</v>
      </c>
    </row>
    <row r="902" spans="1:8" ht="30" x14ac:dyDescent="0.25">
      <c r="A902" s="57">
        <f>CRM_MAGDY!H902</f>
        <v>6338</v>
      </c>
      <c r="B902" s="57">
        <f>CRM_MAGDY!I902</f>
        <v>0</v>
      </c>
      <c r="C902" s="57">
        <f>CRM_MAGDY!E902</f>
        <v>0</v>
      </c>
      <c r="D902" s="57">
        <f>CRM_MAGDY!V902</f>
        <v>0</v>
      </c>
      <c r="E902" s="57" t="str">
        <f>IF(CRM_MAGDY!G902="","BRAK TELEFONU",IF(CRM_MAGDY!K902="","BRAK KWOTY",IF(CRM_MAGDY!N902="","BRAK STATUSU",IF(CRM_MAGDY!C902="","BRAK DATY AKCJI",""))))</f>
        <v>BRAK TELEFONU</v>
      </c>
      <c r="F902" s="57" t="str">
        <f>CRM_MAGDY!W902</f>
        <v>BRAKI CRM</v>
      </c>
      <c r="G902" s="57">
        <f>CRM_MAGDY!K902</f>
        <v>0</v>
      </c>
      <c r="H902" s="57">
        <f>CRM_MAGDY!N902</f>
        <v>0</v>
      </c>
    </row>
    <row r="903" spans="1:8" ht="30" x14ac:dyDescent="0.25">
      <c r="A903" s="57">
        <f>CRM_MAGDY!H903</f>
        <v>6339</v>
      </c>
      <c r="B903" s="57">
        <f>CRM_MAGDY!I903</f>
        <v>0</v>
      </c>
      <c r="C903" s="57">
        <f>CRM_MAGDY!E903</f>
        <v>0</v>
      </c>
      <c r="D903" s="57">
        <f>CRM_MAGDY!V903</f>
        <v>0</v>
      </c>
      <c r="E903" s="57" t="str">
        <f>IF(CRM_MAGDY!G903="","BRAK TELEFONU",IF(CRM_MAGDY!K903="","BRAK KWOTY",IF(CRM_MAGDY!N903="","BRAK STATUSU",IF(CRM_MAGDY!C903="","BRAK DATY AKCJI",""))))</f>
        <v>BRAK TELEFONU</v>
      </c>
      <c r="F903" s="57" t="str">
        <f>CRM_MAGDY!W903</f>
        <v>BRAKI CRM</v>
      </c>
      <c r="G903" s="57">
        <f>CRM_MAGDY!K903</f>
        <v>0</v>
      </c>
      <c r="H903" s="57">
        <f>CRM_MAGDY!N903</f>
        <v>0</v>
      </c>
    </row>
    <row r="904" spans="1:8" ht="30" x14ac:dyDescent="0.25">
      <c r="A904" s="57">
        <f>CRM_MAGDY!H904</f>
        <v>6340</v>
      </c>
      <c r="B904" s="57">
        <f>CRM_MAGDY!I904</f>
        <v>0</v>
      </c>
      <c r="C904" s="57">
        <f>CRM_MAGDY!E904</f>
        <v>0</v>
      </c>
      <c r="D904" s="57">
        <f>CRM_MAGDY!V904</f>
        <v>0</v>
      </c>
      <c r="E904" s="57" t="str">
        <f>IF(CRM_MAGDY!G904="","BRAK TELEFONU",IF(CRM_MAGDY!K904="","BRAK KWOTY",IF(CRM_MAGDY!N904="","BRAK STATUSU",IF(CRM_MAGDY!C904="","BRAK DATY AKCJI",""))))</f>
        <v>BRAK TELEFONU</v>
      </c>
      <c r="F904" s="57" t="str">
        <f>CRM_MAGDY!W904</f>
        <v>BRAKI CRM</v>
      </c>
      <c r="G904" s="57">
        <f>CRM_MAGDY!K904</f>
        <v>0</v>
      </c>
      <c r="H904" s="57">
        <f>CRM_MAGDY!N904</f>
        <v>0</v>
      </c>
    </row>
    <row r="905" spans="1:8" ht="30" x14ac:dyDescent="0.25">
      <c r="A905" s="57">
        <f>CRM_MAGDY!H905</f>
        <v>6341</v>
      </c>
      <c r="B905" s="57">
        <f>CRM_MAGDY!I905</f>
        <v>0</v>
      </c>
      <c r="C905" s="57">
        <f>CRM_MAGDY!E905</f>
        <v>0</v>
      </c>
      <c r="D905" s="57">
        <f>CRM_MAGDY!V905</f>
        <v>0</v>
      </c>
      <c r="E905" s="57" t="str">
        <f>IF(CRM_MAGDY!G905="","BRAK TELEFONU",IF(CRM_MAGDY!K905="","BRAK KWOTY",IF(CRM_MAGDY!N905="","BRAK STATUSU",IF(CRM_MAGDY!C905="","BRAK DATY AKCJI",""))))</f>
        <v>BRAK TELEFONU</v>
      </c>
      <c r="F905" s="57" t="str">
        <f>CRM_MAGDY!W905</f>
        <v>BRAKI CRM</v>
      </c>
      <c r="G905" s="57">
        <f>CRM_MAGDY!K905</f>
        <v>0</v>
      </c>
      <c r="H905" s="57">
        <f>CRM_MAGDY!N905</f>
        <v>0</v>
      </c>
    </row>
    <row r="906" spans="1:8" ht="30" x14ac:dyDescent="0.25">
      <c r="A906" s="57">
        <f>CRM_MAGDY!H906</f>
        <v>6342</v>
      </c>
      <c r="B906" s="57">
        <f>CRM_MAGDY!I906</f>
        <v>0</v>
      </c>
      <c r="C906" s="57">
        <f>CRM_MAGDY!E906</f>
        <v>0</v>
      </c>
      <c r="D906" s="57">
        <f>CRM_MAGDY!V906</f>
        <v>0</v>
      </c>
      <c r="E906" s="57" t="str">
        <f>IF(CRM_MAGDY!G906="","BRAK TELEFONU",IF(CRM_MAGDY!K906="","BRAK KWOTY",IF(CRM_MAGDY!N906="","BRAK STATUSU",IF(CRM_MAGDY!C906="","BRAK DATY AKCJI",""))))</f>
        <v>BRAK TELEFONU</v>
      </c>
      <c r="F906" s="57" t="str">
        <f>CRM_MAGDY!W906</f>
        <v>BRAKI CRM</v>
      </c>
      <c r="G906" s="57">
        <f>CRM_MAGDY!K906</f>
        <v>0</v>
      </c>
      <c r="H906" s="57">
        <f>CRM_MAGDY!N906</f>
        <v>0</v>
      </c>
    </row>
    <row r="907" spans="1:8" ht="30" x14ac:dyDescent="0.25">
      <c r="A907" s="57">
        <f>CRM_MAGDY!H907</f>
        <v>6343</v>
      </c>
      <c r="B907" s="57">
        <f>CRM_MAGDY!I907</f>
        <v>0</v>
      </c>
      <c r="C907" s="57">
        <f>CRM_MAGDY!E907</f>
        <v>0</v>
      </c>
      <c r="D907" s="57">
        <f>CRM_MAGDY!V907</f>
        <v>0</v>
      </c>
      <c r="E907" s="57" t="str">
        <f>IF(CRM_MAGDY!G907="","BRAK TELEFONU",IF(CRM_MAGDY!K907="","BRAK KWOTY",IF(CRM_MAGDY!N907="","BRAK STATUSU",IF(CRM_MAGDY!C907="","BRAK DATY AKCJI",""))))</f>
        <v>BRAK TELEFONU</v>
      </c>
      <c r="F907" s="57" t="str">
        <f>CRM_MAGDY!W907</f>
        <v>BRAKI CRM</v>
      </c>
      <c r="G907" s="57">
        <f>CRM_MAGDY!K907</f>
        <v>0</v>
      </c>
      <c r="H907" s="57">
        <f>CRM_MAGDY!N907</f>
        <v>0</v>
      </c>
    </row>
    <row r="908" spans="1:8" ht="30" x14ac:dyDescent="0.25">
      <c r="A908" s="57">
        <f>CRM_MAGDY!H908</f>
        <v>6344</v>
      </c>
      <c r="B908" s="57">
        <f>CRM_MAGDY!I908</f>
        <v>0</v>
      </c>
      <c r="C908" s="57">
        <f>CRM_MAGDY!E908</f>
        <v>0</v>
      </c>
      <c r="D908" s="57">
        <f>CRM_MAGDY!V908</f>
        <v>0</v>
      </c>
      <c r="E908" s="57" t="str">
        <f>IF(CRM_MAGDY!G908="","BRAK TELEFONU",IF(CRM_MAGDY!K908="","BRAK KWOTY",IF(CRM_MAGDY!N908="","BRAK STATUSU",IF(CRM_MAGDY!C908="","BRAK DATY AKCJI",""))))</f>
        <v>BRAK TELEFONU</v>
      </c>
      <c r="F908" s="57" t="str">
        <f>CRM_MAGDY!W908</f>
        <v>BRAKI CRM</v>
      </c>
      <c r="G908" s="57">
        <f>CRM_MAGDY!K908</f>
        <v>0</v>
      </c>
      <c r="H908" s="57">
        <f>CRM_MAGDY!N908</f>
        <v>0</v>
      </c>
    </row>
    <row r="909" spans="1:8" ht="30" x14ac:dyDescent="0.25">
      <c r="A909" s="57">
        <f>CRM_MAGDY!H909</f>
        <v>6345</v>
      </c>
      <c r="B909" s="57">
        <f>CRM_MAGDY!I909</f>
        <v>0</v>
      </c>
      <c r="C909" s="57">
        <f>CRM_MAGDY!E909</f>
        <v>0</v>
      </c>
      <c r="D909" s="57">
        <f>CRM_MAGDY!V909</f>
        <v>0</v>
      </c>
      <c r="E909" s="57" t="str">
        <f>IF(CRM_MAGDY!G909="","BRAK TELEFONU",IF(CRM_MAGDY!K909="","BRAK KWOTY",IF(CRM_MAGDY!N909="","BRAK STATUSU",IF(CRM_MAGDY!C909="","BRAK DATY AKCJI",""))))</f>
        <v>BRAK TELEFONU</v>
      </c>
      <c r="F909" s="57" t="str">
        <f>CRM_MAGDY!W909</f>
        <v>BRAKI CRM</v>
      </c>
      <c r="G909" s="57">
        <f>CRM_MAGDY!K909</f>
        <v>0</v>
      </c>
      <c r="H909" s="57">
        <f>CRM_MAGDY!N909</f>
        <v>0</v>
      </c>
    </row>
    <row r="910" spans="1:8" ht="30" x14ac:dyDescent="0.25">
      <c r="A910" s="57">
        <f>CRM_MAGDY!H910</f>
        <v>6346</v>
      </c>
      <c r="B910" s="57">
        <f>CRM_MAGDY!I910</f>
        <v>0</v>
      </c>
      <c r="C910" s="57">
        <f>CRM_MAGDY!E910</f>
        <v>0</v>
      </c>
      <c r="D910" s="57">
        <f>CRM_MAGDY!V910</f>
        <v>0</v>
      </c>
      <c r="E910" s="57" t="str">
        <f>IF(CRM_MAGDY!G910="","BRAK TELEFONU",IF(CRM_MAGDY!K910="","BRAK KWOTY",IF(CRM_MAGDY!N910="","BRAK STATUSU",IF(CRM_MAGDY!C910="","BRAK DATY AKCJI",""))))</f>
        <v>BRAK TELEFONU</v>
      </c>
      <c r="F910" s="57" t="str">
        <f>CRM_MAGDY!W910</f>
        <v>BRAKI CRM</v>
      </c>
      <c r="G910" s="57">
        <f>CRM_MAGDY!K910</f>
        <v>0</v>
      </c>
      <c r="H910" s="57">
        <f>CRM_MAGDY!N910</f>
        <v>0</v>
      </c>
    </row>
    <row r="911" spans="1:8" ht="30" x14ac:dyDescent="0.25">
      <c r="A911" s="57">
        <f>CRM_MAGDY!H911</f>
        <v>6347</v>
      </c>
      <c r="B911" s="57">
        <f>CRM_MAGDY!I911</f>
        <v>0</v>
      </c>
      <c r="C911" s="57">
        <f>CRM_MAGDY!E911</f>
        <v>0</v>
      </c>
      <c r="D911" s="57">
        <f>CRM_MAGDY!V911</f>
        <v>0</v>
      </c>
      <c r="E911" s="57" t="str">
        <f>IF(CRM_MAGDY!G911="","BRAK TELEFONU",IF(CRM_MAGDY!K911="","BRAK KWOTY",IF(CRM_MAGDY!N911="","BRAK STATUSU",IF(CRM_MAGDY!C911="","BRAK DATY AKCJI",""))))</f>
        <v>BRAK TELEFONU</v>
      </c>
      <c r="F911" s="57" t="str">
        <f>CRM_MAGDY!W911</f>
        <v>BRAKI CRM</v>
      </c>
      <c r="G911" s="57">
        <f>CRM_MAGDY!K911</f>
        <v>0</v>
      </c>
      <c r="H911" s="57">
        <f>CRM_MAGDY!N911</f>
        <v>0</v>
      </c>
    </row>
    <row r="912" spans="1:8" ht="30" x14ac:dyDescent="0.25">
      <c r="A912" s="57">
        <f>CRM_MAGDY!H912</f>
        <v>6348</v>
      </c>
      <c r="B912" s="57">
        <f>CRM_MAGDY!I912</f>
        <v>0</v>
      </c>
      <c r="C912" s="57">
        <f>CRM_MAGDY!E912</f>
        <v>0</v>
      </c>
      <c r="D912" s="57">
        <f>CRM_MAGDY!V912</f>
        <v>0</v>
      </c>
      <c r="E912" s="57" t="str">
        <f>IF(CRM_MAGDY!G912="","BRAK TELEFONU",IF(CRM_MAGDY!K912="","BRAK KWOTY",IF(CRM_MAGDY!N912="","BRAK STATUSU",IF(CRM_MAGDY!C912="","BRAK DATY AKCJI",""))))</f>
        <v>BRAK TELEFONU</v>
      </c>
      <c r="F912" s="57" t="str">
        <f>CRM_MAGDY!W912</f>
        <v>BRAKI CRM</v>
      </c>
      <c r="G912" s="57">
        <f>CRM_MAGDY!K912</f>
        <v>0</v>
      </c>
      <c r="H912" s="57">
        <f>CRM_MAGDY!N912</f>
        <v>0</v>
      </c>
    </row>
    <row r="913" spans="1:8" ht="30" x14ac:dyDescent="0.25">
      <c r="A913" s="57">
        <f>CRM_MAGDY!H913</f>
        <v>6349</v>
      </c>
      <c r="B913" s="57">
        <f>CRM_MAGDY!I913</f>
        <v>0</v>
      </c>
      <c r="C913" s="57">
        <f>CRM_MAGDY!E913</f>
        <v>0</v>
      </c>
      <c r="D913" s="57">
        <f>CRM_MAGDY!V913</f>
        <v>0</v>
      </c>
      <c r="E913" s="57" t="str">
        <f>IF(CRM_MAGDY!G913="","BRAK TELEFONU",IF(CRM_MAGDY!K913="","BRAK KWOTY",IF(CRM_MAGDY!N913="","BRAK STATUSU",IF(CRM_MAGDY!C913="","BRAK DATY AKCJI",""))))</f>
        <v>BRAK TELEFONU</v>
      </c>
      <c r="F913" s="57" t="str">
        <f>CRM_MAGDY!W913</f>
        <v>BRAKI CRM</v>
      </c>
      <c r="G913" s="57">
        <f>CRM_MAGDY!K913</f>
        <v>0</v>
      </c>
      <c r="H913" s="57">
        <f>CRM_MAGDY!N913</f>
        <v>0</v>
      </c>
    </row>
    <row r="914" spans="1:8" ht="30" x14ac:dyDescent="0.25">
      <c r="A914" s="57">
        <f>CRM_MAGDY!H914</f>
        <v>6350</v>
      </c>
      <c r="B914" s="57">
        <f>CRM_MAGDY!I914</f>
        <v>0</v>
      </c>
      <c r="C914" s="57">
        <f>CRM_MAGDY!E914</f>
        <v>0</v>
      </c>
      <c r="D914" s="57">
        <f>CRM_MAGDY!V914</f>
        <v>0</v>
      </c>
      <c r="E914" s="57" t="str">
        <f>IF(CRM_MAGDY!G914="","BRAK TELEFONU",IF(CRM_MAGDY!K914="","BRAK KWOTY",IF(CRM_MAGDY!N914="","BRAK STATUSU",IF(CRM_MAGDY!C914="","BRAK DATY AKCJI",""))))</f>
        <v>BRAK TELEFONU</v>
      </c>
      <c r="F914" s="57" t="str">
        <f>CRM_MAGDY!W914</f>
        <v>BRAKI CRM</v>
      </c>
      <c r="G914" s="57">
        <f>CRM_MAGDY!K914</f>
        <v>0</v>
      </c>
      <c r="H914" s="57">
        <f>CRM_MAGDY!N914</f>
        <v>0</v>
      </c>
    </row>
    <row r="915" spans="1:8" ht="30" x14ac:dyDescent="0.25">
      <c r="A915" s="57">
        <f>CRM_MAGDY!H915</f>
        <v>6351</v>
      </c>
      <c r="B915" s="57">
        <f>CRM_MAGDY!I915</f>
        <v>0</v>
      </c>
      <c r="C915" s="57">
        <f>CRM_MAGDY!E915</f>
        <v>0</v>
      </c>
      <c r="D915" s="57">
        <f>CRM_MAGDY!V915</f>
        <v>0</v>
      </c>
      <c r="E915" s="57" t="str">
        <f>IF(CRM_MAGDY!G915="","BRAK TELEFONU",IF(CRM_MAGDY!K915="","BRAK KWOTY",IF(CRM_MAGDY!N915="","BRAK STATUSU",IF(CRM_MAGDY!C915="","BRAK DATY AKCJI",""))))</f>
        <v>BRAK TELEFONU</v>
      </c>
      <c r="F915" s="57" t="str">
        <f>CRM_MAGDY!W915</f>
        <v>BRAKI CRM</v>
      </c>
      <c r="G915" s="57">
        <f>CRM_MAGDY!K915</f>
        <v>0</v>
      </c>
      <c r="H915" s="57">
        <f>CRM_MAGDY!N915</f>
        <v>0</v>
      </c>
    </row>
    <row r="916" spans="1:8" ht="30" x14ac:dyDescent="0.25">
      <c r="A916" s="57">
        <f>CRM_MAGDY!H916</f>
        <v>6352</v>
      </c>
      <c r="B916" s="57">
        <f>CRM_MAGDY!I916</f>
        <v>0</v>
      </c>
      <c r="C916" s="57">
        <f>CRM_MAGDY!E916</f>
        <v>0</v>
      </c>
      <c r="D916" s="57">
        <f>CRM_MAGDY!V916</f>
        <v>0</v>
      </c>
      <c r="E916" s="57" t="str">
        <f>IF(CRM_MAGDY!G916="","BRAK TELEFONU",IF(CRM_MAGDY!K916="","BRAK KWOTY",IF(CRM_MAGDY!N916="","BRAK STATUSU",IF(CRM_MAGDY!C916="","BRAK DATY AKCJI",""))))</f>
        <v>BRAK TELEFONU</v>
      </c>
      <c r="F916" s="57" t="str">
        <f>CRM_MAGDY!W916</f>
        <v>BRAKI CRM</v>
      </c>
      <c r="G916" s="57">
        <f>CRM_MAGDY!K916</f>
        <v>0</v>
      </c>
      <c r="H916" s="57">
        <f>CRM_MAGDY!N916</f>
        <v>0</v>
      </c>
    </row>
    <row r="917" spans="1:8" ht="30" x14ac:dyDescent="0.25">
      <c r="A917" s="57">
        <f>CRM_MAGDY!H917</f>
        <v>6353</v>
      </c>
      <c r="B917" s="57">
        <f>CRM_MAGDY!I917</f>
        <v>0</v>
      </c>
      <c r="C917" s="57">
        <f>CRM_MAGDY!E917</f>
        <v>0</v>
      </c>
      <c r="D917" s="57">
        <f>CRM_MAGDY!V917</f>
        <v>0</v>
      </c>
      <c r="E917" s="57" t="str">
        <f>IF(CRM_MAGDY!G917="","BRAK TELEFONU",IF(CRM_MAGDY!K917="","BRAK KWOTY",IF(CRM_MAGDY!N917="","BRAK STATUSU",IF(CRM_MAGDY!C917="","BRAK DATY AKCJI",""))))</f>
        <v>BRAK TELEFONU</v>
      </c>
      <c r="F917" s="57" t="str">
        <f>CRM_MAGDY!W917</f>
        <v>BRAKI CRM</v>
      </c>
      <c r="G917" s="57">
        <f>CRM_MAGDY!K917</f>
        <v>0</v>
      </c>
      <c r="H917" s="57">
        <f>CRM_MAGDY!N917</f>
        <v>0</v>
      </c>
    </row>
    <row r="918" spans="1:8" ht="30" x14ac:dyDescent="0.25">
      <c r="A918" s="57">
        <f>CRM_MAGDY!H918</f>
        <v>6354</v>
      </c>
      <c r="B918" s="57">
        <f>CRM_MAGDY!I918</f>
        <v>0</v>
      </c>
      <c r="C918" s="57">
        <f>CRM_MAGDY!E918</f>
        <v>0</v>
      </c>
      <c r="D918" s="57">
        <f>CRM_MAGDY!V918</f>
        <v>0</v>
      </c>
      <c r="E918" s="57" t="str">
        <f>IF(CRM_MAGDY!G918="","BRAK TELEFONU",IF(CRM_MAGDY!K918="","BRAK KWOTY",IF(CRM_MAGDY!N918="","BRAK STATUSU",IF(CRM_MAGDY!C918="","BRAK DATY AKCJI",""))))</f>
        <v>BRAK TELEFONU</v>
      </c>
      <c r="F918" s="57" t="str">
        <f>CRM_MAGDY!W918</f>
        <v>BRAKI CRM</v>
      </c>
      <c r="G918" s="57">
        <f>CRM_MAGDY!K918</f>
        <v>0</v>
      </c>
      <c r="H918" s="57">
        <f>CRM_MAGDY!N918</f>
        <v>0</v>
      </c>
    </row>
    <row r="919" spans="1:8" ht="30" x14ac:dyDescent="0.25">
      <c r="A919" s="57">
        <f>CRM_MAGDY!H919</f>
        <v>6355</v>
      </c>
      <c r="B919" s="57">
        <f>CRM_MAGDY!I919</f>
        <v>0</v>
      </c>
      <c r="C919" s="57">
        <f>CRM_MAGDY!E919</f>
        <v>0</v>
      </c>
      <c r="D919" s="57">
        <f>CRM_MAGDY!V919</f>
        <v>0</v>
      </c>
      <c r="E919" s="57" t="str">
        <f>IF(CRM_MAGDY!G919="","BRAK TELEFONU",IF(CRM_MAGDY!K919="","BRAK KWOTY",IF(CRM_MAGDY!N919="","BRAK STATUSU",IF(CRM_MAGDY!C919="","BRAK DATY AKCJI",""))))</f>
        <v>BRAK TELEFONU</v>
      </c>
      <c r="F919" s="57" t="str">
        <f>CRM_MAGDY!W919</f>
        <v>BRAKI CRM</v>
      </c>
      <c r="G919" s="57">
        <f>CRM_MAGDY!K919</f>
        <v>0</v>
      </c>
      <c r="H919" s="57">
        <f>CRM_MAGDY!N919</f>
        <v>0</v>
      </c>
    </row>
    <row r="920" spans="1:8" ht="30" x14ac:dyDescent="0.25">
      <c r="A920" s="57">
        <f>CRM_MAGDY!H920</f>
        <v>6356</v>
      </c>
      <c r="B920" s="57">
        <f>CRM_MAGDY!I920</f>
        <v>0</v>
      </c>
      <c r="C920" s="57">
        <f>CRM_MAGDY!E920</f>
        <v>0</v>
      </c>
      <c r="D920" s="57">
        <f>CRM_MAGDY!V920</f>
        <v>0</v>
      </c>
      <c r="E920" s="57" t="str">
        <f>IF(CRM_MAGDY!G920="","BRAK TELEFONU",IF(CRM_MAGDY!K920="","BRAK KWOTY",IF(CRM_MAGDY!N920="","BRAK STATUSU",IF(CRM_MAGDY!C920="","BRAK DATY AKCJI",""))))</f>
        <v>BRAK TELEFONU</v>
      </c>
      <c r="F920" s="57" t="str">
        <f>CRM_MAGDY!W920</f>
        <v>BRAKI CRM</v>
      </c>
      <c r="G920" s="57">
        <f>CRM_MAGDY!K920</f>
        <v>0</v>
      </c>
      <c r="H920" s="57">
        <f>CRM_MAGDY!N920</f>
        <v>0</v>
      </c>
    </row>
    <row r="921" spans="1:8" ht="30" x14ac:dyDescent="0.25">
      <c r="A921" s="57">
        <f>CRM_MAGDY!H921</f>
        <v>6357</v>
      </c>
      <c r="B921" s="57">
        <f>CRM_MAGDY!I921</f>
        <v>0</v>
      </c>
      <c r="C921" s="57">
        <f>CRM_MAGDY!E921</f>
        <v>0</v>
      </c>
      <c r="D921" s="57">
        <f>CRM_MAGDY!V921</f>
        <v>0</v>
      </c>
      <c r="E921" s="57" t="str">
        <f>IF(CRM_MAGDY!G921="","BRAK TELEFONU",IF(CRM_MAGDY!K921="","BRAK KWOTY",IF(CRM_MAGDY!N921="","BRAK STATUSU",IF(CRM_MAGDY!C921="","BRAK DATY AKCJI",""))))</f>
        <v>BRAK TELEFONU</v>
      </c>
      <c r="F921" s="57" t="str">
        <f>CRM_MAGDY!W921</f>
        <v>BRAKI CRM</v>
      </c>
      <c r="G921" s="57">
        <f>CRM_MAGDY!K921</f>
        <v>0</v>
      </c>
      <c r="H921" s="57">
        <f>CRM_MAGDY!N921</f>
        <v>0</v>
      </c>
    </row>
    <row r="922" spans="1:8" ht="30" x14ac:dyDescent="0.25">
      <c r="A922" s="57">
        <f>CRM_MAGDY!H922</f>
        <v>6358</v>
      </c>
      <c r="B922" s="57">
        <f>CRM_MAGDY!I922</f>
        <v>0</v>
      </c>
      <c r="C922" s="57">
        <f>CRM_MAGDY!E922</f>
        <v>0</v>
      </c>
      <c r="D922" s="57">
        <f>CRM_MAGDY!V922</f>
        <v>0</v>
      </c>
      <c r="E922" s="57" t="str">
        <f>IF(CRM_MAGDY!G922="","BRAK TELEFONU",IF(CRM_MAGDY!K922="","BRAK KWOTY",IF(CRM_MAGDY!N922="","BRAK STATUSU",IF(CRM_MAGDY!C922="","BRAK DATY AKCJI",""))))</f>
        <v>BRAK TELEFONU</v>
      </c>
      <c r="F922" s="57" t="str">
        <f>CRM_MAGDY!W922</f>
        <v>BRAKI CRM</v>
      </c>
      <c r="G922" s="57">
        <f>CRM_MAGDY!K922</f>
        <v>0</v>
      </c>
      <c r="H922" s="57">
        <f>CRM_MAGDY!N922</f>
        <v>0</v>
      </c>
    </row>
    <row r="923" spans="1:8" ht="30" x14ac:dyDescent="0.25">
      <c r="A923" s="57">
        <f>CRM_MAGDY!H923</f>
        <v>6359</v>
      </c>
      <c r="B923" s="57">
        <f>CRM_MAGDY!I923</f>
        <v>0</v>
      </c>
      <c r="C923" s="57">
        <f>CRM_MAGDY!E923</f>
        <v>0</v>
      </c>
      <c r="D923" s="57">
        <f>CRM_MAGDY!V923</f>
        <v>0</v>
      </c>
      <c r="E923" s="57" t="str">
        <f>IF(CRM_MAGDY!G923="","BRAK TELEFONU",IF(CRM_MAGDY!K923="","BRAK KWOTY",IF(CRM_MAGDY!N923="","BRAK STATUSU",IF(CRM_MAGDY!C923="","BRAK DATY AKCJI",""))))</f>
        <v>BRAK TELEFONU</v>
      </c>
      <c r="F923" s="57" t="str">
        <f>CRM_MAGDY!W923</f>
        <v>BRAKI CRM</v>
      </c>
      <c r="G923" s="57">
        <f>CRM_MAGDY!K923</f>
        <v>0</v>
      </c>
      <c r="H923" s="57">
        <f>CRM_MAGDY!N923</f>
        <v>0</v>
      </c>
    </row>
    <row r="924" spans="1:8" ht="30" x14ac:dyDescent="0.25">
      <c r="A924" s="57">
        <f>CRM_MAGDY!H924</f>
        <v>6360</v>
      </c>
      <c r="B924" s="57">
        <f>CRM_MAGDY!I924</f>
        <v>0</v>
      </c>
      <c r="C924" s="57">
        <f>CRM_MAGDY!E924</f>
        <v>0</v>
      </c>
      <c r="D924" s="57">
        <f>CRM_MAGDY!V924</f>
        <v>0</v>
      </c>
      <c r="E924" s="57" t="str">
        <f>IF(CRM_MAGDY!G924="","BRAK TELEFONU",IF(CRM_MAGDY!K924="","BRAK KWOTY",IF(CRM_MAGDY!N924="","BRAK STATUSU",IF(CRM_MAGDY!C924="","BRAK DATY AKCJI",""))))</f>
        <v>BRAK TELEFONU</v>
      </c>
      <c r="F924" s="57" t="str">
        <f>CRM_MAGDY!W924</f>
        <v>BRAKI CRM</v>
      </c>
      <c r="G924" s="57">
        <f>CRM_MAGDY!K924</f>
        <v>0</v>
      </c>
      <c r="H924" s="57">
        <f>CRM_MAGDY!N924</f>
        <v>0</v>
      </c>
    </row>
    <row r="925" spans="1:8" ht="30" x14ac:dyDescent="0.25">
      <c r="A925" s="57">
        <f>CRM_MAGDY!H925</f>
        <v>6361</v>
      </c>
      <c r="B925" s="57">
        <f>CRM_MAGDY!I925</f>
        <v>0</v>
      </c>
      <c r="C925" s="57">
        <f>CRM_MAGDY!E925</f>
        <v>0</v>
      </c>
      <c r="D925" s="57">
        <f>CRM_MAGDY!V925</f>
        <v>0</v>
      </c>
      <c r="E925" s="57" t="str">
        <f>IF(CRM_MAGDY!G925="","BRAK TELEFONU",IF(CRM_MAGDY!K925="","BRAK KWOTY",IF(CRM_MAGDY!N925="","BRAK STATUSU",IF(CRM_MAGDY!C925="","BRAK DATY AKCJI",""))))</f>
        <v>BRAK TELEFONU</v>
      </c>
      <c r="F925" s="57" t="str">
        <f>CRM_MAGDY!W925</f>
        <v>BRAKI CRM</v>
      </c>
      <c r="G925" s="57">
        <f>CRM_MAGDY!K925</f>
        <v>0</v>
      </c>
      <c r="H925" s="57">
        <f>CRM_MAGDY!N925</f>
        <v>0</v>
      </c>
    </row>
    <row r="926" spans="1:8" ht="30" x14ac:dyDescent="0.25">
      <c r="A926" s="57">
        <f>CRM_MAGDY!H926</f>
        <v>6362</v>
      </c>
      <c r="B926" s="57">
        <f>CRM_MAGDY!I926</f>
        <v>0</v>
      </c>
      <c r="C926" s="57">
        <f>CRM_MAGDY!E926</f>
        <v>0</v>
      </c>
      <c r="D926" s="57">
        <f>CRM_MAGDY!V926</f>
        <v>0</v>
      </c>
      <c r="E926" s="57" t="str">
        <f>IF(CRM_MAGDY!G926="","BRAK TELEFONU",IF(CRM_MAGDY!K926="","BRAK KWOTY",IF(CRM_MAGDY!N926="","BRAK STATUSU",IF(CRM_MAGDY!C926="","BRAK DATY AKCJI",""))))</f>
        <v>BRAK TELEFONU</v>
      </c>
      <c r="F926" s="57" t="str">
        <f>CRM_MAGDY!W926</f>
        <v>BRAKI CRM</v>
      </c>
      <c r="G926" s="57">
        <f>CRM_MAGDY!K926</f>
        <v>0</v>
      </c>
      <c r="H926" s="57">
        <f>CRM_MAGDY!N926</f>
        <v>0</v>
      </c>
    </row>
    <row r="927" spans="1:8" ht="30" x14ac:dyDescent="0.25">
      <c r="A927" s="57">
        <f>CRM_MAGDY!H927</f>
        <v>6363</v>
      </c>
      <c r="B927" s="57">
        <f>CRM_MAGDY!I927</f>
        <v>0</v>
      </c>
      <c r="C927" s="57">
        <f>CRM_MAGDY!E927</f>
        <v>0</v>
      </c>
      <c r="D927" s="57">
        <f>CRM_MAGDY!V927</f>
        <v>0</v>
      </c>
      <c r="E927" s="57" t="str">
        <f>IF(CRM_MAGDY!G927="","BRAK TELEFONU",IF(CRM_MAGDY!K927="","BRAK KWOTY",IF(CRM_MAGDY!N927="","BRAK STATUSU",IF(CRM_MAGDY!C927="","BRAK DATY AKCJI",""))))</f>
        <v>BRAK TELEFONU</v>
      </c>
      <c r="F927" s="57" t="str">
        <f>CRM_MAGDY!W927</f>
        <v>BRAKI CRM</v>
      </c>
      <c r="G927" s="57">
        <f>CRM_MAGDY!K927</f>
        <v>0</v>
      </c>
      <c r="H927" s="57">
        <f>CRM_MAGDY!N927</f>
        <v>0</v>
      </c>
    </row>
    <row r="928" spans="1:8" ht="30" x14ac:dyDescent="0.25">
      <c r="A928" s="57">
        <f>CRM_MAGDY!H928</f>
        <v>6364</v>
      </c>
      <c r="B928" s="57">
        <f>CRM_MAGDY!I928</f>
        <v>0</v>
      </c>
      <c r="C928" s="57">
        <f>CRM_MAGDY!E928</f>
        <v>0</v>
      </c>
      <c r="D928" s="57">
        <f>CRM_MAGDY!V928</f>
        <v>0</v>
      </c>
      <c r="E928" s="57" t="str">
        <f>IF(CRM_MAGDY!G928="","BRAK TELEFONU",IF(CRM_MAGDY!K928="","BRAK KWOTY",IF(CRM_MAGDY!N928="","BRAK STATUSU",IF(CRM_MAGDY!C928="","BRAK DATY AKCJI",""))))</f>
        <v>BRAK TELEFONU</v>
      </c>
      <c r="F928" s="57" t="str">
        <f>CRM_MAGDY!W928</f>
        <v>BRAKI CRM</v>
      </c>
      <c r="G928" s="57">
        <f>CRM_MAGDY!K928</f>
        <v>0</v>
      </c>
      <c r="H928" s="57">
        <f>CRM_MAGDY!N928</f>
        <v>0</v>
      </c>
    </row>
    <row r="929" spans="1:8" ht="30" x14ac:dyDescent="0.25">
      <c r="A929" s="57">
        <f>CRM_MAGDY!H929</f>
        <v>6365</v>
      </c>
      <c r="B929" s="57">
        <f>CRM_MAGDY!I929</f>
        <v>0</v>
      </c>
      <c r="C929" s="57">
        <f>CRM_MAGDY!E929</f>
        <v>0</v>
      </c>
      <c r="D929" s="57">
        <f>CRM_MAGDY!V929</f>
        <v>0</v>
      </c>
      <c r="E929" s="57" t="str">
        <f>IF(CRM_MAGDY!G929="","BRAK TELEFONU",IF(CRM_MAGDY!K929="","BRAK KWOTY",IF(CRM_MAGDY!N929="","BRAK STATUSU",IF(CRM_MAGDY!C929="","BRAK DATY AKCJI",""))))</f>
        <v>BRAK TELEFONU</v>
      </c>
      <c r="F929" s="57" t="str">
        <f>CRM_MAGDY!W929</f>
        <v>BRAKI CRM</v>
      </c>
      <c r="G929" s="57">
        <f>CRM_MAGDY!K929</f>
        <v>0</v>
      </c>
      <c r="H929" s="57">
        <f>CRM_MAGDY!N929</f>
        <v>0</v>
      </c>
    </row>
    <row r="930" spans="1:8" ht="30" x14ac:dyDescent="0.25">
      <c r="A930" s="57">
        <f>CRM_MAGDY!H930</f>
        <v>6366</v>
      </c>
      <c r="B930" s="57">
        <f>CRM_MAGDY!I930</f>
        <v>0</v>
      </c>
      <c r="C930" s="57">
        <f>CRM_MAGDY!E930</f>
        <v>0</v>
      </c>
      <c r="D930" s="57">
        <f>CRM_MAGDY!V930</f>
        <v>0</v>
      </c>
      <c r="E930" s="57" t="str">
        <f>IF(CRM_MAGDY!G930="","BRAK TELEFONU",IF(CRM_MAGDY!K930="","BRAK KWOTY",IF(CRM_MAGDY!N930="","BRAK STATUSU",IF(CRM_MAGDY!C930="","BRAK DATY AKCJI",""))))</f>
        <v>BRAK TELEFONU</v>
      </c>
      <c r="F930" s="57" t="str">
        <f>CRM_MAGDY!W930</f>
        <v>BRAKI CRM</v>
      </c>
      <c r="G930" s="57">
        <f>CRM_MAGDY!K930</f>
        <v>0</v>
      </c>
      <c r="H930" s="57">
        <f>CRM_MAGDY!N930</f>
        <v>0</v>
      </c>
    </row>
    <row r="931" spans="1:8" ht="30" x14ac:dyDescent="0.25">
      <c r="A931" s="57">
        <f>CRM_MAGDY!H931</f>
        <v>6367</v>
      </c>
      <c r="B931" s="57">
        <f>CRM_MAGDY!I931</f>
        <v>0</v>
      </c>
      <c r="C931" s="57">
        <f>CRM_MAGDY!E931</f>
        <v>0</v>
      </c>
      <c r="D931" s="57">
        <f>CRM_MAGDY!V931</f>
        <v>0</v>
      </c>
      <c r="E931" s="57" t="str">
        <f>IF(CRM_MAGDY!G931="","BRAK TELEFONU",IF(CRM_MAGDY!K931="","BRAK KWOTY",IF(CRM_MAGDY!N931="","BRAK STATUSU",IF(CRM_MAGDY!C931="","BRAK DATY AKCJI",""))))</f>
        <v>BRAK TELEFONU</v>
      </c>
      <c r="F931" s="57" t="str">
        <f>CRM_MAGDY!W931</f>
        <v>BRAKI CRM</v>
      </c>
      <c r="G931" s="57">
        <f>CRM_MAGDY!K931</f>
        <v>0</v>
      </c>
      <c r="H931" s="57">
        <f>CRM_MAGDY!N931</f>
        <v>0</v>
      </c>
    </row>
    <row r="932" spans="1:8" ht="30" x14ac:dyDescent="0.25">
      <c r="A932" s="57">
        <f>CRM_MAGDY!H932</f>
        <v>6368</v>
      </c>
      <c r="B932" s="57">
        <f>CRM_MAGDY!I932</f>
        <v>0</v>
      </c>
      <c r="C932" s="57">
        <f>CRM_MAGDY!E932</f>
        <v>0</v>
      </c>
      <c r="D932" s="57">
        <f>CRM_MAGDY!V932</f>
        <v>0</v>
      </c>
      <c r="E932" s="57" t="str">
        <f>IF(CRM_MAGDY!G932="","BRAK TELEFONU",IF(CRM_MAGDY!K932="","BRAK KWOTY",IF(CRM_MAGDY!N932="","BRAK STATUSU",IF(CRM_MAGDY!C932="","BRAK DATY AKCJI",""))))</f>
        <v>BRAK TELEFONU</v>
      </c>
      <c r="F932" s="57" t="str">
        <f>CRM_MAGDY!W932</f>
        <v>BRAKI CRM</v>
      </c>
      <c r="G932" s="57">
        <f>CRM_MAGDY!K932</f>
        <v>0</v>
      </c>
      <c r="H932" s="57">
        <f>CRM_MAGDY!N932</f>
        <v>0</v>
      </c>
    </row>
    <row r="933" spans="1:8" ht="30" x14ac:dyDescent="0.25">
      <c r="A933" s="57">
        <f>CRM_MAGDY!H933</f>
        <v>6369</v>
      </c>
      <c r="B933" s="57">
        <f>CRM_MAGDY!I933</f>
        <v>0</v>
      </c>
      <c r="C933" s="57">
        <f>CRM_MAGDY!E933</f>
        <v>0</v>
      </c>
      <c r="D933" s="57">
        <f>CRM_MAGDY!V933</f>
        <v>0</v>
      </c>
      <c r="E933" s="57" t="str">
        <f>IF(CRM_MAGDY!G933="","BRAK TELEFONU",IF(CRM_MAGDY!K933="","BRAK KWOTY",IF(CRM_MAGDY!N933="","BRAK STATUSU",IF(CRM_MAGDY!C933="","BRAK DATY AKCJI",""))))</f>
        <v>BRAK TELEFONU</v>
      </c>
      <c r="F933" s="57" t="str">
        <f>CRM_MAGDY!W933</f>
        <v>BRAKI CRM</v>
      </c>
      <c r="G933" s="57">
        <f>CRM_MAGDY!K933</f>
        <v>0</v>
      </c>
      <c r="H933" s="57">
        <f>CRM_MAGDY!N933</f>
        <v>0</v>
      </c>
    </row>
    <row r="934" spans="1:8" ht="30" x14ac:dyDescent="0.25">
      <c r="A934" s="57">
        <f>CRM_MAGDY!H934</f>
        <v>6370</v>
      </c>
      <c r="B934" s="57">
        <f>CRM_MAGDY!I934</f>
        <v>0</v>
      </c>
      <c r="C934" s="57">
        <f>CRM_MAGDY!E934</f>
        <v>0</v>
      </c>
      <c r="D934" s="57">
        <f>CRM_MAGDY!V934</f>
        <v>0</v>
      </c>
      <c r="E934" s="57" t="str">
        <f>IF(CRM_MAGDY!G934="","BRAK TELEFONU",IF(CRM_MAGDY!K934="","BRAK KWOTY",IF(CRM_MAGDY!N934="","BRAK STATUSU",IF(CRM_MAGDY!C934="","BRAK DATY AKCJI",""))))</f>
        <v>BRAK TELEFONU</v>
      </c>
      <c r="F934" s="57" t="str">
        <f>CRM_MAGDY!W934</f>
        <v>BRAKI CRM</v>
      </c>
      <c r="G934" s="57">
        <f>CRM_MAGDY!K934</f>
        <v>0</v>
      </c>
      <c r="H934" s="57">
        <f>CRM_MAGDY!N934</f>
        <v>0</v>
      </c>
    </row>
    <row r="935" spans="1:8" ht="30" x14ac:dyDescent="0.25">
      <c r="A935" s="57">
        <f>CRM_MAGDY!H935</f>
        <v>6371</v>
      </c>
      <c r="B935" s="57">
        <f>CRM_MAGDY!I935</f>
        <v>0</v>
      </c>
      <c r="C935" s="57">
        <f>CRM_MAGDY!E935</f>
        <v>0</v>
      </c>
      <c r="D935" s="57">
        <f>CRM_MAGDY!V935</f>
        <v>0</v>
      </c>
      <c r="E935" s="57" t="str">
        <f>IF(CRM_MAGDY!G935="","BRAK TELEFONU",IF(CRM_MAGDY!K935="","BRAK KWOTY",IF(CRM_MAGDY!N935="","BRAK STATUSU",IF(CRM_MAGDY!C935="","BRAK DATY AKCJI",""))))</f>
        <v>BRAK TELEFONU</v>
      </c>
      <c r="F935" s="57" t="str">
        <f>CRM_MAGDY!W935</f>
        <v>BRAKI CRM</v>
      </c>
      <c r="G935" s="57">
        <f>CRM_MAGDY!K935</f>
        <v>0</v>
      </c>
      <c r="H935" s="57">
        <f>CRM_MAGDY!N935</f>
        <v>0</v>
      </c>
    </row>
    <row r="936" spans="1:8" ht="30" x14ac:dyDescent="0.25">
      <c r="A936" s="57">
        <f>CRM_MAGDY!H936</f>
        <v>6372</v>
      </c>
      <c r="B936" s="57">
        <f>CRM_MAGDY!I936</f>
        <v>0</v>
      </c>
      <c r="C936" s="57">
        <f>CRM_MAGDY!E936</f>
        <v>0</v>
      </c>
      <c r="D936" s="57">
        <f>CRM_MAGDY!V936</f>
        <v>0</v>
      </c>
      <c r="E936" s="57" t="str">
        <f>IF(CRM_MAGDY!G936="","BRAK TELEFONU",IF(CRM_MAGDY!K936="","BRAK KWOTY",IF(CRM_MAGDY!N936="","BRAK STATUSU",IF(CRM_MAGDY!C936="","BRAK DATY AKCJI",""))))</f>
        <v>BRAK TELEFONU</v>
      </c>
      <c r="F936" s="57" t="str">
        <f>CRM_MAGDY!W936</f>
        <v>BRAKI CRM</v>
      </c>
      <c r="G936" s="57">
        <f>CRM_MAGDY!K936</f>
        <v>0</v>
      </c>
      <c r="H936" s="57">
        <f>CRM_MAGDY!N936</f>
        <v>0</v>
      </c>
    </row>
    <row r="937" spans="1:8" ht="30" x14ac:dyDescent="0.25">
      <c r="A937" s="57">
        <f>CRM_MAGDY!H937</f>
        <v>6373</v>
      </c>
      <c r="B937" s="57">
        <f>CRM_MAGDY!I937</f>
        <v>0</v>
      </c>
      <c r="C937" s="57">
        <f>CRM_MAGDY!E937</f>
        <v>0</v>
      </c>
      <c r="D937" s="57">
        <f>CRM_MAGDY!V937</f>
        <v>0</v>
      </c>
      <c r="E937" s="57" t="str">
        <f>IF(CRM_MAGDY!G937="","BRAK TELEFONU",IF(CRM_MAGDY!K937="","BRAK KWOTY",IF(CRM_MAGDY!N937="","BRAK STATUSU",IF(CRM_MAGDY!C937="","BRAK DATY AKCJI",""))))</f>
        <v>BRAK TELEFONU</v>
      </c>
      <c r="F937" s="57" t="str">
        <f>CRM_MAGDY!W937</f>
        <v>BRAKI CRM</v>
      </c>
      <c r="G937" s="57">
        <f>CRM_MAGDY!K937</f>
        <v>0</v>
      </c>
      <c r="H937" s="57">
        <f>CRM_MAGDY!N937</f>
        <v>0</v>
      </c>
    </row>
    <row r="938" spans="1:8" ht="30" x14ac:dyDescent="0.25">
      <c r="A938" s="57">
        <f>CRM_MAGDY!H938</f>
        <v>6374</v>
      </c>
      <c r="B938" s="57">
        <f>CRM_MAGDY!I938</f>
        <v>0</v>
      </c>
      <c r="C938" s="57">
        <f>CRM_MAGDY!E938</f>
        <v>0</v>
      </c>
      <c r="D938" s="57">
        <f>CRM_MAGDY!V938</f>
        <v>0</v>
      </c>
      <c r="E938" s="57" t="str">
        <f>IF(CRM_MAGDY!G938="","BRAK TELEFONU",IF(CRM_MAGDY!K938="","BRAK KWOTY",IF(CRM_MAGDY!N938="","BRAK STATUSU",IF(CRM_MAGDY!C938="","BRAK DATY AKCJI",""))))</f>
        <v>BRAK TELEFONU</v>
      </c>
      <c r="F938" s="57" t="str">
        <f>CRM_MAGDY!W938</f>
        <v>BRAKI CRM</v>
      </c>
      <c r="G938" s="57">
        <f>CRM_MAGDY!K938</f>
        <v>0</v>
      </c>
      <c r="H938" s="57">
        <f>CRM_MAGDY!N938</f>
        <v>0</v>
      </c>
    </row>
    <row r="939" spans="1:8" ht="30" x14ac:dyDescent="0.25">
      <c r="A939" s="57">
        <f>CRM_MAGDY!H939</f>
        <v>6375</v>
      </c>
      <c r="B939" s="57">
        <f>CRM_MAGDY!I939</f>
        <v>0</v>
      </c>
      <c r="C939" s="57">
        <f>CRM_MAGDY!E939</f>
        <v>0</v>
      </c>
      <c r="D939" s="57">
        <f>CRM_MAGDY!V939</f>
        <v>0</v>
      </c>
      <c r="E939" s="57" t="str">
        <f>IF(CRM_MAGDY!G939="","BRAK TELEFONU",IF(CRM_MAGDY!K939="","BRAK KWOTY",IF(CRM_MAGDY!N939="","BRAK STATUSU",IF(CRM_MAGDY!C939="","BRAK DATY AKCJI",""))))</f>
        <v>BRAK TELEFONU</v>
      </c>
      <c r="F939" s="57" t="str">
        <f>CRM_MAGDY!W939</f>
        <v>BRAKI CRM</v>
      </c>
      <c r="G939" s="57">
        <f>CRM_MAGDY!K939</f>
        <v>0</v>
      </c>
      <c r="H939" s="57">
        <f>CRM_MAGDY!N939</f>
        <v>0</v>
      </c>
    </row>
    <row r="940" spans="1:8" ht="30" x14ac:dyDescent="0.25">
      <c r="A940" s="57">
        <f>CRM_MAGDY!H940</f>
        <v>6376</v>
      </c>
      <c r="B940" s="57">
        <f>CRM_MAGDY!I940</f>
        <v>0</v>
      </c>
      <c r="C940" s="57">
        <f>CRM_MAGDY!E940</f>
        <v>0</v>
      </c>
      <c r="D940" s="57">
        <f>CRM_MAGDY!V940</f>
        <v>0</v>
      </c>
      <c r="E940" s="57" t="str">
        <f>IF(CRM_MAGDY!G940="","BRAK TELEFONU",IF(CRM_MAGDY!K940="","BRAK KWOTY",IF(CRM_MAGDY!N940="","BRAK STATUSU",IF(CRM_MAGDY!C940="","BRAK DATY AKCJI",""))))</f>
        <v>BRAK TELEFONU</v>
      </c>
      <c r="F940" s="57" t="str">
        <f>CRM_MAGDY!W940</f>
        <v>BRAKI CRM</v>
      </c>
      <c r="G940" s="57">
        <f>CRM_MAGDY!K940</f>
        <v>0</v>
      </c>
      <c r="H940" s="57">
        <f>CRM_MAGDY!N940</f>
        <v>0</v>
      </c>
    </row>
    <row r="941" spans="1:8" ht="30" x14ac:dyDescent="0.25">
      <c r="A941" s="57">
        <f>CRM_MAGDY!H941</f>
        <v>6377</v>
      </c>
      <c r="B941" s="57">
        <f>CRM_MAGDY!I941</f>
        <v>0</v>
      </c>
      <c r="C941" s="57">
        <f>CRM_MAGDY!E941</f>
        <v>0</v>
      </c>
      <c r="D941" s="57">
        <f>CRM_MAGDY!V941</f>
        <v>0</v>
      </c>
      <c r="E941" s="57" t="str">
        <f>IF(CRM_MAGDY!G941="","BRAK TELEFONU",IF(CRM_MAGDY!K941="","BRAK KWOTY",IF(CRM_MAGDY!N941="","BRAK STATUSU",IF(CRM_MAGDY!C941="","BRAK DATY AKCJI",""))))</f>
        <v>BRAK TELEFONU</v>
      </c>
      <c r="F941" s="57" t="str">
        <f>CRM_MAGDY!W941</f>
        <v>BRAKI CRM</v>
      </c>
      <c r="G941" s="57">
        <f>CRM_MAGDY!K941</f>
        <v>0</v>
      </c>
      <c r="H941" s="57">
        <f>CRM_MAGDY!N941</f>
        <v>0</v>
      </c>
    </row>
    <row r="942" spans="1:8" ht="30" x14ac:dyDescent="0.25">
      <c r="A942" s="57">
        <f>CRM_MAGDY!H942</f>
        <v>6378</v>
      </c>
      <c r="B942" s="57">
        <f>CRM_MAGDY!I942</f>
        <v>0</v>
      </c>
      <c r="C942" s="57">
        <f>CRM_MAGDY!E942</f>
        <v>0</v>
      </c>
      <c r="D942" s="57">
        <f>CRM_MAGDY!V942</f>
        <v>0</v>
      </c>
      <c r="E942" s="57" t="str">
        <f>IF(CRM_MAGDY!G942="","BRAK TELEFONU",IF(CRM_MAGDY!K942="","BRAK KWOTY",IF(CRM_MAGDY!N942="","BRAK STATUSU",IF(CRM_MAGDY!C942="","BRAK DATY AKCJI",""))))</f>
        <v>BRAK TELEFONU</v>
      </c>
      <c r="F942" s="57" t="str">
        <f>CRM_MAGDY!W942</f>
        <v>BRAKI CRM</v>
      </c>
      <c r="G942" s="57">
        <f>CRM_MAGDY!K942</f>
        <v>0</v>
      </c>
      <c r="H942" s="57">
        <f>CRM_MAGDY!N942</f>
        <v>0</v>
      </c>
    </row>
    <row r="943" spans="1:8" ht="30" x14ac:dyDescent="0.25">
      <c r="A943" s="57">
        <f>CRM_MAGDY!H943</f>
        <v>6379</v>
      </c>
      <c r="B943" s="57">
        <f>CRM_MAGDY!I943</f>
        <v>0</v>
      </c>
      <c r="C943" s="57">
        <f>CRM_MAGDY!E943</f>
        <v>0</v>
      </c>
      <c r="D943" s="57">
        <f>CRM_MAGDY!V943</f>
        <v>0</v>
      </c>
      <c r="E943" s="57" t="str">
        <f>IF(CRM_MAGDY!G943="","BRAK TELEFONU",IF(CRM_MAGDY!K943="","BRAK KWOTY",IF(CRM_MAGDY!N943="","BRAK STATUSU",IF(CRM_MAGDY!C943="","BRAK DATY AKCJI",""))))</f>
        <v>BRAK TELEFONU</v>
      </c>
      <c r="F943" s="57" t="str">
        <f>CRM_MAGDY!W943</f>
        <v>BRAKI CRM</v>
      </c>
      <c r="G943" s="57">
        <f>CRM_MAGDY!K943</f>
        <v>0</v>
      </c>
      <c r="H943" s="57">
        <f>CRM_MAGDY!N943</f>
        <v>0</v>
      </c>
    </row>
    <row r="944" spans="1:8" ht="30" x14ac:dyDescent="0.25">
      <c r="A944" s="57">
        <f>CRM_MAGDY!H944</f>
        <v>6380</v>
      </c>
      <c r="B944" s="57">
        <f>CRM_MAGDY!I944</f>
        <v>0</v>
      </c>
      <c r="C944" s="57">
        <f>CRM_MAGDY!E944</f>
        <v>0</v>
      </c>
      <c r="D944" s="57">
        <f>CRM_MAGDY!V944</f>
        <v>0</v>
      </c>
      <c r="E944" s="57" t="str">
        <f>IF(CRM_MAGDY!G944="","BRAK TELEFONU",IF(CRM_MAGDY!K944="","BRAK KWOTY",IF(CRM_MAGDY!N944="","BRAK STATUSU",IF(CRM_MAGDY!C944="","BRAK DATY AKCJI",""))))</f>
        <v>BRAK TELEFONU</v>
      </c>
      <c r="F944" s="57" t="str">
        <f>CRM_MAGDY!W944</f>
        <v>BRAKI CRM</v>
      </c>
      <c r="G944" s="57">
        <f>CRM_MAGDY!K944</f>
        <v>0</v>
      </c>
      <c r="H944" s="57">
        <f>CRM_MAGDY!N944</f>
        <v>0</v>
      </c>
    </row>
    <row r="945" spans="1:8" ht="30" x14ac:dyDescent="0.25">
      <c r="A945" s="57">
        <f>CRM_MAGDY!H945</f>
        <v>6381</v>
      </c>
      <c r="B945" s="57">
        <f>CRM_MAGDY!I945</f>
        <v>0</v>
      </c>
      <c r="C945" s="57">
        <f>CRM_MAGDY!E945</f>
        <v>0</v>
      </c>
      <c r="D945" s="57">
        <f>CRM_MAGDY!V945</f>
        <v>0</v>
      </c>
      <c r="E945" s="57" t="str">
        <f>IF(CRM_MAGDY!G945="","BRAK TELEFONU",IF(CRM_MAGDY!K945="","BRAK KWOTY",IF(CRM_MAGDY!N945="","BRAK STATUSU",IF(CRM_MAGDY!C945="","BRAK DATY AKCJI",""))))</f>
        <v>BRAK TELEFONU</v>
      </c>
      <c r="F945" s="57" t="str">
        <f>CRM_MAGDY!W945</f>
        <v>BRAKI CRM</v>
      </c>
      <c r="G945" s="57">
        <f>CRM_MAGDY!K945</f>
        <v>0</v>
      </c>
      <c r="H945" s="57">
        <f>CRM_MAGDY!N945</f>
        <v>0</v>
      </c>
    </row>
    <row r="946" spans="1:8" ht="30" x14ac:dyDescent="0.25">
      <c r="A946" s="57">
        <f>CRM_MAGDY!H946</f>
        <v>6382</v>
      </c>
      <c r="B946" s="57">
        <f>CRM_MAGDY!I946</f>
        <v>0</v>
      </c>
      <c r="C946" s="57">
        <f>CRM_MAGDY!E946</f>
        <v>0</v>
      </c>
      <c r="D946" s="57">
        <f>CRM_MAGDY!V946</f>
        <v>0</v>
      </c>
      <c r="E946" s="57" t="str">
        <f>IF(CRM_MAGDY!G946="","BRAK TELEFONU",IF(CRM_MAGDY!K946="","BRAK KWOTY",IF(CRM_MAGDY!N946="","BRAK STATUSU",IF(CRM_MAGDY!C946="","BRAK DATY AKCJI",""))))</f>
        <v>BRAK TELEFONU</v>
      </c>
      <c r="F946" s="57" t="str">
        <f>CRM_MAGDY!W946</f>
        <v>BRAKI CRM</v>
      </c>
      <c r="G946" s="57">
        <f>CRM_MAGDY!K946</f>
        <v>0</v>
      </c>
      <c r="H946" s="57">
        <f>CRM_MAGDY!N946</f>
        <v>0</v>
      </c>
    </row>
    <row r="947" spans="1:8" ht="30" x14ac:dyDescent="0.25">
      <c r="A947" s="57">
        <f>CRM_MAGDY!H947</f>
        <v>6383</v>
      </c>
      <c r="B947" s="57">
        <f>CRM_MAGDY!I947</f>
        <v>0</v>
      </c>
      <c r="C947" s="57">
        <f>CRM_MAGDY!E947</f>
        <v>0</v>
      </c>
      <c r="D947" s="57">
        <f>CRM_MAGDY!V947</f>
        <v>0</v>
      </c>
      <c r="E947" s="57" t="str">
        <f>IF(CRM_MAGDY!G947="","BRAK TELEFONU",IF(CRM_MAGDY!K947="","BRAK KWOTY",IF(CRM_MAGDY!N947="","BRAK STATUSU",IF(CRM_MAGDY!C947="","BRAK DATY AKCJI",""))))</f>
        <v>BRAK TELEFONU</v>
      </c>
      <c r="F947" s="57" t="str">
        <f>CRM_MAGDY!W947</f>
        <v>BRAKI CRM</v>
      </c>
      <c r="G947" s="57">
        <f>CRM_MAGDY!K947</f>
        <v>0</v>
      </c>
      <c r="H947" s="57">
        <f>CRM_MAGDY!N947</f>
        <v>0</v>
      </c>
    </row>
    <row r="948" spans="1:8" ht="30" x14ac:dyDescent="0.25">
      <c r="A948" s="57">
        <f>CRM_MAGDY!H948</f>
        <v>6384</v>
      </c>
      <c r="B948" s="57">
        <f>CRM_MAGDY!I948</f>
        <v>0</v>
      </c>
      <c r="C948" s="57">
        <f>CRM_MAGDY!E948</f>
        <v>0</v>
      </c>
      <c r="D948" s="57">
        <f>CRM_MAGDY!V948</f>
        <v>0</v>
      </c>
      <c r="E948" s="57" t="str">
        <f>IF(CRM_MAGDY!G948="","BRAK TELEFONU",IF(CRM_MAGDY!K948="","BRAK KWOTY",IF(CRM_MAGDY!N948="","BRAK STATUSU",IF(CRM_MAGDY!C948="","BRAK DATY AKCJI",""))))</f>
        <v>BRAK TELEFONU</v>
      </c>
      <c r="F948" s="57" t="str">
        <f>CRM_MAGDY!W948</f>
        <v>BRAKI CRM</v>
      </c>
      <c r="G948" s="57">
        <f>CRM_MAGDY!K948</f>
        <v>0</v>
      </c>
      <c r="H948" s="57">
        <f>CRM_MAGDY!N948</f>
        <v>0</v>
      </c>
    </row>
    <row r="949" spans="1:8" ht="30" x14ac:dyDescent="0.25">
      <c r="A949" s="57">
        <f>CRM_MAGDY!H949</f>
        <v>6385</v>
      </c>
      <c r="B949" s="57">
        <f>CRM_MAGDY!I949</f>
        <v>0</v>
      </c>
      <c r="C949" s="57">
        <f>CRM_MAGDY!E949</f>
        <v>0</v>
      </c>
      <c r="D949" s="57">
        <f>CRM_MAGDY!V949</f>
        <v>0</v>
      </c>
      <c r="E949" s="57" t="str">
        <f>IF(CRM_MAGDY!G949="","BRAK TELEFONU",IF(CRM_MAGDY!K949="","BRAK KWOTY",IF(CRM_MAGDY!N949="","BRAK STATUSU",IF(CRM_MAGDY!C949="","BRAK DATY AKCJI",""))))</f>
        <v>BRAK TELEFONU</v>
      </c>
      <c r="F949" s="57" t="str">
        <f>CRM_MAGDY!W949</f>
        <v>BRAKI CRM</v>
      </c>
      <c r="G949" s="57">
        <f>CRM_MAGDY!K949</f>
        <v>0</v>
      </c>
      <c r="H949" s="57">
        <f>CRM_MAGDY!N949</f>
        <v>0</v>
      </c>
    </row>
    <row r="950" spans="1:8" ht="30" x14ac:dyDescent="0.25">
      <c r="A950" s="57">
        <f>CRM_MAGDY!H950</f>
        <v>6386</v>
      </c>
      <c r="B950" s="57">
        <f>CRM_MAGDY!I950</f>
        <v>0</v>
      </c>
      <c r="C950" s="57">
        <f>CRM_MAGDY!E950</f>
        <v>0</v>
      </c>
      <c r="D950" s="57">
        <f>CRM_MAGDY!V950</f>
        <v>0</v>
      </c>
      <c r="E950" s="57" t="str">
        <f>IF(CRM_MAGDY!G950="","BRAK TELEFONU",IF(CRM_MAGDY!K950="","BRAK KWOTY",IF(CRM_MAGDY!N950="","BRAK STATUSU",IF(CRM_MAGDY!C950="","BRAK DATY AKCJI",""))))</f>
        <v>BRAK TELEFONU</v>
      </c>
      <c r="F950" s="57" t="str">
        <f>CRM_MAGDY!W950</f>
        <v>BRAKI CRM</v>
      </c>
      <c r="G950" s="57">
        <f>CRM_MAGDY!K950</f>
        <v>0</v>
      </c>
      <c r="H950" s="57">
        <f>CRM_MAGDY!N950</f>
        <v>0</v>
      </c>
    </row>
    <row r="951" spans="1:8" ht="30" x14ac:dyDescent="0.25">
      <c r="A951" s="57">
        <f>CRM_MAGDY!H951</f>
        <v>6387</v>
      </c>
      <c r="B951" s="57">
        <f>CRM_MAGDY!I951</f>
        <v>0</v>
      </c>
      <c r="C951" s="57">
        <f>CRM_MAGDY!E951</f>
        <v>0</v>
      </c>
      <c r="D951" s="57">
        <f>CRM_MAGDY!V951</f>
        <v>0</v>
      </c>
      <c r="E951" s="57" t="str">
        <f>IF(CRM_MAGDY!G951="","BRAK TELEFONU",IF(CRM_MAGDY!K951="","BRAK KWOTY",IF(CRM_MAGDY!N951="","BRAK STATUSU",IF(CRM_MAGDY!C951="","BRAK DATY AKCJI",""))))</f>
        <v>BRAK TELEFONU</v>
      </c>
      <c r="F951" s="57" t="str">
        <f>CRM_MAGDY!W951</f>
        <v>BRAKI CRM</v>
      </c>
      <c r="G951" s="57">
        <f>CRM_MAGDY!K951</f>
        <v>0</v>
      </c>
      <c r="H951" s="57">
        <f>CRM_MAGDY!N951</f>
        <v>0</v>
      </c>
    </row>
    <row r="952" spans="1:8" ht="30" x14ac:dyDescent="0.25">
      <c r="A952" s="57">
        <f>CRM_MAGDY!H952</f>
        <v>6388</v>
      </c>
      <c r="B952" s="57">
        <f>CRM_MAGDY!I952</f>
        <v>0</v>
      </c>
      <c r="C952" s="57">
        <f>CRM_MAGDY!E952</f>
        <v>0</v>
      </c>
      <c r="D952" s="57">
        <f>CRM_MAGDY!V952</f>
        <v>0</v>
      </c>
      <c r="E952" s="57" t="str">
        <f>IF(CRM_MAGDY!G952="","BRAK TELEFONU",IF(CRM_MAGDY!K952="","BRAK KWOTY",IF(CRM_MAGDY!N952="","BRAK STATUSU",IF(CRM_MAGDY!C952="","BRAK DATY AKCJI",""))))</f>
        <v>BRAK TELEFONU</v>
      </c>
      <c r="F952" s="57" t="str">
        <f>CRM_MAGDY!W952</f>
        <v>BRAKI CRM</v>
      </c>
      <c r="G952" s="57">
        <f>CRM_MAGDY!K952</f>
        <v>0</v>
      </c>
      <c r="H952" s="57">
        <f>CRM_MAGDY!N952</f>
        <v>0</v>
      </c>
    </row>
    <row r="953" spans="1:8" ht="30" x14ac:dyDescent="0.25">
      <c r="A953" s="57">
        <f>CRM_MAGDY!H953</f>
        <v>6389</v>
      </c>
      <c r="B953" s="57">
        <f>CRM_MAGDY!I953</f>
        <v>0</v>
      </c>
      <c r="C953" s="57">
        <f>CRM_MAGDY!E953</f>
        <v>0</v>
      </c>
      <c r="D953" s="57">
        <f>CRM_MAGDY!V953</f>
        <v>0</v>
      </c>
      <c r="E953" s="57" t="str">
        <f>IF(CRM_MAGDY!G953="","BRAK TELEFONU",IF(CRM_MAGDY!K953="","BRAK KWOTY",IF(CRM_MAGDY!N953="","BRAK STATUSU",IF(CRM_MAGDY!C953="","BRAK DATY AKCJI",""))))</f>
        <v>BRAK TELEFONU</v>
      </c>
      <c r="F953" s="57" t="str">
        <f>CRM_MAGDY!W953</f>
        <v>BRAKI CRM</v>
      </c>
      <c r="G953" s="57">
        <f>CRM_MAGDY!K953</f>
        <v>0</v>
      </c>
      <c r="H953" s="57">
        <f>CRM_MAGDY!N953</f>
        <v>0</v>
      </c>
    </row>
    <row r="954" spans="1:8" ht="30" x14ac:dyDescent="0.25">
      <c r="A954" s="57">
        <f>CRM_MAGDY!H954</f>
        <v>6390</v>
      </c>
      <c r="B954" s="57">
        <f>CRM_MAGDY!I954</f>
        <v>0</v>
      </c>
      <c r="C954" s="57">
        <f>CRM_MAGDY!E954</f>
        <v>0</v>
      </c>
      <c r="D954" s="57">
        <f>CRM_MAGDY!V954</f>
        <v>0</v>
      </c>
      <c r="E954" s="57" t="str">
        <f>IF(CRM_MAGDY!G954="","BRAK TELEFONU",IF(CRM_MAGDY!K954="","BRAK KWOTY",IF(CRM_MAGDY!N954="","BRAK STATUSU",IF(CRM_MAGDY!C954="","BRAK DATY AKCJI",""))))</f>
        <v>BRAK TELEFONU</v>
      </c>
      <c r="F954" s="57" t="str">
        <f>CRM_MAGDY!W954</f>
        <v>BRAKI CRM</v>
      </c>
      <c r="G954" s="57">
        <f>CRM_MAGDY!K954</f>
        <v>0</v>
      </c>
      <c r="H954" s="57">
        <f>CRM_MAGDY!N954</f>
        <v>0</v>
      </c>
    </row>
    <row r="955" spans="1:8" ht="30" x14ac:dyDescent="0.25">
      <c r="A955" s="57">
        <f>CRM_MAGDY!H955</f>
        <v>6391</v>
      </c>
      <c r="B955" s="57">
        <f>CRM_MAGDY!I955</f>
        <v>0</v>
      </c>
      <c r="C955" s="57">
        <f>CRM_MAGDY!E955</f>
        <v>0</v>
      </c>
      <c r="D955" s="57">
        <f>CRM_MAGDY!V955</f>
        <v>0</v>
      </c>
      <c r="E955" s="57" t="str">
        <f>IF(CRM_MAGDY!G955="","BRAK TELEFONU",IF(CRM_MAGDY!K955="","BRAK KWOTY",IF(CRM_MAGDY!N955="","BRAK STATUSU",IF(CRM_MAGDY!C955="","BRAK DATY AKCJI",""))))</f>
        <v>BRAK TELEFONU</v>
      </c>
      <c r="F955" s="57" t="str">
        <f>CRM_MAGDY!W955</f>
        <v>BRAKI CRM</v>
      </c>
      <c r="G955" s="57">
        <f>CRM_MAGDY!K955</f>
        <v>0</v>
      </c>
      <c r="H955" s="57">
        <f>CRM_MAGDY!N955</f>
        <v>0</v>
      </c>
    </row>
    <row r="956" spans="1:8" ht="30" x14ac:dyDescent="0.25">
      <c r="A956" s="57">
        <f>CRM_MAGDY!H956</f>
        <v>6392</v>
      </c>
      <c r="B956" s="57">
        <f>CRM_MAGDY!I956</f>
        <v>0</v>
      </c>
      <c r="C956" s="57">
        <f>CRM_MAGDY!E956</f>
        <v>0</v>
      </c>
      <c r="D956" s="57">
        <f>CRM_MAGDY!V956</f>
        <v>0</v>
      </c>
      <c r="E956" s="57" t="str">
        <f>IF(CRM_MAGDY!G956="","BRAK TELEFONU",IF(CRM_MAGDY!K956="","BRAK KWOTY",IF(CRM_MAGDY!N956="","BRAK STATUSU",IF(CRM_MAGDY!C956="","BRAK DATY AKCJI",""))))</f>
        <v>BRAK TELEFONU</v>
      </c>
      <c r="F956" s="57" t="str">
        <f>CRM_MAGDY!W956</f>
        <v>BRAKI CRM</v>
      </c>
      <c r="G956" s="57">
        <f>CRM_MAGDY!K956</f>
        <v>0</v>
      </c>
      <c r="H956" s="57">
        <f>CRM_MAGDY!N956</f>
        <v>0</v>
      </c>
    </row>
    <row r="957" spans="1:8" ht="30" x14ac:dyDescent="0.25">
      <c r="A957" s="57">
        <f>CRM_MAGDY!H957</f>
        <v>6393</v>
      </c>
      <c r="B957" s="57">
        <f>CRM_MAGDY!I957</f>
        <v>0</v>
      </c>
      <c r="C957" s="57">
        <f>CRM_MAGDY!E957</f>
        <v>0</v>
      </c>
      <c r="D957" s="57">
        <f>CRM_MAGDY!V957</f>
        <v>0</v>
      </c>
      <c r="E957" s="57" t="str">
        <f>IF(CRM_MAGDY!G957="","BRAK TELEFONU",IF(CRM_MAGDY!K957="","BRAK KWOTY",IF(CRM_MAGDY!N957="","BRAK STATUSU",IF(CRM_MAGDY!C957="","BRAK DATY AKCJI",""))))</f>
        <v>BRAK TELEFONU</v>
      </c>
      <c r="F957" s="57" t="str">
        <f>CRM_MAGDY!W957</f>
        <v>BRAKI CRM</v>
      </c>
      <c r="G957" s="57">
        <f>CRM_MAGDY!K957</f>
        <v>0</v>
      </c>
      <c r="H957" s="57">
        <f>CRM_MAGDY!N957</f>
        <v>0</v>
      </c>
    </row>
    <row r="958" spans="1:8" ht="30" x14ac:dyDescent="0.25">
      <c r="A958" s="57">
        <f>CRM_MAGDY!H958</f>
        <v>6394</v>
      </c>
      <c r="B958" s="57">
        <f>CRM_MAGDY!I958</f>
        <v>0</v>
      </c>
      <c r="C958" s="57">
        <f>CRM_MAGDY!E958</f>
        <v>0</v>
      </c>
      <c r="D958" s="57">
        <f>CRM_MAGDY!V958</f>
        <v>0</v>
      </c>
      <c r="E958" s="57" t="str">
        <f>IF(CRM_MAGDY!G958="","BRAK TELEFONU",IF(CRM_MAGDY!K958="","BRAK KWOTY",IF(CRM_MAGDY!N958="","BRAK STATUSU",IF(CRM_MAGDY!C958="","BRAK DATY AKCJI",""))))</f>
        <v>BRAK TELEFONU</v>
      </c>
      <c r="F958" s="57" t="str">
        <f>CRM_MAGDY!W958</f>
        <v>BRAKI CRM</v>
      </c>
      <c r="G958" s="57">
        <f>CRM_MAGDY!K958</f>
        <v>0</v>
      </c>
      <c r="H958" s="57">
        <f>CRM_MAGDY!N958</f>
        <v>0</v>
      </c>
    </row>
    <row r="959" spans="1:8" ht="30" x14ac:dyDescent="0.25">
      <c r="A959" s="57">
        <f>CRM_MAGDY!H959</f>
        <v>6395</v>
      </c>
      <c r="B959" s="57">
        <f>CRM_MAGDY!I959</f>
        <v>0</v>
      </c>
      <c r="C959" s="57">
        <f>CRM_MAGDY!E959</f>
        <v>0</v>
      </c>
      <c r="D959" s="57">
        <f>CRM_MAGDY!V959</f>
        <v>0</v>
      </c>
      <c r="E959" s="57" t="str">
        <f>IF(CRM_MAGDY!G959="","BRAK TELEFONU",IF(CRM_MAGDY!K959="","BRAK KWOTY",IF(CRM_MAGDY!N959="","BRAK STATUSU",IF(CRM_MAGDY!C959="","BRAK DATY AKCJI",""))))</f>
        <v>BRAK TELEFONU</v>
      </c>
      <c r="F959" s="57" t="str">
        <f>CRM_MAGDY!W959</f>
        <v>BRAKI CRM</v>
      </c>
      <c r="G959" s="57">
        <f>CRM_MAGDY!K959</f>
        <v>0</v>
      </c>
      <c r="H959" s="57">
        <f>CRM_MAGDY!N959</f>
        <v>0</v>
      </c>
    </row>
    <row r="960" spans="1:8" ht="30" x14ac:dyDescent="0.25">
      <c r="A960" s="57">
        <f>CRM_MAGDY!H960</f>
        <v>6396</v>
      </c>
      <c r="B960" s="57">
        <f>CRM_MAGDY!I960</f>
        <v>0</v>
      </c>
      <c r="C960" s="57">
        <f>CRM_MAGDY!E960</f>
        <v>0</v>
      </c>
      <c r="D960" s="57">
        <f>CRM_MAGDY!V960</f>
        <v>0</v>
      </c>
      <c r="E960" s="57" t="str">
        <f>IF(CRM_MAGDY!G960="","BRAK TELEFONU",IF(CRM_MAGDY!K960="","BRAK KWOTY",IF(CRM_MAGDY!N960="","BRAK STATUSU",IF(CRM_MAGDY!C960="","BRAK DATY AKCJI",""))))</f>
        <v>BRAK TELEFONU</v>
      </c>
      <c r="F960" s="57" t="str">
        <f>CRM_MAGDY!W960</f>
        <v>BRAKI CRM</v>
      </c>
      <c r="G960" s="57">
        <f>CRM_MAGDY!K960</f>
        <v>0</v>
      </c>
      <c r="H960" s="57">
        <f>CRM_MAGDY!N960</f>
        <v>0</v>
      </c>
    </row>
    <row r="961" spans="1:8" ht="30" x14ac:dyDescent="0.25">
      <c r="A961" s="57">
        <f>CRM_MAGDY!H961</f>
        <v>6397</v>
      </c>
      <c r="B961" s="57">
        <f>CRM_MAGDY!I961</f>
        <v>0</v>
      </c>
      <c r="C961" s="57">
        <f>CRM_MAGDY!E961</f>
        <v>0</v>
      </c>
      <c r="D961" s="57">
        <f>CRM_MAGDY!V961</f>
        <v>0</v>
      </c>
      <c r="E961" s="57" t="str">
        <f>IF(CRM_MAGDY!G961="","BRAK TELEFONU",IF(CRM_MAGDY!K961="","BRAK KWOTY",IF(CRM_MAGDY!N961="","BRAK STATUSU",IF(CRM_MAGDY!C961="","BRAK DATY AKCJI",""))))</f>
        <v>BRAK TELEFONU</v>
      </c>
      <c r="F961" s="57" t="str">
        <f>CRM_MAGDY!W961</f>
        <v>BRAKI CRM</v>
      </c>
      <c r="G961" s="57">
        <f>CRM_MAGDY!K961</f>
        <v>0</v>
      </c>
      <c r="H961" s="57">
        <f>CRM_MAGDY!N961</f>
        <v>0</v>
      </c>
    </row>
    <row r="962" spans="1:8" ht="30" x14ac:dyDescent="0.25">
      <c r="A962" s="57">
        <f>CRM_MAGDY!H962</f>
        <v>6398</v>
      </c>
      <c r="B962" s="57">
        <f>CRM_MAGDY!I962</f>
        <v>0</v>
      </c>
      <c r="C962" s="57">
        <f>CRM_MAGDY!E962</f>
        <v>0</v>
      </c>
      <c r="D962" s="57">
        <f>CRM_MAGDY!V962</f>
        <v>0</v>
      </c>
      <c r="E962" s="57" t="str">
        <f>IF(CRM_MAGDY!G962="","BRAK TELEFONU",IF(CRM_MAGDY!K962="","BRAK KWOTY",IF(CRM_MAGDY!N962="","BRAK STATUSU",IF(CRM_MAGDY!C962="","BRAK DATY AKCJI",""))))</f>
        <v>BRAK TELEFONU</v>
      </c>
      <c r="F962" s="57" t="str">
        <f>CRM_MAGDY!W962</f>
        <v>BRAKI CRM</v>
      </c>
      <c r="G962" s="57">
        <f>CRM_MAGDY!K962</f>
        <v>0</v>
      </c>
      <c r="H962" s="57">
        <f>CRM_MAGDY!N962</f>
        <v>0</v>
      </c>
    </row>
    <row r="963" spans="1:8" ht="30" x14ac:dyDescent="0.25">
      <c r="A963" s="57">
        <f>CRM_MAGDY!H963</f>
        <v>6399</v>
      </c>
      <c r="B963" s="57">
        <f>CRM_MAGDY!I963</f>
        <v>0</v>
      </c>
      <c r="C963" s="57">
        <f>CRM_MAGDY!E963</f>
        <v>0</v>
      </c>
      <c r="D963" s="57">
        <f>CRM_MAGDY!V963</f>
        <v>0</v>
      </c>
      <c r="E963" s="57" t="str">
        <f>IF(CRM_MAGDY!G963="","BRAK TELEFONU",IF(CRM_MAGDY!K963="","BRAK KWOTY",IF(CRM_MAGDY!N963="","BRAK STATUSU",IF(CRM_MAGDY!C963="","BRAK DATY AKCJI",""))))</f>
        <v>BRAK TELEFONU</v>
      </c>
      <c r="F963" s="57" t="str">
        <f>CRM_MAGDY!W963</f>
        <v>BRAKI CRM</v>
      </c>
      <c r="G963" s="57">
        <f>CRM_MAGDY!K963</f>
        <v>0</v>
      </c>
      <c r="H963" s="57">
        <f>CRM_MAGDY!N963</f>
        <v>0</v>
      </c>
    </row>
    <row r="964" spans="1:8" ht="30" x14ac:dyDescent="0.25">
      <c r="A964" s="57">
        <f>CRM_MAGDY!H964</f>
        <v>6400</v>
      </c>
      <c r="B964" s="57">
        <f>CRM_MAGDY!I964</f>
        <v>0</v>
      </c>
      <c r="C964" s="57">
        <f>CRM_MAGDY!E964</f>
        <v>0</v>
      </c>
      <c r="D964" s="57">
        <f>CRM_MAGDY!V964</f>
        <v>0</v>
      </c>
      <c r="E964" s="57" t="str">
        <f>IF(CRM_MAGDY!G964="","BRAK TELEFONU",IF(CRM_MAGDY!K964="","BRAK KWOTY",IF(CRM_MAGDY!N964="","BRAK STATUSU",IF(CRM_MAGDY!C964="","BRAK DATY AKCJI",""))))</f>
        <v>BRAK TELEFONU</v>
      </c>
      <c r="F964" s="57" t="str">
        <f>CRM_MAGDY!W964</f>
        <v>BRAKI CRM</v>
      </c>
      <c r="G964" s="57">
        <f>CRM_MAGDY!K964</f>
        <v>0</v>
      </c>
      <c r="H964" s="57">
        <f>CRM_MAGDY!N964</f>
        <v>0</v>
      </c>
    </row>
    <row r="965" spans="1:8" ht="30" x14ac:dyDescent="0.25">
      <c r="A965" s="57">
        <f>CRM_MAGDY!H965</f>
        <v>6401</v>
      </c>
      <c r="B965" s="57">
        <f>CRM_MAGDY!I965</f>
        <v>0</v>
      </c>
      <c r="C965" s="57">
        <f>CRM_MAGDY!E965</f>
        <v>0</v>
      </c>
      <c r="D965" s="57">
        <f>CRM_MAGDY!V965</f>
        <v>0</v>
      </c>
      <c r="E965" s="57" t="str">
        <f>IF(CRM_MAGDY!G965="","BRAK TELEFONU",IF(CRM_MAGDY!K965="","BRAK KWOTY",IF(CRM_MAGDY!N965="","BRAK STATUSU",IF(CRM_MAGDY!C965="","BRAK DATY AKCJI",""))))</f>
        <v>BRAK TELEFONU</v>
      </c>
      <c r="F965" s="57" t="str">
        <f>CRM_MAGDY!W965</f>
        <v>BRAKI CRM</v>
      </c>
      <c r="G965" s="57">
        <f>CRM_MAGDY!K965</f>
        <v>0</v>
      </c>
      <c r="H965" s="57">
        <f>CRM_MAGDY!N965</f>
        <v>0</v>
      </c>
    </row>
    <row r="966" spans="1:8" ht="30" x14ac:dyDescent="0.25">
      <c r="A966" s="57">
        <f>CRM_MAGDY!H966</f>
        <v>6402</v>
      </c>
      <c r="B966" s="57">
        <f>CRM_MAGDY!I966</f>
        <v>0</v>
      </c>
      <c r="C966" s="57">
        <f>CRM_MAGDY!E966</f>
        <v>0</v>
      </c>
      <c r="D966" s="57">
        <f>CRM_MAGDY!V966</f>
        <v>0</v>
      </c>
      <c r="E966" s="57" t="str">
        <f>IF(CRM_MAGDY!G966="","BRAK TELEFONU",IF(CRM_MAGDY!K966="","BRAK KWOTY",IF(CRM_MAGDY!N966="","BRAK STATUSU",IF(CRM_MAGDY!C966="","BRAK DATY AKCJI",""))))</f>
        <v>BRAK TELEFONU</v>
      </c>
      <c r="F966" s="57" t="str">
        <f>CRM_MAGDY!W966</f>
        <v>BRAKI CRM</v>
      </c>
      <c r="G966" s="57">
        <f>CRM_MAGDY!K966</f>
        <v>0</v>
      </c>
      <c r="H966" s="57">
        <f>CRM_MAGDY!N966</f>
        <v>0</v>
      </c>
    </row>
    <row r="967" spans="1:8" ht="30" x14ac:dyDescent="0.25">
      <c r="A967" s="57">
        <f>CRM_MAGDY!H967</f>
        <v>6403</v>
      </c>
      <c r="B967" s="57">
        <f>CRM_MAGDY!I967</f>
        <v>0</v>
      </c>
      <c r="C967" s="57">
        <f>CRM_MAGDY!E967</f>
        <v>0</v>
      </c>
      <c r="D967" s="57">
        <f>CRM_MAGDY!V967</f>
        <v>0</v>
      </c>
      <c r="E967" s="57" t="str">
        <f>IF(CRM_MAGDY!G967="","BRAK TELEFONU",IF(CRM_MAGDY!K967="","BRAK KWOTY",IF(CRM_MAGDY!N967="","BRAK STATUSU",IF(CRM_MAGDY!C967="","BRAK DATY AKCJI",""))))</f>
        <v>BRAK TELEFONU</v>
      </c>
      <c r="F967" s="57" t="str">
        <f>CRM_MAGDY!W967</f>
        <v>BRAKI CRM</v>
      </c>
      <c r="G967" s="57">
        <f>CRM_MAGDY!K967</f>
        <v>0</v>
      </c>
      <c r="H967" s="57">
        <f>CRM_MAGDY!N967</f>
        <v>0</v>
      </c>
    </row>
    <row r="968" spans="1:8" ht="30" x14ac:dyDescent="0.25">
      <c r="A968" s="57">
        <f>CRM_MAGDY!H968</f>
        <v>6404</v>
      </c>
      <c r="B968" s="57">
        <f>CRM_MAGDY!I968</f>
        <v>0</v>
      </c>
      <c r="C968" s="57">
        <f>CRM_MAGDY!E968</f>
        <v>0</v>
      </c>
      <c r="D968" s="57">
        <f>CRM_MAGDY!V968</f>
        <v>0</v>
      </c>
      <c r="E968" s="57" t="str">
        <f>IF(CRM_MAGDY!G968="","BRAK TELEFONU",IF(CRM_MAGDY!K968="","BRAK KWOTY",IF(CRM_MAGDY!N968="","BRAK STATUSU",IF(CRM_MAGDY!C968="","BRAK DATY AKCJI",""))))</f>
        <v>BRAK TELEFONU</v>
      </c>
      <c r="F968" s="57" t="str">
        <f>CRM_MAGDY!W968</f>
        <v>BRAKI CRM</v>
      </c>
      <c r="G968" s="57">
        <f>CRM_MAGDY!K968</f>
        <v>0</v>
      </c>
      <c r="H968" s="57">
        <f>CRM_MAGDY!N968</f>
        <v>0</v>
      </c>
    </row>
    <row r="969" spans="1:8" ht="30" x14ac:dyDescent="0.25">
      <c r="A969" s="57">
        <f>CRM_MAGDY!H969</f>
        <v>6405</v>
      </c>
      <c r="B969" s="57">
        <f>CRM_MAGDY!I969</f>
        <v>0</v>
      </c>
      <c r="C969" s="57">
        <f>CRM_MAGDY!E969</f>
        <v>0</v>
      </c>
      <c r="D969" s="57">
        <f>CRM_MAGDY!V969</f>
        <v>0</v>
      </c>
      <c r="E969" s="57" t="str">
        <f>IF(CRM_MAGDY!G969="","BRAK TELEFONU",IF(CRM_MAGDY!K969="","BRAK KWOTY",IF(CRM_MAGDY!N969="","BRAK STATUSU",IF(CRM_MAGDY!C969="","BRAK DATY AKCJI",""))))</f>
        <v>BRAK TELEFONU</v>
      </c>
      <c r="F969" s="57" t="str">
        <f>CRM_MAGDY!W969</f>
        <v>BRAKI CRM</v>
      </c>
      <c r="G969" s="57">
        <f>CRM_MAGDY!K969</f>
        <v>0</v>
      </c>
      <c r="H969" s="57">
        <f>CRM_MAGDY!N969</f>
        <v>0</v>
      </c>
    </row>
    <row r="970" spans="1:8" ht="30" x14ac:dyDescent="0.25">
      <c r="A970" s="57">
        <f>CRM_MAGDY!H970</f>
        <v>6406</v>
      </c>
      <c r="B970" s="57">
        <f>CRM_MAGDY!I970</f>
        <v>0</v>
      </c>
      <c r="C970" s="57">
        <f>CRM_MAGDY!E970</f>
        <v>0</v>
      </c>
      <c r="D970" s="57">
        <f>CRM_MAGDY!V970</f>
        <v>0</v>
      </c>
      <c r="E970" s="57" t="str">
        <f>IF(CRM_MAGDY!G970="","BRAK TELEFONU",IF(CRM_MAGDY!K970="","BRAK KWOTY",IF(CRM_MAGDY!N970="","BRAK STATUSU",IF(CRM_MAGDY!C970="","BRAK DATY AKCJI",""))))</f>
        <v>BRAK TELEFONU</v>
      </c>
      <c r="F970" s="57" t="str">
        <f>CRM_MAGDY!W970</f>
        <v>BRAKI CRM</v>
      </c>
      <c r="G970" s="57">
        <f>CRM_MAGDY!K970</f>
        <v>0</v>
      </c>
      <c r="H970" s="57">
        <f>CRM_MAGDY!N970</f>
        <v>0</v>
      </c>
    </row>
    <row r="971" spans="1:8" ht="30" x14ac:dyDescent="0.25">
      <c r="A971" s="57">
        <f>CRM_MAGDY!H971</f>
        <v>6407</v>
      </c>
      <c r="B971" s="57">
        <f>CRM_MAGDY!I971</f>
        <v>0</v>
      </c>
      <c r="C971" s="57">
        <f>CRM_MAGDY!E971</f>
        <v>0</v>
      </c>
      <c r="D971" s="57">
        <f>CRM_MAGDY!V971</f>
        <v>0</v>
      </c>
      <c r="E971" s="57" t="str">
        <f>IF(CRM_MAGDY!G971="","BRAK TELEFONU",IF(CRM_MAGDY!K971="","BRAK KWOTY",IF(CRM_MAGDY!N971="","BRAK STATUSU",IF(CRM_MAGDY!C971="","BRAK DATY AKCJI",""))))</f>
        <v>BRAK TELEFONU</v>
      </c>
      <c r="F971" s="57" t="str">
        <f>CRM_MAGDY!W971</f>
        <v>BRAKI CRM</v>
      </c>
      <c r="G971" s="57">
        <f>CRM_MAGDY!K971</f>
        <v>0</v>
      </c>
      <c r="H971" s="57">
        <f>CRM_MAGDY!N971</f>
        <v>0</v>
      </c>
    </row>
    <row r="972" spans="1:8" ht="30" x14ac:dyDescent="0.25">
      <c r="A972" s="57">
        <f>CRM_MAGDY!H972</f>
        <v>6408</v>
      </c>
      <c r="B972" s="57">
        <f>CRM_MAGDY!I972</f>
        <v>0</v>
      </c>
      <c r="C972" s="57">
        <f>CRM_MAGDY!E972</f>
        <v>0</v>
      </c>
      <c r="D972" s="57">
        <f>CRM_MAGDY!V972</f>
        <v>0</v>
      </c>
      <c r="E972" s="57" t="str">
        <f>IF(CRM_MAGDY!G972="","BRAK TELEFONU",IF(CRM_MAGDY!K972="","BRAK KWOTY",IF(CRM_MAGDY!N972="","BRAK STATUSU",IF(CRM_MAGDY!C972="","BRAK DATY AKCJI",""))))</f>
        <v>BRAK TELEFONU</v>
      </c>
      <c r="F972" s="57" t="str">
        <f>CRM_MAGDY!W972</f>
        <v>BRAKI CRM</v>
      </c>
      <c r="G972" s="57">
        <f>CRM_MAGDY!K972</f>
        <v>0</v>
      </c>
      <c r="H972" s="57">
        <f>CRM_MAGDY!N972</f>
        <v>0</v>
      </c>
    </row>
    <row r="973" spans="1:8" ht="30" x14ac:dyDescent="0.25">
      <c r="A973" s="57">
        <f>CRM_MAGDY!H973</f>
        <v>6409</v>
      </c>
      <c r="B973" s="57">
        <f>CRM_MAGDY!I973</f>
        <v>0</v>
      </c>
      <c r="C973" s="57">
        <f>CRM_MAGDY!E973</f>
        <v>0</v>
      </c>
      <c r="D973" s="57">
        <f>CRM_MAGDY!V973</f>
        <v>0</v>
      </c>
      <c r="E973" s="57" t="str">
        <f>IF(CRM_MAGDY!G973="","BRAK TELEFONU",IF(CRM_MAGDY!K973="","BRAK KWOTY",IF(CRM_MAGDY!N973="","BRAK STATUSU",IF(CRM_MAGDY!C973="","BRAK DATY AKCJI",""))))</f>
        <v>BRAK TELEFONU</v>
      </c>
      <c r="F973" s="57" t="str">
        <f>CRM_MAGDY!W973</f>
        <v>BRAKI CRM</v>
      </c>
      <c r="G973" s="57">
        <f>CRM_MAGDY!K973</f>
        <v>0</v>
      </c>
      <c r="H973" s="57">
        <f>CRM_MAGDY!N973</f>
        <v>0</v>
      </c>
    </row>
    <row r="974" spans="1:8" ht="30" x14ac:dyDescent="0.25">
      <c r="A974" s="57">
        <f>CRM_MAGDY!H974</f>
        <v>6410</v>
      </c>
      <c r="B974" s="57">
        <f>CRM_MAGDY!I974</f>
        <v>0</v>
      </c>
      <c r="C974" s="57">
        <f>CRM_MAGDY!E974</f>
        <v>0</v>
      </c>
      <c r="D974" s="57">
        <f>CRM_MAGDY!V974</f>
        <v>0</v>
      </c>
      <c r="E974" s="57" t="str">
        <f>IF(CRM_MAGDY!G974="","BRAK TELEFONU",IF(CRM_MAGDY!K974="","BRAK KWOTY",IF(CRM_MAGDY!N974="","BRAK STATUSU",IF(CRM_MAGDY!C974="","BRAK DATY AKCJI",""))))</f>
        <v>BRAK TELEFONU</v>
      </c>
      <c r="F974" s="57" t="str">
        <f>CRM_MAGDY!W974</f>
        <v>BRAKI CRM</v>
      </c>
      <c r="G974" s="57">
        <f>CRM_MAGDY!K974</f>
        <v>0</v>
      </c>
      <c r="H974" s="57">
        <f>CRM_MAGDY!N974</f>
        <v>0</v>
      </c>
    </row>
    <row r="975" spans="1:8" ht="30" x14ac:dyDescent="0.25">
      <c r="A975" s="57">
        <f>CRM_MAGDY!H975</f>
        <v>6411</v>
      </c>
      <c r="B975" s="57">
        <f>CRM_MAGDY!I975</f>
        <v>0</v>
      </c>
      <c r="C975" s="57">
        <f>CRM_MAGDY!E975</f>
        <v>0</v>
      </c>
      <c r="D975" s="57">
        <f>CRM_MAGDY!V975</f>
        <v>0</v>
      </c>
      <c r="E975" s="57" t="str">
        <f>IF(CRM_MAGDY!G975="","BRAK TELEFONU",IF(CRM_MAGDY!K975="","BRAK KWOTY",IF(CRM_MAGDY!N975="","BRAK STATUSU",IF(CRM_MAGDY!C975="","BRAK DATY AKCJI",""))))</f>
        <v>BRAK TELEFONU</v>
      </c>
      <c r="F975" s="57" t="str">
        <f>CRM_MAGDY!W975</f>
        <v>BRAKI CRM</v>
      </c>
      <c r="G975" s="57">
        <f>CRM_MAGDY!K975</f>
        <v>0</v>
      </c>
      <c r="H975" s="57">
        <f>CRM_MAGDY!N975</f>
        <v>0</v>
      </c>
    </row>
    <row r="976" spans="1:8" ht="30" x14ac:dyDescent="0.25">
      <c r="A976" s="57">
        <f>CRM_MAGDY!H976</f>
        <v>6412</v>
      </c>
      <c r="B976" s="57">
        <f>CRM_MAGDY!I976</f>
        <v>0</v>
      </c>
      <c r="C976" s="57">
        <f>CRM_MAGDY!E976</f>
        <v>0</v>
      </c>
      <c r="D976" s="57">
        <f>CRM_MAGDY!V976</f>
        <v>0</v>
      </c>
      <c r="E976" s="57" t="str">
        <f>IF(CRM_MAGDY!G976="","BRAK TELEFONU",IF(CRM_MAGDY!K976="","BRAK KWOTY",IF(CRM_MAGDY!N976="","BRAK STATUSU",IF(CRM_MAGDY!C976="","BRAK DATY AKCJI",""))))</f>
        <v>BRAK TELEFONU</v>
      </c>
      <c r="F976" s="57" t="str">
        <f>CRM_MAGDY!W976</f>
        <v>BRAKI CRM</v>
      </c>
      <c r="G976" s="57">
        <f>CRM_MAGDY!K976</f>
        <v>0</v>
      </c>
      <c r="H976" s="57">
        <f>CRM_MAGDY!N976</f>
        <v>0</v>
      </c>
    </row>
    <row r="977" spans="1:8" ht="30" x14ac:dyDescent="0.25">
      <c r="A977" s="57">
        <f>CRM_MAGDY!H977</f>
        <v>6413</v>
      </c>
      <c r="B977" s="57">
        <f>CRM_MAGDY!I977</f>
        <v>0</v>
      </c>
      <c r="C977" s="57">
        <f>CRM_MAGDY!E977</f>
        <v>0</v>
      </c>
      <c r="D977" s="57">
        <f>CRM_MAGDY!V977</f>
        <v>0</v>
      </c>
      <c r="E977" s="57" t="str">
        <f>IF(CRM_MAGDY!G977="","BRAK TELEFONU",IF(CRM_MAGDY!K977="","BRAK KWOTY",IF(CRM_MAGDY!N977="","BRAK STATUSU",IF(CRM_MAGDY!C977="","BRAK DATY AKCJI",""))))</f>
        <v>BRAK TELEFONU</v>
      </c>
      <c r="F977" s="57" t="str">
        <f>CRM_MAGDY!W977</f>
        <v>BRAKI CRM</v>
      </c>
      <c r="G977" s="57">
        <f>CRM_MAGDY!K977</f>
        <v>0</v>
      </c>
      <c r="H977" s="57">
        <f>CRM_MAGDY!N977</f>
        <v>0</v>
      </c>
    </row>
    <row r="978" spans="1:8" ht="30" x14ac:dyDescent="0.25">
      <c r="A978" s="57">
        <f>CRM_MAGDY!H978</f>
        <v>6414</v>
      </c>
      <c r="B978" s="57">
        <f>CRM_MAGDY!I978</f>
        <v>0</v>
      </c>
      <c r="C978" s="57">
        <f>CRM_MAGDY!E978</f>
        <v>0</v>
      </c>
      <c r="D978" s="57">
        <f>CRM_MAGDY!V978</f>
        <v>0</v>
      </c>
      <c r="E978" s="57" t="str">
        <f>IF(CRM_MAGDY!G978="","BRAK TELEFONU",IF(CRM_MAGDY!K978="","BRAK KWOTY",IF(CRM_MAGDY!N978="","BRAK STATUSU",IF(CRM_MAGDY!C978="","BRAK DATY AKCJI",""))))</f>
        <v>BRAK TELEFONU</v>
      </c>
      <c r="F978" s="57" t="str">
        <f>CRM_MAGDY!W978</f>
        <v>BRAKI CRM</v>
      </c>
      <c r="G978" s="57">
        <f>CRM_MAGDY!K978</f>
        <v>0</v>
      </c>
      <c r="H978" s="57">
        <f>CRM_MAGDY!N978</f>
        <v>0</v>
      </c>
    </row>
    <row r="979" spans="1:8" ht="30" x14ac:dyDescent="0.25">
      <c r="A979" s="57">
        <f>CRM_MAGDY!H979</f>
        <v>6415</v>
      </c>
      <c r="B979" s="57">
        <f>CRM_MAGDY!I979</f>
        <v>0</v>
      </c>
      <c r="C979" s="57">
        <f>CRM_MAGDY!E979</f>
        <v>0</v>
      </c>
      <c r="D979" s="57">
        <f>CRM_MAGDY!V979</f>
        <v>0</v>
      </c>
      <c r="E979" s="57" t="str">
        <f>IF(CRM_MAGDY!G979="","BRAK TELEFONU",IF(CRM_MAGDY!K979="","BRAK KWOTY",IF(CRM_MAGDY!N979="","BRAK STATUSU",IF(CRM_MAGDY!C979="","BRAK DATY AKCJI",""))))</f>
        <v>BRAK TELEFONU</v>
      </c>
      <c r="F979" s="57" t="str">
        <f>CRM_MAGDY!W979</f>
        <v>BRAKI CRM</v>
      </c>
      <c r="G979" s="57">
        <f>CRM_MAGDY!K979</f>
        <v>0</v>
      </c>
      <c r="H979" s="57">
        <f>CRM_MAGDY!N979</f>
        <v>0</v>
      </c>
    </row>
    <row r="980" spans="1:8" ht="30" x14ac:dyDescent="0.25">
      <c r="A980" s="57">
        <f>CRM_MAGDY!H980</f>
        <v>6416</v>
      </c>
      <c r="B980" s="57">
        <f>CRM_MAGDY!I980</f>
        <v>0</v>
      </c>
      <c r="C980" s="57">
        <f>CRM_MAGDY!E980</f>
        <v>0</v>
      </c>
      <c r="D980" s="57">
        <f>CRM_MAGDY!V980</f>
        <v>0</v>
      </c>
      <c r="E980" s="57" t="str">
        <f>IF(CRM_MAGDY!G980="","BRAK TELEFONU",IF(CRM_MAGDY!K980="","BRAK KWOTY",IF(CRM_MAGDY!N980="","BRAK STATUSU",IF(CRM_MAGDY!C980="","BRAK DATY AKCJI",""))))</f>
        <v>BRAK TELEFONU</v>
      </c>
      <c r="F980" s="57" t="str">
        <f>CRM_MAGDY!W980</f>
        <v>BRAKI CRM</v>
      </c>
      <c r="G980" s="57">
        <f>CRM_MAGDY!K980</f>
        <v>0</v>
      </c>
      <c r="H980" s="57">
        <f>CRM_MAGDY!N980</f>
        <v>0</v>
      </c>
    </row>
    <row r="981" spans="1:8" ht="30" x14ac:dyDescent="0.25">
      <c r="A981" s="57">
        <f>CRM_MAGDY!H981</f>
        <v>6417</v>
      </c>
      <c r="B981" s="57">
        <f>CRM_MAGDY!I981</f>
        <v>0</v>
      </c>
      <c r="C981" s="57">
        <f>CRM_MAGDY!E981</f>
        <v>0</v>
      </c>
      <c r="D981" s="57">
        <f>CRM_MAGDY!V981</f>
        <v>0</v>
      </c>
      <c r="E981" s="57" t="str">
        <f>IF(CRM_MAGDY!G981="","BRAK TELEFONU",IF(CRM_MAGDY!K981="","BRAK KWOTY",IF(CRM_MAGDY!N981="","BRAK STATUSU",IF(CRM_MAGDY!C981="","BRAK DATY AKCJI",""))))</f>
        <v>BRAK TELEFONU</v>
      </c>
      <c r="F981" s="57" t="str">
        <f>CRM_MAGDY!W981</f>
        <v>BRAKI CRM</v>
      </c>
      <c r="G981" s="57">
        <f>CRM_MAGDY!K981</f>
        <v>0</v>
      </c>
      <c r="H981" s="57">
        <f>CRM_MAGDY!N981</f>
        <v>0</v>
      </c>
    </row>
    <row r="982" spans="1:8" ht="30" x14ac:dyDescent="0.25">
      <c r="A982" s="57">
        <f>CRM_MAGDY!H982</f>
        <v>6418</v>
      </c>
      <c r="B982" s="57">
        <f>CRM_MAGDY!I982</f>
        <v>0</v>
      </c>
      <c r="C982" s="57">
        <f>CRM_MAGDY!E982</f>
        <v>0</v>
      </c>
      <c r="D982" s="57">
        <f>CRM_MAGDY!V982</f>
        <v>0</v>
      </c>
      <c r="E982" s="57" t="str">
        <f>IF(CRM_MAGDY!G982="","BRAK TELEFONU",IF(CRM_MAGDY!K982="","BRAK KWOTY",IF(CRM_MAGDY!N982="","BRAK STATUSU",IF(CRM_MAGDY!C982="","BRAK DATY AKCJI",""))))</f>
        <v>BRAK TELEFONU</v>
      </c>
      <c r="F982" s="57" t="str">
        <f>CRM_MAGDY!W982</f>
        <v>BRAKI CRM</v>
      </c>
      <c r="G982" s="57">
        <f>CRM_MAGDY!K982</f>
        <v>0</v>
      </c>
      <c r="H982" s="57">
        <f>CRM_MAGDY!N982</f>
        <v>0</v>
      </c>
    </row>
    <row r="983" spans="1:8" ht="30" x14ac:dyDescent="0.25">
      <c r="A983" s="57">
        <f>CRM_MAGDY!H983</f>
        <v>6419</v>
      </c>
      <c r="B983" s="57">
        <f>CRM_MAGDY!I983</f>
        <v>0</v>
      </c>
      <c r="C983" s="57">
        <f>CRM_MAGDY!E983</f>
        <v>0</v>
      </c>
      <c r="D983" s="57">
        <f>CRM_MAGDY!V983</f>
        <v>0</v>
      </c>
      <c r="E983" s="57" t="str">
        <f>IF(CRM_MAGDY!G983="","BRAK TELEFONU",IF(CRM_MAGDY!K983="","BRAK KWOTY",IF(CRM_MAGDY!N983="","BRAK STATUSU",IF(CRM_MAGDY!C983="","BRAK DATY AKCJI",""))))</f>
        <v>BRAK TELEFONU</v>
      </c>
      <c r="F983" s="57" t="str">
        <f>CRM_MAGDY!W983</f>
        <v>BRAKI CRM</v>
      </c>
      <c r="G983" s="57">
        <f>CRM_MAGDY!K983</f>
        <v>0</v>
      </c>
      <c r="H983" s="57">
        <f>CRM_MAGDY!N983</f>
        <v>0</v>
      </c>
    </row>
    <row r="984" spans="1:8" ht="30" x14ac:dyDescent="0.25">
      <c r="A984" s="57">
        <f>CRM_MAGDY!H984</f>
        <v>6420</v>
      </c>
      <c r="B984" s="57">
        <f>CRM_MAGDY!I984</f>
        <v>0</v>
      </c>
      <c r="C984" s="57">
        <f>CRM_MAGDY!E984</f>
        <v>0</v>
      </c>
      <c r="D984" s="57">
        <f>CRM_MAGDY!V984</f>
        <v>0</v>
      </c>
      <c r="E984" s="57" t="str">
        <f>IF(CRM_MAGDY!G984="","BRAK TELEFONU",IF(CRM_MAGDY!K984="","BRAK KWOTY",IF(CRM_MAGDY!N984="","BRAK STATUSU",IF(CRM_MAGDY!C984="","BRAK DATY AKCJI",""))))</f>
        <v>BRAK TELEFONU</v>
      </c>
      <c r="F984" s="57" t="str">
        <f>CRM_MAGDY!W984</f>
        <v>BRAKI CRM</v>
      </c>
      <c r="G984" s="57">
        <f>CRM_MAGDY!K984</f>
        <v>0</v>
      </c>
      <c r="H984" s="57">
        <f>CRM_MAGDY!N984</f>
        <v>0</v>
      </c>
    </row>
    <row r="985" spans="1:8" ht="30" x14ac:dyDescent="0.25">
      <c r="A985" s="57">
        <f>CRM_MAGDY!H985</f>
        <v>6421</v>
      </c>
      <c r="B985" s="57">
        <f>CRM_MAGDY!I985</f>
        <v>0</v>
      </c>
      <c r="C985" s="57">
        <f>CRM_MAGDY!E985</f>
        <v>0</v>
      </c>
      <c r="D985" s="57">
        <f>CRM_MAGDY!V985</f>
        <v>0</v>
      </c>
      <c r="E985" s="57" t="str">
        <f>IF(CRM_MAGDY!G985="","BRAK TELEFONU",IF(CRM_MAGDY!K985="","BRAK KWOTY",IF(CRM_MAGDY!N985="","BRAK STATUSU",IF(CRM_MAGDY!C985="","BRAK DATY AKCJI",""))))</f>
        <v>BRAK TELEFONU</v>
      </c>
      <c r="F985" s="57" t="str">
        <f>CRM_MAGDY!W985</f>
        <v>BRAKI CRM</v>
      </c>
      <c r="G985" s="57">
        <f>CRM_MAGDY!K985</f>
        <v>0</v>
      </c>
      <c r="H985" s="57">
        <f>CRM_MAGDY!N985</f>
        <v>0</v>
      </c>
    </row>
    <row r="986" spans="1:8" ht="30" x14ac:dyDescent="0.25">
      <c r="A986" s="57">
        <f>CRM_MAGDY!H986</f>
        <v>6422</v>
      </c>
      <c r="B986" s="57">
        <f>CRM_MAGDY!I986</f>
        <v>0</v>
      </c>
      <c r="C986" s="57">
        <f>CRM_MAGDY!E986</f>
        <v>0</v>
      </c>
      <c r="D986" s="57">
        <f>CRM_MAGDY!V986</f>
        <v>0</v>
      </c>
      <c r="E986" s="57" t="str">
        <f>IF(CRM_MAGDY!G986="","BRAK TELEFONU",IF(CRM_MAGDY!K986="","BRAK KWOTY",IF(CRM_MAGDY!N986="","BRAK STATUSU",IF(CRM_MAGDY!C986="","BRAK DATY AKCJI",""))))</f>
        <v>BRAK TELEFONU</v>
      </c>
      <c r="F986" s="57" t="str">
        <f>CRM_MAGDY!W986</f>
        <v>BRAKI CRM</v>
      </c>
      <c r="G986" s="57">
        <f>CRM_MAGDY!K986</f>
        <v>0</v>
      </c>
      <c r="H986" s="57">
        <f>CRM_MAGDY!N986</f>
        <v>0</v>
      </c>
    </row>
    <row r="987" spans="1:8" ht="30" x14ac:dyDescent="0.25">
      <c r="A987" s="57">
        <f>CRM_MAGDY!H987</f>
        <v>6423</v>
      </c>
      <c r="B987" s="57">
        <f>CRM_MAGDY!I987</f>
        <v>0</v>
      </c>
      <c r="C987" s="57">
        <f>CRM_MAGDY!E987</f>
        <v>0</v>
      </c>
      <c r="D987" s="57">
        <f>CRM_MAGDY!V987</f>
        <v>0</v>
      </c>
      <c r="E987" s="57" t="str">
        <f>IF(CRM_MAGDY!G987="","BRAK TELEFONU",IF(CRM_MAGDY!K987="","BRAK KWOTY",IF(CRM_MAGDY!N987="","BRAK STATUSU",IF(CRM_MAGDY!C987="","BRAK DATY AKCJI",""))))</f>
        <v>BRAK TELEFONU</v>
      </c>
      <c r="F987" s="57" t="str">
        <f>CRM_MAGDY!W987</f>
        <v>BRAKI CRM</v>
      </c>
      <c r="G987" s="57">
        <f>CRM_MAGDY!K987</f>
        <v>0</v>
      </c>
      <c r="H987" s="57">
        <f>CRM_MAGDY!N987</f>
        <v>0</v>
      </c>
    </row>
    <row r="988" spans="1:8" ht="30" x14ac:dyDescent="0.25">
      <c r="A988" s="57">
        <f>CRM_MAGDY!H988</f>
        <v>6424</v>
      </c>
      <c r="B988" s="57">
        <f>CRM_MAGDY!I988</f>
        <v>0</v>
      </c>
      <c r="C988" s="57">
        <f>CRM_MAGDY!E988</f>
        <v>0</v>
      </c>
      <c r="D988" s="57">
        <f>CRM_MAGDY!V988</f>
        <v>0</v>
      </c>
      <c r="E988" s="57" t="str">
        <f>IF(CRM_MAGDY!G988="","BRAK TELEFONU",IF(CRM_MAGDY!K988="","BRAK KWOTY",IF(CRM_MAGDY!N988="","BRAK STATUSU",IF(CRM_MAGDY!C988="","BRAK DATY AKCJI",""))))</f>
        <v>BRAK TELEFONU</v>
      </c>
      <c r="F988" s="57" t="str">
        <f>CRM_MAGDY!W988</f>
        <v>BRAKI CRM</v>
      </c>
      <c r="G988" s="57">
        <f>CRM_MAGDY!K988</f>
        <v>0</v>
      </c>
      <c r="H988" s="57">
        <f>CRM_MAGDY!N988</f>
        <v>0</v>
      </c>
    </row>
    <row r="989" spans="1:8" ht="30" x14ac:dyDescent="0.25">
      <c r="A989" s="57">
        <f>CRM_MAGDY!H989</f>
        <v>6425</v>
      </c>
      <c r="B989" s="57">
        <f>CRM_MAGDY!I989</f>
        <v>0</v>
      </c>
      <c r="C989" s="57">
        <f>CRM_MAGDY!E989</f>
        <v>0</v>
      </c>
      <c r="D989" s="57">
        <f>CRM_MAGDY!V989</f>
        <v>0</v>
      </c>
      <c r="E989" s="57" t="str">
        <f>IF(CRM_MAGDY!G989="","BRAK TELEFONU",IF(CRM_MAGDY!K989="","BRAK KWOTY",IF(CRM_MAGDY!N989="","BRAK STATUSU",IF(CRM_MAGDY!C989="","BRAK DATY AKCJI",""))))</f>
        <v>BRAK TELEFONU</v>
      </c>
      <c r="F989" s="57" t="str">
        <f>CRM_MAGDY!W989</f>
        <v>BRAKI CRM</v>
      </c>
      <c r="G989" s="57">
        <f>CRM_MAGDY!K989</f>
        <v>0</v>
      </c>
      <c r="H989" s="57">
        <f>CRM_MAGDY!N989</f>
        <v>0</v>
      </c>
    </row>
    <row r="990" spans="1:8" ht="30" x14ac:dyDescent="0.25">
      <c r="A990" s="57">
        <f>CRM_MAGDY!H990</f>
        <v>6426</v>
      </c>
      <c r="B990" s="57">
        <f>CRM_MAGDY!I990</f>
        <v>0</v>
      </c>
      <c r="C990" s="57">
        <f>CRM_MAGDY!E990</f>
        <v>0</v>
      </c>
      <c r="D990" s="57">
        <f>CRM_MAGDY!V990</f>
        <v>0</v>
      </c>
      <c r="E990" s="57" t="str">
        <f>IF(CRM_MAGDY!G990="","BRAK TELEFONU",IF(CRM_MAGDY!K990="","BRAK KWOTY",IF(CRM_MAGDY!N990="","BRAK STATUSU",IF(CRM_MAGDY!C990="","BRAK DATY AKCJI",""))))</f>
        <v>BRAK TELEFONU</v>
      </c>
      <c r="F990" s="57" t="str">
        <f>CRM_MAGDY!W990</f>
        <v>BRAKI CRM</v>
      </c>
      <c r="G990" s="57">
        <f>CRM_MAGDY!K990</f>
        <v>0</v>
      </c>
      <c r="H990" s="57">
        <f>CRM_MAGDY!N990</f>
        <v>0</v>
      </c>
    </row>
    <row r="991" spans="1:8" ht="30" x14ac:dyDescent="0.25">
      <c r="A991" s="57">
        <f>CRM_MAGDY!H991</f>
        <v>6427</v>
      </c>
      <c r="B991" s="57">
        <f>CRM_MAGDY!I991</f>
        <v>0</v>
      </c>
      <c r="C991" s="57">
        <f>CRM_MAGDY!E991</f>
        <v>0</v>
      </c>
      <c r="D991" s="57">
        <f>CRM_MAGDY!V991</f>
        <v>0</v>
      </c>
      <c r="E991" s="57" t="str">
        <f>IF(CRM_MAGDY!G991="","BRAK TELEFONU",IF(CRM_MAGDY!K991="","BRAK KWOTY",IF(CRM_MAGDY!N991="","BRAK STATUSU",IF(CRM_MAGDY!C991="","BRAK DATY AKCJI",""))))</f>
        <v>BRAK TELEFONU</v>
      </c>
      <c r="F991" s="57" t="str">
        <f>CRM_MAGDY!W991</f>
        <v>BRAKI CRM</v>
      </c>
      <c r="G991" s="57">
        <f>CRM_MAGDY!K991</f>
        <v>0</v>
      </c>
      <c r="H991" s="57">
        <f>CRM_MAGDY!N991</f>
        <v>0</v>
      </c>
    </row>
    <row r="992" spans="1:8" ht="30" x14ac:dyDescent="0.25">
      <c r="A992" s="57">
        <f>CRM_MAGDY!H992</f>
        <v>6428</v>
      </c>
      <c r="B992" s="57">
        <f>CRM_MAGDY!I992</f>
        <v>0</v>
      </c>
      <c r="C992" s="57">
        <f>CRM_MAGDY!E992</f>
        <v>0</v>
      </c>
      <c r="D992" s="57">
        <f>CRM_MAGDY!V992</f>
        <v>0</v>
      </c>
      <c r="E992" s="57" t="str">
        <f>IF(CRM_MAGDY!G992="","BRAK TELEFONU",IF(CRM_MAGDY!K992="","BRAK KWOTY",IF(CRM_MAGDY!N992="","BRAK STATUSU",IF(CRM_MAGDY!C992="","BRAK DATY AKCJI",""))))</f>
        <v>BRAK TELEFONU</v>
      </c>
      <c r="F992" s="57" t="str">
        <f>CRM_MAGDY!W992</f>
        <v>BRAKI CRM</v>
      </c>
      <c r="G992" s="57">
        <f>CRM_MAGDY!K992</f>
        <v>0</v>
      </c>
      <c r="H992" s="57">
        <f>CRM_MAGDY!N992</f>
        <v>0</v>
      </c>
    </row>
    <row r="993" spans="1:8" ht="30" x14ac:dyDescent="0.25">
      <c r="A993" s="57">
        <f>CRM_MAGDY!H993</f>
        <v>6429</v>
      </c>
      <c r="B993" s="57">
        <f>CRM_MAGDY!I993</f>
        <v>0</v>
      </c>
      <c r="C993" s="57">
        <f>CRM_MAGDY!E993</f>
        <v>0</v>
      </c>
      <c r="D993" s="57">
        <f>CRM_MAGDY!V993</f>
        <v>0</v>
      </c>
      <c r="E993" s="57" t="str">
        <f>IF(CRM_MAGDY!G993="","BRAK TELEFONU",IF(CRM_MAGDY!K993="","BRAK KWOTY",IF(CRM_MAGDY!N993="","BRAK STATUSU",IF(CRM_MAGDY!C993="","BRAK DATY AKCJI",""))))</f>
        <v>BRAK TELEFONU</v>
      </c>
      <c r="F993" s="57" t="str">
        <f>CRM_MAGDY!W993</f>
        <v>BRAKI CRM</v>
      </c>
      <c r="G993" s="57">
        <f>CRM_MAGDY!K993</f>
        <v>0</v>
      </c>
      <c r="H993" s="57">
        <f>CRM_MAGDY!N993</f>
        <v>0</v>
      </c>
    </row>
    <row r="994" spans="1:8" ht="30" x14ac:dyDescent="0.25">
      <c r="A994" s="57">
        <f>CRM_MAGDY!H994</f>
        <v>6430</v>
      </c>
      <c r="B994" s="57">
        <f>CRM_MAGDY!I994</f>
        <v>0</v>
      </c>
      <c r="C994" s="57">
        <f>CRM_MAGDY!E994</f>
        <v>0</v>
      </c>
      <c r="D994" s="57">
        <f>CRM_MAGDY!V994</f>
        <v>0</v>
      </c>
      <c r="E994" s="57" t="str">
        <f>IF(CRM_MAGDY!G994="","BRAK TELEFONU",IF(CRM_MAGDY!K994="","BRAK KWOTY",IF(CRM_MAGDY!N994="","BRAK STATUSU",IF(CRM_MAGDY!C994="","BRAK DATY AKCJI",""))))</f>
        <v>BRAK TELEFONU</v>
      </c>
      <c r="F994" s="57" t="str">
        <f>CRM_MAGDY!W994</f>
        <v>BRAKI CRM</v>
      </c>
      <c r="G994" s="57">
        <f>CRM_MAGDY!K994</f>
        <v>0</v>
      </c>
      <c r="H994" s="57">
        <f>CRM_MAGDY!N994</f>
        <v>0</v>
      </c>
    </row>
    <row r="995" spans="1:8" ht="30" x14ac:dyDescent="0.25">
      <c r="A995" s="57">
        <f>CRM_MAGDY!H995</f>
        <v>6431</v>
      </c>
      <c r="B995" s="57">
        <f>CRM_MAGDY!I995</f>
        <v>0</v>
      </c>
      <c r="C995" s="57">
        <f>CRM_MAGDY!E995</f>
        <v>0</v>
      </c>
      <c r="D995" s="57">
        <f>CRM_MAGDY!V995</f>
        <v>0</v>
      </c>
      <c r="E995" s="57" t="str">
        <f>IF(CRM_MAGDY!G995="","BRAK TELEFONU",IF(CRM_MAGDY!K995="","BRAK KWOTY",IF(CRM_MAGDY!N995="","BRAK STATUSU",IF(CRM_MAGDY!C995="","BRAK DATY AKCJI",""))))</f>
        <v>BRAK TELEFONU</v>
      </c>
      <c r="F995" s="57" t="str">
        <f>CRM_MAGDY!W995</f>
        <v>BRAKI CRM</v>
      </c>
      <c r="G995" s="57">
        <f>CRM_MAGDY!K995</f>
        <v>0</v>
      </c>
      <c r="H995" s="57">
        <f>CRM_MAGDY!N995</f>
        <v>0</v>
      </c>
    </row>
    <row r="996" spans="1:8" ht="30" x14ac:dyDescent="0.25">
      <c r="A996" s="57">
        <f>CRM_MAGDY!H996</f>
        <v>6432</v>
      </c>
      <c r="B996" s="57">
        <f>CRM_MAGDY!I996</f>
        <v>0</v>
      </c>
      <c r="C996" s="57">
        <f>CRM_MAGDY!E996</f>
        <v>0</v>
      </c>
      <c r="D996" s="57">
        <f>CRM_MAGDY!V996</f>
        <v>0</v>
      </c>
      <c r="E996" s="57" t="str">
        <f>IF(CRM_MAGDY!G996="","BRAK TELEFONU",IF(CRM_MAGDY!K996="","BRAK KWOTY",IF(CRM_MAGDY!N996="","BRAK STATUSU",IF(CRM_MAGDY!C996="","BRAK DATY AKCJI",""))))</f>
        <v>BRAK TELEFONU</v>
      </c>
      <c r="F996" s="57" t="str">
        <f>CRM_MAGDY!W996</f>
        <v>BRAKI CRM</v>
      </c>
      <c r="G996" s="57">
        <f>CRM_MAGDY!K996</f>
        <v>0</v>
      </c>
      <c r="H996" s="57">
        <f>CRM_MAGDY!N996</f>
        <v>0</v>
      </c>
    </row>
    <row r="997" spans="1:8" ht="30" x14ac:dyDescent="0.25">
      <c r="A997" s="57">
        <f>CRM_MAGDY!H997</f>
        <v>6433</v>
      </c>
      <c r="B997" s="57">
        <f>CRM_MAGDY!I997</f>
        <v>0</v>
      </c>
      <c r="C997" s="57">
        <f>CRM_MAGDY!E997</f>
        <v>0</v>
      </c>
      <c r="D997" s="57">
        <f>CRM_MAGDY!V997</f>
        <v>0</v>
      </c>
      <c r="E997" s="57" t="str">
        <f>IF(CRM_MAGDY!G997="","BRAK TELEFONU",IF(CRM_MAGDY!K997="","BRAK KWOTY",IF(CRM_MAGDY!N997="","BRAK STATUSU",IF(CRM_MAGDY!C997="","BRAK DATY AKCJI",""))))</f>
        <v>BRAK TELEFONU</v>
      </c>
      <c r="F997" s="57" t="str">
        <f>CRM_MAGDY!W997</f>
        <v>BRAKI CRM</v>
      </c>
      <c r="G997" s="57">
        <f>CRM_MAGDY!K997</f>
        <v>0</v>
      </c>
      <c r="H997" s="57">
        <f>CRM_MAGDY!N997</f>
        <v>0</v>
      </c>
    </row>
    <row r="998" spans="1:8" ht="30" x14ac:dyDescent="0.25">
      <c r="A998" s="57">
        <f>CRM_MAGDY!H998</f>
        <v>6434</v>
      </c>
      <c r="B998" s="57">
        <f>CRM_MAGDY!I998</f>
        <v>0</v>
      </c>
      <c r="C998" s="57">
        <f>CRM_MAGDY!E998</f>
        <v>0</v>
      </c>
      <c r="D998" s="57">
        <f>CRM_MAGDY!V998</f>
        <v>0</v>
      </c>
      <c r="E998" s="57" t="str">
        <f>IF(CRM_MAGDY!G998="","BRAK TELEFONU",IF(CRM_MAGDY!K998="","BRAK KWOTY",IF(CRM_MAGDY!N998="","BRAK STATUSU",IF(CRM_MAGDY!C998="","BRAK DATY AKCJI",""))))</f>
        <v>BRAK TELEFONU</v>
      </c>
      <c r="F998" s="57" t="str">
        <f>CRM_MAGDY!W998</f>
        <v>BRAKI CRM</v>
      </c>
      <c r="G998" s="57">
        <f>CRM_MAGDY!K998</f>
        <v>0</v>
      </c>
      <c r="H998" s="57">
        <f>CRM_MAGDY!N998</f>
        <v>0</v>
      </c>
    </row>
    <row r="999" spans="1:8" ht="30" x14ac:dyDescent="0.25">
      <c r="A999" s="57">
        <f>CRM_MAGDY!H999</f>
        <v>6435</v>
      </c>
      <c r="B999" s="57">
        <f>CRM_MAGDY!I999</f>
        <v>0</v>
      </c>
      <c r="C999" s="57">
        <f>CRM_MAGDY!E999</f>
        <v>0</v>
      </c>
      <c r="D999" s="57">
        <f>CRM_MAGDY!V999</f>
        <v>0</v>
      </c>
      <c r="E999" s="57" t="str">
        <f>IF(CRM_MAGDY!G999="","BRAK TELEFONU",IF(CRM_MAGDY!K999="","BRAK KWOTY",IF(CRM_MAGDY!N999="","BRAK STATUSU",IF(CRM_MAGDY!C999="","BRAK DATY AKCJI",""))))</f>
        <v>BRAK TELEFONU</v>
      </c>
      <c r="F999" s="57" t="str">
        <f>CRM_MAGDY!W999</f>
        <v>BRAKI CRM</v>
      </c>
      <c r="G999" s="57">
        <f>CRM_MAGDY!K999</f>
        <v>0</v>
      </c>
      <c r="H999" s="57">
        <f>CRM_MAGDY!N999</f>
        <v>0</v>
      </c>
    </row>
    <row r="1000" spans="1:8" ht="30" x14ac:dyDescent="0.25">
      <c r="A1000" s="57">
        <f>CRM_MAGDY!H1000</f>
        <v>6436</v>
      </c>
      <c r="B1000" s="57">
        <f>CRM_MAGDY!I1000</f>
        <v>0</v>
      </c>
      <c r="C1000" s="57">
        <f>CRM_MAGDY!E1000</f>
        <v>0</v>
      </c>
      <c r="D1000" s="57">
        <f>CRM_MAGDY!V1000</f>
        <v>0</v>
      </c>
      <c r="E1000" s="57" t="str">
        <f>IF(CRM_MAGDY!G1000="","BRAK TELEFONU",IF(CRM_MAGDY!K1000="","BRAK KWOTY",IF(CRM_MAGDY!N1000="","BRAK STATUSU",IF(CRM_MAGDY!C1000="","BRAK DATY AKCJI",""))))</f>
        <v>BRAK TELEFONU</v>
      </c>
      <c r="F1000" s="57" t="str">
        <f>CRM_MAGDY!W1000</f>
        <v>BRAKI CRM</v>
      </c>
      <c r="G1000" s="57">
        <f>CRM_MAGDY!K1000</f>
        <v>0</v>
      </c>
      <c r="H1000" s="57">
        <f>CRM_MAGDY!N1000</f>
        <v>0</v>
      </c>
    </row>
    <row r="1001" spans="1:8" ht="30" x14ac:dyDescent="0.25">
      <c r="A1001" s="57">
        <f>CRM_MAGDY!H1001</f>
        <v>6437</v>
      </c>
      <c r="B1001" s="57">
        <f>CRM_MAGDY!I1001</f>
        <v>0</v>
      </c>
      <c r="C1001" s="57">
        <f>CRM_MAGDY!E1001</f>
        <v>0</v>
      </c>
      <c r="D1001" s="57">
        <f>CRM_MAGDY!V1001</f>
        <v>0</v>
      </c>
      <c r="E1001" s="57" t="str">
        <f>IF(CRM_MAGDY!G1001="","BRAK TELEFONU",IF(CRM_MAGDY!K1001="","BRAK KWOTY",IF(CRM_MAGDY!N1001="","BRAK STATUSU",IF(CRM_MAGDY!C1001="","BRAK DATY AKCJI",""))))</f>
        <v>BRAK TELEFONU</v>
      </c>
      <c r="F1001" s="57" t="str">
        <f>CRM_MAGDY!W1001</f>
        <v>BRAKI CRM</v>
      </c>
      <c r="G1001" s="57">
        <f>CRM_MAGDY!K1001</f>
        <v>0</v>
      </c>
      <c r="H1001" s="57">
        <f>CRM_MAGDY!N1001</f>
        <v>0</v>
      </c>
    </row>
    <row r="1002" spans="1:8" ht="30" x14ac:dyDescent="0.25">
      <c r="A1002" s="57">
        <f>CRM_MAGDY!H1002</f>
        <v>6438</v>
      </c>
      <c r="B1002" s="57">
        <f>CRM_MAGDY!I1002</f>
        <v>0</v>
      </c>
      <c r="C1002" s="57">
        <f>CRM_MAGDY!E1002</f>
        <v>0</v>
      </c>
      <c r="D1002" s="57">
        <f>CRM_MAGDY!V1002</f>
        <v>0</v>
      </c>
      <c r="E1002" s="57" t="str">
        <f>IF(CRM_MAGDY!G1002="","BRAK TELEFONU",IF(CRM_MAGDY!K1002="","BRAK KWOTY",IF(CRM_MAGDY!N1002="","BRAK STATUSU",IF(CRM_MAGDY!C1002="","BRAK DATY AKCJI",""))))</f>
        <v>BRAK TELEFONU</v>
      </c>
      <c r="F1002" s="57" t="str">
        <f>CRM_MAGDY!W1002</f>
        <v>BRAKI CRM</v>
      </c>
      <c r="G1002" s="57">
        <f>CRM_MAGDY!K1002</f>
        <v>0</v>
      </c>
      <c r="H1002" s="57">
        <f>CRM_MAGDY!N1002</f>
        <v>0</v>
      </c>
    </row>
    <row r="1003" spans="1:8" ht="30" x14ac:dyDescent="0.25">
      <c r="A1003" s="57">
        <f>CRM_MAGDY!H1003</f>
        <v>6439</v>
      </c>
      <c r="B1003" s="57">
        <f>CRM_MAGDY!I1003</f>
        <v>0</v>
      </c>
      <c r="C1003" s="57">
        <f>CRM_MAGDY!E1003</f>
        <v>0</v>
      </c>
      <c r="D1003" s="57">
        <f>CRM_MAGDY!V1003</f>
        <v>0</v>
      </c>
      <c r="E1003" s="57" t="str">
        <f>IF(CRM_MAGDY!G1003="","BRAK TELEFONU",IF(CRM_MAGDY!K1003="","BRAK KWOTY",IF(CRM_MAGDY!N1003="","BRAK STATUSU",IF(CRM_MAGDY!C1003="","BRAK DATY AKCJI",""))))</f>
        <v>BRAK TELEFONU</v>
      </c>
      <c r="F1003" s="57" t="str">
        <f>CRM_MAGDY!W1003</f>
        <v>BRAKI CRM</v>
      </c>
      <c r="G1003" s="57">
        <f>CRM_MAGDY!K1003</f>
        <v>0</v>
      </c>
      <c r="H1003" s="57">
        <f>CRM_MAGDY!N1003</f>
        <v>0</v>
      </c>
    </row>
    <row r="1004" spans="1:8" ht="30" x14ac:dyDescent="0.25">
      <c r="A1004" s="57">
        <f>CRM_MAGDY!H1004</f>
        <v>6440</v>
      </c>
      <c r="B1004" s="57">
        <f>CRM_MAGDY!I1004</f>
        <v>0</v>
      </c>
      <c r="C1004" s="57">
        <f>CRM_MAGDY!E1004</f>
        <v>0</v>
      </c>
      <c r="D1004" s="57">
        <f>CRM_MAGDY!V1004</f>
        <v>0</v>
      </c>
      <c r="E1004" s="57" t="str">
        <f>IF(CRM_MAGDY!G1004="","BRAK TELEFONU",IF(CRM_MAGDY!K1004="","BRAK KWOTY",IF(CRM_MAGDY!N1004="","BRAK STATUSU",IF(CRM_MAGDY!C1004="","BRAK DATY AKCJI",""))))</f>
        <v>BRAK TELEFONU</v>
      </c>
      <c r="F1004" s="57" t="str">
        <f>CRM_MAGDY!W1004</f>
        <v>BRAKI CRM</v>
      </c>
      <c r="G1004" s="57">
        <f>CRM_MAGDY!K1004</f>
        <v>0</v>
      </c>
      <c r="H1004" s="57">
        <f>CRM_MAGDY!N1004</f>
        <v>0</v>
      </c>
    </row>
    <row r="1005" spans="1:8" ht="30" x14ac:dyDescent="0.25">
      <c r="A1005" s="57">
        <f>CRM_MAGDY!H1005</f>
        <v>6441</v>
      </c>
      <c r="B1005" s="57">
        <f>CRM_MAGDY!I1005</f>
        <v>0</v>
      </c>
      <c r="C1005" s="57">
        <f>CRM_MAGDY!E1005</f>
        <v>0</v>
      </c>
      <c r="D1005" s="57">
        <f>CRM_MAGDY!V1005</f>
        <v>0</v>
      </c>
      <c r="E1005" s="57" t="str">
        <f>IF(CRM_MAGDY!G1005="","BRAK TELEFONU",IF(CRM_MAGDY!K1005="","BRAK KWOTY",IF(CRM_MAGDY!N1005="","BRAK STATUSU",IF(CRM_MAGDY!C1005="","BRAK DATY AKCJI",""))))</f>
        <v>BRAK TELEFONU</v>
      </c>
      <c r="F1005" s="57" t="str">
        <f>CRM_MAGDY!W1005</f>
        <v>BRAKI CRM</v>
      </c>
      <c r="G1005" s="57">
        <f>CRM_MAGDY!K1005</f>
        <v>0</v>
      </c>
      <c r="H1005" s="57">
        <f>CRM_MAGDY!N1005</f>
        <v>0</v>
      </c>
    </row>
    <row r="1006" spans="1:8" ht="30" x14ac:dyDescent="0.25">
      <c r="A1006" s="57">
        <f>CRM_MAGDY!H1006</f>
        <v>6442</v>
      </c>
      <c r="B1006" s="57">
        <f>CRM_MAGDY!I1006</f>
        <v>0</v>
      </c>
      <c r="C1006" s="57">
        <f>CRM_MAGDY!E1006</f>
        <v>0</v>
      </c>
      <c r="D1006" s="57">
        <f>CRM_MAGDY!V1006</f>
        <v>0</v>
      </c>
      <c r="E1006" s="57" t="str">
        <f>IF(CRM_MAGDY!G1006="","BRAK TELEFONU",IF(CRM_MAGDY!K1006="","BRAK KWOTY",IF(CRM_MAGDY!N1006="","BRAK STATUSU",IF(CRM_MAGDY!C1006="","BRAK DATY AKCJI",""))))</f>
        <v>BRAK TELEFONU</v>
      </c>
      <c r="F1006" s="57" t="str">
        <f>CRM_MAGDY!W1006</f>
        <v>BRAKI CRM</v>
      </c>
      <c r="G1006" s="57">
        <f>CRM_MAGDY!K1006</f>
        <v>0</v>
      </c>
      <c r="H1006" s="57">
        <f>CRM_MAGDY!N1006</f>
        <v>0</v>
      </c>
    </row>
    <row r="1007" spans="1:8" ht="30" x14ac:dyDescent="0.25">
      <c r="A1007" s="57">
        <f>CRM_MAGDY!H1007</f>
        <v>6443</v>
      </c>
      <c r="B1007" s="57">
        <f>CRM_MAGDY!I1007</f>
        <v>0</v>
      </c>
      <c r="C1007" s="57">
        <f>CRM_MAGDY!E1007</f>
        <v>0</v>
      </c>
      <c r="D1007" s="57">
        <f>CRM_MAGDY!V1007</f>
        <v>0</v>
      </c>
      <c r="E1007" s="57" t="str">
        <f>IF(CRM_MAGDY!G1007="","BRAK TELEFONU",IF(CRM_MAGDY!K1007="","BRAK KWOTY",IF(CRM_MAGDY!N1007="","BRAK STATUSU",IF(CRM_MAGDY!C1007="","BRAK DATY AKCJI",""))))</f>
        <v>BRAK TELEFONU</v>
      </c>
      <c r="F1007" s="57" t="str">
        <f>CRM_MAGDY!W1007</f>
        <v>BRAKI CRM</v>
      </c>
      <c r="G1007" s="57">
        <f>CRM_MAGDY!K1007</f>
        <v>0</v>
      </c>
      <c r="H1007" s="57">
        <f>CRM_MAGDY!N1007</f>
        <v>0</v>
      </c>
    </row>
    <row r="1008" spans="1:8" ht="30" x14ac:dyDescent="0.25">
      <c r="A1008" s="57">
        <f>CRM_MAGDY!H1008</f>
        <v>6444</v>
      </c>
      <c r="B1008" s="57">
        <f>CRM_MAGDY!I1008</f>
        <v>0</v>
      </c>
      <c r="C1008" s="57">
        <f>CRM_MAGDY!E1008</f>
        <v>0</v>
      </c>
      <c r="D1008" s="57">
        <f>CRM_MAGDY!V1008</f>
        <v>0</v>
      </c>
      <c r="E1008" s="57" t="str">
        <f>IF(CRM_MAGDY!G1008="","BRAK TELEFONU",IF(CRM_MAGDY!K1008="","BRAK KWOTY",IF(CRM_MAGDY!N1008="","BRAK STATUSU",IF(CRM_MAGDY!C1008="","BRAK DATY AKCJI",""))))</f>
        <v>BRAK TELEFONU</v>
      </c>
      <c r="F1008" s="57" t="str">
        <f>CRM_MAGDY!W1008</f>
        <v>BRAKI CRM</v>
      </c>
      <c r="G1008" s="57">
        <f>CRM_MAGDY!K1008</f>
        <v>0</v>
      </c>
      <c r="H1008" s="57">
        <f>CRM_MAGDY!N1008</f>
        <v>0</v>
      </c>
    </row>
    <row r="1009" spans="1:8" ht="30" x14ac:dyDescent="0.25">
      <c r="A1009" s="57">
        <f>CRM_MAGDY!H1009</f>
        <v>6445</v>
      </c>
      <c r="B1009" s="57">
        <f>CRM_MAGDY!I1009</f>
        <v>0</v>
      </c>
      <c r="C1009" s="57">
        <f>CRM_MAGDY!E1009</f>
        <v>0</v>
      </c>
      <c r="D1009" s="57">
        <f>CRM_MAGDY!V1009</f>
        <v>0</v>
      </c>
      <c r="E1009" s="57" t="str">
        <f>IF(CRM_MAGDY!G1009="","BRAK TELEFONU",IF(CRM_MAGDY!K1009="","BRAK KWOTY",IF(CRM_MAGDY!N1009="","BRAK STATUSU",IF(CRM_MAGDY!C1009="","BRAK DATY AKCJI",""))))</f>
        <v>BRAK TELEFONU</v>
      </c>
      <c r="F1009" s="57" t="str">
        <f>CRM_MAGDY!W1009</f>
        <v>BRAKI CRM</v>
      </c>
      <c r="G1009" s="57">
        <f>CRM_MAGDY!K1009</f>
        <v>0</v>
      </c>
      <c r="H1009" s="57">
        <f>CRM_MAGDY!N1009</f>
        <v>0</v>
      </c>
    </row>
    <row r="1010" spans="1:8" ht="30" x14ac:dyDescent="0.25">
      <c r="A1010" s="57">
        <f>CRM_MAGDY!H1010</f>
        <v>6446</v>
      </c>
      <c r="B1010" s="57">
        <f>CRM_MAGDY!I1010</f>
        <v>0</v>
      </c>
      <c r="C1010" s="57">
        <f>CRM_MAGDY!E1010</f>
        <v>0</v>
      </c>
      <c r="D1010" s="57">
        <f>CRM_MAGDY!V1010</f>
        <v>0</v>
      </c>
      <c r="E1010" s="57" t="str">
        <f>IF(CRM_MAGDY!G1010="","BRAK TELEFONU",IF(CRM_MAGDY!K1010="","BRAK KWOTY",IF(CRM_MAGDY!N1010="","BRAK STATUSU",IF(CRM_MAGDY!C1010="","BRAK DATY AKCJI",""))))</f>
        <v>BRAK TELEFONU</v>
      </c>
      <c r="F1010" s="57" t="str">
        <f>CRM_MAGDY!W1010</f>
        <v>BRAKI CRM</v>
      </c>
      <c r="G1010" s="57">
        <f>CRM_MAGDY!K1010</f>
        <v>0</v>
      </c>
      <c r="H1010" s="57">
        <f>CRM_MAGDY!N1010</f>
        <v>0</v>
      </c>
    </row>
    <row r="1011" spans="1:8" ht="30" x14ac:dyDescent="0.25">
      <c r="A1011" s="57">
        <f>CRM_MAGDY!H1011</f>
        <v>6447</v>
      </c>
      <c r="B1011" s="57">
        <f>CRM_MAGDY!I1011</f>
        <v>0</v>
      </c>
      <c r="C1011" s="57">
        <f>CRM_MAGDY!E1011</f>
        <v>0</v>
      </c>
      <c r="D1011" s="57">
        <f>CRM_MAGDY!V1011</f>
        <v>0</v>
      </c>
      <c r="E1011" s="57" t="str">
        <f>IF(CRM_MAGDY!G1011="","BRAK TELEFONU",IF(CRM_MAGDY!K1011="","BRAK KWOTY",IF(CRM_MAGDY!N1011="","BRAK STATUSU",IF(CRM_MAGDY!C1011="","BRAK DATY AKCJI",""))))</f>
        <v>BRAK TELEFONU</v>
      </c>
      <c r="F1011" s="57" t="str">
        <f>CRM_MAGDY!W1011</f>
        <v>BRAKI CRM</v>
      </c>
      <c r="G1011" s="57">
        <f>CRM_MAGDY!K1011</f>
        <v>0</v>
      </c>
      <c r="H1011" s="57">
        <f>CRM_MAGDY!N1011</f>
        <v>0</v>
      </c>
    </row>
    <row r="1012" spans="1:8" ht="30" x14ac:dyDescent="0.25">
      <c r="A1012" s="57">
        <f>CRM_MAGDY!H1012</f>
        <v>6448</v>
      </c>
      <c r="B1012" s="57">
        <f>CRM_MAGDY!I1012</f>
        <v>0</v>
      </c>
      <c r="C1012" s="57">
        <f>CRM_MAGDY!E1012</f>
        <v>0</v>
      </c>
      <c r="D1012" s="57">
        <f>CRM_MAGDY!V1012</f>
        <v>0</v>
      </c>
      <c r="E1012" s="57" t="str">
        <f>IF(CRM_MAGDY!G1012="","BRAK TELEFONU",IF(CRM_MAGDY!K1012="","BRAK KWOTY",IF(CRM_MAGDY!N1012="","BRAK STATUSU",IF(CRM_MAGDY!C1012="","BRAK DATY AKCJI",""))))</f>
        <v>BRAK TELEFONU</v>
      </c>
      <c r="F1012" s="57" t="str">
        <f>CRM_MAGDY!W1012</f>
        <v>BRAKI CRM</v>
      </c>
      <c r="G1012" s="57">
        <f>CRM_MAGDY!K1012</f>
        <v>0</v>
      </c>
      <c r="H1012" s="57">
        <f>CRM_MAGDY!N1012</f>
        <v>0</v>
      </c>
    </row>
    <row r="1013" spans="1:8" ht="30" x14ac:dyDescent="0.25">
      <c r="A1013" s="57">
        <f>CRM_MAGDY!H1013</f>
        <v>6449</v>
      </c>
      <c r="B1013" s="57">
        <f>CRM_MAGDY!I1013</f>
        <v>0</v>
      </c>
      <c r="C1013" s="57">
        <f>CRM_MAGDY!E1013</f>
        <v>0</v>
      </c>
      <c r="D1013" s="57">
        <f>CRM_MAGDY!V1013</f>
        <v>0</v>
      </c>
      <c r="E1013" s="57" t="str">
        <f>IF(CRM_MAGDY!G1013="","BRAK TELEFONU",IF(CRM_MAGDY!K1013="","BRAK KWOTY",IF(CRM_MAGDY!N1013="","BRAK STATUSU",IF(CRM_MAGDY!C1013="","BRAK DATY AKCJI",""))))</f>
        <v>BRAK TELEFONU</v>
      </c>
      <c r="F1013" s="57" t="str">
        <f>CRM_MAGDY!W1013</f>
        <v>BRAKI CRM</v>
      </c>
      <c r="G1013" s="57">
        <f>CRM_MAGDY!K1013</f>
        <v>0</v>
      </c>
      <c r="H1013" s="57">
        <f>CRM_MAGDY!N1013</f>
        <v>0</v>
      </c>
    </row>
    <row r="1014" spans="1:8" ht="30" x14ac:dyDescent="0.25">
      <c r="A1014" s="57">
        <f>CRM_MAGDY!H1014</f>
        <v>6450</v>
      </c>
      <c r="B1014" s="57">
        <f>CRM_MAGDY!I1014</f>
        <v>0</v>
      </c>
      <c r="C1014" s="57">
        <f>CRM_MAGDY!E1014</f>
        <v>0</v>
      </c>
      <c r="D1014" s="57">
        <f>CRM_MAGDY!V1014</f>
        <v>0</v>
      </c>
      <c r="E1014" s="57" t="str">
        <f>IF(CRM_MAGDY!G1014="","BRAK TELEFONU",IF(CRM_MAGDY!K1014="","BRAK KWOTY",IF(CRM_MAGDY!N1014="","BRAK STATUSU",IF(CRM_MAGDY!C1014="","BRAK DATY AKCJI",""))))</f>
        <v>BRAK TELEFONU</v>
      </c>
      <c r="F1014" s="57" t="str">
        <f>CRM_MAGDY!W1014</f>
        <v>BRAKI CRM</v>
      </c>
      <c r="G1014" s="57">
        <f>CRM_MAGDY!K1014</f>
        <v>0</v>
      </c>
      <c r="H1014" s="57">
        <f>CRM_MAGDY!N1014</f>
        <v>0</v>
      </c>
    </row>
    <row r="1015" spans="1:8" ht="30" x14ac:dyDescent="0.25">
      <c r="A1015" s="57">
        <f>CRM_MAGDY!H1015</f>
        <v>6451</v>
      </c>
      <c r="B1015" s="57">
        <f>CRM_MAGDY!I1015</f>
        <v>0</v>
      </c>
      <c r="C1015" s="57">
        <f>CRM_MAGDY!E1015</f>
        <v>0</v>
      </c>
      <c r="D1015" s="57">
        <f>CRM_MAGDY!V1015</f>
        <v>0</v>
      </c>
      <c r="E1015" s="57" t="str">
        <f>IF(CRM_MAGDY!G1015="","BRAK TELEFONU",IF(CRM_MAGDY!K1015="","BRAK KWOTY",IF(CRM_MAGDY!N1015="","BRAK STATUSU",IF(CRM_MAGDY!C1015="","BRAK DATY AKCJI",""))))</f>
        <v>BRAK TELEFONU</v>
      </c>
      <c r="F1015" s="57" t="str">
        <f>CRM_MAGDY!W1015</f>
        <v>BRAKI CRM</v>
      </c>
      <c r="G1015" s="57">
        <f>CRM_MAGDY!K1015</f>
        <v>0</v>
      </c>
      <c r="H1015" s="57">
        <f>CRM_MAGDY!N1015</f>
        <v>0</v>
      </c>
    </row>
    <row r="1016" spans="1:8" ht="30" x14ac:dyDescent="0.25">
      <c r="A1016" s="57">
        <f>CRM_MAGDY!H1016</f>
        <v>6452</v>
      </c>
      <c r="B1016" s="57">
        <f>CRM_MAGDY!I1016</f>
        <v>0</v>
      </c>
      <c r="C1016" s="57">
        <f>CRM_MAGDY!E1016</f>
        <v>0</v>
      </c>
      <c r="D1016" s="57">
        <f>CRM_MAGDY!V1016</f>
        <v>0</v>
      </c>
      <c r="E1016" s="57" t="str">
        <f>IF(CRM_MAGDY!G1016="","BRAK TELEFONU",IF(CRM_MAGDY!K1016="","BRAK KWOTY",IF(CRM_MAGDY!N1016="","BRAK STATUSU",IF(CRM_MAGDY!C1016="","BRAK DATY AKCJI",""))))</f>
        <v>BRAK TELEFONU</v>
      </c>
      <c r="F1016" s="57" t="str">
        <f>CRM_MAGDY!W1016</f>
        <v>BRAKI CRM</v>
      </c>
      <c r="G1016" s="57">
        <f>CRM_MAGDY!K1016</f>
        <v>0</v>
      </c>
      <c r="H1016" s="57">
        <f>CRM_MAGDY!N1016</f>
        <v>0</v>
      </c>
    </row>
    <row r="1017" spans="1:8" ht="30" x14ac:dyDescent="0.25">
      <c r="A1017" s="57">
        <f>CRM_MAGDY!H1017</f>
        <v>6453</v>
      </c>
      <c r="B1017" s="57">
        <f>CRM_MAGDY!I1017</f>
        <v>0</v>
      </c>
      <c r="C1017" s="57">
        <f>CRM_MAGDY!E1017</f>
        <v>0</v>
      </c>
      <c r="D1017" s="57">
        <f>CRM_MAGDY!V1017</f>
        <v>0</v>
      </c>
      <c r="E1017" s="57" t="str">
        <f>IF(CRM_MAGDY!G1017="","BRAK TELEFONU",IF(CRM_MAGDY!K1017="","BRAK KWOTY",IF(CRM_MAGDY!N1017="","BRAK STATUSU",IF(CRM_MAGDY!C1017="","BRAK DATY AKCJI",""))))</f>
        <v>BRAK TELEFONU</v>
      </c>
      <c r="F1017" s="57" t="str">
        <f>CRM_MAGDY!W1017</f>
        <v>BRAKI CRM</v>
      </c>
      <c r="G1017" s="57">
        <f>CRM_MAGDY!K1017</f>
        <v>0</v>
      </c>
      <c r="H1017" s="57">
        <f>CRM_MAGDY!N1017</f>
        <v>0</v>
      </c>
    </row>
    <row r="1018" spans="1:8" ht="30" x14ac:dyDescent="0.25">
      <c r="A1018" s="57">
        <f>CRM_MAGDY!H1018</f>
        <v>6454</v>
      </c>
      <c r="B1018" s="57">
        <f>CRM_MAGDY!I1018</f>
        <v>0</v>
      </c>
      <c r="C1018" s="57">
        <f>CRM_MAGDY!E1018</f>
        <v>0</v>
      </c>
      <c r="D1018" s="57">
        <f>CRM_MAGDY!V1018</f>
        <v>0</v>
      </c>
      <c r="E1018" s="57" t="str">
        <f>IF(CRM_MAGDY!G1018="","BRAK TELEFONU",IF(CRM_MAGDY!K1018="","BRAK KWOTY",IF(CRM_MAGDY!N1018="","BRAK STATUSU",IF(CRM_MAGDY!C1018="","BRAK DATY AKCJI",""))))</f>
        <v>BRAK TELEFONU</v>
      </c>
      <c r="F1018" s="57" t="str">
        <f>CRM_MAGDY!W1018</f>
        <v>BRAKI CRM</v>
      </c>
      <c r="G1018" s="57">
        <f>CRM_MAGDY!K1018</f>
        <v>0</v>
      </c>
      <c r="H1018" s="57">
        <f>CRM_MAGDY!N1018</f>
        <v>0</v>
      </c>
    </row>
    <row r="1019" spans="1:8" ht="30" x14ac:dyDescent="0.25">
      <c r="A1019" s="57">
        <f>CRM_MAGDY!H1019</f>
        <v>6455</v>
      </c>
      <c r="B1019" s="57">
        <f>CRM_MAGDY!I1019</f>
        <v>0</v>
      </c>
      <c r="C1019" s="57">
        <f>CRM_MAGDY!E1019</f>
        <v>0</v>
      </c>
      <c r="D1019" s="57">
        <f>CRM_MAGDY!V1019</f>
        <v>0</v>
      </c>
      <c r="E1019" s="57" t="str">
        <f>IF(CRM_MAGDY!G1019="","BRAK TELEFONU",IF(CRM_MAGDY!K1019="","BRAK KWOTY",IF(CRM_MAGDY!N1019="","BRAK STATUSU",IF(CRM_MAGDY!C1019="","BRAK DATY AKCJI",""))))</f>
        <v>BRAK TELEFONU</v>
      </c>
      <c r="F1019" s="57" t="str">
        <f>CRM_MAGDY!W1019</f>
        <v>BRAKI CRM</v>
      </c>
      <c r="G1019" s="57">
        <f>CRM_MAGDY!K1019</f>
        <v>0</v>
      </c>
      <c r="H1019" s="57">
        <f>CRM_MAGDY!N1019</f>
        <v>0</v>
      </c>
    </row>
    <row r="1020" spans="1:8" ht="30" x14ac:dyDescent="0.25">
      <c r="A1020" s="57">
        <f>CRM_MAGDY!H1020</f>
        <v>6456</v>
      </c>
      <c r="B1020" s="57">
        <f>CRM_MAGDY!I1020</f>
        <v>0</v>
      </c>
      <c r="C1020" s="57">
        <f>CRM_MAGDY!E1020</f>
        <v>0</v>
      </c>
      <c r="D1020" s="57">
        <f>CRM_MAGDY!V1020</f>
        <v>0</v>
      </c>
      <c r="E1020" s="57" t="str">
        <f>IF(CRM_MAGDY!G1020="","BRAK TELEFONU",IF(CRM_MAGDY!K1020="","BRAK KWOTY",IF(CRM_MAGDY!N1020="","BRAK STATUSU",IF(CRM_MAGDY!C1020="","BRAK DATY AKCJI",""))))</f>
        <v>BRAK TELEFONU</v>
      </c>
      <c r="F1020" s="57" t="str">
        <f>CRM_MAGDY!W1020</f>
        <v>BRAKI CRM</v>
      </c>
      <c r="G1020" s="57">
        <f>CRM_MAGDY!K1020</f>
        <v>0</v>
      </c>
      <c r="H1020" s="57">
        <f>CRM_MAGDY!N1020</f>
        <v>0</v>
      </c>
    </row>
    <row r="1021" spans="1:8" ht="30" x14ac:dyDescent="0.25">
      <c r="A1021" s="57">
        <f>CRM_MAGDY!H1021</f>
        <v>6457</v>
      </c>
      <c r="B1021" s="57">
        <f>CRM_MAGDY!I1021</f>
        <v>0</v>
      </c>
      <c r="C1021" s="57">
        <f>CRM_MAGDY!E1021</f>
        <v>0</v>
      </c>
      <c r="D1021" s="57">
        <f>CRM_MAGDY!V1021</f>
        <v>0</v>
      </c>
      <c r="E1021" s="57" t="str">
        <f>IF(CRM_MAGDY!G1021="","BRAK TELEFONU",IF(CRM_MAGDY!K1021="","BRAK KWOTY",IF(CRM_MAGDY!N1021="","BRAK STATUSU",IF(CRM_MAGDY!C1021="","BRAK DATY AKCJI",""))))</f>
        <v>BRAK TELEFONU</v>
      </c>
      <c r="F1021" s="57" t="str">
        <f>CRM_MAGDY!W1021</f>
        <v>BRAKI CRM</v>
      </c>
      <c r="G1021" s="57">
        <f>CRM_MAGDY!K1021</f>
        <v>0</v>
      </c>
      <c r="H1021" s="57">
        <f>CRM_MAGDY!N1021</f>
        <v>0</v>
      </c>
    </row>
    <row r="1022" spans="1:8" ht="30" x14ac:dyDescent="0.25">
      <c r="A1022" s="57">
        <f>CRM_MAGDY!H1022</f>
        <v>6458</v>
      </c>
      <c r="B1022" s="57">
        <f>CRM_MAGDY!I1022</f>
        <v>0</v>
      </c>
      <c r="C1022" s="57">
        <f>CRM_MAGDY!E1022</f>
        <v>0</v>
      </c>
      <c r="D1022" s="57">
        <f>CRM_MAGDY!V1022</f>
        <v>0</v>
      </c>
      <c r="E1022" s="57" t="str">
        <f>IF(CRM_MAGDY!G1022="","BRAK TELEFONU",IF(CRM_MAGDY!K1022="","BRAK KWOTY",IF(CRM_MAGDY!N1022="","BRAK STATUSU",IF(CRM_MAGDY!C1022="","BRAK DATY AKCJI",""))))</f>
        <v>BRAK TELEFONU</v>
      </c>
      <c r="F1022" s="57" t="str">
        <f>CRM_MAGDY!W1022</f>
        <v>BRAKI CRM</v>
      </c>
      <c r="G1022" s="57">
        <f>CRM_MAGDY!K1022</f>
        <v>0</v>
      </c>
      <c r="H1022" s="57">
        <f>CRM_MAGDY!N1022</f>
        <v>0</v>
      </c>
    </row>
    <row r="1023" spans="1:8" ht="30" x14ac:dyDescent="0.25">
      <c r="A1023" s="57">
        <f>CRM_MAGDY!H1023</f>
        <v>6459</v>
      </c>
      <c r="B1023" s="57">
        <f>CRM_MAGDY!I1023</f>
        <v>0</v>
      </c>
      <c r="C1023" s="57">
        <f>CRM_MAGDY!E1023</f>
        <v>0</v>
      </c>
      <c r="D1023" s="57">
        <f>CRM_MAGDY!V1023</f>
        <v>0</v>
      </c>
      <c r="E1023" s="57" t="str">
        <f>IF(CRM_MAGDY!G1023="","BRAK TELEFONU",IF(CRM_MAGDY!K1023="","BRAK KWOTY",IF(CRM_MAGDY!N1023="","BRAK STATUSU",IF(CRM_MAGDY!C1023="","BRAK DATY AKCJI",""))))</f>
        <v>BRAK TELEFONU</v>
      </c>
      <c r="F1023" s="57" t="str">
        <f>CRM_MAGDY!W1023</f>
        <v>BRAKI CRM</v>
      </c>
      <c r="G1023" s="57">
        <f>CRM_MAGDY!K1023</f>
        <v>0</v>
      </c>
      <c r="H1023" s="57">
        <f>CRM_MAGDY!N1023</f>
        <v>0</v>
      </c>
    </row>
    <row r="1024" spans="1:8" ht="30" x14ac:dyDescent="0.25">
      <c r="A1024" s="57">
        <f>CRM_MAGDY!H1024</f>
        <v>6460</v>
      </c>
      <c r="B1024" s="57">
        <f>CRM_MAGDY!I1024</f>
        <v>0</v>
      </c>
      <c r="C1024" s="57">
        <f>CRM_MAGDY!E1024</f>
        <v>0</v>
      </c>
      <c r="D1024" s="57">
        <f>CRM_MAGDY!V1024</f>
        <v>0</v>
      </c>
      <c r="E1024" s="57" t="str">
        <f>IF(CRM_MAGDY!G1024="","BRAK TELEFONU",IF(CRM_MAGDY!K1024="","BRAK KWOTY",IF(CRM_MAGDY!N1024="","BRAK STATUSU",IF(CRM_MAGDY!C1024="","BRAK DATY AKCJI",""))))</f>
        <v>BRAK TELEFONU</v>
      </c>
      <c r="F1024" s="57" t="str">
        <f>CRM_MAGDY!W1024</f>
        <v>BRAKI CRM</v>
      </c>
      <c r="G1024" s="57">
        <f>CRM_MAGDY!K1024</f>
        <v>0</v>
      </c>
      <c r="H1024" s="57">
        <f>CRM_MAGDY!N1024</f>
        <v>0</v>
      </c>
    </row>
    <row r="1025" spans="1:8" ht="30" x14ac:dyDescent="0.25">
      <c r="A1025" s="57">
        <f>CRM_MAGDY!H1025</f>
        <v>6461</v>
      </c>
      <c r="B1025" s="57">
        <f>CRM_MAGDY!I1025</f>
        <v>0</v>
      </c>
      <c r="C1025" s="57">
        <f>CRM_MAGDY!E1025</f>
        <v>0</v>
      </c>
      <c r="D1025" s="57">
        <f>CRM_MAGDY!V1025</f>
        <v>0</v>
      </c>
      <c r="E1025" s="57" t="str">
        <f>IF(CRM_MAGDY!G1025="","BRAK TELEFONU",IF(CRM_MAGDY!K1025="","BRAK KWOTY",IF(CRM_MAGDY!N1025="","BRAK STATUSU",IF(CRM_MAGDY!C1025="","BRAK DATY AKCJI",""))))</f>
        <v>BRAK TELEFONU</v>
      </c>
      <c r="F1025" s="57" t="str">
        <f>CRM_MAGDY!W1025</f>
        <v>BRAKI CRM</v>
      </c>
      <c r="G1025" s="57">
        <f>CRM_MAGDY!K1025</f>
        <v>0</v>
      </c>
      <c r="H1025" s="57">
        <f>CRM_MAGDY!N1025</f>
        <v>0</v>
      </c>
    </row>
    <row r="1026" spans="1:8" ht="30" x14ac:dyDescent="0.25">
      <c r="A1026" s="57">
        <f>CRM_MAGDY!H1026</f>
        <v>6462</v>
      </c>
      <c r="B1026" s="57">
        <f>CRM_MAGDY!I1026</f>
        <v>0</v>
      </c>
      <c r="C1026" s="57">
        <f>CRM_MAGDY!E1026</f>
        <v>0</v>
      </c>
      <c r="D1026" s="57">
        <f>CRM_MAGDY!V1026</f>
        <v>0</v>
      </c>
      <c r="E1026" s="57" t="str">
        <f>IF(CRM_MAGDY!G1026="","BRAK TELEFONU",IF(CRM_MAGDY!K1026="","BRAK KWOTY",IF(CRM_MAGDY!N1026="","BRAK STATUSU",IF(CRM_MAGDY!C1026="","BRAK DATY AKCJI",""))))</f>
        <v>BRAK TELEFONU</v>
      </c>
      <c r="F1026" s="57" t="str">
        <f>CRM_MAGDY!W1026</f>
        <v>BRAKI CRM</v>
      </c>
      <c r="G1026" s="57">
        <f>CRM_MAGDY!K1026</f>
        <v>0</v>
      </c>
      <c r="H1026" s="57">
        <f>CRM_MAGDY!N1026</f>
        <v>0</v>
      </c>
    </row>
    <row r="1027" spans="1:8" ht="30" x14ac:dyDescent="0.25">
      <c r="A1027" s="57">
        <f>CRM_MAGDY!H1027</f>
        <v>6463</v>
      </c>
      <c r="B1027" s="57">
        <f>CRM_MAGDY!I1027</f>
        <v>0</v>
      </c>
      <c r="C1027" s="57">
        <f>CRM_MAGDY!E1027</f>
        <v>0</v>
      </c>
      <c r="D1027" s="57">
        <f>CRM_MAGDY!V1027</f>
        <v>0</v>
      </c>
      <c r="E1027" s="57" t="str">
        <f>IF(CRM_MAGDY!G1027="","BRAK TELEFONU",IF(CRM_MAGDY!K1027="","BRAK KWOTY",IF(CRM_MAGDY!N1027="","BRAK STATUSU",IF(CRM_MAGDY!C1027="","BRAK DATY AKCJI",""))))</f>
        <v>BRAK TELEFONU</v>
      </c>
      <c r="F1027" s="57" t="str">
        <f>CRM_MAGDY!W1027</f>
        <v>BRAKI CRM</v>
      </c>
      <c r="G1027" s="57">
        <f>CRM_MAGDY!K1027</f>
        <v>0</v>
      </c>
      <c r="H1027" s="57">
        <f>CRM_MAGDY!N1027</f>
        <v>0</v>
      </c>
    </row>
    <row r="1028" spans="1:8" ht="30" x14ac:dyDescent="0.25">
      <c r="A1028" s="57">
        <f>CRM_MAGDY!H1028</f>
        <v>6464</v>
      </c>
      <c r="B1028" s="57">
        <f>CRM_MAGDY!I1028</f>
        <v>0</v>
      </c>
      <c r="C1028" s="57">
        <f>CRM_MAGDY!E1028</f>
        <v>0</v>
      </c>
      <c r="D1028" s="57">
        <f>CRM_MAGDY!V1028</f>
        <v>0</v>
      </c>
      <c r="E1028" s="57" t="str">
        <f>IF(CRM_MAGDY!G1028="","BRAK TELEFONU",IF(CRM_MAGDY!K1028="","BRAK KWOTY",IF(CRM_MAGDY!N1028="","BRAK STATUSU",IF(CRM_MAGDY!C1028="","BRAK DATY AKCJI",""))))</f>
        <v>BRAK TELEFONU</v>
      </c>
      <c r="F1028" s="57" t="str">
        <f>CRM_MAGDY!W1028</f>
        <v>BRAKI CRM</v>
      </c>
      <c r="G1028" s="57">
        <f>CRM_MAGDY!K1028</f>
        <v>0</v>
      </c>
      <c r="H1028" s="57">
        <f>CRM_MAGDY!N1028</f>
        <v>0</v>
      </c>
    </row>
    <row r="1029" spans="1:8" ht="30" x14ac:dyDescent="0.25">
      <c r="A1029" s="57">
        <f>CRM_MAGDY!H1029</f>
        <v>6465</v>
      </c>
      <c r="B1029" s="57">
        <f>CRM_MAGDY!I1029</f>
        <v>0</v>
      </c>
      <c r="C1029" s="57">
        <f>CRM_MAGDY!E1029</f>
        <v>0</v>
      </c>
      <c r="D1029" s="57">
        <f>CRM_MAGDY!V1029</f>
        <v>0</v>
      </c>
      <c r="E1029" s="57" t="str">
        <f>IF(CRM_MAGDY!G1029="","BRAK TELEFONU",IF(CRM_MAGDY!K1029="","BRAK KWOTY",IF(CRM_MAGDY!N1029="","BRAK STATUSU",IF(CRM_MAGDY!C1029="","BRAK DATY AKCJI",""))))</f>
        <v>BRAK TELEFONU</v>
      </c>
      <c r="F1029" s="57" t="str">
        <f>CRM_MAGDY!W1029</f>
        <v>BRAKI CRM</v>
      </c>
      <c r="G1029" s="57">
        <f>CRM_MAGDY!K1029</f>
        <v>0</v>
      </c>
      <c r="H1029" s="57">
        <f>CRM_MAGDY!N1029</f>
        <v>0</v>
      </c>
    </row>
    <row r="1030" spans="1:8" ht="30" x14ac:dyDescent="0.25">
      <c r="A1030" s="57">
        <f>CRM_MAGDY!H1030</f>
        <v>6466</v>
      </c>
      <c r="B1030" s="57">
        <f>CRM_MAGDY!I1030</f>
        <v>0</v>
      </c>
      <c r="C1030" s="57">
        <f>CRM_MAGDY!E1030</f>
        <v>0</v>
      </c>
      <c r="D1030" s="57">
        <f>CRM_MAGDY!V1030</f>
        <v>0</v>
      </c>
      <c r="E1030" s="57" t="str">
        <f>IF(CRM_MAGDY!G1030="","BRAK TELEFONU",IF(CRM_MAGDY!K1030="","BRAK KWOTY",IF(CRM_MAGDY!N1030="","BRAK STATUSU",IF(CRM_MAGDY!C1030="","BRAK DATY AKCJI",""))))</f>
        <v>BRAK TELEFONU</v>
      </c>
      <c r="F1030" s="57" t="str">
        <f>CRM_MAGDY!W1030</f>
        <v>BRAKI CRM</v>
      </c>
      <c r="G1030" s="57">
        <f>CRM_MAGDY!K1030</f>
        <v>0</v>
      </c>
      <c r="H1030" s="57">
        <f>CRM_MAGDY!N1030</f>
        <v>0</v>
      </c>
    </row>
    <row r="1031" spans="1:8" ht="30" x14ac:dyDescent="0.25">
      <c r="A1031" s="57">
        <f>CRM_MAGDY!H1031</f>
        <v>6467</v>
      </c>
      <c r="B1031" s="57">
        <f>CRM_MAGDY!I1031</f>
        <v>0</v>
      </c>
      <c r="C1031" s="57">
        <f>CRM_MAGDY!E1031</f>
        <v>0</v>
      </c>
      <c r="D1031" s="57">
        <f>CRM_MAGDY!V1031</f>
        <v>0</v>
      </c>
      <c r="E1031" s="57" t="str">
        <f>IF(CRM_MAGDY!G1031="","BRAK TELEFONU",IF(CRM_MAGDY!K1031="","BRAK KWOTY",IF(CRM_MAGDY!N1031="","BRAK STATUSU",IF(CRM_MAGDY!C1031="","BRAK DATY AKCJI",""))))</f>
        <v>BRAK TELEFONU</v>
      </c>
      <c r="F1031" s="57" t="str">
        <f>CRM_MAGDY!W1031</f>
        <v>BRAKI CRM</v>
      </c>
      <c r="G1031" s="57">
        <f>CRM_MAGDY!K1031</f>
        <v>0</v>
      </c>
      <c r="H1031" s="57">
        <f>CRM_MAGDY!N1031</f>
        <v>0</v>
      </c>
    </row>
    <row r="1032" spans="1:8" ht="30" x14ac:dyDescent="0.25">
      <c r="A1032" s="57">
        <f>CRM_MAGDY!H1032</f>
        <v>6468</v>
      </c>
      <c r="B1032" s="57">
        <f>CRM_MAGDY!I1032</f>
        <v>0</v>
      </c>
      <c r="C1032" s="57">
        <f>CRM_MAGDY!E1032</f>
        <v>0</v>
      </c>
      <c r="D1032" s="57">
        <f>CRM_MAGDY!V1032</f>
        <v>0</v>
      </c>
      <c r="E1032" s="57" t="str">
        <f>IF(CRM_MAGDY!G1032="","BRAK TELEFONU",IF(CRM_MAGDY!K1032="","BRAK KWOTY",IF(CRM_MAGDY!N1032="","BRAK STATUSU",IF(CRM_MAGDY!C1032="","BRAK DATY AKCJI",""))))</f>
        <v>BRAK TELEFONU</v>
      </c>
      <c r="F1032" s="57" t="str">
        <f>CRM_MAGDY!W1032</f>
        <v>BRAKI CRM</v>
      </c>
      <c r="G1032" s="57">
        <f>CRM_MAGDY!K1032</f>
        <v>0</v>
      </c>
      <c r="H1032" s="57">
        <f>CRM_MAGDY!N1032</f>
        <v>0</v>
      </c>
    </row>
    <row r="1033" spans="1:8" ht="30" x14ac:dyDescent="0.25">
      <c r="A1033" s="57">
        <f>CRM_MAGDY!H1033</f>
        <v>6469</v>
      </c>
      <c r="B1033" s="57">
        <f>CRM_MAGDY!I1033</f>
        <v>0</v>
      </c>
      <c r="C1033" s="57">
        <f>CRM_MAGDY!E1033</f>
        <v>0</v>
      </c>
      <c r="D1033" s="57">
        <f>CRM_MAGDY!V1033</f>
        <v>0</v>
      </c>
      <c r="E1033" s="57" t="str">
        <f>IF(CRM_MAGDY!G1033="","BRAK TELEFONU",IF(CRM_MAGDY!K1033="","BRAK KWOTY",IF(CRM_MAGDY!N1033="","BRAK STATUSU",IF(CRM_MAGDY!C1033="","BRAK DATY AKCJI",""))))</f>
        <v>BRAK TELEFONU</v>
      </c>
      <c r="F1033" s="57" t="str">
        <f>CRM_MAGDY!W1033</f>
        <v>BRAKI CRM</v>
      </c>
      <c r="G1033" s="57">
        <f>CRM_MAGDY!K1033</f>
        <v>0</v>
      </c>
      <c r="H1033" s="57">
        <f>CRM_MAGDY!N1033</f>
        <v>0</v>
      </c>
    </row>
    <row r="1034" spans="1:8" ht="30" x14ac:dyDescent="0.25">
      <c r="A1034" s="57">
        <f>CRM_MAGDY!H1034</f>
        <v>6470</v>
      </c>
      <c r="B1034" s="57">
        <f>CRM_MAGDY!I1034</f>
        <v>0</v>
      </c>
      <c r="C1034" s="57">
        <f>CRM_MAGDY!E1034</f>
        <v>0</v>
      </c>
      <c r="D1034" s="57">
        <f>CRM_MAGDY!V1034</f>
        <v>0</v>
      </c>
      <c r="E1034" s="57" t="str">
        <f>IF(CRM_MAGDY!G1034="","BRAK TELEFONU",IF(CRM_MAGDY!K1034="","BRAK KWOTY",IF(CRM_MAGDY!N1034="","BRAK STATUSU",IF(CRM_MAGDY!C1034="","BRAK DATY AKCJI",""))))</f>
        <v>BRAK TELEFONU</v>
      </c>
      <c r="F1034" s="57" t="str">
        <f>CRM_MAGDY!W1034</f>
        <v>BRAKI CRM</v>
      </c>
      <c r="G1034" s="57">
        <f>CRM_MAGDY!K1034</f>
        <v>0</v>
      </c>
      <c r="H1034" s="57">
        <f>CRM_MAGDY!N1034</f>
        <v>0</v>
      </c>
    </row>
    <row r="1035" spans="1:8" ht="30" x14ac:dyDescent="0.25">
      <c r="A1035" s="57">
        <f>CRM_MAGDY!H1035</f>
        <v>6471</v>
      </c>
      <c r="B1035" s="57">
        <f>CRM_MAGDY!I1035</f>
        <v>0</v>
      </c>
      <c r="C1035" s="57">
        <f>CRM_MAGDY!E1035</f>
        <v>0</v>
      </c>
      <c r="D1035" s="57">
        <f>CRM_MAGDY!V1035</f>
        <v>0</v>
      </c>
      <c r="E1035" s="57" t="str">
        <f>IF(CRM_MAGDY!G1035="","BRAK TELEFONU",IF(CRM_MAGDY!K1035="","BRAK KWOTY",IF(CRM_MAGDY!N1035="","BRAK STATUSU",IF(CRM_MAGDY!C1035="","BRAK DATY AKCJI",""))))</f>
        <v>BRAK TELEFONU</v>
      </c>
      <c r="F1035" s="57" t="str">
        <f>CRM_MAGDY!W1035</f>
        <v>BRAKI CRM</v>
      </c>
      <c r="G1035" s="57">
        <f>CRM_MAGDY!K1035</f>
        <v>0</v>
      </c>
      <c r="H1035" s="57">
        <f>CRM_MAGDY!N1035</f>
        <v>0</v>
      </c>
    </row>
    <row r="1036" spans="1:8" ht="30" x14ac:dyDescent="0.25">
      <c r="A1036" s="57">
        <f>CRM_MAGDY!H1036</f>
        <v>6472</v>
      </c>
      <c r="B1036" s="57">
        <f>CRM_MAGDY!I1036</f>
        <v>0</v>
      </c>
      <c r="C1036" s="57">
        <f>CRM_MAGDY!E1036</f>
        <v>0</v>
      </c>
      <c r="D1036" s="57">
        <f>CRM_MAGDY!V1036</f>
        <v>0</v>
      </c>
      <c r="E1036" s="57" t="str">
        <f>IF(CRM_MAGDY!G1036="","BRAK TELEFONU",IF(CRM_MAGDY!K1036="","BRAK KWOTY",IF(CRM_MAGDY!N1036="","BRAK STATUSU",IF(CRM_MAGDY!C1036="","BRAK DATY AKCJI",""))))</f>
        <v>BRAK TELEFONU</v>
      </c>
      <c r="F1036" s="57" t="str">
        <f>CRM_MAGDY!W1036</f>
        <v>BRAKI CRM</v>
      </c>
      <c r="G1036" s="57">
        <f>CRM_MAGDY!K1036</f>
        <v>0</v>
      </c>
      <c r="H1036" s="57">
        <f>CRM_MAGDY!N1036</f>
        <v>0</v>
      </c>
    </row>
    <row r="1037" spans="1:8" ht="30" x14ac:dyDescent="0.25">
      <c r="A1037" s="57">
        <f>CRM_MAGDY!H1037</f>
        <v>6473</v>
      </c>
      <c r="B1037" s="57">
        <f>CRM_MAGDY!I1037</f>
        <v>0</v>
      </c>
      <c r="C1037" s="57">
        <f>CRM_MAGDY!E1037</f>
        <v>0</v>
      </c>
      <c r="D1037" s="57">
        <f>CRM_MAGDY!V1037</f>
        <v>0</v>
      </c>
      <c r="E1037" s="57" t="str">
        <f>IF(CRM_MAGDY!G1037="","BRAK TELEFONU",IF(CRM_MAGDY!K1037="","BRAK KWOTY",IF(CRM_MAGDY!N1037="","BRAK STATUSU",IF(CRM_MAGDY!C1037="","BRAK DATY AKCJI",""))))</f>
        <v>BRAK TELEFONU</v>
      </c>
      <c r="F1037" s="57" t="str">
        <f>CRM_MAGDY!W1037</f>
        <v>BRAKI CRM</v>
      </c>
      <c r="G1037" s="57">
        <f>CRM_MAGDY!K1037</f>
        <v>0</v>
      </c>
      <c r="H1037" s="57">
        <f>CRM_MAGDY!N1037</f>
        <v>0</v>
      </c>
    </row>
    <row r="1038" spans="1:8" ht="30" x14ac:dyDescent="0.25">
      <c r="A1038" s="57">
        <f>CRM_MAGDY!H1038</f>
        <v>6474</v>
      </c>
      <c r="B1038" s="57">
        <f>CRM_MAGDY!I1038</f>
        <v>0</v>
      </c>
      <c r="C1038" s="57">
        <f>CRM_MAGDY!E1038</f>
        <v>0</v>
      </c>
      <c r="D1038" s="57">
        <f>CRM_MAGDY!V1038</f>
        <v>0</v>
      </c>
      <c r="E1038" s="57" t="str">
        <f>IF(CRM_MAGDY!G1038="","BRAK TELEFONU",IF(CRM_MAGDY!K1038="","BRAK KWOTY",IF(CRM_MAGDY!N1038="","BRAK STATUSU",IF(CRM_MAGDY!C1038="","BRAK DATY AKCJI",""))))</f>
        <v>BRAK TELEFONU</v>
      </c>
      <c r="F1038" s="57" t="str">
        <f>CRM_MAGDY!W1038</f>
        <v>BRAKI CRM</v>
      </c>
      <c r="G1038" s="57">
        <f>CRM_MAGDY!K1038</f>
        <v>0</v>
      </c>
      <c r="H1038" s="57">
        <f>CRM_MAGDY!N1038</f>
        <v>0</v>
      </c>
    </row>
    <row r="1039" spans="1:8" ht="30" x14ac:dyDescent="0.25">
      <c r="A1039" s="57">
        <f>CRM_MAGDY!H1039</f>
        <v>6475</v>
      </c>
      <c r="B1039" s="57">
        <f>CRM_MAGDY!I1039</f>
        <v>0</v>
      </c>
      <c r="C1039" s="57">
        <f>CRM_MAGDY!E1039</f>
        <v>0</v>
      </c>
      <c r="D1039" s="57">
        <f>CRM_MAGDY!V1039</f>
        <v>0</v>
      </c>
      <c r="E1039" s="57" t="str">
        <f>IF(CRM_MAGDY!G1039="","BRAK TELEFONU",IF(CRM_MAGDY!K1039="","BRAK KWOTY",IF(CRM_MAGDY!N1039="","BRAK STATUSU",IF(CRM_MAGDY!C1039="","BRAK DATY AKCJI",""))))</f>
        <v>BRAK TELEFONU</v>
      </c>
      <c r="F1039" s="57" t="str">
        <f>CRM_MAGDY!W1039</f>
        <v>BRAKI CRM</v>
      </c>
      <c r="G1039" s="57">
        <f>CRM_MAGDY!K1039</f>
        <v>0</v>
      </c>
      <c r="H1039" s="57">
        <f>CRM_MAGDY!N1039</f>
        <v>0</v>
      </c>
    </row>
    <row r="1040" spans="1:8" ht="30" x14ac:dyDescent="0.25">
      <c r="A1040" s="57">
        <f>CRM_MAGDY!H1040</f>
        <v>6476</v>
      </c>
      <c r="B1040" s="57">
        <f>CRM_MAGDY!I1040</f>
        <v>0</v>
      </c>
      <c r="C1040" s="57">
        <f>CRM_MAGDY!E1040</f>
        <v>0</v>
      </c>
      <c r="D1040" s="57">
        <f>CRM_MAGDY!V1040</f>
        <v>0</v>
      </c>
      <c r="E1040" s="57" t="str">
        <f>IF(CRM_MAGDY!G1040="","BRAK TELEFONU",IF(CRM_MAGDY!K1040="","BRAK KWOTY",IF(CRM_MAGDY!N1040="","BRAK STATUSU",IF(CRM_MAGDY!C1040="","BRAK DATY AKCJI",""))))</f>
        <v>BRAK TELEFONU</v>
      </c>
      <c r="F1040" s="57" t="str">
        <f>CRM_MAGDY!W1040</f>
        <v>BRAKI CRM</v>
      </c>
      <c r="G1040" s="57">
        <f>CRM_MAGDY!K1040</f>
        <v>0</v>
      </c>
      <c r="H1040" s="57">
        <f>CRM_MAGDY!N1040</f>
        <v>0</v>
      </c>
    </row>
    <row r="1041" spans="1:8" ht="30" x14ac:dyDescent="0.25">
      <c r="A1041" s="57">
        <f>CRM_MAGDY!H1041</f>
        <v>6477</v>
      </c>
      <c r="B1041" s="57">
        <f>CRM_MAGDY!I1041</f>
        <v>0</v>
      </c>
      <c r="C1041" s="57">
        <f>CRM_MAGDY!E1041</f>
        <v>0</v>
      </c>
      <c r="D1041" s="57">
        <f>CRM_MAGDY!V1041</f>
        <v>0</v>
      </c>
      <c r="E1041" s="57" t="str">
        <f>IF(CRM_MAGDY!G1041="","BRAK TELEFONU",IF(CRM_MAGDY!K1041="","BRAK KWOTY",IF(CRM_MAGDY!N1041="","BRAK STATUSU",IF(CRM_MAGDY!C1041="","BRAK DATY AKCJI",""))))</f>
        <v>BRAK TELEFONU</v>
      </c>
      <c r="F1041" s="57" t="str">
        <f>CRM_MAGDY!W1041</f>
        <v>BRAKI CRM</v>
      </c>
      <c r="G1041" s="57">
        <f>CRM_MAGDY!K1041</f>
        <v>0</v>
      </c>
      <c r="H1041" s="57">
        <f>CRM_MAGDY!N1041</f>
        <v>0</v>
      </c>
    </row>
    <row r="1042" spans="1:8" ht="30" x14ac:dyDescent="0.25">
      <c r="A1042" s="57">
        <f>CRM_MAGDY!H1042</f>
        <v>6478</v>
      </c>
      <c r="B1042" s="57">
        <f>CRM_MAGDY!I1042</f>
        <v>0</v>
      </c>
      <c r="C1042" s="57">
        <f>CRM_MAGDY!E1042</f>
        <v>0</v>
      </c>
      <c r="D1042" s="57">
        <f>CRM_MAGDY!V1042</f>
        <v>0</v>
      </c>
      <c r="E1042" s="57" t="str">
        <f>IF(CRM_MAGDY!G1042="","BRAK TELEFONU",IF(CRM_MAGDY!K1042="","BRAK KWOTY",IF(CRM_MAGDY!N1042="","BRAK STATUSU",IF(CRM_MAGDY!C1042="","BRAK DATY AKCJI",""))))</f>
        <v>BRAK TELEFONU</v>
      </c>
      <c r="F1042" s="57" t="str">
        <f>CRM_MAGDY!W1042</f>
        <v>BRAKI CRM</v>
      </c>
      <c r="G1042" s="57">
        <f>CRM_MAGDY!K1042</f>
        <v>0</v>
      </c>
      <c r="H1042" s="57">
        <f>CRM_MAGDY!N1042</f>
        <v>0</v>
      </c>
    </row>
    <row r="1043" spans="1:8" ht="30" x14ac:dyDescent="0.25">
      <c r="A1043" s="57">
        <f>CRM_MAGDY!H1043</f>
        <v>6479</v>
      </c>
      <c r="B1043" s="57">
        <f>CRM_MAGDY!I1043</f>
        <v>0</v>
      </c>
      <c r="C1043" s="57">
        <f>CRM_MAGDY!E1043</f>
        <v>0</v>
      </c>
      <c r="D1043" s="57">
        <f>CRM_MAGDY!V1043</f>
        <v>0</v>
      </c>
      <c r="E1043" s="57" t="str">
        <f>IF(CRM_MAGDY!G1043="","BRAK TELEFONU",IF(CRM_MAGDY!K1043="","BRAK KWOTY",IF(CRM_MAGDY!N1043="","BRAK STATUSU",IF(CRM_MAGDY!C1043="","BRAK DATY AKCJI",""))))</f>
        <v>BRAK TELEFONU</v>
      </c>
      <c r="F1043" s="57" t="str">
        <f>CRM_MAGDY!W1043</f>
        <v>BRAKI CRM</v>
      </c>
      <c r="G1043" s="57">
        <f>CRM_MAGDY!K1043</f>
        <v>0</v>
      </c>
      <c r="H1043" s="57">
        <f>CRM_MAGDY!N1043</f>
        <v>0</v>
      </c>
    </row>
    <row r="1044" spans="1:8" ht="30" x14ac:dyDescent="0.25">
      <c r="A1044" s="57">
        <f>CRM_MAGDY!H1044</f>
        <v>6480</v>
      </c>
      <c r="B1044" s="57">
        <f>CRM_MAGDY!I1044</f>
        <v>0</v>
      </c>
      <c r="C1044" s="57">
        <f>CRM_MAGDY!E1044</f>
        <v>0</v>
      </c>
      <c r="D1044" s="57">
        <f>CRM_MAGDY!V1044</f>
        <v>0</v>
      </c>
      <c r="E1044" s="57" t="str">
        <f>IF(CRM_MAGDY!G1044="","BRAK TELEFONU",IF(CRM_MAGDY!K1044="","BRAK KWOTY",IF(CRM_MAGDY!N1044="","BRAK STATUSU",IF(CRM_MAGDY!C1044="","BRAK DATY AKCJI",""))))</f>
        <v>BRAK TELEFONU</v>
      </c>
      <c r="F1044" s="57" t="str">
        <f>CRM_MAGDY!W1044</f>
        <v>BRAKI CRM</v>
      </c>
      <c r="G1044" s="57">
        <f>CRM_MAGDY!K1044</f>
        <v>0</v>
      </c>
      <c r="H1044" s="57">
        <f>CRM_MAGDY!N1044</f>
        <v>0</v>
      </c>
    </row>
    <row r="1045" spans="1:8" ht="30" x14ac:dyDescent="0.25">
      <c r="A1045" s="57">
        <f>CRM_MAGDY!H1045</f>
        <v>6481</v>
      </c>
      <c r="B1045" s="57">
        <f>CRM_MAGDY!I1045</f>
        <v>0</v>
      </c>
      <c r="C1045" s="57">
        <f>CRM_MAGDY!E1045</f>
        <v>0</v>
      </c>
      <c r="D1045" s="57">
        <f>CRM_MAGDY!V1045</f>
        <v>0</v>
      </c>
      <c r="E1045" s="57" t="str">
        <f>IF(CRM_MAGDY!G1045="","BRAK TELEFONU",IF(CRM_MAGDY!K1045="","BRAK KWOTY",IF(CRM_MAGDY!N1045="","BRAK STATUSU",IF(CRM_MAGDY!C1045="","BRAK DATY AKCJI",""))))</f>
        <v>BRAK TELEFONU</v>
      </c>
      <c r="F1045" s="57" t="str">
        <f>CRM_MAGDY!W1045</f>
        <v>BRAKI CRM</v>
      </c>
      <c r="G1045" s="57">
        <f>CRM_MAGDY!K1045</f>
        <v>0</v>
      </c>
      <c r="H1045" s="57">
        <f>CRM_MAGDY!N1045</f>
        <v>0</v>
      </c>
    </row>
    <row r="1046" spans="1:8" ht="30" x14ac:dyDescent="0.25">
      <c r="A1046" s="57">
        <f>CRM_MAGDY!H1046</f>
        <v>6482</v>
      </c>
      <c r="B1046" s="57">
        <f>CRM_MAGDY!I1046</f>
        <v>0</v>
      </c>
      <c r="C1046" s="57">
        <f>CRM_MAGDY!E1046</f>
        <v>0</v>
      </c>
      <c r="D1046" s="57">
        <f>CRM_MAGDY!V1046</f>
        <v>0</v>
      </c>
      <c r="E1046" s="57" t="str">
        <f>IF(CRM_MAGDY!G1046="","BRAK TELEFONU",IF(CRM_MAGDY!K1046="","BRAK KWOTY",IF(CRM_MAGDY!N1046="","BRAK STATUSU",IF(CRM_MAGDY!C1046="","BRAK DATY AKCJI",""))))</f>
        <v>BRAK TELEFONU</v>
      </c>
      <c r="F1046" s="57" t="str">
        <f>CRM_MAGDY!W1046</f>
        <v>BRAKI CRM</v>
      </c>
      <c r="G1046" s="57">
        <f>CRM_MAGDY!K1046</f>
        <v>0</v>
      </c>
      <c r="H1046" s="57">
        <f>CRM_MAGDY!N1046</f>
        <v>0</v>
      </c>
    </row>
    <row r="1047" spans="1:8" ht="30" x14ac:dyDescent="0.25">
      <c r="A1047" s="57">
        <f>CRM_MAGDY!H1047</f>
        <v>6483</v>
      </c>
      <c r="B1047" s="57">
        <f>CRM_MAGDY!I1047</f>
        <v>0</v>
      </c>
      <c r="C1047" s="57">
        <f>CRM_MAGDY!E1047</f>
        <v>0</v>
      </c>
      <c r="D1047" s="57">
        <f>CRM_MAGDY!V1047</f>
        <v>0</v>
      </c>
      <c r="E1047" s="57" t="str">
        <f>IF(CRM_MAGDY!G1047="","BRAK TELEFONU",IF(CRM_MAGDY!K1047="","BRAK KWOTY",IF(CRM_MAGDY!N1047="","BRAK STATUSU",IF(CRM_MAGDY!C1047="","BRAK DATY AKCJI",""))))</f>
        <v>BRAK TELEFONU</v>
      </c>
      <c r="F1047" s="57" t="str">
        <f>CRM_MAGDY!W1047</f>
        <v>BRAKI CRM</v>
      </c>
      <c r="G1047" s="57">
        <f>CRM_MAGDY!K1047</f>
        <v>0</v>
      </c>
      <c r="H1047" s="57">
        <f>CRM_MAGDY!N1047</f>
        <v>0</v>
      </c>
    </row>
    <row r="1048" spans="1:8" ht="30" x14ac:dyDescent="0.25">
      <c r="A1048" s="57">
        <f>CRM_MAGDY!H1048</f>
        <v>6484</v>
      </c>
      <c r="B1048" s="57">
        <f>CRM_MAGDY!I1048</f>
        <v>0</v>
      </c>
      <c r="C1048" s="57">
        <f>CRM_MAGDY!E1048</f>
        <v>0</v>
      </c>
      <c r="D1048" s="57">
        <f>CRM_MAGDY!V1048</f>
        <v>0</v>
      </c>
      <c r="E1048" s="57" t="str">
        <f>IF(CRM_MAGDY!G1048="","BRAK TELEFONU",IF(CRM_MAGDY!K1048="","BRAK KWOTY",IF(CRM_MAGDY!N1048="","BRAK STATUSU",IF(CRM_MAGDY!C1048="","BRAK DATY AKCJI",""))))</f>
        <v>BRAK TELEFONU</v>
      </c>
      <c r="F1048" s="57" t="str">
        <f>CRM_MAGDY!W1048</f>
        <v>BRAKI CRM</v>
      </c>
      <c r="G1048" s="57">
        <f>CRM_MAGDY!K1048</f>
        <v>0</v>
      </c>
      <c r="H1048" s="57">
        <f>CRM_MAGDY!N1048</f>
        <v>0</v>
      </c>
    </row>
    <row r="1049" spans="1:8" ht="30" x14ac:dyDescent="0.25">
      <c r="A1049" s="57">
        <f>CRM_MAGDY!H1049</f>
        <v>6485</v>
      </c>
      <c r="B1049" s="57">
        <f>CRM_MAGDY!I1049</f>
        <v>0</v>
      </c>
      <c r="C1049" s="57">
        <f>CRM_MAGDY!E1049</f>
        <v>0</v>
      </c>
      <c r="D1049" s="57">
        <f>CRM_MAGDY!V1049</f>
        <v>0</v>
      </c>
      <c r="E1049" s="57" t="str">
        <f>IF(CRM_MAGDY!G1049="","BRAK TELEFONU",IF(CRM_MAGDY!K1049="","BRAK KWOTY",IF(CRM_MAGDY!N1049="","BRAK STATUSU",IF(CRM_MAGDY!C1049="","BRAK DATY AKCJI",""))))</f>
        <v>BRAK TELEFONU</v>
      </c>
      <c r="F1049" s="57" t="str">
        <f>CRM_MAGDY!W1049</f>
        <v>BRAKI CRM</v>
      </c>
      <c r="G1049" s="57">
        <f>CRM_MAGDY!K1049</f>
        <v>0</v>
      </c>
      <c r="H1049" s="57">
        <f>CRM_MAGDY!N1049</f>
        <v>0</v>
      </c>
    </row>
    <row r="1050" spans="1:8" ht="30" x14ac:dyDescent="0.25">
      <c r="A1050" s="57">
        <f>CRM_MAGDY!H1050</f>
        <v>6486</v>
      </c>
      <c r="B1050" s="57">
        <f>CRM_MAGDY!I1050</f>
        <v>0</v>
      </c>
      <c r="C1050" s="57">
        <f>CRM_MAGDY!E1050</f>
        <v>0</v>
      </c>
      <c r="D1050" s="57">
        <f>CRM_MAGDY!V1050</f>
        <v>0</v>
      </c>
      <c r="E1050" s="57" t="str">
        <f>IF(CRM_MAGDY!G1050="","BRAK TELEFONU",IF(CRM_MAGDY!K1050="","BRAK KWOTY",IF(CRM_MAGDY!N1050="","BRAK STATUSU",IF(CRM_MAGDY!C1050="","BRAK DATY AKCJI",""))))</f>
        <v>BRAK TELEFONU</v>
      </c>
      <c r="F1050" s="57" t="str">
        <f>CRM_MAGDY!W1050</f>
        <v>BRAKI CRM</v>
      </c>
      <c r="G1050" s="57">
        <f>CRM_MAGDY!K1050</f>
        <v>0</v>
      </c>
      <c r="H1050" s="57">
        <f>CRM_MAGDY!N1050</f>
        <v>0</v>
      </c>
    </row>
    <row r="1051" spans="1:8" ht="30" x14ac:dyDescent="0.25">
      <c r="A1051" s="57">
        <f>CRM_MAGDY!H1051</f>
        <v>6487</v>
      </c>
      <c r="B1051" s="57">
        <f>CRM_MAGDY!I1051</f>
        <v>0</v>
      </c>
      <c r="C1051" s="57">
        <f>CRM_MAGDY!E1051</f>
        <v>0</v>
      </c>
      <c r="D1051" s="57">
        <f>CRM_MAGDY!V1051</f>
        <v>0</v>
      </c>
      <c r="E1051" s="57" t="str">
        <f>IF(CRM_MAGDY!G1051="","BRAK TELEFONU",IF(CRM_MAGDY!K1051="","BRAK KWOTY",IF(CRM_MAGDY!N1051="","BRAK STATUSU",IF(CRM_MAGDY!C1051="","BRAK DATY AKCJI",""))))</f>
        <v>BRAK TELEFONU</v>
      </c>
      <c r="F1051" s="57" t="str">
        <f>CRM_MAGDY!W1051</f>
        <v>BRAKI CRM</v>
      </c>
      <c r="G1051" s="57">
        <f>CRM_MAGDY!K1051</f>
        <v>0</v>
      </c>
      <c r="H1051" s="57">
        <f>CRM_MAGDY!N1051</f>
        <v>0</v>
      </c>
    </row>
    <row r="1052" spans="1:8" ht="30" x14ac:dyDescent="0.25">
      <c r="A1052" s="57">
        <f>CRM_MAGDY!H1052</f>
        <v>6488</v>
      </c>
      <c r="B1052" s="57">
        <f>CRM_MAGDY!I1052</f>
        <v>0</v>
      </c>
      <c r="C1052" s="57">
        <f>CRM_MAGDY!E1052</f>
        <v>0</v>
      </c>
      <c r="D1052" s="57">
        <f>CRM_MAGDY!V1052</f>
        <v>0</v>
      </c>
      <c r="E1052" s="57" t="str">
        <f>IF(CRM_MAGDY!G1052="","BRAK TELEFONU",IF(CRM_MAGDY!K1052="","BRAK KWOTY",IF(CRM_MAGDY!N1052="","BRAK STATUSU",IF(CRM_MAGDY!C1052="","BRAK DATY AKCJI",""))))</f>
        <v>BRAK TELEFONU</v>
      </c>
      <c r="F1052" s="57" t="str">
        <f>CRM_MAGDY!W1052</f>
        <v>BRAKI CRM</v>
      </c>
      <c r="G1052" s="57">
        <f>CRM_MAGDY!K1052</f>
        <v>0</v>
      </c>
      <c r="H1052" s="57">
        <f>CRM_MAGDY!N1052</f>
        <v>0</v>
      </c>
    </row>
    <row r="1053" spans="1:8" ht="30" x14ac:dyDescent="0.25">
      <c r="A1053" s="57">
        <f>CRM_MAGDY!H1053</f>
        <v>6489</v>
      </c>
      <c r="B1053" s="57">
        <f>CRM_MAGDY!I1053</f>
        <v>0</v>
      </c>
      <c r="C1053" s="57">
        <f>CRM_MAGDY!E1053</f>
        <v>0</v>
      </c>
      <c r="D1053" s="57">
        <f>CRM_MAGDY!V1053</f>
        <v>0</v>
      </c>
      <c r="E1053" s="57" t="str">
        <f>IF(CRM_MAGDY!G1053="","BRAK TELEFONU",IF(CRM_MAGDY!K1053="","BRAK KWOTY",IF(CRM_MAGDY!N1053="","BRAK STATUSU",IF(CRM_MAGDY!C1053="","BRAK DATY AKCJI",""))))</f>
        <v>BRAK TELEFONU</v>
      </c>
      <c r="F1053" s="57" t="str">
        <f>CRM_MAGDY!W1053</f>
        <v>BRAKI CRM</v>
      </c>
      <c r="G1053" s="57">
        <f>CRM_MAGDY!K1053</f>
        <v>0</v>
      </c>
      <c r="H1053" s="57">
        <f>CRM_MAGDY!N1053</f>
        <v>0</v>
      </c>
    </row>
    <row r="1054" spans="1:8" ht="30" x14ac:dyDescent="0.25">
      <c r="A1054" s="57">
        <f>CRM_MAGDY!H1054</f>
        <v>6490</v>
      </c>
      <c r="B1054" s="57">
        <f>CRM_MAGDY!I1054</f>
        <v>0</v>
      </c>
      <c r="C1054" s="57">
        <f>CRM_MAGDY!E1054</f>
        <v>0</v>
      </c>
      <c r="D1054" s="57">
        <f>CRM_MAGDY!V1054</f>
        <v>0</v>
      </c>
      <c r="E1054" s="57" t="str">
        <f>IF(CRM_MAGDY!G1054="","BRAK TELEFONU",IF(CRM_MAGDY!K1054="","BRAK KWOTY",IF(CRM_MAGDY!N1054="","BRAK STATUSU",IF(CRM_MAGDY!C1054="","BRAK DATY AKCJI",""))))</f>
        <v>BRAK TELEFONU</v>
      </c>
      <c r="F1054" s="57" t="str">
        <f>CRM_MAGDY!W1054</f>
        <v>BRAKI CRM</v>
      </c>
      <c r="G1054" s="57">
        <f>CRM_MAGDY!K1054</f>
        <v>0</v>
      </c>
      <c r="H1054" s="57">
        <f>CRM_MAGDY!N1054</f>
        <v>0</v>
      </c>
    </row>
    <row r="1055" spans="1:8" ht="30" x14ac:dyDescent="0.25">
      <c r="A1055" s="57">
        <f>CRM_MAGDY!H1055</f>
        <v>6491</v>
      </c>
      <c r="B1055" s="57">
        <f>CRM_MAGDY!I1055</f>
        <v>0</v>
      </c>
      <c r="C1055" s="57">
        <f>CRM_MAGDY!E1055</f>
        <v>0</v>
      </c>
      <c r="D1055" s="57">
        <f>CRM_MAGDY!V1055</f>
        <v>0</v>
      </c>
      <c r="E1055" s="57" t="str">
        <f>IF(CRM_MAGDY!G1055="","BRAK TELEFONU",IF(CRM_MAGDY!K1055="","BRAK KWOTY",IF(CRM_MAGDY!N1055="","BRAK STATUSU",IF(CRM_MAGDY!C1055="","BRAK DATY AKCJI",""))))</f>
        <v>BRAK TELEFONU</v>
      </c>
      <c r="F1055" s="57" t="str">
        <f>CRM_MAGDY!W1055</f>
        <v>BRAKI CRM</v>
      </c>
      <c r="G1055" s="57">
        <f>CRM_MAGDY!K1055</f>
        <v>0</v>
      </c>
      <c r="H1055" s="57">
        <f>CRM_MAGDY!N1055</f>
        <v>0</v>
      </c>
    </row>
    <row r="1056" spans="1:8" ht="30" x14ac:dyDescent="0.25">
      <c r="A1056" s="57">
        <f>CRM_MAGDY!H1056</f>
        <v>6492</v>
      </c>
      <c r="B1056" s="57">
        <f>CRM_MAGDY!I1056</f>
        <v>0</v>
      </c>
      <c r="C1056" s="57">
        <f>CRM_MAGDY!E1056</f>
        <v>0</v>
      </c>
      <c r="D1056" s="57">
        <f>CRM_MAGDY!V1056</f>
        <v>0</v>
      </c>
      <c r="E1056" s="57" t="str">
        <f>IF(CRM_MAGDY!G1056="","BRAK TELEFONU",IF(CRM_MAGDY!K1056="","BRAK KWOTY",IF(CRM_MAGDY!N1056="","BRAK STATUSU",IF(CRM_MAGDY!C1056="","BRAK DATY AKCJI",""))))</f>
        <v>BRAK TELEFONU</v>
      </c>
      <c r="F1056" s="57" t="str">
        <f>CRM_MAGDY!W1056</f>
        <v>BRAKI CRM</v>
      </c>
      <c r="G1056" s="57">
        <f>CRM_MAGDY!K1056</f>
        <v>0</v>
      </c>
      <c r="H1056" s="57">
        <f>CRM_MAGDY!N1056</f>
        <v>0</v>
      </c>
    </row>
    <row r="1057" spans="1:8" ht="30" x14ac:dyDescent="0.25">
      <c r="A1057" s="57">
        <f>CRM_MAGDY!H1057</f>
        <v>6493</v>
      </c>
      <c r="B1057" s="57">
        <f>CRM_MAGDY!I1057</f>
        <v>0</v>
      </c>
      <c r="C1057" s="57">
        <f>CRM_MAGDY!E1057</f>
        <v>0</v>
      </c>
      <c r="D1057" s="57">
        <f>CRM_MAGDY!V1057</f>
        <v>0</v>
      </c>
      <c r="E1057" s="57" t="str">
        <f>IF(CRM_MAGDY!G1057="","BRAK TELEFONU",IF(CRM_MAGDY!K1057="","BRAK KWOTY",IF(CRM_MAGDY!N1057="","BRAK STATUSU",IF(CRM_MAGDY!C1057="","BRAK DATY AKCJI",""))))</f>
        <v>BRAK TELEFONU</v>
      </c>
      <c r="F1057" s="57" t="str">
        <f>CRM_MAGDY!W1057</f>
        <v>BRAKI CRM</v>
      </c>
      <c r="G1057" s="57">
        <f>CRM_MAGDY!K1057</f>
        <v>0</v>
      </c>
      <c r="H1057" s="57">
        <f>CRM_MAGDY!N1057</f>
        <v>0</v>
      </c>
    </row>
    <row r="1058" spans="1:8" ht="30" x14ac:dyDescent="0.25">
      <c r="A1058" s="57">
        <f>CRM_MAGDY!H1058</f>
        <v>6494</v>
      </c>
      <c r="B1058" s="57">
        <f>CRM_MAGDY!I1058</f>
        <v>0</v>
      </c>
      <c r="C1058" s="57">
        <f>CRM_MAGDY!E1058</f>
        <v>0</v>
      </c>
      <c r="D1058" s="57">
        <f>CRM_MAGDY!V1058</f>
        <v>0</v>
      </c>
      <c r="E1058" s="57" t="str">
        <f>IF(CRM_MAGDY!G1058="","BRAK TELEFONU",IF(CRM_MAGDY!K1058="","BRAK KWOTY",IF(CRM_MAGDY!N1058="","BRAK STATUSU",IF(CRM_MAGDY!C1058="","BRAK DATY AKCJI",""))))</f>
        <v>BRAK TELEFONU</v>
      </c>
      <c r="F1058" s="57" t="str">
        <f>CRM_MAGDY!W1058</f>
        <v>BRAKI CRM</v>
      </c>
      <c r="G1058" s="57">
        <f>CRM_MAGDY!K1058</f>
        <v>0</v>
      </c>
      <c r="H1058" s="57">
        <f>CRM_MAGDY!N1058</f>
        <v>0</v>
      </c>
    </row>
    <row r="1059" spans="1:8" ht="30" x14ac:dyDescent="0.25">
      <c r="A1059" s="57">
        <f>CRM_MAGDY!H1059</f>
        <v>6495</v>
      </c>
      <c r="B1059" s="57">
        <f>CRM_MAGDY!I1059</f>
        <v>0</v>
      </c>
      <c r="C1059" s="57">
        <f>CRM_MAGDY!E1059</f>
        <v>0</v>
      </c>
      <c r="D1059" s="57">
        <f>CRM_MAGDY!V1059</f>
        <v>0</v>
      </c>
      <c r="E1059" s="57" t="str">
        <f>IF(CRM_MAGDY!G1059="","BRAK TELEFONU",IF(CRM_MAGDY!K1059="","BRAK KWOTY",IF(CRM_MAGDY!N1059="","BRAK STATUSU",IF(CRM_MAGDY!C1059="","BRAK DATY AKCJI",""))))</f>
        <v>BRAK TELEFONU</v>
      </c>
      <c r="F1059" s="57" t="str">
        <f>CRM_MAGDY!W1059</f>
        <v>BRAKI CRM</v>
      </c>
      <c r="G1059" s="57">
        <f>CRM_MAGDY!K1059</f>
        <v>0</v>
      </c>
      <c r="H1059" s="57">
        <f>CRM_MAGDY!N1059</f>
        <v>0</v>
      </c>
    </row>
    <row r="1060" spans="1:8" ht="30" customHeight="1" x14ac:dyDescent="0.25">
      <c r="A1060" s="57">
        <f>CRM_MAGDY!H1060</f>
        <v>5314</v>
      </c>
      <c r="B1060" s="57" t="str">
        <f>CRM_MAGDY!I1060</f>
        <v>Magda B</v>
      </c>
      <c r="C1060" s="57" t="str">
        <f>CRM_MAGDY!E1060</f>
        <v>Bjorn van Nieuwkerk</v>
      </c>
      <c r="D1060" s="57">
        <f>CRM_MAGDY!V1060</f>
        <v>0.25</v>
      </c>
      <c r="E1060" s="57" t="str">
        <f>IF(CRM_MAGDY!G1060="","BRAK TELEFONU",IF(CRM_MAGDY!K1060="","BRAK KWOTY",IF(CRM_MAGDY!N1060="","BRAK STATUSU",IF(CRM_MAGDY!C1060="","BRAK DATY AKCJI",""))))</f>
        <v>BRAK TELEFONU</v>
      </c>
      <c r="F1060" s="57" t="str">
        <f>CRM_MAGDY!W1060</f>
        <v>BRAKI CRM</v>
      </c>
      <c r="G1060" s="57">
        <f>CRM_MAGDY!K1060</f>
        <v>0</v>
      </c>
      <c r="H1060" s="57">
        <f>CRM_MAGDY!N1060</f>
        <v>0</v>
      </c>
    </row>
    <row r="1061" spans="1:8" ht="30" customHeight="1" x14ac:dyDescent="0.25">
      <c r="A1061" s="57">
        <f>CRM_MAGDY!H1061</f>
        <v>5315</v>
      </c>
      <c r="B1061" s="57" t="str">
        <f>CRM_MAGDY!I1061</f>
        <v>Magda K</v>
      </c>
      <c r="C1061" s="57" t="str">
        <f>CRM_MAGDY!E1061</f>
        <v>Jarosław Malinowski</v>
      </c>
      <c r="D1061" s="57">
        <f>CRM_MAGDY!V1061</f>
        <v>0.25</v>
      </c>
      <c r="E1061" s="57" t="str">
        <f>IF(CRM_MAGDY!G1061="","BRAK TELEFONU",IF(CRM_MAGDY!K1061="","BRAK KWOTY",IF(CRM_MAGDY!N1061="","BRAK STATUSU",IF(CRM_MAGDY!C1061="","BRAK DATY AKCJI",""))))</f>
        <v>BRAK TELEFONU</v>
      </c>
      <c r="F1061" s="57" t="str">
        <f>CRM_MAGDY!W1061</f>
        <v>BRAKI CRM</v>
      </c>
      <c r="G1061" s="57">
        <f>CRM_MAGDY!K1061</f>
        <v>0</v>
      </c>
      <c r="H1061" s="57">
        <f>CRM_MAGDY!N1061</f>
        <v>0</v>
      </c>
    </row>
    <row r="1062" spans="1:8" ht="30" x14ac:dyDescent="0.25">
      <c r="A1062" s="57">
        <f>CRM_MAGDY!H1062</f>
        <v>5316</v>
      </c>
      <c r="B1062" s="57">
        <f>CRM_MAGDY!I1062</f>
        <v>0</v>
      </c>
      <c r="C1062" s="57">
        <f>CRM_MAGDY!E1062</f>
        <v>0</v>
      </c>
      <c r="D1062" s="57">
        <f>CRM_MAGDY!V1062</f>
        <v>0</v>
      </c>
      <c r="E1062" s="57" t="str">
        <f>IF(CRM_MAGDY!G1062="","BRAK TELEFONU",IF(CRM_MAGDY!K1062="","BRAK KWOTY",IF(CRM_MAGDY!N1062="","BRAK STATUSU",IF(CRM_MAGDY!C1062="","BRAK DATY AKCJI",""))))</f>
        <v>BRAK TELEFONU</v>
      </c>
      <c r="F1062" s="57" t="str">
        <f>CRM_MAGDY!W1062</f>
        <v>BRAKI CRM</v>
      </c>
      <c r="G1062" s="57">
        <f>CRM_MAGDY!K1062</f>
        <v>0</v>
      </c>
      <c r="H1062" s="57">
        <f>CRM_MAGDY!N1062</f>
        <v>0</v>
      </c>
    </row>
    <row r="1063" spans="1:8" ht="30" x14ac:dyDescent="0.25">
      <c r="A1063" s="57">
        <f>CRM_MAGDY!H1063</f>
        <v>5317</v>
      </c>
      <c r="B1063" s="57">
        <f>CRM_MAGDY!I1063</f>
        <v>0</v>
      </c>
      <c r="C1063" s="57">
        <f>CRM_MAGDY!E1063</f>
        <v>0</v>
      </c>
      <c r="D1063" s="57">
        <f>CRM_MAGDY!V1063</f>
        <v>0</v>
      </c>
      <c r="E1063" s="57" t="str">
        <f>IF(CRM_MAGDY!G1063="","BRAK TELEFONU",IF(CRM_MAGDY!K1063="","BRAK KWOTY",IF(CRM_MAGDY!N1063="","BRAK STATUSU",IF(CRM_MAGDY!C1063="","BRAK DATY AKCJI",""))))</f>
        <v>BRAK TELEFONU</v>
      </c>
      <c r="F1063" s="57" t="str">
        <f>CRM_MAGDY!W1063</f>
        <v>BRAKI CRM</v>
      </c>
      <c r="G1063" s="57">
        <f>CRM_MAGDY!K1063</f>
        <v>0</v>
      </c>
      <c r="H1063" s="57">
        <f>CRM_MAGDY!N1063</f>
        <v>0</v>
      </c>
    </row>
    <row r="1064" spans="1:8" ht="30" x14ac:dyDescent="0.25">
      <c r="A1064" s="57">
        <f>CRM_MAGDY!H1064</f>
        <v>5318</v>
      </c>
      <c r="B1064" s="57">
        <f>CRM_MAGDY!I1064</f>
        <v>0</v>
      </c>
      <c r="C1064" s="57">
        <f>CRM_MAGDY!E1064</f>
        <v>0</v>
      </c>
      <c r="D1064" s="57">
        <f>CRM_MAGDY!V1064</f>
        <v>0</v>
      </c>
      <c r="E1064" s="57" t="str">
        <f>IF(CRM_MAGDY!G1064="","BRAK TELEFONU",IF(CRM_MAGDY!K1064="","BRAK KWOTY",IF(CRM_MAGDY!N1064="","BRAK STATUSU",IF(CRM_MAGDY!C1064="","BRAK DATY AKCJI",""))))</f>
        <v>BRAK TELEFONU</v>
      </c>
      <c r="F1064" s="57" t="str">
        <f>CRM_MAGDY!W1064</f>
        <v>BRAKI CRM</v>
      </c>
      <c r="G1064" s="57">
        <f>CRM_MAGDY!K1064</f>
        <v>0</v>
      </c>
      <c r="H1064" s="57">
        <f>CRM_MAGDY!N1064</f>
        <v>0</v>
      </c>
    </row>
    <row r="1065" spans="1:8" ht="30" x14ac:dyDescent="0.25">
      <c r="A1065" s="57">
        <f>CRM_MAGDY!H1065</f>
        <v>5319</v>
      </c>
      <c r="B1065" s="57">
        <f>CRM_MAGDY!I1065</f>
        <v>0</v>
      </c>
      <c r="C1065" s="57">
        <f>CRM_MAGDY!E1065</f>
        <v>0</v>
      </c>
      <c r="D1065" s="57">
        <f>CRM_MAGDY!V1065</f>
        <v>0</v>
      </c>
      <c r="E1065" s="57" t="str">
        <f>IF(CRM_MAGDY!G1065="","BRAK TELEFONU",IF(CRM_MAGDY!K1065="","BRAK KWOTY",IF(CRM_MAGDY!N1065="","BRAK STATUSU",IF(CRM_MAGDY!C1065="","BRAK DATY AKCJI",""))))</f>
        <v>BRAK TELEFONU</v>
      </c>
      <c r="F1065" s="57" t="str">
        <f>CRM_MAGDY!W1065</f>
        <v>BRAKI CRM</v>
      </c>
      <c r="G1065" s="57">
        <f>CRM_MAGDY!K1065</f>
        <v>0</v>
      </c>
      <c r="H1065" s="57">
        <f>CRM_MAGDY!N1065</f>
        <v>0</v>
      </c>
    </row>
    <row r="1066" spans="1:8" ht="30" x14ac:dyDescent="0.25">
      <c r="A1066" s="57">
        <f>CRM_MAGDY!H1066</f>
        <v>5320</v>
      </c>
      <c r="B1066" s="57">
        <f>CRM_MAGDY!I1066</f>
        <v>0</v>
      </c>
      <c r="C1066" s="57">
        <f>CRM_MAGDY!E1066</f>
        <v>0</v>
      </c>
      <c r="D1066" s="57">
        <f>CRM_MAGDY!V1066</f>
        <v>0</v>
      </c>
      <c r="E1066" s="57" t="str">
        <f>IF(CRM_MAGDY!G1066="","BRAK TELEFONU",IF(CRM_MAGDY!K1066="","BRAK KWOTY",IF(CRM_MAGDY!N1066="","BRAK STATUSU",IF(CRM_MAGDY!C1066="","BRAK DATY AKCJI",""))))</f>
        <v>BRAK TELEFONU</v>
      </c>
      <c r="F1066" s="57" t="str">
        <f>CRM_MAGDY!W1066</f>
        <v>BRAKI CRM</v>
      </c>
      <c r="G1066" s="57">
        <f>CRM_MAGDY!K1066</f>
        <v>0</v>
      </c>
      <c r="H1066" s="57">
        <f>CRM_MAGDY!N1066</f>
        <v>0</v>
      </c>
    </row>
    <row r="1067" spans="1:8" ht="30" x14ac:dyDescent="0.25">
      <c r="A1067" s="57">
        <f>CRM_MAGDY!H1067</f>
        <v>5321</v>
      </c>
      <c r="B1067" s="57">
        <f>CRM_MAGDY!I1067</f>
        <v>0</v>
      </c>
      <c r="C1067" s="57">
        <f>CRM_MAGDY!E1067</f>
        <v>0</v>
      </c>
      <c r="D1067" s="57">
        <f>CRM_MAGDY!V1067</f>
        <v>0</v>
      </c>
      <c r="E1067" s="57" t="str">
        <f>IF(CRM_MAGDY!G1067="","BRAK TELEFONU",IF(CRM_MAGDY!K1067="","BRAK KWOTY",IF(CRM_MAGDY!N1067="","BRAK STATUSU",IF(CRM_MAGDY!C1067="","BRAK DATY AKCJI",""))))</f>
        <v>BRAK TELEFONU</v>
      </c>
      <c r="F1067" s="57" t="str">
        <f>CRM_MAGDY!W1067</f>
        <v>BRAKI CRM</v>
      </c>
      <c r="G1067" s="57">
        <f>CRM_MAGDY!K1067</f>
        <v>0</v>
      </c>
      <c r="H1067" s="57">
        <f>CRM_MAGDY!N1067</f>
        <v>0</v>
      </c>
    </row>
    <row r="1068" spans="1:8" ht="30" x14ac:dyDescent="0.25">
      <c r="A1068" s="57">
        <f>CRM_MAGDY!H1068</f>
        <v>5322</v>
      </c>
      <c r="B1068" s="57">
        <f>CRM_MAGDY!I1068</f>
        <v>0</v>
      </c>
      <c r="C1068" s="57">
        <f>CRM_MAGDY!E1068</f>
        <v>0</v>
      </c>
      <c r="D1068" s="57">
        <f>CRM_MAGDY!V1068</f>
        <v>0</v>
      </c>
      <c r="E1068" s="57" t="str">
        <f>IF(CRM_MAGDY!G1068="","BRAK TELEFONU",IF(CRM_MAGDY!K1068="","BRAK KWOTY",IF(CRM_MAGDY!N1068="","BRAK STATUSU",IF(CRM_MAGDY!C1068="","BRAK DATY AKCJI",""))))</f>
        <v>BRAK TELEFONU</v>
      </c>
      <c r="F1068" s="57" t="str">
        <f>CRM_MAGDY!W1068</f>
        <v>BRAKI CRM</v>
      </c>
      <c r="G1068" s="57">
        <f>CRM_MAGDY!K1068</f>
        <v>0</v>
      </c>
      <c r="H1068" s="57">
        <f>CRM_MAGDY!N1068</f>
        <v>0</v>
      </c>
    </row>
    <row r="1069" spans="1:8" ht="30" x14ac:dyDescent="0.25">
      <c r="A1069" s="57">
        <f>CRM_MAGDY!H1069</f>
        <v>5323</v>
      </c>
      <c r="B1069" s="57">
        <f>CRM_MAGDY!I1069</f>
        <v>0</v>
      </c>
      <c r="C1069" s="57">
        <f>CRM_MAGDY!E1069</f>
        <v>0</v>
      </c>
      <c r="D1069" s="57">
        <f>CRM_MAGDY!V1069</f>
        <v>0</v>
      </c>
      <c r="E1069" s="57" t="str">
        <f>IF(CRM_MAGDY!G1069="","BRAK TELEFONU",IF(CRM_MAGDY!K1069="","BRAK KWOTY",IF(CRM_MAGDY!N1069="","BRAK STATUSU",IF(CRM_MAGDY!C1069="","BRAK DATY AKCJI",""))))</f>
        <v>BRAK TELEFONU</v>
      </c>
      <c r="F1069" s="57" t="str">
        <f>CRM_MAGDY!W1069</f>
        <v>BRAKI CRM</v>
      </c>
      <c r="G1069" s="57">
        <f>CRM_MAGDY!K1069</f>
        <v>0</v>
      </c>
      <c r="H1069" s="57">
        <f>CRM_MAGDY!N1069</f>
        <v>0</v>
      </c>
    </row>
    <row r="1070" spans="1:8" ht="30" x14ac:dyDescent="0.25">
      <c r="A1070" s="57">
        <f>CRM_MAGDY!H1070</f>
        <v>5324</v>
      </c>
      <c r="B1070" s="57">
        <f>CRM_MAGDY!I1070</f>
        <v>0</v>
      </c>
      <c r="C1070" s="57">
        <f>CRM_MAGDY!E1070</f>
        <v>0</v>
      </c>
      <c r="D1070" s="57">
        <f>CRM_MAGDY!V1070</f>
        <v>0</v>
      </c>
      <c r="E1070" s="57" t="str">
        <f>IF(CRM_MAGDY!G1070="","BRAK TELEFONU",IF(CRM_MAGDY!K1070="","BRAK KWOTY",IF(CRM_MAGDY!N1070="","BRAK STATUSU",IF(CRM_MAGDY!C1070="","BRAK DATY AKCJI",""))))</f>
        <v>BRAK TELEFONU</v>
      </c>
      <c r="F1070" s="57" t="str">
        <f>CRM_MAGDY!W1070</f>
        <v>BRAKI CRM</v>
      </c>
      <c r="G1070" s="57">
        <f>CRM_MAGDY!K1070</f>
        <v>0</v>
      </c>
      <c r="H1070" s="57">
        <f>CRM_MAGDY!N1070</f>
        <v>0</v>
      </c>
    </row>
    <row r="1071" spans="1:8" ht="30" x14ac:dyDescent="0.25">
      <c r="A1071" s="57">
        <f>CRM_MAGDY!H1071</f>
        <v>5325</v>
      </c>
      <c r="B1071" s="57">
        <f>CRM_MAGDY!I1071</f>
        <v>0</v>
      </c>
      <c r="C1071" s="57">
        <f>CRM_MAGDY!E1071</f>
        <v>0</v>
      </c>
      <c r="D1071" s="57">
        <f>CRM_MAGDY!V1071</f>
        <v>0</v>
      </c>
      <c r="E1071" s="57" t="str">
        <f>IF(CRM_MAGDY!G1071="","BRAK TELEFONU",IF(CRM_MAGDY!K1071="","BRAK KWOTY",IF(CRM_MAGDY!N1071="","BRAK STATUSU",IF(CRM_MAGDY!C1071="","BRAK DATY AKCJI",""))))</f>
        <v>BRAK TELEFONU</v>
      </c>
      <c r="F1071" s="57" t="str">
        <f>CRM_MAGDY!W1071</f>
        <v>BRAKI CRM</v>
      </c>
      <c r="G1071" s="57">
        <f>CRM_MAGDY!K1071</f>
        <v>0</v>
      </c>
      <c r="H1071" s="57">
        <f>CRM_MAGDY!N1071</f>
        <v>0</v>
      </c>
    </row>
    <row r="1072" spans="1:8" ht="30" x14ac:dyDescent="0.25">
      <c r="A1072" s="57">
        <f>CRM_MAGDY!H1072</f>
        <v>0</v>
      </c>
      <c r="B1072" s="57">
        <f>CRM_MAGDY!I1072</f>
        <v>0</v>
      </c>
      <c r="C1072" s="57">
        <f>CRM_MAGDY!E1072</f>
        <v>0</v>
      </c>
      <c r="D1072" s="57" t="str">
        <f>CRM_MAGDY!V1072</f>
        <v/>
      </c>
      <c r="E1072" s="57" t="str">
        <f>IF(CRM_MAGDY!G1072="","BRAK TELEFONU",IF(CRM_MAGDY!K1072="","BRAK KWOTY",IF(CRM_MAGDY!N1072="","BRAK STATUSU",IF(CRM_MAGDY!C1072="","BRAK DATY AKCJI",""))))</f>
        <v>BRAK TELEFONU</v>
      </c>
      <c r="F1072" s="57" t="str">
        <f ca="1">CRM_MAGDY!W1072</f>
        <v/>
      </c>
      <c r="G1072" s="57">
        <f>CRM_MAGDY!K1072</f>
        <v>0</v>
      </c>
      <c r="H1072" s="57">
        <f>CRM_MAGDY!N1072</f>
        <v>0</v>
      </c>
    </row>
    <row r="1073" spans="1:8" ht="30" x14ac:dyDescent="0.25">
      <c r="A1073" s="57">
        <f>CRM_MAGDY!H1073</f>
        <v>0</v>
      </c>
      <c r="B1073" s="57">
        <f>CRM_MAGDY!I1073</f>
        <v>0</v>
      </c>
      <c r="C1073" s="57">
        <f>CRM_MAGDY!E1073</f>
        <v>0</v>
      </c>
      <c r="D1073" s="57" t="str">
        <f>CRM_MAGDY!V1073</f>
        <v/>
      </c>
      <c r="E1073" s="57" t="str">
        <f>IF(CRM_MAGDY!G1073="","BRAK TELEFONU",IF(CRM_MAGDY!K1073="","BRAK KWOTY",IF(CRM_MAGDY!N1073="","BRAK STATUSU",IF(CRM_MAGDY!C1073="","BRAK DATY AKCJI",""))))</f>
        <v>BRAK TELEFONU</v>
      </c>
      <c r="F1073" s="57" t="str">
        <f ca="1">CRM_MAGDY!W1073</f>
        <v/>
      </c>
      <c r="G1073" s="57">
        <f>CRM_MAGDY!K1073</f>
        <v>0</v>
      </c>
      <c r="H1073" s="57">
        <f>CRM_MAGDY!N1073</f>
        <v>0</v>
      </c>
    </row>
    <row r="1074" spans="1:8" ht="30" x14ac:dyDescent="0.25">
      <c r="A1074" s="57">
        <f>CRM_MAGDY!H1074</f>
        <v>0</v>
      </c>
      <c r="B1074" s="57">
        <f>CRM_MAGDY!I1074</f>
        <v>0</v>
      </c>
      <c r="C1074" s="57">
        <f>CRM_MAGDY!E1074</f>
        <v>0</v>
      </c>
      <c r="D1074" s="57" t="str">
        <f>CRM_MAGDY!V1074</f>
        <v/>
      </c>
      <c r="E1074" s="57" t="str">
        <f>IF(CRM_MAGDY!G1074="","BRAK TELEFONU",IF(CRM_MAGDY!K1074="","BRAK KWOTY",IF(CRM_MAGDY!N1074="","BRAK STATUSU",IF(CRM_MAGDY!C1074="","BRAK DATY AKCJI",""))))</f>
        <v>BRAK TELEFONU</v>
      </c>
      <c r="F1074" s="57" t="str">
        <f ca="1">CRM_MAGDY!W1074</f>
        <v/>
      </c>
      <c r="G1074" s="57">
        <f>CRM_MAGDY!K1074</f>
        <v>0</v>
      </c>
      <c r="H1074" s="57">
        <f>CRM_MAGDY!N1074</f>
        <v>0</v>
      </c>
    </row>
    <row r="1075" spans="1:8" ht="30" x14ac:dyDescent="0.25">
      <c r="A1075" s="57">
        <f>CRM_MAGDY!H1075</f>
        <v>0</v>
      </c>
      <c r="B1075" s="57">
        <f>CRM_MAGDY!I1075</f>
        <v>0</v>
      </c>
      <c r="C1075" s="57">
        <f>CRM_MAGDY!E1075</f>
        <v>0</v>
      </c>
      <c r="D1075" s="57" t="str">
        <f>CRM_MAGDY!V1075</f>
        <v/>
      </c>
      <c r="E1075" s="57" t="str">
        <f>IF(CRM_MAGDY!G1075="","BRAK TELEFONU",IF(CRM_MAGDY!K1075="","BRAK KWOTY",IF(CRM_MAGDY!N1075="","BRAK STATUSU",IF(CRM_MAGDY!C1075="","BRAK DATY AKCJI",""))))</f>
        <v>BRAK TELEFONU</v>
      </c>
      <c r="F1075" s="57" t="str">
        <f ca="1">CRM_MAGDY!W1075</f>
        <v/>
      </c>
      <c r="G1075" s="57">
        <f>CRM_MAGDY!K1075</f>
        <v>0</v>
      </c>
      <c r="H1075" s="57">
        <f>CRM_MAGDY!N1075</f>
        <v>0</v>
      </c>
    </row>
    <row r="1076" spans="1:8" ht="30" x14ac:dyDescent="0.25">
      <c r="A1076" s="57">
        <f>CRM_MAGDY!H1076</f>
        <v>0</v>
      </c>
      <c r="B1076" s="57">
        <f>CRM_MAGDY!I1076</f>
        <v>0</v>
      </c>
      <c r="C1076" s="57">
        <f>CRM_MAGDY!E1076</f>
        <v>0</v>
      </c>
      <c r="D1076" s="57" t="str">
        <f>CRM_MAGDY!V1076</f>
        <v/>
      </c>
      <c r="E1076" s="57" t="str">
        <f>IF(CRM_MAGDY!G1076="","BRAK TELEFONU",IF(CRM_MAGDY!K1076="","BRAK KWOTY",IF(CRM_MAGDY!N1076="","BRAK STATUSU",IF(CRM_MAGDY!C1076="","BRAK DATY AKCJI",""))))</f>
        <v>BRAK TELEFONU</v>
      </c>
      <c r="F1076" s="57" t="str">
        <f ca="1">CRM_MAGDY!W1076</f>
        <v/>
      </c>
      <c r="G1076" s="57">
        <f>CRM_MAGDY!K1076</f>
        <v>0</v>
      </c>
      <c r="H1076" s="57">
        <f>CRM_MAGDY!N1076</f>
        <v>0</v>
      </c>
    </row>
    <row r="1077" spans="1:8" ht="30" x14ac:dyDescent="0.25">
      <c r="A1077" s="57">
        <f>CRM_MAGDY!H1077</f>
        <v>0</v>
      </c>
      <c r="B1077" s="57">
        <f>CRM_MAGDY!I1077</f>
        <v>0</v>
      </c>
      <c r="C1077" s="57">
        <f>CRM_MAGDY!E1077</f>
        <v>0</v>
      </c>
      <c r="D1077" s="57" t="str">
        <f>CRM_MAGDY!V1077</f>
        <v/>
      </c>
      <c r="E1077" s="57" t="str">
        <f>IF(CRM_MAGDY!G1077="","BRAK TELEFONU",IF(CRM_MAGDY!K1077="","BRAK KWOTY",IF(CRM_MAGDY!N1077="","BRAK STATUSU",IF(CRM_MAGDY!C1077="","BRAK DATY AKCJI",""))))</f>
        <v>BRAK TELEFONU</v>
      </c>
      <c r="F1077" s="57" t="str">
        <f ca="1">CRM_MAGDY!W1077</f>
        <v/>
      </c>
      <c r="G1077" s="57">
        <f>CRM_MAGDY!K1077</f>
        <v>0</v>
      </c>
      <c r="H1077" s="57">
        <f>CRM_MAGDY!N1077</f>
        <v>0</v>
      </c>
    </row>
    <row r="1078" spans="1:8" ht="30" x14ac:dyDescent="0.25">
      <c r="A1078" s="57">
        <f>CRM_MAGDY!H1078</f>
        <v>0</v>
      </c>
      <c r="B1078" s="57">
        <f>CRM_MAGDY!I1078</f>
        <v>0</v>
      </c>
      <c r="C1078" s="57">
        <f>CRM_MAGDY!E1078</f>
        <v>0</v>
      </c>
      <c r="D1078" s="57" t="str">
        <f>CRM_MAGDY!V1078</f>
        <v/>
      </c>
      <c r="E1078" s="57" t="str">
        <f>IF(CRM_MAGDY!G1078="","BRAK TELEFONU",IF(CRM_MAGDY!K1078="","BRAK KWOTY",IF(CRM_MAGDY!N1078="","BRAK STATUSU",IF(CRM_MAGDY!C1078="","BRAK DATY AKCJI",""))))</f>
        <v>BRAK TELEFONU</v>
      </c>
      <c r="F1078" s="57" t="str">
        <f ca="1">CRM_MAGDY!W1078</f>
        <v/>
      </c>
      <c r="G1078" s="57">
        <f>CRM_MAGDY!K1078</f>
        <v>0</v>
      </c>
      <c r="H1078" s="57">
        <f>CRM_MAGDY!N1078</f>
        <v>0</v>
      </c>
    </row>
    <row r="1079" spans="1:8" ht="30" x14ac:dyDescent="0.25">
      <c r="A1079" s="57">
        <f>CRM_MAGDY!H1079</f>
        <v>0</v>
      </c>
      <c r="B1079" s="57">
        <f>CRM_MAGDY!I1079</f>
        <v>0</v>
      </c>
      <c r="C1079" s="57">
        <f>CRM_MAGDY!E1079</f>
        <v>0</v>
      </c>
      <c r="D1079" s="57" t="str">
        <f>CRM_MAGDY!V1079</f>
        <v/>
      </c>
      <c r="E1079" s="57" t="str">
        <f>IF(CRM_MAGDY!G1079="","BRAK TELEFONU",IF(CRM_MAGDY!K1079="","BRAK KWOTY",IF(CRM_MAGDY!N1079="","BRAK STATUSU",IF(CRM_MAGDY!C1079="","BRAK DATY AKCJI",""))))</f>
        <v>BRAK TELEFONU</v>
      </c>
      <c r="F1079" s="57" t="str">
        <f ca="1">CRM_MAGDY!W1079</f>
        <v/>
      </c>
      <c r="G1079" s="57">
        <f>CRM_MAGDY!K1079</f>
        <v>0</v>
      </c>
      <c r="H1079" s="57">
        <f>CRM_MAGDY!N1079</f>
        <v>0</v>
      </c>
    </row>
    <row r="1080" spans="1:8" ht="30" x14ac:dyDescent="0.25">
      <c r="A1080" s="57">
        <f>CRM_MAGDY!H1080</f>
        <v>0</v>
      </c>
      <c r="B1080" s="57">
        <f>CRM_MAGDY!I1080</f>
        <v>0</v>
      </c>
      <c r="C1080" s="57">
        <f>CRM_MAGDY!E1080</f>
        <v>0</v>
      </c>
      <c r="D1080" s="57" t="str">
        <f>CRM_MAGDY!V1080</f>
        <v/>
      </c>
      <c r="E1080" s="57" t="str">
        <f>IF(CRM_MAGDY!G1080="","BRAK TELEFONU",IF(CRM_MAGDY!K1080="","BRAK KWOTY",IF(CRM_MAGDY!N1080="","BRAK STATUSU",IF(CRM_MAGDY!C1080="","BRAK DATY AKCJI",""))))</f>
        <v>BRAK TELEFONU</v>
      </c>
      <c r="F1080" s="57" t="str">
        <f ca="1">CRM_MAGDY!W1080</f>
        <v/>
      </c>
      <c r="G1080" s="57">
        <f>CRM_MAGDY!K1080</f>
        <v>0</v>
      </c>
      <c r="H1080" s="57">
        <f>CRM_MAGDY!N1080</f>
        <v>0</v>
      </c>
    </row>
    <row r="1081" spans="1:8" ht="30" x14ac:dyDescent="0.25">
      <c r="A1081" s="57">
        <f>CRM_MAGDY!H1081</f>
        <v>0</v>
      </c>
      <c r="B1081" s="57">
        <f>CRM_MAGDY!I1081</f>
        <v>0</v>
      </c>
      <c r="C1081" s="57">
        <f>CRM_MAGDY!E1081</f>
        <v>0</v>
      </c>
      <c r="D1081" s="57" t="str">
        <f>CRM_MAGDY!V1081</f>
        <v/>
      </c>
      <c r="E1081" s="57" t="str">
        <f>IF(CRM_MAGDY!G1081="","BRAK TELEFONU",IF(CRM_MAGDY!K1081="","BRAK KWOTY",IF(CRM_MAGDY!N1081="","BRAK STATUSU",IF(CRM_MAGDY!C1081="","BRAK DATY AKCJI",""))))</f>
        <v>BRAK TELEFONU</v>
      </c>
      <c r="F1081" s="57" t="str">
        <f ca="1">CRM_MAGDY!W1081</f>
        <v/>
      </c>
      <c r="G1081" s="57">
        <f>CRM_MAGDY!K1081</f>
        <v>0</v>
      </c>
      <c r="H1081" s="57">
        <f>CRM_MAGDY!N1081</f>
        <v>0</v>
      </c>
    </row>
    <row r="1082" spans="1:8" ht="30" x14ac:dyDescent="0.25">
      <c r="A1082" s="57">
        <f>CRM_MAGDY!H1082</f>
        <v>0</v>
      </c>
      <c r="B1082" s="57">
        <f>CRM_MAGDY!I1082</f>
        <v>0</v>
      </c>
      <c r="C1082" s="57">
        <f>CRM_MAGDY!E1082</f>
        <v>0</v>
      </c>
      <c r="D1082" s="57" t="str">
        <f>CRM_MAGDY!V1082</f>
        <v/>
      </c>
      <c r="E1082" s="57" t="str">
        <f>IF(CRM_MAGDY!G1082="","BRAK TELEFONU",IF(CRM_MAGDY!K1082="","BRAK KWOTY",IF(CRM_MAGDY!N1082="","BRAK STATUSU",IF(CRM_MAGDY!C1082="","BRAK DATY AKCJI",""))))</f>
        <v>BRAK TELEFONU</v>
      </c>
      <c r="F1082" s="57" t="str">
        <f ca="1">CRM_MAGDY!W1082</f>
        <v/>
      </c>
      <c r="G1082" s="57">
        <f>CRM_MAGDY!K1082</f>
        <v>0</v>
      </c>
      <c r="H1082" s="57">
        <f>CRM_MAGDY!N1082</f>
        <v>0</v>
      </c>
    </row>
    <row r="1083" spans="1:8" ht="30" x14ac:dyDescent="0.25">
      <c r="A1083" s="57">
        <f>CRM_MAGDY!H1083</f>
        <v>0</v>
      </c>
      <c r="B1083" s="57">
        <f>CRM_MAGDY!I1083</f>
        <v>0</v>
      </c>
      <c r="C1083" s="57">
        <f>CRM_MAGDY!E1083</f>
        <v>0</v>
      </c>
      <c r="D1083" s="57" t="str">
        <f>CRM_MAGDY!V1083</f>
        <v/>
      </c>
      <c r="E1083" s="57" t="str">
        <f>IF(CRM_MAGDY!G1083="","BRAK TELEFONU",IF(CRM_MAGDY!K1083="","BRAK KWOTY",IF(CRM_MAGDY!N1083="","BRAK STATUSU",IF(CRM_MAGDY!C1083="","BRAK DATY AKCJI",""))))</f>
        <v>BRAK TELEFONU</v>
      </c>
      <c r="F1083" s="57" t="str">
        <f ca="1">CRM_MAGDY!W1083</f>
        <v/>
      </c>
      <c r="G1083" s="57">
        <f>CRM_MAGDY!K1083</f>
        <v>0</v>
      </c>
      <c r="H1083" s="57">
        <f>CRM_MAGDY!N1083</f>
        <v>0</v>
      </c>
    </row>
    <row r="1084" spans="1:8" ht="30" x14ac:dyDescent="0.25">
      <c r="A1084" s="57">
        <f>CRM_MAGDY!H1084</f>
        <v>0</v>
      </c>
      <c r="B1084" s="57">
        <f>CRM_MAGDY!I1084</f>
        <v>0</v>
      </c>
      <c r="C1084" s="57">
        <f>CRM_MAGDY!E1084</f>
        <v>0</v>
      </c>
      <c r="D1084" s="57" t="str">
        <f>CRM_MAGDY!V1084</f>
        <v/>
      </c>
      <c r="E1084" s="57" t="str">
        <f>IF(CRM_MAGDY!G1084="","BRAK TELEFONU",IF(CRM_MAGDY!K1084="","BRAK KWOTY",IF(CRM_MAGDY!N1084="","BRAK STATUSU",IF(CRM_MAGDY!C1084="","BRAK DATY AKCJI",""))))</f>
        <v>BRAK TELEFONU</v>
      </c>
      <c r="F1084" s="57" t="str">
        <f ca="1">CRM_MAGDY!W1084</f>
        <v/>
      </c>
      <c r="G1084" s="57">
        <f>CRM_MAGDY!K1084</f>
        <v>0</v>
      </c>
      <c r="H1084" s="57">
        <f>CRM_MAGDY!N1084</f>
        <v>0</v>
      </c>
    </row>
    <row r="1085" spans="1:8" ht="30" x14ac:dyDescent="0.25">
      <c r="A1085" s="57">
        <f>CRM_MAGDY!H1085</f>
        <v>0</v>
      </c>
      <c r="B1085" s="57">
        <f>CRM_MAGDY!I1085</f>
        <v>0</v>
      </c>
      <c r="C1085" s="57">
        <f>CRM_MAGDY!E1085</f>
        <v>0</v>
      </c>
      <c r="D1085" s="57" t="str">
        <f>CRM_MAGDY!V1085</f>
        <v/>
      </c>
      <c r="E1085" s="57" t="str">
        <f>IF(CRM_MAGDY!G1085="","BRAK TELEFONU",IF(CRM_MAGDY!K1085="","BRAK KWOTY",IF(CRM_MAGDY!N1085="","BRAK STATUSU",IF(CRM_MAGDY!C1085="","BRAK DATY AKCJI",""))))</f>
        <v>BRAK TELEFONU</v>
      </c>
      <c r="F1085" s="57" t="str">
        <f ca="1">CRM_MAGDY!W1085</f>
        <v/>
      </c>
      <c r="G1085" s="57">
        <f>CRM_MAGDY!K1085</f>
        <v>0</v>
      </c>
      <c r="H1085" s="57">
        <f>CRM_MAGDY!N1085</f>
        <v>0</v>
      </c>
    </row>
    <row r="1086" spans="1:8" ht="30" x14ac:dyDescent="0.25">
      <c r="A1086" s="57">
        <f>CRM_MAGDY!H1086</f>
        <v>0</v>
      </c>
      <c r="B1086" s="57">
        <f>CRM_MAGDY!I1086</f>
        <v>0</v>
      </c>
      <c r="C1086" s="57">
        <f>CRM_MAGDY!E1086</f>
        <v>0</v>
      </c>
      <c r="D1086" s="57" t="str">
        <f>CRM_MAGDY!V1086</f>
        <v/>
      </c>
      <c r="E1086" s="57" t="str">
        <f>IF(CRM_MAGDY!G1086="","BRAK TELEFONU",IF(CRM_MAGDY!K1086="","BRAK KWOTY",IF(CRM_MAGDY!N1086="","BRAK STATUSU",IF(CRM_MAGDY!C1086="","BRAK DATY AKCJI",""))))</f>
        <v>BRAK TELEFONU</v>
      </c>
      <c r="F1086" s="57" t="str">
        <f ca="1">CRM_MAGDY!W1086</f>
        <v/>
      </c>
      <c r="G1086" s="57">
        <f>CRM_MAGDY!K1086</f>
        <v>0</v>
      </c>
      <c r="H1086" s="57">
        <f>CRM_MAGDY!N1086</f>
        <v>0</v>
      </c>
    </row>
    <row r="1087" spans="1:8" ht="30" x14ac:dyDescent="0.25">
      <c r="A1087" s="57">
        <f>CRM_MAGDY!H1087</f>
        <v>0</v>
      </c>
      <c r="B1087" s="57">
        <f>CRM_MAGDY!I1087</f>
        <v>0</v>
      </c>
      <c r="C1087" s="57">
        <f>CRM_MAGDY!E1087</f>
        <v>0</v>
      </c>
      <c r="D1087" s="57" t="str">
        <f>CRM_MAGDY!V1087</f>
        <v/>
      </c>
      <c r="E1087" s="57" t="str">
        <f>IF(CRM_MAGDY!G1087="","BRAK TELEFONU",IF(CRM_MAGDY!K1087="","BRAK KWOTY",IF(CRM_MAGDY!N1087="","BRAK STATUSU",IF(CRM_MAGDY!C1087="","BRAK DATY AKCJI",""))))</f>
        <v>BRAK TELEFONU</v>
      </c>
      <c r="F1087" s="57" t="str">
        <f ca="1">CRM_MAGDY!W1087</f>
        <v/>
      </c>
      <c r="G1087" s="57">
        <f>CRM_MAGDY!K1087</f>
        <v>0</v>
      </c>
      <c r="H1087" s="57">
        <f>CRM_MAGDY!N1087</f>
        <v>0</v>
      </c>
    </row>
    <row r="1088" spans="1:8" ht="30" x14ac:dyDescent="0.25">
      <c r="A1088" s="57">
        <f>CRM_MAGDY!H1088</f>
        <v>0</v>
      </c>
      <c r="B1088" s="57">
        <f>CRM_MAGDY!I1088</f>
        <v>0</v>
      </c>
      <c r="C1088" s="57">
        <f>CRM_MAGDY!E1088</f>
        <v>0</v>
      </c>
      <c r="D1088" s="57" t="str">
        <f>CRM_MAGDY!V1088</f>
        <v/>
      </c>
      <c r="E1088" s="57" t="str">
        <f>IF(CRM_MAGDY!G1088="","BRAK TELEFONU",IF(CRM_MAGDY!K1088="","BRAK KWOTY",IF(CRM_MAGDY!N1088="","BRAK STATUSU",IF(CRM_MAGDY!C1088="","BRAK DATY AKCJI",""))))</f>
        <v>BRAK TELEFONU</v>
      </c>
      <c r="F1088" s="57" t="str">
        <f ca="1">CRM_MAGDY!W1088</f>
        <v/>
      </c>
      <c r="G1088" s="57">
        <f>CRM_MAGDY!K1088</f>
        <v>0</v>
      </c>
      <c r="H1088" s="57">
        <f>CRM_MAGDY!N1088</f>
        <v>0</v>
      </c>
    </row>
    <row r="1089" spans="1:8" ht="30" x14ac:dyDescent="0.25">
      <c r="A1089" s="57">
        <f>CRM_MAGDY!H1089</f>
        <v>0</v>
      </c>
      <c r="B1089" s="57">
        <f>CRM_MAGDY!I1089</f>
        <v>0</v>
      </c>
      <c r="C1089" s="57">
        <f>CRM_MAGDY!E1089</f>
        <v>0</v>
      </c>
      <c r="D1089" s="57" t="str">
        <f>CRM_MAGDY!V1089</f>
        <v/>
      </c>
      <c r="E1089" s="57" t="str">
        <f>IF(CRM_MAGDY!G1089="","BRAK TELEFONU",IF(CRM_MAGDY!K1089="","BRAK KWOTY",IF(CRM_MAGDY!N1089="","BRAK STATUSU",IF(CRM_MAGDY!C1089="","BRAK DATY AKCJI",""))))</f>
        <v>BRAK TELEFONU</v>
      </c>
      <c r="F1089" s="57" t="str">
        <f ca="1">CRM_MAGDY!W1089</f>
        <v/>
      </c>
      <c r="G1089" s="57">
        <f>CRM_MAGDY!K1089</f>
        <v>0</v>
      </c>
      <c r="H1089" s="57">
        <f>CRM_MAGDY!N1089</f>
        <v>0</v>
      </c>
    </row>
    <row r="1090" spans="1:8" ht="30" x14ac:dyDescent="0.25">
      <c r="A1090" s="57">
        <f>CRM_MAGDY!H1090</f>
        <v>0</v>
      </c>
      <c r="B1090" s="57">
        <f>CRM_MAGDY!I1090</f>
        <v>0</v>
      </c>
      <c r="C1090" s="57">
        <f>CRM_MAGDY!E1090</f>
        <v>0</v>
      </c>
      <c r="D1090" s="57" t="str">
        <f>CRM_MAGDY!V1090</f>
        <v/>
      </c>
      <c r="E1090" s="57" t="str">
        <f>IF(CRM_MAGDY!G1090="","BRAK TELEFONU",IF(CRM_MAGDY!K1090="","BRAK KWOTY",IF(CRM_MAGDY!N1090="","BRAK STATUSU",IF(CRM_MAGDY!C1090="","BRAK DATY AKCJI",""))))</f>
        <v>BRAK TELEFONU</v>
      </c>
      <c r="F1090" s="57" t="str">
        <f ca="1">CRM_MAGDY!W1090</f>
        <v/>
      </c>
      <c r="G1090" s="57">
        <f>CRM_MAGDY!K1090</f>
        <v>0</v>
      </c>
      <c r="H1090" s="57">
        <f>CRM_MAGDY!N1090</f>
        <v>0</v>
      </c>
    </row>
    <row r="1091" spans="1:8" ht="30" x14ac:dyDescent="0.25">
      <c r="A1091" s="57">
        <f>CRM_MAGDY!H1091</f>
        <v>0</v>
      </c>
      <c r="B1091" s="57">
        <f>CRM_MAGDY!I1091</f>
        <v>0</v>
      </c>
      <c r="C1091" s="57">
        <f>CRM_MAGDY!E1091</f>
        <v>0</v>
      </c>
      <c r="D1091" s="57" t="str">
        <f>CRM_MAGDY!V1091</f>
        <v/>
      </c>
      <c r="E1091" s="57" t="str">
        <f>IF(CRM_MAGDY!G1091="","BRAK TELEFONU",IF(CRM_MAGDY!K1091="","BRAK KWOTY",IF(CRM_MAGDY!N1091="","BRAK STATUSU",IF(CRM_MAGDY!C1091="","BRAK DATY AKCJI",""))))</f>
        <v>BRAK TELEFONU</v>
      </c>
      <c r="F1091" s="57" t="str">
        <f ca="1">CRM_MAGDY!W1091</f>
        <v/>
      </c>
      <c r="G1091" s="57">
        <f>CRM_MAGDY!K1091</f>
        <v>0</v>
      </c>
      <c r="H1091" s="57">
        <f>CRM_MAGDY!N1091</f>
        <v>0</v>
      </c>
    </row>
    <row r="1092" spans="1:8" ht="30" x14ac:dyDescent="0.25">
      <c r="A1092" s="57">
        <f>CRM_MAGDY!H1092</f>
        <v>0</v>
      </c>
      <c r="B1092" s="57">
        <f>CRM_MAGDY!I1092</f>
        <v>0</v>
      </c>
      <c r="C1092" s="57">
        <f>CRM_MAGDY!E1092</f>
        <v>0</v>
      </c>
      <c r="D1092" s="57" t="str">
        <f>CRM_MAGDY!V1092</f>
        <v/>
      </c>
      <c r="E1092" s="57" t="str">
        <f>IF(CRM_MAGDY!G1092="","BRAK TELEFONU",IF(CRM_MAGDY!K1092="","BRAK KWOTY",IF(CRM_MAGDY!N1092="","BRAK STATUSU",IF(CRM_MAGDY!C1092="","BRAK DATY AKCJI",""))))</f>
        <v>BRAK TELEFONU</v>
      </c>
      <c r="F1092" s="57" t="str">
        <f ca="1">CRM_MAGDY!W1092</f>
        <v/>
      </c>
      <c r="G1092" s="57">
        <f>CRM_MAGDY!K1092</f>
        <v>0</v>
      </c>
      <c r="H1092" s="57">
        <f>CRM_MAGDY!N1092</f>
        <v>0</v>
      </c>
    </row>
    <row r="1093" spans="1:8" ht="30" x14ac:dyDescent="0.25">
      <c r="A1093" s="57">
        <f>CRM_MAGDY!H1093</f>
        <v>0</v>
      </c>
      <c r="B1093" s="57">
        <f>CRM_MAGDY!I1093</f>
        <v>0</v>
      </c>
      <c r="C1093" s="57">
        <f>CRM_MAGDY!E1093</f>
        <v>0</v>
      </c>
      <c r="D1093" s="57" t="str">
        <f>CRM_MAGDY!V1093</f>
        <v/>
      </c>
      <c r="E1093" s="57" t="str">
        <f>IF(CRM_MAGDY!G1093="","BRAK TELEFONU",IF(CRM_MAGDY!K1093="","BRAK KWOTY",IF(CRM_MAGDY!N1093="","BRAK STATUSU",IF(CRM_MAGDY!C1093="","BRAK DATY AKCJI",""))))</f>
        <v>BRAK TELEFONU</v>
      </c>
      <c r="F1093" s="57" t="str">
        <f ca="1">CRM_MAGDY!W1093</f>
        <v/>
      </c>
      <c r="G1093" s="57">
        <f>CRM_MAGDY!K1093</f>
        <v>0</v>
      </c>
      <c r="H1093" s="57">
        <f>CRM_MAGDY!N1093</f>
        <v>0</v>
      </c>
    </row>
    <row r="1094" spans="1:8" ht="30" x14ac:dyDescent="0.25">
      <c r="A1094" s="57">
        <f>CRM_MAGDY!H1094</f>
        <v>0</v>
      </c>
      <c r="B1094" s="57">
        <f>CRM_MAGDY!I1094</f>
        <v>0</v>
      </c>
      <c r="C1094" s="57">
        <f>CRM_MAGDY!E1094</f>
        <v>0</v>
      </c>
      <c r="D1094" s="57" t="str">
        <f>CRM_MAGDY!V1094</f>
        <v/>
      </c>
      <c r="E1094" s="57" t="str">
        <f>IF(CRM_MAGDY!G1094="","BRAK TELEFONU",IF(CRM_MAGDY!K1094="","BRAK KWOTY",IF(CRM_MAGDY!N1094="","BRAK STATUSU",IF(CRM_MAGDY!C1094="","BRAK DATY AKCJI",""))))</f>
        <v>BRAK TELEFONU</v>
      </c>
      <c r="F1094" s="57" t="str">
        <f ca="1">CRM_MAGDY!W1094</f>
        <v/>
      </c>
      <c r="G1094" s="57">
        <f>CRM_MAGDY!K1094</f>
        <v>0</v>
      </c>
      <c r="H1094" s="57">
        <f>CRM_MAGDY!N1094</f>
        <v>0</v>
      </c>
    </row>
    <row r="1095" spans="1:8" ht="30" x14ac:dyDescent="0.25">
      <c r="A1095" s="57">
        <f>CRM_MAGDY!H1095</f>
        <v>0</v>
      </c>
      <c r="B1095" s="57">
        <f>CRM_MAGDY!I1095</f>
        <v>0</v>
      </c>
      <c r="C1095" s="57">
        <f>CRM_MAGDY!E1095</f>
        <v>0</v>
      </c>
      <c r="D1095" s="57" t="str">
        <f>CRM_MAGDY!V1095</f>
        <v/>
      </c>
      <c r="E1095" s="57" t="str">
        <f>IF(CRM_MAGDY!G1095="","BRAK TELEFONU",IF(CRM_MAGDY!K1095="","BRAK KWOTY",IF(CRM_MAGDY!N1095="","BRAK STATUSU",IF(CRM_MAGDY!C1095="","BRAK DATY AKCJI",""))))</f>
        <v>BRAK TELEFONU</v>
      </c>
      <c r="F1095" s="57" t="str">
        <f ca="1">CRM_MAGDY!W1095</f>
        <v/>
      </c>
      <c r="G1095" s="57">
        <f>CRM_MAGDY!K1095</f>
        <v>0</v>
      </c>
      <c r="H1095" s="57">
        <f>CRM_MAGDY!N1095</f>
        <v>0</v>
      </c>
    </row>
    <row r="1096" spans="1:8" ht="30" x14ac:dyDescent="0.25">
      <c r="A1096" s="57">
        <f>CRM_MAGDY!H1096</f>
        <v>0</v>
      </c>
      <c r="B1096" s="57">
        <f>CRM_MAGDY!I1096</f>
        <v>0</v>
      </c>
      <c r="C1096" s="57">
        <f>CRM_MAGDY!E1096</f>
        <v>0</v>
      </c>
      <c r="D1096" s="57" t="str">
        <f>CRM_MAGDY!V1096</f>
        <v/>
      </c>
      <c r="E1096" s="57" t="str">
        <f>IF(CRM_MAGDY!G1096="","BRAK TELEFONU",IF(CRM_MAGDY!K1096="","BRAK KWOTY",IF(CRM_MAGDY!N1096="","BRAK STATUSU",IF(CRM_MAGDY!C1096="","BRAK DATY AKCJI",""))))</f>
        <v>BRAK TELEFONU</v>
      </c>
      <c r="F1096" s="57" t="str">
        <f ca="1">CRM_MAGDY!W1096</f>
        <v/>
      </c>
      <c r="G1096" s="57">
        <f>CRM_MAGDY!K1096</f>
        <v>0</v>
      </c>
      <c r="H1096" s="57">
        <f>CRM_MAGDY!N1096</f>
        <v>0</v>
      </c>
    </row>
    <row r="1097" spans="1:8" ht="30" x14ac:dyDescent="0.25">
      <c r="A1097" s="57">
        <f>CRM_MAGDY!H1097</f>
        <v>0</v>
      </c>
      <c r="B1097" s="57">
        <f>CRM_MAGDY!I1097</f>
        <v>0</v>
      </c>
      <c r="C1097" s="57">
        <f>CRM_MAGDY!E1097</f>
        <v>0</v>
      </c>
      <c r="D1097" s="57" t="str">
        <f>CRM_MAGDY!V1097</f>
        <v/>
      </c>
      <c r="E1097" s="57" t="str">
        <f>IF(CRM_MAGDY!G1097="","BRAK TELEFONU",IF(CRM_MAGDY!K1097="","BRAK KWOTY",IF(CRM_MAGDY!N1097="","BRAK STATUSU",IF(CRM_MAGDY!C1097="","BRAK DATY AKCJI",""))))</f>
        <v>BRAK TELEFONU</v>
      </c>
      <c r="F1097" s="57" t="str">
        <f ca="1">CRM_MAGDY!W1097</f>
        <v/>
      </c>
      <c r="G1097" s="57">
        <f>CRM_MAGDY!K1097</f>
        <v>0</v>
      </c>
      <c r="H1097" s="57">
        <f>CRM_MAGDY!N1097</f>
        <v>0</v>
      </c>
    </row>
    <row r="1098" spans="1:8" ht="30" x14ac:dyDescent="0.25">
      <c r="A1098" s="57">
        <f>CRM_MAGDY!H1098</f>
        <v>0</v>
      </c>
      <c r="B1098" s="57">
        <f>CRM_MAGDY!I1098</f>
        <v>0</v>
      </c>
      <c r="C1098" s="57">
        <f>CRM_MAGDY!E1098</f>
        <v>0</v>
      </c>
      <c r="D1098" s="57" t="str">
        <f>CRM_MAGDY!V1098</f>
        <v/>
      </c>
      <c r="E1098" s="57" t="str">
        <f>IF(CRM_MAGDY!G1098="","BRAK TELEFONU",IF(CRM_MAGDY!K1098="","BRAK KWOTY",IF(CRM_MAGDY!N1098="","BRAK STATUSU",IF(CRM_MAGDY!C1098="","BRAK DATY AKCJI",""))))</f>
        <v>BRAK TELEFONU</v>
      </c>
      <c r="F1098" s="57" t="str">
        <f ca="1">CRM_MAGDY!W1098</f>
        <v/>
      </c>
      <c r="G1098" s="57">
        <f>CRM_MAGDY!K1098</f>
        <v>0</v>
      </c>
      <c r="H1098" s="57">
        <f>CRM_MAGDY!N1098</f>
        <v>0</v>
      </c>
    </row>
    <row r="1099" spans="1:8" ht="30" x14ac:dyDescent="0.25">
      <c r="A1099" s="57">
        <f>CRM_MAGDY!H1099</f>
        <v>0</v>
      </c>
      <c r="B1099" s="57">
        <f>CRM_MAGDY!I1099</f>
        <v>0</v>
      </c>
      <c r="C1099" s="57">
        <f>CRM_MAGDY!E1099</f>
        <v>0</v>
      </c>
      <c r="D1099" s="57" t="str">
        <f>CRM_MAGDY!V1099</f>
        <v/>
      </c>
      <c r="E1099" s="57" t="str">
        <f>IF(CRM_MAGDY!G1099="","BRAK TELEFONU",IF(CRM_MAGDY!K1099="","BRAK KWOTY",IF(CRM_MAGDY!N1099="","BRAK STATUSU",IF(CRM_MAGDY!C1099="","BRAK DATY AKCJI",""))))</f>
        <v>BRAK TELEFONU</v>
      </c>
      <c r="F1099" s="57" t="str">
        <f ca="1">CRM_MAGDY!W1099</f>
        <v/>
      </c>
      <c r="G1099" s="57">
        <f>CRM_MAGDY!K1099</f>
        <v>0</v>
      </c>
      <c r="H1099" s="57">
        <f>CRM_MAGDY!N1099</f>
        <v>0</v>
      </c>
    </row>
    <row r="1100" spans="1:8" ht="30" x14ac:dyDescent="0.25">
      <c r="A1100" s="57">
        <f>CRM_MAGDY!H1100</f>
        <v>0</v>
      </c>
      <c r="B1100" s="57">
        <f>CRM_MAGDY!I1100</f>
        <v>0</v>
      </c>
      <c r="C1100" s="57">
        <f>CRM_MAGDY!E1100</f>
        <v>0</v>
      </c>
      <c r="D1100" s="57" t="str">
        <f>CRM_MAGDY!V1100</f>
        <v/>
      </c>
      <c r="E1100" s="57" t="str">
        <f>IF(CRM_MAGDY!G1100="","BRAK TELEFONU",IF(CRM_MAGDY!K1100="","BRAK KWOTY",IF(CRM_MAGDY!N1100="","BRAK STATUSU",IF(CRM_MAGDY!C1100="","BRAK DATY AKCJI",""))))</f>
        <v>BRAK TELEFONU</v>
      </c>
      <c r="F1100" s="57" t="str">
        <f ca="1">CRM_MAGDY!W1100</f>
        <v/>
      </c>
      <c r="G1100" s="57">
        <f>CRM_MAGDY!K1100</f>
        <v>0</v>
      </c>
      <c r="H1100" s="57">
        <f>CRM_MAGDY!N1100</f>
        <v>0</v>
      </c>
    </row>
    <row r="1101" spans="1:8" ht="30" x14ac:dyDescent="0.25">
      <c r="A1101" s="57">
        <f>CRM_MAGDY!H1101</f>
        <v>0</v>
      </c>
      <c r="B1101" s="57">
        <f>CRM_MAGDY!I1101</f>
        <v>0</v>
      </c>
      <c r="C1101" s="57">
        <f>CRM_MAGDY!E1101</f>
        <v>0</v>
      </c>
      <c r="D1101" s="57" t="str">
        <f>CRM_MAGDY!V1101</f>
        <v/>
      </c>
      <c r="E1101" s="57" t="str">
        <f>IF(CRM_MAGDY!G1101="","BRAK TELEFONU",IF(CRM_MAGDY!K1101="","BRAK KWOTY",IF(CRM_MAGDY!N1101="","BRAK STATUSU",IF(CRM_MAGDY!C1101="","BRAK DATY AKCJI",""))))</f>
        <v>BRAK TELEFONU</v>
      </c>
      <c r="F1101" s="57" t="str">
        <f ca="1">CRM_MAGDY!W1101</f>
        <v/>
      </c>
      <c r="G1101" s="57">
        <f>CRM_MAGDY!K1101</f>
        <v>0</v>
      </c>
      <c r="H1101" s="57">
        <f>CRM_MAGDY!N1101</f>
        <v>0</v>
      </c>
    </row>
    <row r="1102" spans="1:8" ht="30" x14ac:dyDescent="0.25">
      <c r="A1102" s="57">
        <f>CRM_MAGDY!H1102</f>
        <v>0</v>
      </c>
      <c r="B1102" s="57">
        <f>CRM_MAGDY!I1102</f>
        <v>0</v>
      </c>
      <c r="C1102" s="57">
        <f>CRM_MAGDY!E1102</f>
        <v>0</v>
      </c>
      <c r="D1102" s="57" t="str">
        <f>CRM_MAGDY!V1102</f>
        <v/>
      </c>
      <c r="E1102" s="57" t="str">
        <f>IF(CRM_MAGDY!G1102="","BRAK TELEFONU",IF(CRM_MAGDY!K1102="","BRAK KWOTY",IF(CRM_MAGDY!N1102="","BRAK STATUSU",IF(CRM_MAGDY!C1102="","BRAK DATY AKCJI",""))))</f>
        <v>BRAK TELEFONU</v>
      </c>
      <c r="F1102" s="57" t="str">
        <f ca="1">CRM_MAGDY!W1102</f>
        <v/>
      </c>
      <c r="G1102" s="57">
        <f>CRM_MAGDY!K1102</f>
        <v>0</v>
      </c>
      <c r="H1102" s="57">
        <f>CRM_MAGDY!N1102</f>
        <v>0</v>
      </c>
    </row>
    <row r="1103" spans="1:8" ht="30" x14ac:dyDescent="0.25">
      <c r="A1103" s="57">
        <f>CRM_MAGDY!H1103</f>
        <v>0</v>
      </c>
      <c r="B1103" s="57">
        <f>CRM_MAGDY!I1103</f>
        <v>0</v>
      </c>
      <c r="C1103" s="57">
        <f>CRM_MAGDY!E1103</f>
        <v>0</v>
      </c>
      <c r="D1103" s="57" t="str">
        <f>CRM_MAGDY!V1103</f>
        <v/>
      </c>
      <c r="E1103" s="57" t="str">
        <f>IF(CRM_MAGDY!G1103="","BRAK TELEFONU",IF(CRM_MAGDY!K1103="","BRAK KWOTY",IF(CRM_MAGDY!N1103="","BRAK STATUSU",IF(CRM_MAGDY!C1103="","BRAK DATY AKCJI",""))))</f>
        <v>BRAK TELEFONU</v>
      </c>
      <c r="F1103" s="57" t="str">
        <f ca="1">CRM_MAGDY!W1103</f>
        <v/>
      </c>
      <c r="G1103" s="57">
        <f>CRM_MAGDY!K1103</f>
        <v>0</v>
      </c>
      <c r="H1103" s="57">
        <f>CRM_MAGDY!N1103</f>
        <v>0</v>
      </c>
    </row>
    <row r="1104" spans="1:8" ht="30" x14ac:dyDescent="0.25">
      <c r="A1104" s="57">
        <f>CRM_MAGDY!H1104</f>
        <v>0</v>
      </c>
      <c r="B1104" s="57">
        <f>CRM_MAGDY!I1104</f>
        <v>0</v>
      </c>
      <c r="C1104" s="57">
        <f>CRM_MAGDY!E1104</f>
        <v>0</v>
      </c>
      <c r="D1104" s="57" t="str">
        <f>CRM_MAGDY!V1104</f>
        <v/>
      </c>
      <c r="E1104" s="57" t="str">
        <f>IF(CRM_MAGDY!G1104="","BRAK TELEFONU",IF(CRM_MAGDY!K1104="","BRAK KWOTY",IF(CRM_MAGDY!N1104="","BRAK STATUSU",IF(CRM_MAGDY!C1104="","BRAK DATY AKCJI",""))))</f>
        <v>BRAK TELEFONU</v>
      </c>
      <c r="F1104" s="57" t="str">
        <f ca="1">CRM_MAGDY!W1104</f>
        <v/>
      </c>
      <c r="G1104" s="57">
        <f>CRM_MAGDY!K1104</f>
        <v>0</v>
      </c>
      <c r="H1104" s="57">
        <f>CRM_MAGDY!N1104</f>
        <v>0</v>
      </c>
    </row>
    <row r="1105" spans="1:8" ht="30" x14ac:dyDescent="0.25">
      <c r="A1105" s="57">
        <f>CRM_MAGDY!H1105</f>
        <v>0</v>
      </c>
      <c r="B1105" s="57">
        <f>CRM_MAGDY!I1105</f>
        <v>0</v>
      </c>
      <c r="C1105" s="57">
        <f>CRM_MAGDY!E1105</f>
        <v>0</v>
      </c>
      <c r="D1105" s="57" t="str">
        <f>CRM_MAGDY!V1105</f>
        <v/>
      </c>
      <c r="E1105" s="57" t="str">
        <f>IF(CRM_MAGDY!G1105="","BRAK TELEFONU",IF(CRM_MAGDY!K1105="","BRAK KWOTY",IF(CRM_MAGDY!N1105="","BRAK STATUSU",IF(CRM_MAGDY!C1105="","BRAK DATY AKCJI",""))))</f>
        <v>BRAK TELEFONU</v>
      </c>
      <c r="F1105" s="57" t="str">
        <f ca="1">CRM_MAGDY!W1105</f>
        <v/>
      </c>
      <c r="G1105" s="57">
        <f>CRM_MAGDY!K1105</f>
        <v>0</v>
      </c>
      <c r="H1105" s="57">
        <f>CRM_MAGDY!N1105</f>
        <v>0</v>
      </c>
    </row>
    <row r="1106" spans="1:8" ht="30" x14ac:dyDescent="0.25">
      <c r="A1106" s="57">
        <f>CRM_MAGDY!H1106</f>
        <v>0</v>
      </c>
      <c r="B1106" s="57">
        <f>CRM_MAGDY!I1106</f>
        <v>0</v>
      </c>
      <c r="C1106" s="57">
        <f>CRM_MAGDY!E1106</f>
        <v>0</v>
      </c>
      <c r="D1106" s="57" t="str">
        <f>CRM_MAGDY!V1106</f>
        <v/>
      </c>
      <c r="E1106" s="57" t="str">
        <f>IF(CRM_MAGDY!G1106="","BRAK TELEFONU",IF(CRM_MAGDY!K1106="","BRAK KWOTY",IF(CRM_MAGDY!N1106="","BRAK STATUSU",IF(CRM_MAGDY!C1106="","BRAK DATY AKCJI",""))))</f>
        <v>BRAK TELEFONU</v>
      </c>
      <c r="F1106" s="57" t="str">
        <f ca="1">CRM_MAGDY!W1106</f>
        <v/>
      </c>
      <c r="G1106" s="57">
        <f>CRM_MAGDY!K1106</f>
        <v>0</v>
      </c>
      <c r="H1106" s="57">
        <f>CRM_MAGDY!N1106</f>
        <v>0</v>
      </c>
    </row>
    <row r="1107" spans="1:8" ht="30" x14ac:dyDescent="0.25">
      <c r="A1107" s="57">
        <f>CRM_MAGDY!H1107</f>
        <v>0</v>
      </c>
      <c r="B1107" s="57">
        <f>CRM_MAGDY!I1107</f>
        <v>0</v>
      </c>
      <c r="C1107" s="57">
        <f>CRM_MAGDY!E1107</f>
        <v>0</v>
      </c>
      <c r="D1107" s="57" t="str">
        <f>CRM_MAGDY!V1107</f>
        <v/>
      </c>
      <c r="E1107" s="57" t="str">
        <f>IF(CRM_MAGDY!G1107="","BRAK TELEFONU",IF(CRM_MAGDY!K1107="","BRAK KWOTY",IF(CRM_MAGDY!N1107="","BRAK STATUSU",IF(CRM_MAGDY!C1107="","BRAK DATY AKCJI",""))))</f>
        <v>BRAK TELEFONU</v>
      </c>
      <c r="F1107" s="57" t="str">
        <f ca="1">CRM_MAGDY!W1107</f>
        <v/>
      </c>
      <c r="G1107" s="57">
        <f>CRM_MAGDY!K1107</f>
        <v>0</v>
      </c>
      <c r="H1107" s="57">
        <f>CRM_MAGDY!N1107</f>
        <v>0</v>
      </c>
    </row>
    <row r="1108" spans="1:8" ht="30" x14ac:dyDescent="0.25">
      <c r="A1108" s="57">
        <f>CRM_MAGDY!H1108</f>
        <v>0</v>
      </c>
      <c r="B1108" s="57">
        <f>CRM_MAGDY!I1108</f>
        <v>0</v>
      </c>
      <c r="C1108" s="57">
        <f>CRM_MAGDY!E1108</f>
        <v>0</v>
      </c>
      <c r="D1108" s="57" t="str">
        <f>CRM_MAGDY!V1108</f>
        <v/>
      </c>
      <c r="E1108" s="57" t="str">
        <f>IF(CRM_MAGDY!G1108="","BRAK TELEFONU",IF(CRM_MAGDY!K1108="","BRAK KWOTY",IF(CRM_MAGDY!N1108="","BRAK STATUSU",IF(CRM_MAGDY!C1108="","BRAK DATY AKCJI",""))))</f>
        <v>BRAK TELEFONU</v>
      </c>
      <c r="F1108" s="57" t="str">
        <f ca="1">CRM_MAGDY!W1108</f>
        <v/>
      </c>
      <c r="G1108" s="57">
        <f>CRM_MAGDY!K1108</f>
        <v>0</v>
      </c>
      <c r="H1108" s="57">
        <f>CRM_MAGDY!N1108</f>
        <v>0</v>
      </c>
    </row>
    <row r="1109" spans="1:8" ht="30" x14ac:dyDescent="0.25">
      <c r="A1109" s="57">
        <f>CRM_MAGDY!H1109</f>
        <v>0</v>
      </c>
      <c r="B1109" s="57">
        <f>CRM_MAGDY!I1109</f>
        <v>0</v>
      </c>
      <c r="C1109" s="57">
        <f>CRM_MAGDY!E1109</f>
        <v>0</v>
      </c>
      <c r="D1109" s="57" t="str">
        <f>CRM_MAGDY!V1109</f>
        <v/>
      </c>
      <c r="E1109" s="57" t="str">
        <f>IF(CRM_MAGDY!G1109="","BRAK TELEFONU",IF(CRM_MAGDY!K1109="","BRAK KWOTY",IF(CRM_MAGDY!N1109="","BRAK STATUSU",IF(CRM_MAGDY!C1109="","BRAK DATY AKCJI",""))))</f>
        <v>BRAK TELEFONU</v>
      </c>
      <c r="F1109" s="57" t="str">
        <f ca="1">CRM_MAGDY!W1109</f>
        <v/>
      </c>
      <c r="G1109" s="57">
        <f>CRM_MAGDY!K1109</f>
        <v>0</v>
      </c>
      <c r="H1109" s="57">
        <f>CRM_MAGDY!N1109</f>
        <v>0</v>
      </c>
    </row>
    <row r="1110" spans="1:8" ht="30" x14ac:dyDescent="0.25">
      <c r="A1110" s="57">
        <f>CRM_MAGDY!H1110</f>
        <v>0</v>
      </c>
      <c r="B1110" s="57">
        <f>CRM_MAGDY!I1110</f>
        <v>0</v>
      </c>
      <c r="C1110" s="57">
        <f>CRM_MAGDY!E1110</f>
        <v>0</v>
      </c>
      <c r="D1110" s="57" t="str">
        <f>CRM_MAGDY!V1110</f>
        <v/>
      </c>
      <c r="E1110" s="57" t="str">
        <f>IF(CRM_MAGDY!G1110="","BRAK TELEFONU",IF(CRM_MAGDY!K1110="","BRAK KWOTY",IF(CRM_MAGDY!N1110="","BRAK STATUSU",IF(CRM_MAGDY!C1110="","BRAK DATY AKCJI",""))))</f>
        <v>BRAK TELEFONU</v>
      </c>
      <c r="F1110" s="57" t="str">
        <f ca="1">CRM_MAGDY!W1110</f>
        <v/>
      </c>
      <c r="G1110" s="57">
        <f>CRM_MAGDY!K1110</f>
        <v>0</v>
      </c>
      <c r="H1110" s="57">
        <f>CRM_MAGDY!N1110</f>
        <v>0</v>
      </c>
    </row>
    <row r="1111" spans="1:8" ht="30" x14ac:dyDescent="0.25">
      <c r="A1111" s="57">
        <f>CRM_MAGDY!H1111</f>
        <v>0</v>
      </c>
      <c r="B1111" s="57">
        <f>CRM_MAGDY!I1111</f>
        <v>0</v>
      </c>
      <c r="C1111" s="57">
        <f>CRM_MAGDY!E1111</f>
        <v>0</v>
      </c>
      <c r="D1111" s="57" t="str">
        <f>CRM_MAGDY!V1111</f>
        <v/>
      </c>
      <c r="E1111" s="57" t="str">
        <f>IF(CRM_MAGDY!G1111="","BRAK TELEFONU",IF(CRM_MAGDY!K1111="","BRAK KWOTY",IF(CRM_MAGDY!N1111="","BRAK STATUSU",IF(CRM_MAGDY!C1111="","BRAK DATY AKCJI",""))))</f>
        <v>BRAK TELEFONU</v>
      </c>
      <c r="F1111" s="57" t="str">
        <f ca="1">CRM_MAGDY!W1111</f>
        <v/>
      </c>
      <c r="G1111" s="57">
        <f>CRM_MAGDY!K1111</f>
        <v>0</v>
      </c>
      <c r="H1111" s="57">
        <f>CRM_MAGDY!N1111</f>
        <v>0</v>
      </c>
    </row>
    <row r="1112" spans="1:8" ht="30" x14ac:dyDescent="0.25">
      <c r="A1112" s="57">
        <f>CRM_MAGDY!H1112</f>
        <v>0</v>
      </c>
      <c r="B1112" s="57">
        <f>CRM_MAGDY!I1112</f>
        <v>0</v>
      </c>
      <c r="C1112" s="57">
        <f>CRM_MAGDY!E1112</f>
        <v>0</v>
      </c>
      <c r="D1112" s="57" t="str">
        <f>CRM_MAGDY!V1112</f>
        <v/>
      </c>
      <c r="E1112" s="57" t="str">
        <f>IF(CRM_MAGDY!G1112="","BRAK TELEFONU",IF(CRM_MAGDY!K1112="","BRAK KWOTY",IF(CRM_MAGDY!N1112="","BRAK STATUSU",IF(CRM_MAGDY!C1112="","BRAK DATY AKCJI",""))))</f>
        <v>BRAK TELEFONU</v>
      </c>
      <c r="F1112" s="57" t="str">
        <f ca="1">CRM_MAGDY!W1112</f>
        <v/>
      </c>
      <c r="G1112" s="57">
        <f>CRM_MAGDY!K1112</f>
        <v>0</v>
      </c>
      <c r="H1112" s="57">
        <f>CRM_MAGDY!N1112</f>
        <v>0</v>
      </c>
    </row>
    <row r="1113" spans="1:8" ht="30" x14ac:dyDescent="0.25">
      <c r="A1113" s="57">
        <f>CRM_MAGDY!H1113</f>
        <v>0</v>
      </c>
      <c r="B1113" s="57">
        <f>CRM_MAGDY!I1113</f>
        <v>0</v>
      </c>
      <c r="C1113" s="57">
        <f>CRM_MAGDY!E1113</f>
        <v>0</v>
      </c>
      <c r="D1113" s="57" t="str">
        <f>CRM_MAGDY!V1113</f>
        <v/>
      </c>
      <c r="E1113" s="57" t="str">
        <f>IF(CRM_MAGDY!G1113="","BRAK TELEFONU",IF(CRM_MAGDY!K1113="","BRAK KWOTY",IF(CRM_MAGDY!N1113="","BRAK STATUSU",IF(CRM_MAGDY!C1113="","BRAK DATY AKCJI",""))))</f>
        <v>BRAK TELEFONU</v>
      </c>
      <c r="F1113" s="57" t="str">
        <f ca="1">CRM_MAGDY!W1113</f>
        <v/>
      </c>
      <c r="G1113" s="57">
        <f>CRM_MAGDY!K1113</f>
        <v>0</v>
      </c>
      <c r="H1113" s="57">
        <f>CRM_MAGDY!N1113</f>
        <v>0</v>
      </c>
    </row>
    <row r="1114" spans="1:8" ht="30" x14ac:dyDescent="0.25">
      <c r="A1114" s="57">
        <f>CRM_MAGDY!H1114</f>
        <v>0</v>
      </c>
      <c r="B1114" s="57">
        <f>CRM_MAGDY!I1114</f>
        <v>0</v>
      </c>
      <c r="C1114" s="57">
        <f>CRM_MAGDY!E1114</f>
        <v>0</v>
      </c>
      <c r="D1114" s="57" t="str">
        <f>CRM_MAGDY!V1114</f>
        <v/>
      </c>
      <c r="E1114" s="57" t="str">
        <f>IF(CRM_MAGDY!G1114="","BRAK TELEFONU",IF(CRM_MAGDY!K1114="","BRAK KWOTY",IF(CRM_MAGDY!N1114="","BRAK STATUSU",IF(CRM_MAGDY!C1114="","BRAK DATY AKCJI",""))))</f>
        <v>BRAK TELEFONU</v>
      </c>
      <c r="F1114" s="57" t="str">
        <f ca="1">CRM_MAGDY!W1114</f>
        <v/>
      </c>
      <c r="G1114" s="57">
        <f>CRM_MAGDY!K1114</f>
        <v>0</v>
      </c>
      <c r="H1114" s="57">
        <f>CRM_MAGDY!N1114</f>
        <v>0</v>
      </c>
    </row>
    <row r="1115" spans="1:8" ht="30" x14ac:dyDescent="0.25">
      <c r="A1115" s="57">
        <f>CRM_MAGDY!H1115</f>
        <v>0</v>
      </c>
      <c r="B1115" s="57">
        <f>CRM_MAGDY!I1115</f>
        <v>0</v>
      </c>
      <c r="C1115" s="57">
        <f>CRM_MAGDY!E1115</f>
        <v>0</v>
      </c>
      <c r="D1115" s="57" t="str">
        <f>CRM_MAGDY!V1115</f>
        <v/>
      </c>
      <c r="E1115" s="57" t="str">
        <f>IF(CRM_MAGDY!G1115="","BRAK TELEFONU",IF(CRM_MAGDY!K1115="","BRAK KWOTY",IF(CRM_MAGDY!N1115="","BRAK STATUSU",IF(CRM_MAGDY!C1115="","BRAK DATY AKCJI",""))))</f>
        <v>BRAK TELEFONU</v>
      </c>
      <c r="F1115" s="57" t="str">
        <f ca="1">CRM_MAGDY!W1115</f>
        <v/>
      </c>
      <c r="G1115" s="57">
        <f>CRM_MAGDY!K1115</f>
        <v>0</v>
      </c>
      <c r="H1115" s="57">
        <f>CRM_MAGDY!N1115</f>
        <v>0</v>
      </c>
    </row>
    <row r="1116" spans="1:8" ht="30" x14ac:dyDescent="0.25">
      <c r="A1116" s="57">
        <f>CRM_MAGDY!H1116</f>
        <v>0</v>
      </c>
      <c r="B1116" s="57">
        <f>CRM_MAGDY!I1116</f>
        <v>0</v>
      </c>
      <c r="C1116" s="57">
        <f>CRM_MAGDY!E1116</f>
        <v>0</v>
      </c>
      <c r="D1116" s="57" t="str">
        <f>CRM_MAGDY!V1116</f>
        <v/>
      </c>
      <c r="E1116" s="57" t="str">
        <f>IF(CRM_MAGDY!G1116="","BRAK TELEFONU",IF(CRM_MAGDY!K1116="","BRAK KWOTY",IF(CRM_MAGDY!N1116="","BRAK STATUSU",IF(CRM_MAGDY!C1116="","BRAK DATY AKCJI",""))))</f>
        <v>BRAK TELEFONU</v>
      </c>
      <c r="F1116" s="57" t="str">
        <f ca="1">CRM_MAGDY!W1116</f>
        <v/>
      </c>
      <c r="G1116" s="57">
        <f>CRM_MAGDY!K1116</f>
        <v>0</v>
      </c>
      <c r="H1116" s="57">
        <f>CRM_MAGDY!N1116</f>
        <v>0</v>
      </c>
    </row>
    <row r="1117" spans="1:8" ht="30" x14ac:dyDescent="0.25">
      <c r="A1117" s="57">
        <f>CRM_MAGDY!H1117</f>
        <v>0</v>
      </c>
      <c r="B1117" s="57">
        <f>CRM_MAGDY!I1117</f>
        <v>0</v>
      </c>
      <c r="C1117" s="57">
        <f>CRM_MAGDY!E1117</f>
        <v>0</v>
      </c>
      <c r="D1117" s="57" t="str">
        <f>CRM_MAGDY!V1117</f>
        <v/>
      </c>
      <c r="E1117" s="57" t="str">
        <f>IF(CRM_MAGDY!G1117="","BRAK TELEFONU",IF(CRM_MAGDY!K1117="","BRAK KWOTY",IF(CRM_MAGDY!N1117="","BRAK STATUSU",IF(CRM_MAGDY!C1117="","BRAK DATY AKCJI",""))))</f>
        <v>BRAK TELEFONU</v>
      </c>
      <c r="F1117" s="57" t="str">
        <f ca="1">CRM_MAGDY!W1117</f>
        <v/>
      </c>
      <c r="G1117" s="57">
        <f>CRM_MAGDY!K1117</f>
        <v>0</v>
      </c>
      <c r="H1117" s="57">
        <f>CRM_MAGDY!N1117</f>
        <v>0</v>
      </c>
    </row>
    <row r="1118" spans="1:8" ht="30" x14ac:dyDescent="0.25">
      <c r="A1118" s="57">
        <f>CRM_MAGDY!H1118</f>
        <v>0</v>
      </c>
      <c r="B1118" s="57">
        <f>CRM_MAGDY!I1118</f>
        <v>0</v>
      </c>
      <c r="C1118" s="57">
        <f>CRM_MAGDY!E1118</f>
        <v>0</v>
      </c>
      <c r="D1118" s="57" t="str">
        <f>CRM_MAGDY!V1118</f>
        <v/>
      </c>
      <c r="E1118" s="57" t="str">
        <f>IF(CRM_MAGDY!G1118="","BRAK TELEFONU",IF(CRM_MAGDY!K1118="","BRAK KWOTY",IF(CRM_MAGDY!N1118="","BRAK STATUSU",IF(CRM_MAGDY!C1118="","BRAK DATY AKCJI",""))))</f>
        <v>BRAK TELEFONU</v>
      </c>
      <c r="F1118" s="57" t="str">
        <f ca="1">CRM_MAGDY!W1118</f>
        <v/>
      </c>
      <c r="G1118" s="57">
        <f>CRM_MAGDY!K1118</f>
        <v>0</v>
      </c>
      <c r="H1118" s="57">
        <f>CRM_MAGDY!N1118</f>
        <v>0</v>
      </c>
    </row>
    <row r="1119" spans="1:8" ht="30" x14ac:dyDescent="0.25">
      <c r="A1119" s="57">
        <f>CRM_MAGDY!H1119</f>
        <v>0</v>
      </c>
      <c r="B1119" s="57">
        <f>CRM_MAGDY!I1119</f>
        <v>0</v>
      </c>
      <c r="C1119" s="57">
        <f>CRM_MAGDY!E1119</f>
        <v>0</v>
      </c>
      <c r="D1119" s="57" t="str">
        <f>CRM_MAGDY!V1119</f>
        <v/>
      </c>
      <c r="E1119" s="57" t="str">
        <f>IF(CRM_MAGDY!G1119="","BRAK TELEFONU",IF(CRM_MAGDY!K1119="","BRAK KWOTY",IF(CRM_MAGDY!N1119="","BRAK STATUSU",IF(CRM_MAGDY!C1119="","BRAK DATY AKCJI",""))))</f>
        <v>BRAK TELEFONU</v>
      </c>
      <c r="F1119" s="57" t="str">
        <f ca="1">CRM_MAGDY!W1119</f>
        <v/>
      </c>
      <c r="G1119" s="57">
        <f>CRM_MAGDY!K1119</f>
        <v>0</v>
      </c>
      <c r="H1119" s="57">
        <f>CRM_MAGDY!N1119</f>
        <v>0</v>
      </c>
    </row>
    <row r="1120" spans="1:8" ht="30" x14ac:dyDescent="0.25">
      <c r="A1120" s="57">
        <f>CRM_MAGDY!H1120</f>
        <v>0</v>
      </c>
      <c r="B1120" s="57">
        <f>CRM_MAGDY!I1120</f>
        <v>0</v>
      </c>
      <c r="C1120" s="57">
        <f>CRM_MAGDY!E1120</f>
        <v>0</v>
      </c>
      <c r="D1120" s="57" t="str">
        <f>CRM_MAGDY!V1120</f>
        <v/>
      </c>
      <c r="E1120" s="57" t="str">
        <f>IF(CRM_MAGDY!G1120="","BRAK TELEFONU",IF(CRM_MAGDY!K1120="","BRAK KWOTY",IF(CRM_MAGDY!N1120="","BRAK STATUSU",IF(CRM_MAGDY!C1120="","BRAK DATY AKCJI",""))))</f>
        <v>BRAK TELEFONU</v>
      </c>
      <c r="F1120" s="57" t="str">
        <f ca="1">CRM_MAGDY!W1120</f>
        <v/>
      </c>
      <c r="G1120" s="57">
        <f>CRM_MAGDY!K1120</f>
        <v>0</v>
      </c>
      <c r="H1120" s="57">
        <f>CRM_MAGDY!N1120</f>
        <v>0</v>
      </c>
    </row>
    <row r="1121" spans="1:8" ht="30" x14ac:dyDescent="0.25">
      <c r="A1121" s="57">
        <f>CRM_MAGDY!H1121</f>
        <v>0</v>
      </c>
      <c r="B1121" s="57">
        <f>CRM_MAGDY!I1121</f>
        <v>0</v>
      </c>
      <c r="C1121" s="57">
        <f>CRM_MAGDY!E1121</f>
        <v>0</v>
      </c>
      <c r="D1121" s="57" t="str">
        <f>CRM_MAGDY!V1121</f>
        <v/>
      </c>
      <c r="E1121" s="57" t="str">
        <f>IF(CRM_MAGDY!G1121="","BRAK TELEFONU",IF(CRM_MAGDY!K1121="","BRAK KWOTY",IF(CRM_MAGDY!N1121="","BRAK STATUSU",IF(CRM_MAGDY!C1121="","BRAK DATY AKCJI",""))))</f>
        <v>BRAK TELEFONU</v>
      </c>
      <c r="F1121" s="57" t="str">
        <f ca="1">CRM_MAGDY!W1121</f>
        <v/>
      </c>
      <c r="G1121" s="57">
        <f>CRM_MAGDY!K1121</f>
        <v>0</v>
      </c>
      <c r="H1121" s="57">
        <f>CRM_MAGDY!N1121</f>
        <v>0</v>
      </c>
    </row>
    <row r="1122" spans="1:8" ht="30" x14ac:dyDescent="0.25">
      <c r="A1122" s="57">
        <f>CRM_MAGDY!H1122</f>
        <v>0</v>
      </c>
      <c r="B1122" s="57">
        <f>CRM_MAGDY!I1122</f>
        <v>0</v>
      </c>
      <c r="C1122" s="57">
        <f>CRM_MAGDY!E1122</f>
        <v>0</v>
      </c>
      <c r="D1122" s="57" t="str">
        <f>CRM_MAGDY!V1122</f>
        <v/>
      </c>
      <c r="E1122" s="57" t="str">
        <f>IF(CRM_MAGDY!G1122="","BRAK TELEFONU",IF(CRM_MAGDY!K1122="","BRAK KWOTY",IF(CRM_MAGDY!N1122="","BRAK STATUSU",IF(CRM_MAGDY!C1122="","BRAK DATY AKCJI",""))))</f>
        <v>BRAK TELEFONU</v>
      </c>
      <c r="F1122" s="57" t="str">
        <f ca="1">CRM_MAGDY!W1122</f>
        <v/>
      </c>
      <c r="G1122" s="57">
        <f>CRM_MAGDY!K1122</f>
        <v>0</v>
      </c>
      <c r="H1122" s="57">
        <f>CRM_MAGDY!N1122</f>
        <v>0</v>
      </c>
    </row>
    <row r="1123" spans="1:8" ht="30" x14ac:dyDescent="0.25">
      <c r="A1123" s="57">
        <f>CRM_MAGDY!H1123</f>
        <v>0</v>
      </c>
      <c r="B1123" s="57">
        <f>CRM_MAGDY!I1123</f>
        <v>0</v>
      </c>
      <c r="C1123" s="57">
        <f>CRM_MAGDY!E1123</f>
        <v>0</v>
      </c>
      <c r="D1123" s="57" t="str">
        <f>CRM_MAGDY!V1123</f>
        <v/>
      </c>
      <c r="E1123" s="57" t="str">
        <f>IF(CRM_MAGDY!G1123="","BRAK TELEFONU",IF(CRM_MAGDY!K1123="","BRAK KWOTY",IF(CRM_MAGDY!N1123="","BRAK STATUSU",IF(CRM_MAGDY!C1123="","BRAK DATY AKCJI",""))))</f>
        <v>BRAK TELEFONU</v>
      </c>
      <c r="F1123" s="57" t="str">
        <f ca="1">CRM_MAGDY!W1123</f>
        <v/>
      </c>
      <c r="G1123" s="57">
        <f>CRM_MAGDY!K1123</f>
        <v>0</v>
      </c>
      <c r="H1123" s="57">
        <f>CRM_MAGDY!N1123</f>
        <v>0</v>
      </c>
    </row>
    <row r="1124" spans="1:8" ht="30" x14ac:dyDescent="0.25">
      <c r="A1124" s="57">
        <f>CRM_MAGDY!H1124</f>
        <v>0</v>
      </c>
      <c r="B1124" s="57">
        <f>CRM_MAGDY!I1124</f>
        <v>0</v>
      </c>
      <c r="C1124" s="57">
        <f>CRM_MAGDY!E1124</f>
        <v>0</v>
      </c>
      <c r="D1124" s="57" t="str">
        <f>CRM_MAGDY!V1124</f>
        <v/>
      </c>
      <c r="E1124" s="57" t="str">
        <f>IF(CRM_MAGDY!G1124="","BRAK TELEFONU",IF(CRM_MAGDY!K1124="","BRAK KWOTY",IF(CRM_MAGDY!N1124="","BRAK STATUSU",IF(CRM_MAGDY!C1124="","BRAK DATY AKCJI",""))))</f>
        <v>BRAK TELEFONU</v>
      </c>
      <c r="F1124" s="57" t="str">
        <f ca="1">CRM_MAGDY!W1124</f>
        <v/>
      </c>
      <c r="G1124" s="57">
        <f>CRM_MAGDY!K1124</f>
        <v>0</v>
      </c>
      <c r="H1124" s="57">
        <f>CRM_MAGDY!N1124</f>
        <v>0</v>
      </c>
    </row>
    <row r="1125" spans="1:8" ht="30" x14ac:dyDescent="0.25">
      <c r="A1125" s="57">
        <f>CRM_MAGDY!H1125</f>
        <v>0</v>
      </c>
      <c r="B1125" s="57">
        <f>CRM_MAGDY!I1125</f>
        <v>0</v>
      </c>
      <c r="C1125" s="57">
        <f>CRM_MAGDY!E1125</f>
        <v>0</v>
      </c>
      <c r="D1125" s="57" t="str">
        <f>CRM_MAGDY!V1125</f>
        <v/>
      </c>
      <c r="E1125" s="57" t="str">
        <f>IF(CRM_MAGDY!G1125="","BRAK TELEFONU",IF(CRM_MAGDY!K1125="","BRAK KWOTY",IF(CRM_MAGDY!N1125="","BRAK STATUSU",IF(CRM_MAGDY!C1125="","BRAK DATY AKCJI",""))))</f>
        <v>BRAK TELEFONU</v>
      </c>
      <c r="F1125" s="57" t="str">
        <f ca="1">CRM_MAGDY!W1125</f>
        <v/>
      </c>
      <c r="G1125" s="57">
        <f>CRM_MAGDY!K1125</f>
        <v>0</v>
      </c>
      <c r="H1125" s="57">
        <f>CRM_MAGDY!N1125</f>
        <v>0</v>
      </c>
    </row>
    <row r="1126" spans="1:8" ht="30" x14ac:dyDescent="0.25">
      <c r="A1126" s="57">
        <f>CRM_MAGDY!H1126</f>
        <v>0</v>
      </c>
      <c r="B1126" s="57">
        <f>CRM_MAGDY!I1126</f>
        <v>0</v>
      </c>
      <c r="C1126" s="57">
        <f>CRM_MAGDY!E1126</f>
        <v>0</v>
      </c>
      <c r="D1126" s="57" t="str">
        <f>CRM_MAGDY!V1126</f>
        <v/>
      </c>
      <c r="E1126" s="57" t="str">
        <f>IF(CRM_MAGDY!G1126="","BRAK TELEFONU",IF(CRM_MAGDY!K1126="","BRAK KWOTY",IF(CRM_MAGDY!N1126="","BRAK STATUSU",IF(CRM_MAGDY!C1126="","BRAK DATY AKCJI",""))))</f>
        <v>BRAK TELEFONU</v>
      </c>
      <c r="F1126" s="57" t="str">
        <f ca="1">CRM_MAGDY!W1126</f>
        <v/>
      </c>
      <c r="G1126" s="57">
        <f>CRM_MAGDY!K1126</f>
        <v>0</v>
      </c>
      <c r="H1126" s="57">
        <f>CRM_MAGDY!N1126</f>
        <v>0</v>
      </c>
    </row>
    <row r="1127" spans="1:8" ht="30" x14ac:dyDescent="0.25">
      <c r="A1127" s="57">
        <f>CRM_MAGDY!H1127</f>
        <v>0</v>
      </c>
      <c r="B1127" s="57">
        <f>CRM_MAGDY!I1127</f>
        <v>0</v>
      </c>
      <c r="C1127" s="57">
        <f>CRM_MAGDY!E1127</f>
        <v>0</v>
      </c>
      <c r="D1127" s="57" t="str">
        <f>CRM_MAGDY!V1127</f>
        <v/>
      </c>
      <c r="E1127" s="57" t="str">
        <f>IF(CRM_MAGDY!G1127="","BRAK TELEFONU",IF(CRM_MAGDY!K1127="","BRAK KWOTY",IF(CRM_MAGDY!N1127="","BRAK STATUSU",IF(CRM_MAGDY!C1127="","BRAK DATY AKCJI",""))))</f>
        <v>BRAK TELEFONU</v>
      </c>
      <c r="F1127" s="57" t="str">
        <f ca="1">CRM_MAGDY!W1127</f>
        <v/>
      </c>
      <c r="G1127" s="57">
        <f>CRM_MAGDY!K1127</f>
        <v>0</v>
      </c>
      <c r="H1127" s="57">
        <f>CRM_MAGDY!N1127</f>
        <v>0</v>
      </c>
    </row>
    <row r="1128" spans="1:8" ht="30" x14ac:dyDescent="0.25">
      <c r="A1128" s="57">
        <f>CRM_MAGDY!H1128</f>
        <v>0</v>
      </c>
      <c r="B1128" s="57">
        <f>CRM_MAGDY!I1128</f>
        <v>0</v>
      </c>
      <c r="C1128" s="57">
        <f>CRM_MAGDY!E1128</f>
        <v>0</v>
      </c>
      <c r="D1128" s="57" t="str">
        <f>CRM_MAGDY!V1128</f>
        <v/>
      </c>
      <c r="E1128" s="57" t="str">
        <f>IF(CRM_MAGDY!G1128="","BRAK TELEFONU",IF(CRM_MAGDY!K1128="","BRAK KWOTY",IF(CRM_MAGDY!N1128="","BRAK STATUSU",IF(CRM_MAGDY!C1128="","BRAK DATY AKCJI",""))))</f>
        <v>BRAK TELEFONU</v>
      </c>
      <c r="F1128" s="57" t="str">
        <f ca="1">CRM_MAGDY!W1128</f>
        <v/>
      </c>
      <c r="G1128" s="57">
        <f>CRM_MAGDY!K1128</f>
        <v>0</v>
      </c>
      <c r="H1128" s="57">
        <f>CRM_MAGDY!N1128</f>
        <v>0</v>
      </c>
    </row>
    <row r="1129" spans="1:8" ht="30" x14ac:dyDescent="0.25">
      <c r="A1129" s="57">
        <f>CRM_MAGDY!H1129</f>
        <v>0</v>
      </c>
      <c r="B1129" s="57">
        <f>CRM_MAGDY!I1129</f>
        <v>0</v>
      </c>
      <c r="C1129" s="57">
        <f>CRM_MAGDY!E1129</f>
        <v>0</v>
      </c>
      <c r="D1129" s="57" t="str">
        <f>CRM_MAGDY!V1129</f>
        <v/>
      </c>
      <c r="E1129" s="57" t="str">
        <f>IF(CRM_MAGDY!G1129="","BRAK TELEFONU",IF(CRM_MAGDY!K1129="","BRAK KWOTY",IF(CRM_MAGDY!N1129="","BRAK STATUSU",IF(CRM_MAGDY!C1129="","BRAK DATY AKCJI",""))))</f>
        <v>BRAK TELEFONU</v>
      </c>
      <c r="F1129" s="57" t="str">
        <f ca="1">CRM_MAGDY!W1129</f>
        <v/>
      </c>
      <c r="G1129" s="57">
        <f>CRM_MAGDY!K1129</f>
        <v>0</v>
      </c>
      <c r="H1129" s="57">
        <f>CRM_MAGDY!N1129</f>
        <v>0</v>
      </c>
    </row>
    <row r="1130" spans="1:8" ht="30" x14ac:dyDescent="0.25">
      <c r="A1130" s="57">
        <f>CRM_MAGDY!H1130</f>
        <v>0</v>
      </c>
      <c r="B1130" s="57">
        <f>CRM_MAGDY!I1130</f>
        <v>0</v>
      </c>
      <c r="C1130" s="57">
        <f>CRM_MAGDY!E1130</f>
        <v>0</v>
      </c>
      <c r="D1130" s="57" t="str">
        <f>CRM_MAGDY!V1130</f>
        <v/>
      </c>
      <c r="E1130" s="57" t="str">
        <f>IF(CRM_MAGDY!G1130="","BRAK TELEFONU",IF(CRM_MAGDY!K1130="","BRAK KWOTY",IF(CRM_MAGDY!N1130="","BRAK STATUSU",IF(CRM_MAGDY!C1130="","BRAK DATY AKCJI",""))))</f>
        <v>BRAK TELEFONU</v>
      </c>
      <c r="F1130" s="57" t="str">
        <f ca="1">CRM_MAGDY!W1130</f>
        <v/>
      </c>
      <c r="G1130" s="57">
        <f>CRM_MAGDY!K1130</f>
        <v>0</v>
      </c>
      <c r="H1130" s="57">
        <f>CRM_MAGDY!N1130</f>
        <v>0</v>
      </c>
    </row>
    <row r="1131" spans="1:8" ht="30" x14ac:dyDescent="0.25">
      <c r="A1131" s="57">
        <f>CRM_MAGDY!H1131</f>
        <v>0</v>
      </c>
      <c r="B1131" s="57">
        <f>CRM_MAGDY!I1131</f>
        <v>0</v>
      </c>
      <c r="C1131" s="57">
        <f>CRM_MAGDY!E1131</f>
        <v>0</v>
      </c>
      <c r="D1131" s="57" t="str">
        <f>CRM_MAGDY!V1131</f>
        <v/>
      </c>
      <c r="E1131" s="57" t="str">
        <f>IF(CRM_MAGDY!G1131="","BRAK TELEFONU",IF(CRM_MAGDY!K1131="","BRAK KWOTY",IF(CRM_MAGDY!N1131="","BRAK STATUSU",IF(CRM_MAGDY!C1131="","BRAK DATY AKCJI",""))))</f>
        <v>BRAK TELEFONU</v>
      </c>
      <c r="F1131" s="57" t="str">
        <f ca="1">CRM_MAGDY!W1131</f>
        <v/>
      </c>
      <c r="G1131" s="57">
        <f>CRM_MAGDY!K1131</f>
        <v>0</v>
      </c>
      <c r="H1131" s="57">
        <f>CRM_MAGDY!N1131</f>
        <v>0</v>
      </c>
    </row>
    <row r="1132" spans="1:8" ht="30" x14ac:dyDescent="0.25">
      <c r="A1132" s="57">
        <f>CRM_MAGDY!H1132</f>
        <v>0</v>
      </c>
      <c r="B1132" s="57">
        <f>CRM_MAGDY!I1132</f>
        <v>0</v>
      </c>
      <c r="C1132" s="57">
        <f>CRM_MAGDY!E1132</f>
        <v>0</v>
      </c>
      <c r="D1132" s="57" t="str">
        <f>CRM_MAGDY!V1132</f>
        <v/>
      </c>
      <c r="E1132" s="57" t="str">
        <f>IF(CRM_MAGDY!G1132="","BRAK TELEFONU",IF(CRM_MAGDY!K1132="","BRAK KWOTY",IF(CRM_MAGDY!N1132="","BRAK STATUSU",IF(CRM_MAGDY!C1132="","BRAK DATY AKCJI",""))))</f>
        <v>BRAK TELEFONU</v>
      </c>
      <c r="F1132" s="57" t="str">
        <f ca="1">CRM_MAGDY!W1132</f>
        <v/>
      </c>
      <c r="G1132" s="57">
        <f>CRM_MAGDY!K1132</f>
        <v>0</v>
      </c>
      <c r="H1132" s="57">
        <f>CRM_MAGDY!N1132</f>
        <v>0</v>
      </c>
    </row>
    <row r="1133" spans="1:8" ht="30" x14ac:dyDescent="0.25">
      <c r="A1133" s="57">
        <f>CRM_MAGDY!H1133</f>
        <v>0</v>
      </c>
      <c r="B1133" s="57">
        <f>CRM_MAGDY!I1133</f>
        <v>0</v>
      </c>
      <c r="C1133" s="57">
        <f>CRM_MAGDY!E1133</f>
        <v>0</v>
      </c>
      <c r="D1133" s="57" t="str">
        <f>CRM_MAGDY!V1133</f>
        <v/>
      </c>
      <c r="E1133" s="57" t="str">
        <f>IF(CRM_MAGDY!G1133="","BRAK TELEFONU",IF(CRM_MAGDY!K1133="","BRAK KWOTY",IF(CRM_MAGDY!N1133="","BRAK STATUSU",IF(CRM_MAGDY!C1133="","BRAK DATY AKCJI",""))))</f>
        <v>BRAK TELEFONU</v>
      </c>
      <c r="F1133" s="57" t="str">
        <f ca="1">CRM_MAGDY!W1133</f>
        <v/>
      </c>
      <c r="G1133" s="57">
        <f>CRM_MAGDY!K1133</f>
        <v>0</v>
      </c>
      <c r="H1133" s="57">
        <f>CRM_MAGDY!N1133</f>
        <v>0</v>
      </c>
    </row>
    <row r="1134" spans="1:8" ht="30" x14ac:dyDescent="0.25">
      <c r="A1134" s="57">
        <f>CRM_MAGDY!H1134</f>
        <v>0</v>
      </c>
      <c r="B1134" s="57">
        <f>CRM_MAGDY!I1134</f>
        <v>0</v>
      </c>
      <c r="C1134" s="57">
        <f>CRM_MAGDY!E1134</f>
        <v>0</v>
      </c>
      <c r="D1134" s="57" t="str">
        <f>CRM_MAGDY!V1134</f>
        <v/>
      </c>
      <c r="E1134" s="57" t="str">
        <f>IF(CRM_MAGDY!G1134="","BRAK TELEFONU",IF(CRM_MAGDY!K1134="","BRAK KWOTY",IF(CRM_MAGDY!N1134="","BRAK STATUSU",IF(CRM_MAGDY!C1134="","BRAK DATY AKCJI",""))))</f>
        <v>BRAK TELEFONU</v>
      </c>
      <c r="F1134" s="57" t="str">
        <f ca="1">CRM_MAGDY!W1134</f>
        <v/>
      </c>
      <c r="G1134" s="57">
        <f>CRM_MAGDY!K1134</f>
        <v>0</v>
      </c>
      <c r="H1134" s="57">
        <f>CRM_MAGDY!N1134</f>
        <v>0</v>
      </c>
    </row>
    <row r="1135" spans="1:8" ht="30" x14ac:dyDescent="0.25">
      <c r="A1135" s="57">
        <f>CRM_MAGDY!H1135</f>
        <v>0</v>
      </c>
      <c r="B1135" s="57">
        <f>CRM_MAGDY!I1135</f>
        <v>0</v>
      </c>
      <c r="C1135" s="57">
        <f>CRM_MAGDY!E1135</f>
        <v>0</v>
      </c>
      <c r="D1135" s="57" t="str">
        <f>CRM_MAGDY!V1135</f>
        <v/>
      </c>
      <c r="E1135" s="57" t="str">
        <f>IF(CRM_MAGDY!G1135="","BRAK TELEFONU",IF(CRM_MAGDY!K1135="","BRAK KWOTY",IF(CRM_MAGDY!N1135="","BRAK STATUSU",IF(CRM_MAGDY!C1135="","BRAK DATY AKCJI",""))))</f>
        <v>BRAK TELEFONU</v>
      </c>
      <c r="F1135" s="57" t="str">
        <f ca="1">CRM_MAGDY!W1135</f>
        <v/>
      </c>
      <c r="G1135" s="57">
        <f>CRM_MAGDY!K1135</f>
        <v>0</v>
      </c>
      <c r="H1135" s="57">
        <f>CRM_MAGDY!N1135</f>
        <v>0</v>
      </c>
    </row>
    <row r="1136" spans="1:8" ht="30" x14ac:dyDescent="0.25">
      <c r="A1136" s="57">
        <f>CRM_MAGDY!H1136</f>
        <v>0</v>
      </c>
      <c r="B1136" s="57">
        <f>CRM_MAGDY!I1136</f>
        <v>0</v>
      </c>
      <c r="C1136" s="57">
        <f>CRM_MAGDY!E1136</f>
        <v>0</v>
      </c>
      <c r="D1136" s="57" t="str">
        <f>CRM_MAGDY!V1136</f>
        <v/>
      </c>
      <c r="E1136" s="57" t="str">
        <f>IF(CRM_MAGDY!G1136="","BRAK TELEFONU",IF(CRM_MAGDY!K1136="","BRAK KWOTY",IF(CRM_MAGDY!N1136="","BRAK STATUSU",IF(CRM_MAGDY!C1136="","BRAK DATY AKCJI",""))))</f>
        <v>BRAK TELEFONU</v>
      </c>
      <c r="F1136" s="57" t="str">
        <f ca="1">CRM_MAGDY!W1136</f>
        <v/>
      </c>
      <c r="G1136" s="57">
        <f>CRM_MAGDY!K1136</f>
        <v>0</v>
      </c>
      <c r="H1136" s="57">
        <f>CRM_MAGDY!N1136</f>
        <v>0</v>
      </c>
    </row>
    <row r="1137" spans="1:8" ht="30" x14ac:dyDescent="0.25">
      <c r="A1137" s="57">
        <f>CRM_MAGDY!H1137</f>
        <v>0</v>
      </c>
      <c r="B1137" s="57">
        <f>CRM_MAGDY!I1137</f>
        <v>0</v>
      </c>
      <c r="C1137" s="57">
        <f>CRM_MAGDY!E1137</f>
        <v>0</v>
      </c>
      <c r="D1137" s="57" t="str">
        <f>CRM_MAGDY!V1137</f>
        <v/>
      </c>
      <c r="E1137" s="57" t="str">
        <f>IF(CRM_MAGDY!G1137="","BRAK TELEFONU",IF(CRM_MAGDY!K1137="","BRAK KWOTY",IF(CRM_MAGDY!N1137="","BRAK STATUSU",IF(CRM_MAGDY!C1137="","BRAK DATY AKCJI",""))))</f>
        <v>BRAK TELEFONU</v>
      </c>
      <c r="F1137" s="57" t="str">
        <f ca="1">CRM_MAGDY!W1137</f>
        <v/>
      </c>
      <c r="G1137" s="57">
        <f>CRM_MAGDY!K1137</f>
        <v>0</v>
      </c>
      <c r="H1137" s="57">
        <f>CRM_MAGDY!N1137</f>
        <v>0</v>
      </c>
    </row>
    <row r="1138" spans="1:8" ht="30" x14ac:dyDescent="0.25">
      <c r="A1138" s="57">
        <f>CRM_MAGDY!H1138</f>
        <v>0</v>
      </c>
      <c r="B1138" s="57">
        <f>CRM_MAGDY!I1138</f>
        <v>0</v>
      </c>
      <c r="C1138" s="57">
        <f>CRM_MAGDY!E1138</f>
        <v>0</v>
      </c>
      <c r="D1138" s="57" t="str">
        <f>CRM_MAGDY!V1138</f>
        <v/>
      </c>
      <c r="E1138" s="57" t="str">
        <f>IF(CRM_MAGDY!G1138="","BRAK TELEFONU",IF(CRM_MAGDY!K1138="","BRAK KWOTY",IF(CRM_MAGDY!N1138="","BRAK STATUSU",IF(CRM_MAGDY!C1138="","BRAK DATY AKCJI",""))))</f>
        <v>BRAK TELEFONU</v>
      </c>
      <c r="F1138" s="57" t="str">
        <f ca="1">CRM_MAGDY!W1138</f>
        <v/>
      </c>
      <c r="G1138" s="57">
        <f>CRM_MAGDY!K1138</f>
        <v>0</v>
      </c>
      <c r="H1138" s="57">
        <f>CRM_MAGDY!N1138</f>
        <v>0</v>
      </c>
    </row>
    <row r="1139" spans="1:8" ht="30" x14ac:dyDescent="0.25">
      <c r="A1139" s="57">
        <f>CRM_MAGDY!H1139</f>
        <v>0</v>
      </c>
      <c r="B1139" s="57">
        <f>CRM_MAGDY!I1139</f>
        <v>0</v>
      </c>
      <c r="C1139" s="57">
        <f>CRM_MAGDY!E1139</f>
        <v>0</v>
      </c>
      <c r="D1139" s="57" t="str">
        <f>CRM_MAGDY!V1139</f>
        <v/>
      </c>
      <c r="E1139" s="57" t="str">
        <f>IF(CRM_MAGDY!G1139="","BRAK TELEFONU",IF(CRM_MAGDY!K1139="","BRAK KWOTY",IF(CRM_MAGDY!N1139="","BRAK STATUSU",IF(CRM_MAGDY!C1139="","BRAK DATY AKCJI",""))))</f>
        <v>BRAK TELEFONU</v>
      </c>
      <c r="F1139" s="57" t="str">
        <f ca="1">CRM_MAGDY!W1139</f>
        <v/>
      </c>
      <c r="G1139" s="57">
        <f>CRM_MAGDY!K1139</f>
        <v>0</v>
      </c>
      <c r="H1139" s="57">
        <f>CRM_MAGDY!N1139</f>
        <v>0</v>
      </c>
    </row>
    <row r="1140" spans="1:8" ht="30" x14ac:dyDescent="0.25">
      <c r="A1140" s="57">
        <f>CRM_MAGDY!H1140</f>
        <v>0</v>
      </c>
      <c r="B1140" s="57">
        <f>CRM_MAGDY!I1140</f>
        <v>0</v>
      </c>
      <c r="C1140" s="57">
        <f>CRM_MAGDY!E1140</f>
        <v>0</v>
      </c>
      <c r="D1140" s="57" t="str">
        <f>CRM_MAGDY!V1140</f>
        <v/>
      </c>
      <c r="E1140" s="57" t="str">
        <f>IF(CRM_MAGDY!G1140="","BRAK TELEFONU",IF(CRM_MAGDY!K1140="","BRAK KWOTY",IF(CRM_MAGDY!N1140="","BRAK STATUSU",IF(CRM_MAGDY!C1140="","BRAK DATY AKCJI",""))))</f>
        <v>BRAK TELEFONU</v>
      </c>
      <c r="F1140" s="57" t="str">
        <f ca="1">CRM_MAGDY!W1140</f>
        <v/>
      </c>
      <c r="G1140" s="57">
        <f>CRM_MAGDY!K1140</f>
        <v>0</v>
      </c>
      <c r="H1140" s="57">
        <f>CRM_MAGDY!N1140</f>
        <v>0</v>
      </c>
    </row>
    <row r="1141" spans="1:8" ht="30" x14ac:dyDescent="0.25">
      <c r="A1141" s="57">
        <f>CRM_MAGDY!H1141</f>
        <v>0</v>
      </c>
      <c r="B1141" s="57">
        <f>CRM_MAGDY!I1141</f>
        <v>0</v>
      </c>
      <c r="C1141" s="57">
        <f>CRM_MAGDY!E1141</f>
        <v>0</v>
      </c>
      <c r="D1141" s="57" t="str">
        <f>CRM_MAGDY!V1141</f>
        <v/>
      </c>
      <c r="E1141" s="57" t="str">
        <f>IF(CRM_MAGDY!G1141="","BRAK TELEFONU",IF(CRM_MAGDY!K1141="","BRAK KWOTY",IF(CRM_MAGDY!N1141="","BRAK STATUSU",IF(CRM_MAGDY!C1141="","BRAK DATY AKCJI",""))))</f>
        <v>BRAK TELEFONU</v>
      </c>
      <c r="F1141" s="57" t="str">
        <f ca="1">CRM_MAGDY!W1141</f>
        <v/>
      </c>
      <c r="G1141" s="57">
        <f>CRM_MAGDY!K1141</f>
        <v>0</v>
      </c>
      <c r="H1141" s="57">
        <f>CRM_MAGDY!N1141</f>
        <v>0</v>
      </c>
    </row>
    <row r="1142" spans="1:8" ht="30" x14ac:dyDescent="0.25">
      <c r="A1142" s="57">
        <f>CRM_MAGDY!H1142</f>
        <v>0</v>
      </c>
      <c r="B1142" s="57">
        <f>CRM_MAGDY!I1142</f>
        <v>0</v>
      </c>
      <c r="C1142" s="57">
        <f>CRM_MAGDY!E1142</f>
        <v>0</v>
      </c>
      <c r="D1142" s="57" t="str">
        <f>CRM_MAGDY!V1142</f>
        <v/>
      </c>
      <c r="E1142" s="57" t="str">
        <f>IF(CRM_MAGDY!G1142="","BRAK TELEFONU",IF(CRM_MAGDY!K1142="","BRAK KWOTY",IF(CRM_MAGDY!N1142="","BRAK STATUSU",IF(CRM_MAGDY!C1142="","BRAK DATY AKCJI",""))))</f>
        <v>BRAK TELEFONU</v>
      </c>
      <c r="F1142" s="57" t="str">
        <f ca="1">CRM_MAGDY!W1142</f>
        <v/>
      </c>
      <c r="G1142" s="57">
        <f>CRM_MAGDY!K1142</f>
        <v>0</v>
      </c>
      <c r="H1142" s="57">
        <f>CRM_MAGDY!N1142</f>
        <v>0</v>
      </c>
    </row>
    <row r="1143" spans="1:8" ht="30" x14ac:dyDescent="0.25">
      <c r="A1143" s="57">
        <f>CRM_MAGDY!H1143</f>
        <v>0</v>
      </c>
      <c r="B1143" s="57">
        <f>CRM_MAGDY!I1143</f>
        <v>0</v>
      </c>
      <c r="C1143" s="57">
        <f>CRM_MAGDY!E1143</f>
        <v>0</v>
      </c>
      <c r="D1143" s="57" t="str">
        <f>CRM_MAGDY!V1143</f>
        <v/>
      </c>
      <c r="E1143" s="57" t="str">
        <f>IF(CRM_MAGDY!G1143="","BRAK TELEFONU",IF(CRM_MAGDY!K1143="","BRAK KWOTY",IF(CRM_MAGDY!N1143="","BRAK STATUSU",IF(CRM_MAGDY!C1143="","BRAK DATY AKCJI",""))))</f>
        <v>BRAK TELEFONU</v>
      </c>
      <c r="F1143" s="57" t="str">
        <f ca="1">CRM_MAGDY!W1143</f>
        <v/>
      </c>
      <c r="G1143" s="57">
        <f>CRM_MAGDY!K1143</f>
        <v>0</v>
      </c>
      <c r="H1143" s="57">
        <f>CRM_MAGDY!N1143</f>
        <v>0</v>
      </c>
    </row>
    <row r="1144" spans="1:8" ht="30" x14ac:dyDescent="0.25">
      <c r="A1144" s="57">
        <f>CRM_MAGDY!H1144</f>
        <v>0</v>
      </c>
      <c r="B1144" s="57">
        <f>CRM_MAGDY!I1144</f>
        <v>0</v>
      </c>
      <c r="C1144" s="57">
        <f>CRM_MAGDY!E1144</f>
        <v>0</v>
      </c>
      <c r="D1144" s="57" t="str">
        <f>CRM_MAGDY!V1144</f>
        <v/>
      </c>
      <c r="E1144" s="57" t="str">
        <f>IF(CRM_MAGDY!G1144="","BRAK TELEFONU",IF(CRM_MAGDY!K1144="","BRAK KWOTY",IF(CRM_MAGDY!N1144="","BRAK STATUSU",IF(CRM_MAGDY!C1144="","BRAK DATY AKCJI",""))))</f>
        <v>BRAK TELEFONU</v>
      </c>
      <c r="F1144" s="57" t="str">
        <f ca="1">CRM_MAGDY!W1144</f>
        <v/>
      </c>
      <c r="G1144" s="57">
        <f>CRM_MAGDY!K1144</f>
        <v>0</v>
      </c>
      <c r="H1144" s="57">
        <f>CRM_MAGDY!N1144</f>
        <v>0</v>
      </c>
    </row>
    <row r="1145" spans="1:8" ht="30" x14ac:dyDescent="0.25">
      <c r="A1145" s="57">
        <f>CRM_MAGDY!H1145</f>
        <v>0</v>
      </c>
      <c r="B1145" s="57">
        <f>CRM_MAGDY!I1145</f>
        <v>0</v>
      </c>
      <c r="C1145" s="57">
        <f>CRM_MAGDY!E1145</f>
        <v>0</v>
      </c>
      <c r="D1145" s="57" t="str">
        <f>CRM_MAGDY!V1145</f>
        <v/>
      </c>
      <c r="E1145" s="57" t="str">
        <f>IF(CRM_MAGDY!G1145="","BRAK TELEFONU",IF(CRM_MAGDY!K1145="","BRAK KWOTY",IF(CRM_MAGDY!N1145="","BRAK STATUSU",IF(CRM_MAGDY!C1145="","BRAK DATY AKCJI",""))))</f>
        <v>BRAK TELEFONU</v>
      </c>
      <c r="F1145" s="57" t="str">
        <f ca="1">CRM_MAGDY!W1145</f>
        <v/>
      </c>
      <c r="G1145" s="57">
        <f>CRM_MAGDY!K1145</f>
        <v>0</v>
      </c>
      <c r="H1145" s="57">
        <f>CRM_MAGDY!N1145</f>
        <v>0</v>
      </c>
    </row>
    <row r="1146" spans="1:8" ht="30" x14ac:dyDescent="0.25">
      <c r="A1146" s="57">
        <f>CRM_MAGDY!H1146</f>
        <v>0</v>
      </c>
      <c r="B1146" s="57">
        <f>CRM_MAGDY!I1146</f>
        <v>0</v>
      </c>
      <c r="C1146" s="57">
        <f>CRM_MAGDY!E1146</f>
        <v>0</v>
      </c>
      <c r="D1146" s="57" t="str">
        <f>CRM_MAGDY!V1146</f>
        <v/>
      </c>
      <c r="E1146" s="57" t="str">
        <f>IF(CRM_MAGDY!G1146="","BRAK TELEFONU",IF(CRM_MAGDY!K1146="","BRAK KWOTY",IF(CRM_MAGDY!N1146="","BRAK STATUSU",IF(CRM_MAGDY!C1146="","BRAK DATY AKCJI",""))))</f>
        <v>BRAK TELEFONU</v>
      </c>
      <c r="F1146" s="57" t="str">
        <f ca="1">CRM_MAGDY!W1146</f>
        <v/>
      </c>
      <c r="G1146" s="57">
        <f>CRM_MAGDY!K1146</f>
        <v>0</v>
      </c>
      <c r="H1146" s="57">
        <f>CRM_MAGDY!N1146</f>
        <v>0</v>
      </c>
    </row>
    <row r="1147" spans="1:8" ht="30" x14ac:dyDescent="0.25">
      <c r="A1147" s="57">
        <f>CRM_MAGDY!H1147</f>
        <v>0</v>
      </c>
      <c r="B1147" s="57">
        <f>CRM_MAGDY!I1147</f>
        <v>0</v>
      </c>
      <c r="C1147" s="57">
        <f>CRM_MAGDY!E1147</f>
        <v>0</v>
      </c>
      <c r="D1147" s="57" t="str">
        <f>CRM_MAGDY!V1147</f>
        <v/>
      </c>
      <c r="E1147" s="57" t="str">
        <f>IF(CRM_MAGDY!G1147="","BRAK TELEFONU",IF(CRM_MAGDY!K1147="","BRAK KWOTY",IF(CRM_MAGDY!N1147="","BRAK STATUSU",IF(CRM_MAGDY!C1147="","BRAK DATY AKCJI",""))))</f>
        <v>BRAK TELEFONU</v>
      </c>
      <c r="F1147" s="57" t="str">
        <f ca="1">CRM_MAGDY!W1147</f>
        <v/>
      </c>
      <c r="G1147" s="57">
        <f>CRM_MAGDY!K1147</f>
        <v>0</v>
      </c>
      <c r="H1147" s="57">
        <f>CRM_MAGDY!N1147</f>
        <v>0</v>
      </c>
    </row>
    <row r="1148" spans="1:8" ht="30" x14ac:dyDescent="0.25">
      <c r="A1148" s="57">
        <f>CRM_MAGDY!H1148</f>
        <v>0</v>
      </c>
      <c r="B1148" s="57">
        <f>CRM_MAGDY!I1148</f>
        <v>0</v>
      </c>
      <c r="C1148" s="57">
        <f>CRM_MAGDY!E1148</f>
        <v>0</v>
      </c>
      <c r="D1148" s="57" t="str">
        <f>CRM_MAGDY!V1148</f>
        <v/>
      </c>
      <c r="E1148" s="57" t="str">
        <f>IF(CRM_MAGDY!G1148="","BRAK TELEFONU",IF(CRM_MAGDY!K1148="","BRAK KWOTY",IF(CRM_MAGDY!N1148="","BRAK STATUSU",IF(CRM_MAGDY!C1148="","BRAK DATY AKCJI",""))))</f>
        <v>BRAK TELEFONU</v>
      </c>
      <c r="F1148" s="57" t="str">
        <f ca="1">CRM_MAGDY!W1148</f>
        <v/>
      </c>
      <c r="G1148" s="57">
        <f>CRM_MAGDY!K1148</f>
        <v>0</v>
      </c>
      <c r="H1148" s="57">
        <f>CRM_MAGDY!N1148</f>
        <v>0</v>
      </c>
    </row>
    <row r="1149" spans="1:8" ht="30" x14ac:dyDescent="0.25">
      <c r="A1149" s="57">
        <f>CRM_MAGDY!H1149</f>
        <v>0</v>
      </c>
      <c r="B1149" s="57">
        <f>CRM_MAGDY!I1149</f>
        <v>0</v>
      </c>
      <c r="C1149" s="57">
        <f>CRM_MAGDY!E1149</f>
        <v>0</v>
      </c>
      <c r="D1149" s="57" t="str">
        <f>CRM_MAGDY!V1149</f>
        <v/>
      </c>
      <c r="E1149" s="57" t="str">
        <f>IF(CRM_MAGDY!G1149="","BRAK TELEFONU",IF(CRM_MAGDY!K1149="","BRAK KWOTY",IF(CRM_MAGDY!N1149="","BRAK STATUSU",IF(CRM_MAGDY!C1149="","BRAK DATY AKCJI",""))))</f>
        <v>BRAK TELEFONU</v>
      </c>
      <c r="F1149" s="57" t="str">
        <f ca="1">CRM_MAGDY!W1149</f>
        <v/>
      </c>
      <c r="G1149" s="57">
        <f>CRM_MAGDY!K1149</f>
        <v>0</v>
      </c>
      <c r="H1149" s="57">
        <f>CRM_MAGDY!N1149</f>
        <v>0</v>
      </c>
    </row>
    <row r="1150" spans="1:8" ht="30" x14ac:dyDescent="0.25">
      <c r="A1150" s="57">
        <f>CRM_MAGDY!H1150</f>
        <v>0</v>
      </c>
      <c r="B1150" s="57">
        <f>CRM_MAGDY!I1150</f>
        <v>0</v>
      </c>
      <c r="C1150" s="57">
        <f>CRM_MAGDY!E1150</f>
        <v>0</v>
      </c>
      <c r="D1150" s="57" t="str">
        <f>CRM_MAGDY!V1150</f>
        <v/>
      </c>
      <c r="E1150" s="57" t="str">
        <f>IF(CRM_MAGDY!G1150="","BRAK TELEFONU",IF(CRM_MAGDY!K1150="","BRAK KWOTY",IF(CRM_MAGDY!N1150="","BRAK STATUSU",IF(CRM_MAGDY!C1150="","BRAK DATY AKCJI",""))))</f>
        <v>BRAK TELEFONU</v>
      </c>
      <c r="F1150" s="57" t="str">
        <f ca="1">CRM_MAGDY!W1150</f>
        <v/>
      </c>
      <c r="G1150" s="57">
        <f>CRM_MAGDY!K1150</f>
        <v>0</v>
      </c>
      <c r="H1150" s="57">
        <f>CRM_MAGDY!N1150</f>
        <v>0</v>
      </c>
    </row>
    <row r="1151" spans="1:8" ht="30" x14ac:dyDescent="0.25">
      <c r="A1151" s="57">
        <f>CRM_MAGDY!H1151</f>
        <v>0</v>
      </c>
      <c r="B1151" s="57">
        <f>CRM_MAGDY!I1151</f>
        <v>0</v>
      </c>
      <c r="C1151" s="57">
        <f>CRM_MAGDY!E1151</f>
        <v>0</v>
      </c>
      <c r="D1151" s="57" t="str">
        <f>CRM_MAGDY!V1151</f>
        <v/>
      </c>
      <c r="E1151" s="57" t="str">
        <f>IF(CRM_MAGDY!G1151="","BRAK TELEFONU",IF(CRM_MAGDY!K1151="","BRAK KWOTY",IF(CRM_MAGDY!N1151="","BRAK STATUSU",IF(CRM_MAGDY!C1151="","BRAK DATY AKCJI",""))))</f>
        <v>BRAK TELEFONU</v>
      </c>
      <c r="F1151" s="57" t="str">
        <f ca="1">CRM_MAGDY!W1151</f>
        <v/>
      </c>
      <c r="G1151" s="57">
        <f>CRM_MAGDY!K1151</f>
        <v>0</v>
      </c>
      <c r="H1151" s="57">
        <f>CRM_MAGDY!N1151</f>
        <v>0</v>
      </c>
    </row>
    <row r="1152" spans="1:8" ht="30" x14ac:dyDescent="0.25">
      <c r="A1152" s="57">
        <f>CRM_MAGDY!H1152</f>
        <v>0</v>
      </c>
      <c r="B1152" s="57">
        <f>CRM_MAGDY!I1152</f>
        <v>0</v>
      </c>
      <c r="C1152" s="57">
        <f>CRM_MAGDY!E1152</f>
        <v>0</v>
      </c>
      <c r="D1152" s="57" t="str">
        <f>CRM_MAGDY!V1152</f>
        <v/>
      </c>
      <c r="E1152" s="57" t="str">
        <f>IF(CRM_MAGDY!G1152="","BRAK TELEFONU",IF(CRM_MAGDY!K1152="","BRAK KWOTY",IF(CRM_MAGDY!N1152="","BRAK STATUSU",IF(CRM_MAGDY!C1152="","BRAK DATY AKCJI",""))))</f>
        <v>BRAK TELEFONU</v>
      </c>
      <c r="F1152" s="57" t="str">
        <f ca="1">CRM_MAGDY!W1152</f>
        <v/>
      </c>
      <c r="G1152" s="57">
        <f>CRM_MAGDY!K1152</f>
        <v>0</v>
      </c>
      <c r="H1152" s="57">
        <f>CRM_MAGDY!N1152</f>
        <v>0</v>
      </c>
    </row>
    <row r="1153" spans="1:8" ht="30" x14ac:dyDescent="0.25">
      <c r="A1153" s="57">
        <f>CRM_MAGDY!H1153</f>
        <v>0</v>
      </c>
      <c r="B1153" s="57">
        <f>CRM_MAGDY!I1153</f>
        <v>0</v>
      </c>
      <c r="C1153" s="57">
        <f>CRM_MAGDY!E1153</f>
        <v>0</v>
      </c>
      <c r="D1153" s="57" t="str">
        <f>CRM_MAGDY!V1153</f>
        <v/>
      </c>
      <c r="E1153" s="57" t="str">
        <f>IF(CRM_MAGDY!G1153="","BRAK TELEFONU",IF(CRM_MAGDY!K1153="","BRAK KWOTY",IF(CRM_MAGDY!N1153="","BRAK STATUSU",IF(CRM_MAGDY!C1153="","BRAK DATY AKCJI",""))))</f>
        <v>BRAK TELEFONU</v>
      </c>
      <c r="F1153" s="57" t="str">
        <f ca="1">CRM_MAGDY!W1153</f>
        <v/>
      </c>
      <c r="G1153" s="57">
        <f>CRM_MAGDY!K1153</f>
        <v>0</v>
      </c>
      <c r="H1153" s="57">
        <f>CRM_MAGDY!N1153</f>
        <v>0</v>
      </c>
    </row>
    <row r="1154" spans="1:8" ht="30" x14ac:dyDescent="0.25">
      <c r="A1154" s="57">
        <f>CRM_MAGDY!H1154</f>
        <v>0</v>
      </c>
      <c r="B1154" s="57">
        <f>CRM_MAGDY!I1154</f>
        <v>0</v>
      </c>
      <c r="C1154" s="57">
        <f>CRM_MAGDY!E1154</f>
        <v>0</v>
      </c>
      <c r="D1154" s="57" t="str">
        <f>CRM_MAGDY!V1154</f>
        <v/>
      </c>
      <c r="E1154" s="57" t="str">
        <f>IF(CRM_MAGDY!G1154="","BRAK TELEFONU",IF(CRM_MAGDY!K1154="","BRAK KWOTY",IF(CRM_MAGDY!N1154="","BRAK STATUSU",IF(CRM_MAGDY!C1154="","BRAK DATY AKCJI",""))))</f>
        <v>BRAK TELEFONU</v>
      </c>
      <c r="F1154" s="57" t="str">
        <f ca="1">CRM_MAGDY!W1154</f>
        <v/>
      </c>
      <c r="G1154" s="57">
        <f>CRM_MAGDY!K1154</f>
        <v>0</v>
      </c>
      <c r="H1154" s="57">
        <f>CRM_MAGDY!N1154</f>
        <v>0</v>
      </c>
    </row>
    <row r="1155" spans="1:8" ht="30" x14ac:dyDescent="0.25">
      <c r="A1155" s="57">
        <f>CRM_MAGDY!H1155</f>
        <v>0</v>
      </c>
      <c r="B1155" s="57">
        <f>CRM_MAGDY!I1155</f>
        <v>0</v>
      </c>
      <c r="C1155" s="57">
        <f>CRM_MAGDY!E1155</f>
        <v>0</v>
      </c>
      <c r="D1155" s="57" t="str">
        <f>CRM_MAGDY!V1155</f>
        <v/>
      </c>
      <c r="E1155" s="57" t="str">
        <f>IF(CRM_MAGDY!G1155="","BRAK TELEFONU",IF(CRM_MAGDY!K1155="","BRAK KWOTY",IF(CRM_MAGDY!N1155="","BRAK STATUSU",IF(CRM_MAGDY!C1155="","BRAK DATY AKCJI",""))))</f>
        <v>BRAK TELEFONU</v>
      </c>
      <c r="F1155" s="57" t="str">
        <f ca="1">CRM_MAGDY!W1155</f>
        <v/>
      </c>
      <c r="G1155" s="57">
        <f>CRM_MAGDY!K1155</f>
        <v>0</v>
      </c>
      <c r="H1155" s="57">
        <f>CRM_MAGDY!N1155</f>
        <v>0</v>
      </c>
    </row>
    <row r="1156" spans="1:8" ht="30" x14ac:dyDescent="0.25">
      <c r="A1156" s="57">
        <f>CRM_MAGDY!H1156</f>
        <v>0</v>
      </c>
      <c r="B1156" s="57">
        <f>CRM_MAGDY!I1156</f>
        <v>0</v>
      </c>
      <c r="C1156" s="57">
        <f>CRM_MAGDY!E1156</f>
        <v>0</v>
      </c>
      <c r="D1156" s="57" t="str">
        <f>CRM_MAGDY!V1156</f>
        <v/>
      </c>
      <c r="E1156" s="57" t="str">
        <f>IF(CRM_MAGDY!G1156="","BRAK TELEFONU",IF(CRM_MAGDY!K1156="","BRAK KWOTY",IF(CRM_MAGDY!N1156="","BRAK STATUSU",IF(CRM_MAGDY!C1156="","BRAK DATY AKCJI",""))))</f>
        <v>BRAK TELEFONU</v>
      </c>
      <c r="F1156" s="57" t="str">
        <f ca="1">CRM_MAGDY!W1156</f>
        <v/>
      </c>
      <c r="G1156" s="57">
        <f>CRM_MAGDY!K1156</f>
        <v>0</v>
      </c>
      <c r="H1156" s="57">
        <f>CRM_MAGDY!N1156</f>
        <v>0</v>
      </c>
    </row>
    <row r="1157" spans="1:8" ht="30" x14ac:dyDescent="0.25">
      <c r="A1157" s="57">
        <f>CRM_MAGDY!H1157</f>
        <v>0</v>
      </c>
      <c r="B1157" s="57">
        <f>CRM_MAGDY!I1157</f>
        <v>0</v>
      </c>
      <c r="C1157" s="57">
        <f>CRM_MAGDY!E1157</f>
        <v>0</v>
      </c>
      <c r="D1157" s="57" t="str">
        <f>CRM_MAGDY!V1157</f>
        <v/>
      </c>
      <c r="E1157" s="57" t="str">
        <f>IF(CRM_MAGDY!G1157="","BRAK TELEFONU",IF(CRM_MAGDY!K1157="","BRAK KWOTY",IF(CRM_MAGDY!N1157="","BRAK STATUSU",IF(CRM_MAGDY!C1157="","BRAK DATY AKCJI",""))))</f>
        <v>BRAK TELEFONU</v>
      </c>
      <c r="F1157" s="57" t="str">
        <f ca="1">CRM_MAGDY!W1157</f>
        <v/>
      </c>
      <c r="G1157" s="57">
        <f>CRM_MAGDY!K1157</f>
        <v>0</v>
      </c>
      <c r="H1157" s="57">
        <f>CRM_MAGDY!N1157</f>
        <v>0</v>
      </c>
    </row>
    <row r="1158" spans="1:8" ht="30" x14ac:dyDescent="0.25">
      <c r="A1158" s="57">
        <f>CRM_MAGDY!H1158</f>
        <v>0</v>
      </c>
      <c r="B1158" s="57">
        <f>CRM_MAGDY!I1158</f>
        <v>0</v>
      </c>
      <c r="C1158" s="57">
        <f>CRM_MAGDY!E1158</f>
        <v>0</v>
      </c>
      <c r="D1158" s="57" t="str">
        <f>CRM_MAGDY!V1158</f>
        <v/>
      </c>
      <c r="E1158" s="57" t="str">
        <f>IF(CRM_MAGDY!G1158="","BRAK TELEFONU",IF(CRM_MAGDY!K1158="","BRAK KWOTY",IF(CRM_MAGDY!N1158="","BRAK STATUSU",IF(CRM_MAGDY!C1158="","BRAK DATY AKCJI",""))))</f>
        <v>BRAK TELEFONU</v>
      </c>
      <c r="F1158" s="57" t="str">
        <f ca="1">CRM_MAGDY!W1158</f>
        <v/>
      </c>
      <c r="G1158" s="57">
        <f>CRM_MAGDY!K1158</f>
        <v>0</v>
      </c>
      <c r="H1158" s="57">
        <f>CRM_MAGDY!N1158</f>
        <v>0</v>
      </c>
    </row>
    <row r="1159" spans="1:8" ht="30" x14ac:dyDescent="0.25">
      <c r="A1159" s="57">
        <f>CRM_MAGDY!H1159</f>
        <v>0</v>
      </c>
      <c r="B1159" s="57">
        <f>CRM_MAGDY!I1159</f>
        <v>0</v>
      </c>
      <c r="C1159" s="57">
        <f>CRM_MAGDY!E1159</f>
        <v>0</v>
      </c>
      <c r="D1159" s="57" t="str">
        <f>CRM_MAGDY!V1159</f>
        <v/>
      </c>
      <c r="E1159" s="57" t="str">
        <f>IF(CRM_MAGDY!G1159="","BRAK TELEFONU",IF(CRM_MAGDY!K1159="","BRAK KWOTY",IF(CRM_MAGDY!N1159="","BRAK STATUSU",IF(CRM_MAGDY!C1159="","BRAK DATY AKCJI",""))))</f>
        <v>BRAK TELEFONU</v>
      </c>
      <c r="F1159" s="57" t="str">
        <f ca="1">CRM_MAGDY!W1159</f>
        <v/>
      </c>
      <c r="G1159" s="57">
        <f>CRM_MAGDY!K1159</f>
        <v>0</v>
      </c>
      <c r="H1159" s="57">
        <f>CRM_MAGDY!N1159</f>
        <v>0</v>
      </c>
    </row>
    <row r="1160" spans="1:8" ht="30" x14ac:dyDescent="0.25">
      <c r="A1160" s="57">
        <f>CRM_MAGDY!H1160</f>
        <v>0</v>
      </c>
      <c r="B1160" s="57">
        <f>CRM_MAGDY!I1160</f>
        <v>0</v>
      </c>
      <c r="C1160" s="57">
        <f>CRM_MAGDY!E1160</f>
        <v>0</v>
      </c>
      <c r="D1160" s="57" t="str">
        <f>CRM_MAGDY!V1160</f>
        <v/>
      </c>
      <c r="E1160" s="57" t="str">
        <f>IF(CRM_MAGDY!G1160="","BRAK TELEFONU",IF(CRM_MAGDY!K1160="","BRAK KWOTY",IF(CRM_MAGDY!N1160="","BRAK STATUSU",IF(CRM_MAGDY!C1160="","BRAK DATY AKCJI",""))))</f>
        <v>BRAK TELEFONU</v>
      </c>
      <c r="F1160" s="57" t="str">
        <f ca="1">CRM_MAGDY!W1160</f>
        <v/>
      </c>
      <c r="G1160" s="57">
        <f>CRM_MAGDY!K1160</f>
        <v>0</v>
      </c>
      <c r="H1160" s="57">
        <f>CRM_MAGDY!N1160</f>
        <v>0</v>
      </c>
    </row>
    <row r="1161" spans="1:8" ht="30" x14ac:dyDescent="0.25">
      <c r="A1161" s="57">
        <f>CRM_MAGDY!H1161</f>
        <v>0</v>
      </c>
      <c r="B1161" s="57">
        <f>CRM_MAGDY!I1161</f>
        <v>0</v>
      </c>
      <c r="C1161" s="57">
        <f>CRM_MAGDY!E1161</f>
        <v>0</v>
      </c>
      <c r="D1161" s="57" t="str">
        <f>CRM_MAGDY!V1161</f>
        <v/>
      </c>
      <c r="E1161" s="57" t="str">
        <f>IF(CRM_MAGDY!G1161="","BRAK TELEFONU",IF(CRM_MAGDY!K1161="","BRAK KWOTY",IF(CRM_MAGDY!N1161="","BRAK STATUSU",IF(CRM_MAGDY!C1161="","BRAK DATY AKCJI",""))))</f>
        <v>BRAK TELEFONU</v>
      </c>
      <c r="F1161" s="57" t="str">
        <f ca="1">CRM_MAGDY!W1161</f>
        <v/>
      </c>
      <c r="G1161" s="57">
        <f>CRM_MAGDY!K1161</f>
        <v>0</v>
      </c>
      <c r="H1161" s="57">
        <f>CRM_MAGDY!N1161</f>
        <v>0</v>
      </c>
    </row>
    <row r="1162" spans="1:8" ht="30" x14ac:dyDescent="0.25">
      <c r="A1162" s="57">
        <f>CRM_MAGDY!H1162</f>
        <v>0</v>
      </c>
      <c r="B1162" s="57">
        <f>CRM_MAGDY!I1162</f>
        <v>0</v>
      </c>
      <c r="C1162" s="57">
        <f>CRM_MAGDY!E1162</f>
        <v>0</v>
      </c>
      <c r="D1162" s="57" t="str">
        <f>CRM_MAGDY!V1162</f>
        <v/>
      </c>
      <c r="E1162" s="57" t="str">
        <f>IF(CRM_MAGDY!G1162="","BRAK TELEFONU",IF(CRM_MAGDY!K1162="","BRAK KWOTY",IF(CRM_MAGDY!N1162="","BRAK STATUSU",IF(CRM_MAGDY!C1162="","BRAK DATY AKCJI",""))))</f>
        <v>BRAK TELEFONU</v>
      </c>
      <c r="F1162" s="57" t="str">
        <f ca="1">CRM_MAGDY!W1162</f>
        <v/>
      </c>
      <c r="G1162" s="57">
        <f>CRM_MAGDY!K1162</f>
        <v>0</v>
      </c>
      <c r="H1162" s="57">
        <f>CRM_MAGDY!N1162</f>
        <v>0</v>
      </c>
    </row>
    <row r="1163" spans="1:8" ht="30" x14ac:dyDescent="0.25">
      <c r="A1163" s="57">
        <f>CRM_MAGDY!H1163</f>
        <v>0</v>
      </c>
      <c r="B1163" s="57">
        <f>CRM_MAGDY!I1163</f>
        <v>0</v>
      </c>
      <c r="C1163" s="57">
        <f>CRM_MAGDY!E1163</f>
        <v>0</v>
      </c>
      <c r="D1163" s="57" t="str">
        <f>CRM_MAGDY!V1163</f>
        <v/>
      </c>
      <c r="E1163" s="57" t="str">
        <f>IF(CRM_MAGDY!G1163="","BRAK TELEFONU",IF(CRM_MAGDY!K1163="","BRAK KWOTY",IF(CRM_MAGDY!N1163="","BRAK STATUSU",IF(CRM_MAGDY!C1163="","BRAK DATY AKCJI",""))))</f>
        <v>BRAK TELEFONU</v>
      </c>
      <c r="F1163" s="57" t="str">
        <f ca="1">CRM_MAGDY!W1163</f>
        <v/>
      </c>
      <c r="G1163" s="57">
        <f>CRM_MAGDY!K1163</f>
        <v>0</v>
      </c>
      <c r="H1163" s="57">
        <f>CRM_MAGDY!N1163</f>
        <v>0</v>
      </c>
    </row>
    <row r="1164" spans="1:8" ht="30" x14ac:dyDescent="0.25">
      <c r="A1164" s="57">
        <f>CRM_MAGDY!H1164</f>
        <v>0</v>
      </c>
      <c r="B1164" s="57">
        <f>CRM_MAGDY!I1164</f>
        <v>0</v>
      </c>
      <c r="C1164" s="57">
        <f>CRM_MAGDY!E1164</f>
        <v>0</v>
      </c>
      <c r="D1164" s="57" t="str">
        <f>CRM_MAGDY!V1164</f>
        <v/>
      </c>
      <c r="E1164" s="57" t="str">
        <f>IF(CRM_MAGDY!G1164="","BRAK TELEFONU",IF(CRM_MAGDY!K1164="","BRAK KWOTY",IF(CRM_MAGDY!N1164="","BRAK STATUSU",IF(CRM_MAGDY!C1164="","BRAK DATY AKCJI",""))))</f>
        <v>BRAK TELEFONU</v>
      </c>
      <c r="F1164" s="57" t="str">
        <f ca="1">CRM_MAGDY!W1164</f>
        <v/>
      </c>
      <c r="G1164" s="57">
        <f>CRM_MAGDY!K1164</f>
        <v>0</v>
      </c>
      <c r="H1164" s="57">
        <f>CRM_MAGDY!N1164</f>
        <v>0</v>
      </c>
    </row>
    <row r="1165" spans="1:8" ht="30" x14ac:dyDescent="0.25">
      <c r="A1165" s="57">
        <f>CRM_MAGDY!H1165</f>
        <v>0</v>
      </c>
      <c r="B1165" s="57">
        <f>CRM_MAGDY!I1165</f>
        <v>0</v>
      </c>
      <c r="C1165" s="57">
        <f>CRM_MAGDY!E1165</f>
        <v>0</v>
      </c>
      <c r="D1165" s="57" t="str">
        <f>CRM_MAGDY!V1165</f>
        <v/>
      </c>
      <c r="E1165" s="57" t="str">
        <f>IF(CRM_MAGDY!G1165="","BRAK TELEFONU",IF(CRM_MAGDY!K1165="","BRAK KWOTY",IF(CRM_MAGDY!N1165="","BRAK STATUSU",IF(CRM_MAGDY!C1165="","BRAK DATY AKCJI",""))))</f>
        <v>BRAK TELEFONU</v>
      </c>
      <c r="F1165" s="57" t="str">
        <f ca="1">CRM_MAGDY!W1165</f>
        <v/>
      </c>
      <c r="G1165" s="57">
        <f>CRM_MAGDY!K1165</f>
        <v>0</v>
      </c>
      <c r="H1165" s="57">
        <f>CRM_MAGDY!N1165</f>
        <v>0</v>
      </c>
    </row>
    <row r="1166" spans="1:8" ht="30" x14ac:dyDescent="0.25">
      <c r="A1166" s="57">
        <f>CRM_MAGDY!H1166</f>
        <v>0</v>
      </c>
      <c r="B1166" s="57">
        <f>CRM_MAGDY!I1166</f>
        <v>0</v>
      </c>
      <c r="C1166" s="57">
        <f>CRM_MAGDY!E1166</f>
        <v>0</v>
      </c>
      <c r="D1166" s="57" t="str">
        <f>CRM_MAGDY!V1166</f>
        <v/>
      </c>
      <c r="E1166" s="57" t="str">
        <f>IF(CRM_MAGDY!G1166="","BRAK TELEFONU",IF(CRM_MAGDY!K1166="","BRAK KWOTY",IF(CRM_MAGDY!N1166="","BRAK STATUSU",IF(CRM_MAGDY!C1166="","BRAK DATY AKCJI",""))))</f>
        <v>BRAK TELEFONU</v>
      </c>
      <c r="F1166" s="57" t="str">
        <f ca="1">CRM_MAGDY!W1166</f>
        <v/>
      </c>
      <c r="G1166" s="57">
        <f>CRM_MAGDY!K1166</f>
        <v>0</v>
      </c>
      <c r="H1166" s="57">
        <f>CRM_MAGDY!N1166</f>
        <v>0</v>
      </c>
    </row>
    <row r="1167" spans="1:8" ht="30" x14ac:dyDescent="0.25">
      <c r="A1167" s="57">
        <f>CRM_MAGDY!H1167</f>
        <v>0</v>
      </c>
      <c r="B1167" s="57">
        <f>CRM_MAGDY!I1167</f>
        <v>0</v>
      </c>
      <c r="C1167" s="57">
        <f>CRM_MAGDY!E1167</f>
        <v>0</v>
      </c>
      <c r="D1167" s="57" t="str">
        <f>CRM_MAGDY!V1167</f>
        <v/>
      </c>
      <c r="E1167" s="57" t="str">
        <f>IF(CRM_MAGDY!G1167="","BRAK TELEFONU",IF(CRM_MAGDY!K1167="","BRAK KWOTY",IF(CRM_MAGDY!N1167="","BRAK STATUSU",IF(CRM_MAGDY!C1167="","BRAK DATY AKCJI",""))))</f>
        <v>BRAK TELEFONU</v>
      </c>
      <c r="F1167" s="57" t="str">
        <f ca="1">CRM_MAGDY!W1167</f>
        <v/>
      </c>
      <c r="G1167" s="57">
        <f>CRM_MAGDY!K1167</f>
        <v>0</v>
      </c>
      <c r="H1167" s="57">
        <f>CRM_MAGDY!N1167</f>
        <v>0</v>
      </c>
    </row>
    <row r="1168" spans="1:8" ht="30" x14ac:dyDescent="0.25">
      <c r="A1168" s="57">
        <f>CRM_MAGDY!H1168</f>
        <v>0</v>
      </c>
      <c r="B1168" s="57">
        <f>CRM_MAGDY!I1168</f>
        <v>0</v>
      </c>
      <c r="C1168" s="57">
        <f>CRM_MAGDY!E1168</f>
        <v>0</v>
      </c>
      <c r="D1168" s="57" t="str">
        <f>CRM_MAGDY!V1168</f>
        <v/>
      </c>
      <c r="E1168" s="57" t="str">
        <f>IF(CRM_MAGDY!G1168="","BRAK TELEFONU",IF(CRM_MAGDY!K1168="","BRAK KWOTY",IF(CRM_MAGDY!N1168="","BRAK STATUSU",IF(CRM_MAGDY!C1168="","BRAK DATY AKCJI",""))))</f>
        <v>BRAK TELEFONU</v>
      </c>
      <c r="F1168" s="57" t="str">
        <f ca="1">CRM_MAGDY!W1168</f>
        <v/>
      </c>
      <c r="G1168" s="57">
        <f>CRM_MAGDY!K1168</f>
        <v>0</v>
      </c>
      <c r="H1168" s="57">
        <f>CRM_MAGDY!N1168</f>
        <v>0</v>
      </c>
    </row>
    <row r="1169" spans="1:8" ht="30" x14ac:dyDescent="0.25">
      <c r="A1169" s="57">
        <f>CRM_MAGDY!H1169</f>
        <v>0</v>
      </c>
      <c r="B1169" s="57">
        <f>CRM_MAGDY!I1169</f>
        <v>0</v>
      </c>
      <c r="C1169" s="57">
        <f>CRM_MAGDY!E1169</f>
        <v>0</v>
      </c>
      <c r="D1169" s="57" t="str">
        <f>CRM_MAGDY!V1169</f>
        <v/>
      </c>
      <c r="E1169" s="57" t="str">
        <f>IF(CRM_MAGDY!G1169="","BRAK TELEFONU",IF(CRM_MAGDY!K1169="","BRAK KWOTY",IF(CRM_MAGDY!N1169="","BRAK STATUSU",IF(CRM_MAGDY!C1169="","BRAK DATY AKCJI",""))))</f>
        <v>BRAK TELEFONU</v>
      </c>
      <c r="F1169" s="57" t="str">
        <f ca="1">CRM_MAGDY!W1169</f>
        <v/>
      </c>
      <c r="G1169" s="57">
        <f>CRM_MAGDY!K1169</f>
        <v>0</v>
      </c>
      <c r="H1169" s="57">
        <f>CRM_MAGDY!N1169</f>
        <v>0</v>
      </c>
    </row>
    <row r="1170" spans="1:8" ht="30" x14ac:dyDescent="0.25">
      <c r="A1170" s="57">
        <f>CRM_MAGDY!H1170</f>
        <v>0</v>
      </c>
      <c r="B1170" s="57">
        <f>CRM_MAGDY!I1170</f>
        <v>0</v>
      </c>
      <c r="C1170" s="57">
        <f>CRM_MAGDY!E1170</f>
        <v>0</v>
      </c>
      <c r="D1170" s="57" t="str">
        <f>CRM_MAGDY!V1170</f>
        <v/>
      </c>
      <c r="E1170" s="57" t="str">
        <f>IF(CRM_MAGDY!G1170="","BRAK TELEFONU",IF(CRM_MAGDY!K1170="","BRAK KWOTY",IF(CRM_MAGDY!N1170="","BRAK STATUSU",IF(CRM_MAGDY!C1170="","BRAK DATY AKCJI",""))))</f>
        <v>BRAK TELEFONU</v>
      </c>
      <c r="F1170" s="57" t="str">
        <f ca="1">CRM_MAGDY!W1170</f>
        <v/>
      </c>
      <c r="G1170" s="57">
        <f>CRM_MAGDY!K1170</f>
        <v>0</v>
      </c>
      <c r="H1170" s="57">
        <f>CRM_MAGDY!N1170</f>
        <v>0</v>
      </c>
    </row>
    <row r="1171" spans="1:8" ht="30" x14ac:dyDescent="0.25">
      <c r="A1171" s="57">
        <f>CRM_MAGDY!H1171</f>
        <v>0</v>
      </c>
      <c r="B1171" s="57">
        <f>CRM_MAGDY!I1171</f>
        <v>0</v>
      </c>
      <c r="C1171" s="57">
        <f>CRM_MAGDY!E1171</f>
        <v>0</v>
      </c>
      <c r="D1171" s="57" t="str">
        <f>CRM_MAGDY!V1171</f>
        <v/>
      </c>
      <c r="E1171" s="57" t="str">
        <f>IF(CRM_MAGDY!G1171="","BRAK TELEFONU",IF(CRM_MAGDY!K1171="","BRAK KWOTY",IF(CRM_MAGDY!N1171="","BRAK STATUSU",IF(CRM_MAGDY!C1171="","BRAK DATY AKCJI",""))))</f>
        <v>BRAK TELEFONU</v>
      </c>
      <c r="F1171" s="57" t="str">
        <f ca="1">CRM_MAGDY!W1171</f>
        <v/>
      </c>
      <c r="G1171" s="57">
        <f>CRM_MAGDY!K1171</f>
        <v>0</v>
      </c>
      <c r="H1171" s="57">
        <f>CRM_MAGDY!N1171</f>
        <v>0</v>
      </c>
    </row>
    <row r="1172" spans="1:8" ht="30" x14ac:dyDescent="0.25">
      <c r="A1172" s="57">
        <f>CRM_MAGDY!H1172</f>
        <v>0</v>
      </c>
      <c r="B1172" s="57">
        <f>CRM_MAGDY!I1172</f>
        <v>0</v>
      </c>
      <c r="C1172" s="57">
        <f>CRM_MAGDY!E1172</f>
        <v>0</v>
      </c>
      <c r="D1172" s="57" t="str">
        <f>CRM_MAGDY!V1172</f>
        <v/>
      </c>
      <c r="E1172" s="57" t="str">
        <f>IF(CRM_MAGDY!G1172="","BRAK TELEFONU",IF(CRM_MAGDY!K1172="","BRAK KWOTY",IF(CRM_MAGDY!N1172="","BRAK STATUSU",IF(CRM_MAGDY!C1172="","BRAK DATY AKCJI",""))))</f>
        <v>BRAK TELEFONU</v>
      </c>
      <c r="F1172" s="57" t="str">
        <f ca="1">CRM_MAGDY!W1172</f>
        <v/>
      </c>
      <c r="G1172" s="57">
        <f>CRM_MAGDY!K1172</f>
        <v>0</v>
      </c>
      <c r="H1172" s="57">
        <f>CRM_MAGDY!N1172</f>
        <v>0</v>
      </c>
    </row>
    <row r="1173" spans="1:8" ht="30" x14ac:dyDescent="0.25">
      <c r="A1173" s="57">
        <f>CRM_MAGDY!H1173</f>
        <v>0</v>
      </c>
      <c r="B1173" s="57">
        <f>CRM_MAGDY!I1173</f>
        <v>0</v>
      </c>
      <c r="C1173" s="57">
        <f>CRM_MAGDY!E1173</f>
        <v>0</v>
      </c>
      <c r="D1173" s="57" t="str">
        <f>CRM_MAGDY!V1173</f>
        <v/>
      </c>
      <c r="E1173" s="57" t="str">
        <f>IF(CRM_MAGDY!G1173="","BRAK TELEFONU",IF(CRM_MAGDY!K1173="","BRAK KWOTY",IF(CRM_MAGDY!N1173="","BRAK STATUSU",IF(CRM_MAGDY!C1173="","BRAK DATY AKCJI",""))))</f>
        <v>BRAK TELEFONU</v>
      </c>
      <c r="F1173" s="57" t="str">
        <f ca="1">CRM_MAGDY!W1173</f>
        <v/>
      </c>
      <c r="G1173" s="57">
        <f>CRM_MAGDY!K1173</f>
        <v>0</v>
      </c>
      <c r="H1173" s="57">
        <f>CRM_MAGDY!N1173</f>
        <v>0</v>
      </c>
    </row>
    <row r="1174" spans="1:8" ht="30" x14ac:dyDescent="0.25">
      <c r="A1174" s="57">
        <f>CRM_MAGDY!H1174</f>
        <v>0</v>
      </c>
      <c r="B1174" s="57">
        <f>CRM_MAGDY!I1174</f>
        <v>0</v>
      </c>
      <c r="C1174" s="57">
        <f>CRM_MAGDY!E1174</f>
        <v>0</v>
      </c>
      <c r="D1174" s="57" t="str">
        <f>CRM_MAGDY!V1174</f>
        <v/>
      </c>
      <c r="E1174" s="57" t="str">
        <f>IF(CRM_MAGDY!G1174="","BRAK TELEFONU",IF(CRM_MAGDY!K1174="","BRAK KWOTY",IF(CRM_MAGDY!N1174="","BRAK STATUSU",IF(CRM_MAGDY!C1174="","BRAK DATY AKCJI",""))))</f>
        <v>BRAK TELEFONU</v>
      </c>
      <c r="F1174" s="57" t="str">
        <f ca="1">CRM_MAGDY!W1174</f>
        <v/>
      </c>
      <c r="G1174" s="57">
        <f>CRM_MAGDY!K1174</f>
        <v>0</v>
      </c>
      <c r="H1174" s="57">
        <f>CRM_MAGDY!N1174</f>
        <v>0</v>
      </c>
    </row>
    <row r="1175" spans="1:8" ht="30" x14ac:dyDescent="0.25">
      <c r="A1175" s="57">
        <f>CRM_MAGDY!H1175</f>
        <v>0</v>
      </c>
      <c r="B1175" s="57">
        <f>CRM_MAGDY!I1175</f>
        <v>0</v>
      </c>
      <c r="C1175" s="57">
        <f>CRM_MAGDY!E1175</f>
        <v>0</v>
      </c>
      <c r="D1175" s="57" t="str">
        <f>CRM_MAGDY!V1175</f>
        <v/>
      </c>
      <c r="E1175" s="57" t="str">
        <f>IF(CRM_MAGDY!G1175="","BRAK TELEFONU",IF(CRM_MAGDY!K1175="","BRAK KWOTY",IF(CRM_MAGDY!N1175="","BRAK STATUSU",IF(CRM_MAGDY!C1175="","BRAK DATY AKCJI",""))))</f>
        <v>BRAK TELEFONU</v>
      </c>
      <c r="F1175" s="57" t="str">
        <f ca="1">CRM_MAGDY!W1175</f>
        <v/>
      </c>
      <c r="G1175" s="57">
        <f>CRM_MAGDY!K1175</f>
        <v>0</v>
      </c>
      <c r="H1175" s="57">
        <f>CRM_MAGDY!N1175</f>
        <v>0</v>
      </c>
    </row>
    <row r="1176" spans="1:8" ht="30" x14ac:dyDescent="0.25">
      <c r="A1176" s="57">
        <f>CRM_MAGDY!H1176</f>
        <v>0</v>
      </c>
      <c r="B1176" s="57">
        <f>CRM_MAGDY!I1176</f>
        <v>0</v>
      </c>
      <c r="C1176" s="57">
        <f>CRM_MAGDY!E1176</f>
        <v>0</v>
      </c>
      <c r="D1176" s="57" t="str">
        <f>CRM_MAGDY!V1176</f>
        <v/>
      </c>
      <c r="E1176" s="57" t="str">
        <f>IF(CRM_MAGDY!G1176="","BRAK TELEFONU",IF(CRM_MAGDY!K1176="","BRAK KWOTY",IF(CRM_MAGDY!N1176="","BRAK STATUSU",IF(CRM_MAGDY!C1176="","BRAK DATY AKCJI",""))))</f>
        <v>BRAK TELEFONU</v>
      </c>
      <c r="F1176" s="57" t="str">
        <f ca="1">CRM_MAGDY!W1176</f>
        <v/>
      </c>
      <c r="G1176" s="57">
        <f>CRM_MAGDY!K1176</f>
        <v>0</v>
      </c>
      <c r="H1176" s="57">
        <f>CRM_MAGDY!N1176</f>
        <v>0</v>
      </c>
    </row>
    <row r="1177" spans="1:8" ht="30" x14ac:dyDescent="0.25">
      <c r="A1177" s="57">
        <f>CRM_MAGDY!H1177</f>
        <v>0</v>
      </c>
      <c r="B1177" s="57">
        <f>CRM_MAGDY!I1177</f>
        <v>0</v>
      </c>
      <c r="C1177" s="57">
        <f>CRM_MAGDY!E1177</f>
        <v>0</v>
      </c>
      <c r="D1177" s="57" t="str">
        <f>CRM_MAGDY!V1177</f>
        <v/>
      </c>
      <c r="E1177" s="57" t="str">
        <f>IF(CRM_MAGDY!G1177="","BRAK TELEFONU",IF(CRM_MAGDY!K1177="","BRAK KWOTY",IF(CRM_MAGDY!N1177="","BRAK STATUSU",IF(CRM_MAGDY!C1177="","BRAK DATY AKCJI",""))))</f>
        <v>BRAK TELEFONU</v>
      </c>
      <c r="F1177" s="57" t="str">
        <f ca="1">CRM_MAGDY!W1177</f>
        <v/>
      </c>
      <c r="G1177" s="57">
        <f>CRM_MAGDY!K1177</f>
        <v>0</v>
      </c>
      <c r="H1177" s="57">
        <f>CRM_MAGDY!N1177</f>
        <v>0</v>
      </c>
    </row>
    <row r="1178" spans="1:8" ht="30" x14ac:dyDescent="0.25">
      <c r="A1178" s="57">
        <f>CRM_MAGDY!H1178</f>
        <v>0</v>
      </c>
      <c r="B1178" s="57">
        <f>CRM_MAGDY!I1178</f>
        <v>0</v>
      </c>
      <c r="C1178" s="57">
        <f>CRM_MAGDY!E1178</f>
        <v>0</v>
      </c>
      <c r="D1178" s="57" t="str">
        <f>CRM_MAGDY!V1178</f>
        <v/>
      </c>
      <c r="E1178" s="57" t="str">
        <f>IF(CRM_MAGDY!G1178="","BRAK TELEFONU",IF(CRM_MAGDY!K1178="","BRAK KWOTY",IF(CRM_MAGDY!N1178="","BRAK STATUSU",IF(CRM_MAGDY!C1178="","BRAK DATY AKCJI",""))))</f>
        <v>BRAK TELEFONU</v>
      </c>
      <c r="F1178" s="57" t="str">
        <f ca="1">CRM_MAGDY!W1178</f>
        <v/>
      </c>
      <c r="G1178" s="57">
        <f>CRM_MAGDY!K1178</f>
        <v>0</v>
      </c>
      <c r="H1178" s="57">
        <f>CRM_MAGDY!N1178</f>
        <v>0</v>
      </c>
    </row>
    <row r="1179" spans="1:8" ht="30" x14ac:dyDescent="0.25">
      <c r="A1179" s="57">
        <f>CRM_MAGDY!H1179</f>
        <v>0</v>
      </c>
      <c r="B1179" s="57">
        <f>CRM_MAGDY!I1179</f>
        <v>0</v>
      </c>
      <c r="C1179" s="57">
        <f>CRM_MAGDY!E1179</f>
        <v>0</v>
      </c>
      <c r="D1179" s="57" t="str">
        <f>CRM_MAGDY!V1179</f>
        <v/>
      </c>
      <c r="E1179" s="57" t="str">
        <f>IF(CRM_MAGDY!G1179="","BRAK TELEFONU",IF(CRM_MAGDY!K1179="","BRAK KWOTY",IF(CRM_MAGDY!N1179="","BRAK STATUSU",IF(CRM_MAGDY!C1179="","BRAK DATY AKCJI",""))))</f>
        <v>BRAK TELEFONU</v>
      </c>
      <c r="F1179" s="57" t="str">
        <f ca="1">CRM_MAGDY!W1179</f>
        <v/>
      </c>
      <c r="G1179" s="57">
        <f>CRM_MAGDY!K1179</f>
        <v>0</v>
      </c>
      <c r="H1179" s="57">
        <f>CRM_MAGDY!N1179</f>
        <v>0</v>
      </c>
    </row>
    <row r="1180" spans="1:8" ht="30" x14ac:dyDescent="0.25">
      <c r="A1180" s="57">
        <f>CRM_MAGDY!H1180</f>
        <v>0</v>
      </c>
      <c r="B1180" s="57">
        <f>CRM_MAGDY!I1180</f>
        <v>0</v>
      </c>
      <c r="C1180" s="57">
        <f>CRM_MAGDY!E1180</f>
        <v>0</v>
      </c>
      <c r="D1180" s="57" t="str">
        <f>CRM_MAGDY!V1180</f>
        <v/>
      </c>
      <c r="E1180" s="57" t="str">
        <f>IF(CRM_MAGDY!G1180="","BRAK TELEFONU",IF(CRM_MAGDY!K1180="","BRAK KWOTY",IF(CRM_MAGDY!N1180="","BRAK STATUSU",IF(CRM_MAGDY!C1180="","BRAK DATY AKCJI",""))))</f>
        <v>BRAK TELEFONU</v>
      </c>
      <c r="F1180" s="57" t="str">
        <f ca="1">CRM_MAGDY!W1180</f>
        <v/>
      </c>
      <c r="G1180" s="57">
        <f>CRM_MAGDY!K1180</f>
        <v>0</v>
      </c>
      <c r="H1180" s="57">
        <f>CRM_MAGDY!N1180</f>
        <v>0</v>
      </c>
    </row>
    <row r="1181" spans="1:8" ht="30" x14ac:dyDescent="0.25">
      <c r="A1181" s="57">
        <f>CRM_MAGDY!H1181</f>
        <v>0</v>
      </c>
      <c r="B1181" s="57">
        <f>CRM_MAGDY!I1181</f>
        <v>0</v>
      </c>
      <c r="C1181" s="57">
        <f>CRM_MAGDY!E1181</f>
        <v>0</v>
      </c>
      <c r="D1181" s="57" t="str">
        <f>CRM_MAGDY!V1181</f>
        <v/>
      </c>
      <c r="E1181" s="57" t="str">
        <f>IF(CRM_MAGDY!G1181="","BRAK TELEFONU",IF(CRM_MAGDY!K1181="","BRAK KWOTY",IF(CRM_MAGDY!N1181="","BRAK STATUSU",IF(CRM_MAGDY!C1181="","BRAK DATY AKCJI",""))))</f>
        <v>BRAK TELEFONU</v>
      </c>
      <c r="F1181" s="57" t="str">
        <f ca="1">CRM_MAGDY!W1181</f>
        <v/>
      </c>
      <c r="G1181" s="57">
        <f>CRM_MAGDY!K1181</f>
        <v>0</v>
      </c>
      <c r="H1181" s="57">
        <f>CRM_MAGDY!N1181</f>
        <v>0</v>
      </c>
    </row>
    <row r="1182" spans="1:8" ht="30" x14ac:dyDescent="0.25">
      <c r="A1182" s="57">
        <f>CRM_MAGDY!H1182</f>
        <v>0</v>
      </c>
      <c r="B1182" s="57">
        <f>CRM_MAGDY!I1182</f>
        <v>0</v>
      </c>
      <c r="C1182" s="57">
        <f>CRM_MAGDY!E1182</f>
        <v>0</v>
      </c>
      <c r="D1182" s="57" t="str">
        <f>CRM_MAGDY!V1182</f>
        <v/>
      </c>
      <c r="E1182" s="57" t="str">
        <f>IF(CRM_MAGDY!G1182="","BRAK TELEFONU",IF(CRM_MAGDY!K1182="","BRAK KWOTY",IF(CRM_MAGDY!N1182="","BRAK STATUSU",IF(CRM_MAGDY!C1182="","BRAK DATY AKCJI",""))))</f>
        <v>BRAK TELEFONU</v>
      </c>
      <c r="F1182" s="57" t="str">
        <f ca="1">CRM_MAGDY!W1182</f>
        <v/>
      </c>
      <c r="G1182" s="57">
        <f>CRM_MAGDY!K1182</f>
        <v>0</v>
      </c>
      <c r="H1182" s="57">
        <f>CRM_MAGDY!N1182</f>
        <v>0</v>
      </c>
    </row>
    <row r="1183" spans="1:8" ht="30" x14ac:dyDescent="0.25">
      <c r="A1183" s="57">
        <f>CRM_MAGDY!H1183</f>
        <v>0</v>
      </c>
      <c r="B1183" s="57">
        <f>CRM_MAGDY!I1183</f>
        <v>0</v>
      </c>
      <c r="C1183" s="57">
        <f>CRM_MAGDY!E1183</f>
        <v>0</v>
      </c>
      <c r="D1183" s="57" t="str">
        <f>CRM_MAGDY!V1183</f>
        <v/>
      </c>
      <c r="E1183" s="57" t="str">
        <f>IF(CRM_MAGDY!G1183="","BRAK TELEFONU",IF(CRM_MAGDY!K1183="","BRAK KWOTY",IF(CRM_MAGDY!N1183="","BRAK STATUSU",IF(CRM_MAGDY!C1183="","BRAK DATY AKCJI",""))))</f>
        <v>BRAK TELEFONU</v>
      </c>
      <c r="F1183" s="57" t="str">
        <f ca="1">CRM_MAGDY!W1183</f>
        <v/>
      </c>
      <c r="G1183" s="57">
        <f>CRM_MAGDY!K1183</f>
        <v>0</v>
      </c>
      <c r="H1183" s="57">
        <f>CRM_MAGDY!N1183</f>
        <v>0</v>
      </c>
    </row>
    <row r="1184" spans="1:8" ht="30" x14ac:dyDescent="0.25">
      <c r="A1184" s="57">
        <f>CRM_MAGDY!H1184</f>
        <v>0</v>
      </c>
      <c r="B1184" s="57">
        <f>CRM_MAGDY!I1184</f>
        <v>0</v>
      </c>
      <c r="C1184" s="57">
        <f>CRM_MAGDY!E1184</f>
        <v>0</v>
      </c>
      <c r="D1184" s="57" t="str">
        <f>CRM_MAGDY!V1184</f>
        <v/>
      </c>
      <c r="E1184" s="57" t="str">
        <f>IF(CRM_MAGDY!G1184="","BRAK TELEFONU",IF(CRM_MAGDY!K1184="","BRAK KWOTY",IF(CRM_MAGDY!N1184="","BRAK STATUSU",IF(CRM_MAGDY!C1184="","BRAK DATY AKCJI",""))))</f>
        <v>BRAK TELEFONU</v>
      </c>
      <c r="F1184" s="57" t="str">
        <f ca="1">CRM_MAGDY!W1184</f>
        <v/>
      </c>
      <c r="G1184" s="57">
        <f>CRM_MAGDY!K1184</f>
        <v>0</v>
      </c>
      <c r="H1184" s="57">
        <f>CRM_MAGDY!N1184</f>
        <v>0</v>
      </c>
    </row>
    <row r="1185" spans="1:8" ht="30" x14ac:dyDescent="0.25">
      <c r="A1185" s="57">
        <f>CRM_MAGDY!H1185</f>
        <v>0</v>
      </c>
      <c r="B1185" s="57">
        <f>CRM_MAGDY!I1185</f>
        <v>0</v>
      </c>
      <c r="C1185" s="57">
        <f>CRM_MAGDY!E1185</f>
        <v>0</v>
      </c>
      <c r="D1185" s="57" t="str">
        <f>CRM_MAGDY!V1185</f>
        <v/>
      </c>
      <c r="E1185" s="57" t="str">
        <f>IF(CRM_MAGDY!G1185="","BRAK TELEFONU",IF(CRM_MAGDY!K1185="","BRAK KWOTY",IF(CRM_MAGDY!N1185="","BRAK STATUSU",IF(CRM_MAGDY!C1185="","BRAK DATY AKCJI",""))))</f>
        <v>BRAK TELEFONU</v>
      </c>
      <c r="F1185" s="57" t="str">
        <f ca="1">CRM_MAGDY!W1185</f>
        <v/>
      </c>
      <c r="G1185" s="57">
        <f>CRM_MAGDY!K1185</f>
        <v>0</v>
      </c>
      <c r="H1185" s="57">
        <f>CRM_MAGDY!N1185</f>
        <v>0</v>
      </c>
    </row>
    <row r="1186" spans="1:8" ht="30" x14ac:dyDescent="0.25">
      <c r="A1186" s="57">
        <f>CRM_MAGDY!H1186</f>
        <v>0</v>
      </c>
      <c r="B1186" s="57">
        <f>CRM_MAGDY!I1186</f>
        <v>0</v>
      </c>
      <c r="C1186" s="57">
        <f>CRM_MAGDY!E1186</f>
        <v>0</v>
      </c>
      <c r="D1186" s="57" t="str">
        <f>CRM_MAGDY!V1186</f>
        <v/>
      </c>
      <c r="E1186" s="57" t="str">
        <f>IF(CRM_MAGDY!G1186="","BRAK TELEFONU",IF(CRM_MAGDY!K1186="","BRAK KWOTY",IF(CRM_MAGDY!N1186="","BRAK STATUSU",IF(CRM_MAGDY!C1186="","BRAK DATY AKCJI",""))))</f>
        <v>BRAK TELEFONU</v>
      </c>
      <c r="F1186" s="57" t="str">
        <f ca="1">CRM_MAGDY!W1186</f>
        <v/>
      </c>
      <c r="G1186" s="57">
        <f>CRM_MAGDY!K1186</f>
        <v>0</v>
      </c>
      <c r="H1186" s="57">
        <f>CRM_MAGDY!N1186</f>
        <v>0</v>
      </c>
    </row>
    <row r="1187" spans="1:8" ht="30" x14ac:dyDescent="0.25">
      <c r="A1187" s="57">
        <f>CRM_MAGDY!H1187</f>
        <v>0</v>
      </c>
      <c r="B1187" s="57">
        <f>CRM_MAGDY!I1187</f>
        <v>0</v>
      </c>
      <c r="C1187" s="57">
        <f>CRM_MAGDY!E1187</f>
        <v>0</v>
      </c>
      <c r="D1187" s="57" t="str">
        <f>CRM_MAGDY!V1187</f>
        <v/>
      </c>
      <c r="E1187" s="57" t="str">
        <f>IF(CRM_MAGDY!G1187="","BRAK TELEFONU",IF(CRM_MAGDY!K1187="","BRAK KWOTY",IF(CRM_MAGDY!N1187="","BRAK STATUSU",IF(CRM_MAGDY!C1187="","BRAK DATY AKCJI",""))))</f>
        <v>BRAK TELEFONU</v>
      </c>
      <c r="F1187" s="57" t="str">
        <f ca="1">CRM_MAGDY!W1187</f>
        <v/>
      </c>
      <c r="G1187" s="57">
        <f>CRM_MAGDY!K1187</f>
        <v>0</v>
      </c>
      <c r="H1187" s="57">
        <f>CRM_MAGDY!N1187</f>
        <v>0</v>
      </c>
    </row>
    <row r="1188" spans="1:8" ht="30" x14ac:dyDescent="0.25">
      <c r="A1188" s="57">
        <f>CRM_MAGDY!H1188</f>
        <v>0</v>
      </c>
      <c r="B1188" s="57">
        <f>CRM_MAGDY!I1188</f>
        <v>0</v>
      </c>
      <c r="C1188" s="57">
        <f>CRM_MAGDY!E1188</f>
        <v>0</v>
      </c>
      <c r="D1188" s="57" t="str">
        <f>CRM_MAGDY!V1188</f>
        <v/>
      </c>
      <c r="E1188" s="57" t="str">
        <f>IF(CRM_MAGDY!G1188="","BRAK TELEFONU",IF(CRM_MAGDY!K1188="","BRAK KWOTY",IF(CRM_MAGDY!N1188="","BRAK STATUSU",IF(CRM_MAGDY!C1188="","BRAK DATY AKCJI",""))))</f>
        <v>BRAK TELEFONU</v>
      </c>
      <c r="F1188" s="57" t="str">
        <f ca="1">CRM_MAGDY!W1188</f>
        <v/>
      </c>
      <c r="G1188" s="57">
        <f>CRM_MAGDY!K1188</f>
        <v>0</v>
      </c>
      <c r="H1188" s="57">
        <f>CRM_MAGDY!N1188</f>
        <v>0</v>
      </c>
    </row>
    <row r="1189" spans="1:8" ht="30" x14ac:dyDescent="0.25">
      <c r="A1189" s="57">
        <f>CRM_MAGDY!H1189</f>
        <v>0</v>
      </c>
      <c r="B1189" s="57">
        <f>CRM_MAGDY!I1189</f>
        <v>0</v>
      </c>
      <c r="C1189" s="57">
        <f>CRM_MAGDY!E1189</f>
        <v>0</v>
      </c>
      <c r="D1189" s="57" t="str">
        <f>CRM_MAGDY!V1189</f>
        <v/>
      </c>
      <c r="E1189" s="57" t="str">
        <f>IF(CRM_MAGDY!G1189="","BRAK TELEFONU",IF(CRM_MAGDY!K1189="","BRAK KWOTY",IF(CRM_MAGDY!N1189="","BRAK STATUSU",IF(CRM_MAGDY!C1189="","BRAK DATY AKCJI",""))))</f>
        <v>BRAK TELEFONU</v>
      </c>
      <c r="F1189" s="57" t="str">
        <f ca="1">CRM_MAGDY!W1189</f>
        <v/>
      </c>
      <c r="G1189" s="57">
        <f>CRM_MAGDY!K1189</f>
        <v>0</v>
      </c>
      <c r="H1189" s="57">
        <f>CRM_MAGDY!N1189</f>
        <v>0</v>
      </c>
    </row>
    <row r="1190" spans="1:8" ht="30" x14ac:dyDescent="0.25">
      <c r="A1190" s="57">
        <f>CRM_MAGDY!H1190</f>
        <v>0</v>
      </c>
      <c r="B1190" s="57">
        <f>CRM_MAGDY!I1190</f>
        <v>0</v>
      </c>
      <c r="C1190" s="57">
        <f>CRM_MAGDY!E1190</f>
        <v>0</v>
      </c>
      <c r="D1190" s="57" t="str">
        <f>CRM_MAGDY!V1190</f>
        <v/>
      </c>
      <c r="E1190" s="57" t="str">
        <f>IF(CRM_MAGDY!G1190="","BRAK TELEFONU",IF(CRM_MAGDY!K1190="","BRAK KWOTY",IF(CRM_MAGDY!N1190="","BRAK STATUSU",IF(CRM_MAGDY!C1190="","BRAK DATY AKCJI",""))))</f>
        <v>BRAK TELEFONU</v>
      </c>
      <c r="F1190" s="57" t="str">
        <f ca="1">CRM_MAGDY!W1190</f>
        <v/>
      </c>
      <c r="G1190" s="57">
        <f>CRM_MAGDY!K1190</f>
        <v>0</v>
      </c>
      <c r="H1190" s="57">
        <f>CRM_MAGDY!N1190</f>
        <v>0</v>
      </c>
    </row>
    <row r="1191" spans="1:8" ht="30" x14ac:dyDescent="0.25">
      <c r="A1191" s="57">
        <f>CRM_MAGDY!H1191</f>
        <v>0</v>
      </c>
      <c r="B1191" s="57">
        <f>CRM_MAGDY!I1191</f>
        <v>0</v>
      </c>
      <c r="C1191" s="57">
        <f>CRM_MAGDY!E1191</f>
        <v>0</v>
      </c>
      <c r="D1191" s="57" t="str">
        <f>CRM_MAGDY!V1191</f>
        <v/>
      </c>
      <c r="E1191" s="57" t="str">
        <f>IF(CRM_MAGDY!G1191="","BRAK TELEFONU",IF(CRM_MAGDY!K1191="","BRAK KWOTY",IF(CRM_MAGDY!N1191="","BRAK STATUSU",IF(CRM_MAGDY!C1191="","BRAK DATY AKCJI",""))))</f>
        <v>BRAK TELEFONU</v>
      </c>
      <c r="F1191" s="57" t="str">
        <f ca="1">CRM_MAGDY!W1191</f>
        <v/>
      </c>
      <c r="G1191" s="57">
        <f>CRM_MAGDY!K1191</f>
        <v>0</v>
      </c>
      <c r="H1191" s="57">
        <f>CRM_MAGDY!N1191</f>
        <v>0</v>
      </c>
    </row>
    <row r="1192" spans="1:8" ht="30" x14ac:dyDescent="0.25">
      <c r="A1192" s="57">
        <f>CRM_MAGDY!H1192</f>
        <v>0</v>
      </c>
      <c r="B1192" s="57">
        <f>CRM_MAGDY!I1192</f>
        <v>0</v>
      </c>
      <c r="C1192" s="57">
        <f>CRM_MAGDY!E1192</f>
        <v>0</v>
      </c>
      <c r="D1192" s="57" t="str">
        <f>CRM_MAGDY!V1192</f>
        <v/>
      </c>
      <c r="E1192" s="57" t="str">
        <f>IF(CRM_MAGDY!G1192="","BRAK TELEFONU",IF(CRM_MAGDY!K1192="","BRAK KWOTY",IF(CRM_MAGDY!N1192="","BRAK STATUSU",IF(CRM_MAGDY!C1192="","BRAK DATY AKCJI",""))))</f>
        <v>BRAK TELEFONU</v>
      </c>
      <c r="F1192" s="57" t="str">
        <f ca="1">CRM_MAGDY!W1192</f>
        <v/>
      </c>
      <c r="G1192" s="57">
        <f>CRM_MAGDY!K1192</f>
        <v>0</v>
      </c>
      <c r="H1192" s="57">
        <f>CRM_MAGDY!N1192</f>
        <v>0</v>
      </c>
    </row>
    <row r="1193" spans="1:8" ht="30" x14ac:dyDescent="0.25">
      <c r="A1193" s="57">
        <f>CRM_MAGDY!H1193</f>
        <v>0</v>
      </c>
      <c r="B1193" s="57">
        <f>CRM_MAGDY!I1193</f>
        <v>0</v>
      </c>
      <c r="C1193" s="57">
        <f>CRM_MAGDY!E1193</f>
        <v>0</v>
      </c>
      <c r="D1193" s="57" t="str">
        <f>CRM_MAGDY!V1193</f>
        <v/>
      </c>
      <c r="E1193" s="57" t="str">
        <f>IF(CRM_MAGDY!G1193="","BRAK TELEFONU",IF(CRM_MAGDY!K1193="","BRAK KWOTY",IF(CRM_MAGDY!N1193="","BRAK STATUSU",IF(CRM_MAGDY!C1193="","BRAK DATY AKCJI",""))))</f>
        <v>BRAK TELEFONU</v>
      </c>
      <c r="F1193" s="57" t="str">
        <f ca="1">CRM_MAGDY!W1193</f>
        <v/>
      </c>
      <c r="G1193" s="57">
        <f>CRM_MAGDY!K1193</f>
        <v>0</v>
      </c>
      <c r="H1193" s="57">
        <f>CRM_MAGDY!N1193</f>
        <v>0</v>
      </c>
    </row>
    <row r="1194" spans="1:8" ht="30" x14ac:dyDescent="0.25">
      <c r="A1194" s="57">
        <f>CRM_MAGDY!H1194</f>
        <v>0</v>
      </c>
      <c r="B1194" s="57">
        <f>CRM_MAGDY!I1194</f>
        <v>0</v>
      </c>
      <c r="C1194" s="57">
        <f>CRM_MAGDY!E1194</f>
        <v>0</v>
      </c>
      <c r="D1194" s="57" t="str">
        <f>CRM_MAGDY!V1194</f>
        <v/>
      </c>
      <c r="E1194" s="57" t="str">
        <f>IF(CRM_MAGDY!G1194="","BRAK TELEFONU",IF(CRM_MAGDY!K1194="","BRAK KWOTY",IF(CRM_MAGDY!N1194="","BRAK STATUSU",IF(CRM_MAGDY!C1194="","BRAK DATY AKCJI",""))))</f>
        <v>BRAK TELEFONU</v>
      </c>
      <c r="F1194" s="57" t="str">
        <f ca="1">CRM_MAGDY!W1194</f>
        <v/>
      </c>
      <c r="G1194" s="57">
        <f>CRM_MAGDY!K1194</f>
        <v>0</v>
      </c>
      <c r="H1194" s="57">
        <f>CRM_MAGDY!N1194</f>
        <v>0</v>
      </c>
    </row>
    <row r="1195" spans="1:8" ht="30" x14ac:dyDescent="0.25">
      <c r="A1195" s="57">
        <f>CRM_MAGDY!H1195</f>
        <v>0</v>
      </c>
      <c r="B1195" s="57">
        <f>CRM_MAGDY!I1195</f>
        <v>0</v>
      </c>
      <c r="C1195" s="57">
        <f>CRM_MAGDY!E1195</f>
        <v>0</v>
      </c>
      <c r="D1195" s="57" t="str">
        <f>CRM_MAGDY!V1195</f>
        <v/>
      </c>
      <c r="E1195" s="57" t="str">
        <f>IF(CRM_MAGDY!G1195="","BRAK TELEFONU",IF(CRM_MAGDY!K1195="","BRAK KWOTY",IF(CRM_MAGDY!N1195="","BRAK STATUSU",IF(CRM_MAGDY!C1195="","BRAK DATY AKCJI",""))))</f>
        <v>BRAK TELEFONU</v>
      </c>
      <c r="F1195" s="57" t="str">
        <f ca="1">CRM_MAGDY!W1195</f>
        <v/>
      </c>
      <c r="G1195" s="57">
        <f>CRM_MAGDY!K1195</f>
        <v>0</v>
      </c>
      <c r="H1195" s="57">
        <f>CRM_MAGDY!N1195</f>
        <v>0</v>
      </c>
    </row>
    <row r="1196" spans="1:8" ht="30" x14ac:dyDescent="0.25">
      <c r="A1196" s="57">
        <f>CRM_MAGDY!H1196</f>
        <v>0</v>
      </c>
      <c r="B1196" s="57">
        <f>CRM_MAGDY!I1196</f>
        <v>0</v>
      </c>
      <c r="C1196" s="57">
        <f>CRM_MAGDY!E1196</f>
        <v>0</v>
      </c>
      <c r="D1196" s="57" t="str">
        <f>CRM_MAGDY!V1196</f>
        <v/>
      </c>
      <c r="E1196" s="57" t="str">
        <f>IF(CRM_MAGDY!G1196="","BRAK TELEFONU",IF(CRM_MAGDY!K1196="","BRAK KWOTY",IF(CRM_MAGDY!N1196="","BRAK STATUSU",IF(CRM_MAGDY!C1196="","BRAK DATY AKCJI",""))))</f>
        <v>BRAK TELEFONU</v>
      </c>
      <c r="F1196" s="57" t="str">
        <f ca="1">CRM_MAGDY!W1196</f>
        <v/>
      </c>
      <c r="G1196" s="57">
        <f>CRM_MAGDY!K1196</f>
        <v>0</v>
      </c>
      <c r="H1196" s="57">
        <f>CRM_MAGDY!N1196</f>
        <v>0</v>
      </c>
    </row>
    <row r="1197" spans="1:8" ht="30" x14ac:dyDescent="0.25">
      <c r="A1197" s="57">
        <f>CRM_MAGDY!H1197</f>
        <v>0</v>
      </c>
      <c r="B1197" s="57">
        <f>CRM_MAGDY!I1197</f>
        <v>0</v>
      </c>
      <c r="C1197" s="57">
        <f>CRM_MAGDY!E1197</f>
        <v>0</v>
      </c>
      <c r="D1197" s="57" t="str">
        <f>CRM_MAGDY!V1197</f>
        <v/>
      </c>
      <c r="E1197" s="57" t="str">
        <f>IF(CRM_MAGDY!G1197="","BRAK TELEFONU",IF(CRM_MAGDY!K1197="","BRAK KWOTY",IF(CRM_MAGDY!N1197="","BRAK STATUSU",IF(CRM_MAGDY!C1197="","BRAK DATY AKCJI",""))))</f>
        <v>BRAK TELEFONU</v>
      </c>
      <c r="F1197" s="57" t="str">
        <f ca="1">CRM_MAGDY!W1197</f>
        <v/>
      </c>
      <c r="G1197" s="57">
        <f>CRM_MAGDY!K1197</f>
        <v>0</v>
      </c>
      <c r="H1197" s="57">
        <f>CRM_MAGDY!N1197</f>
        <v>0</v>
      </c>
    </row>
    <row r="1198" spans="1:8" ht="30" x14ac:dyDescent="0.25">
      <c r="A1198" s="57">
        <f>CRM_MAGDY!H1198</f>
        <v>0</v>
      </c>
      <c r="B1198" s="57">
        <f>CRM_MAGDY!I1198</f>
        <v>0</v>
      </c>
      <c r="C1198" s="57">
        <f>CRM_MAGDY!E1198</f>
        <v>0</v>
      </c>
      <c r="D1198" s="57" t="str">
        <f>CRM_MAGDY!V1198</f>
        <v/>
      </c>
      <c r="E1198" s="57" t="str">
        <f>IF(CRM_MAGDY!G1198="","BRAK TELEFONU",IF(CRM_MAGDY!K1198="","BRAK KWOTY",IF(CRM_MAGDY!N1198="","BRAK STATUSU",IF(CRM_MAGDY!C1198="","BRAK DATY AKCJI",""))))</f>
        <v>BRAK TELEFONU</v>
      </c>
      <c r="F1198" s="57" t="str">
        <f ca="1">CRM_MAGDY!W1198</f>
        <v/>
      </c>
      <c r="G1198" s="57">
        <f>CRM_MAGDY!K1198</f>
        <v>0</v>
      </c>
      <c r="H1198" s="57">
        <f>CRM_MAGDY!N1198</f>
        <v>0</v>
      </c>
    </row>
    <row r="1199" spans="1:8" ht="30" x14ac:dyDescent="0.25">
      <c r="A1199" s="57">
        <f>CRM_MAGDY!H1199</f>
        <v>0</v>
      </c>
      <c r="B1199" s="57">
        <f>CRM_MAGDY!I1199</f>
        <v>0</v>
      </c>
      <c r="C1199" s="57">
        <f>CRM_MAGDY!E1199</f>
        <v>0</v>
      </c>
      <c r="D1199" s="57" t="str">
        <f>CRM_MAGDY!V1199</f>
        <v/>
      </c>
      <c r="E1199" s="57" t="str">
        <f>IF(CRM_MAGDY!G1199="","BRAK TELEFONU",IF(CRM_MAGDY!K1199="","BRAK KWOTY",IF(CRM_MAGDY!N1199="","BRAK STATUSU",IF(CRM_MAGDY!C1199="","BRAK DATY AKCJI",""))))</f>
        <v>BRAK TELEFONU</v>
      </c>
      <c r="F1199" s="57" t="str">
        <f ca="1">CRM_MAGDY!W1199</f>
        <v/>
      </c>
      <c r="G1199" s="57">
        <f>CRM_MAGDY!K1199</f>
        <v>0</v>
      </c>
      <c r="H1199" s="57">
        <f>CRM_MAGDY!N1199</f>
        <v>0</v>
      </c>
    </row>
    <row r="1200" spans="1:8" ht="30" x14ac:dyDescent="0.25">
      <c r="A1200" s="57">
        <f>CRM_MAGDY!H1200</f>
        <v>0</v>
      </c>
      <c r="B1200" s="57">
        <f>CRM_MAGDY!I1200</f>
        <v>0</v>
      </c>
      <c r="C1200" s="57">
        <f>CRM_MAGDY!E1200</f>
        <v>0</v>
      </c>
      <c r="D1200" s="57" t="str">
        <f>CRM_MAGDY!V1200</f>
        <v/>
      </c>
      <c r="E1200" s="57" t="str">
        <f>IF(CRM_MAGDY!G1200="","BRAK TELEFONU",IF(CRM_MAGDY!K1200="","BRAK KWOTY",IF(CRM_MAGDY!N1200="","BRAK STATUSU",IF(CRM_MAGDY!C1200="","BRAK DATY AKCJI",""))))</f>
        <v>BRAK TELEFONU</v>
      </c>
      <c r="F1200" s="57" t="str">
        <f ca="1">CRM_MAGDY!W1200</f>
        <v/>
      </c>
      <c r="G1200" s="57">
        <f>CRM_MAGDY!K1200</f>
        <v>0</v>
      </c>
      <c r="H1200" s="57">
        <f>CRM_MAGDY!N1200</f>
        <v>0</v>
      </c>
    </row>
  </sheetData>
  <autoFilter ref="A1:H1200" xr:uid="{00000000-0009-0000-0000-00000B000000}"/>
  <mergeCells count="2">
    <mergeCell ref="A2:H2"/>
    <mergeCell ref="A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00000"/>
  </sheetPr>
  <dimension ref="A1:H13"/>
  <sheetViews>
    <sheetView showGridLines="0" workbookViewId="0">
      <selection sqref="A1:H1"/>
    </sheetView>
  </sheetViews>
  <sheetFormatPr defaultRowHeight="15" x14ac:dyDescent="0.25"/>
  <cols>
    <col min="1" max="1" width="11.7109375" bestFit="1" customWidth="1"/>
    <col min="2" max="2" width="9.5703125" bestFit="1" customWidth="1"/>
    <col min="3" max="3" width="17.42578125" bestFit="1" customWidth="1"/>
    <col min="4" max="4" width="10" bestFit="1" customWidth="1"/>
    <col min="5" max="5" width="10.85546875" bestFit="1" customWidth="1"/>
    <col min="6" max="6" width="16.42578125" bestFit="1" customWidth="1"/>
    <col min="7" max="7" width="12.28515625" bestFit="1" customWidth="1"/>
    <col min="9" max="9" width="49.7109375" bestFit="1" customWidth="1"/>
  </cols>
  <sheetData>
    <row r="1" spans="1:8" ht="32.1" customHeight="1" x14ac:dyDescent="0.35">
      <c r="A1" s="89" t="s">
        <v>393</v>
      </c>
      <c r="B1" s="76"/>
      <c r="C1" s="76"/>
      <c r="D1" s="76"/>
      <c r="E1" s="76"/>
      <c r="F1" s="76"/>
      <c r="G1" s="76"/>
      <c r="H1" s="76"/>
    </row>
    <row r="2" spans="1:8" x14ac:dyDescent="0.25">
      <c r="A2" s="88" t="s">
        <v>5556</v>
      </c>
      <c r="B2" s="76"/>
      <c r="C2" s="76"/>
      <c r="D2" s="76"/>
      <c r="E2" s="76"/>
      <c r="F2" s="76"/>
      <c r="G2" s="76"/>
      <c r="H2" s="76"/>
    </row>
    <row r="4" spans="1:8" x14ac:dyDescent="0.25">
      <c r="A4" s="60" t="s">
        <v>117</v>
      </c>
      <c r="B4" s="60" t="s">
        <v>112</v>
      </c>
      <c r="C4" s="60" t="s">
        <v>116</v>
      </c>
      <c r="D4" s="60" t="s">
        <v>115</v>
      </c>
      <c r="E4" s="60" t="s">
        <v>341</v>
      </c>
      <c r="F4" s="60" t="s">
        <v>1474</v>
      </c>
      <c r="G4" s="60" t="s">
        <v>113</v>
      </c>
    </row>
    <row r="5" spans="1:8" ht="21" x14ac:dyDescent="0.35">
      <c r="A5" s="61" t="s">
        <v>5557</v>
      </c>
      <c r="B5" s="61" t="s">
        <v>21</v>
      </c>
      <c r="C5" s="61" t="s">
        <v>5558</v>
      </c>
      <c r="D5" s="62">
        <v>0.1</v>
      </c>
      <c r="E5" s="61" t="s">
        <v>5559</v>
      </c>
      <c r="F5" s="61" t="s">
        <v>347</v>
      </c>
      <c r="G5" s="61" t="s">
        <v>126</v>
      </c>
    </row>
    <row r="6" spans="1:8" ht="21" x14ac:dyDescent="0.35">
      <c r="A6" s="61" t="s">
        <v>5560</v>
      </c>
      <c r="B6" s="61" t="s">
        <v>22</v>
      </c>
      <c r="C6" s="61" t="s">
        <v>146</v>
      </c>
      <c r="D6" s="62">
        <v>0.25</v>
      </c>
      <c r="E6" s="61" t="s">
        <v>350</v>
      </c>
      <c r="F6" s="61" t="s">
        <v>5561</v>
      </c>
      <c r="G6" s="61" t="s">
        <v>128</v>
      </c>
    </row>
    <row r="7" spans="1:8" ht="21" x14ac:dyDescent="0.35">
      <c r="A7" s="61" t="s">
        <v>130</v>
      </c>
      <c r="C7" s="61" t="s">
        <v>142</v>
      </c>
      <c r="D7" s="62">
        <v>0.5</v>
      </c>
      <c r="E7" s="61" t="s">
        <v>346</v>
      </c>
      <c r="F7" s="61" t="s">
        <v>5562</v>
      </c>
      <c r="G7" s="61" t="s">
        <v>133</v>
      </c>
    </row>
    <row r="8" spans="1:8" ht="21" x14ac:dyDescent="0.35">
      <c r="A8" s="61" t="s">
        <v>134</v>
      </c>
      <c r="C8" s="61" t="s">
        <v>127</v>
      </c>
      <c r="D8" s="62">
        <v>0.75</v>
      </c>
      <c r="E8" s="61" t="s">
        <v>353</v>
      </c>
      <c r="G8" s="61" t="s">
        <v>145</v>
      </c>
    </row>
    <row r="9" spans="1:8" ht="21" x14ac:dyDescent="0.35">
      <c r="C9" s="61" t="s">
        <v>5563</v>
      </c>
      <c r="D9" s="62">
        <v>0.9</v>
      </c>
      <c r="G9" s="61" t="s">
        <v>5564</v>
      </c>
    </row>
    <row r="10" spans="1:8" ht="21" x14ac:dyDescent="0.35">
      <c r="C10" s="61" t="s">
        <v>129</v>
      </c>
      <c r="D10" s="62">
        <v>1</v>
      </c>
      <c r="G10" s="61" t="s">
        <v>5565</v>
      </c>
    </row>
    <row r="11" spans="1:8" ht="21" x14ac:dyDescent="0.35">
      <c r="C11" s="61" t="s">
        <v>5566</v>
      </c>
      <c r="G11" s="61" t="s">
        <v>5567</v>
      </c>
    </row>
    <row r="12" spans="1:8" ht="21" x14ac:dyDescent="0.35">
      <c r="C12" s="61" t="s">
        <v>5568</v>
      </c>
      <c r="G12" s="61" t="s">
        <v>5569</v>
      </c>
    </row>
    <row r="13" spans="1:8" ht="21" x14ac:dyDescent="0.35">
      <c r="G13" s="61" t="s">
        <v>5570</v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A651"/>
  </sheetPr>
  <dimension ref="A1:F13"/>
  <sheetViews>
    <sheetView showGridLines="0" workbookViewId="0"/>
  </sheetViews>
  <sheetFormatPr defaultRowHeight="15" x14ac:dyDescent="0.25"/>
  <cols>
    <col min="1" max="1" width="25.85546875" bestFit="1" customWidth="1"/>
    <col min="2" max="2" width="106.5703125" bestFit="1" customWidth="1"/>
  </cols>
  <sheetData>
    <row r="1" spans="1:6" ht="32.1" customHeight="1" x14ac:dyDescent="0.25">
      <c r="A1" s="90" t="s">
        <v>5571</v>
      </c>
      <c r="B1" s="64"/>
      <c r="C1" s="64"/>
      <c r="D1" s="64"/>
      <c r="E1" s="64"/>
      <c r="F1" s="64"/>
    </row>
    <row r="2" spans="1:6" x14ac:dyDescent="0.25">
      <c r="A2" s="70"/>
      <c r="B2" s="64"/>
      <c r="C2" s="64"/>
      <c r="D2" s="64"/>
      <c r="E2" s="64"/>
      <c r="F2" s="64"/>
    </row>
    <row r="3" spans="1:6" x14ac:dyDescent="0.25">
      <c r="A3" s="7" t="s">
        <v>5572</v>
      </c>
    </row>
    <row r="4" spans="1:6" ht="15.75" customHeight="1" x14ac:dyDescent="0.25">
      <c r="A4" s="3" t="s">
        <v>5573</v>
      </c>
      <c r="B4" s="4" t="s">
        <v>5574</v>
      </c>
      <c r="C4" t="s">
        <v>5575</v>
      </c>
      <c r="D4" t="s">
        <v>5576</v>
      </c>
      <c r="E4" t="s">
        <v>5577</v>
      </c>
      <c r="F4" t="s">
        <v>5578</v>
      </c>
    </row>
    <row r="5" spans="1:6" ht="30" customHeight="1" x14ac:dyDescent="0.25">
      <c r="A5" s="3" t="s">
        <v>5579</v>
      </c>
      <c r="B5" s="4"/>
    </row>
    <row r="6" spans="1:6" ht="15.75" customHeight="1" x14ac:dyDescent="0.25">
      <c r="A6" s="3" t="s">
        <v>5580</v>
      </c>
      <c r="B6" s="4"/>
    </row>
    <row r="7" spans="1:6" ht="15.75" customHeight="1" x14ac:dyDescent="0.25">
      <c r="A7" s="3" t="s">
        <v>5581</v>
      </c>
      <c r="B7" s="4"/>
    </row>
    <row r="8" spans="1:6" ht="15.75" customHeight="1" x14ac:dyDescent="0.25">
      <c r="A8" s="3"/>
      <c r="B8" s="4"/>
    </row>
    <row r="9" spans="1:6" x14ac:dyDescent="0.25">
      <c r="A9" s="7" t="s">
        <v>5582</v>
      </c>
    </row>
    <row r="10" spans="1:6" x14ac:dyDescent="0.25">
      <c r="A10" t="s">
        <v>5583</v>
      </c>
    </row>
    <row r="11" spans="1:6" x14ac:dyDescent="0.25">
      <c r="A11" t="s">
        <v>5584</v>
      </c>
    </row>
    <row r="12" spans="1:6" x14ac:dyDescent="0.25">
      <c r="A12" t="s">
        <v>5585</v>
      </c>
    </row>
    <row r="13" spans="1:6" x14ac:dyDescent="0.25">
      <c r="A13" t="s">
        <v>5586</v>
      </c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15</vt:i4>
      </vt:variant>
    </vt:vector>
  </HeadingPairs>
  <TitlesOfParts>
    <vt:vector size="15" baseType="lpstr">
      <vt:lpstr>CEO_PANEL</vt:lpstr>
      <vt:lpstr>CRM_MAGDY</vt:lpstr>
      <vt:lpstr>MOJE_ZADANIA_MAGDA_K</vt:lpstr>
      <vt:lpstr>SYSTEM_HEALTH</vt:lpstr>
      <vt:lpstr>MOJE_ZADANIA_MAGDA_B</vt:lpstr>
      <vt:lpstr>CRM_CLEANUP_REPORT</vt:lpstr>
      <vt:lpstr>EXECUTIVE_BRIEF</vt:lpstr>
      <vt:lpstr>MAGDA_SCOREBOARD</vt:lpstr>
      <vt:lpstr>_SYNC_CACHE</vt:lpstr>
      <vt:lpstr>_FORECAST_CALC</vt:lpstr>
      <vt:lpstr>_OS_TASKS</vt:lpstr>
      <vt:lpstr>_ALERTS_LOG</vt:lpstr>
      <vt:lpstr>_DATA_QUALITY</vt:lpstr>
      <vt:lpstr>_LISTY</vt:lpstr>
      <vt:lpstr>INSTRUKCJA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Piotr Baran</cp:lastModifiedBy>
  <dcterms:created xsi:type="dcterms:W3CDTF">2026-06-10T11:14:19Z</dcterms:created>
  <dcterms:modified xsi:type="dcterms:W3CDTF">2026-06-13T16:35:52Z</dcterms:modified>
</cp:coreProperties>
</file>